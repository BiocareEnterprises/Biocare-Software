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45" windowWidth="22995" windowHeight="7035" firstSheet="6" activeTab="12"/>
  </bookViews>
  <sheets>
    <sheet name="01-08-2025" sheetId="1" r:id="rId1"/>
    <sheet name="02-08-2025" sheetId="4" r:id="rId2"/>
    <sheet name="04-08-2025" sheetId="2" r:id="rId3"/>
    <sheet name="05-08-2025" sheetId="3" r:id="rId4"/>
    <sheet name="06-08-2025" sheetId="6" r:id="rId5"/>
    <sheet name="Office Cash" sheetId="9" r:id="rId6"/>
    <sheet name="07-08-2025" sheetId="12" r:id="rId7"/>
    <sheet name="08-08-2025" sheetId="17" r:id="rId8"/>
    <sheet name="09-08-2025" sheetId="18" r:id="rId9"/>
    <sheet name="11-08-2025" sheetId="19" r:id="rId10"/>
    <sheet name="12-08-2025" sheetId="20" r:id="rId11"/>
    <sheet name="13-08-2025" sheetId="21" r:id="rId12"/>
    <sheet name="15-08-2025" sheetId="22" r:id="rId13"/>
    <sheet name="16-08-2025" sheetId="23" r:id="rId14"/>
    <sheet name="17-08-2025" sheetId="24" r:id="rId15"/>
    <sheet name="18-08-2025" sheetId="25" r:id="rId16"/>
    <sheet name="20-08-2025" sheetId="26" r:id="rId17"/>
    <sheet name="21-08-2025" sheetId="27" r:id="rId18"/>
    <sheet name="22-08-2025" sheetId="28" r:id="rId19"/>
    <sheet name="23-082025" sheetId="29" r:id="rId20"/>
    <sheet name="25-28-2025" sheetId="30" r:id="rId21"/>
    <sheet name="26-08-2025" sheetId="31" r:id="rId22"/>
    <sheet name="27-08-2025" sheetId="32" r:id="rId23"/>
    <sheet name="MASTER" sheetId="16" r:id="rId24"/>
    <sheet name="28-08-2025" sheetId="33" r:id="rId25"/>
    <sheet name="29-08-2025" sheetId="34" r:id="rId26"/>
    <sheet name="30-08-2025" sheetId="35" r:id="rId27"/>
    <sheet name="Sheet1" sheetId="36" r:id="rId28"/>
  </sheets>
  <calcPr calcId="144525"/>
</workbook>
</file>

<file path=xl/calcChain.xml><?xml version="1.0" encoding="utf-8"?>
<calcChain xmlns="http://schemas.openxmlformats.org/spreadsheetml/2006/main">
  <c r="AL37" i="34" l="1"/>
  <c r="AL35" i="34"/>
  <c r="AL32" i="34"/>
  <c r="T37" i="35" l="1"/>
  <c r="P37" i="35"/>
  <c r="L37" i="35"/>
  <c r="H37" i="35"/>
  <c r="D37" i="35"/>
  <c r="Y36" i="35"/>
  <c r="Y35" i="35"/>
  <c r="Y34" i="35"/>
  <c r="AL31" i="35"/>
  <c r="AF31" i="35"/>
  <c r="AC8" i="35" s="1"/>
  <c r="Y27" i="35"/>
  <c r="Y26" i="35"/>
  <c r="Y25" i="35"/>
  <c r="Y24" i="35"/>
  <c r="Y23" i="35"/>
  <c r="Y22" i="35"/>
  <c r="Y21" i="35"/>
  <c r="Y20" i="35"/>
  <c r="Y19" i="35"/>
  <c r="Y18" i="35"/>
  <c r="AC17" i="35"/>
  <c r="Y17" i="35"/>
  <c r="Y15" i="35"/>
  <c r="AK13" i="35"/>
  <c r="AK12" i="35"/>
  <c r="X12" i="35"/>
  <c r="T12" i="35"/>
  <c r="P12" i="35"/>
  <c r="L12" i="35"/>
  <c r="H12" i="35"/>
  <c r="D12" i="35"/>
  <c r="AK11" i="35"/>
  <c r="X11" i="35"/>
  <c r="T11" i="35"/>
  <c r="P11" i="35"/>
  <c r="L11" i="35"/>
  <c r="H11" i="35"/>
  <c r="D11" i="35"/>
  <c r="Y11" i="35" s="1"/>
  <c r="AK10" i="35"/>
  <c r="X10" i="35"/>
  <c r="T10" i="35"/>
  <c r="T13" i="35" s="1"/>
  <c r="T16" i="35" s="1"/>
  <c r="T28" i="35" s="1"/>
  <c r="T30" i="35" s="1"/>
  <c r="T38" i="35" s="1"/>
  <c r="P10" i="35"/>
  <c r="L10" i="35"/>
  <c r="H10" i="35"/>
  <c r="D10" i="35"/>
  <c r="AK9" i="35"/>
  <c r="X9" i="35"/>
  <c r="T9" i="35"/>
  <c r="P9" i="35"/>
  <c r="L9" i="35"/>
  <c r="H9" i="35"/>
  <c r="D9" i="35"/>
  <c r="AK8" i="35"/>
  <c r="X8" i="35"/>
  <c r="T8" i="35"/>
  <c r="P8" i="35"/>
  <c r="L8" i="35"/>
  <c r="Y8" i="35" s="1"/>
  <c r="H8" i="35"/>
  <c r="D8" i="35"/>
  <c r="AK7" i="35"/>
  <c r="X7" i="35"/>
  <c r="T7" i="35"/>
  <c r="P7" i="35"/>
  <c r="L7" i="35"/>
  <c r="H7" i="35"/>
  <c r="D7" i="35"/>
  <c r="AK6" i="35"/>
  <c r="X6" i="35"/>
  <c r="T6" i="35"/>
  <c r="P6" i="35"/>
  <c r="L6" i="35"/>
  <c r="H6" i="35"/>
  <c r="D6" i="35"/>
  <c r="X5" i="35"/>
  <c r="T5" i="35"/>
  <c r="P5" i="35"/>
  <c r="L5" i="35"/>
  <c r="H5" i="35"/>
  <c r="D5" i="35"/>
  <c r="AK14" i="35" l="1"/>
  <c r="H13" i="35"/>
  <c r="H16" i="35" s="1"/>
  <c r="H28" i="35" s="1"/>
  <c r="H30" i="35" s="1"/>
  <c r="H38" i="35" s="1"/>
  <c r="Y7" i="35"/>
  <c r="L13" i="35"/>
  <c r="L16" i="35" s="1"/>
  <c r="L28" i="35" s="1"/>
  <c r="L30" i="35" s="1"/>
  <c r="L38" i="35" s="1"/>
  <c r="Y6" i="35"/>
  <c r="Y37" i="35"/>
  <c r="Y10" i="35"/>
  <c r="P13" i="35"/>
  <c r="P16" i="35" s="1"/>
  <c r="P28" i="35" s="1"/>
  <c r="P30" i="35" s="1"/>
  <c r="P38" i="35" s="1"/>
  <c r="Y12" i="35"/>
  <c r="Y5" i="35"/>
  <c r="D13" i="35"/>
  <c r="D16" i="35" s="1"/>
  <c r="Y9" i="35"/>
  <c r="AM31" i="19"/>
  <c r="D37" i="3"/>
  <c r="D38" i="3" s="1"/>
  <c r="L37" i="1"/>
  <c r="L38" i="1" s="1"/>
  <c r="Y16" i="35" l="1"/>
  <c r="Y28" i="35" s="1"/>
  <c r="Y30" i="35" s="1"/>
  <c r="Y38" i="35" s="1"/>
  <c r="D28" i="35"/>
  <c r="D30" i="35" s="1"/>
  <c r="D38" i="35" s="1"/>
  <c r="Y13" i="35"/>
  <c r="AC7" i="35" s="1"/>
  <c r="AC9" i="35" s="1"/>
  <c r="AC18" i="35" s="1"/>
  <c r="T37" i="34"/>
  <c r="P37" i="34"/>
  <c r="L37" i="34"/>
  <c r="H37" i="34"/>
  <c r="D37" i="34"/>
  <c r="Y36" i="34"/>
  <c r="Y35" i="34"/>
  <c r="Y34" i="34"/>
  <c r="AL31" i="34"/>
  <c r="AF31" i="34"/>
  <c r="AC8" i="34" s="1"/>
  <c r="Y27" i="34"/>
  <c r="Y26" i="34"/>
  <c r="Y25" i="34"/>
  <c r="Y24" i="34"/>
  <c r="Y23" i="34"/>
  <c r="Y22" i="34"/>
  <c r="Y21" i="34"/>
  <c r="Y20" i="34"/>
  <c r="Y19" i="34"/>
  <c r="Y18" i="34"/>
  <c r="AC17" i="34"/>
  <c r="Y17" i="34"/>
  <c r="Y15" i="34"/>
  <c r="AK13" i="34"/>
  <c r="AK12" i="34"/>
  <c r="X12" i="34"/>
  <c r="T12" i="34"/>
  <c r="P12" i="34"/>
  <c r="L12" i="34"/>
  <c r="H12" i="34"/>
  <c r="D12" i="34"/>
  <c r="AK11" i="34"/>
  <c r="X11" i="34"/>
  <c r="T11" i="34"/>
  <c r="P11" i="34"/>
  <c r="L11" i="34"/>
  <c r="H11" i="34"/>
  <c r="D11" i="34"/>
  <c r="AK10" i="34"/>
  <c r="X10" i="34"/>
  <c r="T10" i="34"/>
  <c r="P10" i="34"/>
  <c r="L10" i="34"/>
  <c r="H10" i="34"/>
  <c r="D10" i="34"/>
  <c r="AK9" i="34"/>
  <c r="X9" i="34"/>
  <c r="T9" i="34"/>
  <c r="P9" i="34"/>
  <c r="L9" i="34"/>
  <c r="H9" i="34"/>
  <c r="D9" i="34"/>
  <c r="AK8" i="34"/>
  <c r="X8" i="34"/>
  <c r="T8" i="34"/>
  <c r="P8" i="34"/>
  <c r="L8" i="34"/>
  <c r="H8" i="34"/>
  <c r="D8" i="34"/>
  <c r="AK7" i="34"/>
  <c r="X7" i="34"/>
  <c r="T7" i="34"/>
  <c r="P7" i="34"/>
  <c r="L7" i="34"/>
  <c r="H7" i="34"/>
  <c r="D7" i="34"/>
  <c r="AK6" i="34"/>
  <c r="X6" i="34"/>
  <c r="T6" i="34"/>
  <c r="P6" i="34"/>
  <c r="L6" i="34"/>
  <c r="H6" i="34"/>
  <c r="D6" i="34"/>
  <c r="X5" i="34"/>
  <c r="T5" i="34"/>
  <c r="P5" i="34"/>
  <c r="L5" i="34"/>
  <c r="H5" i="34"/>
  <c r="D5" i="34"/>
  <c r="P13" i="34" l="1"/>
  <c r="P16" i="34" s="1"/>
  <c r="P28" i="34" s="1"/>
  <c r="P30" i="34" s="1"/>
  <c r="P38" i="34" s="1"/>
  <c r="Y12" i="34"/>
  <c r="H13" i="34"/>
  <c r="H16" i="34" s="1"/>
  <c r="H28" i="34" s="1"/>
  <c r="H30" i="34" s="1"/>
  <c r="H38" i="34" s="1"/>
  <c r="AK14" i="34"/>
  <c r="Y11" i="34"/>
  <c r="Y10" i="34"/>
  <c r="L13" i="34"/>
  <c r="L16" i="34" s="1"/>
  <c r="L28" i="34" s="1"/>
  <c r="L30" i="34" s="1"/>
  <c r="L38" i="34" s="1"/>
  <c r="Y6" i="34"/>
  <c r="D13" i="34"/>
  <c r="D16" i="34" s="1"/>
  <c r="Y37" i="34"/>
  <c r="Y7" i="34"/>
  <c r="Y8" i="34"/>
  <c r="T13" i="34"/>
  <c r="T16" i="34" s="1"/>
  <c r="T28" i="34" s="1"/>
  <c r="T30" i="34" s="1"/>
  <c r="T38" i="34" s="1"/>
  <c r="D28" i="34"/>
  <c r="D30" i="34" s="1"/>
  <c r="D38" i="34" s="1"/>
  <c r="Y5" i="34"/>
  <c r="Y9" i="34"/>
  <c r="AL36" i="33"/>
  <c r="Y16" i="34" l="1"/>
  <c r="Y28" i="34" s="1"/>
  <c r="Y30" i="34" s="1"/>
  <c r="Y38" i="34" s="1"/>
  <c r="Y13" i="34"/>
  <c r="AC7" i="34" s="1"/>
  <c r="AC9" i="34" s="1"/>
  <c r="AC18" i="34" s="1"/>
  <c r="T37" i="33"/>
  <c r="P37" i="33"/>
  <c r="L37" i="33"/>
  <c r="H37" i="33"/>
  <c r="Y36" i="33"/>
  <c r="Y35" i="33"/>
  <c r="Y34" i="33"/>
  <c r="AF31" i="33"/>
  <c r="AC8" i="33" s="1"/>
  <c r="Y27" i="33"/>
  <c r="Y26" i="33"/>
  <c r="Y25" i="33"/>
  <c r="Y24" i="33"/>
  <c r="Y23" i="33"/>
  <c r="Y22" i="33"/>
  <c r="Y21" i="33"/>
  <c r="Y20" i="33"/>
  <c r="Y19" i="33"/>
  <c r="Y18" i="33"/>
  <c r="AC17" i="33"/>
  <c r="Y17" i="33"/>
  <c r="Y15" i="33"/>
  <c r="AK13" i="33"/>
  <c r="AK12" i="33"/>
  <c r="X12" i="33"/>
  <c r="T12" i="33"/>
  <c r="P12" i="33"/>
  <c r="L12" i="33"/>
  <c r="H12" i="33"/>
  <c r="D12" i="33"/>
  <c r="Y12" i="33" s="1"/>
  <c r="AK11" i="33"/>
  <c r="X11" i="33"/>
  <c r="T11" i="33"/>
  <c r="P11" i="33"/>
  <c r="L11" i="33"/>
  <c r="H11" i="33"/>
  <c r="D11" i="33"/>
  <c r="AK10" i="33"/>
  <c r="X10" i="33"/>
  <c r="T10" i="33"/>
  <c r="P10" i="33"/>
  <c r="L10" i="33"/>
  <c r="H10" i="33"/>
  <c r="D10" i="33"/>
  <c r="AK9" i="33"/>
  <c r="X9" i="33"/>
  <c r="T9" i="33"/>
  <c r="P9" i="33"/>
  <c r="L9" i="33"/>
  <c r="H9" i="33"/>
  <c r="D9" i="33"/>
  <c r="AK8" i="33"/>
  <c r="X8" i="33"/>
  <c r="T8" i="33"/>
  <c r="P8" i="33"/>
  <c r="L8" i="33"/>
  <c r="H8" i="33"/>
  <c r="D8" i="33"/>
  <c r="AK7" i="33"/>
  <c r="X7" i="33"/>
  <c r="T7" i="33"/>
  <c r="P7" i="33"/>
  <c r="L7" i="33"/>
  <c r="Y7" i="33" s="1"/>
  <c r="H7" i="33"/>
  <c r="D7" i="33"/>
  <c r="AK6" i="33"/>
  <c r="X6" i="33"/>
  <c r="T6" i="33"/>
  <c r="P6" i="33"/>
  <c r="L6" i="33"/>
  <c r="H6" i="33"/>
  <c r="D6" i="33"/>
  <c r="X5" i="33"/>
  <c r="T5" i="33"/>
  <c r="P5" i="33"/>
  <c r="L5" i="33"/>
  <c r="H5" i="33"/>
  <c r="D5" i="33"/>
  <c r="AK14" i="33" l="1"/>
  <c r="T13" i="33"/>
  <c r="T16" i="33" s="1"/>
  <c r="T28" i="33" s="1"/>
  <c r="T30" i="33" s="1"/>
  <c r="T38" i="33" s="1"/>
  <c r="H13" i="33"/>
  <c r="H16" i="33" s="1"/>
  <c r="H28" i="33" s="1"/>
  <c r="H30" i="33" s="1"/>
  <c r="H38" i="33" s="1"/>
  <c r="L13" i="33"/>
  <c r="L16" i="33" s="1"/>
  <c r="L28" i="33" s="1"/>
  <c r="L30" i="33" s="1"/>
  <c r="L38" i="33" s="1"/>
  <c r="Y9" i="33"/>
  <c r="P13" i="33"/>
  <c r="P16" i="33" s="1"/>
  <c r="P28" i="33" s="1"/>
  <c r="P30" i="33" s="1"/>
  <c r="P38" i="33" s="1"/>
  <c r="Y11" i="33"/>
  <c r="Y10" i="33"/>
  <c r="Y37" i="33"/>
  <c r="Y6" i="33"/>
  <c r="Y8" i="33"/>
  <c r="Y5" i="33"/>
  <c r="D13" i="33"/>
  <c r="D16" i="33" s="1"/>
  <c r="T37" i="32"/>
  <c r="P37" i="32"/>
  <c r="L37" i="32"/>
  <c r="H37" i="32"/>
  <c r="D37" i="32"/>
  <c r="Y36" i="32"/>
  <c r="Y35" i="32"/>
  <c r="Y34" i="32"/>
  <c r="AL31" i="32"/>
  <c r="AF31" i="32"/>
  <c r="AC8" i="32" s="1"/>
  <c r="Y27" i="32"/>
  <c r="Y26" i="32"/>
  <c r="Y25" i="32"/>
  <c r="Y24" i="32"/>
  <c r="Y23" i="32"/>
  <c r="Y22" i="32"/>
  <c r="Y21" i="32"/>
  <c r="Y20" i="32"/>
  <c r="Y19" i="32"/>
  <c r="Y18" i="32"/>
  <c r="AC17" i="32"/>
  <c r="Y17" i="32"/>
  <c r="Y15" i="32"/>
  <c r="AK13" i="32"/>
  <c r="AK12" i="32"/>
  <c r="X12" i="32"/>
  <c r="T12" i="32"/>
  <c r="P12" i="32"/>
  <c r="L12" i="32"/>
  <c r="H12" i="32"/>
  <c r="D12" i="32"/>
  <c r="AK11" i="32"/>
  <c r="X11" i="32"/>
  <c r="T11" i="32"/>
  <c r="P11" i="32"/>
  <c r="L11" i="32"/>
  <c r="H11" i="32"/>
  <c r="D11" i="32"/>
  <c r="AK10" i="32"/>
  <c r="X10" i="32"/>
  <c r="T10" i="32"/>
  <c r="P10" i="32"/>
  <c r="L10" i="32"/>
  <c r="H10" i="32"/>
  <c r="D10" i="32"/>
  <c r="AK9" i="32"/>
  <c r="X9" i="32"/>
  <c r="T9" i="32"/>
  <c r="T13" i="32" s="1"/>
  <c r="T16" i="32" s="1"/>
  <c r="T28" i="32" s="1"/>
  <c r="T30" i="32" s="1"/>
  <c r="T38" i="32" s="1"/>
  <c r="P9" i="32"/>
  <c r="L9" i="32"/>
  <c r="H9" i="32"/>
  <c r="D9" i="32"/>
  <c r="AK8" i="32"/>
  <c r="X8" i="32"/>
  <c r="T8" i="32"/>
  <c r="P8" i="32"/>
  <c r="L8" i="32"/>
  <c r="H8" i="32"/>
  <c r="D8" i="32"/>
  <c r="AK7" i="32"/>
  <c r="X7" i="32"/>
  <c r="T7" i="32"/>
  <c r="P7" i="32"/>
  <c r="L7" i="32"/>
  <c r="Y7" i="32" s="1"/>
  <c r="H7" i="32"/>
  <c r="D7" i="32"/>
  <c r="AK6" i="32"/>
  <c r="X6" i="32"/>
  <c r="T6" i="32"/>
  <c r="P6" i="32"/>
  <c r="L6" i="32"/>
  <c r="H6" i="32"/>
  <c r="D6" i="32"/>
  <c r="X5" i="32"/>
  <c r="T5" i="32"/>
  <c r="P5" i="32"/>
  <c r="L5" i="32"/>
  <c r="H5" i="32"/>
  <c r="Y5" i="32" s="1"/>
  <c r="D5" i="32"/>
  <c r="Y13" i="33" l="1"/>
  <c r="AC7" i="33" s="1"/>
  <c r="AC9" i="33" s="1"/>
  <c r="AC18" i="33" s="1"/>
  <c r="D28" i="33"/>
  <c r="D30" i="33" s="1"/>
  <c r="Y16" i="33"/>
  <c r="Y28" i="33" s="1"/>
  <c r="Y30" i="33" s="1"/>
  <c r="Y38" i="33" s="1"/>
  <c r="AK14" i="32"/>
  <c r="Y11" i="32"/>
  <c r="L13" i="32"/>
  <c r="L16" i="32" s="1"/>
  <c r="L28" i="32" s="1"/>
  <c r="L30" i="32" s="1"/>
  <c r="L38" i="32" s="1"/>
  <c r="Y12" i="32"/>
  <c r="Y10" i="32"/>
  <c r="Y9" i="32"/>
  <c r="P13" i="32"/>
  <c r="P16" i="32" s="1"/>
  <c r="P28" i="32" s="1"/>
  <c r="P30" i="32" s="1"/>
  <c r="P38" i="32" s="1"/>
  <c r="Y37" i="32"/>
  <c r="Y8" i="32"/>
  <c r="Y6" i="32"/>
  <c r="D13" i="32"/>
  <c r="D16" i="32" s="1"/>
  <c r="H13" i="32"/>
  <c r="H16" i="32" s="1"/>
  <c r="H28" i="32" s="1"/>
  <c r="H30" i="32" s="1"/>
  <c r="H38" i="32" s="1"/>
  <c r="AL41" i="31"/>
  <c r="Y13" i="32" l="1"/>
  <c r="AC7" i="32" s="1"/>
  <c r="AC9" i="32" s="1"/>
  <c r="AC18" i="32" s="1"/>
  <c r="Y16" i="32"/>
  <c r="Y28" i="32" s="1"/>
  <c r="Y30" i="32" s="1"/>
  <c r="Y38" i="32" s="1"/>
  <c r="D28" i="32"/>
  <c r="D30" i="32" s="1"/>
  <c r="D38" i="32" s="1"/>
  <c r="T37" i="31"/>
  <c r="P37" i="31"/>
  <c r="H37" i="31"/>
  <c r="D37" i="31"/>
  <c r="Y36" i="31"/>
  <c r="Y35" i="31"/>
  <c r="Y34" i="31"/>
  <c r="AF31" i="31"/>
  <c r="AC8" i="31" s="1"/>
  <c r="Y27" i="31"/>
  <c r="Y26" i="31"/>
  <c r="Y25" i="31"/>
  <c r="Y24" i="31"/>
  <c r="Y23" i="31"/>
  <c r="Y22" i="31"/>
  <c r="Y21" i="31"/>
  <c r="Y20" i="31"/>
  <c r="Y19" i="31"/>
  <c r="Y18" i="31"/>
  <c r="AC17" i="31"/>
  <c r="Y17" i="31"/>
  <c r="Y15" i="31"/>
  <c r="AK13" i="31"/>
  <c r="AK12" i="31"/>
  <c r="X12" i="31"/>
  <c r="T12" i="31"/>
  <c r="P12" i="31"/>
  <c r="L12" i="31"/>
  <c r="H12" i="31"/>
  <c r="D12" i="31"/>
  <c r="AK11" i="31"/>
  <c r="X11" i="31"/>
  <c r="T11" i="31"/>
  <c r="P11" i="31"/>
  <c r="L11" i="31"/>
  <c r="H11" i="31"/>
  <c r="D11" i="31"/>
  <c r="AK10" i="31"/>
  <c r="X10" i="31"/>
  <c r="T10" i="31"/>
  <c r="P10" i="31"/>
  <c r="L10" i="31"/>
  <c r="H10" i="31"/>
  <c r="D10" i="31"/>
  <c r="AK9" i="31"/>
  <c r="X9" i="31"/>
  <c r="T9" i="31"/>
  <c r="P9" i="31"/>
  <c r="L9" i="31"/>
  <c r="H9" i="31"/>
  <c r="D9" i="31"/>
  <c r="AK8" i="31"/>
  <c r="X8" i="31"/>
  <c r="T8" i="31"/>
  <c r="P8" i="31"/>
  <c r="L8" i="31"/>
  <c r="H8" i="31"/>
  <c r="D8" i="31"/>
  <c r="AK7" i="31"/>
  <c r="X7" i="31"/>
  <c r="T7" i="31"/>
  <c r="P7" i="31"/>
  <c r="L7" i="31"/>
  <c r="H7" i="31"/>
  <c r="D7" i="31"/>
  <c r="AK6" i="31"/>
  <c r="X6" i="31"/>
  <c r="T6" i="31"/>
  <c r="T13" i="31" s="1"/>
  <c r="T16" i="31" s="1"/>
  <c r="T28" i="31" s="1"/>
  <c r="T30" i="31" s="1"/>
  <c r="T38" i="31" s="1"/>
  <c r="P6" i="31"/>
  <c r="L6" i="31"/>
  <c r="H6" i="31"/>
  <c r="D6" i="31"/>
  <c r="X5" i="31"/>
  <c r="T5" i="31"/>
  <c r="P5" i="31"/>
  <c r="L5" i="31"/>
  <c r="H5" i="31"/>
  <c r="D5" i="31"/>
  <c r="AK14" i="31" l="1"/>
  <c r="L13" i="31"/>
  <c r="L28" i="31" s="1"/>
  <c r="L30" i="31" s="1"/>
  <c r="D13" i="31"/>
  <c r="D16" i="31" s="1"/>
  <c r="D28" i="31" s="1"/>
  <c r="D30" i="31" s="1"/>
  <c r="D38" i="31" s="1"/>
  <c r="Y8" i="31"/>
  <c r="H13" i="31"/>
  <c r="H16" i="31" s="1"/>
  <c r="H28" i="31" s="1"/>
  <c r="H30" i="31" s="1"/>
  <c r="H38" i="31" s="1"/>
  <c r="Y37" i="31"/>
  <c r="Y12" i="31"/>
  <c r="Y10" i="31"/>
  <c r="Y7" i="31"/>
  <c r="P13" i="31"/>
  <c r="P16" i="31" s="1"/>
  <c r="P28" i="31" s="1"/>
  <c r="P30" i="31" s="1"/>
  <c r="P38" i="31" s="1"/>
  <c r="Y11" i="31"/>
  <c r="Y5" i="31"/>
  <c r="Y9" i="31"/>
  <c r="Y6" i="31"/>
  <c r="AL38" i="30"/>
  <c r="T37" i="30"/>
  <c r="P37" i="30"/>
  <c r="L37" i="30"/>
  <c r="H37" i="30"/>
  <c r="D37" i="30"/>
  <c r="Y36" i="30"/>
  <c r="Y35" i="30"/>
  <c r="Y34" i="30"/>
  <c r="Y37" i="30" s="1"/>
  <c r="AF31" i="30"/>
  <c r="Y27" i="30"/>
  <c r="Y26" i="30"/>
  <c r="Y25" i="30"/>
  <c r="Y24" i="30"/>
  <c r="Y23" i="30"/>
  <c r="Y22" i="30"/>
  <c r="Y21" i="30"/>
  <c r="Y20" i="30"/>
  <c r="Y19" i="30"/>
  <c r="Y18" i="30"/>
  <c r="AC17" i="30"/>
  <c r="Y17" i="30"/>
  <c r="Y15" i="30"/>
  <c r="AK13" i="30"/>
  <c r="AK12" i="30"/>
  <c r="X12" i="30"/>
  <c r="T12" i="30"/>
  <c r="P12" i="30"/>
  <c r="L12" i="30"/>
  <c r="H12" i="30"/>
  <c r="D12" i="30"/>
  <c r="AK11" i="30"/>
  <c r="X11" i="30"/>
  <c r="T11" i="30"/>
  <c r="P11" i="30"/>
  <c r="L11" i="30"/>
  <c r="H11" i="30"/>
  <c r="D11" i="30"/>
  <c r="AK10" i="30"/>
  <c r="X10" i="30"/>
  <c r="T10" i="30"/>
  <c r="P10" i="30"/>
  <c r="L10" i="30"/>
  <c r="H10" i="30"/>
  <c r="D10" i="30"/>
  <c r="AK9" i="30"/>
  <c r="X9" i="30"/>
  <c r="T9" i="30"/>
  <c r="P9" i="30"/>
  <c r="L9" i="30"/>
  <c r="Y9" i="30" s="1"/>
  <c r="H9" i="30"/>
  <c r="D9" i="30"/>
  <c r="AK8" i="30"/>
  <c r="AC8" i="30"/>
  <c r="X8" i="30"/>
  <c r="T8" i="30"/>
  <c r="P8" i="30"/>
  <c r="L8" i="30"/>
  <c r="H8" i="30"/>
  <c r="D8" i="30"/>
  <c r="AK7" i="30"/>
  <c r="X7" i="30"/>
  <c r="T7" i="30"/>
  <c r="P7" i="30"/>
  <c r="L7" i="30"/>
  <c r="H7" i="30"/>
  <c r="D7" i="30"/>
  <c r="AK6" i="30"/>
  <c r="X6" i="30"/>
  <c r="T6" i="30"/>
  <c r="P6" i="30"/>
  <c r="L6" i="30"/>
  <c r="H6" i="30"/>
  <c r="D6" i="30"/>
  <c r="X5" i="30"/>
  <c r="T5" i="30"/>
  <c r="P5" i="30"/>
  <c r="L5" i="30"/>
  <c r="Y5" i="30" s="1"/>
  <c r="H5" i="30"/>
  <c r="D5" i="30"/>
  <c r="Y16" i="31" l="1"/>
  <c r="Y28" i="31" s="1"/>
  <c r="Y30" i="31" s="1"/>
  <c r="Y38" i="31" s="1"/>
  <c r="Y13" i="31"/>
  <c r="AC7" i="31" s="1"/>
  <c r="AC9" i="31" s="1"/>
  <c r="AC18" i="31" s="1"/>
  <c r="AK14" i="30"/>
  <c r="Y11" i="30"/>
  <c r="H13" i="30"/>
  <c r="H16" i="30" s="1"/>
  <c r="H28" i="30" s="1"/>
  <c r="H30" i="30" s="1"/>
  <c r="H38" i="30" s="1"/>
  <c r="Y7" i="30"/>
  <c r="P13" i="30"/>
  <c r="P16" i="30" s="1"/>
  <c r="P28" i="30" s="1"/>
  <c r="P30" i="30" s="1"/>
  <c r="P38" i="30" s="1"/>
  <c r="Y10" i="30"/>
  <c r="Y12" i="30"/>
  <c r="D13" i="30"/>
  <c r="D16" i="30" s="1"/>
  <c r="D28" i="30" s="1"/>
  <c r="D30" i="30" s="1"/>
  <c r="D38" i="30" s="1"/>
  <c r="Y8" i="30"/>
  <c r="T13" i="30"/>
  <c r="T16" i="30" s="1"/>
  <c r="T28" i="30" s="1"/>
  <c r="T30" i="30" s="1"/>
  <c r="T38" i="30" s="1"/>
  <c r="L13" i="30"/>
  <c r="L16" i="30" s="1"/>
  <c r="L28" i="30" s="1"/>
  <c r="L30" i="30" s="1"/>
  <c r="L38" i="30" s="1"/>
  <c r="Y6" i="30"/>
  <c r="T37" i="29"/>
  <c r="P37" i="29"/>
  <c r="L37" i="29"/>
  <c r="H37" i="29"/>
  <c r="D37" i="29"/>
  <c r="Y36" i="29"/>
  <c r="Y35" i="29"/>
  <c r="Y34" i="29"/>
  <c r="AL31" i="29"/>
  <c r="AF31" i="29"/>
  <c r="AC8" i="29" s="1"/>
  <c r="Y27" i="29"/>
  <c r="Y26" i="29"/>
  <c r="Y25" i="29"/>
  <c r="Y24" i="29"/>
  <c r="Y23" i="29"/>
  <c r="Y22" i="29"/>
  <c r="Y21" i="29"/>
  <c r="Y20" i="29"/>
  <c r="Y19" i="29"/>
  <c r="Y18" i="29"/>
  <c r="Y17" i="29"/>
  <c r="Y15" i="29"/>
  <c r="AK13" i="29"/>
  <c r="AK12" i="29"/>
  <c r="X12" i="29"/>
  <c r="T12" i="29"/>
  <c r="P12" i="29"/>
  <c r="L12" i="29"/>
  <c r="H12" i="29"/>
  <c r="D12" i="29"/>
  <c r="AK11" i="29"/>
  <c r="X11" i="29"/>
  <c r="T11" i="29"/>
  <c r="P11" i="29"/>
  <c r="L11" i="29"/>
  <c r="H11" i="29"/>
  <c r="D11" i="29"/>
  <c r="AK10" i="29"/>
  <c r="X10" i="29"/>
  <c r="T10" i="29"/>
  <c r="P10" i="29"/>
  <c r="L10" i="29"/>
  <c r="H10" i="29"/>
  <c r="D10" i="29"/>
  <c r="Y10" i="29" s="1"/>
  <c r="AK9" i="29"/>
  <c r="X9" i="29"/>
  <c r="T9" i="29"/>
  <c r="P9" i="29"/>
  <c r="L9" i="29"/>
  <c r="H9" i="29"/>
  <c r="D9" i="29"/>
  <c r="AK8" i="29"/>
  <c r="X8" i="29"/>
  <c r="T8" i="29"/>
  <c r="P8" i="29"/>
  <c r="L8" i="29"/>
  <c r="H8" i="29"/>
  <c r="D8" i="29"/>
  <c r="AK7" i="29"/>
  <c r="X7" i="29"/>
  <c r="T7" i="29"/>
  <c r="P7" i="29"/>
  <c r="L7" i="29"/>
  <c r="H7" i="29"/>
  <c r="D7" i="29"/>
  <c r="AK6" i="29"/>
  <c r="X6" i="29"/>
  <c r="T6" i="29"/>
  <c r="P6" i="29"/>
  <c r="L6" i="29"/>
  <c r="H6" i="29"/>
  <c r="D6" i="29"/>
  <c r="X5" i="29"/>
  <c r="T5" i="29"/>
  <c r="P5" i="29"/>
  <c r="L5" i="29"/>
  <c r="H5" i="29"/>
  <c r="D5" i="29"/>
  <c r="Y13" i="30" l="1"/>
  <c r="AC7" i="30" s="1"/>
  <c r="AC9" i="30" s="1"/>
  <c r="AC18" i="30" s="1"/>
  <c r="Y16" i="30"/>
  <c r="Y28" i="30" s="1"/>
  <c r="Y30" i="30" s="1"/>
  <c r="Y38" i="30" s="1"/>
  <c r="AK14" i="29"/>
  <c r="AC17" i="29" s="1"/>
  <c r="T13" i="29"/>
  <c r="T16" i="29" s="1"/>
  <c r="T28" i="29" s="1"/>
  <c r="T30" i="29" s="1"/>
  <c r="T38" i="29" s="1"/>
  <c r="Y7" i="29"/>
  <c r="Y9" i="29"/>
  <c r="P13" i="29"/>
  <c r="P16" i="29" s="1"/>
  <c r="P28" i="29" s="1"/>
  <c r="P30" i="29" s="1"/>
  <c r="P38" i="29" s="1"/>
  <c r="Y37" i="29"/>
  <c r="Y12" i="29"/>
  <c r="Y11" i="29"/>
  <c r="L13" i="29"/>
  <c r="L16" i="29" s="1"/>
  <c r="L28" i="29" s="1"/>
  <c r="L30" i="29" s="1"/>
  <c r="L38" i="29" s="1"/>
  <c r="Y8" i="29"/>
  <c r="D13" i="29"/>
  <c r="D16" i="29" s="1"/>
  <c r="D28" i="29" s="1"/>
  <c r="D30" i="29" s="1"/>
  <c r="D38" i="29" s="1"/>
  <c r="Y6" i="29"/>
  <c r="Y5" i="29"/>
  <c r="H13" i="29"/>
  <c r="H16" i="29" s="1"/>
  <c r="H28" i="29" s="1"/>
  <c r="H30" i="29" s="1"/>
  <c r="H38" i="29" s="1"/>
  <c r="AL38" i="28"/>
  <c r="Y16" i="29" l="1"/>
  <c r="Y28" i="29" s="1"/>
  <c r="Y30" i="29" s="1"/>
  <c r="Y38" i="29" s="1"/>
  <c r="Y13" i="29"/>
  <c r="AC7" i="29" s="1"/>
  <c r="AC9" i="29" s="1"/>
  <c r="AC18" i="29" s="1"/>
  <c r="T37" i="28"/>
  <c r="P37" i="28"/>
  <c r="L37" i="28"/>
  <c r="H37" i="28"/>
  <c r="D37" i="28"/>
  <c r="Y36" i="28"/>
  <c r="Y35" i="28"/>
  <c r="Y34" i="28"/>
  <c r="AF31" i="28"/>
  <c r="AC8" i="28" s="1"/>
  <c r="Y27" i="28"/>
  <c r="Y26" i="28"/>
  <c r="Y25" i="28"/>
  <c r="Y24" i="28"/>
  <c r="Y23" i="28"/>
  <c r="Y22" i="28"/>
  <c r="Y21" i="28"/>
  <c r="Y20" i="28"/>
  <c r="Y19" i="28"/>
  <c r="Y18" i="28"/>
  <c r="AC17" i="28"/>
  <c r="Y17" i="28"/>
  <c r="Y15" i="28"/>
  <c r="AK13" i="28"/>
  <c r="AK12" i="28"/>
  <c r="X12" i="28"/>
  <c r="T12" i="28"/>
  <c r="P12" i="28"/>
  <c r="L12" i="28"/>
  <c r="H12" i="28"/>
  <c r="D12" i="28"/>
  <c r="AK11" i="28"/>
  <c r="X11" i="28"/>
  <c r="T11" i="28"/>
  <c r="P11" i="28"/>
  <c r="L11" i="28"/>
  <c r="H11" i="28"/>
  <c r="D11" i="28"/>
  <c r="AK10" i="28"/>
  <c r="X10" i="28"/>
  <c r="T10" i="28"/>
  <c r="P10" i="28"/>
  <c r="L10" i="28"/>
  <c r="H10" i="28"/>
  <c r="D10" i="28"/>
  <c r="AK9" i="28"/>
  <c r="X9" i="28"/>
  <c r="T9" i="28"/>
  <c r="P9" i="28"/>
  <c r="L9" i="28"/>
  <c r="H9" i="28"/>
  <c r="D9" i="28"/>
  <c r="AK8" i="28"/>
  <c r="X8" i="28"/>
  <c r="T8" i="28"/>
  <c r="P8" i="28"/>
  <c r="L8" i="28"/>
  <c r="H8" i="28"/>
  <c r="D8" i="28"/>
  <c r="AK7" i="28"/>
  <c r="X7" i="28"/>
  <c r="T7" i="28"/>
  <c r="P7" i="28"/>
  <c r="L7" i="28"/>
  <c r="H7" i="28"/>
  <c r="D7" i="28"/>
  <c r="AK6" i="28"/>
  <c r="X6" i="28"/>
  <c r="T6" i="28"/>
  <c r="P6" i="28"/>
  <c r="L6" i="28"/>
  <c r="H6" i="28"/>
  <c r="D6" i="28"/>
  <c r="X5" i="28"/>
  <c r="T5" i="28"/>
  <c r="P5" i="28"/>
  <c r="L5" i="28"/>
  <c r="H5" i="28"/>
  <c r="D5" i="28"/>
  <c r="H13" i="28" l="1"/>
  <c r="H16" i="28" s="1"/>
  <c r="H28" i="28" s="1"/>
  <c r="H30" i="28" s="1"/>
  <c r="H38" i="28" s="1"/>
  <c r="Y9" i="28"/>
  <c r="Y11" i="28"/>
  <c r="L13" i="28"/>
  <c r="L16" i="28" s="1"/>
  <c r="L28" i="28" s="1"/>
  <c r="L30" i="28" s="1"/>
  <c r="L38" i="28" s="1"/>
  <c r="Y12" i="28"/>
  <c r="Y10" i="28"/>
  <c r="P13" i="28"/>
  <c r="P16" i="28" s="1"/>
  <c r="P28" i="28" s="1"/>
  <c r="P30" i="28" s="1"/>
  <c r="P38" i="28" s="1"/>
  <c r="Y8" i="28"/>
  <c r="Y7" i="28"/>
  <c r="Y6" i="28"/>
  <c r="AK14" i="28"/>
  <c r="Y37" i="28"/>
  <c r="T13" i="28"/>
  <c r="T16" i="28" s="1"/>
  <c r="T28" i="28" s="1"/>
  <c r="T30" i="28" s="1"/>
  <c r="T38" i="28" s="1"/>
  <c r="Y5" i="28"/>
  <c r="D13" i="28"/>
  <c r="D16" i="28" s="1"/>
  <c r="T37" i="27"/>
  <c r="P37" i="27"/>
  <c r="L37" i="27"/>
  <c r="H37" i="27"/>
  <c r="D37" i="27"/>
  <c r="Y36" i="27"/>
  <c r="Y35" i="27"/>
  <c r="Y34" i="27"/>
  <c r="AL31" i="27"/>
  <c r="AF31" i="27"/>
  <c r="AC8" i="27" s="1"/>
  <c r="Y27" i="27"/>
  <c r="Y26" i="27"/>
  <c r="Y25" i="27"/>
  <c r="Y24" i="27"/>
  <c r="Y23" i="27"/>
  <c r="Y22" i="27"/>
  <c r="Y21" i="27"/>
  <c r="Y20" i="27"/>
  <c r="Y19" i="27"/>
  <c r="Y18" i="27"/>
  <c r="Y17" i="27"/>
  <c r="Y15" i="27"/>
  <c r="AK13" i="27"/>
  <c r="AK12" i="27"/>
  <c r="X12" i="27"/>
  <c r="T12" i="27"/>
  <c r="P12" i="27"/>
  <c r="L12" i="27"/>
  <c r="H12" i="27"/>
  <c r="D12" i="27"/>
  <c r="AK11" i="27"/>
  <c r="X11" i="27"/>
  <c r="T11" i="27"/>
  <c r="P11" i="27"/>
  <c r="L11" i="27"/>
  <c r="H11" i="27"/>
  <c r="D11" i="27"/>
  <c r="AK10" i="27"/>
  <c r="X10" i="27"/>
  <c r="T10" i="27"/>
  <c r="P10" i="27"/>
  <c r="L10" i="27"/>
  <c r="H10" i="27"/>
  <c r="D10" i="27"/>
  <c r="AK9" i="27"/>
  <c r="X9" i="27"/>
  <c r="T9" i="27"/>
  <c r="P9" i="27"/>
  <c r="L9" i="27"/>
  <c r="H9" i="27"/>
  <c r="D9" i="27"/>
  <c r="AK8" i="27"/>
  <c r="X8" i="27"/>
  <c r="T8" i="27"/>
  <c r="P8" i="27"/>
  <c r="L8" i="27"/>
  <c r="H8" i="27"/>
  <c r="D8" i="27"/>
  <c r="AK7" i="27"/>
  <c r="X7" i="27"/>
  <c r="T7" i="27"/>
  <c r="P7" i="27"/>
  <c r="L7" i="27"/>
  <c r="H7" i="27"/>
  <c r="D7" i="27"/>
  <c r="AK6" i="27"/>
  <c r="X6" i="27"/>
  <c r="T6" i="27"/>
  <c r="P6" i="27"/>
  <c r="L6" i="27"/>
  <c r="H6" i="27"/>
  <c r="D6" i="27"/>
  <c r="X5" i="27"/>
  <c r="T5" i="27"/>
  <c r="P5" i="27"/>
  <c r="P13" i="27" s="1"/>
  <c r="P16" i="27" s="1"/>
  <c r="P28" i="27" s="1"/>
  <c r="P30" i="27" s="1"/>
  <c r="P38" i="27" s="1"/>
  <c r="L5" i="27"/>
  <c r="L13" i="27" s="1"/>
  <c r="L16" i="27" s="1"/>
  <c r="L28" i="27" s="1"/>
  <c r="L30" i="27" s="1"/>
  <c r="H5" i="27"/>
  <c r="D5" i="27"/>
  <c r="Y13" i="28" l="1"/>
  <c r="AC7" i="28" s="1"/>
  <c r="AC9" i="28" s="1"/>
  <c r="AC18" i="28" s="1"/>
  <c r="Y16" i="28"/>
  <c r="Y28" i="28" s="1"/>
  <c r="Y30" i="28" s="1"/>
  <c r="Y38" i="28" s="1"/>
  <c r="D28" i="28"/>
  <c r="D30" i="28" s="1"/>
  <c r="D38" i="28" s="1"/>
  <c r="AK14" i="27"/>
  <c r="AC17" i="27" s="1"/>
  <c r="Y6" i="27"/>
  <c r="D13" i="27"/>
  <c r="D16" i="27" s="1"/>
  <c r="D28" i="27" s="1"/>
  <c r="D30" i="27" s="1"/>
  <c r="D38" i="27" s="1"/>
  <c r="Y37" i="27"/>
  <c r="L38" i="27"/>
  <c r="Y9" i="27"/>
  <c r="Y11" i="27"/>
  <c r="Y10" i="27"/>
  <c r="T13" i="27"/>
  <c r="T16" i="27" s="1"/>
  <c r="T28" i="27" s="1"/>
  <c r="T30" i="27" s="1"/>
  <c r="T38" i="27" s="1"/>
  <c r="Y12" i="27"/>
  <c r="Y8" i="27"/>
  <c r="Y7" i="27"/>
  <c r="H13" i="27"/>
  <c r="H16" i="27" s="1"/>
  <c r="H28" i="27" s="1"/>
  <c r="H30" i="27" s="1"/>
  <c r="H38" i="27" s="1"/>
  <c r="Y5" i="27"/>
  <c r="AF47" i="26"/>
  <c r="Y13" i="27" l="1"/>
  <c r="AC7" i="27" s="1"/>
  <c r="AC9" i="27" s="1"/>
  <c r="AC18" i="27" s="1"/>
  <c r="Y16" i="27"/>
  <c r="Y28" i="27" s="1"/>
  <c r="Y30" i="27" s="1"/>
  <c r="Y38" i="27" s="1"/>
  <c r="AL44" i="26"/>
  <c r="T37" i="26" l="1"/>
  <c r="P37" i="26"/>
  <c r="L37" i="26"/>
  <c r="H37" i="26"/>
  <c r="D37" i="26"/>
  <c r="Y36" i="26"/>
  <c r="Y35" i="26"/>
  <c r="Y34" i="26"/>
  <c r="Y37" i="26" s="1"/>
  <c r="AF31" i="26"/>
  <c r="AC8" i="26" s="1"/>
  <c r="Y27" i="26"/>
  <c r="Y26" i="26"/>
  <c r="Y25" i="26"/>
  <c r="Y24" i="26"/>
  <c r="Y23" i="26"/>
  <c r="Y22" i="26"/>
  <c r="Y21" i="26"/>
  <c r="Y20" i="26"/>
  <c r="Y19" i="26"/>
  <c r="Y18" i="26"/>
  <c r="AC17" i="26"/>
  <c r="Y17" i="26"/>
  <c r="Y15" i="26"/>
  <c r="AK13" i="26"/>
  <c r="AK12" i="26"/>
  <c r="X12" i="26"/>
  <c r="T12" i="26"/>
  <c r="P12" i="26"/>
  <c r="L12" i="26"/>
  <c r="H12" i="26"/>
  <c r="D12" i="26"/>
  <c r="AK11" i="26"/>
  <c r="X11" i="26"/>
  <c r="T11" i="26"/>
  <c r="P11" i="26"/>
  <c r="L11" i="26"/>
  <c r="H11" i="26"/>
  <c r="D11" i="26"/>
  <c r="AK10" i="26"/>
  <c r="X10" i="26"/>
  <c r="T10" i="26"/>
  <c r="P10" i="26"/>
  <c r="L10" i="26"/>
  <c r="H10" i="26"/>
  <c r="D10" i="26"/>
  <c r="AK9" i="26"/>
  <c r="X9" i="26"/>
  <c r="T9" i="26"/>
  <c r="P9" i="26"/>
  <c r="L9" i="26"/>
  <c r="H9" i="26"/>
  <c r="D9" i="26"/>
  <c r="AK8" i="26"/>
  <c r="X8" i="26"/>
  <c r="T8" i="26"/>
  <c r="P8" i="26"/>
  <c r="L8" i="26"/>
  <c r="H8" i="26"/>
  <c r="D8" i="26"/>
  <c r="AK7" i="26"/>
  <c r="X7" i="26"/>
  <c r="T7" i="26"/>
  <c r="P7" i="26"/>
  <c r="L7" i="26"/>
  <c r="H7" i="26"/>
  <c r="D7" i="26"/>
  <c r="AK6" i="26"/>
  <c r="X6" i="26"/>
  <c r="T6" i="26"/>
  <c r="T13" i="26" s="1"/>
  <c r="T16" i="26" s="1"/>
  <c r="T28" i="26" s="1"/>
  <c r="T30" i="26" s="1"/>
  <c r="T38" i="26" s="1"/>
  <c r="P6" i="26"/>
  <c r="L6" i="26"/>
  <c r="H6" i="26"/>
  <c r="D6" i="26"/>
  <c r="X5" i="26"/>
  <c r="T5" i="26"/>
  <c r="P5" i="26"/>
  <c r="L5" i="26"/>
  <c r="H5" i="26"/>
  <c r="D5" i="26"/>
  <c r="Y5" i="26" l="1"/>
  <c r="AK14" i="26"/>
  <c r="Y12" i="26"/>
  <c r="D13" i="26"/>
  <c r="D16" i="26" s="1"/>
  <c r="D28" i="26" s="1"/>
  <c r="D30" i="26" s="1"/>
  <c r="D38" i="26" s="1"/>
  <c r="Y8" i="26"/>
  <c r="Y7" i="26"/>
  <c r="Y9" i="26"/>
  <c r="H13" i="26"/>
  <c r="H16" i="26" s="1"/>
  <c r="H28" i="26" s="1"/>
  <c r="H30" i="26" s="1"/>
  <c r="H38" i="26" s="1"/>
  <c r="Y11" i="26"/>
  <c r="P13" i="26"/>
  <c r="P16" i="26" s="1"/>
  <c r="P28" i="26" s="1"/>
  <c r="P30" i="26" s="1"/>
  <c r="P38" i="26" s="1"/>
  <c r="Y10" i="26"/>
  <c r="L13" i="26"/>
  <c r="L16" i="26" s="1"/>
  <c r="L28" i="26" s="1"/>
  <c r="L30" i="26" s="1"/>
  <c r="L38" i="26" s="1"/>
  <c r="Y6" i="26"/>
  <c r="AJ13" i="25"/>
  <c r="AJ12" i="25"/>
  <c r="AJ11" i="25"/>
  <c r="AJ10" i="25"/>
  <c r="AJ9" i="25"/>
  <c r="AJ8" i="25"/>
  <c r="AJ7" i="25"/>
  <c r="AJ6" i="25"/>
  <c r="AR13" i="25"/>
  <c r="AR12" i="25"/>
  <c r="AR11" i="25"/>
  <c r="AR10" i="25"/>
  <c r="AR9" i="25"/>
  <c r="AR8" i="25"/>
  <c r="AR7" i="25"/>
  <c r="AR6" i="25"/>
  <c r="AF31" i="25"/>
  <c r="Y13" i="26" l="1"/>
  <c r="AC7" i="26" s="1"/>
  <c r="AC9" i="26" s="1"/>
  <c r="AC18" i="26" s="1"/>
  <c r="Y16" i="26"/>
  <c r="Y28" i="26" s="1"/>
  <c r="Y30" i="26" s="1"/>
  <c r="Y38" i="26" s="1"/>
  <c r="AJ14" i="25"/>
  <c r="AR14" i="25"/>
  <c r="T37" i="25" l="1"/>
  <c r="P37" i="25"/>
  <c r="L37" i="25"/>
  <c r="H37" i="25"/>
  <c r="Y36" i="25"/>
  <c r="Y35" i="25"/>
  <c r="Y34" i="25"/>
  <c r="AL31" i="25"/>
  <c r="AC8" i="25"/>
  <c r="Y27" i="25"/>
  <c r="Y26" i="25"/>
  <c r="Y25" i="25"/>
  <c r="Y24" i="25"/>
  <c r="Y23" i="25"/>
  <c r="Y22" i="25"/>
  <c r="Y21" i="25"/>
  <c r="Y20" i="25"/>
  <c r="Y19" i="25"/>
  <c r="Y18" i="25"/>
  <c r="AC17" i="25"/>
  <c r="Y17" i="25"/>
  <c r="Y15" i="25"/>
  <c r="AN13" i="25"/>
  <c r="AN12" i="25"/>
  <c r="X12" i="25"/>
  <c r="T12" i="25"/>
  <c r="P12" i="25"/>
  <c r="L12" i="25"/>
  <c r="Y12" i="25" s="1"/>
  <c r="H12" i="25"/>
  <c r="D12" i="25"/>
  <c r="AN11" i="25"/>
  <c r="X11" i="25"/>
  <c r="T11" i="25"/>
  <c r="P11" i="25"/>
  <c r="L11" i="25"/>
  <c r="H11" i="25"/>
  <c r="D11" i="25"/>
  <c r="AN10" i="25"/>
  <c r="X10" i="25"/>
  <c r="T10" i="25"/>
  <c r="P10" i="25"/>
  <c r="L10" i="25"/>
  <c r="H10" i="25"/>
  <c r="D10" i="25"/>
  <c r="AN9" i="25"/>
  <c r="X9" i="25"/>
  <c r="T9" i="25"/>
  <c r="P9" i="25"/>
  <c r="L9" i="25"/>
  <c r="H9" i="25"/>
  <c r="D9" i="25"/>
  <c r="AN8" i="25"/>
  <c r="X8" i="25"/>
  <c r="T8" i="25"/>
  <c r="P8" i="25"/>
  <c r="L8" i="25"/>
  <c r="H8" i="25"/>
  <c r="D8" i="25"/>
  <c r="AN7" i="25"/>
  <c r="X7" i="25"/>
  <c r="T7" i="25"/>
  <c r="P7" i="25"/>
  <c r="L7" i="25"/>
  <c r="H7" i="25"/>
  <c r="D7" i="25"/>
  <c r="AN6" i="25"/>
  <c r="X6" i="25"/>
  <c r="T6" i="25"/>
  <c r="P6" i="25"/>
  <c r="L6" i="25"/>
  <c r="H6" i="25"/>
  <c r="D6" i="25"/>
  <c r="X5" i="25"/>
  <c r="T5" i="25"/>
  <c r="P5" i="25"/>
  <c r="L5" i="25"/>
  <c r="H5" i="25"/>
  <c r="D5" i="25"/>
  <c r="P13" i="25" l="1"/>
  <c r="P16" i="25" s="1"/>
  <c r="P28" i="25" s="1"/>
  <c r="P30" i="25" s="1"/>
  <c r="P38" i="25" s="1"/>
  <c r="Y37" i="25"/>
  <c r="Y6" i="25"/>
  <c r="Y7" i="25"/>
  <c r="Y8" i="25"/>
  <c r="L13" i="25"/>
  <c r="L16" i="25" s="1"/>
  <c r="L28" i="25" s="1"/>
  <c r="L30" i="25" s="1"/>
  <c r="L38" i="25" s="1"/>
  <c r="H13" i="25"/>
  <c r="H16" i="25" s="1"/>
  <c r="H28" i="25" s="1"/>
  <c r="H30" i="25" s="1"/>
  <c r="H38" i="25" s="1"/>
  <c r="Y9" i="25"/>
  <c r="Y11" i="25"/>
  <c r="D13" i="25"/>
  <c r="D16" i="25" s="1"/>
  <c r="D28" i="25" s="1"/>
  <c r="D30" i="25" s="1"/>
  <c r="D38" i="25" s="1"/>
  <c r="T13" i="25"/>
  <c r="T16" i="25" s="1"/>
  <c r="T28" i="25" s="1"/>
  <c r="T30" i="25" s="1"/>
  <c r="T38" i="25" s="1"/>
  <c r="AN14" i="25"/>
  <c r="Y10" i="25"/>
  <c r="Y5" i="25"/>
  <c r="Y13" i="25" l="1"/>
  <c r="AC7" i="25" s="1"/>
  <c r="AC9" i="25" s="1"/>
  <c r="AC18" i="25" s="1"/>
  <c r="Y16" i="25"/>
  <c r="Y28" i="25" s="1"/>
  <c r="Y30" i="25" s="1"/>
  <c r="Y38" i="25" s="1"/>
  <c r="AJ10" i="22" l="1"/>
  <c r="AJ11" i="22"/>
  <c r="T37" i="24" l="1"/>
  <c r="P37" i="24"/>
  <c r="L37" i="24"/>
  <c r="H37" i="24"/>
  <c r="D37" i="24"/>
  <c r="Y36" i="24"/>
  <c r="Y35" i="24"/>
  <c r="Y34" i="24"/>
  <c r="AL31" i="24"/>
  <c r="AF31" i="24"/>
  <c r="AC8" i="24" s="1"/>
  <c r="Y27" i="24"/>
  <c r="Y26" i="24"/>
  <c r="Y25" i="24"/>
  <c r="Y24" i="24"/>
  <c r="Y23" i="24"/>
  <c r="Y22" i="24"/>
  <c r="Y21" i="24"/>
  <c r="Y20" i="24"/>
  <c r="Y19" i="24"/>
  <c r="Y18" i="24"/>
  <c r="AC17" i="24"/>
  <c r="Y17" i="24"/>
  <c r="Y15" i="24"/>
  <c r="AK13" i="24"/>
  <c r="AK12" i="24"/>
  <c r="X12" i="24"/>
  <c r="T12" i="24"/>
  <c r="P12" i="24"/>
  <c r="L12" i="24"/>
  <c r="H12" i="24"/>
  <c r="D12" i="24"/>
  <c r="AK11" i="24"/>
  <c r="X11" i="24"/>
  <c r="T11" i="24"/>
  <c r="P11" i="24"/>
  <c r="L11" i="24"/>
  <c r="H11" i="24"/>
  <c r="D11" i="24"/>
  <c r="AK10" i="24"/>
  <c r="X10" i="24"/>
  <c r="T10" i="24"/>
  <c r="P10" i="24"/>
  <c r="L10" i="24"/>
  <c r="H10" i="24"/>
  <c r="D10" i="24"/>
  <c r="Y10" i="24" s="1"/>
  <c r="AK9" i="24"/>
  <c r="X9" i="24"/>
  <c r="T9" i="24"/>
  <c r="P9" i="24"/>
  <c r="L9" i="24"/>
  <c r="H9" i="24"/>
  <c r="D9" i="24"/>
  <c r="AK8" i="24"/>
  <c r="X8" i="24"/>
  <c r="T8" i="24"/>
  <c r="P8" i="24"/>
  <c r="L8" i="24"/>
  <c r="H8" i="24"/>
  <c r="D8" i="24"/>
  <c r="AK7" i="24"/>
  <c r="X7" i="24"/>
  <c r="T7" i="24"/>
  <c r="P7" i="24"/>
  <c r="L7" i="24"/>
  <c r="H7" i="24"/>
  <c r="D7" i="24"/>
  <c r="AK6" i="24"/>
  <c r="X6" i="24"/>
  <c r="T6" i="24"/>
  <c r="P6" i="24"/>
  <c r="L6" i="24"/>
  <c r="H6" i="24"/>
  <c r="D6" i="24"/>
  <c r="X5" i="24"/>
  <c r="T5" i="24"/>
  <c r="P5" i="24"/>
  <c r="L5" i="24"/>
  <c r="H5" i="24"/>
  <c r="D5" i="24"/>
  <c r="AK14" i="24" l="1"/>
  <c r="P13" i="24"/>
  <c r="P16" i="24" s="1"/>
  <c r="P28" i="24" s="1"/>
  <c r="P30" i="24" s="1"/>
  <c r="P38" i="24" s="1"/>
  <c r="Y37" i="24"/>
  <c r="L13" i="24"/>
  <c r="L16" i="24" s="1"/>
  <c r="L28" i="24" s="1"/>
  <c r="L30" i="24" s="1"/>
  <c r="L38" i="24" s="1"/>
  <c r="Y7" i="24"/>
  <c r="Y12" i="24"/>
  <c r="Y11" i="24"/>
  <c r="Y8" i="24"/>
  <c r="H13" i="24"/>
  <c r="H16" i="24" s="1"/>
  <c r="H28" i="24" s="1"/>
  <c r="H30" i="24" s="1"/>
  <c r="H38" i="24" s="1"/>
  <c r="T13" i="24"/>
  <c r="T16" i="24" s="1"/>
  <c r="T28" i="24" s="1"/>
  <c r="T30" i="24" s="1"/>
  <c r="T38" i="24" s="1"/>
  <c r="Y6" i="24"/>
  <c r="Y5" i="24"/>
  <c r="D13" i="24"/>
  <c r="D16" i="24" s="1"/>
  <c r="Y9" i="24"/>
  <c r="Y13" i="24" l="1"/>
  <c r="AC7" i="24" s="1"/>
  <c r="AC9" i="24" s="1"/>
  <c r="AC18" i="24" s="1"/>
  <c r="Y16" i="24"/>
  <c r="Y28" i="24" s="1"/>
  <c r="Y30" i="24" s="1"/>
  <c r="Y38" i="24" s="1"/>
  <c r="D28" i="24"/>
  <c r="D30" i="24" s="1"/>
  <c r="D38" i="24" s="1"/>
  <c r="T37" i="22" l="1"/>
  <c r="T37" i="23" l="1"/>
  <c r="P37" i="23"/>
  <c r="L37" i="23"/>
  <c r="H37" i="23"/>
  <c r="D37" i="23"/>
  <c r="Y36" i="23"/>
  <c r="Y35" i="23"/>
  <c r="Y34" i="23"/>
  <c r="Y37" i="23" s="1"/>
  <c r="AL31" i="23"/>
  <c r="AF31" i="23"/>
  <c r="AC8" i="23" s="1"/>
  <c r="Y27" i="23"/>
  <c r="Y26" i="23"/>
  <c r="Y25" i="23"/>
  <c r="Y24" i="23"/>
  <c r="Y23" i="23"/>
  <c r="Y22" i="23"/>
  <c r="Y21" i="23"/>
  <c r="Y20" i="23"/>
  <c r="Y19" i="23"/>
  <c r="Y18" i="23"/>
  <c r="Y17" i="23"/>
  <c r="Y15" i="23"/>
  <c r="AK13" i="23"/>
  <c r="AK12" i="23"/>
  <c r="X12" i="23"/>
  <c r="T12" i="23"/>
  <c r="P12" i="23"/>
  <c r="L12" i="23"/>
  <c r="H12" i="23"/>
  <c r="D12" i="23"/>
  <c r="AK11" i="23"/>
  <c r="X11" i="23"/>
  <c r="T11" i="23"/>
  <c r="P11" i="23"/>
  <c r="L11" i="23"/>
  <c r="H11" i="23"/>
  <c r="D11" i="23"/>
  <c r="AK10" i="23"/>
  <c r="X10" i="23"/>
  <c r="T10" i="23"/>
  <c r="P10" i="23"/>
  <c r="L10" i="23"/>
  <c r="H10" i="23"/>
  <c r="D10" i="23"/>
  <c r="AK9" i="23"/>
  <c r="X9" i="23"/>
  <c r="T9" i="23"/>
  <c r="P9" i="23"/>
  <c r="L9" i="23"/>
  <c r="H9" i="23"/>
  <c r="D9" i="23"/>
  <c r="AK8" i="23"/>
  <c r="X8" i="23"/>
  <c r="T8" i="23"/>
  <c r="P8" i="23"/>
  <c r="L8" i="23"/>
  <c r="H8" i="23"/>
  <c r="D8" i="23"/>
  <c r="AK7" i="23"/>
  <c r="X7" i="23"/>
  <c r="T7" i="23"/>
  <c r="P7" i="23"/>
  <c r="L7" i="23"/>
  <c r="H7" i="23"/>
  <c r="D7" i="23"/>
  <c r="AK6" i="23"/>
  <c r="X6" i="23"/>
  <c r="T6" i="23"/>
  <c r="P6" i="23"/>
  <c r="L6" i="23"/>
  <c r="H6" i="23"/>
  <c r="D6" i="23"/>
  <c r="X5" i="23"/>
  <c r="T5" i="23"/>
  <c r="P5" i="23"/>
  <c r="L5" i="23"/>
  <c r="H5" i="23"/>
  <c r="D5" i="23"/>
  <c r="P13" i="23" l="1"/>
  <c r="P16" i="23" s="1"/>
  <c r="P28" i="23" s="1"/>
  <c r="P30" i="23" s="1"/>
  <c r="P38" i="23" s="1"/>
  <c r="T13" i="23"/>
  <c r="T16" i="23" s="1"/>
  <c r="T28" i="23" s="1"/>
  <c r="T30" i="23" s="1"/>
  <c r="T38" i="23" s="1"/>
  <c r="Y8" i="23"/>
  <c r="Y12" i="23"/>
  <c r="Y10" i="23"/>
  <c r="L13" i="23"/>
  <c r="L16" i="23" s="1"/>
  <c r="L28" i="23" s="1"/>
  <c r="L30" i="23" s="1"/>
  <c r="L38" i="23" s="1"/>
  <c r="Y9" i="23"/>
  <c r="Y11" i="23"/>
  <c r="Y7" i="23"/>
  <c r="Y6" i="23"/>
  <c r="H13" i="23"/>
  <c r="H16" i="23" s="1"/>
  <c r="H28" i="23" s="1"/>
  <c r="H30" i="23" s="1"/>
  <c r="H38" i="23" s="1"/>
  <c r="AK14" i="23"/>
  <c r="AC17" i="23" s="1"/>
  <c r="Y5" i="23"/>
  <c r="D13" i="23"/>
  <c r="D16" i="23" s="1"/>
  <c r="AL36" i="22"/>
  <c r="Y13" i="23" l="1"/>
  <c r="AC7" i="23" s="1"/>
  <c r="AC9" i="23" s="1"/>
  <c r="AC18" i="23" s="1"/>
  <c r="Y16" i="23"/>
  <c r="Y28" i="23" s="1"/>
  <c r="Y30" i="23" s="1"/>
  <c r="Y38" i="23" s="1"/>
  <c r="D28" i="23"/>
  <c r="D30" i="23" s="1"/>
  <c r="D38" i="23" s="1"/>
  <c r="P37" i="22"/>
  <c r="L37" i="22"/>
  <c r="H37" i="22"/>
  <c r="D37" i="22"/>
  <c r="Y36" i="22"/>
  <c r="Y35" i="22"/>
  <c r="Y34" i="22"/>
  <c r="AF31" i="22"/>
  <c r="Y27" i="22"/>
  <c r="Y26" i="22"/>
  <c r="Y25" i="22"/>
  <c r="Y24" i="22"/>
  <c r="Y23" i="22"/>
  <c r="Y22" i="22"/>
  <c r="Y21" i="22"/>
  <c r="Y20" i="22"/>
  <c r="Y19" i="22"/>
  <c r="Y18" i="22"/>
  <c r="Y17" i="22"/>
  <c r="Y15" i="22"/>
  <c r="AK13" i="22"/>
  <c r="AK12" i="22"/>
  <c r="X12" i="22"/>
  <c r="T12" i="22"/>
  <c r="P12" i="22"/>
  <c r="L12" i="22"/>
  <c r="H12" i="22"/>
  <c r="D12" i="22"/>
  <c r="AK11" i="22"/>
  <c r="X11" i="22"/>
  <c r="T11" i="22"/>
  <c r="P11" i="22"/>
  <c r="L11" i="22"/>
  <c r="H11" i="22"/>
  <c r="Y11" i="22" s="1"/>
  <c r="D11" i="22"/>
  <c r="AK10" i="22"/>
  <c r="X10" i="22"/>
  <c r="T10" i="22"/>
  <c r="P10" i="22"/>
  <c r="L10" i="22"/>
  <c r="H10" i="22"/>
  <c r="D10" i="22"/>
  <c r="AK9" i="22"/>
  <c r="X9" i="22"/>
  <c r="T9" i="22"/>
  <c r="P9" i="22"/>
  <c r="L9" i="22"/>
  <c r="H9" i="22"/>
  <c r="D9" i="22"/>
  <c r="AK8" i="22"/>
  <c r="AC8" i="22"/>
  <c r="X8" i="22"/>
  <c r="T8" i="22"/>
  <c r="P8" i="22"/>
  <c r="L8" i="22"/>
  <c r="H8" i="22"/>
  <c r="D8" i="22"/>
  <c r="AK7" i="22"/>
  <c r="X7" i="22"/>
  <c r="T7" i="22"/>
  <c r="P7" i="22"/>
  <c r="L7" i="22"/>
  <c r="H7" i="22"/>
  <c r="D7" i="22"/>
  <c r="AK6" i="22"/>
  <c r="X6" i="22"/>
  <c r="T6" i="22"/>
  <c r="P6" i="22"/>
  <c r="L6" i="22"/>
  <c r="H6" i="22"/>
  <c r="D6" i="22"/>
  <c r="X5" i="22"/>
  <c r="T5" i="22"/>
  <c r="P5" i="22"/>
  <c r="P13" i="22" s="1"/>
  <c r="P16" i="22" s="1"/>
  <c r="P28" i="22" s="1"/>
  <c r="P30" i="22" s="1"/>
  <c r="P38" i="22" s="1"/>
  <c r="L5" i="22"/>
  <c r="H5" i="22"/>
  <c r="D5" i="22"/>
  <c r="T13" i="22" l="1"/>
  <c r="T16" i="22" s="1"/>
  <c r="T28" i="22" s="1"/>
  <c r="T30" i="22" s="1"/>
  <c r="T38" i="22" s="1"/>
  <c r="Y8" i="22"/>
  <c r="Y37" i="22"/>
  <c r="H13" i="22"/>
  <c r="H16" i="22" s="1"/>
  <c r="H28" i="22" s="1"/>
  <c r="H30" i="22" s="1"/>
  <c r="H38" i="22" s="1"/>
  <c r="AK14" i="22"/>
  <c r="Y7" i="22"/>
  <c r="Y6" i="22"/>
  <c r="L13" i="22"/>
  <c r="L16" i="22" s="1"/>
  <c r="L28" i="22" s="1"/>
  <c r="L30" i="22" s="1"/>
  <c r="L38" i="22" s="1"/>
  <c r="Y12" i="22"/>
  <c r="D13" i="22"/>
  <c r="D16" i="22" s="1"/>
  <c r="D28" i="22" s="1"/>
  <c r="D30" i="22" s="1"/>
  <c r="D38" i="22" s="1"/>
  <c r="Y9" i="22"/>
  <c r="Y10" i="22"/>
  <c r="Y5" i="22"/>
  <c r="AC16" i="21"/>
  <c r="AL41" i="21"/>
  <c r="AC17" i="22" l="1"/>
  <c r="Y16" i="22"/>
  <c r="Y28" i="22" s="1"/>
  <c r="Y30" i="22" s="1"/>
  <c r="Y38" i="22" s="1"/>
  <c r="Y13" i="22"/>
  <c r="AC7" i="22" s="1"/>
  <c r="AC9" i="22" s="1"/>
  <c r="T37" i="21"/>
  <c r="P37" i="21"/>
  <c r="L37" i="21"/>
  <c r="H37" i="21"/>
  <c r="D37" i="21"/>
  <c r="Y36" i="21"/>
  <c r="Y35" i="21"/>
  <c r="Y34" i="21"/>
  <c r="Y37" i="21" s="1"/>
  <c r="AF31" i="21"/>
  <c r="AC8" i="21" s="1"/>
  <c r="Y27" i="21"/>
  <c r="Y26" i="21"/>
  <c r="Y25" i="21"/>
  <c r="Y24" i="21"/>
  <c r="Y23" i="21"/>
  <c r="Y22" i="21"/>
  <c r="Y21" i="21"/>
  <c r="Y20" i="21"/>
  <c r="Y19" i="21"/>
  <c r="Y18" i="21"/>
  <c r="AC17" i="21"/>
  <c r="Y17" i="21"/>
  <c r="Y15" i="21"/>
  <c r="AK13" i="21"/>
  <c r="AK12" i="21"/>
  <c r="X12" i="21"/>
  <c r="T12" i="21"/>
  <c r="P12" i="21"/>
  <c r="L12" i="21"/>
  <c r="H12" i="21"/>
  <c r="D12" i="21"/>
  <c r="AK11" i="21"/>
  <c r="X11" i="21"/>
  <c r="T11" i="21"/>
  <c r="P11" i="21"/>
  <c r="L11" i="21"/>
  <c r="H11" i="21"/>
  <c r="D11" i="21"/>
  <c r="AK10" i="21"/>
  <c r="X10" i="21"/>
  <c r="T10" i="21"/>
  <c r="P10" i="21"/>
  <c r="L10" i="21"/>
  <c r="H10" i="21"/>
  <c r="D10" i="21"/>
  <c r="AK9" i="21"/>
  <c r="X9" i="21"/>
  <c r="T9" i="21"/>
  <c r="T13" i="21" s="1"/>
  <c r="T16" i="21" s="1"/>
  <c r="T28" i="21" s="1"/>
  <c r="T30" i="21" s="1"/>
  <c r="T38" i="21" s="1"/>
  <c r="P9" i="21"/>
  <c r="L9" i="21"/>
  <c r="H9" i="21"/>
  <c r="D9" i="21"/>
  <c r="AK8" i="21"/>
  <c r="X8" i="21"/>
  <c r="T8" i="21"/>
  <c r="P8" i="21"/>
  <c r="L8" i="21"/>
  <c r="H8" i="21"/>
  <c r="D8" i="21"/>
  <c r="AK7" i="21"/>
  <c r="X7" i="21"/>
  <c r="T7" i="21"/>
  <c r="P7" i="21"/>
  <c r="L7" i="21"/>
  <c r="H7" i="21"/>
  <c r="D7" i="21"/>
  <c r="AK6" i="21"/>
  <c r="X6" i="21"/>
  <c r="T6" i="21"/>
  <c r="P6" i="21"/>
  <c r="L6" i="21"/>
  <c r="H6" i="21"/>
  <c r="D6" i="21"/>
  <c r="X5" i="21"/>
  <c r="T5" i="21"/>
  <c r="P5" i="21"/>
  <c r="L5" i="21"/>
  <c r="H5" i="21"/>
  <c r="D5" i="21"/>
  <c r="AC18" i="22" l="1"/>
  <c r="AK14" i="21"/>
  <c r="Y10" i="21"/>
  <c r="L13" i="21"/>
  <c r="L16" i="21" s="1"/>
  <c r="L28" i="21" s="1"/>
  <c r="L30" i="21" s="1"/>
  <c r="L38" i="21" s="1"/>
  <c r="Y7" i="21"/>
  <c r="H13" i="21"/>
  <c r="H16" i="21" s="1"/>
  <c r="H28" i="21" s="1"/>
  <c r="H30" i="21" s="1"/>
  <c r="H38" i="21" s="1"/>
  <c r="Y12" i="21"/>
  <c r="Y11" i="21"/>
  <c r="Y8" i="21"/>
  <c r="P13" i="21"/>
  <c r="P16" i="21" s="1"/>
  <c r="P28" i="21" s="1"/>
  <c r="P30" i="21" s="1"/>
  <c r="P38" i="21" s="1"/>
  <c r="D13" i="21"/>
  <c r="D16" i="21" s="1"/>
  <c r="Y6" i="21"/>
  <c r="Y5" i="21"/>
  <c r="Y9" i="21"/>
  <c r="Y18" i="20"/>
  <c r="Y16" i="21" l="1"/>
  <c r="Y28" i="21" s="1"/>
  <c r="Y30" i="21" s="1"/>
  <c r="Y38" i="21" s="1"/>
  <c r="D28" i="21"/>
  <c r="D30" i="21" s="1"/>
  <c r="D38" i="21" s="1"/>
  <c r="Y13" i="21"/>
  <c r="AC7" i="21" s="1"/>
  <c r="AC9" i="21" s="1"/>
  <c r="AC18" i="21" s="1"/>
  <c r="AL31" i="16"/>
  <c r="AF31" i="16"/>
  <c r="P28" i="20"/>
  <c r="AL42" i="20"/>
  <c r="T37" i="20" l="1"/>
  <c r="P37" i="20"/>
  <c r="L37" i="20"/>
  <c r="H37" i="20"/>
  <c r="D37" i="20"/>
  <c r="Y36" i="20"/>
  <c r="Y35" i="20"/>
  <c r="Y34" i="20"/>
  <c r="AF29" i="20"/>
  <c r="AC8" i="20" s="1"/>
  <c r="T28" i="20"/>
  <c r="T30" i="20" s="1"/>
  <c r="T38" i="20" s="1"/>
  <c r="L28" i="20"/>
  <c r="L30" i="20" s="1"/>
  <c r="D28" i="20"/>
  <c r="D30" i="20" s="1"/>
  <c r="Y27" i="20"/>
  <c r="Y26" i="20"/>
  <c r="Y25" i="20"/>
  <c r="Y24" i="20"/>
  <c r="Y23" i="20"/>
  <c r="Y22" i="20"/>
  <c r="Y21" i="20"/>
  <c r="Y20" i="20"/>
  <c r="Y19" i="20"/>
  <c r="AC17" i="20"/>
  <c r="Y17" i="20"/>
  <c r="AL13" i="20"/>
  <c r="AL12" i="20"/>
  <c r="Y15" i="20"/>
  <c r="AL11" i="20"/>
  <c r="AL10" i="20"/>
  <c r="AL9" i="20"/>
  <c r="X12" i="20"/>
  <c r="T12" i="20"/>
  <c r="P12" i="20"/>
  <c r="L12" i="20"/>
  <c r="H12" i="20"/>
  <c r="D12" i="20"/>
  <c r="AL8" i="20"/>
  <c r="X11" i="20"/>
  <c r="T11" i="20"/>
  <c r="P11" i="20"/>
  <c r="L11" i="20"/>
  <c r="H11" i="20"/>
  <c r="D11" i="20"/>
  <c r="AL7" i="20"/>
  <c r="X10" i="20"/>
  <c r="T10" i="20"/>
  <c r="P10" i="20"/>
  <c r="L10" i="20"/>
  <c r="H10" i="20"/>
  <c r="D10" i="20"/>
  <c r="AL6" i="20"/>
  <c r="X9" i="20"/>
  <c r="T9" i="20"/>
  <c r="P9" i="20"/>
  <c r="L9" i="20"/>
  <c r="H9" i="20"/>
  <c r="D9" i="20"/>
  <c r="X8" i="20"/>
  <c r="T8" i="20"/>
  <c r="P8" i="20"/>
  <c r="L8" i="20"/>
  <c r="H8" i="20"/>
  <c r="D8" i="20"/>
  <c r="X7" i="20"/>
  <c r="T7" i="20"/>
  <c r="P7" i="20"/>
  <c r="L7" i="20"/>
  <c r="H7" i="20"/>
  <c r="D7" i="20"/>
  <c r="X6" i="20"/>
  <c r="T6" i="20"/>
  <c r="T13" i="20" s="1"/>
  <c r="P6" i="20"/>
  <c r="L6" i="20"/>
  <c r="H6" i="20"/>
  <c r="D6" i="20"/>
  <c r="X5" i="20"/>
  <c r="T5" i="20"/>
  <c r="P5" i="20"/>
  <c r="L5" i="20"/>
  <c r="H5" i="20"/>
  <c r="D5" i="20"/>
  <c r="Y5" i="20" s="1"/>
  <c r="D38" i="20" l="1"/>
  <c r="Y37" i="20"/>
  <c r="AL14" i="20"/>
  <c r="Y6" i="20"/>
  <c r="Y8" i="20"/>
  <c r="P13" i="20"/>
  <c r="P30" i="20" s="1"/>
  <c r="P38" i="20" s="1"/>
  <c r="Y12" i="20"/>
  <c r="Y11" i="20"/>
  <c r="H13" i="20"/>
  <c r="H16" i="20" s="1"/>
  <c r="Y9" i="20"/>
  <c r="Y7" i="20"/>
  <c r="L38" i="20"/>
  <c r="Y10" i="20"/>
  <c r="L13" i="20"/>
  <c r="H28" i="20"/>
  <c r="H30" i="20" s="1"/>
  <c r="H38" i="20" s="1"/>
  <c r="D13" i="20"/>
  <c r="AM41" i="19"/>
  <c r="T37" i="19"/>
  <c r="P37" i="19"/>
  <c r="L37" i="19"/>
  <c r="H37" i="19"/>
  <c r="D37" i="19"/>
  <c r="Y36" i="19"/>
  <c r="Y35" i="19"/>
  <c r="Y34" i="19"/>
  <c r="AF29" i="19"/>
  <c r="AF8" i="19" s="1"/>
  <c r="T28" i="19"/>
  <c r="T30" i="19" s="1"/>
  <c r="T38" i="19" s="1"/>
  <c r="L28" i="19"/>
  <c r="L30" i="19" s="1"/>
  <c r="D28" i="19"/>
  <c r="D30" i="19" s="1"/>
  <c r="Y27" i="19"/>
  <c r="Y26" i="19"/>
  <c r="Y25" i="19"/>
  <c r="Y24" i="19"/>
  <c r="Y23" i="19"/>
  <c r="Y22" i="19"/>
  <c r="Y21" i="19"/>
  <c r="Y20" i="19"/>
  <c r="Y19" i="19"/>
  <c r="Y18" i="19"/>
  <c r="AF17" i="19"/>
  <c r="Y17" i="19"/>
  <c r="AM16" i="19"/>
  <c r="AM15" i="19"/>
  <c r="Y15" i="19"/>
  <c r="AM14" i="19"/>
  <c r="AM13" i="19"/>
  <c r="AM12" i="19"/>
  <c r="X12" i="19"/>
  <c r="T12" i="19"/>
  <c r="P12" i="19"/>
  <c r="L12" i="19"/>
  <c r="H12" i="19"/>
  <c r="D12" i="19"/>
  <c r="AM11" i="19"/>
  <c r="X11" i="19"/>
  <c r="T11" i="19"/>
  <c r="P11" i="19"/>
  <c r="L11" i="19"/>
  <c r="H11" i="19"/>
  <c r="Y11" i="19" s="1"/>
  <c r="D11" i="19"/>
  <c r="AM10" i="19"/>
  <c r="X10" i="19"/>
  <c r="T10" i="19"/>
  <c r="P10" i="19"/>
  <c r="L10" i="19"/>
  <c r="H10" i="19"/>
  <c r="D10" i="19"/>
  <c r="AM9" i="19"/>
  <c r="X9" i="19"/>
  <c r="T9" i="19"/>
  <c r="P9" i="19"/>
  <c r="L9" i="19"/>
  <c r="H9" i="19"/>
  <c r="D9" i="19"/>
  <c r="X8" i="19"/>
  <c r="T8" i="19"/>
  <c r="P8" i="19"/>
  <c r="L8" i="19"/>
  <c r="Y8" i="19" s="1"/>
  <c r="H8" i="19"/>
  <c r="D8" i="19"/>
  <c r="X7" i="19"/>
  <c r="T7" i="19"/>
  <c r="P7" i="19"/>
  <c r="L7" i="19"/>
  <c r="H7" i="19"/>
  <c r="D7" i="19"/>
  <c r="X6" i="19"/>
  <c r="T6" i="19"/>
  <c r="P6" i="19"/>
  <c r="L6" i="19"/>
  <c r="H6" i="19"/>
  <c r="Y6" i="19" s="1"/>
  <c r="D6" i="19"/>
  <c r="X5" i="19"/>
  <c r="T5" i="19"/>
  <c r="T13" i="19" s="1"/>
  <c r="P5" i="19"/>
  <c r="L5" i="19"/>
  <c r="H5" i="19"/>
  <c r="D5" i="19"/>
  <c r="D38" i="19" l="1"/>
  <c r="Y16" i="20"/>
  <c r="Y28" i="20" s="1"/>
  <c r="Y30" i="20" s="1"/>
  <c r="Y38" i="20" s="1"/>
  <c r="Y13" i="20"/>
  <c r="AC7" i="20" s="1"/>
  <c r="AC9" i="20" s="1"/>
  <c r="AC18" i="20" s="1"/>
  <c r="AM17" i="19"/>
  <c r="L38" i="19"/>
  <c r="Y37" i="19"/>
  <c r="L13" i="19"/>
  <c r="D13" i="19"/>
  <c r="Y10" i="19"/>
  <c r="Y7" i="19"/>
  <c r="Y12" i="19"/>
  <c r="Y9" i="19"/>
  <c r="P13" i="19"/>
  <c r="P16" i="19" s="1"/>
  <c r="P28" i="19" s="1"/>
  <c r="P30" i="19" s="1"/>
  <c r="P38" i="19" s="1"/>
  <c r="H13" i="19"/>
  <c r="H16" i="19" s="1"/>
  <c r="Y5" i="19"/>
  <c r="AF32" i="18"/>
  <c r="Y13" i="19" l="1"/>
  <c r="AF7" i="19" s="1"/>
  <c r="AF9" i="19" s="1"/>
  <c r="AF18" i="19" s="1"/>
  <c r="Y16" i="19"/>
  <c r="Y28" i="19" s="1"/>
  <c r="Y30" i="19" s="1"/>
  <c r="Y38" i="19" s="1"/>
  <c r="H28" i="19"/>
  <c r="H30" i="19" s="1"/>
  <c r="H38" i="19" s="1"/>
  <c r="AF7" i="18"/>
  <c r="AM41" i="18" l="1"/>
  <c r="T37" i="18"/>
  <c r="P37" i="18"/>
  <c r="L37" i="18"/>
  <c r="H37" i="18"/>
  <c r="D37" i="18"/>
  <c r="Y36" i="18"/>
  <c r="Y35" i="18"/>
  <c r="Y34" i="18"/>
  <c r="AF8" i="18"/>
  <c r="AF9" i="18" s="1"/>
  <c r="T28" i="18"/>
  <c r="T30" i="18" s="1"/>
  <c r="L28" i="18"/>
  <c r="L30" i="18" s="1"/>
  <c r="D28" i="18"/>
  <c r="D30" i="18" s="1"/>
  <c r="D38" i="18" s="1"/>
  <c r="Y27" i="18"/>
  <c r="Y26" i="18"/>
  <c r="Y25" i="18"/>
  <c r="Y24" i="18"/>
  <c r="Y23" i="18"/>
  <c r="Y22" i="18"/>
  <c r="Y21" i="18"/>
  <c r="Y20" i="18"/>
  <c r="Y19" i="18"/>
  <c r="Y18" i="18"/>
  <c r="AF17" i="18"/>
  <c r="Y17" i="18"/>
  <c r="AM16" i="18"/>
  <c r="AM15" i="18"/>
  <c r="Y15" i="18"/>
  <c r="AM14" i="18"/>
  <c r="AM13" i="18"/>
  <c r="AM12" i="18"/>
  <c r="X12" i="18"/>
  <c r="T12" i="18"/>
  <c r="P12" i="18"/>
  <c r="L12" i="18"/>
  <c r="H12" i="18"/>
  <c r="D12" i="18"/>
  <c r="Y12" i="18" s="1"/>
  <c r="AM11" i="18"/>
  <c r="X11" i="18"/>
  <c r="T11" i="18"/>
  <c r="P11" i="18"/>
  <c r="L11" i="18"/>
  <c r="H11" i="18"/>
  <c r="D11" i="18"/>
  <c r="AM10" i="18"/>
  <c r="X10" i="18"/>
  <c r="T10" i="18"/>
  <c r="P10" i="18"/>
  <c r="L10" i="18"/>
  <c r="H10" i="18"/>
  <c r="D10" i="18"/>
  <c r="AM9" i="18"/>
  <c r="X9" i="18"/>
  <c r="T9" i="18"/>
  <c r="P9" i="18"/>
  <c r="L9" i="18"/>
  <c r="H9" i="18"/>
  <c r="D9" i="18"/>
  <c r="X8" i="18"/>
  <c r="T8" i="18"/>
  <c r="P8" i="18"/>
  <c r="L8" i="18"/>
  <c r="H8" i="18"/>
  <c r="D8" i="18"/>
  <c r="X7" i="18"/>
  <c r="T7" i="18"/>
  <c r="T13" i="18" s="1"/>
  <c r="P7" i="18"/>
  <c r="L7" i="18"/>
  <c r="H7" i="18"/>
  <c r="D7" i="18"/>
  <c r="X6" i="18"/>
  <c r="T6" i="18"/>
  <c r="P6" i="18"/>
  <c r="L6" i="18"/>
  <c r="Y6" i="18" s="1"/>
  <c r="H6" i="18"/>
  <c r="D6" i="18"/>
  <c r="X5" i="18"/>
  <c r="T5" i="18"/>
  <c r="P5" i="18"/>
  <c r="L5" i="18"/>
  <c r="H5" i="18"/>
  <c r="Y5" i="18" s="1"/>
  <c r="D5" i="18"/>
  <c r="T38" i="18" l="1"/>
  <c r="AM17" i="18"/>
  <c r="AF18" i="18"/>
  <c r="L38" i="18"/>
  <c r="L13" i="18"/>
  <c r="Y8" i="18"/>
  <c r="Y37" i="18"/>
  <c r="Y10" i="18"/>
  <c r="P13" i="18"/>
  <c r="P16" i="18" s="1"/>
  <c r="P28" i="18" s="1"/>
  <c r="P30" i="18" s="1"/>
  <c r="P38" i="18" s="1"/>
  <c r="Y11" i="18"/>
  <c r="Y7" i="18"/>
  <c r="Y9" i="18"/>
  <c r="D13" i="18"/>
  <c r="H13" i="18"/>
  <c r="H16" i="18" s="1"/>
  <c r="AM41" i="17"/>
  <c r="T37" i="17"/>
  <c r="P37" i="17"/>
  <c r="L37" i="17"/>
  <c r="H37" i="17"/>
  <c r="D37" i="17"/>
  <c r="Y36" i="17"/>
  <c r="Y35" i="17"/>
  <c r="Y34" i="17"/>
  <c r="AF29" i="17"/>
  <c r="AF8" i="17" s="1"/>
  <c r="AF9" i="17" s="1"/>
  <c r="T28" i="17"/>
  <c r="T30" i="17" s="1"/>
  <c r="L28" i="17"/>
  <c r="L30" i="17" s="1"/>
  <c r="L38" i="17" s="1"/>
  <c r="D28" i="17"/>
  <c r="D30" i="17" s="1"/>
  <c r="Y27" i="17"/>
  <c r="Y26" i="17"/>
  <c r="Y25" i="17"/>
  <c r="Y24" i="17"/>
  <c r="Y23" i="17"/>
  <c r="Y22" i="17"/>
  <c r="Y21" i="17"/>
  <c r="Y20" i="17"/>
  <c r="Y19" i="17"/>
  <c r="Y18" i="17"/>
  <c r="AF17" i="17"/>
  <c r="Y17" i="17"/>
  <c r="AM16" i="17"/>
  <c r="AM15" i="17"/>
  <c r="Y15" i="17"/>
  <c r="AM14" i="17"/>
  <c r="AM13" i="17"/>
  <c r="AM12" i="17"/>
  <c r="X12" i="17"/>
  <c r="T12" i="17"/>
  <c r="P12" i="17"/>
  <c r="L12" i="17"/>
  <c r="H12" i="17"/>
  <c r="D12" i="17"/>
  <c r="AM11" i="17"/>
  <c r="X11" i="17"/>
  <c r="T11" i="17"/>
  <c r="P11" i="17"/>
  <c r="L11" i="17"/>
  <c r="H11" i="17"/>
  <c r="D11" i="17"/>
  <c r="AM10" i="17"/>
  <c r="X10" i="17"/>
  <c r="T10" i="17"/>
  <c r="P10" i="17"/>
  <c r="L10" i="17"/>
  <c r="H10" i="17"/>
  <c r="D10" i="17"/>
  <c r="AM9" i="17"/>
  <c r="X9" i="17"/>
  <c r="T9" i="17"/>
  <c r="P9" i="17"/>
  <c r="L9" i="17"/>
  <c r="H9" i="17"/>
  <c r="D9" i="17"/>
  <c r="X8" i="17"/>
  <c r="T8" i="17"/>
  <c r="P8" i="17"/>
  <c r="L8" i="17"/>
  <c r="H8" i="17"/>
  <c r="D8" i="17"/>
  <c r="X7" i="17"/>
  <c r="T7" i="17"/>
  <c r="P7" i="17"/>
  <c r="L7" i="17"/>
  <c r="H7" i="17"/>
  <c r="D7" i="17"/>
  <c r="X6" i="17"/>
  <c r="T6" i="17"/>
  <c r="P6" i="17"/>
  <c r="L6" i="17"/>
  <c r="H6" i="17"/>
  <c r="D6" i="17"/>
  <c r="X5" i="17"/>
  <c r="T5" i="17"/>
  <c r="P5" i="17"/>
  <c r="L5" i="17"/>
  <c r="H5" i="17"/>
  <c r="D5" i="17"/>
  <c r="Y13" i="18" l="1"/>
  <c r="H28" i="18"/>
  <c r="H30" i="18" s="1"/>
  <c r="H38" i="18" s="1"/>
  <c r="Y16" i="18"/>
  <c r="Y28" i="18" s="1"/>
  <c r="Y30" i="18" s="1"/>
  <c r="Y38" i="18" s="1"/>
  <c r="L13" i="17"/>
  <c r="AF18" i="17"/>
  <c r="H13" i="17"/>
  <c r="H16" i="17" s="1"/>
  <c r="H28" i="17" s="1"/>
  <c r="H30" i="17" s="1"/>
  <c r="H38" i="17" s="1"/>
  <c r="Y7" i="17"/>
  <c r="D38" i="17"/>
  <c r="Y12" i="17"/>
  <c r="Y11" i="17"/>
  <c r="Y10" i="17"/>
  <c r="P13" i="17"/>
  <c r="P16" i="17" s="1"/>
  <c r="P28" i="17" s="1"/>
  <c r="P30" i="17" s="1"/>
  <c r="P38" i="17" s="1"/>
  <c r="T38" i="17"/>
  <c r="Y37" i="17"/>
  <c r="Y9" i="17"/>
  <c r="Y8" i="17"/>
  <c r="Y6" i="17"/>
  <c r="T13" i="17"/>
  <c r="AM17" i="17"/>
  <c r="Y5" i="17"/>
  <c r="D13" i="17"/>
  <c r="T37" i="16"/>
  <c r="P37" i="16"/>
  <c r="L37" i="16"/>
  <c r="H37" i="16"/>
  <c r="D37" i="16"/>
  <c r="Y36" i="16"/>
  <c r="Y35" i="16"/>
  <c r="Y34" i="16"/>
  <c r="AC8" i="16"/>
  <c r="Y27" i="16"/>
  <c r="Y26" i="16"/>
  <c r="Y25" i="16"/>
  <c r="Y24" i="16"/>
  <c r="Y23" i="16"/>
  <c r="Y22" i="16"/>
  <c r="Y21" i="16"/>
  <c r="Y20" i="16"/>
  <c r="Y19" i="16"/>
  <c r="Y18" i="16"/>
  <c r="AC17" i="16"/>
  <c r="Y17" i="16"/>
  <c r="AK13" i="16"/>
  <c r="AK12" i="16"/>
  <c r="Y15" i="16"/>
  <c r="AK11" i="16"/>
  <c r="AK10" i="16"/>
  <c r="AK9" i="16"/>
  <c r="X12" i="16"/>
  <c r="T12" i="16"/>
  <c r="P12" i="16"/>
  <c r="L12" i="16"/>
  <c r="H12" i="16"/>
  <c r="D12" i="16"/>
  <c r="AK8" i="16"/>
  <c r="X11" i="16"/>
  <c r="T11" i="16"/>
  <c r="P11" i="16"/>
  <c r="L11" i="16"/>
  <c r="H11" i="16"/>
  <c r="D11" i="16"/>
  <c r="AK7" i="16"/>
  <c r="X10" i="16"/>
  <c r="T10" i="16"/>
  <c r="P10" i="16"/>
  <c r="L10" i="16"/>
  <c r="H10" i="16"/>
  <c r="D10" i="16"/>
  <c r="AK6" i="16"/>
  <c r="X9" i="16"/>
  <c r="T9" i="16"/>
  <c r="P9" i="16"/>
  <c r="L9" i="16"/>
  <c r="H9" i="16"/>
  <c r="D9" i="16"/>
  <c r="X8" i="16"/>
  <c r="T8" i="16"/>
  <c r="P8" i="16"/>
  <c r="L8" i="16"/>
  <c r="H8" i="16"/>
  <c r="D8" i="16"/>
  <c r="X7" i="16"/>
  <c r="T7" i="16"/>
  <c r="P7" i="16"/>
  <c r="L7" i="16"/>
  <c r="H7" i="16"/>
  <c r="D7" i="16"/>
  <c r="X6" i="16"/>
  <c r="T6" i="16"/>
  <c r="P6" i="16"/>
  <c r="L6" i="16"/>
  <c r="H6" i="16"/>
  <c r="D6" i="16"/>
  <c r="X5" i="16"/>
  <c r="T5" i="16"/>
  <c r="P5" i="16"/>
  <c r="L5" i="16"/>
  <c r="H5" i="16"/>
  <c r="D5" i="16"/>
  <c r="Y37" i="16" l="1"/>
  <c r="T13" i="16"/>
  <c r="T16" i="16" s="1"/>
  <c r="T28" i="16" s="1"/>
  <c r="T30" i="16" s="1"/>
  <c r="T38" i="16" s="1"/>
  <c r="AK14" i="16"/>
  <c r="Y16" i="17"/>
  <c r="Y28" i="17" s="1"/>
  <c r="Y30" i="17" s="1"/>
  <c r="Y38" i="17" s="1"/>
  <c r="Y13" i="17"/>
  <c r="Y12" i="16"/>
  <c r="P13" i="16"/>
  <c r="P16" i="16" s="1"/>
  <c r="P28" i="16" s="1"/>
  <c r="P30" i="16" s="1"/>
  <c r="P38" i="16" s="1"/>
  <c r="Y11" i="16"/>
  <c r="H13" i="16"/>
  <c r="H16" i="16" s="1"/>
  <c r="H28" i="16" s="1"/>
  <c r="H30" i="16" s="1"/>
  <c r="H38" i="16" s="1"/>
  <c r="Y7" i="16"/>
  <c r="Y10" i="16"/>
  <c r="Y5" i="16"/>
  <c r="D13" i="16"/>
  <c r="D16" i="16" s="1"/>
  <c r="D28" i="16" s="1"/>
  <c r="D30" i="16" s="1"/>
  <c r="D38" i="16" s="1"/>
  <c r="Y9" i="16"/>
  <c r="Y8" i="16"/>
  <c r="L13" i="16"/>
  <c r="L16" i="16" s="1"/>
  <c r="L28" i="16" s="1"/>
  <c r="L30" i="16" s="1"/>
  <c r="L38" i="16" s="1"/>
  <c r="Y6" i="16"/>
  <c r="Y16" i="16" l="1"/>
  <c r="Y28" i="16" s="1"/>
  <c r="Y30" i="16" s="1"/>
  <c r="Y38" i="16" s="1"/>
  <c r="Y13" i="16"/>
  <c r="AC7" i="16" s="1"/>
  <c r="AC9" i="16" s="1"/>
  <c r="AC18" i="16" s="1"/>
  <c r="AM32" i="12" l="1"/>
  <c r="T37" i="12"/>
  <c r="P37" i="12"/>
  <c r="L37" i="12"/>
  <c r="H37" i="12"/>
  <c r="D37" i="12"/>
  <c r="Y36" i="12" l="1"/>
  <c r="Y35" i="12"/>
  <c r="Y34" i="12"/>
  <c r="AF32" i="12"/>
  <c r="AF8" i="12" s="1"/>
  <c r="Y26" i="12"/>
  <c r="Y25" i="12"/>
  <c r="Y24" i="12"/>
  <c r="Y23" i="12"/>
  <c r="Y22" i="12"/>
  <c r="Y21" i="12"/>
  <c r="Y20" i="12"/>
  <c r="Y19" i="12"/>
  <c r="Y18" i="12"/>
  <c r="AF17" i="12"/>
  <c r="AF18" i="12" s="1"/>
  <c r="Y17" i="12"/>
  <c r="AM16" i="12"/>
  <c r="AM15" i="12"/>
  <c r="AM14" i="12"/>
  <c r="AM13" i="12"/>
  <c r="AM12" i="12"/>
  <c r="X12" i="12"/>
  <c r="T12" i="12"/>
  <c r="P12" i="12"/>
  <c r="L12" i="12"/>
  <c r="H12" i="12"/>
  <c r="D12" i="12"/>
  <c r="AM11" i="12"/>
  <c r="X11" i="12"/>
  <c r="T11" i="12"/>
  <c r="P11" i="12"/>
  <c r="L11" i="12"/>
  <c r="H11" i="12"/>
  <c r="D11" i="12"/>
  <c r="AM10" i="12"/>
  <c r="X10" i="12"/>
  <c r="T10" i="12"/>
  <c r="P10" i="12"/>
  <c r="L10" i="12"/>
  <c r="H10" i="12"/>
  <c r="D10" i="12"/>
  <c r="AM9" i="12"/>
  <c r="X9" i="12"/>
  <c r="T9" i="12"/>
  <c r="P9" i="12"/>
  <c r="L9" i="12"/>
  <c r="H9" i="12"/>
  <c r="D9" i="12"/>
  <c r="X8" i="12"/>
  <c r="T8" i="12"/>
  <c r="P8" i="12"/>
  <c r="L8" i="12"/>
  <c r="H8" i="12"/>
  <c r="D8" i="12"/>
  <c r="X7" i="12"/>
  <c r="T7" i="12"/>
  <c r="P7" i="12"/>
  <c r="L7" i="12"/>
  <c r="H7" i="12"/>
  <c r="D7" i="12"/>
  <c r="X6" i="12"/>
  <c r="T6" i="12"/>
  <c r="P6" i="12"/>
  <c r="L6" i="12"/>
  <c r="H6" i="12"/>
  <c r="D6" i="12"/>
  <c r="X5" i="12"/>
  <c r="T5" i="12"/>
  <c r="P5" i="12"/>
  <c r="L5" i="12"/>
  <c r="H5" i="12"/>
  <c r="D5" i="12"/>
  <c r="T13" i="12" l="1"/>
  <c r="T16" i="12" s="1"/>
  <c r="T28" i="12" s="1"/>
  <c r="T30" i="12" s="1"/>
  <c r="T38" i="12" s="1"/>
  <c r="Y38" i="12" s="1"/>
  <c r="Y8" i="12"/>
  <c r="AM17" i="12"/>
  <c r="AM18" i="12" s="1"/>
  <c r="Y37" i="12"/>
  <c r="L13" i="12"/>
  <c r="L16" i="12" s="1"/>
  <c r="L28" i="12" s="1"/>
  <c r="L30" i="12" s="1"/>
  <c r="L38" i="12" s="1"/>
  <c r="H13" i="12"/>
  <c r="H16" i="12" s="1"/>
  <c r="H28" i="12" s="1"/>
  <c r="H30" i="12" s="1"/>
  <c r="H38" i="12" s="1"/>
  <c r="Y10" i="12"/>
  <c r="D13" i="12"/>
  <c r="D16" i="12" s="1"/>
  <c r="Y7" i="12"/>
  <c r="Y6" i="12"/>
  <c r="Y12" i="12"/>
  <c r="Y11" i="12"/>
  <c r="Y9" i="12"/>
  <c r="P13" i="12"/>
  <c r="P16" i="12" s="1"/>
  <c r="P28" i="12" s="1"/>
  <c r="P30" i="12" s="1"/>
  <c r="P38" i="12" s="1"/>
  <c r="D28" i="12"/>
  <c r="D30" i="12" s="1"/>
  <c r="D38" i="12" s="1"/>
  <c r="Y5" i="12"/>
  <c r="Y5" i="6"/>
  <c r="Y13" i="6"/>
  <c r="Y15" i="6"/>
  <c r="T3" i="9"/>
  <c r="Q4" i="9" s="1"/>
  <c r="T4" i="9" s="1"/>
  <c r="Q5" i="9" s="1"/>
  <c r="T5" i="9" s="1"/>
  <c r="Q6" i="9" s="1"/>
  <c r="T6" i="9" s="1"/>
  <c r="Q7" i="9" s="1"/>
  <c r="T7" i="9" s="1"/>
  <c r="Q8" i="9" s="1"/>
  <c r="T8" i="9" s="1"/>
  <c r="Q9" i="9" s="1"/>
  <c r="T9" i="9" s="1"/>
  <c r="Y16" i="12" l="1"/>
  <c r="Y28" i="12" s="1"/>
  <c r="Y30" i="12" s="1"/>
  <c r="Y13" i="12"/>
  <c r="AF7" i="12" s="1"/>
  <c r="AF9" i="12" s="1"/>
  <c r="Y20" i="6"/>
  <c r="Y30" i="6"/>
  <c r="Y28" i="6"/>
  <c r="Y16" i="6"/>
  <c r="Y36" i="6"/>
  <c r="Y35" i="6"/>
  <c r="Y34" i="6"/>
  <c r="Y37" i="6" s="1"/>
  <c r="Y17" i="6"/>
  <c r="Y18" i="6"/>
  <c r="Y19" i="6"/>
  <c r="Y21" i="6"/>
  <c r="Y22" i="6"/>
  <c r="Y23" i="6"/>
  <c r="Y24" i="6"/>
  <c r="Y25" i="6"/>
  <c r="Y26" i="6"/>
  <c r="Y17" i="3"/>
  <c r="Y28" i="3" s="1"/>
  <c r="Y18" i="3"/>
  <c r="Y19" i="3"/>
  <c r="Y20" i="3"/>
  <c r="Y21" i="3"/>
  <c r="Y22" i="3"/>
  <c r="Y23" i="3"/>
  <c r="Y24" i="3"/>
  <c r="Y25" i="3"/>
  <c r="Y26" i="3"/>
  <c r="Y16" i="3"/>
  <c r="Y15" i="3" l="1"/>
  <c r="AF32" i="6"/>
  <c r="AM45" i="6" l="1"/>
  <c r="T37" i="6"/>
  <c r="P37" i="6"/>
  <c r="L37" i="6"/>
  <c r="H37" i="6"/>
  <c r="D37" i="6"/>
  <c r="AF8" i="6"/>
  <c r="AF17" i="6"/>
  <c r="AM16" i="6"/>
  <c r="AM15" i="6"/>
  <c r="AM14" i="6"/>
  <c r="AM13" i="6"/>
  <c r="AM12" i="6"/>
  <c r="X12" i="6"/>
  <c r="T12" i="6"/>
  <c r="P12" i="6"/>
  <c r="L12" i="6"/>
  <c r="H12" i="6"/>
  <c r="D12" i="6"/>
  <c r="AM11" i="6"/>
  <c r="X11" i="6"/>
  <c r="T11" i="6"/>
  <c r="P11" i="6"/>
  <c r="L11" i="6"/>
  <c r="H11" i="6"/>
  <c r="D11" i="6"/>
  <c r="AM10" i="6"/>
  <c r="X10" i="6"/>
  <c r="T10" i="6"/>
  <c r="P10" i="6"/>
  <c r="L10" i="6"/>
  <c r="H10" i="6"/>
  <c r="D10" i="6"/>
  <c r="AM9" i="6"/>
  <c r="X9" i="6"/>
  <c r="T9" i="6"/>
  <c r="P9" i="6"/>
  <c r="L9" i="6"/>
  <c r="H9" i="6"/>
  <c r="D9" i="6"/>
  <c r="X8" i="6"/>
  <c r="T8" i="6"/>
  <c r="P8" i="6"/>
  <c r="L8" i="6"/>
  <c r="H8" i="6"/>
  <c r="D8" i="6"/>
  <c r="X7" i="6"/>
  <c r="T7" i="6"/>
  <c r="P7" i="6"/>
  <c r="L7" i="6"/>
  <c r="H7" i="6"/>
  <c r="D7" i="6"/>
  <c r="X6" i="6"/>
  <c r="T6" i="6"/>
  <c r="T13" i="6" s="1"/>
  <c r="T16" i="6" s="1"/>
  <c r="T28" i="6" s="1"/>
  <c r="T30" i="6" s="1"/>
  <c r="P6" i="6"/>
  <c r="L6" i="6"/>
  <c r="H6" i="6"/>
  <c r="D6" i="6"/>
  <c r="X5" i="6"/>
  <c r="T5" i="6"/>
  <c r="P5" i="6"/>
  <c r="L5" i="6"/>
  <c r="H5" i="6"/>
  <c r="D5" i="6"/>
  <c r="Y12" i="6" l="1"/>
  <c r="AM17" i="6"/>
  <c r="P13" i="6"/>
  <c r="L13" i="6"/>
  <c r="L16" i="6" s="1"/>
  <c r="L28" i="6" s="1"/>
  <c r="L30" i="6" s="1"/>
  <c r="H13" i="6"/>
  <c r="H16" i="6" s="1"/>
  <c r="H28" i="6" s="1"/>
  <c r="H30" i="6" s="1"/>
  <c r="Y7" i="6"/>
  <c r="Y9" i="6"/>
  <c r="Y11" i="6"/>
  <c r="D13" i="6"/>
  <c r="D16" i="6" s="1"/>
  <c r="D28" i="6" s="1"/>
  <c r="D30" i="6" s="1"/>
  <c r="Y8" i="6"/>
  <c r="Y10" i="6"/>
  <c r="Y6" i="6"/>
  <c r="P16" i="6" l="1"/>
  <c r="P28" i="6" s="1"/>
  <c r="P30" i="6" s="1"/>
  <c r="AF7" i="6"/>
  <c r="AF9" i="6" s="1"/>
  <c r="AF18" i="6" l="1"/>
  <c r="AF8" i="3" l="1"/>
  <c r="AM45" i="3" l="1"/>
  <c r="P28" i="3" l="1"/>
  <c r="G25" i="9" l="1"/>
  <c r="F16" i="9"/>
  <c r="L11" i="9"/>
  <c r="L10" i="9"/>
  <c r="L9" i="9"/>
  <c r="L8" i="9"/>
  <c r="L7" i="9"/>
  <c r="L6" i="9"/>
  <c r="L5" i="9"/>
  <c r="L4" i="9"/>
  <c r="G4" i="9"/>
  <c r="D5" i="9" s="1"/>
  <c r="G5" i="9" s="1"/>
  <c r="D6" i="9" s="1"/>
  <c r="G6" i="9" s="1"/>
  <c r="D7" i="9" s="1"/>
  <c r="G7" i="9" s="1"/>
  <c r="D8" i="9" s="1"/>
  <c r="G8" i="9" s="1"/>
  <c r="D9" i="9" s="1"/>
  <c r="G9" i="9" s="1"/>
  <c r="D10" i="9" s="1"/>
  <c r="G10" i="9" s="1"/>
  <c r="D11" i="9" s="1"/>
  <c r="G11" i="9" s="1"/>
  <c r="D12" i="9" s="1"/>
  <c r="G12" i="9" s="1"/>
  <c r="D13" i="9" s="1"/>
  <c r="G13" i="9" s="1"/>
  <c r="D14" i="9" s="1"/>
  <c r="G14" i="9" s="1"/>
  <c r="D15" i="9" s="1"/>
  <c r="G15" i="9" s="1"/>
  <c r="D16" i="9" s="1"/>
  <c r="G16" i="9" s="1"/>
  <c r="D17" i="9" s="1"/>
  <c r="G17" i="9" s="1"/>
  <c r="D18" i="9" s="1"/>
  <c r="G18" i="9" s="1"/>
  <c r="D19" i="9" s="1"/>
  <c r="G19" i="9" s="1"/>
  <c r="D20" i="9" s="1"/>
  <c r="G20" i="9" s="1"/>
  <c r="D21" i="9" s="1"/>
  <c r="G21" i="9" s="1"/>
  <c r="D22" i="9" s="1"/>
  <c r="G22" i="9" s="1"/>
  <c r="D23" i="9" s="1"/>
  <c r="G23" i="9" s="1"/>
  <c r="D24" i="9" s="1"/>
  <c r="G24" i="9" s="1"/>
  <c r="Y37" i="2"/>
  <c r="T37" i="2"/>
  <c r="L37" i="2"/>
  <c r="H37" i="2"/>
  <c r="D37" i="2"/>
  <c r="Y36" i="2"/>
  <c r="Y35" i="2"/>
  <c r="AM34" i="2"/>
  <c r="Y34" i="2"/>
  <c r="T30" i="2"/>
  <c r="T38" i="2" s="1"/>
  <c r="D30" i="2"/>
  <c r="D38" i="2" s="1"/>
  <c r="AF29" i="2"/>
  <c r="AF8" i="2" s="1"/>
  <c r="AF9" i="2" s="1"/>
  <c r="AF18" i="2" s="1"/>
  <c r="T28" i="2"/>
  <c r="L28" i="2"/>
  <c r="L30" i="2" s="1"/>
  <c r="D28" i="2"/>
  <c r="Y27" i="2"/>
  <c r="Y26" i="2"/>
  <c r="Y25" i="2"/>
  <c r="Y24" i="2"/>
  <c r="Y23" i="2"/>
  <c r="Y22" i="2"/>
  <c r="Y21" i="2"/>
  <c r="Y20" i="2"/>
  <c r="Y19" i="2"/>
  <c r="Y18" i="2"/>
  <c r="AF17" i="2"/>
  <c r="Y17" i="2"/>
  <c r="AM16" i="2"/>
  <c r="AM15" i="2"/>
  <c r="Y15" i="2"/>
  <c r="AM14" i="2"/>
  <c r="AM13" i="2"/>
  <c r="AM12" i="2"/>
  <c r="X12" i="2"/>
  <c r="T12" i="2"/>
  <c r="P12" i="2"/>
  <c r="L12" i="2"/>
  <c r="H12" i="2"/>
  <c r="Y12" i="2" s="1"/>
  <c r="D12" i="2"/>
  <c r="AM11" i="2"/>
  <c r="X11" i="2"/>
  <c r="T11" i="2"/>
  <c r="P11" i="2"/>
  <c r="L11" i="2"/>
  <c r="H11" i="2"/>
  <c r="Y11" i="2" s="1"/>
  <c r="D11" i="2"/>
  <c r="AM10" i="2"/>
  <c r="X10" i="2"/>
  <c r="T10" i="2"/>
  <c r="P10" i="2"/>
  <c r="L10" i="2"/>
  <c r="H10" i="2"/>
  <c r="Y10" i="2" s="1"/>
  <c r="D10" i="2"/>
  <c r="AM9" i="2"/>
  <c r="AM17" i="2" s="1"/>
  <c r="X9" i="2"/>
  <c r="T9" i="2"/>
  <c r="P9" i="2"/>
  <c r="L9" i="2"/>
  <c r="Y9" i="2" s="1"/>
  <c r="H9" i="2"/>
  <c r="D9" i="2"/>
  <c r="X8" i="2"/>
  <c r="T8" i="2"/>
  <c r="P8" i="2"/>
  <c r="L8" i="2"/>
  <c r="Y8" i="2" s="1"/>
  <c r="H8" i="2"/>
  <c r="D8" i="2"/>
  <c r="X7" i="2"/>
  <c r="T7" i="2"/>
  <c r="P7" i="2"/>
  <c r="L7" i="2"/>
  <c r="L13" i="2" s="1"/>
  <c r="H7" i="2"/>
  <c r="H13" i="2" s="1"/>
  <c r="H16" i="2" s="1"/>
  <c r="D7" i="2"/>
  <c r="X6" i="2"/>
  <c r="T6" i="2"/>
  <c r="P6" i="2"/>
  <c r="L6" i="2"/>
  <c r="H6" i="2"/>
  <c r="D6" i="2"/>
  <c r="Y6" i="2" s="1"/>
  <c r="X5" i="2"/>
  <c r="T5" i="2"/>
  <c r="P5" i="2"/>
  <c r="P13" i="2" s="1"/>
  <c r="P16" i="2" s="1"/>
  <c r="P28" i="2" s="1"/>
  <c r="P30" i="2" s="1"/>
  <c r="L5" i="2"/>
  <c r="H5" i="2"/>
  <c r="D5" i="2"/>
  <c r="D13" i="2" s="1"/>
  <c r="T37" i="4"/>
  <c r="P37" i="4"/>
  <c r="L37" i="4"/>
  <c r="H37" i="4"/>
  <c r="D37" i="4"/>
  <c r="Y36" i="4"/>
  <c r="Y37" i="4" s="1"/>
  <c r="Y35" i="4"/>
  <c r="AM34" i="4"/>
  <c r="Y34" i="4"/>
  <c r="AF29" i="4"/>
  <c r="T28" i="4"/>
  <c r="T30" i="4" s="1"/>
  <c r="T38" i="4" s="1"/>
  <c r="L28" i="4"/>
  <c r="L30" i="4" s="1"/>
  <c r="L38" i="4" s="1"/>
  <c r="D28" i="4"/>
  <c r="D30" i="4" s="1"/>
  <c r="D38" i="4" s="1"/>
  <c r="Y27" i="4"/>
  <c r="Y26" i="4"/>
  <c r="Y25" i="4"/>
  <c r="Y24" i="4"/>
  <c r="Y23" i="4"/>
  <c r="Y22" i="4"/>
  <c r="Y21" i="4"/>
  <c r="Y20" i="4"/>
  <c r="Y19" i="4"/>
  <c r="Y18" i="4"/>
  <c r="AF17" i="4"/>
  <c r="Y17" i="4"/>
  <c r="AM16" i="4"/>
  <c r="AM15" i="4"/>
  <c r="Y15" i="4"/>
  <c r="AM14" i="4"/>
  <c r="AM13" i="4"/>
  <c r="AM17" i="4" s="1"/>
  <c r="AM12" i="4"/>
  <c r="X12" i="4"/>
  <c r="T12" i="4"/>
  <c r="P12" i="4"/>
  <c r="L12" i="4"/>
  <c r="H12" i="4"/>
  <c r="D12" i="4"/>
  <c r="Y12" i="4" s="1"/>
  <c r="AM11" i="4"/>
  <c r="X11" i="4"/>
  <c r="T11" i="4"/>
  <c r="P11" i="4"/>
  <c r="L11" i="4"/>
  <c r="H11" i="4"/>
  <c r="D11" i="4"/>
  <c r="Y11" i="4" s="1"/>
  <c r="AM10" i="4"/>
  <c r="X10" i="4"/>
  <c r="T10" i="4"/>
  <c r="P10" i="4"/>
  <c r="L10" i="4"/>
  <c r="H10" i="4"/>
  <c r="D10" i="4"/>
  <c r="Y10" i="4" s="1"/>
  <c r="AM9" i="4"/>
  <c r="X9" i="4"/>
  <c r="T9" i="4"/>
  <c r="P9" i="4"/>
  <c r="L9" i="4"/>
  <c r="H9" i="4"/>
  <c r="Y9" i="4" s="1"/>
  <c r="D9" i="4"/>
  <c r="AF8" i="4"/>
  <c r="X8" i="4"/>
  <c r="T8" i="4"/>
  <c r="P8" i="4"/>
  <c r="L8" i="4"/>
  <c r="H8" i="4"/>
  <c r="Y8" i="4" s="1"/>
  <c r="D8" i="4"/>
  <c r="X7" i="4"/>
  <c r="T7" i="4"/>
  <c r="P7" i="4"/>
  <c r="L7" i="4"/>
  <c r="H7" i="4"/>
  <c r="Y7" i="4" s="1"/>
  <c r="D7" i="4"/>
  <c r="X6" i="4"/>
  <c r="T6" i="4"/>
  <c r="T13" i="4" s="1"/>
  <c r="P6" i="4"/>
  <c r="L6" i="4"/>
  <c r="L13" i="4" s="1"/>
  <c r="H6" i="4"/>
  <c r="D6" i="4"/>
  <c r="Y6" i="4" s="1"/>
  <c r="X5" i="4"/>
  <c r="T5" i="4"/>
  <c r="P5" i="4"/>
  <c r="P13" i="4" s="1"/>
  <c r="P16" i="4" s="1"/>
  <c r="P28" i="4" s="1"/>
  <c r="P30" i="4" s="1"/>
  <c r="P38" i="4" s="1"/>
  <c r="L5" i="4"/>
  <c r="H5" i="4"/>
  <c r="H13" i="4" s="1"/>
  <c r="H16" i="4" s="1"/>
  <c r="D5" i="4"/>
  <c r="Y5" i="4" s="1"/>
  <c r="AF17" i="3"/>
  <c r="AF18" i="3" s="1"/>
  <c r="AM16" i="3"/>
  <c r="AM15" i="3"/>
  <c r="AM14" i="3"/>
  <c r="AM13" i="3"/>
  <c r="AM12" i="3"/>
  <c r="AM11" i="3"/>
  <c r="AM10" i="3"/>
  <c r="AM9" i="3"/>
  <c r="AF29" i="3"/>
  <c r="Y30" i="3"/>
  <c r="Y37" i="3"/>
  <c r="T37" i="3"/>
  <c r="P37" i="3"/>
  <c r="L37" i="3"/>
  <c r="H37" i="3"/>
  <c r="T30" i="3"/>
  <c r="X12" i="3"/>
  <c r="X11" i="3"/>
  <c r="X10" i="3"/>
  <c r="X9" i="3"/>
  <c r="X8" i="3"/>
  <c r="X7" i="3"/>
  <c r="X6" i="3"/>
  <c r="X5" i="3"/>
  <c r="P38" i="2" l="1"/>
  <c r="L38" i="2"/>
  <c r="L12" i="9"/>
  <c r="L13" i="9" s="1"/>
  <c r="AM17" i="3"/>
  <c r="H28" i="2"/>
  <c r="H30" i="2" s="1"/>
  <c r="H38" i="2" s="1"/>
  <c r="Y16" i="2"/>
  <c r="Y28" i="2" s="1"/>
  <c r="Y30" i="2" s="1"/>
  <c r="Y38" i="2" s="1"/>
  <c r="Y7" i="2"/>
  <c r="Y5" i="2"/>
  <c r="Y13" i="2" s="1"/>
  <c r="Y13" i="4"/>
  <c r="AF7" i="4" s="1"/>
  <c r="AF9" i="4" s="1"/>
  <c r="AF18" i="4" s="1"/>
  <c r="H28" i="4"/>
  <c r="H30" i="4" s="1"/>
  <c r="H38" i="4" s="1"/>
  <c r="Y16" i="4"/>
  <c r="Y28" i="4" s="1"/>
  <c r="Y30" i="4" s="1"/>
  <c r="Y38" i="4" s="1"/>
  <c r="D13" i="4"/>
  <c r="T12" i="3" l="1"/>
  <c r="T11" i="3"/>
  <c r="T10" i="3"/>
  <c r="T9" i="3"/>
  <c r="T8" i="3"/>
  <c r="T7" i="3"/>
  <c r="T6" i="3"/>
  <c r="T5" i="3"/>
  <c r="P12" i="3"/>
  <c r="P11" i="3"/>
  <c r="P10" i="3"/>
  <c r="P9" i="3"/>
  <c r="P8" i="3"/>
  <c r="P7" i="3"/>
  <c r="P6" i="3"/>
  <c r="P5" i="3"/>
  <c r="L12" i="3"/>
  <c r="L11" i="3"/>
  <c r="L10" i="3"/>
  <c r="L9" i="3"/>
  <c r="L8" i="3"/>
  <c r="L7" i="3"/>
  <c r="L6" i="3"/>
  <c r="L5" i="3"/>
  <c r="Y5" i="3" s="1"/>
  <c r="H12" i="3"/>
  <c r="H11" i="3"/>
  <c r="H10" i="3"/>
  <c r="H9" i="3"/>
  <c r="H8" i="3"/>
  <c r="H7" i="3"/>
  <c r="H6" i="3"/>
  <c r="H5" i="3"/>
  <c r="D12" i="3"/>
  <c r="D11" i="3"/>
  <c r="D10" i="3"/>
  <c r="D9" i="3"/>
  <c r="D8" i="3"/>
  <c r="D7" i="3"/>
  <c r="D6" i="3"/>
  <c r="D5" i="3"/>
  <c r="H13" i="3" l="1"/>
  <c r="H16" i="3" s="1"/>
  <c r="H28" i="3" s="1"/>
  <c r="H30" i="3" s="1"/>
  <c r="Y8" i="3"/>
  <c r="Y7" i="3"/>
  <c r="Y9" i="3"/>
  <c r="Y12" i="3"/>
  <c r="D13" i="3"/>
  <c r="D16" i="3" s="1"/>
  <c r="D28" i="3" s="1"/>
  <c r="D30" i="3" s="1"/>
  <c r="P13" i="3"/>
  <c r="P16" i="3" s="1"/>
  <c r="P30" i="3" s="1"/>
  <c r="Y10" i="3"/>
  <c r="Y11" i="3"/>
  <c r="T13" i="3"/>
  <c r="T16" i="3" s="1"/>
  <c r="T28" i="3" s="1"/>
  <c r="Y6" i="3"/>
  <c r="L13" i="3"/>
  <c r="L16" i="3" s="1"/>
  <c r="L28" i="3" s="1"/>
  <c r="L30" i="3" s="1"/>
  <c r="Y13" i="3" l="1"/>
  <c r="AF7" i="3" s="1"/>
  <c r="AF9" i="3" s="1"/>
</calcChain>
</file>

<file path=xl/comments1.xml><?xml version="1.0" encoding="utf-8"?>
<comments xmlns="http://schemas.openxmlformats.org/spreadsheetml/2006/main">
  <authors>
    <author>TOSHIBA</author>
  </authors>
  <commentList>
    <comment ref="AF14" author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Slary Adv: 3000
Farhaj(BANK) : 3000</t>
        </r>
      </text>
    </comment>
  </commentList>
</comments>
</file>

<file path=xl/comments2.xml><?xml version="1.0" encoding="utf-8"?>
<comments xmlns="http://schemas.openxmlformats.org/spreadsheetml/2006/main">
  <authors>
    <author>TOSHIBA</author>
  </authors>
  <commentList>
    <comment ref="AF13" author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pathi cash se 27,230 bank kardiye h</t>
        </r>
      </text>
    </comment>
  </commentList>
</comments>
</file>

<file path=xl/comments3.xml><?xml version="1.0" encoding="utf-8"?>
<comments xmlns="http://schemas.openxmlformats.org/spreadsheetml/2006/main">
  <authors>
    <author>TOSHIBA</author>
  </authors>
  <commentList>
    <comment ref="R6" authorId="0">
      <text>
        <r>
          <rPr>
            <b/>
            <sz val="9"/>
            <color indexed="81"/>
            <rFont val="Tahoma"/>
            <family val="2"/>
          </rPr>
          <t>EXCESS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Deposit at BANK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Till 15th Shortage:10010</t>
        </r>
      </text>
    </comment>
    <comment ref="F16" authorId="0">
      <text>
        <r>
          <rPr>
            <sz val="9"/>
            <color indexed="81"/>
            <rFont val="Tahoma"/>
            <family val="2"/>
          </rPr>
          <t xml:space="preserve">
KAM at Home
54000+5668UN</t>
        </r>
      </text>
    </comment>
    <comment ref="E23" author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Shah Sec Advanced paid from 25th july cash</t>
        </r>
      </text>
    </comment>
  </commentList>
</comments>
</file>

<file path=xl/comments4.xml><?xml version="1.0" encoding="utf-8"?>
<comments xmlns="http://schemas.openxmlformats.org/spreadsheetml/2006/main">
  <authors>
    <author>TOSHIBA</author>
  </authors>
  <commentList>
    <comment ref="S24" author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Clear date 11-8 Entry in Clear sheet </t>
        </r>
      </text>
    </comment>
  </commentList>
</comments>
</file>

<file path=xl/comments5.xml><?xml version="1.0" encoding="utf-8"?>
<comments xmlns="http://schemas.openxmlformats.org/spreadsheetml/2006/main">
  <authors>
    <author>TOSHIBA</author>
  </authors>
  <commentList>
    <comment ref="T34" author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Now paste RTG nh hui</t>
        </r>
      </text>
    </comment>
  </commentList>
</comments>
</file>

<file path=xl/comments6.xml><?xml version="1.0" encoding="utf-8"?>
<comments xmlns="http://schemas.openxmlformats.org/spreadsheetml/2006/main">
  <authors>
    <author>TOSHIBA</author>
  </authors>
  <commentList>
    <comment ref="AF14" authorId="0">
      <text>
        <r>
          <rPr>
            <b/>
            <sz val="9"/>
            <color indexed="81"/>
            <rFont val="Tahoma"/>
            <family val="2"/>
          </rPr>
          <t xml:space="preserve">Deposited from Petty Cash
</t>
        </r>
      </text>
    </comment>
  </commentList>
</comments>
</file>

<file path=xl/comments7.xml><?xml version="1.0" encoding="utf-8"?>
<comments xmlns="http://schemas.openxmlformats.org/spreadsheetml/2006/main">
  <authors>
    <author>TOSHIBA</author>
  </authors>
  <commentList>
    <comment ref="AC16" author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AD: asghar 10000, Ubada: 3000, Salman, 3000, Cemra installtion 1260</t>
        </r>
      </text>
    </comment>
    <comment ref="D34" author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3 bill ki amount h
</t>
        </r>
      </text>
    </comment>
  </commentList>
</comments>
</file>

<file path=xl/comments8.xml><?xml version="1.0" encoding="utf-8"?>
<comments xmlns="http://schemas.openxmlformats.org/spreadsheetml/2006/main">
  <authors>
    <author>TOSHIBA</author>
  </authors>
  <commentList>
    <comment ref="AF23" author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300 Chq Bounce k b hai</t>
        </r>
      </text>
    </comment>
  </commentList>
</comments>
</file>

<file path=xl/comments9.xml><?xml version="1.0" encoding="utf-8"?>
<comments xmlns="http://schemas.openxmlformats.org/spreadsheetml/2006/main">
  <authors>
    <author>TOSHIBA</author>
  </authors>
  <commentList>
    <comment ref="AC15" author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7000 Shezy AD
8000 Sumair AD
Total 15000 taken from recovery</t>
        </r>
      </text>
    </comment>
    <comment ref="P34" author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Abc jelly 1 box demage
5 pce salman k pass h</t>
        </r>
      </text>
    </comment>
  </commentList>
</comments>
</file>

<file path=xl/comments10.xml><?xml version="1.0" encoding="utf-8"?>
<comments xmlns="http://schemas.openxmlformats.org/spreadsheetml/2006/main">
  <authors>
    <author>TOSHIBA</author>
  </authors>
  <commentList>
    <comment ref="AC15" author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5,000 Ad Asghar</t>
        </r>
      </text>
    </comment>
    <comment ref="AL29" author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Bill no 1030 (3,740) included in this cheque</t>
        </r>
      </text>
    </comment>
  </commentList>
</comments>
</file>

<file path=xl/sharedStrings.xml><?xml version="1.0" encoding="utf-8"?>
<sst xmlns="http://schemas.openxmlformats.org/spreadsheetml/2006/main" count="5407" uniqueCount="832">
  <si>
    <t>NAME: Maroof</t>
  </si>
  <si>
    <t>NAME: Fahad</t>
  </si>
  <si>
    <t>NAME: Asif</t>
  </si>
  <si>
    <t>NAME: Asghar</t>
  </si>
  <si>
    <t>NAME: Sumair</t>
  </si>
  <si>
    <t>DEPOT TOTAL</t>
  </si>
  <si>
    <t>Rs</t>
  </si>
  <si>
    <t>Qty</t>
  </si>
  <si>
    <t>Amount</t>
  </si>
  <si>
    <t>Cash Treatment</t>
  </si>
  <si>
    <t>Cash</t>
  </si>
  <si>
    <t>Recovories</t>
  </si>
  <si>
    <t>TOTAL</t>
  </si>
  <si>
    <t>Head</t>
  </si>
  <si>
    <t>Slip Number</t>
  </si>
  <si>
    <t>Date</t>
  </si>
  <si>
    <t>Slip #</t>
  </si>
  <si>
    <t>Bank</t>
  </si>
  <si>
    <t>Total</t>
  </si>
  <si>
    <t>Cash Office</t>
  </si>
  <si>
    <t>Ent</t>
  </si>
  <si>
    <t>Summary</t>
  </si>
  <si>
    <t>Misc</t>
  </si>
  <si>
    <t>Adv Van</t>
  </si>
  <si>
    <t>Chq-28-08-25</t>
  </si>
  <si>
    <t>BAH-10111061</t>
  </si>
  <si>
    <t>Chq-1</t>
  </si>
  <si>
    <t>Chq-</t>
  </si>
  <si>
    <t>Chq-09-08-25</t>
  </si>
  <si>
    <t>BAH-11922228</t>
  </si>
  <si>
    <t>Chq-10-08-25</t>
  </si>
  <si>
    <t>BAH-10294977</t>
  </si>
  <si>
    <t>Diff (+/-)</t>
  </si>
  <si>
    <t>Excess/Shortage</t>
  </si>
  <si>
    <t>Chq-2</t>
  </si>
  <si>
    <t>BAH-10687573</t>
  </si>
  <si>
    <t>Chq-3</t>
  </si>
  <si>
    <t>RECOVRIES</t>
  </si>
  <si>
    <t>RECOVRIES-- ONLINE</t>
  </si>
  <si>
    <t>Bill-1070</t>
  </si>
  <si>
    <t>Shazad conf</t>
  </si>
  <si>
    <t>DSR Name</t>
  </si>
  <si>
    <t>Bill Date</t>
  </si>
  <si>
    <t>Shop Name</t>
  </si>
  <si>
    <t>Shortage Date</t>
  </si>
  <si>
    <t>Chq no</t>
  </si>
  <si>
    <t>Bill-1</t>
  </si>
  <si>
    <t>Bill-1020</t>
  </si>
  <si>
    <t>Shahid conf</t>
  </si>
  <si>
    <t>Asif-0401</t>
  </si>
  <si>
    <t>Kainat Conf</t>
  </si>
  <si>
    <t>Asif-531</t>
  </si>
  <si>
    <t>jazz cash</t>
  </si>
  <si>
    <t>Star Conf</t>
  </si>
  <si>
    <t>Bill-2</t>
  </si>
  <si>
    <t>Bill-1030</t>
  </si>
  <si>
    <t>Hasnain conf</t>
  </si>
  <si>
    <t>Asif-0980</t>
  </si>
  <si>
    <t>Saeed Citrate</t>
  </si>
  <si>
    <t>Faizan</t>
  </si>
  <si>
    <t>Atif GS</t>
  </si>
  <si>
    <t>Bill-3</t>
  </si>
  <si>
    <t>Bill-1080</t>
  </si>
  <si>
    <t>Tawakal conf</t>
  </si>
  <si>
    <t>Asif-1010</t>
  </si>
  <si>
    <t>Mashallah Habib</t>
  </si>
  <si>
    <t>Tariq Brother</t>
  </si>
  <si>
    <t>Muhammadi pan shop</t>
  </si>
  <si>
    <t>Fayaz</t>
  </si>
  <si>
    <t>Khyal Mart</t>
  </si>
  <si>
    <t>Sajid</t>
  </si>
  <si>
    <t>Saeed Super Mart</t>
  </si>
  <si>
    <t>Asif</t>
  </si>
  <si>
    <t>Tawakal Conf</t>
  </si>
  <si>
    <t>Recoveries</t>
  </si>
  <si>
    <t>Shortage (+/-)</t>
  </si>
  <si>
    <t>Cash Shortage</t>
  </si>
  <si>
    <t xml:space="preserve"> Tax Adj</t>
  </si>
  <si>
    <t>etc</t>
  </si>
  <si>
    <t>Cash Excess</t>
  </si>
  <si>
    <t>CD</t>
  </si>
  <si>
    <t>Balance</t>
  </si>
  <si>
    <t>Ctn Shortage</t>
  </si>
  <si>
    <t>S.No</t>
  </si>
  <si>
    <t>Expense</t>
  </si>
  <si>
    <t>Net</t>
  </si>
  <si>
    <t>NAME: Shahzad</t>
  </si>
  <si>
    <t>Advanc Salary</t>
  </si>
  <si>
    <t>Cash Short</t>
  </si>
  <si>
    <t>Chq-12-08-25</t>
  </si>
  <si>
    <t>MB-20410056</t>
  </si>
  <si>
    <t>UBL-82326484</t>
  </si>
  <si>
    <t>Chq-13-08-25</t>
  </si>
  <si>
    <t>Chq-15-08-25</t>
  </si>
  <si>
    <t>BAF-4012573</t>
  </si>
  <si>
    <t>BI-00198565</t>
  </si>
  <si>
    <t>Chq-07-08-25</t>
  </si>
  <si>
    <t>BAH-11443637</t>
  </si>
  <si>
    <t>MB-42212446</t>
  </si>
  <si>
    <t>Bill-1130</t>
  </si>
  <si>
    <t>Pajwani</t>
  </si>
  <si>
    <t>faizan-320</t>
  </si>
  <si>
    <t>Bill-1140</t>
  </si>
  <si>
    <t>Zunaisha</t>
  </si>
  <si>
    <t>Asif-811</t>
  </si>
  <si>
    <t>Panjwani</t>
  </si>
  <si>
    <t>Asif-840</t>
  </si>
  <si>
    <t>Mashallah majid</t>
  </si>
  <si>
    <t>Star conf</t>
  </si>
  <si>
    <t xml:space="preserve">Cash </t>
  </si>
  <si>
    <t>CD3% DD2%</t>
  </si>
  <si>
    <t>Salaries</t>
  </si>
  <si>
    <t>KE</t>
  </si>
  <si>
    <t>MB-22534744</t>
  </si>
  <si>
    <t>Chq-11-08-25</t>
  </si>
  <si>
    <t>UBL-80436927</t>
  </si>
  <si>
    <t>MB-22422749</t>
  </si>
  <si>
    <t>MCB-2049448452</t>
  </si>
  <si>
    <t>BI-00197714</t>
  </si>
  <si>
    <t>MB-22522928</t>
  </si>
  <si>
    <t>BAH-11002396</t>
  </si>
  <si>
    <t>BI-00039852</t>
  </si>
  <si>
    <t>Bill-1180</t>
  </si>
  <si>
    <t>Kanh conf</t>
  </si>
  <si>
    <t>Bill-1260</t>
  </si>
  <si>
    <t>MS farooq</t>
  </si>
  <si>
    <t>Bill-8770</t>
  </si>
  <si>
    <t>Al shams</t>
  </si>
  <si>
    <t>Bill-1240</t>
  </si>
  <si>
    <t>Dastageer GS</t>
  </si>
  <si>
    <t>MS farooq pan</t>
  </si>
  <si>
    <t>BAH-10408260</t>
  </si>
  <si>
    <t>Primuium Store</t>
  </si>
  <si>
    <t>Bill-0090</t>
  </si>
  <si>
    <t>BS shahzad</t>
  </si>
  <si>
    <t>BS Shahzaz conf</t>
  </si>
  <si>
    <t>MBC-2049448443</t>
  </si>
  <si>
    <t>Noor Store</t>
  </si>
  <si>
    <t>Bill-1250</t>
  </si>
  <si>
    <t>Fayyaz</t>
  </si>
  <si>
    <t>MB-A-20347595</t>
  </si>
  <si>
    <t>Famliy Mart</t>
  </si>
  <si>
    <t>Bill-1230</t>
  </si>
  <si>
    <t>Irfan conf</t>
  </si>
  <si>
    <t>Faisal</t>
  </si>
  <si>
    <t>BAH-10144297</t>
  </si>
  <si>
    <t>Abdulah Cold</t>
  </si>
  <si>
    <t>Bill-1220</t>
  </si>
  <si>
    <t>New hassan</t>
  </si>
  <si>
    <t>BI-00197687</t>
  </si>
  <si>
    <t>BaqalaStore</t>
  </si>
  <si>
    <t>CD 2%</t>
  </si>
  <si>
    <t>14/7/2025</t>
  </si>
  <si>
    <t>15/7/2025</t>
  </si>
  <si>
    <t>16/7/2025</t>
  </si>
  <si>
    <t>17/7/2026</t>
  </si>
  <si>
    <t>Duplicate to adjust Shortage</t>
  </si>
  <si>
    <t>18/7/2026</t>
  </si>
  <si>
    <t>21/7/2026</t>
  </si>
  <si>
    <t>22/7/2026</t>
  </si>
  <si>
    <t>23/7/2026</t>
  </si>
  <si>
    <t>23/7/2027</t>
  </si>
  <si>
    <t>24/7/2026</t>
  </si>
  <si>
    <t>25/7/2026</t>
  </si>
  <si>
    <t>26/7/2026</t>
  </si>
  <si>
    <t>28/7/2026</t>
  </si>
  <si>
    <t>29/7/2026</t>
  </si>
  <si>
    <t>30/7/2026</t>
  </si>
  <si>
    <t>31/7/2026</t>
  </si>
  <si>
    <t>Chq-15-08-2025</t>
  </si>
  <si>
    <t>BAF-45410251</t>
  </si>
  <si>
    <t>Chq-12-08-2025</t>
  </si>
  <si>
    <t>BAH-10111066</t>
  </si>
  <si>
    <t>Chq-14-08-2025</t>
  </si>
  <si>
    <t>UBL-82440304</t>
  </si>
  <si>
    <t>Younus conf</t>
  </si>
  <si>
    <t>Chq-13-28-25</t>
  </si>
  <si>
    <t>BAH-10410415</t>
  </si>
  <si>
    <t>RY Traders</t>
  </si>
  <si>
    <t>SaeedCigrate</t>
  </si>
  <si>
    <t>Raheem traders</t>
  </si>
  <si>
    <t>Amir Saleem</t>
  </si>
  <si>
    <t>Ahmeed store</t>
  </si>
  <si>
    <t>Prime M/S</t>
  </si>
  <si>
    <t>Rameen G/S</t>
  </si>
  <si>
    <t>Mubeen Store</t>
  </si>
  <si>
    <t>Al Noor Store</t>
  </si>
  <si>
    <t>Self MArt</t>
  </si>
  <si>
    <t>Khayal hi store</t>
  </si>
  <si>
    <t>ZA Mart</t>
  </si>
  <si>
    <t>Khan conf</t>
  </si>
  <si>
    <t>Adil Store</t>
  </si>
  <si>
    <t>Naimal Mart</t>
  </si>
  <si>
    <t>Saeed citrate conf</t>
  </si>
  <si>
    <t>BAH-10072778</t>
  </si>
  <si>
    <t>BAH-11009350</t>
  </si>
  <si>
    <t>BML-97662963</t>
  </si>
  <si>
    <t>BAH-10408277</t>
  </si>
  <si>
    <t>BAH-10295599</t>
  </si>
  <si>
    <t>BAH-10213911</t>
  </si>
  <si>
    <t>BAH-10408313</t>
  </si>
  <si>
    <t>UBL-82326478</t>
  </si>
  <si>
    <t>BAH-11443626</t>
  </si>
  <si>
    <t>MBC-00200898</t>
  </si>
  <si>
    <t>BAH-10968524</t>
  </si>
  <si>
    <t>BAH-10294947</t>
  </si>
  <si>
    <t>BI-197696</t>
  </si>
  <si>
    <t>MB-21701975</t>
  </si>
  <si>
    <t>MB-224222712</t>
  </si>
  <si>
    <t>MB-21050519</t>
  </si>
  <si>
    <t>AB-2500151632</t>
  </si>
  <si>
    <t>BLH-10295602</t>
  </si>
  <si>
    <t>BLH-10111060</t>
  </si>
  <si>
    <t>MB-19033068</t>
  </si>
  <si>
    <t>BAH-11443632</t>
  </si>
  <si>
    <t>BAH-10687570</t>
  </si>
  <si>
    <t>FAyaz</t>
  </si>
  <si>
    <t>Bill-8960</t>
  </si>
  <si>
    <t>Al Hafiz</t>
  </si>
  <si>
    <t>Bill-8990</t>
  </si>
  <si>
    <t>Iqbal gs</t>
  </si>
  <si>
    <t>AB-2500151634</t>
  </si>
  <si>
    <t>Aysha store</t>
  </si>
  <si>
    <t>HM</t>
  </si>
  <si>
    <t>Bill-0120</t>
  </si>
  <si>
    <t>Muhammadi pan</t>
  </si>
  <si>
    <t>Chq-14-08-25</t>
  </si>
  <si>
    <t>BLH-11637921</t>
  </si>
  <si>
    <t>BAF-40125383</t>
  </si>
  <si>
    <t>BAF-40037558</t>
  </si>
  <si>
    <t>FM Marketing</t>
  </si>
  <si>
    <t>Mashallah conf (Habib)</t>
  </si>
  <si>
    <t>New Hassan Conf</t>
  </si>
  <si>
    <t>Karachi conf</t>
  </si>
  <si>
    <t>Panjwani conf</t>
  </si>
  <si>
    <t>Sajid-8990</t>
  </si>
  <si>
    <t>Sajid-8960</t>
  </si>
  <si>
    <t>UBL-82326486</t>
  </si>
  <si>
    <t>BI-00198570</t>
  </si>
  <si>
    <t>MB-42212453</t>
  </si>
  <si>
    <t>Bill-</t>
  </si>
  <si>
    <t>SB--CA77995765</t>
  </si>
  <si>
    <t>BLH-10072711</t>
  </si>
  <si>
    <t>MS milk</t>
  </si>
  <si>
    <t>MCB-2051448447</t>
  </si>
  <si>
    <t>FB-CA0000000251</t>
  </si>
  <si>
    <t>BI-00039854</t>
  </si>
  <si>
    <t>Bill-9900</t>
  </si>
  <si>
    <t>Golden VIP St</t>
  </si>
  <si>
    <t>Bill-0100</t>
  </si>
  <si>
    <t>Lucky Poineer</t>
  </si>
  <si>
    <t>Chq-16-08-25</t>
  </si>
  <si>
    <t>MB-22422768</t>
  </si>
  <si>
    <t>Asif-1020</t>
  </si>
  <si>
    <t>Shuaib store</t>
  </si>
  <si>
    <t>MCB-2045555986</t>
  </si>
  <si>
    <t>BAH-11941947</t>
  </si>
  <si>
    <t>BI-00198556</t>
  </si>
  <si>
    <t>BML-97662894</t>
  </si>
  <si>
    <t>HBL-000000375</t>
  </si>
  <si>
    <t>BAH-11912998</t>
  </si>
  <si>
    <t>Hassan Conf</t>
  </si>
  <si>
    <t>Imran Oli</t>
  </si>
  <si>
    <t>SS conf</t>
  </si>
  <si>
    <t>Qadeer Store</t>
  </si>
  <si>
    <t>Sinan Conf</t>
  </si>
  <si>
    <t>MB-21701978</t>
  </si>
  <si>
    <t>AB-2503720951</t>
  </si>
  <si>
    <t>BI-00197722</t>
  </si>
  <si>
    <t>Bill-9960</t>
  </si>
  <si>
    <t>Huzi gs</t>
  </si>
  <si>
    <t>BAH-11913009</t>
  </si>
  <si>
    <t>Chq-23-08-25</t>
  </si>
  <si>
    <t>BML-97664927</t>
  </si>
  <si>
    <t>Bill-1360</t>
  </si>
  <si>
    <t>Asif conf</t>
  </si>
  <si>
    <t>Bill-1370</t>
  </si>
  <si>
    <t>S.B.A</t>
  </si>
  <si>
    <t>Bill-1290</t>
  </si>
  <si>
    <t>Mehood Kashif</t>
  </si>
  <si>
    <t>Bill-1320</t>
  </si>
  <si>
    <t>Bill-1270</t>
  </si>
  <si>
    <t>FM marketing</t>
  </si>
  <si>
    <t>DD</t>
  </si>
  <si>
    <t>Mehmood</t>
  </si>
  <si>
    <t>CHQ</t>
  </si>
  <si>
    <t>Younus Store</t>
  </si>
  <si>
    <t>Asif-141</t>
  </si>
  <si>
    <t>Bill</t>
  </si>
  <si>
    <t>Bill-1440</t>
  </si>
  <si>
    <t>Shazad</t>
  </si>
  <si>
    <t>Bill-1390</t>
  </si>
  <si>
    <t>Bill-1430</t>
  </si>
  <si>
    <t>Younus store</t>
  </si>
  <si>
    <t>Bill-1380</t>
  </si>
  <si>
    <t>Abdul wahab conf</t>
  </si>
  <si>
    <t>Ismail conf</t>
  </si>
  <si>
    <t>Bill-1400</t>
  </si>
  <si>
    <t>Chq-21-08-25</t>
  </si>
  <si>
    <t>BAH-11941978</t>
  </si>
  <si>
    <t>BAH-10294991</t>
  </si>
  <si>
    <t>Bill-0960</t>
  </si>
  <si>
    <t>A.rehaman</t>
  </si>
  <si>
    <t>Hussnain  conf</t>
  </si>
  <si>
    <t>CD3%</t>
  </si>
  <si>
    <t>Bill-0910</t>
  </si>
  <si>
    <t>Noor provision</t>
  </si>
  <si>
    <t>Noor Provsion</t>
  </si>
  <si>
    <t>Bill-0400</t>
  </si>
  <si>
    <t>Chq-19-08-25</t>
  </si>
  <si>
    <t>UBL-82440307</t>
  </si>
  <si>
    <t>Chq-17-08-25</t>
  </si>
  <si>
    <t>BAH-10111068</t>
  </si>
  <si>
    <t>Fayyaz-960</t>
  </si>
  <si>
    <t>The Mart</t>
  </si>
  <si>
    <t>HBL-00000060</t>
  </si>
  <si>
    <t>BAL-10410432</t>
  </si>
  <si>
    <t>BAH-11199041</t>
  </si>
  <si>
    <t>BML-97662973</t>
  </si>
  <si>
    <t>sajid</t>
  </si>
  <si>
    <t>BLH-11637940</t>
  </si>
  <si>
    <t>MB-42212457</t>
  </si>
  <si>
    <t>BI-00198574</t>
  </si>
  <si>
    <t>BLH-11443644</t>
  </si>
  <si>
    <t>UBL-82326489</t>
  </si>
  <si>
    <t>Al shams milk</t>
  </si>
  <si>
    <t>Sajid-770</t>
  </si>
  <si>
    <t>Asif-1070</t>
  </si>
  <si>
    <t>Asif-1390</t>
  </si>
  <si>
    <t>Rameen cold</t>
  </si>
  <si>
    <t>Asif-1130</t>
  </si>
  <si>
    <t>Bill-1520</t>
  </si>
  <si>
    <t>Bill-1500</t>
  </si>
  <si>
    <t>Bill-1480</t>
  </si>
  <si>
    <t>Karachi</t>
  </si>
  <si>
    <t>Bill-1490</t>
  </si>
  <si>
    <t>Hussnain</t>
  </si>
  <si>
    <t>Bill-1510</t>
  </si>
  <si>
    <t>Macia conf</t>
  </si>
  <si>
    <t>Asif-0801</t>
  </si>
  <si>
    <t>Zunaisha conf</t>
  </si>
  <si>
    <t>MB-21701980</t>
  </si>
  <si>
    <t>Chq-22-08-25</t>
  </si>
  <si>
    <t>Bill-1550</t>
  </si>
  <si>
    <t>Bill-1580</t>
  </si>
  <si>
    <t>Bill-1560</t>
  </si>
  <si>
    <t>New Hassan</t>
  </si>
  <si>
    <t>Bill-1570</t>
  </si>
  <si>
    <t>UBL-82375967</t>
  </si>
  <si>
    <t>BI-00039863</t>
  </si>
  <si>
    <t>Chq-20-08-25</t>
  </si>
  <si>
    <t>FB-CA000253</t>
  </si>
  <si>
    <t>Bill-1700</t>
  </si>
  <si>
    <t>Noor store</t>
  </si>
  <si>
    <t>MBC-2045555970</t>
  </si>
  <si>
    <t>UBL-82326482</t>
  </si>
  <si>
    <t>MB-22522925</t>
  </si>
  <si>
    <t>MB22422778</t>
  </si>
  <si>
    <t>BI-00199052</t>
  </si>
  <si>
    <t>BML-97662413</t>
  </si>
  <si>
    <t>BLH-10144303</t>
  </si>
  <si>
    <t>BLH-10408332</t>
  </si>
  <si>
    <t>BAH-11637896</t>
  </si>
  <si>
    <t>E-42212439</t>
  </si>
  <si>
    <t>BI-00197707</t>
  </si>
  <si>
    <t>MB-20410055</t>
  </si>
  <si>
    <t>Salman St</t>
  </si>
  <si>
    <t>Abdul Rahman</t>
  </si>
  <si>
    <t>Midway Food</t>
  </si>
  <si>
    <t>Baqala mart</t>
  </si>
  <si>
    <t>Nimal mart</t>
  </si>
  <si>
    <t>Famous gs</t>
  </si>
  <si>
    <t>Asif-950</t>
  </si>
  <si>
    <t>Asif-1370</t>
  </si>
  <si>
    <t>Online</t>
  </si>
  <si>
    <t>Qadeer st</t>
  </si>
  <si>
    <t xml:space="preserve">Fayyaz </t>
  </si>
  <si>
    <t>Mavia st</t>
  </si>
  <si>
    <t>HBL-0061</t>
  </si>
  <si>
    <t>Asif-1510</t>
  </si>
  <si>
    <t>Asif-0791</t>
  </si>
  <si>
    <t>AB-2500151636</t>
  </si>
  <si>
    <t>MB-40948709</t>
  </si>
  <si>
    <t>BAH-10294956</t>
  </si>
  <si>
    <t>BAH-10294948</t>
  </si>
  <si>
    <t>UBL-823757951</t>
  </si>
  <si>
    <t>BLH-10297522</t>
  </si>
  <si>
    <t>BML-97662895</t>
  </si>
  <si>
    <t>BAH-10213914</t>
  </si>
  <si>
    <t>BLH-10878046</t>
  </si>
  <si>
    <t>BLH-10294946</t>
  </si>
  <si>
    <t>UBL-82375955</t>
  </si>
  <si>
    <t>BAH-10878048</t>
  </si>
  <si>
    <t>MB-22399576</t>
  </si>
  <si>
    <t>BAH-11913012</t>
  </si>
  <si>
    <t>BAH-11913006</t>
  </si>
  <si>
    <t>MB-22188453</t>
  </si>
  <si>
    <t>BAH-10410446</t>
  </si>
  <si>
    <t>Al Makkah</t>
  </si>
  <si>
    <t>Zikariya store</t>
  </si>
  <si>
    <t xml:space="preserve">AL Shams </t>
  </si>
  <si>
    <t>Ismail Conf</t>
  </si>
  <si>
    <t>Ahmed mart</t>
  </si>
  <si>
    <t>Al shams Milk</t>
  </si>
  <si>
    <t>Ahmad mart</t>
  </si>
  <si>
    <t>Imran SA</t>
  </si>
  <si>
    <t>Naveed Hamza</t>
  </si>
  <si>
    <t>13/08/25</t>
  </si>
  <si>
    <t>Imran gs</t>
  </si>
  <si>
    <t>Atif gs</t>
  </si>
  <si>
    <t>Asif-7980</t>
  </si>
  <si>
    <t>Asif-7990</t>
  </si>
  <si>
    <t>Asif-7970</t>
  </si>
  <si>
    <t>The good neighbour</t>
  </si>
  <si>
    <t>Office rant</t>
  </si>
  <si>
    <t>Abdul Wahab Conf</t>
  </si>
  <si>
    <t>HM-183363378</t>
  </si>
  <si>
    <t>Agha conf</t>
  </si>
  <si>
    <t>Asif-930</t>
  </si>
  <si>
    <t>Nasir &amp; sons</t>
  </si>
  <si>
    <t>Asif-0960</t>
  </si>
  <si>
    <t>online</t>
  </si>
  <si>
    <t>Attari gs</t>
  </si>
  <si>
    <t>Fayyaz-1560</t>
  </si>
  <si>
    <t>Mq mart</t>
  </si>
  <si>
    <t xml:space="preserve">Faizan-0120 </t>
  </si>
  <si>
    <t xml:space="preserve">Faisal-0400 </t>
  </si>
  <si>
    <t>Faizan- 0910</t>
  </si>
  <si>
    <t>today sheet</t>
  </si>
  <si>
    <t>BAF-40125388</t>
  </si>
  <si>
    <t>Bill-12630</t>
  </si>
  <si>
    <t>Bill-12400</t>
  </si>
  <si>
    <t>Abdul Salam</t>
  </si>
  <si>
    <t>Bill-12540</t>
  </si>
  <si>
    <t>Bill-12590</t>
  </si>
  <si>
    <t>BAH-10288022</t>
  </si>
  <si>
    <t>MB-43683138</t>
  </si>
  <si>
    <t>BI-00198579</t>
  </si>
  <si>
    <t>Chq-18-08-25</t>
  </si>
  <si>
    <t>BAH-11443649</t>
  </si>
  <si>
    <t>BI-00198561</t>
  </si>
  <si>
    <t>MB-22422739</t>
  </si>
  <si>
    <t>BAH-10294972</t>
  </si>
  <si>
    <t>Imran Store</t>
  </si>
  <si>
    <t>Rameen Cold</t>
  </si>
  <si>
    <t>Al noor BK</t>
  </si>
  <si>
    <t>Fahad</t>
  </si>
  <si>
    <t>Shahzad</t>
  </si>
  <si>
    <t>Maroof</t>
  </si>
  <si>
    <t>Sumair</t>
  </si>
  <si>
    <t>Asger</t>
  </si>
  <si>
    <t>Imran Sweets</t>
  </si>
  <si>
    <t>HM-183363379</t>
  </si>
  <si>
    <t>BI-00039869</t>
  </si>
  <si>
    <t>Bill-2360</t>
  </si>
  <si>
    <t>Naimat pan n gs</t>
  </si>
  <si>
    <t>BI-00199060</t>
  </si>
  <si>
    <t>FB-CA000000259</t>
  </si>
  <si>
    <t>Bill-2500</t>
  </si>
  <si>
    <t>BML-97662416</t>
  </si>
  <si>
    <t>HBL-0000092</t>
  </si>
  <si>
    <t>BAF-42037558</t>
  </si>
  <si>
    <t>Salman super st</t>
  </si>
  <si>
    <t>Abdullah cold</t>
  </si>
  <si>
    <t xml:space="preserve">Family Mart </t>
  </si>
  <si>
    <t>Prime gs</t>
  </si>
  <si>
    <t>Parim md</t>
  </si>
  <si>
    <t>BM food</t>
  </si>
  <si>
    <t>Khayal h</t>
  </si>
  <si>
    <t>Salf Mart</t>
  </si>
  <si>
    <t>Muneeb gs</t>
  </si>
  <si>
    <t>MB-22422797</t>
  </si>
  <si>
    <t>Chq-25-08-25</t>
  </si>
  <si>
    <t>BML-97665062</t>
  </si>
  <si>
    <t>Bill-1660</t>
  </si>
  <si>
    <t>Siraj bhai</t>
  </si>
  <si>
    <t>Bill-1670</t>
  </si>
  <si>
    <t>Bill-1600</t>
  </si>
  <si>
    <t>Bill-1620</t>
  </si>
  <si>
    <t>Mashallah habib</t>
  </si>
  <si>
    <t>Bill-1640</t>
  </si>
  <si>
    <t>Mehamood kashif</t>
  </si>
  <si>
    <t>Bill-1650</t>
  </si>
  <si>
    <t>Nasir n sans</t>
  </si>
  <si>
    <t>BAH-11913023</t>
  </si>
  <si>
    <t>BML-97664938</t>
  </si>
  <si>
    <t>13-08-25</t>
  </si>
  <si>
    <t>Chq-30-08-25</t>
  </si>
  <si>
    <t>BAH-10410857</t>
  </si>
  <si>
    <t>Asif-0231</t>
  </si>
  <si>
    <t>Today Summary</t>
  </si>
  <si>
    <t>online maroof</t>
  </si>
  <si>
    <t>Chq-26-08-25</t>
  </si>
  <si>
    <t>BAH-10295616</t>
  </si>
  <si>
    <t>BAH-10111072</t>
  </si>
  <si>
    <t>BAH-10687582</t>
  </si>
  <si>
    <t>MB-22534748</t>
  </si>
  <si>
    <t>BAH-10295009</t>
  </si>
  <si>
    <t>Chq-31-08-25</t>
  </si>
  <si>
    <t>Bill-1690</t>
  </si>
  <si>
    <t>Bill-1680</t>
  </si>
  <si>
    <t>Hassain conf</t>
  </si>
  <si>
    <t>Bill-1720</t>
  </si>
  <si>
    <t>Bill-1730</t>
  </si>
  <si>
    <t>Bill-1750</t>
  </si>
  <si>
    <t>Huzaifa conf</t>
  </si>
  <si>
    <t>Asif-0771</t>
  </si>
  <si>
    <t>Bill-1780</t>
  </si>
  <si>
    <t>Huzaifa  ws</t>
  </si>
  <si>
    <t>Sarim conf</t>
  </si>
  <si>
    <t>Umair st</t>
  </si>
  <si>
    <t>Bill-3180</t>
  </si>
  <si>
    <t>UBL-82326490</t>
  </si>
  <si>
    <t>BAH-11443652</t>
  </si>
  <si>
    <t>BI-00198582</t>
  </si>
  <si>
    <t>MB-43683141</t>
  </si>
  <si>
    <t>Chq-27-08-25</t>
  </si>
  <si>
    <t>Chq-24-08-25</t>
  </si>
  <si>
    <t>Chq-2708-25</t>
  </si>
  <si>
    <t>BAH-11639923</t>
  </si>
  <si>
    <t>Bill-3440</t>
  </si>
  <si>
    <t>Famuos gs</t>
  </si>
  <si>
    <t>Bill-1810</t>
  </si>
  <si>
    <t>Ashraf conf</t>
  </si>
  <si>
    <t>Bill-1820</t>
  </si>
  <si>
    <t>Bill-1830</t>
  </si>
  <si>
    <t>CD%2</t>
  </si>
  <si>
    <t>NAME: Shezad</t>
  </si>
  <si>
    <t>Petty Cash 16-08-25</t>
  </si>
  <si>
    <t>Petty Cash 17-08-25</t>
  </si>
  <si>
    <t>15-08-2025</t>
  </si>
  <si>
    <t>16-08-2025</t>
  </si>
  <si>
    <t>18-08-2025</t>
  </si>
  <si>
    <t>MB</t>
  </si>
  <si>
    <t>MH</t>
  </si>
  <si>
    <t>18-08-25</t>
  </si>
  <si>
    <t>Faisal-2360</t>
  </si>
  <si>
    <t>Bill-1860</t>
  </si>
  <si>
    <t>Bill-1870</t>
  </si>
  <si>
    <t>Dastageer</t>
  </si>
  <si>
    <t>Bill-1900</t>
  </si>
  <si>
    <t>Bill-1880</t>
  </si>
  <si>
    <t>Bill-1910</t>
  </si>
  <si>
    <t>Bill-3300</t>
  </si>
  <si>
    <t>Bill-3390</t>
  </si>
  <si>
    <t>Bill-3770</t>
  </si>
  <si>
    <t>Al Shams</t>
  </si>
  <si>
    <t>BI-00199065</t>
  </si>
  <si>
    <t>BAH-10213927</t>
  </si>
  <si>
    <t>MB-22422804</t>
  </si>
  <si>
    <t>MB-22772731</t>
  </si>
  <si>
    <t>BI-00039874</t>
  </si>
  <si>
    <t>HM-183363380</t>
  </si>
  <si>
    <t>Today sheet</t>
  </si>
  <si>
    <t>Fayyaz-3180</t>
  </si>
  <si>
    <t>Asif-0840</t>
  </si>
  <si>
    <t>Asif-1260</t>
  </si>
  <si>
    <t>Dastageer store</t>
  </si>
  <si>
    <t>Asif-1240</t>
  </si>
  <si>
    <t>Asif-1250</t>
  </si>
  <si>
    <t>Asif-1520</t>
  </si>
  <si>
    <t>19-08-2025</t>
  </si>
  <si>
    <t>BAH-10295620</t>
  </si>
  <si>
    <t>BAF-45410277</t>
  </si>
  <si>
    <t>BAH-10111075</t>
  </si>
  <si>
    <t>BAH-10412222</t>
  </si>
  <si>
    <t>Shoaib Store</t>
  </si>
  <si>
    <t>Saad Medical</t>
  </si>
  <si>
    <t>Adil</t>
  </si>
  <si>
    <t>Faheem Traders</t>
  </si>
  <si>
    <t>Ahmed &amp; Sons</t>
  </si>
  <si>
    <t>ZM mart</t>
  </si>
  <si>
    <t xml:space="preserve">Asif conf </t>
  </si>
  <si>
    <t>faisal</t>
  </si>
  <si>
    <t>BLH-10297523</t>
  </si>
  <si>
    <t>BAF-40125373</t>
  </si>
  <si>
    <t>BML-97664923</t>
  </si>
  <si>
    <t>BAH-11637921</t>
  </si>
  <si>
    <t>BLH-10144308</t>
  </si>
  <si>
    <t xml:space="preserve">Askari B-0018556 </t>
  </si>
  <si>
    <t>BAH-11913002</t>
  </si>
  <si>
    <t>MB-19033069</t>
  </si>
  <si>
    <t xml:space="preserve">Askari B-00093498 </t>
  </si>
  <si>
    <t xml:space="preserve">Askari B-00093499 </t>
  </si>
  <si>
    <t>HM-184607626</t>
  </si>
  <si>
    <t>Asif-1600</t>
  </si>
  <si>
    <t>Asif-1620</t>
  </si>
  <si>
    <t>19-08-2025 Received</t>
  </si>
  <si>
    <t>Moon G Store</t>
  </si>
  <si>
    <t>Mubeen store</t>
  </si>
  <si>
    <t>Abdullha cold</t>
  </si>
  <si>
    <t>BAH-10295414</t>
  </si>
  <si>
    <t>MCB-2051448454</t>
  </si>
  <si>
    <t>BAL-10288022</t>
  </si>
  <si>
    <t>Bill-5150</t>
  </si>
  <si>
    <t>BAH-11639927</t>
  </si>
  <si>
    <t>UBL-82440312</t>
  </si>
  <si>
    <t>Asif-1480</t>
  </si>
  <si>
    <t>BAH-11443100</t>
  </si>
  <si>
    <t>BI-00198584</t>
  </si>
  <si>
    <t>MB-E43683145</t>
  </si>
  <si>
    <t>UBL-82326476</t>
  </si>
  <si>
    <t>BAH-11443654</t>
  </si>
  <si>
    <t>BAH-10072712</t>
  </si>
  <si>
    <t>BAH-10288036</t>
  </si>
  <si>
    <t>AB-2500151637</t>
  </si>
  <si>
    <t>Asif-0761</t>
  </si>
  <si>
    <t>HM-183498550</t>
  </si>
  <si>
    <t>21-08-2025</t>
  </si>
  <si>
    <t>Asif-1640</t>
  </si>
  <si>
    <t>Bill-1970</t>
  </si>
  <si>
    <t>Mehmood kashif</t>
  </si>
  <si>
    <t>Bill-1990</t>
  </si>
  <si>
    <t>Dastagir</t>
  </si>
  <si>
    <t>BAH-11913030</t>
  </si>
  <si>
    <t>Chq-05-09-25</t>
  </si>
  <si>
    <t>BML-97664946</t>
  </si>
  <si>
    <t>Bill-1410</t>
  </si>
  <si>
    <t xml:space="preserve">Golden vip </t>
  </si>
  <si>
    <t>MB-21701986</t>
  </si>
  <si>
    <t>MCB-00200936</t>
  </si>
  <si>
    <t>Chq-29-08-25</t>
  </si>
  <si>
    <t>MCB-00200938</t>
  </si>
  <si>
    <t>MCB-00200939</t>
  </si>
  <si>
    <t>Asif-8040</t>
  </si>
  <si>
    <t>MB-23643638</t>
  </si>
  <si>
    <t>Chq-02-09-25</t>
  </si>
  <si>
    <t>Asif-1440</t>
  </si>
  <si>
    <t>Faisal-9900</t>
  </si>
  <si>
    <t>Asif-1380</t>
  </si>
  <si>
    <t>BML- 97334347</t>
  </si>
  <si>
    <t xml:space="preserve">Askari B-00093497 </t>
  </si>
  <si>
    <t>22-08-2025</t>
  </si>
  <si>
    <t>Bill-2030</t>
  </si>
  <si>
    <t>Bill-2010</t>
  </si>
  <si>
    <t>Shahzad conf</t>
  </si>
  <si>
    <t>Bill-2020</t>
  </si>
  <si>
    <t>isamail conf</t>
  </si>
  <si>
    <t>BAH-10295016</t>
  </si>
  <si>
    <t>HM-18452598</t>
  </si>
  <si>
    <t>Asif-1430</t>
  </si>
  <si>
    <t>BAH-10111076</t>
  </si>
  <si>
    <t>HBL-0000159</t>
  </si>
  <si>
    <t>HBL-0000158</t>
  </si>
  <si>
    <t xml:space="preserve">Asif </t>
  </si>
  <si>
    <t>Faisal-5150</t>
  </si>
  <si>
    <t>BAH-10144316</t>
  </si>
  <si>
    <t>BML-97662896</t>
  </si>
  <si>
    <t>BLH-10297531</t>
  </si>
  <si>
    <t>BML-97662901</t>
  </si>
  <si>
    <t>BAH-10878054</t>
  </si>
  <si>
    <t>MB-22399591</t>
  </si>
  <si>
    <t>BML-97668441</t>
  </si>
  <si>
    <t>MB-10881075</t>
  </si>
  <si>
    <t>Aslam Sapplier (siraj bhai)</t>
  </si>
  <si>
    <t>Hasnain Conf</t>
  </si>
  <si>
    <t>Famliy mart</t>
  </si>
  <si>
    <t>Abdul salam</t>
  </si>
  <si>
    <t>Asif-2030</t>
  </si>
  <si>
    <t>21-08-25</t>
  </si>
  <si>
    <t>Asif-1190</t>
  </si>
  <si>
    <t>Asif-1730</t>
  </si>
  <si>
    <t>Pak dry gs</t>
  </si>
  <si>
    <t>Cheque Bounce</t>
  </si>
  <si>
    <t>Sajid-3770</t>
  </si>
  <si>
    <t>BAH-10412251</t>
  </si>
  <si>
    <t>UBL-82326496</t>
  </si>
  <si>
    <t>Chq-3-09-25</t>
  </si>
  <si>
    <t>BI-00198591</t>
  </si>
  <si>
    <t>BAH-11443658</t>
  </si>
  <si>
    <t>MB-43683149</t>
  </si>
  <si>
    <t>Bill-2070</t>
  </si>
  <si>
    <t>Bill-2140</t>
  </si>
  <si>
    <t>Abid conf</t>
  </si>
  <si>
    <t>Adv Sulman KPO</t>
  </si>
  <si>
    <t>Cash Shortage Cd</t>
  </si>
  <si>
    <t>25-08-2025</t>
  </si>
  <si>
    <t>Bill-2110</t>
  </si>
  <si>
    <t>BAH-11942351</t>
  </si>
  <si>
    <t>BAH-10295004</t>
  </si>
  <si>
    <t>Bill-2150</t>
  </si>
  <si>
    <t>Bill-2160</t>
  </si>
  <si>
    <t>Bill-2170</t>
  </si>
  <si>
    <t>Bill-2200</t>
  </si>
  <si>
    <t>MS Farooq pan</t>
  </si>
  <si>
    <t>farhaj khan</t>
  </si>
  <si>
    <t>MB-22534753</t>
  </si>
  <si>
    <t>Bill-5930</t>
  </si>
  <si>
    <t>Chq-05-09-2025</t>
  </si>
  <si>
    <t>BAH-11004204</t>
  </si>
  <si>
    <t>Chq-28-08-2025</t>
  </si>
  <si>
    <t>BI-00039878</t>
  </si>
  <si>
    <t>Chq-5-09-2025</t>
  </si>
  <si>
    <t>MCB-2051448465</t>
  </si>
  <si>
    <t>Chq-03-09-2025</t>
  </si>
  <si>
    <t>FB-CA0000000263</t>
  </si>
  <si>
    <t>Chq-06-09-2025</t>
  </si>
  <si>
    <t>BML-97665067</t>
  </si>
  <si>
    <t>Chq-09-09-2025</t>
  </si>
  <si>
    <t>MB-A-22772747</t>
  </si>
  <si>
    <t>MB-A23643662</t>
  </si>
  <si>
    <t>Chq-03-09-25</t>
  </si>
  <si>
    <t>MB-21701988</t>
  </si>
  <si>
    <t>Chq-01-09-25</t>
  </si>
  <si>
    <t>AB-2504379738</t>
  </si>
  <si>
    <t>Chq-04-09-25</t>
  </si>
  <si>
    <t>BAH-11062110</t>
  </si>
  <si>
    <t>UBL-80436977</t>
  </si>
  <si>
    <t>BI-00199081</t>
  </si>
  <si>
    <t>MB-22422778</t>
  </si>
  <si>
    <t>BAH-10878057</t>
  </si>
  <si>
    <t>BAH-10295003</t>
  </si>
  <si>
    <t>BAH-11039983</t>
  </si>
  <si>
    <t>MB-A-19033076</t>
  </si>
  <si>
    <t>Askari-00179238</t>
  </si>
  <si>
    <t>BAH-11913021</t>
  </si>
  <si>
    <t xml:space="preserve">Al shmas </t>
  </si>
  <si>
    <t>Irfan store</t>
  </si>
  <si>
    <t>Sinan conf</t>
  </si>
  <si>
    <t>Faizan-12540</t>
  </si>
  <si>
    <t>25-08-25</t>
  </si>
  <si>
    <t>Asif-1880</t>
  </si>
  <si>
    <t>RY traders</t>
  </si>
  <si>
    <t>Asif-1000</t>
  </si>
  <si>
    <t>Asif-1820</t>
  </si>
  <si>
    <t>MH pan</t>
  </si>
  <si>
    <t>26-08-2025</t>
  </si>
  <si>
    <t>Bin Asim</t>
  </si>
  <si>
    <t>Aysha GS</t>
  </si>
  <si>
    <t>BAF-40301711</t>
  </si>
  <si>
    <t>Chq-08-09-25</t>
  </si>
  <si>
    <t>HM-183864149</t>
  </si>
  <si>
    <t>BAH-10144317</t>
  </si>
  <si>
    <t>Chq-06-09-25</t>
  </si>
  <si>
    <t>UBL-82440316</t>
  </si>
  <si>
    <t>BAH-10295629</t>
  </si>
  <si>
    <t>BAH-10111078</t>
  </si>
  <si>
    <t>NAME: Shazy</t>
  </si>
  <si>
    <t>Asif-1140</t>
  </si>
  <si>
    <t>BAH-10412274</t>
  </si>
  <si>
    <t>MB-23202177</t>
  </si>
  <si>
    <t>BAH-10295418</t>
  </si>
  <si>
    <t>BAH-10728582</t>
  </si>
  <si>
    <t>MB-23073991</t>
  </si>
  <si>
    <t>FaheemTraders</t>
  </si>
  <si>
    <t>Prime Madical</t>
  </si>
  <si>
    <t>Ahmeed mart</t>
  </si>
  <si>
    <t>Al rehman st</t>
  </si>
  <si>
    <t>Fahad st</t>
  </si>
  <si>
    <t>27-08-2025</t>
  </si>
  <si>
    <t>Asif-1680</t>
  </si>
  <si>
    <t>Asif-1970</t>
  </si>
  <si>
    <t>BAF-40125391</t>
  </si>
  <si>
    <t>Chq-10-09-25</t>
  </si>
  <si>
    <t>BAH-11641575</t>
  </si>
  <si>
    <t>Chq-3-08-25</t>
  </si>
  <si>
    <t>UBL-82326497</t>
  </si>
  <si>
    <t>Chq-4-08-25</t>
  </si>
  <si>
    <t>MB-E43683154</t>
  </si>
  <si>
    <t>Prime niedicon</t>
  </si>
  <si>
    <t>Adil store</t>
  </si>
  <si>
    <t>Amir saleem</t>
  </si>
  <si>
    <t>BML-97668442</t>
  </si>
  <si>
    <t>28-08-25</t>
  </si>
  <si>
    <t>chq-1</t>
  </si>
  <si>
    <t>FB-CA000269</t>
  </si>
  <si>
    <t>MCB-2051448470</t>
  </si>
  <si>
    <t>Van</t>
  </si>
  <si>
    <t>MB-A-23643683</t>
  </si>
  <si>
    <t>BI-00199092</t>
  </si>
  <si>
    <t>BAH-10017280</t>
  </si>
  <si>
    <t>Asif-1830</t>
  </si>
  <si>
    <t>Asif-1870</t>
  </si>
  <si>
    <t>Asif-1690</t>
  </si>
  <si>
    <t>Asif-2010</t>
  </si>
  <si>
    <t>BAH-11913043</t>
  </si>
  <si>
    <t>Chq-2-09-25</t>
  </si>
  <si>
    <t>Chq-12-09-25</t>
  </si>
  <si>
    <t>BML-97664958</t>
  </si>
  <si>
    <t>Bill-2270</t>
  </si>
  <si>
    <t>Bill-2240</t>
  </si>
  <si>
    <t>Mashallha Habib</t>
  </si>
  <si>
    <t>Bill-2260</t>
  </si>
  <si>
    <t>CD%</t>
  </si>
  <si>
    <t>BAH-11913036</t>
  </si>
  <si>
    <t>MS Mashallah miik</t>
  </si>
  <si>
    <t>Asif-1320</t>
  </si>
  <si>
    <t>29-08-25</t>
  </si>
  <si>
    <t>Bill-2310</t>
  </si>
  <si>
    <t>Bill-2320</t>
  </si>
  <si>
    <t>AJ Conf</t>
  </si>
  <si>
    <t>Bill-2350</t>
  </si>
  <si>
    <t>Bill-2340</t>
  </si>
  <si>
    <t>Shahid Conf</t>
  </si>
  <si>
    <t>BAH-10300223</t>
  </si>
  <si>
    <t>MCB-2045555979</t>
  </si>
  <si>
    <t>BAH-10412292</t>
  </si>
  <si>
    <t>BAH-10111080</t>
  </si>
  <si>
    <t>Today Sheet</t>
  </si>
  <si>
    <t>UBL-82440321</t>
  </si>
  <si>
    <t>Asif-1500</t>
  </si>
  <si>
    <t>BAH-10961138</t>
  </si>
  <si>
    <t>FB-CA0000000001</t>
  </si>
  <si>
    <t>Chq-11-09-25</t>
  </si>
  <si>
    <t>HM-184733326</t>
  </si>
  <si>
    <t>BAH-10687589</t>
  </si>
  <si>
    <t>30-08-25</t>
  </si>
  <si>
    <t>Bill-4685</t>
  </si>
  <si>
    <t>Asghar store</t>
  </si>
  <si>
    <t>Chq-13-09-25</t>
  </si>
  <si>
    <t>BAF-40125397</t>
  </si>
  <si>
    <t>Chq-09-09-25</t>
  </si>
  <si>
    <t>MB-E42432558</t>
  </si>
  <si>
    <t>Chq-07-09-25</t>
  </si>
  <si>
    <t>UBL-82326499</t>
  </si>
  <si>
    <t>BAH-11446616</t>
  </si>
  <si>
    <t>MB-E43683156</t>
  </si>
  <si>
    <t>Faisal-3440</t>
  </si>
  <si>
    <t>Imran oli</t>
  </si>
  <si>
    <t>Bill-2380</t>
  </si>
  <si>
    <t>Bill-2390</t>
  </si>
  <si>
    <t>SS Conf</t>
  </si>
  <si>
    <t>Bill-2400</t>
  </si>
  <si>
    <t>Choice conf</t>
  </si>
  <si>
    <t>Bill-2410</t>
  </si>
  <si>
    <t>Karachi Conf</t>
  </si>
  <si>
    <t>Bill-19000</t>
  </si>
  <si>
    <t>Nadeem b</t>
  </si>
  <si>
    <t>Bill-18420</t>
  </si>
  <si>
    <t>Populer mart</t>
  </si>
  <si>
    <t>HM-1842433219</t>
  </si>
  <si>
    <t>HM-184243221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</si>
</sst>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m/d/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6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5" borderId="0" xfId="0" applyFont="1" applyFill="1" applyAlignment="1">
      <alignment horizontal="center" vertical="center"/>
    </xf>
    <xf numFmtId="164" fontId="0" fillId="0" borderId="0" xfId="1" applyNumberFormat="1" applyFont="1"/>
    <xf numFmtId="164" fontId="3" fillId="4" borderId="5" xfId="1" applyNumberFormat="1" applyFont="1" applyFill="1" applyBorder="1" applyAlignment="1">
      <alignment horizontal="center"/>
    </xf>
    <xf numFmtId="164" fontId="5" fillId="0" borderId="1" xfId="1" applyNumberFormat="1" applyFont="1" applyBorder="1"/>
    <xf numFmtId="164" fontId="3" fillId="3" borderId="2" xfId="1" applyNumberFormat="1" applyFont="1" applyFill="1" applyBorder="1" applyAlignment="1">
      <alignment vertical="center"/>
    </xf>
    <xf numFmtId="164" fontId="3" fillId="2" borderId="4" xfId="1" applyNumberFormat="1" applyFont="1" applyFill="1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2" fillId="5" borderId="0" xfId="0" applyFont="1" applyFill="1" applyBorder="1" applyAlignment="1">
      <alignment horizontal="center" vertical="center"/>
    </xf>
    <xf numFmtId="164" fontId="0" fillId="0" borderId="0" xfId="1" applyNumberFormat="1" applyFont="1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Fill="1" applyBorder="1"/>
    <xf numFmtId="164" fontId="0" fillId="0" borderId="0" xfId="0" applyNumberFormat="1"/>
    <xf numFmtId="164" fontId="0" fillId="0" borderId="9" xfId="1" applyNumberFormat="1" applyFont="1" applyBorder="1"/>
    <xf numFmtId="164" fontId="0" fillId="0" borderId="11" xfId="1" applyNumberFormat="1" applyFont="1" applyBorder="1"/>
    <xf numFmtId="0" fontId="3" fillId="6" borderId="12" xfId="0" applyFont="1" applyFill="1" applyBorder="1" applyAlignment="1">
      <alignment vertical="center"/>
    </xf>
    <xf numFmtId="0" fontId="3" fillId="6" borderId="13" xfId="0" applyFont="1" applyFill="1" applyBorder="1" applyAlignment="1">
      <alignment vertical="center"/>
    </xf>
    <xf numFmtId="164" fontId="3" fillId="6" borderId="14" xfId="1" applyNumberFormat="1" applyFont="1" applyFill="1" applyBorder="1" applyAlignment="1">
      <alignment vertical="center"/>
    </xf>
    <xf numFmtId="0" fontId="4" fillId="0" borderId="0" xfId="0" applyFont="1" applyFill="1"/>
    <xf numFmtId="0" fontId="4" fillId="0" borderId="10" xfId="0" applyFont="1" applyFill="1" applyBorder="1"/>
    <xf numFmtId="0" fontId="4" fillId="0" borderId="11" xfId="0" applyFont="1" applyFill="1" applyBorder="1"/>
    <xf numFmtId="0" fontId="4" fillId="0" borderId="0" xfId="0" applyFont="1" applyFill="1" applyAlignment="1">
      <alignment horizontal="center" vertical="center"/>
    </xf>
    <xf numFmtId="0" fontId="3" fillId="0" borderId="0" xfId="0" applyFont="1"/>
    <xf numFmtId="0" fontId="3" fillId="0" borderId="10" xfId="0" applyFont="1" applyBorder="1"/>
    <xf numFmtId="0" fontId="3" fillId="0" borderId="11" xfId="0" applyFont="1" applyBorder="1"/>
    <xf numFmtId="0" fontId="3" fillId="7" borderId="10" xfId="0" applyFont="1" applyFill="1" applyBorder="1"/>
    <xf numFmtId="0" fontId="3" fillId="7" borderId="0" xfId="0" applyFont="1" applyFill="1" applyBorder="1"/>
    <xf numFmtId="164" fontId="0" fillId="8" borderId="0" xfId="1" applyNumberFormat="1" applyFont="1" applyFill="1"/>
    <xf numFmtId="164" fontId="0" fillId="8" borderId="0" xfId="1" applyNumberFormat="1" applyFont="1" applyFill="1" applyBorder="1"/>
    <xf numFmtId="0" fontId="4" fillId="8" borderId="0" xfId="0" applyFont="1" applyFill="1" applyBorder="1" applyAlignment="1">
      <alignment horizontal="center" vertical="center"/>
    </xf>
    <xf numFmtId="0" fontId="0" fillId="8" borderId="0" xfId="0" applyFill="1" applyBorder="1" applyAlignment="1">
      <alignment horizontal="center"/>
    </xf>
    <xf numFmtId="0" fontId="0" fillId="8" borderId="0" xfId="0" applyFill="1" applyBorder="1"/>
    <xf numFmtId="0" fontId="0" fillId="8" borderId="0" xfId="0" applyFill="1"/>
    <xf numFmtId="0" fontId="0" fillId="8" borderId="7" xfId="0" applyFill="1" applyBorder="1"/>
    <xf numFmtId="0" fontId="0" fillId="8" borderId="8" xfId="0" applyFill="1" applyBorder="1"/>
    <xf numFmtId="164" fontId="0" fillId="8" borderId="9" xfId="1" applyNumberFormat="1" applyFont="1" applyFill="1" applyBorder="1"/>
    <xf numFmtId="0" fontId="0" fillId="8" borderId="10" xfId="0" applyFill="1" applyBorder="1"/>
    <xf numFmtId="164" fontId="0" fillId="8" borderId="11" xfId="1" applyNumberFormat="1" applyFont="1" applyFill="1" applyBorder="1"/>
    <xf numFmtId="0" fontId="3" fillId="11" borderId="0" xfId="0" applyFont="1" applyFill="1" applyAlignment="1">
      <alignment horizontal="center"/>
    </xf>
    <xf numFmtId="0" fontId="3" fillId="4" borderId="0" xfId="0" applyFont="1" applyFill="1"/>
    <xf numFmtId="164" fontId="3" fillId="4" borderId="0" xfId="1" applyNumberFormat="1" applyFont="1" applyFill="1"/>
    <xf numFmtId="0" fontId="2" fillId="10" borderId="0" xfId="0" applyFont="1" applyFill="1"/>
    <xf numFmtId="164" fontId="2" fillId="10" borderId="0" xfId="1" applyNumberFormat="1" applyFont="1" applyFill="1"/>
    <xf numFmtId="14" fontId="0" fillId="0" borderId="0" xfId="0" applyNumberFormat="1"/>
    <xf numFmtId="0" fontId="0" fillId="9" borderId="0" xfId="0" applyFill="1"/>
    <xf numFmtId="0" fontId="3" fillId="9" borderId="0" xfId="0" applyFont="1" applyFill="1"/>
    <xf numFmtId="0" fontId="3" fillId="11" borderId="1" xfId="0" applyFont="1" applyFill="1" applyBorder="1"/>
    <xf numFmtId="0" fontId="2" fillId="10" borderId="0" xfId="0" applyFont="1" applyFill="1" applyBorder="1" applyAlignment="1">
      <alignment vertical="center"/>
    </xf>
    <xf numFmtId="164" fontId="2" fillId="10" borderId="0" xfId="0" applyNumberFormat="1" applyFont="1" applyFill="1" applyBorder="1" applyAlignment="1">
      <alignment vertical="center"/>
    </xf>
    <xf numFmtId="0" fontId="3" fillId="12" borderId="5" xfId="0" applyFont="1" applyFill="1" applyBorder="1"/>
    <xf numFmtId="164" fontId="3" fillId="12" borderId="5" xfId="0" applyNumberFormat="1" applyFont="1" applyFill="1" applyBorder="1"/>
    <xf numFmtId="0" fontId="3" fillId="11" borderId="1" xfId="0" applyFont="1" applyFill="1" applyBorder="1" applyAlignment="1"/>
    <xf numFmtId="15" fontId="0" fillId="0" borderId="0" xfId="0" applyNumberFormat="1" applyFill="1" applyBorder="1"/>
    <xf numFmtId="0" fontId="3" fillId="9" borderId="0" xfId="0" applyFont="1" applyFill="1" applyBorder="1" applyAlignment="1">
      <alignment horizontal="center"/>
    </xf>
    <xf numFmtId="3" fontId="0" fillId="0" borderId="0" xfId="0" applyNumberFormat="1"/>
    <xf numFmtId="0" fontId="3" fillId="11" borderId="16" xfId="0" applyFont="1" applyFill="1" applyBorder="1" applyAlignment="1"/>
    <xf numFmtId="0" fontId="0" fillId="0" borderId="0" xfId="0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14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0" fillId="15" borderId="0" xfId="0" applyFill="1" applyAlignment="1">
      <alignment horizontal="center"/>
    </xf>
    <xf numFmtId="14" fontId="0" fillId="15" borderId="0" xfId="0" applyNumberFormat="1" applyFill="1" applyAlignment="1">
      <alignment horizontal="center"/>
    </xf>
    <xf numFmtId="0" fontId="0" fillId="15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5" borderId="0" xfId="0" applyFont="1" applyFill="1" applyAlignment="1">
      <alignment horizontal="center" vertical="center"/>
    </xf>
    <xf numFmtId="164" fontId="0" fillId="0" borderId="0" xfId="1" applyNumberFormat="1" applyFont="1"/>
    <xf numFmtId="164" fontId="3" fillId="4" borderId="5" xfId="1" applyNumberFormat="1" applyFont="1" applyFill="1" applyBorder="1" applyAlignment="1">
      <alignment horizontal="center"/>
    </xf>
    <xf numFmtId="164" fontId="5" fillId="0" borderId="1" xfId="1" applyNumberFormat="1" applyFont="1" applyBorder="1"/>
    <xf numFmtId="164" fontId="3" fillId="3" borderId="2" xfId="1" applyNumberFormat="1" applyFont="1" applyFill="1" applyBorder="1" applyAlignment="1">
      <alignment vertical="center"/>
    </xf>
    <xf numFmtId="164" fontId="3" fillId="2" borderId="4" xfId="1" applyNumberFormat="1" applyFont="1" applyFill="1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2" fillId="5" borderId="0" xfId="0" applyFont="1" applyFill="1" applyBorder="1" applyAlignment="1">
      <alignment horizontal="center" vertical="center"/>
    </xf>
    <xf numFmtId="164" fontId="0" fillId="0" borderId="0" xfId="1" applyNumberFormat="1" applyFont="1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Fill="1" applyBorder="1"/>
    <xf numFmtId="164" fontId="0" fillId="0" borderId="9" xfId="1" applyNumberFormat="1" applyFont="1" applyBorder="1"/>
    <xf numFmtId="164" fontId="0" fillId="0" borderId="11" xfId="1" applyNumberFormat="1" applyFont="1" applyBorder="1"/>
    <xf numFmtId="0" fontId="3" fillId="6" borderId="12" xfId="0" applyFont="1" applyFill="1" applyBorder="1" applyAlignment="1">
      <alignment vertical="center"/>
    </xf>
    <xf numFmtId="0" fontId="3" fillId="6" borderId="13" xfId="0" applyFont="1" applyFill="1" applyBorder="1" applyAlignment="1">
      <alignment vertical="center"/>
    </xf>
    <xf numFmtId="164" fontId="3" fillId="6" borderId="14" xfId="1" applyNumberFormat="1" applyFont="1" applyFill="1" applyBorder="1" applyAlignment="1">
      <alignment vertical="center"/>
    </xf>
    <xf numFmtId="0" fontId="4" fillId="0" borderId="0" xfId="0" applyFont="1" applyFill="1"/>
    <xf numFmtId="0" fontId="4" fillId="0" borderId="10" xfId="0" applyFont="1" applyFill="1" applyBorder="1"/>
    <xf numFmtId="0" fontId="4" fillId="0" borderId="11" xfId="0" applyFont="1" applyFill="1" applyBorder="1"/>
    <xf numFmtId="0" fontId="4" fillId="0" borderId="0" xfId="0" applyFont="1" applyFill="1" applyAlignment="1">
      <alignment horizontal="center" vertical="center"/>
    </xf>
    <xf numFmtId="0" fontId="3" fillId="0" borderId="0" xfId="0" applyFont="1"/>
    <xf numFmtId="0" fontId="3" fillId="0" borderId="10" xfId="0" applyFont="1" applyBorder="1"/>
    <xf numFmtId="0" fontId="3" fillId="0" borderId="11" xfId="0" applyFont="1" applyBorder="1"/>
    <xf numFmtId="0" fontId="3" fillId="7" borderId="10" xfId="0" applyFont="1" applyFill="1" applyBorder="1"/>
    <xf numFmtId="0" fontId="3" fillId="7" borderId="0" xfId="0" applyFont="1" applyFill="1" applyBorder="1"/>
    <xf numFmtId="164" fontId="3" fillId="7" borderId="11" xfId="1" applyNumberFormat="1" applyFont="1" applyFill="1" applyBorder="1"/>
    <xf numFmtId="164" fontId="0" fillId="8" borderId="0" xfId="1" applyNumberFormat="1" applyFont="1" applyFill="1"/>
    <xf numFmtId="164" fontId="0" fillId="8" borderId="0" xfId="1" applyNumberFormat="1" applyFont="1" applyFill="1" applyBorder="1"/>
    <xf numFmtId="0" fontId="4" fillId="8" borderId="0" xfId="0" applyFont="1" applyFill="1" applyBorder="1" applyAlignment="1">
      <alignment horizontal="center" vertical="center"/>
    </xf>
    <xf numFmtId="0" fontId="0" fillId="8" borderId="0" xfId="0" applyFill="1" applyBorder="1" applyAlignment="1">
      <alignment horizontal="center"/>
    </xf>
    <xf numFmtId="0" fontId="0" fillId="8" borderId="0" xfId="0" applyFill="1" applyBorder="1"/>
    <xf numFmtId="0" fontId="0" fillId="8" borderId="0" xfId="0" applyFill="1"/>
    <xf numFmtId="164" fontId="5" fillId="8" borderId="1" xfId="1" applyNumberFormat="1" applyFont="1" applyFill="1" applyBorder="1"/>
    <xf numFmtId="0" fontId="0" fillId="8" borderId="7" xfId="0" applyFill="1" applyBorder="1"/>
    <xf numFmtId="0" fontId="0" fillId="8" borderId="8" xfId="0" applyFill="1" applyBorder="1"/>
    <xf numFmtId="164" fontId="0" fillId="8" borderId="9" xfId="1" applyNumberFormat="1" applyFont="1" applyFill="1" applyBorder="1"/>
    <xf numFmtId="0" fontId="0" fillId="8" borderId="10" xfId="0" applyFill="1" applyBorder="1"/>
    <xf numFmtId="164" fontId="0" fillId="8" borderId="11" xfId="1" applyNumberFormat="1" applyFont="1" applyFill="1" applyBorder="1"/>
    <xf numFmtId="0" fontId="3" fillId="11" borderId="0" xfId="0" applyFont="1" applyFill="1" applyAlignment="1">
      <alignment horizontal="center"/>
    </xf>
    <xf numFmtId="0" fontId="3" fillId="4" borderId="0" xfId="0" applyFont="1" applyFill="1"/>
    <xf numFmtId="164" fontId="3" fillId="4" borderId="0" xfId="1" applyNumberFormat="1" applyFont="1" applyFill="1"/>
    <xf numFmtId="0" fontId="2" fillId="10" borderId="0" xfId="0" applyFont="1" applyFill="1"/>
    <xf numFmtId="164" fontId="2" fillId="10" borderId="0" xfId="1" applyNumberFormat="1" applyFont="1" applyFill="1"/>
    <xf numFmtId="14" fontId="0" fillId="0" borderId="0" xfId="0" applyNumberFormat="1"/>
    <xf numFmtId="0" fontId="0" fillId="9" borderId="0" xfId="0" applyFill="1"/>
    <xf numFmtId="0" fontId="3" fillId="9" borderId="0" xfId="0" applyFont="1" applyFill="1"/>
    <xf numFmtId="0" fontId="3" fillId="11" borderId="1" xfId="0" applyFont="1" applyFill="1" applyBorder="1"/>
    <xf numFmtId="0" fontId="2" fillId="10" borderId="0" xfId="0" applyFont="1" applyFill="1" applyBorder="1" applyAlignment="1">
      <alignment vertical="center"/>
    </xf>
    <xf numFmtId="164" fontId="2" fillId="10" borderId="0" xfId="0" applyNumberFormat="1" applyFont="1" applyFill="1" applyBorder="1" applyAlignment="1">
      <alignment vertical="center"/>
    </xf>
    <xf numFmtId="0" fontId="3" fillId="12" borderId="5" xfId="0" applyFont="1" applyFill="1" applyBorder="1"/>
    <xf numFmtId="164" fontId="3" fillId="12" borderId="5" xfId="0" applyNumberFormat="1" applyFont="1" applyFill="1" applyBorder="1"/>
    <xf numFmtId="0" fontId="3" fillId="11" borderId="1" xfId="0" applyFont="1" applyFill="1" applyBorder="1" applyAlignment="1"/>
    <xf numFmtId="0" fontId="3" fillId="9" borderId="0" xfId="0" applyFont="1" applyFill="1" applyBorder="1" applyAlignment="1">
      <alignment horizontal="center"/>
    </xf>
    <xf numFmtId="3" fontId="0" fillId="0" borderId="0" xfId="0" applyNumberFormat="1"/>
    <xf numFmtId="3" fontId="0" fillId="0" borderId="0" xfId="0" applyNumberFormat="1" applyFill="1" applyBorder="1"/>
    <xf numFmtId="3" fontId="0" fillId="0" borderId="0" xfId="0" applyNumberFormat="1" applyBorder="1"/>
    <xf numFmtId="0" fontId="3" fillId="11" borderId="16" xfId="0" applyFont="1" applyFill="1" applyBorder="1" applyAlignment="1"/>
    <xf numFmtId="0" fontId="3" fillId="11" borderId="16" xfId="0" applyFont="1" applyFill="1" applyBorder="1"/>
    <xf numFmtId="0" fontId="0" fillId="0" borderId="15" xfId="0" applyBorder="1"/>
    <xf numFmtId="3" fontId="0" fillId="0" borderId="15" xfId="0" applyNumberFormat="1" applyBorder="1"/>
    <xf numFmtId="3" fontId="0" fillId="0" borderId="15" xfId="0" applyNumberFormat="1" applyFill="1" applyBorder="1"/>
    <xf numFmtId="0" fontId="0" fillId="13" borderId="15" xfId="0" applyFill="1" applyBorder="1"/>
    <xf numFmtId="15" fontId="0" fillId="13" borderId="15" xfId="0" applyNumberFormat="1" applyFill="1" applyBorder="1"/>
    <xf numFmtId="15" fontId="0" fillId="14" borderId="15" xfId="0" applyNumberFormat="1" applyFill="1" applyBorder="1"/>
    <xf numFmtId="0" fontId="0" fillId="14" borderId="15" xfId="0" applyFill="1" applyBorder="1"/>
    <xf numFmtId="15" fontId="0" fillId="14" borderId="15" xfId="0" applyNumberFormat="1" applyFill="1" applyBorder="1" applyAlignment="1">
      <alignment horizontal="right"/>
    </xf>
    <xf numFmtId="164" fontId="0" fillId="0" borderId="0" xfId="0" applyNumberFormat="1"/>
    <xf numFmtId="164" fontId="0" fillId="7" borderId="11" xfId="1" applyNumberFormat="1" applyFont="1" applyFill="1" applyBorder="1"/>
    <xf numFmtId="0" fontId="0" fillId="13" borderId="0" xfId="0" applyFill="1" applyBorder="1"/>
    <xf numFmtId="15" fontId="0" fillId="13" borderId="0" xfId="0" applyNumberFormat="1" applyFill="1" applyBorder="1"/>
    <xf numFmtId="15" fontId="0" fillId="14" borderId="0" xfId="0" applyNumberFormat="1" applyFill="1" applyBorder="1"/>
    <xf numFmtId="0" fontId="0" fillId="14" borderId="0" xfId="0" applyFill="1" applyBorder="1"/>
    <xf numFmtId="0" fontId="0" fillId="16" borderId="0" xfId="0" applyFill="1" applyBorder="1"/>
    <xf numFmtId="15" fontId="0" fillId="16" borderId="0" xfId="0" applyNumberFormat="1" applyFill="1" applyBorder="1"/>
    <xf numFmtId="3" fontId="0" fillId="16" borderId="0" xfId="0" applyNumberFormat="1" applyFill="1" applyBorder="1"/>
    <xf numFmtId="0" fontId="0" fillId="0" borderId="15" xfId="0" applyFill="1" applyBorder="1"/>
    <xf numFmtId="0" fontId="0" fillId="16" borderId="15" xfId="0" applyFill="1" applyBorder="1"/>
    <xf numFmtId="0" fontId="0" fillId="7" borderId="15" xfId="0" applyFill="1" applyBorder="1"/>
    <xf numFmtId="0" fontId="0" fillId="7" borderId="0" xfId="0" applyFill="1" applyBorder="1"/>
    <xf numFmtId="0" fontId="0" fillId="7" borderId="0" xfId="0" applyFill="1"/>
    <xf numFmtId="164" fontId="0" fillId="0" borderId="15" xfId="1" applyNumberFormat="1" applyFont="1" applyFill="1" applyBorder="1"/>
    <xf numFmtId="164" fontId="3" fillId="11" borderId="16" xfId="0" applyNumberFormat="1" applyFont="1" applyFill="1" applyBorder="1"/>
    <xf numFmtId="3" fontId="3" fillId="11" borderId="1" xfId="0" applyNumberFormat="1" applyFont="1" applyFill="1" applyBorder="1"/>
    <xf numFmtId="0" fontId="0" fillId="17" borderId="0" xfId="0" applyFill="1" applyAlignment="1">
      <alignment horizontal="center"/>
    </xf>
    <xf numFmtId="15" fontId="0" fillId="16" borderId="0" xfId="0" applyNumberFormat="1" applyFill="1" applyBorder="1" applyAlignment="1">
      <alignment horizontal="right"/>
    </xf>
    <xf numFmtId="15" fontId="0" fillId="3" borderId="0" xfId="0" applyNumberFormat="1" applyFill="1" applyBorder="1"/>
    <xf numFmtId="0" fontId="0" fillId="3" borderId="0" xfId="0" applyFill="1" applyBorder="1"/>
    <xf numFmtId="3" fontId="0" fillId="3" borderId="0" xfId="0" applyNumberFormat="1" applyFill="1" applyBorder="1"/>
    <xf numFmtId="15" fontId="0" fillId="16" borderId="15" xfId="0" applyNumberFormat="1" applyFill="1" applyBorder="1"/>
    <xf numFmtId="15" fontId="0" fillId="16" borderId="15" xfId="0" applyNumberFormat="1" applyFill="1" applyBorder="1" applyAlignment="1">
      <alignment horizontal="right"/>
    </xf>
    <xf numFmtId="3" fontId="0" fillId="16" borderId="15" xfId="0" applyNumberFormat="1" applyFill="1" applyBorder="1"/>
    <xf numFmtId="0" fontId="0" fillId="3" borderId="15" xfId="0" applyFill="1" applyBorder="1"/>
    <xf numFmtId="0" fontId="0" fillId="13" borderId="0" xfId="0" applyFill="1"/>
    <xf numFmtId="9" fontId="0" fillId="0" borderId="0" xfId="0" applyNumberFormat="1" applyAlignment="1">
      <alignment horizontal="right"/>
    </xf>
    <xf numFmtId="0" fontId="0" fillId="16" borderId="15" xfId="0" applyNumberFormat="1" applyFill="1" applyBorder="1"/>
    <xf numFmtId="3" fontId="3" fillId="11" borderId="16" xfId="0" applyNumberFormat="1" applyFont="1" applyFill="1" applyBorder="1"/>
    <xf numFmtId="164" fontId="0" fillId="0" borderId="0" xfId="1" applyNumberFormat="1" applyFont="1" applyFill="1"/>
    <xf numFmtId="0" fontId="0" fillId="16" borderId="15" xfId="0" applyFont="1" applyFill="1" applyBorder="1"/>
    <xf numFmtId="0" fontId="4" fillId="13" borderId="15" xfId="0" applyFont="1" applyFill="1" applyBorder="1"/>
    <xf numFmtId="165" fontId="4" fillId="13" borderId="15" xfId="0" applyNumberFormat="1" applyFont="1" applyFill="1" applyBorder="1"/>
    <xf numFmtId="0" fontId="3" fillId="9" borderId="1" xfId="0" applyFont="1" applyFill="1" applyBorder="1" applyAlignment="1">
      <alignment horizontal="center"/>
    </xf>
    <xf numFmtId="164" fontId="3" fillId="11" borderId="1" xfId="1" applyNumberFormat="1" applyFont="1" applyFill="1" applyBorder="1"/>
    <xf numFmtId="0" fontId="0" fillId="0" borderId="9" xfId="0" applyBorder="1"/>
    <xf numFmtId="164" fontId="0" fillId="0" borderId="0" xfId="1" applyNumberFormat="1" applyFont="1" applyFill="1" applyBorder="1"/>
    <xf numFmtId="0" fontId="3" fillId="9" borderId="1" xfId="0" applyFont="1" applyFill="1" applyBorder="1" applyAlignment="1">
      <alignment horizontal="center"/>
    </xf>
    <xf numFmtId="164" fontId="0" fillId="13" borderId="0" xfId="1" applyNumberFormat="1" applyFont="1" applyFill="1" applyBorder="1"/>
    <xf numFmtId="164" fontId="0" fillId="16" borderId="0" xfId="1" applyNumberFormat="1" applyFont="1" applyFill="1" applyBorder="1"/>
    <xf numFmtId="15" fontId="0" fillId="0" borderId="0" xfId="0" applyNumberFormat="1" applyBorder="1" applyAlignment="1">
      <alignment horizontal="right"/>
    </xf>
    <xf numFmtId="3" fontId="0" fillId="0" borderId="0" xfId="1" applyNumberFormat="1" applyFont="1" applyBorder="1"/>
    <xf numFmtId="0" fontId="0" fillId="16" borderId="0" xfId="0" applyFill="1"/>
    <xf numFmtId="15" fontId="0" fillId="16" borderId="0" xfId="0" applyNumberFormat="1" applyFill="1" applyBorder="1" applyAlignment="1">
      <alignment horizontal="left"/>
    </xf>
    <xf numFmtId="0" fontId="3" fillId="9" borderId="1" xfId="0" applyFont="1" applyFill="1" applyBorder="1" applyAlignment="1">
      <alignment horizontal="center"/>
    </xf>
    <xf numFmtId="0" fontId="8" fillId="0" borderId="0" xfId="0" applyFont="1"/>
    <xf numFmtId="0" fontId="3" fillId="9" borderId="1" xfId="0" applyFont="1" applyFill="1" applyBorder="1" applyAlignment="1">
      <alignment horizontal="left"/>
    </xf>
    <xf numFmtId="0" fontId="3" fillId="16" borderId="0" xfId="0" applyFont="1" applyFill="1" applyBorder="1" applyAlignment="1">
      <alignment horizontal="center"/>
    </xf>
    <xf numFmtId="0" fontId="3" fillId="16" borderId="0" xfId="0" applyFont="1" applyFill="1" applyAlignment="1">
      <alignment horizontal="center"/>
    </xf>
    <xf numFmtId="0" fontId="3" fillId="9" borderId="1" xfId="0" applyFont="1" applyFill="1" applyBorder="1" applyAlignment="1">
      <alignment horizontal="center"/>
    </xf>
    <xf numFmtId="15" fontId="0" fillId="0" borderId="0" xfId="0" applyNumberFormat="1" applyFill="1" applyBorder="1" applyAlignment="1">
      <alignment horizontal="left"/>
    </xf>
    <xf numFmtId="0" fontId="3" fillId="9" borderId="1" xfId="0" applyFont="1" applyFill="1" applyBorder="1" applyAlignment="1"/>
    <xf numFmtId="3" fontId="0" fillId="16" borderId="0" xfId="1" applyNumberFormat="1" applyFont="1" applyFill="1" applyBorder="1"/>
    <xf numFmtId="0" fontId="3" fillId="9" borderId="1" xfId="0" applyFont="1" applyFill="1" applyBorder="1" applyAlignment="1">
      <alignment horizontal="center"/>
    </xf>
    <xf numFmtId="164" fontId="1" fillId="3" borderId="2" xfId="1" applyNumberFormat="1" applyFont="1" applyFill="1" applyBorder="1" applyAlignment="1">
      <alignment vertical="center"/>
    </xf>
    <xf numFmtId="0" fontId="0" fillId="18" borderId="0" xfId="0" applyFill="1"/>
    <xf numFmtId="164" fontId="0" fillId="18" borderId="0" xfId="1" applyNumberFormat="1" applyFont="1" applyFill="1"/>
    <xf numFmtId="15" fontId="0" fillId="16" borderId="0" xfId="0" applyNumberFormat="1" applyFont="1" applyFill="1" applyBorder="1"/>
    <xf numFmtId="0" fontId="0" fillId="16" borderId="0" xfId="0" applyFont="1" applyFill="1" applyBorder="1"/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9" fontId="0" fillId="0" borderId="10" xfId="0" applyNumberFormat="1" applyBorder="1" applyAlignment="1">
      <alignment horizontal="left"/>
    </xf>
    <xf numFmtId="0" fontId="3" fillId="11" borderId="0" xfId="0" applyFont="1" applyFill="1" applyAlignment="1"/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3" fontId="0" fillId="16" borderId="0" xfId="0" applyNumberFormat="1" applyFill="1" applyBorder="1" applyAlignment="1">
      <alignment horizontal="right"/>
    </xf>
    <xf numFmtId="164" fontId="0" fillId="16" borderId="0" xfId="1" applyNumberFormat="1" applyFont="1" applyFill="1" applyBorder="1" applyAlignment="1">
      <alignment horizontal="right"/>
    </xf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0" fillId="19" borderId="0" xfId="0" applyFill="1"/>
    <xf numFmtId="164" fontId="0" fillId="19" borderId="0" xfId="1" applyNumberFormat="1" applyFont="1" applyFill="1"/>
    <xf numFmtId="3" fontId="0" fillId="0" borderId="15" xfId="0" applyNumberFormat="1" applyBorder="1" applyAlignment="1">
      <alignment horizontal="right"/>
    </xf>
    <xf numFmtId="14" fontId="0" fillId="16" borderId="0" xfId="0" applyNumberFormat="1" applyFill="1" applyBorder="1"/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9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M38"/>
  <sheetViews>
    <sheetView topLeftCell="A2" zoomScale="80" zoomScaleNormal="80" workbookViewId="0">
      <selection activeCell="AB34" sqref="AB34"/>
    </sheetView>
  </sheetViews>
  <sheetFormatPr defaultRowHeight="15" x14ac:dyDescent="0.25"/>
  <cols>
    <col min="1" max="2" width="9.140625" style="85"/>
    <col min="3" max="3" width="14.5703125" style="85" bestFit="1" customWidth="1"/>
    <col min="4" max="4" width="9.140625" style="85"/>
    <col min="5" max="5" width="1.42578125" style="85" customWidth="1"/>
    <col min="6" max="8" width="9.140625" style="85"/>
    <col min="9" max="9" width="2.28515625" style="85" customWidth="1"/>
    <col min="10" max="12" width="9.140625" style="85"/>
    <col min="13" max="13" width="1.28515625" style="85" customWidth="1"/>
    <col min="14" max="14" width="9.140625" style="85"/>
    <col min="15" max="15" width="14.5703125" style="85" bestFit="1" customWidth="1"/>
    <col min="16" max="16" width="9.140625" style="85"/>
    <col min="17" max="17" width="1.140625" style="85" customWidth="1"/>
    <col min="18" max="18" width="9.140625" style="85"/>
    <col min="19" max="19" width="14.5703125" style="85" bestFit="1" customWidth="1"/>
    <col min="20" max="20" width="9.5703125" style="85" bestFit="1" customWidth="1"/>
    <col min="21" max="21" width="1.85546875" style="85" customWidth="1"/>
    <col min="22" max="22" width="1.140625" style="85" customWidth="1"/>
    <col min="23" max="24" width="9.140625" style="85"/>
    <col min="25" max="25" width="9.5703125" style="85" bestFit="1" customWidth="1"/>
    <col min="26" max="26" width="1.28515625" style="85" customWidth="1"/>
    <col min="27" max="27" width="9.140625" style="85"/>
    <col min="28" max="28" width="11.28515625" style="85" bestFit="1" customWidth="1"/>
    <col min="29" max="29" width="9.5703125" style="85" customWidth="1"/>
    <col min="30" max="30" width="23.7109375" style="85" bestFit="1" customWidth="1"/>
    <col min="31" max="31" width="13.85546875" style="85" bestFit="1" customWidth="1"/>
    <col min="32" max="32" width="9.5703125" style="85" bestFit="1" customWidth="1"/>
    <col min="33" max="33" width="17.140625" style="85" bestFit="1" customWidth="1"/>
    <col min="34" max="36" width="9.140625" style="85"/>
    <col min="37" max="37" width="9.85546875" style="85" bestFit="1" customWidth="1"/>
    <col min="38" max="38" width="18.7109375" style="85" bestFit="1" customWidth="1"/>
    <col min="39" max="39" width="9.5703125" style="85" bestFit="1" customWidth="1"/>
    <col min="40" max="16384" width="9.140625" style="85"/>
  </cols>
  <sheetData>
    <row r="3" spans="2:39" x14ac:dyDescent="0.25">
      <c r="B3" s="240" t="s">
        <v>0</v>
      </c>
      <c r="C3" s="240"/>
      <c r="D3" s="240"/>
      <c r="F3" s="240" t="s">
        <v>1</v>
      </c>
      <c r="G3" s="240"/>
      <c r="H3" s="240"/>
      <c r="J3" s="240" t="s">
        <v>2</v>
      </c>
      <c r="K3" s="240"/>
      <c r="L3" s="240"/>
      <c r="N3" s="240" t="s">
        <v>3</v>
      </c>
      <c r="O3" s="240"/>
      <c r="P3" s="240"/>
      <c r="R3" s="240" t="s">
        <v>4</v>
      </c>
      <c r="S3" s="240"/>
      <c r="T3" s="240"/>
      <c r="V3" s="96"/>
      <c r="W3" s="239" t="s">
        <v>5</v>
      </c>
      <c r="X3" s="239"/>
      <c r="Y3" s="239"/>
      <c r="Z3" s="97"/>
    </row>
    <row r="4" spans="2:39" x14ac:dyDescent="0.25">
      <c r="B4" s="88" t="s">
        <v>6</v>
      </c>
      <c r="C4" s="88" t="s">
        <v>7</v>
      </c>
      <c r="D4" s="88" t="s">
        <v>8</v>
      </c>
      <c r="F4" s="88" t="s">
        <v>6</v>
      </c>
      <c r="G4" s="88" t="s">
        <v>7</v>
      </c>
      <c r="H4" s="88" t="s">
        <v>8</v>
      </c>
      <c r="J4" s="88" t="s">
        <v>6</v>
      </c>
      <c r="K4" s="88" t="s">
        <v>7</v>
      </c>
      <c r="L4" s="88" t="s">
        <v>8</v>
      </c>
      <c r="N4" s="88" t="s">
        <v>6</v>
      </c>
      <c r="O4" s="88" t="s">
        <v>7</v>
      </c>
      <c r="P4" s="88" t="s">
        <v>8</v>
      </c>
      <c r="R4" s="88" t="s">
        <v>6</v>
      </c>
      <c r="S4" s="88" t="s">
        <v>7</v>
      </c>
      <c r="T4" s="88" t="s">
        <v>8</v>
      </c>
      <c r="V4" s="96"/>
      <c r="W4" s="98" t="s">
        <v>6</v>
      </c>
      <c r="X4" s="98" t="s">
        <v>7</v>
      </c>
      <c r="Y4" s="98" t="s">
        <v>8</v>
      </c>
      <c r="Z4" s="97"/>
    </row>
    <row r="5" spans="2:39" ht="15.75" thickBot="1" x14ac:dyDescent="0.3">
      <c r="B5" s="113">
        <v>1</v>
      </c>
      <c r="C5" s="113"/>
      <c r="D5" s="120">
        <v>0</v>
      </c>
      <c r="E5" s="110"/>
      <c r="F5" s="113">
        <v>1</v>
      </c>
      <c r="G5" s="113">
        <v>5</v>
      </c>
      <c r="H5" s="120">
        <v>5</v>
      </c>
      <c r="I5" s="110"/>
      <c r="J5" s="113">
        <v>1</v>
      </c>
      <c r="K5" s="113"/>
      <c r="L5" s="120">
        <v>0</v>
      </c>
      <c r="M5" s="110"/>
      <c r="N5" s="113">
        <v>1</v>
      </c>
      <c r="O5" s="113"/>
      <c r="P5" s="120">
        <v>0</v>
      </c>
      <c r="Q5" s="110"/>
      <c r="R5" s="113">
        <v>1</v>
      </c>
      <c r="S5" s="113">
        <v>5</v>
      </c>
      <c r="T5" s="120">
        <v>5</v>
      </c>
      <c r="U5" s="110"/>
      <c r="V5" s="111"/>
      <c r="W5" s="122">
        <v>1</v>
      </c>
      <c r="X5" s="123">
        <v>10</v>
      </c>
      <c r="Y5" s="121">
        <v>10</v>
      </c>
      <c r="Z5" s="112"/>
      <c r="AA5" s="110"/>
      <c r="AE5" s="241" t="s">
        <v>9</v>
      </c>
      <c r="AF5" s="241"/>
      <c r="AG5" s="241"/>
      <c r="AH5" s="241"/>
      <c r="AI5" s="241"/>
      <c r="AJ5" s="146"/>
    </row>
    <row r="6" spans="2:39" ht="15.75" thickTop="1" x14ac:dyDescent="0.25">
      <c r="B6" s="86">
        <v>10</v>
      </c>
      <c r="C6" s="86">
        <v>119</v>
      </c>
      <c r="D6" s="120">
        <v>1190</v>
      </c>
      <c r="F6" s="86">
        <v>10</v>
      </c>
      <c r="G6" s="86">
        <v>26</v>
      </c>
      <c r="H6" s="120">
        <v>260</v>
      </c>
      <c r="J6" s="86">
        <v>10</v>
      </c>
      <c r="K6" s="86">
        <v>57</v>
      </c>
      <c r="L6" s="120">
        <v>570</v>
      </c>
      <c r="N6" s="86">
        <v>10</v>
      </c>
      <c r="O6" s="86">
        <v>511</v>
      </c>
      <c r="P6" s="120">
        <v>5110</v>
      </c>
      <c r="R6" s="86">
        <v>10</v>
      </c>
      <c r="S6" s="86">
        <v>1</v>
      </c>
      <c r="T6" s="120">
        <v>10</v>
      </c>
      <c r="V6" s="96"/>
      <c r="W6" s="123">
        <v>10</v>
      </c>
      <c r="X6" s="123">
        <v>714</v>
      </c>
      <c r="Y6" s="121">
        <v>7140</v>
      </c>
      <c r="Z6" s="97"/>
      <c r="AB6" s="110"/>
      <c r="AC6" s="110"/>
      <c r="AD6" s="110"/>
      <c r="AK6" s="110"/>
      <c r="AL6" s="110"/>
      <c r="AM6" s="110"/>
    </row>
    <row r="7" spans="2:39" x14ac:dyDescent="0.25">
      <c r="B7" s="86">
        <v>20</v>
      </c>
      <c r="C7" s="86">
        <v>4</v>
      </c>
      <c r="D7" s="120">
        <v>80</v>
      </c>
      <c r="F7" s="86">
        <v>20</v>
      </c>
      <c r="G7" s="86">
        <v>4</v>
      </c>
      <c r="H7" s="120">
        <v>80</v>
      </c>
      <c r="J7" s="86">
        <v>20</v>
      </c>
      <c r="K7" s="86">
        <v>4</v>
      </c>
      <c r="L7" s="120">
        <v>80</v>
      </c>
      <c r="N7" s="86">
        <v>20</v>
      </c>
      <c r="O7" s="86">
        <v>87</v>
      </c>
      <c r="P7" s="120">
        <v>1740</v>
      </c>
      <c r="R7" s="86">
        <v>20</v>
      </c>
      <c r="S7" s="86"/>
      <c r="T7" s="120">
        <v>0</v>
      </c>
      <c r="V7" s="96"/>
      <c r="W7" s="123">
        <v>20</v>
      </c>
      <c r="X7" s="123">
        <v>99</v>
      </c>
      <c r="Y7" s="121">
        <v>1980</v>
      </c>
      <c r="Z7" s="97"/>
      <c r="AE7" s="141" t="s">
        <v>10</v>
      </c>
      <c r="AF7" s="142">
        <v>257580</v>
      </c>
      <c r="AG7" s="110"/>
      <c r="AH7" s="110"/>
      <c r="AI7" s="110"/>
      <c r="AJ7" s="110"/>
    </row>
    <row r="8" spans="2:39" x14ac:dyDescent="0.25">
      <c r="B8" s="86">
        <v>50</v>
      </c>
      <c r="C8" s="86">
        <v>16</v>
      </c>
      <c r="D8" s="120">
        <v>800</v>
      </c>
      <c r="F8" s="86">
        <v>50</v>
      </c>
      <c r="G8" s="86">
        <v>14</v>
      </c>
      <c r="H8" s="120">
        <v>700</v>
      </c>
      <c r="J8" s="86">
        <v>50</v>
      </c>
      <c r="K8" s="86">
        <v>36</v>
      </c>
      <c r="L8" s="120">
        <v>1800</v>
      </c>
      <c r="N8" s="86">
        <v>50</v>
      </c>
      <c r="O8" s="86">
        <v>23</v>
      </c>
      <c r="P8" s="120">
        <v>1150</v>
      </c>
      <c r="R8" s="86">
        <v>50</v>
      </c>
      <c r="S8" s="86"/>
      <c r="T8" s="120">
        <v>0</v>
      </c>
      <c r="V8" s="96"/>
      <c r="W8" s="123">
        <v>50</v>
      </c>
      <c r="X8" s="123">
        <v>89</v>
      </c>
      <c r="Y8" s="121">
        <v>4450</v>
      </c>
      <c r="Z8" s="97"/>
      <c r="AE8" s="138" t="s">
        <v>11</v>
      </c>
      <c r="AF8" s="138">
        <v>45852</v>
      </c>
      <c r="AK8" s="88" t="s">
        <v>6</v>
      </c>
      <c r="AL8" s="88" t="s">
        <v>7</v>
      </c>
      <c r="AM8" s="88" t="s">
        <v>8</v>
      </c>
    </row>
    <row r="9" spans="2:39" ht="15.75" thickBot="1" x14ac:dyDescent="0.3">
      <c r="B9" s="86">
        <v>100</v>
      </c>
      <c r="C9" s="86">
        <v>14</v>
      </c>
      <c r="D9" s="120">
        <v>1400</v>
      </c>
      <c r="F9" s="86">
        <v>100</v>
      </c>
      <c r="G9" s="86">
        <v>32</v>
      </c>
      <c r="H9" s="120">
        <v>3200</v>
      </c>
      <c r="J9" s="86">
        <v>100</v>
      </c>
      <c r="K9" s="86">
        <v>40</v>
      </c>
      <c r="L9" s="120">
        <v>4000</v>
      </c>
      <c r="N9" s="86">
        <v>100</v>
      </c>
      <c r="O9" s="86">
        <v>58</v>
      </c>
      <c r="P9" s="120">
        <v>5800</v>
      </c>
      <c r="R9" s="86">
        <v>100</v>
      </c>
      <c r="S9" s="86">
        <v>1</v>
      </c>
      <c r="T9" s="120">
        <v>100</v>
      </c>
      <c r="V9" s="96"/>
      <c r="W9" s="123">
        <v>100</v>
      </c>
      <c r="X9" s="123">
        <v>145</v>
      </c>
      <c r="Y9" s="121">
        <v>14500</v>
      </c>
      <c r="Z9" s="97"/>
      <c r="AE9" s="143" t="s">
        <v>12</v>
      </c>
      <c r="AF9" s="144">
        <v>303432</v>
      </c>
      <c r="AK9" s="113">
        <v>1</v>
      </c>
      <c r="AL9" s="113">
        <v>10</v>
      </c>
      <c r="AM9" s="120">
        <v>10</v>
      </c>
    </row>
    <row r="10" spans="2:39" x14ac:dyDescent="0.25">
      <c r="B10" s="86">
        <v>500</v>
      </c>
      <c r="C10" s="86">
        <v>21</v>
      </c>
      <c r="D10" s="120">
        <v>10500</v>
      </c>
      <c r="F10" s="86">
        <v>500</v>
      </c>
      <c r="G10" s="86">
        <v>27</v>
      </c>
      <c r="H10" s="120">
        <v>13500</v>
      </c>
      <c r="J10" s="86">
        <v>500</v>
      </c>
      <c r="K10" s="86">
        <v>34</v>
      </c>
      <c r="L10" s="120">
        <v>17000</v>
      </c>
      <c r="N10" s="86">
        <v>500</v>
      </c>
      <c r="O10" s="86">
        <v>34</v>
      </c>
      <c r="P10" s="120">
        <v>17000</v>
      </c>
      <c r="R10" s="86">
        <v>500</v>
      </c>
      <c r="S10" s="86">
        <v>1</v>
      </c>
      <c r="T10" s="120">
        <v>500</v>
      </c>
      <c r="V10" s="96"/>
      <c r="W10" s="123">
        <v>500</v>
      </c>
      <c r="X10" s="123">
        <v>117</v>
      </c>
      <c r="Y10" s="121">
        <v>58500</v>
      </c>
      <c r="Z10" s="97"/>
      <c r="AK10" s="86">
        <v>10</v>
      </c>
      <c r="AL10" s="86">
        <v>716</v>
      </c>
      <c r="AM10" s="120">
        <v>7160</v>
      </c>
    </row>
    <row r="11" spans="2:39" x14ac:dyDescent="0.25">
      <c r="B11" s="86">
        <v>1000</v>
      </c>
      <c r="C11" s="86">
        <v>24</v>
      </c>
      <c r="D11" s="120">
        <v>24000</v>
      </c>
      <c r="F11" s="86">
        <v>1000</v>
      </c>
      <c r="G11" s="86">
        <v>60</v>
      </c>
      <c r="H11" s="120">
        <v>60000</v>
      </c>
      <c r="J11" s="86">
        <v>1000</v>
      </c>
      <c r="K11" s="86">
        <v>35</v>
      </c>
      <c r="L11" s="120">
        <v>35000</v>
      </c>
      <c r="N11" s="86">
        <v>1000</v>
      </c>
      <c r="O11" s="86">
        <v>26</v>
      </c>
      <c r="P11" s="120">
        <v>26000</v>
      </c>
      <c r="R11" s="86">
        <v>1000</v>
      </c>
      <c r="S11" s="86">
        <v>6</v>
      </c>
      <c r="T11" s="120">
        <v>6000</v>
      </c>
      <c r="V11" s="96"/>
      <c r="W11" s="123">
        <v>1000</v>
      </c>
      <c r="X11" s="123">
        <v>151</v>
      </c>
      <c r="Y11" s="121">
        <v>151000</v>
      </c>
      <c r="Z11" s="97"/>
      <c r="AE11" s="132" t="s">
        <v>13</v>
      </c>
      <c r="AF11" s="132" t="s">
        <v>8</v>
      </c>
      <c r="AG11" s="132" t="s">
        <v>14</v>
      </c>
      <c r="AH11" s="132" t="s">
        <v>15</v>
      </c>
      <c r="AI11" s="132" t="s">
        <v>16</v>
      </c>
      <c r="AJ11" s="132"/>
      <c r="AK11" s="86">
        <v>20</v>
      </c>
      <c r="AL11" s="86">
        <v>100</v>
      </c>
      <c r="AM11" s="120">
        <v>2000</v>
      </c>
    </row>
    <row r="12" spans="2:39" x14ac:dyDescent="0.25">
      <c r="B12" s="86">
        <v>5000</v>
      </c>
      <c r="C12" s="86"/>
      <c r="D12" s="120">
        <v>0</v>
      </c>
      <c r="F12" s="86">
        <v>5000</v>
      </c>
      <c r="G12" s="86">
        <v>1</v>
      </c>
      <c r="H12" s="120">
        <v>5000</v>
      </c>
      <c r="J12" s="86">
        <v>5000</v>
      </c>
      <c r="K12" s="86"/>
      <c r="L12" s="120">
        <v>0</v>
      </c>
      <c r="N12" s="86">
        <v>5000</v>
      </c>
      <c r="O12" s="86">
        <v>1</v>
      </c>
      <c r="P12" s="120">
        <v>5000</v>
      </c>
      <c r="R12" s="86">
        <v>5000</v>
      </c>
      <c r="S12" s="86">
        <v>2</v>
      </c>
      <c r="T12" s="120">
        <v>10000</v>
      </c>
      <c r="V12" s="96"/>
      <c r="W12" s="123">
        <v>5000</v>
      </c>
      <c r="X12" s="123">
        <v>4</v>
      </c>
      <c r="Y12" s="121">
        <v>20000</v>
      </c>
      <c r="Z12" s="97"/>
      <c r="AE12" s="85" t="s">
        <v>17</v>
      </c>
      <c r="AF12" s="89">
        <v>306330</v>
      </c>
      <c r="AG12" s="85">
        <v>19360</v>
      </c>
      <c r="AH12" s="137">
        <v>45696</v>
      </c>
      <c r="AI12" s="85" t="s">
        <v>223</v>
      </c>
      <c r="AK12" s="86">
        <v>50</v>
      </c>
      <c r="AL12" s="86">
        <v>89</v>
      </c>
      <c r="AM12" s="120">
        <v>4450</v>
      </c>
    </row>
    <row r="13" spans="2:39" ht="15.75" thickBot="1" x14ac:dyDescent="0.3">
      <c r="B13" s="87" t="s">
        <v>18</v>
      </c>
      <c r="C13" s="87"/>
      <c r="D13" s="90">
        <v>37970</v>
      </c>
      <c r="F13" s="87" t="s">
        <v>18</v>
      </c>
      <c r="G13" s="87"/>
      <c r="H13" s="90">
        <v>82745</v>
      </c>
      <c r="J13" s="87" t="s">
        <v>18</v>
      </c>
      <c r="K13" s="87"/>
      <c r="L13" s="90">
        <v>58450</v>
      </c>
      <c r="N13" s="87" t="s">
        <v>18</v>
      </c>
      <c r="O13" s="87"/>
      <c r="P13" s="90">
        <v>61800</v>
      </c>
      <c r="R13" s="87" t="s">
        <v>18</v>
      </c>
      <c r="S13" s="87"/>
      <c r="T13" s="90">
        <v>16615</v>
      </c>
      <c r="V13" s="96"/>
      <c r="W13" s="87" t="s">
        <v>18</v>
      </c>
      <c r="X13" s="87"/>
      <c r="Y13" s="90">
        <v>257580</v>
      </c>
      <c r="Z13" s="97"/>
      <c r="AE13" s="85" t="s">
        <v>19</v>
      </c>
      <c r="AF13" s="89">
        <v>102</v>
      </c>
      <c r="AK13" s="86">
        <v>100</v>
      </c>
      <c r="AL13" s="86">
        <v>147</v>
      </c>
      <c r="AM13" s="120">
        <v>14700</v>
      </c>
    </row>
    <row r="14" spans="2:39" ht="15.75" thickBot="1" x14ac:dyDescent="0.3">
      <c r="V14" s="96"/>
      <c r="W14" s="100"/>
      <c r="X14" s="100"/>
      <c r="Y14" s="100"/>
      <c r="Z14" s="97"/>
      <c r="AE14" s="85" t="s">
        <v>20</v>
      </c>
      <c r="AF14" s="89"/>
      <c r="AK14" s="86">
        <v>500</v>
      </c>
      <c r="AL14" s="86">
        <v>118</v>
      </c>
      <c r="AM14" s="120">
        <v>59000</v>
      </c>
    </row>
    <row r="15" spans="2:39" ht="15.75" thickBot="1" x14ac:dyDescent="0.3">
      <c r="B15" s="242" t="s">
        <v>21</v>
      </c>
      <c r="C15" s="243"/>
      <c r="D15" s="92">
        <v>46755</v>
      </c>
      <c r="E15" s="114"/>
      <c r="F15" s="242" t="s">
        <v>21</v>
      </c>
      <c r="G15" s="243"/>
      <c r="H15" s="92">
        <v>88155</v>
      </c>
      <c r="I15" s="114"/>
      <c r="J15" s="242" t="s">
        <v>21</v>
      </c>
      <c r="K15" s="243"/>
      <c r="L15" s="92">
        <v>58355</v>
      </c>
      <c r="M15" s="114"/>
      <c r="N15" s="242" t="s">
        <v>21</v>
      </c>
      <c r="O15" s="243"/>
      <c r="P15" s="92">
        <v>88332</v>
      </c>
      <c r="Q15" s="114"/>
      <c r="R15" s="242" t="s">
        <v>21</v>
      </c>
      <c r="S15" s="243"/>
      <c r="T15" s="92">
        <v>221459</v>
      </c>
      <c r="U15" s="114"/>
      <c r="V15" s="115"/>
      <c r="W15" s="242" t="s">
        <v>21</v>
      </c>
      <c r="X15" s="243"/>
      <c r="Y15" s="92">
        <v>503056</v>
      </c>
      <c r="Z15" s="116"/>
      <c r="AA15" s="114"/>
      <c r="AE15" s="85" t="s">
        <v>22</v>
      </c>
      <c r="AF15" s="89"/>
      <c r="AK15" s="86">
        <v>1000</v>
      </c>
      <c r="AL15" s="86">
        <v>156</v>
      </c>
      <c r="AM15" s="120">
        <v>156000</v>
      </c>
    </row>
    <row r="16" spans="2:39" x14ac:dyDescent="0.25">
      <c r="B16" s="85" t="s">
        <v>10</v>
      </c>
      <c r="D16" s="89">
        <v>37970</v>
      </c>
      <c r="F16" s="85" t="s">
        <v>10</v>
      </c>
      <c r="H16" s="89">
        <v>82745</v>
      </c>
      <c r="J16" s="85" t="s">
        <v>10</v>
      </c>
      <c r="L16" s="89">
        <v>58450</v>
      </c>
      <c r="N16" s="85" t="s">
        <v>10</v>
      </c>
      <c r="P16" s="89">
        <v>61800</v>
      </c>
      <c r="R16" s="85" t="s">
        <v>10</v>
      </c>
      <c r="T16" s="89">
        <v>16615</v>
      </c>
      <c r="V16" s="96"/>
      <c r="W16" s="124" t="s">
        <v>10</v>
      </c>
      <c r="X16" s="124"/>
      <c r="Y16" s="121">
        <v>257580</v>
      </c>
      <c r="Z16" s="97"/>
      <c r="AB16" s="114"/>
      <c r="AC16" s="114"/>
      <c r="AD16" s="114"/>
      <c r="AE16" s="85" t="s">
        <v>23</v>
      </c>
      <c r="AF16" s="89"/>
      <c r="AK16" s="86">
        <v>5000</v>
      </c>
      <c r="AL16" s="86">
        <v>12</v>
      </c>
      <c r="AM16" s="120">
        <v>60000</v>
      </c>
    </row>
    <row r="17" spans="2:39" ht="15.75" thickBot="1" x14ac:dyDescent="0.3">
      <c r="B17" s="85" t="s">
        <v>17</v>
      </c>
      <c r="D17" s="89"/>
      <c r="F17" s="85" t="s">
        <v>17</v>
      </c>
      <c r="H17" s="89"/>
      <c r="J17" s="85" t="s">
        <v>17</v>
      </c>
      <c r="L17" s="89"/>
      <c r="N17" s="85" t="s">
        <v>17</v>
      </c>
      <c r="P17" s="89"/>
      <c r="R17" s="85" t="s">
        <v>17</v>
      </c>
      <c r="T17" s="89"/>
      <c r="V17" s="96"/>
      <c r="W17" s="124" t="s">
        <v>17</v>
      </c>
      <c r="X17" s="124"/>
      <c r="Y17" s="121">
        <v>0</v>
      </c>
      <c r="Z17" s="97"/>
      <c r="AE17" s="133" t="s">
        <v>12</v>
      </c>
      <c r="AF17" s="134">
        <v>303320</v>
      </c>
      <c r="AG17" s="160"/>
      <c r="AK17" s="87" t="s">
        <v>18</v>
      </c>
      <c r="AL17" s="87"/>
      <c r="AM17" s="90">
        <v>303320</v>
      </c>
    </row>
    <row r="18" spans="2:39" x14ac:dyDescent="0.25">
      <c r="B18" s="85" t="s">
        <v>24</v>
      </c>
      <c r="C18" s="85" t="s">
        <v>25</v>
      </c>
      <c r="D18" s="89">
        <v>8778</v>
      </c>
      <c r="F18" s="85" t="s">
        <v>26</v>
      </c>
      <c r="H18" s="89"/>
      <c r="J18" s="85" t="s">
        <v>27</v>
      </c>
      <c r="L18" s="89"/>
      <c r="N18" s="85" t="s">
        <v>28</v>
      </c>
      <c r="O18" s="85" t="s">
        <v>29</v>
      </c>
      <c r="P18" s="89">
        <v>11660</v>
      </c>
      <c r="R18" s="85" t="s">
        <v>30</v>
      </c>
      <c r="S18" s="85" t="s">
        <v>31</v>
      </c>
      <c r="T18" s="89">
        <v>48156</v>
      </c>
      <c r="V18" s="96"/>
      <c r="W18" s="124" t="s">
        <v>26</v>
      </c>
      <c r="X18" s="124"/>
      <c r="Y18" s="121">
        <v>68594</v>
      </c>
      <c r="Z18" s="97"/>
      <c r="AE18" s="135" t="s">
        <v>32</v>
      </c>
      <c r="AF18" s="136">
        <v>-112</v>
      </c>
      <c r="AG18" s="85" t="s">
        <v>33</v>
      </c>
    </row>
    <row r="19" spans="2:39" x14ac:dyDescent="0.25">
      <c r="B19" s="85" t="s">
        <v>34</v>
      </c>
      <c r="D19" s="89"/>
      <c r="F19" s="85" t="s">
        <v>34</v>
      </c>
      <c r="H19" s="89"/>
      <c r="J19" s="85" t="s">
        <v>27</v>
      </c>
      <c r="L19" s="89"/>
      <c r="N19" s="85" t="s">
        <v>28</v>
      </c>
      <c r="O19" s="85" t="s">
        <v>35</v>
      </c>
      <c r="P19" s="89">
        <v>8634</v>
      </c>
      <c r="R19" s="85" t="s">
        <v>27</v>
      </c>
      <c r="T19" s="89"/>
      <c r="V19" s="96"/>
      <c r="W19" s="124" t="s">
        <v>34</v>
      </c>
      <c r="X19" s="124"/>
      <c r="Y19" s="121">
        <v>8634</v>
      </c>
      <c r="Z19" s="97"/>
    </row>
    <row r="20" spans="2:39" x14ac:dyDescent="0.25">
      <c r="B20" s="85" t="s">
        <v>36</v>
      </c>
      <c r="D20" s="89"/>
      <c r="F20" s="85" t="s">
        <v>36</v>
      </c>
      <c r="H20" s="89"/>
      <c r="J20" s="85" t="s">
        <v>36</v>
      </c>
      <c r="L20" s="89"/>
      <c r="N20" s="85" t="s">
        <v>36</v>
      </c>
      <c r="P20" s="89"/>
      <c r="R20" s="85" t="s">
        <v>27</v>
      </c>
      <c r="T20" s="89"/>
      <c r="V20" s="96"/>
      <c r="W20" s="124" t="s">
        <v>36</v>
      </c>
      <c r="X20" s="124"/>
      <c r="Y20" s="121">
        <v>0</v>
      </c>
      <c r="Z20" s="97"/>
    </row>
    <row r="21" spans="2:39" x14ac:dyDescent="0.25">
      <c r="D21" s="89"/>
      <c r="H21" s="89"/>
      <c r="L21" s="89"/>
      <c r="P21" s="89"/>
      <c r="R21" s="85" t="s">
        <v>27</v>
      </c>
      <c r="T21" s="89"/>
      <c r="V21" s="96"/>
      <c r="W21" s="124"/>
      <c r="X21" s="124"/>
      <c r="Y21" s="121">
        <v>0</v>
      </c>
      <c r="Z21" s="97"/>
      <c r="AB21" s="139" t="s">
        <v>37</v>
      </c>
      <c r="AC21" s="139"/>
      <c r="AD21" s="139"/>
      <c r="AE21" s="114"/>
      <c r="AJ21" s="139" t="s">
        <v>38</v>
      </c>
      <c r="AK21" s="139"/>
      <c r="AL21" s="139"/>
      <c r="AM21" s="147"/>
    </row>
    <row r="22" spans="2:39" x14ac:dyDescent="0.25">
      <c r="D22" s="89"/>
      <c r="H22" s="89"/>
      <c r="L22" s="89"/>
      <c r="P22" s="89"/>
      <c r="R22" s="85" t="s">
        <v>39</v>
      </c>
      <c r="S22" s="85" t="s">
        <v>40</v>
      </c>
      <c r="T22" s="89">
        <v>32113</v>
      </c>
      <c r="V22" s="96"/>
      <c r="W22" s="124"/>
      <c r="X22" s="124"/>
      <c r="Y22" s="121">
        <v>32113</v>
      </c>
      <c r="Z22" s="97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J22" s="132" t="s">
        <v>41</v>
      </c>
      <c r="AK22" s="132" t="s">
        <v>45</v>
      </c>
      <c r="AL22" s="132" t="s">
        <v>43</v>
      </c>
      <c r="AM22" s="132" t="s">
        <v>8</v>
      </c>
    </row>
    <row r="23" spans="2:39" x14ac:dyDescent="0.25">
      <c r="B23" s="85" t="s">
        <v>46</v>
      </c>
      <c r="D23" s="89"/>
      <c r="F23" s="85" t="s">
        <v>46</v>
      </c>
      <c r="H23" s="89"/>
      <c r="J23" s="85" t="s">
        <v>46</v>
      </c>
      <c r="L23" s="89"/>
      <c r="N23" s="85" t="s">
        <v>46</v>
      </c>
      <c r="P23" s="89"/>
      <c r="R23" s="85" t="s">
        <v>47</v>
      </c>
      <c r="S23" s="85" t="s">
        <v>48</v>
      </c>
      <c r="T23" s="89">
        <v>41256</v>
      </c>
      <c r="V23" s="96"/>
      <c r="W23" s="125" t="s">
        <v>46</v>
      </c>
      <c r="X23" s="124"/>
      <c r="Y23" s="121">
        <v>41256</v>
      </c>
      <c r="Z23" s="97"/>
      <c r="AB23" s="85" t="s">
        <v>49</v>
      </c>
      <c r="AC23" s="156">
        <v>45856</v>
      </c>
      <c r="AD23" s="155" t="s">
        <v>50</v>
      </c>
      <c r="AF23" s="147">
        <v>3613</v>
      </c>
      <c r="AJ23" s="85" t="s">
        <v>51</v>
      </c>
      <c r="AK23" s="85" t="s">
        <v>52</v>
      </c>
      <c r="AL23" s="85" t="s">
        <v>53</v>
      </c>
      <c r="AM23" s="147">
        <v>100000</v>
      </c>
    </row>
    <row r="24" spans="2:39" x14ac:dyDescent="0.25">
      <c r="B24" s="85" t="s">
        <v>54</v>
      </c>
      <c r="D24" s="89"/>
      <c r="F24" s="85" t="s">
        <v>54</v>
      </c>
      <c r="H24" s="89"/>
      <c r="J24" s="85" t="s">
        <v>54</v>
      </c>
      <c r="L24" s="89"/>
      <c r="N24" s="85" t="s">
        <v>54</v>
      </c>
      <c r="P24" s="89"/>
      <c r="R24" s="85" t="s">
        <v>55</v>
      </c>
      <c r="S24" s="85" t="s">
        <v>56</v>
      </c>
      <c r="T24" s="89">
        <v>3740</v>
      </c>
      <c r="V24" s="96"/>
      <c r="W24" s="125" t="s">
        <v>54</v>
      </c>
      <c r="X24" s="124"/>
      <c r="Y24" s="121">
        <v>3740</v>
      </c>
      <c r="Z24" s="97"/>
      <c r="AB24" s="85" t="s">
        <v>57</v>
      </c>
      <c r="AC24" s="157">
        <v>45869</v>
      </c>
      <c r="AD24" s="158" t="s">
        <v>58</v>
      </c>
      <c r="AF24" s="147">
        <v>39113</v>
      </c>
      <c r="AJ24" s="152" t="s">
        <v>59</v>
      </c>
      <c r="AL24" s="152" t="s">
        <v>60</v>
      </c>
      <c r="AM24" s="154">
        <v>6090</v>
      </c>
    </row>
    <row r="25" spans="2:39" x14ac:dyDescent="0.25">
      <c r="B25" s="85" t="s">
        <v>61</v>
      </c>
      <c r="D25" s="89"/>
      <c r="F25" s="85" t="s">
        <v>61</v>
      </c>
      <c r="H25" s="89"/>
      <c r="J25" s="85" t="s">
        <v>61</v>
      </c>
      <c r="L25" s="89"/>
      <c r="N25" s="85" t="s">
        <v>61</v>
      </c>
      <c r="P25" s="89"/>
      <c r="R25" s="85" t="s">
        <v>62</v>
      </c>
      <c r="S25" s="85" t="s">
        <v>63</v>
      </c>
      <c r="T25" s="89">
        <v>78090</v>
      </c>
      <c r="V25" s="96"/>
      <c r="W25" s="125" t="s">
        <v>61</v>
      </c>
      <c r="X25" s="124"/>
      <c r="Y25" s="121">
        <v>78090</v>
      </c>
      <c r="Z25" s="97"/>
      <c r="AB25" s="85" t="s">
        <v>64</v>
      </c>
      <c r="AC25" s="157">
        <v>45869</v>
      </c>
      <c r="AD25" s="155" t="s">
        <v>65</v>
      </c>
      <c r="AE25" s="100"/>
      <c r="AF25" s="149">
        <v>2626</v>
      </c>
      <c r="AJ25" s="152" t="s">
        <v>59</v>
      </c>
      <c r="AL25" s="152" t="s">
        <v>66</v>
      </c>
      <c r="AM25" s="154">
        <v>14000</v>
      </c>
    </row>
    <row r="26" spans="2:39" x14ac:dyDescent="0.25">
      <c r="D26" s="89"/>
      <c r="H26" s="89"/>
      <c r="L26" s="89"/>
      <c r="P26" s="89"/>
      <c r="V26" s="96"/>
      <c r="W26" s="124"/>
      <c r="X26" s="124"/>
      <c r="Y26" s="121">
        <v>0</v>
      </c>
      <c r="Z26" s="97"/>
      <c r="AB26" s="85" t="s">
        <v>59</v>
      </c>
      <c r="AC26" s="159">
        <v>45861</v>
      </c>
      <c r="AD26" s="104" t="s">
        <v>67</v>
      </c>
      <c r="AE26" s="100"/>
      <c r="AF26" s="148">
        <v>500</v>
      </c>
      <c r="AJ26" s="152" t="s">
        <v>68</v>
      </c>
      <c r="AL26" s="152" t="s">
        <v>69</v>
      </c>
      <c r="AM26" s="152">
        <v>6000</v>
      </c>
    </row>
    <row r="27" spans="2:39" ht="15.75" thickBot="1" x14ac:dyDescent="0.3">
      <c r="D27" s="89"/>
      <c r="H27" s="89"/>
      <c r="L27" s="89"/>
      <c r="P27" s="89"/>
      <c r="T27" s="89"/>
      <c r="V27" s="96"/>
      <c r="W27" s="124"/>
      <c r="X27" s="124"/>
      <c r="Y27" s="121">
        <v>0</v>
      </c>
      <c r="Z27" s="97"/>
      <c r="AJ27" s="152" t="s">
        <v>70</v>
      </c>
      <c r="AL27" s="152" t="s">
        <v>71</v>
      </c>
      <c r="AM27" s="153">
        <v>5938</v>
      </c>
    </row>
    <row r="28" spans="2:39" ht="15.75" thickBot="1" x14ac:dyDescent="0.3">
      <c r="B28" s="235" t="s">
        <v>12</v>
      </c>
      <c r="C28" s="236"/>
      <c r="D28" s="93">
        <v>46748</v>
      </c>
      <c r="F28" s="235" t="s">
        <v>12</v>
      </c>
      <c r="G28" s="236"/>
      <c r="H28" s="93">
        <v>82745</v>
      </c>
      <c r="J28" s="235" t="s">
        <v>12</v>
      </c>
      <c r="K28" s="236"/>
      <c r="L28" s="93">
        <v>58450</v>
      </c>
      <c r="N28" s="235" t="s">
        <v>12</v>
      </c>
      <c r="O28" s="236"/>
      <c r="P28" s="93">
        <v>82094</v>
      </c>
      <c r="R28" s="235" t="s">
        <v>12</v>
      </c>
      <c r="S28" s="236"/>
      <c r="T28" s="93">
        <v>219970</v>
      </c>
      <c r="V28" s="96"/>
      <c r="W28" s="235" t="s">
        <v>12</v>
      </c>
      <c r="X28" s="236"/>
      <c r="Y28" s="93">
        <v>490007</v>
      </c>
      <c r="Z28" s="97"/>
      <c r="AJ28" s="152" t="s">
        <v>72</v>
      </c>
      <c r="AL28" s="85" t="s">
        <v>73</v>
      </c>
      <c r="AM28" s="153">
        <v>139629</v>
      </c>
    </row>
    <row r="29" spans="2:39" ht="15.75" thickBot="1" x14ac:dyDescent="0.3">
      <c r="D29" s="89"/>
      <c r="H29" s="89"/>
      <c r="L29" s="89"/>
      <c r="P29" s="89"/>
      <c r="T29" s="89"/>
      <c r="V29" s="96"/>
      <c r="W29" s="100"/>
      <c r="X29" s="100"/>
      <c r="Y29" s="99"/>
      <c r="Z29" s="97"/>
      <c r="AB29" s="145" t="s">
        <v>74</v>
      </c>
      <c r="AC29" s="145"/>
      <c r="AD29" s="145"/>
      <c r="AE29" s="145"/>
      <c r="AF29" s="140">
        <v>45852</v>
      </c>
    </row>
    <row r="30" spans="2:39" ht="16.5" thickTop="1" thickBot="1" x14ac:dyDescent="0.3">
      <c r="B30" s="237" t="s">
        <v>75</v>
      </c>
      <c r="C30" s="237"/>
      <c r="D30" s="91">
        <v>-7</v>
      </c>
      <c r="F30" s="237" t="s">
        <v>75</v>
      </c>
      <c r="G30" s="237"/>
      <c r="H30" s="91">
        <v>-5410</v>
      </c>
      <c r="J30" s="237" t="s">
        <v>75</v>
      </c>
      <c r="K30" s="237"/>
      <c r="L30" s="91">
        <v>95</v>
      </c>
      <c r="N30" s="237" t="s">
        <v>75</v>
      </c>
      <c r="O30" s="237"/>
      <c r="P30" s="91">
        <v>-6238</v>
      </c>
      <c r="R30" s="237" t="s">
        <v>75</v>
      </c>
      <c r="S30" s="237"/>
      <c r="T30" s="91">
        <v>-1489</v>
      </c>
      <c r="V30" s="96"/>
      <c r="W30" s="238" t="s">
        <v>75</v>
      </c>
      <c r="X30" s="238"/>
      <c r="Y30" s="126">
        <v>-13049</v>
      </c>
      <c r="Z30" s="97"/>
    </row>
    <row r="31" spans="2:39" ht="16.5" thickTop="1" thickBot="1" x14ac:dyDescent="0.3">
      <c r="V31" s="101"/>
      <c r="W31" s="102"/>
      <c r="X31" s="102"/>
      <c r="Y31" s="102"/>
      <c r="Z31" s="103"/>
    </row>
    <row r="33" spans="2:39" ht="15.75" thickBot="1" x14ac:dyDescent="0.3"/>
    <row r="34" spans="2:39" ht="15.75" thickBot="1" x14ac:dyDescent="0.3">
      <c r="B34" s="94" t="s">
        <v>76</v>
      </c>
      <c r="C34" s="95"/>
      <c r="D34" s="105">
        <v>5410</v>
      </c>
      <c r="F34" s="94" t="s">
        <v>76</v>
      </c>
      <c r="G34" s="95"/>
      <c r="H34" s="105">
        <v>5410</v>
      </c>
      <c r="J34" s="94" t="s">
        <v>76</v>
      </c>
      <c r="K34" s="95"/>
      <c r="L34" s="105">
        <v>95</v>
      </c>
      <c r="N34" s="94" t="s">
        <v>76</v>
      </c>
      <c r="O34" s="95"/>
      <c r="P34" s="105">
        <v>6238</v>
      </c>
      <c r="R34" s="94" t="s">
        <v>76</v>
      </c>
      <c r="S34" s="95"/>
      <c r="T34" s="105"/>
      <c r="W34" s="127" t="s">
        <v>76</v>
      </c>
      <c r="X34" s="128"/>
      <c r="Y34" s="129">
        <v>11648</v>
      </c>
      <c r="AJ34" s="150" t="s">
        <v>74</v>
      </c>
      <c r="AK34" s="150"/>
      <c r="AL34" s="150"/>
      <c r="AM34" s="151">
        <v>271657</v>
      </c>
    </row>
    <row r="35" spans="2:39" ht="15.75" thickTop="1" x14ac:dyDescent="0.25">
      <c r="B35" s="96" t="s">
        <v>77</v>
      </c>
      <c r="C35" s="100"/>
      <c r="D35" s="106"/>
      <c r="F35" s="96" t="s">
        <v>77</v>
      </c>
      <c r="G35" s="100"/>
      <c r="H35" s="106"/>
      <c r="J35" s="96" t="s">
        <v>77</v>
      </c>
      <c r="K35" s="100"/>
      <c r="L35" s="106"/>
      <c r="N35" s="96" t="s">
        <v>77</v>
      </c>
      <c r="O35" s="100"/>
      <c r="P35" s="106"/>
      <c r="R35" s="96" t="s">
        <v>77</v>
      </c>
      <c r="S35" s="100"/>
      <c r="T35" s="106"/>
      <c r="W35" s="130" t="s">
        <v>77</v>
      </c>
      <c r="X35" s="124"/>
      <c r="Y35" s="131">
        <v>0</v>
      </c>
    </row>
    <row r="36" spans="2:39" x14ac:dyDescent="0.25">
      <c r="B36" s="96" t="s">
        <v>78</v>
      </c>
      <c r="C36" s="100"/>
      <c r="D36" s="106"/>
      <c r="F36" s="96" t="s">
        <v>78</v>
      </c>
      <c r="G36" s="100"/>
      <c r="H36" s="106"/>
      <c r="J36" s="96" t="s">
        <v>78</v>
      </c>
      <c r="K36" s="100"/>
      <c r="L36" s="106"/>
      <c r="N36" s="96" t="s">
        <v>79</v>
      </c>
      <c r="O36" s="100"/>
      <c r="P36" s="106"/>
      <c r="R36" s="96" t="s">
        <v>80</v>
      </c>
      <c r="S36" s="100"/>
      <c r="T36" s="106">
        <v>1489</v>
      </c>
      <c r="W36" s="130" t="s">
        <v>78</v>
      </c>
      <c r="X36" s="124"/>
      <c r="Y36" s="131">
        <v>1489</v>
      </c>
    </row>
    <row r="37" spans="2:39" x14ac:dyDescent="0.25">
      <c r="B37" s="96" t="s">
        <v>18</v>
      </c>
      <c r="C37" s="100"/>
      <c r="D37" s="106">
        <v>0</v>
      </c>
      <c r="F37" s="96" t="s">
        <v>18</v>
      </c>
      <c r="G37" s="100"/>
      <c r="H37" s="106">
        <v>5410</v>
      </c>
      <c r="J37" s="96" t="s">
        <v>18</v>
      </c>
      <c r="K37" s="100"/>
      <c r="L37" s="106">
        <f>+SUM(L34:L36)</f>
        <v>95</v>
      </c>
      <c r="N37" s="96" t="s">
        <v>18</v>
      </c>
      <c r="O37" s="100"/>
      <c r="P37" s="106">
        <v>6238</v>
      </c>
      <c r="R37" s="96" t="s">
        <v>18</v>
      </c>
      <c r="S37" s="100"/>
      <c r="T37" s="106">
        <v>1489</v>
      </c>
      <c r="W37" s="117" t="s">
        <v>18</v>
      </c>
      <c r="X37" s="118"/>
      <c r="Y37" s="119">
        <v>13137</v>
      </c>
    </row>
    <row r="38" spans="2:39" ht="15.75" thickBot="1" x14ac:dyDescent="0.3">
      <c r="B38" s="107" t="s">
        <v>81</v>
      </c>
      <c r="C38" s="108"/>
      <c r="D38" s="109">
        <v>0</v>
      </c>
      <c r="F38" s="107" t="s">
        <v>81</v>
      </c>
      <c r="G38" s="108"/>
      <c r="H38" s="109">
        <v>0</v>
      </c>
      <c r="J38" s="107" t="s">
        <v>81</v>
      </c>
      <c r="K38" s="108"/>
      <c r="L38" s="109">
        <f>+L37-L30</f>
        <v>0</v>
      </c>
      <c r="N38" s="107" t="s">
        <v>81</v>
      </c>
      <c r="O38" s="108"/>
      <c r="P38" s="109">
        <v>0</v>
      </c>
      <c r="R38" s="107" t="s">
        <v>81</v>
      </c>
      <c r="S38" s="108"/>
      <c r="T38" s="109">
        <v>0</v>
      </c>
      <c r="W38" s="107" t="s">
        <v>81</v>
      </c>
      <c r="X38" s="108"/>
      <c r="Y38" s="109">
        <v>88</v>
      </c>
    </row>
  </sheetData>
  <mergeCells count="25">
    <mergeCell ref="AE5:AI5"/>
    <mergeCell ref="B15:C15"/>
    <mergeCell ref="F15:G15"/>
    <mergeCell ref="J15:K15"/>
    <mergeCell ref="N15:O15"/>
    <mergeCell ref="R15:S15"/>
    <mergeCell ref="W15:X15"/>
    <mergeCell ref="W3:Y3"/>
    <mergeCell ref="B3:D3"/>
    <mergeCell ref="F3:H3"/>
    <mergeCell ref="J3:L3"/>
    <mergeCell ref="N3:P3"/>
    <mergeCell ref="R3:T3"/>
    <mergeCell ref="N28:O28"/>
    <mergeCell ref="R28:S28"/>
    <mergeCell ref="W28:X28"/>
    <mergeCell ref="B30:C30"/>
    <mergeCell ref="F30:G30"/>
    <mergeCell ref="J30:K30"/>
    <mergeCell ref="N30:O30"/>
    <mergeCell ref="R30:S30"/>
    <mergeCell ref="W30:X30"/>
    <mergeCell ref="B28:C28"/>
    <mergeCell ref="F28:G28"/>
    <mergeCell ref="J28:K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AM38"/>
  <sheetViews>
    <sheetView zoomScale="80" zoomScaleNormal="80" workbookViewId="0">
      <selection activeCell="T36" sqref="T36"/>
    </sheetView>
  </sheetViews>
  <sheetFormatPr defaultRowHeight="15" x14ac:dyDescent="0.25"/>
  <cols>
    <col min="1" max="1" width="9.140625" style="85"/>
    <col min="2" max="2" width="13.5703125" style="85" customWidth="1"/>
    <col min="3" max="3" width="13.42578125" style="85" customWidth="1"/>
    <col min="4" max="4" width="9.140625" style="85"/>
    <col min="5" max="5" width="1.28515625" style="85" customWidth="1"/>
    <col min="6" max="6" width="13.5703125" style="85" customWidth="1"/>
    <col min="7" max="7" width="16" style="85" customWidth="1"/>
    <col min="8" max="8" width="9.140625" style="85"/>
    <col min="9" max="9" width="1.5703125" style="85" customWidth="1"/>
    <col min="10" max="12" width="9.140625" style="85"/>
    <col min="13" max="13" width="1.5703125" style="85" customWidth="1"/>
    <col min="14" max="16" width="9.140625" style="85"/>
    <col min="17" max="17" width="1.42578125" style="85" customWidth="1"/>
    <col min="18" max="18" width="13.5703125" style="85" bestFit="1" customWidth="1"/>
    <col min="19" max="19" width="9.140625" style="85"/>
    <col min="20" max="20" width="9.5703125" style="85" bestFit="1" customWidth="1"/>
    <col min="21" max="21" width="1" style="85" customWidth="1"/>
    <col min="22" max="22" width="1.7109375" style="85" customWidth="1"/>
    <col min="23" max="24" width="9.140625" style="85"/>
    <col min="25" max="25" width="9.5703125" style="85" bestFit="1" customWidth="1"/>
    <col min="26" max="26" width="1.7109375" style="85" customWidth="1"/>
    <col min="27" max="27" width="9.140625" style="85"/>
    <col min="28" max="28" width="9.85546875" style="85" customWidth="1"/>
    <col min="29" max="29" width="9.140625" style="85"/>
    <col min="30" max="30" width="20.85546875" style="85" bestFit="1" customWidth="1"/>
    <col min="31" max="31" width="13.5703125" style="85" bestFit="1" customWidth="1"/>
    <col min="32" max="32" width="11.5703125" style="85" customWidth="1"/>
    <col min="33" max="16384" width="9.140625" style="85"/>
  </cols>
  <sheetData>
    <row r="3" spans="2:39" x14ac:dyDescent="0.25">
      <c r="B3" s="240" t="s">
        <v>0</v>
      </c>
      <c r="C3" s="240"/>
      <c r="D3" s="240"/>
      <c r="F3" s="240" t="s">
        <v>86</v>
      </c>
      <c r="G3" s="240"/>
      <c r="H3" s="240"/>
      <c r="J3" s="240" t="s">
        <v>2</v>
      </c>
      <c r="K3" s="240"/>
      <c r="L3" s="240"/>
      <c r="N3" s="240" t="s">
        <v>3</v>
      </c>
      <c r="O3" s="240"/>
      <c r="P3" s="240"/>
      <c r="R3" s="240" t="s">
        <v>4</v>
      </c>
      <c r="S3" s="240"/>
      <c r="T3" s="240"/>
      <c r="V3" s="96"/>
      <c r="W3" s="239" t="s">
        <v>5</v>
      </c>
      <c r="X3" s="239"/>
      <c r="Y3" s="239"/>
      <c r="Z3" s="97"/>
    </row>
    <row r="4" spans="2:39" x14ac:dyDescent="0.25">
      <c r="B4" s="88" t="s">
        <v>6</v>
      </c>
      <c r="C4" s="88" t="s">
        <v>7</v>
      </c>
      <c r="D4" s="88" t="s">
        <v>8</v>
      </c>
      <c r="F4" s="88" t="s">
        <v>6</v>
      </c>
      <c r="G4" s="88" t="s">
        <v>7</v>
      </c>
      <c r="H4" s="88" t="s">
        <v>8</v>
      </c>
      <c r="J4" s="88" t="s">
        <v>6</v>
      </c>
      <c r="K4" s="88" t="s">
        <v>7</v>
      </c>
      <c r="L4" s="88" t="s">
        <v>8</v>
      </c>
      <c r="N4" s="88" t="s">
        <v>6</v>
      </c>
      <c r="O4" s="88" t="s">
        <v>7</v>
      </c>
      <c r="P4" s="88" t="s">
        <v>8</v>
      </c>
      <c r="R4" s="88" t="s">
        <v>6</v>
      </c>
      <c r="S4" s="88" t="s">
        <v>7</v>
      </c>
      <c r="T4" s="88" t="s">
        <v>8</v>
      </c>
      <c r="V4" s="96"/>
      <c r="W4" s="98" t="s">
        <v>6</v>
      </c>
      <c r="X4" s="98" t="s">
        <v>7</v>
      </c>
      <c r="Y4" s="98" t="s">
        <v>8</v>
      </c>
      <c r="Z4" s="97"/>
    </row>
    <row r="5" spans="2:39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/>
      <c r="H5" s="120">
        <f>+G5*F5</f>
        <v>0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/>
      <c r="T5" s="120">
        <f>+S5*R5</f>
        <v>0</v>
      </c>
      <c r="U5" s="110"/>
      <c r="V5" s="111"/>
      <c r="W5" s="122">
        <v>1</v>
      </c>
      <c r="X5" s="123">
        <f>+C5+G5+K5+O5+S5</f>
        <v>0</v>
      </c>
      <c r="Y5" s="121">
        <f>+D5+H5+L5+P5+T5</f>
        <v>0</v>
      </c>
      <c r="Z5" s="112"/>
      <c r="AA5" s="110"/>
      <c r="AE5" s="241" t="s">
        <v>9</v>
      </c>
      <c r="AF5" s="241"/>
      <c r="AG5" s="241"/>
      <c r="AH5" s="241"/>
      <c r="AI5" s="241"/>
      <c r="AJ5" s="146"/>
    </row>
    <row r="6" spans="2:39" ht="15.75" thickTop="1" x14ac:dyDescent="0.25">
      <c r="B6" s="86">
        <v>10</v>
      </c>
      <c r="C6" s="86">
        <v>70</v>
      </c>
      <c r="D6" s="120">
        <f>+C6*B6</f>
        <v>700</v>
      </c>
      <c r="F6" s="86">
        <v>10</v>
      </c>
      <c r="G6" s="86">
        <v>62</v>
      </c>
      <c r="H6" s="120">
        <f>+G6*F6</f>
        <v>620</v>
      </c>
      <c r="J6" s="86">
        <v>10</v>
      </c>
      <c r="K6" s="86">
        <v>48</v>
      </c>
      <c r="L6" s="120">
        <f>+K6*J6</f>
        <v>480</v>
      </c>
      <c r="N6" s="86">
        <v>10</v>
      </c>
      <c r="O6" s="86">
        <v>241</v>
      </c>
      <c r="P6" s="120">
        <f>+O6*N6</f>
        <v>2410</v>
      </c>
      <c r="R6" s="86">
        <v>10</v>
      </c>
      <c r="S6" s="86">
        <v>3</v>
      </c>
      <c r="T6" s="120">
        <f>+S6*R6</f>
        <v>30</v>
      </c>
      <c r="V6" s="96"/>
      <c r="W6" s="123">
        <v>10</v>
      </c>
      <c r="X6" s="123">
        <f>+C6+G6+K6+O6+S6</f>
        <v>424</v>
      </c>
      <c r="Y6" s="121">
        <f>+D6+H6+L6+P6+T6</f>
        <v>4240</v>
      </c>
      <c r="Z6" s="97"/>
      <c r="AB6" s="110"/>
      <c r="AC6" s="110"/>
      <c r="AD6" s="110"/>
      <c r="AK6" s="110"/>
      <c r="AL6" s="110"/>
      <c r="AM6" s="110"/>
    </row>
    <row r="7" spans="2:39" x14ac:dyDescent="0.25">
      <c r="B7" s="86">
        <v>20</v>
      </c>
      <c r="C7" s="86">
        <v>15</v>
      </c>
      <c r="D7" s="120">
        <f t="shared" ref="D7:D12" si="0">+C7*B7</f>
        <v>300</v>
      </c>
      <c r="F7" s="86">
        <v>20</v>
      </c>
      <c r="G7" s="86">
        <v>4</v>
      </c>
      <c r="H7" s="120">
        <f t="shared" ref="H7:H12" si="1">+G7*F7</f>
        <v>80</v>
      </c>
      <c r="J7" s="86">
        <v>20</v>
      </c>
      <c r="K7" s="86">
        <v>5</v>
      </c>
      <c r="L7" s="120">
        <f t="shared" ref="L7:L12" si="2">+K7*J7</f>
        <v>100</v>
      </c>
      <c r="N7" s="86">
        <v>20</v>
      </c>
      <c r="O7" s="86"/>
      <c r="P7" s="120">
        <f t="shared" ref="P7:P12" si="3">+O7*N7</f>
        <v>0</v>
      </c>
      <c r="R7" s="86">
        <v>20</v>
      </c>
      <c r="S7" s="86">
        <v>2</v>
      </c>
      <c r="T7" s="120">
        <f t="shared" ref="T7:T12" si="4">+S7*R7</f>
        <v>40</v>
      </c>
      <c r="V7" s="96"/>
      <c r="W7" s="123">
        <v>20</v>
      </c>
      <c r="X7" s="123">
        <f>+C7+G7+K7+O7+S7</f>
        <v>26</v>
      </c>
      <c r="Y7" s="121">
        <f t="shared" ref="Y7:Y12" si="5">+D7+H7+L7+P7+T7</f>
        <v>520</v>
      </c>
      <c r="Z7" s="97"/>
      <c r="AE7" s="141" t="s">
        <v>10</v>
      </c>
      <c r="AF7" s="142">
        <f>+Y13</f>
        <v>217810</v>
      </c>
      <c r="AG7" s="110"/>
      <c r="AH7" s="110"/>
      <c r="AI7" s="110"/>
      <c r="AJ7" s="110"/>
    </row>
    <row r="8" spans="2:39" x14ac:dyDescent="0.25">
      <c r="B8" s="86">
        <v>50</v>
      </c>
      <c r="C8" s="86">
        <v>19</v>
      </c>
      <c r="D8" s="120">
        <f t="shared" si="0"/>
        <v>950</v>
      </c>
      <c r="F8" s="86">
        <v>50</v>
      </c>
      <c r="G8" s="86">
        <v>26</v>
      </c>
      <c r="H8" s="120">
        <f t="shared" si="1"/>
        <v>1300</v>
      </c>
      <c r="J8" s="86">
        <v>50</v>
      </c>
      <c r="K8" s="86">
        <v>48</v>
      </c>
      <c r="L8" s="120">
        <f t="shared" si="2"/>
        <v>2400</v>
      </c>
      <c r="N8" s="86">
        <v>50</v>
      </c>
      <c r="O8" s="86">
        <v>41</v>
      </c>
      <c r="P8" s="120">
        <f t="shared" si="3"/>
        <v>2050</v>
      </c>
      <c r="R8" s="86">
        <v>50</v>
      </c>
      <c r="S8" s="86">
        <v>11</v>
      </c>
      <c r="T8" s="120">
        <f t="shared" si="4"/>
        <v>550</v>
      </c>
      <c r="V8" s="96"/>
      <c r="W8" s="123">
        <v>50</v>
      </c>
      <c r="X8" s="123">
        <f t="shared" ref="X8:X12" si="6">+C8+G8+K8+O8+S8</f>
        <v>145</v>
      </c>
      <c r="Y8" s="121">
        <f t="shared" si="5"/>
        <v>7250</v>
      </c>
      <c r="Z8" s="97"/>
      <c r="AE8" s="138" t="s">
        <v>11</v>
      </c>
      <c r="AF8" s="138">
        <f>+AF29</f>
        <v>397722</v>
      </c>
      <c r="AK8" s="88" t="s">
        <v>6</v>
      </c>
      <c r="AL8" s="88" t="s">
        <v>7</v>
      </c>
      <c r="AM8" s="88" t="s">
        <v>8</v>
      </c>
    </row>
    <row r="9" spans="2:39" ht="15.75" thickBot="1" x14ac:dyDescent="0.3">
      <c r="B9" s="86">
        <v>100</v>
      </c>
      <c r="C9" s="86">
        <v>4</v>
      </c>
      <c r="D9" s="120">
        <f t="shared" si="0"/>
        <v>400</v>
      </c>
      <c r="F9" s="86">
        <v>100</v>
      </c>
      <c r="G9" s="86">
        <v>50</v>
      </c>
      <c r="H9" s="120">
        <f t="shared" si="1"/>
        <v>5000</v>
      </c>
      <c r="J9" s="86">
        <v>100</v>
      </c>
      <c r="K9" s="86">
        <v>48</v>
      </c>
      <c r="L9" s="120">
        <f t="shared" si="2"/>
        <v>4800</v>
      </c>
      <c r="N9" s="86">
        <v>100</v>
      </c>
      <c r="O9" s="86">
        <v>30</v>
      </c>
      <c r="P9" s="120">
        <f t="shared" si="3"/>
        <v>3000</v>
      </c>
      <c r="R9" s="86">
        <v>100</v>
      </c>
      <c r="S9" s="86">
        <v>36</v>
      </c>
      <c r="T9" s="120">
        <f t="shared" si="4"/>
        <v>3600</v>
      </c>
      <c r="V9" s="96"/>
      <c r="W9" s="123">
        <v>100</v>
      </c>
      <c r="X9" s="123">
        <f t="shared" si="6"/>
        <v>168</v>
      </c>
      <c r="Y9" s="121">
        <f t="shared" si="5"/>
        <v>16800</v>
      </c>
      <c r="Z9" s="97"/>
      <c r="AE9" s="143" t="s">
        <v>12</v>
      </c>
      <c r="AF9" s="144">
        <f>SUM(AF7:AF8)</f>
        <v>615532</v>
      </c>
      <c r="AK9" s="113">
        <v>1</v>
      </c>
      <c r="AL9" s="113">
        <v>7</v>
      </c>
      <c r="AM9" s="120">
        <f>+AL9*AK9</f>
        <v>7</v>
      </c>
    </row>
    <row r="10" spans="2:39" x14ac:dyDescent="0.25">
      <c r="B10" s="86">
        <v>500</v>
      </c>
      <c r="C10" s="86">
        <v>6</v>
      </c>
      <c r="D10" s="120">
        <f t="shared" si="0"/>
        <v>3000</v>
      </c>
      <c r="F10" s="86">
        <v>500</v>
      </c>
      <c r="G10" s="86">
        <v>24</v>
      </c>
      <c r="H10" s="120">
        <f t="shared" si="1"/>
        <v>12000</v>
      </c>
      <c r="J10" s="86">
        <v>500</v>
      </c>
      <c r="K10" s="86">
        <v>20</v>
      </c>
      <c r="L10" s="120">
        <f t="shared" si="2"/>
        <v>10000</v>
      </c>
      <c r="N10" s="86">
        <v>500</v>
      </c>
      <c r="O10" s="86">
        <v>16</v>
      </c>
      <c r="P10" s="120">
        <f t="shared" si="3"/>
        <v>8000</v>
      </c>
      <c r="R10" s="86">
        <v>500</v>
      </c>
      <c r="S10" s="86">
        <v>4</v>
      </c>
      <c r="T10" s="120">
        <f t="shared" si="4"/>
        <v>2000</v>
      </c>
      <c r="V10" s="96"/>
      <c r="W10" s="123">
        <v>500</v>
      </c>
      <c r="X10" s="123">
        <f t="shared" si="6"/>
        <v>70</v>
      </c>
      <c r="Y10" s="121">
        <f t="shared" si="5"/>
        <v>35000</v>
      </c>
      <c r="Z10" s="97"/>
      <c r="AK10" s="86">
        <v>10</v>
      </c>
      <c r="AL10" s="86">
        <v>1027</v>
      </c>
      <c r="AM10" s="120">
        <f>+AL10*AK10</f>
        <v>10270</v>
      </c>
    </row>
    <row r="11" spans="2:39" x14ac:dyDescent="0.25">
      <c r="B11" s="86">
        <v>1000</v>
      </c>
      <c r="C11" s="86">
        <v>24</v>
      </c>
      <c r="D11" s="120">
        <f t="shared" si="0"/>
        <v>24000</v>
      </c>
      <c r="F11" s="86">
        <v>1000</v>
      </c>
      <c r="G11" s="86">
        <v>36</v>
      </c>
      <c r="H11" s="120">
        <f t="shared" si="1"/>
        <v>36000</v>
      </c>
      <c r="J11" s="86">
        <v>1000</v>
      </c>
      <c r="K11" s="86">
        <v>36</v>
      </c>
      <c r="L11" s="120">
        <f t="shared" si="2"/>
        <v>36000</v>
      </c>
      <c r="N11" s="86">
        <v>1000</v>
      </c>
      <c r="O11" s="86">
        <v>19</v>
      </c>
      <c r="P11" s="120">
        <f t="shared" si="3"/>
        <v>19000</v>
      </c>
      <c r="R11" s="86">
        <v>1000</v>
      </c>
      <c r="S11" s="86">
        <v>19</v>
      </c>
      <c r="T11" s="120">
        <f t="shared" si="4"/>
        <v>19000</v>
      </c>
      <c r="V11" s="96"/>
      <c r="W11" s="123">
        <v>1000</v>
      </c>
      <c r="X11" s="123">
        <f t="shared" si="6"/>
        <v>134</v>
      </c>
      <c r="Y11" s="121">
        <f t="shared" si="5"/>
        <v>134000</v>
      </c>
      <c r="Z11" s="97"/>
      <c r="AE11" s="132" t="s">
        <v>13</v>
      </c>
      <c r="AF11" s="132" t="s">
        <v>8</v>
      </c>
      <c r="AG11" s="132" t="s">
        <v>14</v>
      </c>
      <c r="AH11" s="132" t="s">
        <v>15</v>
      </c>
      <c r="AI11" s="132" t="s">
        <v>16</v>
      </c>
      <c r="AJ11" s="132"/>
      <c r="AK11" s="86">
        <v>20</v>
      </c>
      <c r="AL11" s="86">
        <v>25</v>
      </c>
      <c r="AM11" s="120">
        <f t="shared" ref="AM11:AM16" si="7">+AL11*AK11</f>
        <v>500</v>
      </c>
    </row>
    <row r="12" spans="2:39" x14ac:dyDescent="0.25">
      <c r="B12" s="86">
        <v>5000</v>
      </c>
      <c r="C12" s="86"/>
      <c r="D12" s="120">
        <f t="shared" si="0"/>
        <v>0</v>
      </c>
      <c r="F12" s="86">
        <v>5000</v>
      </c>
      <c r="G12" s="86"/>
      <c r="H12" s="120">
        <f t="shared" si="1"/>
        <v>0</v>
      </c>
      <c r="J12" s="86">
        <v>5000</v>
      </c>
      <c r="K12" s="86">
        <v>2</v>
      </c>
      <c r="L12" s="120">
        <f t="shared" si="2"/>
        <v>10000</v>
      </c>
      <c r="N12" s="86">
        <v>5000</v>
      </c>
      <c r="O12" s="86">
        <v>2</v>
      </c>
      <c r="P12" s="120">
        <f t="shared" si="3"/>
        <v>10000</v>
      </c>
      <c r="R12" s="86">
        <v>5000</v>
      </c>
      <c r="S12" s="86"/>
      <c r="T12" s="120">
        <f t="shared" si="4"/>
        <v>0</v>
      </c>
      <c r="V12" s="96"/>
      <c r="W12" s="123">
        <v>5000</v>
      </c>
      <c r="X12" s="123">
        <f t="shared" si="6"/>
        <v>4</v>
      </c>
      <c r="Y12" s="121">
        <f t="shared" si="5"/>
        <v>20000</v>
      </c>
      <c r="Z12" s="97"/>
      <c r="AE12" s="85" t="s">
        <v>17</v>
      </c>
      <c r="AF12" s="89">
        <v>571020</v>
      </c>
      <c r="AG12" s="85">
        <v>2990</v>
      </c>
      <c r="AH12" s="137">
        <v>45755</v>
      </c>
      <c r="AK12" s="86">
        <v>50</v>
      </c>
      <c r="AL12" s="86">
        <v>145</v>
      </c>
      <c r="AM12" s="120">
        <f t="shared" si="7"/>
        <v>7250</v>
      </c>
    </row>
    <row r="13" spans="2:39" ht="15.75" thickBot="1" x14ac:dyDescent="0.3">
      <c r="B13" s="87" t="s">
        <v>18</v>
      </c>
      <c r="C13" s="87"/>
      <c r="D13" s="90">
        <f>+SUM(D5:D12)</f>
        <v>29350</v>
      </c>
      <c r="F13" s="87" t="s">
        <v>18</v>
      </c>
      <c r="G13" s="87"/>
      <c r="H13" s="90">
        <f>+SUM(H5:H12)</f>
        <v>55000</v>
      </c>
      <c r="J13" s="87" t="s">
        <v>18</v>
      </c>
      <c r="K13" s="87"/>
      <c r="L13" s="90">
        <f>+SUM(L5:L12)</f>
        <v>63780</v>
      </c>
      <c r="N13" s="87" t="s">
        <v>18</v>
      </c>
      <c r="O13" s="87"/>
      <c r="P13" s="90">
        <f>+SUM(P5:P12)</f>
        <v>44460</v>
      </c>
      <c r="R13" s="87" t="s">
        <v>18</v>
      </c>
      <c r="S13" s="87"/>
      <c r="T13" s="90">
        <f>+SUM(T5:T12)</f>
        <v>25220</v>
      </c>
      <c r="V13" s="96"/>
      <c r="W13" s="87" t="s">
        <v>18</v>
      </c>
      <c r="X13" s="87"/>
      <c r="Y13" s="90">
        <f>+SUM(Y5:Y12)</f>
        <v>217810</v>
      </c>
      <c r="Z13" s="97"/>
      <c r="AE13" s="85" t="s">
        <v>19</v>
      </c>
      <c r="AF13" s="89">
        <v>28000</v>
      </c>
      <c r="AK13" s="86">
        <v>100</v>
      </c>
      <c r="AL13" s="86">
        <v>175</v>
      </c>
      <c r="AM13" s="120">
        <f t="shared" si="7"/>
        <v>17500</v>
      </c>
    </row>
    <row r="14" spans="2:39" ht="15.75" thickBot="1" x14ac:dyDescent="0.3">
      <c r="V14" s="96"/>
      <c r="W14" s="100"/>
      <c r="X14" s="100"/>
      <c r="Y14" s="100"/>
      <c r="Z14" s="97"/>
      <c r="AE14" s="85" t="s">
        <v>87</v>
      </c>
      <c r="AF14" s="89">
        <v>15000</v>
      </c>
      <c r="AK14" s="86">
        <v>500</v>
      </c>
      <c r="AL14" s="86">
        <v>188</v>
      </c>
      <c r="AM14" s="120">
        <f t="shared" si="7"/>
        <v>94000</v>
      </c>
    </row>
    <row r="15" spans="2:39" ht="15.75" thickBot="1" x14ac:dyDescent="0.3">
      <c r="B15" s="242" t="s">
        <v>21</v>
      </c>
      <c r="C15" s="243"/>
      <c r="D15" s="92">
        <v>46562</v>
      </c>
      <c r="E15" s="114"/>
      <c r="F15" s="242" t="s">
        <v>21</v>
      </c>
      <c r="G15" s="243"/>
      <c r="H15" s="92">
        <v>91378.97</v>
      </c>
      <c r="I15" s="114"/>
      <c r="J15" s="242" t="s">
        <v>21</v>
      </c>
      <c r="K15" s="243"/>
      <c r="L15" s="92">
        <v>63730</v>
      </c>
      <c r="M15" s="114"/>
      <c r="N15" s="242" t="s">
        <v>21</v>
      </c>
      <c r="O15" s="243"/>
      <c r="P15" s="92">
        <v>41138</v>
      </c>
      <c r="Q15" s="114"/>
      <c r="R15" s="242" t="s">
        <v>21</v>
      </c>
      <c r="S15" s="243"/>
      <c r="T15" s="92">
        <v>514079</v>
      </c>
      <c r="U15" s="114"/>
      <c r="V15" s="115"/>
      <c r="W15" s="242" t="s">
        <v>21</v>
      </c>
      <c r="X15" s="243"/>
      <c r="Y15" s="92">
        <f>+D15+H15+L15+P15+T15</f>
        <v>756887.97</v>
      </c>
      <c r="Z15" s="116"/>
      <c r="AA15" s="114"/>
      <c r="AE15" s="85" t="s">
        <v>88</v>
      </c>
      <c r="AF15" s="89">
        <v>1512</v>
      </c>
      <c r="AK15" s="86">
        <v>1000</v>
      </c>
      <c r="AL15" s="86">
        <v>341</v>
      </c>
      <c r="AM15" s="120">
        <f t="shared" si="7"/>
        <v>341000</v>
      </c>
    </row>
    <row r="16" spans="2:39" x14ac:dyDescent="0.25">
      <c r="B16" s="85" t="s">
        <v>10</v>
      </c>
      <c r="D16" s="89">
        <v>29350</v>
      </c>
      <c r="F16" s="85" t="s">
        <v>10</v>
      </c>
      <c r="H16" s="89">
        <f>+H13</f>
        <v>55000</v>
      </c>
      <c r="J16" s="85" t="s">
        <v>10</v>
      </c>
      <c r="L16" s="89">
        <v>63780</v>
      </c>
      <c r="N16" s="85" t="s">
        <v>10</v>
      </c>
      <c r="P16" s="89">
        <f>+P13</f>
        <v>44460</v>
      </c>
      <c r="R16" s="85" t="s">
        <v>10</v>
      </c>
      <c r="T16" s="89">
        <v>25220</v>
      </c>
      <c r="V16" s="96"/>
      <c r="W16" s="124" t="s">
        <v>10</v>
      </c>
      <c r="X16" s="124"/>
      <c r="Y16" s="121">
        <f>+D16+H16+L16+P16+T16</f>
        <v>217810</v>
      </c>
      <c r="Z16" s="97"/>
      <c r="AB16" s="114"/>
      <c r="AC16" s="114"/>
      <c r="AD16" s="114"/>
      <c r="AE16" s="85" t="s">
        <v>23</v>
      </c>
      <c r="AF16" s="89"/>
      <c r="AK16" s="86">
        <v>5000</v>
      </c>
      <c r="AL16" s="86">
        <v>26</v>
      </c>
      <c r="AM16" s="120">
        <f t="shared" si="7"/>
        <v>130000</v>
      </c>
    </row>
    <row r="17" spans="2:39" ht="15.75" thickBot="1" x14ac:dyDescent="0.3">
      <c r="B17" s="85" t="s">
        <v>17</v>
      </c>
      <c r="D17" s="89"/>
      <c r="F17" s="85" t="s">
        <v>17</v>
      </c>
      <c r="H17" s="89"/>
      <c r="J17" s="85" t="s">
        <v>17</v>
      </c>
      <c r="L17" s="89"/>
      <c r="N17" s="85" t="s">
        <v>17</v>
      </c>
      <c r="P17" s="89"/>
      <c r="R17" s="85" t="s">
        <v>17</v>
      </c>
      <c r="T17" s="89"/>
      <c r="V17" s="96"/>
      <c r="W17" s="124" t="s">
        <v>17</v>
      </c>
      <c r="X17" s="124"/>
      <c r="Y17" s="121">
        <f t="shared" ref="Y17:Y27" si="8">+D17+H17+L17+P17+T17</f>
        <v>0</v>
      </c>
      <c r="Z17" s="97"/>
      <c r="AE17" s="133" t="s">
        <v>12</v>
      </c>
      <c r="AF17" s="134">
        <f>+SUM(AF12:AF16)</f>
        <v>615532</v>
      </c>
      <c r="AG17" s="160"/>
      <c r="AK17" s="87" t="s">
        <v>18</v>
      </c>
      <c r="AL17" s="87"/>
      <c r="AM17" s="90">
        <f>+SUM(AM9:AM16)</f>
        <v>600527</v>
      </c>
    </row>
    <row r="18" spans="2:39" x14ac:dyDescent="0.25">
      <c r="B18" s="85" t="s">
        <v>89</v>
      </c>
      <c r="C18" s="85" t="s">
        <v>90</v>
      </c>
      <c r="D18" s="89">
        <v>7670</v>
      </c>
      <c r="F18" s="85" t="s">
        <v>28</v>
      </c>
      <c r="G18" s="85" t="s">
        <v>91</v>
      </c>
      <c r="H18" s="89">
        <v>5522</v>
      </c>
      <c r="J18" s="85" t="s">
        <v>27</v>
      </c>
      <c r="L18" s="89"/>
      <c r="N18" s="85" t="s">
        <v>26</v>
      </c>
      <c r="P18" s="89"/>
      <c r="R18" s="85" t="s">
        <v>92</v>
      </c>
      <c r="S18" s="85">
        <v>92</v>
      </c>
      <c r="T18" s="89">
        <v>200000</v>
      </c>
      <c r="V18" s="96"/>
      <c r="W18" s="124" t="s">
        <v>26</v>
      </c>
      <c r="X18" s="124"/>
      <c r="Y18" s="121">
        <f t="shared" si="8"/>
        <v>213192</v>
      </c>
      <c r="Z18" s="97"/>
      <c r="AE18" s="135" t="s">
        <v>32</v>
      </c>
      <c r="AF18" s="136">
        <f>+AF17-AF9</f>
        <v>0</v>
      </c>
      <c r="AG18" s="85" t="s">
        <v>33</v>
      </c>
    </row>
    <row r="19" spans="2:39" x14ac:dyDescent="0.25">
      <c r="B19" s="85" t="s">
        <v>93</v>
      </c>
      <c r="C19" s="85" t="s">
        <v>94</v>
      </c>
      <c r="D19" s="89">
        <v>9560</v>
      </c>
      <c r="F19" s="85" t="s">
        <v>30</v>
      </c>
      <c r="G19" s="85" t="s">
        <v>95</v>
      </c>
      <c r="H19" s="89">
        <v>10000</v>
      </c>
      <c r="J19" s="85" t="s">
        <v>27</v>
      </c>
      <c r="L19" s="89"/>
      <c r="N19" s="85" t="s">
        <v>34</v>
      </c>
      <c r="P19" s="89"/>
      <c r="R19" s="85" t="s">
        <v>27</v>
      </c>
      <c r="T19" s="89"/>
      <c r="V19" s="96"/>
      <c r="W19" s="124" t="s">
        <v>34</v>
      </c>
      <c r="X19" s="124"/>
      <c r="Y19" s="121">
        <f t="shared" si="8"/>
        <v>19560</v>
      </c>
      <c r="Z19" s="97"/>
    </row>
    <row r="20" spans="2:39" x14ac:dyDescent="0.25">
      <c r="B20" s="85" t="s">
        <v>36</v>
      </c>
      <c r="D20" s="89"/>
      <c r="F20" s="85" t="s">
        <v>96</v>
      </c>
      <c r="G20" s="85" t="s">
        <v>97</v>
      </c>
      <c r="H20" s="89">
        <v>6000</v>
      </c>
      <c r="J20" s="85" t="s">
        <v>36</v>
      </c>
      <c r="L20" s="89"/>
      <c r="N20" s="85" t="s">
        <v>36</v>
      </c>
      <c r="P20" s="89"/>
      <c r="R20" s="85" t="s">
        <v>27</v>
      </c>
      <c r="T20" s="89"/>
      <c r="V20" s="96"/>
      <c r="W20" s="124" t="s">
        <v>36</v>
      </c>
      <c r="X20" s="124"/>
      <c r="Y20" s="121">
        <f t="shared" si="8"/>
        <v>6000</v>
      </c>
      <c r="Z20" s="97"/>
    </row>
    <row r="21" spans="2:39" x14ac:dyDescent="0.25">
      <c r="D21" s="89"/>
      <c r="F21" s="85" t="s">
        <v>89</v>
      </c>
      <c r="G21" s="85" t="s">
        <v>98</v>
      </c>
      <c r="H21" s="89">
        <v>14480</v>
      </c>
      <c r="L21" s="89"/>
      <c r="P21" s="89"/>
      <c r="R21" s="85" t="s">
        <v>27</v>
      </c>
      <c r="T21" s="89"/>
      <c r="V21" s="96"/>
      <c r="W21" s="124"/>
      <c r="X21" s="124"/>
      <c r="Y21" s="121">
        <f t="shared" si="8"/>
        <v>14480</v>
      </c>
      <c r="Z21" s="97"/>
      <c r="AB21" s="139" t="s">
        <v>37</v>
      </c>
      <c r="AC21" s="139"/>
      <c r="AD21" s="139"/>
      <c r="AE21" s="114"/>
      <c r="AJ21" s="139" t="s">
        <v>38</v>
      </c>
      <c r="AK21" s="139"/>
      <c r="AL21" s="139"/>
      <c r="AM21" s="147"/>
    </row>
    <row r="22" spans="2:39" x14ac:dyDescent="0.25">
      <c r="D22" s="89"/>
      <c r="H22" s="89"/>
      <c r="L22" s="89"/>
      <c r="P22" s="89"/>
      <c r="R22" s="85" t="s">
        <v>27</v>
      </c>
      <c r="T22" s="89"/>
      <c r="V22" s="96"/>
      <c r="W22" s="124"/>
      <c r="X22" s="124"/>
      <c r="Y22" s="121">
        <f t="shared" si="8"/>
        <v>0</v>
      </c>
      <c r="Z22" s="97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J22" s="132" t="s">
        <v>41</v>
      </c>
      <c r="AK22" s="132" t="s">
        <v>45</v>
      </c>
      <c r="AL22" s="132" t="s">
        <v>43</v>
      </c>
      <c r="AM22" s="132" t="s">
        <v>8</v>
      </c>
    </row>
    <row r="23" spans="2:39" x14ac:dyDescent="0.25">
      <c r="B23" s="85" t="s">
        <v>46</v>
      </c>
      <c r="D23" s="89"/>
      <c r="F23" s="85" t="s">
        <v>46</v>
      </c>
      <c r="H23" s="89"/>
      <c r="J23" s="85" t="s">
        <v>46</v>
      </c>
      <c r="L23" s="89"/>
      <c r="N23" s="85" t="s">
        <v>46</v>
      </c>
      <c r="P23" s="89"/>
      <c r="R23" s="85" t="s">
        <v>99</v>
      </c>
      <c r="S23" s="85" t="s">
        <v>100</v>
      </c>
      <c r="T23" s="89">
        <v>211099</v>
      </c>
      <c r="V23" s="96"/>
      <c r="W23" s="125" t="s">
        <v>46</v>
      </c>
      <c r="X23" s="124"/>
      <c r="Y23" s="121">
        <f t="shared" si="8"/>
        <v>211099</v>
      </c>
      <c r="Z23" s="97"/>
      <c r="AB23" s="162" t="s">
        <v>101</v>
      </c>
      <c r="AC23" s="163">
        <v>45868</v>
      </c>
      <c r="AD23" s="162" t="s">
        <v>67</v>
      </c>
      <c r="AE23" s="100"/>
      <c r="AF23" s="162">
        <v>9466</v>
      </c>
    </row>
    <row r="24" spans="2:39" x14ac:dyDescent="0.25">
      <c r="B24" s="85" t="s">
        <v>54</v>
      </c>
      <c r="D24" s="89"/>
      <c r="F24" s="85" t="s">
        <v>54</v>
      </c>
      <c r="H24" s="89"/>
      <c r="J24" s="85" t="s">
        <v>54</v>
      </c>
      <c r="L24" s="89"/>
      <c r="N24" s="85" t="s">
        <v>54</v>
      </c>
      <c r="P24" s="89"/>
      <c r="R24" s="85" t="s">
        <v>102</v>
      </c>
      <c r="S24" s="85" t="s">
        <v>103</v>
      </c>
      <c r="T24" s="89">
        <v>53193</v>
      </c>
      <c r="V24" s="96"/>
      <c r="W24" s="125" t="s">
        <v>54</v>
      </c>
      <c r="X24" s="124"/>
      <c r="Y24" s="121">
        <f t="shared" si="8"/>
        <v>53193</v>
      </c>
      <c r="Z24" s="97"/>
      <c r="AB24" s="100" t="s">
        <v>104</v>
      </c>
      <c r="AC24" s="164">
        <v>45864</v>
      </c>
      <c r="AD24" s="100" t="s">
        <v>105</v>
      </c>
      <c r="AE24" s="100"/>
      <c r="AF24" s="149">
        <v>301305</v>
      </c>
    </row>
    <row r="25" spans="2:39" x14ac:dyDescent="0.25">
      <c r="B25" s="85" t="s">
        <v>61</v>
      </c>
      <c r="D25" s="89"/>
      <c r="F25" s="85" t="s">
        <v>61</v>
      </c>
      <c r="H25" s="89"/>
      <c r="J25" s="85" t="s">
        <v>61</v>
      </c>
      <c r="L25" s="89"/>
      <c r="N25" s="85" t="s">
        <v>61</v>
      </c>
      <c r="P25" s="89"/>
      <c r="R25" s="85" t="s">
        <v>61</v>
      </c>
      <c r="T25" s="89"/>
      <c r="V25" s="96"/>
      <c r="W25" s="125" t="s">
        <v>61</v>
      </c>
      <c r="X25" s="124"/>
      <c r="Y25" s="121">
        <f t="shared" si="8"/>
        <v>0</v>
      </c>
      <c r="Z25" s="97"/>
      <c r="AB25" s="100" t="s">
        <v>106</v>
      </c>
      <c r="AC25" s="164">
        <v>45866</v>
      </c>
      <c r="AD25" s="165" t="s">
        <v>107</v>
      </c>
      <c r="AE25" s="100"/>
      <c r="AF25" s="149">
        <v>50000</v>
      </c>
    </row>
    <row r="26" spans="2:39" x14ac:dyDescent="0.25">
      <c r="D26" s="89"/>
      <c r="H26" s="89"/>
      <c r="L26" s="89"/>
      <c r="P26" s="89"/>
      <c r="V26" s="96"/>
      <c r="W26" s="124"/>
      <c r="X26" s="124"/>
      <c r="Y26" s="121">
        <f t="shared" si="8"/>
        <v>0</v>
      </c>
      <c r="Z26" s="97"/>
      <c r="AB26" s="100" t="s">
        <v>51</v>
      </c>
      <c r="AC26" s="164">
        <v>45859</v>
      </c>
      <c r="AD26" s="165" t="s">
        <v>108</v>
      </c>
      <c r="AE26" s="100"/>
      <c r="AF26" s="148">
        <v>36951</v>
      </c>
    </row>
    <row r="27" spans="2:39" ht="15.75" thickBot="1" x14ac:dyDescent="0.3">
      <c r="D27" s="89"/>
      <c r="H27" s="89"/>
      <c r="L27" s="89"/>
      <c r="P27" s="89"/>
      <c r="T27" s="89"/>
      <c r="V27" s="96"/>
      <c r="W27" s="124"/>
      <c r="X27" s="124"/>
      <c r="Y27" s="121">
        <f t="shared" si="8"/>
        <v>0</v>
      </c>
      <c r="Z27" s="97"/>
      <c r="AB27" s="100"/>
      <c r="AC27" s="100"/>
      <c r="AD27" s="100"/>
      <c r="AE27" s="100"/>
      <c r="AF27" s="100"/>
    </row>
    <row r="28" spans="2:39" ht="15.75" thickBot="1" x14ac:dyDescent="0.3">
      <c r="B28" s="235" t="s">
        <v>12</v>
      </c>
      <c r="C28" s="236"/>
      <c r="D28" s="93">
        <f>+SUM(D16:D27)</f>
        <v>46580</v>
      </c>
      <c r="F28" s="235" t="s">
        <v>12</v>
      </c>
      <c r="G28" s="236"/>
      <c r="H28" s="93">
        <f>+SUM(H16:H27)</f>
        <v>91002</v>
      </c>
      <c r="J28" s="235" t="s">
        <v>12</v>
      </c>
      <c r="K28" s="236"/>
      <c r="L28" s="93">
        <f>+SUM(L16:L27)</f>
        <v>63780</v>
      </c>
      <c r="N28" s="235" t="s">
        <v>12</v>
      </c>
      <c r="O28" s="236"/>
      <c r="P28" s="93">
        <f>+SUM(P16:P27)</f>
        <v>44460</v>
      </c>
      <c r="R28" s="235" t="s">
        <v>12</v>
      </c>
      <c r="S28" s="236"/>
      <c r="T28" s="93">
        <f>+SUM(T16:T27)</f>
        <v>489512</v>
      </c>
      <c r="V28" s="96"/>
      <c r="W28" s="235" t="s">
        <v>12</v>
      </c>
      <c r="X28" s="236"/>
      <c r="Y28" s="93">
        <f>+SUM(Y16:Y27)</f>
        <v>735334</v>
      </c>
      <c r="Z28" s="97"/>
    </row>
    <row r="29" spans="2:39" ht="15.75" thickBot="1" x14ac:dyDescent="0.3">
      <c r="D29" s="89"/>
      <c r="H29" s="89"/>
      <c r="L29" s="89"/>
      <c r="P29" s="89"/>
      <c r="T29" s="89"/>
      <c r="V29" s="96"/>
      <c r="W29" s="100"/>
      <c r="X29" s="100"/>
      <c r="Y29" s="99"/>
      <c r="Z29" s="97"/>
      <c r="AB29" s="145" t="s">
        <v>74</v>
      </c>
      <c r="AC29" s="145"/>
      <c r="AD29" s="145"/>
      <c r="AE29" s="145"/>
      <c r="AF29" s="140">
        <f>+SUM(AF23:AF28)</f>
        <v>397722</v>
      </c>
    </row>
    <row r="30" spans="2:39" ht="16.5" thickTop="1" thickBot="1" x14ac:dyDescent="0.3">
      <c r="B30" s="237" t="s">
        <v>75</v>
      </c>
      <c r="C30" s="237"/>
      <c r="D30" s="91">
        <f>+D28-D15</f>
        <v>18</v>
      </c>
      <c r="F30" s="237" t="s">
        <v>75</v>
      </c>
      <c r="G30" s="237"/>
      <c r="H30" s="91">
        <f>+H28-H15</f>
        <v>-376.97000000000116</v>
      </c>
      <c r="J30" s="237" t="s">
        <v>75</v>
      </c>
      <c r="K30" s="237"/>
      <c r="L30" s="91">
        <f>+L28-L15</f>
        <v>50</v>
      </c>
      <c r="N30" s="237" t="s">
        <v>75</v>
      </c>
      <c r="O30" s="237"/>
      <c r="P30" s="91">
        <f>+P28-P15</f>
        <v>3322</v>
      </c>
      <c r="R30" s="237" t="s">
        <v>75</v>
      </c>
      <c r="S30" s="237"/>
      <c r="T30" s="91">
        <f>+T28-T15</f>
        <v>-24567</v>
      </c>
      <c r="V30" s="96"/>
      <c r="W30" s="238" t="s">
        <v>75</v>
      </c>
      <c r="X30" s="238"/>
      <c r="Y30" s="126">
        <f>+Y28-Y15</f>
        <v>-21553.969999999972</v>
      </c>
      <c r="Z30" s="97"/>
    </row>
    <row r="31" spans="2:39" ht="16.5" thickTop="1" thickBot="1" x14ac:dyDescent="0.3">
      <c r="V31" s="101"/>
      <c r="W31" s="102"/>
      <c r="X31" s="102"/>
      <c r="Y31" s="102"/>
      <c r="Z31" s="103"/>
    </row>
    <row r="33" spans="2:39" ht="15.75" thickBot="1" x14ac:dyDescent="0.3"/>
    <row r="34" spans="2:39" ht="15.75" thickBot="1" x14ac:dyDescent="0.3">
      <c r="B34" s="94" t="s">
        <v>76</v>
      </c>
      <c r="C34" s="95"/>
      <c r="D34" s="105"/>
      <c r="F34" s="94" t="s">
        <v>76</v>
      </c>
      <c r="G34" s="95"/>
      <c r="H34" s="105">
        <v>377</v>
      </c>
      <c r="J34" s="94" t="s">
        <v>76</v>
      </c>
      <c r="K34" s="95"/>
      <c r="L34" s="105"/>
      <c r="N34" s="94" t="s">
        <v>76</v>
      </c>
      <c r="O34" s="95"/>
      <c r="P34" s="105"/>
      <c r="R34" s="94" t="s">
        <v>109</v>
      </c>
      <c r="S34" s="95"/>
      <c r="T34" s="105">
        <v>-38</v>
      </c>
      <c r="W34" s="127" t="s">
        <v>76</v>
      </c>
      <c r="X34" s="128"/>
      <c r="Y34" s="129">
        <f>+D34+H34+L34+P34+T34</f>
        <v>339</v>
      </c>
      <c r="AJ34" s="150" t="s">
        <v>74</v>
      </c>
      <c r="AK34" s="150"/>
      <c r="AL34" s="150"/>
      <c r="AM34" s="151">
        <f>+SUM(AM23:AM33)</f>
        <v>0</v>
      </c>
    </row>
    <row r="35" spans="2:39" ht="15.75" thickTop="1" x14ac:dyDescent="0.25">
      <c r="B35" s="96" t="s">
        <v>77</v>
      </c>
      <c r="C35" s="100"/>
      <c r="D35" s="106"/>
      <c r="F35" s="96" t="s">
        <v>77</v>
      </c>
      <c r="G35" s="100"/>
      <c r="H35" s="106"/>
      <c r="J35" s="96" t="s">
        <v>77</v>
      </c>
      <c r="K35" s="100"/>
      <c r="L35" s="106"/>
      <c r="N35" s="96" t="s">
        <v>77</v>
      </c>
      <c r="O35" s="100"/>
      <c r="P35" s="106"/>
      <c r="R35" s="96" t="s">
        <v>77</v>
      </c>
      <c r="S35" s="100"/>
      <c r="T35" s="106"/>
      <c r="W35" s="130" t="s">
        <v>77</v>
      </c>
      <c r="X35" s="124"/>
      <c r="Y35" s="131">
        <f t="shared" ref="Y35:Y36" si="9">+D35+H35+L35+P35+T35</f>
        <v>0</v>
      </c>
    </row>
    <row r="36" spans="2:39" x14ac:dyDescent="0.25">
      <c r="B36" s="96" t="s">
        <v>79</v>
      </c>
      <c r="C36" s="100"/>
      <c r="D36" s="106">
        <v>-18</v>
      </c>
      <c r="F36" s="96" t="s">
        <v>78</v>
      </c>
      <c r="G36" s="100"/>
      <c r="H36" s="106"/>
      <c r="J36" s="96" t="s">
        <v>79</v>
      </c>
      <c r="K36" s="100"/>
      <c r="L36" s="106">
        <v>-50</v>
      </c>
      <c r="N36" s="96" t="s">
        <v>79</v>
      </c>
      <c r="O36" s="100"/>
      <c r="P36" s="106">
        <v>-3322</v>
      </c>
      <c r="R36" s="96" t="s">
        <v>110</v>
      </c>
      <c r="S36" s="100"/>
      <c r="T36" s="106">
        <v>24605</v>
      </c>
      <c r="W36" s="130" t="s">
        <v>78</v>
      </c>
      <c r="X36" s="124"/>
      <c r="Y36" s="131">
        <f t="shared" si="9"/>
        <v>21215</v>
      </c>
    </row>
    <row r="37" spans="2:39" x14ac:dyDescent="0.25">
      <c r="B37" s="96" t="s">
        <v>18</v>
      </c>
      <c r="C37" s="100"/>
      <c r="D37" s="106">
        <f>+SUM(D34:D36)</f>
        <v>-18</v>
      </c>
      <c r="F37" s="96" t="s">
        <v>18</v>
      </c>
      <c r="G37" s="100"/>
      <c r="H37" s="106">
        <f>+SUM(H34:H36)</f>
        <v>377</v>
      </c>
      <c r="J37" s="96" t="s">
        <v>18</v>
      </c>
      <c r="K37" s="100"/>
      <c r="L37" s="106">
        <f>+SUM(L34:L36)</f>
        <v>-50</v>
      </c>
      <c r="N37" s="96" t="s">
        <v>18</v>
      </c>
      <c r="O37" s="100"/>
      <c r="P37" s="106">
        <f>+SUM(P34:P36)</f>
        <v>-3322</v>
      </c>
      <c r="R37" s="96" t="s">
        <v>18</v>
      </c>
      <c r="S37" s="100"/>
      <c r="T37" s="106">
        <f>+SUM(T34:T36)</f>
        <v>24567</v>
      </c>
      <c r="W37" s="117" t="s">
        <v>18</v>
      </c>
      <c r="X37" s="118"/>
      <c r="Y37" s="119">
        <f>+SUM(Y34:Y36)</f>
        <v>21554</v>
      </c>
    </row>
    <row r="38" spans="2:39" ht="15.75" thickBot="1" x14ac:dyDescent="0.3">
      <c r="B38" s="107" t="s">
        <v>81</v>
      </c>
      <c r="C38" s="108"/>
      <c r="D38" s="109">
        <f>+D30+D37</f>
        <v>0</v>
      </c>
      <c r="F38" s="107" t="s">
        <v>81</v>
      </c>
      <c r="G38" s="108"/>
      <c r="H38" s="109">
        <f>+H30+H37</f>
        <v>2.9999999998835847E-2</v>
      </c>
      <c r="J38" s="107" t="s">
        <v>81</v>
      </c>
      <c r="K38" s="108"/>
      <c r="L38" s="109">
        <f>+L30+L37</f>
        <v>0</v>
      </c>
      <c r="N38" s="107" t="s">
        <v>81</v>
      </c>
      <c r="O38" s="108"/>
      <c r="P38" s="109">
        <f>+P30+P37</f>
        <v>0</v>
      </c>
      <c r="R38" s="107" t="s">
        <v>81</v>
      </c>
      <c r="S38" s="108"/>
      <c r="T38" s="109">
        <f>+T30+T37</f>
        <v>0</v>
      </c>
      <c r="W38" s="107" t="s">
        <v>81</v>
      </c>
      <c r="X38" s="108"/>
      <c r="Y38" s="109">
        <f>+Y30+Y37</f>
        <v>3.0000000027939677E-2</v>
      </c>
    </row>
  </sheetData>
  <mergeCells count="25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AE5:AI5"/>
    <mergeCell ref="B15:C15"/>
    <mergeCell ref="F15:G15"/>
    <mergeCell ref="J15:K15"/>
    <mergeCell ref="N15:O15"/>
    <mergeCell ref="R15:S15"/>
    <mergeCell ref="W15:X15"/>
    <mergeCell ref="W3:Y3"/>
    <mergeCell ref="B3:D3"/>
    <mergeCell ref="F3:H3"/>
    <mergeCell ref="J3:L3"/>
    <mergeCell ref="N3:P3"/>
    <mergeCell ref="R3:T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M38"/>
  <sheetViews>
    <sheetView zoomScale="80" zoomScaleNormal="80" workbookViewId="0">
      <selection activeCell="T34" sqref="T34:T38"/>
    </sheetView>
  </sheetViews>
  <sheetFormatPr defaultRowHeight="15" x14ac:dyDescent="0.25"/>
  <cols>
    <col min="1" max="1" width="9.140625" style="85"/>
    <col min="2" max="2" width="13.7109375" style="85" customWidth="1"/>
    <col min="3" max="3" width="14.42578125" style="85" customWidth="1"/>
    <col min="4" max="4" width="9.140625" style="85"/>
    <col min="5" max="5" width="1.140625" style="85" customWidth="1"/>
    <col min="6" max="6" width="14.28515625" style="85" customWidth="1"/>
    <col min="7" max="7" width="13.42578125" style="85" customWidth="1"/>
    <col min="8" max="8" width="9.140625" style="85"/>
    <col min="9" max="9" width="1.42578125" style="85" customWidth="1"/>
    <col min="10" max="11" width="12" style="85" customWidth="1"/>
    <col min="12" max="12" width="9.140625" style="85"/>
    <col min="13" max="13" width="1.7109375" style="85" customWidth="1"/>
    <col min="14" max="14" width="9.140625" style="85"/>
    <col min="15" max="15" width="15.7109375" style="85" customWidth="1"/>
    <col min="16" max="16" width="9.140625" style="85"/>
    <col min="17" max="17" width="1.140625" style="85" customWidth="1"/>
    <col min="18" max="18" width="9.140625" style="85"/>
    <col min="19" max="19" width="12" style="85" customWidth="1"/>
    <col min="20" max="20" width="10.7109375" style="85" customWidth="1"/>
    <col min="21" max="21" width="1.5703125" style="85" customWidth="1"/>
    <col min="22" max="22" width="0.7109375" style="85" customWidth="1"/>
    <col min="23" max="24" width="9.140625" style="85"/>
    <col min="25" max="25" width="10.140625" style="85" customWidth="1"/>
    <col min="26" max="26" width="1.28515625" style="85" customWidth="1"/>
    <col min="27" max="27" width="1.85546875" style="85" customWidth="1"/>
    <col min="28" max="28" width="9.140625" style="85"/>
    <col min="29" max="29" width="9.7109375" style="85" bestFit="1" customWidth="1"/>
    <col min="30" max="30" width="12.140625" style="85" bestFit="1" customWidth="1"/>
    <col min="31" max="31" width="13.5703125" style="85" bestFit="1" customWidth="1"/>
    <col min="32" max="32" width="9.7109375" style="85" bestFit="1" customWidth="1"/>
    <col min="33" max="36" width="9.140625" style="85"/>
    <col min="37" max="37" width="15.85546875" style="85" bestFit="1" customWidth="1"/>
    <col min="38" max="38" width="15" style="85" bestFit="1" customWidth="1"/>
    <col min="39" max="16384" width="9.140625" style="85"/>
  </cols>
  <sheetData>
    <row r="3" spans="2:39" x14ac:dyDescent="0.25">
      <c r="B3" s="240" t="s">
        <v>0</v>
      </c>
      <c r="C3" s="240"/>
      <c r="D3" s="240"/>
      <c r="F3" s="240" t="s">
        <v>1</v>
      </c>
      <c r="G3" s="240"/>
      <c r="H3" s="240"/>
      <c r="J3" s="240" t="s">
        <v>2</v>
      </c>
      <c r="K3" s="240"/>
      <c r="L3" s="240"/>
      <c r="N3" s="240" t="s">
        <v>3</v>
      </c>
      <c r="O3" s="240"/>
      <c r="P3" s="240"/>
      <c r="R3" s="240" t="s">
        <v>4</v>
      </c>
      <c r="S3" s="240"/>
      <c r="T3" s="240"/>
      <c r="V3" s="96"/>
      <c r="W3" s="239" t="s">
        <v>5</v>
      </c>
      <c r="X3" s="239"/>
      <c r="Y3" s="239"/>
      <c r="Z3" s="97"/>
    </row>
    <row r="4" spans="2:39" x14ac:dyDescent="0.25">
      <c r="B4" s="88" t="s">
        <v>6</v>
      </c>
      <c r="C4" s="88" t="s">
        <v>7</v>
      </c>
      <c r="D4" s="88" t="s">
        <v>8</v>
      </c>
      <c r="F4" s="88" t="s">
        <v>6</v>
      </c>
      <c r="G4" s="88" t="s">
        <v>7</v>
      </c>
      <c r="H4" s="88" t="s">
        <v>8</v>
      </c>
      <c r="J4" s="88" t="s">
        <v>6</v>
      </c>
      <c r="K4" s="88" t="s">
        <v>7</v>
      </c>
      <c r="L4" s="88" t="s">
        <v>8</v>
      </c>
      <c r="N4" s="88" t="s">
        <v>6</v>
      </c>
      <c r="O4" s="88" t="s">
        <v>7</v>
      </c>
      <c r="P4" s="88" t="s">
        <v>8</v>
      </c>
      <c r="R4" s="88" t="s">
        <v>6</v>
      </c>
      <c r="S4" s="88" t="s">
        <v>7</v>
      </c>
      <c r="T4" s="88" t="s">
        <v>8</v>
      </c>
      <c r="V4" s="96"/>
      <c r="W4" s="98" t="s">
        <v>6</v>
      </c>
      <c r="X4" s="98" t="s">
        <v>7</v>
      </c>
      <c r="Y4" s="98" t="s">
        <v>8</v>
      </c>
      <c r="Z4" s="97"/>
    </row>
    <row r="5" spans="2:39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>
        <v>1</v>
      </c>
      <c r="H5" s="120">
        <f>+G5*F5</f>
        <v>1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>
        <v>2</v>
      </c>
      <c r="T5" s="120">
        <f>+S5*R5</f>
        <v>2</v>
      </c>
      <c r="U5" s="110"/>
      <c r="V5" s="111"/>
      <c r="W5" s="122">
        <v>1</v>
      </c>
      <c r="X5" s="123">
        <f>+C5+G5+K5+O5+S5</f>
        <v>3</v>
      </c>
      <c r="Y5" s="121">
        <f>+D5+H5+L5+P5+T5</f>
        <v>3</v>
      </c>
      <c r="Z5" s="112"/>
      <c r="AA5" s="110"/>
      <c r="AE5" s="241" t="s">
        <v>9</v>
      </c>
      <c r="AF5" s="241"/>
      <c r="AG5" s="241"/>
      <c r="AH5" s="241"/>
      <c r="AI5" s="241"/>
      <c r="AJ5" s="146"/>
    </row>
    <row r="6" spans="2:39" ht="15.75" thickTop="1" x14ac:dyDescent="0.25">
      <c r="B6" s="86">
        <v>10</v>
      </c>
      <c r="C6" s="86">
        <v>332</v>
      </c>
      <c r="D6" s="120">
        <f>+C6*B6</f>
        <v>3320</v>
      </c>
      <c r="F6" s="86">
        <v>10</v>
      </c>
      <c r="G6" s="86">
        <v>71</v>
      </c>
      <c r="H6" s="120">
        <f>+G6*F6</f>
        <v>710</v>
      </c>
      <c r="J6" s="86">
        <v>10</v>
      </c>
      <c r="K6" s="86">
        <v>372</v>
      </c>
      <c r="L6" s="120">
        <f>+K6*J6</f>
        <v>3720</v>
      </c>
      <c r="N6" s="86">
        <v>10</v>
      </c>
      <c r="O6" s="86">
        <v>3</v>
      </c>
      <c r="P6" s="120">
        <f>+O6*N6</f>
        <v>30</v>
      </c>
      <c r="R6" s="86">
        <v>10</v>
      </c>
      <c r="S6" s="86">
        <v>1</v>
      </c>
      <c r="T6" s="120">
        <f>+S6*R6</f>
        <v>10</v>
      </c>
      <c r="V6" s="96"/>
      <c r="W6" s="123">
        <v>10</v>
      </c>
      <c r="X6" s="123">
        <f>+C6+G6+K6+O6+S6</f>
        <v>779</v>
      </c>
      <c r="Y6" s="121">
        <f>+D6+H6+L6+P6+T6</f>
        <v>7790</v>
      </c>
      <c r="Z6" s="97"/>
      <c r="AB6" s="110"/>
      <c r="AC6" s="110"/>
      <c r="AD6" s="110"/>
      <c r="AK6" s="110"/>
      <c r="AL6" s="110"/>
      <c r="AM6" s="110"/>
    </row>
    <row r="7" spans="2:39" x14ac:dyDescent="0.25">
      <c r="B7" s="86">
        <v>20</v>
      </c>
      <c r="C7" s="86">
        <v>55</v>
      </c>
      <c r="D7" s="120">
        <f t="shared" ref="D7:D12" si="0">+C7*B7</f>
        <v>1100</v>
      </c>
      <c r="F7" s="86">
        <v>20</v>
      </c>
      <c r="G7" s="86">
        <v>28</v>
      </c>
      <c r="H7" s="120">
        <f t="shared" ref="H7:H12" si="1">+G7*F7</f>
        <v>560</v>
      </c>
      <c r="J7" s="86">
        <v>20</v>
      </c>
      <c r="K7" s="86">
        <v>22</v>
      </c>
      <c r="L7" s="120">
        <f t="shared" ref="L7:L12" si="2">+K7*J7</f>
        <v>440</v>
      </c>
      <c r="N7" s="86">
        <v>20</v>
      </c>
      <c r="O7" s="86"/>
      <c r="P7" s="120">
        <f t="shared" ref="P7:P12" si="3">+O7*N7</f>
        <v>0</v>
      </c>
      <c r="R7" s="86">
        <v>20</v>
      </c>
      <c r="S7" s="86"/>
      <c r="T7" s="120">
        <f t="shared" ref="T7:T12" si="4">+S7*R7</f>
        <v>0</v>
      </c>
      <c r="V7" s="96"/>
      <c r="W7" s="123">
        <v>20</v>
      </c>
      <c r="X7" s="123">
        <f>+C7+G7+K7+O7+S7</f>
        <v>105</v>
      </c>
      <c r="Y7" s="121">
        <f t="shared" ref="Y7:Y12" si="5">+D7+H7+L7+P7+T7</f>
        <v>2100</v>
      </c>
      <c r="Z7" s="97"/>
      <c r="AE7" s="141" t="s">
        <v>10</v>
      </c>
      <c r="AF7" s="142">
        <v>230393</v>
      </c>
      <c r="AG7" s="110"/>
      <c r="AH7" s="110"/>
      <c r="AI7" s="110"/>
      <c r="AJ7" s="110"/>
    </row>
    <row r="8" spans="2:39" x14ac:dyDescent="0.25">
      <c r="B8" s="86">
        <v>50</v>
      </c>
      <c r="C8" s="86">
        <v>59</v>
      </c>
      <c r="D8" s="120">
        <f t="shared" si="0"/>
        <v>2950</v>
      </c>
      <c r="F8" s="86">
        <v>50</v>
      </c>
      <c r="G8" s="86">
        <v>19</v>
      </c>
      <c r="H8" s="120">
        <f t="shared" si="1"/>
        <v>950</v>
      </c>
      <c r="J8" s="86">
        <v>50</v>
      </c>
      <c r="K8" s="86">
        <v>47</v>
      </c>
      <c r="L8" s="120">
        <f t="shared" si="2"/>
        <v>2350</v>
      </c>
      <c r="N8" s="86">
        <v>50</v>
      </c>
      <c r="O8" s="86">
        <v>5</v>
      </c>
      <c r="P8" s="120">
        <f t="shared" si="3"/>
        <v>250</v>
      </c>
      <c r="R8" s="86">
        <v>50</v>
      </c>
      <c r="S8" s="86"/>
      <c r="T8" s="120">
        <f t="shared" si="4"/>
        <v>0</v>
      </c>
      <c r="V8" s="96"/>
      <c r="W8" s="123">
        <v>50</v>
      </c>
      <c r="X8" s="123">
        <f t="shared" ref="X8:X12" si="6">+C8+G8+K8+O8+S8</f>
        <v>130</v>
      </c>
      <c r="Y8" s="121">
        <f t="shared" si="5"/>
        <v>6500</v>
      </c>
      <c r="Z8" s="97"/>
      <c r="AE8" s="138" t="s">
        <v>11</v>
      </c>
      <c r="AF8" s="138">
        <f>+AF29</f>
        <v>68487</v>
      </c>
      <c r="AK8" s="88" t="s">
        <v>6</v>
      </c>
      <c r="AL8" s="88" t="s">
        <v>7</v>
      </c>
      <c r="AM8" s="88" t="s">
        <v>8</v>
      </c>
    </row>
    <row r="9" spans="2:39" ht="15.75" thickBot="1" x14ac:dyDescent="0.3">
      <c r="B9" s="86">
        <v>100</v>
      </c>
      <c r="C9" s="86">
        <v>27</v>
      </c>
      <c r="D9" s="120">
        <f t="shared" si="0"/>
        <v>2700</v>
      </c>
      <c r="F9" s="86">
        <v>100</v>
      </c>
      <c r="G9" s="86">
        <v>88</v>
      </c>
      <c r="H9" s="120">
        <f t="shared" si="1"/>
        <v>8800</v>
      </c>
      <c r="J9" s="86">
        <v>100</v>
      </c>
      <c r="K9" s="86">
        <v>23</v>
      </c>
      <c r="L9" s="120">
        <f t="shared" si="2"/>
        <v>2300</v>
      </c>
      <c r="N9" s="86">
        <v>100</v>
      </c>
      <c r="O9" s="86">
        <v>12</v>
      </c>
      <c r="P9" s="120">
        <f t="shared" si="3"/>
        <v>1200</v>
      </c>
      <c r="R9" s="86">
        <v>100</v>
      </c>
      <c r="S9" s="86"/>
      <c r="T9" s="120">
        <f t="shared" si="4"/>
        <v>0</v>
      </c>
      <c r="V9" s="96"/>
      <c r="W9" s="123">
        <v>100</v>
      </c>
      <c r="X9" s="123">
        <f t="shared" si="6"/>
        <v>150</v>
      </c>
      <c r="Y9" s="121">
        <f t="shared" si="5"/>
        <v>15000</v>
      </c>
      <c r="Z9" s="97"/>
      <c r="AE9" s="143" t="s">
        <v>12</v>
      </c>
      <c r="AF9" s="144">
        <f>SUM(AF7:AF8)</f>
        <v>298880</v>
      </c>
      <c r="AK9" s="113">
        <v>1</v>
      </c>
      <c r="AL9" s="113"/>
      <c r="AM9" s="120">
        <f>+AL9*AK9</f>
        <v>0</v>
      </c>
    </row>
    <row r="10" spans="2:39" x14ac:dyDescent="0.25">
      <c r="B10" s="86">
        <v>500</v>
      </c>
      <c r="C10" s="86">
        <v>24</v>
      </c>
      <c r="D10" s="120">
        <f t="shared" si="0"/>
        <v>12000</v>
      </c>
      <c r="F10" s="86">
        <v>500</v>
      </c>
      <c r="G10" s="86">
        <v>19</v>
      </c>
      <c r="H10" s="120">
        <f t="shared" si="1"/>
        <v>9500</v>
      </c>
      <c r="J10" s="86">
        <v>500</v>
      </c>
      <c r="K10" s="86">
        <v>20</v>
      </c>
      <c r="L10" s="120">
        <f t="shared" si="2"/>
        <v>10000</v>
      </c>
      <c r="N10" s="86">
        <v>500</v>
      </c>
      <c r="O10" s="86">
        <v>11</v>
      </c>
      <c r="P10" s="120">
        <f t="shared" si="3"/>
        <v>5500</v>
      </c>
      <c r="R10" s="86">
        <v>500</v>
      </c>
      <c r="S10" s="86">
        <v>4</v>
      </c>
      <c r="T10" s="120">
        <f t="shared" si="4"/>
        <v>2000</v>
      </c>
      <c r="V10" s="96"/>
      <c r="W10" s="123">
        <v>500</v>
      </c>
      <c r="X10" s="123">
        <f t="shared" si="6"/>
        <v>78</v>
      </c>
      <c r="Y10" s="121">
        <f t="shared" si="5"/>
        <v>39000</v>
      </c>
      <c r="Z10" s="97"/>
      <c r="AK10" s="86">
        <v>10</v>
      </c>
      <c r="AL10" s="86">
        <v>200</v>
      </c>
      <c r="AM10" s="120">
        <f>+AL10*AK10</f>
        <v>2000</v>
      </c>
    </row>
    <row r="11" spans="2:39" x14ac:dyDescent="0.25">
      <c r="B11" s="86">
        <v>1000</v>
      </c>
      <c r="C11" s="86">
        <v>21</v>
      </c>
      <c r="D11" s="120">
        <f t="shared" si="0"/>
        <v>21000</v>
      </c>
      <c r="F11" s="86">
        <v>1000</v>
      </c>
      <c r="G11" s="86">
        <v>13</v>
      </c>
      <c r="H11" s="120">
        <f t="shared" si="1"/>
        <v>13000</v>
      </c>
      <c r="J11" s="86">
        <v>1000</v>
      </c>
      <c r="K11" s="86">
        <v>37</v>
      </c>
      <c r="L11" s="120">
        <f t="shared" si="2"/>
        <v>37000</v>
      </c>
      <c r="N11" s="86">
        <v>1000</v>
      </c>
      <c r="O11" s="86">
        <v>35</v>
      </c>
      <c r="P11" s="120">
        <f t="shared" si="3"/>
        <v>35000</v>
      </c>
      <c r="R11" s="86">
        <v>1000</v>
      </c>
      <c r="S11" s="86">
        <v>9</v>
      </c>
      <c r="T11" s="120">
        <f t="shared" si="4"/>
        <v>9000</v>
      </c>
      <c r="V11" s="96"/>
      <c r="W11" s="123">
        <v>1000</v>
      </c>
      <c r="X11" s="123">
        <f t="shared" si="6"/>
        <v>115</v>
      </c>
      <c r="Y11" s="121">
        <f t="shared" si="5"/>
        <v>115000</v>
      </c>
      <c r="Z11" s="97"/>
      <c r="AE11" s="132" t="s">
        <v>13</v>
      </c>
      <c r="AF11" s="132" t="s">
        <v>8</v>
      </c>
      <c r="AG11" s="132" t="s">
        <v>14</v>
      </c>
      <c r="AH11" s="132" t="s">
        <v>15</v>
      </c>
      <c r="AI11" s="132" t="s">
        <v>16</v>
      </c>
      <c r="AJ11" s="132"/>
      <c r="AK11" s="86">
        <v>20</v>
      </c>
      <c r="AL11" s="86">
        <v>51</v>
      </c>
      <c r="AM11" s="120">
        <f t="shared" ref="AM11:AM16" si="7">+AL11*AK11</f>
        <v>1020</v>
      </c>
    </row>
    <row r="12" spans="2:39" x14ac:dyDescent="0.25">
      <c r="B12" s="86">
        <v>5000</v>
      </c>
      <c r="C12" s="86"/>
      <c r="D12" s="120">
        <f t="shared" si="0"/>
        <v>0</v>
      </c>
      <c r="F12" s="86">
        <v>5000</v>
      </c>
      <c r="G12" s="86">
        <v>5</v>
      </c>
      <c r="H12" s="120">
        <f t="shared" si="1"/>
        <v>25000</v>
      </c>
      <c r="J12" s="86">
        <v>5000</v>
      </c>
      <c r="K12" s="86">
        <v>1</v>
      </c>
      <c r="L12" s="120">
        <f t="shared" si="2"/>
        <v>5000</v>
      </c>
      <c r="N12" s="86">
        <v>5000</v>
      </c>
      <c r="O12" s="86">
        <v>3</v>
      </c>
      <c r="P12" s="120">
        <f t="shared" si="3"/>
        <v>15000</v>
      </c>
      <c r="R12" s="86">
        <v>5000</v>
      </c>
      <c r="S12" s="86"/>
      <c r="T12" s="120">
        <f t="shared" si="4"/>
        <v>0</v>
      </c>
      <c r="V12" s="96"/>
      <c r="W12" s="123">
        <v>5000</v>
      </c>
      <c r="X12" s="123">
        <f t="shared" si="6"/>
        <v>9</v>
      </c>
      <c r="Y12" s="121">
        <f t="shared" si="5"/>
        <v>45000</v>
      </c>
      <c r="Z12" s="97"/>
      <c r="AE12" s="85" t="s">
        <v>17</v>
      </c>
      <c r="AF12" s="89"/>
      <c r="AH12" s="137"/>
      <c r="AK12" s="86">
        <v>50</v>
      </c>
      <c r="AL12" s="86">
        <v>5</v>
      </c>
      <c r="AM12" s="120">
        <f t="shared" si="7"/>
        <v>250</v>
      </c>
    </row>
    <row r="13" spans="2:39" ht="15.75" thickBot="1" x14ac:dyDescent="0.3">
      <c r="B13" s="87" t="s">
        <v>18</v>
      </c>
      <c r="C13" s="87"/>
      <c r="D13" s="90">
        <f>+SUM(D5:D12)</f>
        <v>43070</v>
      </c>
      <c r="F13" s="87" t="s">
        <v>18</v>
      </c>
      <c r="G13" s="87"/>
      <c r="H13" s="90">
        <f>+SUM(H5:H12)</f>
        <v>58521</v>
      </c>
      <c r="J13" s="87" t="s">
        <v>18</v>
      </c>
      <c r="K13" s="87"/>
      <c r="L13" s="90">
        <f>+SUM(L5:L12)</f>
        <v>60810</v>
      </c>
      <c r="N13" s="87" t="s">
        <v>18</v>
      </c>
      <c r="O13" s="87"/>
      <c r="P13" s="90">
        <f>+SUM(P5:P12)</f>
        <v>56980</v>
      </c>
      <c r="R13" s="87" t="s">
        <v>18</v>
      </c>
      <c r="S13" s="87"/>
      <c r="T13" s="90">
        <v>11012</v>
      </c>
      <c r="V13" s="96"/>
      <c r="W13" s="87" t="s">
        <v>18</v>
      </c>
      <c r="X13" s="87"/>
      <c r="Y13" s="90">
        <f>+SUM(Y5:Y12)</f>
        <v>230393</v>
      </c>
      <c r="Z13" s="97"/>
      <c r="AE13" s="85" t="s">
        <v>19</v>
      </c>
      <c r="AF13" s="89">
        <v>11870</v>
      </c>
      <c r="AK13" s="86">
        <v>100</v>
      </c>
      <c r="AL13" s="86">
        <v>1</v>
      </c>
      <c r="AM13" s="120">
        <f t="shared" si="7"/>
        <v>100</v>
      </c>
    </row>
    <row r="14" spans="2:39" ht="15.75" thickBot="1" x14ac:dyDescent="0.3">
      <c r="V14" s="96"/>
      <c r="W14" s="100"/>
      <c r="X14" s="100"/>
      <c r="Y14" s="100"/>
      <c r="Z14" s="97"/>
      <c r="AE14" s="85" t="s">
        <v>20</v>
      </c>
      <c r="AF14" s="89"/>
      <c r="AK14" s="86">
        <v>500</v>
      </c>
      <c r="AL14" s="86">
        <v>17</v>
      </c>
      <c r="AM14" s="120">
        <f t="shared" si="7"/>
        <v>8500</v>
      </c>
    </row>
    <row r="15" spans="2:39" ht="15.75" thickBot="1" x14ac:dyDescent="0.3">
      <c r="B15" s="242" t="s">
        <v>21</v>
      </c>
      <c r="C15" s="243"/>
      <c r="D15" s="92">
        <v>46484</v>
      </c>
      <c r="E15" s="114"/>
      <c r="F15" s="242" t="s">
        <v>21</v>
      </c>
      <c r="G15" s="243"/>
      <c r="H15" s="92">
        <v>73554</v>
      </c>
      <c r="I15" s="114"/>
      <c r="J15" s="242" t="s">
        <v>21</v>
      </c>
      <c r="K15" s="243"/>
      <c r="L15" s="92">
        <v>74048</v>
      </c>
      <c r="M15" s="114"/>
      <c r="N15" s="242" t="s">
        <v>21</v>
      </c>
      <c r="O15" s="243"/>
      <c r="P15" s="92">
        <v>87509</v>
      </c>
      <c r="Q15" s="114"/>
      <c r="R15" s="242" t="s">
        <v>21</v>
      </c>
      <c r="S15" s="243"/>
      <c r="T15" s="92">
        <v>245264</v>
      </c>
      <c r="U15" s="114"/>
      <c r="V15" s="115"/>
      <c r="W15" s="242" t="s">
        <v>21</v>
      </c>
      <c r="X15" s="243"/>
      <c r="Y15" s="92">
        <f>+D15+H15+L15+P15+T15</f>
        <v>526859</v>
      </c>
      <c r="Z15" s="116"/>
      <c r="AA15" s="114"/>
      <c r="AE15" s="85" t="s">
        <v>111</v>
      </c>
      <c r="AF15" s="89">
        <v>275898</v>
      </c>
      <c r="AK15" s="86">
        <v>1000</v>
      </c>
      <c r="AL15" s="86"/>
      <c r="AM15" s="120">
        <f t="shared" si="7"/>
        <v>0</v>
      </c>
    </row>
    <row r="16" spans="2:39" x14ac:dyDescent="0.25">
      <c r="B16" s="85" t="s">
        <v>10</v>
      </c>
      <c r="D16" s="89">
        <v>43070</v>
      </c>
      <c r="F16" s="85" t="s">
        <v>10</v>
      </c>
      <c r="H16" s="89">
        <f>+H13</f>
        <v>58521</v>
      </c>
      <c r="J16" s="85" t="s">
        <v>10</v>
      </c>
      <c r="L16" s="89">
        <v>60810</v>
      </c>
      <c r="N16" s="85" t="s">
        <v>10</v>
      </c>
      <c r="P16" s="89">
        <f>+P13</f>
        <v>56980</v>
      </c>
      <c r="R16" s="85" t="s">
        <v>10</v>
      </c>
      <c r="T16" s="89">
        <v>11012</v>
      </c>
      <c r="V16" s="96"/>
      <c r="W16" s="124" t="s">
        <v>10</v>
      </c>
      <c r="X16" s="124"/>
      <c r="Y16" s="121">
        <f>+D16+H16+L16+P16+T16</f>
        <v>230393</v>
      </c>
      <c r="Z16" s="97"/>
      <c r="AB16" s="114"/>
      <c r="AC16" s="114"/>
      <c r="AD16" s="114"/>
      <c r="AE16" s="85" t="s">
        <v>112</v>
      </c>
      <c r="AF16" s="89">
        <v>11120</v>
      </c>
      <c r="AK16" s="86">
        <v>5000</v>
      </c>
      <c r="AL16" s="86"/>
      <c r="AM16" s="120">
        <f t="shared" si="7"/>
        <v>0</v>
      </c>
    </row>
    <row r="17" spans="2:39" ht="15.75" thickBot="1" x14ac:dyDescent="0.3">
      <c r="B17" s="85" t="s">
        <v>17</v>
      </c>
      <c r="D17" s="89"/>
      <c r="F17" s="85" t="s">
        <v>17</v>
      </c>
      <c r="H17" s="89"/>
      <c r="J17" s="85" t="s">
        <v>17</v>
      </c>
      <c r="L17" s="89"/>
      <c r="N17" s="85" t="s">
        <v>17</v>
      </c>
      <c r="P17" s="89"/>
      <c r="R17" s="85" t="s">
        <v>17</v>
      </c>
      <c r="T17" s="89"/>
      <c r="V17" s="96"/>
      <c r="W17" s="124" t="s">
        <v>17</v>
      </c>
      <c r="X17" s="124"/>
      <c r="Y17" s="121">
        <f t="shared" ref="Y17:Y27" si="8">+D17+H17+L17+P17+T17</f>
        <v>0</v>
      </c>
      <c r="Z17" s="97"/>
      <c r="AE17" s="133" t="s">
        <v>12</v>
      </c>
      <c r="AF17" s="134">
        <f>+SUM(AF12:AF16)</f>
        <v>298888</v>
      </c>
      <c r="AG17" s="160"/>
      <c r="AK17" s="87" t="s">
        <v>18</v>
      </c>
      <c r="AL17" s="87"/>
      <c r="AM17" s="90">
        <f>+SUM(AM9:AM16)</f>
        <v>11870</v>
      </c>
    </row>
    <row r="18" spans="2:39" x14ac:dyDescent="0.25">
      <c r="B18" s="85" t="s">
        <v>30</v>
      </c>
      <c r="C18" s="85" t="s">
        <v>113</v>
      </c>
      <c r="D18" s="89">
        <v>3452</v>
      </c>
      <c r="F18" s="85" t="s">
        <v>114</v>
      </c>
      <c r="G18" s="85" t="s">
        <v>115</v>
      </c>
      <c r="H18" s="89">
        <v>2439</v>
      </c>
      <c r="J18" s="85" t="s">
        <v>114</v>
      </c>
      <c r="K18" s="85" t="s">
        <v>116</v>
      </c>
      <c r="L18" s="89">
        <v>8557</v>
      </c>
      <c r="N18" s="85" t="s">
        <v>30</v>
      </c>
      <c r="O18" s="85" t="s">
        <v>117</v>
      </c>
      <c r="P18" s="89">
        <v>13233</v>
      </c>
      <c r="R18" s="85" t="s">
        <v>27</v>
      </c>
      <c r="T18" s="89"/>
      <c r="V18" s="96"/>
      <c r="W18" s="124" t="s">
        <v>26</v>
      </c>
      <c r="X18" s="124"/>
      <c r="Y18" s="121">
        <f t="shared" si="8"/>
        <v>27681</v>
      </c>
      <c r="Z18" s="97"/>
      <c r="AE18" s="135" t="s">
        <v>32</v>
      </c>
      <c r="AF18" s="136">
        <f>+AF17-AF9</f>
        <v>8</v>
      </c>
      <c r="AG18" s="85" t="s">
        <v>33</v>
      </c>
    </row>
    <row r="19" spans="2:39" x14ac:dyDescent="0.25">
      <c r="B19" s="85" t="s">
        <v>34</v>
      </c>
      <c r="D19" s="89"/>
      <c r="F19" s="85" t="s">
        <v>28</v>
      </c>
      <c r="G19" s="85" t="s">
        <v>118</v>
      </c>
      <c r="H19" s="89">
        <v>4646</v>
      </c>
      <c r="J19" s="85" t="s">
        <v>92</v>
      </c>
      <c r="K19" s="85" t="s">
        <v>119</v>
      </c>
      <c r="L19" s="89">
        <v>4435</v>
      </c>
      <c r="N19" s="85" t="s">
        <v>89</v>
      </c>
      <c r="O19" s="85" t="s">
        <v>120</v>
      </c>
      <c r="P19" s="89">
        <v>11254</v>
      </c>
      <c r="R19" s="85" t="s">
        <v>27</v>
      </c>
      <c r="T19" s="89"/>
      <c r="V19" s="96"/>
      <c r="W19" s="124" t="s">
        <v>34</v>
      </c>
      <c r="X19" s="124"/>
      <c r="Y19" s="121">
        <f t="shared" si="8"/>
        <v>20335</v>
      </c>
      <c r="Z19" s="97"/>
    </row>
    <row r="20" spans="2:39" x14ac:dyDescent="0.25">
      <c r="B20" s="85" t="s">
        <v>36</v>
      </c>
      <c r="D20" s="89"/>
      <c r="F20" s="85" t="s">
        <v>36</v>
      </c>
      <c r="H20" s="89"/>
      <c r="J20" s="85" t="s">
        <v>36</v>
      </c>
      <c r="L20" s="89"/>
      <c r="N20" s="85" t="s">
        <v>114</v>
      </c>
      <c r="O20" s="85" t="s">
        <v>121</v>
      </c>
      <c r="P20" s="89">
        <v>6045</v>
      </c>
      <c r="R20" s="85" t="s">
        <v>27</v>
      </c>
      <c r="T20" s="89"/>
      <c r="V20" s="96"/>
      <c r="W20" s="124" t="s">
        <v>36</v>
      </c>
      <c r="X20" s="124"/>
      <c r="Y20" s="121">
        <f t="shared" si="8"/>
        <v>6045</v>
      </c>
      <c r="Z20" s="97"/>
    </row>
    <row r="21" spans="2:39" x14ac:dyDescent="0.25">
      <c r="D21" s="89"/>
      <c r="H21" s="89"/>
      <c r="L21" s="89"/>
      <c r="P21" s="89"/>
      <c r="R21" s="85" t="s">
        <v>122</v>
      </c>
      <c r="S21" s="85" t="s">
        <v>123</v>
      </c>
      <c r="T21" s="89">
        <v>21098</v>
      </c>
      <c r="V21" s="96"/>
      <c r="W21" s="124"/>
      <c r="X21" s="124"/>
      <c r="Y21" s="121">
        <f t="shared" si="8"/>
        <v>21098</v>
      </c>
      <c r="Z21" s="97"/>
      <c r="AB21" s="139" t="s">
        <v>37</v>
      </c>
      <c r="AC21" s="139"/>
      <c r="AD21" s="139"/>
      <c r="AE21" s="114"/>
      <c r="AJ21" s="139" t="s">
        <v>38</v>
      </c>
      <c r="AK21" s="139"/>
      <c r="AL21" s="139"/>
      <c r="AM21" s="147"/>
    </row>
    <row r="22" spans="2:39" x14ac:dyDescent="0.25">
      <c r="D22" s="89"/>
      <c r="H22" s="89"/>
      <c r="L22" s="89"/>
      <c r="P22" s="89"/>
      <c r="R22" s="85" t="s">
        <v>124</v>
      </c>
      <c r="S22" s="85" t="s">
        <v>125</v>
      </c>
      <c r="T22" s="89">
        <v>14007</v>
      </c>
      <c r="V22" s="96"/>
      <c r="W22" s="124"/>
      <c r="X22" s="124"/>
      <c r="Y22" s="121">
        <f t="shared" si="8"/>
        <v>14007</v>
      </c>
      <c r="Z22" s="97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J22" s="132" t="s">
        <v>41</v>
      </c>
      <c r="AK22" s="132" t="s">
        <v>45</v>
      </c>
      <c r="AL22" s="132" t="s">
        <v>43</v>
      </c>
      <c r="AM22" s="132" t="s">
        <v>8</v>
      </c>
    </row>
    <row r="23" spans="2:39" x14ac:dyDescent="0.25">
      <c r="B23" s="85" t="s">
        <v>46</v>
      </c>
      <c r="D23" s="89"/>
      <c r="F23" s="85" t="s">
        <v>126</v>
      </c>
      <c r="G23" s="85" t="s">
        <v>127</v>
      </c>
      <c r="H23" s="89">
        <v>13247</v>
      </c>
      <c r="J23" s="85" t="s">
        <v>46</v>
      </c>
      <c r="L23" s="89"/>
      <c r="N23" s="85" t="s">
        <v>46</v>
      </c>
      <c r="P23" s="89"/>
      <c r="R23" s="85" t="s">
        <v>128</v>
      </c>
      <c r="S23" s="85" t="s">
        <v>129</v>
      </c>
      <c r="T23" s="89">
        <v>29657</v>
      </c>
      <c r="V23" s="96"/>
      <c r="W23" s="125" t="s">
        <v>46</v>
      </c>
      <c r="X23" s="124"/>
      <c r="Y23" s="121">
        <f t="shared" si="8"/>
        <v>42904</v>
      </c>
      <c r="Z23" s="97"/>
      <c r="AB23" s="166" t="s">
        <v>72</v>
      </c>
      <c r="AC23" s="167">
        <v>45859</v>
      </c>
      <c r="AD23" s="100" t="s">
        <v>130</v>
      </c>
      <c r="AE23" s="100"/>
      <c r="AF23" s="168">
        <v>36682</v>
      </c>
      <c r="AJ23" s="85" t="s">
        <v>70</v>
      </c>
      <c r="AK23" s="85" t="s">
        <v>131</v>
      </c>
      <c r="AL23" s="85" t="s">
        <v>132</v>
      </c>
      <c r="AM23" s="85">
        <v>4790</v>
      </c>
    </row>
    <row r="24" spans="2:39" x14ac:dyDescent="0.25">
      <c r="B24" s="85" t="s">
        <v>54</v>
      </c>
      <c r="D24" s="89"/>
      <c r="F24" s="85" t="s">
        <v>54</v>
      </c>
      <c r="H24" s="89"/>
      <c r="J24" s="85" t="s">
        <v>54</v>
      </c>
      <c r="L24" s="89"/>
      <c r="N24" s="85" t="s">
        <v>54</v>
      </c>
      <c r="P24" s="89"/>
      <c r="R24" s="85" t="s">
        <v>133</v>
      </c>
      <c r="S24" s="85" t="s">
        <v>134</v>
      </c>
      <c r="T24" s="89">
        <v>22504</v>
      </c>
      <c r="V24" s="96"/>
      <c r="W24" s="125" t="s">
        <v>54</v>
      </c>
      <c r="X24" s="124"/>
      <c r="Y24" s="121">
        <f t="shared" si="8"/>
        <v>22504</v>
      </c>
      <c r="Z24" s="97"/>
      <c r="AB24" s="166" t="s">
        <v>72</v>
      </c>
      <c r="AC24" s="167">
        <v>45859</v>
      </c>
      <c r="AD24" s="166" t="s">
        <v>135</v>
      </c>
      <c r="AE24" s="100"/>
      <c r="AF24" s="168">
        <v>31805</v>
      </c>
      <c r="AJ24" s="85" t="s">
        <v>59</v>
      </c>
      <c r="AK24" s="85" t="s">
        <v>136</v>
      </c>
      <c r="AL24" s="85" t="s">
        <v>137</v>
      </c>
      <c r="AM24" s="85">
        <v>15284</v>
      </c>
    </row>
    <row r="25" spans="2:39" x14ac:dyDescent="0.25">
      <c r="B25" s="85" t="s">
        <v>61</v>
      </c>
      <c r="D25" s="89"/>
      <c r="F25" s="85" t="s">
        <v>61</v>
      </c>
      <c r="H25" s="89"/>
      <c r="J25" s="85" t="s">
        <v>61</v>
      </c>
      <c r="L25" s="89"/>
      <c r="N25" s="85" t="s">
        <v>61</v>
      </c>
      <c r="P25" s="89"/>
      <c r="R25" s="85" t="s">
        <v>138</v>
      </c>
      <c r="S25" s="85" t="s">
        <v>108</v>
      </c>
      <c r="T25" s="89">
        <v>110442</v>
      </c>
      <c r="V25" s="96"/>
      <c r="W25" s="125" t="s">
        <v>61</v>
      </c>
      <c r="X25" s="124"/>
      <c r="Y25" s="121">
        <f t="shared" si="8"/>
        <v>110442</v>
      </c>
      <c r="Z25" s="97"/>
      <c r="AC25" s="137"/>
      <c r="AD25" s="100"/>
      <c r="AE25" s="100"/>
      <c r="AF25" s="100"/>
      <c r="AJ25" s="85" t="s">
        <v>139</v>
      </c>
      <c r="AK25" s="85" t="s">
        <v>140</v>
      </c>
      <c r="AL25" s="85" t="s">
        <v>141</v>
      </c>
      <c r="AM25" s="85">
        <v>3820</v>
      </c>
    </row>
    <row r="26" spans="2:39" x14ac:dyDescent="0.25">
      <c r="D26" s="89"/>
      <c r="H26" s="89"/>
      <c r="L26" s="89"/>
      <c r="P26" s="89"/>
      <c r="R26" s="85" t="s">
        <v>142</v>
      </c>
      <c r="S26" s="85" t="s">
        <v>143</v>
      </c>
      <c r="T26" s="89">
        <v>20911</v>
      </c>
      <c r="V26" s="96"/>
      <c r="W26" s="124"/>
      <c r="X26" s="124"/>
      <c r="Y26" s="121">
        <f t="shared" si="8"/>
        <v>20911</v>
      </c>
      <c r="Z26" s="97"/>
      <c r="AC26" s="61"/>
      <c r="AD26" s="104"/>
      <c r="AE26" s="100"/>
      <c r="AF26" s="104"/>
      <c r="AJ26" s="85" t="s">
        <v>144</v>
      </c>
      <c r="AK26" s="85" t="s">
        <v>145</v>
      </c>
      <c r="AL26" s="85" t="s">
        <v>146</v>
      </c>
      <c r="AM26" s="85">
        <v>9202</v>
      </c>
    </row>
    <row r="27" spans="2:39" ht="15.75" thickBot="1" x14ac:dyDescent="0.3">
      <c r="D27" s="89"/>
      <c r="H27" s="89"/>
      <c r="L27" s="89"/>
      <c r="P27" s="89"/>
      <c r="R27" s="85" t="s">
        <v>147</v>
      </c>
      <c r="S27" s="85" t="s">
        <v>148</v>
      </c>
      <c r="T27" s="89">
        <v>15409</v>
      </c>
      <c r="V27" s="96"/>
      <c r="W27" s="124"/>
      <c r="X27" s="124"/>
      <c r="Y27" s="121">
        <f t="shared" si="8"/>
        <v>15409</v>
      </c>
      <c r="Z27" s="97"/>
      <c r="AJ27" s="85" t="s">
        <v>68</v>
      </c>
      <c r="AK27" s="85" t="s">
        <v>149</v>
      </c>
      <c r="AL27" s="85" t="s">
        <v>150</v>
      </c>
      <c r="AM27" s="85">
        <v>10646</v>
      </c>
    </row>
    <row r="28" spans="2:39" ht="15.75" thickBot="1" x14ac:dyDescent="0.3">
      <c r="B28" s="235" t="s">
        <v>12</v>
      </c>
      <c r="C28" s="236"/>
      <c r="D28" s="93">
        <f>+SUM(D16:D27)</f>
        <v>46522</v>
      </c>
      <c r="F28" s="235" t="s">
        <v>12</v>
      </c>
      <c r="G28" s="236"/>
      <c r="H28" s="93">
        <f>+SUM(H16:H27)</f>
        <v>78853</v>
      </c>
      <c r="J28" s="235" t="s">
        <v>12</v>
      </c>
      <c r="K28" s="236"/>
      <c r="L28" s="93">
        <f>+SUM(L16:L27)</f>
        <v>73802</v>
      </c>
      <c r="N28" s="235" t="s">
        <v>12</v>
      </c>
      <c r="O28" s="236"/>
      <c r="P28" s="93">
        <f>+SUM(P16:P27)</f>
        <v>87512</v>
      </c>
      <c r="R28" s="235" t="s">
        <v>12</v>
      </c>
      <c r="S28" s="236"/>
      <c r="T28" s="93">
        <f>+SUM(T16:T27)</f>
        <v>245040</v>
      </c>
      <c r="V28" s="96"/>
      <c r="W28" s="235" t="s">
        <v>12</v>
      </c>
      <c r="X28" s="236"/>
      <c r="Y28" s="93">
        <f>+SUM(Y16:Y27)</f>
        <v>531729</v>
      </c>
      <c r="Z28" s="97"/>
    </row>
    <row r="29" spans="2:39" ht="15.75" thickBot="1" x14ac:dyDescent="0.3">
      <c r="D29" s="89"/>
      <c r="H29" s="89"/>
      <c r="L29" s="89"/>
      <c r="P29" s="89"/>
      <c r="T29" s="89"/>
      <c r="V29" s="96"/>
      <c r="W29" s="100"/>
      <c r="X29" s="100"/>
      <c r="Y29" s="99"/>
      <c r="Z29" s="97"/>
      <c r="AB29" s="145" t="s">
        <v>74</v>
      </c>
      <c r="AC29" s="145"/>
      <c r="AD29" s="145"/>
      <c r="AE29" s="145"/>
      <c r="AF29" s="140">
        <f>+SUM(AF23:AF28)</f>
        <v>68487</v>
      </c>
    </row>
    <row r="30" spans="2:39" ht="16.5" thickTop="1" thickBot="1" x14ac:dyDescent="0.3">
      <c r="B30" s="237" t="s">
        <v>75</v>
      </c>
      <c r="C30" s="237"/>
      <c r="D30" s="91">
        <f>+D28-D15</f>
        <v>38</v>
      </c>
      <c r="F30" s="237" t="s">
        <v>75</v>
      </c>
      <c r="G30" s="237"/>
      <c r="H30" s="91">
        <f>+H28-H15</f>
        <v>5299</v>
      </c>
      <c r="J30" s="237" t="s">
        <v>75</v>
      </c>
      <c r="K30" s="237"/>
      <c r="L30" s="91">
        <f>+L28-L15</f>
        <v>-246</v>
      </c>
      <c r="N30" s="237" t="s">
        <v>75</v>
      </c>
      <c r="O30" s="237"/>
      <c r="P30" s="91">
        <f>+P28-P15</f>
        <v>3</v>
      </c>
      <c r="R30" s="237" t="s">
        <v>75</v>
      </c>
      <c r="S30" s="237"/>
      <c r="T30" s="91">
        <f>+T28-T15</f>
        <v>-224</v>
      </c>
      <c r="V30" s="96"/>
      <c r="W30" s="238" t="s">
        <v>75</v>
      </c>
      <c r="X30" s="238"/>
      <c r="Y30" s="126">
        <f>+Y28-Y15</f>
        <v>4870</v>
      </c>
      <c r="Z30" s="97"/>
    </row>
    <row r="31" spans="2:39" ht="16.5" thickTop="1" thickBot="1" x14ac:dyDescent="0.3">
      <c r="V31" s="101"/>
      <c r="W31" s="102"/>
      <c r="X31" s="102"/>
      <c r="Y31" s="102"/>
      <c r="Z31" s="103"/>
    </row>
    <row r="33" spans="2:39" ht="15.75" thickBot="1" x14ac:dyDescent="0.3"/>
    <row r="34" spans="2:39" ht="15.75" thickBot="1" x14ac:dyDescent="0.3">
      <c r="B34" s="94" t="s">
        <v>76</v>
      </c>
      <c r="C34" s="95"/>
      <c r="D34" s="105"/>
      <c r="F34" s="94" t="s">
        <v>76</v>
      </c>
      <c r="G34" s="95"/>
      <c r="H34" s="105"/>
      <c r="J34" s="94" t="s">
        <v>76</v>
      </c>
      <c r="K34" s="95"/>
      <c r="L34" s="105">
        <v>246</v>
      </c>
      <c r="N34" s="94" t="s">
        <v>76</v>
      </c>
      <c r="O34" s="95"/>
      <c r="P34" s="105"/>
      <c r="R34" s="94" t="s">
        <v>76</v>
      </c>
      <c r="S34" s="95"/>
      <c r="T34" s="105"/>
      <c r="W34" s="127" t="s">
        <v>76</v>
      </c>
      <c r="X34" s="128"/>
      <c r="Y34" s="129">
        <f>+D34+H34+L34+P34+T34</f>
        <v>246</v>
      </c>
      <c r="AJ34" s="150" t="s">
        <v>74</v>
      </c>
      <c r="AK34" s="150"/>
      <c r="AL34" s="150"/>
      <c r="AM34" s="151">
        <f>+SUM(AM23:AM33)</f>
        <v>43742</v>
      </c>
    </row>
    <row r="35" spans="2:39" ht="15.75" thickTop="1" x14ac:dyDescent="0.25">
      <c r="B35" s="96" t="s">
        <v>77</v>
      </c>
      <c r="C35" s="100"/>
      <c r="D35" s="106"/>
      <c r="F35" s="96" t="s">
        <v>77</v>
      </c>
      <c r="G35" s="100"/>
      <c r="H35" s="106"/>
      <c r="J35" s="96" t="s">
        <v>77</v>
      </c>
      <c r="K35" s="100"/>
      <c r="L35" s="106"/>
      <c r="N35" s="96" t="s">
        <v>77</v>
      </c>
      <c r="O35" s="100"/>
      <c r="P35" s="106"/>
      <c r="R35" s="96" t="s">
        <v>77</v>
      </c>
      <c r="S35" s="100"/>
      <c r="T35" s="106"/>
      <c r="W35" s="130" t="s">
        <v>77</v>
      </c>
      <c r="X35" s="124"/>
      <c r="Y35" s="131">
        <f t="shared" ref="Y35:Y36" si="9">+D35+H35+L35+P35+T35</f>
        <v>0</v>
      </c>
    </row>
    <row r="36" spans="2:39" x14ac:dyDescent="0.25">
      <c r="B36" s="96" t="s">
        <v>79</v>
      </c>
      <c r="C36" s="100"/>
      <c r="D36" s="106">
        <v>-38</v>
      </c>
      <c r="F36" s="96" t="s">
        <v>79</v>
      </c>
      <c r="G36" s="100"/>
      <c r="H36" s="106">
        <v>-5299</v>
      </c>
      <c r="J36" s="96" t="s">
        <v>78</v>
      </c>
      <c r="K36" s="100"/>
      <c r="L36" s="106"/>
      <c r="N36" s="96" t="s">
        <v>79</v>
      </c>
      <c r="O36" s="100"/>
      <c r="P36" s="106">
        <v>3</v>
      </c>
      <c r="R36" s="96" t="s">
        <v>151</v>
      </c>
      <c r="S36" s="100"/>
      <c r="T36" s="106">
        <v>224</v>
      </c>
      <c r="W36" s="130" t="s">
        <v>78</v>
      </c>
      <c r="X36" s="124"/>
      <c r="Y36" s="131">
        <f t="shared" si="9"/>
        <v>-5110</v>
      </c>
    </row>
    <row r="37" spans="2:39" x14ac:dyDescent="0.25">
      <c r="B37" s="96" t="s">
        <v>18</v>
      </c>
      <c r="C37" s="100"/>
      <c r="D37" s="106">
        <f>+SUM(D34:D36)</f>
        <v>-38</v>
      </c>
      <c r="F37" s="96" t="s">
        <v>18</v>
      </c>
      <c r="G37" s="100"/>
      <c r="H37" s="106">
        <f>+SUM(H34:H36)</f>
        <v>-5299</v>
      </c>
      <c r="J37" s="96" t="s">
        <v>18</v>
      </c>
      <c r="K37" s="100"/>
      <c r="L37" s="106">
        <f>+SUM(L34:L36)</f>
        <v>246</v>
      </c>
      <c r="N37" s="96" t="s">
        <v>18</v>
      </c>
      <c r="O37" s="100"/>
      <c r="P37" s="106">
        <v>45660</v>
      </c>
      <c r="R37" s="96" t="s">
        <v>18</v>
      </c>
      <c r="S37" s="100"/>
      <c r="T37" s="106">
        <f>+SUM(T34:T36)</f>
        <v>224</v>
      </c>
      <c r="W37" s="117" t="s">
        <v>18</v>
      </c>
      <c r="X37" s="118"/>
      <c r="Y37" s="119">
        <f>+SUM(Y34:Y36)</f>
        <v>-4864</v>
      </c>
    </row>
    <row r="38" spans="2:39" ht="15.75" thickBot="1" x14ac:dyDescent="0.3">
      <c r="B38" s="107" t="s">
        <v>81</v>
      </c>
      <c r="C38" s="108"/>
      <c r="D38" s="109">
        <f>+D30+D37</f>
        <v>0</v>
      </c>
      <c r="F38" s="107" t="s">
        <v>81</v>
      </c>
      <c r="G38" s="108"/>
      <c r="H38" s="109">
        <f>+H30+H37</f>
        <v>0</v>
      </c>
      <c r="J38" s="107" t="s">
        <v>81</v>
      </c>
      <c r="K38" s="108"/>
      <c r="L38" s="109">
        <f>+L30+L37</f>
        <v>0</v>
      </c>
      <c r="N38" s="107" t="s">
        <v>81</v>
      </c>
      <c r="O38" s="108"/>
      <c r="P38" s="109">
        <f>+P30+P37</f>
        <v>45663</v>
      </c>
      <c r="R38" s="107" t="s">
        <v>81</v>
      </c>
      <c r="S38" s="108"/>
      <c r="T38" s="109">
        <f>+T30+T37</f>
        <v>0</v>
      </c>
      <c r="W38" s="107" t="s">
        <v>81</v>
      </c>
      <c r="X38" s="108"/>
      <c r="Y38" s="109">
        <f>+Y30+Y37</f>
        <v>6</v>
      </c>
    </row>
  </sheetData>
  <mergeCells count="25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AE5:AI5"/>
    <mergeCell ref="B15:C15"/>
    <mergeCell ref="F15:G15"/>
    <mergeCell ref="J15:K15"/>
    <mergeCell ref="N15:O15"/>
    <mergeCell ref="R15:S15"/>
    <mergeCell ref="W15:X15"/>
    <mergeCell ref="W3:Y3"/>
    <mergeCell ref="B3:D3"/>
    <mergeCell ref="F3:H3"/>
    <mergeCell ref="J3:L3"/>
    <mergeCell ref="N3:P3"/>
    <mergeCell ref="R3: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AO46"/>
  <sheetViews>
    <sheetView topLeftCell="F2" zoomScale="80" zoomScaleNormal="80" workbookViewId="0">
      <selection activeCell="N39" sqref="N39"/>
    </sheetView>
  </sheetViews>
  <sheetFormatPr defaultRowHeight="15" x14ac:dyDescent="0.25"/>
  <cols>
    <col min="5" max="5" width="1.85546875" customWidth="1"/>
    <col min="6" max="6" width="12.7109375" customWidth="1"/>
    <col min="7" max="7" width="14.7109375" customWidth="1"/>
    <col min="9" max="9" width="1.42578125" customWidth="1"/>
    <col min="12" max="12" width="9.5703125" bestFit="1" customWidth="1"/>
    <col min="13" max="13" width="1.140625" customWidth="1"/>
    <col min="14" max="14" width="12" customWidth="1"/>
    <col min="15" max="15" width="13.85546875" customWidth="1"/>
    <col min="16" max="16" width="11.42578125" bestFit="1" customWidth="1"/>
    <col min="17" max="17" width="1.85546875" customWidth="1"/>
    <col min="21" max="21" width="1.5703125" customWidth="1"/>
    <col min="22" max="22" width="1.28515625" customWidth="1"/>
    <col min="25" max="25" width="12.85546875" bestFit="1" customWidth="1"/>
    <col min="26" max="26" width="2" customWidth="1"/>
    <col min="29" max="29" width="9.5703125" bestFit="1" customWidth="1"/>
    <col min="30" max="30" width="11.5703125" customWidth="1"/>
    <col min="31" max="31" width="12.5703125" customWidth="1"/>
    <col min="32" max="32" width="11.5703125" customWidth="1"/>
    <col min="36" max="36" width="14.7109375" customWidth="1"/>
    <col min="37" max="37" width="16.42578125" customWidth="1"/>
    <col min="38" max="38" width="15.140625" customWidth="1"/>
    <col min="39" max="39" width="9.5703125" bestFit="1" customWidth="1"/>
  </cols>
  <sheetData>
    <row r="3" spans="2:40" x14ac:dyDescent="0.25">
      <c r="B3" s="240" t="s">
        <v>0</v>
      </c>
      <c r="C3" s="240"/>
      <c r="D3" s="240"/>
      <c r="E3" s="1"/>
      <c r="F3" s="240" t="s">
        <v>1</v>
      </c>
      <c r="G3" s="240"/>
      <c r="H3" s="240"/>
      <c r="I3" s="1"/>
      <c r="J3" s="240" t="s">
        <v>2</v>
      </c>
      <c r="K3" s="240"/>
      <c r="L3" s="240"/>
      <c r="M3" s="1"/>
      <c r="N3" s="240" t="s">
        <v>3</v>
      </c>
      <c r="O3" s="240"/>
      <c r="P3" s="240"/>
      <c r="Q3" s="1"/>
      <c r="R3" s="240" t="s">
        <v>4</v>
      </c>
      <c r="S3" s="240"/>
      <c r="T3" s="240"/>
      <c r="U3" s="1"/>
      <c r="V3" s="12"/>
      <c r="W3" s="239" t="s">
        <v>5</v>
      </c>
      <c r="X3" s="239"/>
      <c r="Y3" s="239"/>
      <c r="Z3" s="13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2:40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2:40" ht="15.75" thickBot="1" x14ac:dyDescent="0.3">
      <c r="B5" s="30">
        <v>1</v>
      </c>
      <c r="C5" s="30"/>
      <c r="D5" s="36">
        <f>C5*B5</f>
        <v>0</v>
      </c>
      <c r="E5" s="27"/>
      <c r="F5" s="30">
        <v>1</v>
      </c>
      <c r="G5" s="30"/>
      <c r="H5" s="36">
        <f>G5*F5</f>
        <v>0</v>
      </c>
      <c r="I5" s="27"/>
      <c r="J5" s="30">
        <v>1</v>
      </c>
      <c r="K5" s="30"/>
      <c r="L5" s="36">
        <f>K5*J5</f>
        <v>0</v>
      </c>
      <c r="M5" s="27"/>
      <c r="N5" s="30">
        <v>1</v>
      </c>
      <c r="O5" s="30"/>
      <c r="P5" s="36">
        <f>O5*N5</f>
        <v>0</v>
      </c>
      <c r="Q5" s="27"/>
      <c r="R5" s="30">
        <v>1</v>
      </c>
      <c r="S5" s="30"/>
      <c r="T5" s="36">
        <f>S5*R5</f>
        <v>0</v>
      </c>
      <c r="U5" s="27"/>
      <c r="V5" s="28"/>
      <c r="W5" s="38">
        <v>1</v>
      </c>
      <c r="X5" s="39">
        <f>S5+O5+K5+G5+C5</f>
        <v>0</v>
      </c>
      <c r="Y5" s="37">
        <f>T5+P5+L5+H5+D5</f>
        <v>0</v>
      </c>
      <c r="Z5" s="29"/>
      <c r="AA5" s="27"/>
      <c r="AB5" s="1"/>
      <c r="AC5" s="1"/>
      <c r="AD5" s="1"/>
      <c r="AE5" s="241" t="s">
        <v>9</v>
      </c>
      <c r="AF5" s="241"/>
      <c r="AG5" s="241"/>
      <c r="AH5" s="241"/>
      <c r="AI5" s="241"/>
      <c r="AJ5" s="62"/>
      <c r="AK5" s="1"/>
      <c r="AL5" s="1"/>
      <c r="AM5" s="1"/>
    </row>
    <row r="6" spans="2:40" ht="15.75" thickTop="1" x14ac:dyDescent="0.25">
      <c r="B6" s="2">
        <v>10</v>
      </c>
      <c r="C6" s="2">
        <v>137</v>
      </c>
      <c r="D6" s="120">
        <f t="shared" ref="D6:D12" si="0">C6*B6</f>
        <v>1370</v>
      </c>
      <c r="E6" s="1"/>
      <c r="F6" s="2">
        <v>10</v>
      </c>
      <c r="G6" s="2">
        <v>25</v>
      </c>
      <c r="H6" s="120">
        <f t="shared" ref="H6:H12" si="1">G6*F6</f>
        <v>250</v>
      </c>
      <c r="I6" s="1"/>
      <c r="J6" s="2">
        <v>10</v>
      </c>
      <c r="K6" s="2">
        <v>22</v>
      </c>
      <c r="L6" s="120">
        <f t="shared" ref="L6:L12" si="2">K6*J6</f>
        <v>220</v>
      </c>
      <c r="M6" s="1"/>
      <c r="N6" s="2">
        <v>10</v>
      </c>
      <c r="O6" s="2">
        <v>43</v>
      </c>
      <c r="P6" s="120">
        <f t="shared" ref="P6:P12" si="3">O6*N6</f>
        <v>430</v>
      </c>
      <c r="Q6" s="1"/>
      <c r="R6" s="2">
        <v>10</v>
      </c>
      <c r="S6" s="2"/>
      <c r="T6" s="120">
        <f t="shared" ref="T6:T12" si="4">S6*R6</f>
        <v>0</v>
      </c>
      <c r="U6" s="1"/>
      <c r="V6" s="12"/>
      <c r="W6" s="39">
        <v>10</v>
      </c>
      <c r="X6" s="123">
        <f t="shared" ref="X6:X12" si="5">S6+O6+K6+G6+C6</f>
        <v>227</v>
      </c>
      <c r="Y6" s="121">
        <f t="shared" ref="Y6:Y12" si="6">T6+P6+L6+H6+D6</f>
        <v>2270</v>
      </c>
      <c r="Z6" s="13"/>
      <c r="AA6" s="1"/>
      <c r="AB6" s="27"/>
      <c r="AC6" s="27"/>
      <c r="AD6" s="27"/>
      <c r="AE6" s="1"/>
      <c r="AF6" s="1"/>
      <c r="AG6" s="1"/>
      <c r="AH6" s="1"/>
      <c r="AI6" s="1"/>
      <c r="AJ6" s="1"/>
      <c r="AK6" s="27"/>
      <c r="AL6" s="27"/>
      <c r="AM6" s="27"/>
    </row>
    <row r="7" spans="2:40" x14ac:dyDescent="0.25">
      <c r="B7" s="2">
        <v>20</v>
      </c>
      <c r="C7" s="2">
        <v>44</v>
      </c>
      <c r="D7" s="120">
        <f t="shared" si="0"/>
        <v>880</v>
      </c>
      <c r="E7" s="1"/>
      <c r="F7" s="2">
        <v>20</v>
      </c>
      <c r="G7" s="2">
        <v>106</v>
      </c>
      <c r="H7" s="120">
        <f t="shared" si="1"/>
        <v>2120</v>
      </c>
      <c r="I7" s="1"/>
      <c r="J7" s="2">
        <v>20</v>
      </c>
      <c r="K7" s="2">
        <v>14</v>
      </c>
      <c r="L7" s="120">
        <f t="shared" si="2"/>
        <v>280</v>
      </c>
      <c r="M7" s="1"/>
      <c r="N7" s="2">
        <v>20</v>
      </c>
      <c r="O7" s="2">
        <v>3</v>
      </c>
      <c r="P7" s="120">
        <f t="shared" si="3"/>
        <v>60</v>
      </c>
      <c r="Q7" s="1"/>
      <c r="R7" s="2">
        <v>20</v>
      </c>
      <c r="S7" s="2"/>
      <c r="T7" s="120">
        <f t="shared" si="4"/>
        <v>0</v>
      </c>
      <c r="U7" s="1"/>
      <c r="V7" s="12"/>
      <c r="W7" s="39">
        <v>20</v>
      </c>
      <c r="X7" s="123">
        <f t="shared" si="5"/>
        <v>167</v>
      </c>
      <c r="Y7" s="121">
        <f t="shared" si="6"/>
        <v>3340</v>
      </c>
      <c r="Z7" s="13"/>
      <c r="AA7" s="1"/>
      <c r="AB7" s="1"/>
      <c r="AC7" s="1"/>
      <c r="AD7" s="1"/>
      <c r="AE7" s="56" t="s">
        <v>10</v>
      </c>
      <c r="AF7" s="57">
        <f>Y13</f>
        <v>315010</v>
      </c>
      <c r="AG7" s="27"/>
      <c r="AH7" s="27"/>
      <c r="AI7" s="27"/>
      <c r="AJ7" s="27"/>
      <c r="AK7" s="1"/>
      <c r="AL7" s="1"/>
      <c r="AM7" s="1"/>
    </row>
    <row r="8" spans="2:40" x14ac:dyDescent="0.25">
      <c r="B8" s="2">
        <v>50</v>
      </c>
      <c r="C8" s="2">
        <v>35</v>
      </c>
      <c r="D8" s="120">
        <f t="shared" si="0"/>
        <v>1750</v>
      </c>
      <c r="E8" s="1"/>
      <c r="F8" s="2">
        <v>50</v>
      </c>
      <c r="G8" s="2">
        <v>168</v>
      </c>
      <c r="H8" s="120">
        <f t="shared" si="1"/>
        <v>8400</v>
      </c>
      <c r="I8" s="1"/>
      <c r="J8" s="2">
        <v>50</v>
      </c>
      <c r="K8" s="2">
        <v>30</v>
      </c>
      <c r="L8" s="120">
        <f t="shared" si="2"/>
        <v>1500</v>
      </c>
      <c r="M8" s="1"/>
      <c r="N8" s="2">
        <v>50</v>
      </c>
      <c r="O8" s="2">
        <v>59</v>
      </c>
      <c r="P8" s="120">
        <f t="shared" si="3"/>
        <v>2950</v>
      </c>
      <c r="Q8" s="1"/>
      <c r="R8" s="2">
        <v>50</v>
      </c>
      <c r="S8" s="2"/>
      <c r="T8" s="120">
        <f t="shared" si="4"/>
        <v>0</v>
      </c>
      <c r="U8" s="1"/>
      <c r="V8" s="12"/>
      <c r="W8" s="39">
        <v>50</v>
      </c>
      <c r="X8" s="123">
        <f t="shared" si="5"/>
        <v>292</v>
      </c>
      <c r="Y8" s="121">
        <f t="shared" si="6"/>
        <v>14600</v>
      </c>
      <c r="Z8" s="13"/>
      <c r="AA8" s="1"/>
      <c r="AB8" s="1"/>
      <c r="AC8" s="1"/>
      <c r="AD8" s="1"/>
      <c r="AE8" s="53" t="s">
        <v>11</v>
      </c>
      <c r="AF8" s="53">
        <f>AF29</f>
        <v>10000</v>
      </c>
      <c r="AG8" s="1"/>
      <c r="AH8" s="1"/>
      <c r="AI8" s="1"/>
      <c r="AJ8" s="1"/>
      <c r="AK8" s="4" t="s">
        <v>6</v>
      </c>
      <c r="AL8" s="4" t="s">
        <v>7</v>
      </c>
      <c r="AM8" s="4" t="s">
        <v>8</v>
      </c>
    </row>
    <row r="9" spans="2:40" ht="15.75" thickBot="1" x14ac:dyDescent="0.3">
      <c r="B9" s="2">
        <v>100</v>
      </c>
      <c r="C9" s="2">
        <v>53</v>
      </c>
      <c r="D9" s="120">
        <f t="shared" si="0"/>
        <v>5300</v>
      </c>
      <c r="E9" s="1"/>
      <c r="F9" s="2">
        <v>100</v>
      </c>
      <c r="G9" s="2">
        <v>44</v>
      </c>
      <c r="H9" s="120">
        <f t="shared" si="1"/>
        <v>4400</v>
      </c>
      <c r="I9" s="1"/>
      <c r="J9" s="2">
        <v>100</v>
      </c>
      <c r="K9" s="2">
        <v>33</v>
      </c>
      <c r="L9" s="120">
        <f t="shared" si="2"/>
        <v>3300</v>
      </c>
      <c r="M9" s="1"/>
      <c r="N9" s="2">
        <v>100</v>
      </c>
      <c r="O9" s="2">
        <v>28</v>
      </c>
      <c r="P9" s="120">
        <f t="shared" si="3"/>
        <v>2800</v>
      </c>
      <c r="Q9" s="1"/>
      <c r="R9" s="2">
        <v>100</v>
      </c>
      <c r="S9" s="2"/>
      <c r="T9" s="120">
        <f t="shared" si="4"/>
        <v>0</v>
      </c>
      <c r="U9" s="1"/>
      <c r="V9" s="12"/>
      <c r="W9" s="39">
        <v>100</v>
      </c>
      <c r="X9" s="123">
        <f t="shared" si="5"/>
        <v>158</v>
      </c>
      <c r="Y9" s="121">
        <f t="shared" si="6"/>
        <v>15800</v>
      </c>
      <c r="Z9" s="13"/>
      <c r="AA9" s="1"/>
      <c r="AB9" s="1"/>
      <c r="AC9" s="1"/>
      <c r="AD9" s="1"/>
      <c r="AE9" s="58" t="s">
        <v>12</v>
      </c>
      <c r="AF9" s="59">
        <f>AF8+AF7</f>
        <v>325010</v>
      </c>
      <c r="AG9" s="1"/>
      <c r="AH9" s="1"/>
      <c r="AI9" s="1"/>
      <c r="AJ9" s="1"/>
      <c r="AK9" s="30">
        <v>1</v>
      </c>
      <c r="AL9" s="30"/>
      <c r="AM9" s="36">
        <f>AL9*AK9</f>
        <v>0</v>
      </c>
    </row>
    <row r="10" spans="2:40" x14ac:dyDescent="0.25">
      <c r="B10" s="2">
        <v>500</v>
      </c>
      <c r="C10" s="2">
        <v>42</v>
      </c>
      <c r="D10" s="120">
        <f t="shared" si="0"/>
        <v>21000</v>
      </c>
      <c r="E10" s="1"/>
      <c r="F10" s="2">
        <v>500</v>
      </c>
      <c r="G10" s="2">
        <v>32</v>
      </c>
      <c r="H10" s="120">
        <f t="shared" si="1"/>
        <v>16000</v>
      </c>
      <c r="I10" s="1"/>
      <c r="J10" s="2">
        <v>500</v>
      </c>
      <c r="K10" s="2">
        <v>37</v>
      </c>
      <c r="L10" s="120">
        <f t="shared" si="2"/>
        <v>18500</v>
      </c>
      <c r="M10" s="1"/>
      <c r="N10" s="2">
        <v>500</v>
      </c>
      <c r="O10" s="2">
        <v>21</v>
      </c>
      <c r="P10" s="120">
        <f t="shared" si="3"/>
        <v>10500</v>
      </c>
      <c r="Q10" s="1"/>
      <c r="R10" s="2">
        <v>500</v>
      </c>
      <c r="S10" s="2"/>
      <c r="T10" s="120">
        <f t="shared" si="4"/>
        <v>0</v>
      </c>
      <c r="U10" s="1"/>
      <c r="V10" s="12"/>
      <c r="W10" s="39">
        <v>500</v>
      </c>
      <c r="X10" s="123">
        <f t="shared" si="5"/>
        <v>132</v>
      </c>
      <c r="Y10" s="121">
        <f t="shared" si="6"/>
        <v>66000</v>
      </c>
      <c r="Z10" s="13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2">
        <v>10</v>
      </c>
      <c r="AL10" s="2">
        <v>1494</v>
      </c>
      <c r="AM10" s="120">
        <f t="shared" ref="AM10:AM16" si="7">AL10*AK10</f>
        <v>14940</v>
      </c>
    </row>
    <row r="11" spans="2:40" x14ac:dyDescent="0.25">
      <c r="B11" s="2">
        <v>1000</v>
      </c>
      <c r="C11" s="2">
        <v>52</v>
      </c>
      <c r="D11" s="120">
        <f t="shared" si="0"/>
        <v>52000</v>
      </c>
      <c r="E11" s="1"/>
      <c r="F11" s="2">
        <v>1000</v>
      </c>
      <c r="G11" s="2">
        <v>37</v>
      </c>
      <c r="H11" s="120">
        <f t="shared" si="1"/>
        <v>37000</v>
      </c>
      <c r="I11" s="1"/>
      <c r="J11" s="2">
        <v>1000</v>
      </c>
      <c r="K11" s="2">
        <v>73</v>
      </c>
      <c r="L11" s="120">
        <f t="shared" si="2"/>
        <v>73000</v>
      </c>
      <c r="M11" s="1"/>
      <c r="N11" s="2">
        <v>1000</v>
      </c>
      <c r="O11" s="2">
        <v>26</v>
      </c>
      <c r="P11" s="120">
        <f t="shared" si="3"/>
        <v>26000</v>
      </c>
      <c r="Q11" s="1"/>
      <c r="R11" s="2">
        <v>1000</v>
      </c>
      <c r="S11" s="2"/>
      <c r="T11" s="120">
        <f t="shared" si="4"/>
        <v>0</v>
      </c>
      <c r="U11" s="1"/>
      <c r="V11" s="12"/>
      <c r="W11" s="39">
        <v>1000</v>
      </c>
      <c r="X11" s="123">
        <f t="shared" si="5"/>
        <v>188</v>
      </c>
      <c r="Y11" s="121">
        <f t="shared" si="6"/>
        <v>188000</v>
      </c>
      <c r="Z11" s="13"/>
      <c r="AA11" s="1"/>
      <c r="AB11" s="1"/>
      <c r="AC11" s="1"/>
      <c r="AD11" s="1"/>
      <c r="AE11" s="47" t="s">
        <v>13</v>
      </c>
      <c r="AF11" s="47" t="s">
        <v>8</v>
      </c>
      <c r="AG11" s="47" t="s">
        <v>14</v>
      </c>
      <c r="AH11" s="47" t="s">
        <v>15</v>
      </c>
      <c r="AI11" s="47" t="s">
        <v>16</v>
      </c>
      <c r="AJ11" s="47"/>
      <c r="AK11" s="2">
        <v>20</v>
      </c>
      <c r="AL11" s="2">
        <v>51</v>
      </c>
      <c r="AM11" s="120">
        <f t="shared" si="7"/>
        <v>1020</v>
      </c>
      <c r="AN11" s="85"/>
    </row>
    <row r="12" spans="2:40" x14ac:dyDescent="0.25">
      <c r="B12" s="2">
        <v>5000</v>
      </c>
      <c r="C12" s="2">
        <v>1</v>
      </c>
      <c r="D12" s="120">
        <f t="shared" si="0"/>
        <v>5000</v>
      </c>
      <c r="E12" s="1"/>
      <c r="F12" s="2">
        <v>5000</v>
      </c>
      <c r="G12" s="2"/>
      <c r="H12" s="120">
        <f t="shared" si="1"/>
        <v>0</v>
      </c>
      <c r="I12" s="1"/>
      <c r="J12" s="2">
        <v>5000</v>
      </c>
      <c r="K12" s="2">
        <v>2</v>
      </c>
      <c r="L12" s="120">
        <f t="shared" si="2"/>
        <v>10000</v>
      </c>
      <c r="M12" s="1"/>
      <c r="N12" s="2">
        <v>5000</v>
      </c>
      <c r="O12" s="2">
        <v>2</v>
      </c>
      <c r="P12" s="120">
        <f t="shared" si="3"/>
        <v>10000</v>
      </c>
      <c r="Q12" s="1"/>
      <c r="R12" s="2">
        <v>5000</v>
      </c>
      <c r="S12" s="2"/>
      <c r="T12" s="120">
        <f t="shared" si="4"/>
        <v>0</v>
      </c>
      <c r="U12" s="1"/>
      <c r="V12" s="12"/>
      <c r="W12" s="39">
        <v>5000</v>
      </c>
      <c r="X12" s="123">
        <f t="shared" si="5"/>
        <v>5</v>
      </c>
      <c r="Y12" s="121">
        <f t="shared" si="6"/>
        <v>25000</v>
      </c>
      <c r="Z12" s="13"/>
      <c r="AA12" s="1"/>
      <c r="AB12" s="1"/>
      <c r="AC12" s="1"/>
      <c r="AD12" s="1"/>
      <c r="AE12" s="1" t="s">
        <v>17</v>
      </c>
      <c r="AF12" s="5">
        <v>352240</v>
      </c>
      <c r="AG12" s="1">
        <v>8565</v>
      </c>
      <c r="AH12" s="52">
        <v>45816</v>
      </c>
      <c r="AI12" s="1" t="s">
        <v>223</v>
      </c>
      <c r="AJ12" s="1"/>
      <c r="AK12" s="2">
        <v>50</v>
      </c>
      <c r="AL12" s="2">
        <v>6</v>
      </c>
      <c r="AM12" s="120">
        <f t="shared" si="7"/>
        <v>300</v>
      </c>
      <c r="AN12" s="85"/>
    </row>
    <row r="13" spans="2:40" ht="15.75" thickBot="1" x14ac:dyDescent="0.3">
      <c r="B13" s="3" t="s">
        <v>18</v>
      </c>
      <c r="C13" s="3"/>
      <c r="D13" s="6">
        <f>SUM(D5:D12)</f>
        <v>87300</v>
      </c>
      <c r="E13" s="1"/>
      <c r="F13" s="3" t="s">
        <v>18</v>
      </c>
      <c r="G13" s="3"/>
      <c r="H13" s="90">
        <f>SUM(H5:H12)</f>
        <v>68170</v>
      </c>
      <c r="I13" s="1"/>
      <c r="J13" s="3" t="s">
        <v>18</v>
      </c>
      <c r="K13" s="3"/>
      <c r="L13" s="90">
        <f>SUM(L5:L12)</f>
        <v>106800</v>
      </c>
      <c r="M13" s="1"/>
      <c r="N13" s="3" t="s">
        <v>18</v>
      </c>
      <c r="O13" s="3"/>
      <c r="P13" s="90">
        <f>SUM(P5:P12)</f>
        <v>52740</v>
      </c>
      <c r="Q13" s="1"/>
      <c r="R13" s="3" t="s">
        <v>18</v>
      </c>
      <c r="S13" s="3"/>
      <c r="T13" s="90">
        <f>SUM(T5:T12)</f>
        <v>0</v>
      </c>
      <c r="U13" s="1"/>
      <c r="V13" s="12"/>
      <c r="W13" s="3" t="s">
        <v>18</v>
      </c>
      <c r="X13" s="3"/>
      <c r="Y13" s="6">
        <f>SUM(Y5:Y12)</f>
        <v>315010</v>
      </c>
      <c r="Z13" s="13"/>
      <c r="AA13" s="1"/>
      <c r="AB13" s="1"/>
      <c r="AC13" s="1"/>
      <c r="AD13" s="1"/>
      <c r="AE13" s="1" t="s">
        <v>19</v>
      </c>
      <c r="AF13" s="89">
        <v>-27230</v>
      </c>
      <c r="AG13" s="1"/>
      <c r="AH13" s="1"/>
      <c r="AI13" s="1"/>
      <c r="AJ13" s="1"/>
      <c r="AK13" s="2">
        <v>100</v>
      </c>
      <c r="AL13" s="2">
        <v>2</v>
      </c>
      <c r="AM13" s="120">
        <f t="shared" si="7"/>
        <v>200</v>
      </c>
      <c r="AN13" s="85"/>
    </row>
    <row r="14" spans="2:40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/>
      <c r="AC14" s="1"/>
      <c r="AD14" s="1"/>
      <c r="AE14" s="1" t="s">
        <v>20</v>
      </c>
      <c r="AF14" s="5"/>
      <c r="AG14" s="1"/>
      <c r="AH14" s="1"/>
      <c r="AI14" s="1"/>
      <c r="AJ14" s="1"/>
      <c r="AK14" s="2">
        <v>500</v>
      </c>
      <c r="AL14" s="2">
        <v>19</v>
      </c>
      <c r="AM14" s="120">
        <f t="shared" si="7"/>
        <v>9500</v>
      </c>
      <c r="AN14" s="85"/>
    </row>
    <row r="15" spans="2:40" ht="15.75" thickBot="1" x14ac:dyDescent="0.3">
      <c r="B15" s="242" t="s">
        <v>21</v>
      </c>
      <c r="C15" s="243"/>
      <c r="D15" s="8">
        <v>87247</v>
      </c>
      <c r="E15" s="31"/>
      <c r="F15" s="242" t="s">
        <v>21</v>
      </c>
      <c r="G15" s="243"/>
      <c r="H15" s="8">
        <v>83237</v>
      </c>
      <c r="I15" s="31"/>
      <c r="J15" s="242" t="s">
        <v>21</v>
      </c>
      <c r="K15" s="243"/>
      <c r="L15" s="8">
        <v>111990</v>
      </c>
      <c r="M15" s="31"/>
      <c r="N15" s="242" t="s">
        <v>21</v>
      </c>
      <c r="O15" s="243"/>
      <c r="P15" s="8">
        <v>90237</v>
      </c>
      <c r="Q15" s="31"/>
      <c r="R15" s="242" t="s">
        <v>21</v>
      </c>
      <c r="S15" s="243"/>
      <c r="T15" s="8"/>
      <c r="U15" s="31"/>
      <c r="V15" s="32"/>
      <c r="W15" s="242" t="s">
        <v>21</v>
      </c>
      <c r="X15" s="243"/>
      <c r="Y15" s="92">
        <f>+D15+H15+L15+P15+T15</f>
        <v>372711</v>
      </c>
      <c r="Z15" s="33"/>
      <c r="AA15" s="31"/>
      <c r="AB15" s="1"/>
      <c r="AC15" s="1"/>
      <c r="AD15" s="1"/>
      <c r="AE15" s="1" t="s">
        <v>22</v>
      </c>
      <c r="AF15" s="5"/>
      <c r="AG15" s="1"/>
      <c r="AH15" s="1"/>
      <c r="AI15" s="1"/>
      <c r="AJ15" s="1"/>
      <c r="AK15" s="2">
        <v>1000</v>
      </c>
      <c r="AL15" s="2">
        <v>11</v>
      </c>
      <c r="AM15" s="120">
        <f t="shared" si="7"/>
        <v>11000</v>
      </c>
      <c r="AN15" s="85"/>
    </row>
    <row r="16" spans="2:40" x14ac:dyDescent="0.25">
      <c r="B16" s="1" t="s">
        <v>10</v>
      </c>
      <c r="C16" s="1"/>
      <c r="D16" s="5">
        <f>D13</f>
        <v>87300</v>
      </c>
      <c r="E16" s="1"/>
      <c r="F16" s="1" t="s">
        <v>10</v>
      </c>
      <c r="G16" s="1"/>
      <c r="H16" s="5">
        <f>H13</f>
        <v>68170</v>
      </c>
      <c r="I16" s="1"/>
      <c r="J16" s="1" t="s">
        <v>10</v>
      </c>
      <c r="K16" s="1"/>
      <c r="L16" s="5">
        <f>L13</f>
        <v>106800</v>
      </c>
      <c r="M16" s="1"/>
      <c r="N16" s="1" t="s">
        <v>10</v>
      </c>
      <c r="O16" s="1"/>
      <c r="P16" s="5">
        <f>P13</f>
        <v>52740</v>
      </c>
      <c r="Q16" s="1"/>
      <c r="R16" s="1" t="s">
        <v>10</v>
      </c>
      <c r="S16" s="1"/>
      <c r="T16" s="5">
        <f>T13</f>
        <v>0</v>
      </c>
      <c r="U16" s="1"/>
      <c r="V16" s="12"/>
      <c r="W16" s="40" t="s">
        <v>10</v>
      </c>
      <c r="X16" s="40"/>
      <c r="Y16" s="37">
        <f>+D16+H16+L16+P16+T16</f>
        <v>315010</v>
      </c>
      <c r="Z16" s="13"/>
      <c r="AA16" s="1"/>
      <c r="AB16" s="31"/>
      <c r="AC16" s="31"/>
      <c r="AD16" s="31"/>
      <c r="AE16" s="1" t="s">
        <v>23</v>
      </c>
      <c r="AF16" s="5"/>
      <c r="AG16" s="1"/>
      <c r="AH16" s="1"/>
      <c r="AI16" s="1"/>
      <c r="AJ16" s="1"/>
      <c r="AK16" s="2">
        <v>5000</v>
      </c>
      <c r="AL16" s="2">
        <v>2</v>
      </c>
      <c r="AM16" s="120">
        <f t="shared" si="7"/>
        <v>10000</v>
      </c>
      <c r="AN16" s="85"/>
    </row>
    <row r="17" spans="2:41" ht="15.75" thickBot="1" x14ac:dyDescent="0.3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121">
        <f t="shared" ref="Y17:Y26" si="8">+D17+H17+L17+P17+T17</f>
        <v>0</v>
      </c>
      <c r="Z17" s="13"/>
      <c r="AA17" s="1"/>
      <c r="AB17" s="1"/>
      <c r="AC17" s="1"/>
      <c r="AD17" s="1"/>
      <c r="AE17" s="48" t="s">
        <v>12</v>
      </c>
      <c r="AF17" s="49">
        <f>SUM(AF12:AF16)</f>
        <v>325010</v>
      </c>
      <c r="AG17" s="21"/>
      <c r="AH17" s="1"/>
      <c r="AI17" s="1"/>
      <c r="AJ17" s="1"/>
      <c r="AK17" s="3" t="s">
        <v>18</v>
      </c>
      <c r="AL17" s="3"/>
      <c r="AM17" s="6">
        <f>SUM(AM9:AM16)</f>
        <v>46960</v>
      </c>
      <c r="AO17" s="160"/>
    </row>
    <row r="18" spans="2:41" x14ac:dyDescent="0.25">
      <c r="B18" s="1" t="s">
        <v>27</v>
      </c>
      <c r="C18" s="1"/>
      <c r="D18" s="5"/>
      <c r="E18" s="1"/>
      <c r="F18" s="1" t="s">
        <v>93</v>
      </c>
      <c r="G18" s="1" t="s">
        <v>221</v>
      </c>
      <c r="H18" s="5">
        <v>6640</v>
      </c>
      <c r="I18" s="1"/>
      <c r="J18" s="1" t="s">
        <v>176</v>
      </c>
      <c r="K18" s="1" t="s">
        <v>177</v>
      </c>
      <c r="L18" s="5">
        <v>5267</v>
      </c>
      <c r="M18" s="1"/>
      <c r="N18" s="1" t="s">
        <v>169</v>
      </c>
      <c r="O18" s="1" t="s">
        <v>170</v>
      </c>
      <c r="P18" s="5">
        <v>16400</v>
      </c>
      <c r="Q18" s="1"/>
      <c r="R18" s="1" t="s">
        <v>27</v>
      </c>
      <c r="S18" s="1"/>
      <c r="T18" s="5"/>
      <c r="U18" s="1"/>
      <c r="V18" s="12"/>
      <c r="W18" s="40" t="s">
        <v>26</v>
      </c>
      <c r="X18" s="40"/>
      <c r="Y18" s="121">
        <f t="shared" si="8"/>
        <v>28307</v>
      </c>
      <c r="Z18" s="13"/>
      <c r="AA18" s="1"/>
      <c r="AB18" s="1"/>
      <c r="AC18" s="1"/>
      <c r="AD18" s="1"/>
      <c r="AE18" s="50" t="s">
        <v>32</v>
      </c>
      <c r="AF18" s="51">
        <f>AF9-AF17</f>
        <v>0</v>
      </c>
      <c r="AG18" s="1" t="s">
        <v>33</v>
      </c>
      <c r="AH18" s="1"/>
      <c r="AI18" s="1"/>
      <c r="AJ18" s="1"/>
      <c r="AK18" s="1"/>
      <c r="AL18" s="1"/>
      <c r="AM18" s="1"/>
    </row>
    <row r="19" spans="2:41" x14ac:dyDescent="0.25">
      <c r="B19" s="1" t="s">
        <v>34</v>
      </c>
      <c r="C19" s="1"/>
      <c r="D19" s="5"/>
      <c r="E19" s="1"/>
      <c r="F19" s="1" t="s">
        <v>34</v>
      </c>
      <c r="G19" s="1"/>
      <c r="H19" s="5"/>
      <c r="I19" s="1"/>
      <c r="J19" s="1" t="s">
        <v>27</v>
      </c>
      <c r="K19" s="1"/>
      <c r="L19" s="5"/>
      <c r="M19" s="1"/>
      <c r="N19" s="1" t="s">
        <v>171</v>
      </c>
      <c r="O19" s="1" t="s">
        <v>172</v>
      </c>
      <c r="P19" s="5">
        <v>11700</v>
      </c>
      <c r="Q19" s="1"/>
      <c r="R19" s="1" t="s">
        <v>27</v>
      </c>
      <c r="S19" s="1"/>
      <c r="T19" s="5"/>
      <c r="U19" s="1"/>
      <c r="V19" s="12"/>
      <c r="W19" s="40" t="s">
        <v>34</v>
      </c>
      <c r="X19" s="40"/>
      <c r="Y19" s="121">
        <f t="shared" si="8"/>
        <v>11700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2:41" x14ac:dyDescent="0.25">
      <c r="B20" s="1" t="s">
        <v>36</v>
      </c>
      <c r="C20" s="1"/>
      <c r="D20" s="5"/>
      <c r="E20" s="1"/>
      <c r="F20" s="1" t="s">
        <v>36</v>
      </c>
      <c r="G20" s="1"/>
      <c r="H20" s="5"/>
      <c r="I20" s="1"/>
      <c r="J20" s="1" t="s">
        <v>36</v>
      </c>
      <c r="K20" s="1"/>
      <c r="L20" s="5"/>
      <c r="M20" s="1"/>
      <c r="N20" s="1" t="s">
        <v>173</v>
      </c>
      <c r="O20" s="1" t="s">
        <v>174</v>
      </c>
      <c r="P20" s="5">
        <v>9400</v>
      </c>
      <c r="Q20" s="1"/>
      <c r="R20" s="1" t="s">
        <v>27</v>
      </c>
      <c r="S20" s="1"/>
      <c r="T20" s="5"/>
      <c r="U20" s="1"/>
      <c r="V20" s="12"/>
      <c r="W20" s="40" t="s">
        <v>36</v>
      </c>
      <c r="X20" s="40"/>
      <c r="Y20" s="121">
        <f t="shared" si="8"/>
        <v>9400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2:41" x14ac:dyDescent="0.25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 t="s">
        <v>27</v>
      </c>
      <c r="S21" s="1"/>
      <c r="T21" s="5"/>
      <c r="U21" s="1"/>
      <c r="V21" s="12"/>
      <c r="W21" s="40"/>
      <c r="X21" s="40"/>
      <c r="Y21" s="121">
        <f t="shared" si="8"/>
        <v>0</v>
      </c>
      <c r="Z21" s="13"/>
      <c r="AA21" s="1"/>
      <c r="AB21" s="54" t="s">
        <v>37</v>
      </c>
      <c r="AC21" s="54"/>
      <c r="AD21" s="54"/>
      <c r="AE21" s="31"/>
      <c r="AF21" s="1"/>
      <c r="AG21" s="1"/>
      <c r="AH21" s="1"/>
      <c r="AI21" s="1"/>
      <c r="AJ21" s="54" t="s">
        <v>38</v>
      </c>
      <c r="AK21" s="54"/>
      <c r="AL21" s="54"/>
      <c r="AM21" s="63"/>
    </row>
    <row r="22" spans="2:41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 t="s">
        <v>27</v>
      </c>
      <c r="S22" s="1"/>
      <c r="T22" s="5"/>
      <c r="U22" s="1"/>
      <c r="V22" s="12"/>
      <c r="W22" s="40"/>
      <c r="X22" s="40"/>
      <c r="Y22" s="121">
        <f t="shared" si="8"/>
        <v>0</v>
      </c>
      <c r="Z22" s="13"/>
      <c r="AA22" s="1"/>
      <c r="AB22" s="47" t="s">
        <v>41</v>
      </c>
      <c r="AC22" s="47" t="s">
        <v>42</v>
      </c>
      <c r="AD22" s="47" t="s">
        <v>43</v>
      </c>
      <c r="AE22" s="47" t="s">
        <v>44</v>
      </c>
      <c r="AF22" s="47" t="s">
        <v>8</v>
      </c>
      <c r="AG22" s="1"/>
      <c r="AH22" s="1"/>
      <c r="AI22" s="1"/>
      <c r="AJ22" s="47" t="s">
        <v>41</v>
      </c>
      <c r="AK22" s="47" t="s">
        <v>45</v>
      </c>
      <c r="AL22" s="47" t="s">
        <v>43</v>
      </c>
      <c r="AM22" s="47" t="s">
        <v>8</v>
      </c>
    </row>
    <row r="23" spans="2:41" x14ac:dyDescent="0.25">
      <c r="B23" s="1" t="s">
        <v>46</v>
      </c>
      <c r="C23" s="1"/>
      <c r="D23" s="5"/>
      <c r="E23" s="1"/>
      <c r="F23" s="1" t="s">
        <v>217</v>
      </c>
      <c r="G23" s="1" t="s">
        <v>218</v>
      </c>
      <c r="H23" s="5">
        <v>5163</v>
      </c>
      <c r="I23" s="1"/>
      <c r="J23" s="1" t="s">
        <v>46</v>
      </c>
      <c r="K23" s="1"/>
      <c r="L23" s="5"/>
      <c r="M23" s="1"/>
      <c r="N23" s="1" t="s">
        <v>46</v>
      </c>
      <c r="O23" s="1"/>
      <c r="P23" s="5"/>
      <c r="Q23" s="1"/>
      <c r="R23" s="1" t="s">
        <v>46</v>
      </c>
      <c r="S23" s="1"/>
      <c r="T23" s="5"/>
      <c r="U23" s="1"/>
      <c r="V23" s="12"/>
      <c r="W23" s="41" t="s">
        <v>46</v>
      </c>
      <c r="X23" s="40"/>
      <c r="Y23" s="121">
        <f t="shared" si="8"/>
        <v>5163</v>
      </c>
      <c r="Z23" s="13"/>
      <c r="AA23" s="1"/>
      <c r="AB23" s="1" t="s">
        <v>72</v>
      </c>
      <c r="AC23" s="157">
        <v>45849</v>
      </c>
      <c r="AD23" s="1" t="s">
        <v>175</v>
      </c>
      <c r="AE23" s="1"/>
      <c r="AF23" s="147">
        <v>10000</v>
      </c>
      <c r="AG23" s="1"/>
      <c r="AH23" s="1"/>
      <c r="AI23" s="1"/>
      <c r="AJ23" s="152" t="s">
        <v>72</v>
      </c>
      <c r="AK23" s="171" t="s">
        <v>194</v>
      </c>
      <c r="AL23" s="152" t="s">
        <v>178</v>
      </c>
      <c r="AM23" s="174">
        <v>47575</v>
      </c>
    </row>
    <row r="24" spans="2:41" x14ac:dyDescent="0.25">
      <c r="B24" s="1" t="s">
        <v>54</v>
      </c>
      <c r="C24" s="1"/>
      <c r="D24" s="5"/>
      <c r="E24" s="1"/>
      <c r="F24" s="1" t="s">
        <v>219</v>
      </c>
      <c r="G24" s="1" t="s">
        <v>220</v>
      </c>
      <c r="H24" s="5">
        <v>3266</v>
      </c>
      <c r="I24" s="1"/>
      <c r="J24" s="1" t="s">
        <v>54</v>
      </c>
      <c r="K24" s="1"/>
      <c r="L24" s="5"/>
      <c r="M24" s="1"/>
      <c r="N24" s="1" t="s">
        <v>54</v>
      </c>
      <c r="O24" s="1"/>
      <c r="P24" s="5"/>
      <c r="Q24" s="1"/>
      <c r="R24" s="1" t="s">
        <v>54</v>
      </c>
      <c r="S24" s="1"/>
      <c r="T24" s="5"/>
      <c r="U24" s="1"/>
      <c r="V24" s="12"/>
      <c r="W24" s="41" t="s">
        <v>54</v>
      </c>
      <c r="X24" s="40"/>
      <c r="Y24" s="121">
        <f t="shared" si="8"/>
        <v>3266</v>
      </c>
      <c r="Z24" s="13"/>
      <c r="AA24" s="1"/>
      <c r="AB24" s="1"/>
      <c r="AC24" s="52"/>
      <c r="AD24" s="1"/>
      <c r="AE24" s="1"/>
      <c r="AF24" s="1"/>
      <c r="AG24" s="1"/>
      <c r="AH24" s="1"/>
      <c r="AI24" s="1"/>
      <c r="AJ24" s="152" t="s">
        <v>72</v>
      </c>
      <c r="AK24" s="171" t="s">
        <v>195</v>
      </c>
      <c r="AL24" s="152" t="s">
        <v>179</v>
      </c>
      <c r="AM24" s="174">
        <v>26500</v>
      </c>
    </row>
    <row r="25" spans="2:41" x14ac:dyDescent="0.25">
      <c r="B25" s="1" t="s">
        <v>61</v>
      </c>
      <c r="C25" s="1"/>
      <c r="D25" s="5"/>
      <c r="E25" s="1"/>
      <c r="F25" s="1" t="s">
        <v>61</v>
      </c>
      <c r="G25" s="1"/>
      <c r="H25" s="5"/>
      <c r="I25" s="1"/>
      <c r="J25" s="1" t="s">
        <v>61</v>
      </c>
      <c r="K25" s="1"/>
      <c r="L25" s="5"/>
      <c r="M25" s="1"/>
      <c r="N25" s="1" t="s">
        <v>61</v>
      </c>
      <c r="O25" s="1"/>
      <c r="P25" s="5"/>
      <c r="Q25" s="1"/>
      <c r="R25" s="1" t="s">
        <v>61</v>
      </c>
      <c r="S25" s="1"/>
      <c r="T25" s="5"/>
      <c r="U25" s="1"/>
      <c r="V25" s="12"/>
      <c r="W25" s="41" t="s">
        <v>61</v>
      </c>
      <c r="X25" s="40"/>
      <c r="Y25" s="121">
        <f t="shared" si="8"/>
        <v>0</v>
      </c>
      <c r="Z25" s="13"/>
      <c r="AA25" s="1"/>
      <c r="AB25" s="1"/>
      <c r="AC25" s="61"/>
      <c r="AD25" s="16"/>
      <c r="AE25" s="16"/>
      <c r="AF25" s="16"/>
      <c r="AG25" s="1"/>
      <c r="AH25" s="1"/>
      <c r="AI25" s="1"/>
      <c r="AJ25" s="152" t="s">
        <v>72</v>
      </c>
      <c r="AK25" s="171" t="s">
        <v>196</v>
      </c>
      <c r="AL25" s="152" t="s">
        <v>180</v>
      </c>
      <c r="AM25" s="174">
        <v>11342</v>
      </c>
    </row>
    <row r="26" spans="2:41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121">
        <f t="shared" si="8"/>
        <v>0</v>
      </c>
      <c r="Z26" s="13"/>
      <c r="AA26" s="1"/>
      <c r="AB26" s="1"/>
      <c r="AC26" s="61"/>
      <c r="AD26" s="20"/>
      <c r="AE26" s="16"/>
      <c r="AF26" s="20"/>
      <c r="AG26" s="1"/>
      <c r="AH26" s="1"/>
      <c r="AI26" s="1"/>
      <c r="AJ26" s="152" t="s">
        <v>139</v>
      </c>
      <c r="AK26" s="171" t="s">
        <v>197</v>
      </c>
      <c r="AL26" s="152"/>
      <c r="AM26" s="154">
        <v>3729</v>
      </c>
    </row>
    <row r="27" spans="2:41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v>0</v>
      </c>
      <c r="Z27" s="13"/>
      <c r="AA27" s="1"/>
      <c r="AB27" s="1"/>
      <c r="AC27" s="1"/>
      <c r="AD27" s="1"/>
      <c r="AE27" s="1"/>
      <c r="AF27" s="1"/>
      <c r="AG27" s="1"/>
      <c r="AH27" s="1"/>
      <c r="AI27" s="1"/>
      <c r="AJ27" s="152" t="s">
        <v>144</v>
      </c>
      <c r="AK27" s="171" t="s">
        <v>198</v>
      </c>
      <c r="AL27" s="152" t="s">
        <v>181</v>
      </c>
      <c r="AM27" s="169">
        <v>4629</v>
      </c>
    </row>
    <row r="28" spans="2:41" ht="15.75" thickBot="1" x14ac:dyDescent="0.3">
      <c r="B28" s="235" t="s">
        <v>12</v>
      </c>
      <c r="C28" s="236"/>
      <c r="D28" s="9">
        <f>SUM(D16:D27)</f>
        <v>87300</v>
      </c>
      <c r="E28" s="1"/>
      <c r="F28" s="235" t="s">
        <v>12</v>
      </c>
      <c r="G28" s="236"/>
      <c r="H28" s="93">
        <f>SUM(H16:H27)</f>
        <v>83239</v>
      </c>
      <c r="I28" s="1"/>
      <c r="J28" s="235" t="s">
        <v>12</v>
      </c>
      <c r="K28" s="236"/>
      <c r="L28" s="93">
        <f>SUM(L16:L27)</f>
        <v>112067</v>
      </c>
      <c r="M28" s="1"/>
      <c r="N28" s="235" t="s">
        <v>12</v>
      </c>
      <c r="O28" s="236"/>
      <c r="P28" s="93">
        <f>SUM(P16:P27)</f>
        <v>90240</v>
      </c>
      <c r="Q28" s="1"/>
      <c r="R28" s="235" t="s">
        <v>12</v>
      </c>
      <c r="S28" s="236"/>
      <c r="T28" s="93">
        <f>SUM(T16:T27)</f>
        <v>0</v>
      </c>
      <c r="U28" s="1"/>
      <c r="V28" s="12"/>
      <c r="W28" s="235" t="s">
        <v>12</v>
      </c>
      <c r="X28" s="236"/>
      <c r="Y28" s="93">
        <f>+SUM(Y16:Y27)</f>
        <v>372846</v>
      </c>
      <c r="Z28" s="13"/>
      <c r="AA28" s="1"/>
      <c r="AB28" s="1"/>
      <c r="AC28" s="1"/>
      <c r="AD28" s="1"/>
      <c r="AE28" s="1"/>
      <c r="AF28" s="1"/>
      <c r="AG28" s="1"/>
      <c r="AH28" s="1"/>
      <c r="AI28" s="1"/>
      <c r="AJ28" s="152" t="s">
        <v>144</v>
      </c>
      <c r="AK28" s="171" t="s">
        <v>199</v>
      </c>
      <c r="AL28" s="152" t="s">
        <v>182</v>
      </c>
      <c r="AM28" s="154">
        <v>21490</v>
      </c>
    </row>
    <row r="29" spans="2:41" ht="15.75" thickBot="1" x14ac:dyDescent="0.3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60" t="s">
        <v>74</v>
      </c>
      <c r="AC29" s="60"/>
      <c r="AD29" s="60"/>
      <c r="AE29" s="60"/>
      <c r="AF29" s="55">
        <f>SUM(AF23:AF28)</f>
        <v>10000</v>
      </c>
      <c r="AG29" s="1"/>
      <c r="AH29" s="1"/>
      <c r="AI29" s="1"/>
      <c r="AJ29" s="152" t="s">
        <v>70</v>
      </c>
      <c r="AK29" s="171" t="s">
        <v>200</v>
      </c>
      <c r="AL29" s="152" t="s">
        <v>183</v>
      </c>
      <c r="AM29" s="154">
        <v>8661</v>
      </c>
    </row>
    <row r="30" spans="2:41" ht="16.5" thickTop="1" thickBot="1" x14ac:dyDescent="0.3">
      <c r="B30" s="237" t="s">
        <v>75</v>
      </c>
      <c r="C30" s="237"/>
      <c r="D30" s="7">
        <f>D28-D15</f>
        <v>53</v>
      </c>
      <c r="E30" s="1"/>
      <c r="F30" s="237" t="s">
        <v>75</v>
      </c>
      <c r="G30" s="237"/>
      <c r="H30" s="91">
        <f>H28-H15</f>
        <v>2</v>
      </c>
      <c r="I30" s="1"/>
      <c r="J30" s="237" t="s">
        <v>75</v>
      </c>
      <c r="K30" s="237"/>
      <c r="L30" s="91">
        <f>L28-L15</f>
        <v>77</v>
      </c>
      <c r="M30" s="1"/>
      <c r="N30" s="237" t="s">
        <v>75</v>
      </c>
      <c r="O30" s="237"/>
      <c r="P30" s="91">
        <f>P28-P15</f>
        <v>3</v>
      </c>
      <c r="Q30" s="1"/>
      <c r="R30" s="237" t="s">
        <v>75</v>
      </c>
      <c r="S30" s="237"/>
      <c r="T30" s="91">
        <f>T28-T15</f>
        <v>0</v>
      </c>
      <c r="U30" s="1"/>
      <c r="V30" s="12"/>
      <c r="W30" s="238" t="s">
        <v>75</v>
      </c>
      <c r="X30" s="238"/>
      <c r="Y30" s="91">
        <f>Y28-Y15</f>
        <v>135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52" t="s">
        <v>70</v>
      </c>
      <c r="AK30" s="171" t="s">
        <v>201</v>
      </c>
      <c r="AL30" s="152" t="s">
        <v>184</v>
      </c>
      <c r="AM30" s="154">
        <v>6892</v>
      </c>
    </row>
    <row r="31" spans="2:41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1"/>
      <c r="AG31" s="1"/>
      <c r="AH31" s="1"/>
      <c r="AI31" s="1"/>
      <c r="AJ31" s="152" t="s">
        <v>70</v>
      </c>
      <c r="AK31" s="171" t="s">
        <v>202</v>
      </c>
      <c r="AL31" s="152" t="s">
        <v>185</v>
      </c>
      <c r="AM31" s="154">
        <v>5000</v>
      </c>
    </row>
    <row r="32" spans="2:41" x14ac:dyDescent="0.25">
      <c r="AJ32" s="152" t="s">
        <v>59</v>
      </c>
      <c r="AK32" s="171" t="s">
        <v>203</v>
      </c>
      <c r="AL32" s="152" t="s">
        <v>186</v>
      </c>
      <c r="AM32" s="154">
        <v>10124</v>
      </c>
    </row>
    <row r="33" spans="2:39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52" t="s">
        <v>72</v>
      </c>
      <c r="AK33" s="171" t="s">
        <v>204</v>
      </c>
      <c r="AL33" s="152" t="s">
        <v>105</v>
      </c>
      <c r="AM33" s="154">
        <v>63710</v>
      </c>
    </row>
    <row r="34" spans="2:39" x14ac:dyDescent="0.25">
      <c r="B34" s="10" t="s">
        <v>76</v>
      </c>
      <c r="C34" s="11"/>
      <c r="D34" s="22"/>
      <c r="E34" s="1"/>
      <c r="F34" s="10" t="s">
        <v>76</v>
      </c>
      <c r="G34" s="11"/>
      <c r="H34" s="22"/>
      <c r="I34" s="1"/>
      <c r="J34" s="10" t="s">
        <v>76</v>
      </c>
      <c r="K34" s="11"/>
      <c r="L34" s="22"/>
      <c r="M34" s="1"/>
      <c r="N34" s="10" t="s">
        <v>76</v>
      </c>
      <c r="O34" s="11"/>
      <c r="P34" s="22"/>
      <c r="Q34" s="1"/>
      <c r="R34" s="10" t="s">
        <v>76</v>
      </c>
      <c r="S34" s="11"/>
      <c r="T34" s="22"/>
      <c r="U34" s="1"/>
      <c r="V34" s="1"/>
      <c r="W34" s="42" t="s">
        <v>76</v>
      </c>
      <c r="X34" s="43"/>
      <c r="Y34" s="44">
        <v>0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52" t="s">
        <v>72</v>
      </c>
      <c r="AK34" s="171" t="s">
        <v>205</v>
      </c>
      <c r="AL34" s="152" t="s">
        <v>105</v>
      </c>
      <c r="AM34" s="154">
        <v>140000</v>
      </c>
    </row>
    <row r="35" spans="2:39" x14ac:dyDescent="0.25">
      <c r="B35" s="12" t="s">
        <v>77</v>
      </c>
      <c r="C35" s="16"/>
      <c r="D35" s="23"/>
      <c r="E35" s="1"/>
      <c r="F35" s="12" t="s">
        <v>77</v>
      </c>
      <c r="G35" s="16"/>
      <c r="H35" s="23"/>
      <c r="I35" s="1"/>
      <c r="J35" s="12" t="s">
        <v>77</v>
      </c>
      <c r="K35" s="16"/>
      <c r="L35" s="23"/>
      <c r="M35" s="1"/>
      <c r="N35" s="12" t="s">
        <v>77</v>
      </c>
      <c r="O35" s="16"/>
      <c r="P35" s="23"/>
      <c r="Q35" s="1"/>
      <c r="R35" s="12" t="s">
        <v>77</v>
      </c>
      <c r="S35" s="16"/>
      <c r="T35" s="23"/>
      <c r="U35" s="1"/>
      <c r="V35" s="1"/>
      <c r="W35" s="45" t="s">
        <v>77</v>
      </c>
      <c r="X35" s="40"/>
      <c r="Y35" s="46"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69" t="s">
        <v>70</v>
      </c>
      <c r="AK35" s="171" t="s">
        <v>206</v>
      </c>
      <c r="AL35" s="169" t="s">
        <v>187</v>
      </c>
      <c r="AM35" s="174">
        <v>6497</v>
      </c>
    </row>
    <row r="36" spans="2:39" x14ac:dyDescent="0.25">
      <c r="B36" s="96" t="s">
        <v>79</v>
      </c>
      <c r="C36" s="16"/>
      <c r="D36" s="23">
        <v>-53</v>
      </c>
      <c r="E36" s="1"/>
      <c r="F36" s="96" t="s">
        <v>79</v>
      </c>
      <c r="G36" s="16"/>
      <c r="H36" s="23">
        <v>2</v>
      </c>
      <c r="I36" s="1"/>
      <c r="J36" s="12" t="s">
        <v>78</v>
      </c>
      <c r="K36" s="16"/>
      <c r="L36" s="23"/>
      <c r="M36" s="1"/>
      <c r="N36" s="12" t="s">
        <v>79</v>
      </c>
      <c r="O36" s="16"/>
      <c r="P36" s="23">
        <v>3</v>
      </c>
      <c r="Q36" s="1"/>
      <c r="R36" s="12" t="s">
        <v>82</v>
      </c>
      <c r="S36" s="16"/>
      <c r="T36" s="23"/>
      <c r="U36" s="1"/>
      <c r="V36" s="1"/>
      <c r="W36" s="45" t="s">
        <v>78</v>
      </c>
      <c r="X36" s="40"/>
      <c r="Y36" s="46">
        <v>0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69" t="s">
        <v>70</v>
      </c>
      <c r="AK36" s="171" t="s">
        <v>207</v>
      </c>
      <c r="AL36" s="169" t="s">
        <v>188</v>
      </c>
      <c r="AM36" s="174">
        <v>9000</v>
      </c>
    </row>
    <row r="37" spans="2:39" x14ac:dyDescent="0.25">
      <c r="B37" s="12" t="s">
        <v>18</v>
      </c>
      <c r="C37" s="16"/>
      <c r="D37" s="23">
        <f>+SUM(D34:D36)</f>
        <v>-53</v>
      </c>
      <c r="E37" s="1"/>
      <c r="F37" s="12" t="s">
        <v>18</v>
      </c>
      <c r="G37" s="16"/>
      <c r="H37" s="106">
        <f>SUM(H34:H36)</f>
        <v>2</v>
      </c>
      <c r="I37" s="1"/>
      <c r="J37" s="12" t="s">
        <v>18</v>
      </c>
      <c r="K37" s="16"/>
      <c r="L37" s="106">
        <f>SUM(L34:L36)</f>
        <v>0</v>
      </c>
      <c r="M37" s="1"/>
      <c r="N37" s="12" t="s">
        <v>18</v>
      </c>
      <c r="O37" s="16"/>
      <c r="P37" s="106">
        <f>SUM(P34:P36)</f>
        <v>3</v>
      </c>
      <c r="Q37" s="1"/>
      <c r="R37" s="12" t="s">
        <v>18</v>
      </c>
      <c r="S37" s="16"/>
      <c r="T37" s="106">
        <f>SUM(T34:T36)</f>
        <v>0</v>
      </c>
      <c r="U37" s="1"/>
      <c r="V37" s="1"/>
      <c r="W37" s="34" t="s">
        <v>18</v>
      </c>
      <c r="X37" s="35"/>
      <c r="Y37" s="161">
        <f>SUM(Y34:Y36)</f>
        <v>0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69" t="s">
        <v>216</v>
      </c>
      <c r="AK37" s="172" t="s">
        <v>208</v>
      </c>
      <c r="AL37" s="169" t="s">
        <v>189</v>
      </c>
      <c r="AM37" s="174">
        <v>22619</v>
      </c>
    </row>
    <row r="38" spans="2:39" ht="15.75" thickBot="1" x14ac:dyDescent="0.3">
      <c r="B38" s="24" t="s">
        <v>81</v>
      </c>
      <c r="C38" s="25"/>
      <c r="D38" s="26">
        <f>+D30+D37</f>
        <v>0</v>
      </c>
      <c r="E38" s="1"/>
      <c r="F38" s="24" t="s">
        <v>81</v>
      </c>
      <c r="G38" s="25"/>
      <c r="H38" s="26">
        <v>0</v>
      </c>
      <c r="I38" s="1"/>
      <c r="J38" s="24" t="s">
        <v>81</v>
      </c>
      <c r="K38" s="25"/>
      <c r="L38" s="26">
        <v>0</v>
      </c>
      <c r="M38" s="1"/>
      <c r="N38" s="24" t="s">
        <v>81</v>
      </c>
      <c r="O38" s="25"/>
      <c r="P38" s="26">
        <v>0</v>
      </c>
      <c r="Q38" s="1"/>
      <c r="R38" s="24" t="s">
        <v>81</v>
      </c>
      <c r="S38" s="25"/>
      <c r="T38" s="26">
        <v>0</v>
      </c>
      <c r="U38" s="1"/>
      <c r="V38" s="1"/>
      <c r="W38" s="24" t="s">
        <v>81</v>
      </c>
      <c r="X38" s="25"/>
      <c r="Y38" s="26"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69" t="s">
        <v>72</v>
      </c>
      <c r="AK38" s="171" t="s">
        <v>209</v>
      </c>
      <c r="AL38" s="152" t="s">
        <v>190</v>
      </c>
      <c r="AM38" s="154">
        <v>14442</v>
      </c>
    </row>
    <row r="39" spans="2:39" x14ac:dyDescent="0.25">
      <c r="AJ39" s="152" t="s">
        <v>70</v>
      </c>
      <c r="AK39" s="171" t="s">
        <v>210</v>
      </c>
      <c r="AL39" s="152" t="s">
        <v>191</v>
      </c>
      <c r="AM39" s="154">
        <v>4647</v>
      </c>
    </row>
    <row r="40" spans="2:39" x14ac:dyDescent="0.25">
      <c r="AJ40" s="152" t="s">
        <v>59</v>
      </c>
      <c r="AK40" s="173" t="s">
        <v>211</v>
      </c>
      <c r="AL40" s="152" t="s">
        <v>181</v>
      </c>
      <c r="AM40" s="154">
        <v>6292</v>
      </c>
    </row>
    <row r="41" spans="2:39" x14ac:dyDescent="0.25">
      <c r="AJ41" s="152" t="s">
        <v>59</v>
      </c>
      <c r="AK41" s="173" t="s">
        <v>212</v>
      </c>
      <c r="AL41" s="152" t="s">
        <v>192</v>
      </c>
      <c r="AM41" s="154">
        <v>10102</v>
      </c>
    </row>
    <row r="42" spans="2:39" x14ac:dyDescent="0.25">
      <c r="AJ42" s="152" t="s">
        <v>72</v>
      </c>
      <c r="AK42" s="172" t="s">
        <v>213</v>
      </c>
      <c r="AL42" s="170" t="s">
        <v>193</v>
      </c>
      <c r="AM42" s="154">
        <v>17720</v>
      </c>
    </row>
    <row r="43" spans="2:39" x14ac:dyDescent="0.25">
      <c r="AJ43" s="152" t="s">
        <v>139</v>
      </c>
      <c r="AK43" s="173" t="s">
        <v>214</v>
      </c>
      <c r="AL43" s="152" t="s">
        <v>185</v>
      </c>
      <c r="AM43" s="154">
        <v>4500</v>
      </c>
    </row>
    <row r="44" spans="2:39" x14ac:dyDescent="0.25">
      <c r="AJ44" s="152" t="s">
        <v>59</v>
      </c>
      <c r="AK44" s="172" t="s">
        <v>215</v>
      </c>
      <c r="AL44" s="170" t="s">
        <v>146</v>
      </c>
      <c r="AM44" s="154">
        <v>5740</v>
      </c>
    </row>
    <row r="45" spans="2:39" ht="15.75" thickBot="1" x14ac:dyDescent="0.3">
      <c r="AJ45" s="64" t="s">
        <v>74</v>
      </c>
      <c r="AK45" s="64"/>
      <c r="AL45" s="64"/>
      <c r="AM45" s="175">
        <f>SUM(AM23:AM44)</f>
        <v>451211</v>
      </c>
    </row>
    <row r="46" spans="2:39" ht="15.75" thickTop="1" x14ac:dyDescent="0.25"/>
  </sheetData>
  <mergeCells count="25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AE5:AI5"/>
    <mergeCell ref="B15:C15"/>
    <mergeCell ref="F15:G15"/>
    <mergeCell ref="J15:K15"/>
    <mergeCell ref="N15:O15"/>
    <mergeCell ref="R15:S15"/>
    <mergeCell ref="W15:X15"/>
    <mergeCell ref="W3:Y3"/>
    <mergeCell ref="B3:D3"/>
    <mergeCell ref="F3:H3"/>
    <mergeCell ref="J3:L3"/>
    <mergeCell ref="N3:P3"/>
    <mergeCell ref="R3:T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O46"/>
  <sheetViews>
    <sheetView topLeftCell="D1" zoomScale="80" zoomScaleNormal="80" workbookViewId="0">
      <selection activeCell="AF27" sqref="AF27"/>
    </sheetView>
  </sheetViews>
  <sheetFormatPr defaultRowHeight="15" x14ac:dyDescent="0.25"/>
  <cols>
    <col min="1" max="4" width="9.140625" style="85"/>
    <col min="5" max="5" width="1.140625" style="85" customWidth="1"/>
    <col min="6" max="6" width="12.7109375" style="85" customWidth="1"/>
    <col min="7" max="7" width="14.7109375" style="85" customWidth="1"/>
    <col min="8" max="8" width="9.140625" style="85"/>
    <col min="9" max="9" width="2" style="85" customWidth="1"/>
    <col min="10" max="10" width="12" style="85" customWidth="1"/>
    <col min="11" max="11" width="14.28515625" style="85" customWidth="1"/>
    <col min="12" max="12" width="9.5703125" style="85" bestFit="1" customWidth="1"/>
    <col min="13" max="13" width="2.85546875" style="85" customWidth="1"/>
    <col min="14" max="14" width="12" style="85" customWidth="1"/>
    <col min="15" max="15" width="13.85546875" style="85" customWidth="1"/>
    <col min="16" max="16" width="9.140625" style="85"/>
    <col min="17" max="17" width="3" style="85" customWidth="1"/>
    <col min="18" max="20" width="9.140625" style="85"/>
    <col min="21" max="21" width="2" style="85" customWidth="1"/>
    <col min="22" max="22" width="1.85546875" style="85" customWidth="1"/>
    <col min="23" max="24" width="9.140625" style="85"/>
    <col min="25" max="25" width="12.85546875" style="85" bestFit="1" customWidth="1"/>
    <col min="26" max="26" width="1.85546875" style="85" customWidth="1"/>
    <col min="27" max="27" width="9.140625" style="85"/>
    <col min="28" max="28" width="11.28515625" style="85" bestFit="1" customWidth="1"/>
    <col min="29" max="29" width="9.5703125" style="85" bestFit="1" customWidth="1"/>
    <col min="30" max="30" width="24.85546875" style="85" bestFit="1" customWidth="1"/>
    <col min="31" max="31" width="12.5703125" style="85" customWidth="1"/>
    <col min="32" max="32" width="11.5703125" style="85" customWidth="1"/>
    <col min="33" max="33" width="17.140625" style="85" bestFit="1" customWidth="1"/>
    <col min="34" max="35" width="9.140625" style="85"/>
    <col min="36" max="36" width="14.7109375" style="85" customWidth="1"/>
    <col min="37" max="37" width="16.42578125" style="85" customWidth="1"/>
    <col min="38" max="38" width="15.140625" style="85" customWidth="1"/>
    <col min="39" max="39" width="9.5703125" style="85" bestFit="1" customWidth="1"/>
    <col min="40" max="16384" width="9.140625" style="85"/>
  </cols>
  <sheetData>
    <row r="3" spans="2:39" x14ac:dyDescent="0.25">
      <c r="B3" s="240" t="s">
        <v>0</v>
      </c>
      <c r="C3" s="240"/>
      <c r="D3" s="240"/>
      <c r="F3" s="240" t="s">
        <v>1</v>
      </c>
      <c r="G3" s="240"/>
      <c r="H3" s="240"/>
      <c r="J3" s="240" t="s">
        <v>2</v>
      </c>
      <c r="K3" s="240"/>
      <c r="L3" s="240"/>
      <c r="N3" s="240" t="s">
        <v>3</v>
      </c>
      <c r="O3" s="240"/>
      <c r="P3" s="240"/>
      <c r="R3" s="240" t="s">
        <v>4</v>
      </c>
      <c r="S3" s="240"/>
      <c r="T3" s="240"/>
      <c r="V3" s="96"/>
      <c r="W3" s="239" t="s">
        <v>5</v>
      </c>
      <c r="X3" s="239"/>
      <c r="Y3" s="239"/>
      <c r="Z3" s="97"/>
    </row>
    <row r="4" spans="2:39" x14ac:dyDescent="0.25">
      <c r="B4" s="88" t="s">
        <v>6</v>
      </c>
      <c r="C4" s="88" t="s">
        <v>7</v>
      </c>
      <c r="D4" s="88" t="s">
        <v>8</v>
      </c>
      <c r="F4" s="88" t="s">
        <v>6</v>
      </c>
      <c r="G4" s="88" t="s">
        <v>7</v>
      </c>
      <c r="H4" s="88" t="s">
        <v>8</v>
      </c>
      <c r="J4" s="88" t="s">
        <v>6</v>
      </c>
      <c r="K4" s="88" t="s">
        <v>7</v>
      </c>
      <c r="L4" s="88" t="s">
        <v>8</v>
      </c>
      <c r="N4" s="88" t="s">
        <v>6</v>
      </c>
      <c r="O4" s="88" t="s">
        <v>7</v>
      </c>
      <c r="P4" s="88" t="s">
        <v>8</v>
      </c>
      <c r="R4" s="88" t="s">
        <v>6</v>
      </c>
      <c r="S4" s="88" t="s">
        <v>7</v>
      </c>
      <c r="T4" s="88" t="s">
        <v>8</v>
      </c>
      <c r="V4" s="96"/>
      <c r="W4" s="98" t="s">
        <v>6</v>
      </c>
      <c r="X4" s="98" t="s">
        <v>7</v>
      </c>
      <c r="Y4" s="98" t="s">
        <v>8</v>
      </c>
      <c r="Z4" s="97"/>
    </row>
    <row r="5" spans="2:39" ht="15.75" thickBot="1" x14ac:dyDescent="0.3">
      <c r="B5" s="113">
        <v>1</v>
      </c>
      <c r="C5" s="113"/>
      <c r="D5" s="120">
        <f>C5*B5</f>
        <v>0</v>
      </c>
      <c r="E5" s="110"/>
      <c r="F5" s="113">
        <v>1</v>
      </c>
      <c r="G5" s="113"/>
      <c r="H5" s="120">
        <f>G5*F5</f>
        <v>0</v>
      </c>
      <c r="I5" s="110"/>
      <c r="J5" s="113">
        <v>1</v>
      </c>
      <c r="K5" s="113">
        <v>7</v>
      </c>
      <c r="L5" s="120">
        <f>K5*J5</f>
        <v>7</v>
      </c>
      <c r="M5" s="110"/>
      <c r="N5" s="113">
        <v>1</v>
      </c>
      <c r="O5" s="113"/>
      <c r="P5" s="120">
        <f>O5*N5</f>
        <v>0</v>
      </c>
      <c r="Q5" s="110"/>
      <c r="R5" s="113">
        <v>1</v>
      </c>
      <c r="S5" s="113"/>
      <c r="T5" s="120">
        <f>S5*R5</f>
        <v>0</v>
      </c>
      <c r="U5" s="110"/>
      <c r="V5" s="111"/>
      <c r="W5" s="122">
        <v>1</v>
      </c>
      <c r="X5" s="123">
        <f>S5+O5+K5+G5+C5</f>
        <v>7</v>
      </c>
      <c r="Y5" s="121">
        <f>T5+P5+L5+H5+D5</f>
        <v>7</v>
      </c>
      <c r="Z5" s="112"/>
      <c r="AA5" s="110"/>
      <c r="AE5" s="241" t="s">
        <v>9</v>
      </c>
      <c r="AF5" s="241"/>
      <c r="AG5" s="241"/>
      <c r="AH5" s="241"/>
      <c r="AI5" s="241"/>
      <c r="AJ5" s="146"/>
    </row>
    <row r="6" spans="2:39" ht="15.75" thickTop="1" x14ac:dyDescent="0.25">
      <c r="B6" s="86">
        <v>10</v>
      </c>
      <c r="C6" s="86">
        <v>5</v>
      </c>
      <c r="D6" s="120">
        <f t="shared" ref="D6:D12" si="0">C6*B6</f>
        <v>50</v>
      </c>
      <c r="F6" s="86">
        <v>10</v>
      </c>
      <c r="G6" s="86">
        <v>423</v>
      </c>
      <c r="H6" s="120">
        <f t="shared" ref="H6:H12" si="1">G6*F6</f>
        <v>4230</v>
      </c>
      <c r="J6" s="86">
        <v>10</v>
      </c>
      <c r="K6" s="86">
        <v>45</v>
      </c>
      <c r="L6" s="120">
        <f t="shared" ref="L6:L12" si="2">K6*J6</f>
        <v>450</v>
      </c>
      <c r="N6" s="86">
        <v>10</v>
      </c>
      <c r="O6" s="86">
        <v>13</v>
      </c>
      <c r="P6" s="120">
        <f t="shared" ref="P6:P12" si="3">O6*N6</f>
        <v>130</v>
      </c>
      <c r="R6" s="86">
        <v>10</v>
      </c>
      <c r="S6" s="86"/>
      <c r="T6" s="120">
        <f t="shared" ref="T6:T12" si="4">S6*R6</f>
        <v>0</v>
      </c>
      <c r="V6" s="96"/>
      <c r="W6" s="123">
        <v>10</v>
      </c>
      <c r="X6" s="123">
        <f t="shared" ref="X6:Y12" si="5">S6+O6+K6+G6+C6</f>
        <v>486</v>
      </c>
      <c r="Y6" s="121">
        <f t="shared" si="5"/>
        <v>4860</v>
      </c>
      <c r="Z6" s="97"/>
      <c r="AB6" s="110"/>
      <c r="AC6" s="110"/>
      <c r="AD6" s="110"/>
      <c r="AK6" s="110"/>
      <c r="AL6" s="110"/>
      <c r="AM6" s="110"/>
    </row>
    <row r="7" spans="2:39" x14ac:dyDescent="0.25">
      <c r="B7" s="86">
        <v>20</v>
      </c>
      <c r="C7" s="86">
        <v>11</v>
      </c>
      <c r="D7" s="120">
        <f t="shared" si="0"/>
        <v>220</v>
      </c>
      <c r="F7" s="86">
        <v>20</v>
      </c>
      <c r="G7" s="86">
        <v>7</v>
      </c>
      <c r="H7" s="120">
        <f t="shared" si="1"/>
        <v>140</v>
      </c>
      <c r="J7" s="86">
        <v>20</v>
      </c>
      <c r="K7" s="86">
        <v>22</v>
      </c>
      <c r="L7" s="120">
        <f t="shared" si="2"/>
        <v>440</v>
      </c>
      <c r="N7" s="86">
        <v>20</v>
      </c>
      <c r="O7" s="86">
        <v>1</v>
      </c>
      <c r="P7" s="120">
        <f t="shared" si="3"/>
        <v>20</v>
      </c>
      <c r="R7" s="86">
        <v>20</v>
      </c>
      <c r="S7" s="86"/>
      <c r="T7" s="120">
        <f t="shared" si="4"/>
        <v>0</v>
      </c>
      <c r="V7" s="96"/>
      <c r="W7" s="123">
        <v>20</v>
      </c>
      <c r="X7" s="123">
        <f t="shared" si="5"/>
        <v>41</v>
      </c>
      <c r="Y7" s="121">
        <f t="shared" si="5"/>
        <v>820</v>
      </c>
      <c r="Z7" s="97"/>
      <c r="AE7" s="141" t="s">
        <v>10</v>
      </c>
      <c r="AF7" s="142">
        <f>Y13</f>
        <v>287587</v>
      </c>
      <c r="AG7" s="110"/>
      <c r="AH7" s="110"/>
      <c r="AI7" s="110"/>
      <c r="AJ7" s="110"/>
    </row>
    <row r="8" spans="2:39" x14ac:dyDescent="0.25">
      <c r="B8" s="86">
        <v>50</v>
      </c>
      <c r="C8" s="86">
        <v>3</v>
      </c>
      <c r="D8" s="120">
        <f t="shared" si="0"/>
        <v>150</v>
      </c>
      <c r="F8" s="86">
        <v>50</v>
      </c>
      <c r="G8" s="86">
        <v>15</v>
      </c>
      <c r="H8" s="120">
        <f t="shared" si="1"/>
        <v>750</v>
      </c>
      <c r="J8" s="86">
        <v>50</v>
      </c>
      <c r="K8" s="86">
        <v>78</v>
      </c>
      <c r="L8" s="120">
        <f t="shared" si="2"/>
        <v>3900</v>
      </c>
      <c r="N8" s="86">
        <v>50</v>
      </c>
      <c r="O8" s="86">
        <v>16</v>
      </c>
      <c r="P8" s="120">
        <f t="shared" si="3"/>
        <v>800</v>
      </c>
      <c r="R8" s="86">
        <v>50</v>
      </c>
      <c r="S8" s="86"/>
      <c r="T8" s="120">
        <f t="shared" si="4"/>
        <v>0</v>
      </c>
      <c r="V8" s="96"/>
      <c r="W8" s="123">
        <v>50</v>
      </c>
      <c r="X8" s="123">
        <f t="shared" si="5"/>
        <v>112</v>
      </c>
      <c r="Y8" s="121">
        <f t="shared" si="5"/>
        <v>5600</v>
      </c>
      <c r="Z8" s="97"/>
      <c r="AE8" s="138" t="s">
        <v>11</v>
      </c>
      <c r="AF8" s="138">
        <f>AF32</f>
        <v>292698</v>
      </c>
      <c r="AK8" s="88" t="s">
        <v>6</v>
      </c>
      <c r="AL8" s="88" t="s">
        <v>7</v>
      </c>
      <c r="AM8" s="88" t="s">
        <v>8</v>
      </c>
    </row>
    <row r="9" spans="2:39" ht="15.75" thickBot="1" x14ac:dyDescent="0.3">
      <c r="B9" s="86">
        <v>100</v>
      </c>
      <c r="C9" s="86"/>
      <c r="D9" s="120">
        <f t="shared" si="0"/>
        <v>0</v>
      </c>
      <c r="F9" s="86">
        <v>100</v>
      </c>
      <c r="G9" s="86">
        <v>70</v>
      </c>
      <c r="H9" s="120">
        <f t="shared" si="1"/>
        <v>7000</v>
      </c>
      <c r="J9" s="86">
        <v>100</v>
      </c>
      <c r="K9" s="86">
        <v>78</v>
      </c>
      <c r="L9" s="120">
        <f t="shared" si="2"/>
        <v>7800</v>
      </c>
      <c r="N9" s="86">
        <v>100</v>
      </c>
      <c r="O9" s="86">
        <v>20</v>
      </c>
      <c r="P9" s="120">
        <f t="shared" si="3"/>
        <v>2000</v>
      </c>
      <c r="R9" s="86">
        <v>100</v>
      </c>
      <c r="S9" s="86"/>
      <c r="T9" s="120">
        <f t="shared" si="4"/>
        <v>0</v>
      </c>
      <c r="V9" s="96"/>
      <c r="W9" s="123">
        <v>100</v>
      </c>
      <c r="X9" s="123">
        <f t="shared" si="5"/>
        <v>168</v>
      </c>
      <c r="Y9" s="121">
        <f t="shared" si="5"/>
        <v>16800</v>
      </c>
      <c r="Z9" s="97"/>
      <c r="AE9" s="143" t="s">
        <v>12</v>
      </c>
      <c r="AF9" s="144">
        <f>AF8+AF7</f>
        <v>580285</v>
      </c>
      <c r="AK9" s="113">
        <v>1</v>
      </c>
      <c r="AL9" s="113"/>
      <c r="AM9" s="120">
        <f>AL9*AK9</f>
        <v>0</v>
      </c>
    </row>
    <row r="10" spans="2:39" x14ac:dyDescent="0.25">
      <c r="B10" s="86">
        <v>500</v>
      </c>
      <c r="C10" s="86">
        <v>36</v>
      </c>
      <c r="D10" s="120">
        <f t="shared" si="0"/>
        <v>18000</v>
      </c>
      <c r="F10" s="86">
        <v>500</v>
      </c>
      <c r="G10" s="86">
        <v>42</v>
      </c>
      <c r="H10" s="120">
        <f t="shared" si="1"/>
        <v>21000</v>
      </c>
      <c r="J10" s="86">
        <v>500</v>
      </c>
      <c r="K10" s="86">
        <v>26</v>
      </c>
      <c r="L10" s="120">
        <f t="shared" si="2"/>
        <v>13000</v>
      </c>
      <c r="N10" s="86">
        <v>500</v>
      </c>
      <c r="O10" s="86">
        <v>31</v>
      </c>
      <c r="P10" s="120">
        <f t="shared" si="3"/>
        <v>15500</v>
      </c>
      <c r="R10" s="86">
        <v>500</v>
      </c>
      <c r="S10" s="86"/>
      <c r="T10" s="120">
        <f t="shared" si="4"/>
        <v>0</v>
      </c>
      <c r="V10" s="96"/>
      <c r="W10" s="123">
        <v>500</v>
      </c>
      <c r="X10" s="123">
        <f t="shared" si="5"/>
        <v>135</v>
      </c>
      <c r="Y10" s="121">
        <f t="shared" si="5"/>
        <v>67500</v>
      </c>
      <c r="Z10" s="97"/>
      <c r="AK10" s="86">
        <v>10</v>
      </c>
      <c r="AL10" s="86">
        <v>489</v>
      </c>
      <c r="AM10" s="120">
        <f t="shared" ref="AM10:AM16" si="6">AL10*AK10</f>
        <v>4890</v>
      </c>
    </row>
    <row r="11" spans="2:39" x14ac:dyDescent="0.25">
      <c r="B11" s="86">
        <v>1000</v>
      </c>
      <c r="C11" s="86">
        <v>13</v>
      </c>
      <c r="D11" s="120">
        <f t="shared" si="0"/>
        <v>13000</v>
      </c>
      <c r="F11" s="86">
        <v>1000</v>
      </c>
      <c r="G11" s="86">
        <v>41</v>
      </c>
      <c r="H11" s="120">
        <f t="shared" si="1"/>
        <v>41000</v>
      </c>
      <c r="J11" s="86">
        <v>1000</v>
      </c>
      <c r="K11" s="86">
        <v>48</v>
      </c>
      <c r="L11" s="120">
        <f t="shared" si="2"/>
        <v>48000</v>
      </c>
      <c r="N11" s="86">
        <v>1000</v>
      </c>
      <c r="O11" s="86">
        <v>30</v>
      </c>
      <c r="P11" s="120">
        <f t="shared" si="3"/>
        <v>30000</v>
      </c>
      <c r="R11" s="86">
        <v>1000</v>
      </c>
      <c r="S11" s="86"/>
      <c r="T11" s="120">
        <f t="shared" si="4"/>
        <v>0</v>
      </c>
      <c r="V11" s="96"/>
      <c r="W11" s="123">
        <v>1000</v>
      </c>
      <c r="X11" s="123">
        <f t="shared" si="5"/>
        <v>132</v>
      </c>
      <c r="Y11" s="121">
        <f t="shared" si="5"/>
        <v>132000</v>
      </c>
      <c r="Z11" s="97"/>
      <c r="AE11" s="132" t="s">
        <v>13</v>
      </c>
      <c r="AF11" s="132" t="s">
        <v>8</v>
      </c>
      <c r="AG11" s="132" t="s">
        <v>14</v>
      </c>
      <c r="AH11" s="132" t="s">
        <v>15</v>
      </c>
      <c r="AI11" s="132" t="s">
        <v>16</v>
      </c>
      <c r="AJ11" s="132"/>
      <c r="AK11" s="86">
        <v>20</v>
      </c>
      <c r="AL11" s="86">
        <v>43</v>
      </c>
      <c r="AM11" s="120">
        <f t="shared" si="6"/>
        <v>860</v>
      </c>
    </row>
    <row r="12" spans="2:39" x14ac:dyDescent="0.25">
      <c r="B12" s="86">
        <v>5000</v>
      </c>
      <c r="C12" s="86">
        <v>5</v>
      </c>
      <c r="D12" s="120">
        <f t="shared" si="0"/>
        <v>25000</v>
      </c>
      <c r="F12" s="86">
        <v>5000</v>
      </c>
      <c r="G12" s="86">
        <v>5</v>
      </c>
      <c r="H12" s="120">
        <f t="shared" si="1"/>
        <v>25000</v>
      </c>
      <c r="J12" s="86">
        <v>5000</v>
      </c>
      <c r="K12" s="86">
        <v>2</v>
      </c>
      <c r="L12" s="120">
        <f t="shared" si="2"/>
        <v>10000</v>
      </c>
      <c r="N12" s="86">
        <v>5000</v>
      </c>
      <c r="O12" s="86"/>
      <c r="P12" s="120">
        <f t="shared" si="3"/>
        <v>0</v>
      </c>
      <c r="R12" s="86">
        <v>5000</v>
      </c>
      <c r="S12" s="86"/>
      <c r="T12" s="120">
        <f t="shared" si="4"/>
        <v>0</v>
      </c>
      <c r="V12" s="96"/>
      <c r="W12" s="123">
        <v>5000</v>
      </c>
      <c r="X12" s="123">
        <f t="shared" si="5"/>
        <v>12</v>
      </c>
      <c r="Y12" s="121">
        <f t="shared" si="5"/>
        <v>60000</v>
      </c>
      <c r="Z12" s="97"/>
      <c r="AE12" s="85" t="s">
        <v>17</v>
      </c>
      <c r="AF12" s="89">
        <v>575360</v>
      </c>
      <c r="AH12" s="137"/>
      <c r="AK12" s="86">
        <v>50</v>
      </c>
      <c r="AL12" s="86">
        <v>144</v>
      </c>
      <c r="AM12" s="120">
        <f t="shared" si="6"/>
        <v>7200</v>
      </c>
    </row>
    <row r="13" spans="2:39" ht="15.75" thickBot="1" x14ac:dyDescent="0.3">
      <c r="B13" s="87" t="s">
        <v>18</v>
      </c>
      <c r="C13" s="87"/>
      <c r="D13" s="90">
        <f>SUM(D5:D12)</f>
        <v>56420</v>
      </c>
      <c r="F13" s="87" t="s">
        <v>18</v>
      </c>
      <c r="G13" s="87"/>
      <c r="H13" s="90">
        <f>SUM(H5:H12)</f>
        <v>99120</v>
      </c>
      <c r="J13" s="87" t="s">
        <v>18</v>
      </c>
      <c r="K13" s="87"/>
      <c r="L13" s="90">
        <f>SUM(L5:L12)</f>
        <v>83597</v>
      </c>
      <c r="N13" s="87" t="s">
        <v>18</v>
      </c>
      <c r="O13" s="87"/>
      <c r="P13" s="90">
        <f>SUM(P5:P12)</f>
        <v>48450</v>
      </c>
      <c r="R13" s="87" t="s">
        <v>18</v>
      </c>
      <c r="S13" s="87"/>
      <c r="T13" s="90">
        <f>SUM(T5:T12)</f>
        <v>0</v>
      </c>
      <c r="V13" s="96"/>
      <c r="W13" s="87" t="s">
        <v>18</v>
      </c>
      <c r="X13" s="87"/>
      <c r="Y13" s="90">
        <f>SUM(Y5:Y12)</f>
        <v>287587</v>
      </c>
      <c r="Z13" s="97"/>
      <c r="AE13" s="85" t="s">
        <v>19</v>
      </c>
      <c r="AF13" s="89">
        <v>4890</v>
      </c>
      <c r="AK13" s="86">
        <v>100</v>
      </c>
      <c r="AL13" s="86">
        <v>188</v>
      </c>
      <c r="AM13" s="120">
        <f t="shared" si="6"/>
        <v>18800</v>
      </c>
    </row>
    <row r="14" spans="2:39" ht="15.75" thickBot="1" x14ac:dyDescent="0.3">
      <c r="V14" s="96"/>
      <c r="W14" s="100"/>
      <c r="X14" s="100"/>
      <c r="Y14" s="100"/>
      <c r="Z14" s="97"/>
      <c r="AE14" s="85" t="s">
        <v>20</v>
      </c>
      <c r="AF14" s="89"/>
      <c r="AK14" s="86">
        <v>500</v>
      </c>
      <c r="AL14" s="86">
        <v>303</v>
      </c>
      <c r="AM14" s="120">
        <f t="shared" si="6"/>
        <v>151500</v>
      </c>
    </row>
    <row r="15" spans="2:39" ht="15.75" thickBot="1" x14ac:dyDescent="0.3">
      <c r="B15" s="242" t="s">
        <v>21</v>
      </c>
      <c r="C15" s="243"/>
      <c r="D15" s="92">
        <v>56230</v>
      </c>
      <c r="E15" s="114"/>
      <c r="F15" s="242" t="s">
        <v>21</v>
      </c>
      <c r="G15" s="243"/>
      <c r="H15" s="92">
        <v>99109</v>
      </c>
      <c r="I15" s="114"/>
      <c r="J15" s="242" t="s">
        <v>21</v>
      </c>
      <c r="K15" s="243"/>
      <c r="L15" s="92">
        <v>103955</v>
      </c>
      <c r="M15" s="114"/>
      <c r="N15" s="242" t="s">
        <v>21</v>
      </c>
      <c r="O15" s="243"/>
      <c r="P15" s="92">
        <v>72451</v>
      </c>
      <c r="Q15" s="114"/>
      <c r="R15" s="242" t="s">
        <v>21</v>
      </c>
      <c r="S15" s="243"/>
      <c r="T15" s="92"/>
      <c r="U15" s="114"/>
      <c r="V15" s="115"/>
      <c r="W15" s="242" t="s">
        <v>21</v>
      </c>
      <c r="X15" s="243"/>
      <c r="Y15" s="92">
        <f>+D15+H15+L15+P15+T15</f>
        <v>331745</v>
      </c>
      <c r="Z15" s="116"/>
      <c r="AA15" s="114"/>
      <c r="AE15" s="85" t="s">
        <v>22</v>
      </c>
      <c r="AF15" s="89"/>
      <c r="AK15" s="86">
        <v>1000</v>
      </c>
      <c r="AL15" s="86">
        <v>322</v>
      </c>
      <c r="AM15" s="120">
        <f t="shared" si="6"/>
        <v>322000</v>
      </c>
    </row>
    <row r="16" spans="2:39" x14ac:dyDescent="0.25">
      <c r="B16" s="85" t="s">
        <v>10</v>
      </c>
      <c r="D16" s="89">
        <f>D13</f>
        <v>56420</v>
      </c>
      <c r="F16" s="85" t="s">
        <v>10</v>
      </c>
      <c r="H16" s="89">
        <f>H13</f>
        <v>99120</v>
      </c>
      <c r="J16" s="85" t="s">
        <v>10</v>
      </c>
      <c r="L16" s="89">
        <f>L13</f>
        <v>83597</v>
      </c>
      <c r="N16" s="85" t="s">
        <v>10</v>
      </c>
      <c r="P16" s="89">
        <f>P13</f>
        <v>48450</v>
      </c>
      <c r="R16" s="85" t="s">
        <v>10</v>
      </c>
      <c r="T16" s="89">
        <f>T13</f>
        <v>0</v>
      </c>
      <c r="V16" s="96"/>
      <c r="W16" s="124" t="s">
        <v>10</v>
      </c>
      <c r="X16" s="124"/>
      <c r="Y16" s="121">
        <f>+D16+H16+L16+P16+T16</f>
        <v>287587</v>
      </c>
      <c r="Z16" s="97"/>
      <c r="AB16" s="114"/>
      <c r="AC16" s="114"/>
      <c r="AD16" s="114"/>
      <c r="AE16" s="85" t="s">
        <v>23</v>
      </c>
      <c r="AF16" s="89"/>
      <c r="AK16" s="86">
        <v>5000</v>
      </c>
      <c r="AL16" s="86">
        <v>15</v>
      </c>
      <c r="AM16" s="120">
        <f t="shared" si="6"/>
        <v>75000</v>
      </c>
    </row>
    <row r="17" spans="2:41" ht="15.75" thickBot="1" x14ac:dyDescent="0.3">
      <c r="B17" s="85" t="s">
        <v>17</v>
      </c>
      <c r="D17" s="89"/>
      <c r="F17" s="85" t="s">
        <v>17</v>
      </c>
      <c r="H17" s="89"/>
      <c r="J17" s="85" t="s">
        <v>17</v>
      </c>
      <c r="L17" s="89"/>
      <c r="N17" s="85" t="s">
        <v>17</v>
      </c>
      <c r="P17" s="89"/>
      <c r="R17" s="85" t="s">
        <v>17</v>
      </c>
      <c r="T17" s="89"/>
      <c r="V17" s="96"/>
      <c r="W17" s="124" t="s">
        <v>17</v>
      </c>
      <c r="X17" s="124"/>
      <c r="Y17" s="121">
        <f t="shared" ref="Y17:Y26" si="7">+D17+H17+L17+P17+T17</f>
        <v>0</v>
      </c>
      <c r="Z17" s="97"/>
      <c r="AE17" s="133" t="s">
        <v>12</v>
      </c>
      <c r="AF17" s="134">
        <f>SUM(AF12:AF16)</f>
        <v>580250</v>
      </c>
      <c r="AG17" s="160"/>
      <c r="AK17" s="87" t="s">
        <v>18</v>
      </c>
      <c r="AL17" s="87"/>
      <c r="AM17" s="90">
        <f>SUM(AM9:AM16)</f>
        <v>580250</v>
      </c>
      <c r="AO17" s="160"/>
    </row>
    <row r="18" spans="2:41" x14ac:dyDescent="0.25">
      <c r="B18" s="85" t="s">
        <v>27</v>
      </c>
      <c r="D18" s="89"/>
      <c r="F18" s="85" t="s">
        <v>34</v>
      </c>
      <c r="H18" s="89"/>
      <c r="J18" s="85" t="s">
        <v>226</v>
      </c>
      <c r="K18" s="85" t="s">
        <v>237</v>
      </c>
      <c r="L18" s="89">
        <v>6258</v>
      </c>
      <c r="N18" s="85" t="s">
        <v>226</v>
      </c>
      <c r="O18" s="85" t="s">
        <v>227</v>
      </c>
      <c r="P18" s="89">
        <v>9582</v>
      </c>
      <c r="R18" s="85" t="s">
        <v>27</v>
      </c>
      <c r="T18" s="89"/>
      <c r="V18" s="96"/>
      <c r="W18" s="124" t="s">
        <v>26</v>
      </c>
      <c r="X18" s="124"/>
      <c r="Y18" s="121">
        <f t="shared" si="7"/>
        <v>15840</v>
      </c>
      <c r="Z18" s="97"/>
      <c r="AE18" s="135" t="s">
        <v>32</v>
      </c>
      <c r="AF18" s="136">
        <f>AF9-AF17</f>
        <v>35</v>
      </c>
      <c r="AG18" s="85" t="s">
        <v>33</v>
      </c>
    </row>
    <row r="19" spans="2:41" x14ac:dyDescent="0.25">
      <c r="B19" s="85" t="s">
        <v>34</v>
      </c>
      <c r="D19" s="89"/>
      <c r="F19" s="85" t="s">
        <v>34</v>
      </c>
      <c r="H19" s="89"/>
      <c r="J19" s="85" t="s">
        <v>226</v>
      </c>
      <c r="K19" s="85" t="s">
        <v>238</v>
      </c>
      <c r="L19" s="89">
        <v>5300</v>
      </c>
      <c r="N19" s="85" t="s">
        <v>226</v>
      </c>
      <c r="O19" s="85" t="s">
        <v>228</v>
      </c>
      <c r="P19" s="89">
        <v>5140</v>
      </c>
      <c r="R19" s="85" t="s">
        <v>27</v>
      </c>
      <c r="T19" s="89"/>
      <c r="V19" s="96"/>
      <c r="W19" s="124" t="s">
        <v>34</v>
      </c>
      <c r="X19" s="124"/>
      <c r="Y19" s="121">
        <f t="shared" si="7"/>
        <v>10440</v>
      </c>
      <c r="Z19" s="97"/>
    </row>
    <row r="20" spans="2:41" x14ac:dyDescent="0.25">
      <c r="B20" s="85" t="s">
        <v>36</v>
      </c>
      <c r="D20" s="89"/>
      <c r="F20" s="85" t="s">
        <v>36</v>
      </c>
      <c r="H20" s="89"/>
      <c r="J20" s="85" t="s">
        <v>89</v>
      </c>
      <c r="K20" s="85" t="s">
        <v>239</v>
      </c>
      <c r="L20" s="89">
        <v>8800</v>
      </c>
      <c r="N20" s="85" t="s">
        <v>226</v>
      </c>
      <c r="O20" s="85" t="s">
        <v>229</v>
      </c>
      <c r="P20" s="89">
        <v>6600</v>
      </c>
      <c r="R20" s="85" t="s">
        <v>27</v>
      </c>
      <c r="T20" s="89"/>
      <c r="V20" s="96"/>
      <c r="W20" s="124" t="s">
        <v>36</v>
      </c>
      <c r="X20" s="124"/>
      <c r="Y20" s="121">
        <f>+D20+H20+L20+P20+T20</f>
        <v>15400</v>
      </c>
      <c r="Z20" s="97"/>
    </row>
    <row r="21" spans="2:41" x14ac:dyDescent="0.25">
      <c r="D21" s="89"/>
      <c r="H21" s="89"/>
      <c r="L21" s="89"/>
      <c r="P21" s="89"/>
      <c r="R21" s="85" t="s">
        <v>27</v>
      </c>
      <c r="T21" s="89"/>
      <c r="V21" s="96"/>
      <c r="W21" s="124"/>
      <c r="X21" s="124"/>
      <c r="Y21" s="121">
        <f t="shared" si="7"/>
        <v>0</v>
      </c>
      <c r="Z21" s="97"/>
      <c r="AB21" s="139" t="s">
        <v>37</v>
      </c>
      <c r="AC21" s="139"/>
      <c r="AD21" s="139"/>
      <c r="AE21" s="114"/>
      <c r="AJ21" s="139" t="s">
        <v>38</v>
      </c>
      <c r="AK21" s="139"/>
      <c r="AL21" s="139"/>
      <c r="AM21" s="147"/>
    </row>
    <row r="22" spans="2:41" x14ac:dyDescent="0.25">
      <c r="D22" s="89"/>
      <c r="H22" s="89"/>
      <c r="L22" s="89"/>
      <c r="P22" s="89"/>
      <c r="R22" s="85" t="s">
        <v>27</v>
      </c>
      <c r="T22" s="89"/>
      <c r="V22" s="96"/>
      <c r="W22" s="124"/>
      <c r="X22" s="124"/>
      <c r="Y22" s="121">
        <f t="shared" si="7"/>
        <v>0</v>
      </c>
      <c r="Z22" s="97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J22" s="132" t="s">
        <v>41</v>
      </c>
      <c r="AK22" s="132" t="s">
        <v>45</v>
      </c>
      <c r="AL22" s="132" t="s">
        <v>43</v>
      </c>
      <c r="AM22" s="132" t="s">
        <v>8</v>
      </c>
    </row>
    <row r="23" spans="2:41" x14ac:dyDescent="0.25">
      <c r="B23" s="85" t="s">
        <v>46</v>
      </c>
      <c r="D23" s="89"/>
      <c r="F23" s="85" t="s">
        <v>240</v>
      </c>
      <c r="H23" s="89"/>
      <c r="J23" s="85" t="s">
        <v>46</v>
      </c>
      <c r="L23" s="89"/>
      <c r="N23" s="85" t="s">
        <v>224</v>
      </c>
      <c r="O23" s="85" t="s">
        <v>225</v>
      </c>
      <c r="P23" s="89">
        <v>3186</v>
      </c>
      <c r="R23" s="85" t="s">
        <v>46</v>
      </c>
      <c r="T23" s="89"/>
      <c r="V23" s="96"/>
      <c r="W23" s="125" t="s">
        <v>46</v>
      </c>
      <c r="X23" s="124"/>
      <c r="Y23" s="121">
        <f t="shared" si="7"/>
        <v>3186</v>
      </c>
      <c r="Z23" s="97"/>
      <c r="AB23" s="100" t="s">
        <v>59</v>
      </c>
      <c r="AC23" s="167">
        <v>45863</v>
      </c>
      <c r="AD23" s="166" t="s">
        <v>222</v>
      </c>
      <c r="AE23" s="100"/>
      <c r="AF23" s="149">
        <v>15796</v>
      </c>
      <c r="AJ23" s="152"/>
      <c r="AK23" s="152"/>
      <c r="AL23" s="152"/>
      <c r="AM23" s="174"/>
    </row>
    <row r="24" spans="2:41" x14ac:dyDescent="0.25">
      <c r="B24" s="85" t="s">
        <v>54</v>
      </c>
      <c r="D24" s="89"/>
      <c r="F24" s="85" t="s">
        <v>240</v>
      </c>
      <c r="H24" s="89"/>
      <c r="J24" s="85" t="s">
        <v>54</v>
      </c>
      <c r="L24" s="89"/>
      <c r="N24" s="85" t="s">
        <v>54</v>
      </c>
      <c r="P24" s="89"/>
      <c r="R24" s="85" t="s">
        <v>54</v>
      </c>
      <c r="T24" s="89"/>
      <c r="V24" s="96"/>
      <c r="W24" s="125" t="s">
        <v>54</v>
      </c>
      <c r="X24" s="124"/>
      <c r="Y24" s="121">
        <f t="shared" si="7"/>
        <v>0</v>
      </c>
      <c r="Z24" s="97"/>
      <c r="AB24" s="104" t="s">
        <v>72</v>
      </c>
      <c r="AC24" s="167">
        <v>45862</v>
      </c>
      <c r="AD24" s="166" t="s">
        <v>230</v>
      </c>
      <c r="AE24" s="100"/>
      <c r="AF24" s="149">
        <v>56307</v>
      </c>
      <c r="AJ24" s="152"/>
      <c r="AK24" s="152"/>
      <c r="AL24" s="152"/>
      <c r="AM24" s="174"/>
    </row>
    <row r="25" spans="2:41" x14ac:dyDescent="0.25">
      <c r="B25" s="85" t="s">
        <v>61</v>
      </c>
      <c r="D25" s="89"/>
      <c r="F25" s="85" t="s">
        <v>61</v>
      </c>
      <c r="H25" s="89"/>
      <c r="J25" s="85" t="s">
        <v>61</v>
      </c>
      <c r="L25" s="89"/>
      <c r="N25" s="85" t="s">
        <v>61</v>
      </c>
      <c r="P25" s="89"/>
      <c r="R25" s="85" t="s">
        <v>61</v>
      </c>
      <c r="T25" s="89"/>
      <c r="V25" s="96"/>
      <c r="W25" s="125" t="s">
        <v>61</v>
      </c>
      <c r="X25" s="124"/>
      <c r="Y25" s="121">
        <f t="shared" si="7"/>
        <v>0</v>
      </c>
      <c r="Z25" s="97"/>
      <c r="AB25" s="104" t="s">
        <v>72</v>
      </c>
      <c r="AC25" s="167">
        <v>45862</v>
      </c>
      <c r="AD25" s="166" t="s">
        <v>231</v>
      </c>
      <c r="AE25" s="100"/>
      <c r="AF25" s="149">
        <v>20946</v>
      </c>
      <c r="AJ25" s="152"/>
      <c r="AK25" s="152"/>
      <c r="AL25" s="152"/>
      <c r="AM25" s="174"/>
    </row>
    <row r="26" spans="2:41" x14ac:dyDescent="0.25">
      <c r="D26" s="89"/>
      <c r="H26" s="89"/>
      <c r="L26" s="89"/>
      <c r="P26" s="89"/>
      <c r="V26" s="96"/>
      <c r="W26" s="124"/>
      <c r="X26" s="124"/>
      <c r="Y26" s="121">
        <f t="shared" si="7"/>
        <v>0</v>
      </c>
      <c r="Z26" s="97"/>
      <c r="AB26" s="104" t="s">
        <v>72</v>
      </c>
      <c r="AC26" s="167">
        <v>45873</v>
      </c>
      <c r="AD26" s="166" t="s">
        <v>232</v>
      </c>
      <c r="AE26" s="100"/>
      <c r="AF26" s="148">
        <v>15409</v>
      </c>
      <c r="AJ26" s="152"/>
      <c r="AK26" s="152"/>
      <c r="AL26" s="152"/>
      <c r="AM26" s="154"/>
    </row>
    <row r="27" spans="2:41" ht="15.75" thickBot="1" x14ac:dyDescent="0.3">
      <c r="D27" s="89"/>
      <c r="H27" s="89"/>
      <c r="L27" s="89"/>
      <c r="P27" s="89"/>
      <c r="T27" s="89"/>
      <c r="V27" s="96"/>
      <c r="W27" s="124"/>
      <c r="X27" s="124"/>
      <c r="Y27" s="121">
        <v>0</v>
      </c>
      <c r="Z27" s="97"/>
      <c r="AB27" s="104" t="s">
        <v>72</v>
      </c>
      <c r="AC27" s="178">
        <v>45871</v>
      </c>
      <c r="AD27" s="166" t="s">
        <v>234</v>
      </c>
      <c r="AE27" s="100"/>
      <c r="AF27" s="149">
        <v>88930</v>
      </c>
      <c r="AJ27" s="152"/>
      <c r="AK27" s="152"/>
      <c r="AL27" s="152"/>
      <c r="AM27" s="169"/>
    </row>
    <row r="28" spans="2:41" ht="15.75" thickBot="1" x14ac:dyDescent="0.3">
      <c r="B28" s="235" t="s">
        <v>12</v>
      </c>
      <c r="C28" s="236"/>
      <c r="D28" s="93">
        <f>SUM(D16:D27)</f>
        <v>56420</v>
      </c>
      <c r="F28" s="235" t="s">
        <v>12</v>
      </c>
      <c r="G28" s="236"/>
      <c r="H28" s="93">
        <f>SUM(H16:H27)</f>
        <v>99120</v>
      </c>
      <c r="J28" s="235" t="s">
        <v>12</v>
      </c>
      <c r="K28" s="236"/>
      <c r="L28" s="93">
        <f>SUM(L16:L27)</f>
        <v>103955</v>
      </c>
      <c r="N28" s="235" t="s">
        <v>12</v>
      </c>
      <c r="O28" s="236"/>
      <c r="P28" s="93">
        <f>SUM(P16:P27)</f>
        <v>72958</v>
      </c>
      <c r="R28" s="235" t="s">
        <v>12</v>
      </c>
      <c r="S28" s="236"/>
      <c r="T28" s="93">
        <f>SUM(T16:T27)</f>
        <v>0</v>
      </c>
      <c r="V28" s="96"/>
      <c r="W28" s="235" t="s">
        <v>12</v>
      </c>
      <c r="X28" s="236"/>
      <c r="Y28" s="91">
        <f>+SUM(Y16:Y27)</f>
        <v>332453</v>
      </c>
      <c r="Z28" s="97"/>
      <c r="AB28" s="104" t="s">
        <v>72</v>
      </c>
      <c r="AC28" s="167">
        <v>45869</v>
      </c>
      <c r="AD28" s="166" t="s">
        <v>233</v>
      </c>
      <c r="AE28" s="100"/>
      <c r="AF28" s="149">
        <v>86881</v>
      </c>
      <c r="AJ28" s="152"/>
      <c r="AK28" s="152"/>
      <c r="AL28" s="152"/>
      <c r="AM28" s="154"/>
    </row>
    <row r="29" spans="2:41" x14ac:dyDescent="0.25">
      <c r="D29" s="89"/>
      <c r="H29" s="89"/>
      <c r="L29" s="89"/>
      <c r="P29" s="89"/>
      <c r="T29" s="89"/>
      <c r="V29" s="96"/>
      <c r="W29" s="100"/>
      <c r="X29" s="100"/>
      <c r="Y29" s="99"/>
      <c r="Z29" s="97"/>
      <c r="AB29" s="104" t="s">
        <v>235</v>
      </c>
      <c r="AC29" s="179">
        <v>45875</v>
      </c>
      <c r="AD29" s="180" t="s">
        <v>220</v>
      </c>
      <c r="AE29" s="100"/>
      <c r="AF29" s="181">
        <v>3266</v>
      </c>
      <c r="AJ29" s="152"/>
      <c r="AK29" s="152"/>
      <c r="AL29" s="152"/>
      <c r="AM29" s="154"/>
    </row>
    <row r="30" spans="2:41" ht="15.75" thickBot="1" x14ac:dyDescent="0.3">
      <c r="B30" s="237" t="s">
        <v>75</v>
      </c>
      <c r="C30" s="237"/>
      <c r="D30" s="91">
        <f>D28-D15</f>
        <v>190</v>
      </c>
      <c r="F30" s="237" t="s">
        <v>75</v>
      </c>
      <c r="G30" s="237"/>
      <c r="H30" s="91">
        <f>H28-H15</f>
        <v>11</v>
      </c>
      <c r="J30" s="237" t="s">
        <v>75</v>
      </c>
      <c r="K30" s="237"/>
      <c r="L30" s="91">
        <f>L28-L15</f>
        <v>0</v>
      </c>
      <c r="N30" s="237" t="s">
        <v>75</v>
      </c>
      <c r="O30" s="237"/>
      <c r="P30" s="91">
        <f>P28-P15</f>
        <v>507</v>
      </c>
      <c r="R30" s="237" t="s">
        <v>75</v>
      </c>
      <c r="S30" s="237"/>
      <c r="T30" s="91">
        <f>T28-T15</f>
        <v>0</v>
      </c>
      <c r="V30" s="96"/>
      <c r="W30" s="238" t="s">
        <v>75</v>
      </c>
      <c r="X30" s="238"/>
      <c r="Y30" s="91">
        <f>Y28-Y15</f>
        <v>708</v>
      </c>
      <c r="Z30" s="97"/>
      <c r="AB30" s="104" t="s">
        <v>236</v>
      </c>
      <c r="AC30" s="179">
        <v>45875</v>
      </c>
      <c r="AD30" s="180" t="s">
        <v>218</v>
      </c>
      <c r="AE30" s="100"/>
      <c r="AF30" s="181">
        <v>5163</v>
      </c>
      <c r="AJ30" s="152"/>
      <c r="AK30" s="152"/>
      <c r="AL30" s="152"/>
      <c r="AM30" s="154"/>
    </row>
    <row r="31" spans="2:41" ht="16.5" thickTop="1" thickBot="1" x14ac:dyDescent="0.3">
      <c r="V31" s="101"/>
      <c r="W31" s="102"/>
      <c r="X31" s="102"/>
      <c r="Y31" s="102"/>
      <c r="Z31" s="103"/>
      <c r="AJ31" s="152"/>
      <c r="AK31" s="152"/>
      <c r="AL31" s="152"/>
      <c r="AM31" s="154"/>
    </row>
    <row r="32" spans="2:41" ht="15.75" thickBot="1" x14ac:dyDescent="0.3">
      <c r="AB32" s="145" t="s">
        <v>74</v>
      </c>
      <c r="AC32" s="145"/>
      <c r="AD32" s="145"/>
      <c r="AE32" s="145"/>
      <c r="AF32" s="176">
        <f>SUM(AF23:AF30)</f>
        <v>292698</v>
      </c>
      <c r="AJ32" s="152"/>
      <c r="AK32" s="152"/>
      <c r="AL32" s="152"/>
      <c r="AM32" s="154"/>
    </row>
    <row r="33" spans="2:39" ht="16.5" thickTop="1" thickBot="1" x14ac:dyDescent="0.3">
      <c r="AJ33" s="152"/>
      <c r="AK33" s="152"/>
      <c r="AL33" s="152"/>
      <c r="AM33" s="154"/>
    </row>
    <row r="34" spans="2:39" x14ac:dyDescent="0.25">
      <c r="B34" s="94" t="s">
        <v>76</v>
      </c>
      <c r="C34" s="95"/>
      <c r="D34" s="105"/>
      <c r="F34" s="94" t="s">
        <v>76</v>
      </c>
      <c r="G34" s="95"/>
      <c r="H34" s="105"/>
      <c r="J34" s="94" t="s">
        <v>76</v>
      </c>
      <c r="K34" s="95"/>
      <c r="L34" s="105"/>
      <c r="N34" s="94" t="s">
        <v>76</v>
      </c>
      <c r="O34" s="95"/>
      <c r="P34" s="105"/>
      <c r="R34" s="94" t="s">
        <v>76</v>
      </c>
      <c r="S34" s="95"/>
      <c r="T34" s="105"/>
      <c r="W34" s="127" t="s">
        <v>76</v>
      </c>
      <c r="X34" s="128"/>
      <c r="Y34" s="129">
        <f>+D34+H34+L34+P34+T34</f>
        <v>0</v>
      </c>
      <c r="AJ34" s="152"/>
      <c r="AK34" s="152"/>
      <c r="AL34" s="152"/>
      <c r="AM34" s="154"/>
    </row>
    <row r="35" spans="2:39" x14ac:dyDescent="0.25">
      <c r="B35" s="96" t="s">
        <v>77</v>
      </c>
      <c r="C35" s="100"/>
      <c r="D35" s="106"/>
      <c r="F35" s="96" t="s">
        <v>77</v>
      </c>
      <c r="G35" s="100"/>
      <c r="H35" s="106"/>
      <c r="J35" s="96" t="s">
        <v>77</v>
      </c>
      <c r="K35" s="100"/>
      <c r="L35" s="106"/>
      <c r="N35" s="96" t="s">
        <v>77</v>
      </c>
      <c r="O35" s="100"/>
      <c r="P35" s="106"/>
      <c r="R35" s="96" t="s">
        <v>77</v>
      </c>
      <c r="S35" s="100"/>
      <c r="T35" s="106"/>
      <c r="W35" s="130" t="s">
        <v>77</v>
      </c>
      <c r="X35" s="124"/>
      <c r="Y35" s="131">
        <f t="shared" ref="Y35:Y36" si="8">+D35+H35+L35+P35+T35</f>
        <v>0</v>
      </c>
      <c r="AJ35" s="169"/>
      <c r="AK35" s="152"/>
      <c r="AL35" s="169"/>
      <c r="AM35" s="174"/>
    </row>
    <row r="36" spans="2:39" x14ac:dyDescent="0.25">
      <c r="B36" s="96" t="s">
        <v>79</v>
      </c>
      <c r="C36" s="100"/>
      <c r="D36" s="106">
        <v>190</v>
      </c>
      <c r="F36" s="96" t="s">
        <v>79</v>
      </c>
      <c r="G36" s="100"/>
      <c r="H36" s="106">
        <v>11</v>
      </c>
      <c r="J36" s="96" t="s">
        <v>78</v>
      </c>
      <c r="K36" s="100"/>
      <c r="L36" s="106"/>
      <c r="N36" s="96" t="s">
        <v>79</v>
      </c>
      <c r="O36" s="100"/>
      <c r="P36" s="106">
        <v>507</v>
      </c>
      <c r="R36" s="96" t="s">
        <v>82</v>
      </c>
      <c r="S36" s="100"/>
      <c r="T36" s="106"/>
      <c r="W36" s="130" t="s">
        <v>78</v>
      </c>
      <c r="X36" s="124"/>
      <c r="Y36" s="131">
        <f t="shared" si="8"/>
        <v>708</v>
      </c>
      <c r="AJ36" s="169"/>
      <c r="AK36" s="152"/>
      <c r="AL36" s="169"/>
      <c r="AM36" s="174"/>
    </row>
    <row r="37" spans="2:39" x14ac:dyDescent="0.25">
      <c r="B37" s="96" t="s">
        <v>18</v>
      </c>
      <c r="C37" s="100"/>
      <c r="D37" s="106">
        <f>SUM(D34:D36)</f>
        <v>190</v>
      </c>
      <c r="F37" s="96" t="s">
        <v>18</v>
      </c>
      <c r="G37" s="100"/>
      <c r="H37" s="106">
        <f>SUM(H34:H36)</f>
        <v>11</v>
      </c>
      <c r="J37" s="96" t="s">
        <v>18</v>
      </c>
      <c r="K37" s="100"/>
      <c r="L37" s="106">
        <f>SUM(L34:L36)</f>
        <v>0</v>
      </c>
      <c r="N37" s="96" t="s">
        <v>18</v>
      </c>
      <c r="O37" s="100"/>
      <c r="P37" s="106">
        <f>SUM(P34:P36)</f>
        <v>507</v>
      </c>
      <c r="R37" s="96" t="s">
        <v>18</v>
      </c>
      <c r="S37" s="100"/>
      <c r="T37" s="106">
        <f>SUM(T34:T36)</f>
        <v>0</v>
      </c>
      <c r="W37" s="117" t="s">
        <v>18</v>
      </c>
      <c r="X37" s="118"/>
      <c r="Y37" s="161">
        <f>+SUM(Y34:Y36)</f>
        <v>708</v>
      </c>
      <c r="AJ37" s="169"/>
      <c r="AK37" s="152"/>
      <c r="AL37" s="169"/>
      <c r="AM37" s="174"/>
    </row>
    <row r="38" spans="2:39" ht="15.75" thickBot="1" x14ac:dyDescent="0.3">
      <c r="B38" s="107" t="s">
        <v>81</v>
      </c>
      <c r="C38" s="108"/>
      <c r="D38" s="109">
        <v>0</v>
      </c>
      <c r="F38" s="107" t="s">
        <v>81</v>
      </c>
      <c r="G38" s="108"/>
      <c r="H38" s="109">
        <v>0</v>
      </c>
      <c r="J38" s="107" t="s">
        <v>81</v>
      </c>
      <c r="K38" s="108"/>
      <c r="L38" s="109">
        <v>0</v>
      </c>
      <c r="N38" s="107" t="s">
        <v>81</v>
      </c>
      <c r="O38" s="108"/>
      <c r="P38" s="109">
        <v>0</v>
      </c>
      <c r="R38" s="107" t="s">
        <v>81</v>
      </c>
      <c r="S38" s="108"/>
      <c r="T38" s="109">
        <v>0</v>
      </c>
      <c r="W38" s="107" t="s">
        <v>81</v>
      </c>
      <c r="X38" s="108"/>
      <c r="Y38" s="109">
        <v>0</v>
      </c>
      <c r="AJ38" s="169"/>
      <c r="AK38" s="152"/>
      <c r="AL38" s="152"/>
      <c r="AM38" s="154"/>
    </row>
    <row r="39" spans="2:39" x14ac:dyDescent="0.25">
      <c r="AJ39" s="152"/>
      <c r="AK39" s="152"/>
      <c r="AL39" s="152"/>
      <c r="AM39" s="154"/>
    </row>
    <row r="40" spans="2:39" x14ac:dyDescent="0.25">
      <c r="AJ40" s="152"/>
      <c r="AK40" s="152"/>
      <c r="AL40" s="152"/>
      <c r="AM40" s="154"/>
    </row>
    <row r="41" spans="2:39" x14ac:dyDescent="0.25">
      <c r="AJ41" s="152"/>
      <c r="AK41" s="152"/>
      <c r="AL41" s="152"/>
      <c r="AM41" s="154"/>
    </row>
    <row r="42" spans="2:39" x14ac:dyDescent="0.25">
      <c r="AJ42" s="152"/>
      <c r="AK42" s="152"/>
      <c r="AL42" s="170"/>
      <c r="AM42" s="154"/>
    </row>
    <row r="43" spans="2:39" x14ac:dyDescent="0.25">
      <c r="AJ43" s="152"/>
      <c r="AK43" s="152"/>
      <c r="AL43" s="152"/>
      <c r="AM43" s="154"/>
    </row>
    <row r="44" spans="2:39" x14ac:dyDescent="0.25">
      <c r="AJ44" s="152"/>
      <c r="AK44" s="152"/>
      <c r="AL44" s="170"/>
      <c r="AM44" s="154"/>
    </row>
    <row r="45" spans="2:39" ht="15.75" thickBot="1" x14ac:dyDescent="0.3">
      <c r="AJ45" s="150" t="s">
        <v>74</v>
      </c>
      <c r="AK45" s="150"/>
      <c r="AL45" s="150"/>
      <c r="AM45" s="175">
        <f>SUM(AM23:AM44)</f>
        <v>0</v>
      </c>
    </row>
    <row r="46" spans="2:39" ht="15.75" thickTop="1" x14ac:dyDescent="0.25"/>
  </sheetData>
  <mergeCells count="25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AE5:AI5"/>
    <mergeCell ref="B15:C15"/>
    <mergeCell ref="F15:G15"/>
    <mergeCell ref="J15:K15"/>
    <mergeCell ref="N15:O15"/>
    <mergeCell ref="R15:S15"/>
    <mergeCell ref="W15:X15"/>
    <mergeCell ref="W3:Y3"/>
    <mergeCell ref="B3:D3"/>
    <mergeCell ref="F3:H3"/>
    <mergeCell ref="J3:L3"/>
    <mergeCell ref="N3:P3"/>
    <mergeCell ref="R3:T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T27"/>
  <sheetViews>
    <sheetView workbookViewId="0">
      <selection activeCell="P20" sqref="P20"/>
    </sheetView>
  </sheetViews>
  <sheetFormatPr defaultRowHeight="15" x14ac:dyDescent="0.25"/>
  <cols>
    <col min="1" max="1" width="9.140625" style="86"/>
    <col min="2" max="2" width="7.42578125" style="86" customWidth="1"/>
    <col min="3" max="3" width="9.7109375" style="86" bestFit="1" customWidth="1"/>
    <col min="4" max="4" width="9.7109375" style="86" customWidth="1"/>
    <col min="5" max="7" width="9.140625" style="86"/>
    <col min="8" max="8" width="25.28515625" style="86" bestFit="1" customWidth="1"/>
    <col min="9" max="15" width="9.140625" style="86"/>
    <col min="16" max="17" width="9.7109375" style="86" bestFit="1" customWidth="1"/>
    <col min="18" max="16384" width="9.140625" style="86"/>
  </cols>
  <sheetData>
    <row r="2" spans="2:20" x14ac:dyDescent="0.25">
      <c r="O2" s="66" t="s">
        <v>83</v>
      </c>
      <c r="P2" s="66" t="s">
        <v>15</v>
      </c>
      <c r="Q2" s="66" t="s">
        <v>81</v>
      </c>
      <c r="R2" s="66" t="s">
        <v>10</v>
      </c>
      <c r="S2" s="66" t="s">
        <v>84</v>
      </c>
      <c r="T2" s="66" t="s">
        <v>85</v>
      </c>
    </row>
    <row r="3" spans="2:20" x14ac:dyDescent="0.25">
      <c r="B3" s="66" t="s">
        <v>83</v>
      </c>
      <c r="C3" s="66" t="s">
        <v>15</v>
      </c>
      <c r="D3" s="66" t="s">
        <v>81</v>
      </c>
      <c r="E3" s="66" t="s">
        <v>10</v>
      </c>
      <c r="F3" s="66" t="s">
        <v>84</v>
      </c>
      <c r="G3" s="66" t="s">
        <v>85</v>
      </c>
      <c r="J3" s="88" t="s">
        <v>6</v>
      </c>
      <c r="K3" s="88" t="s">
        <v>7</v>
      </c>
      <c r="L3" s="88" t="s">
        <v>8</v>
      </c>
      <c r="O3" s="86">
        <v>1</v>
      </c>
      <c r="P3" s="67">
        <v>45665</v>
      </c>
      <c r="Q3" s="86">
        <v>24240</v>
      </c>
      <c r="R3" s="89">
        <v>102</v>
      </c>
      <c r="S3" s="84">
        <v>1840</v>
      </c>
      <c r="T3" s="86">
        <f>+Q3+R3-S3</f>
        <v>22502</v>
      </c>
    </row>
    <row r="4" spans="2:20" x14ac:dyDescent="0.25">
      <c r="B4" s="86">
        <v>1</v>
      </c>
      <c r="C4" s="67">
        <v>45937</v>
      </c>
      <c r="D4" s="67"/>
      <c r="E4" s="86">
        <v>10000</v>
      </c>
      <c r="G4" s="86">
        <f>+E4-F4</f>
        <v>10000</v>
      </c>
      <c r="J4" s="113">
        <v>1</v>
      </c>
      <c r="K4" s="113">
        <v>180</v>
      </c>
      <c r="L4" s="120">
        <f>+K4*J4</f>
        <v>180</v>
      </c>
      <c r="O4" s="86">
        <v>2</v>
      </c>
      <c r="P4" s="67">
        <v>45696</v>
      </c>
      <c r="Q4" s="86">
        <f>+T3</f>
        <v>22502</v>
      </c>
      <c r="R4" s="84">
        <v>28000</v>
      </c>
      <c r="S4" s="84">
        <v>9610</v>
      </c>
      <c r="T4" s="86">
        <f t="shared" ref="T4:T9" si="0">+Q4+R4-S4</f>
        <v>40892</v>
      </c>
    </row>
    <row r="5" spans="2:20" x14ac:dyDescent="0.25">
      <c r="B5" s="86">
        <v>2</v>
      </c>
      <c r="C5" s="67">
        <v>45968</v>
      </c>
      <c r="D5" s="68">
        <f>+G4</f>
        <v>10000</v>
      </c>
      <c r="G5" s="86">
        <f>+D5+E5-F5</f>
        <v>10000</v>
      </c>
      <c r="J5" s="86">
        <v>10</v>
      </c>
      <c r="K5" s="86">
        <v>267</v>
      </c>
      <c r="L5" s="120">
        <f>+K5*J5</f>
        <v>2670</v>
      </c>
      <c r="O5" s="86">
        <v>3</v>
      </c>
      <c r="P5" s="67">
        <v>45755</v>
      </c>
      <c r="Q5" s="86">
        <f t="shared" ref="Q5:Q9" si="1">+T4</f>
        <v>40892</v>
      </c>
      <c r="R5" s="84">
        <v>11870</v>
      </c>
      <c r="S5" s="84">
        <v>7490</v>
      </c>
      <c r="T5" s="86">
        <f t="shared" si="0"/>
        <v>45272</v>
      </c>
    </row>
    <row r="6" spans="2:20" x14ac:dyDescent="0.25">
      <c r="B6" s="86">
        <v>3</v>
      </c>
      <c r="C6" s="67">
        <v>45998</v>
      </c>
      <c r="D6" s="68">
        <f t="shared" ref="D6:D24" si="2">+G5</f>
        <v>10000</v>
      </c>
      <c r="G6" s="86">
        <f t="shared" ref="G6:G8" si="3">+D6+E6-F6</f>
        <v>10000</v>
      </c>
      <c r="J6" s="86">
        <v>20</v>
      </c>
      <c r="L6" s="120">
        <f t="shared" ref="L6:L11" si="4">+K6*J6</f>
        <v>0</v>
      </c>
      <c r="O6" s="86">
        <v>4</v>
      </c>
      <c r="P6" s="67">
        <v>45785</v>
      </c>
      <c r="Q6" s="86">
        <f t="shared" si="1"/>
        <v>45272</v>
      </c>
      <c r="R6" s="177">
        <v>5000</v>
      </c>
      <c r="S6" s="177">
        <v>27230</v>
      </c>
      <c r="T6" s="86">
        <f t="shared" si="0"/>
        <v>23042</v>
      </c>
    </row>
    <row r="7" spans="2:20" x14ac:dyDescent="0.25">
      <c r="B7" s="86">
        <v>4</v>
      </c>
      <c r="C7" s="67" t="s">
        <v>152</v>
      </c>
      <c r="D7" s="68">
        <f t="shared" si="2"/>
        <v>10000</v>
      </c>
      <c r="E7" s="86">
        <v>20140</v>
      </c>
      <c r="G7" s="86">
        <f t="shared" si="3"/>
        <v>30140</v>
      </c>
      <c r="J7" s="86">
        <v>50</v>
      </c>
      <c r="K7" s="86">
        <v>1</v>
      </c>
      <c r="L7" s="120">
        <f t="shared" si="4"/>
        <v>50</v>
      </c>
      <c r="O7" s="86">
        <v>5</v>
      </c>
      <c r="P7" s="67">
        <v>45785</v>
      </c>
      <c r="Q7" s="86">
        <f t="shared" si="1"/>
        <v>23042</v>
      </c>
      <c r="R7" s="84"/>
      <c r="S7" s="84">
        <v>3690</v>
      </c>
      <c r="T7" s="86">
        <f t="shared" si="0"/>
        <v>19352</v>
      </c>
    </row>
    <row r="8" spans="2:20" x14ac:dyDescent="0.25">
      <c r="B8" s="86">
        <v>5</v>
      </c>
      <c r="C8" s="67" t="s">
        <v>153</v>
      </c>
      <c r="D8" s="68">
        <f t="shared" si="2"/>
        <v>30140</v>
      </c>
      <c r="F8" s="86">
        <v>2300</v>
      </c>
      <c r="G8" s="86">
        <f t="shared" si="3"/>
        <v>27840</v>
      </c>
      <c r="J8" s="86">
        <v>100</v>
      </c>
      <c r="K8" s="86">
        <v>2</v>
      </c>
      <c r="L8" s="120">
        <f t="shared" si="4"/>
        <v>200</v>
      </c>
      <c r="O8" s="86">
        <v>6</v>
      </c>
      <c r="P8" s="67">
        <v>45816</v>
      </c>
      <c r="Q8" s="86">
        <f t="shared" si="1"/>
        <v>19352</v>
      </c>
      <c r="R8" s="84"/>
      <c r="S8" s="84">
        <v>7970</v>
      </c>
      <c r="T8" s="86">
        <f t="shared" si="0"/>
        <v>11382</v>
      </c>
    </row>
    <row r="9" spans="2:20" x14ac:dyDescent="0.25">
      <c r="B9" s="86">
        <v>6</v>
      </c>
      <c r="C9" s="67" t="s">
        <v>154</v>
      </c>
      <c r="D9" s="68">
        <f t="shared" si="2"/>
        <v>27840</v>
      </c>
      <c r="F9" s="86">
        <v>11720</v>
      </c>
      <c r="G9" s="86">
        <f>+D9+E9-F9</f>
        <v>16120</v>
      </c>
      <c r="J9" s="86">
        <v>500</v>
      </c>
      <c r="L9" s="120">
        <f t="shared" si="4"/>
        <v>0</v>
      </c>
      <c r="O9" s="86">
        <v>7</v>
      </c>
      <c r="Q9" s="86">
        <f t="shared" si="1"/>
        <v>11382</v>
      </c>
      <c r="R9" s="84"/>
      <c r="S9" s="84"/>
      <c r="T9" s="86">
        <f t="shared" si="0"/>
        <v>11382</v>
      </c>
    </row>
    <row r="10" spans="2:20" x14ac:dyDescent="0.25">
      <c r="B10" s="86">
        <v>7</v>
      </c>
      <c r="C10" s="69" t="s">
        <v>155</v>
      </c>
      <c r="D10" s="70">
        <f t="shared" si="2"/>
        <v>16120</v>
      </c>
      <c r="E10" s="71"/>
      <c r="F10" s="71">
        <v>10010</v>
      </c>
      <c r="G10" s="71">
        <f t="shared" ref="G10:G25" si="5">+D10+E10-F10</f>
        <v>6110</v>
      </c>
      <c r="H10" s="86" t="s">
        <v>156</v>
      </c>
      <c r="J10" s="86">
        <v>1000</v>
      </c>
      <c r="K10" s="86">
        <v>2</v>
      </c>
      <c r="L10" s="120">
        <f t="shared" si="4"/>
        <v>2000</v>
      </c>
    </row>
    <row r="11" spans="2:20" x14ac:dyDescent="0.25">
      <c r="B11" s="86">
        <v>8</v>
      </c>
      <c r="C11" s="69" t="s">
        <v>155</v>
      </c>
      <c r="D11" s="70">
        <f t="shared" si="2"/>
        <v>6110</v>
      </c>
      <c r="E11" s="71">
        <v>7004</v>
      </c>
      <c r="F11" s="71">
        <v>2410</v>
      </c>
      <c r="G11" s="71">
        <f t="shared" si="5"/>
        <v>10704</v>
      </c>
      <c r="J11" s="86">
        <v>5000</v>
      </c>
      <c r="L11" s="120">
        <f t="shared" si="4"/>
        <v>0</v>
      </c>
    </row>
    <row r="12" spans="2:20" ht="15.75" thickBot="1" x14ac:dyDescent="0.3">
      <c r="B12" s="86">
        <v>9</v>
      </c>
      <c r="C12" s="69" t="s">
        <v>155</v>
      </c>
      <c r="D12" s="68">
        <f t="shared" si="2"/>
        <v>10704</v>
      </c>
      <c r="E12" s="86">
        <v>33750</v>
      </c>
      <c r="F12" s="86">
        <v>10180</v>
      </c>
      <c r="G12" s="86">
        <f t="shared" si="5"/>
        <v>34274</v>
      </c>
      <c r="J12" s="87" t="s">
        <v>18</v>
      </c>
      <c r="K12" s="87"/>
      <c r="L12" s="90">
        <f>+SUM(L4:L11)</f>
        <v>5100</v>
      </c>
    </row>
    <row r="13" spans="2:20" x14ac:dyDescent="0.25">
      <c r="B13" s="86">
        <v>10</v>
      </c>
      <c r="C13" s="69" t="s">
        <v>157</v>
      </c>
      <c r="D13" s="68">
        <f t="shared" si="2"/>
        <v>34274</v>
      </c>
      <c r="E13" s="86">
        <v>2760</v>
      </c>
      <c r="G13" s="86">
        <f t="shared" si="5"/>
        <v>37034</v>
      </c>
      <c r="L13" s="73">
        <f>+L12-T19</f>
        <v>5100</v>
      </c>
    </row>
    <row r="14" spans="2:20" x14ac:dyDescent="0.25">
      <c r="B14" s="86">
        <v>11</v>
      </c>
      <c r="C14" s="69" t="s">
        <v>157</v>
      </c>
      <c r="D14" s="68">
        <f t="shared" si="2"/>
        <v>37034</v>
      </c>
      <c r="F14" s="86">
        <v>8620</v>
      </c>
      <c r="G14" s="86">
        <f t="shared" si="5"/>
        <v>28414</v>
      </c>
      <c r="H14" s="86">
        <v>1356</v>
      </c>
      <c r="L14" s="73"/>
    </row>
    <row r="15" spans="2:20" x14ac:dyDescent="0.25">
      <c r="B15" s="86">
        <v>12</v>
      </c>
      <c r="C15" s="69" t="s">
        <v>158</v>
      </c>
      <c r="D15" s="68">
        <f t="shared" si="2"/>
        <v>28414</v>
      </c>
      <c r="E15" s="86">
        <v>37350</v>
      </c>
      <c r="F15" s="86">
        <v>18810</v>
      </c>
      <c r="G15" s="86">
        <f t="shared" si="5"/>
        <v>46954</v>
      </c>
    </row>
    <row r="16" spans="2:20" x14ac:dyDescent="0.25">
      <c r="B16" s="86">
        <v>13</v>
      </c>
      <c r="C16" s="69" t="s">
        <v>159</v>
      </c>
      <c r="D16" s="68">
        <f t="shared" si="2"/>
        <v>46954</v>
      </c>
      <c r="E16" s="86">
        <v>26000</v>
      </c>
      <c r="F16" s="72">
        <f>54000-5368</f>
        <v>48632</v>
      </c>
      <c r="G16" s="86">
        <f t="shared" si="5"/>
        <v>24322</v>
      </c>
    </row>
    <row r="17" spans="2:8" x14ac:dyDescent="0.25">
      <c r="B17" s="86">
        <v>14</v>
      </c>
      <c r="C17" s="69" t="s">
        <v>160</v>
      </c>
      <c r="D17" s="68">
        <f t="shared" si="2"/>
        <v>24322</v>
      </c>
      <c r="E17" s="86">
        <v>8490</v>
      </c>
      <c r="F17" s="86">
        <v>9610</v>
      </c>
      <c r="G17" s="86">
        <f t="shared" si="5"/>
        <v>23202</v>
      </c>
      <c r="H17" s="73">
        <v>-722</v>
      </c>
    </row>
    <row r="18" spans="2:8" x14ac:dyDescent="0.25">
      <c r="B18" s="74">
        <v>15</v>
      </c>
      <c r="C18" s="78" t="s">
        <v>161</v>
      </c>
      <c r="D18" s="79">
        <f t="shared" si="2"/>
        <v>23202</v>
      </c>
      <c r="E18" s="74">
        <v>70</v>
      </c>
      <c r="F18" s="74">
        <v>3480</v>
      </c>
      <c r="G18" s="74">
        <f t="shared" si="5"/>
        <v>19792</v>
      </c>
      <c r="H18" s="74">
        <v>368</v>
      </c>
    </row>
    <row r="19" spans="2:8" x14ac:dyDescent="0.25">
      <c r="B19" s="86">
        <v>16</v>
      </c>
      <c r="C19" s="69" t="s">
        <v>162</v>
      </c>
      <c r="D19" s="68">
        <f t="shared" si="2"/>
        <v>19792</v>
      </c>
      <c r="E19" s="74">
        <v>497</v>
      </c>
      <c r="F19" s="86">
        <v>1820</v>
      </c>
      <c r="G19" s="86">
        <f t="shared" si="5"/>
        <v>18469</v>
      </c>
      <c r="H19" s="73"/>
    </row>
    <row r="20" spans="2:8" x14ac:dyDescent="0.25">
      <c r="B20" s="86">
        <v>17</v>
      </c>
      <c r="C20" s="69" t="s">
        <v>163</v>
      </c>
      <c r="D20" s="68">
        <f t="shared" si="2"/>
        <v>18469</v>
      </c>
      <c r="E20" s="74">
        <v>12430</v>
      </c>
      <c r="F20" s="86">
        <v>28290</v>
      </c>
      <c r="G20" s="86">
        <f t="shared" si="5"/>
        <v>2609</v>
      </c>
    </row>
    <row r="21" spans="2:8" x14ac:dyDescent="0.25">
      <c r="B21" s="86">
        <v>18</v>
      </c>
      <c r="C21" s="69" t="s">
        <v>164</v>
      </c>
      <c r="D21" s="68">
        <f t="shared" si="2"/>
        <v>2609</v>
      </c>
      <c r="E21" s="74">
        <v>10570</v>
      </c>
      <c r="F21" s="86">
        <v>4730</v>
      </c>
      <c r="G21" s="86">
        <f t="shared" si="5"/>
        <v>8449</v>
      </c>
    </row>
    <row r="22" spans="2:8" x14ac:dyDescent="0.25">
      <c r="B22" s="86">
        <v>19</v>
      </c>
      <c r="C22" s="69" t="s">
        <v>165</v>
      </c>
      <c r="D22" s="68">
        <f t="shared" si="2"/>
        <v>8449</v>
      </c>
      <c r="E22" s="74">
        <v>5670</v>
      </c>
      <c r="F22" s="86">
        <v>9590</v>
      </c>
      <c r="G22" s="86">
        <f t="shared" si="5"/>
        <v>4529</v>
      </c>
    </row>
    <row r="23" spans="2:8" x14ac:dyDescent="0.25">
      <c r="B23" s="75">
        <v>20</v>
      </c>
      <c r="C23" s="76" t="s">
        <v>166</v>
      </c>
      <c r="D23" s="77">
        <f t="shared" si="2"/>
        <v>4529</v>
      </c>
      <c r="E23" s="75">
        <v>9451</v>
      </c>
      <c r="F23" s="75">
        <v>4830</v>
      </c>
      <c r="G23" s="75">
        <f t="shared" si="5"/>
        <v>9150</v>
      </c>
      <c r="H23" s="75"/>
    </row>
    <row r="24" spans="2:8" x14ac:dyDescent="0.25">
      <c r="B24" s="65">
        <v>21</v>
      </c>
      <c r="C24" s="81" t="s">
        <v>167</v>
      </c>
      <c r="D24" s="82">
        <f t="shared" si="2"/>
        <v>9150</v>
      </c>
      <c r="E24" s="83">
        <v>2023</v>
      </c>
      <c r="F24" s="83">
        <v>1480</v>
      </c>
      <c r="G24" s="83">
        <f t="shared" si="5"/>
        <v>9693</v>
      </c>
    </row>
    <row r="25" spans="2:8" x14ac:dyDescent="0.25">
      <c r="B25" s="65">
        <v>22</v>
      </c>
      <c r="C25" s="81" t="s">
        <v>168</v>
      </c>
      <c r="D25" s="82">
        <v>14560</v>
      </c>
      <c r="E25" s="83">
        <v>13000</v>
      </c>
      <c r="F25" s="83">
        <v>3320</v>
      </c>
      <c r="G25" s="83">
        <f t="shared" si="5"/>
        <v>24240</v>
      </c>
      <c r="H25" s="86">
        <v>90</v>
      </c>
    </row>
    <row r="26" spans="2:8" x14ac:dyDescent="0.25">
      <c r="B26" s="65">
        <v>23</v>
      </c>
      <c r="C26" s="65"/>
      <c r="D26" s="80"/>
      <c r="E26" s="65"/>
      <c r="F26" s="65"/>
      <c r="G26" s="65"/>
    </row>
    <row r="27" spans="2:8" x14ac:dyDescent="0.25">
      <c r="B27" s="86">
        <v>24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AN45"/>
  <sheetViews>
    <sheetView topLeftCell="A3" zoomScale="80" zoomScaleNormal="80" workbookViewId="0">
      <selection activeCell="T32" sqref="T32"/>
    </sheetView>
  </sheetViews>
  <sheetFormatPr defaultRowHeight="15" x14ac:dyDescent="0.25"/>
  <cols>
    <col min="2" max="2" width="13.28515625" customWidth="1"/>
    <col min="3" max="3" width="17.42578125" bestFit="1" customWidth="1"/>
    <col min="4" max="4" width="9.85546875" customWidth="1"/>
    <col min="5" max="5" width="1.42578125" customWidth="1"/>
    <col min="7" max="7" width="13.42578125" customWidth="1"/>
    <col min="8" max="8" width="9.5703125" bestFit="1" customWidth="1"/>
    <col min="9" max="9" width="0.85546875" customWidth="1"/>
    <col min="10" max="10" width="11.85546875" customWidth="1"/>
    <col min="11" max="11" width="14.42578125" customWidth="1"/>
    <col min="13" max="13" width="1.42578125" customWidth="1"/>
    <col min="17" max="17" width="0.85546875" customWidth="1"/>
    <col min="19" max="19" width="18.42578125" bestFit="1" customWidth="1"/>
    <col min="20" max="20" width="10.5703125" bestFit="1" customWidth="1"/>
    <col min="21" max="21" width="1.5703125" customWidth="1"/>
    <col min="22" max="22" width="1.42578125" customWidth="1"/>
    <col min="25" max="25" width="9.5703125" bestFit="1" customWidth="1"/>
    <col min="26" max="26" width="1.28515625" customWidth="1"/>
    <col min="29" max="29" width="12.85546875" customWidth="1"/>
    <col min="30" max="30" width="13.5703125" bestFit="1" customWidth="1"/>
    <col min="31" max="31" width="13.85546875" bestFit="1" customWidth="1"/>
    <col min="32" max="32" width="9.5703125" bestFit="1" customWidth="1"/>
    <col min="37" max="37" width="16" bestFit="1" customWidth="1"/>
    <col min="38" max="38" width="12.85546875" customWidth="1"/>
    <col min="39" max="39" width="9.5703125" bestFit="1" customWidth="1"/>
  </cols>
  <sheetData>
    <row r="3" spans="2:39" x14ac:dyDescent="0.25">
      <c r="B3" s="240" t="s">
        <v>0</v>
      </c>
      <c r="C3" s="240"/>
      <c r="D3" s="240"/>
      <c r="E3" s="85"/>
      <c r="F3" s="240" t="s">
        <v>1</v>
      </c>
      <c r="G3" s="240"/>
      <c r="H3" s="240"/>
      <c r="I3" s="85"/>
      <c r="J3" s="240" t="s">
        <v>2</v>
      </c>
      <c r="K3" s="240"/>
      <c r="L3" s="240"/>
      <c r="M3" s="85"/>
      <c r="N3" s="240" t="s">
        <v>3</v>
      </c>
      <c r="O3" s="240"/>
      <c r="P3" s="240"/>
      <c r="Q3" s="85"/>
      <c r="R3" s="240" t="s">
        <v>4</v>
      </c>
      <c r="S3" s="240"/>
      <c r="T3" s="240"/>
      <c r="U3" s="85"/>
      <c r="V3" s="96"/>
      <c r="W3" s="239" t="s">
        <v>5</v>
      </c>
      <c r="X3" s="239"/>
      <c r="Y3" s="239"/>
      <c r="Z3" s="97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</row>
    <row r="4" spans="2:39" x14ac:dyDescent="0.25">
      <c r="B4" s="88" t="s">
        <v>6</v>
      </c>
      <c r="C4" s="88" t="s">
        <v>7</v>
      </c>
      <c r="D4" s="88" t="s">
        <v>8</v>
      </c>
      <c r="E4" s="85"/>
      <c r="F4" s="88" t="s">
        <v>6</v>
      </c>
      <c r="G4" s="88" t="s">
        <v>7</v>
      </c>
      <c r="H4" s="88" t="s">
        <v>8</v>
      </c>
      <c r="I4" s="85"/>
      <c r="J4" s="88" t="s">
        <v>6</v>
      </c>
      <c r="K4" s="88" t="s">
        <v>7</v>
      </c>
      <c r="L4" s="88" t="s">
        <v>8</v>
      </c>
      <c r="M4" s="85"/>
      <c r="N4" s="88" t="s">
        <v>6</v>
      </c>
      <c r="O4" s="88" t="s">
        <v>7</v>
      </c>
      <c r="P4" s="88" t="s">
        <v>8</v>
      </c>
      <c r="Q4" s="85"/>
      <c r="R4" s="88" t="s">
        <v>6</v>
      </c>
      <c r="S4" s="88" t="s">
        <v>7</v>
      </c>
      <c r="T4" s="88" t="s">
        <v>8</v>
      </c>
      <c r="U4" s="85"/>
      <c r="V4" s="96"/>
      <c r="W4" s="98" t="s">
        <v>6</v>
      </c>
      <c r="X4" s="98" t="s">
        <v>7</v>
      </c>
      <c r="Y4" s="98" t="s">
        <v>8</v>
      </c>
      <c r="Z4" s="97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</row>
    <row r="5" spans="2:39" ht="15.75" thickBot="1" x14ac:dyDescent="0.3">
      <c r="B5" s="113">
        <v>1</v>
      </c>
      <c r="C5" s="113"/>
      <c r="D5" s="120">
        <f>C5*B5</f>
        <v>0</v>
      </c>
      <c r="E5" s="110"/>
      <c r="F5" s="113">
        <v>1</v>
      </c>
      <c r="G5" s="113"/>
      <c r="H5" s="120">
        <f>G5*F5</f>
        <v>0</v>
      </c>
      <c r="I5" s="110"/>
      <c r="J5" s="113">
        <v>1</v>
      </c>
      <c r="K5" s="113"/>
      <c r="L5" s="120">
        <f>K5*J5</f>
        <v>0</v>
      </c>
      <c r="M5" s="110"/>
      <c r="N5" s="113">
        <v>1</v>
      </c>
      <c r="O5" s="113"/>
      <c r="P5" s="120">
        <f>O5*N5</f>
        <v>0</v>
      </c>
      <c r="Q5" s="110"/>
      <c r="R5" s="113">
        <v>1</v>
      </c>
      <c r="S5" s="113"/>
      <c r="T5" s="120">
        <f>S5*R5</f>
        <v>0</v>
      </c>
      <c r="U5" s="110"/>
      <c r="V5" s="111"/>
      <c r="W5" s="122">
        <v>1</v>
      </c>
      <c r="X5" s="123">
        <f>S5+O5+K5+G5+C5</f>
        <v>0</v>
      </c>
      <c r="Y5" s="121">
        <f>T5+P5+L5+H5+D5</f>
        <v>0</v>
      </c>
      <c r="Z5" s="112"/>
      <c r="AA5" s="110"/>
      <c r="AB5" s="85"/>
      <c r="AC5" s="85"/>
      <c r="AD5" s="85"/>
      <c r="AE5" s="241" t="s">
        <v>9</v>
      </c>
      <c r="AF5" s="241"/>
      <c r="AG5" s="241"/>
      <c r="AH5" s="241"/>
      <c r="AI5" s="241"/>
      <c r="AJ5" s="146"/>
      <c r="AK5" s="85"/>
      <c r="AL5" s="85"/>
      <c r="AM5" s="85"/>
    </row>
    <row r="6" spans="2:39" ht="15.75" thickTop="1" x14ac:dyDescent="0.25">
      <c r="B6" s="86">
        <v>10</v>
      </c>
      <c r="C6" s="86">
        <v>51</v>
      </c>
      <c r="D6" s="120">
        <f t="shared" ref="D6:D12" si="0">C6*B6</f>
        <v>510</v>
      </c>
      <c r="E6" s="85"/>
      <c r="F6" s="86">
        <v>10</v>
      </c>
      <c r="G6" s="86">
        <v>156</v>
      </c>
      <c r="H6" s="120">
        <f t="shared" ref="H6:H12" si="1">G6*F6</f>
        <v>1560</v>
      </c>
      <c r="I6" s="85"/>
      <c r="J6" s="86">
        <v>10</v>
      </c>
      <c r="K6" s="86">
        <v>8</v>
      </c>
      <c r="L6" s="120">
        <f t="shared" ref="L6:L12" si="2">K6*J6</f>
        <v>80</v>
      </c>
      <c r="M6" s="85"/>
      <c r="N6" s="86">
        <v>10</v>
      </c>
      <c r="O6" s="86">
        <v>100</v>
      </c>
      <c r="P6" s="120">
        <f t="shared" ref="P6:P12" si="3">O6*N6</f>
        <v>1000</v>
      </c>
      <c r="Q6" s="85"/>
      <c r="R6" s="86">
        <v>10</v>
      </c>
      <c r="S6" s="86">
        <v>1</v>
      </c>
      <c r="T6" s="120">
        <f t="shared" ref="T6:T12" si="4">S6*R6</f>
        <v>10</v>
      </c>
      <c r="U6" s="85"/>
      <c r="V6" s="96"/>
      <c r="W6" s="123">
        <v>10</v>
      </c>
      <c r="X6" s="123">
        <f t="shared" ref="X6:Y12" si="5">S6+O6+K6+G6+C6</f>
        <v>316</v>
      </c>
      <c r="Y6" s="121">
        <f t="shared" si="5"/>
        <v>3160</v>
      </c>
      <c r="Z6" s="97"/>
      <c r="AA6" s="85"/>
      <c r="AB6" s="110"/>
      <c r="AC6" s="110"/>
      <c r="AD6" s="110"/>
      <c r="AE6" s="85"/>
      <c r="AF6" s="85"/>
      <c r="AG6" s="85"/>
      <c r="AH6" s="85"/>
      <c r="AI6" s="85"/>
      <c r="AJ6" s="85"/>
      <c r="AK6" s="110"/>
      <c r="AL6" s="110"/>
      <c r="AM6" s="110"/>
    </row>
    <row r="7" spans="2:39" x14ac:dyDescent="0.25">
      <c r="B7" s="86">
        <v>20</v>
      </c>
      <c r="C7" s="86">
        <v>14</v>
      </c>
      <c r="D7" s="120">
        <f t="shared" si="0"/>
        <v>280</v>
      </c>
      <c r="E7" s="85"/>
      <c r="F7" s="86">
        <v>20</v>
      </c>
      <c r="G7" s="86">
        <v>17</v>
      </c>
      <c r="H7" s="120">
        <f t="shared" si="1"/>
        <v>340</v>
      </c>
      <c r="I7" s="85"/>
      <c r="J7" s="86">
        <v>20</v>
      </c>
      <c r="K7" s="86">
        <v>3</v>
      </c>
      <c r="L7" s="120">
        <f t="shared" si="2"/>
        <v>60</v>
      </c>
      <c r="M7" s="85"/>
      <c r="N7" s="86">
        <v>20</v>
      </c>
      <c r="O7" s="86">
        <v>38</v>
      </c>
      <c r="P7" s="120">
        <f t="shared" si="3"/>
        <v>760</v>
      </c>
      <c r="Q7" s="85"/>
      <c r="R7" s="86">
        <v>20</v>
      </c>
      <c r="S7" s="86"/>
      <c r="T7" s="120">
        <f t="shared" si="4"/>
        <v>0</v>
      </c>
      <c r="U7" s="85"/>
      <c r="V7" s="96"/>
      <c r="W7" s="123">
        <v>20</v>
      </c>
      <c r="X7" s="123">
        <f t="shared" si="5"/>
        <v>72</v>
      </c>
      <c r="Y7" s="121">
        <f t="shared" si="5"/>
        <v>1440</v>
      </c>
      <c r="Z7" s="97"/>
      <c r="AA7" s="85"/>
      <c r="AB7" s="85"/>
      <c r="AC7" s="85"/>
      <c r="AD7" s="85"/>
      <c r="AE7" s="141" t="s">
        <v>10</v>
      </c>
      <c r="AF7" s="142">
        <f>Y13</f>
        <v>338650</v>
      </c>
      <c r="AG7" s="110"/>
      <c r="AH7" s="110"/>
      <c r="AI7" s="110"/>
      <c r="AJ7" s="110"/>
      <c r="AK7" s="85"/>
      <c r="AL7" s="85"/>
      <c r="AM7" s="85"/>
    </row>
    <row r="8" spans="2:39" x14ac:dyDescent="0.25">
      <c r="B8" s="86">
        <v>50</v>
      </c>
      <c r="C8" s="86">
        <v>15</v>
      </c>
      <c r="D8" s="120">
        <f t="shared" si="0"/>
        <v>750</v>
      </c>
      <c r="E8" s="85"/>
      <c r="F8" s="86">
        <v>50</v>
      </c>
      <c r="G8" s="86">
        <v>34</v>
      </c>
      <c r="H8" s="120">
        <f t="shared" si="1"/>
        <v>1700</v>
      </c>
      <c r="I8" s="85"/>
      <c r="J8" s="86">
        <v>50</v>
      </c>
      <c r="K8" s="86">
        <v>15</v>
      </c>
      <c r="L8" s="120">
        <f t="shared" si="2"/>
        <v>750</v>
      </c>
      <c r="M8" s="85"/>
      <c r="N8" s="86">
        <v>50</v>
      </c>
      <c r="O8" s="86">
        <v>152</v>
      </c>
      <c r="P8" s="120">
        <f t="shared" si="3"/>
        <v>7600</v>
      </c>
      <c r="Q8" s="85"/>
      <c r="R8" s="86">
        <v>50</v>
      </c>
      <c r="S8" s="86">
        <v>3</v>
      </c>
      <c r="T8" s="120">
        <f t="shared" si="4"/>
        <v>150</v>
      </c>
      <c r="U8" s="85"/>
      <c r="V8" s="96"/>
      <c r="W8" s="123">
        <v>50</v>
      </c>
      <c r="X8" s="123">
        <f t="shared" si="5"/>
        <v>219</v>
      </c>
      <c r="Y8" s="121">
        <f t="shared" si="5"/>
        <v>10950</v>
      </c>
      <c r="Z8" s="97"/>
      <c r="AA8" s="85"/>
      <c r="AB8" s="85"/>
      <c r="AC8" s="85"/>
      <c r="AD8" s="85"/>
      <c r="AE8" s="138" t="s">
        <v>11</v>
      </c>
      <c r="AF8" s="138">
        <f>AF32</f>
        <v>99320</v>
      </c>
      <c r="AG8" s="85"/>
      <c r="AH8" s="85"/>
      <c r="AI8" s="85"/>
      <c r="AJ8" s="85"/>
      <c r="AK8" s="88" t="s">
        <v>6</v>
      </c>
      <c r="AL8" s="88" t="s">
        <v>7</v>
      </c>
      <c r="AM8" s="88" t="s">
        <v>8</v>
      </c>
    </row>
    <row r="9" spans="2:39" ht="15.75" thickBot="1" x14ac:dyDescent="0.3">
      <c r="B9" s="86">
        <v>100</v>
      </c>
      <c r="C9" s="86">
        <v>9</v>
      </c>
      <c r="D9" s="120">
        <f t="shared" si="0"/>
        <v>900</v>
      </c>
      <c r="E9" s="85"/>
      <c r="F9" s="86">
        <v>100</v>
      </c>
      <c r="G9" s="86">
        <v>46</v>
      </c>
      <c r="H9" s="120">
        <f t="shared" si="1"/>
        <v>4600</v>
      </c>
      <c r="I9" s="85"/>
      <c r="J9" s="86">
        <v>100</v>
      </c>
      <c r="K9" s="86">
        <v>7</v>
      </c>
      <c r="L9" s="120">
        <f t="shared" si="2"/>
        <v>700</v>
      </c>
      <c r="M9" s="85"/>
      <c r="N9" s="86">
        <v>100</v>
      </c>
      <c r="O9" s="86">
        <v>85</v>
      </c>
      <c r="P9" s="120">
        <f t="shared" si="3"/>
        <v>8500</v>
      </c>
      <c r="Q9" s="85"/>
      <c r="R9" s="86">
        <v>100</v>
      </c>
      <c r="S9" s="86">
        <v>9</v>
      </c>
      <c r="T9" s="120">
        <f t="shared" si="4"/>
        <v>900</v>
      </c>
      <c r="U9" s="85"/>
      <c r="V9" s="96"/>
      <c r="W9" s="123">
        <v>100</v>
      </c>
      <c r="X9" s="123">
        <f t="shared" si="5"/>
        <v>156</v>
      </c>
      <c r="Y9" s="121">
        <f t="shared" si="5"/>
        <v>15600</v>
      </c>
      <c r="Z9" s="97"/>
      <c r="AA9" s="85"/>
      <c r="AB9" s="85"/>
      <c r="AC9" s="85"/>
      <c r="AD9" s="85"/>
      <c r="AE9" s="143" t="s">
        <v>12</v>
      </c>
      <c r="AF9" s="144">
        <f>AF8+AF7</f>
        <v>437970</v>
      </c>
      <c r="AG9" s="85"/>
      <c r="AH9" s="85"/>
      <c r="AI9" s="85"/>
      <c r="AJ9" s="85"/>
      <c r="AK9" s="113">
        <v>1</v>
      </c>
      <c r="AL9" s="113"/>
      <c r="AM9" s="120">
        <f>AL9*AK9</f>
        <v>0</v>
      </c>
    </row>
    <row r="10" spans="2:39" x14ac:dyDescent="0.25">
      <c r="B10" s="86">
        <v>500</v>
      </c>
      <c r="C10" s="86">
        <v>26</v>
      </c>
      <c r="D10" s="120">
        <f t="shared" si="0"/>
        <v>13000</v>
      </c>
      <c r="E10" s="85"/>
      <c r="F10" s="86">
        <v>500</v>
      </c>
      <c r="G10" s="86">
        <v>47</v>
      </c>
      <c r="H10" s="120">
        <f t="shared" si="1"/>
        <v>23500</v>
      </c>
      <c r="I10" s="85"/>
      <c r="J10" s="86">
        <v>500</v>
      </c>
      <c r="K10" s="86">
        <v>26</v>
      </c>
      <c r="L10" s="120">
        <f t="shared" si="2"/>
        <v>13000</v>
      </c>
      <c r="M10" s="85"/>
      <c r="N10" s="86">
        <v>500</v>
      </c>
      <c r="O10" s="86">
        <v>25</v>
      </c>
      <c r="P10" s="120">
        <f t="shared" si="3"/>
        <v>12500</v>
      </c>
      <c r="Q10" s="85"/>
      <c r="R10" s="86">
        <v>500</v>
      </c>
      <c r="S10" s="86">
        <v>1</v>
      </c>
      <c r="T10" s="120">
        <f t="shared" si="4"/>
        <v>500</v>
      </c>
      <c r="U10" s="85"/>
      <c r="V10" s="96"/>
      <c r="W10" s="123">
        <v>500</v>
      </c>
      <c r="X10" s="123">
        <f t="shared" si="5"/>
        <v>125</v>
      </c>
      <c r="Y10" s="121">
        <f t="shared" si="5"/>
        <v>62500</v>
      </c>
      <c r="Z10" s="97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6">
        <v>10</v>
      </c>
      <c r="AL10" s="86">
        <v>319</v>
      </c>
      <c r="AM10" s="120">
        <f t="shared" ref="AM10:AM16" si="6">AL10*AK10</f>
        <v>3190</v>
      </c>
    </row>
    <row r="11" spans="2:39" x14ac:dyDescent="0.25">
      <c r="B11" s="86">
        <v>1000</v>
      </c>
      <c r="C11" s="86">
        <v>18</v>
      </c>
      <c r="D11" s="120">
        <f t="shared" si="0"/>
        <v>18000</v>
      </c>
      <c r="E11" s="85"/>
      <c r="F11" s="86">
        <v>1000</v>
      </c>
      <c r="G11" s="86">
        <v>68</v>
      </c>
      <c r="H11" s="120">
        <f t="shared" si="1"/>
        <v>68000</v>
      </c>
      <c r="I11" s="85"/>
      <c r="J11" s="86">
        <v>1000</v>
      </c>
      <c r="K11" s="86">
        <v>26</v>
      </c>
      <c r="L11" s="120">
        <f t="shared" si="2"/>
        <v>26000</v>
      </c>
      <c r="M11" s="85"/>
      <c r="N11" s="86">
        <v>1000</v>
      </c>
      <c r="O11" s="86">
        <v>54</v>
      </c>
      <c r="P11" s="120">
        <f t="shared" si="3"/>
        <v>54000</v>
      </c>
      <c r="Q11" s="85"/>
      <c r="R11" s="86">
        <v>1000</v>
      </c>
      <c r="S11" s="86">
        <v>14</v>
      </c>
      <c r="T11" s="120">
        <f t="shared" si="4"/>
        <v>14000</v>
      </c>
      <c r="U11" s="85"/>
      <c r="V11" s="96"/>
      <c r="W11" s="123">
        <v>1000</v>
      </c>
      <c r="X11" s="123">
        <f t="shared" si="5"/>
        <v>180</v>
      </c>
      <c r="Y11" s="121">
        <f t="shared" si="5"/>
        <v>180000</v>
      </c>
      <c r="Z11" s="97"/>
      <c r="AA11" s="85"/>
      <c r="AB11" s="85"/>
      <c r="AC11" s="85"/>
      <c r="AD11" s="85"/>
      <c r="AE11" s="132" t="s">
        <v>13</v>
      </c>
      <c r="AF11" s="132" t="s">
        <v>8</v>
      </c>
      <c r="AG11" s="132" t="s">
        <v>14</v>
      </c>
      <c r="AH11" s="132" t="s">
        <v>15</v>
      </c>
      <c r="AI11" s="132" t="s">
        <v>16</v>
      </c>
      <c r="AJ11" s="132"/>
      <c r="AK11" s="86">
        <v>20</v>
      </c>
      <c r="AL11" s="86">
        <v>73</v>
      </c>
      <c r="AM11" s="120">
        <f t="shared" si="6"/>
        <v>1460</v>
      </c>
    </row>
    <row r="12" spans="2:39" x14ac:dyDescent="0.25">
      <c r="B12" s="86">
        <v>5000</v>
      </c>
      <c r="C12" s="86">
        <v>2</v>
      </c>
      <c r="D12" s="120">
        <f t="shared" si="0"/>
        <v>10000</v>
      </c>
      <c r="E12" s="85"/>
      <c r="F12" s="86">
        <v>5000</v>
      </c>
      <c r="G12" s="86">
        <v>1</v>
      </c>
      <c r="H12" s="120">
        <f t="shared" si="1"/>
        <v>5000</v>
      </c>
      <c r="I12" s="85"/>
      <c r="J12" s="86">
        <v>5000</v>
      </c>
      <c r="K12" s="86">
        <v>4</v>
      </c>
      <c r="L12" s="120">
        <f t="shared" si="2"/>
        <v>20000</v>
      </c>
      <c r="M12" s="85"/>
      <c r="N12" s="86">
        <v>5000</v>
      </c>
      <c r="O12" s="86">
        <v>2</v>
      </c>
      <c r="P12" s="120">
        <f t="shared" si="3"/>
        <v>10000</v>
      </c>
      <c r="Q12" s="85"/>
      <c r="R12" s="86">
        <v>5000</v>
      </c>
      <c r="S12" s="86">
        <v>4</v>
      </c>
      <c r="T12" s="120">
        <f t="shared" si="4"/>
        <v>20000</v>
      </c>
      <c r="U12" s="85"/>
      <c r="V12" s="96"/>
      <c r="W12" s="123">
        <v>5000</v>
      </c>
      <c r="X12" s="123">
        <f t="shared" si="5"/>
        <v>13</v>
      </c>
      <c r="Y12" s="121">
        <f t="shared" si="5"/>
        <v>65000</v>
      </c>
      <c r="Z12" s="97"/>
      <c r="AA12" s="85"/>
      <c r="AB12" s="85"/>
      <c r="AC12" s="85"/>
      <c r="AD12" s="85"/>
      <c r="AE12" s="85" t="s">
        <v>17</v>
      </c>
      <c r="AF12" s="89">
        <v>435950</v>
      </c>
      <c r="AG12" s="85">
        <v>9612</v>
      </c>
      <c r="AH12" s="137">
        <v>45877</v>
      </c>
      <c r="AI12" s="85" t="s">
        <v>223</v>
      </c>
      <c r="AJ12" s="85"/>
      <c r="AK12" s="86">
        <v>50</v>
      </c>
      <c r="AL12" s="86">
        <v>236</v>
      </c>
      <c r="AM12" s="120">
        <f t="shared" si="6"/>
        <v>11800</v>
      </c>
    </row>
    <row r="13" spans="2:39" ht="15.75" thickBot="1" x14ac:dyDescent="0.3">
      <c r="B13" s="87" t="s">
        <v>18</v>
      </c>
      <c r="C13" s="87"/>
      <c r="D13" s="90">
        <f>SUM(D5:D12)</f>
        <v>43440</v>
      </c>
      <c r="E13" s="85"/>
      <c r="F13" s="87" t="s">
        <v>18</v>
      </c>
      <c r="G13" s="87"/>
      <c r="H13" s="90">
        <f>SUM(H5:H12)</f>
        <v>104700</v>
      </c>
      <c r="I13" s="85"/>
      <c r="J13" s="87" t="s">
        <v>18</v>
      </c>
      <c r="K13" s="87"/>
      <c r="L13" s="90">
        <f>SUM(L5:L12)</f>
        <v>60590</v>
      </c>
      <c r="M13" s="85"/>
      <c r="N13" s="87" t="s">
        <v>18</v>
      </c>
      <c r="O13" s="87"/>
      <c r="P13" s="90">
        <f>SUM(P5:P12)</f>
        <v>94360</v>
      </c>
      <c r="Q13" s="85"/>
      <c r="R13" s="87" t="s">
        <v>18</v>
      </c>
      <c r="S13" s="87"/>
      <c r="T13" s="90">
        <f>SUM(T5:T12)</f>
        <v>35560</v>
      </c>
      <c r="U13" s="85"/>
      <c r="V13" s="96"/>
      <c r="W13" s="87" t="s">
        <v>18</v>
      </c>
      <c r="X13" s="87"/>
      <c r="Y13" s="90">
        <f>SUM(Y5:Y12)</f>
        <v>338650</v>
      </c>
      <c r="Z13" s="97"/>
      <c r="AA13" s="85"/>
      <c r="AB13" s="85"/>
      <c r="AC13" s="85"/>
      <c r="AD13" s="85"/>
      <c r="AE13" s="85" t="s">
        <v>19</v>
      </c>
      <c r="AF13" s="89">
        <v>2000</v>
      </c>
      <c r="AG13" s="85"/>
      <c r="AH13" s="85"/>
      <c r="AI13" s="85"/>
      <c r="AJ13" s="85"/>
      <c r="AK13" s="86">
        <v>100</v>
      </c>
      <c r="AL13" s="86">
        <v>190</v>
      </c>
      <c r="AM13" s="120">
        <f t="shared" si="6"/>
        <v>19000</v>
      </c>
    </row>
    <row r="14" spans="2:39" ht="15.75" thickBot="1" x14ac:dyDescent="0.3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96"/>
      <c r="W14" s="100"/>
      <c r="X14" s="100"/>
      <c r="Y14" s="100"/>
      <c r="Z14" s="97"/>
      <c r="AA14" s="85"/>
      <c r="AB14" s="85"/>
      <c r="AC14" s="85"/>
      <c r="AD14" s="85"/>
      <c r="AE14" s="85" t="s">
        <v>20</v>
      </c>
      <c r="AF14" s="89"/>
      <c r="AG14" s="85"/>
      <c r="AH14" s="85"/>
      <c r="AI14" s="85"/>
      <c r="AJ14" s="85"/>
      <c r="AK14" s="86">
        <v>500</v>
      </c>
      <c r="AL14" s="86">
        <v>171</v>
      </c>
      <c r="AM14" s="120">
        <f t="shared" si="6"/>
        <v>85500</v>
      </c>
    </row>
    <row r="15" spans="2:39" ht="15.75" thickBot="1" x14ac:dyDescent="0.3">
      <c r="B15" s="242" t="s">
        <v>21</v>
      </c>
      <c r="C15" s="243"/>
      <c r="D15" s="92">
        <v>103047</v>
      </c>
      <c r="E15" s="114"/>
      <c r="F15" s="242" t="s">
        <v>21</v>
      </c>
      <c r="G15" s="243"/>
      <c r="H15" s="92">
        <v>124918</v>
      </c>
      <c r="I15" s="114"/>
      <c r="J15" s="242" t="s">
        <v>21</v>
      </c>
      <c r="K15" s="243"/>
      <c r="L15" s="92">
        <v>94608</v>
      </c>
      <c r="M15" s="114"/>
      <c r="N15" s="242" t="s">
        <v>21</v>
      </c>
      <c r="O15" s="243"/>
      <c r="P15" s="92">
        <v>94348</v>
      </c>
      <c r="Q15" s="114"/>
      <c r="R15" s="242" t="s">
        <v>21</v>
      </c>
      <c r="S15" s="243"/>
      <c r="T15" s="92">
        <v>714213</v>
      </c>
      <c r="U15" s="114"/>
      <c r="V15" s="115"/>
      <c r="W15" s="242" t="s">
        <v>21</v>
      </c>
      <c r="X15" s="243"/>
      <c r="Y15" s="92"/>
      <c r="Z15" s="116"/>
      <c r="AA15" s="114"/>
      <c r="AB15" s="85">
        <v>714213</v>
      </c>
      <c r="AC15" s="85"/>
      <c r="AD15" s="85"/>
      <c r="AE15" s="85" t="s">
        <v>22</v>
      </c>
      <c r="AF15" s="89"/>
      <c r="AG15" s="85"/>
      <c r="AH15" s="85"/>
      <c r="AI15" s="85"/>
      <c r="AJ15" s="85"/>
      <c r="AK15" s="86">
        <v>1000</v>
      </c>
      <c r="AL15" s="86">
        <v>242</v>
      </c>
      <c r="AM15" s="120">
        <f t="shared" si="6"/>
        <v>242000</v>
      </c>
    </row>
    <row r="16" spans="2:39" x14ac:dyDescent="0.25">
      <c r="B16" s="85" t="s">
        <v>10</v>
      </c>
      <c r="C16" s="85"/>
      <c r="D16" s="89">
        <f>D13</f>
        <v>43440</v>
      </c>
      <c r="E16" s="85"/>
      <c r="F16" s="85" t="s">
        <v>10</v>
      </c>
      <c r="G16" s="85"/>
      <c r="H16" s="89">
        <f>H13</f>
        <v>104700</v>
      </c>
      <c r="I16" s="85"/>
      <c r="J16" s="85" t="s">
        <v>10</v>
      </c>
      <c r="K16" s="85"/>
      <c r="L16" s="89">
        <f>L13</f>
        <v>60590</v>
      </c>
      <c r="M16" s="85"/>
      <c r="N16" s="85" t="s">
        <v>10</v>
      </c>
      <c r="O16" s="85"/>
      <c r="P16" s="89">
        <f>P13</f>
        <v>94360</v>
      </c>
      <c r="Q16" s="85"/>
      <c r="R16" s="85" t="s">
        <v>10</v>
      </c>
      <c r="S16" s="85"/>
      <c r="T16" s="89">
        <f>T13</f>
        <v>35560</v>
      </c>
      <c r="U16" s="85"/>
      <c r="V16" s="96"/>
      <c r="W16" s="124" t="s">
        <v>10</v>
      </c>
      <c r="X16" s="124"/>
      <c r="Y16" s="121">
        <f>+D16+H16+L16+P16+T16</f>
        <v>338650</v>
      </c>
      <c r="Z16" s="97"/>
      <c r="AA16" s="85"/>
      <c r="AB16" s="114"/>
      <c r="AC16" s="114"/>
      <c r="AD16" s="114"/>
      <c r="AE16" s="85" t="s">
        <v>23</v>
      </c>
      <c r="AF16" s="89"/>
      <c r="AG16" s="85"/>
      <c r="AH16" s="85"/>
      <c r="AI16" s="85"/>
      <c r="AJ16" s="85"/>
      <c r="AK16" s="86">
        <v>5000</v>
      </c>
      <c r="AL16" s="86">
        <v>15</v>
      </c>
      <c r="AM16" s="120">
        <f t="shared" si="6"/>
        <v>75000</v>
      </c>
    </row>
    <row r="17" spans="2:39" ht="15.75" thickBot="1" x14ac:dyDescent="0.3">
      <c r="B17" s="85" t="s">
        <v>17</v>
      </c>
      <c r="C17" s="85"/>
      <c r="D17" s="89"/>
      <c r="E17" s="85"/>
      <c r="F17" s="85" t="s">
        <v>17</v>
      </c>
      <c r="G17" s="85"/>
      <c r="H17" s="89"/>
      <c r="I17" s="85"/>
      <c r="J17" s="85" t="s">
        <v>17</v>
      </c>
      <c r="K17" s="85"/>
      <c r="L17" s="89"/>
      <c r="M17" s="85"/>
      <c r="N17" s="85" t="s">
        <v>17</v>
      </c>
      <c r="O17" s="85"/>
      <c r="P17" s="89"/>
      <c r="Q17" s="85"/>
      <c r="R17" s="85" t="s">
        <v>17</v>
      </c>
      <c r="S17" s="85"/>
      <c r="T17" s="89"/>
      <c r="U17" s="85"/>
      <c r="V17" s="96"/>
      <c r="W17" s="124" t="s">
        <v>17</v>
      </c>
      <c r="X17" s="124"/>
      <c r="Y17" s="121">
        <f t="shared" ref="Y17:Y26" si="7">+D17+H17+L17+P17+T17</f>
        <v>0</v>
      </c>
      <c r="Z17" s="97"/>
      <c r="AA17" s="85"/>
      <c r="AB17" s="85"/>
      <c r="AC17" s="85"/>
      <c r="AD17" s="85"/>
      <c r="AE17" s="133" t="s">
        <v>12</v>
      </c>
      <c r="AF17" s="134">
        <f>SUM(AF12:AF16)</f>
        <v>437950</v>
      </c>
      <c r="AG17" s="160"/>
      <c r="AH17" s="85"/>
      <c r="AI17" s="85"/>
      <c r="AJ17" s="85"/>
      <c r="AK17" s="87" t="s">
        <v>18</v>
      </c>
      <c r="AL17" s="87"/>
      <c r="AM17" s="90">
        <f>SUM(AM9:AM16)</f>
        <v>437950</v>
      </c>
    </row>
    <row r="18" spans="2:39" x14ac:dyDescent="0.25">
      <c r="B18" s="85" t="s">
        <v>226</v>
      </c>
      <c r="C18" s="85" t="s">
        <v>244</v>
      </c>
      <c r="D18" s="89">
        <v>11300</v>
      </c>
      <c r="E18" s="85"/>
      <c r="F18" s="85" t="s">
        <v>251</v>
      </c>
      <c r="G18" s="85" t="s">
        <v>252</v>
      </c>
      <c r="H18" s="89">
        <v>20225</v>
      </c>
      <c r="I18" s="85"/>
      <c r="J18" s="85" t="s">
        <v>92</v>
      </c>
      <c r="K18" s="85" t="s">
        <v>266</v>
      </c>
      <c r="L18" s="89">
        <v>7500</v>
      </c>
      <c r="M18" s="85"/>
      <c r="N18" s="85" t="s">
        <v>26</v>
      </c>
      <c r="O18" s="85"/>
      <c r="P18" s="89"/>
      <c r="Q18" s="85"/>
      <c r="R18" s="85" t="s">
        <v>89</v>
      </c>
      <c r="S18" s="85" t="s">
        <v>271</v>
      </c>
      <c r="T18" s="89">
        <v>20410</v>
      </c>
      <c r="U18" s="85"/>
      <c r="V18" s="96"/>
      <c r="W18" s="124" t="s">
        <v>26</v>
      </c>
      <c r="X18" s="124"/>
      <c r="Y18" s="121">
        <f t="shared" si="7"/>
        <v>59435</v>
      </c>
      <c r="Z18" s="97"/>
      <c r="AA18" s="85"/>
      <c r="AB18" s="85"/>
      <c r="AC18" s="85"/>
      <c r="AD18" s="85"/>
      <c r="AE18" s="135" t="s">
        <v>32</v>
      </c>
      <c r="AF18" s="136">
        <f>+AF17-AF9</f>
        <v>-20</v>
      </c>
      <c r="AG18" s="85" t="s">
        <v>33</v>
      </c>
      <c r="AH18" s="85"/>
      <c r="AI18" s="85"/>
      <c r="AJ18" s="85"/>
      <c r="AK18" s="85"/>
      <c r="AL18" s="85"/>
      <c r="AM18" s="160">
        <f>+AM17-AF9</f>
        <v>-20</v>
      </c>
    </row>
    <row r="19" spans="2:39" x14ac:dyDescent="0.25">
      <c r="B19" s="85" t="s">
        <v>93</v>
      </c>
      <c r="C19" s="85" t="s">
        <v>245</v>
      </c>
      <c r="D19" s="89">
        <v>13450</v>
      </c>
      <c r="E19" s="85"/>
      <c r="F19" s="85" t="s">
        <v>34</v>
      </c>
      <c r="G19" s="85"/>
      <c r="H19" s="89"/>
      <c r="I19" s="85"/>
      <c r="J19" s="85" t="s">
        <v>226</v>
      </c>
      <c r="K19" s="85" t="s">
        <v>267</v>
      </c>
      <c r="L19" s="89">
        <v>13300</v>
      </c>
      <c r="M19" s="85"/>
      <c r="N19" s="85" t="s">
        <v>34</v>
      </c>
      <c r="O19" s="85"/>
      <c r="P19" s="89"/>
      <c r="Q19" s="85"/>
      <c r="R19" s="85" t="s">
        <v>272</v>
      </c>
      <c r="S19" s="85" t="s">
        <v>273</v>
      </c>
      <c r="T19" s="89">
        <v>40089</v>
      </c>
      <c r="U19" s="85"/>
      <c r="V19" s="96"/>
      <c r="W19" s="124" t="s">
        <v>34</v>
      </c>
      <c r="X19" s="124"/>
      <c r="Y19" s="121">
        <f t="shared" si="7"/>
        <v>66839</v>
      </c>
      <c r="Z19" s="97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</row>
    <row r="20" spans="2:39" x14ac:dyDescent="0.25">
      <c r="B20" s="85" t="s">
        <v>93</v>
      </c>
      <c r="C20" s="85" t="s">
        <v>246</v>
      </c>
      <c r="D20" s="89">
        <v>6810</v>
      </c>
      <c r="E20" s="85"/>
      <c r="F20" s="85" t="s">
        <v>36</v>
      </c>
      <c r="G20" s="85"/>
      <c r="H20" s="89"/>
      <c r="I20" s="85"/>
      <c r="J20" s="85" t="s">
        <v>93</v>
      </c>
      <c r="K20" s="85" t="s">
        <v>268</v>
      </c>
      <c r="L20" s="89">
        <v>10076</v>
      </c>
      <c r="M20" s="85"/>
      <c r="N20" s="85" t="s">
        <v>36</v>
      </c>
      <c r="O20" s="85"/>
      <c r="P20" s="89"/>
      <c r="Q20" s="85"/>
      <c r="R20" s="85" t="s">
        <v>27</v>
      </c>
      <c r="S20" s="85"/>
      <c r="T20" s="89"/>
      <c r="U20" s="85"/>
      <c r="V20" s="96"/>
      <c r="W20" s="124" t="s">
        <v>36</v>
      </c>
      <c r="X20" s="124"/>
      <c r="Y20" s="121">
        <f>+D20+H20+L20+P20+T20</f>
        <v>16886</v>
      </c>
      <c r="Z20" s="97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</row>
    <row r="21" spans="2:39" x14ac:dyDescent="0.25">
      <c r="B21" s="85"/>
      <c r="C21" s="85"/>
      <c r="D21" s="89"/>
      <c r="E21" s="85"/>
      <c r="F21" s="85"/>
      <c r="G21" s="85"/>
      <c r="H21" s="89"/>
      <c r="I21" s="85"/>
      <c r="J21" s="85"/>
      <c r="K21" s="85"/>
      <c r="L21" s="89"/>
      <c r="M21" s="85"/>
      <c r="N21" s="85"/>
      <c r="O21" s="85"/>
      <c r="P21" s="89"/>
      <c r="Q21" s="85"/>
      <c r="R21" s="85" t="s">
        <v>27</v>
      </c>
      <c r="S21" s="85"/>
      <c r="T21" s="89"/>
      <c r="U21" s="85"/>
      <c r="V21" s="96"/>
      <c r="W21" s="124"/>
      <c r="X21" s="124"/>
      <c r="Y21" s="121">
        <f t="shared" si="7"/>
        <v>0</v>
      </c>
      <c r="Z21" s="97"/>
      <c r="AA21" s="85"/>
      <c r="AB21" s="139" t="s">
        <v>37</v>
      </c>
      <c r="AC21" s="139"/>
      <c r="AD21" s="139"/>
      <c r="AE21" s="114"/>
      <c r="AF21" s="85"/>
      <c r="AG21" s="85"/>
      <c r="AH21" s="85"/>
      <c r="AI21" s="85"/>
      <c r="AJ21" s="139" t="s">
        <v>38</v>
      </c>
      <c r="AK21" s="139"/>
      <c r="AL21" s="139"/>
      <c r="AM21" s="147"/>
    </row>
    <row r="22" spans="2:39" x14ac:dyDescent="0.25">
      <c r="B22" s="85"/>
      <c r="C22" s="85"/>
      <c r="D22" s="89"/>
      <c r="E22" s="85"/>
      <c r="F22" s="85"/>
      <c r="G22" s="85"/>
      <c r="H22" s="89"/>
      <c r="I22" s="85"/>
      <c r="J22" s="85"/>
      <c r="K22" s="85"/>
      <c r="L22" s="89"/>
      <c r="M22" s="85"/>
      <c r="N22" s="85"/>
      <c r="O22" s="85"/>
      <c r="P22" s="89"/>
      <c r="Q22" s="85"/>
      <c r="R22" s="85" t="s">
        <v>27</v>
      </c>
      <c r="S22" s="85"/>
      <c r="T22" s="89"/>
      <c r="U22" s="85"/>
      <c r="V22" s="96"/>
      <c r="W22" s="124"/>
      <c r="X22" s="124"/>
      <c r="Y22" s="121">
        <f t="shared" si="7"/>
        <v>0</v>
      </c>
      <c r="Z22" s="97"/>
      <c r="AA22" s="85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G22" s="85"/>
      <c r="AH22" s="85"/>
      <c r="AI22" s="85"/>
      <c r="AJ22" s="132" t="s">
        <v>41</v>
      </c>
      <c r="AK22" s="132" t="s">
        <v>45</v>
      </c>
      <c r="AL22" s="132" t="s">
        <v>43</v>
      </c>
      <c r="AM22" s="132" t="s">
        <v>8</v>
      </c>
    </row>
    <row r="23" spans="2:39" x14ac:dyDescent="0.25">
      <c r="B23" s="85" t="s">
        <v>247</v>
      </c>
      <c r="C23" s="85" t="s">
        <v>248</v>
      </c>
      <c r="D23" s="89">
        <v>15745</v>
      </c>
      <c r="E23" s="85"/>
      <c r="F23" s="85" t="s">
        <v>46</v>
      </c>
      <c r="G23" s="85"/>
      <c r="H23" s="89"/>
      <c r="I23" s="85"/>
      <c r="J23" s="85" t="s">
        <v>269</v>
      </c>
      <c r="K23" s="85" t="s">
        <v>270</v>
      </c>
      <c r="L23" s="89">
        <v>3265</v>
      </c>
      <c r="M23" s="85"/>
      <c r="N23" s="85" t="s">
        <v>46</v>
      </c>
      <c r="O23" s="85"/>
      <c r="P23" s="89"/>
      <c r="Q23" s="187">
        <v>0.05</v>
      </c>
      <c r="R23" s="85" t="s">
        <v>274</v>
      </c>
      <c r="S23" s="85" t="s">
        <v>275</v>
      </c>
      <c r="T23" s="89">
        <v>326102</v>
      </c>
      <c r="U23" s="85"/>
      <c r="V23" s="96"/>
      <c r="W23" s="125" t="s">
        <v>46</v>
      </c>
      <c r="X23" s="124"/>
      <c r="Y23" s="121">
        <f t="shared" si="7"/>
        <v>345112</v>
      </c>
      <c r="Z23" s="97"/>
      <c r="AA23" s="85"/>
      <c r="AB23" s="170" t="s">
        <v>139</v>
      </c>
      <c r="AC23" s="185" t="s">
        <v>242</v>
      </c>
      <c r="AD23" s="185" t="s">
        <v>243</v>
      </c>
      <c r="AE23" s="170"/>
      <c r="AF23" s="184">
        <v>76</v>
      </c>
      <c r="AG23" s="85"/>
      <c r="AH23" s="85"/>
      <c r="AI23" s="85"/>
      <c r="AJ23" s="152" t="s">
        <v>72</v>
      </c>
      <c r="AK23" s="185" t="s">
        <v>241</v>
      </c>
      <c r="AL23" s="185" t="s">
        <v>193</v>
      </c>
      <c r="AM23" s="174">
        <v>231700</v>
      </c>
    </row>
    <row r="24" spans="2:39" x14ac:dyDescent="0.25">
      <c r="B24" s="85" t="s">
        <v>249</v>
      </c>
      <c r="C24" s="85" t="s">
        <v>250</v>
      </c>
      <c r="D24" s="89">
        <v>10696</v>
      </c>
      <c r="E24" s="85"/>
      <c r="F24" s="85" t="s">
        <v>54</v>
      </c>
      <c r="G24" s="85"/>
      <c r="H24" s="89"/>
      <c r="I24" s="85"/>
      <c r="J24" s="85" t="s">
        <v>54</v>
      </c>
      <c r="K24" s="85"/>
      <c r="L24" s="89"/>
      <c r="M24" s="85"/>
      <c r="N24" s="85" t="s">
        <v>54</v>
      </c>
      <c r="O24" s="85"/>
      <c r="P24" s="89"/>
      <c r="Q24" s="85"/>
      <c r="R24" s="231" t="s">
        <v>276</v>
      </c>
      <c r="S24" s="231" t="s">
        <v>277</v>
      </c>
      <c r="T24" s="232">
        <v>16169</v>
      </c>
      <c r="U24" s="85"/>
      <c r="V24" s="96"/>
      <c r="W24" s="125" t="s">
        <v>54</v>
      </c>
      <c r="X24" s="124"/>
      <c r="Y24" s="121">
        <f t="shared" si="7"/>
        <v>26865</v>
      </c>
      <c r="Z24" s="97"/>
      <c r="AA24" s="85"/>
      <c r="AB24" s="170" t="s">
        <v>253</v>
      </c>
      <c r="AC24" s="156">
        <v>45870</v>
      </c>
      <c r="AD24" s="186" t="s">
        <v>48</v>
      </c>
      <c r="AE24" s="170"/>
      <c r="AF24" s="184">
        <v>41256</v>
      </c>
      <c r="AG24" s="85"/>
      <c r="AH24" s="85"/>
      <c r="AI24" s="85"/>
      <c r="AJ24" s="152" t="s">
        <v>139</v>
      </c>
      <c r="AK24" s="185" t="s">
        <v>242</v>
      </c>
      <c r="AL24" s="185" t="s">
        <v>243</v>
      </c>
      <c r="AM24" s="174">
        <v>5500</v>
      </c>
    </row>
    <row r="25" spans="2:39" x14ac:dyDescent="0.25">
      <c r="B25" s="85" t="s">
        <v>61</v>
      </c>
      <c r="C25" s="85"/>
      <c r="D25" s="89"/>
      <c r="E25" s="85"/>
      <c r="F25" s="85" t="s">
        <v>61</v>
      </c>
      <c r="G25" s="85"/>
      <c r="H25" s="89"/>
      <c r="I25" s="85"/>
      <c r="J25" s="85" t="s">
        <v>61</v>
      </c>
      <c r="K25" s="85"/>
      <c r="L25" s="89"/>
      <c r="M25" s="85"/>
      <c r="N25" s="85" t="s">
        <v>61</v>
      </c>
      <c r="O25" s="85"/>
      <c r="P25" s="89"/>
      <c r="Q25" s="85"/>
      <c r="R25" s="85" t="s">
        <v>278</v>
      </c>
      <c r="S25" s="85" t="s">
        <v>279</v>
      </c>
      <c r="T25" s="89">
        <v>54364</v>
      </c>
      <c r="U25" s="85"/>
      <c r="V25" s="96"/>
      <c r="W25" s="125" t="s">
        <v>61</v>
      </c>
      <c r="X25" s="124"/>
      <c r="Y25" s="121">
        <f t="shared" si="7"/>
        <v>54364</v>
      </c>
      <c r="Z25" s="97"/>
      <c r="AA25" s="85"/>
      <c r="AB25" s="170" t="s">
        <v>70</v>
      </c>
      <c r="AC25" s="185" t="s">
        <v>255</v>
      </c>
      <c r="AD25" s="185" t="s">
        <v>254</v>
      </c>
      <c r="AE25" s="170"/>
      <c r="AF25" s="184">
        <v>4668</v>
      </c>
      <c r="AG25" s="85"/>
      <c r="AH25" s="85"/>
      <c r="AI25" s="85"/>
      <c r="AJ25" s="152" t="s">
        <v>72</v>
      </c>
      <c r="AK25" s="171" t="s">
        <v>256</v>
      </c>
      <c r="AL25" s="152" t="s">
        <v>261</v>
      </c>
      <c r="AM25" s="154">
        <v>37290</v>
      </c>
    </row>
    <row r="26" spans="2:39" x14ac:dyDescent="0.25">
      <c r="B26" s="85"/>
      <c r="C26" s="85"/>
      <c r="D26" s="89"/>
      <c r="E26" s="85"/>
      <c r="F26" s="85"/>
      <c r="G26" s="85"/>
      <c r="H26" s="89"/>
      <c r="I26" s="85"/>
      <c r="J26" s="85"/>
      <c r="K26" s="85"/>
      <c r="L26" s="89"/>
      <c r="M26" s="85"/>
      <c r="N26" s="85"/>
      <c r="O26" s="85"/>
      <c r="P26" s="89"/>
      <c r="Q26" s="85"/>
      <c r="R26" s="85" t="s">
        <v>280</v>
      </c>
      <c r="S26" s="85" t="s">
        <v>65</v>
      </c>
      <c r="T26" s="89">
        <v>43664</v>
      </c>
      <c r="U26" s="85"/>
      <c r="V26" s="96"/>
      <c r="W26" s="124"/>
      <c r="X26" s="124"/>
      <c r="Y26" s="121">
        <f t="shared" si="7"/>
        <v>43664</v>
      </c>
      <c r="Z26" s="97"/>
      <c r="AA26" s="85"/>
      <c r="AB26" s="170" t="s">
        <v>372</v>
      </c>
      <c r="AC26" s="188">
        <v>950</v>
      </c>
      <c r="AD26" s="170" t="s">
        <v>284</v>
      </c>
      <c r="AE26" s="170"/>
      <c r="AF26" s="184">
        <v>53320</v>
      </c>
      <c r="AG26" s="85"/>
      <c r="AH26" s="85"/>
      <c r="AI26" s="85"/>
      <c r="AJ26" s="152" t="s">
        <v>70</v>
      </c>
      <c r="AK26" s="171" t="s">
        <v>257</v>
      </c>
      <c r="AL26" s="152" t="s">
        <v>262</v>
      </c>
      <c r="AM26" s="154">
        <v>11500</v>
      </c>
    </row>
    <row r="27" spans="2:39" ht="15.75" thickBot="1" x14ac:dyDescent="0.3">
      <c r="B27" s="85"/>
      <c r="C27" s="85"/>
      <c r="D27" s="89"/>
      <c r="E27" s="85"/>
      <c r="F27" s="85"/>
      <c r="G27" s="85"/>
      <c r="H27" s="89"/>
      <c r="I27" s="85"/>
      <c r="J27" s="85"/>
      <c r="K27" s="85"/>
      <c r="L27" s="89"/>
      <c r="M27" s="85"/>
      <c r="N27" s="85"/>
      <c r="O27" s="85"/>
      <c r="P27" s="89"/>
      <c r="Q27" s="85"/>
      <c r="R27" s="85" t="s">
        <v>281</v>
      </c>
      <c r="S27" s="85" t="s">
        <v>282</v>
      </c>
      <c r="T27" s="89">
        <v>162304</v>
      </c>
      <c r="U27" s="85"/>
      <c r="V27" s="96"/>
      <c r="W27" s="124"/>
      <c r="X27" s="124"/>
      <c r="Y27" s="121">
        <v>0</v>
      </c>
      <c r="Z27" s="97"/>
      <c r="AA27" s="85"/>
      <c r="AB27" s="170"/>
      <c r="AC27" s="183"/>
      <c r="AD27" s="170"/>
      <c r="AE27" s="170"/>
      <c r="AF27" s="184"/>
      <c r="AG27" s="85"/>
      <c r="AH27" s="85"/>
      <c r="AI27" s="85"/>
      <c r="AJ27" s="152" t="s">
        <v>72</v>
      </c>
      <c r="AK27" s="172" t="s">
        <v>258</v>
      </c>
      <c r="AL27" s="152" t="s">
        <v>263</v>
      </c>
      <c r="AM27" s="154">
        <v>19400</v>
      </c>
    </row>
    <row r="28" spans="2:39" ht="15.75" thickBot="1" x14ac:dyDescent="0.3">
      <c r="B28" s="235" t="s">
        <v>12</v>
      </c>
      <c r="C28" s="236"/>
      <c r="D28" s="93">
        <f>SUM(D16:D27)</f>
        <v>101441</v>
      </c>
      <c r="E28" s="85"/>
      <c r="F28" s="235" t="s">
        <v>12</v>
      </c>
      <c r="G28" s="236"/>
      <c r="H28" s="93">
        <f>SUM(H16:H27)</f>
        <v>124925</v>
      </c>
      <c r="I28" s="85"/>
      <c r="J28" s="235" t="s">
        <v>12</v>
      </c>
      <c r="K28" s="236"/>
      <c r="L28" s="93">
        <f>SUM(L16:L27)</f>
        <v>94731</v>
      </c>
      <c r="M28" s="85"/>
      <c r="N28" s="235" t="s">
        <v>12</v>
      </c>
      <c r="O28" s="236"/>
      <c r="P28" s="93">
        <f>SUM(P16:P27)</f>
        <v>94360</v>
      </c>
      <c r="Q28" s="85"/>
      <c r="R28" s="235" t="s">
        <v>12</v>
      </c>
      <c r="S28" s="236"/>
      <c r="T28" s="93">
        <f>SUM(T16:T27)</f>
        <v>698662</v>
      </c>
      <c r="U28" s="85"/>
      <c r="V28" s="96"/>
      <c r="W28" s="235" t="s">
        <v>12</v>
      </c>
      <c r="X28" s="236"/>
      <c r="Y28" s="91">
        <f>+SUM(Y16:Y27)</f>
        <v>951815</v>
      </c>
      <c r="Z28" s="97"/>
      <c r="AA28" s="85"/>
      <c r="AB28" s="170"/>
      <c r="AC28" s="182"/>
      <c r="AD28" s="170"/>
      <c r="AE28" s="170"/>
      <c r="AF28" s="184"/>
      <c r="AG28" s="85"/>
      <c r="AH28" s="85"/>
      <c r="AI28" s="85"/>
      <c r="AJ28" s="152" t="s">
        <v>139</v>
      </c>
      <c r="AK28" s="171" t="s">
        <v>259</v>
      </c>
      <c r="AL28" s="152" t="s">
        <v>264</v>
      </c>
      <c r="AM28" s="154">
        <v>5590</v>
      </c>
    </row>
    <row r="29" spans="2:39" x14ac:dyDescent="0.25">
      <c r="B29" s="85"/>
      <c r="C29" s="85"/>
      <c r="D29" s="89"/>
      <c r="E29" s="85"/>
      <c r="F29" s="85"/>
      <c r="G29" s="85"/>
      <c r="H29" s="89"/>
      <c r="I29" s="85"/>
      <c r="J29" s="85"/>
      <c r="K29" s="85"/>
      <c r="L29" s="89"/>
      <c r="M29" s="85"/>
      <c r="N29" s="85"/>
      <c r="O29" s="85"/>
      <c r="P29" s="89"/>
      <c r="Q29" s="85"/>
      <c r="R29" s="85"/>
      <c r="S29" s="85"/>
      <c r="T29" s="89"/>
      <c r="U29" s="85"/>
      <c r="V29" s="96"/>
      <c r="W29" s="100"/>
      <c r="X29" s="100"/>
      <c r="Y29" s="99"/>
      <c r="Z29" s="97"/>
      <c r="AA29" s="85"/>
      <c r="AB29" s="170"/>
      <c r="AC29" s="182"/>
      <c r="AD29" s="170"/>
      <c r="AE29" s="170"/>
      <c r="AF29" s="184"/>
      <c r="AG29" s="85"/>
      <c r="AH29" s="85"/>
      <c r="AI29" s="85"/>
      <c r="AJ29" s="152" t="s">
        <v>72</v>
      </c>
      <c r="AK29" s="171" t="s">
        <v>260</v>
      </c>
      <c r="AL29" s="152" t="s">
        <v>265</v>
      </c>
      <c r="AM29" s="169">
        <v>8528</v>
      </c>
    </row>
    <row r="30" spans="2:39" ht="15.75" thickBot="1" x14ac:dyDescent="0.3">
      <c r="B30" s="237" t="s">
        <v>75</v>
      </c>
      <c r="C30" s="237"/>
      <c r="D30" s="91">
        <f>D28-D15</f>
        <v>-1606</v>
      </c>
      <c r="E30" s="85"/>
      <c r="F30" s="237" t="s">
        <v>75</v>
      </c>
      <c r="G30" s="237"/>
      <c r="H30" s="91">
        <f>H28-H15</f>
        <v>7</v>
      </c>
      <c r="I30" s="85"/>
      <c r="J30" s="237" t="s">
        <v>75</v>
      </c>
      <c r="K30" s="237"/>
      <c r="L30" s="91">
        <f>L28-L15</f>
        <v>123</v>
      </c>
      <c r="M30" s="85"/>
      <c r="N30" s="237" t="s">
        <v>75</v>
      </c>
      <c r="O30" s="237"/>
      <c r="P30" s="91">
        <f>P28-P15</f>
        <v>12</v>
      </c>
      <c r="Q30" s="85"/>
      <c r="R30" s="237" t="s">
        <v>75</v>
      </c>
      <c r="S30" s="237"/>
      <c r="T30" s="91">
        <f>T28-T15</f>
        <v>-15551</v>
      </c>
      <c r="U30" s="85"/>
      <c r="V30" s="96"/>
      <c r="W30" s="238" t="s">
        <v>75</v>
      </c>
      <c r="X30" s="238"/>
      <c r="Y30" s="91">
        <f>Y28-Y15</f>
        <v>951815</v>
      </c>
      <c r="Z30" s="97"/>
      <c r="AA30" s="85"/>
      <c r="AB30" s="170"/>
      <c r="AC30" s="182"/>
      <c r="AD30" s="170"/>
      <c r="AE30" s="170"/>
      <c r="AF30" s="184"/>
      <c r="AG30" s="85"/>
      <c r="AH30" s="85"/>
      <c r="AI30" s="85"/>
      <c r="AJ30" s="152"/>
      <c r="AK30" s="152"/>
      <c r="AL30" s="152"/>
      <c r="AM30" s="154"/>
    </row>
    <row r="31" spans="2:39" ht="16.5" thickTop="1" thickBo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01"/>
      <c r="W31" s="102"/>
      <c r="X31" s="102"/>
      <c r="Y31" s="102"/>
      <c r="Z31" s="103"/>
      <c r="AA31" s="85"/>
      <c r="AB31" s="170"/>
      <c r="AC31" s="170"/>
      <c r="AD31" s="170"/>
      <c r="AE31" s="170"/>
      <c r="AF31" s="170"/>
      <c r="AG31" s="85"/>
      <c r="AH31" s="85"/>
      <c r="AI31" s="85"/>
      <c r="AJ31" s="152"/>
      <c r="AK31" s="152"/>
      <c r="AL31" s="152"/>
      <c r="AM31" s="154"/>
    </row>
    <row r="32" spans="2:39" ht="15.75" thickBot="1" x14ac:dyDescent="0.3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145" t="s">
        <v>74</v>
      </c>
      <c r="AC32" s="145"/>
      <c r="AD32" s="145"/>
      <c r="AE32" s="145"/>
      <c r="AF32" s="176">
        <f>SUM(AF23:AF30)</f>
        <v>99320</v>
      </c>
      <c r="AG32" s="85"/>
      <c r="AH32" s="85"/>
      <c r="AI32" s="85"/>
      <c r="AJ32" s="150" t="s">
        <v>74</v>
      </c>
      <c r="AK32" s="150"/>
      <c r="AL32" s="150"/>
      <c r="AM32" s="175">
        <f>SUM(AM23:AM31)</f>
        <v>319508</v>
      </c>
    </row>
    <row r="33" spans="2:40" ht="16.5" thickTop="1" thickBo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</row>
    <row r="34" spans="2:40" x14ac:dyDescent="0.25">
      <c r="B34" s="94" t="s">
        <v>76</v>
      </c>
      <c r="C34" s="95"/>
      <c r="D34" s="105">
        <v>1606</v>
      </c>
      <c r="E34" s="85"/>
      <c r="F34" s="94" t="s">
        <v>76</v>
      </c>
      <c r="G34" s="95"/>
      <c r="H34" s="105"/>
      <c r="I34" s="85"/>
      <c r="J34" s="94" t="s">
        <v>76</v>
      </c>
      <c r="K34" s="95"/>
      <c r="L34" s="105"/>
      <c r="M34" s="85"/>
      <c r="N34" s="94" t="s">
        <v>76</v>
      </c>
      <c r="O34" s="95"/>
      <c r="P34" s="105"/>
      <c r="Q34" s="85"/>
      <c r="R34" s="94" t="s">
        <v>76</v>
      </c>
      <c r="S34" s="95"/>
      <c r="T34" s="105"/>
      <c r="U34" s="85"/>
      <c r="V34" s="85"/>
      <c r="W34" s="127" t="s">
        <v>76</v>
      </c>
      <c r="X34" s="128"/>
      <c r="Y34" s="129">
        <f>+D34+H34+L34+P34+T34</f>
        <v>1606</v>
      </c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</row>
    <row r="35" spans="2:40" x14ac:dyDescent="0.25">
      <c r="B35" s="96" t="s">
        <v>77</v>
      </c>
      <c r="C35" s="100"/>
      <c r="D35" s="106"/>
      <c r="E35" s="85"/>
      <c r="F35" s="96" t="s">
        <v>77</v>
      </c>
      <c r="G35" s="100"/>
      <c r="H35" s="106"/>
      <c r="I35" s="85"/>
      <c r="J35" s="96" t="s">
        <v>77</v>
      </c>
      <c r="K35" s="100"/>
      <c r="L35" s="106"/>
      <c r="M35" s="85"/>
      <c r="N35" s="96" t="s">
        <v>77</v>
      </c>
      <c r="O35" s="100"/>
      <c r="P35" s="106"/>
      <c r="Q35" s="85"/>
      <c r="R35" s="96" t="s">
        <v>283</v>
      </c>
      <c r="S35" s="100"/>
      <c r="T35" s="106">
        <v>6865</v>
      </c>
      <c r="U35" s="85"/>
      <c r="V35" s="85"/>
      <c r="W35" s="130" t="s">
        <v>77</v>
      </c>
      <c r="X35" s="124"/>
      <c r="Y35" s="131">
        <f t="shared" ref="Y35:Y36" si="8">+D35+H35+L35+P35+T35</f>
        <v>6865</v>
      </c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</row>
    <row r="36" spans="2:40" x14ac:dyDescent="0.25">
      <c r="B36" s="96" t="s">
        <v>79</v>
      </c>
      <c r="C36" s="100"/>
      <c r="D36" s="106"/>
      <c r="E36" s="85"/>
      <c r="F36" s="96" t="s">
        <v>79</v>
      </c>
      <c r="G36" s="100"/>
      <c r="H36" s="106">
        <v>-7</v>
      </c>
      <c r="I36" s="85"/>
      <c r="J36" s="96" t="s">
        <v>79</v>
      </c>
      <c r="K36" s="100"/>
      <c r="L36" s="106">
        <v>-123</v>
      </c>
      <c r="M36" s="85"/>
      <c r="N36" s="96" t="s">
        <v>79</v>
      </c>
      <c r="O36" s="100"/>
      <c r="P36" s="106">
        <v>-12</v>
      </c>
      <c r="Q36" s="85"/>
      <c r="R36" s="96" t="s">
        <v>80</v>
      </c>
      <c r="S36" s="100"/>
      <c r="T36" s="106">
        <v>13732</v>
      </c>
      <c r="U36" s="85"/>
      <c r="V36" s="85"/>
      <c r="W36" s="130" t="s">
        <v>78</v>
      </c>
      <c r="X36" s="124"/>
      <c r="Y36" s="131">
        <f t="shared" si="8"/>
        <v>13590</v>
      </c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</row>
    <row r="37" spans="2:40" x14ac:dyDescent="0.25">
      <c r="B37" s="96" t="s">
        <v>18</v>
      </c>
      <c r="C37" s="100"/>
      <c r="D37" s="106">
        <f>+SUM(D34:D36)</f>
        <v>1606</v>
      </c>
      <c r="E37" s="85"/>
      <c r="F37" s="96" t="s">
        <v>18</v>
      </c>
      <c r="G37" s="100"/>
      <c r="H37" s="106">
        <f>+SUM(H34:H36)</f>
        <v>-7</v>
      </c>
      <c r="I37" s="85"/>
      <c r="J37" s="96" t="s">
        <v>18</v>
      </c>
      <c r="K37" s="100"/>
      <c r="L37" s="106">
        <f>+SUM(L34:L36)</f>
        <v>-123</v>
      </c>
      <c r="M37" s="85"/>
      <c r="N37" s="96" t="s">
        <v>18</v>
      </c>
      <c r="O37" s="100"/>
      <c r="P37" s="106">
        <f>+SUM(P34:P36)</f>
        <v>-12</v>
      </c>
      <c r="Q37" s="85"/>
      <c r="R37" s="96" t="s">
        <v>18</v>
      </c>
      <c r="S37" s="100"/>
      <c r="T37" s="106">
        <f>+SUM(T34:T36)</f>
        <v>20597</v>
      </c>
      <c r="U37" s="85"/>
      <c r="V37" s="85"/>
      <c r="W37" s="117" t="s">
        <v>18</v>
      </c>
      <c r="X37" s="118"/>
      <c r="Y37" s="161">
        <f>+SUM(Y34:Y36)</f>
        <v>22061</v>
      </c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</row>
    <row r="38" spans="2:40" ht="15.75" thickBot="1" x14ac:dyDescent="0.3">
      <c r="B38" s="107" t="s">
        <v>81</v>
      </c>
      <c r="C38" s="108"/>
      <c r="D38" s="109">
        <f>+D30+D37</f>
        <v>0</v>
      </c>
      <c r="E38" s="85"/>
      <c r="F38" s="107" t="s">
        <v>81</v>
      </c>
      <c r="G38" s="108"/>
      <c r="H38" s="109">
        <f>+H30+H37</f>
        <v>0</v>
      </c>
      <c r="I38" s="85"/>
      <c r="J38" s="107" t="s">
        <v>81</v>
      </c>
      <c r="K38" s="108"/>
      <c r="L38" s="109">
        <f>+L30+L37</f>
        <v>0</v>
      </c>
      <c r="M38" s="85"/>
      <c r="N38" s="107" t="s">
        <v>81</v>
      </c>
      <c r="O38" s="108"/>
      <c r="P38" s="109">
        <f>+P30+P37</f>
        <v>0</v>
      </c>
      <c r="Q38" s="85"/>
      <c r="R38" s="107" t="s">
        <v>81</v>
      </c>
      <c r="S38" s="108"/>
      <c r="T38" s="109">
        <f>+T30+T37</f>
        <v>5046</v>
      </c>
      <c r="U38" s="85"/>
      <c r="V38" s="85"/>
      <c r="W38" s="107" t="s">
        <v>81</v>
      </c>
      <c r="X38" s="108"/>
      <c r="Y38" s="109">
        <f>+D38+H38+L38+P38+T38</f>
        <v>5046</v>
      </c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</row>
    <row r="39" spans="2:40" x14ac:dyDescent="0.25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</row>
    <row r="40" spans="2:40" x14ac:dyDescent="0.25"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</row>
    <row r="41" spans="2:40" x14ac:dyDescent="0.25"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</row>
    <row r="42" spans="2:40" x14ac:dyDescent="0.25"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</row>
    <row r="43" spans="2:40" x14ac:dyDescent="0.25"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</row>
    <row r="44" spans="2:40" x14ac:dyDescent="0.25"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</row>
    <row r="45" spans="2:40" x14ac:dyDescent="0.25"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</row>
  </sheetData>
  <mergeCells count="25">
    <mergeCell ref="W3:Y3"/>
    <mergeCell ref="B3:D3"/>
    <mergeCell ref="F3:H3"/>
    <mergeCell ref="J3:L3"/>
    <mergeCell ref="N3:P3"/>
    <mergeCell ref="R3:T3"/>
    <mergeCell ref="AE5:AI5"/>
    <mergeCell ref="B15:C15"/>
    <mergeCell ref="F15:G15"/>
    <mergeCell ref="J15:K15"/>
    <mergeCell ref="N15:O15"/>
    <mergeCell ref="R15:S15"/>
    <mergeCell ref="W15:X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42"/>
  <sheetViews>
    <sheetView topLeftCell="K3" zoomScale="80" zoomScaleNormal="80" workbookViewId="0">
      <selection activeCell="AC35" sqref="AC35"/>
    </sheetView>
  </sheetViews>
  <sheetFormatPr defaultRowHeight="15" x14ac:dyDescent="0.25"/>
  <cols>
    <col min="2" max="2" width="13.140625" customWidth="1"/>
    <col min="3" max="3" width="14" customWidth="1"/>
    <col min="6" max="6" width="13" customWidth="1"/>
    <col min="7" max="7" width="13.42578125" customWidth="1"/>
    <col min="8" max="8" width="9.5703125" bestFit="1" customWidth="1"/>
    <col min="18" max="18" width="12.7109375" customWidth="1"/>
    <col min="19" max="19" width="13.85546875" customWidth="1"/>
    <col min="20" max="20" width="11.5703125" bestFit="1" customWidth="1"/>
    <col min="22" max="22" width="1.140625" customWidth="1"/>
    <col min="25" max="25" width="9.5703125" bestFit="1" customWidth="1"/>
    <col min="26" max="26" width="1.28515625" customWidth="1"/>
    <col min="29" max="29" width="10.140625" bestFit="1" customWidth="1"/>
    <col min="30" max="31" width="13.85546875" bestFit="1" customWidth="1"/>
    <col min="32" max="32" width="12.140625" customWidth="1"/>
    <col min="39" max="39" width="9.5703125" bestFit="1" customWidth="1"/>
  </cols>
  <sheetData>
    <row r="2" spans="2:39" x14ac:dyDescent="0.25">
      <c r="AC2" s="147"/>
    </row>
    <row r="3" spans="2:39" x14ac:dyDescent="0.25">
      <c r="B3" s="240" t="s">
        <v>0</v>
      </c>
      <c r="C3" s="240"/>
      <c r="D3" s="240"/>
      <c r="E3" s="85"/>
      <c r="F3" s="240" t="s">
        <v>1</v>
      </c>
      <c r="G3" s="240"/>
      <c r="H3" s="240"/>
      <c r="I3" s="85"/>
      <c r="J3" s="240" t="s">
        <v>2</v>
      </c>
      <c r="K3" s="240"/>
      <c r="L3" s="240"/>
      <c r="M3" s="85"/>
      <c r="N3" s="240" t="s">
        <v>3</v>
      </c>
      <c r="O3" s="240"/>
      <c r="P3" s="240"/>
      <c r="Q3" s="85"/>
      <c r="R3" s="240" t="s">
        <v>4</v>
      </c>
      <c r="S3" s="240"/>
      <c r="T3" s="240"/>
      <c r="U3" s="85"/>
      <c r="V3" s="96"/>
      <c r="W3" s="239" t="s">
        <v>5</v>
      </c>
      <c r="X3" s="239"/>
      <c r="Y3" s="239"/>
      <c r="Z3" s="97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</row>
    <row r="4" spans="2:39" x14ac:dyDescent="0.25">
      <c r="B4" s="88" t="s">
        <v>6</v>
      </c>
      <c r="C4" s="88" t="s">
        <v>7</v>
      </c>
      <c r="D4" s="88" t="s">
        <v>8</v>
      </c>
      <c r="E4" s="85"/>
      <c r="F4" s="88" t="s">
        <v>6</v>
      </c>
      <c r="G4" s="88" t="s">
        <v>7</v>
      </c>
      <c r="H4" s="88" t="s">
        <v>8</v>
      </c>
      <c r="I4" s="85"/>
      <c r="J4" s="88" t="s">
        <v>6</v>
      </c>
      <c r="K4" s="88" t="s">
        <v>7</v>
      </c>
      <c r="L4" s="88" t="s">
        <v>8</v>
      </c>
      <c r="M4" s="85"/>
      <c r="N4" s="88" t="s">
        <v>6</v>
      </c>
      <c r="O4" s="88" t="s">
        <v>7</v>
      </c>
      <c r="P4" s="88" t="s">
        <v>8</v>
      </c>
      <c r="Q4" s="85"/>
      <c r="R4" s="88" t="s">
        <v>6</v>
      </c>
      <c r="S4" s="88" t="s">
        <v>7</v>
      </c>
      <c r="T4" s="88" t="s">
        <v>8</v>
      </c>
      <c r="U4" s="85"/>
      <c r="V4" s="96"/>
      <c r="W4" s="98" t="s">
        <v>6</v>
      </c>
      <c r="X4" s="98" t="s">
        <v>7</v>
      </c>
      <c r="Y4" s="98" t="s">
        <v>8</v>
      </c>
      <c r="Z4" s="97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</row>
    <row r="5" spans="2:39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>
        <v>3</v>
      </c>
      <c r="H5" s="120">
        <f>+G5*F5</f>
        <v>3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>
        <v>2</v>
      </c>
      <c r="T5" s="120">
        <f>+S5*R5</f>
        <v>2</v>
      </c>
      <c r="U5" s="110"/>
      <c r="V5" s="111"/>
      <c r="W5" s="122">
        <v>1</v>
      </c>
      <c r="X5" s="123">
        <f>+C5+G5+K5+O5+S5</f>
        <v>5</v>
      </c>
      <c r="Y5" s="121">
        <f>+D5+H5+L5+P5+T5</f>
        <v>5</v>
      </c>
      <c r="Z5" s="112"/>
      <c r="AA5" s="110"/>
      <c r="AB5" s="85"/>
      <c r="AC5" s="85"/>
      <c r="AD5" s="85"/>
      <c r="AE5" s="241" t="s">
        <v>9</v>
      </c>
      <c r="AF5" s="241"/>
      <c r="AG5" s="241"/>
      <c r="AH5" s="241"/>
      <c r="AI5" s="241"/>
      <c r="AJ5" s="146"/>
      <c r="AK5" s="85"/>
      <c r="AL5" s="85"/>
      <c r="AM5" s="85"/>
    </row>
    <row r="6" spans="2:39" ht="15.75" thickTop="1" x14ac:dyDescent="0.25">
      <c r="B6" s="86">
        <v>10</v>
      </c>
      <c r="C6" s="86">
        <v>46</v>
      </c>
      <c r="D6" s="120">
        <f>+C6*B6</f>
        <v>460</v>
      </c>
      <c r="E6" s="85"/>
      <c r="F6" s="86">
        <v>10</v>
      </c>
      <c r="G6" s="86">
        <v>143</v>
      </c>
      <c r="H6" s="120">
        <f>+G6*F6</f>
        <v>1430</v>
      </c>
      <c r="I6" s="85"/>
      <c r="J6" s="86">
        <v>10</v>
      </c>
      <c r="K6" s="86">
        <v>253</v>
      </c>
      <c r="L6" s="120">
        <f>+K6*J6</f>
        <v>2530</v>
      </c>
      <c r="M6" s="85"/>
      <c r="N6" s="86">
        <v>10</v>
      </c>
      <c r="O6" s="86">
        <v>45</v>
      </c>
      <c r="P6" s="120">
        <f>+O6*N6</f>
        <v>450</v>
      </c>
      <c r="Q6" s="85"/>
      <c r="R6" s="86">
        <v>10</v>
      </c>
      <c r="S6" s="86">
        <v>12</v>
      </c>
      <c r="T6" s="120">
        <f>+S6*R6</f>
        <v>120</v>
      </c>
      <c r="U6" s="85"/>
      <c r="V6" s="96"/>
      <c r="W6" s="123">
        <v>10</v>
      </c>
      <c r="X6" s="123">
        <f>+C6+G6+K6+O6+S6</f>
        <v>499</v>
      </c>
      <c r="Y6" s="121">
        <f>+D6+H6+L6+P6+T6</f>
        <v>4990</v>
      </c>
      <c r="Z6" s="97"/>
      <c r="AA6" s="85"/>
      <c r="AB6" s="110"/>
      <c r="AC6" s="110"/>
      <c r="AD6" s="110"/>
      <c r="AE6" s="85"/>
      <c r="AF6" s="85"/>
      <c r="AG6" s="85"/>
      <c r="AH6" s="85"/>
      <c r="AI6" s="85"/>
      <c r="AJ6" s="85"/>
      <c r="AK6" s="110"/>
      <c r="AL6" s="110"/>
      <c r="AM6" s="110"/>
    </row>
    <row r="7" spans="2:39" x14ac:dyDescent="0.25">
      <c r="B7" s="86">
        <v>20</v>
      </c>
      <c r="C7" s="86">
        <v>11</v>
      </c>
      <c r="D7" s="120">
        <f t="shared" ref="D7:D12" si="0">+C7*B7</f>
        <v>220</v>
      </c>
      <c r="E7" s="85"/>
      <c r="F7" s="86">
        <v>20</v>
      </c>
      <c r="G7" s="86">
        <v>13</v>
      </c>
      <c r="H7" s="120">
        <f t="shared" ref="H7:H12" si="1">+G7*F7</f>
        <v>260</v>
      </c>
      <c r="I7" s="85"/>
      <c r="J7" s="86">
        <v>20</v>
      </c>
      <c r="K7" s="86">
        <v>21</v>
      </c>
      <c r="L7" s="120">
        <f t="shared" ref="L7:L12" si="2">+K7*J7</f>
        <v>420</v>
      </c>
      <c r="M7" s="85"/>
      <c r="N7" s="86">
        <v>20</v>
      </c>
      <c r="O7" s="86"/>
      <c r="P7" s="120">
        <f t="shared" ref="P7:P12" si="3">+O7*N7</f>
        <v>0</v>
      </c>
      <c r="Q7" s="85"/>
      <c r="R7" s="86">
        <v>20</v>
      </c>
      <c r="S7" s="86"/>
      <c r="T7" s="120">
        <f t="shared" ref="T7:T12" si="4">+S7*R7</f>
        <v>0</v>
      </c>
      <c r="U7" s="85"/>
      <c r="V7" s="96"/>
      <c r="W7" s="123">
        <v>20</v>
      </c>
      <c r="X7" s="123">
        <f>+C7+G7+K7+O7+S7</f>
        <v>45</v>
      </c>
      <c r="Y7" s="121">
        <f t="shared" ref="Y7:Y12" si="5">+D7+H7+L7+P7+T7</f>
        <v>900</v>
      </c>
      <c r="Z7" s="97"/>
      <c r="AA7" s="85"/>
      <c r="AB7" s="85"/>
      <c r="AC7" s="85"/>
      <c r="AD7" s="85"/>
      <c r="AE7" s="141" t="s">
        <v>10</v>
      </c>
      <c r="AF7" s="142">
        <v>363145</v>
      </c>
      <c r="AG7" s="110"/>
      <c r="AH7" s="110"/>
      <c r="AI7" s="110"/>
      <c r="AJ7" s="110"/>
      <c r="AK7" s="85"/>
      <c r="AL7" s="85"/>
      <c r="AM7" s="85"/>
    </row>
    <row r="8" spans="2:39" x14ac:dyDescent="0.25">
      <c r="B8" s="86">
        <v>50</v>
      </c>
      <c r="C8" s="86">
        <v>20</v>
      </c>
      <c r="D8" s="120">
        <f t="shared" si="0"/>
        <v>1000</v>
      </c>
      <c r="E8" s="85"/>
      <c r="F8" s="86">
        <v>50</v>
      </c>
      <c r="G8" s="86">
        <v>39</v>
      </c>
      <c r="H8" s="120">
        <f t="shared" si="1"/>
        <v>1950</v>
      </c>
      <c r="I8" s="85"/>
      <c r="J8" s="86">
        <v>50</v>
      </c>
      <c r="K8" s="86">
        <v>15</v>
      </c>
      <c r="L8" s="120">
        <f t="shared" si="2"/>
        <v>750</v>
      </c>
      <c r="M8" s="85"/>
      <c r="N8" s="86">
        <v>50</v>
      </c>
      <c r="O8" s="86">
        <v>120</v>
      </c>
      <c r="P8" s="120">
        <f t="shared" si="3"/>
        <v>6000</v>
      </c>
      <c r="Q8" s="85"/>
      <c r="R8" s="86">
        <v>50</v>
      </c>
      <c r="S8" s="86">
        <v>9</v>
      </c>
      <c r="T8" s="120">
        <f t="shared" si="4"/>
        <v>450</v>
      </c>
      <c r="U8" s="85"/>
      <c r="V8" s="96"/>
      <c r="W8" s="123">
        <v>50</v>
      </c>
      <c r="X8" s="123">
        <f t="shared" ref="X8:X12" si="6">+C8+G8+K8+O8+S8</f>
        <v>203</v>
      </c>
      <c r="Y8" s="121">
        <f t="shared" si="5"/>
        <v>10150</v>
      </c>
      <c r="Z8" s="97"/>
      <c r="AA8" s="85"/>
      <c r="AB8" s="85"/>
      <c r="AC8" s="85"/>
      <c r="AD8" s="85"/>
      <c r="AE8" s="138" t="s">
        <v>11</v>
      </c>
      <c r="AF8" s="138">
        <f>+AF29</f>
        <v>24235</v>
      </c>
      <c r="AG8" s="85"/>
      <c r="AH8" s="85"/>
      <c r="AI8" s="85"/>
      <c r="AJ8" s="85"/>
      <c r="AK8" s="88" t="s">
        <v>6</v>
      </c>
      <c r="AL8" s="88" t="s">
        <v>7</v>
      </c>
      <c r="AM8" s="88" t="s">
        <v>8</v>
      </c>
    </row>
    <row r="9" spans="2:39" ht="15.75" thickBot="1" x14ac:dyDescent="0.3">
      <c r="B9" s="86">
        <v>100</v>
      </c>
      <c r="C9" s="86"/>
      <c r="D9" s="120">
        <f t="shared" si="0"/>
        <v>0</v>
      </c>
      <c r="E9" s="85"/>
      <c r="F9" s="86">
        <v>100</v>
      </c>
      <c r="G9" s="86">
        <v>43</v>
      </c>
      <c r="H9" s="120">
        <f t="shared" si="1"/>
        <v>4300</v>
      </c>
      <c r="I9" s="85"/>
      <c r="J9" s="86">
        <v>100</v>
      </c>
      <c r="K9" s="86">
        <v>8</v>
      </c>
      <c r="L9" s="120">
        <f t="shared" si="2"/>
        <v>800</v>
      </c>
      <c r="M9" s="85"/>
      <c r="N9" s="86">
        <v>100</v>
      </c>
      <c r="O9" s="86">
        <v>113</v>
      </c>
      <c r="P9" s="120">
        <f t="shared" si="3"/>
        <v>11300</v>
      </c>
      <c r="Q9" s="85"/>
      <c r="R9" s="86">
        <v>100</v>
      </c>
      <c r="S9" s="86">
        <v>97</v>
      </c>
      <c r="T9" s="120">
        <f t="shared" si="4"/>
        <v>9700</v>
      </c>
      <c r="U9" s="85"/>
      <c r="V9" s="96"/>
      <c r="W9" s="123">
        <v>100</v>
      </c>
      <c r="X9" s="123">
        <f t="shared" si="6"/>
        <v>261</v>
      </c>
      <c r="Y9" s="121">
        <f t="shared" si="5"/>
        <v>26100</v>
      </c>
      <c r="Z9" s="97"/>
      <c r="AA9" s="85"/>
      <c r="AB9" s="85"/>
      <c r="AC9" s="85"/>
      <c r="AD9" s="85"/>
      <c r="AE9" s="143" t="s">
        <v>12</v>
      </c>
      <c r="AF9" s="144">
        <f>SUM(AF7:AF8)</f>
        <v>387380</v>
      </c>
      <c r="AG9" s="85"/>
      <c r="AH9" s="85"/>
      <c r="AI9" s="85"/>
      <c r="AJ9" s="85"/>
      <c r="AK9" s="113">
        <v>1</v>
      </c>
      <c r="AL9" s="113">
        <v>10</v>
      </c>
      <c r="AM9" s="120">
        <f>+AL9*AK9</f>
        <v>10</v>
      </c>
    </row>
    <row r="10" spans="2:39" x14ac:dyDescent="0.25">
      <c r="B10" s="86">
        <v>500</v>
      </c>
      <c r="C10" s="86">
        <v>18</v>
      </c>
      <c r="D10" s="120">
        <f t="shared" si="0"/>
        <v>9000</v>
      </c>
      <c r="E10" s="85"/>
      <c r="F10" s="86">
        <v>500</v>
      </c>
      <c r="G10" s="86">
        <v>43</v>
      </c>
      <c r="H10" s="120">
        <f t="shared" si="1"/>
        <v>21500</v>
      </c>
      <c r="I10" s="85"/>
      <c r="J10" s="86">
        <v>500</v>
      </c>
      <c r="K10" s="86">
        <v>27</v>
      </c>
      <c r="L10" s="120">
        <f t="shared" si="2"/>
        <v>13500</v>
      </c>
      <c r="M10" s="85"/>
      <c r="N10" s="86">
        <v>500</v>
      </c>
      <c r="O10" s="86">
        <v>20</v>
      </c>
      <c r="P10" s="120">
        <f t="shared" si="3"/>
        <v>10000</v>
      </c>
      <c r="Q10" s="85"/>
      <c r="R10" s="86">
        <v>500</v>
      </c>
      <c r="S10" s="86">
        <v>6</v>
      </c>
      <c r="T10" s="120">
        <f t="shared" si="4"/>
        <v>3000</v>
      </c>
      <c r="U10" s="85"/>
      <c r="V10" s="96"/>
      <c r="W10" s="123">
        <v>500</v>
      </c>
      <c r="X10" s="123">
        <f t="shared" si="6"/>
        <v>114</v>
      </c>
      <c r="Y10" s="121">
        <f t="shared" si="5"/>
        <v>57000</v>
      </c>
      <c r="Z10" s="97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6">
        <v>10</v>
      </c>
      <c r="AL10" s="86">
        <v>502</v>
      </c>
      <c r="AM10" s="120">
        <f>+AL10*AK10</f>
        <v>5020</v>
      </c>
    </row>
    <row r="11" spans="2:39" x14ac:dyDescent="0.25">
      <c r="B11" s="86">
        <v>1000</v>
      </c>
      <c r="C11" s="86">
        <v>23</v>
      </c>
      <c r="D11" s="120">
        <f t="shared" si="0"/>
        <v>23000</v>
      </c>
      <c r="E11" s="85"/>
      <c r="F11" s="86">
        <v>1000</v>
      </c>
      <c r="G11" s="86">
        <v>63</v>
      </c>
      <c r="H11" s="120">
        <f t="shared" si="1"/>
        <v>63000</v>
      </c>
      <c r="I11" s="85"/>
      <c r="J11" s="86">
        <v>1000</v>
      </c>
      <c r="K11" s="86">
        <v>47</v>
      </c>
      <c r="L11" s="120">
        <f t="shared" si="2"/>
        <v>47000</v>
      </c>
      <c r="M11" s="85"/>
      <c r="N11" s="86">
        <v>1000</v>
      </c>
      <c r="O11" s="86">
        <v>38</v>
      </c>
      <c r="P11" s="120">
        <f t="shared" si="3"/>
        <v>38000</v>
      </c>
      <c r="Q11" s="85"/>
      <c r="R11" s="86">
        <v>1000</v>
      </c>
      <c r="S11" s="86">
        <v>23</v>
      </c>
      <c r="T11" s="120">
        <f t="shared" si="4"/>
        <v>23000</v>
      </c>
      <c r="U11" s="85"/>
      <c r="V11" s="96"/>
      <c r="W11" s="123">
        <v>1000</v>
      </c>
      <c r="X11" s="123">
        <f t="shared" si="6"/>
        <v>194</v>
      </c>
      <c r="Y11" s="121">
        <f t="shared" si="5"/>
        <v>194000</v>
      </c>
      <c r="Z11" s="97"/>
      <c r="AA11" s="85"/>
      <c r="AB11" s="85"/>
      <c r="AC11" s="85"/>
      <c r="AD11" s="85"/>
      <c r="AE11" s="132" t="s">
        <v>13</v>
      </c>
      <c r="AF11" s="132" t="s">
        <v>8</v>
      </c>
      <c r="AG11" s="132" t="s">
        <v>14</v>
      </c>
      <c r="AH11" s="132" t="s">
        <v>15</v>
      </c>
      <c r="AI11" s="132" t="s">
        <v>16</v>
      </c>
      <c r="AJ11" s="132"/>
      <c r="AK11" s="86">
        <v>20</v>
      </c>
      <c r="AL11" s="86">
        <v>45</v>
      </c>
      <c r="AM11" s="120">
        <f t="shared" ref="AM11:AM16" si="7">+AL11*AK11</f>
        <v>900</v>
      </c>
    </row>
    <row r="12" spans="2:39" x14ac:dyDescent="0.25">
      <c r="B12" s="86">
        <v>5000</v>
      </c>
      <c r="C12" s="86">
        <v>4</v>
      </c>
      <c r="D12" s="120">
        <f t="shared" si="0"/>
        <v>20000</v>
      </c>
      <c r="E12" s="85"/>
      <c r="F12" s="86">
        <v>5000</v>
      </c>
      <c r="G12" s="86">
        <v>4</v>
      </c>
      <c r="H12" s="120">
        <f t="shared" si="1"/>
        <v>20000</v>
      </c>
      <c r="I12" s="85"/>
      <c r="J12" s="86">
        <v>5000</v>
      </c>
      <c r="K12" s="86">
        <v>3</v>
      </c>
      <c r="L12" s="120">
        <f t="shared" si="2"/>
        <v>15000</v>
      </c>
      <c r="M12" s="85"/>
      <c r="N12" s="86">
        <v>5000</v>
      </c>
      <c r="O12" s="86">
        <v>3</v>
      </c>
      <c r="P12" s="120">
        <f t="shared" si="3"/>
        <v>15000</v>
      </c>
      <c r="Q12" s="85"/>
      <c r="R12" s="86">
        <v>5000</v>
      </c>
      <c r="S12" s="86"/>
      <c r="T12" s="120">
        <f t="shared" si="4"/>
        <v>0</v>
      </c>
      <c r="U12" s="85"/>
      <c r="V12" s="96"/>
      <c r="W12" s="123">
        <v>5000</v>
      </c>
      <c r="X12" s="123">
        <f t="shared" si="6"/>
        <v>14</v>
      </c>
      <c r="Y12" s="121">
        <f t="shared" si="5"/>
        <v>70000</v>
      </c>
      <c r="Z12" s="97"/>
      <c r="AA12" s="85"/>
      <c r="AB12" s="85"/>
      <c r="AC12" s="85"/>
      <c r="AD12" s="85"/>
      <c r="AE12" s="85" t="s">
        <v>17</v>
      </c>
      <c r="AF12" s="89">
        <v>381470</v>
      </c>
      <c r="AG12" s="85">
        <v>9858</v>
      </c>
      <c r="AH12" s="137">
        <v>45908</v>
      </c>
      <c r="AI12" s="85" t="s">
        <v>223</v>
      </c>
      <c r="AJ12" s="85"/>
      <c r="AK12" s="86">
        <v>50</v>
      </c>
      <c r="AL12" s="86">
        <v>205</v>
      </c>
      <c r="AM12" s="120">
        <f t="shared" si="7"/>
        <v>10250</v>
      </c>
    </row>
    <row r="13" spans="2:39" ht="15.75" thickBot="1" x14ac:dyDescent="0.3">
      <c r="B13" s="87" t="s">
        <v>18</v>
      </c>
      <c r="C13" s="87"/>
      <c r="D13" s="90">
        <f>+SUM(D5:D12)</f>
        <v>53680</v>
      </c>
      <c r="E13" s="85"/>
      <c r="F13" s="87" t="s">
        <v>18</v>
      </c>
      <c r="G13" s="87"/>
      <c r="H13" s="90">
        <f>+SUM(H5:H12)</f>
        <v>112443</v>
      </c>
      <c r="I13" s="85"/>
      <c r="J13" s="87" t="s">
        <v>18</v>
      </c>
      <c r="K13" s="87"/>
      <c r="L13" s="90">
        <f>+SUM(L5:L12)</f>
        <v>80000</v>
      </c>
      <c r="M13" s="85"/>
      <c r="N13" s="87" t="s">
        <v>18</v>
      </c>
      <c r="O13" s="87"/>
      <c r="P13" s="90">
        <f>+SUM(P5:P12)</f>
        <v>80750</v>
      </c>
      <c r="Q13" s="85"/>
      <c r="R13" s="87" t="s">
        <v>18</v>
      </c>
      <c r="S13" s="87"/>
      <c r="T13" s="90">
        <f>+SUM(T5:T12)</f>
        <v>36272</v>
      </c>
      <c r="U13" s="85"/>
      <c r="V13" s="96"/>
      <c r="W13" s="87" t="s">
        <v>18</v>
      </c>
      <c r="X13" s="87"/>
      <c r="Y13" s="90">
        <f>+SUM(Y5:Y12)</f>
        <v>363145</v>
      </c>
      <c r="Z13" s="97"/>
      <c r="AA13" s="85"/>
      <c r="AB13" s="85"/>
      <c r="AC13" s="85"/>
      <c r="AD13" s="85"/>
      <c r="AE13" s="85" t="s">
        <v>19</v>
      </c>
      <c r="AF13" s="89">
        <v>5910</v>
      </c>
      <c r="AG13" s="85"/>
      <c r="AH13" s="85"/>
      <c r="AI13" s="85"/>
      <c r="AJ13" s="85"/>
      <c r="AK13" s="86">
        <v>100</v>
      </c>
      <c r="AL13" s="86">
        <v>302</v>
      </c>
      <c r="AM13" s="120">
        <f t="shared" si="7"/>
        <v>30200</v>
      </c>
    </row>
    <row r="14" spans="2:39" ht="15.75" thickBot="1" x14ac:dyDescent="0.3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96"/>
      <c r="W14" s="100"/>
      <c r="X14" s="100"/>
      <c r="Y14" s="100"/>
      <c r="Z14" s="97"/>
      <c r="AA14" s="85"/>
      <c r="AB14" s="85"/>
      <c r="AC14" s="85"/>
      <c r="AD14" s="85"/>
      <c r="AE14" s="85" t="s">
        <v>20</v>
      </c>
      <c r="AF14" s="89"/>
      <c r="AG14" s="85"/>
      <c r="AH14" s="85"/>
      <c r="AI14" s="85"/>
      <c r="AJ14" s="85"/>
      <c r="AK14" s="86">
        <v>500</v>
      </c>
      <c r="AL14" s="86">
        <v>114</v>
      </c>
      <c r="AM14" s="120">
        <f t="shared" si="7"/>
        <v>57000</v>
      </c>
    </row>
    <row r="15" spans="2:39" ht="15.75" thickBot="1" x14ac:dyDescent="0.3">
      <c r="B15" s="242" t="s">
        <v>21</v>
      </c>
      <c r="C15" s="243"/>
      <c r="D15" s="92">
        <v>79910</v>
      </c>
      <c r="E15" s="114"/>
      <c r="F15" s="242" t="s">
        <v>21</v>
      </c>
      <c r="G15" s="243"/>
      <c r="H15" s="92">
        <v>118240</v>
      </c>
      <c r="I15" s="114"/>
      <c r="J15" s="242" t="s">
        <v>21</v>
      </c>
      <c r="K15" s="243"/>
      <c r="L15" s="92">
        <v>79968</v>
      </c>
      <c r="M15" s="114"/>
      <c r="N15" s="242" t="s">
        <v>21</v>
      </c>
      <c r="O15" s="243"/>
      <c r="P15" s="92">
        <v>97474</v>
      </c>
      <c r="Q15" s="114"/>
      <c r="R15" s="242" t="s">
        <v>21</v>
      </c>
      <c r="S15" s="243"/>
      <c r="T15" s="92">
        <v>555622.27</v>
      </c>
      <c r="U15" s="114"/>
      <c r="V15" s="115"/>
      <c r="W15" s="242" t="s">
        <v>21</v>
      </c>
      <c r="X15" s="243"/>
      <c r="Y15" s="92">
        <f>+D15+H15+L15+P15+T15</f>
        <v>931214.27</v>
      </c>
      <c r="Z15" s="116"/>
      <c r="AA15" s="114"/>
      <c r="AB15" s="85"/>
      <c r="AC15" s="85"/>
      <c r="AD15" s="85"/>
      <c r="AE15" s="85" t="s">
        <v>22</v>
      </c>
      <c r="AF15" s="89"/>
      <c r="AG15" s="85"/>
      <c r="AH15" s="85"/>
      <c r="AI15" s="85"/>
      <c r="AJ15" s="85"/>
      <c r="AK15" s="86">
        <v>1000</v>
      </c>
      <c r="AL15" s="86">
        <v>214</v>
      </c>
      <c r="AM15" s="120">
        <f t="shared" si="7"/>
        <v>214000</v>
      </c>
    </row>
    <row r="16" spans="2:39" x14ac:dyDescent="0.25">
      <c r="B16" s="85" t="s">
        <v>10</v>
      </c>
      <c r="C16" s="85"/>
      <c r="D16" s="89">
        <v>53680</v>
      </c>
      <c r="E16" s="85"/>
      <c r="F16" s="85" t="s">
        <v>10</v>
      </c>
      <c r="G16" s="85"/>
      <c r="H16" s="89">
        <f>+H13</f>
        <v>112443</v>
      </c>
      <c r="I16" s="85"/>
      <c r="J16" s="85" t="s">
        <v>10</v>
      </c>
      <c r="K16" s="85"/>
      <c r="L16" s="89">
        <v>80000</v>
      </c>
      <c r="M16" s="85"/>
      <c r="N16" s="85" t="s">
        <v>10</v>
      </c>
      <c r="O16" s="85"/>
      <c r="P16" s="89">
        <f>+P13</f>
        <v>80750</v>
      </c>
      <c r="Q16" s="85"/>
      <c r="R16" s="85" t="s">
        <v>10</v>
      </c>
      <c r="S16" s="85"/>
      <c r="T16" s="89">
        <v>36272</v>
      </c>
      <c r="U16" s="85"/>
      <c r="V16" s="96"/>
      <c r="W16" s="124" t="s">
        <v>10</v>
      </c>
      <c r="X16" s="124"/>
      <c r="Y16" s="121">
        <f>+D16+H16+L16+P16+T16</f>
        <v>363145</v>
      </c>
      <c r="Z16" s="97"/>
      <c r="AA16" s="85"/>
      <c r="AB16" s="114"/>
      <c r="AC16" s="114"/>
      <c r="AD16" s="114"/>
      <c r="AE16" s="85" t="s">
        <v>23</v>
      </c>
      <c r="AF16" s="89"/>
      <c r="AG16" s="85"/>
      <c r="AH16" s="85"/>
      <c r="AI16" s="85"/>
      <c r="AJ16" s="85"/>
      <c r="AK16" s="86">
        <v>5000</v>
      </c>
      <c r="AL16" s="86">
        <v>14</v>
      </c>
      <c r="AM16" s="120">
        <f t="shared" si="7"/>
        <v>70000</v>
      </c>
    </row>
    <row r="17" spans="2:39" ht="15.75" thickBot="1" x14ac:dyDescent="0.3">
      <c r="B17" s="85" t="s">
        <v>17</v>
      </c>
      <c r="C17" s="85"/>
      <c r="D17" s="89"/>
      <c r="E17" s="85"/>
      <c r="F17" s="85" t="s">
        <v>17</v>
      </c>
      <c r="G17" s="85"/>
      <c r="H17" s="89"/>
      <c r="I17" s="85"/>
      <c r="J17" s="85" t="s">
        <v>17</v>
      </c>
      <c r="K17" s="85"/>
      <c r="L17" s="89"/>
      <c r="M17" s="85"/>
      <c r="N17" s="85" t="s">
        <v>17</v>
      </c>
      <c r="O17" s="85"/>
      <c r="P17" s="89"/>
      <c r="Q17" s="85"/>
      <c r="R17" s="85" t="s">
        <v>17</v>
      </c>
      <c r="S17" s="85"/>
      <c r="T17" s="89"/>
      <c r="U17" s="85"/>
      <c r="V17" s="96"/>
      <c r="W17" s="124" t="s">
        <v>17</v>
      </c>
      <c r="X17" s="124"/>
      <c r="Y17" s="121">
        <f t="shared" ref="Y17:Y27" si="8">+D17+H17+L17+P17+T17</f>
        <v>0</v>
      </c>
      <c r="Z17" s="97"/>
      <c r="AA17" s="85"/>
      <c r="AB17" s="85"/>
      <c r="AC17" s="85"/>
      <c r="AD17" s="85"/>
      <c r="AE17" s="133" t="s">
        <v>12</v>
      </c>
      <c r="AF17" s="134">
        <f>+SUM(AF12:AF16)</f>
        <v>387380</v>
      </c>
      <c r="AG17" s="160"/>
      <c r="AH17" s="85"/>
      <c r="AI17" s="85"/>
      <c r="AJ17" s="85"/>
      <c r="AK17" s="87" t="s">
        <v>18</v>
      </c>
      <c r="AL17" s="87"/>
      <c r="AM17" s="90">
        <f>+SUM(AM9:AM16)</f>
        <v>387380</v>
      </c>
    </row>
    <row r="18" spans="2:39" x14ac:dyDescent="0.25">
      <c r="B18" s="85" t="s">
        <v>309</v>
      </c>
      <c r="C18" s="85" t="s">
        <v>310</v>
      </c>
      <c r="D18" s="89">
        <v>13178</v>
      </c>
      <c r="E18" s="85"/>
      <c r="F18" s="85" t="s">
        <v>272</v>
      </c>
      <c r="G18" s="85" t="s">
        <v>316</v>
      </c>
      <c r="H18" s="89">
        <v>5797</v>
      </c>
      <c r="I18" s="85"/>
      <c r="J18" s="85" t="s">
        <v>26</v>
      </c>
      <c r="K18" s="85"/>
      <c r="L18" s="89"/>
      <c r="M18" s="85"/>
      <c r="N18" s="85" t="s">
        <v>26</v>
      </c>
      <c r="O18" s="85"/>
      <c r="P18" s="89"/>
      <c r="Q18" s="85"/>
      <c r="R18" s="85" t="s">
        <v>298</v>
      </c>
      <c r="S18" s="85" t="s">
        <v>299</v>
      </c>
      <c r="T18" s="89">
        <v>37548</v>
      </c>
      <c r="U18" s="85"/>
      <c r="V18" s="96"/>
      <c r="W18" s="124" t="s">
        <v>26</v>
      </c>
      <c r="X18" s="124"/>
      <c r="Y18" s="121">
        <f t="shared" si="8"/>
        <v>56523</v>
      </c>
      <c r="Z18" s="97"/>
      <c r="AA18" s="85"/>
      <c r="AB18" s="85"/>
      <c r="AC18" s="85"/>
      <c r="AD18" s="85"/>
      <c r="AE18" s="135" t="s">
        <v>32</v>
      </c>
      <c r="AF18" s="136">
        <f>+AF17-AF9</f>
        <v>0</v>
      </c>
      <c r="AG18" s="85" t="s">
        <v>33</v>
      </c>
      <c r="AH18" s="85"/>
      <c r="AI18" s="85"/>
      <c r="AJ18" s="85"/>
      <c r="AK18" s="85"/>
      <c r="AL18" s="85"/>
      <c r="AM18" s="85"/>
    </row>
    <row r="19" spans="2:39" x14ac:dyDescent="0.25">
      <c r="B19" s="85" t="s">
        <v>311</v>
      </c>
      <c r="C19" s="85" t="s">
        <v>312</v>
      </c>
      <c r="D19" s="89">
        <v>6994</v>
      </c>
      <c r="E19" s="85"/>
      <c r="F19" s="85" t="s">
        <v>34</v>
      </c>
      <c r="G19" s="85"/>
      <c r="H19" s="89"/>
      <c r="I19" s="85"/>
      <c r="J19" s="85" t="s">
        <v>34</v>
      </c>
      <c r="K19" s="85"/>
      <c r="L19" s="89"/>
      <c r="M19" s="85"/>
      <c r="N19" s="85" t="s">
        <v>34</v>
      </c>
      <c r="O19" s="85"/>
      <c r="P19" s="89"/>
      <c r="Q19" s="85"/>
      <c r="R19" s="85" t="s">
        <v>251</v>
      </c>
      <c r="S19" s="85" t="s">
        <v>300</v>
      </c>
      <c r="T19" s="89">
        <v>48800</v>
      </c>
      <c r="U19" s="85"/>
      <c r="V19" s="96"/>
      <c r="W19" s="124" t="s">
        <v>34</v>
      </c>
      <c r="X19" s="124"/>
      <c r="Y19" s="121">
        <f t="shared" si="8"/>
        <v>55794</v>
      </c>
      <c r="Z19" s="97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</row>
    <row r="20" spans="2:39" x14ac:dyDescent="0.25">
      <c r="B20" s="85" t="s">
        <v>36</v>
      </c>
      <c r="C20" s="85"/>
      <c r="D20" s="89"/>
      <c r="E20" s="85"/>
      <c r="F20" s="85" t="s">
        <v>36</v>
      </c>
      <c r="G20" s="85"/>
      <c r="H20" s="89"/>
      <c r="I20" s="85"/>
      <c r="J20" s="85" t="s">
        <v>36</v>
      </c>
      <c r="K20" s="85"/>
      <c r="L20" s="89"/>
      <c r="M20" s="85"/>
      <c r="N20" s="85" t="s">
        <v>36</v>
      </c>
      <c r="O20" s="85"/>
      <c r="P20" s="89"/>
      <c r="Q20" s="85"/>
      <c r="R20" s="85" t="s">
        <v>36</v>
      </c>
      <c r="S20" s="85"/>
      <c r="T20" s="89"/>
      <c r="U20" s="85"/>
      <c r="V20" s="96"/>
      <c r="W20" s="124" t="s">
        <v>36</v>
      </c>
      <c r="X20" s="124"/>
      <c r="Y20" s="121">
        <f t="shared" si="8"/>
        <v>0</v>
      </c>
      <c r="Z20" s="97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</row>
    <row r="21" spans="2:39" x14ac:dyDescent="0.25">
      <c r="B21" s="85"/>
      <c r="C21" s="85"/>
      <c r="D21" s="89"/>
      <c r="E21" s="85"/>
      <c r="F21" s="85"/>
      <c r="G21" s="85"/>
      <c r="H21" s="89"/>
      <c r="I21" s="85"/>
      <c r="J21" s="85" t="s">
        <v>285</v>
      </c>
      <c r="K21" s="85"/>
      <c r="L21" s="89"/>
      <c r="M21" s="85"/>
      <c r="N21" s="85"/>
      <c r="O21" s="85"/>
      <c r="P21" s="89"/>
      <c r="Q21" s="85"/>
      <c r="R21" s="85"/>
      <c r="S21" s="85"/>
      <c r="T21" s="89"/>
      <c r="U21" s="85"/>
      <c r="V21" s="96"/>
      <c r="W21" s="124"/>
      <c r="X21" s="124"/>
      <c r="Y21" s="121">
        <f t="shared" si="8"/>
        <v>0</v>
      </c>
      <c r="Z21" s="97"/>
      <c r="AA21" s="85"/>
      <c r="AB21" s="139" t="s">
        <v>37</v>
      </c>
      <c r="AC21" s="139"/>
      <c r="AD21" s="139"/>
      <c r="AE21" s="114"/>
      <c r="AF21" s="85"/>
      <c r="AG21" s="85"/>
      <c r="AH21" s="85"/>
      <c r="AI21" s="85"/>
      <c r="AJ21" s="139" t="s">
        <v>38</v>
      </c>
      <c r="AK21" s="139"/>
      <c r="AL21" s="139"/>
      <c r="AM21" s="147"/>
    </row>
    <row r="22" spans="2:39" x14ac:dyDescent="0.25">
      <c r="B22" s="85"/>
      <c r="C22" s="85"/>
      <c r="D22" s="89"/>
      <c r="E22" s="85"/>
      <c r="F22" s="85"/>
      <c r="G22" s="85"/>
      <c r="H22" s="89"/>
      <c r="I22" s="85"/>
      <c r="J22" s="85"/>
      <c r="K22" s="85"/>
      <c r="L22" s="89"/>
      <c r="M22" s="85"/>
      <c r="N22" s="85"/>
      <c r="O22" s="85"/>
      <c r="P22" s="89"/>
      <c r="Q22" s="85"/>
      <c r="R22" s="85" t="s">
        <v>294</v>
      </c>
      <c r="S22" s="85" t="s">
        <v>295</v>
      </c>
      <c r="T22" s="89">
        <v>168522</v>
      </c>
      <c r="U22" s="85"/>
      <c r="V22" s="96"/>
      <c r="W22" s="124"/>
      <c r="X22" s="124"/>
      <c r="Y22" s="121">
        <f t="shared" si="8"/>
        <v>168522</v>
      </c>
      <c r="Z22" s="97"/>
      <c r="AA22" s="85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G22" s="85"/>
      <c r="AH22" s="85"/>
      <c r="AI22" s="85"/>
      <c r="AJ22" s="132" t="s">
        <v>41</v>
      </c>
      <c r="AK22" s="132" t="s">
        <v>45</v>
      </c>
      <c r="AL22" s="132" t="s">
        <v>43</v>
      </c>
      <c r="AM22" s="132" t="s">
        <v>8</v>
      </c>
    </row>
    <row r="23" spans="2:39" x14ac:dyDescent="0.25">
      <c r="B23" s="85" t="s">
        <v>308</v>
      </c>
      <c r="C23" s="152" t="s">
        <v>307</v>
      </c>
      <c r="D23" s="153">
        <v>6117</v>
      </c>
      <c r="E23" s="85"/>
      <c r="F23" s="85" t="s">
        <v>46</v>
      </c>
      <c r="G23" s="85"/>
      <c r="H23" s="89"/>
      <c r="I23" s="85"/>
      <c r="J23" s="85" t="s">
        <v>46</v>
      </c>
      <c r="K23" s="85"/>
      <c r="L23" s="89"/>
      <c r="M23" s="85"/>
      <c r="N23" s="85" t="s">
        <v>301</v>
      </c>
      <c r="O23" s="85" t="s">
        <v>302</v>
      </c>
      <c r="P23" s="89">
        <v>7871</v>
      </c>
      <c r="Q23" s="85"/>
      <c r="R23" s="85" t="s">
        <v>289</v>
      </c>
      <c r="S23" s="85" t="s">
        <v>48</v>
      </c>
      <c r="T23" s="89">
        <v>29742</v>
      </c>
      <c r="U23" s="85"/>
      <c r="V23" s="96"/>
      <c r="W23" s="125" t="s">
        <v>46</v>
      </c>
      <c r="X23" s="124"/>
      <c r="Y23" s="121">
        <f t="shared" si="8"/>
        <v>43730</v>
      </c>
      <c r="Z23" s="97"/>
      <c r="AA23" s="85"/>
      <c r="AB23" s="85" t="s">
        <v>287</v>
      </c>
      <c r="AC23" s="156">
        <v>45849</v>
      </c>
      <c r="AD23" s="155" t="s">
        <v>286</v>
      </c>
      <c r="AE23" s="85"/>
      <c r="AF23" s="147">
        <v>16970</v>
      </c>
      <c r="AG23" s="85"/>
      <c r="AH23" s="85"/>
      <c r="AI23" s="85"/>
      <c r="AJ23" s="85" t="s">
        <v>144</v>
      </c>
      <c r="AK23" s="155" t="s">
        <v>315</v>
      </c>
      <c r="AL23" s="155" t="s">
        <v>314</v>
      </c>
      <c r="AM23" s="147">
        <v>4340</v>
      </c>
    </row>
    <row r="24" spans="2:39" x14ac:dyDescent="0.25">
      <c r="B24" s="85" t="s">
        <v>54</v>
      </c>
      <c r="C24" s="85"/>
      <c r="D24" s="89"/>
      <c r="E24" s="85"/>
      <c r="F24" s="85" t="s">
        <v>54</v>
      </c>
      <c r="G24" s="85"/>
      <c r="H24" s="89"/>
      <c r="I24" s="85"/>
      <c r="J24" s="85" t="s">
        <v>54</v>
      </c>
      <c r="K24" s="85"/>
      <c r="L24" s="89"/>
      <c r="M24" s="85"/>
      <c r="N24" s="85" t="s">
        <v>305</v>
      </c>
      <c r="O24" s="85" t="s">
        <v>306</v>
      </c>
      <c r="P24" s="89">
        <v>5981</v>
      </c>
      <c r="Q24" s="85"/>
      <c r="R24" s="85" t="s">
        <v>291</v>
      </c>
      <c r="S24" s="85" t="s">
        <v>290</v>
      </c>
      <c r="T24" s="89">
        <v>100238</v>
      </c>
      <c r="U24" s="85"/>
      <c r="V24" s="96"/>
      <c r="W24" s="125" t="s">
        <v>54</v>
      </c>
      <c r="X24" s="124"/>
      <c r="Y24" s="121">
        <f t="shared" si="8"/>
        <v>106219</v>
      </c>
      <c r="Z24" s="97"/>
      <c r="AA24" s="85"/>
      <c r="AB24" s="104" t="s">
        <v>313</v>
      </c>
      <c r="AC24" s="156">
        <v>45876</v>
      </c>
      <c r="AD24" s="186" t="s">
        <v>270</v>
      </c>
      <c r="AE24" s="85"/>
      <c r="AF24" s="147">
        <v>3265</v>
      </c>
      <c r="AG24" s="85"/>
      <c r="AH24" s="85"/>
      <c r="AI24" s="85"/>
      <c r="AJ24" s="152" t="s">
        <v>70</v>
      </c>
      <c r="AK24" s="171" t="s">
        <v>317</v>
      </c>
      <c r="AL24" s="85"/>
      <c r="AM24" s="154">
        <v>13795</v>
      </c>
    </row>
    <row r="25" spans="2:39" x14ac:dyDescent="0.25">
      <c r="B25" s="85" t="s">
        <v>61</v>
      </c>
      <c r="C25" s="85"/>
      <c r="D25" s="89"/>
      <c r="E25" s="85"/>
      <c r="F25" s="85" t="s">
        <v>61</v>
      </c>
      <c r="G25" s="85"/>
      <c r="H25" s="89"/>
      <c r="I25" s="85"/>
      <c r="J25" s="85" t="s">
        <v>61</v>
      </c>
      <c r="K25" s="85"/>
      <c r="L25" s="89"/>
      <c r="M25" s="85"/>
      <c r="N25" s="85" t="s">
        <v>288</v>
      </c>
      <c r="O25" s="85"/>
      <c r="P25" s="89"/>
      <c r="Q25" s="85"/>
      <c r="R25" s="85" t="s">
        <v>292</v>
      </c>
      <c r="S25" s="85" t="s">
        <v>293</v>
      </c>
      <c r="T25" s="89">
        <v>25607</v>
      </c>
      <c r="U25" s="85"/>
      <c r="V25" s="96"/>
      <c r="W25" s="125" t="s">
        <v>61</v>
      </c>
      <c r="X25" s="124"/>
      <c r="Y25" s="121">
        <f t="shared" si="8"/>
        <v>25607</v>
      </c>
      <c r="Z25" s="97"/>
      <c r="AA25" s="85"/>
      <c r="AB25" s="104" t="s">
        <v>144</v>
      </c>
      <c r="AC25" s="155" t="s">
        <v>315</v>
      </c>
      <c r="AD25" s="155" t="s">
        <v>314</v>
      </c>
      <c r="AE25" s="85"/>
      <c r="AF25" s="147">
        <v>4000</v>
      </c>
      <c r="AG25" s="85"/>
      <c r="AH25" s="85"/>
      <c r="AI25" s="85"/>
      <c r="AJ25" s="152" t="s">
        <v>72</v>
      </c>
      <c r="AK25" s="171" t="s">
        <v>318</v>
      </c>
      <c r="AL25" s="85"/>
      <c r="AM25" s="154">
        <v>10677</v>
      </c>
    </row>
    <row r="26" spans="2:39" x14ac:dyDescent="0.25">
      <c r="B26" s="85"/>
      <c r="C26" s="85"/>
      <c r="D26" s="89"/>
      <c r="E26" s="85"/>
      <c r="F26" s="85"/>
      <c r="G26" s="85"/>
      <c r="H26" s="89"/>
      <c r="I26" s="85"/>
      <c r="J26" s="85"/>
      <c r="K26" s="85"/>
      <c r="L26" s="89"/>
      <c r="M26" s="85"/>
      <c r="N26" s="85"/>
      <c r="O26" s="85"/>
      <c r="P26" s="89"/>
      <c r="Q26" s="85"/>
      <c r="R26" s="85" t="s">
        <v>297</v>
      </c>
      <c r="S26" s="85" t="s">
        <v>296</v>
      </c>
      <c r="T26" s="89">
        <v>114142</v>
      </c>
      <c r="U26" s="85"/>
      <c r="V26" s="96"/>
      <c r="W26" s="124"/>
      <c r="X26" s="124"/>
      <c r="Y26" s="121">
        <f t="shared" si="8"/>
        <v>114142</v>
      </c>
      <c r="Z26" s="97"/>
      <c r="AA26" s="85"/>
      <c r="AB26" s="85"/>
      <c r="AC26" s="85"/>
      <c r="AD26" s="85"/>
      <c r="AE26" s="85"/>
      <c r="AF26" s="148"/>
      <c r="AG26" s="85"/>
      <c r="AH26" s="85"/>
      <c r="AI26" s="85"/>
      <c r="AJ26" s="152" t="s">
        <v>319</v>
      </c>
      <c r="AK26" s="173" t="s">
        <v>97</v>
      </c>
      <c r="AL26" s="85"/>
      <c r="AM26" s="190">
        <v>6000</v>
      </c>
    </row>
    <row r="27" spans="2:39" ht="15.75" thickBot="1" x14ac:dyDescent="0.3">
      <c r="B27" s="85"/>
      <c r="C27" s="85"/>
      <c r="D27" s="89"/>
      <c r="E27" s="85"/>
      <c r="F27" s="85"/>
      <c r="G27" s="85"/>
      <c r="H27" s="89"/>
      <c r="I27" s="85"/>
      <c r="J27" s="85"/>
      <c r="K27" s="85"/>
      <c r="L27" s="89"/>
      <c r="M27" s="85"/>
      <c r="N27" s="85"/>
      <c r="O27" s="85"/>
      <c r="P27" s="89"/>
      <c r="Q27" s="85"/>
      <c r="R27" s="85"/>
      <c r="S27" s="85"/>
      <c r="T27" s="89"/>
      <c r="U27" s="85"/>
      <c r="V27" s="96"/>
      <c r="W27" s="124"/>
      <c r="X27" s="124"/>
      <c r="Y27" s="121">
        <f t="shared" si="8"/>
        <v>0</v>
      </c>
      <c r="Z27" s="97"/>
      <c r="AA27" s="85"/>
      <c r="AB27" s="85"/>
      <c r="AC27" s="85"/>
      <c r="AD27" s="85"/>
      <c r="AE27" s="85"/>
      <c r="AF27" s="147"/>
      <c r="AG27" s="85"/>
      <c r="AH27" s="85"/>
      <c r="AI27" s="85"/>
      <c r="AJ27" s="85"/>
      <c r="AK27" s="85"/>
      <c r="AL27" s="85"/>
      <c r="AM27" s="147"/>
    </row>
    <row r="28" spans="2:39" ht="15.75" thickBot="1" x14ac:dyDescent="0.3">
      <c r="B28" s="235" t="s">
        <v>12</v>
      </c>
      <c r="C28" s="236"/>
      <c r="D28" s="93">
        <f>+SUM(D16:D27)</f>
        <v>79969</v>
      </c>
      <c r="E28" s="85"/>
      <c r="F28" s="235" t="s">
        <v>12</v>
      </c>
      <c r="G28" s="236"/>
      <c r="H28" s="93">
        <f>+SUM(H16:H27)</f>
        <v>118240</v>
      </c>
      <c r="I28" s="85"/>
      <c r="J28" s="235" t="s">
        <v>12</v>
      </c>
      <c r="K28" s="236"/>
      <c r="L28" s="93">
        <f>+SUM(L16:L27)</f>
        <v>80000</v>
      </c>
      <c r="M28" s="85"/>
      <c r="N28" s="235" t="s">
        <v>12</v>
      </c>
      <c r="O28" s="236"/>
      <c r="P28" s="93">
        <f>+SUM(P16:P27)</f>
        <v>94602</v>
      </c>
      <c r="Q28" s="85"/>
      <c r="R28" s="235" t="s">
        <v>12</v>
      </c>
      <c r="S28" s="236"/>
      <c r="T28" s="93">
        <f>+SUM(T16:T27)</f>
        <v>560871</v>
      </c>
      <c r="U28" s="85"/>
      <c r="V28" s="96"/>
      <c r="W28" s="235" t="s">
        <v>12</v>
      </c>
      <c r="X28" s="236"/>
      <c r="Y28" s="93">
        <f>+SUM(Y16:Y27)</f>
        <v>933682</v>
      </c>
      <c r="Z28" s="97"/>
      <c r="AA28" s="85"/>
      <c r="AB28" s="85"/>
      <c r="AC28" s="85"/>
      <c r="AD28" s="85"/>
      <c r="AE28" s="85"/>
      <c r="AF28" s="147"/>
      <c r="AG28" s="85"/>
      <c r="AH28" s="85"/>
      <c r="AI28" s="85"/>
      <c r="AJ28" s="85"/>
      <c r="AK28" s="85"/>
      <c r="AL28" s="85"/>
      <c r="AM28" s="147"/>
    </row>
    <row r="29" spans="2:39" ht="15.75" thickBot="1" x14ac:dyDescent="0.3">
      <c r="B29" s="85"/>
      <c r="C29" s="85"/>
      <c r="D29" s="89"/>
      <c r="E29" s="85"/>
      <c r="F29" s="85"/>
      <c r="G29" s="85"/>
      <c r="H29" s="89"/>
      <c r="I29" s="85"/>
      <c r="J29" s="85"/>
      <c r="K29" s="85"/>
      <c r="L29" s="89"/>
      <c r="M29" s="85"/>
      <c r="N29" s="85"/>
      <c r="O29" s="85"/>
      <c r="P29" s="89"/>
      <c r="Q29" s="85"/>
      <c r="R29" s="85"/>
      <c r="S29" s="85"/>
      <c r="T29" s="89"/>
      <c r="U29" s="85"/>
      <c r="V29" s="96"/>
      <c r="W29" s="100"/>
      <c r="X29" s="100"/>
      <c r="Y29" s="99"/>
      <c r="Z29" s="97"/>
      <c r="AA29" s="85"/>
      <c r="AB29" s="145" t="s">
        <v>74</v>
      </c>
      <c r="AC29" s="145"/>
      <c r="AD29" s="145"/>
      <c r="AE29" s="145"/>
      <c r="AF29" s="176">
        <f>+SUM(AF23:AF28)</f>
        <v>24235</v>
      </c>
      <c r="AG29" s="85"/>
      <c r="AH29" s="85"/>
      <c r="AI29" s="85"/>
      <c r="AJ29" s="85"/>
      <c r="AK29" s="85"/>
      <c r="AL29" s="85"/>
      <c r="AM29" s="147"/>
    </row>
    <row r="30" spans="2:39" ht="16.5" thickTop="1" thickBot="1" x14ac:dyDescent="0.3">
      <c r="B30" s="237" t="s">
        <v>75</v>
      </c>
      <c r="C30" s="237"/>
      <c r="D30" s="91">
        <f>+D28-D15</f>
        <v>59</v>
      </c>
      <c r="E30" s="85"/>
      <c r="F30" s="237" t="s">
        <v>75</v>
      </c>
      <c r="G30" s="237"/>
      <c r="H30" s="91">
        <f>+H28-H15</f>
        <v>0</v>
      </c>
      <c r="I30" s="85"/>
      <c r="J30" s="237" t="s">
        <v>75</v>
      </c>
      <c r="K30" s="237"/>
      <c r="L30" s="91">
        <f>+L28-L15</f>
        <v>32</v>
      </c>
      <c r="M30" s="85"/>
      <c r="N30" s="237" t="s">
        <v>75</v>
      </c>
      <c r="O30" s="237"/>
      <c r="P30" s="91">
        <f>+P28-P15</f>
        <v>-2872</v>
      </c>
      <c r="Q30" s="85"/>
      <c r="R30" s="237" t="s">
        <v>75</v>
      </c>
      <c r="S30" s="237"/>
      <c r="T30" s="91">
        <f>+T28-T15</f>
        <v>5248.7299999999814</v>
      </c>
      <c r="U30" s="85"/>
      <c r="V30" s="96"/>
      <c r="W30" s="238" t="s">
        <v>75</v>
      </c>
      <c r="X30" s="238"/>
      <c r="Y30" s="126">
        <f>+Y28-Y15</f>
        <v>2467.7299999999814</v>
      </c>
      <c r="Z30" s="97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147"/>
    </row>
    <row r="31" spans="2:39" ht="16.5" thickTop="1" thickBo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01"/>
      <c r="W31" s="102"/>
      <c r="X31" s="102"/>
      <c r="Y31" s="102"/>
      <c r="Z31" s="103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147"/>
    </row>
    <row r="32" spans="2:39" x14ac:dyDescent="0.2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147"/>
    </row>
    <row r="33" spans="2:39" ht="15.75" thickBo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147"/>
    </row>
    <row r="34" spans="2:39" x14ac:dyDescent="0.25">
      <c r="B34" s="94" t="s">
        <v>76</v>
      </c>
      <c r="C34" s="95"/>
      <c r="D34" s="105"/>
      <c r="E34" s="85"/>
      <c r="F34" s="94" t="s">
        <v>76</v>
      </c>
      <c r="G34" s="95"/>
      <c r="H34" s="105"/>
      <c r="I34" s="85"/>
      <c r="J34" s="94" t="s">
        <v>76</v>
      </c>
      <c r="K34" s="95"/>
      <c r="L34" s="105"/>
      <c r="M34" s="85"/>
      <c r="N34" s="94" t="s">
        <v>76</v>
      </c>
      <c r="O34" s="95"/>
      <c r="P34" s="105">
        <v>2872</v>
      </c>
      <c r="Q34" s="85"/>
      <c r="R34" s="94" t="s">
        <v>76</v>
      </c>
      <c r="S34" s="95"/>
      <c r="T34" s="105"/>
      <c r="U34" s="85"/>
      <c r="V34" s="85"/>
      <c r="W34" s="127" t="s">
        <v>76</v>
      </c>
      <c r="X34" s="128"/>
      <c r="Y34" s="129">
        <f>+D34+H34+L34+P34+T34</f>
        <v>2872</v>
      </c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147"/>
    </row>
    <row r="35" spans="2:39" x14ac:dyDescent="0.25">
      <c r="B35" s="96" t="s">
        <v>77</v>
      </c>
      <c r="C35" s="100"/>
      <c r="D35" s="106"/>
      <c r="E35" s="85"/>
      <c r="F35" s="96" t="s">
        <v>77</v>
      </c>
      <c r="G35" s="100"/>
      <c r="H35" s="106"/>
      <c r="I35" s="85"/>
      <c r="J35" s="96" t="s">
        <v>77</v>
      </c>
      <c r="K35" s="100"/>
      <c r="L35" s="106"/>
      <c r="M35" s="85"/>
      <c r="N35" s="96" t="s">
        <v>77</v>
      </c>
      <c r="O35" s="100"/>
      <c r="P35" s="106"/>
      <c r="Q35" s="85"/>
      <c r="R35" s="96" t="s">
        <v>304</v>
      </c>
      <c r="S35" s="100"/>
      <c r="T35" s="106">
        <v>-1509</v>
      </c>
      <c r="U35" s="85"/>
      <c r="V35" s="85"/>
      <c r="W35" s="130" t="s">
        <v>77</v>
      </c>
      <c r="X35" s="124"/>
      <c r="Y35" s="131">
        <f t="shared" ref="Y35:Y36" si="9">+D35+H35+L35+P35+T35</f>
        <v>-1509</v>
      </c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147"/>
    </row>
    <row r="36" spans="2:39" x14ac:dyDescent="0.25">
      <c r="B36" s="96" t="s">
        <v>79</v>
      </c>
      <c r="C36" s="100"/>
      <c r="D36" s="106">
        <v>-59</v>
      </c>
      <c r="E36" s="85"/>
      <c r="F36" s="96" t="s">
        <v>79</v>
      </c>
      <c r="G36" s="100"/>
      <c r="H36" s="106"/>
      <c r="I36" s="85"/>
      <c r="J36" s="96" t="s">
        <v>79</v>
      </c>
      <c r="K36" s="100"/>
      <c r="L36" s="106">
        <v>-32</v>
      </c>
      <c r="M36" s="85"/>
      <c r="N36" s="96" t="s">
        <v>79</v>
      </c>
      <c r="O36" s="100"/>
      <c r="P36" s="106"/>
      <c r="Q36" s="85"/>
      <c r="R36" s="96" t="s">
        <v>303</v>
      </c>
      <c r="S36" s="100"/>
      <c r="T36" s="106">
        <v>-3740</v>
      </c>
      <c r="U36" s="85"/>
      <c r="V36" s="85"/>
      <c r="W36" s="130" t="s">
        <v>78</v>
      </c>
      <c r="X36" s="124"/>
      <c r="Y36" s="131">
        <f t="shared" si="9"/>
        <v>-3831</v>
      </c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147"/>
    </row>
    <row r="37" spans="2:39" x14ac:dyDescent="0.25">
      <c r="B37" s="96" t="s">
        <v>18</v>
      </c>
      <c r="C37" s="100"/>
      <c r="D37" s="106">
        <f>+SUM(D34:D36)</f>
        <v>-59</v>
      </c>
      <c r="E37" s="85"/>
      <c r="F37" s="96" t="s">
        <v>18</v>
      </c>
      <c r="G37" s="100"/>
      <c r="H37" s="106">
        <f>+SUM(H34:H36)</f>
        <v>0</v>
      </c>
      <c r="I37" s="85"/>
      <c r="J37" s="96" t="s">
        <v>18</v>
      </c>
      <c r="K37" s="100"/>
      <c r="L37" s="106">
        <f>+SUM(L34:L36)</f>
        <v>-32</v>
      </c>
      <c r="M37" s="85"/>
      <c r="N37" s="96" t="s">
        <v>18</v>
      </c>
      <c r="O37" s="100"/>
      <c r="P37" s="106">
        <f>+SUM(P34:P36)</f>
        <v>2872</v>
      </c>
      <c r="Q37" s="85"/>
      <c r="R37" s="96" t="s">
        <v>18</v>
      </c>
      <c r="S37" s="100"/>
      <c r="T37" s="106">
        <f>+SUM(T34:T36)</f>
        <v>-5249</v>
      </c>
      <c r="U37" s="85"/>
      <c r="V37" s="85"/>
      <c r="W37" s="117" t="s">
        <v>18</v>
      </c>
      <c r="X37" s="118"/>
      <c r="Y37" s="119">
        <f>+SUM(Y34:Y36)</f>
        <v>-2468</v>
      </c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147"/>
    </row>
    <row r="38" spans="2:39" ht="15.75" thickBot="1" x14ac:dyDescent="0.3">
      <c r="B38" s="107" t="s">
        <v>81</v>
      </c>
      <c r="C38" s="108"/>
      <c r="D38" s="109">
        <f>+D30+D37</f>
        <v>0</v>
      </c>
      <c r="E38" s="85"/>
      <c r="F38" s="107" t="s">
        <v>81</v>
      </c>
      <c r="G38" s="108"/>
      <c r="H38" s="109">
        <f>+H30+H37</f>
        <v>0</v>
      </c>
      <c r="I38" s="85"/>
      <c r="J38" s="107" t="s">
        <v>81</v>
      </c>
      <c r="K38" s="108"/>
      <c r="L38" s="109">
        <f>+L30+L37</f>
        <v>0</v>
      </c>
      <c r="M38" s="85"/>
      <c r="N38" s="107" t="s">
        <v>81</v>
      </c>
      <c r="O38" s="108"/>
      <c r="P38" s="109">
        <f>+P30+P37</f>
        <v>0</v>
      </c>
      <c r="Q38" s="85"/>
      <c r="R38" s="107" t="s">
        <v>81</v>
      </c>
      <c r="S38" s="108"/>
      <c r="T38" s="109">
        <f>+T30+T37</f>
        <v>-0.27000000001862645</v>
      </c>
      <c r="U38" s="85"/>
      <c r="V38" s="85"/>
      <c r="W38" s="107" t="s">
        <v>81</v>
      </c>
      <c r="X38" s="108"/>
      <c r="Y38" s="109">
        <f>+Y30+Y37</f>
        <v>-0.27000000001862645</v>
      </c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147"/>
    </row>
    <row r="39" spans="2:39" x14ac:dyDescent="0.25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147"/>
    </row>
    <row r="40" spans="2:39" x14ac:dyDescent="0.25"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147"/>
    </row>
    <row r="41" spans="2:39" ht="15.75" thickBot="1" x14ac:dyDescent="0.3"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150" t="s">
        <v>74</v>
      </c>
      <c r="AK41" s="150"/>
      <c r="AL41" s="150"/>
      <c r="AM41" s="189">
        <f>SUM(AM23:AM39)</f>
        <v>34812</v>
      </c>
    </row>
    <row r="42" spans="2:39" ht="15.75" thickTop="1" x14ac:dyDescent="0.25"/>
  </sheetData>
  <mergeCells count="25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AE5:AI5"/>
    <mergeCell ref="B15:C15"/>
    <mergeCell ref="F15:G15"/>
    <mergeCell ref="J15:K15"/>
    <mergeCell ref="N15:O15"/>
    <mergeCell ref="R15:S15"/>
    <mergeCell ref="W15:X15"/>
    <mergeCell ref="W3:Y3"/>
    <mergeCell ref="B3:D3"/>
    <mergeCell ref="F3:H3"/>
    <mergeCell ref="J3:L3"/>
    <mergeCell ref="N3:P3"/>
    <mergeCell ref="R3:T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AM42"/>
  <sheetViews>
    <sheetView zoomScale="80" zoomScaleNormal="80" workbookViewId="0">
      <selection activeCell="AH32" sqref="AH32"/>
    </sheetView>
  </sheetViews>
  <sheetFormatPr defaultRowHeight="15" x14ac:dyDescent="0.25"/>
  <cols>
    <col min="2" max="2" width="12.85546875" customWidth="1"/>
    <col min="3" max="3" width="13.7109375" customWidth="1"/>
    <col min="5" max="5" width="0.85546875" customWidth="1"/>
    <col min="6" max="6" width="12.7109375" customWidth="1"/>
    <col min="7" max="7" width="14.42578125" customWidth="1"/>
    <col min="8" max="8" width="9.42578125" customWidth="1"/>
    <col min="9" max="9" width="1.28515625" customWidth="1"/>
    <col min="13" max="13" width="1.140625" customWidth="1"/>
    <col min="17" max="17" width="1.7109375" customWidth="1"/>
    <col min="20" max="20" width="11.28515625" bestFit="1" customWidth="1"/>
    <col min="21" max="21" width="1" customWidth="1"/>
    <col min="22" max="22" width="1.28515625" customWidth="1"/>
    <col min="26" max="26" width="1.5703125" customWidth="1"/>
    <col min="29" max="29" width="9.5703125" bestFit="1" customWidth="1"/>
    <col min="31" max="31" width="8.5703125" customWidth="1"/>
    <col min="32" max="32" width="10.5703125" customWidth="1"/>
    <col min="33" max="33" width="10.28515625" customWidth="1"/>
    <col min="34" max="34" width="10.5703125" bestFit="1" customWidth="1"/>
  </cols>
  <sheetData>
    <row r="3" spans="2:39" x14ac:dyDescent="0.25">
      <c r="B3" s="240" t="s">
        <v>0</v>
      </c>
      <c r="C3" s="240"/>
      <c r="D3" s="240"/>
      <c r="E3" s="85"/>
      <c r="F3" s="240" t="s">
        <v>1</v>
      </c>
      <c r="G3" s="240"/>
      <c r="H3" s="240"/>
      <c r="I3" s="85"/>
      <c r="J3" s="240" t="s">
        <v>2</v>
      </c>
      <c r="K3" s="240"/>
      <c r="L3" s="240"/>
      <c r="M3" s="85"/>
      <c r="N3" s="240" t="s">
        <v>3</v>
      </c>
      <c r="O3" s="240"/>
      <c r="P3" s="240"/>
      <c r="Q3" s="85"/>
      <c r="R3" s="240" t="s">
        <v>4</v>
      </c>
      <c r="S3" s="240"/>
      <c r="T3" s="240"/>
      <c r="U3" s="85"/>
      <c r="V3" s="96"/>
      <c r="W3" s="239" t="s">
        <v>5</v>
      </c>
      <c r="X3" s="239"/>
      <c r="Y3" s="239"/>
      <c r="Z3" s="97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</row>
    <row r="4" spans="2:39" x14ac:dyDescent="0.25">
      <c r="B4" s="88" t="s">
        <v>6</v>
      </c>
      <c r="C4" s="88" t="s">
        <v>7</v>
      </c>
      <c r="D4" s="88" t="s">
        <v>8</v>
      </c>
      <c r="E4" s="85"/>
      <c r="F4" s="88" t="s">
        <v>6</v>
      </c>
      <c r="G4" s="88" t="s">
        <v>7</v>
      </c>
      <c r="H4" s="88" t="s">
        <v>8</v>
      </c>
      <c r="I4" s="85"/>
      <c r="J4" s="88" t="s">
        <v>6</v>
      </c>
      <c r="K4" s="88" t="s">
        <v>7</v>
      </c>
      <c r="L4" s="88" t="s">
        <v>8</v>
      </c>
      <c r="M4" s="85"/>
      <c r="N4" s="88" t="s">
        <v>6</v>
      </c>
      <c r="O4" s="88" t="s">
        <v>7</v>
      </c>
      <c r="P4" s="88" t="s">
        <v>8</v>
      </c>
      <c r="Q4" s="85"/>
      <c r="R4" s="88" t="s">
        <v>6</v>
      </c>
      <c r="S4" s="88" t="s">
        <v>7</v>
      </c>
      <c r="T4" s="88" t="s">
        <v>8</v>
      </c>
      <c r="U4" s="85"/>
      <c r="V4" s="96"/>
      <c r="W4" s="98" t="s">
        <v>6</v>
      </c>
      <c r="X4" s="98" t="s">
        <v>7</v>
      </c>
      <c r="Y4" s="98" t="s">
        <v>8</v>
      </c>
      <c r="Z4" s="97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</row>
    <row r="5" spans="2:39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/>
      <c r="H5" s="120">
        <f>+G5*F5</f>
        <v>0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/>
      <c r="T5" s="120">
        <f>+S5*R5</f>
        <v>0</v>
      </c>
      <c r="U5" s="110"/>
      <c r="V5" s="111"/>
      <c r="W5" s="122">
        <v>1</v>
      </c>
      <c r="X5" s="123">
        <f>+C5+G5+K5+O5+S5</f>
        <v>0</v>
      </c>
      <c r="Y5" s="121">
        <f>+D5+H5+L5+P5+T5</f>
        <v>0</v>
      </c>
      <c r="Z5" s="112"/>
      <c r="AA5" s="110"/>
      <c r="AB5" s="85"/>
      <c r="AC5" s="85"/>
      <c r="AD5" s="85"/>
      <c r="AE5" s="241" t="s">
        <v>9</v>
      </c>
      <c r="AF5" s="241"/>
      <c r="AG5" s="241"/>
      <c r="AH5" s="241"/>
      <c r="AI5" s="241"/>
      <c r="AJ5" s="146"/>
      <c r="AK5" s="85"/>
      <c r="AL5" s="85"/>
      <c r="AM5" s="85"/>
    </row>
    <row r="6" spans="2:39" ht="15.75" thickTop="1" x14ac:dyDescent="0.25">
      <c r="B6" s="86">
        <v>10</v>
      </c>
      <c r="C6" s="86">
        <v>24</v>
      </c>
      <c r="D6" s="120">
        <f>+C6*B6</f>
        <v>240</v>
      </c>
      <c r="E6" s="85"/>
      <c r="F6" s="86">
        <v>10</v>
      </c>
      <c r="G6" s="86">
        <v>112</v>
      </c>
      <c r="H6" s="120">
        <f>+G6*F6</f>
        <v>1120</v>
      </c>
      <c r="I6" s="85"/>
      <c r="J6" s="86">
        <v>10</v>
      </c>
      <c r="K6" s="86">
        <v>154</v>
      </c>
      <c r="L6" s="120">
        <f>+K6*J6</f>
        <v>1540</v>
      </c>
      <c r="M6" s="85"/>
      <c r="N6" s="86">
        <v>10</v>
      </c>
      <c r="O6" s="86">
        <v>116</v>
      </c>
      <c r="P6" s="120">
        <f>+O6*N6</f>
        <v>1160</v>
      </c>
      <c r="Q6" s="85"/>
      <c r="R6" s="86">
        <v>10</v>
      </c>
      <c r="S6" s="86"/>
      <c r="T6" s="120">
        <f>+S6*R6</f>
        <v>0</v>
      </c>
      <c r="U6" s="85"/>
      <c r="V6" s="96"/>
      <c r="W6" s="123">
        <v>10</v>
      </c>
      <c r="X6" s="123">
        <f>+C6+G6+K6+O6+S6</f>
        <v>406</v>
      </c>
      <c r="Y6" s="121">
        <f>+D6+H6+L6+P6+T6</f>
        <v>4060</v>
      </c>
      <c r="Z6" s="97"/>
      <c r="AA6" s="85"/>
      <c r="AB6" s="110"/>
      <c r="AC6" s="110"/>
      <c r="AD6" s="110"/>
      <c r="AE6" s="85"/>
      <c r="AF6" s="85"/>
      <c r="AG6" s="85"/>
      <c r="AH6" s="85"/>
      <c r="AI6" s="85"/>
      <c r="AJ6" s="85"/>
      <c r="AK6" s="110"/>
      <c r="AL6" s="110"/>
      <c r="AM6" s="110"/>
    </row>
    <row r="7" spans="2:39" x14ac:dyDescent="0.25">
      <c r="B7" s="86">
        <v>20</v>
      </c>
      <c r="C7" s="86">
        <v>3</v>
      </c>
      <c r="D7" s="120">
        <f t="shared" ref="D7:D12" si="0">+C7*B7</f>
        <v>60</v>
      </c>
      <c r="E7" s="85"/>
      <c r="F7" s="86">
        <v>20</v>
      </c>
      <c r="G7" s="86">
        <v>2</v>
      </c>
      <c r="H7" s="120">
        <f t="shared" ref="H7:H12" si="1">+G7*F7</f>
        <v>40</v>
      </c>
      <c r="I7" s="85"/>
      <c r="J7" s="86">
        <v>20</v>
      </c>
      <c r="K7" s="86">
        <v>29</v>
      </c>
      <c r="L7" s="120">
        <f t="shared" ref="L7:L12" si="2">+K7*J7</f>
        <v>580</v>
      </c>
      <c r="M7" s="85"/>
      <c r="N7" s="86">
        <v>20</v>
      </c>
      <c r="O7" s="86">
        <v>18</v>
      </c>
      <c r="P7" s="120">
        <f t="shared" ref="P7:P12" si="3">+O7*N7</f>
        <v>360</v>
      </c>
      <c r="Q7" s="85"/>
      <c r="R7" s="86">
        <v>20</v>
      </c>
      <c r="S7" s="86"/>
      <c r="T7" s="120">
        <f t="shared" ref="T7:T12" si="4">+S7*R7</f>
        <v>0</v>
      </c>
      <c r="U7" s="85"/>
      <c r="V7" s="96"/>
      <c r="W7" s="123">
        <v>20</v>
      </c>
      <c r="X7" s="123">
        <f>+C7+G7+K7+O7+S7</f>
        <v>52</v>
      </c>
      <c r="Y7" s="121">
        <f t="shared" ref="Y7:Y12" si="5">+D7+H7+L7+P7+T7</f>
        <v>1040</v>
      </c>
      <c r="Z7" s="97"/>
      <c r="AA7" s="85"/>
      <c r="AB7" s="85"/>
      <c r="AC7" s="85"/>
      <c r="AD7" s="85"/>
      <c r="AE7" s="141" t="s">
        <v>10</v>
      </c>
      <c r="AF7" s="142">
        <f>Y13</f>
        <v>212300</v>
      </c>
      <c r="AG7" s="110"/>
      <c r="AH7" s="110"/>
      <c r="AI7" s="110"/>
      <c r="AJ7" s="110"/>
      <c r="AK7" s="85"/>
      <c r="AL7" s="85"/>
      <c r="AM7" s="85"/>
    </row>
    <row r="8" spans="2:39" x14ac:dyDescent="0.25">
      <c r="B8" s="86">
        <v>50</v>
      </c>
      <c r="C8" s="86">
        <v>25</v>
      </c>
      <c r="D8" s="120">
        <f t="shared" si="0"/>
        <v>1250</v>
      </c>
      <c r="E8" s="85"/>
      <c r="F8" s="86">
        <v>50</v>
      </c>
      <c r="G8" s="86">
        <v>15</v>
      </c>
      <c r="H8" s="120">
        <f t="shared" si="1"/>
        <v>750</v>
      </c>
      <c r="I8" s="85"/>
      <c r="J8" s="86">
        <v>50</v>
      </c>
      <c r="K8" s="86">
        <v>16</v>
      </c>
      <c r="L8" s="120">
        <f t="shared" si="2"/>
        <v>800</v>
      </c>
      <c r="M8" s="85"/>
      <c r="N8" s="86">
        <v>50</v>
      </c>
      <c r="O8" s="86">
        <v>2</v>
      </c>
      <c r="P8" s="120">
        <f t="shared" si="3"/>
        <v>100</v>
      </c>
      <c r="Q8" s="85"/>
      <c r="R8" s="86">
        <v>50</v>
      </c>
      <c r="S8" s="86"/>
      <c r="T8" s="120">
        <f t="shared" si="4"/>
        <v>0</v>
      </c>
      <c r="U8" s="85"/>
      <c r="V8" s="96"/>
      <c r="W8" s="123">
        <v>50</v>
      </c>
      <c r="X8" s="123">
        <f t="shared" ref="X8:X12" si="6">+C8+G8+K8+O8+S8</f>
        <v>58</v>
      </c>
      <c r="Y8" s="121">
        <f t="shared" si="5"/>
        <v>2900</v>
      </c>
      <c r="Z8" s="97"/>
      <c r="AA8" s="85"/>
      <c r="AB8" s="85"/>
      <c r="AC8" s="85"/>
      <c r="AD8" s="85"/>
      <c r="AE8" s="138" t="s">
        <v>11</v>
      </c>
      <c r="AF8" s="138">
        <f>+AF32</f>
        <v>478815</v>
      </c>
      <c r="AG8" s="85"/>
      <c r="AH8" s="85"/>
      <c r="AI8" s="85"/>
      <c r="AJ8" s="85"/>
      <c r="AK8" s="88" t="s">
        <v>6</v>
      </c>
      <c r="AL8" s="88" t="s">
        <v>7</v>
      </c>
      <c r="AM8" s="88" t="s">
        <v>8</v>
      </c>
    </row>
    <row r="9" spans="2:39" ht="15.75" thickBot="1" x14ac:dyDescent="0.3">
      <c r="B9" s="86">
        <v>100</v>
      </c>
      <c r="C9" s="86">
        <v>128</v>
      </c>
      <c r="D9" s="120">
        <f t="shared" si="0"/>
        <v>12800</v>
      </c>
      <c r="E9" s="85"/>
      <c r="F9" s="86">
        <v>100</v>
      </c>
      <c r="G9" s="86">
        <v>28</v>
      </c>
      <c r="H9" s="120">
        <f t="shared" si="1"/>
        <v>2800</v>
      </c>
      <c r="I9" s="85"/>
      <c r="J9" s="86">
        <v>100</v>
      </c>
      <c r="K9" s="86">
        <v>20</v>
      </c>
      <c r="L9" s="120">
        <f t="shared" si="2"/>
        <v>2000</v>
      </c>
      <c r="M9" s="85"/>
      <c r="N9" s="86">
        <v>100</v>
      </c>
      <c r="O9" s="86">
        <v>7</v>
      </c>
      <c r="P9" s="120">
        <f t="shared" si="3"/>
        <v>700</v>
      </c>
      <c r="Q9" s="85"/>
      <c r="R9" s="86">
        <v>100</v>
      </c>
      <c r="S9" s="86"/>
      <c r="T9" s="120">
        <f t="shared" si="4"/>
        <v>0</v>
      </c>
      <c r="U9" s="85"/>
      <c r="V9" s="96"/>
      <c r="W9" s="123">
        <v>100</v>
      </c>
      <c r="X9" s="123">
        <f t="shared" si="6"/>
        <v>183</v>
      </c>
      <c r="Y9" s="121">
        <f t="shared" si="5"/>
        <v>18300</v>
      </c>
      <c r="Z9" s="97"/>
      <c r="AA9" s="85"/>
      <c r="AB9" s="85"/>
      <c r="AC9" s="85"/>
      <c r="AD9" s="85"/>
      <c r="AE9" s="143" t="s">
        <v>12</v>
      </c>
      <c r="AF9" s="144">
        <f>SUM(AF7:AF8)</f>
        <v>691115</v>
      </c>
      <c r="AG9" s="85"/>
      <c r="AH9" s="85"/>
      <c r="AI9" s="85"/>
      <c r="AJ9" s="85"/>
      <c r="AK9" s="113">
        <v>1</v>
      </c>
      <c r="AL9" s="113"/>
      <c r="AM9" s="120">
        <f>+AL9*AK9</f>
        <v>0</v>
      </c>
    </row>
    <row r="10" spans="2:39" x14ac:dyDescent="0.25">
      <c r="B10" s="86">
        <v>500</v>
      </c>
      <c r="C10" s="86">
        <v>17</v>
      </c>
      <c r="D10" s="120">
        <f t="shared" si="0"/>
        <v>8500</v>
      </c>
      <c r="E10" s="85"/>
      <c r="F10" s="86">
        <v>500</v>
      </c>
      <c r="G10" s="86">
        <v>19</v>
      </c>
      <c r="H10" s="120">
        <f t="shared" si="1"/>
        <v>9500</v>
      </c>
      <c r="I10" s="85"/>
      <c r="J10" s="86">
        <v>500</v>
      </c>
      <c r="K10" s="86">
        <v>19</v>
      </c>
      <c r="L10" s="120">
        <f t="shared" si="2"/>
        <v>9500</v>
      </c>
      <c r="M10" s="85"/>
      <c r="N10" s="86">
        <v>500</v>
      </c>
      <c r="O10" s="86">
        <v>25</v>
      </c>
      <c r="P10" s="120">
        <f t="shared" si="3"/>
        <v>12500</v>
      </c>
      <c r="Q10" s="85"/>
      <c r="R10" s="86">
        <v>500</v>
      </c>
      <c r="S10" s="86"/>
      <c r="T10" s="120">
        <f t="shared" si="4"/>
        <v>0</v>
      </c>
      <c r="U10" s="85"/>
      <c r="V10" s="96"/>
      <c r="W10" s="123">
        <v>500</v>
      </c>
      <c r="X10" s="123">
        <f t="shared" si="6"/>
        <v>80</v>
      </c>
      <c r="Y10" s="121">
        <f t="shared" si="5"/>
        <v>40000</v>
      </c>
      <c r="Z10" s="97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6">
        <v>10</v>
      </c>
      <c r="AL10" s="86">
        <v>2417</v>
      </c>
      <c r="AM10" s="120">
        <f>+AL10*AK10</f>
        <v>24170</v>
      </c>
    </row>
    <row r="11" spans="2:39" x14ac:dyDescent="0.25">
      <c r="B11" s="86">
        <v>1000</v>
      </c>
      <c r="C11" s="86">
        <v>11</v>
      </c>
      <c r="D11" s="120">
        <f t="shared" si="0"/>
        <v>11000</v>
      </c>
      <c r="E11" s="85"/>
      <c r="F11" s="86">
        <v>1000</v>
      </c>
      <c r="G11" s="86">
        <v>34</v>
      </c>
      <c r="H11" s="120">
        <f t="shared" si="1"/>
        <v>34000</v>
      </c>
      <c r="I11" s="85"/>
      <c r="J11" s="86">
        <v>1000</v>
      </c>
      <c r="K11" s="86">
        <v>44</v>
      </c>
      <c r="L11" s="120">
        <f t="shared" si="2"/>
        <v>44000</v>
      </c>
      <c r="M11" s="85"/>
      <c r="N11" s="86">
        <v>1000</v>
      </c>
      <c r="O11" s="86">
        <v>32</v>
      </c>
      <c r="P11" s="120">
        <f t="shared" si="3"/>
        <v>32000</v>
      </c>
      <c r="Q11" s="85"/>
      <c r="R11" s="86">
        <v>1000</v>
      </c>
      <c r="S11" s="86"/>
      <c r="T11" s="120">
        <f t="shared" si="4"/>
        <v>0</v>
      </c>
      <c r="U11" s="85"/>
      <c r="V11" s="96"/>
      <c r="W11" s="123">
        <v>1000</v>
      </c>
      <c r="X11" s="123">
        <f t="shared" si="6"/>
        <v>121</v>
      </c>
      <c r="Y11" s="121">
        <f t="shared" si="5"/>
        <v>121000</v>
      </c>
      <c r="Z11" s="97"/>
      <c r="AA11" s="85"/>
      <c r="AB11" s="85"/>
      <c r="AC11" s="85"/>
      <c r="AD11" s="85"/>
      <c r="AE11" s="132" t="s">
        <v>13</v>
      </c>
      <c r="AF11" s="132" t="s">
        <v>8</v>
      </c>
      <c r="AG11" s="132" t="s">
        <v>14</v>
      </c>
      <c r="AH11" s="132" t="s">
        <v>15</v>
      </c>
      <c r="AI11" s="132" t="s">
        <v>16</v>
      </c>
      <c r="AJ11" s="132"/>
      <c r="AK11" s="86">
        <v>20</v>
      </c>
      <c r="AL11" s="86">
        <v>48</v>
      </c>
      <c r="AM11" s="120">
        <f t="shared" ref="AM11:AM16" si="7">+AL11*AK11</f>
        <v>960</v>
      </c>
    </row>
    <row r="12" spans="2:39" x14ac:dyDescent="0.25">
      <c r="B12" s="86">
        <v>5000</v>
      </c>
      <c r="C12" s="86">
        <v>2</v>
      </c>
      <c r="D12" s="120">
        <f t="shared" si="0"/>
        <v>10000</v>
      </c>
      <c r="E12" s="85"/>
      <c r="F12" s="86">
        <v>5000</v>
      </c>
      <c r="G12" s="86">
        <v>1</v>
      </c>
      <c r="H12" s="120">
        <f t="shared" si="1"/>
        <v>5000</v>
      </c>
      <c r="I12" s="85"/>
      <c r="J12" s="86">
        <v>5000</v>
      </c>
      <c r="K12" s="86">
        <v>2</v>
      </c>
      <c r="L12" s="120">
        <f t="shared" si="2"/>
        <v>10000</v>
      </c>
      <c r="M12" s="85"/>
      <c r="N12" s="86">
        <v>5000</v>
      </c>
      <c r="O12" s="86"/>
      <c r="P12" s="120">
        <f t="shared" si="3"/>
        <v>0</v>
      </c>
      <c r="Q12" s="85"/>
      <c r="R12" s="86">
        <v>5000</v>
      </c>
      <c r="S12" s="86"/>
      <c r="T12" s="120">
        <f t="shared" si="4"/>
        <v>0</v>
      </c>
      <c r="U12" s="85"/>
      <c r="V12" s="96"/>
      <c r="W12" s="123">
        <v>5000</v>
      </c>
      <c r="X12" s="123">
        <f t="shared" si="6"/>
        <v>5</v>
      </c>
      <c r="Y12" s="121">
        <f t="shared" si="5"/>
        <v>25000</v>
      </c>
      <c r="Z12" s="97"/>
      <c r="AA12" s="85"/>
      <c r="AB12" s="85"/>
      <c r="AC12" s="85"/>
      <c r="AD12" s="85"/>
      <c r="AE12" s="85" t="s">
        <v>17</v>
      </c>
      <c r="AF12" s="89">
        <v>682080</v>
      </c>
      <c r="AG12" s="85">
        <v>9600</v>
      </c>
      <c r="AH12" s="137">
        <v>45969</v>
      </c>
      <c r="AI12" s="85" t="s">
        <v>223</v>
      </c>
      <c r="AJ12" s="85"/>
      <c r="AK12" s="86">
        <v>50</v>
      </c>
      <c r="AL12" s="86">
        <v>129</v>
      </c>
      <c r="AM12" s="120">
        <f t="shared" si="7"/>
        <v>6450</v>
      </c>
    </row>
    <row r="13" spans="2:39" ht="15.75" thickBot="1" x14ac:dyDescent="0.3">
      <c r="B13" s="87" t="s">
        <v>18</v>
      </c>
      <c r="C13" s="87"/>
      <c r="D13" s="90">
        <f>+SUM(D5:D12)</f>
        <v>43850</v>
      </c>
      <c r="E13" s="85"/>
      <c r="F13" s="87" t="s">
        <v>18</v>
      </c>
      <c r="G13" s="87"/>
      <c r="H13" s="90">
        <f>+SUM(H5:H12)</f>
        <v>53210</v>
      </c>
      <c r="I13" s="85"/>
      <c r="J13" s="87" t="s">
        <v>18</v>
      </c>
      <c r="K13" s="87"/>
      <c r="L13" s="90">
        <f>+SUM(L5:L12)</f>
        <v>68420</v>
      </c>
      <c r="M13" s="85"/>
      <c r="N13" s="87" t="s">
        <v>18</v>
      </c>
      <c r="O13" s="87"/>
      <c r="P13" s="90">
        <f>+SUM(P5:P12)</f>
        <v>46820</v>
      </c>
      <c r="Q13" s="85"/>
      <c r="R13" s="87" t="s">
        <v>18</v>
      </c>
      <c r="S13" s="87"/>
      <c r="T13" s="90">
        <f>+SUM(T5:T12)</f>
        <v>0</v>
      </c>
      <c r="U13" s="85"/>
      <c r="V13" s="96"/>
      <c r="W13" s="87" t="s">
        <v>18</v>
      </c>
      <c r="X13" s="87"/>
      <c r="Y13" s="90">
        <f>+SUM(Y5:Y12)</f>
        <v>212300</v>
      </c>
      <c r="Z13" s="97"/>
      <c r="AA13" s="85"/>
      <c r="AB13" s="85"/>
      <c r="AC13" s="85"/>
      <c r="AD13" s="85"/>
      <c r="AE13" s="85" t="s">
        <v>19</v>
      </c>
      <c r="AF13" s="89">
        <v>9100</v>
      </c>
      <c r="AG13" s="85"/>
      <c r="AH13" s="85"/>
      <c r="AI13" s="85"/>
      <c r="AJ13" s="85"/>
      <c r="AK13" s="86">
        <v>100</v>
      </c>
      <c r="AL13" s="86">
        <v>460</v>
      </c>
      <c r="AM13" s="120">
        <f t="shared" si="7"/>
        <v>46000</v>
      </c>
    </row>
    <row r="14" spans="2:39" ht="15.75" thickBot="1" x14ac:dyDescent="0.3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96"/>
      <c r="W14" s="100"/>
      <c r="X14" s="100"/>
      <c r="Y14" s="100"/>
      <c r="Z14" s="97"/>
      <c r="AA14" s="85"/>
      <c r="AB14" s="85"/>
      <c r="AC14" s="85"/>
      <c r="AD14" s="85"/>
      <c r="AE14" s="85" t="s">
        <v>20</v>
      </c>
      <c r="AF14" s="89"/>
      <c r="AG14" s="85"/>
      <c r="AH14" s="85"/>
      <c r="AI14" s="85"/>
      <c r="AJ14" s="85"/>
      <c r="AK14" s="86">
        <v>500</v>
      </c>
      <c r="AL14" s="86">
        <v>417</v>
      </c>
      <c r="AM14" s="120">
        <f t="shared" si="7"/>
        <v>208500</v>
      </c>
    </row>
    <row r="15" spans="2:39" ht="15.75" thickBot="1" x14ac:dyDescent="0.3">
      <c r="B15" s="242" t="s">
        <v>21</v>
      </c>
      <c r="C15" s="243"/>
      <c r="D15" s="92">
        <v>54412.82</v>
      </c>
      <c r="E15" s="114"/>
      <c r="F15" s="242" t="s">
        <v>21</v>
      </c>
      <c r="G15" s="243"/>
      <c r="H15" s="92">
        <v>80766</v>
      </c>
      <c r="I15" s="114"/>
      <c r="J15" s="242" t="s">
        <v>21</v>
      </c>
      <c r="K15" s="243"/>
      <c r="L15" s="92">
        <v>68385</v>
      </c>
      <c r="M15" s="114"/>
      <c r="N15" s="242" t="s">
        <v>21</v>
      </c>
      <c r="O15" s="243"/>
      <c r="P15" s="92">
        <v>46812</v>
      </c>
      <c r="Q15" s="114"/>
      <c r="R15" s="242" t="s">
        <v>21</v>
      </c>
      <c r="S15" s="243"/>
      <c r="T15" s="92">
        <v>1255839</v>
      </c>
      <c r="U15" s="114"/>
      <c r="V15" s="115"/>
      <c r="W15" s="242" t="s">
        <v>21</v>
      </c>
      <c r="X15" s="243"/>
      <c r="Y15" s="92">
        <f>+D15+H15+L15+P15+T15</f>
        <v>1506214.82</v>
      </c>
      <c r="Z15" s="116"/>
      <c r="AA15" s="114"/>
      <c r="AB15" s="85"/>
      <c r="AC15" s="85"/>
      <c r="AD15" s="85"/>
      <c r="AE15" s="85" t="s">
        <v>22</v>
      </c>
      <c r="AF15" s="89"/>
      <c r="AG15" s="85"/>
      <c r="AH15" s="85"/>
      <c r="AI15" s="85"/>
      <c r="AJ15" s="85"/>
      <c r="AK15" s="86">
        <v>1000</v>
      </c>
      <c r="AL15" s="86">
        <v>346</v>
      </c>
      <c r="AM15" s="120">
        <f t="shared" si="7"/>
        <v>346000</v>
      </c>
    </row>
    <row r="16" spans="2:39" x14ac:dyDescent="0.25">
      <c r="B16" s="85" t="s">
        <v>10</v>
      </c>
      <c r="C16" s="85"/>
      <c r="D16" s="89">
        <v>43850</v>
      </c>
      <c r="E16" s="85"/>
      <c r="F16" s="85" t="s">
        <v>10</v>
      </c>
      <c r="G16" s="85"/>
      <c r="H16" s="89">
        <f>+H13</f>
        <v>53210</v>
      </c>
      <c r="I16" s="85"/>
      <c r="J16" s="85" t="s">
        <v>10</v>
      </c>
      <c r="K16" s="85"/>
      <c r="L16" s="89">
        <v>68420</v>
      </c>
      <c r="M16" s="85"/>
      <c r="N16" s="85" t="s">
        <v>10</v>
      </c>
      <c r="O16" s="85"/>
      <c r="P16" s="89">
        <f>+P13</f>
        <v>46820</v>
      </c>
      <c r="Q16" s="85"/>
      <c r="R16" s="85" t="s">
        <v>10</v>
      </c>
      <c r="S16" s="85"/>
      <c r="T16" s="89"/>
      <c r="U16" s="85"/>
      <c r="V16" s="96"/>
      <c r="W16" s="124" t="s">
        <v>10</v>
      </c>
      <c r="X16" s="124"/>
      <c r="Y16" s="121">
        <f>+D16+H16+L16+P16+T16</f>
        <v>212300</v>
      </c>
      <c r="Z16" s="97"/>
      <c r="AA16" s="85"/>
      <c r="AB16" s="114"/>
      <c r="AC16" s="114"/>
      <c r="AD16" s="114"/>
      <c r="AE16" s="85" t="s">
        <v>23</v>
      </c>
      <c r="AF16" s="89"/>
      <c r="AG16" s="85"/>
      <c r="AH16" s="85"/>
      <c r="AI16" s="85"/>
      <c r="AJ16" s="85"/>
      <c r="AK16" s="86">
        <v>5000</v>
      </c>
      <c r="AL16" s="86">
        <v>12</v>
      </c>
      <c r="AM16" s="120">
        <f t="shared" si="7"/>
        <v>60000</v>
      </c>
    </row>
    <row r="17" spans="2:39" ht="15.75" thickBot="1" x14ac:dyDescent="0.3">
      <c r="B17" s="85" t="s">
        <v>17</v>
      </c>
      <c r="C17" s="85"/>
      <c r="D17" s="89"/>
      <c r="E17" s="85"/>
      <c r="F17" s="85" t="s">
        <v>17</v>
      </c>
      <c r="G17" s="85"/>
      <c r="H17" s="89"/>
      <c r="I17" s="85"/>
      <c r="J17" s="85" t="s">
        <v>17</v>
      </c>
      <c r="K17" s="85"/>
      <c r="L17" s="89"/>
      <c r="M17" s="85"/>
      <c r="N17" s="85" t="s">
        <v>17</v>
      </c>
      <c r="O17" s="85"/>
      <c r="P17" s="89"/>
      <c r="Q17" s="85"/>
      <c r="R17" s="85" t="s">
        <v>17</v>
      </c>
      <c r="S17" s="85"/>
      <c r="T17" s="89"/>
      <c r="U17" s="85"/>
      <c r="V17" s="96"/>
      <c r="W17" s="124" t="s">
        <v>17</v>
      </c>
      <c r="X17" s="124"/>
      <c r="Y17" s="121">
        <f t="shared" ref="Y17:Y27" si="8">+D17+H17+L17+P17+T17</f>
        <v>0</v>
      </c>
      <c r="Z17" s="97"/>
      <c r="AA17" s="85"/>
      <c r="AB17" s="85"/>
      <c r="AC17" s="85"/>
      <c r="AD17" s="85"/>
      <c r="AE17" s="133" t="s">
        <v>12</v>
      </c>
      <c r="AF17" s="134">
        <f>+SUM(AF12:AF16)</f>
        <v>691180</v>
      </c>
      <c r="AG17" s="160"/>
      <c r="AH17" s="85"/>
      <c r="AI17" s="85"/>
      <c r="AJ17" s="85"/>
      <c r="AK17" s="87" t="s">
        <v>18</v>
      </c>
      <c r="AL17" s="87"/>
      <c r="AM17" s="90">
        <f>+SUM(AM9:AM16)</f>
        <v>692080</v>
      </c>
    </row>
    <row r="18" spans="2:39" x14ac:dyDescent="0.25">
      <c r="B18" s="85" t="s">
        <v>309</v>
      </c>
      <c r="C18" s="85" t="s">
        <v>320</v>
      </c>
      <c r="D18" s="89">
        <v>10568</v>
      </c>
      <c r="E18" s="85"/>
      <c r="F18" s="85" t="s">
        <v>93</v>
      </c>
      <c r="G18" s="85" t="s">
        <v>321</v>
      </c>
      <c r="H18" s="89">
        <v>9230</v>
      </c>
      <c r="I18" s="85"/>
      <c r="J18" s="85" t="s">
        <v>26</v>
      </c>
      <c r="K18" s="85"/>
      <c r="L18" s="89"/>
      <c r="M18" s="85"/>
      <c r="N18" s="85" t="s">
        <v>26</v>
      </c>
      <c r="O18" s="85"/>
      <c r="P18" s="89"/>
      <c r="Q18" s="85"/>
      <c r="R18" s="85" t="s">
        <v>26</v>
      </c>
      <c r="S18" s="85"/>
      <c r="T18" s="89"/>
      <c r="U18" s="85"/>
      <c r="V18" s="96"/>
      <c r="W18" s="124" t="s">
        <v>26</v>
      </c>
      <c r="X18" s="124"/>
      <c r="Y18" s="121">
        <f t="shared" si="8"/>
        <v>19798</v>
      </c>
      <c r="Z18" s="97"/>
      <c r="AA18" s="85"/>
      <c r="AB18" s="85"/>
      <c r="AC18" s="85"/>
      <c r="AD18" s="85"/>
      <c r="AE18" s="135" t="s">
        <v>32</v>
      </c>
      <c r="AF18" s="136">
        <f>+AF17-AF9</f>
        <v>65</v>
      </c>
      <c r="AG18" s="85" t="s">
        <v>33</v>
      </c>
      <c r="AH18" s="85"/>
      <c r="AI18" s="85"/>
      <c r="AJ18" s="85"/>
      <c r="AK18" s="85"/>
      <c r="AL18" s="85"/>
      <c r="AM18" s="85"/>
    </row>
    <row r="19" spans="2:39" x14ac:dyDescent="0.25">
      <c r="B19" s="85" t="s">
        <v>34</v>
      </c>
      <c r="C19" s="85"/>
      <c r="D19" s="89"/>
      <c r="E19" s="85"/>
      <c r="F19" s="85" t="s">
        <v>311</v>
      </c>
      <c r="G19" s="85" t="s">
        <v>322</v>
      </c>
      <c r="H19" s="89">
        <v>7000</v>
      </c>
      <c r="I19" s="85"/>
      <c r="J19" s="85" t="s">
        <v>34</v>
      </c>
      <c r="K19" s="85"/>
      <c r="L19" s="89"/>
      <c r="M19" s="85"/>
      <c r="N19" s="85" t="s">
        <v>34</v>
      </c>
      <c r="O19" s="85"/>
      <c r="P19" s="89"/>
      <c r="Q19" s="85"/>
      <c r="R19" s="85" t="s">
        <v>34</v>
      </c>
      <c r="S19" s="85"/>
      <c r="T19" s="89"/>
      <c r="U19" s="85"/>
      <c r="V19" s="96"/>
      <c r="W19" s="124" t="s">
        <v>34</v>
      </c>
      <c r="X19" s="124"/>
      <c r="Y19" s="121">
        <f t="shared" si="8"/>
        <v>7000</v>
      </c>
      <c r="Z19" s="97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</row>
    <row r="20" spans="2:39" x14ac:dyDescent="0.25">
      <c r="B20" s="85" t="s">
        <v>36</v>
      </c>
      <c r="C20" s="85"/>
      <c r="D20" s="89"/>
      <c r="E20" s="85"/>
      <c r="F20" s="85" t="s">
        <v>92</v>
      </c>
      <c r="G20" s="85" t="s">
        <v>323</v>
      </c>
      <c r="H20" s="89">
        <v>4000</v>
      </c>
      <c r="I20" s="85"/>
      <c r="J20" s="85" t="s">
        <v>36</v>
      </c>
      <c r="K20" s="85"/>
      <c r="L20" s="89"/>
      <c r="M20" s="85"/>
      <c r="N20" s="85" t="s">
        <v>36</v>
      </c>
      <c r="O20" s="85"/>
      <c r="P20" s="89"/>
      <c r="Q20" s="85"/>
      <c r="R20" s="85" t="s">
        <v>36</v>
      </c>
      <c r="S20" s="85"/>
      <c r="T20" s="89"/>
      <c r="U20" s="85"/>
      <c r="V20" s="96"/>
      <c r="W20" s="124" t="s">
        <v>36</v>
      </c>
      <c r="X20" s="124"/>
      <c r="Y20" s="121">
        <f t="shared" si="8"/>
        <v>4000</v>
      </c>
      <c r="Z20" s="97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</row>
    <row r="21" spans="2:39" x14ac:dyDescent="0.25">
      <c r="B21" s="85"/>
      <c r="C21" s="85"/>
      <c r="D21" s="89"/>
      <c r="E21" s="85"/>
      <c r="F21" s="85" t="s">
        <v>251</v>
      </c>
      <c r="G21" s="85" t="s">
        <v>324</v>
      </c>
      <c r="H21" s="89">
        <v>7029</v>
      </c>
      <c r="I21" s="85"/>
      <c r="J21" s="85"/>
      <c r="K21" s="85"/>
      <c r="L21" s="89"/>
      <c r="M21" s="85"/>
      <c r="N21" s="85"/>
      <c r="O21" s="85"/>
      <c r="P21" s="89"/>
      <c r="Q21" s="85"/>
      <c r="R21" s="85"/>
      <c r="S21" s="85"/>
      <c r="T21" s="89"/>
      <c r="U21" s="85"/>
      <c r="V21" s="96"/>
      <c r="W21" s="124"/>
      <c r="X21" s="124"/>
      <c r="Y21" s="121">
        <f t="shared" si="8"/>
        <v>7029</v>
      </c>
      <c r="Z21" s="97"/>
      <c r="AA21" s="85"/>
      <c r="AB21" s="139" t="s">
        <v>37</v>
      </c>
      <c r="AC21" s="139"/>
      <c r="AD21" s="139"/>
      <c r="AE21" s="114"/>
      <c r="AF21" s="85"/>
      <c r="AG21" s="85"/>
      <c r="AH21" s="85"/>
      <c r="AI21" s="85"/>
      <c r="AJ21" s="139" t="s">
        <v>38</v>
      </c>
      <c r="AK21" s="139"/>
      <c r="AL21" s="139"/>
      <c r="AM21" s="147"/>
    </row>
    <row r="22" spans="2:39" x14ac:dyDescent="0.25">
      <c r="B22" s="85"/>
      <c r="C22" s="85"/>
      <c r="D22" s="89"/>
      <c r="E22" s="85"/>
      <c r="F22" s="85"/>
      <c r="G22" s="85"/>
      <c r="H22" s="89"/>
      <c r="I22" s="85"/>
      <c r="J22" s="85"/>
      <c r="K22" s="85"/>
      <c r="L22" s="89"/>
      <c r="M22" s="85"/>
      <c r="N22" s="85"/>
      <c r="O22" s="85"/>
      <c r="P22" s="89"/>
      <c r="Q22" s="85"/>
      <c r="R22" s="85" t="s">
        <v>337</v>
      </c>
      <c r="S22" s="85" t="s">
        <v>338</v>
      </c>
      <c r="T22" s="89">
        <v>19830</v>
      </c>
      <c r="U22" s="85"/>
      <c r="V22" s="96"/>
      <c r="W22" s="124"/>
      <c r="X22" s="124"/>
      <c r="Y22" s="121">
        <f t="shared" si="8"/>
        <v>19830</v>
      </c>
      <c r="Z22" s="97"/>
      <c r="AA22" s="85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G22" s="85"/>
      <c r="AH22" s="85"/>
      <c r="AI22" s="85"/>
      <c r="AJ22" s="132" t="s">
        <v>41</v>
      </c>
      <c r="AK22" s="132" t="s">
        <v>45</v>
      </c>
      <c r="AL22" s="132" t="s">
        <v>43</v>
      </c>
      <c r="AM22" s="132" t="s">
        <v>8</v>
      </c>
    </row>
    <row r="23" spans="2:39" x14ac:dyDescent="0.25">
      <c r="B23" s="85" t="s">
        <v>46</v>
      </c>
      <c r="C23" s="85"/>
      <c r="D23" s="89"/>
      <c r="E23" s="85"/>
      <c r="F23" s="85" t="s">
        <v>46</v>
      </c>
      <c r="G23" s="85"/>
      <c r="H23" s="89"/>
      <c r="I23" s="85"/>
      <c r="J23" s="85" t="s">
        <v>46</v>
      </c>
      <c r="K23" s="85"/>
      <c r="L23" s="89"/>
      <c r="M23" s="85"/>
      <c r="N23" s="85" t="s">
        <v>240</v>
      </c>
      <c r="O23" s="85"/>
      <c r="P23" s="89"/>
      <c r="Q23" s="85"/>
      <c r="R23" s="85" t="s">
        <v>331</v>
      </c>
      <c r="S23" s="85" t="s">
        <v>105</v>
      </c>
      <c r="T23" s="89">
        <v>753337</v>
      </c>
      <c r="U23" s="85"/>
      <c r="V23" s="96"/>
      <c r="W23" s="125" t="s">
        <v>46</v>
      </c>
      <c r="X23" s="124"/>
      <c r="Y23" s="121">
        <f t="shared" si="8"/>
        <v>753337</v>
      </c>
      <c r="Z23" s="97"/>
      <c r="AA23" s="85"/>
      <c r="AB23" s="166" t="s">
        <v>326</v>
      </c>
      <c r="AC23" s="234">
        <v>45755</v>
      </c>
      <c r="AD23" s="166" t="s">
        <v>325</v>
      </c>
      <c r="AE23" s="166"/>
      <c r="AF23" s="168">
        <v>13248</v>
      </c>
      <c r="AG23" s="85"/>
      <c r="AH23" s="85"/>
      <c r="AI23" s="85"/>
      <c r="AJ23" s="85"/>
      <c r="AK23" s="85"/>
      <c r="AL23" s="85"/>
      <c r="AM23" s="85"/>
    </row>
    <row r="24" spans="2:39" x14ac:dyDescent="0.25">
      <c r="B24" s="85" t="s">
        <v>54</v>
      </c>
      <c r="C24" s="85"/>
      <c r="D24" s="89"/>
      <c r="E24" s="85"/>
      <c r="F24" s="85" t="s">
        <v>54</v>
      </c>
      <c r="G24" s="85"/>
      <c r="H24" s="89"/>
      <c r="I24" s="85"/>
      <c r="J24" s="85" t="s">
        <v>54</v>
      </c>
      <c r="K24" s="85"/>
      <c r="L24" s="89"/>
      <c r="M24" s="85"/>
      <c r="N24" s="85" t="s">
        <v>240</v>
      </c>
      <c r="O24" s="85"/>
      <c r="P24" s="89"/>
      <c r="Q24" s="85"/>
      <c r="R24" s="85" t="s">
        <v>332</v>
      </c>
      <c r="S24" s="85" t="s">
        <v>103</v>
      </c>
      <c r="T24" s="89">
        <v>363277</v>
      </c>
      <c r="U24" s="85"/>
      <c r="V24" s="96"/>
      <c r="W24" s="125" t="s">
        <v>54</v>
      </c>
      <c r="X24" s="124"/>
      <c r="Y24" s="121">
        <f t="shared" si="8"/>
        <v>363277</v>
      </c>
      <c r="Z24" s="97"/>
      <c r="AA24" s="85"/>
      <c r="AB24" s="166" t="s">
        <v>106</v>
      </c>
      <c r="AC24" s="167">
        <v>45866</v>
      </c>
      <c r="AD24" s="166" t="s">
        <v>107</v>
      </c>
      <c r="AE24" s="166"/>
      <c r="AF24" s="168">
        <v>40000</v>
      </c>
      <c r="AG24" s="85"/>
      <c r="AH24" s="85"/>
      <c r="AI24" s="85"/>
      <c r="AJ24" s="85"/>
      <c r="AK24" s="85"/>
      <c r="AL24" s="85"/>
      <c r="AM24" s="85"/>
    </row>
    <row r="25" spans="2:39" x14ac:dyDescent="0.25">
      <c r="B25" s="85" t="s">
        <v>61</v>
      </c>
      <c r="C25" s="85"/>
      <c r="D25" s="89"/>
      <c r="E25" s="85"/>
      <c r="F25" s="85" t="s">
        <v>61</v>
      </c>
      <c r="G25" s="85"/>
      <c r="H25" s="89"/>
      <c r="I25" s="85"/>
      <c r="J25" s="85" t="s">
        <v>61</v>
      </c>
      <c r="K25" s="85"/>
      <c r="L25" s="89"/>
      <c r="M25" s="85"/>
      <c r="N25" s="85" t="s">
        <v>240</v>
      </c>
      <c r="O25" s="85"/>
      <c r="P25" s="89"/>
      <c r="Q25" s="85"/>
      <c r="R25" s="85" t="s">
        <v>333</v>
      </c>
      <c r="S25" s="85" t="s">
        <v>334</v>
      </c>
      <c r="T25" s="89">
        <v>109511</v>
      </c>
      <c r="U25" s="85"/>
      <c r="V25" s="96"/>
      <c r="W25" s="125" t="s">
        <v>61</v>
      </c>
      <c r="X25" s="124"/>
      <c r="Y25" s="121">
        <f t="shared" si="8"/>
        <v>109511</v>
      </c>
      <c r="Z25" s="97"/>
      <c r="AA25" s="85"/>
      <c r="AB25" s="166" t="s">
        <v>327</v>
      </c>
      <c r="AC25" s="167">
        <v>45870</v>
      </c>
      <c r="AD25" s="166" t="s">
        <v>40</v>
      </c>
      <c r="AE25" s="166"/>
      <c r="AF25" s="168">
        <v>30186</v>
      </c>
      <c r="AG25" s="85"/>
      <c r="AH25" s="85"/>
      <c r="AI25" s="85"/>
      <c r="AJ25" s="85"/>
      <c r="AK25" s="85"/>
      <c r="AL25" s="85"/>
      <c r="AM25" s="85"/>
    </row>
    <row r="26" spans="2:39" x14ac:dyDescent="0.25">
      <c r="B26" s="85"/>
      <c r="C26" s="85"/>
      <c r="D26" s="89"/>
      <c r="E26" s="85"/>
      <c r="F26" s="85"/>
      <c r="G26" s="85"/>
      <c r="H26" s="89"/>
      <c r="I26" s="85"/>
      <c r="J26" s="85"/>
      <c r="K26" s="85"/>
      <c r="L26" s="89"/>
      <c r="M26" s="85"/>
      <c r="N26" s="85"/>
      <c r="O26" s="85"/>
      <c r="P26" s="89"/>
      <c r="Q26" s="85"/>
      <c r="R26" s="85" t="s">
        <v>335</v>
      </c>
      <c r="S26" s="85" t="s">
        <v>336</v>
      </c>
      <c r="T26" s="89">
        <v>8074</v>
      </c>
      <c r="U26" s="85"/>
      <c r="V26" s="96"/>
      <c r="W26" s="124"/>
      <c r="X26" s="124"/>
      <c r="Y26" s="121">
        <f t="shared" si="8"/>
        <v>8074</v>
      </c>
      <c r="Z26" s="97"/>
      <c r="AA26" s="85"/>
      <c r="AB26" s="166" t="s">
        <v>328</v>
      </c>
      <c r="AC26" s="167">
        <v>45877</v>
      </c>
      <c r="AD26" s="166" t="s">
        <v>40</v>
      </c>
      <c r="AE26" s="166"/>
      <c r="AF26" s="168">
        <v>97231</v>
      </c>
      <c r="AG26" s="85"/>
      <c r="AH26" s="85"/>
      <c r="AI26" s="85"/>
      <c r="AJ26" s="85"/>
      <c r="AK26" s="85"/>
      <c r="AL26" s="85"/>
      <c r="AM26" s="85"/>
    </row>
    <row r="27" spans="2:39" ht="15.75" thickBot="1" x14ac:dyDescent="0.3">
      <c r="B27" s="85"/>
      <c r="C27" s="85"/>
      <c r="D27" s="89"/>
      <c r="E27" s="85"/>
      <c r="F27" s="85"/>
      <c r="G27" s="85"/>
      <c r="H27" s="89"/>
      <c r="I27" s="85"/>
      <c r="J27" s="85"/>
      <c r="K27" s="85"/>
      <c r="L27" s="89"/>
      <c r="M27" s="85"/>
      <c r="N27" s="85"/>
      <c r="O27" s="85"/>
      <c r="P27" s="89"/>
      <c r="Q27" s="85"/>
      <c r="R27" s="85"/>
      <c r="S27" s="85"/>
      <c r="T27" s="89"/>
      <c r="U27" s="85"/>
      <c r="V27" s="96"/>
      <c r="W27" s="124"/>
      <c r="X27" s="124"/>
      <c r="Y27" s="121">
        <f t="shared" si="8"/>
        <v>0</v>
      </c>
      <c r="Z27" s="97"/>
      <c r="AA27" s="85"/>
      <c r="AB27" s="166" t="s">
        <v>139</v>
      </c>
      <c r="AC27" s="167">
        <v>45868</v>
      </c>
      <c r="AD27" s="166" t="s">
        <v>329</v>
      </c>
      <c r="AE27" s="166"/>
      <c r="AF27" s="166">
        <v>3000</v>
      </c>
      <c r="AG27" s="85"/>
      <c r="AH27" s="85"/>
      <c r="AI27" s="85"/>
      <c r="AJ27" s="85"/>
      <c r="AK27" s="85"/>
      <c r="AL27" s="85"/>
      <c r="AM27" s="85"/>
    </row>
    <row r="28" spans="2:39" ht="15.75" thickBot="1" x14ac:dyDescent="0.3">
      <c r="B28" s="235" t="s">
        <v>12</v>
      </c>
      <c r="C28" s="236"/>
      <c r="D28" s="93">
        <f>+SUM(D16:D27)</f>
        <v>54418</v>
      </c>
      <c r="E28" s="85"/>
      <c r="F28" s="235" t="s">
        <v>12</v>
      </c>
      <c r="G28" s="236"/>
      <c r="H28" s="93">
        <f>+SUM(H16:H27)</f>
        <v>80469</v>
      </c>
      <c r="I28" s="85"/>
      <c r="J28" s="235" t="s">
        <v>12</v>
      </c>
      <c r="K28" s="236"/>
      <c r="L28" s="93">
        <f>+SUM(L16:L27)</f>
        <v>68420</v>
      </c>
      <c r="M28" s="85"/>
      <c r="N28" s="235" t="s">
        <v>12</v>
      </c>
      <c r="O28" s="236"/>
      <c r="P28" s="93">
        <f>+SUM(P16:P27)</f>
        <v>46820</v>
      </c>
      <c r="Q28" s="85"/>
      <c r="R28" s="235" t="s">
        <v>12</v>
      </c>
      <c r="S28" s="236"/>
      <c r="T28" s="93">
        <f>+SUM(T16:T27)</f>
        <v>1254029</v>
      </c>
      <c r="U28" s="85"/>
      <c r="V28" s="96"/>
      <c r="W28" s="235" t="s">
        <v>12</v>
      </c>
      <c r="X28" s="236"/>
      <c r="Y28" s="93">
        <f>+SUM(Y16:Y27)</f>
        <v>1504156</v>
      </c>
      <c r="Z28" s="97"/>
      <c r="AA28" s="85"/>
      <c r="AB28" s="166" t="s">
        <v>330</v>
      </c>
      <c r="AC28" s="167">
        <v>45871</v>
      </c>
      <c r="AD28" s="166" t="s">
        <v>105</v>
      </c>
      <c r="AE28" s="166"/>
      <c r="AF28" s="166">
        <v>6040</v>
      </c>
      <c r="AG28" s="85"/>
      <c r="AH28" s="85"/>
      <c r="AI28" s="85"/>
      <c r="AJ28" s="85"/>
      <c r="AK28" s="85"/>
      <c r="AL28" s="85"/>
      <c r="AM28" s="85"/>
    </row>
    <row r="29" spans="2:39" x14ac:dyDescent="0.25">
      <c r="B29" s="85"/>
      <c r="C29" s="85"/>
      <c r="D29" s="89"/>
      <c r="E29" s="85"/>
      <c r="F29" s="85"/>
      <c r="G29" s="85"/>
      <c r="H29" s="89"/>
      <c r="I29" s="85"/>
      <c r="J29" s="85"/>
      <c r="K29" s="85"/>
      <c r="L29" s="89"/>
      <c r="M29" s="85"/>
      <c r="N29" s="85"/>
      <c r="O29" s="85"/>
      <c r="P29" s="89"/>
      <c r="Q29" s="85"/>
      <c r="R29" s="85"/>
      <c r="S29" s="85"/>
      <c r="T29" s="89"/>
      <c r="U29" s="85"/>
      <c r="V29" s="96"/>
      <c r="W29" s="100"/>
      <c r="X29" s="100"/>
      <c r="Y29" s="99"/>
      <c r="Z29" s="97"/>
      <c r="AA29" s="85"/>
      <c r="AB29" s="166" t="s">
        <v>339</v>
      </c>
      <c r="AC29" s="166"/>
      <c r="AD29" s="166" t="s">
        <v>340</v>
      </c>
      <c r="AE29" s="166"/>
      <c r="AF29" s="166">
        <v>289110</v>
      </c>
      <c r="AG29" s="85"/>
      <c r="AH29" s="85"/>
      <c r="AI29" s="85"/>
      <c r="AJ29" s="85"/>
      <c r="AK29" s="85"/>
      <c r="AL29" s="85"/>
      <c r="AM29" s="85"/>
    </row>
    <row r="30" spans="2:39" ht="15.75" thickBot="1" x14ac:dyDescent="0.3">
      <c r="B30" s="237" t="s">
        <v>75</v>
      </c>
      <c r="C30" s="237"/>
      <c r="D30" s="91">
        <f>+D28-D15</f>
        <v>5.180000000000291</v>
      </c>
      <c r="E30" s="85"/>
      <c r="F30" s="237" t="s">
        <v>75</v>
      </c>
      <c r="G30" s="237"/>
      <c r="H30" s="91">
        <f>+H28-H15</f>
        <v>-297</v>
      </c>
      <c r="I30" s="85"/>
      <c r="J30" s="237" t="s">
        <v>75</v>
      </c>
      <c r="K30" s="237"/>
      <c r="L30" s="91">
        <f>+L28-L15</f>
        <v>35</v>
      </c>
      <c r="M30" s="85"/>
      <c r="N30" s="237" t="s">
        <v>75</v>
      </c>
      <c r="O30" s="237"/>
      <c r="P30" s="91">
        <f>+P28-P15</f>
        <v>8</v>
      </c>
      <c r="Q30" s="85"/>
      <c r="R30" s="237" t="s">
        <v>75</v>
      </c>
      <c r="S30" s="237"/>
      <c r="T30" s="91">
        <f>+T28-T15</f>
        <v>-1810</v>
      </c>
      <c r="U30" s="85"/>
      <c r="V30" s="96"/>
      <c r="W30" s="238" t="s">
        <v>75</v>
      </c>
      <c r="X30" s="238"/>
      <c r="Y30" s="126">
        <f>+Y28-Y15</f>
        <v>-2058.8200000000652</v>
      </c>
      <c r="Z30" s="97"/>
      <c r="AA30" s="85"/>
      <c r="AB30" s="166"/>
      <c r="AC30" s="166"/>
      <c r="AD30" s="166"/>
      <c r="AE30" s="166"/>
      <c r="AF30" s="166"/>
      <c r="AG30" s="85"/>
      <c r="AH30" s="85"/>
      <c r="AI30" s="85"/>
      <c r="AJ30" s="85"/>
      <c r="AK30" s="85"/>
      <c r="AL30" s="85"/>
      <c r="AM30" s="85"/>
    </row>
    <row r="31" spans="2:39" ht="16.5" thickTop="1" thickBo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01"/>
      <c r="W31" s="102"/>
      <c r="X31" s="102"/>
      <c r="Y31" s="102"/>
      <c r="Z31" s="103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</row>
    <row r="32" spans="2:39" ht="15.75" thickBot="1" x14ac:dyDescent="0.3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145" t="s">
        <v>74</v>
      </c>
      <c r="AC32" s="145"/>
      <c r="AD32" s="145"/>
      <c r="AE32" s="145"/>
      <c r="AF32" s="176">
        <f>+SUM(AF23:AF30)</f>
        <v>478815</v>
      </c>
      <c r="AG32" s="85"/>
      <c r="AH32" s="85"/>
      <c r="AI32" s="85"/>
      <c r="AJ32" s="85"/>
      <c r="AK32" s="85"/>
      <c r="AL32" s="85"/>
      <c r="AM32" s="85"/>
    </row>
    <row r="33" spans="2:39" ht="16.5" thickTop="1" thickBo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</row>
    <row r="34" spans="2:39" x14ac:dyDescent="0.25">
      <c r="B34" s="94" t="s">
        <v>76</v>
      </c>
      <c r="C34" s="95"/>
      <c r="D34" s="105"/>
      <c r="E34" s="85"/>
      <c r="F34" s="94" t="s">
        <v>76</v>
      </c>
      <c r="G34" s="95"/>
      <c r="H34" s="105">
        <v>297</v>
      </c>
      <c r="I34" s="85"/>
      <c r="J34" s="94" t="s">
        <v>76</v>
      </c>
      <c r="K34" s="95"/>
      <c r="L34" s="105"/>
      <c r="M34" s="85"/>
      <c r="N34" s="94" t="s">
        <v>76</v>
      </c>
      <c r="O34" s="95"/>
      <c r="P34" s="105"/>
      <c r="Q34" s="85"/>
      <c r="R34" s="94" t="s">
        <v>76</v>
      </c>
      <c r="S34" s="95"/>
      <c r="T34" s="105">
        <v>1810</v>
      </c>
      <c r="U34" s="85"/>
      <c r="V34" s="85"/>
      <c r="W34" s="127" t="s">
        <v>76</v>
      </c>
      <c r="X34" s="128"/>
      <c r="Y34" s="129">
        <f>+D34+H34+L34+P34+T34</f>
        <v>2107</v>
      </c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</row>
    <row r="35" spans="2:39" x14ac:dyDescent="0.25">
      <c r="B35" s="96" t="s">
        <v>77</v>
      </c>
      <c r="C35" s="100"/>
      <c r="D35" s="106"/>
      <c r="E35" s="85"/>
      <c r="F35" s="96" t="s">
        <v>77</v>
      </c>
      <c r="G35" s="100"/>
      <c r="H35" s="106"/>
      <c r="I35" s="85"/>
      <c r="J35" s="96" t="s">
        <v>77</v>
      </c>
      <c r="K35" s="100"/>
      <c r="L35" s="106"/>
      <c r="M35" s="85"/>
      <c r="N35" s="96" t="s">
        <v>77</v>
      </c>
      <c r="O35" s="100"/>
      <c r="P35" s="106"/>
      <c r="Q35" s="85"/>
      <c r="R35" s="96" t="s">
        <v>77</v>
      </c>
      <c r="S35" s="100"/>
      <c r="T35" s="106"/>
      <c r="U35" s="85"/>
      <c r="V35" s="85"/>
      <c r="W35" s="130" t="s">
        <v>77</v>
      </c>
      <c r="X35" s="124"/>
      <c r="Y35" s="131">
        <f t="shared" ref="Y35:Y36" si="9">+D35+H35+L35+P35+T35</f>
        <v>0</v>
      </c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</row>
    <row r="36" spans="2:39" x14ac:dyDescent="0.25">
      <c r="B36" s="96" t="s">
        <v>79</v>
      </c>
      <c r="C36" s="100"/>
      <c r="D36" s="106">
        <v>-5</v>
      </c>
      <c r="E36" s="85"/>
      <c r="F36" s="96" t="s">
        <v>79</v>
      </c>
      <c r="G36" s="100"/>
      <c r="H36" s="106"/>
      <c r="I36" s="85"/>
      <c r="J36" s="96" t="s">
        <v>79</v>
      </c>
      <c r="K36" s="100"/>
      <c r="L36" s="106">
        <v>-35</v>
      </c>
      <c r="M36" s="85"/>
      <c r="N36" s="96" t="s">
        <v>79</v>
      </c>
      <c r="O36" s="100"/>
      <c r="P36" s="106">
        <v>-8</v>
      </c>
      <c r="Q36" s="85"/>
      <c r="R36" s="96" t="s">
        <v>82</v>
      </c>
      <c r="S36" s="100"/>
      <c r="T36" s="106"/>
      <c r="U36" s="85"/>
      <c r="V36" s="85"/>
      <c r="W36" s="130" t="s">
        <v>78</v>
      </c>
      <c r="X36" s="124"/>
      <c r="Y36" s="131">
        <f t="shared" si="9"/>
        <v>-48</v>
      </c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</row>
    <row r="37" spans="2:39" x14ac:dyDescent="0.25">
      <c r="B37" s="96" t="s">
        <v>18</v>
      </c>
      <c r="C37" s="100"/>
      <c r="D37" s="106">
        <f>+SUM(D34:D36)</f>
        <v>-5</v>
      </c>
      <c r="E37" s="85"/>
      <c r="F37" s="96" t="s">
        <v>18</v>
      </c>
      <c r="G37" s="100"/>
      <c r="H37" s="106">
        <f>+SUM(H34:H36)</f>
        <v>297</v>
      </c>
      <c r="I37" s="85"/>
      <c r="J37" s="96" t="s">
        <v>18</v>
      </c>
      <c r="K37" s="100"/>
      <c r="L37" s="106">
        <f>+SUM(L34:L36)</f>
        <v>-35</v>
      </c>
      <c r="M37" s="85"/>
      <c r="N37" s="96" t="s">
        <v>18</v>
      </c>
      <c r="O37" s="100"/>
      <c r="P37" s="106">
        <f>+SUM(P34:P36)</f>
        <v>-8</v>
      </c>
      <c r="Q37" s="85"/>
      <c r="R37" s="96" t="s">
        <v>18</v>
      </c>
      <c r="S37" s="100"/>
      <c r="T37" s="106">
        <f>+SUM(T34:T36)</f>
        <v>1810</v>
      </c>
      <c r="U37" s="85"/>
      <c r="V37" s="85"/>
      <c r="W37" s="117" t="s">
        <v>18</v>
      </c>
      <c r="X37" s="118"/>
      <c r="Y37" s="119">
        <f>+SUM(Y34:Y36)</f>
        <v>2059</v>
      </c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</row>
    <row r="38" spans="2:39" ht="15.75" thickBot="1" x14ac:dyDescent="0.3">
      <c r="B38" s="107" t="s">
        <v>81</v>
      </c>
      <c r="C38" s="108"/>
      <c r="D38" s="109">
        <f>+D30+D37</f>
        <v>0.18000000000029104</v>
      </c>
      <c r="E38" s="85"/>
      <c r="F38" s="107" t="s">
        <v>81</v>
      </c>
      <c r="G38" s="108"/>
      <c r="H38" s="109">
        <f>+H30+H37</f>
        <v>0</v>
      </c>
      <c r="I38" s="85"/>
      <c r="J38" s="107" t="s">
        <v>81</v>
      </c>
      <c r="K38" s="108"/>
      <c r="L38" s="109">
        <f>+L30+L37</f>
        <v>0</v>
      </c>
      <c r="M38" s="85"/>
      <c r="N38" s="107" t="s">
        <v>81</v>
      </c>
      <c r="O38" s="108"/>
      <c r="P38" s="109">
        <f>+P30+P37</f>
        <v>0</v>
      </c>
      <c r="Q38" s="85"/>
      <c r="R38" s="107" t="s">
        <v>81</v>
      </c>
      <c r="S38" s="108"/>
      <c r="T38" s="109">
        <f>+T30+T37</f>
        <v>0</v>
      </c>
      <c r="U38" s="85"/>
      <c r="V38" s="85"/>
      <c r="W38" s="107" t="s">
        <v>81</v>
      </c>
      <c r="X38" s="108"/>
      <c r="Y38" s="109">
        <f>+Y30+Y37</f>
        <v>0.17999999993480742</v>
      </c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</row>
    <row r="39" spans="2:39" x14ac:dyDescent="0.25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</row>
    <row r="40" spans="2:39" x14ac:dyDescent="0.25"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</row>
    <row r="41" spans="2:39" ht="15.75" thickBot="1" x14ac:dyDescent="0.3"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150" t="s">
        <v>74</v>
      </c>
      <c r="AK41" s="150"/>
      <c r="AL41" s="150"/>
      <c r="AM41" s="189">
        <f>SUM(AM23:AM39)</f>
        <v>0</v>
      </c>
    </row>
    <row r="42" spans="2:39" ht="15.75" thickTop="1" x14ac:dyDescent="0.25"/>
  </sheetData>
  <mergeCells count="25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AE5:AI5"/>
    <mergeCell ref="B15:C15"/>
    <mergeCell ref="F15:G15"/>
    <mergeCell ref="J15:K15"/>
    <mergeCell ref="N15:O15"/>
    <mergeCell ref="R15:S15"/>
    <mergeCell ref="W15:X15"/>
    <mergeCell ref="W3:Y3"/>
    <mergeCell ref="B3:D3"/>
    <mergeCell ref="F3:H3"/>
    <mergeCell ref="J3:L3"/>
    <mergeCell ref="N3:P3"/>
    <mergeCell ref="R3:T3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AM42"/>
  <sheetViews>
    <sheetView topLeftCell="H1" zoomScale="80" zoomScaleNormal="80" workbookViewId="0">
      <selection activeCell="AH25" sqref="AH25"/>
    </sheetView>
  </sheetViews>
  <sheetFormatPr defaultRowHeight="15" x14ac:dyDescent="0.25"/>
  <cols>
    <col min="5" max="5" width="2.28515625" customWidth="1"/>
    <col min="6" max="6" width="12.5703125" customWidth="1"/>
    <col min="7" max="7" width="14" customWidth="1"/>
    <col min="8" max="8" width="9.5703125" bestFit="1" customWidth="1"/>
    <col min="9" max="9" width="1.5703125" customWidth="1"/>
    <col min="10" max="10" width="11.85546875" customWidth="1"/>
    <col min="11" max="11" width="13" customWidth="1"/>
    <col min="12" max="12" width="9.5703125" bestFit="1" customWidth="1"/>
    <col min="13" max="13" width="4" customWidth="1"/>
    <col min="14" max="14" width="12.42578125" customWidth="1"/>
    <col min="15" max="15" width="12" customWidth="1"/>
    <col min="16" max="16" width="9" customWidth="1"/>
    <col min="17" max="17" width="9.140625" hidden="1" customWidth="1"/>
    <col min="19" max="19" width="12.85546875" customWidth="1"/>
    <col min="20" max="20" width="10.5703125" bestFit="1" customWidth="1"/>
    <col min="21" max="21" width="1.5703125" customWidth="1"/>
    <col min="22" max="22" width="2" customWidth="1"/>
    <col min="25" max="25" width="9.7109375" customWidth="1"/>
    <col min="26" max="26" width="0.7109375" customWidth="1"/>
    <col min="29" max="29" width="13" customWidth="1"/>
    <col min="30" max="30" width="11.140625" customWidth="1"/>
    <col min="32" max="32" width="9.5703125" bestFit="1" customWidth="1"/>
    <col min="33" max="33" width="17.140625" bestFit="1" customWidth="1"/>
    <col min="34" max="34" width="10.5703125" bestFit="1" customWidth="1"/>
    <col min="37" max="37" width="14.5703125" bestFit="1" customWidth="1"/>
    <col min="38" max="38" width="15.7109375" bestFit="1" customWidth="1"/>
    <col min="39" max="39" width="9.5703125" bestFit="1" customWidth="1"/>
  </cols>
  <sheetData>
    <row r="3" spans="2:39" x14ac:dyDescent="0.25">
      <c r="B3" s="240" t="s">
        <v>0</v>
      </c>
      <c r="C3" s="240"/>
      <c r="D3" s="240"/>
      <c r="E3" s="85"/>
      <c r="F3" s="240" t="s">
        <v>1</v>
      </c>
      <c r="G3" s="240"/>
      <c r="H3" s="240"/>
      <c r="I3" s="85"/>
      <c r="J3" s="240" t="s">
        <v>2</v>
      </c>
      <c r="K3" s="240"/>
      <c r="L3" s="240"/>
      <c r="M3" s="85"/>
      <c r="N3" s="240" t="s">
        <v>3</v>
      </c>
      <c r="O3" s="240"/>
      <c r="P3" s="240"/>
      <c r="Q3" s="85"/>
      <c r="R3" s="240" t="s">
        <v>4</v>
      </c>
      <c r="S3" s="240"/>
      <c r="T3" s="240"/>
      <c r="U3" s="85"/>
      <c r="V3" s="96"/>
      <c r="W3" s="239" t="s">
        <v>5</v>
      </c>
      <c r="X3" s="239"/>
      <c r="Y3" s="239"/>
      <c r="Z3" s="97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</row>
    <row r="4" spans="2:39" x14ac:dyDescent="0.25">
      <c r="B4" s="88" t="s">
        <v>6</v>
      </c>
      <c r="C4" s="88" t="s">
        <v>7</v>
      </c>
      <c r="D4" s="88" t="s">
        <v>8</v>
      </c>
      <c r="E4" s="85"/>
      <c r="F4" s="88" t="s">
        <v>6</v>
      </c>
      <c r="G4" s="88" t="s">
        <v>7</v>
      </c>
      <c r="H4" s="88" t="s">
        <v>8</v>
      </c>
      <c r="I4" s="85"/>
      <c r="J4" s="88" t="s">
        <v>6</v>
      </c>
      <c r="K4" s="88" t="s">
        <v>7</v>
      </c>
      <c r="L4" s="88" t="s">
        <v>8</v>
      </c>
      <c r="M4" s="85"/>
      <c r="N4" s="88" t="s">
        <v>6</v>
      </c>
      <c r="O4" s="88" t="s">
        <v>7</v>
      </c>
      <c r="P4" s="88" t="s">
        <v>8</v>
      </c>
      <c r="Q4" s="85"/>
      <c r="R4" s="88" t="s">
        <v>6</v>
      </c>
      <c r="S4" s="88" t="s">
        <v>7</v>
      </c>
      <c r="T4" s="88" t="s">
        <v>8</v>
      </c>
      <c r="U4" s="85"/>
      <c r="V4" s="96"/>
      <c r="W4" s="98" t="s">
        <v>6</v>
      </c>
      <c r="X4" s="98" t="s">
        <v>7</v>
      </c>
      <c r="Y4" s="98" t="s">
        <v>8</v>
      </c>
      <c r="Z4" s="97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</row>
    <row r="5" spans="2:39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/>
      <c r="H5" s="120">
        <f>+G5*F5</f>
        <v>0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/>
      <c r="T5" s="120">
        <f>+S5*R5</f>
        <v>0</v>
      </c>
      <c r="U5" s="110"/>
      <c r="V5" s="111"/>
      <c r="W5" s="122">
        <v>1</v>
      </c>
      <c r="X5" s="123">
        <f>+C5+G5+K5+O5+S5</f>
        <v>0</v>
      </c>
      <c r="Y5" s="121">
        <f>+D5+H5+L5+P5+T5</f>
        <v>0</v>
      </c>
      <c r="Z5" s="112"/>
      <c r="AA5" s="110"/>
      <c r="AB5" s="85"/>
      <c r="AC5" s="85"/>
      <c r="AD5" s="85"/>
      <c r="AE5" s="241" t="s">
        <v>9</v>
      </c>
      <c r="AF5" s="241"/>
      <c r="AG5" s="241"/>
      <c r="AH5" s="241"/>
      <c r="AI5" s="241"/>
      <c r="AJ5" s="146"/>
      <c r="AK5" s="85"/>
      <c r="AL5" s="85"/>
      <c r="AM5" s="85"/>
    </row>
    <row r="6" spans="2:39" ht="15.75" thickTop="1" x14ac:dyDescent="0.25">
      <c r="B6" s="86">
        <v>10</v>
      </c>
      <c r="C6" s="86">
        <v>241</v>
      </c>
      <c r="D6" s="120">
        <f>+C6*B6</f>
        <v>2410</v>
      </c>
      <c r="E6" s="85"/>
      <c r="F6" s="86">
        <v>10</v>
      </c>
      <c r="G6" s="86">
        <v>63</v>
      </c>
      <c r="H6" s="120">
        <f>+G6*F6</f>
        <v>630</v>
      </c>
      <c r="I6" s="85"/>
      <c r="J6" s="86">
        <v>10</v>
      </c>
      <c r="K6" s="86">
        <v>91</v>
      </c>
      <c r="L6" s="120">
        <f>+K6*J6</f>
        <v>910</v>
      </c>
      <c r="M6" s="85"/>
      <c r="N6" s="86">
        <v>10</v>
      </c>
      <c r="O6" s="86">
        <v>225</v>
      </c>
      <c r="P6" s="120">
        <f>+O6*N6</f>
        <v>2250</v>
      </c>
      <c r="Q6" s="85"/>
      <c r="R6" s="86">
        <v>10</v>
      </c>
      <c r="S6" s="86"/>
      <c r="T6" s="120">
        <f>+S6*R6</f>
        <v>0</v>
      </c>
      <c r="U6" s="85"/>
      <c r="V6" s="96"/>
      <c r="W6" s="123">
        <v>10</v>
      </c>
      <c r="X6" s="123">
        <f>+C6+G6+K6+O6+S6</f>
        <v>620</v>
      </c>
      <c r="Y6" s="121">
        <f>+D6+H6+L6+P6+T6</f>
        <v>6200</v>
      </c>
      <c r="Z6" s="97"/>
      <c r="AA6" s="85"/>
      <c r="AB6" s="110"/>
      <c r="AC6" s="110"/>
      <c r="AD6" s="110"/>
      <c r="AE6" s="85"/>
      <c r="AF6" s="85"/>
      <c r="AG6" s="85"/>
      <c r="AH6" s="85"/>
      <c r="AI6" s="85"/>
      <c r="AJ6" s="85"/>
      <c r="AK6" s="110"/>
      <c r="AL6" s="110"/>
      <c r="AM6" s="110"/>
    </row>
    <row r="7" spans="2:39" x14ac:dyDescent="0.25">
      <c r="B7" s="86">
        <v>20</v>
      </c>
      <c r="C7" s="86">
        <v>40</v>
      </c>
      <c r="D7" s="120">
        <f t="shared" ref="D7:D12" si="0">+C7*B7</f>
        <v>800</v>
      </c>
      <c r="E7" s="85"/>
      <c r="F7" s="86">
        <v>20</v>
      </c>
      <c r="G7" s="86">
        <v>19</v>
      </c>
      <c r="H7" s="120">
        <f t="shared" ref="H7:H12" si="1">+G7*F7</f>
        <v>380</v>
      </c>
      <c r="I7" s="85"/>
      <c r="J7" s="86">
        <v>20</v>
      </c>
      <c r="K7" s="86">
        <v>21</v>
      </c>
      <c r="L7" s="120">
        <f t="shared" ref="L7:L12" si="2">+K7*J7</f>
        <v>420</v>
      </c>
      <c r="M7" s="85"/>
      <c r="N7" s="86">
        <v>20</v>
      </c>
      <c r="O7" s="86">
        <v>55</v>
      </c>
      <c r="P7" s="120">
        <f t="shared" ref="P7:P12" si="3">+O7*N7</f>
        <v>1100</v>
      </c>
      <c r="Q7" s="85"/>
      <c r="R7" s="86">
        <v>20</v>
      </c>
      <c r="S7" s="86"/>
      <c r="T7" s="120">
        <f t="shared" ref="T7:T12" si="4">+S7*R7</f>
        <v>0</v>
      </c>
      <c r="U7" s="85"/>
      <c r="V7" s="96"/>
      <c r="W7" s="123">
        <v>20</v>
      </c>
      <c r="X7" s="123">
        <f>+C7+G7+K7+O7+S7</f>
        <v>135</v>
      </c>
      <c r="Y7" s="121">
        <f t="shared" ref="Y7:Y12" si="5">+D7+H7+L7+P7+T7</f>
        <v>2700</v>
      </c>
      <c r="Z7" s="97"/>
      <c r="AA7" s="85"/>
      <c r="AB7" s="85"/>
      <c r="AC7" s="85"/>
      <c r="AD7" s="85"/>
      <c r="AE7" s="141" t="s">
        <v>10</v>
      </c>
      <c r="AF7" s="142">
        <f>Y13</f>
        <v>275150</v>
      </c>
      <c r="AG7" s="110"/>
      <c r="AH7" s="110"/>
      <c r="AI7" s="110"/>
      <c r="AJ7" s="110"/>
      <c r="AK7" s="85"/>
      <c r="AL7" s="85"/>
      <c r="AM7" s="85"/>
    </row>
    <row r="8" spans="2:39" x14ac:dyDescent="0.25">
      <c r="B8" s="86">
        <v>50</v>
      </c>
      <c r="C8" s="86">
        <v>89</v>
      </c>
      <c r="D8" s="120">
        <f t="shared" si="0"/>
        <v>4450</v>
      </c>
      <c r="E8" s="85"/>
      <c r="F8" s="86">
        <v>50</v>
      </c>
      <c r="G8" s="86">
        <v>52</v>
      </c>
      <c r="H8" s="120">
        <f t="shared" si="1"/>
        <v>2600</v>
      </c>
      <c r="I8" s="85"/>
      <c r="J8" s="86">
        <v>50</v>
      </c>
      <c r="K8" s="86">
        <v>88</v>
      </c>
      <c r="L8" s="120">
        <f t="shared" si="2"/>
        <v>4400</v>
      </c>
      <c r="M8" s="85"/>
      <c r="N8" s="86">
        <v>50</v>
      </c>
      <c r="O8" s="86">
        <v>42</v>
      </c>
      <c r="P8" s="120">
        <f t="shared" si="3"/>
        <v>2100</v>
      </c>
      <c r="Q8" s="85"/>
      <c r="R8" s="86">
        <v>50</v>
      </c>
      <c r="S8" s="86"/>
      <c r="T8" s="120">
        <f t="shared" si="4"/>
        <v>0</v>
      </c>
      <c r="U8" s="85"/>
      <c r="V8" s="96"/>
      <c r="W8" s="123">
        <v>50</v>
      </c>
      <c r="X8" s="123">
        <f t="shared" ref="X8:X12" si="6">+C8+G8+K8+O8+S8</f>
        <v>271</v>
      </c>
      <c r="Y8" s="121">
        <f t="shared" si="5"/>
        <v>13550</v>
      </c>
      <c r="Z8" s="97"/>
      <c r="AA8" s="85"/>
      <c r="AB8" s="85"/>
      <c r="AC8" s="85"/>
      <c r="AD8" s="85"/>
      <c r="AE8" s="138" t="s">
        <v>11</v>
      </c>
      <c r="AF8" s="138">
        <f>+AF29</f>
        <v>21055</v>
      </c>
      <c r="AG8" s="85"/>
      <c r="AH8" s="85"/>
      <c r="AI8" s="85"/>
      <c r="AJ8" s="85"/>
      <c r="AK8" s="88" t="s">
        <v>6</v>
      </c>
      <c r="AL8" s="88" t="s">
        <v>7</v>
      </c>
      <c r="AM8" s="88" t="s">
        <v>8</v>
      </c>
    </row>
    <row r="9" spans="2:39" ht="15.75" thickBot="1" x14ac:dyDescent="0.3">
      <c r="B9" s="86">
        <v>100</v>
      </c>
      <c r="C9" s="86"/>
      <c r="D9" s="120">
        <f t="shared" si="0"/>
        <v>0</v>
      </c>
      <c r="E9" s="85"/>
      <c r="F9" s="86">
        <v>100</v>
      </c>
      <c r="G9" s="86">
        <v>41</v>
      </c>
      <c r="H9" s="120">
        <f t="shared" si="1"/>
        <v>4100</v>
      </c>
      <c r="I9" s="85"/>
      <c r="J9" s="86">
        <v>100</v>
      </c>
      <c r="K9" s="86">
        <v>46</v>
      </c>
      <c r="L9" s="120">
        <f t="shared" si="2"/>
        <v>4600</v>
      </c>
      <c r="M9" s="85"/>
      <c r="N9" s="86">
        <v>100</v>
      </c>
      <c r="O9" s="86">
        <v>10</v>
      </c>
      <c r="P9" s="120">
        <f t="shared" si="3"/>
        <v>1000</v>
      </c>
      <c r="Q9" s="85"/>
      <c r="R9" s="86">
        <v>100</v>
      </c>
      <c r="S9" s="86"/>
      <c r="T9" s="120">
        <f t="shared" si="4"/>
        <v>0</v>
      </c>
      <c r="U9" s="85"/>
      <c r="V9" s="96"/>
      <c r="W9" s="123">
        <v>100</v>
      </c>
      <c r="X9" s="123">
        <f t="shared" si="6"/>
        <v>97</v>
      </c>
      <c r="Y9" s="121">
        <f t="shared" si="5"/>
        <v>9700</v>
      </c>
      <c r="Z9" s="97"/>
      <c r="AA9" s="85"/>
      <c r="AB9" s="85"/>
      <c r="AC9" s="85"/>
      <c r="AD9" s="85"/>
      <c r="AE9" s="143" t="s">
        <v>12</v>
      </c>
      <c r="AF9" s="144">
        <f>SUM(AF7:AF8)</f>
        <v>296205</v>
      </c>
      <c r="AG9" s="85"/>
      <c r="AH9" s="85"/>
      <c r="AI9" s="85"/>
      <c r="AJ9" s="85"/>
      <c r="AK9" s="113">
        <v>1</v>
      </c>
      <c r="AL9" s="113">
        <v>5</v>
      </c>
      <c r="AM9" s="120">
        <f>+AL9*AK9</f>
        <v>5</v>
      </c>
    </row>
    <row r="10" spans="2:39" x14ac:dyDescent="0.25">
      <c r="B10" s="86">
        <v>500</v>
      </c>
      <c r="C10" s="86">
        <v>26</v>
      </c>
      <c r="D10" s="120">
        <f t="shared" si="0"/>
        <v>13000</v>
      </c>
      <c r="E10" s="85"/>
      <c r="F10" s="86">
        <v>500</v>
      </c>
      <c r="G10" s="86">
        <v>35</v>
      </c>
      <c r="H10" s="120">
        <f t="shared" si="1"/>
        <v>17500</v>
      </c>
      <c r="I10" s="85"/>
      <c r="J10" s="86">
        <v>500</v>
      </c>
      <c r="K10" s="86">
        <v>33</v>
      </c>
      <c r="L10" s="120">
        <f t="shared" si="2"/>
        <v>16500</v>
      </c>
      <c r="M10" s="85"/>
      <c r="N10" s="86">
        <v>500</v>
      </c>
      <c r="O10" s="86">
        <v>20</v>
      </c>
      <c r="P10" s="120">
        <f t="shared" si="3"/>
        <v>10000</v>
      </c>
      <c r="Q10" s="85"/>
      <c r="R10" s="86">
        <v>500</v>
      </c>
      <c r="S10" s="86"/>
      <c r="T10" s="120">
        <f t="shared" si="4"/>
        <v>0</v>
      </c>
      <c r="U10" s="85"/>
      <c r="V10" s="96"/>
      <c r="W10" s="123">
        <v>500</v>
      </c>
      <c r="X10" s="123">
        <f t="shared" si="6"/>
        <v>114</v>
      </c>
      <c r="Y10" s="121">
        <f t="shared" si="5"/>
        <v>57000</v>
      </c>
      <c r="Z10" s="97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6">
        <v>10</v>
      </c>
      <c r="AL10" s="86">
        <v>623</v>
      </c>
      <c r="AM10" s="120">
        <f>+AL10*AK10</f>
        <v>6230</v>
      </c>
    </row>
    <row r="11" spans="2:39" x14ac:dyDescent="0.25">
      <c r="B11" s="86">
        <v>1000</v>
      </c>
      <c r="C11" s="86">
        <v>48</v>
      </c>
      <c r="D11" s="120">
        <f t="shared" si="0"/>
        <v>48000</v>
      </c>
      <c r="E11" s="85"/>
      <c r="F11" s="86">
        <v>1000</v>
      </c>
      <c r="G11" s="86">
        <v>34</v>
      </c>
      <c r="H11" s="120">
        <f t="shared" si="1"/>
        <v>34000</v>
      </c>
      <c r="I11" s="85"/>
      <c r="J11" s="86">
        <v>1000</v>
      </c>
      <c r="K11" s="86">
        <v>55</v>
      </c>
      <c r="L11" s="120">
        <f t="shared" si="2"/>
        <v>55000</v>
      </c>
      <c r="M11" s="85"/>
      <c r="N11" s="86">
        <v>1000</v>
      </c>
      <c r="O11" s="86">
        <v>29</v>
      </c>
      <c r="P11" s="120">
        <f t="shared" si="3"/>
        <v>29000</v>
      </c>
      <c r="Q11" s="85"/>
      <c r="R11" s="86">
        <v>1000</v>
      </c>
      <c r="S11" s="86"/>
      <c r="T11" s="120">
        <f t="shared" si="4"/>
        <v>0</v>
      </c>
      <c r="U11" s="85"/>
      <c r="V11" s="96"/>
      <c r="W11" s="123">
        <v>1000</v>
      </c>
      <c r="X11" s="123">
        <f t="shared" si="6"/>
        <v>166</v>
      </c>
      <c r="Y11" s="121">
        <f t="shared" si="5"/>
        <v>166000</v>
      </c>
      <c r="Z11" s="97"/>
      <c r="AA11" s="85"/>
      <c r="AB11" s="85"/>
      <c r="AC11" s="85"/>
      <c r="AD11" s="85"/>
      <c r="AE11" s="132" t="s">
        <v>13</v>
      </c>
      <c r="AF11" s="132" t="s">
        <v>8</v>
      </c>
      <c r="AG11" s="132" t="s">
        <v>14</v>
      </c>
      <c r="AH11" s="132" t="s">
        <v>15</v>
      </c>
      <c r="AI11" s="132" t="s">
        <v>16</v>
      </c>
      <c r="AJ11" s="132"/>
      <c r="AK11" s="86">
        <v>20</v>
      </c>
      <c r="AL11" s="86">
        <v>136</v>
      </c>
      <c r="AM11" s="120">
        <f t="shared" ref="AM11:AM16" si="7">+AL11*AK11</f>
        <v>2720</v>
      </c>
    </row>
    <row r="12" spans="2:39" x14ac:dyDescent="0.25">
      <c r="B12" s="86">
        <v>5000</v>
      </c>
      <c r="C12" s="86">
        <v>2</v>
      </c>
      <c r="D12" s="120">
        <f t="shared" si="0"/>
        <v>10000</v>
      </c>
      <c r="E12" s="85"/>
      <c r="F12" s="86">
        <v>5000</v>
      </c>
      <c r="G12" s="86">
        <v>1</v>
      </c>
      <c r="H12" s="120">
        <f t="shared" si="1"/>
        <v>5000</v>
      </c>
      <c r="I12" s="85"/>
      <c r="J12" s="86">
        <v>5000</v>
      </c>
      <c r="K12" s="86"/>
      <c r="L12" s="120">
        <f t="shared" si="2"/>
        <v>0</v>
      </c>
      <c r="M12" s="85"/>
      <c r="N12" s="86">
        <v>5000</v>
      </c>
      <c r="O12" s="86">
        <v>1</v>
      </c>
      <c r="P12" s="120">
        <f t="shared" si="3"/>
        <v>5000</v>
      </c>
      <c r="Q12" s="85"/>
      <c r="R12" s="86">
        <v>5000</v>
      </c>
      <c r="S12" s="86"/>
      <c r="T12" s="120">
        <f t="shared" si="4"/>
        <v>0</v>
      </c>
      <c r="U12" s="85"/>
      <c r="V12" s="96"/>
      <c r="W12" s="123">
        <v>5000</v>
      </c>
      <c r="X12" s="123">
        <f t="shared" si="6"/>
        <v>4</v>
      </c>
      <c r="Y12" s="121">
        <f t="shared" si="5"/>
        <v>20000</v>
      </c>
      <c r="Z12" s="97"/>
      <c r="AA12" s="85"/>
      <c r="AB12" s="85"/>
      <c r="AC12" s="85"/>
      <c r="AD12" s="85"/>
      <c r="AE12" s="85" t="s">
        <v>17</v>
      </c>
      <c r="AF12" s="89">
        <v>293200</v>
      </c>
      <c r="AG12" s="85">
        <v>9681</v>
      </c>
      <c r="AH12" s="137">
        <v>45999</v>
      </c>
      <c r="AI12" s="85" t="s">
        <v>223</v>
      </c>
      <c r="AJ12" s="85"/>
      <c r="AK12" s="86">
        <v>50</v>
      </c>
      <c r="AL12" s="86">
        <v>275</v>
      </c>
      <c r="AM12" s="120">
        <f t="shared" si="7"/>
        <v>13750</v>
      </c>
    </row>
    <row r="13" spans="2:39" ht="15.75" thickBot="1" x14ac:dyDescent="0.3">
      <c r="B13" s="87" t="s">
        <v>18</v>
      </c>
      <c r="C13" s="87"/>
      <c r="D13" s="90">
        <f>+SUM(D5:D12)</f>
        <v>78660</v>
      </c>
      <c r="E13" s="85"/>
      <c r="F13" s="87" t="s">
        <v>18</v>
      </c>
      <c r="G13" s="87"/>
      <c r="H13" s="90">
        <f>+SUM(H5:H12)</f>
        <v>64210</v>
      </c>
      <c r="I13" s="85"/>
      <c r="J13" s="87" t="s">
        <v>18</v>
      </c>
      <c r="K13" s="87"/>
      <c r="L13" s="90">
        <f>+SUM(L5:L12)</f>
        <v>81830</v>
      </c>
      <c r="M13" s="85"/>
      <c r="N13" s="87" t="s">
        <v>18</v>
      </c>
      <c r="O13" s="87"/>
      <c r="P13" s="90">
        <f>+SUM(P5:P12)</f>
        <v>50450</v>
      </c>
      <c r="Q13" s="85"/>
      <c r="R13" s="87" t="s">
        <v>18</v>
      </c>
      <c r="S13" s="87"/>
      <c r="T13" s="90">
        <f>+SUM(T5:T12)</f>
        <v>0</v>
      </c>
      <c r="U13" s="85"/>
      <c r="V13" s="96"/>
      <c r="W13" s="87" t="s">
        <v>18</v>
      </c>
      <c r="X13" s="87"/>
      <c r="Y13" s="90">
        <f>+SUM(Y5:Y12)</f>
        <v>275150</v>
      </c>
      <c r="Z13" s="97"/>
      <c r="AA13" s="85"/>
      <c r="AB13" s="85"/>
      <c r="AC13" s="85"/>
      <c r="AD13" s="85"/>
      <c r="AE13" s="85" t="s">
        <v>19</v>
      </c>
      <c r="AF13" s="89">
        <v>3005</v>
      </c>
      <c r="AG13" s="85"/>
      <c r="AH13" s="85"/>
      <c r="AI13" s="85"/>
      <c r="AJ13" s="85"/>
      <c r="AK13" s="86">
        <v>100</v>
      </c>
      <c r="AL13" s="86">
        <v>105</v>
      </c>
      <c r="AM13" s="120">
        <f t="shared" si="7"/>
        <v>10500</v>
      </c>
    </row>
    <row r="14" spans="2:39" ht="15.75" thickBot="1" x14ac:dyDescent="0.3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96"/>
      <c r="W14" s="100"/>
      <c r="X14" s="100"/>
      <c r="Y14" s="100"/>
      <c r="Z14" s="97"/>
      <c r="AA14" s="85"/>
      <c r="AB14" s="85"/>
      <c r="AC14" s="85"/>
      <c r="AD14" s="85"/>
      <c r="AE14" s="85" t="s">
        <v>17</v>
      </c>
      <c r="AF14" s="89">
        <v>10000</v>
      </c>
      <c r="AG14" s="85">
        <v>4614</v>
      </c>
      <c r="AH14" s="137">
        <v>45999</v>
      </c>
      <c r="AI14" s="85" t="s">
        <v>223</v>
      </c>
      <c r="AJ14" s="85"/>
      <c r="AK14" s="86">
        <v>500</v>
      </c>
      <c r="AL14" s="86">
        <v>148</v>
      </c>
      <c r="AM14" s="120">
        <f t="shared" si="7"/>
        <v>74000</v>
      </c>
    </row>
    <row r="15" spans="2:39" ht="15.75" thickBot="1" x14ac:dyDescent="0.3">
      <c r="B15" s="242" t="s">
        <v>21</v>
      </c>
      <c r="C15" s="243"/>
      <c r="D15" s="92">
        <v>78499</v>
      </c>
      <c r="E15" s="114"/>
      <c r="F15" s="242" t="s">
        <v>21</v>
      </c>
      <c r="G15" s="243"/>
      <c r="H15" s="92">
        <v>100993</v>
      </c>
      <c r="I15" s="114"/>
      <c r="J15" s="242" t="s">
        <v>21</v>
      </c>
      <c r="K15" s="243"/>
      <c r="L15" s="92">
        <v>100744</v>
      </c>
      <c r="M15" s="114"/>
      <c r="N15" s="242" t="s">
        <v>21</v>
      </c>
      <c r="O15" s="243"/>
      <c r="P15" s="92">
        <v>86478</v>
      </c>
      <c r="Q15" s="114"/>
      <c r="R15" s="242" t="s">
        <v>21</v>
      </c>
      <c r="S15" s="243"/>
      <c r="T15" s="92">
        <v>112803</v>
      </c>
      <c r="U15" s="114"/>
      <c r="V15" s="115"/>
      <c r="W15" s="242" t="s">
        <v>21</v>
      </c>
      <c r="X15" s="243"/>
      <c r="Y15" s="92">
        <f>+D15+H15+L15+P15+T15</f>
        <v>479517</v>
      </c>
      <c r="Z15" s="116"/>
      <c r="AA15" s="114"/>
      <c r="AB15" s="85"/>
      <c r="AC15" s="85"/>
      <c r="AD15" s="85"/>
      <c r="AE15" s="85" t="s">
        <v>22</v>
      </c>
      <c r="AF15" s="89"/>
      <c r="AG15" s="85"/>
      <c r="AH15" s="85"/>
      <c r="AI15" s="85"/>
      <c r="AJ15" s="85"/>
      <c r="AK15" s="86">
        <v>1000</v>
      </c>
      <c r="AL15" s="86">
        <v>169</v>
      </c>
      <c r="AM15" s="120">
        <f t="shared" si="7"/>
        <v>169000</v>
      </c>
    </row>
    <row r="16" spans="2:39" x14ac:dyDescent="0.25">
      <c r="B16" s="85" t="s">
        <v>10</v>
      </c>
      <c r="C16" s="85"/>
      <c r="D16" s="89">
        <v>78660</v>
      </c>
      <c r="E16" s="85"/>
      <c r="F16" s="85" t="s">
        <v>10</v>
      </c>
      <c r="G16" s="85"/>
      <c r="H16" s="89">
        <f>+H13</f>
        <v>64210</v>
      </c>
      <c r="I16" s="85"/>
      <c r="J16" s="85" t="s">
        <v>10</v>
      </c>
      <c r="K16" s="85"/>
      <c r="L16" s="89">
        <v>81830</v>
      </c>
      <c r="M16" s="85"/>
      <c r="N16" s="85" t="s">
        <v>10</v>
      </c>
      <c r="O16" s="85"/>
      <c r="P16" s="89">
        <f>+P13</f>
        <v>50450</v>
      </c>
      <c r="Q16" s="85"/>
      <c r="R16" s="85" t="s">
        <v>10</v>
      </c>
      <c r="S16" s="85"/>
      <c r="T16" s="89"/>
      <c r="U16" s="85"/>
      <c r="V16" s="96"/>
      <c r="W16" s="124" t="s">
        <v>10</v>
      </c>
      <c r="X16" s="124"/>
      <c r="Y16" s="121">
        <f>+D16+H16+L16+P16+T16</f>
        <v>275150</v>
      </c>
      <c r="Z16" s="97"/>
      <c r="AA16" s="85"/>
      <c r="AB16" s="114"/>
      <c r="AC16" s="114"/>
      <c r="AD16" s="114"/>
      <c r="AE16" s="85" t="s">
        <v>23</v>
      </c>
      <c r="AF16" s="89"/>
      <c r="AG16" s="85"/>
      <c r="AH16" s="85"/>
      <c r="AI16" s="85"/>
      <c r="AJ16" s="85"/>
      <c r="AK16" s="86">
        <v>5000</v>
      </c>
      <c r="AL16" s="86">
        <v>4</v>
      </c>
      <c r="AM16" s="120">
        <f t="shared" si="7"/>
        <v>20000</v>
      </c>
    </row>
    <row r="17" spans="2:39" ht="15.75" thickBot="1" x14ac:dyDescent="0.3">
      <c r="B17" s="85" t="s">
        <v>17</v>
      </c>
      <c r="C17" s="85"/>
      <c r="D17" s="89"/>
      <c r="E17" s="85"/>
      <c r="F17" s="85" t="s">
        <v>17</v>
      </c>
      <c r="G17" s="85"/>
      <c r="H17" s="89"/>
      <c r="I17" s="85"/>
      <c r="J17" s="85" t="s">
        <v>17</v>
      </c>
      <c r="K17" s="85"/>
      <c r="L17" s="89"/>
      <c r="M17" s="85"/>
      <c r="N17" s="85" t="s">
        <v>17</v>
      </c>
      <c r="O17" s="85"/>
      <c r="P17" s="89"/>
      <c r="Q17" s="85"/>
      <c r="R17" s="85" t="s">
        <v>17</v>
      </c>
      <c r="S17" s="85"/>
      <c r="T17" s="89"/>
      <c r="U17" s="85"/>
      <c r="V17" s="96"/>
      <c r="W17" s="124" t="s">
        <v>17</v>
      </c>
      <c r="X17" s="124"/>
      <c r="Y17" s="121">
        <f t="shared" ref="Y17:Y27" si="8">+D17+H17+L17+P17+T17</f>
        <v>0</v>
      </c>
      <c r="Z17" s="97"/>
      <c r="AA17" s="85"/>
      <c r="AB17" s="85"/>
      <c r="AC17" s="85"/>
      <c r="AD17" s="85"/>
      <c r="AE17" s="133" t="s">
        <v>12</v>
      </c>
      <c r="AF17" s="134">
        <f>+SUM(AF12:AF16)</f>
        <v>306205</v>
      </c>
      <c r="AG17" s="160"/>
      <c r="AH17" s="85"/>
      <c r="AI17" s="85"/>
      <c r="AJ17" s="85"/>
      <c r="AK17" s="87" t="s">
        <v>18</v>
      </c>
      <c r="AL17" s="87"/>
      <c r="AM17" s="90">
        <f>+SUM(AM9:AM16)</f>
        <v>296205</v>
      </c>
    </row>
    <row r="18" spans="2:39" x14ac:dyDescent="0.25">
      <c r="B18" s="85" t="s">
        <v>26</v>
      </c>
      <c r="C18" s="85"/>
      <c r="D18" s="89"/>
      <c r="E18" s="85"/>
      <c r="F18" s="85" t="s">
        <v>309</v>
      </c>
      <c r="G18" s="85" t="s">
        <v>341</v>
      </c>
      <c r="H18" s="89">
        <v>9000</v>
      </c>
      <c r="I18" s="85"/>
      <c r="J18" s="85" t="s">
        <v>350</v>
      </c>
      <c r="K18" s="85" t="s">
        <v>356</v>
      </c>
      <c r="L18" s="89">
        <v>3340</v>
      </c>
      <c r="M18" s="85"/>
      <c r="N18" s="85" t="s">
        <v>311</v>
      </c>
      <c r="O18" s="85" t="s">
        <v>349</v>
      </c>
      <c r="P18" s="89">
        <v>6202</v>
      </c>
      <c r="Q18" s="85"/>
      <c r="R18" s="85" t="s">
        <v>26</v>
      </c>
      <c r="S18" s="85"/>
      <c r="T18" s="89"/>
      <c r="U18" s="85"/>
      <c r="V18" s="96"/>
      <c r="W18" s="124" t="s">
        <v>26</v>
      </c>
      <c r="X18" s="124"/>
      <c r="Y18" s="121">
        <f t="shared" si="8"/>
        <v>18542</v>
      </c>
      <c r="Z18" s="97"/>
      <c r="AA18" s="85"/>
      <c r="AB18" s="85"/>
      <c r="AC18" s="85"/>
      <c r="AD18" s="85"/>
      <c r="AE18" s="135" t="s">
        <v>32</v>
      </c>
      <c r="AF18" s="136">
        <f>+AF17-AF9</f>
        <v>10000</v>
      </c>
      <c r="AG18" s="85" t="s">
        <v>33</v>
      </c>
      <c r="AH18" s="85"/>
      <c r="AI18" s="85"/>
      <c r="AJ18" s="85"/>
      <c r="AK18" s="85"/>
      <c r="AL18" s="85"/>
      <c r="AM18" s="85"/>
    </row>
    <row r="19" spans="2:39" x14ac:dyDescent="0.25">
      <c r="B19" s="85" t="s">
        <v>34</v>
      </c>
      <c r="C19" s="85"/>
      <c r="D19" s="89"/>
      <c r="E19" s="85"/>
      <c r="F19" s="85" t="s">
        <v>342</v>
      </c>
      <c r="G19" s="85" t="s">
        <v>348</v>
      </c>
      <c r="H19" s="89">
        <v>18980</v>
      </c>
      <c r="I19" s="85"/>
      <c r="J19" s="85" t="s">
        <v>342</v>
      </c>
      <c r="K19" s="85" t="s">
        <v>357</v>
      </c>
      <c r="L19" s="89">
        <v>15600</v>
      </c>
      <c r="M19" s="85"/>
      <c r="N19" s="85" t="s">
        <v>350</v>
      </c>
      <c r="O19" s="85" t="s">
        <v>351</v>
      </c>
      <c r="P19" s="89">
        <v>20219</v>
      </c>
      <c r="Q19" s="85"/>
      <c r="R19" s="85" t="s">
        <v>34</v>
      </c>
      <c r="S19" s="85"/>
      <c r="T19" s="89"/>
      <c r="U19" s="85"/>
      <c r="V19" s="96"/>
      <c r="W19" s="124" t="s">
        <v>34</v>
      </c>
      <c r="X19" s="124"/>
      <c r="Y19" s="121">
        <f t="shared" si="8"/>
        <v>54799</v>
      </c>
      <c r="Z19" s="97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</row>
    <row r="20" spans="2:39" x14ac:dyDescent="0.25">
      <c r="B20" s="85" t="s">
        <v>36</v>
      </c>
      <c r="C20" s="85"/>
      <c r="D20" s="89"/>
      <c r="E20" s="85"/>
      <c r="F20" s="85" t="s">
        <v>251</v>
      </c>
      <c r="G20" s="85" t="s">
        <v>358</v>
      </c>
      <c r="H20" s="89">
        <v>8839</v>
      </c>
      <c r="I20" s="85"/>
      <c r="J20" s="85" t="s">
        <v>36</v>
      </c>
      <c r="K20" s="85"/>
      <c r="L20" s="89"/>
      <c r="M20" s="85"/>
      <c r="N20" s="85" t="s">
        <v>36</v>
      </c>
      <c r="O20" s="85"/>
      <c r="P20" s="89"/>
      <c r="Q20" s="85"/>
      <c r="R20" s="85" t="s">
        <v>36</v>
      </c>
      <c r="S20" s="85"/>
      <c r="T20" s="89"/>
      <c r="U20" s="85"/>
      <c r="V20" s="96"/>
      <c r="W20" s="124" t="s">
        <v>36</v>
      </c>
      <c r="X20" s="124"/>
      <c r="Y20" s="121">
        <f t="shared" si="8"/>
        <v>8839</v>
      </c>
      <c r="Z20" s="97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</row>
    <row r="21" spans="2:39" x14ac:dyDescent="0.25">
      <c r="B21" s="85"/>
      <c r="C21" s="85"/>
      <c r="D21" s="89"/>
      <c r="E21" s="85"/>
      <c r="F21" s="85"/>
      <c r="G21" s="85"/>
      <c r="H21" s="89"/>
      <c r="I21" s="85"/>
      <c r="J21" s="85" t="s">
        <v>285</v>
      </c>
      <c r="K21" s="85"/>
      <c r="L21" s="89"/>
      <c r="M21" s="85"/>
      <c r="N21" s="85"/>
      <c r="O21" s="85"/>
      <c r="P21" s="89"/>
      <c r="Q21" s="85"/>
      <c r="R21" s="85"/>
      <c r="S21" s="85"/>
      <c r="T21" s="89"/>
      <c r="U21" s="85"/>
      <c r="V21" s="96"/>
      <c r="W21" s="124"/>
      <c r="X21" s="124"/>
      <c r="Y21" s="121">
        <f t="shared" si="8"/>
        <v>0</v>
      </c>
      <c r="Z21" s="97"/>
      <c r="AA21" s="85"/>
      <c r="AB21" s="139" t="s">
        <v>37</v>
      </c>
      <c r="AC21" s="139"/>
      <c r="AD21" s="139"/>
      <c r="AE21" s="114"/>
      <c r="AF21" s="85"/>
      <c r="AG21" s="85"/>
      <c r="AH21" s="85"/>
      <c r="AI21" s="85"/>
      <c r="AJ21" s="139" t="s">
        <v>38</v>
      </c>
      <c r="AK21" s="139"/>
      <c r="AL21" s="139"/>
      <c r="AM21" s="147"/>
    </row>
    <row r="22" spans="2:39" x14ac:dyDescent="0.25">
      <c r="B22" s="85"/>
      <c r="C22" s="85"/>
      <c r="D22" s="89"/>
      <c r="E22" s="85"/>
      <c r="F22" s="85"/>
      <c r="G22" s="85"/>
      <c r="H22" s="89"/>
      <c r="I22" s="85"/>
      <c r="J22" s="85"/>
      <c r="K22" s="85"/>
      <c r="L22" s="89"/>
      <c r="M22" s="85"/>
      <c r="N22" s="85"/>
      <c r="O22" s="85"/>
      <c r="P22" s="89"/>
      <c r="Q22" s="85"/>
      <c r="R22" s="85"/>
      <c r="S22" s="85"/>
      <c r="T22" s="89"/>
      <c r="U22" s="85"/>
      <c r="V22" s="96"/>
      <c r="W22" s="124"/>
      <c r="X22" s="124"/>
      <c r="Y22" s="121">
        <f t="shared" si="8"/>
        <v>0</v>
      </c>
      <c r="Z22" s="97"/>
      <c r="AA22" s="85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G22" s="85"/>
      <c r="AH22" s="85"/>
      <c r="AI22" s="85"/>
      <c r="AJ22" s="132" t="s">
        <v>41</v>
      </c>
      <c r="AK22" s="132" t="s">
        <v>45</v>
      </c>
      <c r="AL22" s="132" t="s">
        <v>43</v>
      </c>
      <c r="AM22" s="132" t="s">
        <v>8</v>
      </c>
    </row>
    <row r="23" spans="2:39" x14ac:dyDescent="0.25">
      <c r="B23" s="85" t="s">
        <v>46</v>
      </c>
      <c r="C23" s="85"/>
      <c r="D23" s="89"/>
      <c r="E23" s="85"/>
      <c r="F23" s="85" t="s">
        <v>46</v>
      </c>
      <c r="G23" s="85"/>
      <c r="H23" s="89"/>
      <c r="I23" s="85"/>
      <c r="J23" s="85" t="s">
        <v>46</v>
      </c>
      <c r="K23" s="85"/>
      <c r="L23" s="89"/>
      <c r="M23" s="85"/>
      <c r="N23" s="85" t="s">
        <v>352</v>
      </c>
      <c r="O23" s="85" t="s">
        <v>353</v>
      </c>
      <c r="P23" s="89">
        <v>9326</v>
      </c>
      <c r="Q23" s="85"/>
      <c r="R23" s="85" t="s">
        <v>343</v>
      </c>
      <c r="S23" s="85" t="s">
        <v>190</v>
      </c>
      <c r="T23" s="89">
        <v>24946</v>
      </c>
      <c r="U23" s="85"/>
      <c r="V23" s="96"/>
      <c r="W23" s="125" t="s">
        <v>46</v>
      </c>
      <c r="X23" s="124"/>
      <c r="Y23" s="121">
        <f t="shared" si="8"/>
        <v>34272</v>
      </c>
      <c r="Z23" s="97"/>
      <c r="AA23" s="85"/>
      <c r="AB23" s="191" t="s">
        <v>139</v>
      </c>
      <c r="AC23" s="191" t="s">
        <v>354</v>
      </c>
      <c r="AD23" s="170" t="s">
        <v>254</v>
      </c>
      <c r="AE23" s="85"/>
      <c r="AF23" s="147">
        <v>3000</v>
      </c>
      <c r="AG23" s="85"/>
      <c r="AH23" s="85"/>
      <c r="AI23" s="85"/>
      <c r="AJ23" s="169" t="s">
        <v>139</v>
      </c>
      <c r="AK23" s="172" t="s">
        <v>359</v>
      </c>
      <c r="AL23" s="169" t="s">
        <v>366</v>
      </c>
      <c r="AM23" s="174">
        <v>7600</v>
      </c>
    </row>
    <row r="24" spans="2:39" x14ac:dyDescent="0.25">
      <c r="B24" s="85" t="s">
        <v>54</v>
      </c>
      <c r="C24" s="85"/>
      <c r="D24" s="89"/>
      <c r="E24" s="85"/>
      <c r="F24" s="85" t="s">
        <v>54</v>
      </c>
      <c r="G24" s="85"/>
      <c r="H24" s="89"/>
      <c r="I24" s="85"/>
      <c r="J24" s="85" t="s">
        <v>54</v>
      </c>
      <c r="K24" s="85"/>
      <c r="L24" s="89"/>
      <c r="M24" s="85"/>
      <c r="N24" s="85" t="s">
        <v>240</v>
      </c>
      <c r="O24" s="85"/>
      <c r="P24" s="89"/>
      <c r="Q24" s="85"/>
      <c r="R24" s="85" t="s">
        <v>344</v>
      </c>
      <c r="S24" s="85" t="s">
        <v>134</v>
      </c>
      <c r="T24" s="89">
        <v>23548</v>
      </c>
      <c r="U24" s="85"/>
      <c r="V24" s="96"/>
      <c r="W24" s="125" t="s">
        <v>54</v>
      </c>
      <c r="X24" s="124"/>
      <c r="Y24" s="121">
        <f t="shared" si="8"/>
        <v>23548</v>
      </c>
      <c r="Z24" s="97"/>
      <c r="AA24" s="85"/>
      <c r="AB24" s="170" t="s">
        <v>139</v>
      </c>
      <c r="AC24" s="170" t="s">
        <v>355</v>
      </c>
      <c r="AD24" s="170" t="s">
        <v>329</v>
      </c>
      <c r="AE24" s="85"/>
      <c r="AF24" s="147">
        <v>1886</v>
      </c>
      <c r="AG24" s="85"/>
      <c r="AH24" s="85"/>
      <c r="AI24" s="85"/>
      <c r="AJ24" s="152" t="s">
        <v>144</v>
      </c>
      <c r="AK24" s="171" t="s">
        <v>360</v>
      </c>
      <c r="AL24" s="152" t="s">
        <v>367</v>
      </c>
      <c r="AM24" s="154">
        <v>6107</v>
      </c>
    </row>
    <row r="25" spans="2:39" x14ac:dyDescent="0.25">
      <c r="B25" s="85" t="s">
        <v>61</v>
      </c>
      <c r="C25" s="85"/>
      <c r="D25" s="89"/>
      <c r="E25" s="85"/>
      <c r="F25" s="85" t="s">
        <v>61</v>
      </c>
      <c r="G25" s="85"/>
      <c r="H25" s="89"/>
      <c r="I25" s="85"/>
      <c r="J25" s="85" t="s">
        <v>61</v>
      </c>
      <c r="K25" s="85"/>
      <c r="L25" s="89"/>
      <c r="M25" s="85"/>
      <c r="N25" s="85" t="s">
        <v>240</v>
      </c>
      <c r="O25" s="85"/>
      <c r="P25" s="89"/>
      <c r="Q25" s="85"/>
      <c r="R25" s="85" t="s">
        <v>345</v>
      </c>
      <c r="S25" s="85" t="s">
        <v>346</v>
      </c>
      <c r="T25" s="89">
        <v>32924</v>
      </c>
      <c r="U25" s="85"/>
      <c r="V25" s="96"/>
      <c r="W25" s="125" t="s">
        <v>61</v>
      </c>
      <c r="X25" s="124"/>
      <c r="Y25" s="121">
        <f t="shared" si="8"/>
        <v>32924</v>
      </c>
      <c r="Z25" s="97"/>
      <c r="AA25" s="85"/>
      <c r="AB25" s="192" t="s">
        <v>373</v>
      </c>
      <c r="AC25" s="193">
        <v>45969</v>
      </c>
      <c r="AD25" s="192" t="s">
        <v>277</v>
      </c>
      <c r="AE25" s="85"/>
      <c r="AF25" s="147">
        <v>16169</v>
      </c>
      <c r="AG25" s="85"/>
      <c r="AH25" s="85"/>
      <c r="AI25" s="85"/>
      <c r="AJ25" s="152" t="s">
        <v>139</v>
      </c>
      <c r="AK25" s="171" t="s">
        <v>361</v>
      </c>
      <c r="AL25" s="152" t="s">
        <v>183</v>
      </c>
      <c r="AM25" s="154">
        <v>5400</v>
      </c>
    </row>
    <row r="26" spans="2:39" x14ac:dyDescent="0.25">
      <c r="B26" s="85"/>
      <c r="C26" s="85"/>
      <c r="D26" s="89"/>
      <c r="E26" s="85"/>
      <c r="F26" s="85"/>
      <c r="G26" s="85"/>
      <c r="H26" s="89"/>
      <c r="I26" s="85"/>
      <c r="J26" s="85"/>
      <c r="K26" s="85"/>
      <c r="L26" s="89"/>
      <c r="M26" s="85"/>
      <c r="N26" s="85"/>
      <c r="O26" s="85"/>
      <c r="P26" s="89"/>
      <c r="Q26" s="85"/>
      <c r="R26" s="85" t="s">
        <v>347</v>
      </c>
      <c r="S26" s="85" t="s">
        <v>143</v>
      </c>
      <c r="T26" s="89">
        <v>31385</v>
      </c>
      <c r="U26" s="85"/>
      <c r="V26" s="96"/>
      <c r="W26" s="124"/>
      <c r="X26" s="124"/>
      <c r="Y26" s="121">
        <f t="shared" si="8"/>
        <v>31385</v>
      </c>
      <c r="Z26" s="97"/>
      <c r="AA26" s="85"/>
      <c r="AB26" s="85"/>
      <c r="AC26" s="85"/>
      <c r="AD26" s="85"/>
      <c r="AE26" s="85"/>
      <c r="AF26" s="104"/>
      <c r="AG26" s="85"/>
      <c r="AH26" s="85"/>
      <c r="AI26" s="85"/>
      <c r="AJ26" s="152" t="s">
        <v>59</v>
      </c>
      <c r="AK26" s="171" t="s">
        <v>362</v>
      </c>
      <c r="AL26" s="152" t="s">
        <v>66</v>
      </c>
      <c r="AM26" s="154">
        <v>6122</v>
      </c>
    </row>
    <row r="27" spans="2:39" ht="15.75" thickBot="1" x14ac:dyDescent="0.3">
      <c r="B27" s="85"/>
      <c r="C27" s="85"/>
      <c r="D27" s="89"/>
      <c r="E27" s="85"/>
      <c r="F27" s="85"/>
      <c r="G27" s="85"/>
      <c r="H27" s="89"/>
      <c r="I27" s="85"/>
      <c r="J27" s="85"/>
      <c r="K27" s="85"/>
      <c r="L27" s="89"/>
      <c r="M27" s="85"/>
      <c r="N27" s="85"/>
      <c r="O27" s="85"/>
      <c r="P27" s="89"/>
      <c r="Q27" s="85"/>
      <c r="R27" s="85" t="s">
        <v>61</v>
      </c>
      <c r="S27" s="85"/>
      <c r="T27" s="89"/>
      <c r="U27" s="85"/>
      <c r="V27" s="96"/>
      <c r="W27" s="124"/>
      <c r="X27" s="124"/>
      <c r="Y27" s="121">
        <f t="shared" si="8"/>
        <v>0</v>
      </c>
      <c r="Z27" s="97"/>
      <c r="AA27" s="85"/>
      <c r="AB27" s="85"/>
      <c r="AC27" s="85"/>
      <c r="AD27" s="85"/>
      <c r="AE27" s="85"/>
      <c r="AF27" s="85"/>
      <c r="AG27" s="85"/>
      <c r="AH27" s="85"/>
      <c r="AI27" s="85"/>
      <c r="AJ27" s="152" t="s">
        <v>139</v>
      </c>
      <c r="AK27" s="173" t="s">
        <v>363</v>
      </c>
      <c r="AL27" s="152" t="s">
        <v>368</v>
      </c>
      <c r="AM27" s="154">
        <v>10370</v>
      </c>
    </row>
    <row r="28" spans="2:39" ht="15.75" thickBot="1" x14ac:dyDescent="0.3">
      <c r="B28" s="235" t="s">
        <v>12</v>
      </c>
      <c r="C28" s="236"/>
      <c r="D28" s="93">
        <f>+SUM(D16:D27)</f>
        <v>78660</v>
      </c>
      <c r="E28" s="85"/>
      <c r="F28" s="235" t="s">
        <v>12</v>
      </c>
      <c r="G28" s="236"/>
      <c r="H28" s="93">
        <f>+SUM(H16:H27)</f>
        <v>101029</v>
      </c>
      <c r="I28" s="85"/>
      <c r="J28" s="235" t="s">
        <v>12</v>
      </c>
      <c r="K28" s="236"/>
      <c r="L28" s="93">
        <f>+SUM(L16:L27)</f>
        <v>100770</v>
      </c>
      <c r="M28" s="85"/>
      <c r="N28" s="235" t="s">
        <v>12</v>
      </c>
      <c r="O28" s="236"/>
      <c r="P28" s="93">
        <f>+SUM(P16:P27)</f>
        <v>86197</v>
      </c>
      <c r="Q28" s="85"/>
      <c r="R28" s="235" t="s">
        <v>12</v>
      </c>
      <c r="S28" s="236"/>
      <c r="T28" s="93">
        <f>+SUM(T16:T27)</f>
        <v>112803</v>
      </c>
      <c r="U28" s="85"/>
      <c r="V28" s="96"/>
      <c r="W28" s="235" t="s">
        <v>12</v>
      </c>
      <c r="X28" s="236"/>
      <c r="Y28" s="93">
        <f>+SUM(Y16:Y27)</f>
        <v>479459</v>
      </c>
      <c r="Z28" s="97"/>
      <c r="AA28" s="85"/>
      <c r="AB28" s="85"/>
      <c r="AC28" s="85"/>
      <c r="AD28" s="85"/>
      <c r="AE28" s="85"/>
      <c r="AF28" s="85"/>
      <c r="AG28" s="85"/>
      <c r="AH28" s="85"/>
      <c r="AI28" s="85"/>
      <c r="AJ28" s="152" t="s">
        <v>139</v>
      </c>
      <c r="AK28" s="173" t="s">
        <v>364</v>
      </c>
      <c r="AL28" s="152" t="s">
        <v>369</v>
      </c>
      <c r="AM28" s="154">
        <v>7550</v>
      </c>
    </row>
    <row r="29" spans="2:39" ht="15.75" thickBot="1" x14ac:dyDescent="0.3">
      <c r="B29" s="85"/>
      <c r="C29" s="85"/>
      <c r="D29" s="89"/>
      <c r="E29" s="85"/>
      <c r="F29" s="85"/>
      <c r="G29" s="85"/>
      <c r="H29" s="89"/>
      <c r="I29" s="85"/>
      <c r="J29" s="85"/>
      <c r="K29" s="85"/>
      <c r="L29" s="89"/>
      <c r="M29" s="85"/>
      <c r="N29" s="85"/>
      <c r="O29" s="85"/>
      <c r="P29" s="89"/>
      <c r="Q29" s="85"/>
      <c r="R29" s="85"/>
      <c r="S29" s="85"/>
      <c r="T29" s="89"/>
      <c r="U29" s="85"/>
      <c r="V29" s="96"/>
      <c r="W29" s="100"/>
      <c r="X29" s="100"/>
      <c r="Y29" s="99"/>
      <c r="Z29" s="97"/>
      <c r="AA29" s="85"/>
      <c r="AB29" s="145" t="s">
        <v>74</v>
      </c>
      <c r="AC29" s="145"/>
      <c r="AD29" s="145"/>
      <c r="AE29" s="145"/>
      <c r="AF29" s="140">
        <f>+SUM(AF23:AF28)</f>
        <v>21055</v>
      </c>
      <c r="AG29" s="85"/>
      <c r="AH29" s="85"/>
      <c r="AI29" s="85"/>
      <c r="AJ29" s="152" t="s">
        <v>144</v>
      </c>
      <c r="AK29" s="173" t="s">
        <v>25</v>
      </c>
      <c r="AL29" s="152" t="s">
        <v>370</v>
      </c>
      <c r="AM29" s="154">
        <v>8778</v>
      </c>
    </row>
    <row r="30" spans="2:39" ht="16.5" thickTop="1" thickBot="1" x14ac:dyDescent="0.3">
      <c r="B30" s="237" t="s">
        <v>75</v>
      </c>
      <c r="C30" s="237"/>
      <c r="D30" s="91">
        <f>+D28-D15</f>
        <v>161</v>
      </c>
      <c r="E30" s="85"/>
      <c r="F30" s="237" t="s">
        <v>75</v>
      </c>
      <c r="G30" s="237"/>
      <c r="H30" s="91">
        <f>+H28-H15</f>
        <v>36</v>
      </c>
      <c r="I30" s="85"/>
      <c r="J30" s="237" t="s">
        <v>75</v>
      </c>
      <c r="K30" s="237"/>
      <c r="L30" s="91">
        <f>+L28-L15</f>
        <v>26</v>
      </c>
      <c r="M30" s="85"/>
      <c r="N30" s="237" t="s">
        <v>75</v>
      </c>
      <c r="O30" s="237"/>
      <c r="P30" s="91">
        <f>+P28-P15</f>
        <v>-281</v>
      </c>
      <c r="Q30" s="85"/>
      <c r="R30" s="237" t="s">
        <v>75</v>
      </c>
      <c r="S30" s="237"/>
      <c r="T30" s="91">
        <f>+T28-T15</f>
        <v>0</v>
      </c>
      <c r="U30" s="85"/>
      <c r="V30" s="96"/>
      <c r="W30" s="238" t="s">
        <v>75</v>
      </c>
      <c r="X30" s="238"/>
      <c r="Y30" s="126">
        <f>+Y28-Y15</f>
        <v>-58</v>
      </c>
      <c r="Z30" s="97"/>
      <c r="AA30" s="85"/>
      <c r="AB30" s="85"/>
      <c r="AC30" s="85"/>
      <c r="AD30" s="85"/>
      <c r="AE30" s="85"/>
      <c r="AF30" s="85"/>
      <c r="AG30" s="85"/>
      <c r="AH30" s="85"/>
      <c r="AI30" s="85"/>
      <c r="AJ30" s="152" t="s">
        <v>59</v>
      </c>
      <c r="AK30" s="171" t="s">
        <v>365</v>
      </c>
      <c r="AL30" s="170" t="s">
        <v>371</v>
      </c>
      <c r="AM30" s="154">
        <v>6120</v>
      </c>
    </row>
    <row r="31" spans="2:39" ht="16.5" thickTop="1" thickBo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01"/>
      <c r="W31" s="102"/>
      <c r="X31" s="102"/>
      <c r="Y31" s="102"/>
      <c r="Z31" s="103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160">
        <f>SUM(AM23:AM30)</f>
        <v>58047</v>
      </c>
    </row>
    <row r="32" spans="2:39" x14ac:dyDescent="0.2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</row>
    <row r="33" spans="2:39" ht="15.75" thickBo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</row>
    <row r="34" spans="2:39" x14ac:dyDescent="0.25">
      <c r="B34" s="94" t="s">
        <v>76</v>
      </c>
      <c r="C34" s="95"/>
      <c r="D34" s="105"/>
      <c r="E34" s="85"/>
      <c r="F34" s="94" t="s">
        <v>76</v>
      </c>
      <c r="G34" s="95"/>
      <c r="H34" s="105"/>
      <c r="I34" s="85"/>
      <c r="J34" s="94" t="s">
        <v>76</v>
      </c>
      <c r="K34" s="95"/>
      <c r="L34" s="105"/>
      <c r="M34" s="85"/>
      <c r="N34" s="94" t="s">
        <v>76</v>
      </c>
      <c r="O34" s="95"/>
      <c r="P34" s="105">
        <v>281</v>
      </c>
      <c r="Q34" s="85"/>
      <c r="R34" s="94" t="s">
        <v>76</v>
      </c>
      <c r="S34" s="95"/>
      <c r="T34" s="105"/>
      <c r="U34" s="85"/>
      <c r="V34" s="85"/>
      <c r="W34" s="127" t="s">
        <v>76</v>
      </c>
      <c r="X34" s="128"/>
      <c r="Y34" s="129">
        <f>+D34+H34+L34+P34+T34</f>
        <v>281</v>
      </c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</row>
    <row r="35" spans="2:39" x14ac:dyDescent="0.25">
      <c r="B35" s="96" t="s">
        <v>77</v>
      </c>
      <c r="C35" s="100"/>
      <c r="D35" s="106"/>
      <c r="E35" s="85"/>
      <c r="F35" s="96" t="s">
        <v>77</v>
      </c>
      <c r="G35" s="100"/>
      <c r="H35" s="106"/>
      <c r="I35" s="85"/>
      <c r="J35" s="96" t="s">
        <v>77</v>
      </c>
      <c r="K35" s="100"/>
      <c r="L35" s="106"/>
      <c r="M35" s="85"/>
      <c r="N35" s="96" t="s">
        <v>77</v>
      </c>
      <c r="O35" s="100"/>
      <c r="P35" s="106"/>
      <c r="Q35" s="85"/>
      <c r="R35" s="96" t="s">
        <v>77</v>
      </c>
      <c r="S35" s="100"/>
      <c r="T35" s="106"/>
      <c r="U35" s="85"/>
      <c r="V35" s="85"/>
      <c r="W35" s="130" t="s">
        <v>77</v>
      </c>
      <c r="X35" s="124"/>
      <c r="Y35" s="131">
        <f t="shared" ref="Y35:Y36" si="9">+D35+H35+L35+P35+T35</f>
        <v>0</v>
      </c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</row>
    <row r="36" spans="2:39" x14ac:dyDescent="0.25">
      <c r="B36" s="96" t="s">
        <v>79</v>
      </c>
      <c r="C36" s="100"/>
      <c r="D36" s="106">
        <v>-161</v>
      </c>
      <c r="E36" s="85"/>
      <c r="F36" s="96" t="s">
        <v>79</v>
      </c>
      <c r="G36" s="100"/>
      <c r="H36" s="106"/>
      <c r="I36" s="85"/>
      <c r="J36" s="96" t="s">
        <v>79</v>
      </c>
      <c r="K36" s="100"/>
      <c r="L36" s="106">
        <v>-26</v>
      </c>
      <c r="M36" s="85"/>
      <c r="N36" s="96" t="s">
        <v>79</v>
      </c>
      <c r="O36" s="100"/>
      <c r="P36" s="106"/>
      <c r="Q36" s="85"/>
      <c r="R36" s="96" t="s">
        <v>82</v>
      </c>
      <c r="S36" s="100"/>
      <c r="T36" s="106"/>
      <c r="U36" s="85"/>
      <c r="V36" s="85"/>
      <c r="W36" s="130" t="s">
        <v>78</v>
      </c>
      <c r="X36" s="124"/>
      <c r="Y36" s="131">
        <f t="shared" si="9"/>
        <v>-187</v>
      </c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</row>
    <row r="37" spans="2:39" x14ac:dyDescent="0.25">
      <c r="B37" s="96" t="s">
        <v>18</v>
      </c>
      <c r="C37" s="100"/>
      <c r="D37" s="106">
        <f>+SUM(D34:D36)</f>
        <v>-161</v>
      </c>
      <c r="E37" s="85"/>
      <c r="F37" s="96" t="s">
        <v>18</v>
      </c>
      <c r="G37" s="100"/>
      <c r="H37" s="106">
        <f>+SUM(H34:H36)</f>
        <v>0</v>
      </c>
      <c r="I37" s="85"/>
      <c r="J37" s="96" t="s">
        <v>18</v>
      </c>
      <c r="K37" s="100"/>
      <c r="L37" s="106">
        <f>+SUM(L34:L36)</f>
        <v>-26</v>
      </c>
      <c r="M37" s="85"/>
      <c r="N37" s="96" t="s">
        <v>18</v>
      </c>
      <c r="O37" s="100"/>
      <c r="P37" s="106">
        <f>+SUM(P34:P36)</f>
        <v>281</v>
      </c>
      <c r="Q37" s="85"/>
      <c r="R37" s="96" t="s">
        <v>18</v>
      </c>
      <c r="S37" s="100"/>
      <c r="T37" s="106">
        <f>+SUM(T34:T36)</f>
        <v>0</v>
      </c>
      <c r="U37" s="85"/>
      <c r="V37" s="85"/>
      <c r="W37" s="117" t="s">
        <v>18</v>
      </c>
      <c r="X37" s="118"/>
      <c r="Y37" s="119">
        <f>+SUM(Y34:Y36)</f>
        <v>94</v>
      </c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</row>
    <row r="38" spans="2:39" ht="15.75" thickBot="1" x14ac:dyDescent="0.3">
      <c r="B38" s="107" t="s">
        <v>81</v>
      </c>
      <c r="C38" s="108"/>
      <c r="D38" s="109">
        <f>+D30+D37</f>
        <v>0</v>
      </c>
      <c r="E38" s="85"/>
      <c r="F38" s="107" t="s">
        <v>81</v>
      </c>
      <c r="G38" s="108"/>
      <c r="H38" s="109">
        <f>+H30+H37</f>
        <v>36</v>
      </c>
      <c r="I38" s="85"/>
      <c r="J38" s="107" t="s">
        <v>81</v>
      </c>
      <c r="K38" s="108"/>
      <c r="L38" s="109">
        <f>+L30+L37</f>
        <v>0</v>
      </c>
      <c r="M38" s="85"/>
      <c r="N38" s="107" t="s">
        <v>81</v>
      </c>
      <c r="O38" s="108"/>
      <c r="P38" s="109">
        <f>+P30+P37</f>
        <v>0</v>
      </c>
      <c r="Q38" s="85"/>
      <c r="R38" s="107" t="s">
        <v>81</v>
      </c>
      <c r="S38" s="108"/>
      <c r="T38" s="109">
        <f>+T30+T37</f>
        <v>0</v>
      </c>
      <c r="U38" s="85"/>
      <c r="V38" s="85"/>
      <c r="W38" s="107" t="s">
        <v>81</v>
      </c>
      <c r="X38" s="108"/>
      <c r="Y38" s="109">
        <f>+Y30+Y37</f>
        <v>36</v>
      </c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</row>
    <row r="39" spans="2:39" x14ac:dyDescent="0.25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</row>
    <row r="40" spans="2:39" x14ac:dyDescent="0.25"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</row>
    <row r="41" spans="2:39" ht="15.75" thickBot="1" x14ac:dyDescent="0.3"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150" t="s">
        <v>74</v>
      </c>
      <c r="AK41" s="150"/>
      <c r="AL41" s="150"/>
      <c r="AM41" s="189">
        <f>SUM(AM23:AM39)</f>
        <v>116094</v>
      </c>
    </row>
    <row r="42" spans="2:39" ht="15.75" thickTop="1" x14ac:dyDescent="0.25"/>
  </sheetData>
  <mergeCells count="25">
    <mergeCell ref="W3:Y3"/>
    <mergeCell ref="B3:D3"/>
    <mergeCell ref="F3:H3"/>
    <mergeCell ref="J3:L3"/>
    <mergeCell ref="N3:P3"/>
    <mergeCell ref="R3:T3"/>
    <mergeCell ref="AE5:AI5"/>
    <mergeCell ref="B15:C15"/>
    <mergeCell ref="F15:G15"/>
    <mergeCell ref="J15:K15"/>
    <mergeCell ref="N15:O15"/>
    <mergeCell ref="R15:S15"/>
    <mergeCell ref="W15:X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M43"/>
  <sheetViews>
    <sheetView zoomScale="80" zoomScaleNormal="80" workbookViewId="0">
      <selection activeCell="L35" sqref="L35"/>
    </sheetView>
  </sheetViews>
  <sheetFormatPr defaultRowHeight="15" x14ac:dyDescent="0.25"/>
  <cols>
    <col min="5" max="5" width="0.85546875" customWidth="1"/>
    <col min="8" max="8" width="9.5703125" bestFit="1" customWidth="1"/>
    <col min="9" max="9" width="1.28515625" customWidth="1"/>
    <col min="12" max="12" width="9.5703125" bestFit="1" customWidth="1"/>
    <col min="13" max="13" width="1.42578125" customWidth="1"/>
    <col min="15" max="15" width="15.42578125" customWidth="1"/>
    <col min="17" max="17" width="0.5703125" customWidth="1"/>
    <col min="21" max="21" width="0.5703125" customWidth="1"/>
    <col min="22" max="22" width="1.85546875" customWidth="1"/>
    <col min="26" max="26" width="1.28515625" customWidth="1"/>
    <col min="28" max="28" width="11.140625" bestFit="1" customWidth="1"/>
    <col min="29" max="29" width="10.140625" bestFit="1" customWidth="1"/>
    <col min="32" max="32" width="12.140625" bestFit="1" customWidth="1"/>
    <col min="36" max="36" width="17" bestFit="1" customWidth="1"/>
    <col min="37" max="37" width="12.85546875" customWidth="1"/>
    <col min="38" max="38" width="9.5703125" bestFit="1" customWidth="1"/>
  </cols>
  <sheetData>
    <row r="3" spans="2:39" x14ac:dyDescent="0.25">
      <c r="B3" s="240" t="s">
        <v>0</v>
      </c>
      <c r="C3" s="240"/>
      <c r="D3" s="240"/>
      <c r="E3" s="85"/>
      <c r="F3" s="240" t="s">
        <v>1</v>
      </c>
      <c r="G3" s="240"/>
      <c r="H3" s="240"/>
      <c r="I3" s="85"/>
      <c r="J3" s="240" t="s">
        <v>2</v>
      </c>
      <c r="K3" s="240"/>
      <c r="L3" s="240"/>
      <c r="M3" s="85"/>
      <c r="N3" s="240" t="s">
        <v>3</v>
      </c>
      <c r="O3" s="240"/>
      <c r="P3" s="240"/>
      <c r="Q3" s="85"/>
      <c r="R3" s="240" t="s">
        <v>4</v>
      </c>
      <c r="S3" s="240"/>
      <c r="T3" s="240"/>
      <c r="U3" s="85"/>
      <c r="V3" s="96"/>
      <c r="W3" s="239" t="s">
        <v>5</v>
      </c>
      <c r="X3" s="239"/>
      <c r="Y3" s="239"/>
      <c r="Z3" s="97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</row>
    <row r="4" spans="2:39" x14ac:dyDescent="0.25">
      <c r="B4" s="88" t="s">
        <v>6</v>
      </c>
      <c r="C4" s="88" t="s">
        <v>7</v>
      </c>
      <c r="D4" s="88" t="s">
        <v>8</v>
      </c>
      <c r="E4" s="85"/>
      <c r="F4" s="88" t="s">
        <v>6</v>
      </c>
      <c r="G4" s="88" t="s">
        <v>7</v>
      </c>
      <c r="H4" s="88" t="s">
        <v>8</v>
      </c>
      <c r="I4" s="85"/>
      <c r="J4" s="88" t="s">
        <v>6</v>
      </c>
      <c r="K4" s="88" t="s">
        <v>7</v>
      </c>
      <c r="L4" s="88" t="s">
        <v>8</v>
      </c>
      <c r="M4" s="85"/>
      <c r="N4" s="88" t="s">
        <v>6</v>
      </c>
      <c r="O4" s="88" t="s">
        <v>7</v>
      </c>
      <c r="P4" s="88" t="s">
        <v>8</v>
      </c>
      <c r="Q4" s="85"/>
      <c r="R4" s="88" t="s">
        <v>6</v>
      </c>
      <c r="S4" s="88" t="s">
        <v>7</v>
      </c>
      <c r="T4" s="88" t="s">
        <v>8</v>
      </c>
      <c r="U4" s="85"/>
      <c r="V4" s="96"/>
      <c r="W4" s="98" t="s">
        <v>6</v>
      </c>
      <c r="X4" s="98" t="s">
        <v>7</v>
      </c>
      <c r="Y4" s="98" t="s">
        <v>8</v>
      </c>
      <c r="Z4" s="97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</row>
    <row r="5" spans="2:39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>
        <v>48</v>
      </c>
      <c r="H5" s="120">
        <f>+G5*F5</f>
        <v>48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/>
      <c r="T5" s="120">
        <f>+S5*R5</f>
        <v>0</v>
      </c>
      <c r="U5" s="110"/>
      <c r="V5" s="111"/>
      <c r="W5" s="122">
        <v>1</v>
      </c>
      <c r="X5" s="123">
        <f>+C5+G5+K5+O5+S5</f>
        <v>48</v>
      </c>
      <c r="Y5" s="121">
        <f>+D5+H5+L5+P5+T5</f>
        <v>48</v>
      </c>
      <c r="Z5" s="112"/>
      <c r="AA5" s="110"/>
      <c r="AB5" s="241" t="s">
        <v>9</v>
      </c>
      <c r="AC5" s="241"/>
      <c r="AD5" s="241"/>
      <c r="AE5" s="241"/>
      <c r="AF5" s="241"/>
      <c r="AI5" s="85"/>
      <c r="AJ5" s="88" t="s">
        <v>6</v>
      </c>
      <c r="AK5" s="88" t="s">
        <v>7</v>
      </c>
      <c r="AL5" s="88" t="s">
        <v>8</v>
      </c>
    </row>
    <row r="6" spans="2:39" ht="15.75" thickTop="1" x14ac:dyDescent="0.25">
      <c r="B6" s="86">
        <v>10</v>
      </c>
      <c r="C6" s="86">
        <v>256</v>
      </c>
      <c r="D6" s="120">
        <f>+C6*B6</f>
        <v>2560</v>
      </c>
      <c r="E6" s="85"/>
      <c r="F6" s="86">
        <v>10</v>
      </c>
      <c r="G6" s="86">
        <v>264</v>
      </c>
      <c r="H6" s="120">
        <f>+G6*F6</f>
        <v>2640</v>
      </c>
      <c r="I6" s="85"/>
      <c r="J6" s="86">
        <v>10</v>
      </c>
      <c r="K6" s="86">
        <v>20</v>
      </c>
      <c r="L6" s="120">
        <f>+K6*J6</f>
        <v>200</v>
      </c>
      <c r="M6" s="85"/>
      <c r="N6" s="86">
        <v>10</v>
      </c>
      <c r="O6" s="86">
        <v>4</v>
      </c>
      <c r="P6" s="120">
        <f>+O6*N6</f>
        <v>40</v>
      </c>
      <c r="Q6" s="85"/>
      <c r="R6" s="86">
        <v>10</v>
      </c>
      <c r="S6" s="86"/>
      <c r="T6" s="120">
        <f>+S6*R6</f>
        <v>0</v>
      </c>
      <c r="U6" s="85"/>
      <c r="V6" s="96"/>
      <c r="W6" s="123">
        <v>10</v>
      </c>
      <c r="X6" s="123">
        <f>+C6+G6+K6+O6+S6</f>
        <v>544</v>
      </c>
      <c r="Y6" s="121">
        <f>+D6+H6+L6+P6+T6</f>
        <v>5440</v>
      </c>
      <c r="Z6" s="97"/>
      <c r="AA6" s="85"/>
      <c r="AB6" s="85"/>
      <c r="AC6" s="85"/>
      <c r="AD6" s="85"/>
      <c r="AE6" s="85"/>
      <c r="AF6" s="85"/>
      <c r="AI6" s="85"/>
      <c r="AJ6" s="113">
        <v>1</v>
      </c>
      <c r="AK6" s="113"/>
      <c r="AL6" s="120">
        <f>+AK6*AJ6</f>
        <v>0</v>
      </c>
    </row>
    <row r="7" spans="2:39" x14ac:dyDescent="0.25">
      <c r="B7" s="86">
        <v>20</v>
      </c>
      <c r="C7" s="86">
        <v>65</v>
      </c>
      <c r="D7" s="120">
        <f t="shared" ref="D7:D12" si="0">+C7*B7</f>
        <v>1300</v>
      </c>
      <c r="E7" s="85"/>
      <c r="F7" s="86">
        <v>20</v>
      </c>
      <c r="G7" s="86">
        <v>35</v>
      </c>
      <c r="H7" s="120">
        <f t="shared" ref="H7:H12" si="1">+G7*F7</f>
        <v>700</v>
      </c>
      <c r="I7" s="85"/>
      <c r="J7" s="86">
        <v>20</v>
      </c>
      <c r="K7" s="86">
        <v>10</v>
      </c>
      <c r="L7" s="120">
        <f t="shared" ref="L7:L12" si="2">+K7*J7</f>
        <v>200</v>
      </c>
      <c r="M7" s="85"/>
      <c r="N7" s="86">
        <v>20</v>
      </c>
      <c r="O7" s="86">
        <v>2</v>
      </c>
      <c r="P7" s="120">
        <f t="shared" ref="P7:P12" si="3">+O7*N7</f>
        <v>40</v>
      </c>
      <c r="Q7" s="85"/>
      <c r="R7" s="86">
        <v>20</v>
      </c>
      <c r="S7" s="86"/>
      <c r="T7" s="120">
        <f t="shared" ref="T7:T12" si="4">+S7*R7</f>
        <v>0</v>
      </c>
      <c r="U7" s="85"/>
      <c r="V7" s="96"/>
      <c r="W7" s="123">
        <v>20</v>
      </c>
      <c r="X7" s="123">
        <f>+C7+G7+K7+O7+S7</f>
        <v>112</v>
      </c>
      <c r="Y7" s="121">
        <f t="shared" ref="Y7:Y12" si="5">+D7+H7+L7+P7+T7</f>
        <v>2240</v>
      </c>
      <c r="Z7" s="97"/>
      <c r="AA7" s="85"/>
      <c r="AB7" s="141" t="s">
        <v>10</v>
      </c>
      <c r="AC7" s="142">
        <f>Y13</f>
        <v>315228</v>
      </c>
      <c r="AD7" s="110"/>
      <c r="AE7" s="110"/>
      <c r="AF7" s="110"/>
      <c r="AI7" s="85"/>
      <c r="AJ7" s="86">
        <v>10</v>
      </c>
      <c r="AK7" s="86">
        <v>1044</v>
      </c>
      <c r="AL7" s="120">
        <f>+AK7*AJ7</f>
        <v>10440</v>
      </c>
    </row>
    <row r="8" spans="2:39" x14ac:dyDescent="0.25">
      <c r="B8" s="86">
        <v>50</v>
      </c>
      <c r="C8" s="86"/>
      <c r="D8" s="120">
        <f t="shared" si="0"/>
        <v>0</v>
      </c>
      <c r="E8" s="85"/>
      <c r="F8" s="86">
        <v>50</v>
      </c>
      <c r="G8" s="86">
        <v>44</v>
      </c>
      <c r="H8" s="120">
        <f t="shared" si="1"/>
        <v>2200</v>
      </c>
      <c r="I8" s="85"/>
      <c r="J8" s="86">
        <v>50</v>
      </c>
      <c r="K8" s="86">
        <v>14</v>
      </c>
      <c r="L8" s="120">
        <f t="shared" si="2"/>
        <v>700</v>
      </c>
      <c r="M8" s="85"/>
      <c r="N8" s="86">
        <v>50</v>
      </c>
      <c r="O8" s="86">
        <v>2</v>
      </c>
      <c r="P8" s="120">
        <f t="shared" si="3"/>
        <v>100</v>
      </c>
      <c r="Q8" s="85"/>
      <c r="R8" s="86">
        <v>50</v>
      </c>
      <c r="S8" s="86"/>
      <c r="T8" s="120">
        <f t="shared" si="4"/>
        <v>0</v>
      </c>
      <c r="U8" s="85"/>
      <c r="V8" s="96"/>
      <c r="W8" s="123">
        <v>50</v>
      </c>
      <c r="X8" s="123">
        <f t="shared" ref="X8:X12" si="6">+C8+G8+K8+O8+S8</f>
        <v>60</v>
      </c>
      <c r="Y8" s="121">
        <f t="shared" si="5"/>
        <v>3000</v>
      </c>
      <c r="Z8" s="97"/>
      <c r="AA8" s="85"/>
      <c r="AB8" s="138" t="s">
        <v>11</v>
      </c>
      <c r="AC8" s="138">
        <f>+AF29</f>
        <v>215991</v>
      </c>
      <c r="AD8" s="85"/>
      <c r="AE8" s="85"/>
      <c r="AF8" s="85"/>
      <c r="AI8" s="85"/>
      <c r="AJ8" s="86">
        <v>20</v>
      </c>
      <c r="AK8" s="86">
        <v>113</v>
      </c>
      <c r="AL8" s="120">
        <f t="shared" ref="AL8:AL13" si="7">+AK8*AJ8</f>
        <v>2260</v>
      </c>
    </row>
    <row r="9" spans="2:39" ht="15.75" thickBot="1" x14ac:dyDescent="0.3">
      <c r="B9" s="86">
        <v>100</v>
      </c>
      <c r="C9" s="86">
        <v>105</v>
      </c>
      <c r="D9" s="120">
        <f t="shared" si="0"/>
        <v>10500</v>
      </c>
      <c r="E9" s="85"/>
      <c r="F9" s="86">
        <v>100</v>
      </c>
      <c r="G9" s="86">
        <v>71</v>
      </c>
      <c r="H9" s="120">
        <f t="shared" si="1"/>
        <v>7100</v>
      </c>
      <c r="I9" s="85"/>
      <c r="J9" s="86">
        <v>100</v>
      </c>
      <c r="K9" s="86">
        <v>26</v>
      </c>
      <c r="L9" s="120">
        <f t="shared" si="2"/>
        <v>2600</v>
      </c>
      <c r="M9" s="85"/>
      <c r="N9" s="86">
        <v>100</v>
      </c>
      <c r="O9" s="86">
        <v>3</v>
      </c>
      <c r="P9" s="120">
        <f t="shared" si="3"/>
        <v>300</v>
      </c>
      <c r="Q9" s="85"/>
      <c r="R9" s="86">
        <v>100</v>
      </c>
      <c r="S9" s="86"/>
      <c r="T9" s="120">
        <f t="shared" si="4"/>
        <v>0</v>
      </c>
      <c r="U9" s="85"/>
      <c r="V9" s="96"/>
      <c r="W9" s="123">
        <v>100</v>
      </c>
      <c r="X9" s="123">
        <f t="shared" si="6"/>
        <v>205</v>
      </c>
      <c r="Y9" s="121">
        <f t="shared" si="5"/>
        <v>20500</v>
      </c>
      <c r="Z9" s="97"/>
      <c r="AA9" s="85"/>
      <c r="AB9" s="143" t="s">
        <v>12</v>
      </c>
      <c r="AC9" s="144">
        <f>SUM(AC7:AC8)</f>
        <v>531219</v>
      </c>
      <c r="AD9" s="85"/>
      <c r="AE9" s="85"/>
      <c r="AF9" s="85"/>
      <c r="AI9" s="85"/>
      <c r="AJ9" s="86">
        <v>50</v>
      </c>
      <c r="AK9" s="86">
        <v>160</v>
      </c>
      <c r="AL9" s="120">
        <f t="shared" si="7"/>
        <v>8000</v>
      </c>
    </row>
    <row r="10" spans="2:39" x14ac:dyDescent="0.25">
      <c r="B10" s="86">
        <v>500</v>
      </c>
      <c r="C10" s="86">
        <v>39</v>
      </c>
      <c r="D10" s="120">
        <f t="shared" si="0"/>
        <v>19500</v>
      </c>
      <c r="E10" s="85"/>
      <c r="F10" s="86">
        <v>500</v>
      </c>
      <c r="G10" s="86">
        <v>34</v>
      </c>
      <c r="H10" s="120">
        <f t="shared" si="1"/>
        <v>17000</v>
      </c>
      <c r="I10" s="85"/>
      <c r="J10" s="86">
        <v>500</v>
      </c>
      <c r="K10" s="86">
        <v>66</v>
      </c>
      <c r="L10" s="120">
        <f t="shared" si="2"/>
        <v>33000</v>
      </c>
      <c r="M10" s="85"/>
      <c r="N10" s="86">
        <v>500</v>
      </c>
      <c r="O10" s="86">
        <v>23</v>
      </c>
      <c r="P10" s="120">
        <f t="shared" si="3"/>
        <v>11500</v>
      </c>
      <c r="Q10" s="85"/>
      <c r="R10" s="86">
        <v>500</v>
      </c>
      <c r="S10" s="86"/>
      <c r="T10" s="120">
        <f t="shared" si="4"/>
        <v>0</v>
      </c>
      <c r="U10" s="85"/>
      <c r="V10" s="96"/>
      <c r="W10" s="123">
        <v>500</v>
      </c>
      <c r="X10" s="123">
        <f t="shared" si="6"/>
        <v>162</v>
      </c>
      <c r="Y10" s="121">
        <f t="shared" si="5"/>
        <v>81000</v>
      </c>
      <c r="Z10" s="97"/>
      <c r="AA10" s="85"/>
      <c r="AB10" s="85"/>
      <c r="AC10" s="85"/>
      <c r="AD10" s="85"/>
      <c r="AE10" s="85"/>
      <c r="AF10" s="85"/>
      <c r="AI10" s="85"/>
      <c r="AJ10" s="86">
        <v>100</v>
      </c>
      <c r="AK10" s="86">
        <v>325</v>
      </c>
      <c r="AL10" s="120">
        <f t="shared" si="7"/>
        <v>32500</v>
      </c>
    </row>
    <row r="11" spans="2:39" x14ac:dyDescent="0.25">
      <c r="B11" s="86">
        <v>1000</v>
      </c>
      <c r="C11" s="86">
        <v>22</v>
      </c>
      <c r="D11" s="120">
        <f t="shared" si="0"/>
        <v>22000</v>
      </c>
      <c r="E11" s="85"/>
      <c r="F11" s="86">
        <v>1000</v>
      </c>
      <c r="G11" s="86">
        <v>47</v>
      </c>
      <c r="H11" s="120">
        <f t="shared" si="1"/>
        <v>47000</v>
      </c>
      <c r="I11" s="85"/>
      <c r="J11" s="86">
        <v>1000</v>
      </c>
      <c r="K11" s="86">
        <v>63</v>
      </c>
      <c r="L11" s="120">
        <f t="shared" si="2"/>
        <v>63000</v>
      </c>
      <c r="M11" s="85"/>
      <c r="N11" s="86">
        <v>1000</v>
      </c>
      <c r="O11" s="86">
        <v>16</v>
      </c>
      <c r="P11" s="120">
        <f t="shared" si="3"/>
        <v>16000</v>
      </c>
      <c r="Q11" s="85"/>
      <c r="R11" s="86">
        <v>1000</v>
      </c>
      <c r="S11" s="86"/>
      <c r="T11" s="120">
        <f t="shared" si="4"/>
        <v>0</v>
      </c>
      <c r="U11" s="85"/>
      <c r="V11" s="96"/>
      <c r="W11" s="123">
        <v>1000</v>
      </c>
      <c r="X11" s="123">
        <f t="shared" si="6"/>
        <v>148</v>
      </c>
      <c r="Y11" s="121">
        <f t="shared" si="5"/>
        <v>148000</v>
      </c>
      <c r="Z11" s="97"/>
      <c r="AA11" s="85"/>
      <c r="AB11" s="132" t="s">
        <v>13</v>
      </c>
      <c r="AC11" s="132" t="s">
        <v>8</v>
      </c>
      <c r="AD11" s="132" t="s">
        <v>14</v>
      </c>
      <c r="AE11" s="132" t="s">
        <v>15</v>
      </c>
      <c r="AF11" s="132" t="s">
        <v>16</v>
      </c>
      <c r="AI11" s="85"/>
      <c r="AJ11" s="86">
        <v>500</v>
      </c>
      <c r="AK11" s="86">
        <v>269</v>
      </c>
      <c r="AL11" s="120">
        <f t="shared" si="7"/>
        <v>134500</v>
      </c>
    </row>
    <row r="12" spans="2:39" x14ac:dyDescent="0.25">
      <c r="B12" s="86">
        <v>5000</v>
      </c>
      <c r="C12" s="86">
        <v>3</v>
      </c>
      <c r="D12" s="120">
        <f t="shared" si="0"/>
        <v>15000</v>
      </c>
      <c r="E12" s="85"/>
      <c r="F12" s="86">
        <v>5000</v>
      </c>
      <c r="G12" s="86">
        <v>4</v>
      </c>
      <c r="H12" s="120">
        <f t="shared" si="1"/>
        <v>20000</v>
      </c>
      <c r="I12" s="85"/>
      <c r="J12" s="86">
        <v>5000</v>
      </c>
      <c r="K12" s="86">
        <v>3</v>
      </c>
      <c r="L12" s="120">
        <f t="shared" si="2"/>
        <v>15000</v>
      </c>
      <c r="M12" s="85"/>
      <c r="N12" s="86">
        <v>5000</v>
      </c>
      <c r="O12" s="86">
        <v>1</v>
      </c>
      <c r="P12" s="120">
        <f t="shared" si="3"/>
        <v>5000</v>
      </c>
      <c r="Q12" s="85"/>
      <c r="R12" s="86">
        <v>5000</v>
      </c>
      <c r="S12" s="86"/>
      <c r="T12" s="120">
        <f t="shared" si="4"/>
        <v>0</v>
      </c>
      <c r="U12" s="85"/>
      <c r="V12" s="96"/>
      <c r="W12" s="123">
        <v>5000</v>
      </c>
      <c r="X12" s="123">
        <f t="shared" si="6"/>
        <v>11</v>
      </c>
      <c r="Y12" s="121">
        <f t="shared" si="5"/>
        <v>55000</v>
      </c>
      <c r="Z12" s="97"/>
      <c r="AA12" s="85"/>
      <c r="AB12" s="85" t="s">
        <v>17</v>
      </c>
      <c r="AC12" s="89">
        <v>491700</v>
      </c>
      <c r="AD12" s="85">
        <v>5880</v>
      </c>
      <c r="AE12" s="137" t="s">
        <v>407</v>
      </c>
      <c r="AF12" s="85" t="s">
        <v>223</v>
      </c>
      <c r="AI12" s="85"/>
      <c r="AJ12" s="86">
        <v>1000</v>
      </c>
      <c r="AK12" s="86">
        <v>254</v>
      </c>
      <c r="AL12" s="120">
        <f t="shared" si="7"/>
        <v>254000</v>
      </c>
    </row>
    <row r="13" spans="2:39" ht="15.75" thickBot="1" x14ac:dyDescent="0.3">
      <c r="B13" s="87" t="s">
        <v>18</v>
      </c>
      <c r="C13" s="87"/>
      <c r="D13" s="90">
        <f>+SUM(D5:D12)</f>
        <v>70860</v>
      </c>
      <c r="E13" s="85"/>
      <c r="F13" s="87" t="s">
        <v>18</v>
      </c>
      <c r="G13" s="87"/>
      <c r="H13" s="90">
        <f>+SUM(H5:H12)</f>
        <v>96688</v>
      </c>
      <c r="I13" s="85"/>
      <c r="J13" s="87" t="s">
        <v>18</v>
      </c>
      <c r="K13" s="87"/>
      <c r="L13" s="90">
        <f>+SUM(L5:L12)</f>
        <v>114700</v>
      </c>
      <c r="M13" s="85"/>
      <c r="N13" s="87" t="s">
        <v>18</v>
      </c>
      <c r="O13" s="87"/>
      <c r="P13" s="90">
        <f>+SUM(P5:P12)</f>
        <v>32980</v>
      </c>
      <c r="Q13" s="85"/>
      <c r="R13" s="87" t="s">
        <v>18</v>
      </c>
      <c r="S13" s="87"/>
      <c r="T13" s="90">
        <f>+SUM(T5:T12)</f>
        <v>0</v>
      </c>
      <c r="U13" s="85"/>
      <c r="V13" s="96"/>
      <c r="W13" s="87" t="s">
        <v>18</v>
      </c>
      <c r="X13" s="87"/>
      <c r="Y13" s="90">
        <f>+SUM(Y5:Y12)</f>
        <v>315228</v>
      </c>
      <c r="Z13" s="97"/>
      <c r="AA13" s="85"/>
      <c r="AB13" s="85" t="s">
        <v>19</v>
      </c>
      <c r="AC13" s="89">
        <v>5000</v>
      </c>
      <c r="AD13" s="85"/>
      <c r="AE13" s="85"/>
      <c r="AF13" s="85"/>
      <c r="AI13" s="85"/>
      <c r="AJ13" s="86">
        <v>5000</v>
      </c>
      <c r="AK13" s="86">
        <v>11</v>
      </c>
      <c r="AL13" s="120">
        <f t="shared" si="7"/>
        <v>55000</v>
      </c>
    </row>
    <row r="14" spans="2:39" ht="15.75" thickBot="1" x14ac:dyDescent="0.3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96"/>
      <c r="W14" s="100"/>
      <c r="X14" s="100"/>
      <c r="Y14" s="100"/>
      <c r="Z14" s="97"/>
      <c r="AA14" s="85"/>
      <c r="AB14" s="85" t="s">
        <v>20</v>
      </c>
      <c r="AC14" s="89"/>
      <c r="AD14" s="85"/>
      <c r="AE14" s="85"/>
      <c r="AF14" s="85"/>
      <c r="AI14" s="85"/>
      <c r="AJ14" s="87" t="s">
        <v>18</v>
      </c>
      <c r="AK14" s="87"/>
      <c r="AL14" s="90">
        <f>+SUM(AL6:AL13)</f>
        <v>496700</v>
      </c>
    </row>
    <row r="15" spans="2:39" ht="15.75" thickBot="1" x14ac:dyDescent="0.3">
      <c r="B15" s="242" t="s">
        <v>21</v>
      </c>
      <c r="C15" s="243"/>
      <c r="D15" s="92">
        <v>70837</v>
      </c>
      <c r="E15" s="114"/>
      <c r="F15" s="242" t="s">
        <v>21</v>
      </c>
      <c r="G15" s="243"/>
      <c r="H15" s="92">
        <v>111296</v>
      </c>
      <c r="I15" s="114"/>
      <c r="J15" s="242" t="s">
        <v>21</v>
      </c>
      <c r="K15" s="243"/>
      <c r="L15" s="92">
        <v>145237</v>
      </c>
      <c r="M15" s="114"/>
      <c r="N15" s="242" t="s">
        <v>21</v>
      </c>
      <c r="O15" s="243"/>
      <c r="P15" s="92">
        <v>33097</v>
      </c>
      <c r="Q15" s="114"/>
      <c r="R15" s="242" t="s">
        <v>21</v>
      </c>
      <c r="S15" s="243"/>
      <c r="T15" s="92"/>
      <c r="U15" s="114"/>
      <c r="V15" s="115"/>
      <c r="W15" s="242" t="s">
        <v>21</v>
      </c>
      <c r="X15" s="243"/>
      <c r="Y15" s="92">
        <f>+D15+H15+L15+P15+T15</f>
        <v>360467</v>
      </c>
      <c r="Z15" s="116"/>
      <c r="AA15" s="114"/>
      <c r="AB15" s="85" t="s">
        <v>22</v>
      </c>
      <c r="AC15" s="89">
        <v>34430</v>
      </c>
      <c r="AD15" s="85"/>
      <c r="AE15" s="85"/>
      <c r="AF15" s="85"/>
      <c r="AI15" s="85"/>
      <c r="AJ15" s="85"/>
      <c r="AK15" s="85"/>
      <c r="AL15" s="85"/>
    </row>
    <row r="16" spans="2:39" x14ac:dyDescent="0.25">
      <c r="B16" s="85" t="s">
        <v>10</v>
      </c>
      <c r="C16" s="85"/>
      <c r="D16" s="89">
        <v>70860</v>
      </c>
      <c r="E16" s="85"/>
      <c r="F16" s="85" t="s">
        <v>10</v>
      </c>
      <c r="G16" s="85"/>
      <c r="H16" s="89">
        <f>+H13</f>
        <v>96688</v>
      </c>
      <c r="I16" s="85"/>
      <c r="J16" s="85" t="s">
        <v>10</v>
      </c>
      <c r="K16" s="85"/>
      <c r="L16" s="89">
        <v>114700</v>
      </c>
      <c r="M16" s="85"/>
      <c r="N16" s="85" t="s">
        <v>10</v>
      </c>
      <c r="O16" s="85"/>
      <c r="P16" s="89">
        <v>32980</v>
      </c>
      <c r="Q16" s="85"/>
      <c r="R16" s="85" t="s">
        <v>10</v>
      </c>
      <c r="S16" s="85"/>
      <c r="T16" s="89"/>
      <c r="U16" s="85"/>
      <c r="V16" s="96"/>
      <c r="W16" s="124" t="s">
        <v>10</v>
      </c>
      <c r="X16" s="124"/>
      <c r="Y16" s="121">
        <f>+D16+H16+L16+P16+T16</f>
        <v>315228</v>
      </c>
      <c r="Z16" s="97"/>
      <c r="AA16" s="85"/>
      <c r="AB16" s="85" t="s">
        <v>23</v>
      </c>
      <c r="AC16" s="89"/>
      <c r="AD16" s="85"/>
      <c r="AE16" s="85"/>
      <c r="AF16" s="85"/>
      <c r="AI16" s="85"/>
      <c r="AJ16" s="85"/>
      <c r="AK16" s="85"/>
      <c r="AL16" s="85"/>
    </row>
    <row r="17" spans="2:38" x14ac:dyDescent="0.25">
      <c r="B17" s="85" t="s">
        <v>17</v>
      </c>
      <c r="C17" s="85"/>
      <c r="D17" s="89"/>
      <c r="E17" s="85"/>
      <c r="F17" s="85" t="s">
        <v>17</v>
      </c>
      <c r="G17" s="85"/>
      <c r="H17" s="89"/>
      <c r="I17" s="85"/>
      <c r="J17" s="85" t="s">
        <v>17</v>
      </c>
      <c r="K17" s="85"/>
      <c r="L17" s="89"/>
      <c r="M17" s="85"/>
      <c r="N17" s="85" t="s">
        <v>17</v>
      </c>
      <c r="O17" s="85"/>
      <c r="P17" s="89"/>
      <c r="Q17" s="85"/>
      <c r="R17" s="85" t="s">
        <v>17</v>
      </c>
      <c r="S17" s="85"/>
      <c r="T17" s="89"/>
      <c r="U17" s="85"/>
      <c r="V17" s="96"/>
      <c r="W17" s="124" t="s">
        <v>17</v>
      </c>
      <c r="X17" s="124"/>
      <c r="Y17" s="121">
        <f t="shared" ref="Y17:Y27" si="8">+D17+H17+L17+P17+T17</f>
        <v>0</v>
      </c>
      <c r="Z17" s="97"/>
      <c r="AA17" s="85"/>
      <c r="AB17" s="133" t="s">
        <v>12</v>
      </c>
      <c r="AC17" s="134">
        <f>+SUM(AC12:AC16)</f>
        <v>531130</v>
      </c>
      <c r="AD17" s="160"/>
      <c r="AE17" s="85"/>
      <c r="AF17" s="85"/>
      <c r="AI17" s="85"/>
      <c r="AJ17" s="85"/>
      <c r="AK17" s="85"/>
      <c r="AL17" s="85"/>
    </row>
    <row r="18" spans="2:38" x14ac:dyDescent="0.25">
      <c r="B18" s="85" t="s">
        <v>26</v>
      </c>
      <c r="C18" s="85"/>
      <c r="D18" s="89"/>
      <c r="E18" s="85"/>
      <c r="F18" s="85" t="s">
        <v>309</v>
      </c>
      <c r="G18" s="85" t="s">
        <v>381</v>
      </c>
      <c r="H18" s="89">
        <v>4760</v>
      </c>
      <c r="I18" s="85"/>
      <c r="J18" s="85" t="s">
        <v>26</v>
      </c>
      <c r="K18" s="85" t="s">
        <v>397</v>
      </c>
      <c r="L18" s="89">
        <v>8898</v>
      </c>
      <c r="M18" s="85"/>
      <c r="N18" s="85" t="s">
        <v>27</v>
      </c>
      <c r="O18" s="85"/>
      <c r="P18" s="89"/>
      <c r="Q18" s="85"/>
      <c r="R18" s="85" t="s">
        <v>26</v>
      </c>
      <c r="S18" s="85"/>
      <c r="T18" s="89"/>
      <c r="U18" s="85"/>
      <c r="V18" s="96"/>
      <c r="W18" s="124" t="s">
        <v>26</v>
      </c>
      <c r="X18" s="124"/>
      <c r="Y18" s="121">
        <f t="shared" si="8"/>
        <v>13658</v>
      </c>
      <c r="Z18" s="97"/>
      <c r="AA18" s="85"/>
      <c r="AB18" s="135" t="s">
        <v>32</v>
      </c>
      <c r="AC18" s="136">
        <f>+AC17-AC9</f>
        <v>-89</v>
      </c>
      <c r="AD18" s="85" t="s">
        <v>33</v>
      </c>
      <c r="AE18" s="85"/>
      <c r="AF18" s="85"/>
      <c r="AI18" s="139" t="s">
        <v>38</v>
      </c>
      <c r="AJ18" s="139"/>
      <c r="AK18" s="139"/>
      <c r="AL18" s="147"/>
    </row>
    <row r="19" spans="2:38" x14ac:dyDescent="0.25">
      <c r="B19" s="85" t="s">
        <v>34</v>
      </c>
      <c r="C19" s="85"/>
      <c r="D19" s="89"/>
      <c r="E19" s="85"/>
      <c r="F19" s="85" t="s">
        <v>350</v>
      </c>
      <c r="G19" s="85" t="s">
        <v>382</v>
      </c>
      <c r="H19" s="89">
        <v>9908</v>
      </c>
      <c r="I19" s="85"/>
      <c r="J19" s="85" t="s">
        <v>272</v>
      </c>
      <c r="K19" s="85" t="s">
        <v>375</v>
      </c>
      <c r="L19" s="89">
        <v>4670</v>
      </c>
      <c r="M19" s="85"/>
      <c r="N19" s="85" t="s">
        <v>34</v>
      </c>
      <c r="O19" s="85"/>
      <c r="P19" s="89"/>
      <c r="Q19" s="85"/>
      <c r="R19" s="85" t="s">
        <v>34</v>
      </c>
      <c r="S19" s="85"/>
      <c r="T19" s="89"/>
      <c r="U19" s="85"/>
      <c r="V19" s="96"/>
      <c r="W19" s="124" t="s">
        <v>34</v>
      </c>
      <c r="X19" s="124"/>
      <c r="Y19" s="121">
        <f>+D19+H19+L18+P19+T19</f>
        <v>18806</v>
      </c>
      <c r="Z19" s="97"/>
      <c r="AA19" s="85"/>
      <c r="AB19" s="85"/>
      <c r="AC19" s="85"/>
      <c r="AD19" s="85"/>
      <c r="AE19" s="85"/>
      <c r="AF19" s="85"/>
      <c r="AG19" s="85"/>
      <c r="AH19" s="85"/>
      <c r="AI19" s="132" t="s">
        <v>41</v>
      </c>
      <c r="AJ19" s="132" t="s">
        <v>45</v>
      </c>
      <c r="AK19" s="132" t="s">
        <v>43</v>
      </c>
      <c r="AL19" s="132" t="s">
        <v>8</v>
      </c>
    </row>
    <row r="20" spans="2:38" x14ac:dyDescent="0.25">
      <c r="B20" s="85" t="s">
        <v>36</v>
      </c>
      <c r="C20" s="85"/>
      <c r="D20" s="89"/>
      <c r="E20" s="85"/>
      <c r="F20" s="85" t="s">
        <v>36</v>
      </c>
      <c r="G20" s="85"/>
      <c r="H20" s="89"/>
      <c r="I20" s="85"/>
      <c r="J20" s="85" t="s">
        <v>374</v>
      </c>
      <c r="M20" s="85"/>
      <c r="N20" s="85" t="s">
        <v>36</v>
      </c>
      <c r="O20" s="85"/>
      <c r="P20" s="89"/>
      <c r="Q20" s="85"/>
      <c r="R20" s="85" t="s">
        <v>36</v>
      </c>
      <c r="S20" s="85"/>
      <c r="T20" s="89"/>
      <c r="U20" s="85"/>
      <c r="V20" s="96"/>
      <c r="W20" s="124" t="s">
        <v>36</v>
      </c>
      <c r="X20" s="124"/>
      <c r="Y20" s="121">
        <f>+D20+H20+L19+P20+T20</f>
        <v>4670</v>
      </c>
      <c r="Z20" s="97"/>
      <c r="AA20" s="85"/>
      <c r="AB20" s="85"/>
      <c r="AC20" s="85"/>
      <c r="AD20" s="85"/>
      <c r="AE20" s="85"/>
      <c r="AF20" s="85"/>
      <c r="AG20" s="85"/>
      <c r="AH20" s="85"/>
      <c r="AI20" s="100" t="s">
        <v>376</v>
      </c>
      <c r="AJ20" s="100" t="s">
        <v>374</v>
      </c>
      <c r="AK20" s="100" t="s">
        <v>375</v>
      </c>
      <c r="AL20" s="149">
        <v>4670</v>
      </c>
    </row>
    <row r="21" spans="2:38" x14ac:dyDescent="0.25">
      <c r="B21" s="85"/>
      <c r="C21" s="85"/>
      <c r="D21" s="89"/>
      <c r="E21" s="85"/>
      <c r="F21" s="85"/>
      <c r="G21" s="85"/>
      <c r="H21" s="89"/>
      <c r="I21" s="85"/>
      <c r="J21" s="85"/>
      <c r="K21" s="85"/>
      <c r="L21" s="89"/>
      <c r="M21" s="85"/>
      <c r="N21" s="85"/>
      <c r="O21" s="85"/>
      <c r="P21" s="89"/>
      <c r="Q21" s="85"/>
      <c r="R21" s="85"/>
      <c r="S21" s="85"/>
      <c r="T21" s="89"/>
      <c r="U21" s="85"/>
      <c r="V21" s="96"/>
      <c r="W21" s="124"/>
      <c r="X21" s="124"/>
      <c r="Y21" s="121">
        <f t="shared" si="8"/>
        <v>0</v>
      </c>
      <c r="Z21" s="97"/>
      <c r="AA21" s="85"/>
      <c r="AB21" s="139" t="s">
        <v>37</v>
      </c>
      <c r="AC21" s="139"/>
      <c r="AD21" s="139"/>
      <c r="AE21" s="114"/>
      <c r="AF21" s="85"/>
      <c r="AG21" s="85"/>
      <c r="AH21" s="85"/>
      <c r="AI21" s="100" t="s">
        <v>72</v>
      </c>
      <c r="AJ21" s="166" t="s">
        <v>383</v>
      </c>
      <c r="AK21" s="100" t="s">
        <v>399</v>
      </c>
      <c r="AL21" s="148">
        <v>37090</v>
      </c>
    </row>
    <row r="22" spans="2:38" x14ac:dyDescent="0.25">
      <c r="B22" s="85"/>
      <c r="C22" s="85"/>
      <c r="D22" s="89"/>
      <c r="E22" s="85"/>
      <c r="F22" s="85"/>
      <c r="G22" s="85"/>
      <c r="H22" s="89"/>
      <c r="I22" s="85"/>
      <c r="J22" s="85"/>
      <c r="K22" s="85"/>
      <c r="L22" s="89"/>
      <c r="M22" s="85"/>
      <c r="N22" s="85"/>
      <c r="O22" s="85"/>
      <c r="P22" s="89"/>
      <c r="Q22" s="85"/>
      <c r="R22" s="85"/>
      <c r="S22" s="85"/>
      <c r="T22" s="89"/>
      <c r="U22" s="85"/>
      <c r="V22" s="96"/>
      <c r="W22" s="124"/>
      <c r="X22" s="124"/>
      <c r="Y22" s="121">
        <f t="shared" si="8"/>
        <v>0</v>
      </c>
      <c r="Z22" s="97"/>
      <c r="AA22" s="85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G22" s="85"/>
      <c r="AH22" s="85"/>
      <c r="AI22" s="100" t="s">
        <v>72</v>
      </c>
      <c r="AJ22" s="166" t="s">
        <v>384</v>
      </c>
      <c r="AK22" s="100" t="s">
        <v>105</v>
      </c>
      <c r="AL22" s="148">
        <v>140000</v>
      </c>
    </row>
    <row r="23" spans="2:38" x14ac:dyDescent="0.25">
      <c r="B23" s="85" t="s">
        <v>46</v>
      </c>
      <c r="C23" s="85"/>
      <c r="D23" s="89"/>
      <c r="E23" s="85"/>
      <c r="F23" s="85" t="s">
        <v>46</v>
      </c>
      <c r="G23" s="85"/>
      <c r="H23" s="89"/>
      <c r="I23" s="85"/>
      <c r="J23" s="85" t="s">
        <v>345</v>
      </c>
      <c r="K23" s="85" t="s">
        <v>398</v>
      </c>
      <c r="L23" s="89">
        <v>13397</v>
      </c>
      <c r="M23" s="85"/>
      <c r="N23" s="85" t="s">
        <v>240</v>
      </c>
      <c r="O23" s="85"/>
      <c r="P23" s="89"/>
      <c r="Q23" s="85"/>
      <c r="R23" s="85" t="s">
        <v>46</v>
      </c>
      <c r="S23" s="85"/>
      <c r="T23" s="89"/>
      <c r="U23" s="85"/>
      <c r="V23" s="96"/>
      <c r="W23" s="125" t="s">
        <v>46</v>
      </c>
      <c r="X23" s="124"/>
      <c r="Y23" s="121">
        <f t="shared" si="8"/>
        <v>13397</v>
      </c>
      <c r="Z23" s="97"/>
      <c r="AA23" s="85"/>
      <c r="AB23" s="100" t="s">
        <v>380</v>
      </c>
      <c r="AC23" s="167">
        <v>45864</v>
      </c>
      <c r="AD23" s="166" t="s">
        <v>233</v>
      </c>
      <c r="AE23" s="100"/>
      <c r="AF23" s="149">
        <v>189778</v>
      </c>
      <c r="AG23" s="85"/>
      <c r="AH23" s="85"/>
      <c r="AI23" s="104" t="s">
        <v>70</v>
      </c>
      <c r="AJ23" s="166" t="s">
        <v>385</v>
      </c>
      <c r="AK23" s="104" t="s">
        <v>400</v>
      </c>
      <c r="AL23" s="197">
        <v>28830</v>
      </c>
    </row>
    <row r="24" spans="2:38" x14ac:dyDescent="0.25">
      <c r="B24" s="85" t="s">
        <v>54</v>
      </c>
      <c r="C24" s="85"/>
      <c r="D24" s="89"/>
      <c r="E24" s="85"/>
      <c r="F24" s="85" t="s">
        <v>54</v>
      </c>
      <c r="G24" s="85"/>
      <c r="H24" s="89"/>
      <c r="I24" s="85"/>
      <c r="J24" s="85" t="s">
        <v>54</v>
      </c>
      <c r="K24" s="85"/>
      <c r="L24" s="89"/>
      <c r="M24" s="85"/>
      <c r="N24" s="85" t="s">
        <v>240</v>
      </c>
      <c r="O24" s="85"/>
      <c r="P24" s="89"/>
      <c r="Q24" s="85"/>
      <c r="R24" s="85" t="s">
        <v>54</v>
      </c>
      <c r="S24" s="85"/>
      <c r="T24" s="89"/>
      <c r="U24" s="85"/>
      <c r="V24" s="96"/>
      <c r="W24" s="125" t="s">
        <v>54</v>
      </c>
      <c r="X24" s="124"/>
      <c r="Y24" s="121">
        <f t="shared" si="8"/>
        <v>0</v>
      </c>
      <c r="Z24" s="97"/>
      <c r="AA24" s="85"/>
      <c r="AB24" s="100" t="s">
        <v>379</v>
      </c>
      <c r="AC24" s="167">
        <v>45878</v>
      </c>
      <c r="AD24" s="166" t="s">
        <v>377</v>
      </c>
      <c r="AE24" s="100"/>
      <c r="AF24" s="149">
        <v>19430</v>
      </c>
      <c r="AG24" s="85"/>
      <c r="AH24" s="85"/>
      <c r="AI24" s="100" t="s">
        <v>72</v>
      </c>
      <c r="AJ24" s="166" t="s">
        <v>386</v>
      </c>
      <c r="AK24" s="166" t="s">
        <v>401</v>
      </c>
      <c r="AL24" s="148">
        <v>109387</v>
      </c>
    </row>
    <row r="25" spans="2:38" x14ac:dyDescent="0.25">
      <c r="B25" s="85" t="s">
        <v>61</v>
      </c>
      <c r="C25" s="85"/>
      <c r="D25" s="89"/>
      <c r="E25" s="85"/>
      <c r="F25" s="85" t="s">
        <v>61</v>
      </c>
      <c r="G25" s="85"/>
      <c r="H25" s="89"/>
      <c r="I25" s="85"/>
      <c r="J25" s="85" t="s">
        <v>61</v>
      </c>
      <c r="K25" s="85"/>
      <c r="L25" s="89"/>
      <c r="M25" s="85"/>
      <c r="N25" s="85" t="s">
        <v>240</v>
      </c>
      <c r="O25" s="85"/>
      <c r="P25" s="89"/>
      <c r="Q25" s="85"/>
      <c r="R25" s="85" t="s">
        <v>61</v>
      </c>
      <c r="S25" s="85"/>
      <c r="T25" s="89"/>
      <c r="U25" s="85"/>
      <c r="V25" s="96"/>
      <c r="W25" s="125" t="s">
        <v>61</v>
      </c>
      <c r="X25" s="124"/>
      <c r="Y25" s="121">
        <f t="shared" si="8"/>
        <v>0</v>
      </c>
      <c r="Z25" s="97"/>
      <c r="AA25" s="85"/>
      <c r="AB25" s="100" t="s">
        <v>59</v>
      </c>
      <c r="AC25" s="166" t="s">
        <v>378</v>
      </c>
      <c r="AD25" s="166" t="s">
        <v>314</v>
      </c>
      <c r="AE25" s="100"/>
      <c r="AF25" s="149">
        <v>6783</v>
      </c>
      <c r="AG25" s="85"/>
      <c r="AH25" s="85"/>
      <c r="AI25" s="100" t="s">
        <v>72</v>
      </c>
      <c r="AJ25" s="166" t="s">
        <v>387</v>
      </c>
      <c r="AK25" s="100" t="s">
        <v>263</v>
      </c>
      <c r="AL25" s="148">
        <v>49000</v>
      </c>
    </row>
    <row r="26" spans="2:38" x14ac:dyDescent="0.25">
      <c r="B26" s="85"/>
      <c r="C26" s="85"/>
      <c r="D26" s="89"/>
      <c r="E26" s="85"/>
      <c r="F26" s="85"/>
      <c r="G26" s="85"/>
      <c r="H26" s="89"/>
      <c r="I26" s="85"/>
      <c r="J26" s="85"/>
      <c r="K26" s="85"/>
      <c r="L26" s="89"/>
      <c r="M26" s="85"/>
      <c r="N26" s="85"/>
      <c r="O26" s="85"/>
      <c r="P26" s="89"/>
      <c r="Q26" s="85"/>
      <c r="R26" s="85"/>
      <c r="S26" s="85"/>
      <c r="T26" s="85"/>
      <c r="U26" s="85"/>
      <c r="V26" s="96"/>
      <c r="W26" s="124"/>
      <c r="X26" s="124"/>
      <c r="Y26" s="121">
        <f t="shared" si="8"/>
        <v>0</v>
      </c>
      <c r="Z26" s="97"/>
      <c r="AA26" s="85"/>
      <c r="AB26" s="100"/>
      <c r="AC26" s="100"/>
      <c r="AD26" s="100"/>
      <c r="AE26" s="100"/>
      <c r="AF26" s="104"/>
      <c r="AG26" s="85"/>
      <c r="AH26" s="85"/>
      <c r="AI26" s="100" t="s">
        <v>59</v>
      </c>
      <c r="AJ26" s="166" t="s">
        <v>388</v>
      </c>
      <c r="AK26" s="100" t="s">
        <v>402</v>
      </c>
      <c r="AL26" s="148">
        <v>12120</v>
      </c>
    </row>
    <row r="27" spans="2:38" ht="15.75" thickBot="1" x14ac:dyDescent="0.3">
      <c r="B27" s="85"/>
      <c r="C27" s="85"/>
      <c r="D27" s="89"/>
      <c r="E27" s="85"/>
      <c r="F27" s="85"/>
      <c r="G27" s="85"/>
      <c r="H27" s="89"/>
      <c r="I27" s="85"/>
      <c r="J27" s="85"/>
      <c r="K27" s="85"/>
      <c r="L27" s="89"/>
      <c r="M27" s="85"/>
      <c r="N27" s="85"/>
      <c r="O27" s="85"/>
      <c r="P27" s="89"/>
      <c r="Q27" s="85"/>
      <c r="R27" s="85"/>
      <c r="S27" s="85"/>
      <c r="T27" s="89"/>
      <c r="U27" s="85"/>
      <c r="V27" s="96"/>
      <c r="W27" s="124"/>
      <c r="X27" s="124"/>
      <c r="Y27" s="121">
        <f t="shared" si="8"/>
        <v>0</v>
      </c>
      <c r="Z27" s="97"/>
      <c r="AA27" s="85"/>
      <c r="AB27" s="85"/>
      <c r="AC27" s="85"/>
      <c r="AD27" s="85"/>
      <c r="AE27" s="85"/>
      <c r="AF27" s="85"/>
      <c r="AG27" s="85"/>
      <c r="AH27" s="85"/>
      <c r="AI27" s="100" t="s">
        <v>72</v>
      </c>
      <c r="AJ27" s="166" t="s">
        <v>389</v>
      </c>
      <c r="AK27" s="100" t="s">
        <v>143</v>
      </c>
      <c r="AL27" s="148">
        <v>41110</v>
      </c>
    </row>
    <row r="28" spans="2:38" ht="15.75" thickBot="1" x14ac:dyDescent="0.3">
      <c r="B28" s="235" t="s">
        <v>12</v>
      </c>
      <c r="C28" s="236"/>
      <c r="D28" s="93">
        <f>+SUM(D16:D27)</f>
        <v>70860</v>
      </c>
      <c r="E28" s="85"/>
      <c r="F28" s="235" t="s">
        <v>12</v>
      </c>
      <c r="G28" s="236"/>
      <c r="H28" s="93">
        <f>+SUM(H16:H27)</f>
        <v>111356</v>
      </c>
      <c r="I28" s="85"/>
      <c r="J28" s="235" t="s">
        <v>12</v>
      </c>
      <c r="K28" s="236"/>
      <c r="L28" s="93">
        <f>+SUM(L16:L27)</f>
        <v>141665</v>
      </c>
      <c r="M28" s="85"/>
      <c r="N28" s="235" t="s">
        <v>12</v>
      </c>
      <c r="O28" s="236"/>
      <c r="P28" s="93">
        <f>+SUM(P16:P27)</f>
        <v>32980</v>
      </c>
      <c r="Q28" s="85"/>
      <c r="R28" s="235" t="s">
        <v>12</v>
      </c>
      <c r="S28" s="236"/>
      <c r="T28" s="93">
        <f>+SUM(T16:T27)</f>
        <v>0</v>
      </c>
      <c r="U28" s="85"/>
      <c r="V28" s="96"/>
      <c r="W28" s="235" t="s">
        <v>12</v>
      </c>
      <c r="X28" s="236"/>
      <c r="Y28" s="93">
        <f>+SUM(Y16:Y27)</f>
        <v>365759</v>
      </c>
      <c r="Z28" s="97"/>
      <c r="AA28" s="85"/>
      <c r="AB28" s="85"/>
      <c r="AC28" s="85"/>
      <c r="AD28" s="85"/>
      <c r="AE28" s="85"/>
      <c r="AF28" s="85"/>
      <c r="AG28" s="85"/>
      <c r="AH28" s="85"/>
      <c r="AI28" s="100" t="s">
        <v>72</v>
      </c>
      <c r="AJ28" s="166" t="s">
        <v>390</v>
      </c>
      <c r="AK28" s="166" t="s">
        <v>193</v>
      </c>
      <c r="AL28" s="148">
        <v>60700</v>
      </c>
    </row>
    <row r="29" spans="2:38" ht="15.75" thickBot="1" x14ac:dyDescent="0.3">
      <c r="B29" s="85"/>
      <c r="C29" s="85"/>
      <c r="D29" s="89"/>
      <c r="E29" s="85"/>
      <c r="F29" s="85"/>
      <c r="G29" s="85"/>
      <c r="H29" s="89"/>
      <c r="I29" s="85"/>
      <c r="J29" s="85"/>
      <c r="K29" s="85"/>
      <c r="L29" s="89"/>
      <c r="M29" s="85"/>
      <c r="N29" s="85"/>
      <c r="O29" s="85"/>
      <c r="P29" s="89"/>
      <c r="Q29" s="85"/>
      <c r="R29" s="85"/>
      <c r="S29" s="85"/>
      <c r="T29" s="89"/>
      <c r="U29" s="85"/>
      <c r="V29" s="96"/>
      <c r="W29" s="100"/>
      <c r="X29" s="100"/>
      <c r="Y29" s="99"/>
      <c r="Z29" s="97"/>
      <c r="AA29" s="85"/>
      <c r="AB29" s="145" t="s">
        <v>74</v>
      </c>
      <c r="AC29" s="145"/>
      <c r="AD29" s="145"/>
      <c r="AE29" s="145"/>
      <c r="AF29" s="195">
        <f>+SUM(AF23:AF28)</f>
        <v>215991</v>
      </c>
      <c r="AG29" s="85"/>
      <c r="AH29" s="85"/>
      <c r="AI29" s="100" t="s">
        <v>68</v>
      </c>
      <c r="AJ29" s="166" t="s">
        <v>391</v>
      </c>
      <c r="AK29" s="100" t="s">
        <v>403</v>
      </c>
      <c r="AL29" s="148">
        <v>20945</v>
      </c>
    </row>
    <row r="30" spans="2:38" ht="16.5" thickTop="1" thickBot="1" x14ac:dyDescent="0.3">
      <c r="B30" s="237" t="s">
        <v>75</v>
      </c>
      <c r="C30" s="237"/>
      <c r="D30" s="91">
        <f>+D28-D15</f>
        <v>23</v>
      </c>
      <c r="E30" s="85"/>
      <c r="F30" s="237" t="s">
        <v>75</v>
      </c>
      <c r="G30" s="237"/>
      <c r="H30" s="91">
        <f>+H28-H15</f>
        <v>60</v>
      </c>
      <c r="I30" s="85"/>
      <c r="J30" s="237" t="s">
        <v>75</v>
      </c>
      <c r="K30" s="237"/>
      <c r="L30" s="91">
        <f>+L28-L15</f>
        <v>-3572</v>
      </c>
      <c r="M30" s="85"/>
      <c r="N30" s="237" t="s">
        <v>75</v>
      </c>
      <c r="O30" s="237"/>
      <c r="P30" s="91">
        <f>+P28-P15</f>
        <v>-117</v>
      </c>
      <c r="Q30" s="85"/>
      <c r="R30" s="237" t="s">
        <v>75</v>
      </c>
      <c r="S30" s="237"/>
      <c r="T30" s="91">
        <f>+T28-T15</f>
        <v>0</v>
      </c>
      <c r="U30" s="85"/>
      <c r="V30" s="96"/>
      <c r="W30" s="238" t="s">
        <v>75</v>
      </c>
      <c r="X30" s="238"/>
      <c r="Y30" s="126">
        <f>+Y28-Y15</f>
        <v>5292</v>
      </c>
      <c r="Z30" s="97"/>
      <c r="AA30" s="85"/>
      <c r="AB30" s="85"/>
      <c r="AC30" s="85"/>
      <c r="AD30" s="85"/>
      <c r="AE30" s="85"/>
      <c r="AF30" s="85"/>
      <c r="AG30" s="85"/>
      <c r="AH30" s="85"/>
      <c r="AI30" s="100" t="s">
        <v>72</v>
      </c>
      <c r="AJ30" s="166" t="s">
        <v>31</v>
      </c>
      <c r="AK30" s="100" t="s">
        <v>399</v>
      </c>
      <c r="AL30" s="148">
        <v>48156</v>
      </c>
    </row>
    <row r="31" spans="2:38" ht="16.5" thickTop="1" thickBo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01"/>
      <c r="W31" s="102"/>
      <c r="X31" s="102"/>
      <c r="Y31" s="102"/>
      <c r="Z31" s="103"/>
      <c r="AA31" s="85"/>
      <c r="AB31" s="85"/>
      <c r="AC31" s="85"/>
      <c r="AD31" s="85"/>
      <c r="AE31" s="85"/>
      <c r="AF31" s="85"/>
      <c r="AG31" s="85"/>
      <c r="AH31" s="85"/>
      <c r="AI31" s="100" t="s">
        <v>319</v>
      </c>
      <c r="AJ31" s="166" t="s">
        <v>95</v>
      </c>
      <c r="AK31" s="100" t="s">
        <v>262</v>
      </c>
      <c r="AL31" s="197">
        <v>10000</v>
      </c>
    </row>
    <row r="32" spans="2:38" x14ac:dyDescent="0.2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100" t="s">
        <v>72</v>
      </c>
      <c r="AJ32" s="166" t="s">
        <v>392</v>
      </c>
      <c r="AK32" s="100" t="s">
        <v>143</v>
      </c>
      <c r="AL32" s="148">
        <v>30425</v>
      </c>
    </row>
    <row r="33" spans="2:38" ht="15.75" thickBo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100" t="s">
        <v>59</v>
      </c>
      <c r="AJ33" s="166" t="s">
        <v>117</v>
      </c>
      <c r="AK33" s="104" t="s">
        <v>137</v>
      </c>
      <c r="AL33" s="149">
        <v>13233</v>
      </c>
    </row>
    <row r="34" spans="2:38" x14ac:dyDescent="0.25">
      <c r="B34" s="94" t="s">
        <v>76</v>
      </c>
      <c r="C34" s="95"/>
      <c r="D34" s="105"/>
      <c r="E34" s="85"/>
      <c r="F34" s="94" t="s">
        <v>76</v>
      </c>
      <c r="G34" s="95"/>
      <c r="H34" s="105"/>
      <c r="I34" s="85"/>
      <c r="J34" s="94" t="s">
        <v>76</v>
      </c>
      <c r="K34" s="95"/>
      <c r="L34" s="105">
        <v>3572</v>
      </c>
      <c r="M34" s="85"/>
      <c r="N34" s="94" t="s">
        <v>76</v>
      </c>
      <c r="O34" s="95"/>
      <c r="P34" s="105">
        <v>117</v>
      </c>
      <c r="Q34" s="85"/>
      <c r="R34" s="94" t="s">
        <v>76</v>
      </c>
      <c r="S34" s="95"/>
      <c r="T34" s="105"/>
      <c r="U34" s="85"/>
      <c r="V34" s="85"/>
      <c r="W34" s="127" t="s">
        <v>76</v>
      </c>
      <c r="X34" s="128"/>
      <c r="Y34" s="129">
        <f>+D34+H34+L34+P34+T34</f>
        <v>3689</v>
      </c>
      <c r="Z34" s="85"/>
      <c r="AA34" s="85"/>
      <c r="AB34" s="85"/>
      <c r="AC34" s="85"/>
      <c r="AD34" s="85"/>
      <c r="AE34" s="85"/>
      <c r="AF34" s="85"/>
      <c r="AG34" s="85"/>
      <c r="AH34" s="85"/>
      <c r="AI34" s="100" t="s">
        <v>59</v>
      </c>
      <c r="AJ34" s="166" t="s">
        <v>121</v>
      </c>
      <c r="AK34" s="100" t="s">
        <v>404</v>
      </c>
      <c r="AL34" s="149">
        <v>6045</v>
      </c>
    </row>
    <row r="35" spans="2:38" x14ac:dyDescent="0.25">
      <c r="B35" s="96" t="s">
        <v>77</v>
      </c>
      <c r="C35" s="100"/>
      <c r="D35" s="106"/>
      <c r="E35" s="85"/>
      <c r="F35" s="96" t="s">
        <v>77</v>
      </c>
      <c r="G35" s="100"/>
      <c r="H35" s="106"/>
      <c r="I35" s="85"/>
      <c r="J35" s="96" t="s">
        <v>77</v>
      </c>
      <c r="K35" s="100"/>
      <c r="L35" s="106"/>
      <c r="M35" s="85"/>
      <c r="N35" s="96" t="s">
        <v>77</v>
      </c>
      <c r="O35" s="100"/>
      <c r="P35" s="106"/>
      <c r="Q35" s="85"/>
      <c r="R35" s="96" t="s">
        <v>77</v>
      </c>
      <c r="S35" s="100"/>
      <c r="T35" s="106"/>
      <c r="U35" s="85"/>
      <c r="V35" s="85"/>
      <c r="W35" s="130" t="s">
        <v>77</v>
      </c>
      <c r="X35" s="124"/>
      <c r="Y35" s="131">
        <f t="shared" ref="Y35:Y36" si="9">+D35+H35+L35+P35+T35</f>
        <v>0</v>
      </c>
      <c r="Z35" s="85"/>
      <c r="AA35" s="85"/>
      <c r="AB35" s="85"/>
      <c r="AC35" s="85"/>
      <c r="AD35" s="85"/>
      <c r="AE35" s="85"/>
      <c r="AF35" s="85"/>
      <c r="AG35" s="85"/>
      <c r="AH35" s="85"/>
      <c r="AI35" s="100" t="s">
        <v>144</v>
      </c>
      <c r="AJ35" s="166" t="s">
        <v>113</v>
      </c>
      <c r="AK35" s="100" t="s">
        <v>405</v>
      </c>
      <c r="AL35" s="149">
        <v>3452</v>
      </c>
    </row>
    <row r="36" spans="2:38" x14ac:dyDescent="0.25">
      <c r="B36" s="96" t="s">
        <v>79</v>
      </c>
      <c r="C36" s="100"/>
      <c r="D36" s="106">
        <v>-23</v>
      </c>
      <c r="E36" s="85"/>
      <c r="F36" s="96" t="s">
        <v>79</v>
      </c>
      <c r="G36" s="100"/>
      <c r="H36" s="106">
        <v>-60</v>
      </c>
      <c r="I36" s="85"/>
      <c r="J36" s="96" t="s">
        <v>79</v>
      </c>
      <c r="K36" s="100"/>
      <c r="L36" s="106"/>
      <c r="M36" s="85"/>
      <c r="N36" s="96" t="s">
        <v>79</v>
      </c>
      <c r="O36" s="100"/>
      <c r="P36" s="106"/>
      <c r="Q36" s="85"/>
      <c r="R36" s="96" t="s">
        <v>82</v>
      </c>
      <c r="S36" s="100"/>
      <c r="T36" s="106"/>
      <c r="U36" s="85"/>
      <c r="V36" s="85"/>
      <c r="W36" s="130" t="s">
        <v>78</v>
      </c>
      <c r="X36" s="124"/>
      <c r="Y36" s="131">
        <f t="shared" si="9"/>
        <v>-83</v>
      </c>
      <c r="Z36" s="85"/>
      <c r="AA36" s="85"/>
      <c r="AB36" s="85"/>
      <c r="AC36" s="85"/>
      <c r="AD36" s="85"/>
      <c r="AE36" s="85"/>
      <c r="AF36" s="85"/>
      <c r="AG36" s="85"/>
      <c r="AH36" s="85"/>
      <c r="AI36" s="100" t="s">
        <v>72</v>
      </c>
      <c r="AJ36" s="166" t="s">
        <v>393</v>
      </c>
      <c r="AK36" s="100" t="s">
        <v>190</v>
      </c>
      <c r="AL36" s="149">
        <v>13491</v>
      </c>
    </row>
    <row r="37" spans="2:38" x14ac:dyDescent="0.25">
      <c r="B37" s="96" t="s">
        <v>18</v>
      </c>
      <c r="C37" s="100"/>
      <c r="D37" s="106">
        <f>+SUM(D34:D36)</f>
        <v>-23</v>
      </c>
      <c r="E37" s="85"/>
      <c r="F37" s="96" t="s">
        <v>18</v>
      </c>
      <c r="G37" s="100"/>
      <c r="H37" s="106">
        <f>+SUM(H34:H36)</f>
        <v>-60</v>
      </c>
      <c r="I37" s="85"/>
      <c r="J37" s="96" t="s">
        <v>18</v>
      </c>
      <c r="K37" s="100"/>
      <c r="L37" s="106">
        <f>+SUM(L34:L36)</f>
        <v>3572</v>
      </c>
      <c r="M37" s="85"/>
      <c r="N37" s="96" t="s">
        <v>18</v>
      </c>
      <c r="O37" s="100"/>
      <c r="P37" s="106">
        <f>+SUM(P34:P36)</f>
        <v>117</v>
      </c>
      <c r="Q37" s="85"/>
      <c r="R37" s="96" t="s">
        <v>18</v>
      </c>
      <c r="S37" s="100"/>
      <c r="T37" s="106">
        <f>+SUM(T34:T36)</f>
        <v>0</v>
      </c>
      <c r="U37" s="85"/>
      <c r="V37" s="85"/>
      <c r="W37" s="117" t="s">
        <v>18</v>
      </c>
      <c r="X37" s="118"/>
      <c r="Y37" s="119">
        <f>+SUM(Y34:Y36)</f>
        <v>3606</v>
      </c>
      <c r="Z37" s="85"/>
      <c r="AA37" s="85"/>
      <c r="AB37" s="85"/>
      <c r="AC37" s="85"/>
      <c r="AD37" s="85"/>
      <c r="AE37" s="85"/>
      <c r="AF37" s="85"/>
      <c r="AG37" s="85"/>
      <c r="AH37" s="85"/>
      <c r="AI37" s="100" t="s">
        <v>139</v>
      </c>
      <c r="AJ37" s="166" t="s">
        <v>116</v>
      </c>
      <c r="AK37" s="100" t="s">
        <v>189</v>
      </c>
      <c r="AL37" s="149">
        <v>8557</v>
      </c>
    </row>
    <row r="38" spans="2:38" ht="15.75" thickBot="1" x14ac:dyDescent="0.3">
      <c r="B38" s="107" t="s">
        <v>81</v>
      </c>
      <c r="C38" s="108"/>
      <c r="D38" s="109">
        <f>+D30+D37</f>
        <v>0</v>
      </c>
      <c r="E38" s="85"/>
      <c r="F38" s="107" t="s">
        <v>81</v>
      </c>
      <c r="G38" s="108"/>
      <c r="H38" s="109">
        <f>+H30+H37</f>
        <v>0</v>
      </c>
      <c r="I38" s="85"/>
      <c r="J38" s="107" t="s">
        <v>81</v>
      </c>
      <c r="K38" s="108"/>
      <c r="L38" s="109">
        <f>+L30+L37</f>
        <v>0</v>
      </c>
      <c r="M38" s="85"/>
      <c r="N38" s="107" t="s">
        <v>81</v>
      </c>
      <c r="O38" s="108"/>
      <c r="P38" s="109">
        <f>+P30+P37</f>
        <v>0</v>
      </c>
      <c r="Q38" s="85"/>
      <c r="R38" s="107" t="s">
        <v>81</v>
      </c>
      <c r="S38" s="108"/>
      <c r="T38" s="109">
        <f>+T30+T37</f>
        <v>0</v>
      </c>
      <c r="U38" s="85"/>
      <c r="V38" s="85"/>
      <c r="W38" s="107" t="s">
        <v>81</v>
      </c>
      <c r="X38" s="108"/>
      <c r="Y38" s="109">
        <f>+Y30+Y37</f>
        <v>8898</v>
      </c>
      <c r="Z38" s="85"/>
      <c r="AA38" s="85"/>
      <c r="AB38" s="85"/>
      <c r="AC38" s="85"/>
      <c r="AD38" s="85"/>
      <c r="AE38" s="85"/>
      <c r="AF38" s="85"/>
      <c r="AG38" s="85"/>
      <c r="AH38" s="85"/>
      <c r="AI38" s="100" t="s">
        <v>70</v>
      </c>
      <c r="AJ38" s="166" t="s">
        <v>118</v>
      </c>
      <c r="AK38" s="100" t="s">
        <v>406</v>
      </c>
      <c r="AL38" s="149">
        <v>4646</v>
      </c>
    </row>
    <row r="39" spans="2:38" x14ac:dyDescent="0.25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100" t="s">
        <v>72</v>
      </c>
      <c r="AJ39" s="166" t="s">
        <v>394</v>
      </c>
      <c r="AK39" s="100" t="s">
        <v>105</v>
      </c>
      <c r="AL39" s="149">
        <v>88930</v>
      </c>
    </row>
    <row r="40" spans="2:38" x14ac:dyDescent="0.25"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100" t="s">
        <v>72</v>
      </c>
      <c r="AJ40" s="166" t="s">
        <v>395</v>
      </c>
      <c r="AK40" s="100" t="s">
        <v>105</v>
      </c>
      <c r="AL40" s="149">
        <v>72770</v>
      </c>
    </row>
    <row r="41" spans="2:38" x14ac:dyDescent="0.25"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100" t="s">
        <v>72</v>
      </c>
      <c r="AJ41" s="166" t="s">
        <v>396</v>
      </c>
      <c r="AK41" s="100" t="s">
        <v>105</v>
      </c>
      <c r="AL41" s="149">
        <v>43360</v>
      </c>
    </row>
    <row r="42" spans="2:38" ht="15.75" thickBot="1" x14ac:dyDescent="0.3">
      <c r="AI42" s="150" t="s">
        <v>74</v>
      </c>
      <c r="AJ42" s="150"/>
      <c r="AK42" s="150"/>
      <c r="AL42" s="189">
        <f>SUM(AL20:AL41)</f>
        <v>846917</v>
      </c>
    </row>
    <row r="43" spans="2:38" ht="15.75" thickTop="1" x14ac:dyDescent="0.25"/>
  </sheetData>
  <mergeCells count="25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AB5:AF5"/>
    <mergeCell ref="W3:Y3"/>
    <mergeCell ref="B3:D3"/>
    <mergeCell ref="F3:H3"/>
    <mergeCell ref="J3:L3"/>
    <mergeCell ref="N3:P3"/>
    <mergeCell ref="R3:T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L42"/>
  <sheetViews>
    <sheetView zoomScale="70" zoomScaleNormal="70" workbookViewId="0">
      <selection activeCell="AH17" sqref="AH17"/>
    </sheetView>
  </sheetViews>
  <sheetFormatPr defaultRowHeight="15" x14ac:dyDescent="0.25"/>
  <cols>
    <col min="7" max="7" width="12.5703125" customWidth="1"/>
    <col min="29" max="29" width="11.85546875" customWidth="1"/>
  </cols>
  <sheetData>
    <row r="2" spans="2:38" ht="15.75" thickBot="1" x14ac:dyDescent="0.3"/>
    <row r="3" spans="2:38" x14ac:dyDescent="0.25">
      <c r="B3" s="240" t="s">
        <v>0</v>
      </c>
      <c r="C3" s="240"/>
      <c r="D3" s="240"/>
      <c r="E3" s="85"/>
      <c r="F3" s="240" t="s">
        <v>1</v>
      </c>
      <c r="G3" s="240"/>
      <c r="H3" s="240"/>
      <c r="I3" s="85"/>
      <c r="J3" s="240" t="s">
        <v>2</v>
      </c>
      <c r="K3" s="240"/>
      <c r="L3" s="240"/>
      <c r="M3" s="85"/>
      <c r="N3" s="240" t="s">
        <v>3</v>
      </c>
      <c r="O3" s="240"/>
      <c r="P3" s="240"/>
      <c r="Q3" s="85"/>
      <c r="R3" s="240" t="s">
        <v>4</v>
      </c>
      <c r="S3" s="240"/>
      <c r="T3" s="240"/>
      <c r="U3" s="85"/>
      <c r="V3" s="94"/>
      <c r="W3" s="244" t="s">
        <v>5</v>
      </c>
      <c r="X3" s="244"/>
      <c r="Y3" s="244"/>
      <c r="Z3" s="196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</row>
    <row r="4" spans="2:38" x14ac:dyDescent="0.25">
      <c r="B4" s="88" t="s">
        <v>6</v>
      </c>
      <c r="C4" s="88" t="s">
        <v>7</v>
      </c>
      <c r="D4" s="88" t="s">
        <v>8</v>
      </c>
      <c r="E4" s="85"/>
      <c r="F4" s="88" t="s">
        <v>6</v>
      </c>
      <c r="G4" s="88" t="s">
        <v>7</v>
      </c>
      <c r="H4" s="88" t="s">
        <v>8</v>
      </c>
      <c r="I4" s="85"/>
      <c r="J4" s="88" t="s">
        <v>6</v>
      </c>
      <c r="K4" s="88" t="s">
        <v>7</v>
      </c>
      <c r="L4" s="88" t="s">
        <v>8</v>
      </c>
      <c r="M4" s="85"/>
      <c r="N4" s="88" t="s">
        <v>6</v>
      </c>
      <c r="O4" s="88" t="s">
        <v>7</v>
      </c>
      <c r="P4" s="88" t="s">
        <v>8</v>
      </c>
      <c r="Q4" s="85"/>
      <c r="R4" s="88" t="s">
        <v>6</v>
      </c>
      <c r="S4" s="88" t="s">
        <v>7</v>
      </c>
      <c r="T4" s="88" t="s">
        <v>8</v>
      </c>
      <c r="U4" s="85"/>
      <c r="V4" s="96"/>
      <c r="W4" s="98" t="s">
        <v>6</v>
      </c>
      <c r="X4" s="98" t="s">
        <v>7</v>
      </c>
      <c r="Y4" s="98" t="s">
        <v>8</v>
      </c>
      <c r="Z4" s="97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</row>
    <row r="5" spans="2:38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>
        <v>55</v>
      </c>
      <c r="H5" s="120">
        <f>+G5*F5</f>
        <v>55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/>
      <c r="T5" s="120">
        <f>+S5*R5</f>
        <v>0</v>
      </c>
      <c r="U5" s="110"/>
      <c r="V5" s="111"/>
      <c r="W5" s="122">
        <v>1</v>
      </c>
      <c r="X5" s="123">
        <f>+C5+G5+K5+O5+S5</f>
        <v>55</v>
      </c>
      <c r="Y5" s="121">
        <f>+D5+H5+L5+P5+T5</f>
        <v>55</v>
      </c>
      <c r="Z5" s="112"/>
      <c r="AA5" s="110"/>
      <c r="AB5" s="198" t="s">
        <v>9</v>
      </c>
      <c r="AC5" s="198"/>
      <c r="AD5" s="198"/>
      <c r="AE5" s="198"/>
      <c r="AF5" s="198"/>
      <c r="AG5" s="146"/>
      <c r="AH5" s="85"/>
      <c r="AI5" s="88" t="s">
        <v>6</v>
      </c>
      <c r="AJ5" s="88" t="s">
        <v>7</v>
      </c>
      <c r="AK5" s="88" t="s">
        <v>8</v>
      </c>
      <c r="AL5" s="85"/>
    </row>
    <row r="6" spans="2:38" ht="15.75" thickTop="1" x14ac:dyDescent="0.25">
      <c r="B6" s="86">
        <v>10</v>
      </c>
      <c r="C6" s="86">
        <v>132</v>
      </c>
      <c r="D6" s="120">
        <f>+C6*B6</f>
        <v>1320</v>
      </c>
      <c r="E6" s="85"/>
      <c r="F6" s="86">
        <v>10</v>
      </c>
      <c r="G6" s="86">
        <v>153</v>
      </c>
      <c r="H6" s="120">
        <f>+G6*F6</f>
        <v>1530</v>
      </c>
      <c r="I6" s="85"/>
      <c r="J6" s="86">
        <v>10</v>
      </c>
      <c r="K6" s="86">
        <v>27</v>
      </c>
      <c r="L6" s="120">
        <f>+K6*J6</f>
        <v>270</v>
      </c>
      <c r="M6" s="85"/>
      <c r="N6" s="86">
        <v>10</v>
      </c>
      <c r="O6" s="86">
        <v>30</v>
      </c>
      <c r="P6" s="120">
        <f>+O6*N6</f>
        <v>300</v>
      </c>
      <c r="Q6" s="85"/>
      <c r="R6" s="86">
        <v>10</v>
      </c>
      <c r="S6" s="86"/>
      <c r="T6" s="120">
        <f>+S6*R6</f>
        <v>0</v>
      </c>
      <c r="U6" s="85"/>
      <c r="V6" s="96"/>
      <c r="W6" s="123">
        <v>10</v>
      </c>
      <c r="X6" s="123">
        <f>+C6+G6+K6+O6+S6</f>
        <v>342</v>
      </c>
      <c r="Y6" s="121">
        <f>+D6+H6+L6+P6+T6</f>
        <v>3420</v>
      </c>
      <c r="Z6" s="97"/>
      <c r="AA6" s="85"/>
      <c r="AB6" s="85"/>
      <c r="AC6" s="85"/>
      <c r="AD6" s="85"/>
      <c r="AE6" s="85"/>
      <c r="AF6" s="85"/>
      <c r="AG6" s="85"/>
      <c r="AH6" s="85"/>
      <c r="AI6" s="113">
        <v>1</v>
      </c>
      <c r="AJ6" s="113">
        <v>55</v>
      </c>
      <c r="AK6" s="120">
        <f t="shared" ref="AK6:AK13" si="0">+AJ6*AI6</f>
        <v>55</v>
      </c>
      <c r="AL6" s="110"/>
    </row>
    <row r="7" spans="2:38" x14ac:dyDescent="0.25">
      <c r="B7" s="86">
        <v>20</v>
      </c>
      <c r="C7" s="86">
        <v>34</v>
      </c>
      <c r="D7" s="120">
        <f t="shared" ref="D7:D12" si="1">+C7*B7</f>
        <v>680</v>
      </c>
      <c r="E7" s="85"/>
      <c r="F7" s="86">
        <v>20</v>
      </c>
      <c r="G7" s="86">
        <v>48</v>
      </c>
      <c r="H7" s="120">
        <f t="shared" ref="H7:H12" si="2">+G7*F7</f>
        <v>960</v>
      </c>
      <c r="I7" s="85"/>
      <c r="J7" s="86">
        <v>20</v>
      </c>
      <c r="K7" s="86">
        <v>6</v>
      </c>
      <c r="L7" s="120">
        <f t="shared" ref="L7:L12" si="3">+K7*J7</f>
        <v>120</v>
      </c>
      <c r="M7" s="85"/>
      <c r="N7" s="86">
        <v>20</v>
      </c>
      <c r="O7" s="86">
        <v>1</v>
      </c>
      <c r="P7" s="120">
        <f t="shared" ref="P7:P12" si="4">+O7*N7</f>
        <v>20</v>
      </c>
      <c r="Q7" s="85"/>
      <c r="R7" s="86">
        <v>20</v>
      </c>
      <c r="S7" s="86"/>
      <c r="T7" s="120">
        <f t="shared" ref="T7:T12" si="5">+S7*R7</f>
        <v>0</v>
      </c>
      <c r="U7" s="85"/>
      <c r="V7" s="96"/>
      <c r="W7" s="123">
        <v>20</v>
      </c>
      <c r="X7" s="123">
        <f>+C7+G7+K7+O7+S7</f>
        <v>89</v>
      </c>
      <c r="Y7" s="121">
        <f t="shared" ref="Y7:Y12" si="6">+D7+H7+L7+P7+T7</f>
        <v>1780</v>
      </c>
      <c r="Z7" s="97"/>
      <c r="AA7" s="85"/>
      <c r="AB7" s="141" t="s">
        <v>10</v>
      </c>
      <c r="AC7" s="142">
        <f>Y13</f>
        <v>286605</v>
      </c>
      <c r="AD7" s="110"/>
      <c r="AE7" s="110"/>
      <c r="AF7" s="110"/>
      <c r="AG7" s="110"/>
      <c r="AH7" s="85"/>
      <c r="AI7" s="86">
        <v>10</v>
      </c>
      <c r="AJ7" s="86">
        <v>340</v>
      </c>
      <c r="AK7" s="120">
        <f t="shared" si="0"/>
        <v>3400</v>
      </c>
      <c r="AL7" s="85"/>
    </row>
    <row r="8" spans="2:38" x14ac:dyDescent="0.25">
      <c r="B8" s="86">
        <v>50</v>
      </c>
      <c r="C8" s="86"/>
      <c r="D8" s="120">
        <f t="shared" si="1"/>
        <v>0</v>
      </c>
      <c r="E8" s="85"/>
      <c r="F8" s="86">
        <v>50</v>
      </c>
      <c r="G8" s="86">
        <v>92</v>
      </c>
      <c r="H8" s="120">
        <f t="shared" si="2"/>
        <v>4600</v>
      </c>
      <c r="I8" s="85"/>
      <c r="J8" s="86">
        <v>50</v>
      </c>
      <c r="K8" s="86">
        <v>35</v>
      </c>
      <c r="L8" s="120">
        <f t="shared" si="3"/>
        <v>1750</v>
      </c>
      <c r="M8" s="85"/>
      <c r="N8" s="86">
        <v>50</v>
      </c>
      <c r="O8" s="86">
        <v>66</v>
      </c>
      <c r="P8" s="120">
        <f t="shared" si="4"/>
        <v>3300</v>
      </c>
      <c r="Q8" s="85"/>
      <c r="R8" s="86">
        <v>50</v>
      </c>
      <c r="S8" s="86"/>
      <c r="T8" s="120">
        <f t="shared" si="5"/>
        <v>0</v>
      </c>
      <c r="U8" s="85"/>
      <c r="V8" s="96"/>
      <c r="W8" s="123">
        <v>50</v>
      </c>
      <c r="X8" s="123">
        <f t="shared" ref="X8:X12" si="7">+C8+G8+K8+O8+S8</f>
        <v>193</v>
      </c>
      <c r="Y8" s="121">
        <f t="shared" si="6"/>
        <v>9650</v>
      </c>
      <c r="Z8" s="97"/>
      <c r="AA8" s="85"/>
      <c r="AB8" s="138" t="s">
        <v>11</v>
      </c>
      <c r="AC8" s="138">
        <f>+AF31</f>
        <v>137499</v>
      </c>
      <c r="AD8" s="85"/>
      <c r="AE8" s="85"/>
      <c r="AF8" s="85"/>
      <c r="AG8" s="85"/>
      <c r="AH8" s="85"/>
      <c r="AI8" s="86">
        <v>20</v>
      </c>
      <c r="AJ8" s="86">
        <v>89</v>
      </c>
      <c r="AK8" s="120">
        <f t="shared" si="0"/>
        <v>1780</v>
      </c>
      <c r="AL8" s="85"/>
    </row>
    <row r="9" spans="2:38" ht="15.75" thickBot="1" x14ac:dyDescent="0.3">
      <c r="B9" s="86">
        <v>100</v>
      </c>
      <c r="C9" s="86">
        <v>10</v>
      </c>
      <c r="D9" s="120">
        <f t="shared" si="1"/>
        <v>1000</v>
      </c>
      <c r="E9" s="85"/>
      <c r="F9" s="86">
        <v>100</v>
      </c>
      <c r="G9" s="86">
        <v>121</v>
      </c>
      <c r="H9" s="120">
        <f t="shared" si="2"/>
        <v>12100</v>
      </c>
      <c r="I9" s="85"/>
      <c r="J9" s="86">
        <v>100</v>
      </c>
      <c r="K9" s="86">
        <v>42</v>
      </c>
      <c r="L9" s="120">
        <f t="shared" si="3"/>
        <v>4200</v>
      </c>
      <c r="M9" s="85"/>
      <c r="N9" s="86">
        <v>100</v>
      </c>
      <c r="O9" s="86">
        <v>24</v>
      </c>
      <c r="P9" s="120">
        <f t="shared" si="4"/>
        <v>2400</v>
      </c>
      <c r="Q9" s="85"/>
      <c r="R9" s="86">
        <v>100</v>
      </c>
      <c r="S9" s="86"/>
      <c r="T9" s="120">
        <f t="shared" si="5"/>
        <v>0</v>
      </c>
      <c r="U9" s="85"/>
      <c r="V9" s="96"/>
      <c r="W9" s="123">
        <v>100</v>
      </c>
      <c r="X9" s="123">
        <f t="shared" si="7"/>
        <v>197</v>
      </c>
      <c r="Y9" s="121">
        <f t="shared" si="6"/>
        <v>19700</v>
      </c>
      <c r="Z9" s="97"/>
      <c r="AA9" s="85"/>
      <c r="AB9" s="143" t="s">
        <v>12</v>
      </c>
      <c r="AC9" s="144">
        <f>SUM(AC7:AC8)</f>
        <v>424104</v>
      </c>
      <c r="AD9" s="85"/>
      <c r="AE9" s="85"/>
      <c r="AF9" s="85"/>
      <c r="AG9" s="85"/>
      <c r="AH9" s="85"/>
      <c r="AI9" s="86">
        <v>50</v>
      </c>
      <c r="AJ9" s="86">
        <v>194</v>
      </c>
      <c r="AK9" s="120">
        <f t="shared" si="0"/>
        <v>9700</v>
      </c>
      <c r="AL9" s="85"/>
    </row>
    <row r="10" spans="2:38" x14ac:dyDescent="0.25">
      <c r="B10" s="86">
        <v>500</v>
      </c>
      <c r="C10" s="86">
        <v>15</v>
      </c>
      <c r="D10" s="120">
        <f t="shared" si="1"/>
        <v>7500</v>
      </c>
      <c r="E10" s="85"/>
      <c r="F10" s="86">
        <v>500</v>
      </c>
      <c r="G10" s="86">
        <v>35</v>
      </c>
      <c r="H10" s="120">
        <f t="shared" si="2"/>
        <v>17500</v>
      </c>
      <c r="I10" s="85"/>
      <c r="J10" s="86">
        <v>500</v>
      </c>
      <c r="K10" s="86">
        <v>61</v>
      </c>
      <c r="L10" s="120">
        <f t="shared" si="3"/>
        <v>30500</v>
      </c>
      <c r="M10" s="85"/>
      <c r="N10" s="86">
        <v>500</v>
      </c>
      <c r="O10" s="86">
        <v>25</v>
      </c>
      <c r="P10" s="120">
        <f t="shared" si="4"/>
        <v>12500</v>
      </c>
      <c r="Q10" s="85"/>
      <c r="R10" s="86">
        <v>500</v>
      </c>
      <c r="S10" s="86"/>
      <c r="T10" s="120">
        <f t="shared" si="5"/>
        <v>0</v>
      </c>
      <c r="U10" s="85"/>
      <c r="V10" s="96"/>
      <c r="W10" s="123">
        <v>500</v>
      </c>
      <c r="X10" s="123">
        <f t="shared" si="7"/>
        <v>136</v>
      </c>
      <c r="Y10" s="121">
        <f t="shared" si="6"/>
        <v>68000</v>
      </c>
      <c r="Z10" s="97"/>
      <c r="AA10" s="85"/>
      <c r="AB10" s="85"/>
      <c r="AC10" s="85"/>
      <c r="AD10" s="85"/>
      <c r="AE10" s="85"/>
      <c r="AF10" s="85"/>
      <c r="AG10" s="85"/>
      <c r="AH10" s="85"/>
      <c r="AI10" s="86">
        <v>100</v>
      </c>
      <c r="AJ10" s="86">
        <v>204</v>
      </c>
      <c r="AK10" s="120">
        <f t="shared" si="0"/>
        <v>20400</v>
      </c>
      <c r="AL10" s="85"/>
    </row>
    <row r="11" spans="2:38" x14ac:dyDescent="0.25">
      <c r="B11" s="86">
        <v>1000</v>
      </c>
      <c r="C11" s="86">
        <v>23</v>
      </c>
      <c r="D11" s="120">
        <f t="shared" si="1"/>
        <v>23000</v>
      </c>
      <c r="E11" s="85"/>
      <c r="F11" s="86">
        <v>1000</v>
      </c>
      <c r="G11" s="86">
        <v>46</v>
      </c>
      <c r="H11" s="120">
        <f t="shared" si="2"/>
        <v>46000</v>
      </c>
      <c r="I11" s="85"/>
      <c r="J11" s="86">
        <v>1000</v>
      </c>
      <c r="K11" s="86">
        <v>49</v>
      </c>
      <c r="L11" s="120">
        <f t="shared" si="3"/>
        <v>49000</v>
      </c>
      <c r="M11" s="85"/>
      <c r="N11" s="86">
        <v>1000</v>
      </c>
      <c r="O11" s="86">
        <v>31</v>
      </c>
      <c r="P11" s="120">
        <f t="shared" si="4"/>
        <v>31000</v>
      </c>
      <c r="Q11" s="85"/>
      <c r="R11" s="86">
        <v>1000</v>
      </c>
      <c r="S11" s="86"/>
      <c r="T11" s="120">
        <f t="shared" si="5"/>
        <v>0</v>
      </c>
      <c r="U11" s="85"/>
      <c r="V11" s="96"/>
      <c r="W11" s="123">
        <v>1000</v>
      </c>
      <c r="X11" s="123">
        <f t="shared" si="7"/>
        <v>149</v>
      </c>
      <c r="Y11" s="121">
        <f t="shared" si="6"/>
        <v>149000</v>
      </c>
      <c r="Z11" s="97"/>
      <c r="AA11" s="85"/>
      <c r="AB11" s="132" t="s">
        <v>13</v>
      </c>
      <c r="AC11" s="132" t="s">
        <v>8</v>
      </c>
      <c r="AD11" s="132" t="s">
        <v>14</v>
      </c>
      <c r="AE11" s="132" t="s">
        <v>15</v>
      </c>
      <c r="AF11" s="132" t="s">
        <v>16</v>
      </c>
      <c r="AG11" s="132"/>
      <c r="AH11" s="85"/>
      <c r="AI11" s="86">
        <v>500</v>
      </c>
      <c r="AJ11" s="86">
        <v>229</v>
      </c>
      <c r="AK11" s="120">
        <f t="shared" si="0"/>
        <v>114500</v>
      </c>
      <c r="AL11" s="85"/>
    </row>
    <row r="12" spans="2:38" x14ac:dyDescent="0.25">
      <c r="B12" s="86">
        <v>5000</v>
      </c>
      <c r="C12" s="86">
        <v>3</v>
      </c>
      <c r="D12" s="120">
        <f t="shared" si="1"/>
        <v>15000</v>
      </c>
      <c r="E12" s="85"/>
      <c r="F12" s="86">
        <v>5000</v>
      </c>
      <c r="G12" s="86">
        <v>2</v>
      </c>
      <c r="H12" s="120">
        <f t="shared" si="2"/>
        <v>10000</v>
      </c>
      <c r="I12" s="85"/>
      <c r="J12" s="86">
        <v>5000</v>
      </c>
      <c r="K12" s="86"/>
      <c r="L12" s="120">
        <f t="shared" si="3"/>
        <v>0</v>
      </c>
      <c r="M12" s="85"/>
      <c r="N12" s="86">
        <v>5000</v>
      </c>
      <c r="O12" s="86">
        <v>2</v>
      </c>
      <c r="P12" s="120">
        <f t="shared" si="4"/>
        <v>10000</v>
      </c>
      <c r="Q12" s="85"/>
      <c r="R12" s="86">
        <v>5000</v>
      </c>
      <c r="S12" s="86"/>
      <c r="T12" s="120">
        <f t="shared" si="5"/>
        <v>0</v>
      </c>
      <c r="U12" s="85"/>
      <c r="V12" s="96"/>
      <c r="W12" s="123">
        <v>5000</v>
      </c>
      <c r="X12" s="123">
        <f t="shared" si="7"/>
        <v>7</v>
      </c>
      <c r="Y12" s="121">
        <f t="shared" si="6"/>
        <v>35000</v>
      </c>
      <c r="Z12" s="97"/>
      <c r="AA12" s="85"/>
      <c r="AB12" s="85" t="s">
        <v>17</v>
      </c>
      <c r="AC12" s="89">
        <v>354280</v>
      </c>
      <c r="AD12" s="85"/>
      <c r="AE12" s="137"/>
      <c r="AF12" s="85"/>
      <c r="AG12" s="85"/>
      <c r="AH12" s="85"/>
      <c r="AI12" s="86">
        <v>1000</v>
      </c>
      <c r="AJ12" s="86">
        <v>152</v>
      </c>
      <c r="AK12" s="120">
        <f t="shared" si="0"/>
        <v>152000</v>
      </c>
      <c r="AL12" s="85"/>
    </row>
    <row r="13" spans="2:38" ht="15.75" thickBot="1" x14ac:dyDescent="0.3">
      <c r="B13" s="87" t="s">
        <v>18</v>
      </c>
      <c r="C13" s="87"/>
      <c r="D13" s="90">
        <f>+SUM(D5:D12)</f>
        <v>48500</v>
      </c>
      <c r="E13" s="85"/>
      <c r="F13" s="87" t="s">
        <v>18</v>
      </c>
      <c r="G13" s="87"/>
      <c r="H13" s="90">
        <f>+SUM(H5:H12)</f>
        <v>92745</v>
      </c>
      <c r="I13" s="85"/>
      <c r="J13" s="87" t="s">
        <v>18</v>
      </c>
      <c r="K13" s="87"/>
      <c r="L13" s="90">
        <f>+SUM(L5:L12)</f>
        <v>85840</v>
      </c>
      <c r="M13" s="85"/>
      <c r="N13" s="87" t="s">
        <v>18</v>
      </c>
      <c r="O13" s="87"/>
      <c r="P13" s="90">
        <f>+SUM(P5:P12)</f>
        <v>59520</v>
      </c>
      <c r="Q13" s="85"/>
      <c r="R13" s="87" t="s">
        <v>18</v>
      </c>
      <c r="S13" s="87"/>
      <c r="T13" s="90">
        <f>+SUM(T5:T12)</f>
        <v>0</v>
      </c>
      <c r="U13" s="85"/>
      <c r="V13" s="96"/>
      <c r="W13" s="87" t="s">
        <v>18</v>
      </c>
      <c r="X13" s="87"/>
      <c r="Y13" s="90">
        <f>+SUM(Y5:Y12)</f>
        <v>286605</v>
      </c>
      <c r="Z13" s="97"/>
      <c r="AA13" s="85"/>
      <c r="AB13" s="85" t="s">
        <v>19</v>
      </c>
      <c r="AC13" s="89">
        <v>2510</v>
      </c>
      <c r="AD13" s="85"/>
      <c r="AE13" s="85"/>
      <c r="AF13" s="85"/>
      <c r="AG13" s="85"/>
      <c r="AH13" s="85"/>
      <c r="AI13" s="86">
        <v>5000</v>
      </c>
      <c r="AJ13" s="86">
        <v>11</v>
      </c>
      <c r="AK13" s="120">
        <f t="shared" si="0"/>
        <v>55000</v>
      </c>
      <c r="AL13" s="85"/>
    </row>
    <row r="14" spans="2:38" ht="15.75" thickBot="1" x14ac:dyDescent="0.3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96"/>
      <c r="W14" s="100"/>
      <c r="X14" s="100"/>
      <c r="Y14" s="100"/>
      <c r="Z14" s="97"/>
      <c r="AA14" s="85"/>
      <c r="AB14" s="85" t="s">
        <v>20</v>
      </c>
      <c r="AC14" s="89"/>
      <c r="AD14" s="85"/>
      <c r="AE14" s="85"/>
      <c r="AF14" s="85"/>
      <c r="AG14" s="85"/>
      <c r="AH14" s="85"/>
      <c r="AI14" s="87" t="s">
        <v>18</v>
      </c>
      <c r="AJ14" s="87"/>
      <c r="AK14" s="90">
        <f>+SUM(AK6:AK13)</f>
        <v>356835</v>
      </c>
      <c r="AL14" s="85"/>
    </row>
    <row r="15" spans="2:38" ht="15.75" thickBot="1" x14ac:dyDescent="0.3">
      <c r="B15" s="242" t="s">
        <v>21</v>
      </c>
      <c r="C15" s="243"/>
      <c r="D15" s="92">
        <v>58273</v>
      </c>
      <c r="E15" s="114"/>
      <c r="F15" s="242" t="s">
        <v>21</v>
      </c>
      <c r="G15" s="243"/>
      <c r="H15" s="92">
        <v>98225</v>
      </c>
      <c r="I15" s="114"/>
      <c r="J15" s="242" t="s">
        <v>21</v>
      </c>
      <c r="K15" s="243"/>
      <c r="L15" s="92">
        <v>116219</v>
      </c>
      <c r="M15" s="114"/>
      <c r="N15" s="242" t="s">
        <v>21</v>
      </c>
      <c r="O15" s="243"/>
      <c r="P15" s="92">
        <v>90597</v>
      </c>
      <c r="Q15" s="114"/>
      <c r="R15" s="242" t="s">
        <v>21</v>
      </c>
      <c r="S15" s="243"/>
      <c r="T15" s="92"/>
      <c r="U15" s="114"/>
      <c r="V15" s="115"/>
      <c r="W15" s="242" t="s">
        <v>21</v>
      </c>
      <c r="X15" s="243"/>
      <c r="Y15" s="92">
        <f>+D15+H15+L15+P15+T15</f>
        <v>363314</v>
      </c>
      <c r="Z15" s="116"/>
      <c r="AA15" s="114"/>
      <c r="AB15" s="85" t="s">
        <v>22</v>
      </c>
      <c r="AC15" s="89">
        <v>50000</v>
      </c>
      <c r="AD15" s="85" t="s">
        <v>414</v>
      </c>
      <c r="AE15" s="85"/>
      <c r="AF15" s="85"/>
      <c r="AG15" s="85"/>
      <c r="AH15" s="85"/>
      <c r="AI15" s="85"/>
      <c r="AJ15" s="85"/>
      <c r="AK15" s="85"/>
      <c r="AL15" s="85"/>
    </row>
    <row r="16" spans="2:38" x14ac:dyDescent="0.25">
      <c r="B16" s="85" t="s">
        <v>10</v>
      </c>
      <c r="C16" s="85"/>
      <c r="D16" s="89">
        <f>+D13</f>
        <v>48500</v>
      </c>
      <c r="E16" s="85"/>
      <c r="F16" s="85" t="s">
        <v>10</v>
      </c>
      <c r="G16" s="85"/>
      <c r="H16" s="89">
        <f>+H13</f>
        <v>92745</v>
      </c>
      <c r="I16" s="85"/>
      <c r="J16" s="85" t="s">
        <v>10</v>
      </c>
      <c r="K16" s="85"/>
      <c r="L16" s="89">
        <f>+L13</f>
        <v>85840</v>
      </c>
      <c r="M16" s="85"/>
      <c r="N16" s="85" t="s">
        <v>10</v>
      </c>
      <c r="O16" s="85"/>
      <c r="P16" s="89">
        <f>+P13</f>
        <v>59520</v>
      </c>
      <c r="Q16" s="85"/>
      <c r="R16" s="85" t="s">
        <v>10</v>
      </c>
      <c r="S16" s="85"/>
      <c r="T16" s="89">
        <f>+T13</f>
        <v>0</v>
      </c>
      <c r="U16" s="85"/>
      <c r="V16" s="96"/>
      <c r="W16" s="124" t="s">
        <v>10</v>
      </c>
      <c r="X16" s="124"/>
      <c r="Y16" s="121">
        <f>+D16+H16+L16+P16+T16</f>
        <v>286605</v>
      </c>
      <c r="Z16" s="97"/>
      <c r="AA16" s="85"/>
      <c r="AB16" s="85" t="s">
        <v>23</v>
      </c>
      <c r="AC16" s="89">
        <f>10000+3000+1260+3000</f>
        <v>17260</v>
      </c>
      <c r="AD16" s="85"/>
      <c r="AE16" s="85"/>
      <c r="AF16" s="85"/>
      <c r="AG16" s="85"/>
      <c r="AH16" s="85"/>
      <c r="AI16" s="85"/>
      <c r="AJ16" s="85"/>
      <c r="AK16" s="85"/>
      <c r="AL16" s="85"/>
    </row>
    <row r="17" spans="2:38" x14ac:dyDescent="0.25">
      <c r="B17" s="85" t="s">
        <v>421</v>
      </c>
      <c r="C17" s="85"/>
      <c r="D17" s="89">
        <v>3524</v>
      </c>
      <c r="E17" s="85"/>
      <c r="F17" s="85" t="s">
        <v>17</v>
      </c>
      <c r="G17" s="85"/>
      <c r="H17" s="89"/>
      <c r="I17" s="85"/>
      <c r="J17" s="85" t="s">
        <v>17</v>
      </c>
      <c r="K17" s="85" t="s">
        <v>424</v>
      </c>
      <c r="L17" s="89">
        <v>10000</v>
      </c>
      <c r="M17" s="85"/>
      <c r="N17" s="85" t="s">
        <v>17</v>
      </c>
      <c r="O17" s="85"/>
      <c r="P17" s="89"/>
      <c r="Q17" s="85"/>
      <c r="R17" s="85" t="s">
        <v>17</v>
      </c>
      <c r="S17" s="85"/>
      <c r="T17" s="89"/>
      <c r="U17" s="85"/>
      <c r="V17" s="96"/>
      <c r="W17" s="124" t="s">
        <v>17</v>
      </c>
      <c r="X17" s="124"/>
      <c r="Y17" s="121">
        <f t="shared" ref="Y17:Y27" si="8">+D17+H17+L17+P17+T17</f>
        <v>13524</v>
      </c>
      <c r="Z17" s="97"/>
      <c r="AA17" s="85"/>
      <c r="AB17" s="133" t="s">
        <v>12</v>
      </c>
      <c r="AC17" s="134">
        <f>+SUM(AC12:AC16)</f>
        <v>424050</v>
      </c>
      <c r="AD17" s="160"/>
      <c r="AE17" s="85"/>
      <c r="AF17" s="85"/>
      <c r="AG17" s="85"/>
      <c r="AH17" s="85"/>
      <c r="AI17" s="85"/>
      <c r="AJ17" s="85"/>
      <c r="AK17" s="85"/>
      <c r="AL17" s="85"/>
    </row>
    <row r="18" spans="2:38" x14ac:dyDescent="0.25">
      <c r="B18" s="85" t="s">
        <v>26</v>
      </c>
      <c r="C18" s="85"/>
      <c r="D18" s="89"/>
      <c r="E18" s="85"/>
      <c r="F18" s="85" t="s">
        <v>311</v>
      </c>
      <c r="G18" s="85" t="s">
        <v>435</v>
      </c>
      <c r="H18" s="89">
        <v>4112</v>
      </c>
      <c r="I18" s="85"/>
      <c r="J18" s="85" t="s">
        <v>309</v>
      </c>
      <c r="K18" s="85" t="s">
        <v>436</v>
      </c>
      <c r="L18" s="89">
        <v>9400</v>
      </c>
      <c r="M18" s="85"/>
      <c r="N18" s="85" t="s">
        <v>342</v>
      </c>
      <c r="O18" s="85" t="s">
        <v>429</v>
      </c>
      <c r="P18" s="89">
        <v>3450</v>
      </c>
      <c r="Q18" s="85"/>
      <c r="R18" s="85" t="s">
        <v>26</v>
      </c>
      <c r="S18" s="85"/>
      <c r="T18" s="89"/>
      <c r="U18" s="85"/>
      <c r="V18" s="96"/>
      <c r="W18" s="124" t="s">
        <v>26</v>
      </c>
      <c r="X18" s="124"/>
      <c r="Y18" s="121">
        <f t="shared" si="8"/>
        <v>16962</v>
      </c>
      <c r="Z18" s="97"/>
      <c r="AA18" s="85"/>
      <c r="AB18" s="135" t="s">
        <v>32</v>
      </c>
      <c r="AC18" s="136">
        <f>+AC17-AC9</f>
        <v>-54</v>
      </c>
      <c r="AD18" s="85" t="s">
        <v>33</v>
      </c>
      <c r="AE18" s="85"/>
      <c r="AF18" s="85"/>
      <c r="AG18" s="85"/>
      <c r="AH18" s="85"/>
      <c r="AI18" s="85"/>
      <c r="AJ18" s="85"/>
      <c r="AK18" s="85"/>
      <c r="AL18" s="85"/>
    </row>
    <row r="19" spans="2:38" x14ac:dyDescent="0.25">
      <c r="B19" s="85" t="s">
        <v>34</v>
      </c>
      <c r="C19" s="85"/>
      <c r="D19" s="89"/>
      <c r="E19" s="85"/>
      <c r="F19" s="85" t="s">
        <v>34</v>
      </c>
      <c r="G19" s="85"/>
      <c r="H19" s="89"/>
      <c r="I19" s="85"/>
      <c r="J19" s="85" t="s">
        <v>272</v>
      </c>
      <c r="K19" s="85" t="s">
        <v>437</v>
      </c>
      <c r="L19" s="89">
        <v>5000</v>
      </c>
      <c r="M19" s="85"/>
      <c r="N19" s="85" t="s">
        <v>34</v>
      </c>
      <c r="O19" s="85"/>
      <c r="P19" s="89"/>
      <c r="Q19" s="85"/>
      <c r="R19" s="85" t="s">
        <v>34</v>
      </c>
      <c r="S19" s="85"/>
      <c r="T19" s="89"/>
      <c r="U19" s="85"/>
      <c r="V19" s="96"/>
      <c r="W19" s="124" t="s">
        <v>34</v>
      </c>
      <c r="X19" s="124"/>
      <c r="Y19" s="121">
        <f t="shared" si="8"/>
        <v>5000</v>
      </c>
      <c r="Z19" s="97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</row>
    <row r="20" spans="2:38" x14ac:dyDescent="0.25">
      <c r="B20" s="85" t="s">
        <v>36</v>
      </c>
      <c r="C20" s="85"/>
      <c r="D20" s="89"/>
      <c r="E20" s="85"/>
      <c r="F20" s="85" t="s">
        <v>36</v>
      </c>
      <c r="G20" s="85"/>
      <c r="H20" s="89"/>
      <c r="I20" s="85"/>
      <c r="J20" s="85" t="s">
        <v>438</v>
      </c>
      <c r="K20" s="85" t="s">
        <v>439</v>
      </c>
      <c r="L20" s="89">
        <v>6000</v>
      </c>
      <c r="M20" s="85"/>
      <c r="N20" s="85" t="s">
        <v>36</v>
      </c>
      <c r="O20" s="85"/>
      <c r="P20" s="89"/>
      <c r="Q20" s="85"/>
      <c r="R20" s="85" t="s">
        <v>36</v>
      </c>
      <c r="S20" s="85"/>
      <c r="T20" s="89"/>
      <c r="U20" s="85"/>
      <c r="V20" s="96"/>
      <c r="W20" s="124" t="s">
        <v>36</v>
      </c>
      <c r="X20" s="124"/>
      <c r="Y20" s="121">
        <f t="shared" si="8"/>
        <v>6000</v>
      </c>
      <c r="Z20" s="97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</row>
    <row r="21" spans="2:38" x14ac:dyDescent="0.25">
      <c r="B21" s="85"/>
      <c r="C21" s="85"/>
      <c r="D21" s="89"/>
      <c r="E21" s="85"/>
      <c r="F21" s="85"/>
      <c r="G21" s="85"/>
      <c r="H21" s="89"/>
      <c r="I21" s="85"/>
      <c r="J21" s="85" t="s">
        <v>285</v>
      </c>
      <c r="K21" s="85"/>
      <c r="L21" s="89"/>
      <c r="M21" s="85"/>
      <c r="N21" s="85"/>
      <c r="O21" s="85"/>
      <c r="P21" s="89"/>
      <c r="Q21" s="85"/>
      <c r="R21" s="85"/>
      <c r="S21" s="85"/>
      <c r="T21" s="89"/>
      <c r="U21" s="85"/>
      <c r="V21" s="96"/>
      <c r="W21" s="124"/>
      <c r="X21" s="124"/>
      <c r="Y21" s="121">
        <f t="shared" si="8"/>
        <v>0</v>
      </c>
      <c r="Z21" s="97"/>
      <c r="AA21" s="85"/>
      <c r="AB21" s="139" t="s">
        <v>37</v>
      </c>
      <c r="AC21" s="139"/>
      <c r="AD21" s="139"/>
      <c r="AE21" s="114"/>
      <c r="AF21" s="85"/>
      <c r="AG21" s="85"/>
      <c r="AH21" s="85"/>
      <c r="AI21" s="139" t="s">
        <v>38</v>
      </c>
      <c r="AJ21" s="139"/>
      <c r="AK21" s="139"/>
      <c r="AL21" s="147"/>
    </row>
    <row r="22" spans="2:38" x14ac:dyDescent="0.25">
      <c r="B22" s="85"/>
      <c r="C22" s="85"/>
      <c r="D22" s="89"/>
      <c r="E22" s="85"/>
      <c r="F22" s="85"/>
      <c r="G22" s="85"/>
      <c r="H22" s="89"/>
      <c r="I22" s="85"/>
      <c r="J22" s="85"/>
      <c r="K22" s="85"/>
      <c r="L22" s="89"/>
      <c r="M22" s="85"/>
      <c r="N22" s="85"/>
      <c r="O22" s="85"/>
      <c r="P22" s="89"/>
      <c r="Q22" s="85"/>
      <c r="R22" s="85"/>
      <c r="S22" s="85"/>
      <c r="T22" s="89"/>
      <c r="U22" s="85"/>
      <c r="V22" s="96"/>
      <c r="W22" s="124"/>
      <c r="X22" s="124"/>
      <c r="Y22" s="121">
        <f t="shared" si="8"/>
        <v>0</v>
      </c>
      <c r="Z22" s="97"/>
      <c r="AA22" s="85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G22" s="85"/>
      <c r="AH22" s="85"/>
      <c r="AI22" s="132" t="s">
        <v>41</v>
      </c>
      <c r="AJ22" s="132" t="s">
        <v>45</v>
      </c>
      <c r="AK22" s="132" t="s">
        <v>43</v>
      </c>
      <c r="AL22" s="132" t="s">
        <v>8</v>
      </c>
    </row>
    <row r="23" spans="2:38" x14ac:dyDescent="0.25">
      <c r="B23" s="85" t="s">
        <v>46</v>
      </c>
      <c r="C23" s="85"/>
      <c r="D23" s="89"/>
      <c r="E23" s="85"/>
      <c r="F23" s="85" t="s">
        <v>46</v>
      </c>
      <c r="G23" s="85"/>
      <c r="H23" s="89"/>
      <c r="I23" s="85"/>
      <c r="J23" s="85" t="s">
        <v>46</v>
      </c>
      <c r="K23" s="85"/>
      <c r="L23" s="89"/>
      <c r="M23" s="85"/>
      <c r="N23" s="85" t="s">
        <v>430</v>
      </c>
      <c r="O23" s="85" t="s">
        <v>225</v>
      </c>
      <c r="P23" s="89">
        <v>4826</v>
      </c>
      <c r="Q23" s="85"/>
      <c r="R23" s="85" t="s">
        <v>46</v>
      </c>
      <c r="S23" s="85"/>
      <c r="T23" s="89"/>
      <c r="U23" s="85"/>
      <c r="V23" s="96"/>
      <c r="W23" s="124" t="s">
        <v>46</v>
      </c>
      <c r="X23" s="124"/>
      <c r="Y23" s="121">
        <f t="shared" si="8"/>
        <v>4826</v>
      </c>
      <c r="Z23" s="97"/>
      <c r="AA23" s="85"/>
      <c r="AB23" s="100" t="s">
        <v>410</v>
      </c>
      <c r="AC23" s="167">
        <v>45868</v>
      </c>
      <c r="AD23" s="166" t="s">
        <v>408</v>
      </c>
      <c r="AE23" s="166"/>
      <c r="AF23" s="168">
        <v>23258</v>
      </c>
      <c r="AG23" s="85"/>
      <c r="AH23" s="85"/>
      <c r="AI23" s="100" t="s">
        <v>72</v>
      </c>
      <c r="AJ23" s="166" t="s">
        <v>416</v>
      </c>
      <c r="AK23" s="166" t="s">
        <v>415</v>
      </c>
      <c r="AL23" s="149">
        <v>27900</v>
      </c>
    </row>
    <row r="24" spans="2:38" x14ac:dyDescent="0.25">
      <c r="B24" s="85" t="s">
        <v>54</v>
      </c>
      <c r="C24" s="85"/>
      <c r="D24" s="89"/>
      <c r="E24" s="85"/>
      <c r="F24" s="85" t="s">
        <v>54</v>
      </c>
      <c r="G24" s="85"/>
      <c r="H24" s="89"/>
      <c r="I24" s="85"/>
      <c r="J24" s="85" t="s">
        <v>54</v>
      </c>
      <c r="K24" s="85"/>
      <c r="L24" s="89"/>
      <c r="M24" s="85"/>
      <c r="N24" s="85" t="s">
        <v>431</v>
      </c>
      <c r="O24" s="85" t="s">
        <v>432</v>
      </c>
      <c r="P24" s="89">
        <v>8516</v>
      </c>
      <c r="Q24" s="85"/>
      <c r="R24" s="85" t="s">
        <v>54</v>
      </c>
      <c r="S24" s="85"/>
      <c r="T24" s="89"/>
      <c r="U24" s="85"/>
      <c r="V24" s="96"/>
      <c r="W24" s="124" t="s">
        <v>54</v>
      </c>
      <c r="X24" s="124"/>
      <c r="Y24" s="121">
        <f t="shared" si="8"/>
        <v>8516</v>
      </c>
      <c r="Z24" s="97"/>
      <c r="AA24" s="85"/>
      <c r="AB24" s="100" t="s">
        <v>411</v>
      </c>
      <c r="AC24" s="167">
        <v>45868</v>
      </c>
      <c r="AD24" s="166" t="s">
        <v>409</v>
      </c>
      <c r="AE24" s="166"/>
      <c r="AF24" s="168">
        <v>22390</v>
      </c>
      <c r="AG24" s="85"/>
      <c r="AH24" s="85"/>
      <c r="AI24" s="180" t="s">
        <v>425</v>
      </c>
      <c r="AJ24" s="100" t="s">
        <v>225</v>
      </c>
      <c r="AK24" s="100"/>
      <c r="AL24" s="181">
        <v>3186</v>
      </c>
    </row>
    <row r="25" spans="2:38" x14ac:dyDescent="0.25">
      <c r="B25" s="85" t="s">
        <v>61</v>
      </c>
      <c r="C25" s="85"/>
      <c r="D25" s="89"/>
      <c r="E25" s="85"/>
      <c r="F25" s="85" t="s">
        <v>61</v>
      </c>
      <c r="G25" s="85"/>
      <c r="H25" s="89"/>
      <c r="I25" s="85"/>
      <c r="J25" s="85" t="s">
        <v>61</v>
      </c>
      <c r="K25" s="85"/>
      <c r="L25" s="89"/>
      <c r="M25" s="85"/>
      <c r="N25" s="85" t="s">
        <v>433</v>
      </c>
      <c r="O25" s="85" t="s">
        <v>371</v>
      </c>
      <c r="P25" s="89">
        <v>6323</v>
      </c>
      <c r="Q25" s="85"/>
      <c r="R25" s="85" t="s">
        <v>61</v>
      </c>
      <c r="S25" s="85"/>
      <c r="T25" s="89"/>
      <c r="U25" s="85"/>
      <c r="V25" s="96"/>
      <c r="W25" s="124" t="s">
        <v>61</v>
      </c>
      <c r="X25" s="124"/>
      <c r="Y25" s="121">
        <f t="shared" si="8"/>
        <v>6323</v>
      </c>
      <c r="Z25" s="97"/>
      <c r="AA25" s="85"/>
      <c r="AB25" s="100" t="s">
        <v>412</v>
      </c>
      <c r="AC25" s="167">
        <v>45868</v>
      </c>
      <c r="AD25" s="166" t="s">
        <v>413</v>
      </c>
      <c r="AE25" s="166"/>
      <c r="AF25" s="168">
        <v>4352</v>
      </c>
      <c r="AG25" s="85"/>
      <c r="AH25" s="85"/>
      <c r="AI25" s="180" t="s">
        <v>427</v>
      </c>
      <c r="AJ25" s="180" t="s">
        <v>307</v>
      </c>
      <c r="AK25" s="100"/>
      <c r="AL25" s="181">
        <v>5972</v>
      </c>
    </row>
    <row r="26" spans="2:38" x14ac:dyDescent="0.25">
      <c r="B26" s="85"/>
      <c r="C26" s="85"/>
      <c r="D26" s="89"/>
      <c r="E26" s="85"/>
      <c r="F26" s="85"/>
      <c r="G26" s="85"/>
      <c r="H26" s="89"/>
      <c r="I26" s="85"/>
      <c r="J26" s="85"/>
      <c r="K26" s="85"/>
      <c r="L26" s="89"/>
      <c r="M26" s="85"/>
      <c r="N26" s="85" t="s">
        <v>434</v>
      </c>
      <c r="O26" s="85" t="s">
        <v>66</v>
      </c>
      <c r="P26" s="89">
        <v>7962</v>
      </c>
      <c r="Q26" s="85"/>
      <c r="R26" s="85"/>
      <c r="S26" s="85"/>
      <c r="T26" s="85"/>
      <c r="U26" s="85"/>
      <c r="V26" s="96"/>
      <c r="W26" s="124"/>
      <c r="X26" s="124"/>
      <c r="Y26" s="121">
        <f t="shared" si="8"/>
        <v>7962</v>
      </c>
      <c r="Z26" s="97"/>
      <c r="AA26" s="85"/>
      <c r="AB26" s="100" t="s">
        <v>418</v>
      </c>
      <c r="AC26" s="167">
        <v>45869</v>
      </c>
      <c r="AD26" s="166" t="s">
        <v>417</v>
      </c>
      <c r="AE26" s="100"/>
      <c r="AF26" s="199">
        <v>44970</v>
      </c>
      <c r="AG26" s="85"/>
      <c r="AH26" s="85"/>
      <c r="AI26" s="180" t="s">
        <v>426</v>
      </c>
      <c r="AJ26" s="180" t="s">
        <v>307</v>
      </c>
      <c r="AK26" s="100"/>
      <c r="AL26" s="181">
        <v>6118</v>
      </c>
    </row>
    <row r="27" spans="2:38" ht="15.75" thickBot="1" x14ac:dyDescent="0.3">
      <c r="B27" s="85"/>
      <c r="C27" s="85"/>
      <c r="D27" s="89"/>
      <c r="E27" s="85"/>
      <c r="F27" s="85"/>
      <c r="G27" s="85"/>
      <c r="H27" s="89"/>
      <c r="I27" s="85"/>
      <c r="J27" s="85"/>
      <c r="K27" s="85"/>
      <c r="L27" s="89"/>
      <c r="M27" s="85"/>
      <c r="N27" s="85"/>
      <c r="O27" s="85"/>
      <c r="P27" s="89"/>
      <c r="Q27" s="85"/>
      <c r="R27" s="85"/>
      <c r="S27" s="85"/>
      <c r="T27" s="89"/>
      <c r="U27" s="85"/>
      <c r="V27" s="96"/>
      <c r="W27" s="124"/>
      <c r="X27" s="124"/>
      <c r="Y27" s="121">
        <f t="shared" si="8"/>
        <v>0</v>
      </c>
      <c r="Z27" s="97"/>
      <c r="AA27" s="85"/>
      <c r="AB27" s="104" t="s">
        <v>420</v>
      </c>
      <c r="AC27" s="167">
        <v>45869</v>
      </c>
      <c r="AD27" s="100" t="s">
        <v>419</v>
      </c>
      <c r="AE27" s="100"/>
      <c r="AF27" s="200">
        <v>17472</v>
      </c>
      <c r="AG27" s="85"/>
      <c r="AH27" s="85"/>
      <c r="AI27" s="180" t="s">
        <v>139</v>
      </c>
      <c r="AJ27" s="100" t="s">
        <v>421</v>
      </c>
      <c r="AK27" s="100" t="s">
        <v>424</v>
      </c>
      <c r="AL27" s="181">
        <v>10000</v>
      </c>
    </row>
    <row r="28" spans="2:38" ht="15.75" thickBot="1" x14ac:dyDescent="0.3">
      <c r="B28" s="235" t="s">
        <v>12</v>
      </c>
      <c r="C28" s="236"/>
      <c r="D28" s="93">
        <f>+SUM(D16:D27)</f>
        <v>52024</v>
      </c>
      <c r="E28" s="85"/>
      <c r="F28" s="235" t="s">
        <v>12</v>
      </c>
      <c r="G28" s="236"/>
      <c r="H28" s="93">
        <f>+SUM(H16:H27)</f>
        <v>96857</v>
      </c>
      <c r="I28" s="85"/>
      <c r="J28" s="235" t="s">
        <v>12</v>
      </c>
      <c r="K28" s="236"/>
      <c r="L28" s="93">
        <f>+SUM(L16:L27)</f>
        <v>116240</v>
      </c>
      <c r="M28" s="85"/>
      <c r="N28" s="235" t="s">
        <v>12</v>
      </c>
      <c r="O28" s="236"/>
      <c r="P28" s="93">
        <f>+SUM(P16:P27)</f>
        <v>90597</v>
      </c>
      <c r="Q28" s="85"/>
      <c r="R28" s="235" t="s">
        <v>12</v>
      </c>
      <c r="S28" s="236"/>
      <c r="T28" s="93">
        <f>+SUM(T16:T27)</f>
        <v>0</v>
      </c>
      <c r="U28" s="85"/>
      <c r="V28" s="96"/>
      <c r="W28" s="235" t="s">
        <v>12</v>
      </c>
      <c r="X28" s="236"/>
      <c r="Y28" s="93">
        <f>+SUM(Y16:Y27)</f>
        <v>355718</v>
      </c>
      <c r="Z28" s="97"/>
      <c r="AA28" s="85"/>
      <c r="AB28" s="100" t="s">
        <v>59</v>
      </c>
      <c r="AC28" s="201">
        <v>45870</v>
      </c>
      <c r="AD28" s="100" t="s">
        <v>422</v>
      </c>
      <c r="AE28" s="100" t="s">
        <v>29</v>
      </c>
      <c r="AF28" s="197">
        <v>11660</v>
      </c>
      <c r="AG28" s="85"/>
      <c r="AH28" s="85"/>
      <c r="AI28" s="166" t="s">
        <v>144</v>
      </c>
      <c r="AJ28" s="100" t="s">
        <v>374</v>
      </c>
      <c r="AK28" s="100" t="s">
        <v>428</v>
      </c>
      <c r="AL28" s="99">
        <v>3524</v>
      </c>
    </row>
    <row r="29" spans="2:38" x14ac:dyDescent="0.25">
      <c r="B29" s="85"/>
      <c r="C29" s="85"/>
      <c r="D29" s="89"/>
      <c r="E29" s="85"/>
      <c r="F29" s="85"/>
      <c r="G29" s="85"/>
      <c r="H29" s="89"/>
      <c r="I29" s="85"/>
      <c r="J29" s="85"/>
      <c r="K29" s="85"/>
      <c r="L29" s="89"/>
      <c r="M29" s="85"/>
      <c r="N29" s="85"/>
      <c r="O29" s="85"/>
      <c r="P29" s="89"/>
      <c r="Q29" s="85"/>
      <c r="R29" s="85"/>
      <c r="S29" s="85"/>
      <c r="T29" s="89"/>
      <c r="U29" s="85"/>
      <c r="V29" s="96"/>
      <c r="W29" s="100"/>
      <c r="X29" s="100"/>
      <c r="Y29" s="99"/>
      <c r="Z29" s="97"/>
      <c r="AA29" s="85"/>
      <c r="AB29" s="180" t="s">
        <v>423</v>
      </c>
      <c r="AC29" s="179">
        <v>45881</v>
      </c>
      <c r="AD29" s="180" t="s">
        <v>398</v>
      </c>
      <c r="AE29" s="100"/>
      <c r="AF29" s="181">
        <v>13397</v>
      </c>
      <c r="AG29" s="85"/>
      <c r="AH29" s="85"/>
      <c r="AI29" s="100" t="s">
        <v>72</v>
      </c>
      <c r="AJ29" s="172" t="s">
        <v>440</v>
      </c>
      <c r="AK29" s="100" t="s">
        <v>443</v>
      </c>
      <c r="AL29" s="104">
        <v>8800</v>
      </c>
    </row>
    <row r="30" spans="2:38" ht="15.75" thickBot="1" x14ac:dyDescent="0.3">
      <c r="B30" s="237" t="s">
        <v>75</v>
      </c>
      <c r="C30" s="237"/>
      <c r="D30" s="91">
        <f>+D28-D15</f>
        <v>-6249</v>
      </c>
      <c r="E30" s="85"/>
      <c r="F30" s="237" t="s">
        <v>75</v>
      </c>
      <c r="G30" s="237"/>
      <c r="H30" s="91">
        <f>+H28-H15</f>
        <v>-1368</v>
      </c>
      <c r="I30" s="85"/>
      <c r="J30" s="237" t="s">
        <v>75</v>
      </c>
      <c r="K30" s="237"/>
      <c r="L30" s="91">
        <f>+L28-L15</f>
        <v>21</v>
      </c>
      <c r="M30" s="85"/>
      <c r="N30" s="237" t="s">
        <v>75</v>
      </c>
      <c r="O30" s="237"/>
      <c r="P30" s="91">
        <f>+P28-P15</f>
        <v>0</v>
      </c>
      <c r="Q30" s="85"/>
      <c r="R30" s="237" t="s">
        <v>75</v>
      </c>
      <c r="S30" s="237"/>
      <c r="T30" s="91">
        <f>+T28-T15</f>
        <v>0</v>
      </c>
      <c r="U30" s="85"/>
      <c r="V30" s="96"/>
      <c r="W30" s="238" t="s">
        <v>75</v>
      </c>
      <c r="X30" s="238"/>
      <c r="Y30" s="126">
        <f>+Y28-Y15</f>
        <v>-7596</v>
      </c>
      <c r="Z30" s="97"/>
      <c r="AA30" s="85"/>
      <c r="AB30" s="85"/>
      <c r="AC30" s="85"/>
      <c r="AD30" s="85"/>
      <c r="AE30" s="85"/>
      <c r="AF30" s="85"/>
      <c r="AG30" s="85"/>
      <c r="AH30" s="85"/>
      <c r="AI30" s="100" t="s">
        <v>446</v>
      </c>
      <c r="AJ30" s="172" t="s">
        <v>441</v>
      </c>
      <c r="AK30" s="100" t="s">
        <v>189</v>
      </c>
      <c r="AL30" s="148">
        <v>10930</v>
      </c>
    </row>
    <row r="31" spans="2:38" ht="16.5" thickTop="1" thickBo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01"/>
      <c r="W31" s="102"/>
      <c r="X31" s="102"/>
      <c r="Y31" s="102"/>
      <c r="Z31" s="103"/>
      <c r="AA31" s="85"/>
      <c r="AB31" s="145" t="s">
        <v>74</v>
      </c>
      <c r="AC31" s="145"/>
      <c r="AD31" s="145"/>
      <c r="AE31" s="145"/>
      <c r="AF31" s="140">
        <f>+SUM(AF23:AF30)</f>
        <v>137499</v>
      </c>
      <c r="AG31" s="85"/>
      <c r="AH31" s="85"/>
      <c r="AI31" s="100" t="s">
        <v>447</v>
      </c>
      <c r="AJ31" s="172" t="s">
        <v>91</v>
      </c>
      <c r="AK31" s="100" t="s">
        <v>444</v>
      </c>
      <c r="AL31" s="197">
        <v>5522</v>
      </c>
    </row>
    <row r="32" spans="2:38" x14ac:dyDescent="0.2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100" t="s">
        <v>447</v>
      </c>
      <c r="AJ32" s="172" t="s">
        <v>98</v>
      </c>
      <c r="AK32" s="100" t="s">
        <v>368</v>
      </c>
      <c r="AL32" s="197">
        <v>14480</v>
      </c>
    </row>
    <row r="33" spans="2:38" ht="15.75" thickBo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100" t="s">
        <v>448</v>
      </c>
      <c r="AJ33" s="172" t="s">
        <v>90</v>
      </c>
      <c r="AK33" s="100" t="s">
        <v>371</v>
      </c>
      <c r="AL33" s="148">
        <v>7670</v>
      </c>
    </row>
    <row r="34" spans="2:38" x14ac:dyDescent="0.25">
      <c r="B34" s="94" t="s">
        <v>76</v>
      </c>
      <c r="C34" s="95"/>
      <c r="D34" s="105">
        <v>6249</v>
      </c>
      <c r="E34" s="85"/>
      <c r="F34" s="94" t="s">
        <v>76</v>
      </c>
      <c r="G34" s="95"/>
      <c r="H34" s="105">
        <v>1368</v>
      </c>
      <c r="I34" s="85"/>
      <c r="J34" s="94" t="s">
        <v>76</v>
      </c>
      <c r="K34" s="95"/>
      <c r="L34" s="105"/>
      <c r="M34" s="85"/>
      <c r="N34" s="94" t="s">
        <v>76</v>
      </c>
      <c r="O34" s="95"/>
      <c r="P34" s="105"/>
      <c r="Q34" s="85"/>
      <c r="R34" s="94" t="s">
        <v>76</v>
      </c>
      <c r="S34" s="95"/>
      <c r="T34" s="105"/>
      <c r="U34" s="85"/>
      <c r="V34" s="85"/>
      <c r="W34" s="127" t="s">
        <v>76</v>
      </c>
      <c r="X34" s="128"/>
      <c r="Y34" s="129">
        <f>+D34+H34+L34+P34+T34</f>
        <v>7617</v>
      </c>
      <c r="Z34" s="85"/>
      <c r="AA34" s="85"/>
      <c r="AB34" s="85"/>
      <c r="AC34" s="85"/>
      <c r="AD34" s="85"/>
      <c r="AE34" s="85"/>
      <c r="AF34" s="85"/>
      <c r="AG34" s="85"/>
      <c r="AH34" s="85"/>
      <c r="AI34" s="100" t="s">
        <v>449</v>
      </c>
      <c r="AJ34" s="172" t="s">
        <v>442</v>
      </c>
      <c r="AK34" s="100" t="s">
        <v>100</v>
      </c>
      <c r="AL34" s="148">
        <v>111400</v>
      </c>
    </row>
    <row r="35" spans="2:38" x14ac:dyDescent="0.25">
      <c r="B35" s="96" t="s">
        <v>77</v>
      </c>
      <c r="C35" s="100"/>
      <c r="D35" s="106"/>
      <c r="E35" s="85"/>
      <c r="F35" s="96" t="s">
        <v>77</v>
      </c>
      <c r="G35" s="100"/>
      <c r="H35" s="106"/>
      <c r="I35" s="85"/>
      <c r="J35" s="96" t="s">
        <v>77</v>
      </c>
      <c r="K35" s="100"/>
      <c r="L35" s="106"/>
      <c r="M35" s="85"/>
      <c r="N35" s="96" t="s">
        <v>77</v>
      </c>
      <c r="O35" s="100"/>
      <c r="P35" s="106"/>
      <c r="Q35" s="85"/>
      <c r="R35" s="96" t="s">
        <v>77</v>
      </c>
      <c r="S35" s="100"/>
      <c r="T35" s="106"/>
      <c r="U35" s="85"/>
      <c r="V35" s="85"/>
      <c r="W35" s="130" t="s">
        <v>77</v>
      </c>
      <c r="X35" s="124"/>
      <c r="Y35" s="131">
        <f t="shared" ref="Y35:Y36" si="9">+D35+H35+L35+P35+T35</f>
        <v>0</v>
      </c>
      <c r="Z35" s="85"/>
      <c r="AA35" s="85"/>
      <c r="AB35" s="85"/>
      <c r="AC35" s="85"/>
      <c r="AD35" s="85"/>
      <c r="AE35" s="85"/>
      <c r="AF35" s="85"/>
      <c r="AG35" s="85"/>
      <c r="AH35" s="85"/>
      <c r="AI35" s="100" t="s">
        <v>450</v>
      </c>
      <c r="AJ35" s="172" t="s">
        <v>120</v>
      </c>
      <c r="AK35" s="100" t="s">
        <v>445</v>
      </c>
      <c r="AL35" s="149">
        <v>11254</v>
      </c>
    </row>
    <row r="36" spans="2:38" x14ac:dyDescent="0.25">
      <c r="B36" s="96" t="s">
        <v>79</v>
      </c>
      <c r="C36" s="100"/>
      <c r="D36" s="106"/>
      <c r="E36" s="85"/>
      <c r="F36" s="96" t="s">
        <v>79</v>
      </c>
      <c r="G36" s="100"/>
      <c r="H36" s="106"/>
      <c r="I36" s="85"/>
      <c r="J36" s="96" t="s">
        <v>79</v>
      </c>
      <c r="K36" s="100"/>
      <c r="L36" s="106">
        <v>21</v>
      </c>
      <c r="M36" s="85"/>
      <c r="N36" s="96" t="s">
        <v>79</v>
      </c>
      <c r="O36" s="100"/>
      <c r="P36" s="106"/>
      <c r="Q36" s="85"/>
      <c r="R36" s="96" t="s">
        <v>82</v>
      </c>
      <c r="S36" s="100"/>
      <c r="T36" s="106"/>
      <c r="U36" s="85"/>
      <c r="V36" s="85"/>
      <c r="W36" s="130" t="s">
        <v>78</v>
      </c>
      <c r="X36" s="124"/>
      <c r="Y36" s="131">
        <f t="shared" si="9"/>
        <v>21</v>
      </c>
      <c r="Z36" s="85"/>
      <c r="AA36" s="85"/>
      <c r="AB36" s="85"/>
      <c r="AC36" s="85"/>
      <c r="AD36" s="85"/>
      <c r="AE36" s="85"/>
      <c r="AF36" s="85"/>
      <c r="AG36" s="85"/>
      <c r="AH36" s="85"/>
      <c r="AI36" s="100" t="s">
        <v>450</v>
      </c>
      <c r="AJ36" s="172" t="s">
        <v>172</v>
      </c>
      <c r="AK36" s="100" t="s">
        <v>192</v>
      </c>
      <c r="AL36" s="149">
        <v>11700</v>
      </c>
    </row>
    <row r="37" spans="2:38" x14ac:dyDescent="0.25">
      <c r="B37" s="96" t="s">
        <v>18</v>
      </c>
      <c r="C37" s="100"/>
      <c r="D37" s="106">
        <f>+SUM(D34:D36)</f>
        <v>6249</v>
      </c>
      <c r="E37" s="85"/>
      <c r="F37" s="96" t="s">
        <v>18</v>
      </c>
      <c r="G37" s="100"/>
      <c r="H37" s="106">
        <f>+SUM(H34:H36)</f>
        <v>1368</v>
      </c>
      <c r="I37" s="85"/>
      <c r="J37" s="96" t="s">
        <v>18</v>
      </c>
      <c r="K37" s="100"/>
      <c r="L37" s="106">
        <f>+SUM(L34:L36)</f>
        <v>21</v>
      </c>
      <c r="M37" s="85"/>
      <c r="N37" s="96" t="s">
        <v>18</v>
      </c>
      <c r="O37" s="100"/>
      <c r="P37" s="106">
        <f>+SUM(P34:P36)</f>
        <v>0</v>
      </c>
      <c r="Q37" s="85"/>
      <c r="R37" s="96" t="s">
        <v>18</v>
      </c>
      <c r="S37" s="100"/>
      <c r="T37" s="106">
        <f>+SUM(T34:T36)</f>
        <v>0</v>
      </c>
      <c r="U37" s="85"/>
      <c r="V37" s="85"/>
      <c r="W37" s="117" t="s">
        <v>18</v>
      </c>
      <c r="X37" s="118"/>
      <c r="Y37" s="119">
        <f>+SUM(Y34:Y36)</f>
        <v>7638</v>
      </c>
      <c r="Z37" s="85"/>
      <c r="AA37" s="85"/>
      <c r="AB37" s="85"/>
      <c r="AC37" s="85"/>
      <c r="AD37" s="85"/>
      <c r="AE37" s="85"/>
      <c r="AF37" s="85"/>
      <c r="AG37" s="85"/>
      <c r="AH37" s="85"/>
      <c r="AI37" s="100" t="s">
        <v>72</v>
      </c>
      <c r="AJ37" s="172" t="s">
        <v>239</v>
      </c>
      <c r="AK37" s="100" t="s">
        <v>368</v>
      </c>
      <c r="AL37" s="149">
        <v>8800</v>
      </c>
    </row>
    <row r="38" spans="2:38" ht="15.75" thickBot="1" x14ac:dyDescent="0.3">
      <c r="B38" s="107" t="s">
        <v>81</v>
      </c>
      <c r="C38" s="108"/>
      <c r="D38" s="109">
        <f>+D30+D37</f>
        <v>0</v>
      </c>
      <c r="E38" s="85"/>
      <c r="F38" s="107" t="s">
        <v>81</v>
      </c>
      <c r="G38" s="108"/>
      <c r="H38" s="109">
        <f>+H30+H37</f>
        <v>0</v>
      </c>
      <c r="I38" s="85"/>
      <c r="J38" s="107" t="s">
        <v>81</v>
      </c>
      <c r="K38" s="108"/>
      <c r="L38" s="109">
        <f>+L30+L37</f>
        <v>42</v>
      </c>
      <c r="M38" s="85"/>
      <c r="N38" s="107" t="s">
        <v>81</v>
      </c>
      <c r="O38" s="108"/>
      <c r="P38" s="109">
        <f>+P30+P37</f>
        <v>0</v>
      </c>
      <c r="Q38" s="85"/>
      <c r="R38" s="107" t="s">
        <v>81</v>
      </c>
      <c r="S38" s="108"/>
      <c r="T38" s="109">
        <f>+T30+T37</f>
        <v>0</v>
      </c>
      <c r="U38" s="85"/>
      <c r="V38" s="85"/>
      <c r="W38" s="107" t="s">
        <v>81</v>
      </c>
      <c r="X38" s="108"/>
      <c r="Y38" s="109">
        <f>+Y30+Y37</f>
        <v>42</v>
      </c>
      <c r="Z38" s="85"/>
      <c r="AA38" s="85"/>
      <c r="AB38" s="85"/>
      <c r="AC38" s="85"/>
      <c r="AD38" s="85"/>
      <c r="AE38" s="85"/>
      <c r="AF38" s="85"/>
      <c r="AG38" s="85"/>
      <c r="AH38" s="85"/>
      <c r="AI38" s="100" t="s">
        <v>449</v>
      </c>
      <c r="AJ38" s="172" t="s">
        <v>271</v>
      </c>
      <c r="AK38" s="100" t="s">
        <v>265</v>
      </c>
      <c r="AL38" s="149">
        <v>20410</v>
      </c>
    </row>
    <row r="39" spans="2:38" x14ac:dyDescent="0.25">
      <c r="AI39" s="100"/>
      <c r="AJ39" s="100"/>
      <c r="AK39" s="100"/>
      <c r="AL39" s="100"/>
    </row>
    <row r="40" spans="2:38" x14ac:dyDescent="0.25">
      <c r="AI40" s="100"/>
      <c r="AJ40" s="100"/>
      <c r="AK40" s="100"/>
      <c r="AL40" s="149"/>
    </row>
    <row r="41" spans="2:38" ht="15.75" thickBot="1" x14ac:dyDescent="0.3">
      <c r="AI41" s="150" t="s">
        <v>74</v>
      </c>
      <c r="AJ41" s="150"/>
      <c r="AK41" s="150"/>
      <c r="AL41" s="189">
        <f>SUM(AL23:AL40)</f>
        <v>267666</v>
      </c>
    </row>
    <row r="42" spans="2:38" ht="15.75" thickTop="1" x14ac:dyDescent="0.25"/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L40"/>
  <sheetViews>
    <sheetView tabSelected="1" topLeftCell="L4" zoomScale="80" zoomScaleNormal="80" workbookViewId="0">
      <selection activeCell="T41" sqref="T41"/>
    </sheetView>
  </sheetViews>
  <sheetFormatPr defaultRowHeight="15" x14ac:dyDescent="0.25"/>
  <cols>
    <col min="1" max="1" width="1.85546875" customWidth="1"/>
    <col min="2" max="2" width="12.140625" customWidth="1"/>
    <col min="3" max="3" width="14.28515625" customWidth="1"/>
    <col min="5" max="5" width="1.5703125" customWidth="1"/>
    <col min="6" max="7" width="12" customWidth="1"/>
    <col min="8" max="8" width="10.5703125" customWidth="1"/>
    <col min="9" max="9" width="1.85546875" customWidth="1"/>
    <col min="10" max="10" width="12.140625" customWidth="1"/>
    <col min="11" max="11" width="15.42578125" customWidth="1"/>
    <col min="13" max="13" width="2.7109375" customWidth="1"/>
    <col min="17" max="17" width="2" customWidth="1"/>
    <col min="18" max="18" width="13" bestFit="1" customWidth="1"/>
    <col min="19" max="19" width="17" bestFit="1" customWidth="1"/>
    <col min="20" max="20" width="10.5703125" bestFit="1" customWidth="1"/>
    <col min="21" max="21" width="3.28515625" customWidth="1"/>
    <col min="22" max="22" width="1.28515625" customWidth="1"/>
    <col min="25" max="25" width="9.5703125" bestFit="1" customWidth="1"/>
    <col min="26" max="26" width="0.85546875" customWidth="1"/>
    <col min="27" max="27" width="10.28515625" customWidth="1"/>
    <col min="28" max="28" width="11.140625" bestFit="1" customWidth="1"/>
    <col min="29" max="29" width="9.5703125" bestFit="1" customWidth="1"/>
    <col min="30" max="30" width="15.5703125" bestFit="1" customWidth="1"/>
    <col min="31" max="31" width="13.5703125" bestFit="1" customWidth="1"/>
    <col min="34" max="34" width="2.140625" customWidth="1"/>
    <col min="36" max="36" width="15.28515625" bestFit="1" customWidth="1"/>
    <col min="37" max="37" width="17.7109375" bestFit="1" customWidth="1"/>
  </cols>
  <sheetData>
    <row r="2" spans="2:38" ht="15.75" thickBot="1" x14ac:dyDescent="0.3"/>
    <row r="3" spans="2:38" x14ac:dyDescent="0.25">
      <c r="B3" s="240" t="s">
        <v>0</v>
      </c>
      <c r="C3" s="240"/>
      <c r="D3" s="240"/>
      <c r="E3" s="85"/>
      <c r="F3" s="240" t="s">
        <v>1</v>
      </c>
      <c r="G3" s="240"/>
      <c r="H3" s="240"/>
      <c r="I3" s="85"/>
      <c r="J3" s="240" t="s">
        <v>2</v>
      </c>
      <c r="K3" s="240"/>
      <c r="L3" s="240"/>
      <c r="M3" s="85"/>
      <c r="N3" s="240" t="s">
        <v>3</v>
      </c>
      <c r="O3" s="240"/>
      <c r="P3" s="240"/>
      <c r="Q3" s="85"/>
      <c r="R3" s="240" t="s">
        <v>4</v>
      </c>
      <c r="S3" s="240"/>
      <c r="T3" s="240"/>
      <c r="U3" s="85"/>
      <c r="V3" s="94"/>
      <c r="W3" s="244" t="s">
        <v>5</v>
      </c>
      <c r="X3" s="244"/>
      <c r="Y3" s="244"/>
      <c r="Z3" s="196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</row>
    <row r="4" spans="2:38" x14ac:dyDescent="0.25">
      <c r="B4" s="88" t="s">
        <v>6</v>
      </c>
      <c r="C4" s="88" t="s">
        <v>7</v>
      </c>
      <c r="D4" s="88" t="s">
        <v>8</v>
      </c>
      <c r="E4" s="85"/>
      <c r="F4" s="88" t="s">
        <v>6</v>
      </c>
      <c r="G4" s="88" t="s">
        <v>7</v>
      </c>
      <c r="H4" s="88" t="s">
        <v>8</v>
      </c>
      <c r="I4" s="85"/>
      <c r="J4" s="88" t="s">
        <v>6</v>
      </c>
      <c r="K4" s="88" t="s">
        <v>7</v>
      </c>
      <c r="L4" s="88" t="s">
        <v>8</v>
      </c>
      <c r="M4" s="85"/>
      <c r="N4" s="88" t="s">
        <v>6</v>
      </c>
      <c r="O4" s="88" t="s">
        <v>7</v>
      </c>
      <c r="P4" s="88" t="s">
        <v>8</v>
      </c>
      <c r="Q4" s="85"/>
      <c r="R4" s="88" t="s">
        <v>6</v>
      </c>
      <c r="S4" s="88" t="s">
        <v>7</v>
      </c>
      <c r="T4" s="88" t="s">
        <v>8</v>
      </c>
      <c r="U4" s="85"/>
      <c r="V4" s="96"/>
      <c r="W4" s="98" t="s">
        <v>6</v>
      </c>
      <c r="X4" s="98" t="s">
        <v>7</v>
      </c>
      <c r="Y4" s="98" t="s">
        <v>8</v>
      </c>
      <c r="Z4" s="97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</row>
    <row r="5" spans="2:38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/>
      <c r="H5" s="120">
        <f>+G5*F5</f>
        <v>0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/>
      <c r="T5" s="120">
        <f>+S5*R5</f>
        <v>0</v>
      </c>
      <c r="U5" s="110"/>
      <c r="V5" s="111"/>
      <c r="W5" s="122">
        <v>1</v>
      </c>
      <c r="X5" s="123">
        <f>+C5+G5+K5+O5+S5</f>
        <v>0</v>
      </c>
      <c r="Y5" s="121">
        <f>+D5+H5+L5+P5+T5</f>
        <v>0</v>
      </c>
      <c r="Z5" s="112"/>
      <c r="AA5" s="110"/>
      <c r="AB5" s="241" t="s">
        <v>9</v>
      </c>
      <c r="AC5" s="241"/>
      <c r="AD5" s="241"/>
      <c r="AE5" s="241"/>
      <c r="AF5" s="241"/>
      <c r="AG5" s="85"/>
      <c r="AH5" s="85"/>
      <c r="AI5" s="88" t="s">
        <v>6</v>
      </c>
      <c r="AJ5" s="88" t="s">
        <v>7</v>
      </c>
      <c r="AK5" s="88" t="s">
        <v>8</v>
      </c>
      <c r="AL5" s="85"/>
    </row>
    <row r="6" spans="2:38" ht="15.75" thickTop="1" x14ac:dyDescent="0.25">
      <c r="B6" s="86">
        <v>10</v>
      </c>
      <c r="C6" s="86">
        <v>424</v>
      </c>
      <c r="D6" s="120">
        <f>+C6*B6</f>
        <v>4240</v>
      </c>
      <c r="E6" s="85"/>
      <c r="F6" s="86">
        <v>10</v>
      </c>
      <c r="G6" s="86">
        <v>168</v>
      </c>
      <c r="H6" s="120">
        <f>+G6*F6</f>
        <v>1680</v>
      </c>
      <c r="I6" s="85"/>
      <c r="J6" s="86">
        <v>10</v>
      </c>
      <c r="K6" s="86">
        <v>61</v>
      </c>
      <c r="L6" s="120">
        <f>+K6*J6</f>
        <v>610</v>
      </c>
      <c r="M6" s="85"/>
      <c r="N6" s="86">
        <v>10</v>
      </c>
      <c r="O6" s="86"/>
      <c r="P6" s="120">
        <f>+O6*N6</f>
        <v>0</v>
      </c>
      <c r="Q6" s="85"/>
      <c r="R6" s="86">
        <v>10</v>
      </c>
      <c r="S6" s="86"/>
      <c r="T6" s="120">
        <f>+S6*R6</f>
        <v>0</v>
      </c>
      <c r="U6" s="85"/>
      <c r="V6" s="96"/>
      <c r="W6" s="123">
        <v>10</v>
      </c>
      <c r="X6" s="123">
        <f>+C6+G6+K6+O6+S6</f>
        <v>653</v>
      </c>
      <c r="Y6" s="121">
        <f>+D6+H6+L6+P6+T6</f>
        <v>6530</v>
      </c>
      <c r="Z6" s="97"/>
      <c r="AA6" s="85"/>
      <c r="AB6" s="85"/>
      <c r="AC6" s="85"/>
      <c r="AD6" s="85"/>
      <c r="AE6" s="85"/>
      <c r="AF6" s="85"/>
      <c r="AG6" s="85"/>
      <c r="AH6" s="85"/>
      <c r="AI6" s="113">
        <v>1</v>
      </c>
      <c r="AJ6" s="113"/>
      <c r="AK6" s="120">
        <f t="shared" ref="AK6:AK13" si="0">+AJ6*AI6</f>
        <v>0</v>
      </c>
      <c r="AL6" s="110"/>
    </row>
    <row r="7" spans="2:38" x14ac:dyDescent="0.25">
      <c r="B7" s="86">
        <v>20</v>
      </c>
      <c r="C7" s="86">
        <v>46</v>
      </c>
      <c r="D7" s="120">
        <f t="shared" ref="D7:D12" si="1">+C7*B7</f>
        <v>920</v>
      </c>
      <c r="E7" s="85"/>
      <c r="F7" s="86">
        <v>20</v>
      </c>
      <c r="G7" s="86">
        <v>11</v>
      </c>
      <c r="H7" s="120">
        <f t="shared" ref="H7:H12" si="2">+G7*F7</f>
        <v>220</v>
      </c>
      <c r="I7" s="85"/>
      <c r="J7" s="86">
        <v>20</v>
      </c>
      <c r="K7" s="86">
        <v>4</v>
      </c>
      <c r="L7" s="120">
        <f t="shared" ref="L7:L12" si="3">+K7*J7</f>
        <v>80</v>
      </c>
      <c r="M7" s="85"/>
      <c r="N7" s="86">
        <v>20</v>
      </c>
      <c r="O7" s="86"/>
      <c r="P7" s="120">
        <f t="shared" ref="P7:P12" si="4">+O7*N7</f>
        <v>0</v>
      </c>
      <c r="Q7" s="85"/>
      <c r="R7" s="86">
        <v>20</v>
      </c>
      <c r="S7" s="86"/>
      <c r="T7" s="120">
        <f t="shared" ref="T7:T12" si="5">+S7*R7</f>
        <v>0</v>
      </c>
      <c r="U7" s="85"/>
      <c r="V7" s="96"/>
      <c r="W7" s="123">
        <v>20</v>
      </c>
      <c r="X7" s="123">
        <f>+C7+G7+K7+O7+S7</f>
        <v>61</v>
      </c>
      <c r="Y7" s="121">
        <f t="shared" ref="Y7:Y12" si="6">+D7+H7+L7+P7+T7</f>
        <v>1220</v>
      </c>
      <c r="Z7" s="97"/>
      <c r="AA7" s="85"/>
      <c r="AB7" s="141" t="s">
        <v>10</v>
      </c>
      <c r="AC7" s="142">
        <f>Y13</f>
        <v>272200</v>
      </c>
      <c r="AD7" s="110"/>
      <c r="AE7" s="110"/>
      <c r="AF7" s="110"/>
      <c r="AG7" s="110"/>
      <c r="AH7" s="85"/>
      <c r="AI7" s="86">
        <v>10</v>
      </c>
      <c r="AJ7" s="86">
        <v>653</v>
      </c>
      <c r="AK7" s="120">
        <f t="shared" si="0"/>
        <v>6530</v>
      </c>
      <c r="AL7" s="85"/>
    </row>
    <row r="8" spans="2:38" x14ac:dyDescent="0.25">
      <c r="B8" s="86">
        <v>50</v>
      </c>
      <c r="C8" s="86"/>
      <c r="D8" s="120">
        <f t="shared" si="1"/>
        <v>0</v>
      </c>
      <c r="E8" s="85"/>
      <c r="F8" s="86">
        <v>50</v>
      </c>
      <c r="G8" s="86">
        <v>81</v>
      </c>
      <c r="H8" s="120">
        <f t="shared" si="2"/>
        <v>4050</v>
      </c>
      <c r="I8" s="85"/>
      <c r="J8" s="86">
        <v>50</v>
      </c>
      <c r="K8" s="86">
        <v>14</v>
      </c>
      <c r="L8" s="120">
        <f t="shared" si="3"/>
        <v>700</v>
      </c>
      <c r="M8" s="85"/>
      <c r="N8" s="86">
        <v>50</v>
      </c>
      <c r="O8" s="86"/>
      <c r="P8" s="120">
        <f t="shared" si="4"/>
        <v>0</v>
      </c>
      <c r="Q8" s="85"/>
      <c r="R8" s="86">
        <v>50</v>
      </c>
      <c r="S8" s="86">
        <v>118</v>
      </c>
      <c r="T8" s="120">
        <f t="shared" si="5"/>
        <v>5900</v>
      </c>
      <c r="U8" s="85"/>
      <c r="V8" s="96"/>
      <c r="W8" s="123">
        <v>50</v>
      </c>
      <c r="X8" s="123">
        <f t="shared" ref="X8:X12" si="7">+C8+G8+K8+O8+S8</f>
        <v>213</v>
      </c>
      <c r="Y8" s="121">
        <f t="shared" si="6"/>
        <v>10650</v>
      </c>
      <c r="Z8" s="97"/>
      <c r="AA8" s="85"/>
      <c r="AB8" s="138" t="s">
        <v>11</v>
      </c>
      <c r="AC8" s="138">
        <f>+AF31</f>
        <v>15800</v>
      </c>
      <c r="AD8" s="85"/>
      <c r="AE8" s="85"/>
      <c r="AF8" s="85"/>
      <c r="AG8" s="85"/>
      <c r="AH8" s="85"/>
      <c r="AI8" s="86">
        <v>20</v>
      </c>
      <c r="AJ8" s="86">
        <v>61</v>
      </c>
      <c r="AK8" s="120">
        <f t="shared" si="0"/>
        <v>1220</v>
      </c>
      <c r="AL8" s="85"/>
    </row>
    <row r="9" spans="2:38" ht="15.75" thickBot="1" x14ac:dyDescent="0.3">
      <c r="B9" s="86">
        <v>100</v>
      </c>
      <c r="C9" s="86">
        <v>3</v>
      </c>
      <c r="D9" s="120">
        <f t="shared" si="1"/>
        <v>300</v>
      </c>
      <c r="E9" s="85"/>
      <c r="F9" s="86">
        <v>100</v>
      </c>
      <c r="G9" s="86">
        <v>139</v>
      </c>
      <c r="H9" s="120">
        <f t="shared" si="2"/>
        <v>13900</v>
      </c>
      <c r="I9" s="85"/>
      <c r="J9" s="86">
        <v>100</v>
      </c>
      <c r="K9" s="86">
        <v>25</v>
      </c>
      <c r="L9" s="120">
        <f t="shared" si="3"/>
        <v>2500</v>
      </c>
      <c r="M9" s="85"/>
      <c r="N9" s="86">
        <v>100</v>
      </c>
      <c r="O9" s="86"/>
      <c r="P9" s="120">
        <f t="shared" si="4"/>
        <v>0</v>
      </c>
      <c r="Q9" s="85"/>
      <c r="R9" s="86">
        <v>100</v>
      </c>
      <c r="S9" s="86">
        <v>11</v>
      </c>
      <c r="T9" s="120">
        <f t="shared" si="5"/>
        <v>1100</v>
      </c>
      <c r="U9" s="85"/>
      <c r="V9" s="96"/>
      <c r="W9" s="123">
        <v>100</v>
      </c>
      <c r="X9" s="123">
        <f t="shared" si="7"/>
        <v>178</v>
      </c>
      <c r="Y9" s="121">
        <f t="shared" si="6"/>
        <v>17800</v>
      </c>
      <c r="Z9" s="97"/>
      <c r="AA9" s="85"/>
      <c r="AB9" s="143" t="s">
        <v>12</v>
      </c>
      <c r="AC9" s="144">
        <f>SUM(AC7:AC8)</f>
        <v>288000</v>
      </c>
      <c r="AD9" s="85"/>
      <c r="AE9" s="85"/>
      <c r="AF9" s="85"/>
      <c r="AG9" s="85"/>
      <c r="AH9" s="85"/>
      <c r="AI9" s="86">
        <v>50</v>
      </c>
      <c r="AJ9" s="86">
        <v>215</v>
      </c>
      <c r="AK9" s="120">
        <f t="shared" si="0"/>
        <v>10750</v>
      </c>
      <c r="AL9" s="85"/>
    </row>
    <row r="10" spans="2:38" x14ac:dyDescent="0.25">
      <c r="B10" s="86">
        <v>500</v>
      </c>
      <c r="C10" s="86">
        <v>23</v>
      </c>
      <c r="D10" s="120">
        <f t="shared" si="1"/>
        <v>11500</v>
      </c>
      <c r="E10" s="85"/>
      <c r="F10" s="86">
        <v>500</v>
      </c>
      <c r="G10" s="86">
        <v>52</v>
      </c>
      <c r="H10" s="120">
        <f t="shared" si="2"/>
        <v>26000</v>
      </c>
      <c r="I10" s="85"/>
      <c r="J10" s="86">
        <v>500</v>
      </c>
      <c r="K10" s="86">
        <v>15</v>
      </c>
      <c r="L10" s="120">
        <f t="shared" si="3"/>
        <v>7500</v>
      </c>
      <c r="M10" s="85"/>
      <c r="N10" s="86">
        <v>500</v>
      </c>
      <c r="O10" s="86"/>
      <c r="P10" s="120">
        <f t="shared" si="4"/>
        <v>0</v>
      </c>
      <c r="Q10" s="85"/>
      <c r="R10" s="86">
        <v>500</v>
      </c>
      <c r="S10" s="86">
        <v>50</v>
      </c>
      <c r="T10" s="120">
        <f t="shared" si="5"/>
        <v>25000</v>
      </c>
      <c r="U10" s="85"/>
      <c r="V10" s="96"/>
      <c r="W10" s="123">
        <v>500</v>
      </c>
      <c r="X10" s="123">
        <f t="shared" si="7"/>
        <v>140</v>
      </c>
      <c r="Y10" s="121">
        <f t="shared" si="6"/>
        <v>70000</v>
      </c>
      <c r="Z10" s="97"/>
      <c r="AA10" s="85"/>
      <c r="AB10" s="85"/>
      <c r="AC10" s="85"/>
      <c r="AD10" s="85"/>
      <c r="AE10" s="85"/>
      <c r="AF10" s="85"/>
      <c r="AG10" s="85"/>
      <c r="AH10" s="85"/>
      <c r="AI10" s="86">
        <v>100</v>
      </c>
      <c r="AJ10" s="71">
        <f>117+3</f>
        <v>120</v>
      </c>
      <c r="AK10" s="120">
        <f t="shared" si="0"/>
        <v>12000</v>
      </c>
      <c r="AL10" s="85"/>
    </row>
    <row r="11" spans="2:38" x14ac:dyDescent="0.25">
      <c r="B11" s="86">
        <v>1000</v>
      </c>
      <c r="C11" s="86">
        <v>23</v>
      </c>
      <c r="D11" s="120">
        <f t="shared" si="1"/>
        <v>23000</v>
      </c>
      <c r="E11" s="85"/>
      <c r="F11" s="86">
        <v>1000</v>
      </c>
      <c r="G11" s="86">
        <v>67</v>
      </c>
      <c r="H11" s="120">
        <f t="shared" si="2"/>
        <v>67000</v>
      </c>
      <c r="I11" s="85"/>
      <c r="J11" s="86">
        <v>1000</v>
      </c>
      <c r="K11" s="86">
        <v>18</v>
      </c>
      <c r="L11" s="120">
        <f t="shared" si="3"/>
        <v>18000</v>
      </c>
      <c r="M11" s="85"/>
      <c r="N11" s="86">
        <v>1000</v>
      </c>
      <c r="O11" s="86"/>
      <c r="P11" s="120">
        <f t="shared" si="4"/>
        <v>0</v>
      </c>
      <c r="Q11" s="85"/>
      <c r="R11" s="86">
        <v>1000</v>
      </c>
      <c r="S11" s="86">
        <v>3</v>
      </c>
      <c r="T11" s="120">
        <f t="shared" si="5"/>
        <v>3000</v>
      </c>
      <c r="U11" s="85"/>
      <c r="V11" s="96"/>
      <c r="W11" s="123">
        <v>1000</v>
      </c>
      <c r="X11" s="123">
        <f t="shared" si="7"/>
        <v>111</v>
      </c>
      <c r="Y11" s="121">
        <f t="shared" si="6"/>
        <v>111000</v>
      </c>
      <c r="Z11" s="97"/>
      <c r="AA11" s="85"/>
      <c r="AB11" s="132" t="s">
        <v>13</v>
      </c>
      <c r="AC11" s="132" t="s">
        <v>8</v>
      </c>
      <c r="AD11" s="132" t="s">
        <v>14</v>
      </c>
      <c r="AE11" s="132" t="s">
        <v>15</v>
      </c>
      <c r="AF11" s="132" t="s">
        <v>16</v>
      </c>
      <c r="AG11" s="85"/>
      <c r="AH11" s="85"/>
      <c r="AI11" s="86">
        <v>500</v>
      </c>
      <c r="AJ11" s="71">
        <f>141+12</f>
        <v>153</v>
      </c>
      <c r="AK11" s="120">
        <f t="shared" si="0"/>
        <v>76500</v>
      </c>
      <c r="AL11" s="85"/>
    </row>
    <row r="12" spans="2:38" x14ac:dyDescent="0.25">
      <c r="B12" s="86">
        <v>5000</v>
      </c>
      <c r="C12" s="86">
        <v>4</v>
      </c>
      <c r="D12" s="120">
        <f t="shared" si="1"/>
        <v>20000</v>
      </c>
      <c r="E12" s="85"/>
      <c r="F12" s="86">
        <v>5000</v>
      </c>
      <c r="G12" s="86"/>
      <c r="H12" s="120">
        <f t="shared" si="2"/>
        <v>0</v>
      </c>
      <c r="I12" s="85"/>
      <c r="J12" s="86">
        <v>5000</v>
      </c>
      <c r="K12" s="86">
        <v>7</v>
      </c>
      <c r="L12" s="120">
        <f t="shared" si="3"/>
        <v>35000</v>
      </c>
      <c r="M12" s="85"/>
      <c r="N12" s="86">
        <v>5000</v>
      </c>
      <c r="O12" s="86"/>
      <c r="P12" s="120">
        <f t="shared" si="4"/>
        <v>0</v>
      </c>
      <c r="Q12" s="85"/>
      <c r="R12" s="86">
        <v>5000</v>
      </c>
      <c r="S12" s="86"/>
      <c r="T12" s="120">
        <f t="shared" si="5"/>
        <v>0</v>
      </c>
      <c r="U12" s="85"/>
      <c r="V12" s="96"/>
      <c r="W12" s="123">
        <v>5000</v>
      </c>
      <c r="X12" s="123">
        <f t="shared" si="7"/>
        <v>11</v>
      </c>
      <c r="Y12" s="121">
        <f t="shared" si="6"/>
        <v>55000</v>
      </c>
      <c r="Z12" s="97"/>
      <c r="AA12" s="85"/>
      <c r="AB12" s="85" t="s">
        <v>17</v>
      </c>
      <c r="AC12" s="89">
        <v>275120</v>
      </c>
      <c r="AD12" s="85">
        <v>75513</v>
      </c>
      <c r="AE12" s="137" t="s">
        <v>532</v>
      </c>
      <c r="AF12" s="85" t="s">
        <v>534</v>
      </c>
      <c r="AG12" s="85"/>
      <c r="AH12" s="85"/>
      <c r="AI12" s="86">
        <v>1000</v>
      </c>
      <c r="AJ12" s="86">
        <v>111</v>
      </c>
      <c r="AK12" s="120">
        <f t="shared" si="0"/>
        <v>111000</v>
      </c>
      <c r="AL12" s="85"/>
    </row>
    <row r="13" spans="2:38" ht="15.75" thickBot="1" x14ac:dyDescent="0.3">
      <c r="B13" s="87" t="s">
        <v>18</v>
      </c>
      <c r="C13" s="87"/>
      <c r="D13" s="90">
        <f>+SUM(D5:D12)</f>
        <v>59960</v>
      </c>
      <c r="E13" s="85"/>
      <c r="F13" s="87" t="s">
        <v>18</v>
      </c>
      <c r="G13" s="87"/>
      <c r="H13" s="90">
        <f>+SUM(H5:H12)</f>
        <v>112850</v>
      </c>
      <c r="I13" s="85"/>
      <c r="J13" s="87" t="s">
        <v>18</v>
      </c>
      <c r="K13" s="87"/>
      <c r="L13" s="90">
        <f>+SUM(L5:L12)</f>
        <v>64390</v>
      </c>
      <c r="M13" s="85"/>
      <c r="N13" s="87" t="s">
        <v>18</v>
      </c>
      <c r="O13" s="87"/>
      <c r="P13" s="90">
        <f>+SUM(P5:P12)</f>
        <v>0</v>
      </c>
      <c r="Q13" s="85"/>
      <c r="R13" s="87" t="s">
        <v>18</v>
      </c>
      <c r="S13" s="87"/>
      <c r="T13" s="90">
        <f>+SUM(T5:T12)</f>
        <v>35000</v>
      </c>
      <c r="U13" s="85"/>
      <c r="V13" s="96"/>
      <c r="W13" s="87" t="s">
        <v>18</v>
      </c>
      <c r="X13" s="87"/>
      <c r="Y13" s="90">
        <f>+SUM(Y5:Y12)</f>
        <v>272200</v>
      </c>
      <c r="Z13" s="97"/>
      <c r="AA13" s="85"/>
      <c r="AB13" s="85" t="s">
        <v>19</v>
      </c>
      <c r="AC13" s="89">
        <v>12830</v>
      </c>
      <c r="AD13" s="85"/>
      <c r="AE13" s="85"/>
      <c r="AF13" s="85"/>
      <c r="AG13" s="85"/>
      <c r="AH13" s="85"/>
      <c r="AI13" s="86">
        <v>5000</v>
      </c>
      <c r="AJ13" s="86">
        <v>14</v>
      </c>
      <c r="AK13" s="120">
        <f t="shared" si="0"/>
        <v>70000</v>
      </c>
      <c r="AL13" s="85"/>
    </row>
    <row r="14" spans="2:38" ht="15.75" thickBot="1" x14ac:dyDescent="0.3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96"/>
      <c r="W14" s="100"/>
      <c r="X14" s="100"/>
      <c r="Y14" s="100"/>
      <c r="Z14" s="97"/>
      <c r="AA14" s="85"/>
      <c r="AB14" s="85" t="s">
        <v>20</v>
      </c>
      <c r="AC14" s="89"/>
      <c r="AD14" s="85"/>
      <c r="AE14" s="85"/>
      <c r="AF14" s="85"/>
      <c r="AG14" s="85"/>
      <c r="AH14" s="85"/>
      <c r="AI14" s="87" t="s">
        <v>18</v>
      </c>
      <c r="AJ14" s="87"/>
      <c r="AK14" s="90">
        <f>+SUM(AK6:AK13)</f>
        <v>288000</v>
      </c>
      <c r="AL14" s="85"/>
    </row>
    <row r="15" spans="2:38" ht="15.75" thickBot="1" x14ac:dyDescent="0.3">
      <c r="B15" s="242" t="s">
        <v>21</v>
      </c>
      <c r="C15" s="243"/>
      <c r="D15" s="92">
        <v>87463</v>
      </c>
      <c r="E15" s="114"/>
      <c r="F15" s="242" t="s">
        <v>21</v>
      </c>
      <c r="G15" s="243"/>
      <c r="H15" s="92">
        <v>137226</v>
      </c>
      <c r="I15" s="114"/>
      <c r="J15" s="242" t="s">
        <v>21</v>
      </c>
      <c r="K15" s="243"/>
      <c r="L15" s="92">
        <v>72773</v>
      </c>
      <c r="M15" s="114"/>
      <c r="N15" s="242" t="s">
        <v>21</v>
      </c>
      <c r="O15" s="243"/>
      <c r="P15" s="92"/>
      <c r="Q15" s="114"/>
      <c r="R15" s="242" t="s">
        <v>21</v>
      </c>
      <c r="S15" s="243"/>
      <c r="T15" s="92">
        <v>697324</v>
      </c>
      <c r="U15" s="114"/>
      <c r="V15" s="115"/>
      <c r="W15" s="242" t="s">
        <v>21</v>
      </c>
      <c r="X15" s="243"/>
      <c r="Y15" s="92">
        <f>+D15+H15+L15+P15+T15</f>
        <v>994786</v>
      </c>
      <c r="Z15" s="116"/>
      <c r="AA15" s="114"/>
      <c r="AB15" s="85" t="s">
        <v>22</v>
      </c>
      <c r="AC15" s="85"/>
      <c r="AD15" s="85"/>
      <c r="AE15" s="85"/>
      <c r="AF15" s="85"/>
      <c r="AG15" s="85"/>
      <c r="AH15" s="85"/>
      <c r="AI15" s="85"/>
      <c r="AJ15" s="85"/>
      <c r="AK15" s="85"/>
      <c r="AL15" s="85"/>
    </row>
    <row r="16" spans="2:38" x14ac:dyDescent="0.25">
      <c r="B16" s="85" t="s">
        <v>10</v>
      </c>
      <c r="C16" s="85"/>
      <c r="D16" s="89">
        <f>+D13</f>
        <v>59960</v>
      </c>
      <c r="E16" s="85"/>
      <c r="F16" s="85" t="s">
        <v>10</v>
      </c>
      <c r="G16" s="85"/>
      <c r="H16" s="89">
        <f>+H13</f>
        <v>112850</v>
      </c>
      <c r="I16" s="85"/>
      <c r="J16" s="85" t="s">
        <v>10</v>
      </c>
      <c r="K16" s="85"/>
      <c r="L16" s="89">
        <f>+L13</f>
        <v>64390</v>
      </c>
      <c r="M16" s="85"/>
      <c r="N16" s="85" t="s">
        <v>10</v>
      </c>
      <c r="O16" s="85"/>
      <c r="P16" s="89">
        <f>+P13</f>
        <v>0</v>
      </c>
      <c r="Q16" s="85"/>
      <c r="R16" s="85" t="s">
        <v>10</v>
      </c>
      <c r="S16" s="85"/>
      <c r="T16" s="89">
        <f>+T13</f>
        <v>35000</v>
      </c>
      <c r="U16" s="85"/>
      <c r="V16" s="96"/>
      <c r="W16" s="124" t="s">
        <v>10</v>
      </c>
      <c r="X16" s="124"/>
      <c r="Y16" s="121">
        <f>+D16+H16+L16+P16+T16</f>
        <v>272200</v>
      </c>
      <c r="Z16" s="97"/>
      <c r="AA16" s="85"/>
      <c r="AB16" s="85" t="s">
        <v>23</v>
      </c>
      <c r="AC16" s="89"/>
      <c r="AD16" s="85"/>
      <c r="AE16" s="85"/>
      <c r="AF16" s="85"/>
      <c r="AG16" s="85"/>
      <c r="AH16" s="85"/>
      <c r="AI16" s="85"/>
      <c r="AJ16" s="85"/>
      <c r="AK16" s="85"/>
      <c r="AL16" s="85"/>
    </row>
    <row r="17" spans="2:38" x14ac:dyDescent="0.25">
      <c r="B17" s="85" t="s">
        <v>17</v>
      </c>
      <c r="C17" s="85"/>
      <c r="D17" s="89"/>
      <c r="E17" s="85"/>
      <c r="F17" s="85" t="s">
        <v>17</v>
      </c>
      <c r="G17" s="85"/>
      <c r="H17" s="89"/>
      <c r="I17" s="85"/>
      <c r="J17" s="85" t="s">
        <v>17</v>
      </c>
      <c r="K17" s="85"/>
      <c r="L17" s="89"/>
      <c r="M17" s="85"/>
      <c r="N17" s="85" t="s">
        <v>17</v>
      </c>
      <c r="O17" s="85"/>
      <c r="P17" s="89"/>
      <c r="Q17" s="85"/>
      <c r="R17" s="85" t="s">
        <v>17</v>
      </c>
      <c r="S17" s="85"/>
      <c r="T17" s="89"/>
      <c r="U17" s="85"/>
      <c r="V17" s="96"/>
      <c r="W17" s="124" t="s">
        <v>17</v>
      </c>
      <c r="X17" s="124"/>
      <c r="Y17" s="121">
        <f t="shared" ref="Y17:Y27" si="8">+D17+H17+L17+P17+T17</f>
        <v>0</v>
      </c>
      <c r="Z17" s="97"/>
      <c r="AA17" s="85"/>
      <c r="AB17" s="133" t="s">
        <v>12</v>
      </c>
      <c r="AC17" s="134">
        <f>+SUM(AC12:AC16)</f>
        <v>287950</v>
      </c>
      <c r="AD17" s="160"/>
      <c r="AE17" s="85"/>
      <c r="AF17" s="85"/>
      <c r="AG17" s="85"/>
      <c r="AH17" s="85"/>
      <c r="AI17" s="85"/>
      <c r="AJ17" s="85"/>
      <c r="AK17" s="85"/>
      <c r="AL17" s="85"/>
    </row>
    <row r="18" spans="2:38" x14ac:dyDescent="0.25">
      <c r="B18" s="85" t="s">
        <v>272</v>
      </c>
      <c r="C18" s="85" t="s">
        <v>453</v>
      </c>
      <c r="D18" s="89">
        <v>5600</v>
      </c>
      <c r="E18" s="85"/>
      <c r="F18" s="85" t="s">
        <v>272</v>
      </c>
      <c r="G18" s="85" t="s">
        <v>471</v>
      </c>
      <c r="H18" s="89">
        <v>15200</v>
      </c>
      <c r="I18" s="85"/>
      <c r="J18" s="85" t="s">
        <v>342</v>
      </c>
      <c r="K18" s="85" t="s">
        <v>456</v>
      </c>
      <c r="L18" s="89">
        <v>6031</v>
      </c>
      <c r="M18" s="85"/>
      <c r="N18" s="85" t="s">
        <v>26</v>
      </c>
      <c r="O18" s="85"/>
      <c r="P18" s="89"/>
      <c r="Q18" s="85"/>
      <c r="R18" s="85" t="s">
        <v>251</v>
      </c>
      <c r="S18" s="85" t="s">
        <v>484</v>
      </c>
      <c r="T18" s="89">
        <v>14540</v>
      </c>
      <c r="U18" s="85"/>
      <c r="V18" s="96"/>
      <c r="W18" s="124" t="s">
        <v>26</v>
      </c>
      <c r="X18" s="124"/>
      <c r="Y18" s="121">
        <f t="shared" si="8"/>
        <v>41371</v>
      </c>
      <c r="Z18" s="97"/>
      <c r="AA18" s="85"/>
      <c r="AB18" s="135" t="s">
        <v>32</v>
      </c>
      <c r="AC18" s="136">
        <f>+AC17-AC9</f>
        <v>-50</v>
      </c>
      <c r="AD18" s="85" t="s">
        <v>33</v>
      </c>
      <c r="AE18" s="85"/>
      <c r="AF18" s="85"/>
      <c r="AG18" s="85"/>
      <c r="AH18" s="85"/>
      <c r="AI18" s="85"/>
      <c r="AJ18" s="85"/>
      <c r="AK18" s="85"/>
      <c r="AL18" s="85"/>
    </row>
    <row r="19" spans="2:38" x14ac:dyDescent="0.25">
      <c r="B19" s="85" t="s">
        <v>272</v>
      </c>
      <c r="C19" s="85" t="s">
        <v>457</v>
      </c>
      <c r="D19" s="89">
        <v>14969</v>
      </c>
      <c r="E19" s="85"/>
      <c r="F19" s="85" t="s">
        <v>472</v>
      </c>
      <c r="G19" s="85" t="s">
        <v>473</v>
      </c>
      <c r="H19" s="89">
        <v>8700</v>
      </c>
      <c r="I19" s="85"/>
      <c r="J19" s="85" t="s">
        <v>27</v>
      </c>
      <c r="K19" s="85"/>
      <c r="L19" s="89"/>
      <c r="M19" s="85"/>
      <c r="N19" s="85" t="s">
        <v>34</v>
      </c>
      <c r="O19" s="85"/>
      <c r="P19" s="89"/>
      <c r="Q19" s="85"/>
      <c r="R19" s="85" t="s">
        <v>251</v>
      </c>
      <c r="S19" s="85" t="s">
        <v>485</v>
      </c>
      <c r="T19" s="89">
        <v>47012</v>
      </c>
      <c r="U19" s="85"/>
      <c r="V19" s="96"/>
      <c r="W19" s="124" t="s">
        <v>34</v>
      </c>
      <c r="X19" s="124"/>
      <c r="Y19" s="121">
        <f t="shared" si="8"/>
        <v>70681</v>
      </c>
      <c r="Z19" s="97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</row>
    <row r="20" spans="2:38" x14ac:dyDescent="0.25">
      <c r="B20" s="85" t="s">
        <v>36</v>
      </c>
      <c r="C20" s="85"/>
      <c r="D20" s="89"/>
      <c r="E20" s="85"/>
      <c r="F20" s="85" t="s">
        <v>36</v>
      </c>
      <c r="G20" s="85"/>
      <c r="H20" s="89"/>
      <c r="I20" s="85"/>
      <c r="J20" s="85" t="s">
        <v>36</v>
      </c>
      <c r="K20" s="85"/>
      <c r="L20" s="89"/>
      <c r="M20" s="85"/>
      <c r="N20" s="85" t="s">
        <v>36</v>
      </c>
      <c r="O20" s="85"/>
      <c r="P20" s="89"/>
      <c r="Q20" s="85"/>
      <c r="R20" s="85" t="s">
        <v>36</v>
      </c>
      <c r="S20" s="85"/>
      <c r="T20" s="89"/>
      <c r="U20" s="85"/>
      <c r="V20" s="96"/>
      <c r="W20" s="124" t="s">
        <v>36</v>
      </c>
      <c r="X20" s="124"/>
      <c r="Y20" s="121">
        <f t="shared" si="8"/>
        <v>0</v>
      </c>
      <c r="Z20" s="97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</row>
    <row r="21" spans="2:38" x14ac:dyDescent="0.25">
      <c r="B21" s="85"/>
      <c r="C21" s="85"/>
      <c r="D21" s="89"/>
      <c r="E21" s="85"/>
      <c r="F21" s="85"/>
      <c r="G21" s="85"/>
      <c r="H21" s="89"/>
      <c r="I21" s="85"/>
      <c r="J21" s="85" t="s">
        <v>285</v>
      </c>
      <c r="K21" s="85"/>
      <c r="L21" s="89"/>
      <c r="M21" s="85"/>
      <c r="N21" s="85"/>
      <c r="O21" s="85"/>
      <c r="P21" s="89"/>
      <c r="Q21" s="85"/>
      <c r="R21" s="85"/>
      <c r="S21" s="85"/>
      <c r="T21" s="89"/>
      <c r="U21" s="85"/>
      <c r="V21" s="96"/>
      <c r="W21" s="124"/>
      <c r="X21" s="124"/>
      <c r="Y21" s="121">
        <f t="shared" si="8"/>
        <v>0</v>
      </c>
      <c r="Z21" s="97"/>
      <c r="AA21" s="85"/>
      <c r="AB21" s="245" t="s">
        <v>37</v>
      </c>
      <c r="AC21" s="245"/>
      <c r="AD21" s="245"/>
      <c r="AE21" s="245"/>
      <c r="AF21" s="245"/>
      <c r="AG21" s="85"/>
      <c r="AH21" s="85"/>
      <c r="AI21" s="245" t="s">
        <v>38</v>
      </c>
      <c r="AJ21" s="245"/>
      <c r="AK21" s="245"/>
      <c r="AL21" s="245"/>
    </row>
    <row r="22" spans="2:38" x14ac:dyDescent="0.25">
      <c r="B22" s="85"/>
      <c r="C22" s="85"/>
      <c r="D22" s="89"/>
      <c r="E22" s="85"/>
      <c r="F22" s="85"/>
      <c r="G22" s="85"/>
      <c r="H22" s="89"/>
      <c r="I22" s="85"/>
      <c r="J22" s="85"/>
      <c r="K22" s="85"/>
      <c r="L22" s="89"/>
      <c r="M22" s="85"/>
      <c r="N22" s="85"/>
      <c r="O22" s="85"/>
      <c r="P22" s="89"/>
      <c r="Q22" s="85"/>
      <c r="R22" s="85" t="s">
        <v>474</v>
      </c>
      <c r="S22" s="85" t="s">
        <v>475</v>
      </c>
      <c r="T22" s="89">
        <v>128207</v>
      </c>
      <c r="U22" s="85"/>
      <c r="V22" s="96"/>
      <c r="W22" s="124"/>
      <c r="X22" s="124"/>
      <c r="Y22" s="121">
        <f t="shared" si="8"/>
        <v>128207</v>
      </c>
      <c r="Z22" s="97"/>
      <c r="AA22" s="85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G22" s="85"/>
      <c r="AH22" s="85"/>
      <c r="AI22" s="132" t="s">
        <v>41</v>
      </c>
      <c r="AJ22" s="132" t="s">
        <v>45</v>
      </c>
      <c r="AK22" s="132" t="s">
        <v>43</v>
      </c>
      <c r="AL22" s="132" t="s">
        <v>8</v>
      </c>
    </row>
    <row r="23" spans="2:38" x14ac:dyDescent="0.25">
      <c r="B23" s="85" t="s">
        <v>454</v>
      </c>
      <c r="C23" s="85" t="s">
        <v>455</v>
      </c>
      <c r="D23" s="89">
        <v>7312</v>
      </c>
      <c r="E23" s="85"/>
      <c r="F23" s="85" t="s">
        <v>46</v>
      </c>
      <c r="G23" s="85"/>
      <c r="H23" s="89"/>
      <c r="I23" s="85"/>
      <c r="J23" s="85" t="s">
        <v>458</v>
      </c>
      <c r="K23" s="85" t="s">
        <v>270</v>
      </c>
      <c r="L23" s="89">
        <v>3206</v>
      </c>
      <c r="M23" s="85"/>
      <c r="N23" s="85" t="s">
        <v>240</v>
      </c>
      <c r="O23" s="85"/>
      <c r="P23" s="89"/>
      <c r="Q23" s="85"/>
      <c r="R23" s="85" t="s">
        <v>476</v>
      </c>
      <c r="S23" s="85" t="s">
        <v>275</v>
      </c>
      <c r="T23" s="89">
        <v>256564</v>
      </c>
      <c r="U23" s="85"/>
      <c r="V23" s="96"/>
      <c r="W23" s="124" t="s">
        <v>46</v>
      </c>
      <c r="X23" s="124"/>
      <c r="Y23" s="121">
        <f t="shared" si="8"/>
        <v>267082</v>
      </c>
      <c r="Z23" s="97"/>
      <c r="AA23" s="85"/>
      <c r="AB23" s="100" t="s">
        <v>59</v>
      </c>
      <c r="AC23" s="167">
        <v>45868</v>
      </c>
      <c r="AD23" s="166" t="s">
        <v>451</v>
      </c>
      <c r="AE23" s="100"/>
      <c r="AF23" s="149">
        <v>15800</v>
      </c>
      <c r="AG23" s="85"/>
      <c r="AH23" s="85"/>
      <c r="AI23" s="100" t="s">
        <v>72</v>
      </c>
      <c r="AJ23" s="100" t="s">
        <v>452</v>
      </c>
      <c r="AK23" s="100" t="s">
        <v>415</v>
      </c>
      <c r="AL23" s="148">
        <v>27840</v>
      </c>
    </row>
    <row r="24" spans="2:38" x14ac:dyDescent="0.25">
      <c r="B24" s="85" t="s">
        <v>54</v>
      </c>
      <c r="C24" s="85"/>
      <c r="D24" s="89"/>
      <c r="E24" s="85"/>
      <c r="F24" s="85" t="s">
        <v>54</v>
      </c>
      <c r="G24" s="85"/>
      <c r="H24" s="89"/>
      <c r="I24" s="85"/>
      <c r="J24" s="85" t="s">
        <v>54</v>
      </c>
      <c r="K24" s="85"/>
      <c r="L24" s="89"/>
      <c r="M24" s="85"/>
      <c r="N24" s="85" t="s">
        <v>240</v>
      </c>
      <c r="O24" s="85"/>
      <c r="P24" s="89"/>
      <c r="Q24" s="85"/>
      <c r="R24" s="85" t="s">
        <v>477</v>
      </c>
      <c r="S24" s="85" t="s">
        <v>417</v>
      </c>
      <c r="T24" s="89">
        <v>71492</v>
      </c>
      <c r="U24" s="85"/>
      <c r="V24" s="96"/>
      <c r="W24" s="124" t="s">
        <v>54</v>
      </c>
      <c r="X24" s="124"/>
      <c r="Y24" s="121">
        <f t="shared" si="8"/>
        <v>71492</v>
      </c>
      <c r="Z24" s="97"/>
      <c r="AA24" s="85"/>
      <c r="AB24" s="85"/>
      <c r="AC24" s="85"/>
      <c r="AD24" s="85"/>
      <c r="AE24" s="85"/>
      <c r="AF24" s="85"/>
      <c r="AG24" s="85"/>
      <c r="AH24" s="85"/>
      <c r="AI24" s="100" t="s">
        <v>70</v>
      </c>
      <c r="AJ24" s="166" t="s">
        <v>459</v>
      </c>
      <c r="AK24" s="100" t="s">
        <v>462</v>
      </c>
      <c r="AL24" s="148">
        <v>8450</v>
      </c>
    </row>
    <row r="25" spans="2:38" x14ac:dyDescent="0.25">
      <c r="B25" s="85" t="s">
        <v>61</v>
      </c>
      <c r="C25" s="85"/>
      <c r="D25" s="89"/>
      <c r="E25" s="85"/>
      <c r="F25" s="85" t="s">
        <v>61</v>
      </c>
      <c r="G25" s="85"/>
      <c r="H25" s="89"/>
      <c r="I25" s="85"/>
      <c r="J25" s="85" t="s">
        <v>61</v>
      </c>
      <c r="K25" s="85"/>
      <c r="L25" s="89"/>
      <c r="M25" s="85"/>
      <c r="N25" s="85" t="s">
        <v>240</v>
      </c>
      <c r="O25" s="85"/>
      <c r="P25" s="89"/>
      <c r="Q25" s="85"/>
      <c r="R25" s="85" t="s">
        <v>478</v>
      </c>
      <c r="S25" s="85" t="s">
        <v>479</v>
      </c>
      <c r="T25" s="89">
        <v>10985</v>
      </c>
      <c r="U25" s="85"/>
      <c r="V25" s="96"/>
      <c r="W25" s="124" t="s">
        <v>61</v>
      </c>
      <c r="X25" s="124"/>
      <c r="Y25" s="121">
        <f t="shared" si="8"/>
        <v>10985</v>
      </c>
      <c r="Z25" s="97"/>
      <c r="AA25" s="85"/>
      <c r="AB25" s="85"/>
      <c r="AC25" s="85"/>
      <c r="AD25" s="85"/>
      <c r="AE25" s="85"/>
      <c r="AF25" s="85"/>
      <c r="AG25" s="85"/>
      <c r="AH25" s="85"/>
      <c r="AI25" s="100" t="s">
        <v>59</v>
      </c>
      <c r="AJ25" s="166" t="s">
        <v>35</v>
      </c>
      <c r="AK25" s="100" t="s">
        <v>463</v>
      </c>
      <c r="AL25" s="197">
        <v>8634</v>
      </c>
    </row>
    <row r="26" spans="2:38" x14ac:dyDescent="0.25">
      <c r="B26" s="85"/>
      <c r="C26" s="85"/>
      <c r="D26" s="89"/>
      <c r="E26" s="85"/>
      <c r="F26" s="85"/>
      <c r="G26" s="85"/>
      <c r="H26" s="89"/>
      <c r="I26" s="85"/>
      <c r="J26" s="85"/>
      <c r="K26" s="85"/>
      <c r="L26" s="89"/>
      <c r="M26" s="85"/>
      <c r="N26" s="85"/>
      <c r="O26" s="85"/>
      <c r="P26" s="89"/>
      <c r="Q26" s="85"/>
      <c r="R26" s="85" t="s">
        <v>480</v>
      </c>
      <c r="S26" s="85" t="s">
        <v>481</v>
      </c>
      <c r="T26" s="89">
        <v>69642</v>
      </c>
      <c r="U26" s="85"/>
      <c r="V26" s="96"/>
      <c r="W26" s="124"/>
      <c r="X26" s="124"/>
      <c r="Y26" s="121">
        <f t="shared" si="8"/>
        <v>69642</v>
      </c>
      <c r="Z26" s="97"/>
      <c r="AA26" s="85"/>
      <c r="AB26" s="85"/>
      <c r="AC26" s="85"/>
      <c r="AD26" s="85"/>
      <c r="AE26" s="85"/>
      <c r="AF26" s="104"/>
      <c r="AG26" s="85"/>
      <c r="AH26" s="85"/>
      <c r="AI26" s="100" t="s">
        <v>72</v>
      </c>
      <c r="AJ26" s="166" t="s">
        <v>460</v>
      </c>
      <c r="AK26" s="100" t="s">
        <v>263</v>
      </c>
      <c r="AL26" s="148">
        <v>200000</v>
      </c>
    </row>
    <row r="27" spans="2:38" ht="15.75" thickBot="1" x14ac:dyDescent="0.3">
      <c r="B27" s="85"/>
      <c r="C27" s="85"/>
      <c r="D27" s="89"/>
      <c r="E27" s="85"/>
      <c r="F27" s="85"/>
      <c r="G27" s="85"/>
      <c r="H27" s="89"/>
      <c r="I27" s="85"/>
      <c r="J27" s="85"/>
      <c r="K27" s="85"/>
      <c r="L27" s="89"/>
      <c r="M27" s="85"/>
      <c r="N27" s="85"/>
      <c r="O27" s="85"/>
      <c r="P27" s="89"/>
      <c r="Q27" s="85"/>
      <c r="R27" s="85" t="s">
        <v>482</v>
      </c>
      <c r="S27" s="85" t="s">
        <v>483</v>
      </c>
      <c r="T27" s="89">
        <v>62243</v>
      </c>
      <c r="U27" s="85"/>
      <c r="V27" s="96"/>
      <c r="W27" s="124"/>
      <c r="X27" s="124"/>
      <c r="Y27" s="121">
        <f t="shared" si="8"/>
        <v>62243</v>
      </c>
      <c r="Z27" s="97"/>
      <c r="AA27" s="85"/>
      <c r="AB27" s="85"/>
      <c r="AC27" s="85"/>
      <c r="AD27" s="85"/>
      <c r="AE27" s="85"/>
      <c r="AF27" s="85"/>
      <c r="AG27" s="85"/>
      <c r="AH27" s="85"/>
      <c r="AI27" s="100" t="s">
        <v>139</v>
      </c>
      <c r="AJ27" s="166" t="s">
        <v>119</v>
      </c>
      <c r="AK27" s="100" t="s">
        <v>464</v>
      </c>
      <c r="AL27" s="100">
        <v>4435</v>
      </c>
    </row>
    <row r="28" spans="2:38" ht="15.75" thickBot="1" x14ac:dyDescent="0.3">
      <c r="B28" s="235" t="s">
        <v>12</v>
      </c>
      <c r="C28" s="236"/>
      <c r="D28" s="93">
        <f>+SUM(D16:D27)</f>
        <v>87841</v>
      </c>
      <c r="E28" s="85"/>
      <c r="F28" s="235" t="s">
        <v>12</v>
      </c>
      <c r="G28" s="236"/>
      <c r="H28" s="93">
        <f>+SUM(H16:H27)</f>
        <v>136750</v>
      </c>
      <c r="I28" s="85"/>
      <c r="J28" s="235" t="s">
        <v>12</v>
      </c>
      <c r="K28" s="236"/>
      <c r="L28" s="93">
        <f>+SUM(L16:L27)</f>
        <v>73627</v>
      </c>
      <c r="M28" s="85"/>
      <c r="N28" s="235" t="s">
        <v>12</v>
      </c>
      <c r="O28" s="236"/>
      <c r="P28" s="93">
        <f>+SUM(P16:P27)</f>
        <v>0</v>
      </c>
      <c r="Q28" s="85"/>
      <c r="R28" s="235" t="s">
        <v>12</v>
      </c>
      <c r="S28" s="236"/>
      <c r="T28" s="93">
        <f>+SUM(T16:T27)</f>
        <v>695685</v>
      </c>
      <c r="U28" s="85"/>
      <c r="V28" s="96"/>
      <c r="W28" s="235" t="s">
        <v>12</v>
      </c>
      <c r="X28" s="236"/>
      <c r="Y28" s="93">
        <f>+SUM(Y16:Y27)</f>
        <v>993903</v>
      </c>
      <c r="Z28" s="97"/>
      <c r="AA28" s="85"/>
      <c r="AB28" s="85"/>
      <c r="AC28" s="85"/>
      <c r="AD28" s="85"/>
      <c r="AE28" s="85"/>
      <c r="AF28" s="85"/>
      <c r="AG28" s="85"/>
      <c r="AH28" s="85"/>
      <c r="AI28" s="100" t="s">
        <v>59</v>
      </c>
      <c r="AJ28" s="166" t="s">
        <v>174</v>
      </c>
      <c r="AK28" s="100" t="s">
        <v>465</v>
      </c>
      <c r="AL28" s="149">
        <v>9400</v>
      </c>
    </row>
    <row r="29" spans="2:38" x14ac:dyDescent="0.25">
      <c r="B29" s="85"/>
      <c r="C29" s="85"/>
      <c r="D29" s="89"/>
      <c r="E29" s="85"/>
      <c r="F29" s="85"/>
      <c r="G29" s="85"/>
      <c r="H29" s="89"/>
      <c r="I29" s="85"/>
      <c r="J29" s="85"/>
      <c r="K29" s="85"/>
      <c r="L29" s="89"/>
      <c r="M29" s="85"/>
      <c r="N29" s="85"/>
      <c r="O29" s="85"/>
      <c r="P29" s="89"/>
      <c r="Q29" s="85"/>
      <c r="R29" s="85"/>
      <c r="S29" s="85"/>
      <c r="T29" s="89"/>
      <c r="U29" s="85"/>
      <c r="V29" s="96"/>
      <c r="W29" s="100"/>
      <c r="X29" s="100"/>
      <c r="Y29" s="99"/>
      <c r="Z29" s="97"/>
      <c r="AA29" s="85"/>
      <c r="AB29" s="85"/>
      <c r="AC29" s="85"/>
      <c r="AD29" s="85"/>
      <c r="AE29" s="85"/>
      <c r="AF29" s="85"/>
      <c r="AG29" s="85"/>
      <c r="AH29" s="85"/>
      <c r="AI29" s="100" t="s">
        <v>139</v>
      </c>
      <c r="AJ29" s="166" t="s">
        <v>177</v>
      </c>
      <c r="AK29" s="100" t="s">
        <v>466</v>
      </c>
      <c r="AL29" s="149">
        <v>5267</v>
      </c>
    </row>
    <row r="30" spans="2:38" ht="15.75" thickBot="1" x14ac:dyDescent="0.3">
      <c r="B30" s="237" t="s">
        <v>75</v>
      </c>
      <c r="C30" s="237"/>
      <c r="D30" s="91">
        <f>+D28-D15</f>
        <v>378</v>
      </c>
      <c r="E30" s="85"/>
      <c r="F30" s="237" t="s">
        <v>75</v>
      </c>
      <c r="G30" s="237"/>
      <c r="H30" s="91">
        <f>+H28-H15</f>
        <v>-476</v>
      </c>
      <c r="I30" s="85"/>
      <c r="J30" s="237" t="s">
        <v>75</v>
      </c>
      <c r="K30" s="237"/>
      <c r="L30" s="91">
        <f>+L28-L15</f>
        <v>854</v>
      </c>
      <c r="M30" s="85"/>
      <c r="N30" s="237" t="s">
        <v>75</v>
      </c>
      <c r="O30" s="237"/>
      <c r="P30" s="91">
        <f>+P28-P15</f>
        <v>0</v>
      </c>
      <c r="Q30" s="85"/>
      <c r="R30" s="237" t="s">
        <v>75</v>
      </c>
      <c r="S30" s="237"/>
      <c r="T30" s="91">
        <f>+T28-T15</f>
        <v>-1639</v>
      </c>
      <c r="U30" s="85"/>
      <c r="V30" s="96"/>
      <c r="W30" s="238" t="s">
        <v>75</v>
      </c>
      <c r="X30" s="238"/>
      <c r="Y30" s="126">
        <f>+Y28-Y15</f>
        <v>-883</v>
      </c>
      <c r="Z30" s="97"/>
      <c r="AA30" s="85"/>
      <c r="AB30" s="85"/>
      <c r="AC30" s="85"/>
      <c r="AD30" s="85"/>
      <c r="AE30" s="85"/>
      <c r="AF30" s="85"/>
      <c r="AG30" s="85"/>
      <c r="AH30" s="85"/>
      <c r="AI30" s="100" t="s">
        <v>59</v>
      </c>
      <c r="AJ30" s="166" t="s">
        <v>461</v>
      </c>
      <c r="AK30" s="100" t="s">
        <v>409</v>
      </c>
      <c r="AL30" s="149">
        <v>6600</v>
      </c>
    </row>
    <row r="31" spans="2:38" ht="16.5" thickTop="1" thickBo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01"/>
      <c r="W31" s="102"/>
      <c r="X31" s="102"/>
      <c r="Y31" s="102"/>
      <c r="Z31" s="103"/>
      <c r="AA31" s="85"/>
      <c r="AB31" s="145" t="s">
        <v>74</v>
      </c>
      <c r="AC31" s="145"/>
      <c r="AD31" s="145"/>
      <c r="AE31" s="145"/>
      <c r="AF31" s="140">
        <f>+SUM(AF23:AF30)</f>
        <v>15800</v>
      </c>
      <c r="AG31" s="85"/>
      <c r="AH31" s="85"/>
      <c r="AI31" s="100" t="s">
        <v>59</v>
      </c>
      <c r="AJ31" s="166" t="s">
        <v>228</v>
      </c>
      <c r="AK31" s="100" t="s">
        <v>467</v>
      </c>
      <c r="AL31" s="149">
        <v>5140</v>
      </c>
    </row>
    <row r="32" spans="2:38" x14ac:dyDescent="0.2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100" t="s">
        <v>139</v>
      </c>
      <c r="AJ32" s="166" t="s">
        <v>266</v>
      </c>
      <c r="AK32" s="100" t="s">
        <v>468</v>
      </c>
      <c r="AL32" s="99">
        <v>7500</v>
      </c>
    </row>
    <row r="33" spans="2:38" ht="15.75" thickBo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100" t="s">
        <v>139</v>
      </c>
      <c r="AJ33" s="166" t="s">
        <v>267</v>
      </c>
      <c r="AK33" s="100" t="s">
        <v>469</v>
      </c>
      <c r="AL33" s="202">
        <v>13300</v>
      </c>
    </row>
    <row r="34" spans="2:38" x14ac:dyDescent="0.25">
      <c r="B34" s="94" t="s">
        <v>76</v>
      </c>
      <c r="C34" s="95"/>
      <c r="D34" s="105"/>
      <c r="E34" s="85"/>
      <c r="F34" s="94" t="s">
        <v>76</v>
      </c>
      <c r="G34" s="95"/>
      <c r="H34" s="105">
        <v>476</v>
      </c>
      <c r="I34" s="85"/>
      <c r="J34" s="94" t="s">
        <v>76</v>
      </c>
      <c r="K34" s="95"/>
      <c r="L34" s="105"/>
      <c r="M34" s="85"/>
      <c r="N34" s="94" t="s">
        <v>76</v>
      </c>
      <c r="O34" s="95"/>
      <c r="P34" s="105"/>
      <c r="Q34" s="85"/>
      <c r="R34" s="96" t="s">
        <v>151</v>
      </c>
      <c r="S34" s="95"/>
      <c r="T34" s="105">
        <v>710</v>
      </c>
      <c r="U34" s="85"/>
      <c r="V34" s="85"/>
      <c r="W34" s="127" t="s">
        <v>76</v>
      </c>
      <c r="X34" s="128"/>
      <c r="Y34" s="129">
        <f>+D34+H34+L34+P34+T34</f>
        <v>1186</v>
      </c>
      <c r="Z34" s="85"/>
      <c r="AA34" s="85"/>
      <c r="AB34" s="85"/>
      <c r="AC34" s="85"/>
      <c r="AD34" s="85"/>
      <c r="AE34" s="85"/>
      <c r="AF34" s="85"/>
      <c r="AG34" s="85"/>
      <c r="AH34" s="85"/>
      <c r="AI34" s="100" t="s">
        <v>70</v>
      </c>
      <c r="AJ34" s="166" t="s">
        <v>323</v>
      </c>
      <c r="AK34" s="100" t="s">
        <v>470</v>
      </c>
      <c r="AL34" s="99">
        <v>4000</v>
      </c>
    </row>
    <row r="35" spans="2:38" ht="18.75" x14ac:dyDescent="0.3">
      <c r="B35" s="96" t="s">
        <v>77</v>
      </c>
      <c r="C35" s="100"/>
      <c r="D35" s="106"/>
      <c r="E35" s="85"/>
      <c r="F35" s="96" t="s">
        <v>77</v>
      </c>
      <c r="G35" s="100"/>
      <c r="H35" s="106"/>
      <c r="I35" s="85"/>
      <c r="J35" s="96" t="s">
        <v>77</v>
      </c>
      <c r="K35" s="100"/>
      <c r="L35" s="106"/>
      <c r="M35" s="85"/>
      <c r="N35" s="96" t="s">
        <v>77</v>
      </c>
      <c r="O35" s="100"/>
      <c r="P35" s="106"/>
      <c r="Q35" s="85"/>
      <c r="R35" s="96" t="s">
        <v>151</v>
      </c>
      <c r="S35" s="100"/>
      <c r="T35" s="106">
        <v>1429</v>
      </c>
      <c r="U35" s="85"/>
      <c r="V35" s="85"/>
      <c r="W35" s="130" t="s">
        <v>77</v>
      </c>
      <c r="X35" s="124"/>
      <c r="Y35" s="131">
        <f t="shared" ref="Y35:Y36" si="9">+D35+H35+L35+P35+T35</f>
        <v>1429</v>
      </c>
      <c r="Z35" s="85"/>
      <c r="AA35" s="85"/>
      <c r="AB35" s="85"/>
      <c r="AC35" s="85"/>
      <c r="AD35" s="206" t="s">
        <v>530</v>
      </c>
      <c r="AE35" s="85"/>
      <c r="AF35" s="85"/>
      <c r="AG35" s="85"/>
      <c r="AH35" s="85"/>
      <c r="AI35" s="85"/>
      <c r="AJ35" s="85"/>
      <c r="AK35" s="85"/>
      <c r="AL35" s="85"/>
    </row>
    <row r="36" spans="2:38" ht="15.75" thickBot="1" x14ac:dyDescent="0.3">
      <c r="B36" s="96" t="s">
        <v>79</v>
      </c>
      <c r="C36" s="100"/>
      <c r="D36" s="106">
        <v>-378</v>
      </c>
      <c r="E36" s="85"/>
      <c r="F36" s="96" t="s">
        <v>79</v>
      </c>
      <c r="G36" s="100"/>
      <c r="H36" s="106"/>
      <c r="I36" s="85"/>
      <c r="J36" s="96" t="s">
        <v>79</v>
      </c>
      <c r="K36" s="100"/>
      <c r="L36" s="106">
        <v>-854</v>
      </c>
      <c r="M36" s="85"/>
      <c r="N36" s="96" t="s">
        <v>79</v>
      </c>
      <c r="O36" s="100"/>
      <c r="P36" s="106"/>
      <c r="Q36" s="85"/>
      <c r="R36" s="96" t="s">
        <v>79</v>
      </c>
      <c r="S36" s="100"/>
      <c r="T36" s="106">
        <v>-500</v>
      </c>
      <c r="U36" s="85"/>
      <c r="V36" s="85"/>
      <c r="W36" s="130" t="s">
        <v>78</v>
      </c>
      <c r="X36" s="124"/>
      <c r="Y36" s="131">
        <f t="shared" si="9"/>
        <v>-1732</v>
      </c>
      <c r="Z36" s="85"/>
      <c r="AA36" s="85"/>
      <c r="AB36" s="85"/>
      <c r="AC36" s="85"/>
      <c r="AD36" s="85"/>
      <c r="AE36" s="85"/>
      <c r="AF36" s="85"/>
      <c r="AG36" s="85"/>
      <c r="AH36" s="85"/>
      <c r="AI36" s="145" t="s">
        <v>74</v>
      </c>
      <c r="AJ36" s="145"/>
      <c r="AK36" s="145"/>
      <c r="AL36" s="176">
        <f>+SUM(AL23:AL35)</f>
        <v>300566</v>
      </c>
    </row>
    <row r="37" spans="2:38" ht="15.75" thickTop="1" x14ac:dyDescent="0.25">
      <c r="B37" s="96" t="s">
        <v>18</v>
      </c>
      <c r="C37" s="100"/>
      <c r="D37" s="106">
        <f>+SUM(D34:D36)</f>
        <v>-378</v>
      </c>
      <c r="E37" s="85"/>
      <c r="F37" s="96" t="s">
        <v>18</v>
      </c>
      <c r="G37" s="100"/>
      <c r="H37" s="106">
        <f>+SUM(H34:H36)</f>
        <v>476</v>
      </c>
      <c r="I37" s="85"/>
      <c r="J37" s="96" t="s">
        <v>18</v>
      </c>
      <c r="K37" s="100"/>
      <c r="L37" s="106">
        <f>+SUM(L34:L36)</f>
        <v>-854</v>
      </c>
      <c r="M37" s="85"/>
      <c r="N37" s="96" t="s">
        <v>18</v>
      </c>
      <c r="O37" s="100"/>
      <c r="P37" s="106">
        <f>+SUM(P34:P36)</f>
        <v>0</v>
      </c>
      <c r="Q37" s="85"/>
      <c r="R37" s="96" t="s">
        <v>18</v>
      </c>
      <c r="S37" s="100"/>
      <c r="T37" s="106">
        <f>+SUM(T34:T36)</f>
        <v>1639</v>
      </c>
      <c r="U37" s="85"/>
      <c r="V37" s="85"/>
      <c r="W37" s="117" t="s">
        <v>18</v>
      </c>
      <c r="X37" s="118"/>
      <c r="Y37" s="119">
        <f>+SUM(Y34:Y36)</f>
        <v>883</v>
      </c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</row>
    <row r="38" spans="2:38" ht="15.75" thickBot="1" x14ac:dyDescent="0.3">
      <c r="B38" s="107" t="s">
        <v>81</v>
      </c>
      <c r="C38" s="108"/>
      <c r="D38" s="109">
        <f>+D30+D37</f>
        <v>0</v>
      </c>
      <c r="E38" s="85"/>
      <c r="F38" s="107" t="s">
        <v>81</v>
      </c>
      <c r="G38" s="108"/>
      <c r="H38" s="109">
        <f>+H30+H37</f>
        <v>0</v>
      </c>
      <c r="I38" s="85"/>
      <c r="J38" s="107" t="s">
        <v>81</v>
      </c>
      <c r="K38" s="108"/>
      <c r="L38" s="109">
        <f>+L30+L37</f>
        <v>0</v>
      </c>
      <c r="M38" s="85"/>
      <c r="N38" s="107" t="s">
        <v>81</v>
      </c>
      <c r="O38" s="108"/>
      <c r="P38" s="109">
        <f>+P30+P37</f>
        <v>0</v>
      </c>
      <c r="Q38" s="85"/>
      <c r="R38" s="107" t="s">
        <v>81</v>
      </c>
      <c r="S38" s="108"/>
      <c r="T38" s="109">
        <f>+T30+T37</f>
        <v>0</v>
      </c>
      <c r="U38" s="85"/>
      <c r="V38" s="85"/>
      <c r="W38" s="107" t="s">
        <v>81</v>
      </c>
      <c r="X38" s="108"/>
      <c r="Y38" s="109">
        <f>+Y30+Y37</f>
        <v>0</v>
      </c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</row>
    <row r="39" spans="2:38" x14ac:dyDescent="0.25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</row>
    <row r="40" spans="2:38" x14ac:dyDescent="0.25"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</row>
  </sheetData>
  <mergeCells count="27">
    <mergeCell ref="AB5:AF5"/>
    <mergeCell ref="AB21:AF21"/>
    <mergeCell ref="AI21:AL21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40"/>
  <sheetViews>
    <sheetView topLeftCell="M4" zoomScale="80" zoomScaleNormal="80" workbookViewId="0">
      <selection activeCell="Y41" sqref="Y41"/>
    </sheetView>
  </sheetViews>
  <sheetFormatPr defaultRowHeight="15" x14ac:dyDescent="0.25"/>
  <cols>
    <col min="1" max="1" width="1.85546875" customWidth="1"/>
    <col min="2" max="2" width="13.5703125" bestFit="1" customWidth="1"/>
    <col min="3" max="3" width="14.140625" bestFit="1" customWidth="1"/>
    <col min="5" max="5" width="0.85546875" customWidth="1"/>
    <col min="6" max="6" width="12.7109375" customWidth="1"/>
    <col min="7" max="7" width="13.7109375" customWidth="1"/>
    <col min="8" max="8" width="9.5703125" bestFit="1" customWidth="1"/>
    <col min="9" max="9" width="1.5703125" customWidth="1"/>
    <col min="10" max="10" width="15.140625" bestFit="1" customWidth="1"/>
    <col min="13" max="13" width="0.85546875" customWidth="1"/>
    <col min="14" max="14" width="13.5703125" bestFit="1" customWidth="1"/>
    <col min="15" max="15" width="14.140625" bestFit="1" customWidth="1"/>
    <col min="16" max="16" width="9.5703125" bestFit="1" customWidth="1"/>
    <col min="17" max="17" width="1.5703125" customWidth="1"/>
    <col min="18" max="18" width="13" bestFit="1" customWidth="1"/>
    <col min="19" max="19" width="14.140625" bestFit="1" customWidth="1"/>
    <col min="20" max="20" width="11.140625" bestFit="1" customWidth="1"/>
    <col min="21" max="21" width="0.85546875" customWidth="1"/>
    <col min="22" max="22" width="1.5703125" customWidth="1"/>
    <col min="25" max="25" width="11.28515625" customWidth="1"/>
    <col min="26" max="26" width="1.140625" customWidth="1"/>
    <col min="27" max="27" width="9.140625" customWidth="1"/>
    <col min="28" max="28" width="19.85546875" bestFit="1" customWidth="1"/>
    <col min="29" max="29" width="10.7109375" customWidth="1"/>
    <col min="30" max="30" width="18.42578125" bestFit="1" customWidth="1"/>
    <col min="33" max="33" width="6.5703125" customWidth="1"/>
    <col min="34" max="34" width="9.140625" hidden="1" customWidth="1"/>
    <col min="35" max="35" width="12.5703125" customWidth="1"/>
    <col min="36" max="36" width="13.7109375" bestFit="1" customWidth="1"/>
    <col min="37" max="37" width="19.140625" bestFit="1" customWidth="1"/>
  </cols>
  <sheetData>
    <row r="2" spans="2:38" ht="15.75" thickBot="1" x14ac:dyDescent="0.3"/>
    <row r="3" spans="2:38" x14ac:dyDescent="0.25">
      <c r="B3" s="240" t="s">
        <v>0</v>
      </c>
      <c r="C3" s="240"/>
      <c r="D3" s="240"/>
      <c r="E3" s="85"/>
      <c r="F3" s="240" t="s">
        <v>86</v>
      </c>
      <c r="G3" s="240"/>
      <c r="H3" s="240"/>
      <c r="I3" s="85"/>
      <c r="J3" s="240" t="s">
        <v>2</v>
      </c>
      <c r="K3" s="240"/>
      <c r="L3" s="240"/>
      <c r="M3" s="85"/>
      <c r="N3" s="240" t="s">
        <v>3</v>
      </c>
      <c r="O3" s="240"/>
      <c r="P3" s="240"/>
      <c r="Q3" s="85"/>
      <c r="R3" s="240" t="s">
        <v>4</v>
      </c>
      <c r="S3" s="240"/>
      <c r="T3" s="240"/>
      <c r="U3" s="85"/>
      <c r="V3" s="94"/>
      <c r="W3" s="244" t="s">
        <v>5</v>
      </c>
      <c r="X3" s="244"/>
      <c r="Y3" s="244"/>
      <c r="Z3" s="196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</row>
    <row r="4" spans="2:38" x14ac:dyDescent="0.25">
      <c r="B4" s="88" t="s">
        <v>6</v>
      </c>
      <c r="C4" s="88" t="s">
        <v>7</v>
      </c>
      <c r="D4" s="88" t="s">
        <v>8</v>
      </c>
      <c r="E4" s="85"/>
      <c r="F4" s="88" t="s">
        <v>6</v>
      </c>
      <c r="G4" s="88" t="s">
        <v>7</v>
      </c>
      <c r="H4" s="88" t="s">
        <v>8</v>
      </c>
      <c r="I4" s="85"/>
      <c r="J4" s="88" t="s">
        <v>6</v>
      </c>
      <c r="K4" s="88" t="s">
        <v>7</v>
      </c>
      <c r="L4" s="88" t="s">
        <v>8</v>
      </c>
      <c r="M4" s="85"/>
      <c r="N4" s="88" t="s">
        <v>6</v>
      </c>
      <c r="O4" s="88" t="s">
        <v>7</v>
      </c>
      <c r="P4" s="88" t="s">
        <v>8</v>
      </c>
      <c r="Q4" s="85"/>
      <c r="R4" s="88" t="s">
        <v>6</v>
      </c>
      <c r="S4" s="88" t="s">
        <v>7</v>
      </c>
      <c r="T4" s="88" t="s">
        <v>8</v>
      </c>
      <c r="U4" s="85"/>
      <c r="V4" s="96"/>
      <c r="W4" s="98" t="s">
        <v>6</v>
      </c>
      <c r="X4" s="98" t="s">
        <v>7</v>
      </c>
      <c r="Y4" s="98" t="s">
        <v>8</v>
      </c>
      <c r="Z4" s="97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</row>
    <row r="5" spans="2:38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>
        <v>44</v>
      </c>
      <c r="H5" s="120">
        <f>+G5*F5</f>
        <v>44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/>
      <c r="T5" s="120">
        <f>+S5*R5</f>
        <v>0</v>
      </c>
      <c r="U5" s="110"/>
      <c r="V5" s="111"/>
      <c r="W5" s="122">
        <v>1</v>
      </c>
      <c r="X5" s="123">
        <f>+C5+G5+K5+O5+S5</f>
        <v>44</v>
      </c>
      <c r="Y5" s="121">
        <f>+D5+H5+L5+P5+T5</f>
        <v>44</v>
      </c>
      <c r="Z5" s="112"/>
      <c r="AA5" s="110"/>
      <c r="AB5" s="241" t="s">
        <v>9</v>
      </c>
      <c r="AC5" s="241"/>
      <c r="AD5" s="241"/>
      <c r="AE5" s="241"/>
      <c r="AF5" s="241"/>
      <c r="AG5" s="85"/>
      <c r="AH5" s="85"/>
      <c r="AI5" s="88" t="s">
        <v>6</v>
      </c>
      <c r="AJ5" s="88" t="s">
        <v>7</v>
      </c>
      <c r="AK5" s="88" t="s">
        <v>8</v>
      </c>
      <c r="AL5" s="85"/>
    </row>
    <row r="6" spans="2:38" ht="15.75" thickTop="1" x14ac:dyDescent="0.25">
      <c r="B6" s="86">
        <v>10</v>
      </c>
      <c r="C6" s="86">
        <v>101</v>
      </c>
      <c r="D6" s="120">
        <f>+C6*B6</f>
        <v>1010</v>
      </c>
      <c r="E6" s="85"/>
      <c r="F6" s="86">
        <v>10</v>
      </c>
      <c r="G6" s="86">
        <v>24</v>
      </c>
      <c r="H6" s="120">
        <f>+G6*F6</f>
        <v>240</v>
      </c>
      <c r="I6" s="85"/>
      <c r="J6" s="86">
        <v>10</v>
      </c>
      <c r="K6" s="86">
        <v>21</v>
      </c>
      <c r="L6" s="120">
        <f>+K6*J6</f>
        <v>210</v>
      </c>
      <c r="M6" s="85"/>
      <c r="N6" s="86">
        <v>10</v>
      </c>
      <c r="O6" s="86">
        <v>408</v>
      </c>
      <c r="P6" s="120">
        <f>+O6*N6</f>
        <v>4080</v>
      </c>
      <c r="Q6" s="85"/>
      <c r="R6" s="86">
        <v>10</v>
      </c>
      <c r="S6" s="86"/>
      <c r="T6" s="120">
        <f>+S6*R6</f>
        <v>0</v>
      </c>
      <c r="U6" s="85"/>
      <c r="V6" s="96"/>
      <c r="W6" s="123">
        <v>10</v>
      </c>
      <c r="X6" s="123">
        <f>+C6+G6+K6+O6+S6</f>
        <v>554</v>
      </c>
      <c r="Y6" s="121">
        <f>+D6+H6+L6+P6+T6</f>
        <v>5540</v>
      </c>
      <c r="Z6" s="97"/>
      <c r="AA6" s="85"/>
      <c r="AB6" s="85"/>
      <c r="AC6" s="85"/>
      <c r="AD6" s="85"/>
      <c r="AE6" s="85"/>
      <c r="AF6" s="85"/>
      <c r="AG6" s="85"/>
      <c r="AH6" s="85"/>
      <c r="AI6" s="113">
        <v>1</v>
      </c>
      <c r="AJ6" s="113"/>
      <c r="AK6" s="120">
        <f t="shared" ref="AK6:AK13" si="0">+AJ6*AI6</f>
        <v>0</v>
      </c>
      <c r="AL6" s="110"/>
    </row>
    <row r="7" spans="2:38" x14ac:dyDescent="0.25">
      <c r="B7" s="86">
        <v>20</v>
      </c>
      <c r="C7" s="86">
        <v>8</v>
      </c>
      <c r="D7" s="120">
        <f t="shared" ref="D7:D12" si="1">+C7*B7</f>
        <v>160</v>
      </c>
      <c r="E7" s="85"/>
      <c r="F7" s="86">
        <v>20</v>
      </c>
      <c r="G7" s="86">
        <v>11</v>
      </c>
      <c r="H7" s="120">
        <f t="shared" ref="H7:H12" si="2">+G7*F7</f>
        <v>220</v>
      </c>
      <c r="I7" s="85"/>
      <c r="J7" s="86">
        <v>20</v>
      </c>
      <c r="K7" s="86">
        <v>1</v>
      </c>
      <c r="L7" s="120">
        <f t="shared" ref="L7:L12" si="3">+K7*J7</f>
        <v>20</v>
      </c>
      <c r="M7" s="85"/>
      <c r="N7" s="86">
        <v>20</v>
      </c>
      <c r="O7" s="86">
        <v>60</v>
      </c>
      <c r="P7" s="120">
        <f t="shared" ref="P7:P12" si="4">+O7*N7</f>
        <v>1200</v>
      </c>
      <c r="Q7" s="85"/>
      <c r="R7" s="86">
        <v>20</v>
      </c>
      <c r="S7" s="86"/>
      <c r="T7" s="120">
        <f t="shared" ref="T7:T12" si="5">+S7*R7</f>
        <v>0</v>
      </c>
      <c r="U7" s="85"/>
      <c r="V7" s="96"/>
      <c r="W7" s="123">
        <v>20</v>
      </c>
      <c r="X7" s="123">
        <f>+C7+G7+K7+O7+S7</f>
        <v>80</v>
      </c>
      <c r="Y7" s="121">
        <f t="shared" ref="Y7:Y12" si="6">+D7+H7+L7+P7+T7</f>
        <v>1600</v>
      </c>
      <c r="Z7" s="97"/>
      <c r="AA7" s="85"/>
      <c r="AB7" s="141" t="s">
        <v>10</v>
      </c>
      <c r="AC7" s="142">
        <f>Y13</f>
        <v>370084</v>
      </c>
      <c r="AD7" s="110"/>
      <c r="AE7" s="110"/>
      <c r="AF7" s="110"/>
      <c r="AG7" s="110"/>
      <c r="AH7" s="85"/>
      <c r="AI7" s="86">
        <v>10</v>
      </c>
      <c r="AJ7" s="86"/>
      <c r="AK7" s="120">
        <f t="shared" si="0"/>
        <v>0</v>
      </c>
      <c r="AL7" s="85"/>
    </row>
    <row r="8" spans="2:38" x14ac:dyDescent="0.25">
      <c r="B8" s="86">
        <v>50</v>
      </c>
      <c r="C8" s="86">
        <v>36</v>
      </c>
      <c r="D8" s="120">
        <f t="shared" si="1"/>
        <v>1800</v>
      </c>
      <c r="E8" s="85"/>
      <c r="F8" s="86">
        <v>50</v>
      </c>
      <c r="G8" s="86">
        <v>23</v>
      </c>
      <c r="H8" s="120">
        <f t="shared" si="2"/>
        <v>1150</v>
      </c>
      <c r="I8" s="85"/>
      <c r="J8" s="86">
        <v>50</v>
      </c>
      <c r="K8" s="86">
        <v>21</v>
      </c>
      <c r="L8" s="120">
        <f t="shared" si="3"/>
        <v>1050</v>
      </c>
      <c r="M8" s="85"/>
      <c r="N8" s="86">
        <v>50</v>
      </c>
      <c r="O8" s="86">
        <v>176</v>
      </c>
      <c r="P8" s="120">
        <f t="shared" si="4"/>
        <v>8800</v>
      </c>
      <c r="Q8" s="85"/>
      <c r="R8" s="86">
        <v>50</v>
      </c>
      <c r="S8" s="86"/>
      <c r="T8" s="120">
        <f t="shared" si="5"/>
        <v>0</v>
      </c>
      <c r="U8" s="85"/>
      <c r="V8" s="96"/>
      <c r="W8" s="123">
        <v>50</v>
      </c>
      <c r="X8" s="123">
        <f t="shared" ref="X8:X12" si="7">+C8+G8+K8+O8+S8</f>
        <v>256</v>
      </c>
      <c r="Y8" s="121">
        <f t="shared" si="6"/>
        <v>12800</v>
      </c>
      <c r="Z8" s="97"/>
      <c r="AA8" s="85"/>
      <c r="AB8" s="138" t="s">
        <v>11</v>
      </c>
      <c r="AC8" s="138">
        <f>+AF31</f>
        <v>31706</v>
      </c>
      <c r="AD8" s="85"/>
      <c r="AE8" s="85"/>
      <c r="AF8" s="85"/>
      <c r="AG8" s="85"/>
      <c r="AH8" s="85"/>
      <c r="AI8" s="86">
        <v>20</v>
      </c>
      <c r="AJ8" s="86"/>
      <c r="AK8" s="120">
        <f t="shared" si="0"/>
        <v>0</v>
      </c>
      <c r="AL8" s="85"/>
    </row>
    <row r="9" spans="2:38" ht="15.75" thickBot="1" x14ac:dyDescent="0.3">
      <c r="B9" s="86">
        <v>100</v>
      </c>
      <c r="C9" s="86">
        <v>14</v>
      </c>
      <c r="D9" s="120">
        <f t="shared" si="1"/>
        <v>1400</v>
      </c>
      <c r="E9" s="85"/>
      <c r="F9" s="86">
        <v>100</v>
      </c>
      <c r="G9" s="86">
        <v>40</v>
      </c>
      <c r="H9" s="120">
        <f t="shared" si="2"/>
        <v>4000</v>
      </c>
      <c r="I9" s="85"/>
      <c r="J9" s="86">
        <v>100</v>
      </c>
      <c r="K9" s="86">
        <v>40</v>
      </c>
      <c r="L9" s="120">
        <f t="shared" si="3"/>
        <v>4000</v>
      </c>
      <c r="M9" s="85"/>
      <c r="N9" s="86">
        <v>100</v>
      </c>
      <c r="O9" s="86">
        <v>107</v>
      </c>
      <c r="P9" s="120">
        <f t="shared" si="4"/>
        <v>10700</v>
      </c>
      <c r="Q9" s="85"/>
      <c r="R9" s="86">
        <v>100</v>
      </c>
      <c r="S9" s="86"/>
      <c r="T9" s="120">
        <f t="shared" si="5"/>
        <v>0</v>
      </c>
      <c r="U9" s="85"/>
      <c r="V9" s="96"/>
      <c r="W9" s="123">
        <v>100</v>
      </c>
      <c r="X9" s="123">
        <f t="shared" si="7"/>
        <v>201</v>
      </c>
      <c r="Y9" s="121">
        <f t="shared" si="6"/>
        <v>20100</v>
      </c>
      <c r="Z9" s="97"/>
      <c r="AA9" s="85"/>
      <c r="AB9" s="143" t="s">
        <v>12</v>
      </c>
      <c r="AC9" s="144">
        <f>SUM(AC7:AC8)</f>
        <v>401790</v>
      </c>
      <c r="AD9" s="85"/>
      <c r="AE9" s="85"/>
      <c r="AF9" s="85"/>
      <c r="AG9" s="85"/>
      <c r="AH9" s="85"/>
      <c r="AI9" s="86">
        <v>50</v>
      </c>
      <c r="AJ9" s="86">
        <v>200</v>
      </c>
      <c r="AK9" s="120">
        <f t="shared" si="0"/>
        <v>10000</v>
      </c>
      <c r="AL9" s="85"/>
    </row>
    <row r="10" spans="2:38" x14ac:dyDescent="0.25">
      <c r="B10" s="86">
        <v>500</v>
      </c>
      <c r="C10" s="86">
        <v>37</v>
      </c>
      <c r="D10" s="120">
        <f t="shared" si="1"/>
        <v>18500</v>
      </c>
      <c r="E10" s="85"/>
      <c r="F10" s="86">
        <v>500</v>
      </c>
      <c r="G10" s="86">
        <v>77</v>
      </c>
      <c r="H10" s="120">
        <f t="shared" si="2"/>
        <v>38500</v>
      </c>
      <c r="I10" s="85"/>
      <c r="J10" s="86">
        <v>500</v>
      </c>
      <c r="K10" s="86">
        <v>42</v>
      </c>
      <c r="L10" s="120">
        <f t="shared" si="3"/>
        <v>21000</v>
      </c>
      <c r="M10" s="85"/>
      <c r="N10" s="86">
        <v>500</v>
      </c>
      <c r="O10" s="86">
        <v>56</v>
      </c>
      <c r="P10" s="120">
        <f t="shared" si="4"/>
        <v>28000</v>
      </c>
      <c r="Q10" s="85"/>
      <c r="R10" s="86">
        <v>500</v>
      </c>
      <c r="S10" s="86"/>
      <c r="T10" s="120">
        <f t="shared" si="5"/>
        <v>0</v>
      </c>
      <c r="U10" s="85"/>
      <c r="V10" s="96"/>
      <c r="W10" s="123">
        <v>500</v>
      </c>
      <c r="X10" s="123">
        <f t="shared" si="7"/>
        <v>212</v>
      </c>
      <c r="Y10" s="121">
        <f t="shared" si="6"/>
        <v>106000</v>
      </c>
      <c r="Z10" s="97"/>
      <c r="AA10" s="85"/>
      <c r="AB10" s="85"/>
      <c r="AC10" s="85"/>
      <c r="AD10" s="85"/>
      <c r="AE10" s="85"/>
      <c r="AF10" s="85"/>
      <c r="AG10" s="85"/>
      <c r="AH10" s="85"/>
      <c r="AI10" s="86">
        <v>100</v>
      </c>
      <c r="AJ10" s="86">
        <v>200</v>
      </c>
      <c r="AK10" s="120">
        <f t="shared" si="0"/>
        <v>20000</v>
      </c>
      <c r="AL10" s="85"/>
    </row>
    <row r="11" spans="2:38" x14ac:dyDescent="0.25">
      <c r="B11" s="86">
        <v>1000</v>
      </c>
      <c r="C11" s="86">
        <v>14</v>
      </c>
      <c r="D11" s="120">
        <f t="shared" si="1"/>
        <v>14000</v>
      </c>
      <c r="E11" s="85"/>
      <c r="F11" s="86">
        <v>1000</v>
      </c>
      <c r="G11" s="86">
        <v>46</v>
      </c>
      <c r="H11" s="120">
        <f t="shared" si="2"/>
        <v>46000</v>
      </c>
      <c r="I11" s="85"/>
      <c r="J11" s="86">
        <v>1000</v>
      </c>
      <c r="K11" s="86">
        <v>29</v>
      </c>
      <c r="L11" s="120">
        <f t="shared" si="3"/>
        <v>29000</v>
      </c>
      <c r="M11" s="85"/>
      <c r="N11" s="86">
        <v>1000</v>
      </c>
      <c r="O11" s="86">
        <v>85</v>
      </c>
      <c r="P11" s="120">
        <f t="shared" si="4"/>
        <v>85000</v>
      </c>
      <c r="Q11" s="85"/>
      <c r="R11" s="86">
        <v>1000</v>
      </c>
      <c r="S11" s="86"/>
      <c r="T11" s="120">
        <f t="shared" si="5"/>
        <v>0</v>
      </c>
      <c r="U11" s="85"/>
      <c r="V11" s="96"/>
      <c r="W11" s="123">
        <v>1000</v>
      </c>
      <c r="X11" s="123">
        <f t="shared" si="7"/>
        <v>174</v>
      </c>
      <c r="Y11" s="121">
        <f t="shared" si="6"/>
        <v>174000</v>
      </c>
      <c r="Z11" s="97"/>
      <c r="AA11" s="85"/>
      <c r="AB11" s="132" t="s">
        <v>13</v>
      </c>
      <c r="AC11" s="132" t="s">
        <v>8</v>
      </c>
      <c r="AD11" s="132" t="s">
        <v>14</v>
      </c>
      <c r="AE11" s="132" t="s">
        <v>15</v>
      </c>
      <c r="AF11" s="132" t="s">
        <v>16</v>
      </c>
      <c r="AG11" s="85"/>
      <c r="AH11" s="85"/>
      <c r="AI11" s="86">
        <v>500</v>
      </c>
      <c r="AJ11" s="86">
        <v>206</v>
      </c>
      <c r="AK11" s="120">
        <f t="shared" si="0"/>
        <v>103000</v>
      </c>
      <c r="AL11" s="85"/>
    </row>
    <row r="12" spans="2:38" x14ac:dyDescent="0.25">
      <c r="B12" s="86">
        <v>5000</v>
      </c>
      <c r="C12" s="86">
        <v>3</v>
      </c>
      <c r="D12" s="120">
        <f t="shared" si="1"/>
        <v>15000</v>
      </c>
      <c r="E12" s="85"/>
      <c r="F12" s="86">
        <v>5000</v>
      </c>
      <c r="G12" s="86">
        <v>3</v>
      </c>
      <c r="H12" s="120">
        <f t="shared" si="2"/>
        <v>15000</v>
      </c>
      <c r="I12" s="85"/>
      <c r="J12" s="86">
        <v>5000</v>
      </c>
      <c r="K12" s="86">
        <v>3</v>
      </c>
      <c r="L12" s="120">
        <f t="shared" si="3"/>
        <v>15000</v>
      </c>
      <c r="M12" s="85"/>
      <c r="N12" s="86">
        <v>5000</v>
      </c>
      <c r="O12" s="86">
        <v>1</v>
      </c>
      <c r="P12" s="120">
        <f t="shared" si="4"/>
        <v>5000</v>
      </c>
      <c r="Q12" s="85"/>
      <c r="R12" s="86">
        <v>5000</v>
      </c>
      <c r="S12" s="86"/>
      <c r="T12" s="120">
        <f t="shared" si="5"/>
        <v>0</v>
      </c>
      <c r="U12" s="85"/>
      <c r="V12" s="96"/>
      <c r="W12" s="123">
        <v>5000</v>
      </c>
      <c r="X12" s="123">
        <f t="shared" si="7"/>
        <v>10</v>
      </c>
      <c r="Y12" s="121">
        <f t="shared" si="6"/>
        <v>50000</v>
      </c>
      <c r="Z12" s="97"/>
      <c r="AA12" s="85"/>
      <c r="AB12" s="85" t="s">
        <v>17</v>
      </c>
      <c r="AC12" s="89">
        <v>383000</v>
      </c>
      <c r="AD12" s="85">
        <v>74558</v>
      </c>
      <c r="AE12" s="137" t="s">
        <v>535</v>
      </c>
      <c r="AF12" s="85" t="s">
        <v>223</v>
      </c>
      <c r="AG12" s="85"/>
      <c r="AH12" s="85"/>
      <c r="AI12" s="86">
        <v>1000</v>
      </c>
      <c r="AJ12" s="86">
        <v>200</v>
      </c>
      <c r="AK12" s="120">
        <f t="shared" si="0"/>
        <v>200000</v>
      </c>
      <c r="AL12" s="85"/>
    </row>
    <row r="13" spans="2:38" ht="15.75" thickBot="1" x14ac:dyDescent="0.3">
      <c r="B13" s="87" t="s">
        <v>18</v>
      </c>
      <c r="C13" s="87"/>
      <c r="D13" s="90">
        <f>+SUM(D5:D12)</f>
        <v>51870</v>
      </c>
      <c r="E13" s="85"/>
      <c r="F13" s="87" t="s">
        <v>18</v>
      </c>
      <c r="G13" s="87"/>
      <c r="H13" s="90">
        <f>+SUM(H5:H12)</f>
        <v>105154</v>
      </c>
      <c r="I13" s="85"/>
      <c r="J13" s="87" t="s">
        <v>18</v>
      </c>
      <c r="K13" s="87"/>
      <c r="L13" s="90">
        <f>+SUM(L5:L12)</f>
        <v>70280</v>
      </c>
      <c r="M13" s="85"/>
      <c r="N13" s="87" t="s">
        <v>18</v>
      </c>
      <c r="O13" s="87"/>
      <c r="P13" s="90">
        <f>+SUM(P5:P12)</f>
        <v>142780</v>
      </c>
      <c r="Q13" s="85"/>
      <c r="R13" s="87" t="s">
        <v>18</v>
      </c>
      <c r="S13" s="87"/>
      <c r="T13" s="90">
        <f>+SUM(T5:T12)</f>
        <v>0</v>
      </c>
      <c r="U13" s="85"/>
      <c r="V13" s="96"/>
      <c r="W13" s="87" t="s">
        <v>18</v>
      </c>
      <c r="X13" s="87"/>
      <c r="Y13" s="90">
        <f>+SUM(Y5:Y12)</f>
        <v>370084</v>
      </c>
      <c r="Z13" s="97"/>
      <c r="AA13" s="85"/>
      <c r="AB13" s="85" t="s">
        <v>19</v>
      </c>
      <c r="AC13" s="89">
        <v>3040</v>
      </c>
      <c r="AD13" s="85"/>
      <c r="AE13" s="85"/>
      <c r="AF13" s="85"/>
      <c r="AG13" s="85"/>
      <c r="AH13" s="85"/>
      <c r="AI13" s="86">
        <v>5000</v>
      </c>
      <c r="AJ13" s="86">
        <v>10</v>
      </c>
      <c r="AK13" s="120">
        <f t="shared" si="0"/>
        <v>50000</v>
      </c>
      <c r="AL13" s="85"/>
    </row>
    <row r="14" spans="2:38" ht="15.75" thickBot="1" x14ac:dyDescent="0.3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96"/>
      <c r="W14" s="100"/>
      <c r="X14" s="100"/>
      <c r="Y14" s="100"/>
      <c r="Z14" s="97"/>
      <c r="AA14" s="85"/>
      <c r="AB14" s="85" t="s">
        <v>528</v>
      </c>
      <c r="AC14" s="89">
        <v>9190</v>
      </c>
      <c r="AD14" s="85"/>
      <c r="AE14" s="85"/>
      <c r="AF14" s="85"/>
      <c r="AG14" s="85"/>
      <c r="AH14" s="85"/>
      <c r="AI14" s="87" t="s">
        <v>18</v>
      </c>
      <c r="AJ14" s="87"/>
      <c r="AK14" s="90">
        <f>+SUM(AK6:AK13)</f>
        <v>383000</v>
      </c>
      <c r="AL14" s="85"/>
    </row>
    <row r="15" spans="2:38" ht="15.75" thickBot="1" x14ac:dyDescent="0.3">
      <c r="B15" s="242" t="s">
        <v>21</v>
      </c>
      <c r="C15" s="243"/>
      <c r="D15" s="92">
        <v>76616</v>
      </c>
      <c r="E15" s="114"/>
      <c r="F15" s="242" t="s">
        <v>21</v>
      </c>
      <c r="G15" s="243"/>
      <c r="H15" s="92">
        <v>110111</v>
      </c>
      <c r="I15" s="114"/>
      <c r="J15" s="242" t="s">
        <v>21</v>
      </c>
      <c r="K15" s="243"/>
      <c r="L15" s="92">
        <v>70413</v>
      </c>
      <c r="M15" s="114"/>
      <c r="N15" s="242" t="s">
        <v>21</v>
      </c>
      <c r="O15" s="243"/>
      <c r="P15" s="92">
        <v>165928</v>
      </c>
      <c r="Q15" s="114"/>
      <c r="R15" s="242" t="s">
        <v>21</v>
      </c>
      <c r="S15" s="243"/>
      <c r="T15" s="92">
        <v>813854</v>
      </c>
      <c r="U15" s="114"/>
      <c r="V15" s="115"/>
      <c r="W15" s="242" t="s">
        <v>21</v>
      </c>
      <c r="X15" s="243"/>
      <c r="Y15" s="92">
        <f>+D15+H15+L15+P15+T15</f>
        <v>1236922</v>
      </c>
      <c r="Z15" s="116"/>
      <c r="AA15" s="114"/>
      <c r="AB15" s="85" t="s">
        <v>529</v>
      </c>
      <c r="AC15" s="89">
        <v>8020</v>
      </c>
      <c r="AD15" s="85"/>
      <c r="AE15" s="85"/>
      <c r="AF15" s="85"/>
      <c r="AG15" s="85"/>
      <c r="AH15" s="85"/>
      <c r="AI15" s="85"/>
      <c r="AJ15" s="85"/>
      <c r="AK15" s="85"/>
      <c r="AL15" s="85"/>
    </row>
    <row r="16" spans="2:38" x14ac:dyDescent="0.25">
      <c r="B16" s="85" t="s">
        <v>10</v>
      </c>
      <c r="C16" s="85"/>
      <c r="D16" s="89">
        <f>+D13</f>
        <v>51870</v>
      </c>
      <c r="E16" s="85"/>
      <c r="F16" s="85" t="s">
        <v>10</v>
      </c>
      <c r="G16" s="85"/>
      <c r="H16" s="89">
        <f>+H13</f>
        <v>105154</v>
      </c>
      <c r="I16" s="85"/>
      <c r="J16" s="85" t="s">
        <v>10</v>
      </c>
      <c r="K16" s="85"/>
      <c r="L16" s="89">
        <f>+L13</f>
        <v>70280</v>
      </c>
      <c r="M16" s="85"/>
      <c r="N16" s="85" t="s">
        <v>10</v>
      </c>
      <c r="O16" s="85"/>
      <c r="P16" s="89">
        <f>+P13</f>
        <v>142780</v>
      </c>
      <c r="Q16" s="85"/>
      <c r="R16" s="85" t="s">
        <v>10</v>
      </c>
      <c r="S16" s="85"/>
      <c r="T16" s="89">
        <f>+T13</f>
        <v>0</v>
      </c>
      <c r="U16" s="85"/>
      <c r="V16" s="96"/>
      <c r="W16" s="124" t="s">
        <v>10</v>
      </c>
      <c r="X16" s="124"/>
      <c r="Y16" s="121">
        <f>+D16+H16+L16+P16+T16</f>
        <v>370084</v>
      </c>
      <c r="Z16" s="97"/>
      <c r="AA16" s="85"/>
      <c r="AB16" s="85" t="s">
        <v>23</v>
      </c>
      <c r="AC16" s="89"/>
      <c r="AD16" s="85"/>
      <c r="AE16" s="85"/>
      <c r="AF16" s="85"/>
      <c r="AG16" s="85"/>
      <c r="AH16" s="85"/>
      <c r="AI16" s="85"/>
      <c r="AJ16" s="85"/>
      <c r="AK16" s="85"/>
      <c r="AL16" s="85"/>
    </row>
    <row r="17" spans="2:38" x14ac:dyDescent="0.25">
      <c r="B17" s="85" t="s">
        <v>17</v>
      </c>
      <c r="C17" s="85"/>
      <c r="D17" s="89">
        <v>4420</v>
      </c>
      <c r="E17" s="85"/>
      <c r="F17" s="85" t="s">
        <v>17</v>
      </c>
      <c r="G17" s="85"/>
      <c r="H17" s="89"/>
      <c r="I17" s="85"/>
      <c r="J17" s="85" t="s">
        <v>17</v>
      </c>
      <c r="K17" s="85"/>
      <c r="L17" s="89"/>
      <c r="M17" s="85"/>
      <c r="N17" s="85" t="s">
        <v>17</v>
      </c>
      <c r="O17" s="85"/>
      <c r="P17" s="89"/>
      <c r="Q17" s="85"/>
      <c r="R17" s="85" t="s">
        <v>17</v>
      </c>
      <c r="S17" s="85"/>
      <c r="T17" s="89"/>
      <c r="U17" s="85"/>
      <c r="V17" s="96"/>
      <c r="W17" s="124" t="s">
        <v>17</v>
      </c>
      <c r="X17" s="124"/>
      <c r="Y17" s="121">
        <f t="shared" ref="Y17:Y27" si="8">+D17+H17+L17+P17+T17</f>
        <v>4420</v>
      </c>
      <c r="Z17" s="97"/>
      <c r="AA17" s="85"/>
      <c r="AB17" s="133" t="s">
        <v>12</v>
      </c>
      <c r="AC17" s="134">
        <f>+SUM(AC12:AC16)</f>
        <v>403250</v>
      </c>
      <c r="AD17" s="160"/>
      <c r="AE17" s="85"/>
      <c r="AF17" s="85"/>
      <c r="AG17" s="85"/>
      <c r="AH17" s="85"/>
      <c r="AI17" s="85"/>
      <c r="AJ17" s="85"/>
      <c r="AK17" s="85"/>
      <c r="AL17" s="85"/>
    </row>
    <row r="18" spans="2:38" x14ac:dyDescent="0.25">
      <c r="B18" s="85" t="s">
        <v>492</v>
      </c>
      <c r="C18" s="85" t="s">
        <v>493</v>
      </c>
      <c r="D18" s="89">
        <v>10204</v>
      </c>
      <c r="E18" s="85"/>
      <c r="F18" s="85" t="s">
        <v>487</v>
      </c>
      <c r="G18" s="100" t="s">
        <v>488</v>
      </c>
      <c r="H18" s="149">
        <v>4900</v>
      </c>
      <c r="I18" s="85"/>
      <c r="J18" s="85" t="s">
        <v>26</v>
      </c>
      <c r="K18" s="85"/>
      <c r="L18" s="89"/>
      <c r="M18" s="85"/>
      <c r="N18" s="85" t="s">
        <v>472</v>
      </c>
      <c r="O18" s="85" t="s">
        <v>495</v>
      </c>
      <c r="P18" s="89">
        <v>6180</v>
      </c>
      <c r="Q18" s="85"/>
      <c r="R18" s="85" t="s">
        <v>498</v>
      </c>
      <c r="S18" s="166" t="s">
        <v>497</v>
      </c>
      <c r="T18" s="89">
        <v>71740</v>
      </c>
      <c r="U18" s="85"/>
      <c r="V18" s="96"/>
      <c r="W18" s="124" t="s">
        <v>26</v>
      </c>
      <c r="X18" s="124"/>
      <c r="Y18" s="121">
        <f t="shared" si="8"/>
        <v>93024</v>
      </c>
      <c r="Z18" s="97"/>
      <c r="AA18" s="85"/>
      <c r="AB18" s="135" t="s">
        <v>32</v>
      </c>
      <c r="AC18" s="136">
        <f>+AC17-AC9</f>
        <v>1460</v>
      </c>
      <c r="AD18" s="85" t="s">
        <v>33</v>
      </c>
      <c r="AE18" s="85"/>
      <c r="AF18" s="85"/>
      <c r="AG18" s="85"/>
      <c r="AH18" s="85"/>
      <c r="AI18" s="85"/>
      <c r="AJ18" s="85"/>
      <c r="AK18" s="85"/>
      <c r="AL18" s="85"/>
    </row>
    <row r="19" spans="2:38" x14ac:dyDescent="0.25">
      <c r="B19" s="85" t="s">
        <v>272</v>
      </c>
      <c r="C19" s="85" t="s">
        <v>494</v>
      </c>
      <c r="D19" s="89">
        <v>10128</v>
      </c>
      <c r="E19" s="85"/>
      <c r="F19" s="85" t="s">
        <v>34</v>
      </c>
      <c r="G19" s="85"/>
      <c r="H19" s="89"/>
      <c r="I19" s="85"/>
      <c r="J19" s="85" t="s">
        <v>34</v>
      </c>
      <c r="K19" s="85"/>
      <c r="L19" s="89"/>
      <c r="M19" s="85"/>
      <c r="N19" s="85" t="s">
        <v>298</v>
      </c>
      <c r="O19" s="85" t="s">
        <v>496</v>
      </c>
      <c r="P19" s="89">
        <v>12618</v>
      </c>
      <c r="Q19" s="85"/>
      <c r="R19" s="85" t="s">
        <v>34</v>
      </c>
      <c r="S19" s="85"/>
      <c r="T19" s="89"/>
      <c r="U19" s="85"/>
      <c r="V19" s="96"/>
      <c r="W19" s="124" t="s">
        <v>34</v>
      </c>
      <c r="X19" s="124"/>
      <c r="Y19" s="121">
        <f t="shared" si="8"/>
        <v>22746</v>
      </c>
      <c r="Z19" s="97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</row>
    <row r="20" spans="2:38" x14ac:dyDescent="0.25">
      <c r="B20" s="85" t="s">
        <v>36</v>
      </c>
      <c r="C20" s="85"/>
      <c r="D20" s="89"/>
      <c r="E20" s="85"/>
      <c r="F20" s="85" t="s">
        <v>36</v>
      </c>
      <c r="G20" s="85"/>
      <c r="H20" s="89"/>
      <c r="I20" s="85"/>
      <c r="J20" s="85" t="s">
        <v>36</v>
      </c>
      <c r="K20" s="85"/>
      <c r="L20" s="89"/>
      <c r="M20" s="85"/>
      <c r="N20" s="85" t="s">
        <v>36</v>
      </c>
      <c r="O20" s="85"/>
      <c r="P20" s="89"/>
      <c r="Q20" s="85"/>
      <c r="R20" s="85" t="s">
        <v>36</v>
      </c>
      <c r="S20" s="85"/>
      <c r="T20" s="89"/>
      <c r="U20" s="85"/>
      <c r="V20" s="96"/>
      <c r="W20" s="124" t="s">
        <v>36</v>
      </c>
      <c r="X20" s="124"/>
      <c r="Y20" s="121">
        <f t="shared" si="8"/>
        <v>0</v>
      </c>
      <c r="Z20" s="97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</row>
    <row r="21" spans="2:38" x14ac:dyDescent="0.25">
      <c r="B21" s="85"/>
      <c r="C21" s="85"/>
      <c r="D21" s="89"/>
      <c r="E21" s="85"/>
      <c r="F21" s="85"/>
      <c r="G21" s="85"/>
      <c r="H21" s="89"/>
      <c r="I21" s="85"/>
      <c r="J21" s="85" t="s">
        <v>285</v>
      </c>
      <c r="K21" s="85"/>
      <c r="L21" s="89"/>
      <c r="M21" s="85"/>
      <c r="N21" s="85"/>
      <c r="O21" s="85"/>
      <c r="P21" s="89"/>
      <c r="Q21" s="85"/>
      <c r="R21" s="85"/>
      <c r="S21" s="85"/>
      <c r="T21" s="89"/>
      <c r="U21" s="85"/>
      <c r="V21" s="96"/>
      <c r="W21" s="124"/>
      <c r="X21" s="124"/>
      <c r="Y21" s="121">
        <f t="shared" si="8"/>
        <v>0</v>
      </c>
      <c r="Z21" s="97"/>
      <c r="AA21" s="85"/>
      <c r="AB21" s="245" t="s">
        <v>37</v>
      </c>
      <c r="AC21" s="245"/>
      <c r="AD21" s="245"/>
      <c r="AE21" s="245"/>
      <c r="AF21" s="245"/>
      <c r="AG21" s="85"/>
      <c r="AH21" s="85"/>
      <c r="AI21" s="245" t="s">
        <v>38</v>
      </c>
      <c r="AJ21" s="245"/>
      <c r="AK21" s="245"/>
      <c r="AL21" s="245"/>
    </row>
    <row r="22" spans="2:38" x14ac:dyDescent="0.25">
      <c r="B22" s="85"/>
      <c r="C22" s="85"/>
      <c r="D22" s="89"/>
      <c r="E22" s="85"/>
      <c r="F22" s="85"/>
      <c r="G22" s="85"/>
      <c r="H22" s="89"/>
      <c r="I22" s="85"/>
      <c r="J22" s="85"/>
      <c r="K22" s="85"/>
      <c r="L22" s="89"/>
      <c r="M22" s="85"/>
      <c r="N22" s="85"/>
      <c r="O22" s="85"/>
      <c r="P22" s="89"/>
      <c r="Q22" s="85"/>
      <c r="R22" s="85" t="s">
        <v>499</v>
      </c>
      <c r="S22" s="85" t="s">
        <v>48</v>
      </c>
      <c r="T22" s="89">
        <v>54940</v>
      </c>
      <c r="U22" s="85"/>
      <c r="V22" s="96"/>
      <c r="W22" s="124"/>
      <c r="X22" s="124"/>
      <c r="Y22" s="121">
        <f t="shared" si="8"/>
        <v>54940</v>
      </c>
      <c r="Z22" s="97"/>
      <c r="AA22" s="85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G22" s="85"/>
      <c r="AH22" s="85"/>
      <c r="AI22" s="132" t="s">
        <v>41</v>
      </c>
      <c r="AJ22" s="132" t="s">
        <v>45</v>
      </c>
      <c r="AK22" s="132" t="s">
        <v>43</v>
      </c>
      <c r="AL22" s="132" t="s">
        <v>8</v>
      </c>
    </row>
    <row r="23" spans="2:38" x14ac:dyDescent="0.25">
      <c r="B23" s="85" t="s">
        <v>46</v>
      </c>
      <c r="C23" s="85"/>
      <c r="D23" s="89"/>
      <c r="E23" s="85"/>
      <c r="F23" s="85" t="s">
        <v>46</v>
      </c>
      <c r="G23" s="85"/>
      <c r="H23" s="89"/>
      <c r="I23" s="85"/>
      <c r="J23" s="85" t="s">
        <v>46</v>
      </c>
      <c r="K23" s="85"/>
      <c r="L23" s="89"/>
      <c r="M23" s="85"/>
      <c r="N23" s="85" t="s">
        <v>46</v>
      </c>
      <c r="O23" s="85"/>
      <c r="P23" s="89"/>
      <c r="Q23" s="85"/>
      <c r="R23" s="85" t="s">
        <v>500</v>
      </c>
      <c r="S23" s="85" t="s">
        <v>293</v>
      </c>
      <c r="T23" s="89">
        <v>38498</v>
      </c>
      <c r="U23" s="85"/>
      <c r="V23" s="96"/>
      <c r="W23" s="124" t="s">
        <v>46</v>
      </c>
      <c r="X23" s="124"/>
      <c r="Y23" s="121">
        <f t="shared" si="8"/>
        <v>38498</v>
      </c>
      <c r="Z23" s="97"/>
      <c r="AA23" s="85"/>
      <c r="AB23" s="85" t="s">
        <v>139</v>
      </c>
      <c r="AC23" s="85" t="s">
        <v>486</v>
      </c>
      <c r="AD23" s="203" t="s">
        <v>270</v>
      </c>
      <c r="AE23" s="85"/>
      <c r="AF23" s="147">
        <v>3206</v>
      </c>
      <c r="AG23" s="85"/>
      <c r="AH23" s="85"/>
      <c r="AI23" s="85" t="s">
        <v>72</v>
      </c>
      <c r="AJ23" s="85" t="s">
        <v>421</v>
      </c>
      <c r="AK23" s="166" t="s">
        <v>193</v>
      </c>
      <c r="AL23" s="147">
        <v>50000</v>
      </c>
    </row>
    <row r="24" spans="2:38" x14ac:dyDescent="0.25">
      <c r="B24" s="85" t="s">
        <v>54</v>
      </c>
      <c r="C24" s="85"/>
      <c r="D24" s="89"/>
      <c r="E24" s="85"/>
      <c r="F24" s="85" t="s">
        <v>54</v>
      </c>
      <c r="G24" s="85"/>
      <c r="H24" s="89"/>
      <c r="I24" s="85"/>
      <c r="J24" s="85" t="s">
        <v>54</v>
      </c>
      <c r="K24" s="85"/>
      <c r="L24" s="89"/>
      <c r="M24" s="85"/>
      <c r="N24" s="85" t="s">
        <v>54</v>
      </c>
      <c r="O24" s="85"/>
      <c r="P24" s="89"/>
      <c r="Q24" s="85"/>
      <c r="R24" s="85" t="s">
        <v>352</v>
      </c>
      <c r="S24" s="85" t="s">
        <v>501</v>
      </c>
      <c r="T24" s="89">
        <v>43516</v>
      </c>
      <c r="U24" s="85"/>
      <c r="V24" s="96"/>
      <c r="W24" s="124" t="s">
        <v>54</v>
      </c>
      <c r="X24" s="124"/>
      <c r="Y24" s="121">
        <f t="shared" si="8"/>
        <v>43516</v>
      </c>
      <c r="Z24" s="97"/>
      <c r="AA24" s="85"/>
      <c r="AB24" s="85" t="s">
        <v>489</v>
      </c>
      <c r="AC24" s="204">
        <v>45859</v>
      </c>
      <c r="AD24" s="166" t="s">
        <v>232</v>
      </c>
      <c r="AE24" s="85"/>
      <c r="AF24" s="147">
        <v>28500</v>
      </c>
      <c r="AG24" s="85"/>
      <c r="AH24" s="85"/>
      <c r="AI24" s="85" t="s">
        <v>144</v>
      </c>
      <c r="AJ24" s="85" t="s">
        <v>491</v>
      </c>
      <c r="AK24" s="85" t="s">
        <v>490</v>
      </c>
      <c r="AL24" s="147">
        <v>4420</v>
      </c>
    </row>
    <row r="25" spans="2:38" x14ac:dyDescent="0.25">
      <c r="B25" s="85" t="s">
        <v>61</v>
      </c>
      <c r="C25" s="85"/>
      <c r="D25" s="89"/>
      <c r="E25" s="85"/>
      <c r="F25" s="85" t="s">
        <v>61</v>
      </c>
      <c r="G25" s="85"/>
      <c r="H25" s="89"/>
      <c r="I25" s="85"/>
      <c r="J25" s="85" t="s">
        <v>61</v>
      </c>
      <c r="K25" s="85"/>
      <c r="L25" s="89"/>
      <c r="M25" s="85"/>
      <c r="N25" s="85" t="s">
        <v>61</v>
      </c>
      <c r="O25" s="85"/>
      <c r="P25" s="89"/>
      <c r="Q25" s="85"/>
      <c r="R25" s="85" t="s">
        <v>502</v>
      </c>
      <c r="S25" s="85" t="s">
        <v>296</v>
      </c>
      <c r="T25" s="89">
        <v>71945</v>
      </c>
      <c r="U25" s="85"/>
      <c r="V25" s="96"/>
      <c r="W25" s="124" t="s">
        <v>61</v>
      </c>
      <c r="X25" s="124"/>
      <c r="Y25" s="121">
        <f t="shared" si="8"/>
        <v>71945</v>
      </c>
      <c r="Z25" s="97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</row>
    <row r="26" spans="2:38" x14ac:dyDescent="0.25">
      <c r="B26" s="85"/>
      <c r="C26" s="85"/>
      <c r="D26" s="89"/>
      <c r="E26" s="85"/>
      <c r="F26" s="85"/>
      <c r="G26" s="85"/>
      <c r="H26" s="89"/>
      <c r="I26" s="85"/>
      <c r="J26" s="85"/>
      <c r="K26" s="85"/>
      <c r="L26" s="89"/>
      <c r="M26" s="85"/>
      <c r="N26" s="85"/>
      <c r="O26" s="85"/>
      <c r="P26" s="89"/>
      <c r="Q26" s="85"/>
      <c r="R26" s="85" t="s">
        <v>503</v>
      </c>
      <c r="S26" s="85" t="s">
        <v>40</v>
      </c>
      <c r="T26" s="89">
        <v>40244</v>
      </c>
      <c r="U26" s="85"/>
      <c r="V26" s="96"/>
      <c r="W26" s="124"/>
      <c r="X26" s="124"/>
      <c r="Y26" s="121">
        <f t="shared" si="8"/>
        <v>40244</v>
      </c>
      <c r="Z26" s="97"/>
      <c r="AA26" s="85"/>
      <c r="AB26" s="85"/>
      <c r="AC26" s="85"/>
      <c r="AD26" s="85"/>
      <c r="AE26" s="85"/>
      <c r="AF26" s="104"/>
      <c r="AG26" s="85"/>
      <c r="AH26" s="85"/>
      <c r="AI26" s="85"/>
      <c r="AJ26" s="85"/>
      <c r="AK26" s="85"/>
      <c r="AL26" s="85"/>
    </row>
    <row r="27" spans="2:38" ht="15.75" thickBot="1" x14ac:dyDescent="0.3">
      <c r="B27" s="85"/>
      <c r="C27" s="85"/>
      <c r="D27" s="89"/>
      <c r="E27" s="85"/>
      <c r="F27" s="85"/>
      <c r="G27" s="85"/>
      <c r="H27" s="89"/>
      <c r="I27" s="85"/>
      <c r="J27" s="85"/>
      <c r="K27" s="85"/>
      <c r="L27" s="89"/>
      <c r="M27" s="85"/>
      <c r="N27" s="85"/>
      <c r="O27" s="85"/>
      <c r="P27" s="89"/>
      <c r="Q27" s="85"/>
      <c r="R27" s="85" t="s">
        <v>504</v>
      </c>
      <c r="S27" s="85" t="s">
        <v>509</v>
      </c>
      <c r="T27" s="89">
        <v>490748</v>
      </c>
      <c r="U27" s="85"/>
      <c r="V27" s="96"/>
      <c r="W27" s="124"/>
      <c r="X27" s="124"/>
      <c r="Y27" s="121">
        <f t="shared" si="8"/>
        <v>490748</v>
      </c>
      <c r="Z27" s="97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</row>
    <row r="28" spans="2:38" ht="15.75" thickBot="1" x14ac:dyDescent="0.3">
      <c r="B28" s="235" t="s">
        <v>12</v>
      </c>
      <c r="C28" s="236"/>
      <c r="D28" s="93">
        <f>+SUM(D16:D27)</f>
        <v>76622</v>
      </c>
      <c r="E28" s="85"/>
      <c r="F28" s="235" t="s">
        <v>12</v>
      </c>
      <c r="G28" s="236"/>
      <c r="H28" s="93">
        <f>+SUM(H16:H27)</f>
        <v>110054</v>
      </c>
      <c r="I28" s="85"/>
      <c r="J28" s="235" t="s">
        <v>12</v>
      </c>
      <c r="K28" s="236"/>
      <c r="L28" s="93">
        <f>+SUM(L16:L27)</f>
        <v>70280</v>
      </c>
      <c r="M28" s="85"/>
      <c r="N28" s="235" t="s">
        <v>12</v>
      </c>
      <c r="O28" s="236"/>
      <c r="P28" s="93">
        <f>+SUM(P16:P27)</f>
        <v>161578</v>
      </c>
      <c r="Q28" s="85"/>
      <c r="R28" s="235" t="s">
        <v>12</v>
      </c>
      <c r="S28" s="236"/>
      <c r="T28" s="93">
        <f>+SUM(T16:T27)</f>
        <v>811631</v>
      </c>
      <c r="U28" s="85"/>
      <c r="V28" s="96"/>
      <c r="W28" s="235" t="s">
        <v>12</v>
      </c>
      <c r="X28" s="236"/>
      <c r="Y28" s="93">
        <f>+SUM(Y16:Y27)</f>
        <v>1230165</v>
      </c>
      <c r="Z28" s="97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</row>
    <row r="29" spans="2:38" x14ac:dyDescent="0.25">
      <c r="B29" s="85"/>
      <c r="C29" s="85"/>
      <c r="D29" s="89"/>
      <c r="E29" s="85"/>
      <c r="F29" s="85"/>
      <c r="G29" s="85"/>
      <c r="H29" s="89"/>
      <c r="I29" s="85"/>
      <c r="J29" s="85"/>
      <c r="K29" s="85"/>
      <c r="L29" s="89"/>
      <c r="M29" s="85"/>
      <c r="N29" s="85"/>
      <c r="O29" s="85"/>
      <c r="P29" s="89"/>
      <c r="Q29" s="85"/>
      <c r="R29" s="85"/>
      <c r="S29" s="85"/>
      <c r="T29" s="89"/>
      <c r="U29" s="85"/>
      <c r="V29" s="96"/>
      <c r="W29" s="100"/>
      <c r="X29" s="100"/>
      <c r="Y29" s="99"/>
      <c r="Z29" s="97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</row>
    <row r="30" spans="2:38" ht="15.75" thickBot="1" x14ac:dyDescent="0.3">
      <c r="B30" s="237" t="s">
        <v>75</v>
      </c>
      <c r="C30" s="237"/>
      <c r="D30" s="91">
        <f>+D28-D15</f>
        <v>6</v>
      </c>
      <c r="E30" s="85"/>
      <c r="F30" s="237" t="s">
        <v>75</v>
      </c>
      <c r="G30" s="237"/>
      <c r="H30" s="91">
        <f>+H28-H15</f>
        <v>-57</v>
      </c>
      <c r="I30" s="85"/>
      <c r="J30" s="237" t="s">
        <v>75</v>
      </c>
      <c r="K30" s="237"/>
      <c r="L30" s="91">
        <f>+L28-L15</f>
        <v>-133</v>
      </c>
      <c r="M30" s="85"/>
      <c r="N30" s="237" t="s">
        <v>75</v>
      </c>
      <c r="O30" s="237"/>
      <c r="P30" s="91">
        <f>+P28-P15</f>
        <v>-4350</v>
      </c>
      <c r="Q30" s="85"/>
      <c r="R30" s="237" t="s">
        <v>75</v>
      </c>
      <c r="S30" s="237"/>
      <c r="T30" s="91">
        <f>+T28-T15</f>
        <v>-2223</v>
      </c>
      <c r="U30" s="85"/>
      <c r="V30" s="96"/>
      <c r="W30" s="238" t="s">
        <v>75</v>
      </c>
      <c r="X30" s="238"/>
      <c r="Y30" s="126">
        <f>+Y28-Y15</f>
        <v>-6757</v>
      </c>
      <c r="Z30" s="97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</row>
    <row r="31" spans="2:38" ht="16.5" thickTop="1" thickBo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01"/>
      <c r="W31" s="102"/>
      <c r="X31" s="102"/>
      <c r="Y31" s="102"/>
      <c r="Z31" s="103"/>
      <c r="AA31" s="85"/>
      <c r="AB31" s="145" t="s">
        <v>74</v>
      </c>
      <c r="AC31" s="145"/>
      <c r="AD31" s="145"/>
      <c r="AE31" s="145"/>
      <c r="AF31" s="140">
        <f>+SUM(AF23:AF30)</f>
        <v>31706</v>
      </c>
      <c r="AG31" s="85"/>
      <c r="AH31" s="85"/>
      <c r="AI31" s="145" t="s">
        <v>74</v>
      </c>
      <c r="AJ31" s="145"/>
      <c r="AK31" s="145"/>
      <c r="AL31" s="140">
        <f>+SUM(AL23:AL30)</f>
        <v>54420</v>
      </c>
    </row>
    <row r="32" spans="2:38" x14ac:dyDescent="0.2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</row>
    <row r="33" spans="2:38" ht="15.75" thickBo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</row>
    <row r="34" spans="2:38" x14ac:dyDescent="0.25">
      <c r="B34" s="94" t="s">
        <v>76</v>
      </c>
      <c r="C34" s="95"/>
      <c r="D34" s="105"/>
      <c r="E34" s="85"/>
      <c r="F34" s="94" t="s">
        <v>76</v>
      </c>
      <c r="G34" s="95"/>
      <c r="H34" s="105">
        <v>57</v>
      </c>
      <c r="I34" s="85"/>
      <c r="J34" s="94" t="s">
        <v>76</v>
      </c>
      <c r="K34" s="95"/>
      <c r="L34" s="105">
        <v>133</v>
      </c>
      <c r="M34" s="85"/>
      <c r="N34" s="94" t="s">
        <v>76</v>
      </c>
      <c r="O34" s="95"/>
      <c r="P34" s="105">
        <v>4350</v>
      </c>
      <c r="Q34" s="85"/>
      <c r="R34" s="94" t="s">
        <v>304</v>
      </c>
      <c r="S34" s="95"/>
      <c r="T34" s="105">
        <v>2223</v>
      </c>
      <c r="U34" s="85"/>
      <c r="V34" s="85"/>
      <c r="W34" s="127" t="s">
        <v>76</v>
      </c>
      <c r="X34" s="128"/>
      <c r="Y34" s="129">
        <f>+D34+H34+L34+P34+T34</f>
        <v>6763</v>
      </c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</row>
    <row r="35" spans="2:38" ht="18.75" x14ac:dyDescent="0.3">
      <c r="B35" s="96" t="s">
        <v>77</v>
      </c>
      <c r="C35" s="100"/>
      <c r="D35" s="106"/>
      <c r="E35" s="85"/>
      <c r="F35" s="96" t="s">
        <v>77</v>
      </c>
      <c r="G35" s="100"/>
      <c r="H35" s="106"/>
      <c r="I35" s="85"/>
      <c r="J35" s="96" t="s">
        <v>77</v>
      </c>
      <c r="K35" s="100"/>
      <c r="L35" s="106"/>
      <c r="M35" s="85"/>
      <c r="N35" s="96" t="s">
        <v>77</v>
      </c>
      <c r="O35" s="100"/>
      <c r="P35" s="106"/>
      <c r="Q35" s="85"/>
      <c r="R35" s="96" t="s">
        <v>77</v>
      </c>
      <c r="S35" s="100"/>
      <c r="T35" s="106"/>
      <c r="U35" s="85"/>
      <c r="V35" s="85"/>
      <c r="W35" s="130" t="s">
        <v>77</v>
      </c>
      <c r="X35" s="124"/>
      <c r="Y35" s="131">
        <f t="shared" ref="Y35:Y36" si="9">+D35+H35+L35+P35+T35</f>
        <v>0</v>
      </c>
      <c r="Z35" s="85"/>
      <c r="AA35" s="85"/>
      <c r="AB35" s="85"/>
      <c r="AC35" s="85"/>
      <c r="AD35" s="206" t="s">
        <v>531</v>
      </c>
      <c r="AE35" s="85"/>
      <c r="AF35" s="85"/>
      <c r="AG35" s="85"/>
      <c r="AH35" s="85"/>
      <c r="AI35" s="85"/>
      <c r="AJ35" s="85"/>
      <c r="AK35" s="85"/>
      <c r="AL35" s="85"/>
    </row>
    <row r="36" spans="2:38" x14ac:dyDescent="0.25">
      <c r="B36" s="96" t="s">
        <v>79</v>
      </c>
      <c r="C36" s="100"/>
      <c r="D36" s="106">
        <v>-6</v>
      </c>
      <c r="E36" s="85"/>
      <c r="F36" s="96" t="s">
        <v>79</v>
      </c>
      <c r="G36" s="100"/>
      <c r="H36" s="106"/>
      <c r="I36" s="85"/>
      <c r="J36" s="96" t="s">
        <v>79</v>
      </c>
      <c r="K36" s="100"/>
      <c r="L36" s="106"/>
      <c r="M36" s="85"/>
      <c r="N36" s="96" t="s">
        <v>79</v>
      </c>
      <c r="O36" s="100"/>
      <c r="P36" s="106"/>
      <c r="Q36" s="85"/>
      <c r="R36" s="96" t="s">
        <v>82</v>
      </c>
      <c r="S36" s="100"/>
      <c r="T36" s="106"/>
      <c r="U36" s="85"/>
      <c r="V36" s="85"/>
      <c r="W36" s="130" t="s">
        <v>78</v>
      </c>
      <c r="X36" s="124"/>
      <c r="Y36" s="131">
        <f t="shared" si="9"/>
        <v>-6</v>
      </c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</row>
    <row r="37" spans="2:38" x14ac:dyDescent="0.25">
      <c r="B37" s="96" t="s">
        <v>18</v>
      </c>
      <c r="C37" s="100"/>
      <c r="D37" s="106">
        <f>+SUM(D34:D36)</f>
        <v>-6</v>
      </c>
      <c r="E37" s="85"/>
      <c r="F37" s="96" t="s">
        <v>18</v>
      </c>
      <c r="G37" s="100"/>
      <c r="H37" s="106">
        <f>+SUM(H34:H36)</f>
        <v>57</v>
      </c>
      <c r="I37" s="85"/>
      <c r="J37" s="96" t="s">
        <v>18</v>
      </c>
      <c r="K37" s="100"/>
      <c r="L37" s="106">
        <f>+SUM(L34:L36)</f>
        <v>133</v>
      </c>
      <c r="M37" s="85"/>
      <c r="N37" s="96" t="s">
        <v>18</v>
      </c>
      <c r="O37" s="100"/>
      <c r="P37" s="106">
        <f>+SUM(P34:P36)</f>
        <v>4350</v>
      </c>
      <c r="Q37" s="85"/>
      <c r="R37" s="96" t="s">
        <v>18</v>
      </c>
      <c r="S37" s="100"/>
      <c r="T37" s="106">
        <f>+SUM(T34:T36)</f>
        <v>2223</v>
      </c>
      <c r="U37" s="85"/>
      <c r="V37" s="85"/>
      <c r="W37" s="117" t="s">
        <v>18</v>
      </c>
      <c r="X37" s="118"/>
      <c r="Y37" s="119">
        <f>+SUM(Y34:Y36)</f>
        <v>6757</v>
      </c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</row>
    <row r="38" spans="2:38" ht="15.75" thickBot="1" x14ac:dyDescent="0.3">
      <c r="B38" s="107" t="s">
        <v>81</v>
      </c>
      <c r="C38" s="108"/>
      <c r="D38" s="109">
        <f>+D30+D37</f>
        <v>0</v>
      </c>
      <c r="E38" s="85"/>
      <c r="F38" s="107" t="s">
        <v>81</v>
      </c>
      <c r="G38" s="108"/>
      <c r="H38" s="109">
        <f>+H30+H37</f>
        <v>0</v>
      </c>
      <c r="I38" s="85"/>
      <c r="J38" s="107" t="s">
        <v>81</v>
      </c>
      <c r="K38" s="108"/>
      <c r="L38" s="109">
        <f>+L30+L37</f>
        <v>0</v>
      </c>
      <c r="M38" s="85"/>
      <c r="N38" s="107" t="s">
        <v>81</v>
      </c>
      <c r="O38" s="108"/>
      <c r="P38" s="109">
        <f>+P30+P37</f>
        <v>0</v>
      </c>
      <c r="Q38" s="85"/>
      <c r="R38" s="107" t="s">
        <v>81</v>
      </c>
      <c r="S38" s="108"/>
      <c r="T38" s="109">
        <f>+T30+T37</f>
        <v>0</v>
      </c>
      <c r="U38" s="85"/>
      <c r="V38" s="85"/>
      <c r="W38" s="107" t="s">
        <v>81</v>
      </c>
      <c r="X38" s="108"/>
      <c r="Y38" s="109">
        <f>+Y30+Y37</f>
        <v>0</v>
      </c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</row>
    <row r="39" spans="2:38" x14ac:dyDescent="0.25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</row>
    <row r="40" spans="2:38" x14ac:dyDescent="0.25"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</row>
  </sheetData>
  <mergeCells count="27">
    <mergeCell ref="AB5:AF5"/>
    <mergeCell ref="AI21:AL21"/>
    <mergeCell ref="AB21:AF21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41"/>
  <sheetViews>
    <sheetView topLeftCell="G1" zoomScale="70" zoomScaleNormal="70" workbookViewId="0">
      <selection activeCell="AD42" sqref="AD42"/>
    </sheetView>
  </sheetViews>
  <sheetFormatPr defaultRowHeight="15" x14ac:dyDescent="0.25"/>
  <cols>
    <col min="2" max="2" width="15.42578125" bestFit="1" customWidth="1"/>
    <col min="3" max="3" width="15.7109375" bestFit="1" customWidth="1"/>
    <col min="4" max="4" width="11" bestFit="1" customWidth="1"/>
    <col min="5" max="5" width="1.5703125" customWidth="1"/>
    <col min="6" max="6" width="15.7109375" bestFit="1" customWidth="1"/>
    <col min="7" max="7" width="16.42578125" bestFit="1" customWidth="1"/>
    <col min="8" max="8" width="11.42578125" bestFit="1" customWidth="1"/>
    <col min="9" max="9" width="1.5703125" customWidth="1"/>
    <col min="12" max="12" width="11.42578125" bestFit="1" customWidth="1"/>
    <col min="13" max="13" width="1" customWidth="1"/>
    <col min="16" max="16" width="11.42578125" bestFit="1" customWidth="1"/>
    <col min="17" max="17" width="1.140625" customWidth="1"/>
    <col min="19" max="20" width="14.5703125" bestFit="1" customWidth="1"/>
    <col min="21" max="21" width="1.42578125" customWidth="1"/>
    <col min="22" max="22" width="1.85546875" customWidth="1"/>
    <col min="25" max="25" width="14.5703125" bestFit="1" customWidth="1"/>
    <col min="26" max="26" width="1.5703125" customWidth="1"/>
    <col min="28" max="28" width="15.28515625" bestFit="1" customWidth="1"/>
    <col min="29" max="29" width="12.85546875" bestFit="1" customWidth="1"/>
    <col min="30" max="30" width="17.7109375" bestFit="1" customWidth="1"/>
    <col min="31" max="31" width="18.28515625" bestFit="1" customWidth="1"/>
    <col min="32" max="32" width="10.28515625" bestFit="1" customWidth="1"/>
    <col min="35" max="35" width="14.42578125" bestFit="1" customWidth="1"/>
    <col min="36" max="36" width="9.7109375" bestFit="1" customWidth="1"/>
    <col min="37" max="37" width="14.5703125" bestFit="1" customWidth="1"/>
    <col min="38" max="38" width="10.7109375" customWidth="1"/>
  </cols>
  <sheetData>
    <row r="2" spans="2:38" ht="15.75" thickBot="1" x14ac:dyDescent="0.3"/>
    <row r="3" spans="2:38" x14ac:dyDescent="0.25">
      <c r="B3" s="240" t="s">
        <v>0</v>
      </c>
      <c r="C3" s="240"/>
      <c r="D3" s="240"/>
      <c r="E3" s="85"/>
      <c r="F3" s="240" t="s">
        <v>1</v>
      </c>
      <c r="G3" s="240"/>
      <c r="H3" s="240"/>
      <c r="I3" s="85"/>
      <c r="J3" s="240" t="s">
        <v>2</v>
      </c>
      <c r="K3" s="240"/>
      <c r="L3" s="240"/>
      <c r="M3" s="85"/>
      <c r="N3" s="240" t="s">
        <v>527</v>
      </c>
      <c r="O3" s="240"/>
      <c r="P3" s="240"/>
      <c r="Q3" s="85"/>
      <c r="R3" s="240" t="s">
        <v>4</v>
      </c>
      <c r="S3" s="240"/>
      <c r="T3" s="240"/>
      <c r="U3" s="85"/>
      <c r="V3" s="94"/>
      <c r="W3" s="244" t="s">
        <v>5</v>
      </c>
      <c r="X3" s="244"/>
      <c r="Y3" s="244"/>
      <c r="Z3" s="196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</row>
    <row r="4" spans="2:38" x14ac:dyDescent="0.25">
      <c r="B4" s="88" t="s">
        <v>6</v>
      </c>
      <c r="C4" s="88" t="s">
        <v>7</v>
      </c>
      <c r="D4" s="88" t="s">
        <v>8</v>
      </c>
      <c r="E4" s="85"/>
      <c r="F4" s="88" t="s">
        <v>6</v>
      </c>
      <c r="G4" s="88" t="s">
        <v>7</v>
      </c>
      <c r="H4" s="88" t="s">
        <v>8</v>
      </c>
      <c r="I4" s="85"/>
      <c r="J4" s="88" t="s">
        <v>6</v>
      </c>
      <c r="K4" s="88" t="s">
        <v>7</v>
      </c>
      <c r="L4" s="88" t="s">
        <v>8</v>
      </c>
      <c r="M4" s="85"/>
      <c r="N4" s="88" t="s">
        <v>6</v>
      </c>
      <c r="O4" s="88" t="s">
        <v>7</v>
      </c>
      <c r="P4" s="88" t="s">
        <v>8</v>
      </c>
      <c r="Q4" s="85"/>
      <c r="R4" s="88" t="s">
        <v>6</v>
      </c>
      <c r="S4" s="88" t="s">
        <v>7</v>
      </c>
      <c r="T4" s="88" t="s">
        <v>8</v>
      </c>
      <c r="U4" s="85"/>
      <c r="V4" s="96"/>
      <c r="W4" s="98" t="s">
        <v>6</v>
      </c>
      <c r="X4" s="98" t="s">
        <v>7</v>
      </c>
      <c r="Y4" s="98" t="s">
        <v>8</v>
      </c>
      <c r="Z4" s="97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</row>
    <row r="5" spans="2:38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>
        <v>18</v>
      </c>
      <c r="H5" s="120">
        <f>+G5*F5</f>
        <v>18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>
        <v>24</v>
      </c>
      <c r="P5" s="120">
        <f>+O5*N5</f>
        <v>24</v>
      </c>
      <c r="Q5" s="110"/>
      <c r="R5" s="113">
        <v>1</v>
      </c>
      <c r="S5" s="113"/>
      <c r="T5" s="120">
        <f>+S5*R5</f>
        <v>0</v>
      </c>
      <c r="U5" s="110"/>
      <c r="V5" s="111"/>
      <c r="W5" s="122">
        <v>1</v>
      </c>
      <c r="X5" s="123">
        <f>+C5+G5+K5+O5+S5</f>
        <v>42</v>
      </c>
      <c r="Y5" s="121">
        <f>+D5+H5+L5+P5+T5</f>
        <v>42</v>
      </c>
      <c r="Z5" s="112"/>
      <c r="AA5" s="110"/>
      <c r="AB5" s="241" t="s">
        <v>9</v>
      </c>
      <c r="AC5" s="241"/>
      <c r="AD5" s="241"/>
      <c r="AE5" s="241"/>
      <c r="AF5" s="241"/>
      <c r="AG5" s="85"/>
      <c r="AH5" s="85"/>
      <c r="AI5" s="88" t="s">
        <v>6</v>
      </c>
      <c r="AJ5" s="88" t="s">
        <v>7</v>
      </c>
      <c r="AK5" s="88" t="s">
        <v>8</v>
      </c>
      <c r="AL5" s="85"/>
    </row>
    <row r="6" spans="2:38" ht="15.75" thickTop="1" x14ac:dyDescent="0.25">
      <c r="B6" s="86">
        <v>10</v>
      </c>
      <c r="C6" s="86">
        <v>24</v>
      </c>
      <c r="D6" s="120">
        <f>+C6*B6</f>
        <v>240</v>
      </c>
      <c r="E6" s="85"/>
      <c r="F6" s="86">
        <v>10</v>
      </c>
      <c r="G6" s="86">
        <v>148</v>
      </c>
      <c r="H6" s="120">
        <f>+G6*F6</f>
        <v>1480</v>
      </c>
      <c r="I6" s="85"/>
      <c r="J6" s="86">
        <v>10</v>
      </c>
      <c r="K6" s="86">
        <v>28</v>
      </c>
      <c r="L6" s="120">
        <f>+K6*J6</f>
        <v>280</v>
      </c>
      <c r="M6" s="85"/>
      <c r="N6" s="86">
        <v>10</v>
      </c>
      <c r="O6" s="86">
        <v>270</v>
      </c>
      <c r="P6" s="120">
        <f>+O6*N6</f>
        <v>2700</v>
      </c>
      <c r="Q6" s="85"/>
      <c r="R6" s="86">
        <v>10</v>
      </c>
      <c r="S6" s="86">
        <v>1</v>
      </c>
      <c r="T6" s="120">
        <f>+S6*R6</f>
        <v>10</v>
      </c>
      <c r="U6" s="85"/>
      <c r="V6" s="96"/>
      <c r="W6" s="123">
        <v>10</v>
      </c>
      <c r="X6" s="123">
        <f>+C6+G6+K6+O6+S6</f>
        <v>471</v>
      </c>
      <c r="Y6" s="121">
        <f>+D6+H6+L6+P6+T6</f>
        <v>4710</v>
      </c>
      <c r="Z6" s="97"/>
      <c r="AA6" s="85"/>
      <c r="AB6" s="85"/>
      <c r="AC6" s="85"/>
      <c r="AD6" s="85"/>
      <c r="AE6" s="85"/>
      <c r="AF6" s="85"/>
      <c r="AG6" s="85"/>
      <c r="AH6" s="85"/>
      <c r="AI6" s="113">
        <v>1</v>
      </c>
      <c r="AJ6" s="113"/>
      <c r="AK6" s="120">
        <f t="shared" ref="AK6:AK13" si="0">+AJ6*AI6</f>
        <v>0</v>
      </c>
      <c r="AL6" s="110"/>
    </row>
    <row r="7" spans="2:38" x14ac:dyDescent="0.25">
      <c r="B7" s="86">
        <v>20</v>
      </c>
      <c r="C7" s="86">
        <v>16</v>
      </c>
      <c r="D7" s="120">
        <f t="shared" ref="D7:D12" si="1">+C7*B7</f>
        <v>320</v>
      </c>
      <c r="E7" s="85"/>
      <c r="F7" s="86">
        <v>20</v>
      </c>
      <c r="G7" s="86">
        <v>65</v>
      </c>
      <c r="H7" s="120">
        <f t="shared" ref="H7:H12" si="2">+G7*F7</f>
        <v>1300</v>
      </c>
      <c r="I7" s="85"/>
      <c r="J7" s="86">
        <v>20</v>
      </c>
      <c r="K7" s="86">
        <v>10</v>
      </c>
      <c r="L7" s="120">
        <f t="shared" ref="L7:L12" si="3">+K7*J7</f>
        <v>200</v>
      </c>
      <c r="M7" s="85"/>
      <c r="N7" s="86">
        <v>20</v>
      </c>
      <c r="O7" s="86">
        <v>23</v>
      </c>
      <c r="P7" s="120">
        <f t="shared" ref="P7:P12" si="4">+O7*N7</f>
        <v>460</v>
      </c>
      <c r="Q7" s="85"/>
      <c r="R7" s="86">
        <v>20</v>
      </c>
      <c r="S7" s="86"/>
      <c r="T7" s="120">
        <f t="shared" ref="T7:T12" si="5">+S7*R7</f>
        <v>0</v>
      </c>
      <c r="U7" s="85"/>
      <c r="V7" s="96"/>
      <c r="W7" s="123">
        <v>20</v>
      </c>
      <c r="X7" s="123">
        <f>+C7+G7+K7+O7+S7</f>
        <v>114</v>
      </c>
      <c r="Y7" s="121">
        <f t="shared" ref="Y7:Y12" si="6">+D7+H7+L7+P7+T7</f>
        <v>2280</v>
      </c>
      <c r="Z7" s="97"/>
      <c r="AA7" s="85"/>
      <c r="AB7" s="141" t="s">
        <v>10</v>
      </c>
      <c r="AC7" s="142">
        <f>Y13</f>
        <v>225682</v>
      </c>
      <c r="AD7" s="110"/>
      <c r="AE7" s="110"/>
      <c r="AF7" s="110"/>
      <c r="AG7" s="110"/>
      <c r="AH7" s="85"/>
      <c r="AI7" s="86">
        <v>10</v>
      </c>
      <c r="AJ7" s="86">
        <v>471</v>
      </c>
      <c r="AK7" s="120">
        <f t="shared" si="0"/>
        <v>4710</v>
      </c>
      <c r="AL7" s="85"/>
    </row>
    <row r="8" spans="2:38" x14ac:dyDescent="0.25">
      <c r="B8" s="86">
        <v>50</v>
      </c>
      <c r="C8" s="86">
        <v>45</v>
      </c>
      <c r="D8" s="120">
        <f t="shared" si="1"/>
        <v>2250</v>
      </c>
      <c r="E8" s="85"/>
      <c r="F8" s="86">
        <v>50</v>
      </c>
      <c r="G8" s="86">
        <v>40</v>
      </c>
      <c r="H8" s="120">
        <f t="shared" si="2"/>
        <v>2000</v>
      </c>
      <c r="I8" s="85"/>
      <c r="J8" s="86">
        <v>50</v>
      </c>
      <c r="K8" s="86">
        <v>38</v>
      </c>
      <c r="L8" s="120">
        <f t="shared" si="3"/>
        <v>1900</v>
      </c>
      <c r="M8" s="85"/>
      <c r="N8" s="86">
        <v>50</v>
      </c>
      <c r="O8" s="86">
        <v>92</v>
      </c>
      <c r="P8" s="120">
        <f t="shared" si="4"/>
        <v>4600</v>
      </c>
      <c r="Q8" s="85"/>
      <c r="R8" s="86">
        <v>50</v>
      </c>
      <c r="S8" s="86"/>
      <c r="T8" s="120">
        <f t="shared" si="5"/>
        <v>0</v>
      </c>
      <c r="U8" s="85"/>
      <c r="V8" s="96"/>
      <c r="W8" s="123">
        <v>50</v>
      </c>
      <c r="X8" s="123">
        <f t="shared" ref="X8:X12" si="7">+C8+G8+K8+O8+S8</f>
        <v>215</v>
      </c>
      <c r="Y8" s="121">
        <f t="shared" si="6"/>
        <v>10750</v>
      </c>
      <c r="Z8" s="97"/>
      <c r="AA8" s="85"/>
      <c r="AB8" s="138" t="s">
        <v>11</v>
      </c>
      <c r="AC8" s="138">
        <f>+AF31</f>
        <v>105850</v>
      </c>
      <c r="AD8" s="85"/>
      <c r="AE8" s="85"/>
      <c r="AF8" s="85"/>
      <c r="AG8" s="85"/>
      <c r="AH8" s="85"/>
      <c r="AI8" s="86">
        <v>20</v>
      </c>
      <c r="AJ8" s="86">
        <v>114</v>
      </c>
      <c r="AK8" s="120">
        <f t="shared" si="0"/>
        <v>2280</v>
      </c>
      <c r="AL8" s="85"/>
    </row>
    <row r="9" spans="2:38" ht="15.75" thickBot="1" x14ac:dyDescent="0.3">
      <c r="B9" s="86">
        <v>100</v>
      </c>
      <c r="C9" s="86">
        <v>6</v>
      </c>
      <c r="D9" s="120">
        <f t="shared" si="1"/>
        <v>600</v>
      </c>
      <c r="E9" s="85"/>
      <c r="F9" s="86">
        <v>100</v>
      </c>
      <c r="G9" s="86">
        <v>59</v>
      </c>
      <c r="H9" s="120">
        <f t="shared" si="2"/>
        <v>5900</v>
      </c>
      <c r="I9" s="85"/>
      <c r="J9" s="86">
        <v>100</v>
      </c>
      <c r="K9" s="86">
        <v>40</v>
      </c>
      <c r="L9" s="120">
        <f t="shared" si="3"/>
        <v>4000</v>
      </c>
      <c r="M9" s="85"/>
      <c r="N9" s="86">
        <v>100</v>
      </c>
      <c r="O9" s="86">
        <v>58</v>
      </c>
      <c r="P9" s="120">
        <f t="shared" si="4"/>
        <v>5800</v>
      </c>
      <c r="Q9" s="85"/>
      <c r="R9" s="86">
        <v>100</v>
      </c>
      <c r="S9" s="86">
        <v>1</v>
      </c>
      <c r="T9" s="120">
        <f t="shared" si="5"/>
        <v>100</v>
      </c>
      <c r="U9" s="85"/>
      <c r="V9" s="96"/>
      <c r="W9" s="123">
        <v>100</v>
      </c>
      <c r="X9" s="123">
        <f t="shared" si="7"/>
        <v>164</v>
      </c>
      <c r="Y9" s="121">
        <f t="shared" si="6"/>
        <v>16400</v>
      </c>
      <c r="Z9" s="97"/>
      <c r="AA9" s="85"/>
      <c r="AB9" s="143" t="s">
        <v>12</v>
      </c>
      <c r="AC9" s="144">
        <f>SUM(AC7:AC8)</f>
        <v>331532</v>
      </c>
      <c r="AD9" s="85"/>
      <c r="AE9" s="85"/>
      <c r="AF9" s="85"/>
      <c r="AG9" s="85"/>
      <c r="AH9" s="85"/>
      <c r="AI9" s="86">
        <v>50</v>
      </c>
      <c r="AJ9" s="86">
        <v>226</v>
      </c>
      <c r="AK9" s="120">
        <f t="shared" si="0"/>
        <v>11300</v>
      </c>
      <c r="AL9" s="85"/>
    </row>
    <row r="10" spans="2:38" x14ac:dyDescent="0.25">
      <c r="B10" s="86">
        <v>500</v>
      </c>
      <c r="C10" s="86">
        <v>21</v>
      </c>
      <c r="D10" s="120">
        <f t="shared" si="1"/>
        <v>10500</v>
      </c>
      <c r="E10" s="85"/>
      <c r="F10" s="86">
        <v>500</v>
      </c>
      <c r="G10" s="86">
        <v>28</v>
      </c>
      <c r="H10" s="120">
        <f t="shared" si="2"/>
        <v>14000</v>
      </c>
      <c r="I10" s="85"/>
      <c r="J10" s="86">
        <v>500</v>
      </c>
      <c r="K10" s="86">
        <v>36</v>
      </c>
      <c r="L10" s="120">
        <f t="shared" si="3"/>
        <v>18000</v>
      </c>
      <c r="M10" s="85"/>
      <c r="N10" s="86">
        <v>500</v>
      </c>
      <c r="O10" s="86">
        <v>11</v>
      </c>
      <c r="P10" s="120">
        <f t="shared" si="4"/>
        <v>5500</v>
      </c>
      <c r="Q10" s="85"/>
      <c r="R10" s="86">
        <v>500</v>
      </c>
      <c r="S10" s="86">
        <v>1</v>
      </c>
      <c r="T10" s="120">
        <f t="shared" si="5"/>
        <v>500</v>
      </c>
      <c r="U10" s="85"/>
      <c r="V10" s="96"/>
      <c r="W10" s="123">
        <v>500</v>
      </c>
      <c r="X10" s="123">
        <f t="shared" si="7"/>
        <v>97</v>
      </c>
      <c r="Y10" s="121">
        <f t="shared" si="6"/>
        <v>48500</v>
      </c>
      <c r="Z10" s="97"/>
      <c r="AA10" s="85"/>
      <c r="AB10" s="85"/>
      <c r="AC10" s="85"/>
      <c r="AD10" s="85"/>
      <c r="AE10" s="85"/>
      <c r="AF10" s="85"/>
      <c r="AG10" s="85"/>
      <c r="AH10" s="85"/>
      <c r="AI10" s="86">
        <v>100</v>
      </c>
      <c r="AJ10" s="86">
        <v>182</v>
      </c>
      <c r="AK10" s="120">
        <f t="shared" si="0"/>
        <v>18200</v>
      </c>
      <c r="AL10" s="85"/>
    </row>
    <row r="11" spans="2:38" x14ac:dyDescent="0.25">
      <c r="B11" s="86">
        <v>1000</v>
      </c>
      <c r="C11" s="86">
        <v>25</v>
      </c>
      <c r="D11" s="120">
        <f t="shared" si="1"/>
        <v>25000</v>
      </c>
      <c r="E11" s="85"/>
      <c r="F11" s="86">
        <v>1000</v>
      </c>
      <c r="G11" s="86">
        <v>23</v>
      </c>
      <c r="H11" s="120">
        <f t="shared" si="2"/>
        <v>23000</v>
      </c>
      <c r="I11" s="85"/>
      <c r="J11" s="86">
        <v>1000</v>
      </c>
      <c r="K11" s="86">
        <v>25</v>
      </c>
      <c r="L11" s="120">
        <f t="shared" si="3"/>
        <v>25000</v>
      </c>
      <c r="M11" s="85"/>
      <c r="N11" s="86">
        <v>1000</v>
      </c>
      <c r="O11" s="86">
        <v>17</v>
      </c>
      <c r="P11" s="120">
        <f t="shared" si="4"/>
        <v>17000</v>
      </c>
      <c r="Q11" s="85"/>
      <c r="R11" s="86">
        <v>1000</v>
      </c>
      <c r="S11" s="86">
        <v>23</v>
      </c>
      <c r="T11" s="120">
        <f t="shared" si="5"/>
        <v>23000</v>
      </c>
      <c r="U11" s="85"/>
      <c r="V11" s="96"/>
      <c r="W11" s="123">
        <v>1000</v>
      </c>
      <c r="X11" s="123">
        <f t="shared" si="7"/>
        <v>113</v>
      </c>
      <c r="Y11" s="121">
        <f t="shared" si="6"/>
        <v>113000</v>
      </c>
      <c r="Z11" s="97"/>
      <c r="AA11" s="85"/>
      <c r="AB11" s="132" t="s">
        <v>13</v>
      </c>
      <c r="AC11" s="132" t="s">
        <v>8</v>
      </c>
      <c r="AD11" s="132" t="s">
        <v>14</v>
      </c>
      <c r="AE11" s="132" t="s">
        <v>15</v>
      </c>
      <c r="AF11" s="132" t="s">
        <v>16</v>
      </c>
      <c r="AG11" s="85"/>
      <c r="AH11" s="85"/>
      <c r="AI11" s="86">
        <v>500</v>
      </c>
      <c r="AJ11" s="86">
        <v>216</v>
      </c>
      <c r="AK11" s="120">
        <f t="shared" si="0"/>
        <v>108000</v>
      </c>
      <c r="AL11" s="85"/>
    </row>
    <row r="12" spans="2:38" x14ac:dyDescent="0.25">
      <c r="B12" s="86">
        <v>5000</v>
      </c>
      <c r="C12" s="86">
        <v>2</v>
      </c>
      <c r="D12" s="120">
        <f t="shared" si="1"/>
        <v>10000</v>
      </c>
      <c r="E12" s="85"/>
      <c r="F12" s="86">
        <v>5000</v>
      </c>
      <c r="G12" s="86">
        <v>1</v>
      </c>
      <c r="H12" s="120">
        <f t="shared" si="2"/>
        <v>5000</v>
      </c>
      <c r="I12" s="85"/>
      <c r="J12" s="86">
        <v>5000</v>
      </c>
      <c r="K12" s="86">
        <v>2</v>
      </c>
      <c r="L12" s="120">
        <f t="shared" si="3"/>
        <v>10000</v>
      </c>
      <c r="M12" s="85"/>
      <c r="N12" s="86">
        <v>5000</v>
      </c>
      <c r="O12" s="86"/>
      <c r="P12" s="120">
        <f t="shared" si="4"/>
        <v>0</v>
      </c>
      <c r="Q12" s="85"/>
      <c r="R12" s="86">
        <v>5000</v>
      </c>
      <c r="S12" s="86">
        <v>1</v>
      </c>
      <c r="T12" s="120">
        <f t="shared" si="5"/>
        <v>5000</v>
      </c>
      <c r="U12" s="85"/>
      <c r="V12" s="96"/>
      <c r="W12" s="123">
        <v>5000</v>
      </c>
      <c r="X12" s="123">
        <f t="shared" si="7"/>
        <v>6</v>
      </c>
      <c r="Y12" s="121">
        <f t="shared" si="6"/>
        <v>30000</v>
      </c>
      <c r="Z12" s="97"/>
      <c r="AA12" s="85"/>
      <c r="AB12" s="85" t="s">
        <v>17</v>
      </c>
      <c r="AC12" s="89">
        <v>326780</v>
      </c>
      <c r="AD12" s="85">
        <v>74512</v>
      </c>
      <c r="AE12" s="137" t="s">
        <v>532</v>
      </c>
      <c r="AF12" s="85" t="s">
        <v>533</v>
      </c>
      <c r="AG12" s="85"/>
      <c r="AH12" s="85"/>
      <c r="AI12" s="86">
        <v>1000</v>
      </c>
      <c r="AJ12" s="86">
        <v>157</v>
      </c>
      <c r="AK12" s="120">
        <f t="shared" si="0"/>
        <v>157000</v>
      </c>
      <c r="AL12" s="85"/>
    </row>
    <row r="13" spans="2:38" ht="15.75" thickBot="1" x14ac:dyDescent="0.3">
      <c r="B13" s="87" t="s">
        <v>18</v>
      </c>
      <c r="C13" s="87"/>
      <c r="D13" s="90">
        <f>+SUM(D5:D12)</f>
        <v>48910</v>
      </c>
      <c r="E13" s="85"/>
      <c r="F13" s="87" t="s">
        <v>18</v>
      </c>
      <c r="G13" s="87"/>
      <c r="H13" s="90">
        <f>+SUM(H5:H12)</f>
        <v>52698</v>
      </c>
      <c r="I13" s="85"/>
      <c r="J13" s="87" t="s">
        <v>18</v>
      </c>
      <c r="K13" s="87"/>
      <c r="L13" s="90">
        <f>+SUM(L5:L12)</f>
        <v>59380</v>
      </c>
      <c r="M13" s="85"/>
      <c r="N13" s="87" t="s">
        <v>18</v>
      </c>
      <c r="O13" s="87"/>
      <c r="P13" s="90">
        <f>+SUM(P5:P12)</f>
        <v>36084</v>
      </c>
      <c r="Q13" s="85"/>
      <c r="R13" s="87" t="s">
        <v>18</v>
      </c>
      <c r="S13" s="87"/>
      <c r="T13" s="90">
        <f>+SUM(T5:T12)</f>
        <v>28610</v>
      </c>
      <c r="U13" s="85"/>
      <c r="V13" s="96"/>
      <c r="W13" s="87" t="s">
        <v>18</v>
      </c>
      <c r="X13" s="87"/>
      <c r="Y13" s="90">
        <f>+SUM(Y5:Y12)</f>
        <v>225682</v>
      </c>
      <c r="Z13" s="97"/>
      <c r="AA13" s="85"/>
      <c r="AB13" s="85" t="s">
        <v>19</v>
      </c>
      <c r="AC13" s="89">
        <v>4071</v>
      </c>
      <c r="AD13" s="85"/>
      <c r="AE13" s="85"/>
      <c r="AF13" s="85"/>
      <c r="AG13" s="85"/>
      <c r="AH13" s="85"/>
      <c r="AI13" s="86">
        <v>5000</v>
      </c>
      <c r="AJ13" s="86">
        <v>6</v>
      </c>
      <c r="AK13" s="120">
        <f t="shared" si="0"/>
        <v>30000</v>
      </c>
      <c r="AL13" s="85"/>
    </row>
    <row r="14" spans="2:38" ht="15.75" thickBot="1" x14ac:dyDescent="0.3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96"/>
      <c r="W14" s="100"/>
      <c r="X14" s="100"/>
      <c r="Y14" s="100"/>
      <c r="Z14" s="97"/>
      <c r="AA14" s="85"/>
      <c r="AB14" s="85" t="s">
        <v>20</v>
      </c>
      <c r="AC14" s="89"/>
      <c r="AD14" s="85"/>
      <c r="AE14" s="85"/>
      <c r="AF14" s="85"/>
      <c r="AG14" s="85"/>
      <c r="AH14" s="85"/>
      <c r="AI14" s="87" t="s">
        <v>18</v>
      </c>
      <c r="AJ14" s="87"/>
      <c r="AK14" s="90">
        <f>+SUM(AK6:AK13)</f>
        <v>331490</v>
      </c>
      <c r="AL14" s="85"/>
    </row>
    <row r="15" spans="2:38" ht="15.75" thickBot="1" x14ac:dyDescent="0.3">
      <c r="B15" s="242" t="s">
        <v>21</v>
      </c>
      <c r="C15" s="243"/>
      <c r="D15" s="92">
        <v>60213</v>
      </c>
      <c r="E15" s="114"/>
      <c r="F15" s="242" t="s">
        <v>21</v>
      </c>
      <c r="G15" s="243"/>
      <c r="H15" s="92">
        <v>91169</v>
      </c>
      <c r="I15" s="114"/>
      <c r="J15" s="242" t="s">
        <v>21</v>
      </c>
      <c r="K15" s="243"/>
      <c r="L15" s="92">
        <v>64767</v>
      </c>
      <c r="M15" s="114"/>
      <c r="N15" s="242" t="s">
        <v>21</v>
      </c>
      <c r="O15" s="243"/>
      <c r="P15" s="92">
        <v>36027</v>
      </c>
      <c r="Q15" s="114"/>
      <c r="R15" s="242" t="s">
        <v>21</v>
      </c>
      <c r="S15" s="243"/>
      <c r="T15" s="92">
        <v>1557363</v>
      </c>
      <c r="U15" s="114"/>
      <c r="V15" s="115"/>
      <c r="W15" s="242" t="s">
        <v>21</v>
      </c>
      <c r="X15" s="243"/>
      <c r="Y15" s="92">
        <f>+D15+H15+L15+P15+T15</f>
        <v>1809539</v>
      </c>
      <c r="Z15" s="116"/>
      <c r="AA15" s="114"/>
      <c r="AB15" s="85" t="s">
        <v>22</v>
      </c>
      <c r="AC15" s="89"/>
      <c r="AD15" s="85"/>
      <c r="AE15" s="85"/>
      <c r="AF15" s="85"/>
      <c r="AG15" s="85"/>
      <c r="AH15" s="85"/>
      <c r="AI15" s="85"/>
      <c r="AJ15" s="85"/>
      <c r="AK15" s="85"/>
      <c r="AL15" s="85"/>
    </row>
    <row r="16" spans="2:38" x14ac:dyDescent="0.25">
      <c r="B16" s="85" t="s">
        <v>10</v>
      </c>
      <c r="C16" s="85"/>
      <c r="D16" s="89">
        <f>+D13</f>
        <v>48910</v>
      </c>
      <c r="E16" s="85"/>
      <c r="F16" s="85" t="s">
        <v>10</v>
      </c>
      <c r="G16" s="85"/>
      <c r="H16" s="89">
        <f>+H13</f>
        <v>52698</v>
      </c>
      <c r="I16" s="85"/>
      <c r="J16" s="85" t="s">
        <v>10</v>
      </c>
      <c r="K16" s="85"/>
      <c r="L16" s="89">
        <f>+L13</f>
        <v>59380</v>
      </c>
      <c r="M16" s="85"/>
      <c r="N16" s="85" t="s">
        <v>10</v>
      </c>
      <c r="O16" s="85"/>
      <c r="P16" s="89">
        <f>+P13</f>
        <v>36084</v>
      </c>
      <c r="Q16" s="85"/>
      <c r="R16" s="85" t="s">
        <v>10</v>
      </c>
      <c r="S16" s="85"/>
      <c r="T16" s="89">
        <f>+T13</f>
        <v>28610</v>
      </c>
      <c r="U16" s="85"/>
      <c r="V16" s="96"/>
      <c r="W16" s="124" t="s">
        <v>10</v>
      </c>
      <c r="X16" s="124"/>
      <c r="Y16" s="121">
        <f>+D16+H16+L16+P16+T16</f>
        <v>225682</v>
      </c>
      <c r="Z16" s="97"/>
      <c r="AA16" s="85"/>
      <c r="AB16" s="85" t="s">
        <v>23</v>
      </c>
      <c r="AC16" s="89"/>
      <c r="AD16" s="85"/>
      <c r="AE16" s="85"/>
      <c r="AF16" s="85"/>
      <c r="AG16" s="85"/>
      <c r="AH16" s="85"/>
      <c r="AI16" s="85"/>
      <c r="AJ16" s="85"/>
      <c r="AK16" s="85"/>
      <c r="AL16" s="85"/>
    </row>
    <row r="17" spans="2:38" x14ac:dyDescent="0.25">
      <c r="B17" s="85" t="s">
        <v>17</v>
      </c>
      <c r="C17" s="85"/>
      <c r="D17" s="89"/>
      <c r="E17" s="85"/>
      <c r="F17" s="85" t="s">
        <v>17</v>
      </c>
      <c r="G17" s="85"/>
      <c r="H17" s="89"/>
      <c r="I17" s="85"/>
      <c r="J17" s="85" t="s">
        <v>17</v>
      </c>
      <c r="K17" s="85"/>
      <c r="L17" s="89"/>
      <c r="M17" s="85"/>
      <c r="N17" s="85" t="s">
        <v>17</v>
      </c>
      <c r="O17" s="85"/>
      <c r="P17" s="89"/>
      <c r="Q17" s="85"/>
      <c r="R17" s="85" t="s">
        <v>17</v>
      </c>
      <c r="S17" s="85"/>
      <c r="T17" s="89"/>
      <c r="U17" s="85"/>
      <c r="V17" s="96"/>
      <c r="W17" s="124" t="s">
        <v>17</v>
      </c>
      <c r="X17" s="124"/>
      <c r="Y17" s="121">
        <f t="shared" ref="Y17:Y27" si="8">+D17+H17+L17+P17+T17</f>
        <v>0</v>
      </c>
      <c r="Z17" s="97"/>
      <c r="AA17" s="85"/>
      <c r="AB17" s="133" t="s">
        <v>12</v>
      </c>
      <c r="AC17" s="134">
        <f>+SUM(AC12:AC16)</f>
        <v>330851</v>
      </c>
      <c r="AD17" s="160"/>
      <c r="AE17" s="85"/>
      <c r="AF17" s="85"/>
      <c r="AG17" s="85"/>
      <c r="AH17" s="85"/>
      <c r="AI17" s="85"/>
      <c r="AJ17" s="85"/>
      <c r="AK17" s="85"/>
      <c r="AL17" s="85"/>
    </row>
    <row r="18" spans="2:38" x14ac:dyDescent="0.25">
      <c r="B18" s="85" t="s">
        <v>518</v>
      </c>
      <c r="C18" s="85" t="s">
        <v>519</v>
      </c>
      <c r="D18" s="89">
        <v>9846</v>
      </c>
      <c r="E18" s="85"/>
      <c r="F18" s="85" t="s">
        <v>272</v>
      </c>
      <c r="G18" s="100" t="s">
        <v>512</v>
      </c>
      <c r="H18" s="149">
        <v>6774</v>
      </c>
      <c r="I18" s="85"/>
      <c r="J18" s="85" t="s">
        <v>26</v>
      </c>
      <c r="K18" s="85"/>
      <c r="L18" s="89"/>
      <c r="M18" s="85"/>
      <c r="N18" s="85" t="s">
        <v>26</v>
      </c>
      <c r="O18" s="85"/>
      <c r="P18" s="89"/>
      <c r="Q18" s="85"/>
      <c r="R18" s="85" t="s">
        <v>26</v>
      </c>
      <c r="S18" s="85"/>
      <c r="T18" s="89"/>
      <c r="U18" s="85"/>
      <c r="V18" s="96"/>
      <c r="W18" s="124" t="s">
        <v>26</v>
      </c>
      <c r="X18" s="124"/>
      <c r="Y18" s="121">
        <f t="shared" si="8"/>
        <v>16620</v>
      </c>
      <c r="Z18" s="97"/>
      <c r="AA18" s="85"/>
      <c r="AB18" s="135" t="s">
        <v>32</v>
      </c>
      <c r="AC18" s="136">
        <f>+AC17-AC9</f>
        <v>-681</v>
      </c>
      <c r="AD18" s="85" t="s">
        <v>33</v>
      </c>
      <c r="AE18" s="85"/>
      <c r="AF18" s="85"/>
      <c r="AG18" s="85"/>
      <c r="AH18" s="85"/>
      <c r="AI18" s="85"/>
      <c r="AJ18" s="85"/>
      <c r="AK18" s="85"/>
      <c r="AL18" s="85"/>
    </row>
    <row r="19" spans="2:38" x14ac:dyDescent="0.25">
      <c r="B19" s="85" t="s">
        <v>34</v>
      </c>
      <c r="C19" s="85"/>
      <c r="D19" s="89"/>
      <c r="E19" s="85"/>
      <c r="F19" s="85" t="s">
        <v>350</v>
      </c>
      <c r="G19" s="100" t="s">
        <v>513</v>
      </c>
      <c r="H19" s="149">
        <v>6000</v>
      </c>
      <c r="I19" s="85"/>
      <c r="J19" s="85" t="s">
        <v>34</v>
      </c>
      <c r="K19" s="85"/>
      <c r="L19" s="89"/>
      <c r="M19" s="85"/>
      <c r="N19" s="85" t="s">
        <v>34</v>
      </c>
      <c r="O19" s="85"/>
      <c r="P19" s="89"/>
      <c r="Q19" s="85"/>
      <c r="R19" s="85" t="s">
        <v>34</v>
      </c>
      <c r="S19" s="85"/>
      <c r="T19" s="89"/>
      <c r="U19" s="85"/>
      <c r="V19" s="96"/>
      <c r="W19" s="124" t="s">
        <v>34</v>
      </c>
      <c r="X19" s="124"/>
      <c r="Y19" s="121">
        <f t="shared" si="8"/>
        <v>6000</v>
      </c>
      <c r="Z19" s="97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</row>
    <row r="20" spans="2:38" x14ac:dyDescent="0.25">
      <c r="B20" s="85" t="s">
        <v>36</v>
      </c>
      <c r="C20" s="85"/>
      <c r="D20" s="89"/>
      <c r="E20" s="85"/>
      <c r="F20" s="85" t="s">
        <v>516</v>
      </c>
      <c r="G20" s="100" t="s">
        <v>514</v>
      </c>
      <c r="H20" s="149">
        <v>14000</v>
      </c>
      <c r="I20" s="85"/>
      <c r="J20" s="85" t="s">
        <v>36</v>
      </c>
      <c r="K20" s="85"/>
      <c r="L20" s="89"/>
      <c r="M20" s="85"/>
      <c r="N20" s="85" t="s">
        <v>36</v>
      </c>
      <c r="O20" s="85"/>
      <c r="P20" s="89"/>
      <c r="Q20" s="85"/>
      <c r="R20" s="85" t="s">
        <v>36</v>
      </c>
      <c r="S20" s="85"/>
      <c r="T20" s="89"/>
      <c r="U20" s="85"/>
      <c r="V20" s="96"/>
      <c r="W20" s="124" t="s">
        <v>36</v>
      </c>
      <c r="X20" s="124"/>
      <c r="Y20" s="121">
        <f t="shared" si="8"/>
        <v>14000</v>
      </c>
      <c r="Z20" s="97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</row>
    <row r="21" spans="2:38" x14ac:dyDescent="0.25">
      <c r="B21" s="85"/>
      <c r="C21" s="85"/>
      <c r="D21" s="89"/>
      <c r="E21" s="85"/>
      <c r="F21" s="85" t="s">
        <v>517</v>
      </c>
      <c r="G21" s="100" t="s">
        <v>515</v>
      </c>
      <c r="H21" s="149">
        <v>11570</v>
      </c>
      <c r="I21" s="85"/>
      <c r="J21" s="85"/>
      <c r="K21" s="85"/>
      <c r="L21" s="89"/>
      <c r="M21" s="85"/>
      <c r="N21" s="85"/>
      <c r="O21" s="85"/>
      <c r="P21" s="89"/>
      <c r="Q21" s="85"/>
      <c r="R21" s="85"/>
      <c r="S21" s="85"/>
      <c r="T21" s="89"/>
      <c r="U21" s="85"/>
      <c r="V21" s="96"/>
      <c r="W21" s="124"/>
      <c r="X21" s="124"/>
      <c r="Y21" s="121">
        <f t="shared" si="8"/>
        <v>11570</v>
      </c>
      <c r="Z21" s="97"/>
      <c r="AA21" s="85"/>
      <c r="AB21" s="139" t="s">
        <v>37</v>
      </c>
      <c r="AC21" s="139"/>
      <c r="AD21" s="139"/>
      <c r="AE21" s="114"/>
      <c r="AF21" s="85"/>
      <c r="AG21" s="85"/>
      <c r="AH21" s="85"/>
      <c r="AI21" s="245" t="s">
        <v>38</v>
      </c>
      <c r="AJ21" s="245"/>
      <c r="AK21" s="245"/>
      <c r="AL21" s="245"/>
    </row>
    <row r="22" spans="2:38" x14ac:dyDescent="0.25">
      <c r="B22" s="85"/>
      <c r="C22" s="85"/>
      <c r="D22" s="89"/>
      <c r="E22" s="85"/>
      <c r="F22" s="85"/>
      <c r="G22" s="85"/>
      <c r="H22" s="89"/>
      <c r="I22" s="85"/>
      <c r="J22" s="85"/>
      <c r="K22" s="85"/>
      <c r="L22" s="89"/>
      <c r="M22" s="85"/>
      <c r="N22" s="85"/>
      <c r="O22" s="85"/>
      <c r="P22" s="89"/>
      <c r="Q22" s="85"/>
      <c r="R22" s="85"/>
      <c r="S22" s="85"/>
      <c r="T22" s="89"/>
      <c r="U22" s="85"/>
      <c r="V22" s="96"/>
      <c r="W22" s="124"/>
      <c r="X22" s="124"/>
      <c r="Y22" s="121">
        <f t="shared" si="8"/>
        <v>0</v>
      </c>
      <c r="Z22" s="97"/>
      <c r="AA22" s="85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G22" s="85"/>
      <c r="AH22" s="85"/>
      <c r="AI22" s="132" t="s">
        <v>41</v>
      </c>
      <c r="AJ22" s="132" t="s">
        <v>45</v>
      </c>
      <c r="AK22" s="132" t="s">
        <v>43</v>
      </c>
      <c r="AL22" s="132" t="s">
        <v>8</v>
      </c>
    </row>
    <row r="23" spans="2:38" x14ac:dyDescent="0.25">
      <c r="B23" s="85" t="s">
        <v>520</v>
      </c>
      <c r="C23" s="85" t="s">
        <v>521</v>
      </c>
      <c r="D23" s="89">
        <v>2953</v>
      </c>
      <c r="E23" s="85"/>
      <c r="F23" s="85" t="s">
        <v>46</v>
      </c>
      <c r="G23" s="85"/>
      <c r="H23" s="89"/>
      <c r="I23" s="85"/>
      <c r="J23" s="85" t="s">
        <v>511</v>
      </c>
      <c r="K23" s="166" t="s">
        <v>510</v>
      </c>
      <c r="L23" s="89">
        <v>5570</v>
      </c>
      <c r="M23" s="85"/>
      <c r="N23" s="85" t="s">
        <v>240</v>
      </c>
      <c r="O23" s="85"/>
      <c r="P23" s="89"/>
      <c r="Q23" s="85"/>
      <c r="R23" s="85" t="s">
        <v>507</v>
      </c>
      <c r="S23" s="85" t="s">
        <v>508</v>
      </c>
      <c r="T23" s="89">
        <v>50937</v>
      </c>
      <c r="U23" s="85"/>
      <c r="V23" s="96"/>
      <c r="W23" s="124" t="s">
        <v>46</v>
      </c>
      <c r="X23" s="124"/>
      <c r="Y23" s="121">
        <f t="shared" si="8"/>
        <v>59460</v>
      </c>
      <c r="Z23" s="97"/>
      <c r="AA23" s="85"/>
      <c r="AB23" s="100" t="s">
        <v>506</v>
      </c>
      <c r="AC23" s="204">
        <v>45864</v>
      </c>
      <c r="AD23" s="166" t="s">
        <v>505</v>
      </c>
      <c r="AE23" s="100"/>
      <c r="AF23" s="149">
        <v>100100</v>
      </c>
      <c r="AG23" s="85"/>
      <c r="AH23" s="85"/>
      <c r="AI23" s="85"/>
      <c r="AJ23" s="85"/>
      <c r="AK23" s="85"/>
      <c r="AL23" s="147"/>
    </row>
    <row r="24" spans="2:38" x14ac:dyDescent="0.25">
      <c r="B24" s="85" t="s">
        <v>54</v>
      </c>
      <c r="C24" s="85"/>
      <c r="D24" s="89"/>
      <c r="E24" s="85"/>
      <c r="F24" s="85" t="s">
        <v>54</v>
      </c>
      <c r="G24" s="85"/>
      <c r="H24" s="89"/>
      <c r="I24" s="85"/>
      <c r="J24" s="85" t="s">
        <v>54</v>
      </c>
      <c r="K24" s="85"/>
      <c r="L24" s="89"/>
      <c r="M24" s="85"/>
      <c r="N24" s="85" t="s">
        <v>240</v>
      </c>
      <c r="O24" s="85"/>
      <c r="P24" s="89"/>
      <c r="Q24" s="85"/>
      <c r="R24" s="85" t="s">
        <v>522</v>
      </c>
      <c r="S24" s="85" t="s">
        <v>523</v>
      </c>
      <c r="T24" s="89">
        <v>2664</v>
      </c>
      <c r="U24" s="85"/>
      <c r="V24" s="96"/>
      <c r="W24" s="124" t="s">
        <v>54</v>
      </c>
      <c r="X24" s="124"/>
      <c r="Y24" s="121">
        <f t="shared" si="8"/>
        <v>2664</v>
      </c>
      <c r="Z24" s="97"/>
      <c r="AA24" s="85"/>
      <c r="AB24" s="85" t="s">
        <v>489</v>
      </c>
      <c r="AC24" s="204">
        <v>45859</v>
      </c>
      <c r="AD24" s="166" t="s">
        <v>505</v>
      </c>
      <c r="AE24" s="85"/>
      <c r="AF24" s="147">
        <v>5750</v>
      </c>
      <c r="AG24" s="85"/>
      <c r="AH24" s="85"/>
      <c r="AI24" s="85"/>
      <c r="AJ24" s="85"/>
      <c r="AK24" s="85"/>
      <c r="AL24" s="147"/>
    </row>
    <row r="25" spans="2:38" x14ac:dyDescent="0.25">
      <c r="B25" s="85" t="s">
        <v>61</v>
      </c>
      <c r="C25" s="85"/>
      <c r="D25" s="89"/>
      <c r="E25" s="85"/>
      <c r="F25" s="85" t="s">
        <v>61</v>
      </c>
      <c r="G25" s="85"/>
      <c r="H25" s="89"/>
      <c r="I25" s="85"/>
      <c r="J25" s="85" t="s">
        <v>61</v>
      </c>
      <c r="K25" s="85"/>
      <c r="L25" s="89"/>
      <c r="M25" s="85"/>
      <c r="N25" s="85" t="s">
        <v>240</v>
      </c>
      <c r="O25" s="85"/>
      <c r="P25" s="89"/>
      <c r="Q25" s="85"/>
      <c r="R25" s="85" t="s">
        <v>524</v>
      </c>
      <c r="S25" s="85" t="s">
        <v>233</v>
      </c>
      <c r="T25" s="89">
        <v>71779</v>
      </c>
      <c r="U25" s="85"/>
      <c r="V25" s="96"/>
      <c r="W25" s="124" t="s">
        <v>61</v>
      </c>
      <c r="X25" s="124"/>
      <c r="Y25" s="121">
        <f t="shared" si="8"/>
        <v>71779</v>
      </c>
      <c r="Z25" s="97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147"/>
    </row>
    <row r="26" spans="2:38" x14ac:dyDescent="0.25">
      <c r="B26" s="85"/>
      <c r="C26" s="85"/>
      <c r="D26" s="89"/>
      <c r="E26" s="85"/>
      <c r="F26" s="85"/>
      <c r="G26" s="85"/>
      <c r="H26" s="89"/>
      <c r="I26" s="85"/>
      <c r="J26" s="85"/>
      <c r="K26" s="85"/>
      <c r="L26" s="89"/>
      <c r="M26" s="85"/>
      <c r="N26" s="85"/>
      <c r="O26" s="85"/>
      <c r="P26" s="89"/>
      <c r="Q26" s="85"/>
      <c r="R26" s="85" t="s">
        <v>525</v>
      </c>
      <c r="S26" s="85" t="s">
        <v>234</v>
      </c>
      <c r="T26" s="89">
        <v>1402779</v>
      </c>
      <c r="U26" s="85"/>
      <c r="V26" s="96"/>
      <c r="W26" s="124"/>
      <c r="X26" s="124"/>
      <c r="Y26" s="121">
        <f t="shared" si="8"/>
        <v>1402779</v>
      </c>
      <c r="Z26" s="97"/>
      <c r="AA26" s="85"/>
      <c r="AB26" s="85"/>
      <c r="AC26" s="85"/>
      <c r="AD26" s="85"/>
      <c r="AE26" s="85"/>
      <c r="AF26" s="104"/>
      <c r="AG26" s="85"/>
      <c r="AH26" s="85"/>
      <c r="AI26" s="85"/>
      <c r="AJ26" s="85"/>
      <c r="AK26" s="85"/>
      <c r="AL26" s="147"/>
    </row>
    <row r="27" spans="2:38" ht="15.75" thickBot="1" x14ac:dyDescent="0.3">
      <c r="B27" s="85"/>
      <c r="C27" s="85"/>
      <c r="D27" s="89"/>
      <c r="E27" s="85"/>
      <c r="F27" s="85"/>
      <c r="G27" s="85"/>
      <c r="H27" s="89"/>
      <c r="I27" s="85"/>
      <c r="J27" s="85"/>
      <c r="K27" s="85"/>
      <c r="L27" s="89"/>
      <c r="M27" s="85"/>
      <c r="N27" s="85"/>
      <c r="O27" s="85"/>
      <c r="P27" s="89"/>
      <c r="Q27" s="85"/>
      <c r="R27" s="85"/>
      <c r="S27" s="85"/>
      <c r="T27" s="89"/>
      <c r="U27" s="85"/>
      <c r="V27" s="96"/>
      <c r="W27" s="124"/>
      <c r="X27" s="124"/>
      <c r="Y27" s="121">
        <f t="shared" si="8"/>
        <v>0</v>
      </c>
      <c r="Z27" s="97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147"/>
    </row>
    <row r="28" spans="2:38" ht="15.75" thickBot="1" x14ac:dyDescent="0.3">
      <c r="B28" s="235" t="s">
        <v>12</v>
      </c>
      <c r="C28" s="236"/>
      <c r="D28" s="93">
        <f>+SUM(D16:D27)</f>
        <v>61709</v>
      </c>
      <c r="E28" s="85"/>
      <c r="F28" s="235" t="s">
        <v>12</v>
      </c>
      <c r="G28" s="236"/>
      <c r="H28" s="93">
        <f>+SUM(H16:H27)</f>
        <v>91042</v>
      </c>
      <c r="I28" s="85"/>
      <c r="J28" s="235" t="s">
        <v>12</v>
      </c>
      <c r="K28" s="236"/>
      <c r="L28" s="93">
        <f>+SUM(L16:L27)</f>
        <v>64950</v>
      </c>
      <c r="M28" s="85"/>
      <c r="N28" s="235" t="s">
        <v>12</v>
      </c>
      <c r="O28" s="236"/>
      <c r="P28" s="93">
        <f>+SUM(P16:P27)</f>
        <v>36084</v>
      </c>
      <c r="Q28" s="85"/>
      <c r="R28" s="235" t="s">
        <v>12</v>
      </c>
      <c r="S28" s="236"/>
      <c r="T28" s="93">
        <f>+SUM(T16:T27)</f>
        <v>1556769</v>
      </c>
      <c r="U28" s="85"/>
      <c r="V28" s="96"/>
      <c r="W28" s="235" t="s">
        <v>12</v>
      </c>
      <c r="X28" s="236"/>
      <c r="Y28" s="93">
        <f>+SUM(Y16:Y27)</f>
        <v>1810554</v>
      </c>
      <c r="Z28" s="97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147"/>
    </row>
    <row r="29" spans="2:38" x14ac:dyDescent="0.25">
      <c r="B29" s="85"/>
      <c r="C29" s="85"/>
      <c r="D29" s="89"/>
      <c r="E29" s="85"/>
      <c r="F29" s="85"/>
      <c r="G29" s="85"/>
      <c r="H29" s="89"/>
      <c r="I29" s="85"/>
      <c r="J29" s="85"/>
      <c r="K29" s="85"/>
      <c r="L29" s="89"/>
      <c r="M29" s="85"/>
      <c r="N29" s="85"/>
      <c r="O29" s="85"/>
      <c r="P29" s="89"/>
      <c r="Q29" s="85"/>
      <c r="R29" s="85"/>
      <c r="S29" s="85"/>
      <c r="T29" s="89"/>
      <c r="U29" s="85"/>
      <c r="V29" s="96"/>
      <c r="W29" s="100"/>
      <c r="X29" s="100"/>
      <c r="Y29" s="99"/>
      <c r="Z29" s="97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147"/>
    </row>
    <row r="30" spans="2:38" ht="15.75" thickBot="1" x14ac:dyDescent="0.3">
      <c r="B30" s="237" t="s">
        <v>75</v>
      </c>
      <c r="C30" s="237"/>
      <c r="D30" s="91">
        <f>+D28-D15</f>
        <v>1496</v>
      </c>
      <c r="E30" s="85"/>
      <c r="F30" s="237" t="s">
        <v>75</v>
      </c>
      <c r="G30" s="237"/>
      <c r="H30" s="91">
        <f>+H28-H15</f>
        <v>-127</v>
      </c>
      <c r="I30" s="85"/>
      <c r="J30" s="237" t="s">
        <v>75</v>
      </c>
      <c r="K30" s="237"/>
      <c r="L30" s="91">
        <f>+L28-L15</f>
        <v>183</v>
      </c>
      <c r="M30" s="85"/>
      <c r="N30" s="237" t="s">
        <v>75</v>
      </c>
      <c r="O30" s="237"/>
      <c r="P30" s="91">
        <f>+P28-P15</f>
        <v>57</v>
      </c>
      <c r="Q30" s="85"/>
      <c r="R30" s="237" t="s">
        <v>75</v>
      </c>
      <c r="S30" s="237"/>
      <c r="T30" s="91">
        <f>+T28-T15</f>
        <v>-594</v>
      </c>
      <c r="U30" s="85"/>
      <c r="V30" s="96"/>
      <c r="W30" s="238" t="s">
        <v>75</v>
      </c>
      <c r="X30" s="238"/>
      <c r="Y30" s="126">
        <f>+Y28-Y15</f>
        <v>1015</v>
      </c>
      <c r="Z30" s="97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147"/>
    </row>
    <row r="31" spans="2:38" ht="16.5" thickTop="1" thickBo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01"/>
      <c r="W31" s="102"/>
      <c r="X31" s="102"/>
      <c r="Y31" s="102"/>
      <c r="Z31" s="103"/>
      <c r="AA31" s="85"/>
      <c r="AB31" s="145" t="s">
        <v>74</v>
      </c>
      <c r="AC31" s="145"/>
      <c r="AD31" s="145"/>
      <c r="AE31" s="145"/>
      <c r="AF31" s="140">
        <f>+SUM(AF23:AF30)</f>
        <v>105850</v>
      </c>
      <c r="AG31" s="85"/>
      <c r="AH31" s="85"/>
      <c r="AI31" s="145" t="s">
        <v>74</v>
      </c>
      <c r="AJ31" s="145"/>
      <c r="AK31" s="145"/>
      <c r="AL31" s="140">
        <f>+SUM(AL23:AL30)</f>
        <v>0</v>
      </c>
    </row>
    <row r="32" spans="2:38" x14ac:dyDescent="0.2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</row>
    <row r="33" spans="2:38" ht="15.75" thickBo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</row>
    <row r="34" spans="2:38" x14ac:dyDescent="0.25">
      <c r="B34" s="94" t="s">
        <v>76</v>
      </c>
      <c r="C34" s="95"/>
      <c r="D34" s="105"/>
      <c r="E34" s="85"/>
      <c r="F34" s="94" t="s">
        <v>76</v>
      </c>
      <c r="G34" s="95"/>
      <c r="H34" s="105"/>
      <c r="I34" s="85"/>
      <c r="J34" s="94" t="s">
        <v>76</v>
      </c>
      <c r="K34" s="95"/>
      <c r="L34" s="105"/>
      <c r="M34" s="85"/>
      <c r="N34" s="94" t="s">
        <v>76</v>
      </c>
      <c r="O34" s="95"/>
      <c r="P34" s="105"/>
      <c r="Q34" s="85"/>
      <c r="R34" s="94" t="s">
        <v>76</v>
      </c>
      <c r="S34" s="95"/>
      <c r="T34" s="105"/>
      <c r="U34" s="85"/>
      <c r="V34" s="85"/>
      <c r="W34" s="127" t="s">
        <v>76</v>
      </c>
      <c r="X34" s="128"/>
      <c r="Y34" s="129">
        <f>+D34+H34+L34+P34+T34</f>
        <v>0</v>
      </c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</row>
    <row r="35" spans="2:38" x14ac:dyDescent="0.25">
      <c r="B35" s="96" t="s">
        <v>77</v>
      </c>
      <c r="C35" s="100"/>
      <c r="D35" s="106"/>
      <c r="E35" s="85"/>
      <c r="F35" s="96" t="s">
        <v>77</v>
      </c>
      <c r="G35" s="100"/>
      <c r="H35" s="106"/>
      <c r="I35" s="85"/>
      <c r="J35" s="96" t="s">
        <v>77</v>
      </c>
      <c r="K35" s="100"/>
      <c r="L35" s="106"/>
      <c r="M35" s="85"/>
      <c r="N35" s="96" t="s">
        <v>77</v>
      </c>
      <c r="O35" s="100"/>
      <c r="P35" s="106"/>
      <c r="Q35" s="85"/>
      <c r="R35" s="96" t="s">
        <v>526</v>
      </c>
      <c r="S35" s="100"/>
      <c r="T35" s="106">
        <v>594</v>
      </c>
      <c r="U35" s="85"/>
      <c r="V35" s="85"/>
      <c r="W35" s="130" t="s">
        <v>77</v>
      </c>
      <c r="X35" s="124"/>
      <c r="Y35" s="131">
        <f t="shared" ref="Y35:Y36" si="9">+D35+H35+L35+P35+T35</f>
        <v>594</v>
      </c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</row>
    <row r="36" spans="2:38" x14ac:dyDescent="0.25">
      <c r="B36" s="96" t="s">
        <v>79</v>
      </c>
      <c r="C36" s="100"/>
      <c r="D36" s="106">
        <v>-1496</v>
      </c>
      <c r="E36" s="85"/>
      <c r="F36" s="96" t="s">
        <v>79</v>
      </c>
      <c r="G36" s="100"/>
      <c r="H36" s="106">
        <v>127</v>
      </c>
      <c r="I36" s="85"/>
      <c r="J36" s="96" t="s">
        <v>79</v>
      </c>
      <c r="K36" s="100"/>
      <c r="L36" s="106">
        <v>-183</v>
      </c>
      <c r="M36" s="85"/>
      <c r="N36" s="96" t="s">
        <v>79</v>
      </c>
      <c r="O36" s="100"/>
      <c r="P36" s="106">
        <v>-57</v>
      </c>
      <c r="Q36" s="85"/>
      <c r="R36" s="96" t="s">
        <v>82</v>
      </c>
      <c r="S36" s="100"/>
      <c r="T36" s="106"/>
      <c r="U36" s="85"/>
      <c r="V36" s="85"/>
      <c r="W36" s="130" t="s">
        <v>78</v>
      </c>
      <c r="X36" s="124"/>
      <c r="Y36" s="131">
        <f t="shared" si="9"/>
        <v>-1609</v>
      </c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</row>
    <row r="37" spans="2:38" x14ac:dyDescent="0.25">
      <c r="B37" s="96" t="s">
        <v>18</v>
      </c>
      <c r="C37" s="100"/>
      <c r="D37" s="106">
        <f>+SUM(D34:D36)</f>
        <v>-1496</v>
      </c>
      <c r="E37" s="85"/>
      <c r="F37" s="96" t="s">
        <v>18</v>
      </c>
      <c r="G37" s="100"/>
      <c r="H37" s="106">
        <f>+SUM(H34:H36)</f>
        <v>127</v>
      </c>
      <c r="I37" s="85"/>
      <c r="J37" s="96" t="s">
        <v>18</v>
      </c>
      <c r="K37" s="100"/>
      <c r="L37" s="106">
        <f>+SUM(L34:L36)</f>
        <v>-183</v>
      </c>
      <c r="M37" s="85"/>
      <c r="N37" s="96" t="s">
        <v>18</v>
      </c>
      <c r="O37" s="100"/>
      <c r="P37" s="106">
        <f>+SUM(P34:P36)</f>
        <v>-57</v>
      </c>
      <c r="Q37" s="85"/>
      <c r="R37" s="96" t="s">
        <v>18</v>
      </c>
      <c r="S37" s="100"/>
      <c r="T37" s="106">
        <f>+SUM(T34:T36)</f>
        <v>594</v>
      </c>
      <c r="U37" s="85"/>
      <c r="V37" s="85"/>
      <c r="W37" s="117" t="s">
        <v>18</v>
      </c>
      <c r="X37" s="118"/>
      <c r="Y37" s="119">
        <f>+SUM(Y34:Y36)</f>
        <v>-1015</v>
      </c>
      <c r="Z37" s="85"/>
      <c r="AA37" s="85"/>
      <c r="AB37" s="85"/>
      <c r="AC37" s="100"/>
      <c r="AD37" s="85"/>
      <c r="AE37" s="85"/>
      <c r="AF37" s="85"/>
      <c r="AG37" s="85"/>
      <c r="AH37" s="85"/>
      <c r="AI37" s="85"/>
      <c r="AJ37" s="85"/>
      <c r="AK37" s="85"/>
      <c r="AL37" s="85"/>
    </row>
    <row r="38" spans="2:38" ht="15.75" thickBot="1" x14ac:dyDescent="0.3">
      <c r="B38" s="107" t="s">
        <v>81</v>
      </c>
      <c r="C38" s="108"/>
      <c r="D38" s="109">
        <f>+D30+D37</f>
        <v>0</v>
      </c>
      <c r="E38" s="85"/>
      <c r="F38" s="107" t="s">
        <v>81</v>
      </c>
      <c r="G38" s="108"/>
      <c r="H38" s="109">
        <f>+H30+H37</f>
        <v>0</v>
      </c>
      <c r="I38" s="85"/>
      <c r="J38" s="107" t="s">
        <v>81</v>
      </c>
      <c r="K38" s="108"/>
      <c r="L38" s="109">
        <f>+L30+L37</f>
        <v>0</v>
      </c>
      <c r="M38" s="85"/>
      <c r="N38" s="107" t="s">
        <v>81</v>
      </c>
      <c r="O38" s="108"/>
      <c r="P38" s="109">
        <f>+P30+P37</f>
        <v>0</v>
      </c>
      <c r="Q38" s="85"/>
      <c r="R38" s="107" t="s">
        <v>81</v>
      </c>
      <c r="S38" s="108"/>
      <c r="T38" s="109">
        <f>+T30+T37</f>
        <v>0</v>
      </c>
      <c r="U38" s="85"/>
      <c r="V38" s="85"/>
      <c r="W38" s="107" t="s">
        <v>81</v>
      </c>
      <c r="X38" s="108"/>
      <c r="Y38" s="109">
        <f>+Y30+Y37</f>
        <v>0</v>
      </c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</row>
    <row r="39" spans="2:38" x14ac:dyDescent="0.25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</row>
    <row r="40" spans="2:38" x14ac:dyDescent="0.25"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</row>
    <row r="41" spans="2:38" x14ac:dyDescent="0.25"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</row>
  </sheetData>
  <mergeCells count="26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AB5:AF5"/>
    <mergeCell ref="AI21:AL21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R39"/>
  <sheetViews>
    <sheetView topLeftCell="L2" zoomScale="80" zoomScaleNormal="80" workbookViewId="0">
      <selection activeCell="C19" sqref="C19"/>
    </sheetView>
  </sheetViews>
  <sheetFormatPr defaultRowHeight="15" x14ac:dyDescent="0.25"/>
  <cols>
    <col min="3" max="3" width="13.7109375" bestFit="1" customWidth="1"/>
    <col min="5" max="5" width="0.85546875" customWidth="1"/>
    <col min="6" max="6" width="13.5703125" bestFit="1" customWidth="1"/>
    <col min="7" max="7" width="11.42578125" bestFit="1" customWidth="1"/>
    <col min="9" max="9" width="1.28515625" customWidth="1"/>
    <col min="10" max="10" width="13.5703125" bestFit="1" customWidth="1"/>
    <col min="11" max="11" width="14.5703125" customWidth="1"/>
    <col min="13" max="13" width="1.28515625" customWidth="1"/>
    <col min="14" max="15" width="13.5703125" bestFit="1" customWidth="1"/>
    <col min="17" max="17" width="1.28515625" customWidth="1"/>
    <col min="19" max="19" width="18" bestFit="1" customWidth="1"/>
    <col min="20" max="20" width="10.5703125" bestFit="1" customWidth="1"/>
    <col min="21" max="22" width="1.85546875" customWidth="1"/>
    <col min="25" max="25" width="9.5703125" bestFit="1" customWidth="1"/>
    <col min="26" max="26" width="0.85546875" customWidth="1"/>
    <col min="28" max="28" width="15" bestFit="1" customWidth="1"/>
    <col min="29" max="29" width="12" bestFit="1" customWidth="1"/>
    <col min="30" max="30" width="18" bestFit="1" customWidth="1"/>
    <col min="31" max="31" width="13.85546875" bestFit="1" customWidth="1"/>
    <col min="36" max="36" width="13.85546875" bestFit="1" customWidth="1"/>
    <col min="37" max="37" width="19.5703125" bestFit="1" customWidth="1"/>
    <col min="40" max="41" width="9.5703125" bestFit="1" customWidth="1"/>
    <col min="44" max="44" width="9.5703125" bestFit="1" customWidth="1"/>
  </cols>
  <sheetData>
    <row r="2" spans="2:44" ht="15.75" thickBot="1" x14ac:dyDescent="0.3"/>
    <row r="3" spans="2:44" x14ac:dyDescent="0.25">
      <c r="B3" s="240" t="s">
        <v>0</v>
      </c>
      <c r="C3" s="240"/>
      <c r="D3" s="240"/>
      <c r="E3" s="85"/>
      <c r="F3" s="240" t="s">
        <v>1</v>
      </c>
      <c r="G3" s="240"/>
      <c r="H3" s="240"/>
      <c r="I3" s="85"/>
      <c r="J3" s="240" t="s">
        <v>2</v>
      </c>
      <c r="K3" s="240"/>
      <c r="L3" s="240"/>
      <c r="M3" s="85"/>
      <c r="N3" s="240" t="s">
        <v>3</v>
      </c>
      <c r="O3" s="240"/>
      <c r="P3" s="240"/>
      <c r="Q3" s="85"/>
      <c r="R3" s="240" t="s">
        <v>4</v>
      </c>
      <c r="S3" s="240"/>
      <c r="T3" s="240"/>
      <c r="U3" s="85"/>
      <c r="V3" s="94"/>
      <c r="W3" s="244" t="s">
        <v>5</v>
      </c>
      <c r="X3" s="244"/>
      <c r="Y3" s="244"/>
      <c r="Z3" s="196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</row>
    <row r="4" spans="2:44" x14ac:dyDescent="0.25">
      <c r="B4" s="88" t="s">
        <v>6</v>
      </c>
      <c r="C4" s="88" t="s">
        <v>7</v>
      </c>
      <c r="D4" s="88" t="s">
        <v>8</v>
      </c>
      <c r="E4" s="85"/>
      <c r="F4" s="88" t="s">
        <v>6</v>
      </c>
      <c r="G4" s="88" t="s">
        <v>7</v>
      </c>
      <c r="H4" s="88" t="s">
        <v>8</v>
      </c>
      <c r="I4" s="85"/>
      <c r="J4" s="88" t="s">
        <v>6</v>
      </c>
      <c r="K4" s="88" t="s">
        <v>7</v>
      </c>
      <c r="L4" s="88" t="s">
        <v>8</v>
      </c>
      <c r="M4" s="85"/>
      <c r="N4" s="88" t="s">
        <v>6</v>
      </c>
      <c r="O4" s="88" t="s">
        <v>7</v>
      </c>
      <c r="P4" s="88" t="s">
        <v>8</v>
      </c>
      <c r="Q4" s="85"/>
      <c r="R4" s="88" t="s">
        <v>6</v>
      </c>
      <c r="S4" s="88" t="s">
        <v>7</v>
      </c>
      <c r="T4" s="88" t="s">
        <v>8</v>
      </c>
      <c r="U4" s="85"/>
      <c r="V4" s="96"/>
      <c r="W4" s="98" t="s">
        <v>6</v>
      </c>
      <c r="X4" s="98" t="s">
        <v>7</v>
      </c>
      <c r="Y4" s="98" t="s">
        <v>8</v>
      </c>
      <c r="Z4" s="97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</row>
    <row r="5" spans="2:44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>
        <v>30</v>
      </c>
      <c r="H5" s="120">
        <f>+G5*F5</f>
        <v>30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>
        <v>2</v>
      </c>
      <c r="T5" s="120">
        <f>+S5*R5</f>
        <v>2</v>
      </c>
      <c r="U5" s="110"/>
      <c r="V5" s="111"/>
      <c r="W5" s="122">
        <v>1</v>
      </c>
      <c r="X5" s="123">
        <f>+C5+G5+K5+O5+S5</f>
        <v>32</v>
      </c>
      <c r="Y5" s="121">
        <f>+D5+H5+L5+P5+T5</f>
        <v>32</v>
      </c>
      <c r="Z5" s="112"/>
      <c r="AA5" s="110"/>
      <c r="AB5" s="207" t="s">
        <v>9</v>
      </c>
      <c r="AC5" s="205"/>
      <c r="AD5" s="205"/>
      <c r="AE5" s="205"/>
      <c r="AF5" s="205"/>
      <c r="AG5" s="208"/>
      <c r="AH5" s="88" t="s">
        <v>6</v>
      </c>
      <c r="AI5" s="88" t="s">
        <v>7</v>
      </c>
      <c r="AJ5" s="88" t="s">
        <v>8</v>
      </c>
      <c r="AL5" s="88" t="s">
        <v>6</v>
      </c>
      <c r="AM5" s="88" t="s">
        <v>7</v>
      </c>
      <c r="AN5" s="88" t="s">
        <v>8</v>
      </c>
      <c r="AO5" s="85"/>
      <c r="AP5" s="88" t="s">
        <v>6</v>
      </c>
      <c r="AQ5" s="88" t="s">
        <v>7</v>
      </c>
      <c r="AR5" s="88" t="s">
        <v>8</v>
      </c>
    </row>
    <row r="6" spans="2:44" ht="15.75" thickTop="1" x14ac:dyDescent="0.25">
      <c r="B6" s="86">
        <v>10</v>
      </c>
      <c r="C6" s="86">
        <v>343</v>
      </c>
      <c r="D6" s="120">
        <f>+C6*B6</f>
        <v>3430</v>
      </c>
      <c r="E6" s="85"/>
      <c r="F6" s="86">
        <v>10</v>
      </c>
      <c r="G6" s="86">
        <v>22</v>
      </c>
      <c r="H6" s="120">
        <f>+G6*F6</f>
        <v>220</v>
      </c>
      <c r="I6" s="85"/>
      <c r="J6" s="86">
        <v>10</v>
      </c>
      <c r="K6" s="86">
        <v>83</v>
      </c>
      <c r="L6" s="120">
        <f>+K6*J6</f>
        <v>830</v>
      </c>
      <c r="M6" s="85"/>
      <c r="N6" s="86">
        <v>10</v>
      </c>
      <c r="O6" s="86">
        <v>60</v>
      </c>
      <c r="P6" s="120">
        <f>+O6*N6</f>
        <v>600</v>
      </c>
      <c r="Q6" s="85"/>
      <c r="R6" s="86">
        <v>10</v>
      </c>
      <c r="S6" s="86"/>
      <c r="T6" s="120">
        <f>+S6*R6</f>
        <v>0</v>
      </c>
      <c r="U6" s="85"/>
      <c r="V6" s="96"/>
      <c r="W6" s="123">
        <v>10</v>
      </c>
      <c r="X6" s="123">
        <f>+C6+G6+K6+O6+S6</f>
        <v>508</v>
      </c>
      <c r="Y6" s="121">
        <f>+D6+H6+L6+P6+T6</f>
        <v>5080</v>
      </c>
      <c r="Z6" s="97"/>
      <c r="AA6" s="85"/>
      <c r="AB6" s="85"/>
      <c r="AC6" s="85"/>
      <c r="AD6" s="85"/>
      <c r="AE6" s="85"/>
      <c r="AF6" s="85"/>
      <c r="AG6" s="85"/>
      <c r="AH6" s="113">
        <v>1</v>
      </c>
      <c r="AI6" s="113">
        <v>37</v>
      </c>
      <c r="AJ6" s="120">
        <f t="shared" ref="AJ6:AJ13" si="0">+AI6*AH6</f>
        <v>37</v>
      </c>
      <c r="AL6" s="113">
        <v>1</v>
      </c>
      <c r="AM6" s="113"/>
      <c r="AN6" s="120">
        <f t="shared" ref="AN6:AN13" si="1">+AM6*AL6</f>
        <v>0</v>
      </c>
      <c r="AO6" s="110"/>
      <c r="AP6" s="113">
        <v>1</v>
      </c>
      <c r="AQ6" s="113"/>
      <c r="AR6" s="120">
        <f t="shared" ref="AR6:AR13" si="2">+AQ6*AP6</f>
        <v>0</v>
      </c>
    </row>
    <row r="7" spans="2:44" x14ac:dyDescent="0.25">
      <c r="B7" s="86">
        <v>20</v>
      </c>
      <c r="C7" s="86">
        <v>220</v>
      </c>
      <c r="D7" s="120">
        <f t="shared" ref="D7:D12" si="3">+C7*B7</f>
        <v>4400</v>
      </c>
      <c r="E7" s="85"/>
      <c r="F7" s="86">
        <v>20</v>
      </c>
      <c r="G7" s="86">
        <v>3</v>
      </c>
      <c r="H7" s="120">
        <f t="shared" ref="H7:H12" si="4">+G7*F7</f>
        <v>60</v>
      </c>
      <c r="I7" s="85"/>
      <c r="J7" s="86">
        <v>20</v>
      </c>
      <c r="K7" s="86">
        <v>26</v>
      </c>
      <c r="L7" s="120">
        <f t="shared" ref="L7:L12" si="5">+K7*J7</f>
        <v>520</v>
      </c>
      <c r="M7" s="85"/>
      <c r="N7" s="86">
        <v>20</v>
      </c>
      <c r="O7" s="86">
        <v>3</v>
      </c>
      <c r="P7" s="120">
        <f t="shared" ref="P7:P12" si="6">+O7*N7</f>
        <v>60</v>
      </c>
      <c r="Q7" s="85"/>
      <c r="R7" s="86">
        <v>20</v>
      </c>
      <c r="S7" s="86">
        <v>2</v>
      </c>
      <c r="T7" s="120">
        <f t="shared" ref="T7:T12" si="7">+S7*R7</f>
        <v>40</v>
      </c>
      <c r="U7" s="85"/>
      <c r="V7" s="96"/>
      <c r="W7" s="123">
        <v>20</v>
      </c>
      <c r="X7" s="123">
        <f>+C7+G7+K7+O7+S7</f>
        <v>254</v>
      </c>
      <c r="Y7" s="121">
        <f t="shared" ref="Y7:Y12" si="8">+D7+H7+L7+P7+T7</f>
        <v>5080</v>
      </c>
      <c r="Z7" s="97"/>
      <c r="AA7" s="85"/>
      <c r="AB7" s="141" t="s">
        <v>10</v>
      </c>
      <c r="AC7" s="142">
        <f>Y13</f>
        <v>233092</v>
      </c>
      <c r="AD7" s="110"/>
      <c r="AE7" s="110"/>
      <c r="AF7" s="110"/>
      <c r="AG7" s="110"/>
      <c r="AH7" s="86">
        <v>10</v>
      </c>
      <c r="AI7" s="86">
        <v>1209</v>
      </c>
      <c r="AJ7" s="120">
        <f t="shared" si="0"/>
        <v>12090</v>
      </c>
      <c r="AL7" s="86">
        <v>10</v>
      </c>
      <c r="AM7" s="86">
        <v>507</v>
      </c>
      <c r="AN7" s="120">
        <f t="shared" si="1"/>
        <v>5070</v>
      </c>
      <c r="AO7" s="85"/>
      <c r="AP7" s="86">
        <v>10</v>
      </c>
      <c r="AQ7" s="86">
        <v>701</v>
      </c>
      <c r="AR7" s="120">
        <f t="shared" si="2"/>
        <v>7010</v>
      </c>
    </row>
    <row r="8" spans="2:44" x14ac:dyDescent="0.25">
      <c r="B8" s="86">
        <v>50</v>
      </c>
      <c r="C8" s="86">
        <v>104</v>
      </c>
      <c r="D8" s="120">
        <f t="shared" si="3"/>
        <v>5200</v>
      </c>
      <c r="E8" s="85"/>
      <c r="F8" s="86">
        <v>50</v>
      </c>
      <c r="G8" s="86">
        <v>111</v>
      </c>
      <c r="H8" s="120">
        <f t="shared" si="4"/>
        <v>5550</v>
      </c>
      <c r="I8" s="85"/>
      <c r="J8" s="86">
        <v>50</v>
      </c>
      <c r="K8" s="86">
        <v>105</v>
      </c>
      <c r="L8" s="120">
        <f t="shared" si="5"/>
        <v>5250</v>
      </c>
      <c r="M8" s="85"/>
      <c r="N8" s="86">
        <v>50</v>
      </c>
      <c r="O8" s="86">
        <v>16</v>
      </c>
      <c r="P8" s="120">
        <f t="shared" si="6"/>
        <v>800</v>
      </c>
      <c r="Q8" s="85"/>
      <c r="R8" s="86">
        <v>50</v>
      </c>
      <c r="S8" s="86"/>
      <c r="T8" s="120">
        <f t="shared" si="7"/>
        <v>0</v>
      </c>
      <c r="U8" s="85"/>
      <c r="V8" s="96"/>
      <c r="W8" s="123">
        <v>50</v>
      </c>
      <c r="X8" s="123">
        <f t="shared" ref="X8:X12" si="9">+C8+G8+K8+O8+S8</f>
        <v>336</v>
      </c>
      <c r="Y8" s="121">
        <f t="shared" si="8"/>
        <v>16800</v>
      </c>
      <c r="Z8" s="97"/>
      <c r="AA8" s="85"/>
      <c r="AB8" s="138" t="s">
        <v>11</v>
      </c>
      <c r="AC8" s="138">
        <f>+AF31</f>
        <v>796443</v>
      </c>
      <c r="AD8" s="85"/>
      <c r="AE8" s="85"/>
      <c r="AF8" s="85"/>
      <c r="AG8" s="85"/>
      <c r="AH8" s="86">
        <v>20</v>
      </c>
      <c r="AI8" s="86">
        <v>255</v>
      </c>
      <c r="AJ8" s="120">
        <f t="shared" si="0"/>
        <v>5100</v>
      </c>
      <c r="AL8" s="86">
        <v>20</v>
      </c>
      <c r="AM8" s="86">
        <v>254</v>
      </c>
      <c r="AN8" s="120">
        <f t="shared" si="1"/>
        <v>5080</v>
      </c>
      <c r="AO8" s="85"/>
      <c r="AP8" s="86">
        <v>20</v>
      </c>
      <c r="AQ8" s="86">
        <v>1</v>
      </c>
      <c r="AR8" s="120">
        <f t="shared" si="2"/>
        <v>20</v>
      </c>
    </row>
    <row r="9" spans="2:44" ht="15.75" thickBot="1" x14ac:dyDescent="0.3">
      <c r="B9" s="86">
        <v>100</v>
      </c>
      <c r="C9" s="86">
        <v>75</v>
      </c>
      <c r="D9" s="120">
        <f t="shared" si="3"/>
        <v>7500</v>
      </c>
      <c r="E9" s="85"/>
      <c r="F9" s="86">
        <v>100</v>
      </c>
      <c r="G9" s="86">
        <v>40</v>
      </c>
      <c r="H9" s="120">
        <f t="shared" si="4"/>
        <v>4000</v>
      </c>
      <c r="I9" s="85"/>
      <c r="J9" s="86">
        <v>100</v>
      </c>
      <c r="K9" s="86">
        <v>49</v>
      </c>
      <c r="L9" s="120">
        <f t="shared" si="5"/>
        <v>4900</v>
      </c>
      <c r="M9" s="85"/>
      <c r="N9" s="86">
        <v>100</v>
      </c>
      <c r="O9" s="86">
        <v>20</v>
      </c>
      <c r="P9" s="120">
        <f t="shared" si="6"/>
        <v>2000</v>
      </c>
      <c r="Q9" s="85"/>
      <c r="R9" s="86">
        <v>100</v>
      </c>
      <c r="S9" s="86">
        <v>2</v>
      </c>
      <c r="T9" s="120">
        <f t="shared" si="7"/>
        <v>200</v>
      </c>
      <c r="U9" s="85"/>
      <c r="V9" s="96"/>
      <c r="W9" s="123">
        <v>100</v>
      </c>
      <c r="X9" s="123">
        <f t="shared" si="9"/>
        <v>186</v>
      </c>
      <c r="Y9" s="121">
        <f t="shared" si="8"/>
        <v>18600</v>
      </c>
      <c r="Z9" s="97"/>
      <c r="AA9" s="85"/>
      <c r="AB9" s="143" t="s">
        <v>12</v>
      </c>
      <c r="AC9" s="144">
        <f>SUM(AC7:AC8)</f>
        <v>1029535</v>
      </c>
      <c r="AD9" s="85"/>
      <c r="AE9" s="85"/>
      <c r="AF9" s="85"/>
      <c r="AG9" s="85"/>
      <c r="AH9" s="86">
        <v>50</v>
      </c>
      <c r="AI9" s="86">
        <v>406</v>
      </c>
      <c r="AJ9" s="120">
        <f t="shared" si="0"/>
        <v>20300</v>
      </c>
      <c r="AL9" s="86">
        <v>50</v>
      </c>
      <c r="AM9" s="86">
        <v>336</v>
      </c>
      <c r="AN9" s="120">
        <f t="shared" si="1"/>
        <v>16800</v>
      </c>
      <c r="AO9" s="85"/>
      <c r="AP9" s="86">
        <v>50</v>
      </c>
      <c r="AQ9" s="86">
        <v>70</v>
      </c>
      <c r="AR9" s="120">
        <f t="shared" si="2"/>
        <v>3500</v>
      </c>
    </row>
    <row r="10" spans="2:44" x14ac:dyDescent="0.25">
      <c r="B10" s="86">
        <v>500</v>
      </c>
      <c r="C10" s="86">
        <v>30</v>
      </c>
      <c r="D10" s="120">
        <f t="shared" si="3"/>
        <v>15000</v>
      </c>
      <c r="E10" s="85"/>
      <c r="F10" s="86">
        <v>500</v>
      </c>
      <c r="G10" s="86">
        <v>27</v>
      </c>
      <c r="H10" s="120">
        <f t="shared" si="4"/>
        <v>13500</v>
      </c>
      <c r="I10" s="85"/>
      <c r="J10" s="86">
        <v>500</v>
      </c>
      <c r="K10" s="86">
        <v>43</v>
      </c>
      <c r="L10" s="120">
        <f t="shared" si="5"/>
        <v>21500</v>
      </c>
      <c r="M10" s="85"/>
      <c r="N10" s="86">
        <v>500</v>
      </c>
      <c r="O10" s="86">
        <v>14</v>
      </c>
      <c r="P10" s="120">
        <f t="shared" si="6"/>
        <v>7000</v>
      </c>
      <c r="Q10" s="85"/>
      <c r="R10" s="86">
        <v>500</v>
      </c>
      <c r="S10" s="86">
        <v>11</v>
      </c>
      <c r="T10" s="120">
        <f t="shared" si="7"/>
        <v>5500</v>
      </c>
      <c r="U10" s="85"/>
      <c r="V10" s="96"/>
      <c r="W10" s="123">
        <v>500</v>
      </c>
      <c r="X10" s="123">
        <f t="shared" si="9"/>
        <v>125</v>
      </c>
      <c r="Y10" s="121">
        <f t="shared" si="8"/>
        <v>62500</v>
      </c>
      <c r="Z10" s="97"/>
      <c r="AA10" s="85"/>
      <c r="AB10" s="85"/>
      <c r="AC10" s="85"/>
      <c r="AD10" s="85"/>
      <c r="AE10" s="85"/>
      <c r="AF10" s="85"/>
      <c r="AG10" s="85"/>
      <c r="AH10" s="86">
        <v>100</v>
      </c>
      <c r="AI10" s="86">
        <v>275</v>
      </c>
      <c r="AJ10" s="120">
        <f t="shared" si="0"/>
        <v>27500</v>
      </c>
      <c r="AL10" s="86">
        <v>100</v>
      </c>
      <c r="AM10" s="86">
        <v>186</v>
      </c>
      <c r="AN10" s="120">
        <f t="shared" si="1"/>
        <v>18600</v>
      </c>
      <c r="AO10" s="85"/>
      <c r="AP10" s="86">
        <v>100</v>
      </c>
      <c r="AQ10" s="86">
        <v>88</v>
      </c>
      <c r="AR10" s="120">
        <f t="shared" si="2"/>
        <v>8800</v>
      </c>
    </row>
    <row r="11" spans="2:44" x14ac:dyDescent="0.25">
      <c r="B11" s="86">
        <v>1000</v>
      </c>
      <c r="C11" s="86">
        <v>23</v>
      </c>
      <c r="D11" s="120">
        <f t="shared" si="3"/>
        <v>23000</v>
      </c>
      <c r="E11" s="85"/>
      <c r="F11" s="86">
        <v>1000</v>
      </c>
      <c r="G11" s="86">
        <v>25</v>
      </c>
      <c r="H11" s="120">
        <f t="shared" si="4"/>
        <v>25000</v>
      </c>
      <c r="I11" s="85"/>
      <c r="J11" s="86">
        <v>1000</v>
      </c>
      <c r="K11" s="86">
        <v>25</v>
      </c>
      <c r="L11" s="120">
        <f t="shared" si="5"/>
        <v>25000</v>
      </c>
      <c r="M11" s="85"/>
      <c r="N11" s="86">
        <v>1000</v>
      </c>
      <c r="O11" s="86">
        <v>27</v>
      </c>
      <c r="P11" s="120">
        <f t="shared" si="6"/>
        <v>27000</v>
      </c>
      <c r="Q11" s="85"/>
      <c r="R11" s="86">
        <v>1000</v>
      </c>
      <c r="S11" s="86"/>
      <c r="T11" s="120">
        <f t="shared" si="7"/>
        <v>0</v>
      </c>
      <c r="U11" s="85"/>
      <c r="V11" s="96"/>
      <c r="W11" s="123">
        <v>1000</v>
      </c>
      <c r="X11" s="123">
        <f t="shared" si="9"/>
        <v>100</v>
      </c>
      <c r="Y11" s="121">
        <f t="shared" si="8"/>
        <v>100000</v>
      </c>
      <c r="Z11" s="97"/>
      <c r="AA11" s="85"/>
      <c r="AB11" s="132" t="s">
        <v>13</v>
      </c>
      <c r="AC11" s="132" t="s">
        <v>8</v>
      </c>
      <c r="AD11" s="132" t="s">
        <v>14</v>
      </c>
      <c r="AE11" s="132" t="s">
        <v>15</v>
      </c>
      <c r="AF11" s="132" t="s">
        <v>16</v>
      </c>
      <c r="AG11" s="209"/>
      <c r="AH11" s="86">
        <v>500</v>
      </c>
      <c r="AI11" s="86">
        <v>885</v>
      </c>
      <c r="AJ11" s="120">
        <f t="shared" si="0"/>
        <v>442500</v>
      </c>
      <c r="AL11" s="86">
        <v>500</v>
      </c>
      <c r="AM11" s="86">
        <v>125</v>
      </c>
      <c r="AN11" s="120">
        <f t="shared" si="1"/>
        <v>62500</v>
      </c>
      <c r="AO11" s="85"/>
      <c r="AP11" s="86">
        <v>500</v>
      </c>
      <c r="AQ11" s="86">
        <v>22</v>
      </c>
      <c r="AR11" s="120">
        <f t="shared" si="2"/>
        <v>11000</v>
      </c>
    </row>
    <row r="12" spans="2:44" x14ac:dyDescent="0.25">
      <c r="B12" s="86">
        <v>5000</v>
      </c>
      <c r="C12" s="86"/>
      <c r="D12" s="120">
        <f t="shared" si="3"/>
        <v>0</v>
      </c>
      <c r="E12" s="85"/>
      <c r="F12" s="86">
        <v>5000</v>
      </c>
      <c r="G12" s="86"/>
      <c r="H12" s="120">
        <f t="shared" si="4"/>
        <v>0</v>
      </c>
      <c r="I12" s="85"/>
      <c r="J12" s="86">
        <v>5000</v>
      </c>
      <c r="K12" s="86"/>
      <c r="L12" s="120">
        <f t="shared" si="5"/>
        <v>0</v>
      </c>
      <c r="M12" s="85"/>
      <c r="N12" s="86">
        <v>5000</v>
      </c>
      <c r="O12" s="86">
        <v>4</v>
      </c>
      <c r="P12" s="120">
        <f t="shared" si="6"/>
        <v>20000</v>
      </c>
      <c r="Q12" s="85"/>
      <c r="R12" s="86">
        <v>5000</v>
      </c>
      <c r="S12" s="86">
        <v>1</v>
      </c>
      <c r="T12" s="120">
        <f t="shared" si="7"/>
        <v>5000</v>
      </c>
      <c r="U12" s="85"/>
      <c r="V12" s="96"/>
      <c r="W12" s="123">
        <v>5000</v>
      </c>
      <c r="X12" s="123">
        <f t="shared" si="9"/>
        <v>5</v>
      </c>
      <c r="Y12" s="121">
        <f t="shared" si="8"/>
        <v>25000</v>
      </c>
      <c r="Z12" s="97"/>
      <c r="AA12" s="85"/>
      <c r="AB12" s="85" t="s">
        <v>17</v>
      </c>
      <c r="AC12" s="89">
        <v>1017490</v>
      </c>
      <c r="AD12" s="85">
        <v>549724</v>
      </c>
      <c r="AE12" s="137" t="s">
        <v>561</v>
      </c>
      <c r="AF12" s="85" t="s">
        <v>223</v>
      </c>
      <c r="AG12" s="85"/>
      <c r="AH12" s="86">
        <v>1000</v>
      </c>
      <c r="AI12" s="86">
        <v>437</v>
      </c>
      <c r="AJ12" s="120">
        <f t="shared" si="0"/>
        <v>437000</v>
      </c>
      <c r="AL12" s="86">
        <v>1000</v>
      </c>
      <c r="AM12" s="86">
        <v>100</v>
      </c>
      <c r="AN12" s="120">
        <f t="shared" si="1"/>
        <v>100000</v>
      </c>
      <c r="AO12" s="85"/>
      <c r="AP12" s="86">
        <v>1000</v>
      </c>
      <c r="AQ12" s="86">
        <v>169</v>
      </c>
      <c r="AR12" s="120">
        <f t="shared" si="2"/>
        <v>169000</v>
      </c>
    </row>
    <row r="13" spans="2:44" ht="15.75" thickBot="1" x14ac:dyDescent="0.3">
      <c r="B13" s="87" t="s">
        <v>18</v>
      </c>
      <c r="C13" s="87"/>
      <c r="D13" s="90">
        <f>+SUM(D5:D12)</f>
        <v>58530</v>
      </c>
      <c r="E13" s="85"/>
      <c r="F13" s="87" t="s">
        <v>18</v>
      </c>
      <c r="G13" s="87"/>
      <c r="H13" s="90">
        <f>+SUM(H5:H12)</f>
        <v>48360</v>
      </c>
      <c r="I13" s="85"/>
      <c r="J13" s="87" t="s">
        <v>18</v>
      </c>
      <c r="K13" s="87"/>
      <c r="L13" s="90">
        <f>+SUM(L5:L12)</f>
        <v>58000</v>
      </c>
      <c r="M13" s="85"/>
      <c r="N13" s="87" t="s">
        <v>18</v>
      </c>
      <c r="O13" s="87"/>
      <c r="P13" s="90">
        <f>+SUM(P5:P12)</f>
        <v>57460</v>
      </c>
      <c r="Q13" s="85"/>
      <c r="R13" s="87" t="s">
        <v>18</v>
      </c>
      <c r="S13" s="87"/>
      <c r="T13" s="90">
        <f>+SUM(T5:T12)</f>
        <v>10742</v>
      </c>
      <c r="U13" s="85"/>
      <c r="V13" s="96"/>
      <c r="W13" s="87" t="s">
        <v>18</v>
      </c>
      <c r="X13" s="87"/>
      <c r="Y13" s="90">
        <f>+SUM(Y5:Y12)</f>
        <v>233092</v>
      </c>
      <c r="Z13" s="97"/>
      <c r="AA13" s="85"/>
      <c r="AB13" s="85" t="s">
        <v>19</v>
      </c>
      <c r="AC13" s="89">
        <v>12000</v>
      </c>
      <c r="AD13" s="85"/>
      <c r="AE13" s="85"/>
      <c r="AF13" s="85"/>
      <c r="AG13" s="85"/>
      <c r="AH13" s="86">
        <v>5000</v>
      </c>
      <c r="AI13" s="86">
        <v>17</v>
      </c>
      <c r="AJ13" s="120">
        <f t="shared" si="0"/>
        <v>85000</v>
      </c>
      <c r="AL13" s="86">
        <v>5000</v>
      </c>
      <c r="AM13" s="86">
        <v>5</v>
      </c>
      <c r="AN13" s="120">
        <f t="shared" si="1"/>
        <v>25000</v>
      </c>
      <c r="AO13" s="85"/>
      <c r="AP13" s="86">
        <v>5000</v>
      </c>
      <c r="AQ13" s="86">
        <v>3</v>
      </c>
      <c r="AR13" s="120">
        <f t="shared" si="2"/>
        <v>15000</v>
      </c>
    </row>
    <row r="14" spans="2:44" ht="15.75" thickBot="1" x14ac:dyDescent="0.3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96"/>
      <c r="W14" s="100"/>
      <c r="X14" s="100"/>
      <c r="Y14" s="100"/>
      <c r="Z14" s="97"/>
      <c r="AA14" s="85"/>
      <c r="AB14" s="85" t="s">
        <v>20</v>
      </c>
      <c r="AC14" s="89"/>
      <c r="AD14" s="85"/>
      <c r="AE14" s="85"/>
      <c r="AF14" s="85"/>
      <c r="AG14" s="85"/>
      <c r="AH14" s="87" t="s">
        <v>18</v>
      </c>
      <c r="AI14" s="87"/>
      <c r="AJ14" s="90">
        <f>+SUM(AJ6:AJ13)</f>
        <v>1029527</v>
      </c>
      <c r="AL14" s="87" t="s">
        <v>18</v>
      </c>
      <c r="AM14" s="87"/>
      <c r="AN14" s="90">
        <f>+SUM(AN6:AN13)</f>
        <v>233050</v>
      </c>
      <c r="AO14" s="85"/>
      <c r="AP14" s="87" t="s">
        <v>18</v>
      </c>
      <c r="AQ14" s="87"/>
      <c r="AR14" s="90">
        <f>+SUM(AR6:AR13)</f>
        <v>214330</v>
      </c>
    </row>
    <row r="15" spans="2:44" ht="15.75" thickBot="1" x14ac:dyDescent="0.3">
      <c r="B15" s="242" t="s">
        <v>21</v>
      </c>
      <c r="C15" s="243"/>
      <c r="D15" s="92">
        <v>68404</v>
      </c>
      <c r="E15" s="114"/>
      <c r="F15" s="242" t="s">
        <v>21</v>
      </c>
      <c r="G15" s="243"/>
      <c r="H15" s="92">
        <v>68536</v>
      </c>
      <c r="I15" s="114"/>
      <c r="J15" s="242" t="s">
        <v>21</v>
      </c>
      <c r="K15" s="243"/>
      <c r="L15" s="92">
        <v>76979</v>
      </c>
      <c r="M15" s="114"/>
      <c r="N15" s="242" t="s">
        <v>21</v>
      </c>
      <c r="O15" s="243"/>
      <c r="P15" s="92">
        <v>85011</v>
      </c>
      <c r="Q15" s="114"/>
      <c r="R15" s="242" t="s">
        <v>21</v>
      </c>
      <c r="S15" s="243"/>
      <c r="T15" s="92">
        <v>405281</v>
      </c>
      <c r="U15" s="114"/>
      <c r="V15" s="115"/>
      <c r="W15" s="242" t="s">
        <v>21</v>
      </c>
      <c r="X15" s="243"/>
      <c r="Y15" s="92">
        <f>+D15+H15+L15+P15+T15</f>
        <v>704211</v>
      </c>
      <c r="Z15" s="116"/>
      <c r="AA15" s="114"/>
      <c r="AB15" s="85" t="s">
        <v>22</v>
      </c>
      <c r="AC15" s="89"/>
      <c r="AD15" s="85"/>
      <c r="AE15" s="85"/>
      <c r="AF15" s="85"/>
      <c r="AG15" s="85"/>
      <c r="AH15" s="85"/>
      <c r="AI15" s="85"/>
      <c r="AJ15" s="85"/>
      <c r="AK15" s="85"/>
      <c r="AL15" s="85"/>
    </row>
    <row r="16" spans="2:44" x14ac:dyDescent="0.25">
      <c r="B16" s="85" t="s">
        <v>10</v>
      </c>
      <c r="C16" s="85"/>
      <c r="D16" s="89">
        <f>+D13</f>
        <v>58530</v>
      </c>
      <c r="E16" s="85"/>
      <c r="F16" s="85" t="s">
        <v>10</v>
      </c>
      <c r="G16" s="85"/>
      <c r="H16" s="89">
        <f>+H13</f>
        <v>48360</v>
      </c>
      <c r="I16" s="85"/>
      <c r="J16" s="85" t="s">
        <v>10</v>
      </c>
      <c r="K16" s="85"/>
      <c r="L16" s="89">
        <f>+L13</f>
        <v>58000</v>
      </c>
      <c r="M16" s="85"/>
      <c r="N16" s="85" t="s">
        <v>10</v>
      </c>
      <c r="O16" s="85"/>
      <c r="P16" s="89">
        <f>+P13</f>
        <v>57460</v>
      </c>
      <c r="Q16" s="85"/>
      <c r="R16" s="85" t="s">
        <v>10</v>
      </c>
      <c r="S16" s="85"/>
      <c r="T16" s="89">
        <f>+T13</f>
        <v>10742</v>
      </c>
      <c r="U16" s="85"/>
      <c r="V16" s="96"/>
      <c r="W16" s="124" t="s">
        <v>10</v>
      </c>
      <c r="X16" s="124"/>
      <c r="Y16" s="121">
        <f>+D16+H16+L16+P16+T16</f>
        <v>233092</v>
      </c>
      <c r="Z16" s="97"/>
      <c r="AA16" s="85"/>
      <c r="AB16" s="85" t="s">
        <v>23</v>
      </c>
      <c r="AC16" s="89"/>
      <c r="AD16" s="85"/>
      <c r="AE16" s="85"/>
      <c r="AF16" s="85"/>
      <c r="AG16" s="85"/>
      <c r="AH16" s="85"/>
      <c r="AI16" s="85"/>
      <c r="AJ16" s="85"/>
      <c r="AK16" s="85"/>
      <c r="AL16" s="85"/>
    </row>
    <row r="17" spans="2:38" x14ac:dyDescent="0.25">
      <c r="B17" s="85" t="s">
        <v>17</v>
      </c>
      <c r="C17" s="85"/>
      <c r="D17" s="89">
        <v>1230</v>
      </c>
      <c r="E17" s="85"/>
      <c r="F17" s="85" t="s">
        <v>17</v>
      </c>
      <c r="G17" s="85"/>
      <c r="H17" s="89"/>
      <c r="I17" s="85"/>
      <c r="J17" s="85" t="s">
        <v>17</v>
      </c>
      <c r="K17" s="85"/>
      <c r="L17" s="89"/>
      <c r="M17" s="85"/>
      <c r="N17" s="85" t="s">
        <v>17</v>
      </c>
      <c r="O17" s="85"/>
      <c r="P17" s="89"/>
      <c r="Q17" s="85"/>
      <c r="R17" s="85" t="s">
        <v>17</v>
      </c>
      <c r="S17" s="85"/>
      <c r="T17" s="89"/>
      <c r="U17" s="85"/>
      <c r="V17" s="96"/>
      <c r="W17" s="124" t="s">
        <v>17</v>
      </c>
      <c r="X17" s="124"/>
      <c r="Y17" s="121">
        <f t="shared" ref="Y17:Y27" si="10">+D17+H17+L17+P17+T17</f>
        <v>1230</v>
      </c>
      <c r="Z17" s="97"/>
      <c r="AA17" s="85"/>
      <c r="AB17" s="133" t="s">
        <v>12</v>
      </c>
      <c r="AC17" s="134">
        <f>+SUM(AC12:AC16)</f>
        <v>1029490</v>
      </c>
      <c r="AD17" s="160"/>
      <c r="AE17" s="85"/>
      <c r="AF17" s="85"/>
      <c r="AG17" s="85"/>
      <c r="AH17" s="85"/>
      <c r="AI17" s="85"/>
      <c r="AJ17" s="85"/>
      <c r="AK17" s="85"/>
      <c r="AL17" s="85"/>
    </row>
    <row r="18" spans="2:38" x14ac:dyDescent="0.25">
      <c r="B18" s="85" t="s">
        <v>26</v>
      </c>
      <c r="C18" s="85"/>
      <c r="D18" s="89"/>
      <c r="E18" s="85"/>
      <c r="F18" s="85" t="s">
        <v>438</v>
      </c>
      <c r="G18" s="85" t="s">
        <v>547</v>
      </c>
      <c r="H18" s="89">
        <v>8032</v>
      </c>
      <c r="I18" s="85"/>
      <c r="J18" s="85" t="s">
        <v>438</v>
      </c>
      <c r="K18" s="85" t="s">
        <v>549</v>
      </c>
      <c r="L18" s="89">
        <v>14357</v>
      </c>
      <c r="M18" s="85"/>
      <c r="N18" s="85" t="s">
        <v>438</v>
      </c>
      <c r="O18" s="85" t="s">
        <v>548</v>
      </c>
      <c r="P18" s="89">
        <v>20617</v>
      </c>
      <c r="Q18" s="85"/>
      <c r="R18" s="85" t="s">
        <v>26</v>
      </c>
      <c r="S18" s="85"/>
      <c r="T18" s="89"/>
      <c r="U18" s="85"/>
      <c r="V18" s="96"/>
      <c r="W18" s="124" t="s">
        <v>26</v>
      </c>
      <c r="X18" s="124"/>
      <c r="Y18" s="121">
        <f t="shared" si="10"/>
        <v>43006</v>
      </c>
      <c r="Z18" s="97"/>
      <c r="AA18" s="85"/>
      <c r="AB18" s="135" t="s">
        <v>32</v>
      </c>
      <c r="AC18" s="136">
        <f>+AC17-AC9</f>
        <v>-45</v>
      </c>
      <c r="AD18" s="85" t="s">
        <v>33</v>
      </c>
      <c r="AE18" s="85"/>
      <c r="AF18" s="85"/>
      <c r="AG18" s="85"/>
      <c r="AH18" s="85"/>
      <c r="AI18" s="85"/>
      <c r="AJ18" s="85"/>
      <c r="AK18" s="85"/>
      <c r="AL18" s="85"/>
    </row>
    <row r="19" spans="2:38" x14ac:dyDescent="0.25">
      <c r="B19" s="85" t="s">
        <v>34</v>
      </c>
      <c r="C19" s="85"/>
      <c r="D19" s="89"/>
      <c r="E19" s="85"/>
      <c r="F19" s="85" t="s">
        <v>34</v>
      </c>
      <c r="G19" s="85"/>
      <c r="H19" s="89"/>
      <c r="I19" s="85"/>
      <c r="J19" s="85" t="s">
        <v>438</v>
      </c>
      <c r="K19" s="85" t="s">
        <v>550</v>
      </c>
      <c r="L19" s="89">
        <v>4850</v>
      </c>
      <c r="M19" s="85"/>
      <c r="N19" s="85" t="s">
        <v>438</v>
      </c>
      <c r="O19" s="85" t="s">
        <v>551</v>
      </c>
      <c r="P19" s="89">
        <v>6950</v>
      </c>
      <c r="Q19" s="85"/>
      <c r="R19" s="85" t="s">
        <v>34</v>
      </c>
      <c r="S19" s="85"/>
      <c r="T19" s="89"/>
      <c r="U19" s="85"/>
      <c r="V19" s="96"/>
      <c r="W19" s="124" t="s">
        <v>34</v>
      </c>
      <c r="X19" s="124"/>
      <c r="Y19" s="121">
        <f t="shared" si="10"/>
        <v>11800</v>
      </c>
      <c r="Z19" s="97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</row>
    <row r="20" spans="2:38" x14ac:dyDescent="0.25">
      <c r="B20" s="85" t="s">
        <v>36</v>
      </c>
      <c r="C20" s="85"/>
      <c r="D20" s="89"/>
      <c r="E20" s="85"/>
      <c r="F20" s="85" t="s">
        <v>36</v>
      </c>
      <c r="G20" s="85"/>
      <c r="H20" s="89"/>
      <c r="I20" s="85"/>
      <c r="J20" s="85" t="s">
        <v>36</v>
      </c>
      <c r="K20" s="85"/>
      <c r="L20" s="89"/>
      <c r="M20" s="85"/>
      <c r="N20" s="85" t="s">
        <v>36</v>
      </c>
      <c r="O20" s="85"/>
      <c r="P20" s="89"/>
      <c r="Q20" s="85"/>
      <c r="R20" s="85" t="s">
        <v>36</v>
      </c>
      <c r="S20" s="85"/>
      <c r="T20" s="89"/>
      <c r="U20" s="85"/>
      <c r="V20" s="96"/>
      <c r="W20" s="124" t="s">
        <v>36</v>
      </c>
      <c r="X20" s="124"/>
      <c r="Y20" s="121">
        <f t="shared" si="10"/>
        <v>0</v>
      </c>
      <c r="Z20" s="97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</row>
    <row r="21" spans="2:38" x14ac:dyDescent="0.25">
      <c r="B21" s="85"/>
      <c r="C21" s="85"/>
      <c r="D21" s="89"/>
      <c r="E21" s="85"/>
      <c r="F21" s="85"/>
      <c r="G21" s="85"/>
      <c r="H21" s="89"/>
      <c r="I21" s="85"/>
      <c r="J21" s="85"/>
      <c r="K21" s="85"/>
      <c r="L21" s="89"/>
      <c r="M21" s="85"/>
      <c r="N21" s="85"/>
      <c r="O21" s="85"/>
      <c r="P21" s="89"/>
      <c r="Q21" s="85"/>
      <c r="R21" s="85"/>
      <c r="S21" s="85"/>
      <c r="T21" s="89"/>
      <c r="U21" s="85"/>
      <c r="V21" s="96"/>
      <c r="W21" s="124"/>
      <c r="X21" s="124"/>
      <c r="Y21" s="121">
        <f t="shared" si="10"/>
        <v>0</v>
      </c>
      <c r="Z21" s="97"/>
      <c r="AA21" s="85"/>
      <c r="AB21" s="139" t="s">
        <v>37</v>
      </c>
      <c r="AC21" s="139"/>
      <c r="AD21" s="139"/>
      <c r="AE21" s="114"/>
      <c r="AF21" s="85"/>
      <c r="AG21" s="85"/>
      <c r="AH21" s="85"/>
      <c r="AI21" s="139" t="s">
        <v>38</v>
      </c>
      <c r="AJ21" s="139"/>
      <c r="AK21" s="139"/>
      <c r="AL21" s="147"/>
    </row>
    <row r="22" spans="2:38" x14ac:dyDescent="0.25">
      <c r="B22" s="85"/>
      <c r="C22" s="85"/>
      <c r="D22" s="89"/>
      <c r="E22" s="85"/>
      <c r="F22" s="85"/>
      <c r="G22" s="85"/>
      <c r="H22" s="89"/>
      <c r="I22" s="85"/>
      <c r="J22" s="85"/>
      <c r="K22" s="85"/>
      <c r="L22" s="89"/>
      <c r="M22" s="85"/>
      <c r="N22" s="85"/>
      <c r="O22" s="85"/>
      <c r="P22" s="89"/>
      <c r="Q22" s="85"/>
      <c r="R22" s="85" t="s">
        <v>537</v>
      </c>
      <c r="S22" s="85" t="s">
        <v>190</v>
      </c>
      <c r="T22" s="89">
        <v>14475</v>
      </c>
      <c r="U22" s="85"/>
      <c r="V22" s="96"/>
      <c r="W22" s="124"/>
      <c r="X22" s="124"/>
      <c r="Y22" s="121">
        <f t="shared" si="10"/>
        <v>14475</v>
      </c>
      <c r="Z22" s="97"/>
      <c r="AA22" s="85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G22" s="85"/>
      <c r="AH22" s="85"/>
      <c r="AI22" s="132" t="s">
        <v>41</v>
      </c>
      <c r="AJ22" s="132" t="s">
        <v>45</v>
      </c>
      <c r="AK22" s="132" t="s">
        <v>43</v>
      </c>
      <c r="AL22" s="132" t="s">
        <v>8</v>
      </c>
    </row>
    <row r="23" spans="2:38" x14ac:dyDescent="0.25">
      <c r="B23" s="85" t="s">
        <v>543</v>
      </c>
      <c r="C23" s="216"/>
      <c r="D23" s="217"/>
      <c r="E23" s="85"/>
      <c r="F23" s="85" t="s">
        <v>545</v>
      </c>
      <c r="G23" s="85" t="s">
        <v>546</v>
      </c>
      <c r="H23" s="89">
        <v>12209</v>
      </c>
      <c r="I23" s="85"/>
      <c r="J23" s="85" t="s">
        <v>46</v>
      </c>
      <c r="K23" s="85"/>
      <c r="L23" s="89"/>
      <c r="M23" s="85"/>
      <c r="N23" s="85" t="s">
        <v>240</v>
      </c>
      <c r="O23" s="85"/>
      <c r="P23" s="89"/>
      <c r="Q23" s="85"/>
      <c r="R23" s="85" t="s">
        <v>538</v>
      </c>
      <c r="S23" s="85" t="s">
        <v>539</v>
      </c>
      <c r="T23" s="89">
        <v>23258</v>
      </c>
      <c r="U23" s="85"/>
      <c r="V23" s="96"/>
      <c r="W23" s="124" t="s">
        <v>46</v>
      </c>
      <c r="X23" s="124"/>
      <c r="Y23" s="121">
        <f t="shared" si="10"/>
        <v>35467</v>
      </c>
      <c r="Z23" s="97"/>
      <c r="AA23" s="85"/>
      <c r="AB23" s="104" t="s">
        <v>536</v>
      </c>
      <c r="AC23" s="211">
        <v>45884</v>
      </c>
      <c r="AD23" s="104" t="s">
        <v>455</v>
      </c>
      <c r="AE23" s="104"/>
      <c r="AF23" s="148">
        <v>7312</v>
      </c>
      <c r="AG23" s="85"/>
      <c r="AH23" s="85"/>
      <c r="AI23" s="100" t="s">
        <v>72</v>
      </c>
      <c r="AJ23" s="166" t="s">
        <v>552</v>
      </c>
      <c r="AK23" s="100" t="s">
        <v>415</v>
      </c>
      <c r="AL23" s="149">
        <v>27900</v>
      </c>
    </row>
    <row r="24" spans="2:38" x14ac:dyDescent="0.25">
      <c r="B24" s="85" t="s">
        <v>544</v>
      </c>
      <c r="C24" s="216"/>
      <c r="D24" s="217"/>
      <c r="E24" s="85"/>
      <c r="F24" s="85" t="s">
        <v>54</v>
      </c>
      <c r="G24" s="85"/>
      <c r="H24" s="89"/>
      <c r="I24" s="85"/>
      <c r="J24" s="85" t="s">
        <v>54</v>
      </c>
      <c r="K24" s="85"/>
      <c r="L24" s="89"/>
      <c r="M24" s="85"/>
      <c r="N24" s="85" t="s">
        <v>240</v>
      </c>
      <c r="O24" s="85"/>
      <c r="P24" s="89"/>
      <c r="Q24" s="85"/>
      <c r="R24" s="85" t="s">
        <v>540</v>
      </c>
      <c r="S24" s="85" t="s">
        <v>108</v>
      </c>
      <c r="T24" s="89">
        <v>290194</v>
      </c>
      <c r="U24" s="85"/>
      <c r="V24" s="96"/>
      <c r="W24" s="124" t="s">
        <v>54</v>
      </c>
      <c r="X24" s="124"/>
      <c r="Y24" s="121">
        <f t="shared" si="10"/>
        <v>290194</v>
      </c>
      <c r="Z24" s="97"/>
      <c r="AA24" s="85"/>
      <c r="AB24" s="104" t="s">
        <v>554</v>
      </c>
      <c r="AC24" s="211">
        <v>45886</v>
      </c>
      <c r="AD24" s="104" t="s">
        <v>510</v>
      </c>
      <c r="AE24" s="104"/>
      <c r="AF24" s="148">
        <v>5570</v>
      </c>
      <c r="AG24" s="85"/>
      <c r="AH24" s="85"/>
      <c r="AI24" s="104" t="s">
        <v>144</v>
      </c>
      <c r="AJ24" s="100" t="s">
        <v>553</v>
      </c>
      <c r="AK24" s="100"/>
      <c r="AL24" s="149">
        <v>1230</v>
      </c>
    </row>
    <row r="25" spans="2:38" x14ac:dyDescent="0.25">
      <c r="B25" s="85" t="s">
        <v>685</v>
      </c>
      <c r="C25" s="85"/>
      <c r="D25" s="89">
        <v>220</v>
      </c>
      <c r="E25" s="85"/>
      <c r="F25" s="85" t="s">
        <v>61</v>
      </c>
      <c r="G25" s="85"/>
      <c r="H25" s="89"/>
      <c r="I25" s="85"/>
      <c r="J25" s="85" t="s">
        <v>61</v>
      </c>
      <c r="K25" s="85"/>
      <c r="L25" s="89"/>
      <c r="M25" s="85"/>
      <c r="N25" s="85" t="s">
        <v>240</v>
      </c>
      <c r="O25" s="85"/>
      <c r="P25" s="89"/>
      <c r="Q25" s="85"/>
      <c r="R25" s="85" t="s">
        <v>541</v>
      </c>
      <c r="S25" s="85" t="s">
        <v>125</v>
      </c>
      <c r="T25" s="89">
        <v>17308</v>
      </c>
      <c r="U25" s="85"/>
      <c r="V25" s="96"/>
      <c r="W25" s="124" t="s">
        <v>61</v>
      </c>
      <c r="X25" s="124"/>
      <c r="Y25" s="121">
        <f t="shared" si="10"/>
        <v>17528</v>
      </c>
      <c r="Z25" s="97"/>
      <c r="AA25" s="85"/>
      <c r="AB25" s="104" t="s">
        <v>555</v>
      </c>
      <c r="AC25" s="211">
        <v>45866</v>
      </c>
      <c r="AD25" s="104" t="s">
        <v>107</v>
      </c>
      <c r="AE25" s="104"/>
      <c r="AF25" s="148">
        <v>47346</v>
      </c>
      <c r="AG25" s="85"/>
      <c r="AH25" s="85"/>
      <c r="AI25" s="104" t="s">
        <v>139</v>
      </c>
      <c r="AJ25" s="100" t="s">
        <v>238</v>
      </c>
      <c r="AK25" s="100" t="s">
        <v>262</v>
      </c>
      <c r="AL25" s="149">
        <v>5300</v>
      </c>
    </row>
    <row r="26" spans="2:38" x14ac:dyDescent="0.25">
      <c r="B26" s="85"/>
      <c r="C26" s="85"/>
      <c r="D26" s="89"/>
      <c r="E26" s="85"/>
      <c r="F26" s="85"/>
      <c r="G26" s="85"/>
      <c r="H26" s="89"/>
      <c r="I26" s="85"/>
      <c r="J26" s="85"/>
      <c r="K26" s="85"/>
      <c r="L26" s="89"/>
      <c r="M26" s="85"/>
      <c r="N26" s="85"/>
      <c r="O26" s="85"/>
      <c r="P26" s="89"/>
      <c r="Q26" s="85"/>
      <c r="R26" s="85" t="s">
        <v>542</v>
      </c>
      <c r="S26" s="85" t="s">
        <v>107</v>
      </c>
      <c r="T26" s="89">
        <v>49304</v>
      </c>
      <c r="U26" s="85"/>
      <c r="V26" s="96"/>
      <c r="W26" s="124"/>
      <c r="X26" s="124"/>
      <c r="Y26" s="121">
        <f t="shared" si="10"/>
        <v>49304</v>
      </c>
      <c r="Z26" s="97"/>
      <c r="AA26" s="85"/>
      <c r="AB26" s="104" t="s">
        <v>556</v>
      </c>
      <c r="AC26" s="211">
        <v>45873</v>
      </c>
      <c r="AD26" s="104" t="s">
        <v>130</v>
      </c>
      <c r="AE26" s="104"/>
      <c r="AF26" s="148">
        <v>14007</v>
      </c>
      <c r="AG26" s="85"/>
      <c r="AH26" s="85"/>
      <c r="AI26" s="100"/>
      <c r="AJ26" s="100"/>
      <c r="AK26" s="100"/>
      <c r="AL26" s="149"/>
    </row>
    <row r="27" spans="2:38" ht="15.75" thickBot="1" x14ac:dyDescent="0.3">
      <c r="B27" s="85"/>
      <c r="C27" s="85"/>
      <c r="D27" s="89"/>
      <c r="E27" s="85"/>
      <c r="F27" s="85"/>
      <c r="G27" s="85"/>
      <c r="H27" s="89"/>
      <c r="I27" s="85"/>
      <c r="J27" s="85"/>
      <c r="K27" s="85"/>
      <c r="L27" s="89"/>
      <c r="M27" s="85"/>
      <c r="N27" s="85"/>
      <c r="O27" s="85"/>
      <c r="P27" s="89"/>
      <c r="Q27" s="85"/>
      <c r="R27" s="85"/>
      <c r="S27" s="85"/>
      <c r="T27" s="89"/>
      <c r="U27" s="85"/>
      <c r="V27" s="96"/>
      <c r="W27" s="124"/>
      <c r="X27" s="124"/>
      <c r="Y27" s="121">
        <f t="shared" si="10"/>
        <v>0</v>
      </c>
      <c r="Z27" s="97"/>
      <c r="AA27" s="85"/>
      <c r="AB27" s="104" t="s">
        <v>558</v>
      </c>
      <c r="AC27" s="211">
        <v>45873</v>
      </c>
      <c r="AD27" s="104" t="s">
        <v>557</v>
      </c>
      <c r="AE27" s="104"/>
      <c r="AF27" s="148">
        <v>29657</v>
      </c>
      <c r="AG27" s="85"/>
      <c r="AH27" s="85"/>
      <c r="AI27" s="85"/>
      <c r="AJ27" s="85"/>
      <c r="AK27" s="85"/>
      <c r="AL27" s="147"/>
    </row>
    <row r="28" spans="2:38" ht="15.75" thickBot="1" x14ac:dyDescent="0.3">
      <c r="B28" s="235" t="s">
        <v>12</v>
      </c>
      <c r="C28" s="236"/>
      <c r="D28" s="93">
        <f>+SUM(D16:D27)</f>
        <v>59980</v>
      </c>
      <c r="E28" s="85"/>
      <c r="F28" s="235" t="s">
        <v>12</v>
      </c>
      <c r="G28" s="236"/>
      <c r="H28" s="93">
        <f>+SUM(H16:H27)</f>
        <v>68601</v>
      </c>
      <c r="I28" s="85"/>
      <c r="J28" s="235" t="s">
        <v>12</v>
      </c>
      <c r="K28" s="236"/>
      <c r="L28" s="93">
        <f>+SUM(L16:L27)</f>
        <v>77207</v>
      </c>
      <c r="M28" s="85"/>
      <c r="N28" s="235" t="s">
        <v>12</v>
      </c>
      <c r="O28" s="236"/>
      <c r="P28" s="93">
        <f>+SUM(P16:P27)</f>
        <v>85027</v>
      </c>
      <c r="Q28" s="85"/>
      <c r="R28" s="235" t="s">
        <v>12</v>
      </c>
      <c r="S28" s="236"/>
      <c r="T28" s="93">
        <f>+SUM(T16:T27)</f>
        <v>405281</v>
      </c>
      <c r="U28" s="85"/>
      <c r="V28" s="96"/>
      <c r="W28" s="235" t="s">
        <v>12</v>
      </c>
      <c r="X28" s="236"/>
      <c r="Y28" s="93">
        <f>+SUM(Y16:Y27)</f>
        <v>696096</v>
      </c>
      <c r="Z28" s="97"/>
      <c r="AA28" s="85"/>
      <c r="AB28" s="104" t="s">
        <v>559</v>
      </c>
      <c r="AC28" s="211">
        <v>45873</v>
      </c>
      <c r="AD28" s="104" t="s">
        <v>53</v>
      </c>
      <c r="AE28" s="104"/>
      <c r="AF28" s="148">
        <v>110442</v>
      </c>
      <c r="AG28" s="85"/>
      <c r="AH28" s="85"/>
      <c r="AI28" s="85"/>
      <c r="AJ28" s="85"/>
      <c r="AK28" s="85"/>
      <c r="AL28" s="147"/>
    </row>
    <row r="29" spans="2:38" x14ac:dyDescent="0.25">
      <c r="B29" s="85"/>
      <c r="C29" s="85"/>
      <c r="D29" s="89"/>
      <c r="E29" s="85"/>
      <c r="F29" s="85"/>
      <c r="G29" s="85"/>
      <c r="H29" s="89"/>
      <c r="I29" s="85"/>
      <c r="J29" s="85"/>
      <c r="K29" s="85"/>
      <c r="L29" s="89"/>
      <c r="M29" s="85"/>
      <c r="N29" s="85"/>
      <c r="O29" s="85"/>
      <c r="P29" s="89"/>
      <c r="Q29" s="85"/>
      <c r="R29" s="85"/>
      <c r="S29" s="85"/>
      <c r="T29" s="89"/>
      <c r="U29" s="85"/>
      <c r="V29" s="96"/>
      <c r="W29" s="100"/>
      <c r="X29" s="100"/>
      <c r="Y29" s="99"/>
      <c r="Z29" s="97"/>
      <c r="AA29" s="85"/>
      <c r="AB29" s="104" t="s">
        <v>560</v>
      </c>
      <c r="AC29" s="211">
        <v>45878</v>
      </c>
      <c r="AD29" s="104" t="s">
        <v>105</v>
      </c>
      <c r="AE29" s="104"/>
      <c r="AF29" s="148">
        <v>582109</v>
      </c>
      <c r="AG29" s="85"/>
      <c r="AH29" s="85"/>
      <c r="AI29" s="85"/>
      <c r="AJ29" s="85"/>
      <c r="AK29" s="85"/>
      <c r="AL29" s="147"/>
    </row>
    <row r="30" spans="2:38" ht="15.75" thickBot="1" x14ac:dyDescent="0.3">
      <c r="B30" s="237" t="s">
        <v>75</v>
      </c>
      <c r="C30" s="237"/>
      <c r="D30" s="91">
        <f>+D28-D15</f>
        <v>-8424</v>
      </c>
      <c r="E30" s="85"/>
      <c r="F30" s="237" t="s">
        <v>75</v>
      </c>
      <c r="G30" s="237"/>
      <c r="H30" s="91">
        <f>+H28-H15</f>
        <v>65</v>
      </c>
      <c r="I30" s="85"/>
      <c r="J30" s="237" t="s">
        <v>75</v>
      </c>
      <c r="K30" s="237"/>
      <c r="L30" s="91">
        <f>+L28-L15</f>
        <v>228</v>
      </c>
      <c r="M30" s="85"/>
      <c r="N30" s="237" t="s">
        <v>75</v>
      </c>
      <c r="O30" s="237"/>
      <c r="P30" s="91">
        <f>+P28-P15</f>
        <v>16</v>
      </c>
      <c r="Q30" s="85"/>
      <c r="R30" s="237" t="s">
        <v>75</v>
      </c>
      <c r="S30" s="237"/>
      <c r="T30" s="91">
        <f>+T28-T15</f>
        <v>0</v>
      </c>
      <c r="U30" s="85"/>
      <c r="V30" s="96"/>
      <c r="W30" s="238" t="s">
        <v>75</v>
      </c>
      <c r="X30" s="238"/>
      <c r="Y30" s="126">
        <f>+Y28-Y15</f>
        <v>-8115</v>
      </c>
      <c r="Z30" s="97"/>
      <c r="AA30" s="85"/>
      <c r="AB30" s="85"/>
      <c r="AC30" s="85"/>
      <c r="AD30" s="85"/>
      <c r="AE30" s="85"/>
      <c r="AF30" s="147"/>
      <c r="AG30" s="85"/>
      <c r="AH30" s="85"/>
      <c r="AI30" s="85"/>
      <c r="AJ30" s="85"/>
      <c r="AK30" s="85"/>
      <c r="AL30" s="147"/>
    </row>
    <row r="31" spans="2:38" ht="16.5" thickTop="1" thickBo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01"/>
      <c r="W31" s="102"/>
      <c r="X31" s="102"/>
      <c r="Y31" s="102"/>
      <c r="Z31" s="103"/>
      <c r="AA31" s="85"/>
      <c r="AB31" s="145" t="s">
        <v>74</v>
      </c>
      <c r="AC31" s="145"/>
      <c r="AD31" s="145"/>
      <c r="AE31" s="145"/>
      <c r="AF31" s="176">
        <f>+SUM(AF23:AF30)</f>
        <v>796443</v>
      </c>
      <c r="AG31" s="85"/>
      <c r="AH31" s="85"/>
      <c r="AI31" s="145" t="s">
        <v>74</v>
      </c>
      <c r="AJ31" s="145"/>
      <c r="AK31" s="145"/>
      <c r="AL31" s="140">
        <f>+SUM(AL23:AL30)</f>
        <v>34430</v>
      </c>
    </row>
    <row r="32" spans="2:38" x14ac:dyDescent="0.2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</row>
    <row r="33" spans="2:38" ht="15.75" thickBo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</row>
    <row r="34" spans="2:38" x14ac:dyDescent="0.25">
      <c r="B34" s="94" t="s">
        <v>76</v>
      </c>
      <c r="C34" s="95"/>
      <c r="D34" s="105">
        <v>-8442</v>
      </c>
      <c r="E34" s="85"/>
      <c r="F34" s="94" t="s">
        <v>76</v>
      </c>
      <c r="G34" s="95"/>
      <c r="H34" s="105"/>
      <c r="I34" s="85"/>
      <c r="J34" s="94" t="s">
        <v>76</v>
      </c>
      <c r="K34" s="95"/>
      <c r="L34" s="105"/>
      <c r="M34" s="85"/>
      <c r="N34" s="94" t="s">
        <v>76</v>
      </c>
      <c r="O34" s="95"/>
      <c r="P34" s="105"/>
      <c r="Q34" s="85"/>
      <c r="R34" s="94" t="s">
        <v>76</v>
      </c>
      <c r="S34" s="95"/>
      <c r="T34" s="105"/>
      <c r="U34" s="85"/>
      <c r="V34" s="85"/>
      <c r="W34" s="127" t="s">
        <v>76</v>
      </c>
      <c r="X34" s="128"/>
      <c r="Y34" s="129">
        <f>+D34+H34+L34+P34+T34</f>
        <v>-8442</v>
      </c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</row>
    <row r="35" spans="2:38" x14ac:dyDescent="0.25">
      <c r="B35" s="96" t="s">
        <v>77</v>
      </c>
      <c r="C35" s="100"/>
      <c r="D35" s="106"/>
      <c r="E35" s="85"/>
      <c r="F35" s="96" t="s">
        <v>77</v>
      </c>
      <c r="G35" s="100"/>
      <c r="H35" s="106"/>
      <c r="I35" s="85"/>
      <c r="J35" s="96" t="s">
        <v>77</v>
      </c>
      <c r="K35" s="100"/>
      <c r="L35" s="106"/>
      <c r="M35" s="85"/>
      <c r="N35" s="96" t="s">
        <v>77</v>
      </c>
      <c r="O35" s="100"/>
      <c r="P35" s="106"/>
      <c r="Q35" s="85"/>
      <c r="R35" s="96" t="s">
        <v>77</v>
      </c>
      <c r="S35" s="100"/>
      <c r="T35" s="106"/>
      <c r="U35" s="85"/>
      <c r="V35" s="85"/>
      <c r="W35" s="130" t="s">
        <v>77</v>
      </c>
      <c r="X35" s="124"/>
      <c r="Y35" s="131">
        <f t="shared" ref="Y35:Y36" si="11">+D35+H35+L35+P35+T35</f>
        <v>0</v>
      </c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</row>
    <row r="36" spans="2:38" x14ac:dyDescent="0.25">
      <c r="B36" s="96" t="s">
        <v>79</v>
      </c>
      <c r="C36" s="100"/>
      <c r="D36" s="106"/>
      <c r="E36" s="85"/>
      <c r="F36" s="96" t="s">
        <v>79</v>
      </c>
      <c r="G36" s="100"/>
      <c r="H36" s="106">
        <v>-65</v>
      </c>
      <c r="I36" s="85"/>
      <c r="J36" s="96" t="s">
        <v>79</v>
      </c>
      <c r="K36" s="100"/>
      <c r="L36" s="106">
        <v>-228</v>
      </c>
      <c r="M36" s="85"/>
      <c r="N36" s="96" t="s">
        <v>79</v>
      </c>
      <c r="O36" s="100"/>
      <c r="P36" s="106">
        <v>-16</v>
      </c>
      <c r="Q36" s="85"/>
      <c r="R36" s="96" t="s">
        <v>82</v>
      </c>
      <c r="S36" s="100"/>
      <c r="T36" s="106"/>
      <c r="U36" s="85"/>
      <c r="V36" s="85"/>
      <c r="W36" s="130" t="s">
        <v>78</v>
      </c>
      <c r="X36" s="124"/>
      <c r="Y36" s="131">
        <f t="shared" si="11"/>
        <v>-309</v>
      </c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</row>
    <row r="37" spans="2:38" x14ac:dyDescent="0.25">
      <c r="B37" s="96" t="s">
        <v>18</v>
      </c>
      <c r="C37" s="100"/>
      <c r="D37" s="106"/>
      <c r="E37" s="85"/>
      <c r="F37" s="96" t="s">
        <v>18</v>
      </c>
      <c r="G37" s="100"/>
      <c r="H37" s="106">
        <f>+SUM(H34:H36)</f>
        <v>-65</v>
      </c>
      <c r="I37" s="85"/>
      <c r="J37" s="96" t="s">
        <v>18</v>
      </c>
      <c r="K37" s="100"/>
      <c r="L37" s="106">
        <f>+SUM(L34:L36)</f>
        <v>-228</v>
      </c>
      <c r="M37" s="85"/>
      <c r="N37" s="96" t="s">
        <v>18</v>
      </c>
      <c r="O37" s="100"/>
      <c r="P37" s="106">
        <f>+SUM(P34:P36)</f>
        <v>-16</v>
      </c>
      <c r="Q37" s="85"/>
      <c r="R37" s="96" t="s">
        <v>18</v>
      </c>
      <c r="S37" s="100"/>
      <c r="T37" s="106">
        <f>+SUM(T34:T36)</f>
        <v>0</v>
      </c>
      <c r="U37" s="85"/>
      <c r="V37" s="85"/>
      <c r="W37" s="117" t="s">
        <v>18</v>
      </c>
      <c r="X37" s="118"/>
      <c r="Y37" s="119">
        <f>+SUM(Y34:Y36)</f>
        <v>-8751</v>
      </c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</row>
    <row r="38" spans="2:38" ht="15.75" thickBot="1" x14ac:dyDescent="0.3">
      <c r="B38" s="107" t="s">
        <v>81</v>
      </c>
      <c r="C38" s="108"/>
      <c r="D38" s="109">
        <f>+D30+D37</f>
        <v>-8424</v>
      </c>
      <c r="E38" s="85"/>
      <c r="F38" s="107" t="s">
        <v>81</v>
      </c>
      <c r="G38" s="108"/>
      <c r="H38" s="109">
        <f>+H30+H37</f>
        <v>0</v>
      </c>
      <c r="I38" s="85"/>
      <c r="J38" s="107" t="s">
        <v>81</v>
      </c>
      <c r="K38" s="108"/>
      <c r="L38" s="109">
        <f>+L30+L37</f>
        <v>0</v>
      </c>
      <c r="M38" s="85"/>
      <c r="N38" s="107" t="s">
        <v>81</v>
      </c>
      <c r="O38" s="108"/>
      <c r="P38" s="109">
        <f>+P30+P37</f>
        <v>0</v>
      </c>
      <c r="Q38" s="85"/>
      <c r="R38" s="107" t="s">
        <v>81</v>
      </c>
      <c r="S38" s="108"/>
      <c r="T38" s="109">
        <f>+T30+T37</f>
        <v>0</v>
      </c>
      <c r="U38" s="85"/>
      <c r="V38" s="85"/>
      <c r="W38" s="107" t="s">
        <v>81</v>
      </c>
      <c r="X38" s="108"/>
      <c r="Y38" s="109">
        <f>+Y30+Y37</f>
        <v>-16866</v>
      </c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</row>
    <row r="39" spans="2:38" x14ac:dyDescent="0.25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L49"/>
  <sheetViews>
    <sheetView topLeftCell="K12" zoomScale="80" zoomScaleNormal="80" workbookViewId="0">
      <selection activeCell="X47" sqref="X47"/>
    </sheetView>
  </sheetViews>
  <sheetFormatPr defaultRowHeight="15" x14ac:dyDescent="0.25"/>
  <cols>
    <col min="2" max="2" width="13.5703125" bestFit="1" customWidth="1"/>
    <col min="3" max="3" width="13.85546875" bestFit="1" customWidth="1"/>
    <col min="6" max="6" width="13.5703125" bestFit="1" customWidth="1"/>
    <col min="7" max="7" width="14.28515625" bestFit="1" customWidth="1"/>
    <col min="9" max="9" width="1.140625" customWidth="1"/>
    <col min="10" max="11" width="13.5703125" bestFit="1" customWidth="1"/>
    <col min="13" max="13" width="1.85546875" customWidth="1"/>
    <col min="14" max="14" width="13.5703125" bestFit="1" customWidth="1"/>
    <col min="15" max="15" width="20.85546875" bestFit="1" customWidth="1"/>
    <col min="17" max="17" width="3.28515625" customWidth="1"/>
    <col min="21" max="21" width="1.5703125" customWidth="1"/>
    <col min="27" max="27" width="1.5703125" customWidth="1"/>
    <col min="29" max="29" width="9.7109375" bestFit="1" customWidth="1"/>
    <col min="30" max="30" width="15.85546875" bestFit="1" customWidth="1"/>
    <col min="31" max="31" width="13.5703125" bestFit="1" customWidth="1"/>
    <col min="35" max="35" width="11.140625" customWidth="1"/>
    <col min="36" max="36" width="17.42578125" bestFit="1" customWidth="1"/>
    <col min="37" max="37" width="15.28515625" bestFit="1" customWidth="1"/>
  </cols>
  <sheetData>
    <row r="2" spans="2:38" ht="15.75" thickBot="1" x14ac:dyDescent="0.3"/>
    <row r="3" spans="2:38" x14ac:dyDescent="0.25">
      <c r="B3" s="240" t="s">
        <v>0</v>
      </c>
      <c r="C3" s="240"/>
      <c r="D3" s="240"/>
      <c r="E3" s="85"/>
      <c r="F3" s="240" t="s">
        <v>1</v>
      </c>
      <c r="G3" s="240"/>
      <c r="H3" s="240"/>
      <c r="I3" s="85"/>
      <c r="J3" s="240" t="s">
        <v>2</v>
      </c>
      <c r="K3" s="240"/>
      <c r="L3" s="240"/>
      <c r="M3" s="85"/>
      <c r="N3" s="240" t="s">
        <v>3</v>
      </c>
      <c r="O3" s="240"/>
      <c r="P3" s="240"/>
      <c r="Q3" s="85"/>
      <c r="R3" s="240" t="s">
        <v>4</v>
      </c>
      <c r="S3" s="240"/>
      <c r="T3" s="240"/>
      <c r="U3" s="85"/>
      <c r="V3" s="94"/>
      <c r="W3" s="244" t="s">
        <v>5</v>
      </c>
      <c r="X3" s="244"/>
      <c r="Y3" s="244"/>
      <c r="Z3" s="196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</row>
    <row r="4" spans="2:38" x14ac:dyDescent="0.25">
      <c r="B4" s="88" t="s">
        <v>6</v>
      </c>
      <c r="C4" s="88" t="s">
        <v>7</v>
      </c>
      <c r="D4" s="88" t="s">
        <v>8</v>
      </c>
      <c r="E4" s="85"/>
      <c r="F4" s="88" t="s">
        <v>6</v>
      </c>
      <c r="G4" s="88" t="s">
        <v>7</v>
      </c>
      <c r="H4" s="88" t="s">
        <v>8</v>
      </c>
      <c r="I4" s="85"/>
      <c r="J4" s="88" t="s">
        <v>6</v>
      </c>
      <c r="K4" s="88" t="s">
        <v>7</v>
      </c>
      <c r="L4" s="88" t="s">
        <v>8</v>
      </c>
      <c r="M4" s="85"/>
      <c r="N4" s="88" t="s">
        <v>6</v>
      </c>
      <c r="O4" s="88" t="s">
        <v>7</v>
      </c>
      <c r="P4" s="88" t="s">
        <v>8</v>
      </c>
      <c r="Q4" s="85"/>
      <c r="R4" s="88" t="s">
        <v>6</v>
      </c>
      <c r="S4" s="88" t="s">
        <v>7</v>
      </c>
      <c r="T4" s="88" t="s">
        <v>8</v>
      </c>
      <c r="U4" s="85"/>
      <c r="V4" s="96"/>
      <c r="W4" s="98" t="s">
        <v>6</v>
      </c>
      <c r="X4" s="98" t="s">
        <v>7</v>
      </c>
      <c r="Y4" s="98" t="s">
        <v>8</v>
      </c>
      <c r="Z4" s="97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</row>
    <row r="5" spans="2:38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>
        <v>23</v>
      </c>
      <c r="H5" s="120">
        <f>+G5*F5</f>
        <v>23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/>
      <c r="T5" s="120">
        <f>+S5*R5</f>
        <v>0</v>
      </c>
      <c r="U5" s="110"/>
      <c r="V5" s="111"/>
      <c r="W5" s="122">
        <v>1</v>
      </c>
      <c r="X5" s="123">
        <f>+C5+G5+K5+O5+S5</f>
        <v>23</v>
      </c>
      <c r="Y5" s="121">
        <f>+D5+H5+L5+P5+T5</f>
        <v>23</v>
      </c>
      <c r="Z5" s="112"/>
      <c r="AA5" s="110"/>
      <c r="AB5" s="212" t="s">
        <v>9</v>
      </c>
      <c r="AC5" s="210"/>
      <c r="AD5" s="210"/>
      <c r="AE5" s="210"/>
      <c r="AF5" s="210"/>
      <c r="AG5" s="146"/>
      <c r="AH5" s="85"/>
      <c r="AI5" s="88" t="s">
        <v>6</v>
      </c>
      <c r="AJ5" s="88" t="s">
        <v>7</v>
      </c>
      <c r="AK5" s="88" t="s">
        <v>8</v>
      </c>
      <c r="AL5" s="85"/>
    </row>
    <row r="6" spans="2:38" ht="15.75" thickTop="1" x14ac:dyDescent="0.25">
      <c r="B6" s="86">
        <v>10</v>
      </c>
      <c r="C6" s="86">
        <v>74</v>
      </c>
      <c r="D6" s="120">
        <f>+C6*B6</f>
        <v>740</v>
      </c>
      <c r="E6" s="85"/>
      <c r="F6" s="86">
        <v>10</v>
      </c>
      <c r="G6" s="86">
        <v>155</v>
      </c>
      <c r="H6" s="120">
        <f>+G6*F6</f>
        <v>1550</v>
      </c>
      <c r="I6" s="85"/>
      <c r="J6" s="86">
        <v>10</v>
      </c>
      <c r="K6" s="86">
        <v>149</v>
      </c>
      <c r="L6" s="120">
        <f>+K6*J6</f>
        <v>1490</v>
      </c>
      <c r="M6" s="85"/>
      <c r="N6" s="86">
        <v>10</v>
      </c>
      <c r="O6" s="86">
        <v>345</v>
      </c>
      <c r="P6" s="120">
        <f>+O6*N6</f>
        <v>3450</v>
      </c>
      <c r="Q6" s="85"/>
      <c r="R6" s="86">
        <v>10</v>
      </c>
      <c r="S6" s="86"/>
      <c r="T6" s="120">
        <f>+S6*R6</f>
        <v>0</v>
      </c>
      <c r="U6" s="85"/>
      <c r="V6" s="96"/>
      <c r="W6" s="123">
        <v>10</v>
      </c>
      <c r="X6" s="123">
        <f>+C6+G6+K6+O6+S6</f>
        <v>723</v>
      </c>
      <c r="Y6" s="121">
        <f>+D6+H6+L6+P6+T6</f>
        <v>7230</v>
      </c>
      <c r="Z6" s="97"/>
      <c r="AA6" s="85"/>
      <c r="AB6" s="85"/>
      <c r="AC6" s="85"/>
      <c r="AD6" s="85"/>
      <c r="AE6" s="85"/>
      <c r="AF6" s="85"/>
      <c r="AG6" s="85"/>
      <c r="AH6" s="85"/>
      <c r="AI6" s="113">
        <v>1</v>
      </c>
      <c r="AJ6" s="113"/>
      <c r="AK6" s="120">
        <f t="shared" ref="AK6:AK13" si="0">+AJ6*AI6</f>
        <v>0</v>
      </c>
      <c r="AL6" s="110"/>
    </row>
    <row r="7" spans="2:38" x14ac:dyDescent="0.25">
      <c r="B7" s="86">
        <v>20</v>
      </c>
      <c r="C7" s="86">
        <v>16</v>
      </c>
      <c r="D7" s="120">
        <f t="shared" ref="D7:D12" si="1">+C7*B7</f>
        <v>320</v>
      </c>
      <c r="E7" s="85"/>
      <c r="F7" s="86">
        <v>20</v>
      </c>
      <c r="G7" s="86">
        <v>15</v>
      </c>
      <c r="H7" s="120">
        <f t="shared" ref="H7:H12" si="2">+G7*F7</f>
        <v>300</v>
      </c>
      <c r="I7" s="85"/>
      <c r="J7" s="86">
        <v>20</v>
      </c>
      <c r="K7" s="86">
        <v>26</v>
      </c>
      <c r="L7" s="120">
        <f t="shared" ref="L7:L12" si="3">+K7*J7</f>
        <v>520</v>
      </c>
      <c r="M7" s="85"/>
      <c r="N7" s="86">
        <v>20</v>
      </c>
      <c r="O7" s="86"/>
      <c r="P7" s="120">
        <f t="shared" ref="P7:P12" si="4">+O7*N7</f>
        <v>0</v>
      </c>
      <c r="Q7" s="85"/>
      <c r="R7" s="86">
        <v>20</v>
      </c>
      <c r="S7" s="86"/>
      <c r="T7" s="120">
        <f t="shared" ref="T7:T12" si="5">+S7*R7</f>
        <v>0</v>
      </c>
      <c r="U7" s="85"/>
      <c r="V7" s="96"/>
      <c r="W7" s="123">
        <v>20</v>
      </c>
      <c r="X7" s="123">
        <f>+C7+G7+K7+O7+S7</f>
        <v>57</v>
      </c>
      <c r="Y7" s="121">
        <f t="shared" ref="Y7:Y12" si="6">+D7+H7+L7+P7+T7</f>
        <v>1140</v>
      </c>
      <c r="Z7" s="97"/>
      <c r="AA7" s="85"/>
      <c r="AB7" s="141" t="s">
        <v>10</v>
      </c>
      <c r="AC7" s="142">
        <f>Y13</f>
        <v>352893</v>
      </c>
      <c r="AD7" s="110"/>
      <c r="AE7" s="110"/>
      <c r="AF7" s="110"/>
      <c r="AG7" s="110"/>
      <c r="AH7" s="85"/>
      <c r="AI7" s="86">
        <v>10</v>
      </c>
      <c r="AJ7" s="86">
        <v>724</v>
      </c>
      <c r="AK7" s="120">
        <f t="shared" si="0"/>
        <v>7240</v>
      </c>
      <c r="AL7" s="85"/>
    </row>
    <row r="8" spans="2:38" x14ac:dyDescent="0.25">
      <c r="B8" s="86">
        <v>50</v>
      </c>
      <c r="C8" s="86">
        <v>43</v>
      </c>
      <c r="D8" s="120">
        <f t="shared" si="1"/>
        <v>2150</v>
      </c>
      <c r="E8" s="85"/>
      <c r="F8" s="86">
        <v>50</v>
      </c>
      <c r="G8" s="86">
        <v>62</v>
      </c>
      <c r="H8" s="120">
        <f t="shared" si="2"/>
        <v>3100</v>
      </c>
      <c r="I8" s="85"/>
      <c r="J8" s="86">
        <v>50</v>
      </c>
      <c r="K8" s="86">
        <v>22</v>
      </c>
      <c r="L8" s="120">
        <f t="shared" si="3"/>
        <v>1100</v>
      </c>
      <c r="M8" s="85"/>
      <c r="N8" s="86">
        <v>50</v>
      </c>
      <c r="O8" s="86">
        <v>1</v>
      </c>
      <c r="P8" s="120">
        <f t="shared" si="4"/>
        <v>50</v>
      </c>
      <c r="Q8" s="85"/>
      <c r="R8" s="86">
        <v>50</v>
      </c>
      <c r="S8" s="86"/>
      <c r="T8" s="120">
        <f t="shared" si="5"/>
        <v>0</v>
      </c>
      <c r="U8" s="85"/>
      <c r="V8" s="96"/>
      <c r="W8" s="123">
        <v>50</v>
      </c>
      <c r="X8" s="123">
        <f t="shared" ref="X8:X12" si="7">+C8+G8+K8+O8+S8</f>
        <v>128</v>
      </c>
      <c r="Y8" s="121">
        <f t="shared" si="6"/>
        <v>6400</v>
      </c>
      <c r="Z8" s="97"/>
      <c r="AA8" s="85"/>
      <c r="AB8" s="138" t="s">
        <v>11</v>
      </c>
      <c r="AC8" s="138">
        <f>+AF31</f>
        <v>207326</v>
      </c>
      <c r="AD8" s="85"/>
      <c r="AE8" s="85"/>
      <c r="AF8" s="85"/>
      <c r="AG8" s="85"/>
      <c r="AH8" s="85"/>
      <c r="AI8" s="86">
        <v>20</v>
      </c>
      <c r="AJ8" s="86">
        <v>40</v>
      </c>
      <c r="AK8" s="120">
        <f t="shared" si="0"/>
        <v>800</v>
      </c>
      <c r="AL8" s="85"/>
    </row>
    <row r="9" spans="2:38" ht="15.75" thickBot="1" x14ac:dyDescent="0.3">
      <c r="B9" s="86">
        <v>100</v>
      </c>
      <c r="C9" s="86">
        <v>49</v>
      </c>
      <c r="D9" s="120">
        <f t="shared" si="1"/>
        <v>4900</v>
      </c>
      <c r="E9" s="85"/>
      <c r="F9" s="86">
        <v>100</v>
      </c>
      <c r="G9" s="86">
        <v>71</v>
      </c>
      <c r="H9" s="120">
        <f t="shared" si="2"/>
        <v>7100</v>
      </c>
      <c r="I9" s="85"/>
      <c r="J9" s="86">
        <v>100</v>
      </c>
      <c r="K9" s="86">
        <v>15</v>
      </c>
      <c r="L9" s="120">
        <f t="shared" si="3"/>
        <v>1500</v>
      </c>
      <c r="M9" s="85"/>
      <c r="N9" s="86">
        <v>100</v>
      </c>
      <c r="O9" s="86">
        <v>36</v>
      </c>
      <c r="P9" s="120">
        <f t="shared" si="4"/>
        <v>3600</v>
      </c>
      <c r="Q9" s="85"/>
      <c r="R9" s="86">
        <v>100</v>
      </c>
      <c r="S9" s="86"/>
      <c r="T9" s="120">
        <f t="shared" si="5"/>
        <v>0</v>
      </c>
      <c r="U9" s="85"/>
      <c r="V9" s="96"/>
      <c r="W9" s="123">
        <v>100</v>
      </c>
      <c r="X9" s="123">
        <f t="shared" si="7"/>
        <v>171</v>
      </c>
      <c r="Y9" s="121">
        <f t="shared" si="6"/>
        <v>17100</v>
      </c>
      <c r="Z9" s="97"/>
      <c r="AA9" s="85"/>
      <c r="AB9" s="143" t="s">
        <v>12</v>
      </c>
      <c r="AC9" s="144">
        <f>SUM(AC7:AC8)</f>
        <v>560219</v>
      </c>
      <c r="AD9" s="85"/>
      <c r="AE9" s="85"/>
      <c r="AF9" s="85"/>
      <c r="AG9" s="85"/>
      <c r="AH9" s="85"/>
      <c r="AI9" s="86">
        <v>50</v>
      </c>
      <c r="AJ9" s="86">
        <v>109</v>
      </c>
      <c r="AK9" s="120">
        <f t="shared" si="0"/>
        <v>5450</v>
      </c>
      <c r="AL9" s="85"/>
    </row>
    <row r="10" spans="2:38" x14ac:dyDescent="0.25">
      <c r="B10" s="86">
        <v>500</v>
      </c>
      <c r="C10" s="86">
        <v>31</v>
      </c>
      <c r="D10" s="120">
        <f t="shared" si="1"/>
        <v>15500</v>
      </c>
      <c r="E10" s="85"/>
      <c r="F10" s="86">
        <v>500</v>
      </c>
      <c r="G10" s="86">
        <v>23</v>
      </c>
      <c r="H10" s="120">
        <f t="shared" si="2"/>
        <v>11500</v>
      </c>
      <c r="I10" s="85"/>
      <c r="J10" s="86">
        <v>500</v>
      </c>
      <c r="K10" s="86">
        <v>54</v>
      </c>
      <c r="L10" s="120">
        <f t="shared" si="3"/>
        <v>27000</v>
      </c>
      <c r="M10" s="85"/>
      <c r="N10" s="86">
        <v>500</v>
      </c>
      <c r="O10" s="86">
        <v>38</v>
      </c>
      <c r="P10" s="120">
        <f t="shared" si="4"/>
        <v>19000</v>
      </c>
      <c r="Q10" s="85"/>
      <c r="R10" s="86">
        <v>500</v>
      </c>
      <c r="S10" s="86"/>
      <c r="T10" s="120">
        <f t="shared" si="5"/>
        <v>0</v>
      </c>
      <c r="U10" s="85"/>
      <c r="V10" s="96"/>
      <c r="W10" s="123">
        <v>500</v>
      </c>
      <c r="X10" s="123">
        <f t="shared" si="7"/>
        <v>146</v>
      </c>
      <c r="Y10" s="121">
        <f t="shared" si="6"/>
        <v>73000</v>
      </c>
      <c r="Z10" s="97"/>
      <c r="AA10" s="85"/>
      <c r="AB10" s="85"/>
      <c r="AC10" s="85"/>
      <c r="AD10" s="85"/>
      <c r="AE10" s="85"/>
      <c r="AF10" s="85"/>
      <c r="AG10" s="85"/>
      <c r="AH10" s="85"/>
      <c r="AI10" s="86">
        <v>100</v>
      </c>
      <c r="AJ10" s="86">
        <v>172</v>
      </c>
      <c r="AK10" s="120">
        <f t="shared" si="0"/>
        <v>17200</v>
      </c>
      <c r="AL10" s="85"/>
    </row>
    <row r="11" spans="2:38" x14ac:dyDescent="0.25">
      <c r="B11" s="86">
        <v>1000</v>
      </c>
      <c r="C11" s="86">
        <v>53</v>
      </c>
      <c r="D11" s="120">
        <f t="shared" si="1"/>
        <v>53000</v>
      </c>
      <c r="E11" s="85"/>
      <c r="F11" s="86">
        <v>1000</v>
      </c>
      <c r="G11" s="86">
        <v>56</v>
      </c>
      <c r="H11" s="120">
        <f t="shared" si="2"/>
        <v>56000</v>
      </c>
      <c r="I11" s="85"/>
      <c r="J11" s="86">
        <v>1000</v>
      </c>
      <c r="K11" s="86">
        <v>69</v>
      </c>
      <c r="L11" s="120">
        <f t="shared" si="3"/>
        <v>69000</v>
      </c>
      <c r="M11" s="85"/>
      <c r="N11" s="86">
        <v>1000</v>
      </c>
      <c r="O11" s="86">
        <v>30</v>
      </c>
      <c r="P11" s="120">
        <f t="shared" si="4"/>
        <v>30000</v>
      </c>
      <c r="Q11" s="85"/>
      <c r="R11" s="86">
        <v>1000</v>
      </c>
      <c r="S11" s="86"/>
      <c r="T11" s="120">
        <f t="shared" si="5"/>
        <v>0</v>
      </c>
      <c r="U11" s="85"/>
      <c r="V11" s="96"/>
      <c r="W11" s="123">
        <v>1000</v>
      </c>
      <c r="X11" s="123">
        <f t="shared" si="7"/>
        <v>208</v>
      </c>
      <c r="Y11" s="121">
        <f t="shared" si="6"/>
        <v>208000</v>
      </c>
      <c r="Z11" s="97"/>
      <c r="AA11" s="85"/>
      <c r="AB11" s="132" t="s">
        <v>13</v>
      </c>
      <c r="AC11" s="132" t="s">
        <v>8</v>
      </c>
      <c r="AD11" s="132" t="s">
        <v>14</v>
      </c>
      <c r="AE11" s="132" t="s">
        <v>15</v>
      </c>
      <c r="AF11" s="132" t="s">
        <v>16</v>
      </c>
      <c r="AG11" s="132"/>
      <c r="AH11" s="85"/>
      <c r="AI11" s="86">
        <v>500</v>
      </c>
      <c r="AJ11" s="86">
        <v>348</v>
      </c>
      <c r="AK11" s="120">
        <f t="shared" si="0"/>
        <v>174000</v>
      </c>
      <c r="AL11" s="85"/>
    </row>
    <row r="12" spans="2:38" x14ac:dyDescent="0.25">
      <c r="B12" s="86">
        <v>5000</v>
      </c>
      <c r="C12" s="86"/>
      <c r="D12" s="120">
        <f t="shared" si="1"/>
        <v>0</v>
      </c>
      <c r="E12" s="85"/>
      <c r="F12" s="86">
        <v>5000</v>
      </c>
      <c r="G12" s="86"/>
      <c r="H12" s="120">
        <f t="shared" si="2"/>
        <v>0</v>
      </c>
      <c r="I12" s="85"/>
      <c r="J12" s="86">
        <v>5000</v>
      </c>
      <c r="K12" s="86">
        <v>5</v>
      </c>
      <c r="L12" s="120">
        <f t="shared" si="3"/>
        <v>25000</v>
      </c>
      <c r="M12" s="85"/>
      <c r="N12" s="86">
        <v>5000</v>
      </c>
      <c r="O12" s="86">
        <v>3</v>
      </c>
      <c r="P12" s="120">
        <f t="shared" si="4"/>
        <v>15000</v>
      </c>
      <c r="Q12" s="85"/>
      <c r="R12" s="86">
        <v>5000</v>
      </c>
      <c r="S12" s="86"/>
      <c r="T12" s="120">
        <f t="shared" si="5"/>
        <v>0</v>
      </c>
      <c r="U12" s="85"/>
      <c r="V12" s="96"/>
      <c r="W12" s="123">
        <v>5000</v>
      </c>
      <c r="X12" s="123">
        <f t="shared" si="7"/>
        <v>8</v>
      </c>
      <c r="Y12" s="121">
        <f t="shared" si="6"/>
        <v>40000</v>
      </c>
      <c r="Z12" s="97"/>
      <c r="AA12" s="85"/>
      <c r="AB12" s="85" t="s">
        <v>17</v>
      </c>
      <c r="AC12" s="89">
        <v>536690</v>
      </c>
      <c r="AD12" s="85">
        <v>1014587</v>
      </c>
      <c r="AE12" s="137" t="s">
        <v>608</v>
      </c>
      <c r="AF12" s="85" t="s">
        <v>223</v>
      </c>
      <c r="AG12" s="85"/>
      <c r="AH12" s="85"/>
      <c r="AI12" s="86">
        <v>1000</v>
      </c>
      <c r="AJ12" s="86">
        <v>299</v>
      </c>
      <c r="AK12" s="120">
        <f t="shared" si="0"/>
        <v>299000</v>
      </c>
      <c r="AL12" s="85"/>
    </row>
    <row r="13" spans="2:38" ht="15.75" thickBot="1" x14ac:dyDescent="0.3">
      <c r="B13" s="87" t="s">
        <v>18</v>
      </c>
      <c r="C13" s="87"/>
      <c r="D13" s="90">
        <f>+SUM(D5:D12)</f>
        <v>76610</v>
      </c>
      <c r="E13" s="85"/>
      <c r="F13" s="87" t="s">
        <v>18</v>
      </c>
      <c r="G13" s="87"/>
      <c r="H13" s="90">
        <f>+SUM(H5:H12)</f>
        <v>79573</v>
      </c>
      <c r="I13" s="85"/>
      <c r="J13" s="87" t="s">
        <v>18</v>
      </c>
      <c r="K13" s="87"/>
      <c r="L13" s="90">
        <f>+SUM(L5:L12)</f>
        <v>125610</v>
      </c>
      <c r="M13" s="85"/>
      <c r="N13" s="87" t="s">
        <v>18</v>
      </c>
      <c r="O13" s="87"/>
      <c r="P13" s="90">
        <f>+SUM(P5:P12)</f>
        <v>71100</v>
      </c>
      <c r="Q13" s="85"/>
      <c r="R13" s="87" t="s">
        <v>18</v>
      </c>
      <c r="S13" s="87"/>
      <c r="T13" s="90">
        <f>+SUM(T5:T12)</f>
        <v>0</v>
      </c>
      <c r="U13" s="85"/>
      <c r="V13" s="96"/>
      <c r="W13" s="87" t="s">
        <v>18</v>
      </c>
      <c r="X13" s="87"/>
      <c r="Y13" s="90">
        <f>+SUM(Y5:Y12)</f>
        <v>352893</v>
      </c>
      <c r="Z13" s="97"/>
      <c r="AA13" s="85"/>
      <c r="AB13" s="85" t="s">
        <v>19</v>
      </c>
      <c r="AC13" s="89">
        <v>7000</v>
      </c>
      <c r="AD13" s="85"/>
      <c r="AE13" s="85"/>
      <c r="AF13" s="85"/>
      <c r="AG13" s="85"/>
      <c r="AH13" s="85"/>
      <c r="AI13" s="86">
        <v>5000</v>
      </c>
      <c r="AJ13" s="86">
        <v>8</v>
      </c>
      <c r="AK13" s="120">
        <f t="shared" si="0"/>
        <v>40000</v>
      </c>
      <c r="AL13" s="85"/>
    </row>
    <row r="14" spans="2:38" ht="15.75" thickBot="1" x14ac:dyDescent="0.3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96"/>
      <c r="W14" s="100"/>
      <c r="X14" s="100"/>
      <c r="Y14" s="100"/>
      <c r="Z14" s="97"/>
      <c r="AA14" s="85"/>
      <c r="AB14" s="85" t="s">
        <v>20</v>
      </c>
      <c r="AC14" s="89"/>
      <c r="AD14" s="85"/>
      <c r="AE14" s="85"/>
      <c r="AF14" s="85"/>
      <c r="AG14" s="85"/>
      <c r="AH14" s="85"/>
      <c r="AI14" s="87" t="s">
        <v>18</v>
      </c>
      <c r="AJ14" s="87"/>
      <c r="AK14" s="90">
        <f>+SUM(AK6:AK13)</f>
        <v>543690</v>
      </c>
      <c r="AL14" s="85"/>
    </row>
    <row r="15" spans="2:38" ht="15.75" thickBot="1" x14ac:dyDescent="0.3">
      <c r="B15" s="242" t="s">
        <v>21</v>
      </c>
      <c r="C15" s="243"/>
      <c r="D15" s="215">
        <v>96624</v>
      </c>
      <c r="E15" s="114"/>
      <c r="F15" s="242" t="s">
        <v>21</v>
      </c>
      <c r="G15" s="243"/>
      <c r="H15" s="92">
        <v>91551</v>
      </c>
      <c r="I15" s="114"/>
      <c r="J15" s="242" t="s">
        <v>21</v>
      </c>
      <c r="K15" s="243"/>
      <c r="L15" s="92">
        <v>164861</v>
      </c>
      <c r="M15" s="114"/>
      <c r="N15" s="242" t="s">
        <v>21</v>
      </c>
      <c r="O15" s="243"/>
      <c r="P15" s="92">
        <v>118703</v>
      </c>
      <c r="Q15" s="114"/>
      <c r="R15" s="242" t="s">
        <v>21</v>
      </c>
      <c r="S15" s="243"/>
      <c r="T15" s="92"/>
      <c r="U15" s="114"/>
      <c r="V15" s="115"/>
      <c r="W15" s="242" t="s">
        <v>21</v>
      </c>
      <c r="X15" s="243"/>
      <c r="Y15" s="92">
        <f>+D15+H15+L15+P15+T15</f>
        <v>471739</v>
      </c>
      <c r="Z15" s="116"/>
      <c r="AA15" s="114"/>
      <c r="AB15" s="85" t="s">
        <v>22</v>
      </c>
      <c r="AC15" s="89">
        <v>15000</v>
      </c>
      <c r="AD15" s="85"/>
      <c r="AE15" s="85"/>
      <c r="AF15" s="85"/>
      <c r="AG15" s="85"/>
      <c r="AH15" s="85"/>
      <c r="AI15" s="85"/>
      <c r="AJ15" s="85"/>
      <c r="AK15" s="85"/>
      <c r="AL15" s="85"/>
    </row>
    <row r="16" spans="2:38" x14ac:dyDescent="0.25">
      <c r="B16" s="85" t="s">
        <v>10</v>
      </c>
      <c r="C16" s="85"/>
      <c r="D16" s="89">
        <f>+D13</f>
        <v>76610</v>
      </c>
      <c r="E16" s="85"/>
      <c r="F16" s="85" t="s">
        <v>10</v>
      </c>
      <c r="G16" s="85"/>
      <c r="H16" s="89">
        <f>+H13</f>
        <v>79573</v>
      </c>
      <c r="I16" s="85"/>
      <c r="J16" s="85" t="s">
        <v>10</v>
      </c>
      <c r="K16" s="85"/>
      <c r="L16" s="89">
        <f>+L13</f>
        <v>125610</v>
      </c>
      <c r="M16" s="85"/>
      <c r="N16" s="85" t="s">
        <v>10</v>
      </c>
      <c r="O16" s="85"/>
      <c r="P16" s="89">
        <f>+P13</f>
        <v>71100</v>
      </c>
      <c r="Q16" s="85"/>
      <c r="R16" s="85" t="s">
        <v>10</v>
      </c>
      <c r="S16" s="85"/>
      <c r="T16" s="89">
        <f>+T13</f>
        <v>0</v>
      </c>
      <c r="U16" s="85"/>
      <c r="V16" s="96"/>
      <c r="W16" s="124" t="s">
        <v>10</v>
      </c>
      <c r="X16" s="124"/>
      <c r="Y16" s="121">
        <f>+D16+H16+L16+P16+T16</f>
        <v>352893</v>
      </c>
      <c r="Z16" s="97"/>
      <c r="AA16" s="85"/>
      <c r="AB16" s="85" t="s">
        <v>23</v>
      </c>
      <c r="AC16" s="89"/>
      <c r="AD16" s="85"/>
      <c r="AE16" s="85"/>
      <c r="AF16" s="85"/>
      <c r="AG16" s="85"/>
      <c r="AH16" s="85"/>
      <c r="AI16" s="85"/>
      <c r="AJ16" s="85"/>
      <c r="AK16" s="85"/>
      <c r="AL16" s="85"/>
    </row>
    <row r="17" spans="2:38" x14ac:dyDescent="0.25">
      <c r="B17" s="85" t="s">
        <v>17</v>
      </c>
      <c r="C17" s="85"/>
      <c r="D17" s="89"/>
      <c r="E17" s="85"/>
      <c r="F17" s="85" t="s">
        <v>17</v>
      </c>
      <c r="G17" s="85"/>
      <c r="H17" s="89"/>
      <c r="I17" s="85"/>
      <c r="J17" s="85" t="s">
        <v>350</v>
      </c>
      <c r="K17" s="85" t="s">
        <v>602</v>
      </c>
      <c r="L17" s="89">
        <v>3000</v>
      </c>
      <c r="M17" s="85"/>
      <c r="N17" s="85" t="s">
        <v>17</v>
      </c>
      <c r="O17" s="85"/>
      <c r="P17" s="89"/>
      <c r="Q17" s="85"/>
      <c r="R17" s="85" t="s">
        <v>17</v>
      </c>
      <c r="S17" s="85"/>
      <c r="T17" s="89"/>
      <c r="U17" s="85"/>
      <c r="V17" s="96"/>
      <c r="W17" s="124" t="s">
        <v>17</v>
      </c>
      <c r="X17" s="124"/>
      <c r="Y17" s="121">
        <f t="shared" ref="Y17:Y27" si="8">+D17+H17+L17+P17+T17</f>
        <v>3000</v>
      </c>
      <c r="Z17" s="97"/>
      <c r="AA17" s="85"/>
      <c r="AB17" s="133" t="s">
        <v>12</v>
      </c>
      <c r="AC17" s="134">
        <f>+SUM(AC12:AC16)</f>
        <v>558690</v>
      </c>
      <c r="AD17" s="160"/>
      <c r="AE17" s="85"/>
      <c r="AF17" s="85"/>
      <c r="AG17" s="85"/>
      <c r="AH17" s="85"/>
      <c r="AI17" s="85"/>
      <c r="AJ17" s="85"/>
      <c r="AK17" s="85"/>
      <c r="AL17" s="85"/>
    </row>
    <row r="18" spans="2:38" x14ac:dyDescent="0.25">
      <c r="B18" s="85" t="s">
        <v>309</v>
      </c>
      <c r="C18" s="166" t="s">
        <v>584</v>
      </c>
      <c r="D18" s="168">
        <v>19236</v>
      </c>
      <c r="E18" s="85"/>
      <c r="F18" s="85" t="s">
        <v>350</v>
      </c>
      <c r="G18" s="85" t="s">
        <v>604</v>
      </c>
      <c r="H18" s="89">
        <v>8135</v>
      </c>
      <c r="I18" s="85"/>
      <c r="J18" s="85" t="s">
        <v>350</v>
      </c>
      <c r="K18" s="85" t="s">
        <v>565</v>
      </c>
      <c r="L18" s="89">
        <v>3735</v>
      </c>
      <c r="M18" s="85"/>
      <c r="N18" s="85" t="s">
        <v>309</v>
      </c>
      <c r="O18" s="85" t="s">
        <v>562</v>
      </c>
      <c r="P18" s="89">
        <v>5467</v>
      </c>
      <c r="Q18" s="85"/>
      <c r="R18" s="85" t="s">
        <v>26</v>
      </c>
      <c r="S18" s="85"/>
      <c r="T18" s="89"/>
      <c r="U18" s="85"/>
      <c r="V18" s="96"/>
      <c r="W18" s="124" t="s">
        <v>26</v>
      </c>
      <c r="X18" s="124"/>
      <c r="Y18" s="121">
        <f t="shared" si="8"/>
        <v>36573</v>
      </c>
      <c r="Z18" s="97"/>
      <c r="AA18" s="85"/>
      <c r="AB18" s="135" t="s">
        <v>32</v>
      </c>
      <c r="AC18" s="136">
        <f>+AC17-AC9</f>
        <v>-1529</v>
      </c>
      <c r="AD18" s="85" t="s">
        <v>33</v>
      </c>
      <c r="AE18" s="85"/>
      <c r="AF18" s="85"/>
      <c r="AG18" s="85"/>
      <c r="AH18" s="85"/>
      <c r="AI18" s="85"/>
      <c r="AJ18" s="85"/>
      <c r="AK18" s="85"/>
      <c r="AL18" s="85"/>
    </row>
    <row r="19" spans="2:38" x14ac:dyDescent="0.25">
      <c r="B19" s="85" t="s">
        <v>34</v>
      </c>
      <c r="C19" s="85"/>
      <c r="D19" s="89"/>
      <c r="E19" s="85"/>
      <c r="F19" s="85" t="s">
        <v>350</v>
      </c>
      <c r="G19" s="85" t="s">
        <v>605</v>
      </c>
      <c r="H19" s="89">
        <v>3326</v>
      </c>
      <c r="I19" s="85"/>
      <c r="J19" s="85" t="s">
        <v>350</v>
      </c>
      <c r="K19" s="85" t="s">
        <v>598</v>
      </c>
      <c r="L19" s="89">
        <v>3000</v>
      </c>
      <c r="M19" s="85"/>
      <c r="N19" s="85" t="s">
        <v>309</v>
      </c>
      <c r="O19" s="85" t="s">
        <v>563</v>
      </c>
      <c r="P19" s="89">
        <v>13144</v>
      </c>
      <c r="Q19" s="85"/>
      <c r="R19" s="85" t="s">
        <v>34</v>
      </c>
      <c r="S19" s="85"/>
      <c r="T19" s="89"/>
      <c r="U19" s="85"/>
      <c r="V19" s="96"/>
      <c r="W19" s="124" t="s">
        <v>34</v>
      </c>
      <c r="X19" s="124"/>
      <c r="Y19" s="121">
        <f t="shared" si="8"/>
        <v>19470</v>
      </c>
      <c r="Z19" s="97"/>
      <c r="AA19" s="85"/>
      <c r="AB19" s="85"/>
      <c r="AC19" s="85"/>
      <c r="AD19" s="85"/>
      <c r="AE19" s="85"/>
      <c r="AF19" s="85"/>
      <c r="AG19" s="85"/>
      <c r="AH19" s="85"/>
      <c r="AI19" s="240" t="s">
        <v>587</v>
      </c>
      <c r="AJ19" s="240"/>
      <c r="AK19" s="240"/>
      <c r="AL19" s="240"/>
    </row>
    <row r="20" spans="2:38" x14ac:dyDescent="0.25">
      <c r="B20" s="85" t="s">
        <v>36</v>
      </c>
      <c r="C20" s="85"/>
      <c r="D20" s="89"/>
      <c r="E20" s="85"/>
      <c r="F20" s="85" t="s">
        <v>36</v>
      </c>
      <c r="G20" s="85"/>
      <c r="H20" s="89"/>
      <c r="I20" s="85"/>
      <c r="J20" s="85" t="s">
        <v>350</v>
      </c>
      <c r="K20" s="85" t="s">
        <v>599</v>
      </c>
      <c r="L20" s="89">
        <v>8600</v>
      </c>
      <c r="M20" s="85"/>
      <c r="N20" s="85" t="s">
        <v>309</v>
      </c>
      <c r="O20" s="85" t="s">
        <v>564</v>
      </c>
      <c r="P20" s="89">
        <v>8071</v>
      </c>
      <c r="Q20" s="85"/>
      <c r="R20" s="85" t="s">
        <v>36</v>
      </c>
      <c r="S20" s="85"/>
      <c r="T20" s="89"/>
      <c r="U20" s="85"/>
      <c r="V20" s="96"/>
      <c r="W20" s="124" t="s">
        <v>36</v>
      </c>
      <c r="X20" s="124"/>
      <c r="Y20" s="121">
        <f t="shared" si="8"/>
        <v>16671</v>
      </c>
      <c r="Z20" s="97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</row>
    <row r="21" spans="2:38" x14ac:dyDescent="0.25">
      <c r="B21" s="85"/>
      <c r="C21" s="85"/>
      <c r="D21" s="89"/>
      <c r="E21" s="85"/>
      <c r="F21" s="85"/>
      <c r="G21" s="85"/>
      <c r="H21" s="89"/>
      <c r="I21" s="85"/>
      <c r="J21" s="85" t="s">
        <v>350</v>
      </c>
      <c r="K21" s="85" t="s">
        <v>600</v>
      </c>
      <c r="L21" s="89">
        <v>8300</v>
      </c>
      <c r="M21" s="85"/>
      <c r="N21" s="85" t="s">
        <v>350</v>
      </c>
      <c r="O21" s="85" t="s">
        <v>595</v>
      </c>
      <c r="P21" s="89">
        <v>10649</v>
      </c>
      <c r="Q21" s="85"/>
      <c r="R21" s="85"/>
      <c r="S21" s="85"/>
      <c r="T21" s="89"/>
      <c r="U21" s="85"/>
      <c r="V21" s="96"/>
      <c r="W21" s="124"/>
      <c r="X21" s="124"/>
      <c r="Y21" s="121">
        <f t="shared" si="8"/>
        <v>18949</v>
      </c>
      <c r="Z21" s="97"/>
      <c r="AA21" s="85"/>
      <c r="AB21" s="139" t="s">
        <v>37</v>
      </c>
      <c r="AC21" s="139"/>
      <c r="AD21" s="139"/>
      <c r="AE21" s="114"/>
      <c r="AF21" s="85"/>
      <c r="AG21" s="85"/>
      <c r="AH21" s="85"/>
      <c r="AI21" s="139" t="s">
        <v>38</v>
      </c>
      <c r="AJ21" s="139"/>
      <c r="AK21" s="139"/>
      <c r="AL21" s="147"/>
    </row>
    <row r="22" spans="2:38" x14ac:dyDescent="0.25">
      <c r="B22" s="85"/>
      <c r="C22" s="85"/>
      <c r="D22" s="89"/>
      <c r="E22" s="85"/>
      <c r="F22" s="85"/>
      <c r="G22" s="85"/>
      <c r="H22" s="89"/>
      <c r="I22" s="85"/>
      <c r="J22" s="85" t="s">
        <v>350</v>
      </c>
      <c r="K22" s="85" t="s">
        <v>601</v>
      </c>
      <c r="L22" s="89">
        <v>6980</v>
      </c>
      <c r="M22" s="85"/>
      <c r="N22" s="85" t="s">
        <v>350</v>
      </c>
      <c r="O22" s="85" t="s">
        <v>596</v>
      </c>
      <c r="P22" s="89">
        <v>6470</v>
      </c>
      <c r="Q22" s="85"/>
      <c r="R22" s="85"/>
      <c r="S22" s="85"/>
      <c r="T22" s="89"/>
      <c r="U22" s="85"/>
      <c r="V22" s="96"/>
      <c r="W22" s="124"/>
      <c r="X22" s="124"/>
      <c r="Y22" s="121">
        <f t="shared" si="8"/>
        <v>13450</v>
      </c>
      <c r="Z22" s="97"/>
      <c r="AA22" s="85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G22" s="85"/>
      <c r="AH22" s="85"/>
      <c r="AI22" s="132" t="s">
        <v>41</v>
      </c>
      <c r="AJ22" s="132" t="s">
        <v>45</v>
      </c>
      <c r="AK22" s="132" t="s">
        <v>43</v>
      </c>
      <c r="AL22" s="132" t="s">
        <v>8</v>
      </c>
    </row>
    <row r="23" spans="2:38" x14ac:dyDescent="0.25">
      <c r="B23" s="85" t="s">
        <v>46</v>
      </c>
      <c r="C23" s="85"/>
      <c r="D23" s="89"/>
      <c r="E23" s="85"/>
      <c r="F23" s="85" t="s">
        <v>46</v>
      </c>
      <c r="G23" s="85"/>
      <c r="H23" s="89"/>
      <c r="I23" s="85"/>
      <c r="J23" s="85" t="s">
        <v>350</v>
      </c>
      <c r="K23" s="85" t="s">
        <v>603</v>
      </c>
      <c r="L23" s="89">
        <v>4000</v>
      </c>
      <c r="M23" s="85"/>
      <c r="N23" s="85" t="s">
        <v>594</v>
      </c>
      <c r="O23" s="166" t="s">
        <v>67</v>
      </c>
      <c r="P23" s="168">
        <v>3589</v>
      </c>
      <c r="Q23" s="85"/>
      <c r="R23" s="85" t="s">
        <v>46</v>
      </c>
      <c r="S23" s="85"/>
      <c r="T23" s="89"/>
      <c r="U23" s="85"/>
      <c r="V23" s="96"/>
      <c r="W23" s="124" t="s">
        <v>46</v>
      </c>
      <c r="X23" s="124"/>
      <c r="Y23" s="121">
        <f t="shared" si="8"/>
        <v>7589</v>
      </c>
      <c r="Z23" s="97"/>
      <c r="AA23" s="85"/>
      <c r="AB23" s="85" t="s">
        <v>70</v>
      </c>
      <c r="AC23" s="167">
        <v>45863</v>
      </c>
      <c r="AD23" s="166" t="s">
        <v>566</v>
      </c>
      <c r="AE23" s="85"/>
      <c r="AF23" s="85">
        <v>2070</v>
      </c>
      <c r="AG23" s="85"/>
      <c r="AH23" s="85"/>
      <c r="AI23" s="166" t="s">
        <v>72</v>
      </c>
      <c r="AJ23" s="166" t="s">
        <v>574</v>
      </c>
      <c r="AK23" s="166" t="s">
        <v>401</v>
      </c>
      <c r="AL23" s="168">
        <v>49831</v>
      </c>
    </row>
    <row r="24" spans="2:38" x14ac:dyDescent="0.25">
      <c r="B24" s="85" t="s">
        <v>54</v>
      </c>
      <c r="C24" s="85"/>
      <c r="D24" s="89"/>
      <c r="E24" s="85"/>
      <c r="F24" s="85" t="s">
        <v>54</v>
      </c>
      <c r="G24" s="85"/>
      <c r="H24" s="89"/>
      <c r="I24" s="85"/>
      <c r="J24" s="85" t="s">
        <v>54</v>
      </c>
      <c r="K24" s="85"/>
      <c r="L24" s="89"/>
      <c r="M24" s="85"/>
      <c r="N24" s="85" t="s">
        <v>240</v>
      </c>
      <c r="O24" s="85"/>
      <c r="P24" s="89"/>
      <c r="Q24" s="85"/>
      <c r="R24" s="85" t="s">
        <v>54</v>
      </c>
      <c r="S24" s="85"/>
      <c r="T24" s="89"/>
      <c r="U24" s="85"/>
      <c r="V24" s="96"/>
      <c r="W24" s="124" t="s">
        <v>54</v>
      </c>
      <c r="X24" s="124"/>
      <c r="Y24" s="121">
        <f t="shared" si="8"/>
        <v>0</v>
      </c>
      <c r="Z24" s="97"/>
      <c r="AA24" s="85"/>
      <c r="AB24" s="104" t="s">
        <v>139</v>
      </c>
      <c r="AC24" s="167">
        <v>45866</v>
      </c>
      <c r="AD24" s="166" t="s">
        <v>567</v>
      </c>
      <c r="AE24" s="85"/>
      <c r="AF24" s="85">
        <v>4000</v>
      </c>
      <c r="AG24" s="85"/>
      <c r="AH24" s="85"/>
      <c r="AI24" s="166" t="s">
        <v>573</v>
      </c>
      <c r="AJ24" s="166" t="s">
        <v>575</v>
      </c>
      <c r="AK24" s="166" t="s">
        <v>467</v>
      </c>
      <c r="AL24" s="168">
        <v>9560</v>
      </c>
    </row>
    <row r="25" spans="2:38" x14ac:dyDescent="0.25">
      <c r="B25" s="85" t="s">
        <v>61</v>
      </c>
      <c r="C25" s="85"/>
      <c r="D25" s="89"/>
      <c r="E25" s="85"/>
      <c r="F25" s="85" t="s">
        <v>61</v>
      </c>
      <c r="G25" s="85"/>
      <c r="H25" s="89"/>
      <c r="I25" s="85"/>
      <c r="J25" s="85" t="s">
        <v>61</v>
      </c>
      <c r="K25" s="85"/>
      <c r="L25" s="89"/>
      <c r="M25" s="85"/>
      <c r="N25" s="85" t="s">
        <v>240</v>
      </c>
      <c r="O25" s="85"/>
      <c r="P25" s="89"/>
      <c r="Q25" s="85"/>
      <c r="R25" s="85" t="s">
        <v>61</v>
      </c>
      <c r="S25" s="85"/>
      <c r="T25" s="89"/>
      <c r="U25" s="85"/>
      <c r="V25" s="96"/>
      <c r="W25" s="124" t="s">
        <v>61</v>
      </c>
      <c r="X25" s="124"/>
      <c r="Y25" s="121">
        <f t="shared" si="8"/>
        <v>0</v>
      </c>
      <c r="Z25" s="97"/>
      <c r="AA25" s="85"/>
      <c r="AB25" s="166" t="s">
        <v>144</v>
      </c>
      <c r="AC25" s="204">
        <v>45876</v>
      </c>
      <c r="AD25" s="166" t="s">
        <v>250</v>
      </c>
      <c r="AE25" s="166"/>
      <c r="AF25" s="166">
        <v>10700</v>
      </c>
      <c r="AG25" s="85"/>
      <c r="AH25" s="85"/>
      <c r="AI25" s="166" t="s">
        <v>70</v>
      </c>
      <c r="AJ25" s="166" t="s">
        <v>221</v>
      </c>
      <c r="AK25" s="166" t="s">
        <v>568</v>
      </c>
      <c r="AL25" s="168">
        <v>6640</v>
      </c>
    </row>
    <row r="26" spans="2:38" x14ac:dyDescent="0.25">
      <c r="B26" s="85"/>
      <c r="C26" s="85"/>
      <c r="D26" s="89"/>
      <c r="E26" s="85"/>
      <c r="F26" s="85"/>
      <c r="G26" s="85"/>
      <c r="H26" s="89"/>
      <c r="I26" s="85"/>
      <c r="J26" s="85"/>
      <c r="K26" s="85"/>
      <c r="L26" s="89"/>
      <c r="M26" s="85"/>
      <c r="N26" s="85"/>
      <c r="O26" s="85"/>
      <c r="P26" s="89"/>
      <c r="Q26" s="85"/>
      <c r="R26" s="85"/>
      <c r="S26" s="85"/>
      <c r="T26" s="85"/>
      <c r="U26" s="85"/>
      <c r="V26" s="96"/>
      <c r="W26" s="124"/>
      <c r="X26" s="124"/>
      <c r="Y26" s="121">
        <f t="shared" si="8"/>
        <v>0</v>
      </c>
      <c r="Z26" s="97"/>
      <c r="AA26" s="85"/>
      <c r="AB26" s="166" t="s">
        <v>585</v>
      </c>
      <c r="AC26" s="204">
        <v>45884</v>
      </c>
      <c r="AD26" s="166" t="s">
        <v>417</v>
      </c>
      <c r="AE26" s="166"/>
      <c r="AF26" s="166">
        <v>70060</v>
      </c>
      <c r="AG26" s="85"/>
      <c r="AH26" s="85"/>
      <c r="AI26" s="166" t="s">
        <v>72</v>
      </c>
      <c r="AJ26" s="166" t="s">
        <v>576</v>
      </c>
      <c r="AK26" s="166" t="s">
        <v>569</v>
      </c>
      <c r="AL26" s="168">
        <v>49540</v>
      </c>
    </row>
    <row r="27" spans="2:38" ht="15.75" thickBot="1" x14ac:dyDescent="0.3">
      <c r="B27" s="85"/>
      <c r="C27" s="85"/>
      <c r="D27" s="89"/>
      <c r="E27" s="85"/>
      <c r="F27" s="85"/>
      <c r="G27" s="85"/>
      <c r="H27" s="89"/>
      <c r="I27" s="85"/>
      <c r="J27" s="85"/>
      <c r="K27" s="85"/>
      <c r="L27" s="89"/>
      <c r="M27" s="85"/>
      <c r="N27" s="85"/>
      <c r="O27" s="85"/>
      <c r="P27" s="89"/>
      <c r="Q27" s="85"/>
      <c r="R27" s="85"/>
      <c r="S27" s="85"/>
      <c r="T27" s="89"/>
      <c r="U27" s="85"/>
      <c r="V27" s="96"/>
      <c r="W27" s="124"/>
      <c r="X27" s="124"/>
      <c r="Y27" s="121">
        <f t="shared" si="8"/>
        <v>0</v>
      </c>
      <c r="Z27" s="97"/>
      <c r="AA27" s="85"/>
      <c r="AB27" s="166" t="s">
        <v>586</v>
      </c>
      <c r="AC27" s="204">
        <v>45884</v>
      </c>
      <c r="AD27" s="166" t="s">
        <v>479</v>
      </c>
      <c r="AE27" s="166"/>
      <c r="AF27" s="166">
        <v>10985</v>
      </c>
      <c r="AG27" s="85"/>
      <c r="AH27" s="85"/>
      <c r="AI27" s="166" t="s">
        <v>59</v>
      </c>
      <c r="AJ27" s="166" t="s">
        <v>577</v>
      </c>
      <c r="AK27" s="166" t="s">
        <v>66</v>
      </c>
      <c r="AL27" s="168">
        <v>9582</v>
      </c>
    </row>
    <row r="28" spans="2:38" ht="15.75" thickBot="1" x14ac:dyDescent="0.3">
      <c r="B28" s="235" t="s">
        <v>12</v>
      </c>
      <c r="C28" s="236"/>
      <c r="D28" s="93">
        <f>+SUM(D16:D27)</f>
        <v>95846</v>
      </c>
      <c r="E28" s="85"/>
      <c r="F28" s="235" t="s">
        <v>12</v>
      </c>
      <c r="G28" s="236"/>
      <c r="H28" s="93">
        <f>+SUM(H16:H27)</f>
        <v>91034</v>
      </c>
      <c r="I28" s="85"/>
      <c r="J28" s="235" t="s">
        <v>12</v>
      </c>
      <c r="K28" s="236"/>
      <c r="L28" s="93">
        <f>+SUM(L16:L27)</f>
        <v>163225</v>
      </c>
      <c r="M28" s="85"/>
      <c r="N28" s="235" t="s">
        <v>12</v>
      </c>
      <c r="O28" s="236"/>
      <c r="P28" s="93">
        <f>+SUM(P16:P27)</f>
        <v>118490</v>
      </c>
      <c r="Q28" s="85"/>
      <c r="R28" s="235" t="s">
        <v>12</v>
      </c>
      <c r="S28" s="236"/>
      <c r="T28" s="93">
        <f>+SUM(T16:T27)</f>
        <v>0</v>
      </c>
      <c r="U28" s="85"/>
      <c r="V28" s="96"/>
      <c r="W28" s="235" t="s">
        <v>12</v>
      </c>
      <c r="X28" s="236"/>
      <c r="Y28" s="93">
        <f>+SUM(Y16:Y27)</f>
        <v>468595</v>
      </c>
      <c r="Z28" s="97"/>
      <c r="AA28" s="85"/>
      <c r="AB28" s="166" t="s">
        <v>597</v>
      </c>
      <c r="AC28" s="204">
        <v>45878</v>
      </c>
      <c r="AD28" s="166" t="s">
        <v>233</v>
      </c>
      <c r="AE28" s="85"/>
      <c r="AF28" s="200">
        <v>109511</v>
      </c>
      <c r="AG28" s="85"/>
      <c r="AH28" s="85"/>
      <c r="AI28" s="166" t="s">
        <v>144</v>
      </c>
      <c r="AJ28" s="166" t="s">
        <v>244</v>
      </c>
      <c r="AK28" s="166" t="s">
        <v>137</v>
      </c>
      <c r="AL28" s="168">
        <v>11300</v>
      </c>
    </row>
    <row r="29" spans="2:38" x14ac:dyDescent="0.25">
      <c r="B29" s="85"/>
      <c r="C29" s="85"/>
      <c r="D29" s="89"/>
      <c r="E29" s="85"/>
      <c r="F29" s="85"/>
      <c r="G29" s="85"/>
      <c r="H29" s="89"/>
      <c r="I29" s="85"/>
      <c r="J29" s="85"/>
      <c r="K29" s="85"/>
      <c r="L29" s="89"/>
      <c r="M29" s="85"/>
      <c r="N29" s="85"/>
      <c r="O29" s="85"/>
      <c r="P29" s="89"/>
      <c r="Q29" s="85"/>
      <c r="R29" s="85"/>
      <c r="S29" s="85"/>
      <c r="T29" s="89"/>
      <c r="U29" s="85"/>
      <c r="V29" s="96"/>
      <c r="W29" s="100"/>
      <c r="X29" s="100"/>
      <c r="Y29" s="99"/>
      <c r="Z29" s="97"/>
      <c r="AA29" s="85"/>
      <c r="AB29" s="85"/>
      <c r="AC29" s="85"/>
      <c r="AD29" s="85"/>
      <c r="AE29" s="85"/>
      <c r="AF29" s="85"/>
      <c r="AG29" s="85"/>
      <c r="AH29" s="85"/>
      <c r="AI29" s="166" t="s">
        <v>144</v>
      </c>
      <c r="AJ29" s="166" t="s">
        <v>245</v>
      </c>
      <c r="AK29" s="166" t="s">
        <v>451</v>
      </c>
      <c r="AL29" s="168">
        <v>13450</v>
      </c>
    </row>
    <row r="30" spans="2:38" ht="15.75" thickBot="1" x14ac:dyDescent="0.3">
      <c r="B30" s="237" t="s">
        <v>75</v>
      </c>
      <c r="C30" s="237"/>
      <c r="D30" s="91">
        <f>+D28-D15</f>
        <v>-778</v>
      </c>
      <c r="E30" s="85"/>
      <c r="F30" s="237" t="s">
        <v>75</v>
      </c>
      <c r="G30" s="237"/>
      <c r="H30" s="91">
        <f>+H28-H15</f>
        <v>-517</v>
      </c>
      <c r="I30" s="85"/>
      <c r="J30" s="237" t="s">
        <v>75</v>
      </c>
      <c r="K30" s="237"/>
      <c r="L30" s="91">
        <f>+L28-L15</f>
        <v>-1636</v>
      </c>
      <c r="M30" s="85"/>
      <c r="N30" s="237" t="s">
        <v>75</v>
      </c>
      <c r="O30" s="237"/>
      <c r="P30" s="91">
        <f>+P28-P15</f>
        <v>-213</v>
      </c>
      <c r="Q30" s="85"/>
      <c r="R30" s="237" t="s">
        <v>75</v>
      </c>
      <c r="S30" s="237"/>
      <c r="T30" s="91">
        <f>+T28-T15</f>
        <v>0</v>
      </c>
      <c r="U30" s="85"/>
      <c r="V30" s="96"/>
      <c r="W30" s="238" t="s">
        <v>75</v>
      </c>
      <c r="X30" s="238"/>
      <c r="Y30" s="126">
        <f>+Y28-Y15</f>
        <v>-3144</v>
      </c>
      <c r="Z30" s="97"/>
      <c r="AA30" s="85"/>
      <c r="AB30" s="85"/>
      <c r="AC30" s="85"/>
      <c r="AD30" s="85"/>
      <c r="AE30" s="85"/>
      <c r="AF30" s="85"/>
      <c r="AG30" s="85"/>
      <c r="AH30" s="85"/>
      <c r="AI30" s="166" t="s">
        <v>144</v>
      </c>
      <c r="AJ30" s="166" t="s">
        <v>246</v>
      </c>
      <c r="AK30" s="166" t="s">
        <v>570</v>
      </c>
      <c r="AL30" s="168">
        <v>6810</v>
      </c>
    </row>
    <row r="31" spans="2:38" ht="16.5" thickTop="1" thickBo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01"/>
      <c r="W31" s="102"/>
      <c r="X31" s="102"/>
      <c r="Y31" s="102"/>
      <c r="Z31" s="103"/>
      <c r="AA31" s="85"/>
      <c r="AB31" s="145" t="s">
        <v>74</v>
      </c>
      <c r="AC31" s="145"/>
      <c r="AD31" s="145"/>
      <c r="AE31" s="145"/>
      <c r="AF31" s="140">
        <f>+SUM(AF23:AF30)</f>
        <v>207326</v>
      </c>
      <c r="AG31" s="85"/>
      <c r="AH31" s="85"/>
      <c r="AI31" s="166" t="s">
        <v>70</v>
      </c>
      <c r="AJ31" s="166" t="s">
        <v>252</v>
      </c>
      <c r="AK31" s="166" t="s">
        <v>571</v>
      </c>
      <c r="AL31" s="168">
        <v>20225</v>
      </c>
    </row>
    <row r="32" spans="2:38" x14ac:dyDescent="0.2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166" t="s">
        <v>139</v>
      </c>
      <c r="AJ32" s="166" t="s">
        <v>268</v>
      </c>
      <c r="AK32" s="166" t="s">
        <v>369</v>
      </c>
      <c r="AL32" s="213">
        <v>10076</v>
      </c>
    </row>
    <row r="33" spans="2:38" ht="15.75" thickBo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166" t="s">
        <v>72</v>
      </c>
      <c r="AJ33" s="166" t="s">
        <v>300</v>
      </c>
      <c r="AK33" s="166" t="s">
        <v>399</v>
      </c>
      <c r="AL33" s="168">
        <v>48800</v>
      </c>
    </row>
    <row r="34" spans="2:38" x14ac:dyDescent="0.25">
      <c r="B34" s="94" t="s">
        <v>76</v>
      </c>
      <c r="C34" s="95"/>
      <c r="D34" s="105">
        <v>778</v>
      </c>
      <c r="E34" s="85"/>
      <c r="F34" s="94" t="s">
        <v>76</v>
      </c>
      <c r="G34" s="95"/>
      <c r="H34" s="105"/>
      <c r="I34" s="85"/>
      <c r="J34" s="94" t="s">
        <v>76</v>
      </c>
      <c r="K34" s="95"/>
      <c r="L34" s="105">
        <v>1636</v>
      </c>
      <c r="M34" s="85"/>
      <c r="N34" s="94" t="s">
        <v>76</v>
      </c>
      <c r="O34" s="95"/>
      <c r="P34" s="105">
        <v>213</v>
      </c>
      <c r="Q34" s="85"/>
      <c r="R34" s="94" t="s">
        <v>76</v>
      </c>
      <c r="S34" s="95"/>
      <c r="T34" s="105"/>
      <c r="U34" s="85"/>
      <c r="V34" s="85"/>
      <c r="W34" s="127" t="s">
        <v>76</v>
      </c>
      <c r="X34" s="128"/>
      <c r="Y34" s="129">
        <f>+D34+H34+L34+P34+T34</f>
        <v>2627</v>
      </c>
      <c r="Z34" s="85"/>
      <c r="AA34" s="85"/>
      <c r="AB34" s="85"/>
      <c r="AC34" s="85"/>
      <c r="AD34" s="85"/>
      <c r="AE34" s="85"/>
      <c r="AF34" s="85"/>
      <c r="AG34" s="85"/>
      <c r="AH34" s="85"/>
      <c r="AI34" s="166" t="s">
        <v>59</v>
      </c>
      <c r="AJ34" s="166" t="s">
        <v>578</v>
      </c>
      <c r="AK34" s="166" t="s">
        <v>367</v>
      </c>
      <c r="AL34" s="168">
        <v>7870</v>
      </c>
    </row>
    <row r="35" spans="2:38" x14ac:dyDescent="0.25">
      <c r="B35" s="96" t="s">
        <v>77</v>
      </c>
      <c r="C35" s="100"/>
      <c r="D35" s="106"/>
      <c r="E35" s="85"/>
      <c r="F35" s="96" t="s">
        <v>77</v>
      </c>
      <c r="G35" s="100"/>
      <c r="H35" s="106"/>
      <c r="I35" s="85"/>
      <c r="J35" s="96" t="s">
        <v>77</v>
      </c>
      <c r="K35" s="100"/>
      <c r="L35" s="106"/>
      <c r="M35" s="85"/>
      <c r="N35" s="96" t="s">
        <v>77</v>
      </c>
      <c r="O35" s="100"/>
      <c r="P35" s="106"/>
      <c r="Q35" s="85"/>
      <c r="R35" s="96" t="s">
        <v>77</v>
      </c>
      <c r="S35" s="100"/>
      <c r="T35" s="106"/>
      <c r="U35" s="85"/>
      <c r="V35" s="85"/>
      <c r="W35" s="130" t="s">
        <v>77</v>
      </c>
      <c r="X35" s="124"/>
      <c r="Y35" s="131">
        <f t="shared" ref="Y35:Y36" si="9">+D35+H35+L35+P35+T35</f>
        <v>0</v>
      </c>
      <c r="Z35" s="85"/>
      <c r="AA35" s="85"/>
      <c r="AB35" s="85"/>
      <c r="AC35" s="85"/>
      <c r="AD35" s="85"/>
      <c r="AE35" s="85"/>
      <c r="AF35" s="85"/>
      <c r="AG35" s="85"/>
      <c r="AH35" s="85"/>
      <c r="AI35" s="166" t="s">
        <v>70</v>
      </c>
      <c r="AJ35" s="166" t="s">
        <v>321</v>
      </c>
      <c r="AK35" s="166" t="s">
        <v>368</v>
      </c>
      <c r="AL35" s="200">
        <v>9230</v>
      </c>
    </row>
    <row r="36" spans="2:38" x14ac:dyDescent="0.25">
      <c r="B36" s="96" t="s">
        <v>79</v>
      </c>
      <c r="C36" s="100"/>
      <c r="D36" s="106"/>
      <c r="E36" s="85"/>
      <c r="F36" s="96" t="s">
        <v>79</v>
      </c>
      <c r="G36" s="100"/>
      <c r="H36" s="106"/>
      <c r="I36" s="85"/>
      <c r="J36" s="96" t="s">
        <v>79</v>
      </c>
      <c r="K36" s="100"/>
      <c r="L36" s="106"/>
      <c r="M36" s="85"/>
      <c r="N36" s="96" t="s">
        <v>79</v>
      </c>
      <c r="O36" s="100"/>
      <c r="P36" s="106"/>
      <c r="Q36" s="85"/>
      <c r="R36" s="96" t="s">
        <v>82</v>
      </c>
      <c r="S36" s="100"/>
      <c r="T36" s="106"/>
      <c r="U36" s="85"/>
      <c r="V36" s="85"/>
      <c r="W36" s="130" t="s">
        <v>78</v>
      </c>
      <c r="X36" s="124"/>
      <c r="Y36" s="131">
        <f t="shared" si="9"/>
        <v>0</v>
      </c>
      <c r="Z36" s="85"/>
      <c r="AA36" s="85"/>
      <c r="AB36" s="85"/>
      <c r="AC36" s="85"/>
      <c r="AD36" s="85"/>
      <c r="AE36" s="85"/>
      <c r="AF36" s="85"/>
      <c r="AG36" s="85"/>
      <c r="AH36" s="85"/>
      <c r="AI36" s="166" t="s">
        <v>70</v>
      </c>
      <c r="AJ36" s="166" t="s">
        <v>324</v>
      </c>
      <c r="AK36" s="166" t="s">
        <v>329</v>
      </c>
      <c r="AL36" s="168">
        <v>7029</v>
      </c>
    </row>
    <row r="37" spans="2:38" x14ac:dyDescent="0.25">
      <c r="B37" s="96" t="s">
        <v>18</v>
      </c>
      <c r="C37" s="100"/>
      <c r="D37" s="106">
        <f>+SUM(D34:D36)</f>
        <v>778</v>
      </c>
      <c r="E37" s="85"/>
      <c r="F37" s="96" t="s">
        <v>18</v>
      </c>
      <c r="G37" s="100"/>
      <c r="H37" s="106">
        <f>+SUM(H34:H36)</f>
        <v>0</v>
      </c>
      <c r="I37" s="85"/>
      <c r="J37" s="96" t="s">
        <v>18</v>
      </c>
      <c r="K37" s="100"/>
      <c r="L37" s="106">
        <f>+SUM(L34:L36)</f>
        <v>1636</v>
      </c>
      <c r="M37" s="85"/>
      <c r="N37" s="96" t="s">
        <v>18</v>
      </c>
      <c r="O37" s="100"/>
      <c r="P37" s="106">
        <f>+SUM(P34:P36)</f>
        <v>213</v>
      </c>
      <c r="Q37" s="85"/>
      <c r="R37" s="96" t="s">
        <v>18</v>
      </c>
      <c r="S37" s="100"/>
      <c r="T37" s="106">
        <f>+SUM(T34:T36)</f>
        <v>0</v>
      </c>
      <c r="U37" s="85"/>
      <c r="V37" s="85"/>
      <c r="W37" s="117" t="s">
        <v>18</v>
      </c>
      <c r="X37" s="118"/>
      <c r="Y37" s="119">
        <f>+SUM(Y34:Y36)</f>
        <v>2627</v>
      </c>
      <c r="Z37" s="85"/>
      <c r="AA37" s="85"/>
      <c r="AB37" s="85"/>
      <c r="AC37" s="139" t="s">
        <v>38</v>
      </c>
      <c r="AD37" s="139"/>
      <c r="AE37" s="139"/>
      <c r="AF37" s="147"/>
      <c r="AG37" s="85"/>
      <c r="AH37" s="85"/>
      <c r="AI37" s="166" t="s">
        <v>70</v>
      </c>
      <c r="AJ37" s="166" t="s">
        <v>358</v>
      </c>
      <c r="AK37" s="166" t="s">
        <v>369</v>
      </c>
      <c r="AL37" s="168">
        <v>8839</v>
      </c>
    </row>
    <row r="38" spans="2:38" ht="15.75" thickBot="1" x14ac:dyDescent="0.3">
      <c r="B38" s="107" t="s">
        <v>81</v>
      </c>
      <c r="C38" s="108"/>
      <c r="D38" s="109">
        <f>+D30+D37</f>
        <v>0</v>
      </c>
      <c r="E38" s="85"/>
      <c r="F38" s="107" t="s">
        <v>81</v>
      </c>
      <c r="G38" s="108"/>
      <c r="H38" s="109">
        <f>+H30+H37</f>
        <v>-517</v>
      </c>
      <c r="I38" s="85"/>
      <c r="J38" s="107" t="s">
        <v>81</v>
      </c>
      <c r="K38" s="108"/>
      <c r="L38" s="109">
        <f>+L30+L37</f>
        <v>0</v>
      </c>
      <c r="M38" s="85"/>
      <c r="N38" s="107" t="s">
        <v>81</v>
      </c>
      <c r="O38" s="108"/>
      <c r="P38" s="109">
        <f>+P30+P37</f>
        <v>0</v>
      </c>
      <c r="Q38" s="85"/>
      <c r="R38" s="107" t="s">
        <v>81</v>
      </c>
      <c r="S38" s="108"/>
      <c r="T38" s="109">
        <f>+T30+T37</f>
        <v>0</v>
      </c>
      <c r="U38" s="85"/>
      <c r="V38" s="85"/>
      <c r="W38" s="107" t="s">
        <v>81</v>
      </c>
      <c r="X38" s="108"/>
      <c r="Y38" s="109">
        <f>+Y30+Y37</f>
        <v>-517</v>
      </c>
      <c r="Z38" s="85"/>
      <c r="AA38" s="85"/>
      <c r="AB38" s="85"/>
      <c r="AC38" s="132" t="s">
        <v>41</v>
      </c>
      <c r="AD38" s="132" t="s">
        <v>45</v>
      </c>
      <c r="AE38" s="132" t="s">
        <v>43</v>
      </c>
      <c r="AF38" s="132" t="s">
        <v>8</v>
      </c>
      <c r="AG38" s="85"/>
      <c r="AH38" s="85"/>
      <c r="AI38" s="166" t="s">
        <v>72</v>
      </c>
      <c r="AJ38" s="166" t="s">
        <v>579</v>
      </c>
      <c r="AK38" s="166" t="s">
        <v>572</v>
      </c>
      <c r="AL38" s="168">
        <v>51000</v>
      </c>
    </row>
    <row r="39" spans="2:38" x14ac:dyDescent="0.25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166" t="s">
        <v>70</v>
      </c>
      <c r="AD39" s="166" t="s">
        <v>322</v>
      </c>
      <c r="AE39" s="166" t="s">
        <v>262</v>
      </c>
      <c r="AF39" s="200">
        <v>7000</v>
      </c>
      <c r="AG39" s="85"/>
      <c r="AH39" s="85"/>
      <c r="AI39" s="166" t="s">
        <v>72</v>
      </c>
      <c r="AJ39" s="166" t="s">
        <v>580</v>
      </c>
      <c r="AK39" s="166" t="s">
        <v>572</v>
      </c>
      <c r="AL39" s="168">
        <v>41770</v>
      </c>
    </row>
    <row r="40" spans="2:38" x14ac:dyDescent="0.25">
      <c r="AB40" s="85"/>
      <c r="AC40" s="166" t="s">
        <v>72</v>
      </c>
      <c r="AD40" s="166" t="s">
        <v>591</v>
      </c>
      <c r="AE40" s="166" t="s">
        <v>63</v>
      </c>
      <c r="AF40" s="168">
        <v>40000</v>
      </c>
      <c r="AG40" s="85"/>
      <c r="AI40" s="166" t="s">
        <v>72</v>
      </c>
      <c r="AJ40" s="166" t="s">
        <v>581</v>
      </c>
      <c r="AK40" s="166" t="s">
        <v>572</v>
      </c>
      <c r="AL40" s="168">
        <v>30416</v>
      </c>
    </row>
    <row r="41" spans="2:38" x14ac:dyDescent="0.25">
      <c r="AB41" s="85"/>
      <c r="AC41" s="166" t="s">
        <v>59</v>
      </c>
      <c r="AD41" s="166" t="s">
        <v>592</v>
      </c>
      <c r="AE41" s="166" t="s">
        <v>137</v>
      </c>
      <c r="AF41" s="168">
        <v>9325</v>
      </c>
      <c r="AG41" s="85"/>
      <c r="AI41" s="166" t="s">
        <v>72</v>
      </c>
      <c r="AJ41" s="166" t="s">
        <v>582</v>
      </c>
      <c r="AK41" s="166" t="s">
        <v>572</v>
      </c>
      <c r="AL41" s="168">
        <v>19000</v>
      </c>
    </row>
    <row r="42" spans="2:38" x14ac:dyDescent="0.25">
      <c r="AB42" s="85"/>
      <c r="AC42" s="166" t="s">
        <v>70</v>
      </c>
      <c r="AD42" s="166" t="s">
        <v>593</v>
      </c>
      <c r="AE42" s="166" t="s">
        <v>588</v>
      </c>
      <c r="AF42" s="166">
        <v>4112</v>
      </c>
      <c r="AG42" s="85"/>
      <c r="AI42" s="166" t="s">
        <v>72</v>
      </c>
      <c r="AJ42" s="166" t="s">
        <v>583</v>
      </c>
      <c r="AK42" s="166" t="s">
        <v>572</v>
      </c>
      <c r="AL42" s="168">
        <v>19000</v>
      </c>
    </row>
    <row r="43" spans="2:38" x14ac:dyDescent="0.25">
      <c r="AB43" s="85"/>
      <c r="AC43" s="166" t="s">
        <v>139</v>
      </c>
      <c r="AD43" s="166" t="s">
        <v>439</v>
      </c>
      <c r="AE43" s="166" t="s">
        <v>589</v>
      </c>
      <c r="AF43" s="200">
        <v>6000</v>
      </c>
      <c r="AG43" s="85"/>
    </row>
    <row r="44" spans="2:38" ht="15.75" thickBot="1" x14ac:dyDescent="0.3">
      <c r="AB44" s="85"/>
      <c r="AC44" s="166" t="s">
        <v>144</v>
      </c>
      <c r="AD44" s="100" t="s">
        <v>312</v>
      </c>
      <c r="AE44" s="100" t="s">
        <v>192</v>
      </c>
      <c r="AF44" s="147">
        <v>6994</v>
      </c>
      <c r="AG44" s="85"/>
      <c r="AI44" s="145" t="s">
        <v>74</v>
      </c>
      <c r="AJ44" s="145"/>
      <c r="AK44" s="145"/>
      <c r="AL44" s="176">
        <f>+SUM(AL23:AL43)</f>
        <v>429968</v>
      </c>
    </row>
    <row r="45" spans="2:38" ht="15.75" thickTop="1" x14ac:dyDescent="0.25">
      <c r="AB45" s="85"/>
      <c r="AC45" s="85"/>
      <c r="AD45" s="85"/>
      <c r="AE45" s="85"/>
      <c r="AF45" s="147"/>
      <c r="AG45" s="85"/>
    </row>
    <row r="46" spans="2:38" x14ac:dyDescent="0.25">
      <c r="AB46" s="85"/>
      <c r="AC46" s="85"/>
      <c r="AD46" s="85"/>
      <c r="AE46" s="85"/>
      <c r="AF46" s="147"/>
      <c r="AG46" s="85"/>
    </row>
    <row r="47" spans="2:38" ht="15.75" thickBot="1" x14ac:dyDescent="0.3">
      <c r="AB47" s="85"/>
      <c r="AC47" s="145" t="s">
        <v>74</v>
      </c>
      <c r="AD47" s="145"/>
      <c r="AE47" s="145"/>
      <c r="AF47" s="140">
        <f>+SUM(AF39:AF46)</f>
        <v>73431</v>
      </c>
      <c r="AG47" s="85"/>
    </row>
    <row r="48" spans="2:38" ht="15.75" thickTop="1" x14ac:dyDescent="0.25">
      <c r="AB48" s="85"/>
      <c r="AC48" s="85"/>
      <c r="AD48" s="85"/>
      <c r="AE48" s="85"/>
      <c r="AF48" s="85"/>
      <c r="AG48" s="85"/>
    </row>
    <row r="49" spans="28:33" x14ac:dyDescent="0.25">
      <c r="AB49" s="85"/>
      <c r="AC49" s="85"/>
      <c r="AD49" s="85"/>
      <c r="AE49" s="85"/>
      <c r="AF49" s="85"/>
      <c r="AG49" s="85"/>
    </row>
  </sheetData>
  <mergeCells count="25">
    <mergeCell ref="AI19:AL19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40"/>
  <sheetViews>
    <sheetView topLeftCell="K3" zoomScale="80" zoomScaleNormal="80" workbookViewId="0">
      <selection activeCell="AC39" sqref="AC39"/>
    </sheetView>
  </sheetViews>
  <sheetFormatPr defaultRowHeight="15" x14ac:dyDescent="0.25"/>
  <cols>
    <col min="2" max="2" width="13.5703125" bestFit="1" customWidth="1"/>
    <col min="3" max="3" width="13.85546875" bestFit="1" customWidth="1"/>
    <col min="4" max="4" width="9.140625" customWidth="1"/>
    <col min="5" max="5" width="1.85546875" customWidth="1"/>
    <col min="6" max="6" width="13.5703125" bestFit="1" customWidth="1"/>
    <col min="7" max="7" width="12.5703125" bestFit="1" customWidth="1"/>
    <col min="9" max="9" width="2" customWidth="1"/>
    <col min="10" max="10" width="13.5703125" bestFit="1" customWidth="1"/>
    <col min="11" max="11" width="12.5703125" bestFit="1" customWidth="1"/>
    <col min="13" max="13" width="1.5703125" customWidth="1"/>
    <col min="16" max="16" width="9.140625" customWidth="1"/>
    <col min="17" max="17" width="2.140625" customWidth="1"/>
    <col min="18" max="18" width="13.5703125" bestFit="1" customWidth="1"/>
    <col min="19" max="19" width="16" bestFit="1" customWidth="1"/>
    <col min="20" max="20" width="9.5703125" bestFit="1" customWidth="1"/>
    <col min="21" max="21" width="1.85546875" customWidth="1"/>
    <col min="22" max="22" width="1.5703125" customWidth="1"/>
    <col min="25" max="25" width="9.5703125" bestFit="1" customWidth="1"/>
    <col min="26" max="26" width="1.85546875" customWidth="1"/>
    <col min="28" max="28" width="15" bestFit="1" customWidth="1"/>
    <col min="29" max="29" width="10.5703125" bestFit="1" customWidth="1"/>
    <col min="30" max="30" width="17" bestFit="1" customWidth="1"/>
    <col min="31" max="31" width="15.85546875" bestFit="1" customWidth="1"/>
    <col min="35" max="35" width="11.28515625" customWidth="1"/>
    <col min="36" max="36" width="19.28515625" bestFit="1" customWidth="1"/>
    <col min="37" max="37" width="14.28515625" bestFit="1" customWidth="1"/>
  </cols>
  <sheetData>
    <row r="2" spans="2:38" ht="15.75" thickBot="1" x14ac:dyDescent="0.3"/>
    <row r="3" spans="2:38" x14ac:dyDescent="0.25">
      <c r="B3" s="240" t="s">
        <v>0</v>
      </c>
      <c r="C3" s="240"/>
      <c r="D3" s="240"/>
      <c r="E3" s="85"/>
      <c r="F3" s="240" t="s">
        <v>1</v>
      </c>
      <c r="G3" s="240"/>
      <c r="H3" s="240"/>
      <c r="I3" s="85"/>
      <c r="J3" s="240" t="s">
        <v>2</v>
      </c>
      <c r="K3" s="240"/>
      <c r="L3" s="240"/>
      <c r="M3" s="85"/>
      <c r="N3" s="240" t="s">
        <v>3</v>
      </c>
      <c r="O3" s="240"/>
      <c r="P3" s="240"/>
      <c r="Q3" s="85"/>
      <c r="R3" s="240" t="s">
        <v>4</v>
      </c>
      <c r="S3" s="240"/>
      <c r="T3" s="240"/>
      <c r="U3" s="85"/>
      <c r="V3" s="94"/>
      <c r="W3" s="244" t="s">
        <v>5</v>
      </c>
      <c r="X3" s="244"/>
      <c r="Y3" s="244"/>
      <c r="Z3" s="196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</row>
    <row r="4" spans="2:38" x14ac:dyDescent="0.25">
      <c r="B4" s="88" t="s">
        <v>6</v>
      </c>
      <c r="C4" s="88" t="s">
        <v>7</v>
      </c>
      <c r="D4" s="88" t="s">
        <v>8</v>
      </c>
      <c r="E4" s="85"/>
      <c r="F4" s="88" t="s">
        <v>6</v>
      </c>
      <c r="G4" s="88" t="s">
        <v>7</v>
      </c>
      <c r="H4" s="88" t="s">
        <v>8</v>
      </c>
      <c r="I4" s="85"/>
      <c r="J4" s="88" t="s">
        <v>6</v>
      </c>
      <c r="K4" s="88" t="s">
        <v>7</v>
      </c>
      <c r="L4" s="88" t="s">
        <v>8</v>
      </c>
      <c r="M4" s="85"/>
      <c r="N4" s="88" t="s">
        <v>6</v>
      </c>
      <c r="O4" s="88" t="s">
        <v>7</v>
      </c>
      <c r="P4" s="88" t="s">
        <v>8</v>
      </c>
      <c r="Q4" s="85"/>
      <c r="R4" s="88" t="s">
        <v>6</v>
      </c>
      <c r="S4" s="88" t="s">
        <v>7</v>
      </c>
      <c r="T4" s="88" t="s">
        <v>8</v>
      </c>
      <c r="U4" s="85"/>
      <c r="V4" s="96"/>
      <c r="W4" s="98" t="s">
        <v>6</v>
      </c>
      <c r="X4" s="98" t="s">
        <v>7</v>
      </c>
      <c r="Y4" s="98" t="s">
        <v>8</v>
      </c>
      <c r="Z4" s="97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</row>
    <row r="5" spans="2:38" ht="15.75" thickBot="1" x14ac:dyDescent="0.3">
      <c r="B5" s="113">
        <v>1</v>
      </c>
      <c r="C5" s="113">
        <v>6</v>
      </c>
      <c r="D5" s="120">
        <f>+C5*B5</f>
        <v>6</v>
      </c>
      <c r="E5" s="110"/>
      <c r="F5" s="113">
        <v>1</v>
      </c>
      <c r="G5" s="113">
        <v>14</v>
      </c>
      <c r="H5" s="120">
        <f>+G5*F5</f>
        <v>14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/>
      <c r="T5" s="120">
        <f>+S5*R5</f>
        <v>0</v>
      </c>
      <c r="U5" s="110"/>
      <c r="V5" s="111"/>
      <c r="W5" s="122">
        <v>1</v>
      </c>
      <c r="X5" s="123">
        <f>+C5+G5+K5+O5+S5</f>
        <v>20</v>
      </c>
      <c r="Y5" s="121">
        <f>+D5+H5+L5+P5+T5</f>
        <v>20</v>
      </c>
      <c r="Z5" s="112"/>
      <c r="AA5" s="110"/>
      <c r="AB5" s="212" t="s">
        <v>9</v>
      </c>
      <c r="AC5" s="214"/>
      <c r="AD5" s="214"/>
      <c r="AE5" s="214"/>
      <c r="AF5" s="214"/>
      <c r="AG5" s="146"/>
      <c r="AH5" s="85"/>
      <c r="AI5" s="88" t="s">
        <v>6</v>
      </c>
      <c r="AJ5" s="88" t="s">
        <v>7</v>
      </c>
      <c r="AK5" s="88" t="s">
        <v>8</v>
      </c>
      <c r="AL5" s="85"/>
    </row>
    <row r="6" spans="2:38" ht="15.75" thickTop="1" x14ac:dyDescent="0.25">
      <c r="B6" s="86">
        <v>10</v>
      </c>
      <c r="C6" s="86">
        <v>196</v>
      </c>
      <c r="D6" s="120">
        <f>+C6*B6</f>
        <v>1960</v>
      </c>
      <c r="E6" s="85"/>
      <c r="F6" s="86">
        <v>10</v>
      </c>
      <c r="G6" s="86">
        <v>220</v>
      </c>
      <c r="H6" s="120">
        <f>+G6*F6</f>
        <v>2200</v>
      </c>
      <c r="I6" s="85"/>
      <c r="J6" s="86">
        <v>10</v>
      </c>
      <c r="K6" s="86">
        <v>27</v>
      </c>
      <c r="L6" s="120">
        <f>+K6*J6</f>
        <v>270</v>
      </c>
      <c r="M6" s="85"/>
      <c r="N6" s="86">
        <v>10</v>
      </c>
      <c r="O6" s="86">
        <v>100</v>
      </c>
      <c r="P6" s="120">
        <f>+O6*N6</f>
        <v>1000</v>
      </c>
      <c r="Q6" s="85"/>
      <c r="R6" s="86">
        <v>10</v>
      </c>
      <c r="S6" s="86">
        <v>416</v>
      </c>
      <c r="T6" s="120">
        <f>+S6*R6</f>
        <v>4160</v>
      </c>
      <c r="U6" s="85"/>
      <c r="V6" s="96"/>
      <c r="W6" s="123">
        <v>10</v>
      </c>
      <c r="X6" s="123">
        <f>+C6+G6+K6+O6+S6</f>
        <v>959</v>
      </c>
      <c r="Y6" s="121">
        <f>+D6+H6+L6+P6+T6</f>
        <v>9590</v>
      </c>
      <c r="Z6" s="97"/>
      <c r="AA6" s="85"/>
      <c r="AB6" s="85"/>
      <c r="AC6" s="85"/>
      <c r="AD6" s="85"/>
      <c r="AE6" s="85"/>
      <c r="AF6" s="85"/>
      <c r="AG6" s="85"/>
      <c r="AH6" s="85"/>
      <c r="AI6" s="113">
        <v>1</v>
      </c>
      <c r="AJ6" s="113">
        <v>3</v>
      </c>
      <c r="AK6" s="120">
        <f t="shared" ref="AK6:AK13" si="0">+AJ6*AI6</f>
        <v>3</v>
      </c>
      <c r="AL6" s="110"/>
    </row>
    <row r="7" spans="2:38" x14ac:dyDescent="0.25">
      <c r="B7" s="86">
        <v>20</v>
      </c>
      <c r="C7" s="86">
        <v>34</v>
      </c>
      <c r="D7" s="120">
        <f t="shared" ref="D7:D12" si="1">+C7*B7</f>
        <v>680</v>
      </c>
      <c r="E7" s="85"/>
      <c r="F7" s="86">
        <v>20</v>
      </c>
      <c r="G7" s="86">
        <v>31</v>
      </c>
      <c r="H7" s="120">
        <f t="shared" ref="H7:H12" si="2">+G7*F7</f>
        <v>620</v>
      </c>
      <c r="I7" s="85"/>
      <c r="J7" s="86">
        <v>20</v>
      </c>
      <c r="K7" s="86">
        <v>8</v>
      </c>
      <c r="L7" s="120">
        <f t="shared" ref="L7:L12" si="3">+K7*J7</f>
        <v>160</v>
      </c>
      <c r="M7" s="85"/>
      <c r="N7" s="86">
        <v>20</v>
      </c>
      <c r="O7" s="86">
        <v>10</v>
      </c>
      <c r="P7" s="120">
        <f t="shared" ref="P7:P12" si="4">+O7*N7</f>
        <v>200</v>
      </c>
      <c r="Q7" s="85"/>
      <c r="R7" s="86">
        <v>20</v>
      </c>
      <c r="S7" s="86">
        <v>96</v>
      </c>
      <c r="T7" s="120">
        <f t="shared" ref="T7:T12" si="5">+S7*R7</f>
        <v>1920</v>
      </c>
      <c r="U7" s="85"/>
      <c r="V7" s="96"/>
      <c r="W7" s="123">
        <v>20</v>
      </c>
      <c r="X7" s="123">
        <f>+C7+G7+K7+O7+S7</f>
        <v>179</v>
      </c>
      <c r="Y7" s="121">
        <f t="shared" ref="Y7:Y12" si="6">+D7+H7+L7+P7+T7</f>
        <v>3580</v>
      </c>
      <c r="Z7" s="97"/>
      <c r="AA7" s="85"/>
      <c r="AB7" s="141" t="s">
        <v>10</v>
      </c>
      <c r="AC7" s="142">
        <f>Y13</f>
        <v>299790</v>
      </c>
      <c r="AD7" s="110"/>
      <c r="AE7" s="110"/>
      <c r="AF7" s="110"/>
      <c r="AG7" s="110"/>
      <c r="AH7" s="85"/>
      <c r="AI7" s="86">
        <v>10</v>
      </c>
      <c r="AJ7" s="86">
        <v>960</v>
      </c>
      <c r="AK7" s="120">
        <f t="shared" si="0"/>
        <v>9600</v>
      </c>
      <c r="AL7" s="85"/>
    </row>
    <row r="8" spans="2:38" x14ac:dyDescent="0.25">
      <c r="B8" s="86">
        <v>50</v>
      </c>
      <c r="C8" s="86">
        <v>7</v>
      </c>
      <c r="D8" s="120">
        <f t="shared" si="1"/>
        <v>350</v>
      </c>
      <c r="E8" s="85"/>
      <c r="F8" s="86">
        <v>50</v>
      </c>
      <c r="G8" s="86">
        <v>111</v>
      </c>
      <c r="H8" s="120">
        <f t="shared" si="2"/>
        <v>5550</v>
      </c>
      <c r="I8" s="85"/>
      <c r="J8" s="86">
        <v>50</v>
      </c>
      <c r="K8" s="86">
        <v>54</v>
      </c>
      <c r="L8" s="120">
        <f t="shared" si="3"/>
        <v>2700</v>
      </c>
      <c r="M8" s="85"/>
      <c r="N8" s="86">
        <v>50</v>
      </c>
      <c r="O8" s="86">
        <v>88</v>
      </c>
      <c r="P8" s="120">
        <f t="shared" si="4"/>
        <v>4400</v>
      </c>
      <c r="Q8" s="85"/>
      <c r="R8" s="86">
        <v>50</v>
      </c>
      <c r="S8" s="86">
        <v>174</v>
      </c>
      <c r="T8" s="120">
        <f t="shared" si="5"/>
        <v>8700</v>
      </c>
      <c r="U8" s="85"/>
      <c r="V8" s="96"/>
      <c r="W8" s="123">
        <v>50</v>
      </c>
      <c r="X8" s="123">
        <f t="shared" ref="X8:X12" si="7">+C8+G8+K8+O8+S8</f>
        <v>434</v>
      </c>
      <c r="Y8" s="121">
        <f t="shared" si="6"/>
        <v>21700</v>
      </c>
      <c r="Z8" s="97"/>
      <c r="AA8" s="85"/>
      <c r="AB8" s="138" t="s">
        <v>11</v>
      </c>
      <c r="AC8" s="138">
        <f>+AF31</f>
        <v>140643</v>
      </c>
      <c r="AD8" s="85"/>
      <c r="AE8" s="85"/>
      <c r="AF8" s="85"/>
      <c r="AG8" s="85"/>
      <c r="AH8" s="85"/>
      <c r="AI8" s="86">
        <v>20</v>
      </c>
      <c r="AJ8" s="86">
        <v>184</v>
      </c>
      <c r="AK8" s="120">
        <f t="shared" si="0"/>
        <v>3680</v>
      </c>
      <c r="AL8" s="85"/>
    </row>
    <row r="9" spans="2:38" ht="15.75" thickBot="1" x14ac:dyDescent="0.3">
      <c r="B9" s="86">
        <v>100</v>
      </c>
      <c r="C9" s="86">
        <v>5</v>
      </c>
      <c r="D9" s="120">
        <f t="shared" si="1"/>
        <v>500</v>
      </c>
      <c r="E9" s="85"/>
      <c r="F9" s="86">
        <v>100</v>
      </c>
      <c r="G9" s="86">
        <v>64</v>
      </c>
      <c r="H9" s="120">
        <f t="shared" si="2"/>
        <v>6400</v>
      </c>
      <c r="I9" s="85"/>
      <c r="J9" s="86">
        <v>100</v>
      </c>
      <c r="K9" s="86">
        <v>6</v>
      </c>
      <c r="L9" s="120">
        <f t="shared" si="3"/>
        <v>600</v>
      </c>
      <c r="M9" s="85"/>
      <c r="N9" s="86">
        <v>100</v>
      </c>
      <c r="O9" s="86">
        <v>24</v>
      </c>
      <c r="P9" s="120">
        <f t="shared" si="4"/>
        <v>2400</v>
      </c>
      <c r="Q9" s="85"/>
      <c r="R9" s="86">
        <v>100</v>
      </c>
      <c r="S9" s="86">
        <v>130</v>
      </c>
      <c r="T9" s="120">
        <f t="shared" si="5"/>
        <v>13000</v>
      </c>
      <c r="U9" s="85"/>
      <c r="V9" s="96"/>
      <c r="W9" s="123">
        <v>100</v>
      </c>
      <c r="X9" s="123">
        <f t="shared" si="7"/>
        <v>229</v>
      </c>
      <c r="Y9" s="121">
        <f t="shared" si="6"/>
        <v>22900</v>
      </c>
      <c r="Z9" s="97"/>
      <c r="AA9" s="85"/>
      <c r="AB9" s="143" t="s">
        <v>12</v>
      </c>
      <c r="AC9" s="144">
        <f>SUM(AC7:AC8)</f>
        <v>440433</v>
      </c>
      <c r="AD9" s="85"/>
      <c r="AE9" s="85"/>
      <c r="AF9" s="85"/>
      <c r="AG9" s="85"/>
      <c r="AH9" s="85"/>
      <c r="AI9" s="86">
        <v>50</v>
      </c>
      <c r="AJ9" s="86">
        <v>484</v>
      </c>
      <c r="AK9" s="120">
        <f t="shared" si="0"/>
        <v>24200</v>
      </c>
      <c r="AL9" s="85"/>
    </row>
    <row r="10" spans="2:38" x14ac:dyDescent="0.25">
      <c r="B10" s="86">
        <v>500</v>
      </c>
      <c r="C10" s="86">
        <v>20</v>
      </c>
      <c r="D10" s="120">
        <f t="shared" si="1"/>
        <v>10000</v>
      </c>
      <c r="E10" s="85"/>
      <c r="F10" s="86">
        <v>500</v>
      </c>
      <c r="G10" s="86">
        <v>34</v>
      </c>
      <c r="H10" s="120">
        <f t="shared" si="2"/>
        <v>17000</v>
      </c>
      <c r="I10" s="85"/>
      <c r="J10" s="86">
        <v>500</v>
      </c>
      <c r="K10" s="86">
        <v>21</v>
      </c>
      <c r="L10" s="120">
        <f t="shared" si="3"/>
        <v>10500</v>
      </c>
      <c r="M10" s="85"/>
      <c r="N10" s="86">
        <v>500</v>
      </c>
      <c r="O10" s="86">
        <v>18</v>
      </c>
      <c r="P10" s="120">
        <f t="shared" si="4"/>
        <v>9000</v>
      </c>
      <c r="Q10" s="85"/>
      <c r="R10" s="86">
        <v>500</v>
      </c>
      <c r="S10" s="86">
        <v>13</v>
      </c>
      <c r="T10" s="120">
        <f t="shared" si="5"/>
        <v>6500</v>
      </c>
      <c r="U10" s="85"/>
      <c r="V10" s="96"/>
      <c r="W10" s="123">
        <v>500</v>
      </c>
      <c r="X10" s="123">
        <f t="shared" si="7"/>
        <v>106</v>
      </c>
      <c r="Y10" s="121">
        <f t="shared" si="6"/>
        <v>53000</v>
      </c>
      <c r="Z10" s="97"/>
      <c r="AA10" s="85"/>
      <c r="AB10" s="85"/>
      <c r="AC10" s="85"/>
      <c r="AD10" s="85"/>
      <c r="AE10" s="85"/>
      <c r="AF10" s="85"/>
      <c r="AG10" s="85"/>
      <c r="AH10" s="85"/>
      <c r="AI10" s="86">
        <v>100</v>
      </c>
      <c r="AJ10" s="86">
        <v>245</v>
      </c>
      <c r="AK10" s="120">
        <f t="shared" si="0"/>
        <v>24500</v>
      </c>
      <c r="AL10" s="85"/>
    </row>
    <row r="11" spans="2:38" x14ac:dyDescent="0.25">
      <c r="B11" s="86">
        <v>1000</v>
      </c>
      <c r="C11" s="86">
        <v>23</v>
      </c>
      <c r="D11" s="120">
        <f t="shared" si="1"/>
        <v>23000</v>
      </c>
      <c r="E11" s="85"/>
      <c r="F11" s="86">
        <v>1000</v>
      </c>
      <c r="G11" s="86">
        <v>30</v>
      </c>
      <c r="H11" s="120">
        <f t="shared" si="2"/>
        <v>30000</v>
      </c>
      <c r="I11" s="85"/>
      <c r="J11" s="86">
        <v>1000</v>
      </c>
      <c r="K11" s="86">
        <v>34</v>
      </c>
      <c r="L11" s="120">
        <f t="shared" si="3"/>
        <v>34000</v>
      </c>
      <c r="M11" s="85"/>
      <c r="N11" s="86">
        <v>1000</v>
      </c>
      <c r="O11" s="86">
        <v>42</v>
      </c>
      <c r="P11" s="120">
        <f t="shared" si="4"/>
        <v>42000</v>
      </c>
      <c r="Q11" s="85"/>
      <c r="R11" s="86">
        <v>1000</v>
      </c>
      <c r="S11" s="86">
        <v>45</v>
      </c>
      <c r="T11" s="120">
        <f t="shared" si="5"/>
        <v>45000</v>
      </c>
      <c r="U11" s="85"/>
      <c r="V11" s="96"/>
      <c r="W11" s="123">
        <v>1000</v>
      </c>
      <c r="X11" s="123">
        <f t="shared" si="7"/>
        <v>174</v>
      </c>
      <c r="Y11" s="121">
        <f t="shared" si="6"/>
        <v>174000</v>
      </c>
      <c r="Z11" s="97"/>
      <c r="AA11" s="85"/>
      <c r="AB11" s="132" t="s">
        <v>13</v>
      </c>
      <c r="AC11" s="132" t="s">
        <v>8</v>
      </c>
      <c r="AD11" s="132" t="s">
        <v>14</v>
      </c>
      <c r="AE11" s="132" t="s">
        <v>15</v>
      </c>
      <c r="AF11" s="132" t="s">
        <v>16</v>
      </c>
      <c r="AG11" s="132"/>
      <c r="AH11" s="85"/>
      <c r="AI11" s="86">
        <v>500</v>
      </c>
      <c r="AJ11" s="86">
        <v>113</v>
      </c>
      <c r="AK11" s="120">
        <f t="shared" si="0"/>
        <v>56500</v>
      </c>
      <c r="AL11" s="85"/>
    </row>
    <row r="12" spans="2:38" x14ac:dyDescent="0.25">
      <c r="B12" s="86">
        <v>5000</v>
      </c>
      <c r="C12" s="86"/>
      <c r="D12" s="120">
        <f t="shared" si="1"/>
        <v>0</v>
      </c>
      <c r="E12" s="85"/>
      <c r="F12" s="86">
        <v>5000</v>
      </c>
      <c r="G12" s="86">
        <v>2</v>
      </c>
      <c r="H12" s="120">
        <f t="shared" si="2"/>
        <v>10000</v>
      </c>
      <c r="I12" s="85"/>
      <c r="J12" s="86">
        <v>5000</v>
      </c>
      <c r="K12" s="86"/>
      <c r="L12" s="120">
        <f t="shared" si="3"/>
        <v>0</v>
      </c>
      <c r="M12" s="85"/>
      <c r="N12" s="86">
        <v>5000</v>
      </c>
      <c r="O12" s="86">
        <v>1</v>
      </c>
      <c r="P12" s="120">
        <f t="shared" si="4"/>
        <v>5000</v>
      </c>
      <c r="Q12" s="85"/>
      <c r="R12" s="86">
        <v>5000</v>
      </c>
      <c r="S12" s="86"/>
      <c r="T12" s="120">
        <f t="shared" si="5"/>
        <v>0</v>
      </c>
      <c r="U12" s="85"/>
      <c r="V12" s="96"/>
      <c r="W12" s="123">
        <v>5000</v>
      </c>
      <c r="X12" s="123">
        <f t="shared" si="7"/>
        <v>3</v>
      </c>
      <c r="Y12" s="121">
        <f t="shared" si="6"/>
        <v>15000</v>
      </c>
      <c r="Z12" s="97"/>
      <c r="AA12" s="85"/>
      <c r="AB12" s="85" t="s">
        <v>17</v>
      </c>
      <c r="AC12" s="89">
        <v>430440</v>
      </c>
      <c r="AD12" s="85">
        <v>1014987</v>
      </c>
      <c r="AE12" s="137" t="s">
        <v>632</v>
      </c>
      <c r="AF12" s="85" t="s">
        <v>223</v>
      </c>
      <c r="AG12" s="85"/>
      <c r="AH12" s="85"/>
      <c r="AI12" s="86">
        <v>1000</v>
      </c>
      <c r="AJ12" s="86">
        <v>212</v>
      </c>
      <c r="AK12" s="120">
        <f t="shared" si="0"/>
        <v>212000</v>
      </c>
      <c r="AL12" s="85"/>
    </row>
    <row r="13" spans="2:38" ht="15.75" thickBot="1" x14ac:dyDescent="0.3">
      <c r="B13" s="87" t="s">
        <v>18</v>
      </c>
      <c r="C13" s="87"/>
      <c r="D13" s="90">
        <f>+SUM(D5:D12)</f>
        <v>36496</v>
      </c>
      <c r="E13" s="85"/>
      <c r="F13" s="87" t="s">
        <v>18</v>
      </c>
      <c r="G13" s="87"/>
      <c r="H13" s="90">
        <f>+SUM(H5:H12)</f>
        <v>71784</v>
      </c>
      <c r="I13" s="85"/>
      <c r="J13" s="87" t="s">
        <v>18</v>
      </c>
      <c r="K13" s="87"/>
      <c r="L13" s="90">
        <f>+SUM(L5:L12)</f>
        <v>48230</v>
      </c>
      <c r="M13" s="85"/>
      <c r="N13" s="87" t="s">
        <v>18</v>
      </c>
      <c r="O13" s="87"/>
      <c r="P13" s="90">
        <f>+SUM(P5:P12)</f>
        <v>64000</v>
      </c>
      <c r="Q13" s="85"/>
      <c r="R13" s="87" t="s">
        <v>18</v>
      </c>
      <c r="S13" s="87"/>
      <c r="T13" s="90">
        <f>+SUM(T5:T12)</f>
        <v>79280</v>
      </c>
      <c r="U13" s="85"/>
      <c r="V13" s="96"/>
      <c r="W13" s="87" t="s">
        <v>18</v>
      </c>
      <c r="X13" s="87"/>
      <c r="Y13" s="90">
        <f>+SUM(Y5:Y12)</f>
        <v>299790</v>
      </c>
      <c r="Z13" s="97"/>
      <c r="AA13" s="85"/>
      <c r="AB13" s="85" t="s">
        <v>19</v>
      </c>
      <c r="AC13" s="89">
        <v>10000</v>
      </c>
      <c r="AD13" s="85"/>
      <c r="AE13" s="85"/>
      <c r="AF13" s="85"/>
      <c r="AG13" s="85"/>
      <c r="AH13" s="85"/>
      <c r="AI13" s="86">
        <v>5000</v>
      </c>
      <c r="AJ13" s="86">
        <v>22</v>
      </c>
      <c r="AK13" s="120">
        <f t="shared" si="0"/>
        <v>110000</v>
      </c>
      <c r="AL13" s="85"/>
    </row>
    <row r="14" spans="2:38" ht="15.75" thickBot="1" x14ac:dyDescent="0.3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96"/>
      <c r="W14" s="100"/>
      <c r="X14" s="100"/>
      <c r="Y14" s="100"/>
      <c r="Z14" s="97"/>
      <c r="AA14" s="85"/>
      <c r="AB14" s="85" t="s">
        <v>20</v>
      </c>
      <c r="AC14" s="89"/>
      <c r="AD14" s="85"/>
      <c r="AE14" s="85"/>
      <c r="AF14" s="85"/>
      <c r="AG14" s="85"/>
      <c r="AH14" s="85"/>
      <c r="AI14" s="87" t="s">
        <v>18</v>
      </c>
      <c r="AJ14" s="87"/>
      <c r="AK14" s="90">
        <f>+SUM(AK6:AK13)</f>
        <v>440483</v>
      </c>
      <c r="AL14" s="85"/>
    </row>
    <row r="15" spans="2:38" ht="15.75" thickBot="1" x14ac:dyDescent="0.3">
      <c r="B15" s="242" t="s">
        <v>21</v>
      </c>
      <c r="C15" s="243"/>
      <c r="D15" s="92">
        <v>126916</v>
      </c>
      <c r="E15" s="114"/>
      <c r="F15" s="242" t="s">
        <v>21</v>
      </c>
      <c r="G15" s="243"/>
      <c r="H15" s="92">
        <v>94877</v>
      </c>
      <c r="I15" s="114"/>
      <c r="J15" s="242" t="s">
        <v>21</v>
      </c>
      <c r="K15" s="243"/>
      <c r="L15" s="92">
        <v>55684</v>
      </c>
      <c r="M15" s="114"/>
      <c r="N15" s="242" t="s">
        <v>21</v>
      </c>
      <c r="O15" s="243"/>
      <c r="P15" s="92">
        <v>63997</v>
      </c>
      <c r="Q15" s="114"/>
      <c r="R15" s="242" t="s">
        <v>21</v>
      </c>
      <c r="S15" s="243"/>
      <c r="T15" s="92">
        <v>214870</v>
      </c>
      <c r="U15" s="114"/>
      <c r="V15" s="115"/>
      <c r="W15" s="242" t="s">
        <v>21</v>
      </c>
      <c r="X15" s="243"/>
      <c r="Y15" s="92">
        <f>+D15+H15+L15+P15+T15</f>
        <v>556344</v>
      </c>
      <c r="Z15" s="116"/>
      <c r="AA15" s="114"/>
      <c r="AB15" s="85" t="s">
        <v>22</v>
      </c>
      <c r="AC15" s="89"/>
      <c r="AD15" s="85"/>
      <c r="AE15" s="85"/>
      <c r="AF15" s="85"/>
      <c r="AG15" s="85"/>
      <c r="AH15" s="85"/>
      <c r="AI15" s="85"/>
      <c r="AJ15" s="85"/>
      <c r="AK15" s="85"/>
      <c r="AL15" s="85"/>
    </row>
    <row r="16" spans="2:38" x14ac:dyDescent="0.25">
      <c r="B16" s="85" t="s">
        <v>10</v>
      </c>
      <c r="C16" s="85"/>
      <c r="D16" s="89">
        <f>+D13</f>
        <v>36496</v>
      </c>
      <c r="E16" s="85"/>
      <c r="F16" s="85" t="s">
        <v>10</v>
      </c>
      <c r="G16" s="85"/>
      <c r="H16" s="89">
        <f>+H13</f>
        <v>71784</v>
      </c>
      <c r="I16" s="85"/>
      <c r="J16" s="85" t="s">
        <v>10</v>
      </c>
      <c r="K16" s="85"/>
      <c r="L16" s="89">
        <f>+L13</f>
        <v>48230</v>
      </c>
      <c r="M16" s="85"/>
      <c r="N16" s="85" t="s">
        <v>10</v>
      </c>
      <c r="O16" s="85"/>
      <c r="P16" s="89">
        <f>+P13</f>
        <v>64000</v>
      </c>
      <c r="Q16" s="85"/>
      <c r="R16" s="85" t="s">
        <v>10</v>
      </c>
      <c r="S16" s="85"/>
      <c r="T16" s="89">
        <f>+T13</f>
        <v>79280</v>
      </c>
      <c r="U16" s="85"/>
      <c r="V16" s="96"/>
      <c r="W16" s="124" t="s">
        <v>10</v>
      </c>
      <c r="X16" s="124"/>
      <c r="Y16" s="121">
        <f>+D16+H16+L16+P16+T16</f>
        <v>299790</v>
      </c>
      <c r="Z16" s="97"/>
      <c r="AA16" s="85"/>
      <c r="AB16" s="85" t="s">
        <v>23</v>
      </c>
      <c r="AC16" s="89"/>
      <c r="AD16" s="85"/>
      <c r="AE16" s="85"/>
      <c r="AF16" s="85"/>
      <c r="AG16" s="85"/>
      <c r="AH16" s="85"/>
      <c r="AI16" s="85"/>
      <c r="AJ16" s="85"/>
      <c r="AK16" s="85"/>
      <c r="AL16" s="85"/>
    </row>
    <row r="17" spans="2:38" x14ac:dyDescent="0.25">
      <c r="B17" s="85" t="s">
        <v>17</v>
      </c>
      <c r="C17" s="85"/>
      <c r="D17" s="89"/>
      <c r="E17" s="85"/>
      <c r="F17" s="85" t="s">
        <v>17</v>
      </c>
      <c r="G17" s="85"/>
      <c r="H17" s="89"/>
      <c r="I17" s="85"/>
      <c r="J17" s="85" t="s">
        <v>17</v>
      </c>
      <c r="K17" s="85"/>
      <c r="L17" s="89"/>
      <c r="M17" s="85"/>
      <c r="N17" s="85" t="s">
        <v>17</v>
      </c>
      <c r="O17" s="85"/>
      <c r="P17" s="89"/>
      <c r="Q17" s="85"/>
      <c r="R17" s="85" t="s">
        <v>17</v>
      </c>
      <c r="S17" s="85"/>
      <c r="T17" s="89"/>
      <c r="U17" s="85"/>
      <c r="V17" s="96"/>
      <c r="W17" s="124" t="s">
        <v>17</v>
      </c>
      <c r="X17" s="124"/>
      <c r="Y17" s="121">
        <f t="shared" ref="Y17:Y27" si="8">+D17+H17+L17+P17+T17</f>
        <v>0</v>
      </c>
      <c r="Z17" s="97"/>
      <c r="AA17" s="85"/>
      <c r="AB17" s="133" t="s">
        <v>12</v>
      </c>
      <c r="AC17" s="134">
        <f>+SUM(AC12:AC16)</f>
        <v>440440</v>
      </c>
      <c r="AD17" s="160"/>
      <c r="AE17" s="85"/>
      <c r="AF17" s="85"/>
      <c r="AG17" s="85"/>
      <c r="AH17" s="85"/>
      <c r="AI17" s="85"/>
      <c r="AJ17" s="85"/>
      <c r="AK17" s="85"/>
      <c r="AL17" s="85"/>
    </row>
    <row r="18" spans="2:38" x14ac:dyDescent="0.25">
      <c r="B18" s="85" t="s">
        <v>615</v>
      </c>
      <c r="C18" s="85" t="s">
        <v>620</v>
      </c>
      <c r="D18" s="89">
        <v>18964</v>
      </c>
      <c r="E18" s="85"/>
      <c r="F18" s="85" t="s">
        <v>621</v>
      </c>
      <c r="G18" s="85" t="s">
        <v>625</v>
      </c>
      <c r="H18" s="89">
        <v>23093</v>
      </c>
      <c r="I18" s="85"/>
      <c r="J18" s="85" t="s">
        <v>298</v>
      </c>
      <c r="K18" s="85" t="s">
        <v>619</v>
      </c>
      <c r="L18" s="89">
        <v>7500</v>
      </c>
      <c r="M18" s="85"/>
      <c r="N18" s="85" t="s">
        <v>26</v>
      </c>
      <c r="O18" s="85"/>
      <c r="P18" s="89"/>
      <c r="Q18" s="85"/>
      <c r="R18" s="85" t="s">
        <v>516</v>
      </c>
      <c r="S18" s="85" t="s">
        <v>614</v>
      </c>
      <c r="T18" s="89">
        <v>17338</v>
      </c>
      <c r="U18" s="85"/>
      <c r="V18" s="96"/>
      <c r="W18" s="124" t="s">
        <v>26</v>
      </c>
      <c r="X18" s="124"/>
      <c r="Y18" s="121">
        <f t="shared" si="8"/>
        <v>66895</v>
      </c>
      <c r="Z18" s="97"/>
      <c r="AA18" s="85"/>
      <c r="AB18" s="135" t="s">
        <v>32</v>
      </c>
      <c r="AC18" s="136">
        <f>+AC17-AC9</f>
        <v>7</v>
      </c>
      <c r="AD18" s="85" t="s">
        <v>33</v>
      </c>
      <c r="AE18" s="85"/>
      <c r="AF18" s="85"/>
      <c r="AG18" s="85"/>
      <c r="AH18" s="85"/>
      <c r="AI18" s="85"/>
      <c r="AJ18" s="85"/>
      <c r="AK18" s="85"/>
      <c r="AL18" s="85"/>
    </row>
    <row r="19" spans="2:38" x14ac:dyDescent="0.25">
      <c r="B19" s="85" t="s">
        <v>621</v>
      </c>
      <c r="C19" s="85" t="s">
        <v>622</v>
      </c>
      <c r="D19" s="89">
        <v>18964</v>
      </c>
      <c r="E19" s="85"/>
      <c r="F19" s="85" t="s">
        <v>34</v>
      </c>
      <c r="G19" s="85"/>
      <c r="H19" s="89"/>
      <c r="I19" s="85"/>
      <c r="J19" s="85" t="s">
        <v>34</v>
      </c>
      <c r="K19" s="85"/>
      <c r="L19" s="89"/>
      <c r="M19" s="85"/>
      <c r="N19" s="85" t="s">
        <v>34</v>
      </c>
      <c r="O19" s="85"/>
      <c r="P19" s="89"/>
      <c r="Q19" s="85"/>
      <c r="R19" s="85" t="s">
        <v>615</v>
      </c>
      <c r="S19" s="85" t="s">
        <v>616</v>
      </c>
      <c r="T19" s="89">
        <v>28442</v>
      </c>
      <c r="U19" s="85"/>
      <c r="V19" s="96"/>
      <c r="W19" s="124" t="s">
        <v>34</v>
      </c>
      <c r="X19" s="124"/>
      <c r="Y19" s="121">
        <f t="shared" si="8"/>
        <v>47406</v>
      </c>
      <c r="Z19" s="97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</row>
    <row r="20" spans="2:38" x14ac:dyDescent="0.25">
      <c r="B20" s="85" t="s">
        <v>626</v>
      </c>
      <c r="C20" s="85" t="s">
        <v>623</v>
      </c>
      <c r="D20" s="89">
        <v>18964</v>
      </c>
      <c r="E20" s="85"/>
      <c r="F20" s="85" t="s">
        <v>36</v>
      </c>
      <c r="G20" s="85"/>
      <c r="H20" s="89"/>
      <c r="I20" s="85"/>
      <c r="J20" s="85" t="s">
        <v>36</v>
      </c>
      <c r="K20" s="85"/>
      <c r="L20" s="89"/>
      <c r="M20" s="85"/>
      <c r="N20" s="85" t="s">
        <v>36</v>
      </c>
      <c r="O20" s="85"/>
      <c r="P20" s="89"/>
      <c r="Q20" s="85"/>
      <c r="R20" s="85" t="s">
        <v>36</v>
      </c>
      <c r="S20" s="85"/>
      <c r="T20" s="89"/>
      <c r="U20" s="85"/>
      <c r="V20" s="96"/>
      <c r="W20" s="124" t="s">
        <v>36</v>
      </c>
      <c r="X20" s="124"/>
      <c r="Y20" s="121">
        <f t="shared" si="8"/>
        <v>18964</v>
      </c>
      <c r="Z20" s="97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</row>
    <row r="21" spans="2:38" x14ac:dyDescent="0.25">
      <c r="B21" s="85"/>
      <c r="C21" s="85"/>
      <c r="D21" s="89"/>
      <c r="E21" s="85"/>
      <c r="F21" s="85"/>
      <c r="G21" s="85"/>
      <c r="H21" s="89"/>
      <c r="I21" s="85"/>
      <c r="J21" s="85"/>
      <c r="K21" s="85"/>
      <c r="L21" s="89"/>
      <c r="M21" s="85"/>
      <c r="N21" s="85"/>
      <c r="O21" s="85"/>
      <c r="P21" s="89"/>
      <c r="Q21" s="85"/>
      <c r="R21" s="85"/>
      <c r="S21" s="85"/>
      <c r="T21" s="89"/>
      <c r="U21" s="85"/>
      <c r="V21" s="96"/>
      <c r="W21" s="124"/>
      <c r="X21" s="124"/>
      <c r="Y21" s="121">
        <f t="shared" si="8"/>
        <v>0</v>
      </c>
      <c r="Z21" s="97"/>
      <c r="AA21" s="85"/>
      <c r="AB21" s="139" t="s">
        <v>37</v>
      </c>
      <c r="AC21" s="139"/>
      <c r="AD21" s="139"/>
      <c r="AE21" s="114"/>
      <c r="AF21" s="85"/>
      <c r="AG21" s="85"/>
      <c r="AH21" s="85"/>
      <c r="AI21" s="139" t="s">
        <v>38</v>
      </c>
      <c r="AJ21" s="139"/>
      <c r="AK21" s="139"/>
      <c r="AL21" s="147"/>
    </row>
    <row r="22" spans="2:38" x14ac:dyDescent="0.25">
      <c r="B22" s="85"/>
      <c r="C22" s="85"/>
      <c r="D22" s="89"/>
      <c r="E22" s="85"/>
      <c r="F22" s="85"/>
      <c r="G22" s="85"/>
      <c r="H22" s="89"/>
      <c r="I22" s="85"/>
      <c r="J22" s="85"/>
      <c r="K22" s="85"/>
      <c r="L22" s="89"/>
      <c r="M22" s="85"/>
      <c r="N22" s="85"/>
      <c r="O22" s="85"/>
      <c r="P22" s="89"/>
      <c r="Q22" s="85"/>
      <c r="R22" s="85"/>
      <c r="S22" s="85"/>
      <c r="T22" s="89"/>
      <c r="U22" s="85"/>
      <c r="V22" s="96"/>
      <c r="W22" s="124"/>
      <c r="X22" s="124"/>
      <c r="Y22" s="121">
        <f t="shared" si="8"/>
        <v>0</v>
      </c>
      <c r="Z22" s="97"/>
      <c r="AA22" s="85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G22" s="85"/>
      <c r="AH22" s="85"/>
      <c r="AI22" s="132" t="s">
        <v>41</v>
      </c>
      <c r="AJ22" s="132" t="s">
        <v>45</v>
      </c>
      <c r="AK22" s="132" t="s">
        <v>43</v>
      </c>
      <c r="AL22" s="132" t="s">
        <v>8</v>
      </c>
    </row>
    <row r="23" spans="2:38" x14ac:dyDescent="0.25">
      <c r="B23" s="85" t="s">
        <v>617</v>
      </c>
      <c r="C23" s="85" t="s">
        <v>618</v>
      </c>
      <c r="D23" s="89">
        <v>33528</v>
      </c>
      <c r="E23" s="85"/>
      <c r="F23" s="85" t="s">
        <v>46</v>
      </c>
      <c r="G23" s="85"/>
      <c r="H23" s="89"/>
      <c r="I23" s="85"/>
      <c r="J23" s="85" t="s">
        <v>46</v>
      </c>
      <c r="K23" s="85"/>
      <c r="L23" s="89"/>
      <c r="M23" s="85"/>
      <c r="N23" s="85" t="s">
        <v>240</v>
      </c>
      <c r="O23" s="85"/>
      <c r="P23" s="89"/>
      <c r="Q23" s="85"/>
      <c r="R23" s="85" t="s">
        <v>610</v>
      </c>
      <c r="S23" s="85" t="s">
        <v>611</v>
      </c>
      <c r="T23" s="89">
        <v>69178</v>
      </c>
      <c r="U23" s="85"/>
      <c r="V23" s="96"/>
      <c r="W23" s="124" t="s">
        <v>46</v>
      </c>
      <c r="X23" s="124"/>
      <c r="Y23" s="121">
        <f t="shared" si="8"/>
        <v>102706</v>
      </c>
      <c r="Z23" s="97"/>
      <c r="AA23" s="85"/>
      <c r="AB23" s="166" t="s">
        <v>606</v>
      </c>
      <c r="AC23" s="167">
        <v>45868</v>
      </c>
      <c r="AD23" s="166" t="s">
        <v>193</v>
      </c>
      <c r="AE23" s="166" t="s">
        <v>607</v>
      </c>
      <c r="AF23" s="168">
        <v>13838</v>
      </c>
      <c r="AG23" s="85"/>
      <c r="AH23" s="85"/>
      <c r="AI23" s="100" t="s">
        <v>144</v>
      </c>
      <c r="AJ23" s="166" t="s">
        <v>320</v>
      </c>
      <c r="AK23" s="100" t="s">
        <v>66</v>
      </c>
      <c r="AL23" s="149">
        <v>10568</v>
      </c>
    </row>
    <row r="24" spans="2:38" x14ac:dyDescent="0.25">
      <c r="B24" s="85" t="s">
        <v>54</v>
      </c>
      <c r="C24" s="85"/>
      <c r="D24" s="89"/>
      <c r="E24" s="85"/>
      <c r="F24" s="85" t="s">
        <v>54</v>
      </c>
      <c r="G24" s="85"/>
      <c r="H24" s="89"/>
      <c r="I24" s="85"/>
      <c r="J24" s="85" t="s">
        <v>54</v>
      </c>
      <c r="K24" s="85"/>
      <c r="L24" s="89"/>
      <c r="M24" s="85"/>
      <c r="N24" s="85" t="s">
        <v>240</v>
      </c>
      <c r="O24" s="85"/>
      <c r="P24" s="89"/>
      <c r="Q24" s="85"/>
      <c r="R24" s="85" t="s">
        <v>612</v>
      </c>
      <c r="S24" s="85" t="s">
        <v>613</v>
      </c>
      <c r="T24" s="89">
        <v>18159</v>
      </c>
      <c r="U24" s="85"/>
      <c r="V24" s="96"/>
      <c r="W24" s="124" t="s">
        <v>54</v>
      </c>
      <c r="X24" s="124"/>
      <c r="Y24" s="121">
        <f t="shared" si="8"/>
        <v>18159</v>
      </c>
      <c r="Z24" s="97"/>
      <c r="AA24" s="85"/>
      <c r="AB24" s="85" t="s">
        <v>609</v>
      </c>
      <c r="AC24" s="204">
        <v>45884</v>
      </c>
      <c r="AD24" s="166" t="s">
        <v>481</v>
      </c>
      <c r="AE24" s="166"/>
      <c r="AF24" s="166">
        <v>67550</v>
      </c>
      <c r="AG24" s="85"/>
      <c r="AH24" s="85"/>
      <c r="AI24" s="100" t="s">
        <v>70</v>
      </c>
      <c r="AJ24" s="166" t="s">
        <v>341</v>
      </c>
      <c r="AK24" s="100" t="s">
        <v>468</v>
      </c>
      <c r="AL24" s="149">
        <v>9000</v>
      </c>
    </row>
    <row r="25" spans="2:38" x14ac:dyDescent="0.25">
      <c r="B25" s="85" t="s">
        <v>61</v>
      </c>
      <c r="C25" s="85"/>
      <c r="D25" s="89"/>
      <c r="E25" s="85"/>
      <c r="F25" s="85" t="s">
        <v>61</v>
      </c>
      <c r="G25" s="85"/>
      <c r="H25" s="89"/>
      <c r="I25" s="85"/>
      <c r="J25" s="85" t="s">
        <v>61</v>
      </c>
      <c r="K25" s="85"/>
      <c r="L25" s="89"/>
      <c r="M25" s="85"/>
      <c r="N25" s="85" t="s">
        <v>240</v>
      </c>
      <c r="O25" s="85"/>
      <c r="P25" s="89"/>
      <c r="Q25" s="85"/>
      <c r="R25" s="85" t="s">
        <v>61</v>
      </c>
      <c r="S25" s="85"/>
      <c r="T25" s="89"/>
      <c r="U25" s="85"/>
      <c r="V25" s="96"/>
      <c r="W25" s="124" t="s">
        <v>61</v>
      </c>
      <c r="X25" s="124"/>
      <c r="Y25" s="121">
        <f t="shared" si="8"/>
        <v>0</v>
      </c>
      <c r="Z25" s="97"/>
      <c r="AA25" s="85"/>
      <c r="AB25" s="166" t="s">
        <v>624</v>
      </c>
      <c r="AC25" s="204">
        <v>45866</v>
      </c>
      <c r="AD25" s="166" t="s">
        <v>107</v>
      </c>
      <c r="AE25" s="166"/>
      <c r="AF25" s="166">
        <v>11000</v>
      </c>
      <c r="AG25" s="85"/>
      <c r="AH25" s="85"/>
      <c r="AI25" s="100" t="s">
        <v>139</v>
      </c>
      <c r="AJ25" s="166" t="s">
        <v>436</v>
      </c>
      <c r="AK25" s="100" t="s">
        <v>368</v>
      </c>
      <c r="AL25" s="99">
        <v>9400</v>
      </c>
    </row>
    <row r="26" spans="2:38" x14ac:dyDescent="0.25">
      <c r="B26" s="85"/>
      <c r="C26" s="85"/>
      <c r="D26" s="89"/>
      <c r="E26" s="85"/>
      <c r="F26" s="85"/>
      <c r="G26" s="85"/>
      <c r="H26" s="89"/>
      <c r="I26" s="85"/>
      <c r="J26" s="85"/>
      <c r="K26" s="85"/>
      <c r="L26" s="89"/>
      <c r="M26" s="85"/>
      <c r="N26" s="85"/>
      <c r="O26" s="85"/>
      <c r="P26" s="89"/>
      <c r="Q26" s="85"/>
      <c r="R26" s="85"/>
      <c r="S26" s="85"/>
      <c r="T26" s="85"/>
      <c r="U26" s="85"/>
      <c r="V26" s="96"/>
      <c r="W26" s="124"/>
      <c r="X26" s="124"/>
      <c r="Y26" s="121">
        <f t="shared" si="8"/>
        <v>0</v>
      </c>
      <c r="Z26" s="97"/>
      <c r="AA26" s="85"/>
      <c r="AB26" s="166" t="s">
        <v>70</v>
      </c>
      <c r="AC26" s="218">
        <v>45860</v>
      </c>
      <c r="AD26" s="166" t="s">
        <v>254</v>
      </c>
      <c r="AE26" s="219" t="s">
        <v>354</v>
      </c>
      <c r="AF26" s="166">
        <v>2700</v>
      </c>
      <c r="AG26" s="85"/>
      <c r="AH26" s="85"/>
      <c r="AI26" s="100" t="s">
        <v>72</v>
      </c>
      <c r="AJ26" s="166" t="s">
        <v>630</v>
      </c>
      <c r="AK26" s="100" t="s">
        <v>105</v>
      </c>
      <c r="AL26" s="149">
        <v>30000</v>
      </c>
    </row>
    <row r="27" spans="2:38" ht="15.75" thickBot="1" x14ac:dyDescent="0.3">
      <c r="B27" s="85"/>
      <c r="C27" s="85"/>
      <c r="D27" s="89"/>
      <c r="E27" s="85"/>
      <c r="F27" s="85"/>
      <c r="G27" s="85"/>
      <c r="H27" s="89"/>
      <c r="I27" s="85"/>
      <c r="J27" s="85"/>
      <c r="K27" s="85"/>
      <c r="L27" s="89"/>
      <c r="M27" s="85"/>
      <c r="N27" s="85"/>
      <c r="O27" s="85"/>
      <c r="P27" s="89"/>
      <c r="Q27" s="85"/>
      <c r="R27" s="85"/>
      <c r="S27" s="85"/>
      <c r="T27" s="89"/>
      <c r="U27" s="85"/>
      <c r="V27" s="96"/>
      <c r="W27" s="124"/>
      <c r="X27" s="124"/>
      <c r="Y27" s="121">
        <f t="shared" si="8"/>
        <v>0</v>
      </c>
      <c r="Z27" s="97"/>
      <c r="AA27" s="85"/>
      <c r="AB27" s="166" t="s">
        <v>627</v>
      </c>
      <c r="AC27" s="204">
        <v>45877</v>
      </c>
      <c r="AD27" s="166" t="s">
        <v>48</v>
      </c>
      <c r="AE27" s="166"/>
      <c r="AF27" s="166">
        <v>29740</v>
      </c>
      <c r="AG27" s="85"/>
      <c r="AH27" s="85"/>
      <c r="AI27" s="166" t="s">
        <v>72</v>
      </c>
      <c r="AJ27" s="166" t="s">
        <v>631</v>
      </c>
      <c r="AK27" s="166" t="s">
        <v>572</v>
      </c>
      <c r="AL27" s="168">
        <v>19000</v>
      </c>
    </row>
    <row r="28" spans="2:38" ht="15.75" thickBot="1" x14ac:dyDescent="0.3">
      <c r="B28" s="235" t="s">
        <v>12</v>
      </c>
      <c r="C28" s="236"/>
      <c r="D28" s="93">
        <f>+SUM(D16:D27)</f>
        <v>126916</v>
      </c>
      <c r="E28" s="85"/>
      <c r="F28" s="235" t="s">
        <v>12</v>
      </c>
      <c r="G28" s="236"/>
      <c r="H28" s="93">
        <f>+SUM(H16:H27)</f>
        <v>94877</v>
      </c>
      <c r="I28" s="85"/>
      <c r="J28" s="235" t="s">
        <v>12</v>
      </c>
      <c r="K28" s="236"/>
      <c r="L28" s="93">
        <f>+SUM(L16:L27)</f>
        <v>55730</v>
      </c>
      <c r="M28" s="85"/>
      <c r="N28" s="235" t="s">
        <v>12</v>
      </c>
      <c r="O28" s="236"/>
      <c r="P28" s="93">
        <f>+SUM(P16:P27)</f>
        <v>64000</v>
      </c>
      <c r="Q28" s="85"/>
      <c r="R28" s="235" t="s">
        <v>12</v>
      </c>
      <c r="S28" s="236"/>
      <c r="T28" s="93">
        <f>+SUM(T16:T27)</f>
        <v>212397</v>
      </c>
      <c r="U28" s="85"/>
      <c r="V28" s="96"/>
      <c r="W28" s="235" t="s">
        <v>12</v>
      </c>
      <c r="X28" s="236"/>
      <c r="Y28" s="93">
        <f>+SUM(Y16:Y27)</f>
        <v>553920</v>
      </c>
      <c r="Z28" s="97"/>
      <c r="AA28" s="85"/>
      <c r="AB28" s="166" t="s">
        <v>628</v>
      </c>
      <c r="AC28" s="204">
        <v>45876</v>
      </c>
      <c r="AD28" s="166" t="s">
        <v>248</v>
      </c>
      <c r="AE28" s="166"/>
      <c r="AF28" s="166">
        <v>15745</v>
      </c>
      <c r="AG28" s="85"/>
      <c r="AH28" s="85"/>
      <c r="AI28" s="85"/>
      <c r="AJ28" s="85"/>
      <c r="AK28" s="85"/>
      <c r="AL28" s="147"/>
    </row>
    <row r="29" spans="2:38" x14ac:dyDescent="0.25">
      <c r="B29" s="85"/>
      <c r="C29" s="85"/>
      <c r="D29" s="89"/>
      <c r="E29" s="85"/>
      <c r="F29" s="85"/>
      <c r="G29" s="85"/>
      <c r="H29" s="89"/>
      <c r="I29" s="85"/>
      <c r="J29" s="85"/>
      <c r="K29" s="85"/>
      <c r="L29" s="89"/>
      <c r="M29" s="85"/>
      <c r="N29" s="85"/>
      <c r="O29" s="85"/>
      <c r="P29" s="89"/>
      <c r="Q29" s="85"/>
      <c r="R29" s="85"/>
      <c r="S29" s="85"/>
      <c r="T29" s="89"/>
      <c r="U29" s="85"/>
      <c r="V29" s="96"/>
      <c r="W29" s="100"/>
      <c r="X29" s="100"/>
      <c r="Y29" s="99"/>
      <c r="Z29" s="97"/>
      <c r="AA29" s="85"/>
      <c r="AB29" s="166" t="s">
        <v>629</v>
      </c>
      <c r="AC29" s="204">
        <v>45877</v>
      </c>
      <c r="AD29" s="166" t="s">
        <v>295</v>
      </c>
      <c r="AE29" s="166"/>
      <c r="AF29" s="166">
        <v>70</v>
      </c>
      <c r="AG29" s="85"/>
      <c r="AH29" s="85"/>
      <c r="AI29" s="85"/>
      <c r="AJ29" s="85"/>
      <c r="AK29" s="85"/>
      <c r="AL29" s="147"/>
    </row>
    <row r="30" spans="2:38" ht="15.75" thickBot="1" x14ac:dyDescent="0.3">
      <c r="B30" s="237" t="s">
        <v>75</v>
      </c>
      <c r="C30" s="237"/>
      <c r="D30" s="91">
        <f>+D28-D15</f>
        <v>0</v>
      </c>
      <c r="E30" s="85"/>
      <c r="F30" s="237" t="s">
        <v>75</v>
      </c>
      <c r="G30" s="237"/>
      <c r="H30" s="91">
        <f>+H28-H15</f>
        <v>0</v>
      </c>
      <c r="I30" s="85"/>
      <c r="J30" s="237" t="s">
        <v>75</v>
      </c>
      <c r="K30" s="237"/>
      <c r="L30" s="91">
        <f>+L28-L15</f>
        <v>46</v>
      </c>
      <c r="M30" s="85"/>
      <c r="N30" s="237" t="s">
        <v>75</v>
      </c>
      <c r="O30" s="237"/>
      <c r="P30" s="91">
        <f>+P28-P15</f>
        <v>3</v>
      </c>
      <c r="Q30" s="85"/>
      <c r="R30" s="237" t="s">
        <v>75</v>
      </c>
      <c r="S30" s="237"/>
      <c r="T30" s="91">
        <f>+T28-T15</f>
        <v>-2473</v>
      </c>
      <c r="U30" s="85"/>
      <c r="V30" s="96"/>
      <c r="W30" s="238" t="s">
        <v>75</v>
      </c>
      <c r="X30" s="238"/>
      <c r="Y30" s="126">
        <f>+Y28-Y15</f>
        <v>-2424</v>
      </c>
      <c r="Z30" s="97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147"/>
    </row>
    <row r="31" spans="2:38" ht="16.5" thickTop="1" thickBo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01"/>
      <c r="W31" s="102"/>
      <c r="X31" s="102"/>
      <c r="Y31" s="102"/>
      <c r="Z31" s="103"/>
      <c r="AA31" s="85"/>
      <c r="AB31" s="145" t="s">
        <v>74</v>
      </c>
      <c r="AC31" s="145"/>
      <c r="AD31" s="145"/>
      <c r="AE31" s="145"/>
      <c r="AF31" s="140">
        <f>+SUM(AF23:AF30)</f>
        <v>140643</v>
      </c>
      <c r="AG31" s="85"/>
      <c r="AH31" s="85"/>
      <c r="AI31" s="145" t="s">
        <v>74</v>
      </c>
      <c r="AJ31" s="145"/>
      <c r="AK31" s="145"/>
      <c r="AL31" s="140">
        <f>+SUM(AL23:AL30)</f>
        <v>77968</v>
      </c>
    </row>
    <row r="32" spans="2:38" x14ac:dyDescent="0.2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</row>
    <row r="33" spans="2:38" ht="15.75" thickBo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</row>
    <row r="34" spans="2:38" x14ac:dyDescent="0.25">
      <c r="B34" s="94" t="s">
        <v>76</v>
      </c>
      <c r="C34" s="95"/>
      <c r="D34" s="105"/>
      <c r="E34" s="85"/>
      <c r="F34" s="94" t="s">
        <v>76</v>
      </c>
      <c r="G34" s="95"/>
      <c r="H34" s="105"/>
      <c r="I34" s="85"/>
      <c r="J34" s="94" t="s">
        <v>76</v>
      </c>
      <c r="K34" s="95"/>
      <c r="L34" s="105"/>
      <c r="M34" s="85"/>
      <c r="N34" s="94" t="s">
        <v>76</v>
      </c>
      <c r="O34" s="95"/>
      <c r="P34" s="105"/>
      <c r="Q34" s="85"/>
      <c r="R34" s="94" t="s">
        <v>76</v>
      </c>
      <c r="S34" s="95"/>
      <c r="T34" s="105">
        <v>97</v>
      </c>
      <c r="U34" s="85"/>
      <c r="V34" s="85"/>
      <c r="W34" s="127" t="s">
        <v>76</v>
      </c>
      <c r="X34" s="128"/>
      <c r="Y34" s="129">
        <f>+D34+H34+L34+P34+T34</f>
        <v>97</v>
      </c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</row>
    <row r="35" spans="2:38" x14ac:dyDescent="0.25">
      <c r="B35" s="96" t="s">
        <v>77</v>
      </c>
      <c r="C35" s="100"/>
      <c r="D35" s="106"/>
      <c r="E35" s="85"/>
      <c r="F35" s="96" t="s">
        <v>77</v>
      </c>
      <c r="G35" s="100"/>
      <c r="H35" s="106"/>
      <c r="I35" s="85"/>
      <c r="J35" s="96" t="s">
        <v>77</v>
      </c>
      <c r="K35" s="100"/>
      <c r="L35" s="106"/>
      <c r="M35" s="85"/>
      <c r="N35" s="96" t="s">
        <v>77</v>
      </c>
      <c r="O35" s="100"/>
      <c r="P35" s="106"/>
      <c r="Q35" s="85"/>
      <c r="R35" s="96" t="s">
        <v>80</v>
      </c>
      <c r="S35" s="100"/>
      <c r="T35" s="106">
        <v>2376</v>
      </c>
      <c r="U35" s="85"/>
      <c r="V35" s="85"/>
      <c r="W35" s="130" t="s">
        <v>77</v>
      </c>
      <c r="X35" s="124"/>
      <c r="Y35" s="131">
        <f t="shared" ref="Y35:Y36" si="9">+D35+H35+L35+P35+T35</f>
        <v>2376</v>
      </c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</row>
    <row r="36" spans="2:38" x14ac:dyDescent="0.25">
      <c r="B36" s="96" t="s">
        <v>79</v>
      </c>
      <c r="C36" s="100"/>
      <c r="D36" s="106"/>
      <c r="E36" s="85"/>
      <c r="F36" s="96" t="s">
        <v>79</v>
      </c>
      <c r="G36" s="100"/>
      <c r="H36" s="106"/>
      <c r="I36" s="85"/>
      <c r="J36" s="96" t="s">
        <v>79</v>
      </c>
      <c r="K36" s="100"/>
      <c r="L36" s="106">
        <v>-46</v>
      </c>
      <c r="M36" s="85"/>
      <c r="N36" s="96" t="s">
        <v>79</v>
      </c>
      <c r="O36" s="100"/>
      <c r="P36" s="106"/>
      <c r="Q36" s="85"/>
      <c r="R36" s="96" t="s">
        <v>82</v>
      </c>
      <c r="S36" s="100"/>
      <c r="T36" s="106"/>
      <c r="U36" s="85"/>
      <c r="V36" s="85"/>
      <c r="W36" s="130" t="s">
        <v>78</v>
      </c>
      <c r="X36" s="124"/>
      <c r="Y36" s="131">
        <f t="shared" si="9"/>
        <v>-46</v>
      </c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</row>
    <row r="37" spans="2:38" x14ac:dyDescent="0.25">
      <c r="B37" s="96" t="s">
        <v>18</v>
      </c>
      <c r="C37" s="100"/>
      <c r="D37" s="106">
        <f>+SUM(D34:D36)</f>
        <v>0</v>
      </c>
      <c r="E37" s="85"/>
      <c r="F37" s="96" t="s">
        <v>18</v>
      </c>
      <c r="G37" s="100"/>
      <c r="H37" s="106">
        <f>+SUM(H34:H36)</f>
        <v>0</v>
      </c>
      <c r="I37" s="85"/>
      <c r="J37" s="96" t="s">
        <v>18</v>
      </c>
      <c r="K37" s="100"/>
      <c r="L37" s="106">
        <f>+SUM(L34:L36)</f>
        <v>-46</v>
      </c>
      <c r="M37" s="85"/>
      <c r="N37" s="96" t="s">
        <v>18</v>
      </c>
      <c r="O37" s="100"/>
      <c r="P37" s="106">
        <f>+SUM(P34:P36)</f>
        <v>0</v>
      </c>
      <c r="Q37" s="85"/>
      <c r="R37" s="96" t="s">
        <v>18</v>
      </c>
      <c r="S37" s="100"/>
      <c r="T37" s="106">
        <f>+SUM(T34:T36)</f>
        <v>2473</v>
      </c>
      <c r="U37" s="85"/>
      <c r="V37" s="85"/>
      <c r="W37" s="117" t="s">
        <v>18</v>
      </c>
      <c r="X37" s="118"/>
      <c r="Y37" s="119">
        <f>+SUM(Y34:Y36)</f>
        <v>2427</v>
      </c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</row>
    <row r="38" spans="2:38" ht="15.75" thickBot="1" x14ac:dyDescent="0.3">
      <c r="B38" s="107" t="s">
        <v>81</v>
      </c>
      <c r="C38" s="108"/>
      <c r="D38" s="109">
        <f>+D30+D37</f>
        <v>0</v>
      </c>
      <c r="E38" s="85"/>
      <c r="F38" s="107" t="s">
        <v>81</v>
      </c>
      <c r="G38" s="108"/>
      <c r="H38" s="109">
        <f>+H30+H37</f>
        <v>0</v>
      </c>
      <c r="I38" s="85"/>
      <c r="J38" s="107" t="s">
        <v>81</v>
      </c>
      <c r="K38" s="108"/>
      <c r="L38" s="109">
        <f>+L30+L37</f>
        <v>0</v>
      </c>
      <c r="M38" s="85"/>
      <c r="N38" s="107" t="s">
        <v>81</v>
      </c>
      <c r="O38" s="108"/>
      <c r="P38" s="109">
        <f>+P30+P37</f>
        <v>3</v>
      </c>
      <c r="Q38" s="85"/>
      <c r="R38" s="107" t="s">
        <v>81</v>
      </c>
      <c r="S38" s="108"/>
      <c r="T38" s="109">
        <f>+T30+T37</f>
        <v>0</v>
      </c>
      <c r="U38" s="85"/>
      <c r="V38" s="85"/>
      <c r="W38" s="107" t="s">
        <v>81</v>
      </c>
      <c r="X38" s="108"/>
      <c r="Y38" s="109">
        <f>+Y30+Y37</f>
        <v>3</v>
      </c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</row>
    <row r="39" spans="2:38" x14ac:dyDescent="0.25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</row>
    <row r="40" spans="2:38" x14ac:dyDescent="0.25"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L40"/>
  <sheetViews>
    <sheetView topLeftCell="A7" zoomScale="90" zoomScaleNormal="90" workbookViewId="0">
      <selection activeCell="AE2" sqref="AE2"/>
    </sheetView>
  </sheetViews>
  <sheetFormatPr defaultRowHeight="15" x14ac:dyDescent="0.25"/>
  <cols>
    <col min="2" max="2" width="13.5703125" bestFit="1" customWidth="1"/>
    <col min="3" max="3" width="14.140625" bestFit="1" customWidth="1"/>
    <col min="5" max="5" width="1.7109375" customWidth="1"/>
    <col min="9" max="9" width="1.7109375" customWidth="1"/>
    <col min="13" max="13" width="1.5703125" customWidth="1"/>
    <col min="14" max="14" width="13.5703125" bestFit="1" customWidth="1"/>
    <col min="15" max="15" width="14.140625" bestFit="1" customWidth="1"/>
    <col min="17" max="17" width="1.42578125" customWidth="1"/>
    <col min="19" max="19" width="13.5703125" bestFit="1" customWidth="1"/>
    <col min="20" max="20" width="9.7109375" bestFit="1" customWidth="1"/>
    <col min="21" max="21" width="1.42578125" customWidth="1"/>
    <col min="27" max="27" width="0.5703125" customWidth="1"/>
    <col min="28" max="28" width="11.7109375" customWidth="1"/>
    <col min="29" max="29" width="10.140625" bestFit="1" customWidth="1"/>
    <col min="31" max="31" width="13.85546875" customWidth="1"/>
    <col min="34" max="34" width="0.5703125" customWidth="1"/>
    <col min="35" max="35" width="12.5703125" customWidth="1"/>
    <col min="36" max="36" width="14.28515625" bestFit="1" customWidth="1"/>
    <col min="37" max="37" width="21.140625" bestFit="1" customWidth="1"/>
  </cols>
  <sheetData>
    <row r="2" spans="2:38" ht="15.75" thickBot="1" x14ac:dyDescent="0.3"/>
    <row r="3" spans="2:38" x14ac:dyDescent="0.25">
      <c r="B3" s="240" t="s">
        <v>0</v>
      </c>
      <c r="C3" s="240"/>
      <c r="D3" s="240"/>
      <c r="E3" s="85"/>
      <c r="F3" s="240" t="s">
        <v>1</v>
      </c>
      <c r="G3" s="240"/>
      <c r="H3" s="240"/>
      <c r="I3" s="85"/>
      <c r="J3" s="240" t="s">
        <v>2</v>
      </c>
      <c r="K3" s="240"/>
      <c r="L3" s="240"/>
      <c r="M3" s="85"/>
      <c r="N3" s="240" t="s">
        <v>3</v>
      </c>
      <c r="O3" s="240"/>
      <c r="P3" s="240"/>
      <c r="Q3" s="85"/>
      <c r="R3" s="240" t="s">
        <v>4</v>
      </c>
      <c r="S3" s="240"/>
      <c r="T3" s="240"/>
      <c r="U3" s="85"/>
      <c r="V3" s="94"/>
      <c r="W3" s="244" t="s">
        <v>5</v>
      </c>
      <c r="X3" s="244"/>
      <c r="Y3" s="244"/>
      <c r="Z3" s="196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</row>
    <row r="4" spans="2:38" x14ac:dyDescent="0.25">
      <c r="B4" s="88" t="s">
        <v>6</v>
      </c>
      <c r="C4" s="88" t="s">
        <v>7</v>
      </c>
      <c r="D4" s="88" t="s">
        <v>8</v>
      </c>
      <c r="E4" s="85"/>
      <c r="F4" s="88" t="s">
        <v>6</v>
      </c>
      <c r="G4" s="88" t="s">
        <v>7</v>
      </c>
      <c r="H4" s="88" t="s">
        <v>8</v>
      </c>
      <c r="I4" s="85"/>
      <c r="J4" s="88" t="s">
        <v>6</v>
      </c>
      <c r="K4" s="88" t="s">
        <v>7</v>
      </c>
      <c r="L4" s="88" t="s">
        <v>8</v>
      </c>
      <c r="M4" s="85"/>
      <c r="N4" s="88" t="s">
        <v>6</v>
      </c>
      <c r="O4" s="88" t="s">
        <v>7</v>
      </c>
      <c r="P4" s="88" t="s">
        <v>8</v>
      </c>
      <c r="Q4" s="85"/>
      <c r="R4" s="88" t="s">
        <v>6</v>
      </c>
      <c r="S4" s="88" t="s">
        <v>7</v>
      </c>
      <c r="T4" s="88" t="s">
        <v>8</v>
      </c>
      <c r="U4" s="85"/>
      <c r="V4" s="96"/>
      <c r="W4" s="98" t="s">
        <v>6</v>
      </c>
      <c r="X4" s="98" t="s">
        <v>7</v>
      </c>
      <c r="Y4" s="98" t="s">
        <v>8</v>
      </c>
      <c r="Z4" s="97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</row>
    <row r="5" spans="2:38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>
        <v>20</v>
      </c>
      <c r="H5" s="120">
        <f>+G5*F5</f>
        <v>20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/>
      <c r="T5" s="120">
        <f>+S5*R5</f>
        <v>0</v>
      </c>
      <c r="U5" s="110"/>
      <c r="V5" s="111"/>
      <c r="W5" s="122">
        <v>1</v>
      </c>
      <c r="X5" s="123">
        <f>+C5+G5+K5+O5+S5</f>
        <v>20</v>
      </c>
      <c r="Y5" s="121">
        <f>+D5+H5+L5+P5+T5</f>
        <v>20</v>
      </c>
      <c r="Z5" s="112"/>
      <c r="AA5" s="110"/>
      <c r="AB5" s="207" t="s">
        <v>9</v>
      </c>
      <c r="AC5" s="220"/>
      <c r="AD5" s="220"/>
      <c r="AE5" s="220"/>
      <c r="AF5" s="220"/>
      <c r="AG5" s="146"/>
      <c r="AH5" s="85"/>
      <c r="AI5" s="88" t="s">
        <v>6</v>
      </c>
      <c r="AJ5" s="88" t="s">
        <v>7</v>
      </c>
      <c r="AK5" s="88" t="s">
        <v>8</v>
      </c>
      <c r="AL5" s="85"/>
    </row>
    <row r="6" spans="2:38" ht="15.75" thickTop="1" x14ac:dyDescent="0.25">
      <c r="B6" s="86">
        <v>10</v>
      </c>
      <c r="C6" s="86">
        <v>19</v>
      </c>
      <c r="D6" s="120">
        <f>+C6*B6</f>
        <v>190</v>
      </c>
      <c r="E6" s="85"/>
      <c r="F6" s="86">
        <v>10</v>
      </c>
      <c r="G6" s="86">
        <v>37</v>
      </c>
      <c r="H6" s="120">
        <f>+G6*F6</f>
        <v>370</v>
      </c>
      <c r="I6" s="85"/>
      <c r="J6" s="86">
        <v>10</v>
      </c>
      <c r="K6" s="86">
        <v>111</v>
      </c>
      <c r="L6" s="120">
        <f>+K6*J6</f>
        <v>1110</v>
      </c>
      <c r="M6" s="85"/>
      <c r="N6" s="86">
        <v>10</v>
      </c>
      <c r="O6" s="86">
        <v>16</v>
      </c>
      <c r="P6" s="120">
        <f>+O6*N6</f>
        <v>160</v>
      </c>
      <c r="Q6" s="85"/>
      <c r="R6" s="86">
        <v>10</v>
      </c>
      <c r="S6" s="86"/>
      <c r="T6" s="120">
        <f>+S6*R6</f>
        <v>0</v>
      </c>
      <c r="U6" s="85"/>
      <c r="V6" s="96"/>
      <c r="W6" s="123">
        <v>10</v>
      </c>
      <c r="X6" s="123">
        <f>+C6+G6+K6+O6+S6</f>
        <v>183</v>
      </c>
      <c r="Y6" s="121">
        <f>+D6+H6+L6+P6+T6</f>
        <v>1830</v>
      </c>
      <c r="Z6" s="97"/>
      <c r="AA6" s="85"/>
      <c r="AB6" s="85"/>
      <c r="AC6" s="85"/>
      <c r="AD6" s="85"/>
      <c r="AE6" s="85"/>
      <c r="AF6" s="85"/>
      <c r="AG6" s="85"/>
      <c r="AH6" s="85"/>
      <c r="AI6" s="113">
        <v>1</v>
      </c>
      <c r="AJ6" s="113">
        <v>20</v>
      </c>
      <c r="AK6" s="120">
        <f t="shared" ref="AK6:AK13" si="0">+AJ6*AI6</f>
        <v>20</v>
      </c>
      <c r="AL6" s="110"/>
    </row>
    <row r="7" spans="2:38" x14ac:dyDescent="0.25">
      <c r="B7" s="86">
        <v>20</v>
      </c>
      <c r="C7" s="86">
        <v>7</v>
      </c>
      <c r="D7" s="120">
        <f t="shared" ref="D7:D12" si="1">+C7*B7</f>
        <v>140</v>
      </c>
      <c r="E7" s="85"/>
      <c r="F7" s="86">
        <v>20</v>
      </c>
      <c r="G7" s="86">
        <v>12</v>
      </c>
      <c r="H7" s="120">
        <f t="shared" ref="H7:H12" si="2">+G7*F7</f>
        <v>240</v>
      </c>
      <c r="I7" s="85"/>
      <c r="J7" s="86">
        <v>20</v>
      </c>
      <c r="K7" s="86">
        <v>5</v>
      </c>
      <c r="L7" s="120">
        <f t="shared" ref="L7:L12" si="3">+K7*J7</f>
        <v>100</v>
      </c>
      <c r="M7" s="85"/>
      <c r="N7" s="86">
        <v>20</v>
      </c>
      <c r="O7" s="86"/>
      <c r="P7" s="120">
        <f t="shared" ref="P7:P12" si="4">+O7*N7</f>
        <v>0</v>
      </c>
      <c r="Q7" s="85"/>
      <c r="R7" s="86">
        <v>20</v>
      </c>
      <c r="S7" s="86"/>
      <c r="T7" s="120">
        <f t="shared" ref="T7:T12" si="5">+S7*R7</f>
        <v>0</v>
      </c>
      <c r="U7" s="85"/>
      <c r="V7" s="96"/>
      <c r="W7" s="123">
        <v>20</v>
      </c>
      <c r="X7" s="123">
        <f>+C7+G7+K7+O7+S7</f>
        <v>24</v>
      </c>
      <c r="Y7" s="121">
        <f t="shared" ref="Y7:Y12" si="6">+D7+H7+L7+P7+T7</f>
        <v>480</v>
      </c>
      <c r="Z7" s="97"/>
      <c r="AA7" s="85"/>
      <c r="AB7" s="141" t="s">
        <v>10</v>
      </c>
      <c r="AC7" s="142">
        <f>Y13</f>
        <v>313780</v>
      </c>
      <c r="AD7" s="110"/>
      <c r="AE7" s="110"/>
      <c r="AF7" s="110"/>
      <c r="AG7" s="110"/>
      <c r="AH7" s="85"/>
      <c r="AI7" s="86">
        <v>10</v>
      </c>
      <c r="AJ7" s="86">
        <v>184</v>
      </c>
      <c r="AK7" s="120">
        <f t="shared" si="0"/>
        <v>1840</v>
      </c>
      <c r="AL7" s="85"/>
    </row>
    <row r="8" spans="2:38" x14ac:dyDescent="0.25">
      <c r="B8" s="86">
        <v>50</v>
      </c>
      <c r="C8" s="86">
        <v>22</v>
      </c>
      <c r="D8" s="120">
        <f t="shared" si="1"/>
        <v>1100</v>
      </c>
      <c r="E8" s="85"/>
      <c r="F8" s="86">
        <v>50</v>
      </c>
      <c r="G8" s="86">
        <v>27</v>
      </c>
      <c r="H8" s="120">
        <f t="shared" si="2"/>
        <v>1350</v>
      </c>
      <c r="I8" s="85"/>
      <c r="J8" s="86">
        <v>50</v>
      </c>
      <c r="K8" s="86">
        <v>62</v>
      </c>
      <c r="L8" s="120">
        <f t="shared" si="3"/>
        <v>3100</v>
      </c>
      <c r="M8" s="85"/>
      <c r="N8" s="86">
        <v>50</v>
      </c>
      <c r="O8" s="86">
        <v>122</v>
      </c>
      <c r="P8" s="120">
        <f t="shared" si="4"/>
        <v>6100</v>
      </c>
      <c r="Q8" s="85"/>
      <c r="R8" s="86">
        <v>50</v>
      </c>
      <c r="S8" s="86">
        <v>126</v>
      </c>
      <c r="T8" s="120">
        <f t="shared" si="5"/>
        <v>6300</v>
      </c>
      <c r="U8" s="85"/>
      <c r="V8" s="96"/>
      <c r="W8" s="123">
        <v>50</v>
      </c>
      <c r="X8" s="123">
        <f t="shared" ref="X8:X12" si="7">+C8+G8+K8+O8+S8</f>
        <v>359</v>
      </c>
      <c r="Y8" s="121">
        <f t="shared" si="6"/>
        <v>17950</v>
      </c>
      <c r="Z8" s="97"/>
      <c r="AA8" s="85"/>
      <c r="AB8" s="138" t="s">
        <v>11</v>
      </c>
      <c r="AC8" s="138">
        <f>+AF31</f>
        <v>81607</v>
      </c>
      <c r="AD8" s="85"/>
      <c r="AE8" s="85"/>
      <c r="AF8" s="85"/>
      <c r="AG8" s="85"/>
      <c r="AH8" s="85"/>
      <c r="AI8" s="86">
        <v>20</v>
      </c>
      <c r="AJ8" s="86">
        <v>24</v>
      </c>
      <c r="AK8" s="120">
        <f t="shared" si="0"/>
        <v>480</v>
      </c>
      <c r="AL8" s="85"/>
    </row>
    <row r="9" spans="2:38" ht="15.75" thickBot="1" x14ac:dyDescent="0.3">
      <c r="B9" s="86">
        <v>100</v>
      </c>
      <c r="C9" s="86">
        <v>13</v>
      </c>
      <c r="D9" s="120">
        <f t="shared" si="1"/>
        <v>1300</v>
      </c>
      <c r="E9" s="85"/>
      <c r="F9" s="86">
        <v>100</v>
      </c>
      <c r="G9" s="86">
        <v>33</v>
      </c>
      <c r="H9" s="120">
        <f t="shared" si="2"/>
        <v>3300</v>
      </c>
      <c r="I9" s="85"/>
      <c r="J9" s="86">
        <v>100</v>
      </c>
      <c r="K9" s="86">
        <v>56</v>
      </c>
      <c r="L9" s="120">
        <f t="shared" si="3"/>
        <v>5600</v>
      </c>
      <c r="M9" s="85"/>
      <c r="N9" s="86">
        <v>100</v>
      </c>
      <c r="O9" s="86">
        <v>126</v>
      </c>
      <c r="P9" s="120">
        <f t="shared" si="4"/>
        <v>12600</v>
      </c>
      <c r="Q9" s="85"/>
      <c r="R9" s="86">
        <v>100</v>
      </c>
      <c r="S9" s="86">
        <v>37</v>
      </c>
      <c r="T9" s="120">
        <f t="shared" si="5"/>
        <v>3700</v>
      </c>
      <c r="U9" s="85"/>
      <c r="V9" s="96"/>
      <c r="W9" s="123">
        <v>100</v>
      </c>
      <c r="X9" s="123">
        <f t="shared" si="7"/>
        <v>265</v>
      </c>
      <c r="Y9" s="121">
        <f t="shared" si="6"/>
        <v>26500</v>
      </c>
      <c r="Z9" s="97"/>
      <c r="AA9" s="85"/>
      <c r="AB9" s="143" t="s">
        <v>12</v>
      </c>
      <c r="AC9" s="144">
        <f>SUM(AC7:AC8)</f>
        <v>395387</v>
      </c>
      <c r="AD9" s="85"/>
      <c r="AE9" s="85"/>
      <c r="AF9" s="85"/>
      <c r="AG9" s="85"/>
      <c r="AH9" s="85"/>
      <c r="AI9" s="86">
        <v>50</v>
      </c>
      <c r="AJ9" s="86">
        <v>359</v>
      </c>
      <c r="AK9" s="120">
        <f t="shared" si="0"/>
        <v>17950</v>
      </c>
      <c r="AL9" s="85"/>
    </row>
    <row r="10" spans="2:38" x14ac:dyDescent="0.25">
      <c r="B10" s="86">
        <v>500</v>
      </c>
      <c r="C10" s="86">
        <v>21</v>
      </c>
      <c r="D10" s="120">
        <f t="shared" si="1"/>
        <v>10500</v>
      </c>
      <c r="E10" s="85"/>
      <c r="F10" s="86">
        <v>500</v>
      </c>
      <c r="G10" s="86">
        <v>41</v>
      </c>
      <c r="H10" s="120">
        <f t="shared" si="2"/>
        <v>20500</v>
      </c>
      <c r="I10" s="85"/>
      <c r="J10" s="86">
        <v>500</v>
      </c>
      <c r="K10" s="86">
        <v>40</v>
      </c>
      <c r="L10" s="120">
        <f t="shared" si="3"/>
        <v>20000</v>
      </c>
      <c r="M10" s="85"/>
      <c r="N10" s="86">
        <v>500</v>
      </c>
      <c r="O10" s="86">
        <v>20</v>
      </c>
      <c r="P10" s="120">
        <f t="shared" si="4"/>
        <v>10000</v>
      </c>
      <c r="Q10" s="85"/>
      <c r="R10" s="86">
        <v>500</v>
      </c>
      <c r="S10" s="86"/>
      <c r="T10" s="120">
        <f t="shared" si="5"/>
        <v>0</v>
      </c>
      <c r="U10" s="85"/>
      <c r="V10" s="96"/>
      <c r="W10" s="123">
        <v>500</v>
      </c>
      <c r="X10" s="123">
        <f t="shared" si="7"/>
        <v>122</v>
      </c>
      <c r="Y10" s="121">
        <f t="shared" si="6"/>
        <v>61000</v>
      </c>
      <c r="Z10" s="97"/>
      <c r="AA10" s="85"/>
      <c r="AB10" s="85"/>
      <c r="AC10" s="85"/>
      <c r="AD10" s="85"/>
      <c r="AE10" s="85"/>
      <c r="AF10" s="85"/>
      <c r="AG10" s="85"/>
      <c r="AH10" s="85"/>
      <c r="AI10" s="86">
        <v>100</v>
      </c>
      <c r="AJ10" s="86">
        <v>286</v>
      </c>
      <c r="AK10" s="120">
        <f t="shared" si="0"/>
        <v>28600</v>
      </c>
      <c r="AL10" s="85"/>
    </row>
    <row r="11" spans="2:38" x14ac:dyDescent="0.25">
      <c r="B11" s="86">
        <v>1000</v>
      </c>
      <c r="C11" s="86">
        <v>27</v>
      </c>
      <c r="D11" s="120">
        <f t="shared" si="1"/>
        <v>27000</v>
      </c>
      <c r="E11" s="85"/>
      <c r="F11" s="86">
        <v>1000</v>
      </c>
      <c r="G11" s="86">
        <v>59</v>
      </c>
      <c r="H11" s="120">
        <f t="shared" si="2"/>
        <v>59000</v>
      </c>
      <c r="I11" s="85"/>
      <c r="J11" s="86">
        <v>1000</v>
      </c>
      <c r="K11" s="86">
        <v>25</v>
      </c>
      <c r="L11" s="120">
        <f t="shared" si="3"/>
        <v>25000</v>
      </c>
      <c r="M11" s="85"/>
      <c r="N11" s="86">
        <v>1000</v>
      </c>
      <c r="O11" s="86">
        <v>40</v>
      </c>
      <c r="P11" s="120">
        <f t="shared" si="4"/>
        <v>40000</v>
      </c>
      <c r="Q11" s="85"/>
      <c r="R11" s="86">
        <v>1000</v>
      </c>
      <c r="S11" s="86">
        <v>10</v>
      </c>
      <c r="T11" s="120">
        <f t="shared" si="5"/>
        <v>10000</v>
      </c>
      <c r="U11" s="85"/>
      <c r="V11" s="96"/>
      <c r="W11" s="123">
        <v>1000</v>
      </c>
      <c r="X11" s="123">
        <f t="shared" si="7"/>
        <v>161</v>
      </c>
      <c r="Y11" s="121">
        <f t="shared" si="6"/>
        <v>161000</v>
      </c>
      <c r="Z11" s="97"/>
      <c r="AA11" s="85"/>
      <c r="AB11" s="132" t="s">
        <v>13</v>
      </c>
      <c r="AC11" s="132" t="s">
        <v>8</v>
      </c>
      <c r="AD11" s="132" t="s">
        <v>14</v>
      </c>
      <c r="AE11" s="132" t="s">
        <v>15</v>
      </c>
      <c r="AF11" s="132" t="s">
        <v>16</v>
      </c>
      <c r="AG11" s="132"/>
      <c r="AH11" s="85"/>
      <c r="AI11" s="86">
        <v>500</v>
      </c>
      <c r="AJ11" s="86">
        <v>161</v>
      </c>
      <c r="AK11" s="120">
        <f t="shared" si="0"/>
        <v>80500</v>
      </c>
      <c r="AL11" s="85"/>
    </row>
    <row r="12" spans="2:38" x14ac:dyDescent="0.25">
      <c r="B12" s="86">
        <v>5000</v>
      </c>
      <c r="C12" s="86"/>
      <c r="D12" s="120">
        <f t="shared" si="1"/>
        <v>0</v>
      </c>
      <c r="E12" s="85"/>
      <c r="F12" s="86">
        <v>5000</v>
      </c>
      <c r="G12" s="86">
        <v>5</v>
      </c>
      <c r="H12" s="120">
        <f t="shared" si="2"/>
        <v>25000</v>
      </c>
      <c r="I12" s="85"/>
      <c r="J12" s="86">
        <v>5000</v>
      </c>
      <c r="K12" s="86">
        <v>2</v>
      </c>
      <c r="L12" s="120">
        <f t="shared" si="3"/>
        <v>10000</v>
      </c>
      <c r="M12" s="85"/>
      <c r="N12" s="86">
        <v>5000</v>
      </c>
      <c r="O12" s="86">
        <v>2</v>
      </c>
      <c r="P12" s="120">
        <f t="shared" si="4"/>
        <v>10000</v>
      </c>
      <c r="Q12" s="85"/>
      <c r="R12" s="86">
        <v>5000</v>
      </c>
      <c r="S12" s="86"/>
      <c r="T12" s="120">
        <f t="shared" si="5"/>
        <v>0</v>
      </c>
      <c r="U12" s="85"/>
      <c r="V12" s="96"/>
      <c r="W12" s="123">
        <v>5000</v>
      </c>
      <c r="X12" s="123">
        <f t="shared" si="7"/>
        <v>9</v>
      </c>
      <c r="Y12" s="121">
        <f t="shared" si="6"/>
        <v>45000</v>
      </c>
      <c r="Z12" s="97"/>
      <c r="AA12" s="85"/>
      <c r="AB12" s="85" t="s">
        <v>17</v>
      </c>
      <c r="AC12" s="89">
        <v>387400</v>
      </c>
      <c r="AD12" s="85">
        <v>88377</v>
      </c>
      <c r="AE12" s="137" t="s">
        <v>632</v>
      </c>
      <c r="AF12" s="85"/>
      <c r="AG12" s="85"/>
      <c r="AH12" s="85"/>
      <c r="AI12" s="86">
        <v>1000</v>
      </c>
      <c r="AJ12" s="86">
        <v>196</v>
      </c>
      <c r="AK12" s="120">
        <f t="shared" si="0"/>
        <v>196000</v>
      </c>
      <c r="AL12" s="85"/>
    </row>
    <row r="13" spans="2:38" ht="15.75" thickBot="1" x14ac:dyDescent="0.3">
      <c r="B13" s="87" t="s">
        <v>18</v>
      </c>
      <c r="C13" s="87"/>
      <c r="D13" s="90">
        <f>+SUM(D5:D12)</f>
        <v>40230</v>
      </c>
      <c r="E13" s="85"/>
      <c r="F13" s="87" t="s">
        <v>18</v>
      </c>
      <c r="G13" s="87"/>
      <c r="H13" s="90">
        <f>+SUM(H5:H12)</f>
        <v>109780</v>
      </c>
      <c r="I13" s="85"/>
      <c r="J13" s="87" t="s">
        <v>18</v>
      </c>
      <c r="K13" s="87"/>
      <c r="L13" s="90">
        <f>+SUM(L5:L12)</f>
        <v>64910</v>
      </c>
      <c r="M13" s="85"/>
      <c r="N13" s="87" t="s">
        <v>18</v>
      </c>
      <c r="O13" s="87"/>
      <c r="P13" s="90">
        <f>+SUM(P5:P12)</f>
        <v>78860</v>
      </c>
      <c r="Q13" s="85"/>
      <c r="R13" s="87" t="s">
        <v>18</v>
      </c>
      <c r="S13" s="87"/>
      <c r="T13" s="90">
        <f>+SUM(T5:T12)</f>
        <v>20000</v>
      </c>
      <c r="U13" s="85"/>
      <c r="V13" s="96"/>
      <c r="W13" s="87" t="s">
        <v>18</v>
      </c>
      <c r="X13" s="87"/>
      <c r="Y13" s="90">
        <f>+SUM(Y5:Y12)</f>
        <v>313780</v>
      </c>
      <c r="Z13" s="97"/>
      <c r="AA13" s="85"/>
      <c r="AB13" s="85" t="s">
        <v>19</v>
      </c>
      <c r="AC13" s="89">
        <v>2970</v>
      </c>
      <c r="AD13" s="85"/>
      <c r="AE13" s="85"/>
      <c r="AF13" s="85"/>
      <c r="AG13" s="85"/>
      <c r="AH13" s="85"/>
      <c r="AI13" s="86">
        <v>5000</v>
      </c>
      <c r="AJ13" s="86">
        <v>13</v>
      </c>
      <c r="AK13" s="120">
        <f t="shared" si="0"/>
        <v>65000</v>
      </c>
      <c r="AL13" s="85"/>
    </row>
    <row r="14" spans="2:38" ht="15.75" thickBot="1" x14ac:dyDescent="0.3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96"/>
      <c r="W14" s="100"/>
      <c r="X14" s="100"/>
      <c r="Y14" s="100"/>
      <c r="Z14" s="97"/>
      <c r="AA14" s="85"/>
      <c r="AB14" s="85" t="s">
        <v>20</v>
      </c>
      <c r="AC14" s="89"/>
      <c r="AD14" s="85"/>
      <c r="AE14" s="85"/>
      <c r="AF14" s="85"/>
      <c r="AG14" s="85"/>
      <c r="AH14" s="85"/>
      <c r="AI14" s="87" t="s">
        <v>18</v>
      </c>
      <c r="AJ14" s="87"/>
      <c r="AK14" s="90">
        <f>+SUM(AK6:AK13)</f>
        <v>390390</v>
      </c>
      <c r="AL14" s="85"/>
    </row>
    <row r="15" spans="2:38" ht="15.75" thickBot="1" x14ac:dyDescent="0.3">
      <c r="B15" s="242" t="s">
        <v>21</v>
      </c>
      <c r="C15" s="243"/>
      <c r="D15" s="92">
        <v>55911</v>
      </c>
      <c r="E15" s="114"/>
      <c r="F15" s="242" t="s">
        <v>21</v>
      </c>
      <c r="G15" s="243"/>
      <c r="H15" s="92">
        <v>124593</v>
      </c>
      <c r="I15" s="114"/>
      <c r="J15" s="242" t="s">
        <v>21</v>
      </c>
      <c r="K15" s="243"/>
      <c r="L15" s="92">
        <v>63894</v>
      </c>
      <c r="M15" s="114"/>
      <c r="N15" s="242" t="s">
        <v>21</v>
      </c>
      <c r="O15" s="243"/>
      <c r="P15" s="92">
        <v>88955</v>
      </c>
      <c r="Q15" s="114"/>
      <c r="R15" s="242" t="s">
        <v>21</v>
      </c>
      <c r="S15" s="243"/>
      <c r="T15" s="92">
        <v>259711</v>
      </c>
      <c r="U15" s="114"/>
      <c r="V15" s="115"/>
      <c r="W15" s="242" t="s">
        <v>21</v>
      </c>
      <c r="X15" s="243"/>
      <c r="Y15" s="92">
        <f>+D15+H15+L15+P15+T15</f>
        <v>593064</v>
      </c>
      <c r="Z15" s="116"/>
      <c r="AA15" s="114"/>
      <c r="AB15" s="85" t="s">
        <v>22</v>
      </c>
      <c r="AC15" s="89">
        <v>5000</v>
      </c>
      <c r="AD15" s="85"/>
      <c r="AE15" s="85"/>
      <c r="AF15" s="85"/>
      <c r="AG15" s="85"/>
      <c r="AH15" s="85"/>
      <c r="AI15" s="85"/>
      <c r="AJ15" s="85"/>
      <c r="AK15" s="85"/>
      <c r="AL15" s="85"/>
    </row>
    <row r="16" spans="2:38" x14ac:dyDescent="0.25">
      <c r="B16" s="85" t="s">
        <v>10</v>
      </c>
      <c r="C16" s="85"/>
      <c r="D16" s="89">
        <f>+D13</f>
        <v>40230</v>
      </c>
      <c r="E16" s="85"/>
      <c r="F16" s="85" t="s">
        <v>10</v>
      </c>
      <c r="G16" s="85"/>
      <c r="H16" s="89">
        <f>+H13</f>
        <v>109780</v>
      </c>
      <c r="I16" s="85"/>
      <c r="J16" s="85" t="s">
        <v>10</v>
      </c>
      <c r="K16" s="85"/>
      <c r="L16" s="89">
        <f>+L13</f>
        <v>64910</v>
      </c>
      <c r="M16" s="85"/>
      <c r="N16" s="85" t="s">
        <v>10</v>
      </c>
      <c r="O16" s="85"/>
      <c r="P16" s="89">
        <f>+P13</f>
        <v>78860</v>
      </c>
      <c r="Q16" s="85"/>
      <c r="R16" s="85" t="s">
        <v>10</v>
      </c>
      <c r="S16" s="85"/>
      <c r="T16" s="89">
        <f>+T13</f>
        <v>20000</v>
      </c>
      <c r="U16" s="85"/>
      <c r="V16" s="96"/>
      <c r="W16" s="124" t="s">
        <v>10</v>
      </c>
      <c r="X16" s="124"/>
      <c r="Y16" s="121">
        <f>+D16+H16+L16+P16+T16</f>
        <v>313780</v>
      </c>
      <c r="Z16" s="97"/>
      <c r="AA16" s="85"/>
      <c r="AB16" s="85" t="s">
        <v>23</v>
      </c>
      <c r="AC16" s="89"/>
      <c r="AD16" s="85"/>
      <c r="AE16" s="85"/>
      <c r="AF16" s="85"/>
      <c r="AG16" s="85"/>
      <c r="AH16" s="85"/>
      <c r="AI16" s="85"/>
      <c r="AJ16" s="85"/>
      <c r="AK16" s="85"/>
      <c r="AL16" s="85"/>
    </row>
    <row r="17" spans="2:38" x14ac:dyDescent="0.25">
      <c r="B17" s="85" t="s">
        <v>17</v>
      </c>
      <c r="C17" s="85"/>
      <c r="D17" s="89">
        <v>6277</v>
      </c>
      <c r="E17" s="85"/>
      <c r="F17" s="85" t="s">
        <v>17</v>
      </c>
      <c r="G17" s="85"/>
      <c r="H17" s="89">
        <v>3500</v>
      </c>
      <c r="I17" s="85"/>
      <c r="J17" s="85" t="s">
        <v>17</v>
      </c>
      <c r="K17" s="85"/>
      <c r="L17" s="89"/>
      <c r="M17" s="85"/>
      <c r="N17" s="85" t="s">
        <v>17</v>
      </c>
      <c r="O17" s="85"/>
      <c r="P17" s="89"/>
      <c r="Q17" s="85"/>
      <c r="R17" s="85" t="s">
        <v>17</v>
      </c>
      <c r="S17" s="85"/>
      <c r="T17" s="89"/>
      <c r="U17" s="85"/>
      <c r="V17" s="96"/>
      <c r="W17" s="124" t="s">
        <v>17</v>
      </c>
      <c r="X17" s="124"/>
      <c r="Y17" s="121">
        <f t="shared" ref="Y17:Y27" si="8">+D17+H17+L17+P17+T17</f>
        <v>9777</v>
      </c>
      <c r="Z17" s="97"/>
      <c r="AA17" s="85"/>
      <c r="AB17" s="133" t="s">
        <v>12</v>
      </c>
      <c r="AC17" s="134">
        <f>+SUM(AC12:AC16)</f>
        <v>395370</v>
      </c>
      <c r="AD17" s="160"/>
      <c r="AE17" s="85"/>
      <c r="AF17" s="85"/>
      <c r="AG17" s="85"/>
      <c r="AH17" s="85"/>
      <c r="AI17" s="85"/>
      <c r="AJ17" s="85"/>
      <c r="AK17" s="85"/>
      <c r="AL17" s="85"/>
    </row>
    <row r="18" spans="2:38" x14ac:dyDescent="0.25">
      <c r="B18" s="85" t="s">
        <v>621</v>
      </c>
      <c r="C18" s="85" t="s">
        <v>641</v>
      </c>
      <c r="D18" s="89">
        <v>9502</v>
      </c>
      <c r="E18" s="85"/>
      <c r="F18" s="85" t="s">
        <v>26</v>
      </c>
      <c r="G18" s="85"/>
      <c r="H18" s="89"/>
      <c r="I18" s="85"/>
      <c r="J18" s="85" t="s">
        <v>26</v>
      </c>
      <c r="K18" s="85"/>
      <c r="L18" s="89"/>
      <c r="M18" s="85"/>
      <c r="N18" s="85" t="s">
        <v>621</v>
      </c>
      <c r="O18" s="85" t="s">
        <v>646</v>
      </c>
      <c r="P18" s="89">
        <v>9253</v>
      </c>
      <c r="Q18" s="85"/>
      <c r="R18" s="85" t="s">
        <v>487</v>
      </c>
      <c r="S18" s="85" t="s">
        <v>638</v>
      </c>
      <c r="T18" s="89">
        <v>52900</v>
      </c>
      <c r="U18" s="85"/>
      <c r="V18" s="96"/>
      <c r="W18" s="124" t="s">
        <v>26</v>
      </c>
      <c r="X18" s="124"/>
      <c r="Y18" s="121">
        <f t="shared" si="8"/>
        <v>71655</v>
      </c>
      <c r="Z18" s="97"/>
      <c r="AA18" s="85"/>
      <c r="AB18" s="135" t="s">
        <v>32</v>
      </c>
      <c r="AC18" s="136">
        <f>+AC17-AC9</f>
        <v>-17</v>
      </c>
      <c r="AD18" s="85" t="s">
        <v>33</v>
      </c>
      <c r="AE18" s="85"/>
      <c r="AF18" s="85"/>
      <c r="AG18" s="85"/>
      <c r="AH18" s="85"/>
      <c r="AI18" s="85"/>
      <c r="AJ18" s="85"/>
      <c r="AK18" s="85"/>
      <c r="AL18" s="85"/>
    </row>
    <row r="19" spans="2:38" x14ac:dyDescent="0.25">
      <c r="B19" s="85" t="s">
        <v>34</v>
      </c>
      <c r="C19" s="85"/>
      <c r="D19" s="89"/>
      <c r="E19" s="85"/>
      <c r="F19" s="85" t="s">
        <v>34</v>
      </c>
      <c r="G19" s="85"/>
      <c r="H19" s="89"/>
      <c r="I19" s="85"/>
      <c r="J19" s="85" t="s">
        <v>34</v>
      </c>
      <c r="K19" s="85"/>
      <c r="L19" s="89"/>
      <c r="M19" s="85"/>
      <c r="N19" s="85" t="s">
        <v>34</v>
      </c>
      <c r="O19" s="85"/>
      <c r="P19" s="89"/>
      <c r="Q19" s="85"/>
      <c r="R19" s="85" t="s">
        <v>342</v>
      </c>
      <c r="S19" s="85" t="s">
        <v>639</v>
      </c>
      <c r="T19" s="89">
        <v>14729</v>
      </c>
      <c r="U19" s="85"/>
      <c r="V19" s="96"/>
      <c r="W19" s="124" t="s">
        <v>34</v>
      </c>
      <c r="X19" s="124"/>
      <c r="Y19" s="121">
        <f t="shared" si="8"/>
        <v>14729</v>
      </c>
      <c r="Z19" s="97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</row>
    <row r="20" spans="2:38" x14ac:dyDescent="0.25">
      <c r="B20" s="85" t="s">
        <v>36</v>
      </c>
      <c r="C20" s="85"/>
      <c r="D20" s="89"/>
      <c r="E20" s="85"/>
      <c r="F20" s="85" t="s">
        <v>36</v>
      </c>
      <c r="G20" s="85"/>
      <c r="H20" s="89"/>
      <c r="I20" s="85"/>
      <c r="J20" s="85" t="s">
        <v>36</v>
      </c>
      <c r="K20" s="85"/>
      <c r="L20" s="89"/>
      <c r="M20" s="85"/>
      <c r="N20" s="85" t="s">
        <v>36</v>
      </c>
      <c r="O20" s="85"/>
      <c r="P20" s="89"/>
      <c r="Q20" s="85"/>
      <c r="R20" s="85" t="s">
        <v>36</v>
      </c>
      <c r="S20" s="85"/>
      <c r="T20" s="89"/>
      <c r="U20" s="85"/>
      <c r="V20" s="96"/>
      <c r="W20" s="124" t="s">
        <v>36</v>
      </c>
      <c r="X20" s="124"/>
      <c r="Y20" s="121">
        <f t="shared" si="8"/>
        <v>0</v>
      </c>
      <c r="Z20" s="97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</row>
    <row r="21" spans="2:38" x14ac:dyDescent="0.25">
      <c r="B21" s="85"/>
      <c r="C21" s="85"/>
      <c r="D21" s="89"/>
      <c r="E21" s="85"/>
      <c r="F21" s="85"/>
      <c r="G21" s="85"/>
      <c r="H21" s="89"/>
      <c r="I21" s="85"/>
      <c r="J21" s="85"/>
      <c r="K21" s="85"/>
      <c r="L21" s="89"/>
      <c r="M21" s="85"/>
      <c r="N21" s="85"/>
      <c r="O21" s="85"/>
      <c r="P21" s="89"/>
      <c r="Q21" s="85"/>
      <c r="R21" s="85"/>
      <c r="S21" s="85"/>
      <c r="T21" s="89"/>
      <c r="U21" s="85"/>
      <c r="V21" s="96"/>
      <c r="W21" s="124"/>
      <c r="X21" s="124"/>
      <c r="Y21" s="121">
        <f t="shared" si="8"/>
        <v>0</v>
      </c>
      <c r="Z21" s="97"/>
      <c r="AA21" s="85"/>
      <c r="AB21" s="139" t="s">
        <v>37</v>
      </c>
      <c r="AC21" s="139"/>
      <c r="AD21" s="139"/>
      <c r="AE21" s="114"/>
      <c r="AF21" s="85"/>
      <c r="AG21" s="85"/>
      <c r="AH21" s="85"/>
      <c r="AI21" s="139" t="s">
        <v>38</v>
      </c>
      <c r="AJ21" s="139"/>
      <c r="AK21" s="139"/>
      <c r="AL21" s="147"/>
    </row>
    <row r="22" spans="2:38" x14ac:dyDescent="0.25">
      <c r="B22" s="85"/>
      <c r="C22" s="85"/>
      <c r="D22" s="89"/>
      <c r="E22" s="85"/>
      <c r="F22" s="85"/>
      <c r="G22" s="85"/>
      <c r="H22" s="89"/>
      <c r="I22" s="85"/>
      <c r="J22" s="85"/>
      <c r="K22" s="85"/>
      <c r="L22" s="89"/>
      <c r="M22" s="85"/>
      <c r="N22" s="85"/>
      <c r="O22" s="85"/>
      <c r="P22" s="89"/>
      <c r="Q22" s="85"/>
      <c r="R22" s="85"/>
      <c r="S22" s="85"/>
      <c r="T22" s="89"/>
      <c r="U22" s="85"/>
      <c r="V22" s="96"/>
      <c r="W22" s="124"/>
      <c r="X22" s="124"/>
      <c r="Y22" s="121">
        <f t="shared" si="8"/>
        <v>0</v>
      </c>
      <c r="Z22" s="97"/>
      <c r="AA22" s="85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G22" s="85"/>
      <c r="AH22" s="85"/>
      <c r="AI22" s="132" t="s">
        <v>41</v>
      </c>
      <c r="AJ22" s="132" t="s">
        <v>45</v>
      </c>
      <c r="AK22" s="132" t="s">
        <v>43</v>
      </c>
      <c r="AL22" s="132" t="s">
        <v>8</v>
      </c>
    </row>
    <row r="23" spans="2:38" x14ac:dyDescent="0.25">
      <c r="B23" s="85" t="s">
        <v>46</v>
      </c>
      <c r="C23" s="85"/>
      <c r="D23" s="89"/>
      <c r="E23" s="85"/>
      <c r="F23" s="85" t="s">
        <v>46</v>
      </c>
      <c r="G23" s="85"/>
      <c r="H23" s="89"/>
      <c r="I23" s="85"/>
      <c r="J23" s="85" t="s">
        <v>46</v>
      </c>
      <c r="K23" s="85"/>
      <c r="L23" s="89"/>
      <c r="M23" s="85"/>
      <c r="N23" s="85" t="s">
        <v>240</v>
      </c>
      <c r="O23" s="85"/>
      <c r="P23" s="89"/>
      <c r="Q23" s="85"/>
      <c r="R23" s="85" t="s">
        <v>633</v>
      </c>
      <c r="S23" s="85" t="s">
        <v>56</v>
      </c>
      <c r="T23" s="89">
        <v>199</v>
      </c>
      <c r="U23" s="85"/>
      <c r="V23" s="96"/>
      <c r="W23" s="124" t="s">
        <v>46</v>
      </c>
      <c r="X23" s="124"/>
      <c r="Y23" s="121">
        <f t="shared" si="8"/>
        <v>199</v>
      </c>
      <c r="Z23" s="97"/>
      <c r="AA23" s="85"/>
      <c r="AB23" s="203" t="s">
        <v>640</v>
      </c>
      <c r="AC23" s="204">
        <v>45877</v>
      </c>
      <c r="AD23" s="166" t="s">
        <v>293</v>
      </c>
      <c r="AE23" s="166"/>
      <c r="AF23" s="200">
        <v>25607</v>
      </c>
      <c r="AG23" s="85"/>
      <c r="AH23" s="85"/>
      <c r="AI23" s="166" t="s">
        <v>144</v>
      </c>
      <c r="AJ23" s="166" t="s">
        <v>553</v>
      </c>
      <c r="AK23" s="166"/>
      <c r="AL23" s="200">
        <v>6277</v>
      </c>
    </row>
    <row r="24" spans="2:38" x14ac:dyDescent="0.25">
      <c r="B24" s="85" t="s">
        <v>54</v>
      </c>
      <c r="C24" s="85"/>
      <c r="D24" s="89"/>
      <c r="E24" s="85"/>
      <c r="F24" s="85" t="s">
        <v>54</v>
      </c>
      <c r="G24" s="85"/>
      <c r="H24" s="89"/>
      <c r="I24" s="85"/>
      <c r="J24" s="85" t="s">
        <v>54</v>
      </c>
      <c r="K24" s="85"/>
      <c r="L24" s="89"/>
      <c r="M24" s="85"/>
      <c r="N24" s="85" t="s">
        <v>240</v>
      </c>
      <c r="O24" s="85"/>
      <c r="P24" s="89"/>
      <c r="Q24" s="85"/>
      <c r="R24" s="85" t="s">
        <v>634</v>
      </c>
      <c r="S24" s="85" t="s">
        <v>635</v>
      </c>
      <c r="T24" s="89">
        <v>102782</v>
      </c>
      <c r="U24" s="85"/>
      <c r="V24" s="96"/>
      <c r="W24" s="124" t="s">
        <v>54</v>
      </c>
      <c r="X24" s="124"/>
      <c r="Y24" s="121">
        <f t="shared" si="8"/>
        <v>102782</v>
      </c>
      <c r="Z24" s="97"/>
      <c r="AA24" s="85"/>
      <c r="AB24" s="166" t="s">
        <v>644</v>
      </c>
      <c r="AC24" s="167">
        <v>45884</v>
      </c>
      <c r="AD24" s="166" t="s">
        <v>572</v>
      </c>
      <c r="AE24" s="166" t="s">
        <v>642</v>
      </c>
      <c r="AF24" s="168">
        <v>28000</v>
      </c>
      <c r="AG24" s="85"/>
      <c r="AH24" s="85"/>
      <c r="AI24" s="166" t="s">
        <v>70</v>
      </c>
      <c r="AJ24" s="166" t="s">
        <v>553</v>
      </c>
      <c r="AK24" s="166"/>
      <c r="AL24" s="168">
        <v>3500</v>
      </c>
    </row>
    <row r="25" spans="2:38" x14ac:dyDescent="0.25">
      <c r="B25" s="85" t="s">
        <v>61</v>
      </c>
      <c r="C25" s="85"/>
      <c r="D25" s="89"/>
      <c r="E25" s="85"/>
      <c r="F25" s="85" t="s">
        <v>61</v>
      </c>
      <c r="G25" s="85"/>
      <c r="H25" s="89"/>
      <c r="I25" s="85"/>
      <c r="J25" s="85" t="s">
        <v>61</v>
      </c>
      <c r="K25" s="85"/>
      <c r="L25" s="89"/>
      <c r="M25" s="85"/>
      <c r="N25" s="85" t="s">
        <v>240</v>
      </c>
      <c r="O25" s="85"/>
      <c r="P25" s="89"/>
      <c r="Q25" s="85"/>
      <c r="R25" s="85" t="s">
        <v>636</v>
      </c>
      <c r="S25" s="85" t="s">
        <v>637</v>
      </c>
      <c r="T25" s="89">
        <v>67132</v>
      </c>
      <c r="U25" s="85"/>
      <c r="V25" s="96"/>
      <c r="W25" s="124" t="s">
        <v>61</v>
      </c>
      <c r="X25" s="124"/>
      <c r="Y25" s="121">
        <f t="shared" si="8"/>
        <v>67132</v>
      </c>
      <c r="Z25" s="97"/>
      <c r="AA25" s="85"/>
      <c r="AB25" s="166" t="s">
        <v>644</v>
      </c>
      <c r="AC25" s="167">
        <v>45884</v>
      </c>
      <c r="AD25" s="166" t="s">
        <v>572</v>
      </c>
      <c r="AE25" s="166" t="s">
        <v>643</v>
      </c>
      <c r="AF25" s="168">
        <v>28000</v>
      </c>
      <c r="AG25" s="85"/>
      <c r="AH25" s="85"/>
      <c r="AI25" s="166" t="s">
        <v>645</v>
      </c>
      <c r="AJ25" s="204">
        <v>45888</v>
      </c>
      <c r="AK25" s="166" t="s">
        <v>67</v>
      </c>
      <c r="AL25" s="168">
        <v>3589</v>
      </c>
    </row>
    <row r="26" spans="2:38" x14ac:dyDescent="0.25">
      <c r="B26" s="85"/>
      <c r="C26" s="85"/>
      <c r="D26" s="89"/>
      <c r="E26" s="85"/>
      <c r="F26" s="85"/>
      <c r="G26" s="85"/>
      <c r="H26" s="89"/>
      <c r="I26" s="85"/>
      <c r="J26" s="85"/>
      <c r="K26" s="85"/>
      <c r="L26" s="89"/>
      <c r="M26" s="85"/>
      <c r="N26" s="85"/>
      <c r="O26" s="85"/>
      <c r="P26" s="89"/>
      <c r="Q26" s="85"/>
      <c r="R26" s="85"/>
      <c r="S26" s="85"/>
      <c r="T26" s="85"/>
      <c r="U26" s="85"/>
      <c r="V26" s="96"/>
      <c r="W26" s="124"/>
      <c r="X26" s="124"/>
      <c r="Y26" s="121">
        <f t="shared" si="8"/>
        <v>0</v>
      </c>
      <c r="Z26" s="97"/>
      <c r="AA26" s="85"/>
      <c r="AB26" s="166"/>
      <c r="AC26" s="204"/>
      <c r="AD26" s="166"/>
      <c r="AE26" s="166"/>
      <c r="AF26" s="168"/>
      <c r="AG26" s="85"/>
      <c r="AH26" s="85"/>
      <c r="AI26" s="166" t="s">
        <v>72</v>
      </c>
      <c r="AJ26" s="166" t="s">
        <v>647</v>
      </c>
      <c r="AK26" s="166" t="s">
        <v>263</v>
      </c>
      <c r="AL26" s="168">
        <v>49000</v>
      </c>
    </row>
    <row r="27" spans="2:38" ht="15.75" thickBot="1" x14ac:dyDescent="0.3">
      <c r="B27" s="85"/>
      <c r="C27" s="85"/>
      <c r="D27" s="89"/>
      <c r="E27" s="85"/>
      <c r="F27" s="85"/>
      <c r="G27" s="85"/>
      <c r="H27" s="89"/>
      <c r="I27" s="85"/>
      <c r="J27" s="85"/>
      <c r="K27" s="85"/>
      <c r="L27" s="89"/>
      <c r="M27" s="85"/>
      <c r="N27" s="85"/>
      <c r="O27" s="85"/>
      <c r="P27" s="89"/>
      <c r="Q27" s="85"/>
      <c r="R27" s="85"/>
      <c r="S27" s="85"/>
      <c r="T27" s="89"/>
      <c r="U27" s="85"/>
      <c r="V27" s="96"/>
      <c r="W27" s="124"/>
      <c r="X27" s="124"/>
      <c r="Y27" s="121">
        <f t="shared" si="8"/>
        <v>0</v>
      </c>
      <c r="Z27" s="97"/>
      <c r="AA27" s="85"/>
      <c r="AB27" s="85"/>
      <c r="AC27" s="85"/>
      <c r="AD27" s="85"/>
      <c r="AE27" s="85"/>
      <c r="AF27" s="85"/>
      <c r="AG27" s="85"/>
      <c r="AH27" s="85"/>
      <c r="AI27" s="166" t="s">
        <v>72</v>
      </c>
      <c r="AJ27" s="166" t="s">
        <v>648</v>
      </c>
      <c r="AK27" s="166" t="s">
        <v>401</v>
      </c>
      <c r="AL27" s="168">
        <v>120337</v>
      </c>
    </row>
    <row r="28" spans="2:38" ht="15.75" thickBot="1" x14ac:dyDescent="0.3">
      <c r="B28" s="235" t="s">
        <v>12</v>
      </c>
      <c r="C28" s="236"/>
      <c r="D28" s="93">
        <f>+SUM(D16:D27)</f>
        <v>56009</v>
      </c>
      <c r="E28" s="85"/>
      <c r="F28" s="235" t="s">
        <v>12</v>
      </c>
      <c r="G28" s="236"/>
      <c r="H28" s="93">
        <f>+SUM(H16:H27)</f>
        <v>113280</v>
      </c>
      <c r="I28" s="85"/>
      <c r="J28" s="235" t="s">
        <v>12</v>
      </c>
      <c r="K28" s="236"/>
      <c r="L28" s="93">
        <f>+SUM(L16:L27)</f>
        <v>64910</v>
      </c>
      <c r="M28" s="85"/>
      <c r="N28" s="235" t="s">
        <v>12</v>
      </c>
      <c r="O28" s="236"/>
      <c r="P28" s="93">
        <f>+SUM(P16:P27)</f>
        <v>88113</v>
      </c>
      <c r="Q28" s="85"/>
      <c r="R28" s="235" t="s">
        <v>12</v>
      </c>
      <c r="S28" s="236"/>
      <c r="T28" s="93">
        <f>+SUM(T16:T27)</f>
        <v>257742</v>
      </c>
      <c r="U28" s="85"/>
      <c r="V28" s="96"/>
      <c r="W28" s="235" t="s">
        <v>12</v>
      </c>
      <c r="X28" s="236"/>
      <c r="Y28" s="93">
        <f>+SUM(Y16:Y27)</f>
        <v>580054</v>
      </c>
      <c r="Z28" s="97"/>
      <c r="AA28" s="85"/>
      <c r="AB28" s="85"/>
      <c r="AC28" s="85"/>
      <c r="AD28" s="85"/>
      <c r="AE28" s="85"/>
      <c r="AF28" s="85"/>
      <c r="AG28" s="85"/>
      <c r="AH28" s="85"/>
      <c r="AI28" s="166" t="s">
        <v>72</v>
      </c>
      <c r="AJ28" s="166" t="s">
        <v>649</v>
      </c>
      <c r="AK28" s="166" t="s">
        <v>654</v>
      </c>
      <c r="AL28" s="168">
        <v>72018</v>
      </c>
    </row>
    <row r="29" spans="2:38" x14ac:dyDescent="0.25">
      <c r="B29" s="85"/>
      <c r="C29" s="85"/>
      <c r="D29" s="89"/>
      <c r="E29" s="85"/>
      <c r="F29" s="85"/>
      <c r="G29" s="85"/>
      <c r="H29" s="89"/>
      <c r="I29" s="85"/>
      <c r="J29" s="85"/>
      <c r="K29" s="85"/>
      <c r="L29" s="89"/>
      <c r="M29" s="85"/>
      <c r="N29" s="85"/>
      <c r="O29" s="85"/>
      <c r="P29" s="89"/>
      <c r="Q29" s="85"/>
      <c r="R29" s="85"/>
      <c r="S29" s="85"/>
      <c r="T29" s="89"/>
      <c r="U29" s="85"/>
      <c r="V29" s="96"/>
      <c r="W29" s="100"/>
      <c r="X29" s="100"/>
      <c r="Y29" s="99"/>
      <c r="Z29" s="97"/>
      <c r="AA29" s="85"/>
      <c r="AB29" s="85"/>
      <c r="AC29" s="85"/>
      <c r="AD29" s="85"/>
      <c r="AE29" s="85"/>
      <c r="AF29" s="85"/>
      <c r="AG29" s="85"/>
      <c r="AH29" s="85"/>
      <c r="AI29" s="166" t="s">
        <v>72</v>
      </c>
      <c r="AJ29" s="166" t="s">
        <v>299</v>
      </c>
      <c r="AK29" s="166" t="s">
        <v>655</v>
      </c>
      <c r="AL29" s="168">
        <v>37548</v>
      </c>
    </row>
    <row r="30" spans="2:38" ht="15.75" thickBot="1" x14ac:dyDescent="0.3">
      <c r="B30" s="237" t="s">
        <v>75</v>
      </c>
      <c r="C30" s="237"/>
      <c r="D30" s="91">
        <f>+D28-D15</f>
        <v>98</v>
      </c>
      <c r="E30" s="85"/>
      <c r="F30" s="237" t="s">
        <v>75</v>
      </c>
      <c r="G30" s="237"/>
      <c r="H30" s="91">
        <f>+H28-H15</f>
        <v>-11313</v>
      </c>
      <c r="I30" s="85"/>
      <c r="J30" s="237" t="s">
        <v>75</v>
      </c>
      <c r="K30" s="237"/>
      <c r="L30" s="91">
        <f>+L28-L15</f>
        <v>1016</v>
      </c>
      <c r="M30" s="85"/>
      <c r="N30" s="237" t="s">
        <v>75</v>
      </c>
      <c r="O30" s="237"/>
      <c r="P30" s="91">
        <f>+P28-P15</f>
        <v>-842</v>
      </c>
      <c r="Q30" s="85"/>
      <c r="R30" s="237" t="s">
        <v>75</v>
      </c>
      <c r="S30" s="237"/>
      <c r="T30" s="91">
        <f>+T28-T15</f>
        <v>-1969</v>
      </c>
      <c r="U30" s="85"/>
      <c r="V30" s="96"/>
      <c r="W30" s="238" t="s">
        <v>75</v>
      </c>
      <c r="X30" s="238"/>
      <c r="Y30" s="126">
        <f>+Y28-Y15</f>
        <v>-13010</v>
      </c>
      <c r="Z30" s="97"/>
      <c r="AA30" s="85"/>
      <c r="AB30" s="85"/>
      <c r="AC30" s="85"/>
      <c r="AD30" s="85"/>
      <c r="AE30" s="85"/>
      <c r="AF30" s="85"/>
      <c r="AG30" s="85"/>
      <c r="AH30" s="85"/>
      <c r="AI30" s="166" t="s">
        <v>72</v>
      </c>
      <c r="AJ30" s="166" t="s">
        <v>650</v>
      </c>
      <c r="AK30" s="166" t="s">
        <v>143</v>
      </c>
      <c r="AL30" s="168">
        <v>20492</v>
      </c>
    </row>
    <row r="31" spans="2:38" ht="16.5" thickTop="1" thickBo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01"/>
      <c r="W31" s="102"/>
      <c r="X31" s="102"/>
      <c r="Y31" s="102"/>
      <c r="Z31" s="103"/>
      <c r="AA31" s="85"/>
      <c r="AB31" s="145" t="s">
        <v>74</v>
      </c>
      <c r="AC31" s="145"/>
      <c r="AD31" s="145"/>
      <c r="AE31" s="145"/>
      <c r="AF31" s="140">
        <f>+SUM(AF23:AF30)</f>
        <v>81607</v>
      </c>
      <c r="AG31" s="85"/>
      <c r="AH31" s="85"/>
      <c r="AI31" s="166" t="s">
        <v>72</v>
      </c>
      <c r="AJ31" s="166" t="s">
        <v>651</v>
      </c>
      <c r="AK31" s="166" t="s">
        <v>190</v>
      </c>
      <c r="AL31" s="168">
        <v>21098</v>
      </c>
    </row>
    <row r="32" spans="2:38" x14ac:dyDescent="0.2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166" t="s">
        <v>72</v>
      </c>
      <c r="AJ32" s="166" t="s">
        <v>652</v>
      </c>
      <c r="AK32" s="166" t="s">
        <v>63</v>
      </c>
      <c r="AL32" s="168">
        <v>22500</v>
      </c>
    </row>
    <row r="33" spans="2:38" ht="15.75" thickBo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166" t="s">
        <v>59</v>
      </c>
      <c r="AJ33" s="166" t="s">
        <v>349</v>
      </c>
      <c r="AK33" s="166" t="s">
        <v>402</v>
      </c>
      <c r="AL33" s="168">
        <v>6202</v>
      </c>
    </row>
    <row r="34" spans="2:38" x14ac:dyDescent="0.25">
      <c r="B34" s="94" t="s">
        <v>76</v>
      </c>
      <c r="C34" s="95"/>
      <c r="D34" s="105"/>
      <c r="E34" s="85"/>
      <c r="F34" s="94" t="s">
        <v>76</v>
      </c>
      <c r="G34" s="95"/>
      <c r="H34" s="105">
        <v>11313</v>
      </c>
      <c r="I34" s="85"/>
      <c r="J34" s="94" t="s">
        <v>76</v>
      </c>
      <c r="K34" s="95"/>
      <c r="L34" s="105"/>
      <c r="M34" s="85"/>
      <c r="N34" s="94" t="s">
        <v>76</v>
      </c>
      <c r="O34" s="95"/>
      <c r="P34" s="105">
        <v>842</v>
      </c>
      <c r="Q34" s="85"/>
      <c r="R34" s="94" t="s">
        <v>76</v>
      </c>
      <c r="S34" s="95"/>
      <c r="T34" s="105"/>
      <c r="U34" s="85"/>
      <c r="V34" s="85"/>
      <c r="W34" s="127" t="s">
        <v>76</v>
      </c>
      <c r="X34" s="128"/>
      <c r="Y34" s="129">
        <f>+D34+H34+L34+P34+T34</f>
        <v>12155</v>
      </c>
      <c r="Z34" s="85"/>
      <c r="AA34" s="85"/>
      <c r="AB34" s="85"/>
      <c r="AC34" s="85"/>
      <c r="AD34" s="85"/>
      <c r="AE34" s="85"/>
      <c r="AF34" s="85"/>
      <c r="AG34" s="85"/>
      <c r="AH34" s="85"/>
      <c r="AI34" s="166" t="s">
        <v>139</v>
      </c>
      <c r="AJ34" s="166" t="s">
        <v>356</v>
      </c>
      <c r="AK34" s="166" t="s">
        <v>656</v>
      </c>
      <c r="AL34" s="168">
        <v>3340</v>
      </c>
    </row>
    <row r="35" spans="2:38" x14ac:dyDescent="0.25">
      <c r="B35" s="96" t="s">
        <v>77</v>
      </c>
      <c r="C35" s="100"/>
      <c r="D35" s="106"/>
      <c r="E35" s="85"/>
      <c r="F35" s="96" t="s">
        <v>77</v>
      </c>
      <c r="G35" s="100"/>
      <c r="H35" s="106"/>
      <c r="I35" s="85"/>
      <c r="J35" s="96" t="s">
        <v>77</v>
      </c>
      <c r="K35" s="100"/>
      <c r="L35" s="106"/>
      <c r="M35" s="85"/>
      <c r="N35" s="96" t="s">
        <v>77</v>
      </c>
      <c r="O35" s="100"/>
      <c r="P35" s="106"/>
      <c r="Q35" s="85"/>
      <c r="R35" s="96" t="s">
        <v>304</v>
      </c>
      <c r="S35" s="100"/>
      <c r="T35" s="106">
        <v>1969</v>
      </c>
      <c r="U35" s="85"/>
      <c r="V35" s="85"/>
      <c r="W35" s="130" t="s">
        <v>77</v>
      </c>
      <c r="X35" s="124"/>
      <c r="Y35" s="131">
        <f t="shared" ref="Y35:Y36" si="9">+D35+H35+L35+P35+T35</f>
        <v>1969</v>
      </c>
      <c r="Z35" s="85"/>
      <c r="AA35" s="85"/>
      <c r="AB35" s="85"/>
      <c r="AC35" s="85"/>
      <c r="AD35" s="85"/>
      <c r="AE35" s="85"/>
      <c r="AF35" s="85"/>
      <c r="AG35" s="85"/>
      <c r="AH35" s="85"/>
      <c r="AI35" s="166" t="s">
        <v>59</v>
      </c>
      <c r="AJ35" s="166" t="s">
        <v>496</v>
      </c>
      <c r="AK35" s="166" t="s">
        <v>408</v>
      </c>
      <c r="AL35" s="200">
        <v>12618</v>
      </c>
    </row>
    <row r="36" spans="2:38" x14ac:dyDescent="0.25">
      <c r="B36" s="96" t="s">
        <v>79</v>
      </c>
      <c r="C36" s="100"/>
      <c r="D36" s="106">
        <v>-98</v>
      </c>
      <c r="E36" s="85"/>
      <c r="F36" s="96" t="s">
        <v>79</v>
      </c>
      <c r="G36" s="100"/>
      <c r="H36" s="106"/>
      <c r="I36" s="85"/>
      <c r="J36" s="96" t="s">
        <v>79</v>
      </c>
      <c r="K36" s="100"/>
      <c r="L36" s="106">
        <v>-1016</v>
      </c>
      <c r="M36" s="85"/>
      <c r="N36" s="96" t="s">
        <v>79</v>
      </c>
      <c r="O36" s="100"/>
      <c r="P36" s="106"/>
      <c r="Q36" s="85"/>
      <c r="R36" s="96" t="s">
        <v>79</v>
      </c>
      <c r="S36" s="100"/>
      <c r="T36" s="106">
        <v>-73</v>
      </c>
      <c r="U36" s="85"/>
      <c r="V36" s="85"/>
      <c r="W36" s="130" t="s">
        <v>78</v>
      </c>
      <c r="X36" s="124"/>
      <c r="Y36" s="131">
        <f t="shared" si="9"/>
        <v>-1187</v>
      </c>
      <c r="Z36" s="85"/>
      <c r="AA36" s="85"/>
      <c r="AB36" s="85"/>
      <c r="AC36" s="85"/>
      <c r="AD36" s="85"/>
      <c r="AE36" s="85"/>
      <c r="AF36" s="85"/>
      <c r="AG36" s="85"/>
      <c r="AH36" s="85"/>
      <c r="AI36" s="166" t="s">
        <v>70</v>
      </c>
      <c r="AJ36" s="166" t="s">
        <v>513</v>
      </c>
      <c r="AK36" s="166" t="s">
        <v>589</v>
      </c>
      <c r="AL36" s="168">
        <v>6600</v>
      </c>
    </row>
    <row r="37" spans="2:38" x14ac:dyDescent="0.25">
      <c r="B37" s="96" t="s">
        <v>18</v>
      </c>
      <c r="C37" s="100"/>
      <c r="D37" s="106">
        <f>+SUM(D34:D36)</f>
        <v>-98</v>
      </c>
      <c r="E37" s="85"/>
      <c r="F37" s="96" t="s">
        <v>18</v>
      </c>
      <c r="G37" s="100"/>
      <c r="H37" s="106">
        <f>+SUM(H34:H36)</f>
        <v>11313</v>
      </c>
      <c r="I37" s="85"/>
      <c r="J37" s="96" t="s">
        <v>18</v>
      </c>
      <c r="K37" s="100"/>
      <c r="L37" s="106">
        <f>+SUM(L34:L36)</f>
        <v>-1016</v>
      </c>
      <c r="M37" s="85"/>
      <c r="N37" s="96" t="s">
        <v>18</v>
      </c>
      <c r="O37" s="100"/>
      <c r="P37" s="106">
        <f>+SUM(P34:P36)</f>
        <v>842</v>
      </c>
      <c r="Q37" s="85"/>
      <c r="R37" s="96" t="s">
        <v>18</v>
      </c>
      <c r="S37" s="100"/>
      <c r="T37" s="106">
        <f>+SUM(T34:T36)</f>
        <v>1896</v>
      </c>
      <c r="U37" s="85"/>
      <c r="V37" s="85"/>
      <c r="W37" s="117" t="s">
        <v>18</v>
      </c>
      <c r="X37" s="118"/>
      <c r="Y37" s="119">
        <f>+SUM(Y34:Y36)</f>
        <v>12937</v>
      </c>
      <c r="Z37" s="85"/>
      <c r="AA37" s="85"/>
      <c r="AB37" s="85"/>
      <c r="AC37" s="85"/>
      <c r="AD37" s="85"/>
      <c r="AE37" s="85"/>
      <c r="AF37" s="85"/>
      <c r="AG37" s="85"/>
      <c r="AH37" s="85"/>
      <c r="AI37" s="166" t="s">
        <v>59</v>
      </c>
      <c r="AJ37" s="166" t="s">
        <v>653</v>
      </c>
      <c r="AK37" s="166" t="s">
        <v>657</v>
      </c>
      <c r="AL37" s="168">
        <v>8516</v>
      </c>
    </row>
    <row r="38" spans="2:38" ht="15.75" thickBot="1" x14ac:dyDescent="0.3">
      <c r="B38" s="107" t="s">
        <v>81</v>
      </c>
      <c r="C38" s="108"/>
      <c r="D38" s="109">
        <f>+D30+D37</f>
        <v>0</v>
      </c>
      <c r="E38" s="85"/>
      <c r="F38" s="107" t="s">
        <v>81</v>
      </c>
      <c r="G38" s="108"/>
      <c r="H38" s="109">
        <f>+H30+H37</f>
        <v>0</v>
      </c>
      <c r="I38" s="85"/>
      <c r="J38" s="107" t="s">
        <v>81</v>
      </c>
      <c r="K38" s="108"/>
      <c r="L38" s="109">
        <f>+L30+L37</f>
        <v>0</v>
      </c>
      <c r="M38" s="85"/>
      <c r="N38" s="107" t="s">
        <v>81</v>
      </c>
      <c r="O38" s="108"/>
      <c r="P38" s="109">
        <f>+P30+P37</f>
        <v>0</v>
      </c>
      <c r="Q38" s="85"/>
      <c r="R38" s="107" t="s">
        <v>81</v>
      </c>
      <c r="S38" s="108"/>
      <c r="T38" s="109">
        <f>+T30+T37</f>
        <v>-73</v>
      </c>
      <c r="U38" s="85"/>
      <c r="V38" s="85"/>
      <c r="W38" s="107" t="s">
        <v>81</v>
      </c>
      <c r="X38" s="108"/>
      <c r="Y38" s="109">
        <f>+Y30+Y37</f>
        <v>-73</v>
      </c>
      <c r="Z38" s="85"/>
      <c r="AA38" s="85"/>
      <c r="AB38" s="85"/>
      <c r="AC38" s="85"/>
      <c r="AD38" s="85"/>
      <c r="AE38" s="85"/>
      <c r="AF38" s="85"/>
      <c r="AG38" s="85"/>
      <c r="AH38" s="85"/>
      <c r="AI38" s="150" t="s">
        <v>74</v>
      </c>
      <c r="AJ38" s="150"/>
      <c r="AK38" s="150"/>
      <c r="AL38" s="175">
        <f>+SUM(AL23:AL37)</f>
        <v>393635</v>
      </c>
    </row>
    <row r="39" spans="2:38" x14ac:dyDescent="0.25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</row>
    <row r="40" spans="2:38" x14ac:dyDescent="0.25"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40"/>
  <sheetViews>
    <sheetView topLeftCell="A3" zoomScale="80" zoomScaleNormal="80" workbookViewId="0">
      <selection activeCell="AG35" sqref="AG35"/>
    </sheetView>
  </sheetViews>
  <sheetFormatPr defaultRowHeight="15" x14ac:dyDescent="0.25"/>
  <cols>
    <col min="5" max="5" width="1.85546875" customWidth="1"/>
    <col min="6" max="6" width="13.5703125" bestFit="1" customWidth="1"/>
    <col min="7" max="7" width="14.5703125" bestFit="1" customWidth="1"/>
    <col min="8" max="8" width="9.5703125" bestFit="1" customWidth="1"/>
    <col min="9" max="9" width="1.85546875" customWidth="1"/>
    <col min="13" max="13" width="1.85546875" customWidth="1"/>
    <col min="17" max="17" width="1.5703125" customWidth="1"/>
    <col min="19" max="19" width="15.140625" bestFit="1" customWidth="1"/>
    <col min="20" max="20" width="9.5703125" bestFit="1" customWidth="1"/>
    <col min="21" max="22" width="1.5703125" customWidth="1"/>
    <col min="25" max="25" width="9.5703125" bestFit="1" customWidth="1"/>
    <col min="26" max="26" width="1.28515625" customWidth="1"/>
    <col min="27" max="27" width="2" customWidth="1"/>
    <col min="28" max="28" width="11" customWidth="1"/>
    <col min="29" max="29" width="16.42578125" bestFit="1" customWidth="1"/>
    <col min="30" max="30" width="17.140625" bestFit="1" customWidth="1"/>
    <col min="31" max="31" width="14.28515625" bestFit="1" customWidth="1"/>
    <col min="35" max="35" width="20.28515625" bestFit="1" customWidth="1"/>
    <col min="36" max="36" width="12.140625" customWidth="1"/>
    <col min="37" max="37" width="11.42578125" bestFit="1" customWidth="1"/>
  </cols>
  <sheetData>
    <row r="2" spans="2:38" ht="15.75" thickBot="1" x14ac:dyDescent="0.3"/>
    <row r="3" spans="2:38" x14ac:dyDescent="0.25">
      <c r="B3" s="240" t="s">
        <v>0</v>
      </c>
      <c r="C3" s="240"/>
      <c r="D3" s="240"/>
      <c r="E3" s="85"/>
      <c r="F3" s="240" t="s">
        <v>1</v>
      </c>
      <c r="G3" s="240"/>
      <c r="H3" s="240"/>
      <c r="I3" s="85"/>
      <c r="J3" s="240" t="s">
        <v>2</v>
      </c>
      <c r="K3" s="240"/>
      <c r="L3" s="240"/>
      <c r="M3" s="85"/>
      <c r="N3" s="240" t="s">
        <v>3</v>
      </c>
      <c r="O3" s="240"/>
      <c r="P3" s="240"/>
      <c r="Q3" s="85"/>
      <c r="R3" s="240" t="s">
        <v>4</v>
      </c>
      <c r="S3" s="240"/>
      <c r="T3" s="240"/>
      <c r="U3" s="85"/>
      <c r="V3" s="94"/>
      <c r="W3" s="244" t="s">
        <v>5</v>
      </c>
      <c r="X3" s="244"/>
      <c r="Y3" s="244"/>
      <c r="Z3" s="196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</row>
    <row r="4" spans="2:38" x14ac:dyDescent="0.25">
      <c r="B4" s="88" t="s">
        <v>6</v>
      </c>
      <c r="C4" s="88" t="s">
        <v>7</v>
      </c>
      <c r="D4" s="88" t="s">
        <v>8</v>
      </c>
      <c r="E4" s="85"/>
      <c r="F4" s="88" t="s">
        <v>6</v>
      </c>
      <c r="G4" s="88" t="s">
        <v>7</v>
      </c>
      <c r="H4" s="88" t="s">
        <v>8</v>
      </c>
      <c r="I4" s="85"/>
      <c r="J4" s="88" t="s">
        <v>6</v>
      </c>
      <c r="K4" s="88" t="s">
        <v>7</v>
      </c>
      <c r="L4" s="88" t="s">
        <v>8</v>
      </c>
      <c r="M4" s="85"/>
      <c r="N4" s="88" t="s">
        <v>6</v>
      </c>
      <c r="O4" s="88" t="s">
        <v>7</v>
      </c>
      <c r="P4" s="88" t="s">
        <v>8</v>
      </c>
      <c r="Q4" s="85"/>
      <c r="R4" s="88" t="s">
        <v>6</v>
      </c>
      <c r="S4" s="88" t="s">
        <v>7</v>
      </c>
      <c r="T4" s="88" t="s">
        <v>8</v>
      </c>
      <c r="U4" s="85"/>
      <c r="V4" s="96"/>
      <c r="W4" s="98" t="s">
        <v>6</v>
      </c>
      <c r="X4" s="98" t="s">
        <v>7</v>
      </c>
      <c r="Y4" s="98" t="s">
        <v>8</v>
      </c>
      <c r="Z4" s="97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</row>
    <row r="5" spans="2:38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>
        <v>19</v>
      </c>
      <c r="H5" s="120">
        <f>+G5*F5</f>
        <v>19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/>
      <c r="T5" s="120">
        <f>+S5*R5</f>
        <v>0</v>
      </c>
      <c r="U5" s="110"/>
      <c r="V5" s="111"/>
      <c r="W5" s="122">
        <v>1</v>
      </c>
      <c r="X5" s="123">
        <f>+C5+G5+K5+O5+S5</f>
        <v>19</v>
      </c>
      <c r="Y5" s="121">
        <f>+D5+H5+L5+P5+T5</f>
        <v>19</v>
      </c>
      <c r="Z5" s="112"/>
      <c r="AA5" s="110"/>
      <c r="AB5" s="241" t="s">
        <v>9</v>
      </c>
      <c r="AC5" s="241"/>
      <c r="AD5" s="241"/>
      <c r="AE5" s="241"/>
      <c r="AF5" s="241"/>
      <c r="AG5" s="85"/>
      <c r="AH5" s="85"/>
      <c r="AI5" s="88" t="s">
        <v>6</v>
      </c>
      <c r="AJ5" s="88" t="s">
        <v>7</v>
      </c>
      <c r="AK5" s="88" t="s">
        <v>8</v>
      </c>
      <c r="AL5" s="85"/>
    </row>
    <row r="6" spans="2:38" ht="15.75" thickTop="1" x14ac:dyDescent="0.25">
      <c r="B6" s="86">
        <v>10</v>
      </c>
      <c r="C6" s="86">
        <v>111</v>
      </c>
      <c r="D6" s="120">
        <f>+C6*B6</f>
        <v>1110</v>
      </c>
      <c r="E6" s="85"/>
      <c r="F6" s="86">
        <v>10</v>
      </c>
      <c r="G6" s="86">
        <v>43</v>
      </c>
      <c r="H6" s="120">
        <f>+G6*F6</f>
        <v>430</v>
      </c>
      <c r="I6" s="85"/>
      <c r="J6" s="86">
        <v>10</v>
      </c>
      <c r="K6" s="86">
        <v>18</v>
      </c>
      <c r="L6" s="120">
        <f>+K6*J6</f>
        <v>180</v>
      </c>
      <c r="M6" s="85"/>
      <c r="N6" s="86">
        <v>10</v>
      </c>
      <c r="O6" s="86">
        <v>138</v>
      </c>
      <c r="P6" s="120">
        <f>+O6*N6</f>
        <v>1380</v>
      </c>
      <c r="Q6" s="85"/>
      <c r="R6" s="86">
        <v>10</v>
      </c>
      <c r="S6" s="86">
        <v>130</v>
      </c>
      <c r="T6" s="120">
        <f>+S6*R6</f>
        <v>1300</v>
      </c>
      <c r="U6" s="85"/>
      <c r="V6" s="96"/>
      <c r="W6" s="123">
        <v>10</v>
      </c>
      <c r="X6" s="123">
        <f>+C6+G6+K6+O6+S6</f>
        <v>440</v>
      </c>
      <c r="Y6" s="121">
        <f>+D6+H6+L6+P6+T6</f>
        <v>4400</v>
      </c>
      <c r="Z6" s="97"/>
      <c r="AA6" s="85"/>
      <c r="AB6" s="85"/>
      <c r="AC6" s="85"/>
      <c r="AD6" s="85"/>
      <c r="AE6" s="85"/>
      <c r="AF6" s="85"/>
      <c r="AG6" s="85"/>
      <c r="AH6" s="85"/>
      <c r="AI6" s="113">
        <v>1</v>
      </c>
      <c r="AJ6" s="113">
        <v>15</v>
      </c>
      <c r="AK6" s="120">
        <f t="shared" ref="AK6:AK13" si="0">+AJ6*AI6</f>
        <v>15</v>
      </c>
      <c r="AL6" s="110"/>
    </row>
    <row r="7" spans="2:38" x14ac:dyDescent="0.25">
      <c r="B7" s="86">
        <v>20</v>
      </c>
      <c r="C7" s="86">
        <v>19</v>
      </c>
      <c r="D7" s="120">
        <f t="shared" ref="D7:D12" si="1">+C7*B7</f>
        <v>380</v>
      </c>
      <c r="E7" s="85"/>
      <c r="F7" s="86">
        <v>20</v>
      </c>
      <c r="G7" s="86">
        <v>6</v>
      </c>
      <c r="H7" s="120">
        <f t="shared" ref="H7:H12" si="2">+G7*F7</f>
        <v>120</v>
      </c>
      <c r="I7" s="85"/>
      <c r="J7" s="86">
        <v>20</v>
      </c>
      <c r="K7" s="86">
        <v>8</v>
      </c>
      <c r="L7" s="120">
        <f t="shared" ref="L7:L12" si="3">+K7*J7</f>
        <v>160</v>
      </c>
      <c r="M7" s="85"/>
      <c r="N7" s="86">
        <v>20</v>
      </c>
      <c r="O7" s="86">
        <v>8</v>
      </c>
      <c r="P7" s="120">
        <f t="shared" ref="P7:P12" si="4">+O7*N7</f>
        <v>160</v>
      </c>
      <c r="Q7" s="85"/>
      <c r="R7" s="86">
        <v>20</v>
      </c>
      <c r="S7" s="86">
        <v>29</v>
      </c>
      <c r="T7" s="120">
        <f t="shared" ref="T7:T12" si="5">+S7*R7</f>
        <v>580</v>
      </c>
      <c r="U7" s="85"/>
      <c r="V7" s="96"/>
      <c r="W7" s="123">
        <v>20</v>
      </c>
      <c r="X7" s="123">
        <f>+C7+G7+K7+O7+S7</f>
        <v>70</v>
      </c>
      <c r="Y7" s="121">
        <f t="shared" ref="Y7:Y12" si="6">+D7+H7+L7+P7+T7</f>
        <v>1400</v>
      </c>
      <c r="Z7" s="97"/>
      <c r="AA7" s="85"/>
      <c r="AB7" s="141" t="s">
        <v>10</v>
      </c>
      <c r="AC7" s="142">
        <f>Y13</f>
        <v>302619</v>
      </c>
      <c r="AD7" s="110"/>
      <c r="AE7" s="110"/>
      <c r="AF7" s="110"/>
      <c r="AG7" s="110"/>
      <c r="AH7" s="85"/>
      <c r="AI7" s="86">
        <v>10</v>
      </c>
      <c r="AJ7" s="86">
        <v>745</v>
      </c>
      <c r="AK7" s="120">
        <f t="shared" si="0"/>
        <v>7450</v>
      </c>
      <c r="AL7" s="85"/>
    </row>
    <row r="8" spans="2:38" x14ac:dyDescent="0.25">
      <c r="B8" s="86">
        <v>50</v>
      </c>
      <c r="C8" s="86">
        <v>5</v>
      </c>
      <c r="D8" s="120">
        <f t="shared" si="1"/>
        <v>250</v>
      </c>
      <c r="E8" s="85"/>
      <c r="F8" s="86">
        <v>50</v>
      </c>
      <c r="G8" s="86">
        <v>42</v>
      </c>
      <c r="H8" s="120">
        <f t="shared" si="2"/>
        <v>2100</v>
      </c>
      <c r="I8" s="85"/>
      <c r="J8" s="86">
        <v>50</v>
      </c>
      <c r="K8" s="86">
        <v>36</v>
      </c>
      <c r="L8" s="120">
        <f t="shared" si="3"/>
        <v>1800</v>
      </c>
      <c r="M8" s="85"/>
      <c r="N8" s="86">
        <v>50</v>
      </c>
      <c r="O8" s="86">
        <v>48</v>
      </c>
      <c r="P8" s="120">
        <f t="shared" si="4"/>
        <v>2400</v>
      </c>
      <c r="Q8" s="85"/>
      <c r="R8" s="86">
        <v>50</v>
      </c>
      <c r="S8" s="86">
        <v>81</v>
      </c>
      <c r="T8" s="120">
        <f t="shared" si="5"/>
        <v>4050</v>
      </c>
      <c r="U8" s="85"/>
      <c r="V8" s="96"/>
      <c r="W8" s="123">
        <v>50</v>
      </c>
      <c r="X8" s="123">
        <f t="shared" ref="X8:X12" si="7">+C8+G8+K8+O8+S8</f>
        <v>212</v>
      </c>
      <c r="Y8" s="121">
        <f t="shared" si="6"/>
        <v>10600</v>
      </c>
      <c r="Z8" s="97"/>
      <c r="AA8" s="85"/>
      <c r="AB8" s="138" t="s">
        <v>11</v>
      </c>
      <c r="AC8" s="138">
        <f>+AF31</f>
        <v>80506</v>
      </c>
      <c r="AD8" s="85"/>
      <c r="AE8" s="85"/>
      <c r="AF8" s="85"/>
      <c r="AG8" s="85"/>
      <c r="AH8" s="85"/>
      <c r="AI8" s="86">
        <v>20</v>
      </c>
      <c r="AJ8" s="86">
        <v>68</v>
      </c>
      <c r="AK8" s="120">
        <f t="shared" si="0"/>
        <v>1360</v>
      </c>
      <c r="AL8" s="85"/>
    </row>
    <row r="9" spans="2:38" ht="15.75" thickBot="1" x14ac:dyDescent="0.3">
      <c r="B9" s="86">
        <v>100</v>
      </c>
      <c r="C9" s="86">
        <v>16</v>
      </c>
      <c r="D9" s="120">
        <f t="shared" si="1"/>
        <v>1600</v>
      </c>
      <c r="E9" s="85"/>
      <c r="F9" s="86">
        <v>100</v>
      </c>
      <c r="G9" s="86">
        <v>48</v>
      </c>
      <c r="H9" s="120">
        <f t="shared" si="2"/>
        <v>4800</v>
      </c>
      <c r="I9" s="85"/>
      <c r="J9" s="86">
        <v>100</v>
      </c>
      <c r="K9" s="86">
        <v>14</v>
      </c>
      <c r="L9" s="120">
        <f t="shared" si="3"/>
        <v>1400</v>
      </c>
      <c r="M9" s="85"/>
      <c r="N9" s="86">
        <v>100</v>
      </c>
      <c r="O9" s="86">
        <v>60</v>
      </c>
      <c r="P9" s="120">
        <f t="shared" si="4"/>
        <v>6000</v>
      </c>
      <c r="Q9" s="85"/>
      <c r="R9" s="86">
        <v>100</v>
      </c>
      <c r="S9" s="86">
        <v>134</v>
      </c>
      <c r="T9" s="120">
        <f t="shared" si="5"/>
        <v>13400</v>
      </c>
      <c r="U9" s="85"/>
      <c r="V9" s="96"/>
      <c r="W9" s="123">
        <v>100</v>
      </c>
      <c r="X9" s="123">
        <f t="shared" si="7"/>
        <v>272</v>
      </c>
      <c r="Y9" s="121">
        <f t="shared" si="6"/>
        <v>27200</v>
      </c>
      <c r="Z9" s="97"/>
      <c r="AA9" s="85"/>
      <c r="AB9" s="143" t="s">
        <v>12</v>
      </c>
      <c r="AC9" s="144">
        <f>SUM(AC7:AC8)</f>
        <v>383125</v>
      </c>
      <c r="AD9" s="85"/>
      <c r="AE9" s="85"/>
      <c r="AF9" s="85"/>
      <c r="AG9" s="85"/>
      <c r="AH9" s="85"/>
      <c r="AI9" s="86">
        <v>50</v>
      </c>
      <c r="AJ9" s="86">
        <v>230</v>
      </c>
      <c r="AK9" s="120">
        <f t="shared" si="0"/>
        <v>11500</v>
      </c>
      <c r="AL9" s="85"/>
    </row>
    <row r="10" spans="2:38" x14ac:dyDescent="0.25">
      <c r="B10" s="86">
        <v>500</v>
      </c>
      <c r="C10" s="86">
        <v>11</v>
      </c>
      <c r="D10" s="120">
        <f t="shared" si="1"/>
        <v>5500</v>
      </c>
      <c r="E10" s="85"/>
      <c r="F10" s="86">
        <v>500</v>
      </c>
      <c r="G10" s="86">
        <v>38</v>
      </c>
      <c r="H10" s="120">
        <f t="shared" si="2"/>
        <v>19000</v>
      </c>
      <c r="I10" s="85"/>
      <c r="J10" s="86">
        <v>500</v>
      </c>
      <c r="K10" s="86">
        <v>20</v>
      </c>
      <c r="L10" s="120">
        <f t="shared" si="3"/>
        <v>10000</v>
      </c>
      <c r="M10" s="85"/>
      <c r="N10" s="86">
        <v>500</v>
      </c>
      <c r="O10" s="86">
        <v>37</v>
      </c>
      <c r="P10" s="120">
        <f t="shared" si="4"/>
        <v>18500</v>
      </c>
      <c r="Q10" s="85"/>
      <c r="R10" s="86">
        <v>500</v>
      </c>
      <c r="S10" s="86">
        <v>2</v>
      </c>
      <c r="T10" s="120">
        <f t="shared" si="5"/>
        <v>1000</v>
      </c>
      <c r="U10" s="85"/>
      <c r="V10" s="96"/>
      <c r="W10" s="123">
        <v>500</v>
      </c>
      <c r="X10" s="123">
        <f t="shared" si="7"/>
        <v>108</v>
      </c>
      <c r="Y10" s="121">
        <f t="shared" si="6"/>
        <v>54000</v>
      </c>
      <c r="Z10" s="97"/>
      <c r="AA10" s="85"/>
      <c r="AB10" s="85"/>
      <c r="AC10" s="85"/>
      <c r="AD10" s="85"/>
      <c r="AE10" s="85"/>
      <c r="AF10" s="85"/>
      <c r="AG10" s="85"/>
      <c r="AH10" s="85"/>
      <c r="AI10" s="86">
        <v>100</v>
      </c>
      <c r="AJ10" s="86">
        <v>323</v>
      </c>
      <c r="AK10" s="120">
        <f t="shared" si="0"/>
        <v>32300</v>
      </c>
      <c r="AL10" s="85"/>
    </row>
    <row r="11" spans="2:38" x14ac:dyDescent="0.25">
      <c r="B11" s="86">
        <v>1000</v>
      </c>
      <c r="C11" s="86">
        <v>22</v>
      </c>
      <c r="D11" s="120">
        <f t="shared" si="1"/>
        <v>22000</v>
      </c>
      <c r="E11" s="85"/>
      <c r="F11" s="86">
        <v>1000</v>
      </c>
      <c r="G11" s="86">
        <v>40</v>
      </c>
      <c r="H11" s="120">
        <f t="shared" si="2"/>
        <v>40000</v>
      </c>
      <c r="I11" s="85"/>
      <c r="J11" s="86">
        <v>1000</v>
      </c>
      <c r="K11" s="86">
        <v>34</v>
      </c>
      <c r="L11" s="120">
        <f t="shared" si="3"/>
        <v>34000</v>
      </c>
      <c r="M11" s="85"/>
      <c r="N11" s="86">
        <v>1000</v>
      </c>
      <c r="O11" s="86">
        <v>27</v>
      </c>
      <c r="P11" s="120">
        <f t="shared" si="4"/>
        <v>27000</v>
      </c>
      <c r="Q11" s="85"/>
      <c r="R11" s="86">
        <v>1000</v>
      </c>
      <c r="S11" s="86">
        <v>12</v>
      </c>
      <c r="T11" s="120">
        <f t="shared" si="5"/>
        <v>12000</v>
      </c>
      <c r="U11" s="85"/>
      <c r="V11" s="96"/>
      <c r="W11" s="123">
        <v>1000</v>
      </c>
      <c r="X11" s="123">
        <f t="shared" si="7"/>
        <v>135</v>
      </c>
      <c r="Y11" s="121">
        <f t="shared" si="6"/>
        <v>135000</v>
      </c>
      <c r="Z11" s="97"/>
      <c r="AA11" s="85"/>
      <c r="AB11" s="132" t="s">
        <v>13</v>
      </c>
      <c r="AC11" s="132" t="s">
        <v>8</v>
      </c>
      <c r="AD11" s="132" t="s">
        <v>14</v>
      </c>
      <c r="AE11" s="132" t="s">
        <v>15</v>
      </c>
      <c r="AF11" s="132" t="s">
        <v>16</v>
      </c>
      <c r="AG11" s="85"/>
      <c r="AH11" s="85"/>
      <c r="AI11" s="86">
        <v>500</v>
      </c>
      <c r="AJ11" s="86">
        <v>141</v>
      </c>
      <c r="AK11" s="120">
        <f t="shared" si="0"/>
        <v>70500</v>
      </c>
      <c r="AL11" s="85"/>
    </row>
    <row r="12" spans="2:38" x14ac:dyDescent="0.25">
      <c r="B12" s="86">
        <v>5000</v>
      </c>
      <c r="C12" s="86"/>
      <c r="D12" s="120">
        <f t="shared" si="1"/>
        <v>0</v>
      </c>
      <c r="E12" s="85"/>
      <c r="F12" s="86">
        <v>5000</v>
      </c>
      <c r="G12" s="86">
        <v>2</v>
      </c>
      <c r="H12" s="120">
        <f t="shared" si="2"/>
        <v>10000</v>
      </c>
      <c r="I12" s="85"/>
      <c r="J12" s="86">
        <v>5000</v>
      </c>
      <c r="K12" s="86">
        <v>2</v>
      </c>
      <c r="L12" s="120">
        <f t="shared" si="3"/>
        <v>10000</v>
      </c>
      <c r="M12" s="85"/>
      <c r="N12" s="86">
        <v>5000</v>
      </c>
      <c r="O12" s="86">
        <v>1</v>
      </c>
      <c r="P12" s="120">
        <f t="shared" si="4"/>
        <v>5000</v>
      </c>
      <c r="Q12" s="85"/>
      <c r="R12" s="86">
        <v>5000</v>
      </c>
      <c r="S12" s="86">
        <v>9</v>
      </c>
      <c r="T12" s="120">
        <f t="shared" si="5"/>
        <v>45000</v>
      </c>
      <c r="U12" s="85"/>
      <c r="V12" s="96"/>
      <c r="W12" s="123">
        <v>5000</v>
      </c>
      <c r="X12" s="123">
        <f t="shared" si="7"/>
        <v>14</v>
      </c>
      <c r="Y12" s="121">
        <f t="shared" si="6"/>
        <v>70000</v>
      </c>
      <c r="Z12" s="97"/>
      <c r="AA12" s="85"/>
      <c r="AB12" s="85" t="s">
        <v>17</v>
      </c>
      <c r="AC12" s="89">
        <v>371060</v>
      </c>
      <c r="AD12" s="85">
        <v>4586</v>
      </c>
      <c r="AE12" s="137" t="s">
        <v>676</v>
      </c>
      <c r="AF12" s="85" t="s">
        <v>223</v>
      </c>
      <c r="AG12" s="85"/>
      <c r="AH12" s="85"/>
      <c r="AI12" s="86">
        <v>1000</v>
      </c>
      <c r="AJ12" s="86">
        <v>180</v>
      </c>
      <c r="AK12" s="120">
        <f t="shared" si="0"/>
        <v>180000</v>
      </c>
      <c r="AL12" s="85"/>
    </row>
    <row r="13" spans="2:38" ht="15.75" thickBot="1" x14ac:dyDescent="0.3">
      <c r="B13" s="87" t="s">
        <v>18</v>
      </c>
      <c r="C13" s="87"/>
      <c r="D13" s="90">
        <f>+SUM(D5:D12)</f>
        <v>30840</v>
      </c>
      <c r="E13" s="85"/>
      <c r="F13" s="87" t="s">
        <v>18</v>
      </c>
      <c r="G13" s="87"/>
      <c r="H13" s="90">
        <f>+SUM(H5:H12)</f>
        <v>76469</v>
      </c>
      <c r="I13" s="85"/>
      <c r="J13" s="87" t="s">
        <v>18</v>
      </c>
      <c r="K13" s="87"/>
      <c r="L13" s="90">
        <f>+SUM(L5:L12)</f>
        <v>57540</v>
      </c>
      <c r="M13" s="85"/>
      <c r="N13" s="87" t="s">
        <v>18</v>
      </c>
      <c r="O13" s="87"/>
      <c r="P13" s="90">
        <f>+SUM(P5:P12)</f>
        <v>60440</v>
      </c>
      <c r="Q13" s="85"/>
      <c r="R13" s="87" t="s">
        <v>18</v>
      </c>
      <c r="S13" s="87"/>
      <c r="T13" s="90">
        <f>+SUM(T5:T12)</f>
        <v>77330</v>
      </c>
      <c r="U13" s="85"/>
      <c r="V13" s="96"/>
      <c r="W13" s="87" t="s">
        <v>18</v>
      </c>
      <c r="X13" s="87"/>
      <c r="Y13" s="90">
        <f>+SUM(Y5:Y12)</f>
        <v>302619</v>
      </c>
      <c r="Z13" s="97"/>
      <c r="AA13" s="85"/>
      <c r="AB13" s="85" t="s">
        <v>19</v>
      </c>
      <c r="AC13" s="89">
        <v>7000</v>
      </c>
      <c r="AD13" s="85"/>
      <c r="AE13" s="85"/>
      <c r="AF13" s="85"/>
      <c r="AG13" s="85"/>
      <c r="AH13" s="85"/>
      <c r="AI13" s="86">
        <v>5000</v>
      </c>
      <c r="AJ13" s="86">
        <v>15</v>
      </c>
      <c r="AK13" s="120">
        <f t="shared" si="0"/>
        <v>75000</v>
      </c>
      <c r="AL13" s="85"/>
    </row>
    <row r="14" spans="2:38" ht="15.75" thickBot="1" x14ac:dyDescent="0.3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96"/>
      <c r="W14" s="100"/>
      <c r="X14" s="100"/>
      <c r="Y14" s="100"/>
      <c r="Z14" s="97"/>
      <c r="AA14" s="85"/>
      <c r="AB14" s="85" t="s">
        <v>20</v>
      </c>
      <c r="AC14" s="89"/>
      <c r="AD14" s="85"/>
      <c r="AE14" s="85"/>
      <c r="AF14" s="85"/>
      <c r="AG14" s="85"/>
      <c r="AH14" s="85"/>
      <c r="AI14" s="87" t="s">
        <v>18</v>
      </c>
      <c r="AJ14" s="87"/>
      <c r="AK14" s="90">
        <f>+SUM(AK6:AK13)</f>
        <v>378125</v>
      </c>
      <c r="AL14" s="85"/>
    </row>
    <row r="15" spans="2:38" ht="15.75" thickBot="1" x14ac:dyDescent="0.3">
      <c r="B15" s="242" t="s">
        <v>21</v>
      </c>
      <c r="C15" s="243"/>
      <c r="D15" s="92">
        <v>30840</v>
      </c>
      <c r="E15" s="114"/>
      <c r="F15" s="242" t="s">
        <v>21</v>
      </c>
      <c r="G15" s="243"/>
      <c r="H15" s="92">
        <v>103489</v>
      </c>
      <c r="I15" s="114"/>
      <c r="J15" s="242" t="s">
        <v>21</v>
      </c>
      <c r="K15" s="243"/>
      <c r="L15" s="92">
        <v>57501</v>
      </c>
      <c r="M15" s="114"/>
      <c r="N15" s="242" t="s">
        <v>21</v>
      </c>
      <c r="O15" s="243"/>
      <c r="P15" s="92">
        <v>60416</v>
      </c>
      <c r="Q15" s="114"/>
      <c r="R15" s="242" t="s">
        <v>21</v>
      </c>
      <c r="S15" s="243"/>
      <c r="T15" s="92">
        <v>262141</v>
      </c>
      <c r="U15" s="114"/>
      <c r="V15" s="115"/>
      <c r="W15" s="242" t="s">
        <v>21</v>
      </c>
      <c r="X15" s="243"/>
      <c r="Y15" s="92">
        <f>+D15+H15+L15+P15+T15</f>
        <v>514387</v>
      </c>
      <c r="Z15" s="116"/>
      <c r="AA15" s="114"/>
      <c r="AB15" s="85" t="s">
        <v>674</v>
      </c>
      <c r="AC15" s="89">
        <v>5000</v>
      </c>
      <c r="AD15" s="85"/>
      <c r="AE15" s="85"/>
      <c r="AF15" s="85"/>
      <c r="AG15" s="85"/>
      <c r="AH15" s="85"/>
      <c r="AI15" s="85"/>
      <c r="AJ15" s="85"/>
      <c r="AK15" s="85"/>
      <c r="AL15" s="85"/>
    </row>
    <row r="16" spans="2:38" x14ac:dyDescent="0.25">
      <c r="B16" s="85" t="s">
        <v>10</v>
      </c>
      <c r="C16" s="85"/>
      <c r="D16" s="89">
        <f>+D13</f>
        <v>30840</v>
      </c>
      <c r="E16" s="85"/>
      <c r="F16" s="85" t="s">
        <v>10</v>
      </c>
      <c r="G16" s="85"/>
      <c r="H16" s="89">
        <f>+H13</f>
        <v>76469</v>
      </c>
      <c r="I16" s="85"/>
      <c r="J16" s="85" t="s">
        <v>10</v>
      </c>
      <c r="K16" s="85"/>
      <c r="L16" s="89">
        <f>+L13</f>
        <v>57540</v>
      </c>
      <c r="M16" s="85"/>
      <c r="N16" s="85" t="s">
        <v>10</v>
      </c>
      <c r="O16" s="85"/>
      <c r="P16" s="89">
        <f>+P13</f>
        <v>60440</v>
      </c>
      <c r="Q16" s="85"/>
      <c r="R16" s="85" t="s">
        <v>10</v>
      </c>
      <c r="S16" s="85"/>
      <c r="T16" s="89">
        <f>+T13</f>
        <v>77330</v>
      </c>
      <c r="U16" s="85"/>
      <c r="V16" s="96"/>
      <c r="W16" s="124" t="s">
        <v>10</v>
      </c>
      <c r="X16" s="124"/>
      <c r="Y16" s="121">
        <f>+D16+H16+L16+P16+T16</f>
        <v>302619</v>
      </c>
      <c r="Z16" s="97"/>
      <c r="AA16" s="85"/>
      <c r="AB16" s="85" t="s">
        <v>23</v>
      </c>
      <c r="AC16" s="89"/>
      <c r="AD16" s="85"/>
      <c r="AE16" s="85"/>
      <c r="AF16" s="85"/>
      <c r="AG16" s="85"/>
      <c r="AH16" s="85"/>
      <c r="AI16" s="85"/>
      <c r="AJ16" s="85"/>
      <c r="AK16" s="85"/>
      <c r="AL16" s="85"/>
    </row>
    <row r="17" spans="2:38" x14ac:dyDescent="0.25">
      <c r="B17" s="85" t="s">
        <v>17</v>
      </c>
      <c r="C17" s="85"/>
      <c r="D17" s="89"/>
      <c r="E17" s="85"/>
      <c r="F17" s="85" t="s">
        <v>17</v>
      </c>
      <c r="G17" s="85"/>
      <c r="H17" s="89"/>
      <c r="I17" s="85"/>
      <c r="J17" s="85" t="s">
        <v>17</v>
      </c>
      <c r="K17" s="85"/>
      <c r="L17" s="89"/>
      <c r="M17" s="85"/>
      <c r="N17" s="85" t="s">
        <v>17</v>
      </c>
      <c r="O17" s="85"/>
      <c r="P17" s="89"/>
      <c r="Q17" s="85"/>
      <c r="R17" s="85" t="s">
        <v>17</v>
      </c>
      <c r="S17" s="85"/>
      <c r="T17" s="89"/>
      <c r="U17" s="85"/>
      <c r="V17" s="96"/>
      <c r="W17" s="124" t="s">
        <v>17</v>
      </c>
      <c r="X17" s="124"/>
      <c r="Y17" s="121">
        <f t="shared" ref="Y17:Y27" si="8">+D17+H17+L17+P17+T17</f>
        <v>0</v>
      </c>
      <c r="Z17" s="97"/>
      <c r="AA17" s="85"/>
      <c r="AB17" s="133" t="s">
        <v>12</v>
      </c>
      <c r="AC17" s="134">
        <f>+SUM(AC12:AC16)</f>
        <v>383060</v>
      </c>
      <c r="AD17" s="160"/>
      <c r="AE17" s="85"/>
      <c r="AF17" s="85"/>
      <c r="AG17" s="85"/>
      <c r="AH17" s="85"/>
      <c r="AI17" s="85"/>
      <c r="AJ17" s="85"/>
      <c r="AK17" s="85"/>
      <c r="AL17" s="85"/>
    </row>
    <row r="18" spans="2:38" x14ac:dyDescent="0.25">
      <c r="B18" s="85" t="s">
        <v>26</v>
      </c>
      <c r="C18" s="85"/>
      <c r="D18" s="89"/>
      <c r="E18" s="85"/>
      <c r="F18" s="85" t="s">
        <v>487</v>
      </c>
      <c r="G18" s="85" t="s">
        <v>665</v>
      </c>
      <c r="H18" s="89">
        <v>3500</v>
      </c>
      <c r="I18" s="85"/>
      <c r="J18" s="85" t="s">
        <v>26</v>
      </c>
      <c r="K18" s="85"/>
      <c r="L18" s="89"/>
      <c r="M18" s="85"/>
      <c r="N18" s="85" t="s">
        <v>26</v>
      </c>
      <c r="O18" s="85"/>
      <c r="P18" s="89"/>
      <c r="Q18" s="85"/>
      <c r="R18" s="85" t="s">
        <v>26</v>
      </c>
      <c r="S18" s="85"/>
      <c r="T18" s="89"/>
      <c r="U18" s="85"/>
      <c r="V18" s="96"/>
      <c r="W18" s="124" t="s">
        <v>26</v>
      </c>
      <c r="X18" s="124"/>
      <c r="Y18" s="121">
        <f t="shared" si="8"/>
        <v>3500</v>
      </c>
      <c r="Z18" s="97"/>
      <c r="AA18" s="85"/>
      <c r="AB18" s="135" t="s">
        <v>32</v>
      </c>
      <c r="AC18" s="136">
        <f>+AC17-AC9</f>
        <v>-65</v>
      </c>
      <c r="AD18" s="85" t="s">
        <v>33</v>
      </c>
      <c r="AE18" s="85"/>
      <c r="AF18" s="85"/>
      <c r="AG18" s="85"/>
      <c r="AH18" s="85"/>
      <c r="AI18" s="85"/>
      <c r="AJ18" s="85"/>
      <c r="AK18" s="85"/>
      <c r="AL18" s="85"/>
    </row>
    <row r="19" spans="2:38" x14ac:dyDescent="0.25">
      <c r="B19" s="85" t="s">
        <v>34</v>
      </c>
      <c r="C19" s="85"/>
      <c r="D19" s="89"/>
      <c r="E19" s="85"/>
      <c r="F19" s="85" t="s">
        <v>487</v>
      </c>
      <c r="G19" s="85" t="s">
        <v>666</v>
      </c>
      <c r="H19" s="89">
        <v>5538</v>
      </c>
      <c r="I19" s="85"/>
      <c r="J19" s="85" t="s">
        <v>34</v>
      </c>
      <c r="K19" s="85"/>
      <c r="L19" s="89"/>
      <c r="M19" s="85"/>
      <c r="N19" s="85" t="s">
        <v>34</v>
      </c>
      <c r="O19" s="85"/>
      <c r="P19" s="89"/>
      <c r="Q19" s="85"/>
      <c r="R19" s="85" t="s">
        <v>34</v>
      </c>
      <c r="S19" s="85"/>
      <c r="T19" s="89"/>
      <c r="U19" s="85"/>
      <c r="V19" s="96"/>
      <c r="W19" s="124" t="s">
        <v>34</v>
      </c>
      <c r="X19" s="124"/>
      <c r="Y19" s="121">
        <f t="shared" si="8"/>
        <v>5538</v>
      </c>
      <c r="Z19" s="97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</row>
    <row r="20" spans="2:38" x14ac:dyDescent="0.25">
      <c r="B20" s="85" t="s">
        <v>36</v>
      </c>
      <c r="C20" s="85"/>
      <c r="D20" s="89"/>
      <c r="E20" s="85"/>
      <c r="F20" s="85" t="s">
        <v>667</v>
      </c>
      <c r="G20" s="85" t="s">
        <v>668</v>
      </c>
      <c r="H20" s="89">
        <v>10500</v>
      </c>
      <c r="I20" s="85"/>
      <c r="J20" s="85" t="s">
        <v>36</v>
      </c>
      <c r="K20" s="85"/>
      <c r="L20" s="89"/>
      <c r="M20" s="85"/>
      <c r="N20" s="85" t="s">
        <v>36</v>
      </c>
      <c r="O20" s="85"/>
      <c r="P20" s="89"/>
      <c r="Q20" s="85"/>
      <c r="R20" s="85" t="s">
        <v>36</v>
      </c>
      <c r="S20" s="85"/>
      <c r="T20" s="89"/>
      <c r="U20" s="85"/>
      <c r="V20" s="96"/>
      <c r="W20" s="124" t="s">
        <v>36</v>
      </c>
      <c r="X20" s="124"/>
      <c r="Y20" s="121">
        <f t="shared" si="8"/>
        <v>10500</v>
      </c>
      <c r="Z20" s="97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</row>
    <row r="21" spans="2:38" x14ac:dyDescent="0.25">
      <c r="B21" s="85"/>
      <c r="C21" s="85"/>
      <c r="D21" s="89"/>
      <c r="E21" s="85"/>
      <c r="F21" s="85" t="s">
        <v>24</v>
      </c>
      <c r="G21" s="85" t="s">
        <v>669</v>
      </c>
      <c r="H21" s="89">
        <v>5000</v>
      </c>
      <c r="I21" s="85"/>
      <c r="J21" s="85"/>
      <c r="K21" s="85"/>
      <c r="L21" s="89"/>
      <c r="M21" s="85"/>
      <c r="N21" s="85"/>
      <c r="O21" s="85"/>
      <c r="P21" s="89"/>
      <c r="Q21" s="85"/>
      <c r="R21" s="85"/>
      <c r="S21" s="85"/>
      <c r="T21" s="89"/>
      <c r="U21" s="85"/>
      <c r="V21" s="96"/>
      <c r="W21" s="124"/>
      <c r="X21" s="124"/>
      <c r="Y21" s="121">
        <f t="shared" si="8"/>
        <v>5000</v>
      </c>
      <c r="Z21" s="97"/>
      <c r="AA21" s="85"/>
      <c r="AB21" s="245" t="s">
        <v>37</v>
      </c>
      <c r="AC21" s="245"/>
      <c r="AD21" s="245"/>
      <c r="AE21" s="245"/>
      <c r="AF21" s="245"/>
      <c r="AG21" s="85"/>
      <c r="AH21" s="85"/>
      <c r="AI21" s="245" t="s">
        <v>38</v>
      </c>
      <c r="AJ21" s="245"/>
      <c r="AK21" s="245"/>
      <c r="AL21" s="245"/>
    </row>
    <row r="22" spans="2:38" x14ac:dyDescent="0.25">
      <c r="B22" s="85"/>
      <c r="C22" s="85"/>
      <c r="D22" s="89"/>
      <c r="E22" s="85"/>
      <c r="F22" s="85" t="s">
        <v>487</v>
      </c>
      <c r="G22" s="85" t="s">
        <v>670</v>
      </c>
      <c r="H22" s="89">
        <v>8570</v>
      </c>
      <c r="I22" s="85"/>
      <c r="J22" s="85"/>
      <c r="K22" s="85"/>
      <c r="L22" s="89"/>
      <c r="M22" s="85"/>
      <c r="N22" s="85"/>
      <c r="O22" s="85"/>
      <c r="P22" s="89"/>
      <c r="Q22" s="85"/>
      <c r="R22" s="85"/>
      <c r="S22" s="85"/>
      <c r="T22" s="89"/>
      <c r="U22" s="85"/>
      <c r="V22" s="96"/>
      <c r="W22" s="124"/>
      <c r="X22" s="124"/>
      <c r="Y22" s="121">
        <f t="shared" si="8"/>
        <v>8570</v>
      </c>
      <c r="Z22" s="97"/>
      <c r="AA22" s="85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G22" s="85"/>
      <c r="AH22" s="85"/>
      <c r="AI22" s="132" t="s">
        <v>41</v>
      </c>
      <c r="AJ22" s="132" t="s">
        <v>45</v>
      </c>
      <c r="AK22" s="132" t="s">
        <v>43</v>
      </c>
      <c r="AL22" s="132" t="s">
        <v>8</v>
      </c>
    </row>
    <row r="23" spans="2:38" x14ac:dyDescent="0.25">
      <c r="B23" s="85" t="s">
        <v>46</v>
      </c>
      <c r="C23" s="85"/>
      <c r="D23" s="89"/>
      <c r="E23" s="85"/>
      <c r="F23" s="85" t="s">
        <v>46</v>
      </c>
      <c r="G23" s="85"/>
      <c r="H23" s="89"/>
      <c r="I23" s="85"/>
      <c r="J23" s="85" t="s">
        <v>46</v>
      </c>
      <c r="K23" s="85"/>
      <c r="L23" s="89"/>
      <c r="M23" s="85"/>
      <c r="N23" s="85" t="s">
        <v>240</v>
      </c>
      <c r="O23" s="85"/>
      <c r="P23" s="89"/>
      <c r="Q23" s="85"/>
      <c r="R23" s="85" t="s">
        <v>671</v>
      </c>
      <c r="S23" s="85" t="s">
        <v>233</v>
      </c>
      <c r="T23" s="89">
        <v>81916</v>
      </c>
      <c r="U23" s="85"/>
      <c r="V23" s="96"/>
      <c r="W23" s="124" t="s">
        <v>46</v>
      </c>
      <c r="X23" s="124"/>
      <c r="Y23" s="121">
        <f t="shared" si="8"/>
        <v>81916</v>
      </c>
      <c r="Z23" s="97"/>
      <c r="AA23" s="85"/>
      <c r="AB23" s="166" t="s">
        <v>658</v>
      </c>
      <c r="AC23" s="166" t="s">
        <v>659</v>
      </c>
      <c r="AD23" s="166" t="s">
        <v>56</v>
      </c>
      <c r="AE23" s="166"/>
      <c r="AF23" s="168">
        <v>200</v>
      </c>
      <c r="AG23" s="85"/>
      <c r="AH23" s="85"/>
      <c r="AI23" s="85"/>
      <c r="AJ23" s="85"/>
      <c r="AK23" s="85"/>
      <c r="AL23" s="147"/>
    </row>
    <row r="24" spans="2:38" x14ac:dyDescent="0.25">
      <c r="B24" s="85" t="s">
        <v>54</v>
      </c>
      <c r="C24" s="85"/>
      <c r="D24" s="89"/>
      <c r="E24" s="85"/>
      <c r="F24" s="85" t="s">
        <v>54</v>
      </c>
      <c r="G24" s="85"/>
      <c r="H24" s="89"/>
      <c r="I24" s="85"/>
      <c r="J24" s="85" t="s">
        <v>54</v>
      </c>
      <c r="K24" s="85"/>
      <c r="L24" s="89"/>
      <c r="M24" s="85"/>
      <c r="N24" s="85" t="s">
        <v>240</v>
      </c>
      <c r="O24" s="85"/>
      <c r="P24" s="89"/>
      <c r="Q24" s="85"/>
      <c r="R24" s="85" t="s">
        <v>672</v>
      </c>
      <c r="S24" s="85" t="s">
        <v>340</v>
      </c>
      <c r="T24" s="89">
        <v>23787</v>
      </c>
      <c r="U24" s="85"/>
      <c r="V24" s="96"/>
      <c r="W24" s="124" t="s">
        <v>54</v>
      </c>
      <c r="X24" s="124"/>
      <c r="Y24" s="121">
        <f t="shared" si="8"/>
        <v>23787</v>
      </c>
      <c r="Z24" s="97"/>
      <c r="AA24" s="85"/>
      <c r="AB24" s="166" t="s">
        <v>660</v>
      </c>
      <c r="AC24" s="204">
        <v>45873</v>
      </c>
      <c r="AD24" s="166" t="s">
        <v>135</v>
      </c>
      <c r="AE24" s="166"/>
      <c r="AF24" s="168">
        <v>22510</v>
      </c>
      <c r="AG24" s="85"/>
      <c r="AH24" s="85"/>
      <c r="AI24" s="85"/>
      <c r="AJ24" s="85"/>
      <c r="AK24" s="85"/>
      <c r="AL24" s="147"/>
    </row>
    <row r="25" spans="2:38" x14ac:dyDescent="0.25">
      <c r="B25" s="85" t="s">
        <v>61</v>
      </c>
      <c r="C25" s="85"/>
      <c r="D25" s="89"/>
      <c r="E25" s="85"/>
      <c r="F25" s="85" t="s">
        <v>61</v>
      </c>
      <c r="G25" s="85"/>
      <c r="H25" s="89"/>
      <c r="I25" s="85"/>
      <c r="J25" s="85" t="s">
        <v>61</v>
      </c>
      <c r="K25" s="85"/>
      <c r="L25" s="89"/>
      <c r="M25" s="85"/>
      <c r="N25" s="85" t="s">
        <v>240</v>
      </c>
      <c r="O25" s="85"/>
      <c r="P25" s="89"/>
      <c r="Q25" s="85"/>
      <c r="R25" s="85" t="s">
        <v>677</v>
      </c>
      <c r="S25" s="85" t="s">
        <v>673</v>
      </c>
      <c r="T25" s="89">
        <v>76682</v>
      </c>
      <c r="U25" s="85"/>
      <c r="V25" s="96"/>
      <c r="W25" s="124" t="s">
        <v>61</v>
      </c>
      <c r="X25" s="124"/>
      <c r="Y25" s="121">
        <f t="shared" si="8"/>
        <v>76682</v>
      </c>
      <c r="Z25" s="97"/>
      <c r="AA25" s="85"/>
      <c r="AB25" s="166" t="s">
        <v>661</v>
      </c>
      <c r="AC25" s="204">
        <v>45885</v>
      </c>
      <c r="AD25" s="166" t="s">
        <v>40</v>
      </c>
      <c r="AE25" s="166"/>
      <c r="AF25" s="168">
        <v>39030</v>
      </c>
      <c r="AG25" s="85"/>
      <c r="AH25" s="85"/>
      <c r="AI25" s="85"/>
      <c r="AJ25" s="85"/>
      <c r="AK25" s="85"/>
      <c r="AL25" s="147"/>
    </row>
    <row r="26" spans="2:38" x14ac:dyDescent="0.25">
      <c r="B26" s="85"/>
      <c r="C26" s="85"/>
      <c r="D26" s="89"/>
      <c r="E26" s="85"/>
      <c r="F26" s="85"/>
      <c r="G26" s="85"/>
      <c r="H26" s="89"/>
      <c r="I26" s="85"/>
      <c r="J26" s="85"/>
      <c r="K26" s="85"/>
      <c r="L26" s="89"/>
      <c r="M26" s="85"/>
      <c r="N26" s="85"/>
      <c r="O26" s="85"/>
      <c r="P26" s="89"/>
      <c r="Q26" s="85"/>
      <c r="R26" s="85"/>
      <c r="S26" s="85"/>
      <c r="T26" s="85"/>
      <c r="U26" s="85"/>
      <c r="V26" s="96"/>
      <c r="W26" s="124"/>
      <c r="X26" s="124"/>
      <c r="Y26" s="121">
        <f t="shared" si="8"/>
        <v>0</v>
      </c>
      <c r="Z26" s="97"/>
      <c r="AA26" s="85"/>
      <c r="AB26" s="166" t="s">
        <v>139</v>
      </c>
      <c r="AC26" s="204">
        <v>45875</v>
      </c>
      <c r="AD26" s="166" t="s">
        <v>329</v>
      </c>
      <c r="AE26" s="166" t="s">
        <v>237</v>
      </c>
      <c r="AF26" s="168">
        <v>6258</v>
      </c>
      <c r="AG26" s="85"/>
      <c r="AH26" s="85"/>
      <c r="AI26" s="85"/>
      <c r="AJ26" s="85"/>
      <c r="AK26" s="85"/>
      <c r="AL26" s="147"/>
    </row>
    <row r="27" spans="2:38" ht="15.75" thickBot="1" x14ac:dyDescent="0.3">
      <c r="B27" s="85"/>
      <c r="C27" s="85"/>
      <c r="D27" s="89"/>
      <c r="E27" s="85"/>
      <c r="F27" s="85"/>
      <c r="G27" s="85"/>
      <c r="H27" s="89"/>
      <c r="I27" s="85"/>
      <c r="J27" s="85"/>
      <c r="K27" s="85"/>
      <c r="L27" s="89"/>
      <c r="M27" s="85"/>
      <c r="N27" s="85"/>
      <c r="O27" s="85"/>
      <c r="P27" s="89"/>
      <c r="Q27" s="85"/>
      <c r="R27" s="85"/>
      <c r="S27" s="85"/>
      <c r="T27" s="89"/>
      <c r="U27" s="85"/>
      <c r="V27" s="96"/>
      <c r="W27" s="124"/>
      <c r="X27" s="124"/>
      <c r="Y27" s="121">
        <f t="shared" si="8"/>
        <v>0</v>
      </c>
      <c r="Z27" s="97"/>
      <c r="AA27" s="85"/>
      <c r="AB27" s="166" t="s">
        <v>662</v>
      </c>
      <c r="AC27" s="166" t="s">
        <v>663</v>
      </c>
      <c r="AD27" s="166"/>
      <c r="AE27" s="166"/>
      <c r="AF27" s="168">
        <v>300</v>
      </c>
      <c r="AG27" s="85"/>
      <c r="AH27" s="85"/>
      <c r="AI27" s="85"/>
      <c r="AJ27" s="85"/>
      <c r="AK27" s="85"/>
      <c r="AL27" s="147"/>
    </row>
    <row r="28" spans="2:38" ht="15.75" thickBot="1" x14ac:dyDescent="0.3">
      <c r="B28" s="235" t="s">
        <v>12</v>
      </c>
      <c r="C28" s="236"/>
      <c r="D28" s="93">
        <f>+SUM(D16:D27)</f>
        <v>30840</v>
      </c>
      <c r="E28" s="85"/>
      <c r="F28" s="235" t="s">
        <v>12</v>
      </c>
      <c r="G28" s="236"/>
      <c r="H28" s="93">
        <f>+SUM(H16:H27)</f>
        <v>109577</v>
      </c>
      <c r="I28" s="85"/>
      <c r="J28" s="235" t="s">
        <v>12</v>
      </c>
      <c r="K28" s="236"/>
      <c r="L28" s="93">
        <f>+SUM(L16:L27)</f>
        <v>57540</v>
      </c>
      <c r="M28" s="85"/>
      <c r="N28" s="235" t="s">
        <v>12</v>
      </c>
      <c r="O28" s="236"/>
      <c r="P28" s="93">
        <f>+SUM(P16:P27)</f>
        <v>60440</v>
      </c>
      <c r="Q28" s="85"/>
      <c r="R28" s="235" t="s">
        <v>12</v>
      </c>
      <c r="S28" s="236"/>
      <c r="T28" s="93">
        <f>+SUM(T16:T27)</f>
        <v>259715</v>
      </c>
      <c r="U28" s="85"/>
      <c r="V28" s="96"/>
      <c r="W28" s="235" t="s">
        <v>12</v>
      </c>
      <c r="X28" s="236"/>
      <c r="Y28" s="93">
        <f>+SUM(Y16:Y27)</f>
        <v>518112</v>
      </c>
      <c r="Z28" s="97"/>
      <c r="AA28" s="85"/>
      <c r="AB28" s="166" t="s">
        <v>664</v>
      </c>
      <c r="AC28" s="204">
        <v>45887</v>
      </c>
      <c r="AD28" s="166" t="s">
        <v>325</v>
      </c>
      <c r="AE28" s="166"/>
      <c r="AF28" s="168">
        <v>12208</v>
      </c>
      <c r="AG28" s="85"/>
      <c r="AH28" s="85"/>
      <c r="AI28" s="85"/>
      <c r="AJ28" s="85"/>
      <c r="AK28" s="85"/>
      <c r="AL28" s="147"/>
    </row>
    <row r="29" spans="2:38" x14ac:dyDescent="0.25">
      <c r="B29" s="85"/>
      <c r="C29" s="85"/>
      <c r="D29" s="89"/>
      <c r="E29" s="85"/>
      <c r="F29" s="85"/>
      <c r="G29" s="85"/>
      <c r="H29" s="89"/>
      <c r="I29" s="85"/>
      <c r="J29" s="85"/>
      <c r="K29" s="85"/>
      <c r="L29" s="89"/>
      <c r="M29" s="85"/>
      <c r="N29" s="85"/>
      <c r="O29" s="85"/>
      <c r="P29" s="89"/>
      <c r="Q29" s="85"/>
      <c r="R29" s="85"/>
      <c r="S29" s="85"/>
      <c r="T29" s="89"/>
      <c r="U29" s="85"/>
      <c r="V29" s="96"/>
      <c r="W29" s="100"/>
      <c r="X29" s="100"/>
      <c r="Y29" s="99"/>
      <c r="Z29" s="97"/>
      <c r="AA29" s="85"/>
      <c r="AB29" s="85"/>
      <c r="AC29" s="85"/>
      <c r="AD29" s="85"/>
      <c r="AE29" s="85"/>
      <c r="AF29" s="147"/>
      <c r="AG29" s="85"/>
      <c r="AH29" s="85"/>
      <c r="AI29" s="85"/>
      <c r="AJ29" s="85"/>
      <c r="AK29" s="85"/>
      <c r="AL29" s="147"/>
    </row>
    <row r="30" spans="2:38" ht="15.75" thickBot="1" x14ac:dyDescent="0.3">
      <c r="B30" s="237" t="s">
        <v>75</v>
      </c>
      <c r="C30" s="237"/>
      <c r="D30" s="91">
        <f>+D28-D15</f>
        <v>0</v>
      </c>
      <c r="E30" s="85"/>
      <c r="F30" s="237" t="s">
        <v>75</v>
      </c>
      <c r="G30" s="237"/>
      <c r="H30" s="91">
        <f>+H28-H15</f>
        <v>6088</v>
      </c>
      <c r="I30" s="85"/>
      <c r="J30" s="237" t="s">
        <v>75</v>
      </c>
      <c r="K30" s="237"/>
      <c r="L30" s="91">
        <f>+L28-L15</f>
        <v>39</v>
      </c>
      <c r="M30" s="85"/>
      <c r="N30" s="237" t="s">
        <v>75</v>
      </c>
      <c r="O30" s="237"/>
      <c r="P30" s="91">
        <f>+P28-P15</f>
        <v>24</v>
      </c>
      <c r="Q30" s="85"/>
      <c r="R30" s="237" t="s">
        <v>75</v>
      </c>
      <c r="S30" s="237"/>
      <c r="T30" s="91">
        <f>+T28-T15</f>
        <v>-2426</v>
      </c>
      <c r="U30" s="85"/>
      <c r="V30" s="96"/>
      <c r="W30" s="238" t="s">
        <v>75</v>
      </c>
      <c r="X30" s="238"/>
      <c r="Y30" s="126">
        <f>+Y28-Y15</f>
        <v>3725</v>
      </c>
      <c r="Z30" s="97"/>
      <c r="AA30" s="85"/>
      <c r="AB30" s="85"/>
      <c r="AC30" s="85"/>
      <c r="AD30" s="85"/>
      <c r="AE30" s="85"/>
      <c r="AF30" s="147"/>
      <c r="AG30" s="85"/>
      <c r="AH30" s="85"/>
      <c r="AI30" s="85"/>
      <c r="AJ30" s="85"/>
      <c r="AK30" s="85"/>
      <c r="AL30" s="147"/>
    </row>
    <row r="31" spans="2:38" ht="16.5" thickTop="1" thickBo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01"/>
      <c r="W31" s="102"/>
      <c r="X31" s="102"/>
      <c r="Y31" s="102"/>
      <c r="Z31" s="103"/>
      <c r="AA31" s="85"/>
      <c r="AB31" s="145" t="s">
        <v>74</v>
      </c>
      <c r="AC31" s="145"/>
      <c r="AD31" s="145"/>
      <c r="AE31" s="145"/>
      <c r="AF31" s="140">
        <f>+SUM(AF23:AF30)</f>
        <v>80506</v>
      </c>
      <c r="AG31" s="85"/>
      <c r="AH31" s="85"/>
      <c r="AI31" s="145" t="s">
        <v>74</v>
      </c>
      <c r="AJ31" s="145"/>
      <c r="AK31" s="145"/>
      <c r="AL31" s="140">
        <f>+SUM(AL23:AL30)</f>
        <v>0</v>
      </c>
    </row>
    <row r="32" spans="2:38" x14ac:dyDescent="0.2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</row>
    <row r="33" spans="2:38" ht="15.75" thickBo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</row>
    <row r="34" spans="2:38" x14ac:dyDescent="0.25">
      <c r="B34" s="94" t="s">
        <v>76</v>
      </c>
      <c r="C34" s="95"/>
      <c r="D34" s="105"/>
      <c r="E34" s="85"/>
      <c r="F34" s="94" t="s">
        <v>76</v>
      </c>
      <c r="G34" s="95"/>
      <c r="H34" s="105"/>
      <c r="I34" s="85"/>
      <c r="J34" s="94" t="s">
        <v>76</v>
      </c>
      <c r="K34" s="95"/>
      <c r="L34" s="105"/>
      <c r="M34" s="85"/>
      <c r="N34" s="94" t="s">
        <v>76</v>
      </c>
      <c r="O34" s="95"/>
      <c r="P34" s="105"/>
      <c r="Q34" s="85"/>
      <c r="R34" s="94" t="s">
        <v>675</v>
      </c>
      <c r="S34" s="95"/>
      <c r="T34" s="105">
        <v>2006</v>
      </c>
      <c r="U34" s="85"/>
      <c r="V34" s="85"/>
      <c r="W34" s="127" t="s">
        <v>76</v>
      </c>
      <c r="X34" s="128"/>
      <c r="Y34" s="129">
        <f>+D34+H34+L34+P34+T34</f>
        <v>2006</v>
      </c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</row>
    <row r="35" spans="2:38" x14ac:dyDescent="0.25">
      <c r="B35" s="96" t="s">
        <v>77</v>
      </c>
      <c r="C35" s="100"/>
      <c r="D35" s="106"/>
      <c r="E35" s="85"/>
      <c r="F35" s="96" t="s">
        <v>77</v>
      </c>
      <c r="G35" s="100"/>
      <c r="H35" s="106"/>
      <c r="I35" s="85"/>
      <c r="J35" s="96" t="s">
        <v>77</v>
      </c>
      <c r="K35" s="100"/>
      <c r="L35" s="106"/>
      <c r="M35" s="85"/>
      <c r="N35" s="96" t="s">
        <v>77</v>
      </c>
      <c r="O35" s="100"/>
      <c r="P35" s="106"/>
      <c r="Q35" s="85"/>
      <c r="R35" s="96" t="s">
        <v>283</v>
      </c>
      <c r="S35" s="100"/>
      <c r="T35" s="106">
        <v>927</v>
      </c>
      <c r="U35" s="85"/>
      <c r="V35" s="85"/>
      <c r="W35" s="130" t="s">
        <v>77</v>
      </c>
      <c r="X35" s="124"/>
      <c r="Y35" s="131">
        <f t="shared" ref="Y35:Y36" si="9">+D35+H35+L35+P35+T35</f>
        <v>927</v>
      </c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</row>
    <row r="36" spans="2:38" x14ac:dyDescent="0.25">
      <c r="B36" s="96" t="s">
        <v>79</v>
      </c>
      <c r="C36" s="100"/>
      <c r="D36" s="106"/>
      <c r="E36" s="85"/>
      <c r="F36" s="96" t="s">
        <v>79</v>
      </c>
      <c r="G36" s="100"/>
      <c r="H36" s="106">
        <v>-6088</v>
      </c>
      <c r="I36" s="85"/>
      <c r="J36" s="96" t="s">
        <v>79</v>
      </c>
      <c r="K36" s="100"/>
      <c r="L36" s="106">
        <v>-39</v>
      </c>
      <c r="M36" s="85"/>
      <c r="N36" s="96" t="s">
        <v>79</v>
      </c>
      <c r="O36" s="100"/>
      <c r="P36" s="106">
        <v>-24</v>
      </c>
      <c r="Q36" s="85"/>
      <c r="R36" s="96" t="s">
        <v>79</v>
      </c>
      <c r="S36" s="100"/>
      <c r="T36" s="106">
        <v>-507</v>
      </c>
      <c r="U36" s="85"/>
      <c r="V36" s="85"/>
      <c r="W36" s="130" t="s">
        <v>78</v>
      </c>
      <c r="X36" s="124"/>
      <c r="Y36" s="131">
        <f t="shared" si="9"/>
        <v>-6658</v>
      </c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</row>
    <row r="37" spans="2:38" x14ac:dyDescent="0.25">
      <c r="B37" s="96" t="s">
        <v>18</v>
      </c>
      <c r="C37" s="100"/>
      <c r="D37" s="106">
        <f>+SUM(D34:D36)</f>
        <v>0</v>
      </c>
      <c r="E37" s="85"/>
      <c r="F37" s="96" t="s">
        <v>18</v>
      </c>
      <c r="G37" s="100"/>
      <c r="H37" s="106">
        <f>+SUM(H34:H36)</f>
        <v>-6088</v>
      </c>
      <c r="I37" s="85"/>
      <c r="J37" s="96" t="s">
        <v>18</v>
      </c>
      <c r="K37" s="100"/>
      <c r="L37" s="106">
        <f>+SUM(L34:L36)</f>
        <v>-39</v>
      </c>
      <c r="M37" s="85"/>
      <c r="N37" s="96" t="s">
        <v>18</v>
      </c>
      <c r="O37" s="100"/>
      <c r="P37" s="106">
        <f>+SUM(P34:P36)</f>
        <v>-24</v>
      </c>
      <c r="Q37" s="85"/>
      <c r="R37" s="96" t="s">
        <v>18</v>
      </c>
      <c r="S37" s="100"/>
      <c r="T37" s="106">
        <f>+SUM(T34:T36)</f>
        <v>2426</v>
      </c>
      <c r="U37" s="85"/>
      <c r="V37" s="85"/>
      <c r="W37" s="117" t="s">
        <v>18</v>
      </c>
      <c r="X37" s="118"/>
      <c r="Y37" s="119">
        <f>+SUM(Y34:Y36)</f>
        <v>-3725</v>
      </c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</row>
    <row r="38" spans="2:38" ht="15.75" thickBot="1" x14ac:dyDescent="0.3">
      <c r="B38" s="107" t="s">
        <v>81</v>
      </c>
      <c r="C38" s="108"/>
      <c r="D38" s="109">
        <f>+D30+D37</f>
        <v>0</v>
      </c>
      <c r="E38" s="85"/>
      <c r="F38" s="107" t="s">
        <v>81</v>
      </c>
      <c r="G38" s="108"/>
      <c r="H38" s="109">
        <f>+H30+H37</f>
        <v>0</v>
      </c>
      <c r="I38" s="85"/>
      <c r="J38" s="107" t="s">
        <v>81</v>
      </c>
      <c r="K38" s="108"/>
      <c r="L38" s="109">
        <f>+L30+L37</f>
        <v>0</v>
      </c>
      <c r="M38" s="85"/>
      <c r="N38" s="107" t="s">
        <v>81</v>
      </c>
      <c r="O38" s="108"/>
      <c r="P38" s="109">
        <f>+P30+P37</f>
        <v>0</v>
      </c>
      <c r="Q38" s="85"/>
      <c r="R38" s="107" t="s">
        <v>81</v>
      </c>
      <c r="S38" s="108"/>
      <c r="T38" s="109">
        <f>+T30+T37</f>
        <v>0</v>
      </c>
      <c r="U38" s="85"/>
      <c r="V38" s="85"/>
      <c r="W38" s="107" t="s">
        <v>81</v>
      </c>
      <c r="X38" s="108"/>
      <c r="Y38" s="109">
        <f>+Y30+Y37</f>
        <v>0</v>
      </c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</row>
    <row r="39" spans="2:38" x14ac:dyDescent="0.25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</row>
    <row r="40" spans="2:38" x14ac:dyDescent="0.25"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</row>
  </sheetData>
  <mergeCells count="27">
    <mergeCell ref="W3:Y3"/>
    <mergeCell ref="B3:D3"/>
    <mergeCell ref="F3:H3"/>
    <mergeCell ref="J3:L3"/>
    <mergeCell ref="N3:P3"/>
    <mergeCell ref="R3:T3"/>
    <mergeCell ref="F15:G15"/>
    <mergeCell ref="J15:K15"/>
    <mergeCell ref="N15:O15"/>
    <mergeCell ref="R15:S15"/>
    <mergeCell ref="W15:X15"/>
    <mergeCell ref="AB5:AF5"/>
    <mergeCell ref="AB21:AF21"/>
    <mergeCell ref="AI21:AL21"/>
    <mergeCell ref="B30:C30"/>
    <mergeCell ref="F30:G30"/>
    <mergeCell ref="J30:K30"/>
    <mergeCell ref="N30:O30"/>
    <mergeCell ref="R30:S30"/>
    <mergeCell ref="W30:X30"/>
    <mergeCell ref="B28:C28"/>
    <mergeCell ref="F28:G28"/>
    <mergeCell ref="J28:K28"/>
    <mergeCell ref="N28:O28"/>
    <mergeCell ref="R28:S28"/>
    <mergeCell ref="W28:X28"/>
    <mergeCell ref="B15:C1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40"/>
  <sheetViews>
    <sheetView zoomScale="80" zoomScaleNormal="80" workbookViewId="0">
      <selection activeCell="AD34" sqref="AD34"/>
    </sheetView>
  </sheetViews>
  <sheetFormatPr defaultRowHeight="15" x14ac:dyDescent="0.25"/>
  <cols>
    <col min="3" max="3" width="12.5703125" bestFit="1" customWidth="1"/>
    <col min="5" max="5" width="2" customWidth="1"/>
    <col min="7" max="7" width="14.5703125" customWidth="1"/>
    <col min="9" max="9" width="1.28515625" customWidth="1"/>
    <col min="11" max="11" width="15" customWidth="1"/>
    <col min="13" max="13" width="1.5703125" customWidth="1"/>
    <col min="15" max="15" width="16.7109375" customWidth="1"/>
    <col min="17" max="17" width="1.42578125" customWidth="1"/>
    <col min="19" max="19" width="13.5703125" bestFit="1" customWidth="1"/>
    <col min="20" max="20" width="10.5703125" bestFit="1" customWidth="1"/>
    <col min="21" max="21" width="1.42578125" customWidth="1"/>
    <col min="27" max="27" width="1.28515625" customWidth="1"/>
    <col min="28" max="28" width="15" bestFit="1" customWidth="1"/>
    <col min="29" max="29" width="10.5703125" bestFit="1" customWidth="1"/>
    <col min="30" max="30" width="15.5703125" bestFit="1" customWidth="1"/>
    <col min="31" max="31" width="13.85546875" bestFit="1" customWidth="1"/>
    <col min="34" max="34" width="1" customWidth="1"/>
    <col min="35" max="35" width="10.140625" customWidth="1"/>
    <col min="36" max="36" width="15.28515625" bestFit="1" customWidth="1"/>
    <col min="37" max="37" width="11.7109375" customWidth="1"/>
  </cols>
  <sheetData>
    <row r="2" spans="2:38" ht="15.75" thickBot="1" x14ac:dyDescent="0.3"/>
    <row r="3" spans="2:38" x14ac:dyDescent="0.25">
      <c r="B3" s="240" t="s">
        <v>0</v>
      </c>
      <c r="C3" s="240"/>
      <c r="D3" s="240"/>
      <c r="E3" s="85"/>
      <c r="F3" s="240" t="s">
        <v>1</v>
      </c>
      <c r="G3" s="240"/>
      <c r="H3" s="240"/>
      <c r="I3" s="85"/>
      <c r="J3" s="240" t="s">
        <v>2</v>
      </c>
      <c r="K3" s="240"/>
      <c r="L3" s="240"/>
      <c r="M3" s="85"/>
      <c r="N3" s="240" t="s">
        <v>3</v>
      </c>
      <c r="O3" s="240"/>
      <c r="P3" s="240"/>
      <c r="Q3" s="85"/>
      <c r="R3" s="240" t="s">
        <v>4</v>
      </c>
      <c r="S3" s="240"/>
      <c r="T3" s="240"/>
      <c r="U3" s="85"/>
      <c r="V3" s="94"/>
      <c r="W3" s="244" t="s">
        <v>5</v>
      </c>
      <c r="X3" s="244"/>
      <c r="Y3" s="244"/>
      <c r="Z3" s="196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</row>
    <row r="4" spans="2:38" x14ac:dyDescent="0.25">
      <c r="B4" s="88" t="s">
        <v>6</v>
      </c>
      <c r="C4" s="88" t="s">
        <v>7</v>
      </c>
      <c r="D4" s="88" t="s">
        <v>8</v>
      </c>
      <c r="E4" s="85"/>
      <c r="F4" s="88" t="s">
        <v>6</v>
      </c>
      <c r="G4" s="88" t="s">
        <v>7</v>
      </c>
      <c r="H4" s="88" t="s">
        <v>8</v>
      </c>
      <c r="I4" s="85"/>
      <c r="J4" s="88" t="s">
        <v>6</v>
      </c>
      <c r="K4" s="88" t="s">
        <v>7</v>
      </c>
      <c r="L4" s="88" t="s">
        <v>8</v>
      </c>
      <c r="M4" s="85"/>
      <c r="N4" s="88" t="s">
        <v>6</v>
      </c>
      <c r="O4" s="88" t="s">
        <v>7</v>
      </c>
      <c r="P4" s="88" t="s">
        <v>8</v>
      </c>
      <c r="Q4" s="85"/>
      <c r="R4" s="88" t="s">
        <v>6</v>
      </c>
      <c r="S4" s="88" t="s">
        <v>7</v>
      </c>
      <c r="T4" s="88" t="s">
        <v>8</v>
      </c>
      <c r="U4" s="85"/>
      <c r="V4" s="96"/>
      <c r="W4" s="98" t="s">
        <v>6</v>
      </c>
      <c r="X4" s="98" t="s">
        <v>7</v>
      </c>
      <c r="Y4" s="98" t="s">
        <v>8</v>
      </c>
      <c r="Z4" s="97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</row>
    <row r="5" spans="2:38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>
        <v>53</v>
      </c>
      <c r="H5" s="120">
        <f>+G5*F5</f>
        <v>53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/>
      <c r="T5" s="120">
        <f>+S5*R5</f>
        <v>0</v>
      </c>
      <c r="U5" s="110"/>
      <c r="V5" s="111"/>
      <c r="W5" s="122">
        <v>1</v>
      </c>
      <c r="X5" s="123">
        <f>+C5+G5+K5+O5+S5</f>
        <v>53</v>
      </c>
      <c r="Y5" s="121">
        <f>+D5+H5+L5+P5+T5</f>
        <v>53</v>
      </c>
      <c r="Z5" s="112"/>
      <c r="AA5" s="110"/>
      <c r="AB5" s="207" t="s">
        <v>9</v>
      </c>
      <c r="AC5" s="221"/>
      <c r="AD5" s="221"/>
      <c r="AE5" s="221"/>
      <c r="AF5" s="221"/>
      <c r="AG5" s="146"/>
      <c r="AH5" s="85"/>
      <c r="AI5" s="88" t="s">
        <v>6</v>
      </c>
      <c r="AJ5" s="88" t="s">
        <v>7</v>
      </c>
      <c r="AK5" s="88" t="s">
        <v>8</v>
      </c>
      <c r="AL5" s="85"/>
    </row>
    <row r="6" spans="2:38" ht="15.75" thickTop="1" x14ac:dyDescent="0.25">
      <c r="B6" s="86">
        <v>10</v>
      </c>
      <c r="C6" s="86">
        <v>367</v>
      </c>
      <c r="D6" s="120">
        <f>+C6*B6</f>
        <v>3670</v>
      </c>
      <c r="E6" s="85"/>
      <c r="F6" s="86">
        <v>10</v>
      </c>
      <c r="G6" s="86">
        <v>365</v>
      </c>
      <c r="H6" s="120">
        <f>+G6*F6</f>
        <v>3650</v>
      </c>
      <c r="I6" s="85"/>
      <c r="J6" s="86">
        <v>10</v>
      </c>
      <c r="K6" s="86">
        <v>88</v>
      </c>
      <c r="L6" s="120">
        <f>+K6*J6</f>
        <v>880</v>
      </c>
      <c r="M6" s="85"/>
      <c r="N6" s="86">
        <v>10</v>
      </c>
      <c r="O6" s="86">
        <v>152</v>
      </c>
      <c r="P6" s="120">
        <f>+O6*N6</f>
        <v>1520</v>
      </c>
      <c r="Q6" s="85"/>
      <c r="R6" s="86">
        <v>10</v>
      </c>
      <c r="S6" s="86">
        <v>2</v>
      </c>
      <c r="T6" s="120">
        <f>+S6*R6</f>
        <v>20</v>
      </c>
      <c r="U6" s="85"/>
      <c r="V6" s="96"/>
      <c r="W6" s="123">
        <v>10</v>
      </c>
      <c r="X6" s="123">
        <f>+C6+G6+K6+O6+S6</f>
        <v>974</v>
      </c>
      <c r="Y6" s="121">
        <f>+D6+H6+L6+P6+T6</f>
        <v>9740</v>
      </c>
      <c r="Z6" s="97"/>
      <c r="AA6" s="85"/>
      <c r="AB6" s="85"/>
      <c r="AC6" s="85"/>
      <c r="AD6" s="85"/>
      <c r="AE6" s="85"/>
      <c r="AF6" s="85"/>
      <c r="AG6" s="85"/>
      <c r="AH6" s="85"/>
      <c r="AI6" s="113">
        <v>1</v>
      </c>
      <c r="AJ6" s="113">
        <v>58</v>
      </c>
      <c r="AK6" s="120">
        <f t="shared" ref="AK6:AK13" si="0">+AJ6*AI6</f>
        <v>58</v>
      </c>
      <c r="AL6" s="110"/>
    </row>
    <row r="7" spans="2:38" x14ac:dyDescent="0.25">
      <c r="B7" s="86">
        <v>20</v>
      </c>
      <c r="C7" s="86">
        <v>93</v>
      </c>
      <c r="D7" s="120">
        <f t="shared" ref="D7:D12" si="1">+C7*B7</f>
        <v>1860</v>
      </c>
      <c r="E7" s="85"/>
      <c r="F7" s="86">
        <v>20</v>
      </c>
      <c r="G7" s="86">
        <v>37</v>
      </c>
      <c r="H7" s="120">
        <f t="shared" ref="H7:H12" si="2">+G7*F7</f>
        <v>740</v>
      </c>
      <c r="I7" s="85"/>
      <c r="J7" s="86">
        <v>20</v>
      </c>
      <c r="K7" s="86">
        <v>11</v>
      </c>
      <c r="L7" s="120">
        <f t="shared" ref="L7:L12" si="3">+K7*J7</f>
        <v>220</v>
      </c>
      <c r="M7" s="85"/>
      <c r="N7" s="86">
        <v>20</v>
      </c>
      <c r="O7" s="86">
        <v>30</v>
      </c>
      <c r="P7" s="120">
        <f t="shared" ref="P7:P12" si="4">+O7*N7</f>
        <v>600</v>
      </c>
      <c r="Q7" s="85"/>
      <c r="R7" s="86">
        <v>20</v>
      </c>
      <c r="S7" s="86"/>
      <c r="T7" s="120">
        <f t="shared" ref="T7:T12" si="5">+S7*R7</f>
        <v>0</v>
      </c>
      <c r="U7" s="85"/>
      <c r="V7" s="96"/>
      <c r="W7" s="123">
        <v>20</v>
      </c>
      <c r="X7" s="123">
        <f>+C7+G7+K7+O7+S7</f>
        <v>171</v>
      </c>
      <c r="Y7" s="121">
        <f t="shared" ref="Y7:Y12" si="6">+D7+H7+L7+P7+T7</f>
        <v>3420</v>
      </c>
      <c r="Z7" s="97"/>
      <c r="AA7" s="85"/>
      <c r="AB7" s="141" t="s">
        <v>10</v>
      </c>
      <c r="AC7" s="142">
        <f>Y13</f>
        <v>323763</v>
      </c>
      <c r="AD7" s="110"/>
      <c r="AE7" s="110"/>
      <c r="AF7" s="110"/>
      <c r="AG7" s="110"/>
      <c r="AH7" s="85"/>
      <c r="AI7" s="86">
        <v>10</v>
      </c>
      <c r="AJ7" s="86">
        <v>978</v>
      </c>
      <c r="AK7" s="120">
        <f t="shared" si="0"/>
        <v>9780</v>
      </c>
      <c r="AL7" s="85"/>
    </row>
    <row r="8" spans="2:38" x14ac:dyDescent="0.25">
      <c r="B8" s="86">
        <v>50</v>
      </c>
      <c r="C8" s="86">
        <v>127</v>
      </c>
      <c r="D8" s="120">
        <f t="shared" si="1"/>
        <v>6350</v>
      </c>
      <c r="E8" s="85"/>
      <c r="F8" s="86">
        <v>50</v>
      </c>
      <c r="G8" s="86">
        <v>82</v>
      </c>
      <c r="H8" s="120">
        <f t="shared" si="2"/>
        <v>4100</v>
      </c>
      <c r="I8" s="85"/>
      <c r="J8" s="86">
        <v>50</v>
      </c>
      <c r="K8" s="86">
        <v>26</v>
      </c>
      <c r="L8" s="120">
        <f t="shared" si="3"/>
        <v>1300</v>
      </c>
      <c r="M8" s="85"/>
      <c r="N8" s="86">
        <v>50</v>
      </c>
      <c r="O8" s="86">
        <v>3</v>
      </c>
      <c r="P8" s="120">
        <f t="shared" si="4"/>
        <v>150</v>
      </c>
      <c r="Q8" s="85"/>
      <c r="R8" s="86">
        <v>50</v>
      </c>
      <c r="S8" s="86">
        <v>1</v>
      </c>
      <c r="T8" s="120">
        <f t="shared" si="5"/>
        <v>50</v>
      </c>
      <c r="U8" s="85"/>
      <c r="V8" s="96"/>
      <c r="W8" s="123">
        <v>50</v>
      </c>
      <c r="X8" s="123">
        <f t="shared" ref="X8:X12" si="7">+C8+G8+K8+O8+S8</f>
        <v>239</v>
      </c>
      <c r="Y8" s="121">
        <f t="shared" si="6"/>
        <v>11950</v>
      </c>
      <c r="Z8" s="97"/>
      <c r="AA8" s="85"/>
      <c r="AB8" s="138" t="s">
        <v>11</v>
      </c>
      <c r="AC8" s="138">
        <f>+AF31</f>
        <v>129171</v>
      </c>
      <c r="AD8" s="85"/>
      <c r="AE8" s="85"/>
      <c r="AF8" s="85"/>
      <c r="AG8" s="85"/>
      <c r="AH8" s="85"/>
      <c r="AI8" s="86">
        <v>20</v>
      </c>
      <c r="AJ8" s="86">
        <v>175</v>
      </c>
      <c r="AK8" s="120">
        <f t="shared" si="0"/>
        <v>3500</v>
      </c>
      <c r="AL8" s="85"/>
    </row>
    <row r="9" spans="2:38" ht="15.75" thickBot="1" x14ac:dyDescent="0.3">
      <c r="B9" s="86">
        <v>100</v>
      </c>
      <c r="C9" s="86">
        <v>85</v>
      </c>
      <c r="D9" s="120">
        <f t="shared" si="1"/>
        <v>8500</v>
      </c>
      <c r="E9" s="85"/>
      <c r="F9" s="86">
        <v>100</v>
      </c>
      <c r="G9" s="86">
        <v>84</v>
      </c>
      <c r="H9" s="120">
        <f t="shared" si="2"/>
        <v>8400</v>
      </c>
      <c r="I9" s="85"/>
      <c r="J9" s="86">
        <v>100</v>
      </c>
      <c r="K9" s="86">
        <v>30</v>
      </c>
      <c r="L9" s="120">
        <f t="shared" si="3"/>
        <v>3000</v>
      </c>
      <c r="M9" s="85"/>
      <c r="N9" s="86">
        <v>100</v>
      </c>
      <c r="O9" s="86">
        <v>38</v>
      </c>
      <c r="P9" s="120">
        <f t="shared" si="4"/>
        <v>3800</v>
      </c>
      <c r="Q9" s="85"/>
      <c r="R9" s="86">
        <v>100</v>
      </c>
      <c r="S9" s="86">
        <v>4</v>
      </c>
      <c r="T9" s="120">
        <f t="shared" si="5"/>
        <v>400</v>
      </c>
      <c r="U9" s="85"/>
      <c r="V9" s="96"/>
      <c r="W9" s="123">
        <v>100</v>
      </c>
      <c r="X9" s="123">
        <f t="shared" si="7"/>
        <v>241</v>
      </c>
      <c r="Y9" s="121">
        <f t="shared" si="6"/>
        <v>24100</v>
      </c>
      <c r="Z9" s="97"/>
      <c r="AA9" s="85"/>
      <c r="AB9" s="143" t="s">
        <v>12</v>
      </c>
      <c r="AC9" s="144">
        <f>SUM(AC7:AC8)</f>
        <v>452934</v>
      </c>
      <c r="AD9" s="85"/>
      <c r="AE9" s="85"/>
      <c r="AF9" s="85"/>
      <c r="AG9" s="85"/>
      <c r="AH9" s="85"/>
      <c r="AI9" s="86">
        <v>50</v>
      </c>
      <c r="AJ9" s="86">
        <v>358</v>
      </c>
      <c r="AK9" s="120">
        <f t="shared" si="0"/>
        <v>17900</v>
      </c>
      <c r="AL9" s="85"/>
    </row>
    <row r="10" spans="2:38" x14ac:dyDescent="0.25">
      <c r="B10" s="86">
        <v>500</v>
      </c>
      <c r="C10" s="86">
        <v>31</v>
      </c>
      <c r="D10" s="120">
        <f t="shared" si="1"/>
        <v>15500</v>
      </c>
      <c r="E10" s="85"/>
      <c r="F10" s="86">
        <v>500</v>
      </c>
      <c r="G10" s="86">
        <v>22</v>
      </c>
      <c r="H10" s="120">
        <f t="shared" si="2"/>
        <v>11000</v>
      </c>
      <c r="I10" s="85"/>
      <c r="J10" s="86">
        <v>500</v>
      </c>
      <c r="K10" s="86">
        <v>26</v>
      </c>
      <c r="L10" s="120">
        <f t="shared" si="3"/>
        <v>13000</v>
      </c>
      <c r="M10" s="85"/>
      <c r="N10" s="86">
        <v>500</v>
      </c>
      <c r="O10" s="86">
        <v>19</v>
      </c>
      <c r="P10" s="120">
        <f t="shared" si="4"/>
        <v>9500</v>
      </c>
      <c r="Q10" s="85"/>
      <c r="R10" s="86">
        <v>500</v>
      </c>
      <c r="S10" s="86">
        <v>21</v>
      </c>
      <c r="T10" s="120">
        <f t="shared" si="5"/>
        <v>10500</v>
      </c>
      <c r="U10" s="85"/>
      <c r="V10" s="96"/>
      <c r="W10" s="123">
        <v>500</v>
      </c>
      <c r="X10" s="123">
        <f t="shared" si="7"/>
        <v>119</v>
      </c>
      <c r="Y10" s="121">
        <f t="shared" si="6"/>
        <v>59500</v>
      </c>
      <c r="Z10" s="97"/>
      <c r="AA10" s="85"/>
      <c r="AB10" s="85"/>
      <c r="AC10" s="85"/>
      <c r="AD10" s="85"/>
      <c r="AE10" s="85"/>
      <c r="AF10" s="85"/>
      <c r="AG10" s="85"/>
      <c r="AH10" s="85"/>
      <c r="AI10" s="86">
        <v>100</v>
      </c>
      <c r="AJ10" s="86">
        <v>352</v>
      </c>
      <c r="AK10" s="120">
        <f t="shared" si="0"/>
        <v>35200</v>
      </c>
      <c r="AL10" s="85"/>
    </row>
    <row r="11" spans="2:38" x14ac:dyDescent="0.25">
      <c r="B11" s="86">
        <v>1000</v>
      </c>
      <c r="C11" s="86">
        <v>39</v>
      </c>
      <c r="D11" s="120">
        <f t="shared" si="1"/>
        <v>39000</v>
      </c>
      <c r="E11" s="85"/>
      <c r="F11" s="86">
        <v>1000</v>
      </c>
      <c r="G11" s="86">
        <v>22</v>
      </c>
      <c r="H11" s="120">
        <f t="shared" si="2"/>
        <v>22000</v>
      </c>
      <c r="I11" s="85"/>
      <c r="J11" s="86">
        <v>1000</v>
      </c>
      <c r="K11" s="86">
        <v>27</v>
      </c>
      <c r="L11" s="120">
        <f t="shared" si="3"/>
        <v>27000</v>
      </c>
      <c r="M11" s="85"/>
      <c r="N11" s="86">
        <v>1000</v>
      </c>
      <c r="O11" s="86">
        <v>50</v>
      </c>
      <c r="P11" s="120">
        <f t="shared" si="4"/>
        <v>50000</v>
      </c>
      <c r="Q11" s="85"/>
      <c r="R11" s="86">
        <v>1000</v>
      </c>
      <c r="S11" s="86">
        <v>27</v>
      </c>
      <c r="T11" s="120">
        <f t="shared" si="5"/>
        <v>27000</v>
      </c>
      <c r="U11" s="85"/>
      <c r="V11" s="96"/>
      <c r="W11" s="123">
        <v>1000</v>
      </c>
      <c r="X11" s="123">
        <f t="shared" si="7"/>
        <v>165</v>
      </c>
      <c r="Y11" s="121">
        <f t="shared" si="6"/>
        <v>165000</v>
      </c>
      <c r="Z11" s="97"/>
      <c r="AA11" s="85"/>
      <c r="AB11" s="132" t="s">
        <v>13</v>
      </c>
      <c r="AC11" s="132" t="s">
        <v>8</v>
      </c>
      <c r="AD11" s="132" t="s">
        <v>14</v>
      </c>
      <c r="AE11" s="132" t="s">
        <v>15</v>
      </c>
      <c r="AF11" s="132" t="s">
        <v>16</v>
      </c>
      <c r="AG11" s="132"/>
      <c r="AH11" s="85"/>
      <c r="AI11" s="86">
        <v>500</v>
      </c>
      <c r="AJ11" s="86">
        <v>243</v>
      </c>
      <c r="AK11" s="120">
        <f t="shared" si="0"/>
        <v>121500</v>
      </c>
      <c r="AL11" s="85"/>
    </row>
    <row r="12" spans="2:38" x14ac:dyDescent="0.25">
      <c r="B12" s="86">
        <v>5000</v>
      </c>
      <c r="C12" s="86">
        <v>1</v>
      </c>
      <c r="D12" s="120">
        <f t="shared" si="1"/>
        <v>5000</v>
      </c>
      <c r="E12" s="85"/>
      <c r="F12" s="86">
        <v>5000</v>
      </c>
      <c r="G12" s="86">
        <v>2</v>
      </c>
      <c r="H12" s="120">
        <f t="shared" si="2"/>
        <v>10000</v>
      </c>
      <c r="I12" s="85"/>
      <c r="J12" s="86">
        <v>5000</v>
      </c>
      <c r="K12" s="86">
        <v>3</v>
      </c>
      <c r="L12" s="120">
        <f t="shared" si="3"/>
        <v>15000</v>
      </c>
      <c r="M12" s="85"/>
      <c r="N12" s="86">
        <v>5000</v>
      </c>
      <c r="O12" s="86">
        <v>2</v>
      </c>
      <c r="P12" s="120">
        <f t="shared" si="4"/>
        <v>10000</v>
      </c>
      <c r="Q12" s="85"/>
      <c r="R12" s="86">
        <v>5000</v>
      </c>
      <c r="S12" s="86">
        <v>2</v>
      </c>
      <c r="T12" s="120">
        <f t="shared" si="5"/>
        <v>10000</v>
      </c>
      <c r="U12" s="85"/>
      <c r="V12" s="96"/>
      <c r="W12" s="123">
        <v>5000</v>
      </c>
      <c r="X12" s="123">
        <f t="shared" si="7"/>
        <v>10</v>
      </c>
      <c r="Y12" s="121">
        <f t="shared" si="6"/>
        <v>50000</v>
      </c>
      <c r="Z12" s="97"/>
      <c r="AA12" s="85"/>
      <c r="AB12" s="85" t="s">
        <v>17</v>
      </c>
      <c r="AC12" s="89">
        <v>443770</v>
      </c>
      <c r="AD12" s="85">
        <v>549870</v>
      </c>
      <c r="AE12" s="137" t="s">
        <v>726</v>
      </c>
      <c r="AF12" s="85" t="s">
        <v>223</v>
      </c>
      <c r="AG12" s="85"/>
      <c r="AH12" s="85"/>
      <c r="AI12" s="86">
        <v>1000</v>
      </c>
      <c r="AJ12" s="86">
        <v>210</v>
      </c>
      <c r="AK12" s="120">
        <f t="shared" si="0"/>
        <v>210000</v>
      </c>
      <c r="AL12" s="85"/>
    </row>
    <row r="13" spans="2:38" ht="15.75" thickBot="1" x14ac:dyDescent="0.3">
      <c r="B13" s="87" t="s">
        <v>18</v>
      </c>
      <c r="C13" s="87"/>
      <c r="D13" s="90">
        <f>+SUM(D5:D12)</f>
        <v>79880</v>
      </c>
      <c r="E13" s="85"/>
      <c r="F13" s="87" t="s">
        <v>18</v>
      </c>
      <c r="G13" s="87"/>
      <c r="H13" s="90">
        <f>+SUM(H5:H12)</f>
        <v>59943</v>
      </c>
      <c r="I13" s="85"/>
      <c r="J13" s="87" t="s">
        <v>18</v>
      </c>
      <c r="K13" s="87"/>
      <c r="L13" s="90">
        <f>+SUM(L5:L12)</f>
        <v>60400</v>
      </c>
      <c r="M13" s="85"/>
      <c r="N13" s="87" t="s">
        <v>18</v>
      </c>
      <c r="O13" s="87"/>
      <c r="P13" s="90">
        <f>+SUM(P5:P12)</f>
        <v>75570</v>
      </c>
      <c r="Q13" s="85"/>
      <c r="R13" s="87" t="s">
        <v>18</v>
      </c>
      <c r="S13" s="87"/>
      <c r="T13" s="90">
        <f>+SUM(T5:T12)</f>
        <v>47970</v>
      </c>
      <c r="U13" s="85"/>
      <c r="V13" s="96"/>
      <c r="W13" s="87" t="s">
        <v>18</v>
      </c>
      <c r="X13" s="87"/>
      <c r="Y13" s="90">
        <f>+SUM(Y5:Y12)</f>
        <v>323763</v>
      </c>
      <c r="Z13" s="97"/>
      <c r="AA13" s="85"/>
      <c r="AB13" s="85" t="s">
        <v>19</v>
      </c>
      <c r="AC13" s="89">
        <v>9110</v>
      </c>
      <c r="AD13" s="85"/>
      <c r="AE13" s="85"/>
      <c r="AF13" s="85"/>
      <c r="AG13" s="85"/>
      <c r="AH13" s="85"/>
      <c r="AI13" s="86">
        <v>5000</v>
      </c>
      <c r="AJ13" s="86">
        <v>11</v>
      </c>
      <c r="AK13" s="120">
        <f t="shared" si="0"/>
        <v>55000</v>
      </c>
      <c r="AL13" s="85"/>
    </row>
    <row r="14" spans="2:38" ht="15.75" thickBot="1" x14ac:dyDescent="0.3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96"/>
      <c r="W14" s="100"/>
      <c r="X14" s="100"/>
      <c r="Y14" s="100"/>
      <c r="Z14" s="97"/>
      <c r="AA14" s="85"/>
      <c r="AB14" s="85" t="s">
        <v>20</v>
      </c>
      <c r="AC14" s="89"/>
      <c r="AD14" s="85"/>
      <c r="AE14" s="85"/>
      <c r="AF14" s="85"/>
      <c r="AG14" s="85"/>
      <c r="AH14" s="85"/>
      <c r="AI14" s="87" t="s">
        <v>18</v>
      </c>
      <c r="AJ14" s="87"/>
      <c r="AK14" s="90">
        <f>+SUM(AK6:AK13)</f>
        <v>452938</v>
      </c>
      <c r="AL14" s="85"/>
    </row>
    <row r="15" spans="2:38" ht="15.75" thickBot="1" x14ac:dyDescent="0.3">
      <c r="B15" s="242" t="s">
        <v>21</v>
      </c>
      <c r="C15" s="243"/>
      <c r="D15" s="92">
        <v>86069</v>
      </c>
      <c r="E15" s="114"/>
      <c r="F15" s="242" t="s">
        <v>21</v>
      </c>
      <c r="G15" s="243"/>
      <c r="H15" s="92">
        <v>113239</v>
      </c>
      <c r="I15" s="114"/>
      <c r="J15" s="242" t="s">
        <v>21</v>
      </c>
      <c r="K15" s="243"/>
      <c r="L15" s="92">
        <v>90822</v>
      </c>
      <c r="M15" s="114"/>
      <c r="N15" s="242" t="s">
        <v>21</v>
      </c>
      <c r="O15" s="243"/>
      <c r="P15" s="92">
        <v>128755.99</v>
      </c>
      <c r="Q15" s="114"/>
      <c r="R15" s="242" t="s">
        <v>21</v>
      </c>
      <c r="S15" s="243"/>
      <c r="T15" s="92">
        <v>396024</v>
      </c>
      <c r="U15" s="114"/>
      <c r="V15" s="115"/>
      <c r="W15" s="242" t="s">
        <v>21</v>
      </c>
      <c r="X15" s="243"/>
      <c r="Y15" s="92">
        <f>+D15+H15+L15+P15+T15</f>
        <v>814909.99</v>
      </c>
      <c r="Z15" s="116"/>
      <c r="AA15" s="114"/>
      <c r="AB15" s="85" t="s">
        <v>22</v>
      </c>
      <c r="AC15" s="89"/>
      <c r="AD15" s="85"/>
      <c r="AE15" s="85"/>
      <c r="AF15" s="85"/>
      <c r="AG15" s="85"/>
      <c r="AH15" s="85"/>
      <c r="AI15" s="85"/>
      <c r="AJ15" s="85"/>
      <c r="AK15" s="85"/>
      <c r="AL15" s="85"/>
    </row>
    <row r="16" spans="2:38" x14ac:dyDescent="0.25">
      <c r="B16" s="85" t="s">
        <v>10</v>
      </c>
      <c r="C16" s="85"/>
      <c r="D16" s="89">
        <f>+D13</f>
        <v>79880</v>
      </c>
      <c r="E16" s="85"/>
      <c r="F16" s="85" t="s">
        <v>10</v>
      </c>
      <c r="G16" s="85"/>
      <c r="H16" s="89">
        <f>+H13</f>
        <v>59943</v>
      </c>
      <c r="I16" s="85"/>
      <c r="J16" s="85" t="s">
        <v>10</v>
      </c>
      <c r="K16" s="85"/>
      <c r="L16" s="89">
        <f>+L13</f>
        <v>60400</v>
      </c>
      <c r="M16" s="85"/>
      <c r="N16" s="85" t="s">
        <v>10</v>
      </c>
      <c r="O16" s="85"/>
      <c r="P16" s="89">
        <f>+P13</f>
        <v>75570</v>
      </c>
      <c r="Q16" s="85"/>
      <c r="R16" s="85" t="s">
        <v>10</v>
      </c>
      <c r="S16" s="85"/>
      <c r="T16" s="89">
        <f>+T13</f>
        <v>47970</v>
      </c>
      <c r="U16" s="85"/>
      <c r="V16" s="96"/>
      <c r="W16" s="124" t="s">
        <v>10</v>
      </c>
      <c r="X16" s="124"/>
      <c r="Y16" s="121">
        <f>+D16+H16+L16+P16+T16</f>
        <v>323763</v>
      </c>
      <c r="Z16" s="97"/>
      <c r="AA16" s="85"/>
      <c r="AB16" s="85" t="s">
        <v>23</v>
      </c>
      <c r="AC16" s="89"/>
      <c r="AD16" s="85"/>
      <c r="AE16" s="85"/>
      <c r="AF16" s="85"/>
      <c r="AG16" s="85"/>
      <c r="AH16" s="85"/>
      <c r="AI16" s="85"/>
      <c r="AJ16" s="85"/>
      <c r="AK16" s="85"/>
      <c r="AL16" s="85"/>
    </row>
    <row r="17" spans="2:38" x14ac:dyDescent="0.25">
      <c r="B17" s="85" t="s">
        <v>17</v>
      </c>
      <c r="C17" s="85"/>
      <c r="D17" s="89">
        <v>7000</v>
      </c>
      <c r="E17" s="85"/>
      <c r="F17" s="85" t="s">
        <v>17</v>
      </c>
      <c r="G17" s="85"/>
      <c r="H17" s="89"/>
      <c r="I17" s="85"/>
      <c r="J17" s="85" t="s">
        <v>17</v>
      </c>
      <c r="K17" s="85"/>
      <c r="L17" s="89"/>
      <c r="M17" s="85"/>
      <c r="N17" s="85" t="s">
        <v>17</v>
      </c>
      <c r="O17" s="85"/>
      <c r="P17" s="89"/>
      <c r="Q17" s="85"/>
      <c r="R17" s="85" t="s">
        <v>17</v>
      </c>
      <c r="S17" s="85"/>
      <c r="T17" s="89"/>
      <c r="U17" s="85"/>
      <c r="V17" s="96"/>
      <c r="W17" s="124" t="s">
        <v>17</v>
      </c>
      <c r="X17" s="124"/>
      <c r="Y17" s="121">
        <f t="shared" ref="Y17:Y27" si="8">+D17+H17+L17+P17+T17</f>
        <v>7000</v>
      </c>
      <c r="Z17" s="97"/>
      <c r="AA17" s="85"/>
      <c r="AB17" s="133" t="s">
        <v>12</v>
      </c>
      <c r="AC17" s="134">
        <f>+SUM(AC12:AC16)</f>
        <v>452880</v>
      </c>
      <c r="AD17" s="160"/>
      <c r="AE17" s="85"/>
      <c r="AF17" s="85"/>
      <c r="AG17" s="85"/>
      <c r="AH17" s="85"/>
      <c r="AI17" s="85"/>
      <c r="AJ17" s="85"/>
      <c r="AK17" s="85"/>
      <c r="AL17" s="85"/>
    </row>
    <row r="18" spans="2:38" x14ac:dyDescent="0.25">
      <c r="B18" s="85" t="s">
        <v>487</v>
      </c>
      <c r="C18" s="85" t="s">
        <v>686</v>
      </c>
      <c r="D18" s="89">
        <v>7608</v>
      </c>
      <c r="E18" s="85"/>
      <c r="F18" s="85" t="s">
        <v>701</v>
      </c>
      <c r="G18" s="85" t="s">
        <v>702</v>
      </c>
      <c r="H18" s="89">
        <v>9000</v>
      </c>
      <c r="I18" s="85"/>
      <c r="J18" s="85" t="s">
        <v>696</v>
      </c>
      <c r="K18" s="85" t="s">
        <v>697</v>
      </c>
      <c r="L18" s="89">
        <v>10000</v>
      </c>
      <c r="M18" s="85"/>
      <c r="N18" s="85" t="s">
        <v>688</v>
      </c>
      <c r="O18" s="85" t="s">
        <v>689</v>
      </c>
      <c r="P18" s="89">
        <v>12611</v>
      </c>
      <c r="Q18" s="85"/>
      <c r="R18" s="85" t="s">
        <v>342</v>
      </c>
      <c r="S18" s="85" t="s">
        <v>678</v>
      </c>
      <c r="T18" s="89">
        <v>40000</v>
      </c>
      <c r="U18" s="85"/>
      <c r="V18" s="96"/>
      <c r="W18" s="124" t="s">
        <v>26</v>
      </c>
      <c r="X18" s="124"/>
      <c r="Y18" s="121">
        <f t="shared" si="8"/>
        <v>79219</v>
      </c>
      <c r="Z18" s="97"/>
      <c r="AA18" s="85"/>
      <c r="AB18" s="135" t="s">
        <v>32</v>
      </c>
      <c r="AC18" s="136">
        <f>+AC17-AC9</f>
        <v>-54</v>
      </c>
      <c r="AD18" s="85" t="s">
        <v>33</v>
      </c>
      <c r="AE18" s="85"/>
      <c r="AF18" s="85"/>
      <c r="AG18" s="85"/>
      <c r="AH18" s="85"/>
      <c r="AI18" s="85"/>
      <c r="AJ18" s="85"/>
      <c r="AK18" s="85"/>
      <c r="AL18" s="85"/>
    </row>
    <row r="19" spans="2:38" x14ac:dyDescent="0.25">
      <c r="B19" s="85" t="s">
        <v>34</v>
      </c>
      <c r="C19" s="85"/>
      <c r="D19" s="89"/>
      <c r="E19" s="85"/>
      <c r="F19" s="85" t="s">
        <v>703</v>
      </c>
      <c r="G19" s="85" t="s">
        <v>704</v>
      </c>
      <c r="H19" s="89">
        <v>7484</v>
      </c>
      <c r="I19" s="85"/>
      <c r="J19" s="85" t="s">
        <v>698</v>
      </c>
      <c r="K19" s="85" t="s">
        <v>699</v>
      </c>
      <c r="L19" s="89">
        <v>3200</v>
      </c>
      <c r="M19" s="85"/>
      <c r="N19" s="85" t="s">
        <v>690</v>
      </c>
      <c r="O19" s="85" t="s">
        <v>691</v>
      </c>
      <c r="P19" s="89">
        <v>2129</v>
      </c>
      <c r="Q19" s="85"/>
      <c r="R19" s="85" t="s">
        <v>492</v>
      </c>
      <c r="S19" s="85" t="s">
        <v>679</v>
      </c>
      <c r="T19" s="89">
        <v>141250</v>
      </c>
      <c r="U19" s="85"/>
      <c r="V19" s="96"/>
      <c r="W19" s="124" t="s">
        <v>34</v>
      </c>
      <c r="X19" s="124"/>
      <c r="Y19" s="121">
        <f t="shared" si="8"/>
        <v>154063</v>
      </c>
      <c r="Z19" s="97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</row>
    <row r="20" spans="2:38" x14ac:dyDescent="0.25">
      <c r="B20" s="85" t="s">
        <v>36</v>
      </c>
      <c r="C20" s="85"/>
      <c r="D20" s="89"/>
      <c r="E20" s="85"/>
      <c r="F20" s="85" t="s">
        <v>705</v>
      </c>
      <c r="G20" s="85" t="s">
        <v>706</v>
      </c>
      <c r="H20" s="89">
        <v>7798</v>
      </c>
      <c r="I20" s="85"/>
      <c r="J20" s="85" t="s">
        <v>696</v>
      </c>
      <c r="K20" s="85" t="s">
        <v>700</v>
      </c>
      <c r="L20" s="89">
        <v>17400</v>
      </c>
      <c r="M20" s="85"/>
      <c r="N20" s="85" t="s">
        <v>692</v>
      </c>
      <c r="O20" s="85" t="s">
        <v>693</v>
      </c>
      <c r="P20" s="89">
        <v>15277</v>
      </c>
      <c r="Q20" s="85"/>
      <c r="R20" s="85" t="s">
        <v>36</v>
      </c>
      <c r="S20" s="85"/>
      <c r="T20" s="89"/>
      <c r="U20" s="85"/>
      <c r="V20" s="96"/>
      <c r="W20" s="124" t="s">
        <v>36</v>
      </c>
      <c r="X20" s="124"/>
      <c r="Y20" s="121">
        <f t="shared" si="8"/>
        <v>40475</v>
      </c>
      <c r="Z20" s="97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</row>
    <row r="21" spans="2:38" x14ac:dyDescent="0.25">
      <c r="B21" s="85"/>
      <c r="C21" s="85"/>
      <c r="D21" s="89"/>
      <c r="E21" s="85"/>
      <c r="F21" s="85" t="s">
        <v>703</v>
      </c>
      <c r="G21" s="85" t="s">
        <v>707</v>
      </c>
      <c r="H21" s="89">
        <v>6137</v>
      </c>
      <c r="I21" s="85"/>
      <c r="J21" s="85"/>
      <c r="K21" s="85"/>
      <c r="L21" s="89"/>
      <c r="M21" s="85"/>
      <c r="N21" s="85" t="s">
        <v>694</v>
      </c>
      <c r="O21" s="85" t="s">
        <v>695</v>
      </c>
      <c r="P21" s="147">
        <v>23350</v>
      </c>
      <c r="Q21" s="85"/>
      <c r="R21" s="85"/>
      <c r="S21" s="85"/>
      <c r="T21" s="89"/>
      <c r="U21" s="85"/>
      <c r="V21" s="96"/>
      <c r="W21" s="124"/>
      <c r="X21" s="124"/>
      <c r="Y21" s="121">
        <f t="shared" si="8"/>
        <v>29487</v>
      </c>
      <c r="Z21" s="97"/>
      <c r="AA21" s="85"/>
      <c r="AB21" s="139" t="s">
        <v>37</v>
      </c>
      <c r="AC21" s="139"/>
      <c r="AD21" s="139"/>
      <c r="AE21" s="114"/>
      <c r="AF21" s="85"/>
      <c r="AG21" s="85"/>
      <c r="AH21" s="85"/>
      <c r="AI21" s="139" t="s">
        <v>38</v>
      </c>
      <c r="AJ21" s="139"/>
      <c r="AK21" s="139"/>
      <c r="AL21" s="147"/>
    </row>
    <row r="22" spans="2:38" x14ac:dyDescent="0.25">
      <c r="B22" s="85"/>
      <c r="C22" s="85"/>
      <c r="D22" s="89"/>
      <c r="E22" s="85"/>
      <c r="F22" s="85" t="s">
        <v>487</v>
      </c>
      <c r="G22" s="85" t="s">
        <v>708</v>
      </c>
      <c r="H22" s="89">
        <v>10328</v>
      </c>
      <c r="I22" s="85"/>
      <c r="J22" s="85"/>
      <c r="K22" s="85"/>
      <c r="L22" s="89"/>
      <c r="M22" s="85"/>
      <c r="N22" s="85"/>
      <c r="O22" s="85"/>
      <c r="P22" s="89"/>
      <c r="Q22" s="85"/>
      <c r="R22" s="85"/>
      <c r="S22" s="85"/>
      <c r="T22" s="89"/>
      <c r="U22" s="85"/>
      <c r="V22" s="96"/>
      <c r="W22" s="124"/>
      <c r="X22" s="124"/>
      <c r="Y22" s="121">
        <f t="shared" si="8"/>
        <v>10328</v>
      </c>
      <c r="Z22" s="97"/>
      <c r="AA22" s="85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G22" s="85"/>
      <c r="AH22" s="85"/>
      <c r="AI22" s="224" t="s">
        <v>41</v>
      </c>
      <c r="AJ22" s="132" t="s">
        <v>45</v>
      </c>
      <c r="AK22" s="132" t="s">
        <v>43</v>
      </c>
      <c r="AL22" s="132" t="s">
        <v>8</v>
      </c>
    </row>
    <row r="23" spans="2:38" x14ac:dyDescent="0.25">
      <c r="B23" s="85" t="s">
        <v>46</v>
      </c>
      <c r="C23" s="85"/>
      <c r="D23" s="89"/>
      <c r="E23" s="85"/>
      <c r="F23" s="85" t="s">
        <v>687</v>
      </c>
      <c r="G23" s="85" t="s">
        <v>127</v>
      </c>
      <c r="H23" s="89">
        <v>12479</v>
      </c>
      <c r="I23" s="85"/>
      <c r="J23" s="85" t="s">
        <v>46</v>
      </c>
      <c r="K23" s="85"/>
      <c r="L23" s="89"/>
      <c r="M23" s="85"/>
      <c r="N23" s="85" t="s">
        <v>240</v>
      </c>
      <c r="O23" s="85"/>
      <c r="P23" s="89"/>
      <c r="Q23" s="85"/>
      <c r="R23" s="85" t="s">
        <v>680</v>
      </c>
      <c r="S23" s="85" t="s">
        <v>190</v>
      </c>
      <c r="T23" s="89">
        <v>38925</v>
      </c>
      <c r="U23" s="85"/>
      <c r="V23" s="96"/>
      <c r="W23" s="124" t="s">
        <v>46</v>
      </c>
      <c r="X23" s="124"/>
      <c r="Y23" s="121">
        <f t="shared" si="8"/>
        <v>51404</v>
      </c>
      <c r="Z23" s="97"/>
      <c r="AA23" s="85"/>
      <c r="AB23" s="166" t="s">
        <v>719</v>
      </c>
      <c r="AC23" s="166" t="s">
        <v>720</v>
      </c>
      <c r="AD23" s="166" t="s">
        <v>371</v>
      </c>
      <c r="AE23" s="166"/>
      <c r="AF23" s="168">
        <v>5353</v>
      </c>
      <c r="AG23" s="85"/>
      <c r="AH23" s="85"/>
      <c r="AI23" s="100" t="s">
        <v>70</v>
      </c>
      <c r="AJ23" s="166" t="s">
        <v>348</v>
      </c>
      <c r="AK23" s="100" t="s">
        <v>716</v>
      </c>
      <c r="AL23" s="149">
        <v>18980</v>
      </c>
    </row>
    <row r="24" spans="2:38" x14ac:dyDescent="0.25">
      <c r="B24" s="85" t="s">
        <v>54</v>
      </c>
      <c r="C24" s="85"/>
      <c r="D24" s="89"/>
      <c r="E24" s="85"/>
      <c r="F24" s="85" t="s">
        <v>54</v>
      </c>
      <c r="G24" s="85"/>
      <c r="H24" s="89"/>
      <c r="I24" s="85"/>
      <c r="J24" s="85" t="s">
        <v>54</v>
      </c>
      <c r="K24" s="85"/>
      <c r="L24" s="89"/>
      <c r="M24" s="85"/>
      <c r="N24" s="85" t="s">
        <v>240</v>
      </c>
      <c r="O24" s="85"/>
      <c r="P24" s="89"/>
      <c r="Q24" s="85"/>
      <c r="R24" s="85" t="s">
        <v>681</v>
      </c>
      <c r="S24" s="85" t="s">
        <v>143</v>
      </c>
      <c r="T24" s="147">
        <v>52227</v>
      </c>
      <c r="U24" s="85"/>
      <c r="V24" s="96"/>
      <c r="W24" s="124" t="s">
        <v>54</v>
      </c>
      <c r="X24" s="124"/>
      <c r="Y24" s="121">
        <f t="shared" si="8"/>
        <v>52227</v>
      </c>
      <c r="Z24" s="97"/>
      <c r="AA24" s="85"/>
      <c r="AB24" s="166" t="s">
        <v>721</v>
      </c>
      <c r="AC24" s="204">
        <v>45887</v>
      </c>
      <c r="AD24" s="166" t="s">
        <v>125</v>
      </c>
      <c r="AE24" s="166"/>
      <c r="AF24" s="168">
        <v>17308</v>
      </c>
      <c r="AG24" s="85"/>
      <c r="AH24" s="85"/>
      <c r="AI24" s="100" t="s">
        <v>139</v>
      </c>
      <c r="AJ24" s="166" t="s">
        <v>709</v>
      </c>
      <c r="AK24" s="100" t="s">
        <v>189</v>
      </c>
      <c r="AL24" s="149">
        <v>15600</v>
      </c>
    </row>
    <row r="25" spans="2:38" x14ac:dyDescent="0.25">
      <c r="B25" s="85" t="s">
        <v>61</v>
      </c>
      <c r="C25" s="85"/>
      <c r="D25" s="89"/>
      <c r="E25" s="85"/>
      <c r="F25" s="85" t="s">
        <v>61</v>
      </c>
      <c r="G25" s="85"/>
      <c r="H25" s="89"/>
      <c r="I25" s="85"/>
      <c r="J25" s="85" t="s">
        <v>61</v>
      </c>
      <c r="K25" s="85"/>
      <c r="L25" s="89"/>
      <c r="M25" s="85"/>
      <c r="N25" s="85" t="s">
        <v>240</v>
      </c>
      <c r="O25" s="85"/>
      <c r="P25" s="89"/>
      <c r="Q25" s="85"/>
      <c r="R25" s="85" t="s">
        <v>682</v>
      </c>
      <c r="S25" s="85" t="s">
        <v>346</v>
      </c>
      <c r="T25" s="89">
        <v>30474</v>
      </c>
      <c r="U25" s="85"/>
      <c r="V25" s="96"/>
      <c r="W25" s="124" t="s">
        <v>61</v>
      </c>
      <c r="X25" s="124"/>
      <c r="Y25" s="121">
        <f t="shared" si="8"/>
        <v>30474</v>
      </c>
      <c r="Z25" s="97"/>
      <c r="AA25" s="85"/>
      <c r="AB25" s="166" t="s">
        <v>723</v>
      </c>
      <c r="AC25" s="204">
        <v>45869</v>
      </c>
      <c r="AD25" s="166" t="s">
        <v>722</v>
      </c>
      <c r="AE25" s="166"/>
      <c r="AF25" s="168">
        <v>20000</v>
      </c>
      <c r="AG25" s="85"/>
      <c r="AH25" s="85"/>
      <c r="AI25" s="100" t="s">
        <v>59</v>
      </c>
      <c r="AJ25" s="166" t="s">
        <v>429</v>
      </c>
      <c r="AK25" s="100" t="s">
        <v>467</v>
      </c>
      <c r="AL25" s="149">
        <v>3450</v>
      </c>
    </row>
    <row r="26" spans="2:38" x14ac:dyDescent="0.25">
      <c r="B26" s="85"/>
      <c r="C26" s="85"/>
      <c r="D26" s="89"/>
      <c r="E26" s="85"/>
      <c r="F26" s="85"/>
      <c r="G26" s="85"/>
      <c r="H26" s="89"/>
      <c r="I26" s="85"/>
      <c r="J26" s="85"/>
      <c r="K26" s="85"/>
      <c r="L26" s="89"/>
      <c r="M26" s="85"/>
      <c r="N26" s="85"/>
      <c r="O26" s="85"/>
      <c r="P26" s="89"/>
      <c r="Q26" s="85"/>
      <c r="R26" s="85" t="s">
        <v>683</v>
      </c>
      <c r="S26" s="85" t="s">
        <v>684</v>
      </c>
      <c r="T26" s="89">
        <v>34742</v>
      </c>
      <c r="U26" s="85"/>
      <c r="V26" s="96"/>
      <c r="W26" s="124"/>
      <c r="X26" s="124"/>
      <c r="Y26" s="121">
        <f t="shared" si="8"/>
        <v>34742</v>
      </c>
      <c r="Z26" s="97"/>
      <c r="AA26" s="85"/>
      <c r="AB26" s="166" t="s">
        <v>724</v>
      </c>
      <c r="AC26" s="204">
        <v>45886</v>
      </c>
      <c r="AD26" s="166" t="s">
        <v>233</v>
      </c>
      <c r="AE26" s="166"/>
      <c r="AF26" s="168">
        <v>71780</v>
      </c>
      <c r="AG26" s="85"/>
      <c r="AH26" s="85"/>
      <c r="AI26" s="100" t="s">
        <v>139</v>
      </c>
      <c r="AJ26" s="166" t="s">
        <v>456</v>
      </c>
      <c r="AK26" s="100" t="s">
        <v>369</v>
      </c>
      <c r="AL26" s="149">
        <v>6031</v>
      </c>
    </row>
    <row r="27" spans="2:38" ht="15.75" thickBot="1" x14ac:dyDescent="0.3">
      <c r="B27" s="85"/>
      <c r="C27" s="85"/>
      <c r="D27" s="89"/>
      <c r="E27" s="85"/>
      <c r="F27" s="85"/>
      <c r="G27" s="85"/>
      <c r="H27" s="89"/>
      <c r="I27" s="85"/>
      <c r="J27" s="85"/>
      <c r="K27" s="85"/>
      <c r="L27" s="89"/>
      <c r="M27" s="85"/>
      <c r="N27" s="85"/>
      <c r="O27" s="85"/>
      <c r="P27" s="89"/>
      <c r="Q27" s="85"/>
      <c r="R27" s="85"/>
      <c r="S27" s="85"/>
      <c r="T27" s="89"/>
      <c r="U27" s="85"/>
      <c r="V27" s="96"/>
      <c r="W27" s="124"/>
      <c r="X27" s="124"/>
      <c r="Y27" s="121">
        <f t="shared" si="8"/>
        <v>0</v>
      </c>
      <c r="Z27" s="97"/>
      <c r="AA27" s="85"/>
      <c r="AB27" s="166" t="s">
        <v>72</v>
      </c>
      <c r="AC27" s="167">
        <v>45891</v>
      </c>
      <c r="AD27" s="166" t="s">
        <v>725</v>
      </c>
      <c r="AE27" s="166" t="s">
        <v>639</v>
      </c>
      <c r="AF27" s="168">
        <v>14730</v>
      </c>
      <c r="AG27" s="85"/>
      <c r="AH27" s="85"/>
      <c r="AI27" s="100" t="s">
        <v>72</v>
      </c>
      <c r="AJ27" s="166" t="s">
        <v>710</v>
      </c>
      <c r="AK27" s="100" t="s">
        <v>717</v>
      </c>
      <c r="AL27" s="149">
        <v>30770</v>
      </c>
    </row>
    <row r="28" spans="2:38" ht="15.75" thickBot="1" x14ac:dyDescent="0.3">
      <c r="B28" s="235" t="s">
        <v>12</v>
      </c>
      <c r="C28" s="236"/>
      <c r="D28" s="93">
        <f>+SUM(D16:D27)</f>
        <v>94488</v>
      </c>
      <c r="E28" s="85"/>
      <c r="F28" s="235" t="s">
        <v>12</v>
      </c>
      <c r="G28" s="236"/>
      <c r="H28" s="93">
        <f>+SUM(H16:H27)</f>
        <v>113169</v>
      </c>
      <c r="I28" s="85"/>
      <c r="J28" s="235" t="s">
        <v>12</v>
      </c>
      <c r="K28" s="236"/>
      <c r="L28" s="93">
        <f>+SUM(L16:L27)</f>
        <v>91000</v>
      </c>
      <c r="M28" s="85"/>
      <c r="N28" s="235" t="s">
        <v>12</v>
      </c>
      <c r="O28" s="236"/>
      <c r="P28" s="93">
        <f>+SUM(P16:P27)</f>
        <v>128937</v>
      </c>
      <c r="Q28" s="85"/>
      <c r="R28" s="235" t="s">
        <v>12</v>
      </c>
      <c r="S28" s="236"/>
      <c r="T28" s="93">
        <f>+SUM(T16:T27)</f>
        <v>385588</v>
      </c>
      <c r="U28" s="85"/>
      <c r="V28" s="96"/>
      <c r="W28" s="235" t="s">
        <v>12</v>
      </c>
      <c r="X28" s="236"/>
      <c r="Y28" s="93">
        <f>+SUM(Y16:Y27)</f>
        <v>813182</v>
      </c>
      <c r="Z28" s="97"/>
      <c r="AA28" s="85"/>
      <c r="AB28" s="85"/>
      <c r="AC28" s="85"/>
      <c r="AD28" s="85"/>
      <c r="AE28" s="85"/>
      <c r="AF28" s="85"/>
      <c r="AG28" s="85"/>
      <c r="AH28" s="85"/>
      <c r="AI28" s="100" t="s">
        <v>72</v>
      </c>
      <c r="AJ28" s="166" t="s">
        <v>484</v>
      </c>
      <c r="AK28" s="100" t="s">
        <v>718</v>
      </c>
      <c r="AL28" s="149">
        <v>14540</v>
      </c>
    </row>
    <row r="29" spans="2:38" x14ac:dyDescent="0.25">
      <c r="B29" s="85"/>
      <c r="C29" s="85"/>
      <c r="D29" s="89"/>
      <c r="E29" s="85"/>
      <c r="F29" s="85"/>
      <c r="G29" s="85"/>
      <c r="H29" s="89"/>
      <c r="I29" s="85"/>
      <c r="J29" s="85"/>
      <c r="K29" s="85"/>
      <c r="L29" s="89"/>
      <c r="M29" s="85"/>
      <c r="N29" s="85"/>
      <c r="O29" s="85"/>
      <c r="P29" s="89"/>
      <c r="Q29" s="85"/>
      <c r="R29" s="85"/>
      <c r="S29" s="85"/>
      <c r="T29" s="89"/>
      <c r="U29" s="85"/>
      <c r="V29" s="96"/>
      <c r="W29" s="100"/>
      <c r="X29" s="100"/>
      <c r="Y29" s="99"/>
      <c r="Z29" s="97"/>
      <c r="AA29" s="85"/>
      <c r="AB29" s="85"/>
      <c r="AC29" s="85"/>
      <c r="AD29" s="85"/>
      <c r="AE29" s="85"/>
      <c r="AF29" s="85"/>
      <c r="AG29" s="85"/>
      <c r="AH29" s="85"/>
      <c r="AI29" s="100" t="s">
        <v>72</v>
      </c>
      <c r="AJ29" s="166" t="s">
        <v>711</v>
      </c>
      <c r="AK29" s="100" t="s">
        <v>105</v>
      </c>
      <c r="AL29" s="149">
        <v>100000</v>
      </c>
    </row>
    <row r="30" spans="2:38" ht="15.75" thickBot="1" x14ac:dyDescent="0.3">
      <c r="B30" s="237" t="s">
        <v>75</v>
      </c>
      <c r="C30" s="237"/>
      <c r="D30" s="91">
        <f>+D28-D15</f>
        <v>8419</v>
      </c>
      <c r="E30" s="85"/>
      <c r="F30" s="237" t="s">
        <v>75</v>
      </c>
      <c r="G30" s="237"/>
      <c r="H30" s="91">
        <f>+H28-H15</f>
        <v>-70</v>
      </c>
      <c r="I30" s="85"/>
      <c r="J30" s="237" t="s">
        <v>75</v>
      </c>
      <c r="K30" s="237"/>
      <c r="L30" s="91">
        <f>+L28-L15</f>
        <v>178</v>
      </c>
      <c r="M30" s="85"/>
      <c r="N30" s="237" t="s">
        <v>75</v>
      </c>
      <c r="O30" s="237"/>
      <c r="P30" s="91">
        <f>+P28-P15</f>
        <v>181.00999999999476</v>
      </c>
      <c r="Q30" s="85"/>
      <c r="R30" s="237" t="s">
        <v>75</v>
      </c>
      <c r="S30" s="237"/>
      <c r="T30" s="91">
        <f>+T28-T15</f>
        <v>-10436</v>
      </c>
      <c r="U30" s="85"/>
      <c r="V30" s="96"/>
      <c r="W30" s="238" t="s">
        <v>75</v>
      </c>
      <c r="X30" s="238"/>
      <c r="Y30" s="126">
        <f>+Y28-Y15</f>
        <v>-1727.9899999999907</v>
      </c>
      <c r="Z30" s="97"/>
      <c r="AA30" s="85"/>
      <c r="AB30" s="85"/>
      <c r="AC30" s="85"/>
      <c r="AD30" s="85"/>
      <c r="AE30" s="85"/>
      <c r="AF30" s="85"/>
      <c r="AG30" s="85"/>
      <c r="AH30" s="85"/>
      <c r="AI30" s="100" t="s">
        <v>72</v>
      </c>
      <c r="AJ30" s="166" t="s">
        <v>712</v>
      </c>
      <c r="AK30" s="100" t="s">
        <v>105</v>
      </c>
      <c r="AL30" s="149">
        <v>30000</v>
      </c>
    </row>
    <row r="31" spans="2:38" ht="16.5" thickTop="1" thickBo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01"/>
      <c r="W31" s="102"/>
      <c r="X31" s="102"/>
      <c r="Y31" s="102"/>
      <c r="Z31" s="103"/>
      <c r="AA31" s="85"/>
      <c r="AB31" s="145" t="s">
        <v>74</v>
      </c>
      <c r="AC31" s="145"/>
      <c r="AD31" s="145"/>
      <c r="AE31" s="145"/>
      <c r="AF31" s="140">
        <f>+SUM(AF23:AF30)</f>
        <v>129171</v>
      </c>
      <c r="AG31" s="85"/>
      <c r="AH31" s="85"/>
      <c r="AI31" s="100" t="s">
        <v>72</v>
      </c>
      <c r="AJ31" s="166" t="s">
        <v>713</v>
      </c>
      <c r="AK31" s="100" t="s">
        <v>105</v>
      </c>
      <c r="AL31" s="149">
        <v>73200</v>
      </c>
    </row>
    <row r="32" spans="2:38" x14ac:dyDescent="0.2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100" t="s">
        <v>72</v>
      </c>
      <c r="AJ32" s="166" t="s">
        <v>714</v>
      </c>
      <c r="AK32" s="100" t="s">
        <v>105</v>
      </c>
      <c r="AL32" s="149">
        <v>54000</v>
      </c>
    </row>
    <row r="33" spans="2:38" ht="15.75" thickBo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100" t="s">
        <v>72</v>
      </c>
      <c r="AJ33" s="166" t="s">
        <v>715</v>
      </c>
      <c r="AK33" s="100" t="s">
        <v>105</v>
      </c>
      <c r="AL33" s="149">
        <v>29818</v>
      </c>
    </row>
    <row r="34" spans="2:38" x14ac:dyDescent="0.25">
      <c r="B34" s="94" t="s">
        <v>76</v>
      </c>
      <c r="C34" s="95"/>
      <c r="D34" s="105">
        <v>5</v>
      </c>
      <c r="E34" s="85"/>
      <c r="F34" s="94" t="s">
        <v>76</v>
      </c>
      <c r="G34" s="95"/>
      <c r="H34" s="105"/>
      <c r="I34" s="85"/>
      <c r="J34" s="94" t="s">
        <v>76</v>
      </c>
      <c r="K34" s="95"/>
      <c r="L34" s="105"/>
      <c r="M34" s="85"/>
      <c r="N34" s="94" t="s">
        <v>76</v>
      </c>
      <c r="O34" s="95"/>
      <c r="P34" s="105"/>
      <c r="Q34" s="85"/>
      <c r="R34" s="94" t="s">
        <v>76</v>
      </c>
      <c r="S34" s="95"/>
      <c r="T34" s="105"/>
      <c r="U34" s="85"/>
      <c r="V34" s="85"/>
      <c r="W34" s="127" t="s">
        <v>76</v>
      </c>
      <c r="X34" s="128"/>
      <c r="Y34" s="129">
        <f>+D34+H34+L34+P34+T34</f>
        <v>5</v>
      </c>
      <c r="Z34" s="85"/>
      <c r="AA34" s="85"/>
      <c r="AB34" s="85"/>
      <c r="AC34" s="85"/>
      <c r="AD34" s="85"/>
      <c r="AE34" s="85"/>
      <c r="AF34" s="85"/>
      <c r="AG34" s="85"/>
      <c r="AH34" s="85"/>
      <c r="AI34" s="104" t="s">
        <v>144</v>
      </c>
      <c r="AJ34" s="166" t="s">
        <v>553</v>
      </c>
      <c r="AK34" s="100"/>
      <c r="AL34" s="99">
        <v>7000</v>
      </c>
    </row>
    <row r="35" spans="2:38" x14ac:dyDescent="0.25">
      <c r="B35" s="96" t="s">
        <v>77</v>
      </c>
      <c r="C35" s="100"/>
      <c r="D35" s="106"/>
      <c r="E35" s="85"/>
      <c r="F35" s="96" t="s">
        <v>77</v>
      </c>
      <c r="G35" s="100"/>
      <c r="H35" s="106"/>
      <c r="I35" s="85"/>
      <c r="J35" s="96" t="s">
        <v>77</v>
      </c>
      <c r="K35" s="100"/>
      <c r="L35" s="106"/>
      <c r="M35" s="85"/>
      <c r="N35" s="96" t="s">
        <v>77</v>
      </c>
      <c r="O35" s="100"/>
      <c r="P35" s="106"/>
      <c r="Q35" s="85"/>
      <c r="R35" s="223">
        <v>0.05</v>
      </c>
      <c r="S35" s="100"/>
      <c r="T35" s="106">
        <v>10509</v>
      </c>
      <c r="U35" s="85"/>
      <c r="V35" s="85"/>
      <c r="W35" s="130" t="s">
        <v>77</v>
      </c>
      <c r="X35" s="124"/>
      <c r="Y35" s="131">
        <f t="shared" ref="Y35:Y36" si="9">+D35+H35+L35+P35+T35</f>
        <v>10509</v>
      </c>
      <c r="Z35" s="85"/>
      <c r="AA35" s="85"/>
      <c r="AB35" s="85"/>
      <c r="AC35" s="85"/>
      <c r="AD35" s="85"/>
      <c r="AE35" s="85"/>
      <c r="AF35" s="85"/>
      <c r="AG35" s="85"/>
      <c r="AH35" s="85"/>
      <c r="AI35" s="85" t="s">
        <v>719</v>
      </c>
      <c r="AJ35" s="85"/>
      <c r="AK35" s="166" t="s">
        <v>371</v>
      </c>
      <c r="AL35" s="148">
        <v>1000</v>
      </c>
    </row>
    <row r="36" spans="2:38" x14ac:dyDescent="0.25">
      <c r="B36" s="96" t="s">
        <v>79</v>
      </c>
      <c r="C36" s="100"/>
      <c r="D36" s="106">
        <v>-8424</v>
      </c>
      <c r="E36" s="85"/>
      <c r="F36" s="96" t="s">
        <v>79</v>
      </c>
      <c r="G36" s="100"/>
      <c r="H36" s="106">
        <v>70</v>
      </c>
      <c r="I36" s="85"/>
      <c r="J36" s="96" t="s">
        <v>79</v>
      </c>
      <c r="K36" s="100"/>
      <c r="L36" s="106">
        <v>-178</v>
      </c>
      <c r="M36" s="85"/>
      <c r="N36" s="96" t="s">
        <v>79</v>
      </c>
      <c r="O36" s="100"/>
      <c r="P36" s="106">
        <v>-181</v>
      </c>
      <c r="Q36" s="85"/>
      <c r="R36" s="96" t="s">
        <v>79</v>
      </c>
      <c r="S36" s="100"/>
      <c r="T36" s="106">
        <v>-73</v>
      </c>
      <c r="U36" s="85"/>
      <c r="V36" s="85"/>
      <c r="W36" s="130" t="s">
        <v>78</v>
      </c>
      <c r="X36" s="124"/>
      <c r="Y36" s="131">
        <f t="shared" si="9"/>
        <v>-8786</v>
      </c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</row>
    <row r="37" spans="2:38" x14ac:dyDescent="0.25">
      <c r="B37" s="96" t="s">
        <v>18</v>
      </c>
      <c r="C37" s="100"/>
      <c r="D37" s="106">
        <f>+SUM(D34:D36)</f>
        <v>-8419</v>
      </c>
      <c r="E37" s="85"/>
      <c r="F37" s="96" t="s">
        <v>18</v>
      </c>
      <c r="G37" s="100"/>
      <c r="H37" s="106">
        <f>+SUM(H34:H36)</f>
        <v>70</v>
      </c>
      <c r="I37" s="85"/>
      <c r="J37" s="96" t="s">
        <v>18</v>
      </c>
      <c r="K37" s="100"/>
      <c r="L37" s="106">
        <f>+SUM(L34:L36)</f>
        <v>-178</v>
      </c>
      <c r="M37" s="85"/>
      <c r="N37" s="96" t="s">
        <v>18</v>
      </c>
      <c r="O37" s="100"/>
      <c r="P37" s="106">
        <f>+SUM(P34:P36)</f>
        <v>-181</v>
      </c>
      <c r="Q37" s="85"/>
      <c r="R37" s="96" t="s">
        <v>18</v>
      </c>
      <c r="S37" s="100"/>
      <c r="T37" s="106">
        <f>+SUM(T34:T36)</f>
        <v>10436</v>
      </c>
      <c r="U37" s="85"/>
      <c r="V37" s="85"/>
      <c r="W37" s="117" t="s">
        <v>18</v>
      </c>
      <c r="X37" s="118"/>
      <c r="Y37" s="119">
        <f>+SUM(Y34:Y36)</f>
        <v>1728</v>
      </c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</row>
    <row r="38" spans="2:38" ht="15.75" thickBot="1" x14ac:dyDescent="0.3">
      <c r="B38" s="107" t="s">
        <v>81</v>
      </c>
      <c r="C38" s="108"/>
      <c r="D38" s="109">
        <f>+D30+D37</f>
        <v>0</v>
      </c>
      <c r="E38" s="85"/>
      <c r="F38" s="107" t="s">
        <v>81</v>
      </c>
      <c r="G38" s="108"/>
      <c r="H38" s="109">
        <f>+H30+H37</f>
        <v>0</v>
      </c>
      <c r="I38" s="85"/>
      <c r="J38" s="107" t="s">
        <v>81</v>
      </c>
      <c r="K38" s="108"/>
      <c r="L38" s="109">
        <f>+L30+L37</f>
        <v>0</v>
      </c>
      <c r="M38" s="85"/>
      <c r="N38" s="107" t="s">
        <v>81</v>
      </c>
      <c r="O38" s="108"/>
      <c r="P38" s="109">
        <f>+P30+P37</f>
        <v>9.9999999947613105E-3</v>
      </c>
      <c r="Q38" s="85"/>
      <c r="R38" s="107" t="s">
        <v>81</v>
      </c>
      <c r="S38" s="108"/>
      <c r="T38" s="109">
        <f>+T30+T37</f>
        <v>0</v>
      </c>
      <c r="U38" s="85"/>
      <c r="V38" s="85"/>
      <c r="W38" s="107" t="s">
        <v>81</v>
      </c>
      <c r="X38" s="108"/>
      <c r="Y38" s="109">
        <f>+Y30+Y37</f>
        <v>1.0000000009313226E-2</v>
      </c>
      <c r="Z38" s="85"/>
      <c r="AA38" s="85"/>
      <c r="AB38" s="85"/>
      <c r="AC38" s="85"/>
      <c r="AD38" s="85"/>
      <c r="AE38" s="85"/>
      <c r="AF38" s="85"/>
      <c r="AG38" s="85"/>
      <c r="AH38" s="85"/>
      <c r="AI38" s="145" t="s">
        <v>74</v>
      </c>
      <c r="AJ38" s="145"/>
      <c r="AK38" s="145"/>
      <c r="AL38" s="176">
        <f>+SUM(AL23:AL37)</f>
        <v>384389</v>
      </c>
    </row>
    <row r="39" spans="2:38" x14ac:dyDescent="0.25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</row>
    <row r="40" spans="2:38" x14ac:dyDescent="0.25"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42"/>
  <sheetViews>
    <sheetView zoomScale="90" zoomScaleNormal="90" workbookViewId="0">
      <selection activeCell="AG19" sqref="AG19"/>
    </sheetView>
  </sheetViews>
  <sheetFormatPr defaultRowHeight="15" x14ac:dyDescent="0.25"/>
  <cols>
    <col min="3" max="3" width="13.85546875" bestFit="1" customWidth="1"/>
    <col min="5" max="5" width="0.5703125" customWidth="1"/>
    <col min="9" max="9" width="0.5703125" customWidth="1"/>
    <col min="10" max="10" width="13.5703125" bestFit="1" customWidth="1"/>
    <col min="11" max="11" width="13.85546875" bestFit="1" customWidth="1"/>
    <col min="12" max="12" width="9.7109375" bestFit="1" customWidth="1"/>
    <col min="13" max="13" width="1.28515625" customWidth="1"/>
    <col min="14" max="14" width="13.5703125" bestFit="1" customWidth="1"/>
    <col min="15" max="15" width="13.140625" bestFit="1" customWidth="1"/>
    <col min="17" max="17" width="1.140625" customWidth="1"/>
    <col min="21" max="21" width="0.85546875" customWidth="1"/>
    <col min="22" max="22" width="1.42578125" customWidth="1"/>
    <col min="26" max="26" width="0.7109375" customWidth="1"/>
    <col min="27" max="27" width="1.28515625" customWidth="1"/>
    <col min="29" max="29" width="9.85546875" bestFit="1" customWidth="1"/>
    <col min="31" max="31" width="13.5703125" bestFit="1" customWidth="1"/>
    <col min="34" max="34" width="1.42578125" customWidth="1"/>
    <col min="36" max="36" width="13.5703125" bestFit="1" customWidth="1"/>
    <col min="37" max="37" width="15" bestFit="1" customWidth="1"/>
  </cols>
  <sheetData>
    <row r="2" spans="2:38" ht="15.75" thickBot="1" x14ac:dyDescent="0.3"/>
    <row r="3" spans="2:38" x14ac:dyDescent="0.25">
      <c r="B3" s="240" t="s">
        <v>0</v>
      </c>
      <c r="C3" s="240"/>
      <c r="D3" s="240"/>
      <c r="E3" s="85"/>
      <c r="F3" s="240" t="s">
        <v>737</v>
      </c>
      <c r="G3" s="240"/>
      <c r="H3" s="240"/>
      <c r="I3" s="85"/>
      <c r="J3" s="240" t="s">
        <v>2</v>
      </c>
      <c r="K3" s="240"/>
      <c r="L3" s="240"/>
      <c r="M3" s="85"/>
      <c r="N3" s="240" t="s">
        <v>3</v>
      </c>
      <c r="O3" s="240"/>
      <c r="P3" s="240"/>
      <c r="Q3" s="85"/>
      <c r="R3" s="240" t="s">
        <v>4</v>
      </c>
      <c r="S3" s="240"/>
      <c r="T3" s="240"/>
      <c r="U3" s="85"/>
      <c r="V3" s="94"/>
      <c r="W3" s="244" t="s">
        <v>5</v>
      </c>
      <c r="X3" s="244"/>
      <c r="Y3" s="244"/>
      <c r="Z3" s="196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</row>
    <row r="4" spans="2:38" x14ac:dyDescent="0.25">
      <c r="B4" s="88" t="s">
        <v>6</v>
      </c>
      <c r="C4" s="88" t="s">
        <v>7</v>
      </c>
      <c r="D4" s="88" t="s">
        <v>8</v>
      </c>
      <c r="E4" s="85"/>
      <c r="F4" s="88" t="s">
        <v>6</v>
      </c>
      <c r="G4" s="88" t="s">
        <v>7</v>
      </c>
      <c r="H4" s="88" t="s">
        <v>8</v>
      </c>
      <c r="I4" s="85"/>
      <c r="J4" s="88" t="s">
        <v>6</v>
      </c>
      <c r="K4" s="88" t="s">
        <v>7</v>
      </c>
      <c r="L4" s="88" t="s">
        <v>8</v>
      </c>
      <c r="M4" s="85"/>
      <c r="N4" s="88" t="s">
        <v>6</v>
      </c>
      <c r="O4" s="88" t="s">
        <v>7</v>
      </c>
      <c r="P4" s="88" t="s">
        <v>8</v>
      </c>
      <c r="Q4" s="85"/>
      <c r="R4" s="88" t="s">
        <v>6</v>
      </c>
      <c r="S4" s="88" t="s">
        <v>7</v>
      </c>
      <c r="T4" s="88" t="s">
        <v>8</v>
      </c>
      <c r="U4" s="85"/>
      <c r="V4" s="96"/>
      <c r="W4" s="98" t="s">
        <v>6</v>
      </c>
      <c r="X4" s="98" t="s">
        <v>7</v>
      </c>
      <c r="Y4" s="98" t="s">
        <v>8</v>
      </c>
      <c r="Z4" s="97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</row>
    <row r="5" spans="2:38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/>
      <c r="H5" s="120">
        <f>+G5*F5</f>
        <v>0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/>
      <c r="T5" s="120">
        <f>+S5*R5</f>
        <v>0</v>
      </c>
      <c r="U5" s="110"/>
      <c r="V5" s="111"/>
      <c r="W5" s="122">
        <v>1</v>
      </c>
      <c r="X5" s="123">
        <f>+C5+G5+K5+O5+S5</f>
        <v>0</v>
      </c>
      <c r="Y5" s="121">
        <f>+D5+H5+L5+P5+T5</f>
        <v>0</v>
      </c>
      <c r="Z5" s="112"/>
      <c r="AA5" s="110"/>
      <c r="AB5" s="212" t="s">
        <v>9</v>
      </c>
      <c r="AC5" s="222"/>
      <c r="AD5" s="222"/>
      <c r="AE5" s="222"/>
      <c r="AF5" s="222"/>
      <c r="AG5" s="146"/>
      <c r="AH5" s="85"/>
      <c r="AI5" s="88" t="s">
        <v>6</v>
      </c>
      <c r="AJ5" s="88" t="s">
        <v>7</v>
      </c>
      <c r="AK5" s="88" t="s">
        <v>8</v>
      </c>
      <c r="AL5" s="85"/>
    </row>
    <row r="6" spans="2:38" ht="15.75" thickTop="1" x14ac:dyDescent="0.25">
      <c r="B6" s="86">
        <v>10</v>
      </c>
      <c r="C6" s="86">
        <v>92</v>
      </c>
      <c r="D6" s="120">
        <f>+C6*B6</f>
        <v>920</v>
      </c>
      <c r="E6" s="85"/>
      <c r="F6" s="86">
        <v>10</v>
      </c>
      <c r="G6" s="86">
        <v>177</v>
      </c>
      <c r="H6" s="120">
        <f>+G6*F6</f>
        <v>1770</v>
      </c>
      <c r="I6" s="85"/>
      <c r="J6" s="86">
        <v>10</v>
      </c>
      <c r="K6" s="86">
        <v>32</v>
      </c>
      <c r="L6" s="120">
        <f>+K6*J6</f>
        <v>320</v>
      </c>
      <c r="M6" s="85"/>
      <c r="N6" s="86">
        <v>10</v>
      </c>
      <c r="O6" s="86">
        <v>14</v>
      </c>
      <c r="P6" s="120">
        <f>+O6*N6</f>
        <v>140</v>
      </c>
      <c r="Q6" s="85"/>
      <c r="R6" s="86">
        <v>10</v>
      </c>
      <c r="S6" s="86"/>
      <c r="T6" s="120">
        <f>+S6*R6</f>
        <v>0</v>
      </c>
      <c r="U6" s="85"/>
      <c r="V6" s="96"/>
      <c r="W6" s="123">
        <v>10</v>
      </c>
      <c r="X6" s="123">
        <f>+C6+G6+K6+O6+S6</f>
        <v>315</v>
      </c>
      <c r="Y6" s="121">
        <f>+D6+H6+L6+P6+T6</f>
        <v>3150</v>
      </c>
      <c r="Z6" s="97"/>
      <c r="AA6" s="85"/>
      <c r="AB6" s="85"/>
      <c r="AC6" s="85"/>
      <c r="AD6" s="85"/>
      <c r="AE6" s="85"/>
      <c r="AF6" s="85"/>
      <c r="AG6" s="85"/>
      <c r="AH6" s="85"/>
      <c r="AI6" s="113">
        <v>1</v>
      </c>
      <c r="AJ6" s="113">
        <v>7</v>
      </c>
      <c r="AK6" s="120">
        <f t="shared" ref="AK6:AK13" si="0">+AJ6*AI6</f>
        <v>7</v>
      </c>
      <c r="AL6" s="110"/>
    </row>
    <row r="7" spans="2:38" x14ac:dyDescent="0.25">
      <c r="B7" s="86">
        <v>20</v>
      </c>
      <c r="C7" s="86">
        <v>21</v>
      </c>
      <c r="D7" s="120">
        <f t="shared" ref="D7:D12" si="1">+C7*B7</f>
        <v>420</v>
      </c>
      <c r="E7" s="85"/>
      <c r="F7" s="86">
        <v>20</v>
      </c>
      <c r="G7" s="86">
        <v>40</v>
      </c>
      <c r="H7" s="120">
        <f t="shared" ref="H7:H12" si="2">+G7*F7</f>
        <v>800</v>
      </c>
      <c r="I7" s="85"/>
      <c r="J7" s="86">
        <v>20</v>
      </c>
      <c r="K7" s="86">
        <v>7</v>
      </c>
      <c r="L7" s="120">
        <f t="shared" ref="L7:L12" si="3">+K7*J7</f>
        <v>140</v>
      </c>
      <c r="M7" s="85"/>
      <c r="N7" s="86">
        <v>20</v>
      </c>
      <c r="O7" s="86">
        <v>6</v>
      </c>
      <c r="P7" s="120">
        <f t="shared" ref="P7:P12" si="4">+O7*N7</f>
        <v>120</v>
      </c>
      <c r="Q7" s="85"/>
      <c r="R7" s="86">
        <v>20</v>
      </c>
      <c r="S7" s="86"/>
      <c r="T7" s="120">
        <f t="shared" ref="T7:T12" si="5">+S7*R7</f>
        <v>0</v>
      </c>
      <c r="U7" s="85"/>
      <c r="V7" s="96"/>
      <c r="W7" s="123">
        <v>20</v>
      </c>
      <c r="X7" s="123">
        <f>+C7+G7+K7+O7+S7</f>
        <v>74</v>
      </c>
      <c r="Y7" s="121">
        <f t="shared" ref="Y7:Y12" si="6">+D7+H7+L7+P7+T7</f>
        <v>1480</v>
      </c>
      <c r="Z7" s="97"/>
      <c r="AA7" s="85"/>
      <c r="AB7" s="141" t="s">
        <v>10</v>
      </c>
      <c r="AC7" s="142">
        <f>Y13</f>
        <v>363280</v>
      </c>
      <c r="AD7" s="110"/>
      <c r="AE7" s="110"/>
      <c r="AF7" s="110"/>
      <c r="AG7" s="110"/>
      <c r="AH7" s="85"/>
      <c r="AI7" s="86">
        <v>10</v>
      </c>
      <c r="AJ7" s="86">
        <v>518</v>
      </c>
      <c r="AK7" s="120">
        <f t="shared" si="0"/>
        <v>5180</v>
      </c>
      <c r="AL7" s="85"/>
    </row>
    <row r="8" spans="2:38" x14ac:dyDescent="0.25">
      <c r="B8" s="86">
        <v>50</v>
      </c>
      <c r="C8" s="86">
        <v>51</v>
      </c>
      <c r="D8" s="120">
        <f t="shared" si="1"/>
        <v>2550</v>
      </c>
      <c r="E8" s="85"/>
      <c r="F8" s="86">
        <v>50</v>
      </c>
      <c r="G8" s="86">
        <v>104</v>
      </c>
      <c r="H8" s="120">
        <f t="shared" si="2"/>
        <v>5200</v>
      </c>
      <c r="I8" s="85"/>
      <c r="J8" s="86">
        <v>50</v>
      </c>
      <c r="K8" s="86">
        <v>26</v>
      </c>
      <c r="L8" s="120">
        <f t="shared" si="3"/>
        <v>1300</v>
      </c>
      <c r="M8" s="85"/>
      <c r="N8" s="86">
        <v>50</v>
      </c>
      <c r="O8" s="86">
        <v>50</v>
      </c>
      <c r="P8" s="120">
        <f t="shared" si="4"/>
        <v>2500</v>
      </c>
      <c r="Q8" s="85"/>
      <c r="R8" s="86">
        <v>50</v>
      </c>
      <c r="S8" s="86"/>
      <c r="T8" s="120">
        <f t="shared" si="5"/>
        <v>0</v>
      </c>
      <c r="U8" s="85"/>
      <c r="V8" s="96"/>
      <c r="W8" s="123">
        <v>50</v>
      </c>
      <c r="X8" s="123">
        <f t="shared" ref="X8:X12" si="7">+C8+G8+K8+O8+S8</f>
        <v>231</v>
      </c>
      <c r="Y8" s="121">
        <f t="shared" si="6"/>
        <v>11550</v>
      </c>
      <c r="Z8" s="97"/>
      <c r="AA8" s="85"/>
      <c r="AB8" s="138" t="s">
        <v>11</v>
      </c>
      <c r="AC8" s="138">
        <f>+AF31</f>
        <v>72103</v>
      </c>
      <c r="AD8" s="85"/>
      <c r="AE8" s="85"/>
      <c r="AF8" s="85"/>
      <c r="AG8" s="85"/>
      <c r="AH8" s="85"/>
      <c r="AI8" s="86">
        <v>20</v>
      </c>
      <c r="AJ8" s="86">
        <v>73</v>
      </c>
      <c r="AK8" s="120">
        <f t="shared" si="0"/>
        <v>1460</v>
      </c>
      <c r="AL8" s="85"/>
    </row>
    <row r="9" spans="2:38" ht="15.75" thickBot="1" x14ac:dyDescent="0.3">
      <c r="B9" s="86">
        <v>100</v>
      </c>
      <c r="C9" s="86">
        <v>78</v>
      </c>
      <c r="D9" s="120">
        <f t="shared" si="1"/>
        <v>7800</v>
      </c>
      <c r="E9" s="85"/>
      <c r="F9" s="86">
        <v>100</v>
      </c>
      <c r="G9" s="86">
        <v>88</v>
      </c>
      <c r="H9" s="120">
        <f t="shared" si="2"/>
        <v>8800</v>
      </c>
      <c r="I9" s="85"/>
      <c r="J9" s="86">
        <v>100</v>
      </c>
      <c r="K9" s="86">
        <v>17</v>
      </c>
      <c r="L9" s="120">
        <f t="shared" si="3"/>
        <v>1700</v>
      </c>
      <c r="M9" s="85"/>
      <c r="N9" s="86">
        <v>100</v>
      </c>
      <c r="O9" s="86">
        <v>13</v>
      </c>
      <c r="P9" s="120">
        <f t="shared" si="4"/>
        <v>1300</v>
      </c>
      <c r="Q9" s="85"/>
      <c r="R9" s="86">
        <v>100</v>
      </c>
      <c r="S9" s="86"/>
      <c r="T9" s="120">
        <f t="shared" si="5"/>
        <v>0</v>
      </c>
      <c r="U9" s="85"/>
      <c r="V9" s="96"/>
      <c r="W9" s="123">
        <v>100</v>
      </c>
      <c r="X9" s="123">
        <f t="shared" si="7"/>
        <v>196</v>
      </c>
      <c r="Y9" s="121">
        <f t="shared" si="6"/>
        <v>19600</v>
      </c>
      <c r="Z9" s="97"/>
      <c r="AA9" s="85"/>
      <c r="AB9" s="143" t="s">
        <v>12</v>
      </c>
      <c r="AC9" s="144">
        <f>SUM(AC7:AC8)</f>
        <v>435383</v>
      </c>
      <c r="AD9" s="85"/>
      <c r="AE9" s="85"/>
      <c r="AF9" s="85"/>
      <c r="AG9" s="85"/>
      <c r="AH9" s="85"/>
      <c r="AI9" s="86">
        <v>50</v>
      </c>
      <c r="AJ9" s="86">
        <v>233</v>
      </c>
      <c r="AK9" s="120">
        <f t="shared" si="0"/>
        <v>11650</v>
      </c>
      <c r="AL9" s="85"/>
    </row>
    <row r="10" spans="2:38" x14ac:dyDescent="0.25">
      <c r="B10" s="86">
        <v>500</v>
      </c>
      <c r="C10" s="86">
        <v>36</v>
      </c>
      <c r="D10" s="120">
        <f t="shared" si="1"/>
        <v>18000</v>
      </c>
      <c r="E10" s="85"/>
      <c r="F10" s="86">
        <v>500</v>
      </c>
      <c r="G10" s="86">
        <v>53</v>
      </c>
      <c r="H10" s="120">
        <f t="shared" si="2"/>
        <v>26500</v>
      </c>
      <c r="I10" s="85"/>
      <c r="J10" s="86">
        <v>500</v>
      </c>
      <c r="K10" s="86">
        <v>31</v>
      </c>
      <c r="L10" s="120">
        <f t="shared" si="3"/>
        <v>15500</v>
      </c>
      <c r="M10" s="85"/>
      <c r="N10" s="86">
        <v>500</v>
      </c>
      <c r="O10" s="86">
        <v>41</v>
      </c>
      <c r="P10" s="120">
        <f t="shared" si="4"/>
        <v>20500</v>
      </c>
      <c r="Q10" s="85"/>
      <c r="R10" s="86">
        <v>500</v>
      </c>
      <c r="S10" s="86"/>
      <c r="T10" s="120">
        <f t="shared" si="5"/>
        <v>0</v>
      </c>
      <c r="U10" s="85"/>
      <c r="V10" s="96"/>
      <c r="W10" s="123">
        <v>500</v>
      </c>
      <c r="X10" s="123">
        <f t="shared" si="7"/>
        <v>161</v>
      </c>
      <c r="Y10" s="121">
        <f t="shared" si="6"/>
        <v>80500</v>
      </c>
      <c r="Z10" s="97"/>
      <c r="AA10" s="85"/>
      <c r="AB10" s="85"/>
      <c r="AC10" s="85"/>
      <c r="AD10" s="85"/>
      <c r="AE10" s="85"/>
      <c r="AF10" s="85"/>
      <c r="AG10" s="85"/>
      <c r="AH10" s="85"/>
      <c r="AI10" s="86">
        <v>100</v>
      </c>
      <c r="AJ10" s="86">
        <v>206</v>
      </c>
      <c r="AK10" s="120">
        <f t="shared" si="0"/>
        <v>20600</v>
      </c>
      <c r="AL10" s="85"/>
    </row>
    <row r="11" spans="2:38" x14ac:dyDescent="0.25">
      <c r="B11" s="86">
        <v>1000</v>
      </c>
      <c r="C11" s="86">
        <v>32</v>
      </c>
      <c r="D11" s="120">
        <f t="shared" si="1"/>
        <v>32000</v>
      </c>
      <c r="E11" s="85"/>
      <c r="F11" s="86">
        <v>1000</v>
      </c>
      <c r="G11" s="86">
        <v>57</v>
      </c>
      <c r="H11" s="120">
        <f t="shared" si="2"/>
        <v>57000</v>
      </c>
      <c r="I11" s="85"/>
      <c r="J11" s="86">
        <v>1000</v>
      </c>
      <c r="K11" s="86">
        <v>82</v>
      </c>
      <c r="L11" s="120">
        <f t="shared" si="3"/>
        <v>82000</v>
      </c>
      <c r="M11" s="85"/>
      <c r="N11" s="86">
        <v>1000</v>
      </c>
      <c r="O11" s="86">
        <v>41</v>
      </c>
      <c r="P11" s="120">
        <f t="shared" si="4"/>
        <v>41000</v>
      </c>
      <c r="Q11" s="85"/>
      <c r="R11" s="86">
        <v>1000</v>
      </c>
      <c r="S11" s="86"/>
      <c r="T11" s="120">
        <f t="shared" si="5"/>
        <v>0</v>
      </c>
      <c r="U11" s="85"/>
      <c r="V11" s="96"/>
      <c r="W11" s="123">
        <v>1000</v>
      </c>
      <c r="X11" s="123">
        <f t="shared" si="7"/>
        <v>212</v>
      </c>
      <c r="Y11" s="121">
        <f t="shared" si="6"/>
        <v>212000</v>
      </c>
      <c r="Z11" s="97"/>
      <c r="AA11" s="85"/>
      <c r="AB11" s="132" t="s">
        <v>13</v>
      </c>
      <c r="AC11" s="132" t="s">
        <v>8</v>
      </c>
      <c r="AD11" s="132" t="s">
        <v>14</v>
      </c>
      <c r="AE11" s="132" t="s">
        <v>15</v>
      </c>
      <c r="AF11" s="132" t="s">
        <v>16</v>
      </c>
      <c r="AG11" s="132"/>
      <c r="AH11" s="85"/>
      <c r="AI11" s="86">
        <v>500</v>
      </c>
      <c r="AJ11" s="86">
        <v>191</v>
      </c>
      <c r="AK11" s="120">
        <f t="shared" si="0"/>
        <v>95500</v>
      </c>
      <c r="AL11" s="85"/>
    </row>
    <row r="12" spans="2:38" x14ac:dyDescent="0.25">
      <c r="B12" s="86">
        <v>5000</v>
      </c>
      <c r="C12" s="86">
        <v>1</v>
      </c>
      <c r="D12" s="120">
        <f t="shared" si="1"/>
        <v>5000</v>
      </c>
      <c r="E12" s="85"/>
      <c r="F12" s="86">
        <v>5000</v>
      </c>
      <c r="G12" s="86">
        <v>1</v>
      </c>
      <c r="H12" s="120">
        <f t="shared" si="2"/>
        <v>5000</v>
      </c>
      <c r="I12" s="85"/>
      <c r="J12" s="86">
        <v>5000</v>
      </c>
      <c r="K12" s="86">
        <v>4</v>
      </c>
      <c r="L12" s="120">
        <f t="shared" si="3"/>
        <v>20000</v>
      </c>
      <c r="M12" s="85"/>
      <c r="N12" s="86">
        <v>5000</v>
      </c>
      <c r="O12" s="86">
        <v>1</v>
      </c>
      <c r="P12" s="120">
        <f t="shared" si="4"/>
        <v>5000</v>
      </c>
      <c r="Q12" s="85"/>
      <c r="R12" s="86">
        <v>5000</v>
      </c>
      <c r="S12" s="86"/>
      <c r="T12" s="120">
        <f t="shared" si="5"/>
        <v>0</v>
      </c>
      <c r="U12" s="85"/>
      <c r="V12" s="96"/>
      <c r="W12" s="123">
        <v>5000</v>
      </c>
      <c r="X12" s="123">
        <f t="shared" si="7"/>
        <v>7</v>
      </c>
      <c r="Y12" s="121">
        <f t="shared" si="6"/>
        <v>35000</v>
      </c>
      <c r="Z12" s="97"/>
      <c r="AA12" s="85"/>
      <c r="AB12" s="85" t="s">
        <v>17</v>
      </c>
      <c r="AC12" s="89">
        <v>430390</v>
      </c>
      <c r="AD12" s="85">
        <v>96124</v>
      </c>
      <c r="AE12" s="137" t="s">
        <v>749</v>
      </c>
      <c r="AF12" s="85" t="s">
        <v>223</v>
      </c>
      <c r="AG12" s="85"/>
      <c r="AH12" s="85"/>
      <c r="AI12" s="86">
        <v>1000</v>
      </c>
      <c r="AJ12" s="86">
        <v>266</v>
      </c>
      <c r="AK12" s="120">
        <f t="shared" si="0"/>
        <v>266000</v>
      </c>
      <c r="AL12" s="85"/>
    </row>
    <row r="13" spans="2:38" ht="15.75" thickBot="1" x14ac:dyDescent="0.3">
      <c r="B13" s="87" t="s">
        <v>18</v>
      </c>
      <c r="C13" s="87"/>
      <c r="D13" s="90">
        <f>+SUM(D5:D12)</f>
        <v>66690</v>
      </c>
      <c r="E13" s="85"/>
      <c r="F13" s="87" t="s">
        <v>18</v>
      </c>
      <c r="G13" s="87"/>
      <c r="H13" s="90">
        <f>+SUM(H5:H12)</f>
        <v>105070</v>
      </c>
      <c r="I13" s="85"/>
      <c r="J13" s="87" t="s">
        <v>18</v>
      </c>
      <c r="K13" s="87"/>
      <c r="L13" s="90">
        <f>+SUM(L5:L12)</f>
        <v>120960</v>
      </c>
      <c r="M13" s="85"/>
      <c r="N13" s="87" t="s">
        <v>18</v>
      </c>
      <c r="O13" s="87"/>
      <c r="P13" s="90">
        <f>+SUM(P5:P12)</f>
        <v>70560</v>
      </c>
      <c r="Q13" s="85"/>
      <c r="R13" s="87" t="s">
        <v>18</v>
      </c>
      <c r="S13" s="87"/>
      <c r="T13" s="90">
        <f>+SUM(T5:T12)</f>
        <v>0</v>
      </c>
      <c r="U13" s="85"/>
      <c r="V13" s="96"/>
      <c r="W13" s="87" t="s">
        <v>18</v>
      </c>
      <c r="X13" s="87"/>
      <c r="Y13" s="90">
        <f>+SUM(Y5:Y12)</f>
        <v>363280</v>
      </c>
      <c r="Z13" s="97"/>
      <c r="AA13" s="85"/>
      <c r="AB13" s="85" t="s">
        <v>19</v>
      </c>
      <c r="AC13" s="89">
        <v>5000</v>
      </c>
      <c r="AD13" s="85"/>
      <c r="AE13" s="85"/>
      <c r="AF13" s="85"/>
      <c r="AG13" s="85"/>
      <c r="AH13" s="85"/>
      <c r="AI13" s="86">
        <v>5000</v>
      </c>
      <c r="AJ13" s="86">
        <v>7</v>
      </c>
      <c r="AK13" s="120">
        <f t="shared" si="0"/>
        <v>35000</v>
      </c>
      <c r="AL13" s="85"/>
    </row>
    <row r="14" spans="2:38" ht="15.75" thickBot="1" x14ac:dyDescent="0.3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96"/>
      <c r="W14" s="100"/>
      <c r="X14" s="100"/>
      <c r="Y14" s="100"/>
      <c r="Z14" s="97"/>
      <c r="AA14" s="85"/>
      <c r="AB14" s="85" t="s">
        <v>20</v>
      </c>
      <c r="AC14" s="89"/>
      <c r="AD14" s="85"/>
      <c r="AE14" s="85"/>
      <c r="AF14" s="85"/>
      <c r="AG14" s="85"/>
      <c r="AH14" s="85"/>
      <c r="AI14" s="87" t="s">
        <v>18</v>
      </c>
      <c r="AJ14" s="87"/>
      <c r="AK14" s="90">
        <f>+SUM(AK6:AK13)</f>
        <v>435397</v>
      </c>
      <c r="AL14" s="85"/>
    </row>
    <row r="15" spans="2:38" ht="15.75" thickBot="1" x14ac:dyDescent="0.3">
      <c r="B15" s="242" t="s">
        <v>21</v>
      </c>
      <c r="C15" s="243"/>
      <c r="D15" s="92">
        <v>93512</v>
      </c>
      <c r="E15" s="114"/>
      <c r="F15" s="242" t="s">
        <v>21</v>
      </c>
      <c r="G15" s="243"/>
      <c r="H15" s="92">
        <v>105068</v>
      </c>
      <c r="I15" s="114"/>
      <c r="J15" s="242" t="s">
        <v>21</v>
      </c>
      <c r="K15" s="243"/>
      <c r="L15" s="92">
        <v>130874</v>
      </c>
      <c r="M15" s="114"/>
      <c r="N15" s="242" t="s">
        <v>21</v>
      </c>
      <c r="O15" s="243"/>
      <c r="P15" s="92">
        <v>104570</v>
      </c>
      <c r="Q15" s="114"/>
      <c r="R15" s="242" t="s">
        <v>21</v>
      </c>
      <c r="S15" s="243"/>
      <c r="T15" s="92"/>
      <c r="U15" s="114"/>
      <c r="V15" s="115"/>
      <c r="W15" s="242" t="s">
        <v>21</v>
      </c>
      <c r="X15" s="243"/>
      <c r="Y15" s="92">
        <f>+D15+H15+L15+P15+T15</f>
        <v>434024</v>
      </c>
      <c r="Z15" s="116"/>
      <c r="AA15" s="114"/>
      <c r="AB15" s="85" t="s">
        <v>22</v>
      </c>
      <c r="AC15" s="89"/>
      <c r="AD15" s="85"/>
      <c r="AE15" s="85"/>
      <c r="AF15" s="85"/>
      <c r="AG15" s="85"/>
      <c r="AH15" s="85"/>
      <c r="AI15" s="85"/>
      <c r="AJ15" s="85"/>
      <c r="AK15" s="85"/>
      <c r="AL15" s="85"/>
    </row>
    <row r="16" spans="2:38" x14ac:dyDescent="0.25">
      <c r="B16" s="85" t="s">
        <v>10</v>
      </c>
      <c r="C16" s="85"/>
      <c r="D16" s="89">
        <f>+D13</f>
        <v>66690</v>
      </c>
      <c r="E16" s="85"/>
      <c r="F16" s="85" t="s">
        <v>10</v>
      </c>
      <c r="G16" s="85"/>
      <c r="H16" s="89">
        <f>+H13</f>
        <v>105070</v>
      </c>
      <c r="I16" s="85"/>
      <c r="J16" s="85" t="s">
        <v>10</v>
      </c>
      <c r="K16" s="85"/>
      <c r="L16" s="89">
        <v>120960</v>
      </c>
      <c r="M16" s="85"/>
      <c r="N16" s="85" t="s">
        <v>10</v>
      </c>
      <c r="O16" s="85"/>
      <c r="P16" s="89">
        <f>+P13</f>
        <v>70560</v>
      </c>
      <c r="Q16" s="85"/>
      <c r="R16" s="85" t="s">
        <v>10</v>
      </c>
      <c r="S16" s="85"/>
      <c r="T16" s="89">
        <f>+T13</f>
        <v>0</v>
      </c>
      <c r="U16" s="85"/>
      <c r="V16" s="96"/>
      <c r="W16" s="124" t="s">
        <v>10</v>
      </c>
      <c r="X16" s="124"/>
      <c r="Y16" s="121">
        <f>+D16+H16+L16+P16+T16</f>
        <v>363280</v>
      </c>
      <c r="Z16" s="97"/>
      <c r="AA16" s="85"/>
      <c r="AB16" s="85" t="s">
        <v>23</v>
      </c>
      <c r="AC16" s="89"/>
      <c r="AD16" s="85"/>
      <c r="AE16" s="85"/>
      <c r="AF16" s="85"/>
      <c r="AG16" s="85"/>
      <c r="AH16" s="85"/>
      <c r="AI16" s="85"/>
      <c r="AJ16" s="85"/>
      <c r="AK16" s="85"/>
      <c r="AL16" s="85"/>
    </row>
    <row r="17" spans="2:38" x14ac:dyDescent="0.25">
      <c r="B17" s="85" t="s">
        <v>17</v>
      </c>
      <c r="C17" s="85"/>
      <c r="D17" s="89"/>
      <c r="E17" s="85"/>
      <c r="F17" s="85" t="s">
        <v>17</v>
      </c>
      <c r="G17" s="85"/>
      <c r="H17" s="89"/>
      <c r="I17" s="85"/>
      <c r="J17" s="85" t="s">
        <v>17</v>
      </c>
      <c r="K17" s="85"/>
      <c r="L17" s="89"/>
      <c r="M17" s="85"/>
      <c r="N17" s="85" t="s">
        <v>17</v>
      </c>
      <c r="O17" s="85"/>
      <c r="P17" s="89">
        <v>5000</v>
      </c>
      <c r="Q17" s="85"/>
      <c r="R17" s="85" t="s">
        <v>17</v>
      </c>
      <c r="S17" s="85"/>
      <c r="T17" s="89"/>
      <c r="U17" s="85"/>
      <c r="V17" s="96"/>
      <c r="W17" s="124" t="s">
        <v>17</v>
      </c>
      <c r="X17" s="124"/>
      <c r="Y17" s="121">
        <f t="shared" ref="Y17:Y27" si="8">+D17+H17+L17+P17+T17</f>
        <v>5000</v>
      </c>
      <c r="Z17" s="97"/>
      <c r="AA17" s="85"/>
      <c r="AB17" s="133" t="s">
        <v>12</v>
      </c>
      <c r="AC17" s="134">
        <f>+SUM(AC12:AC16)</f>
        <v>435390</v>
      </c>
      <c r="AD17" s="160"/>
      <c r="AE17" s="85"/>
      <c r="AF17" s="85"/>
      <c r="AG17" s="85"/>
      <c r="AH17" s="85"/>
      <c r="AI17" s="85"/>
      <c r="AJ17" s="85"/>
      <c r="AK17" s="85"/>
      <c r="AL17" s="85"/>
    </row>
    <row r="18" spans="2:38" x14ac:dyDescent="0.25">
      <c r="B18" s="85" t="s">
        <v>730</v>
      </c>
      <c r="C18" s="85" t="s">
        <v>731</v>
      </c>
      <c r="D18" s="89">
        <v>13673</v>
      </c>
      <c r="E18" s="85"/>
      <c r="F18" s="85" t="s">
        <v>26</v>
      </c>
      <c r="G18" s="85"/>
      <c r="H18" s="89"/>
      <c r="I18" s="85"/>
      <c r="J18" s="85" t="s">
        <v>615</v>
      </c>
      <c r="K18" s="85" t="s">
        <v>739</v>
      </c>
      <c r="L18" s="89">
        <v>2558</v>
      </c>
      <c r="M18" s="85"/>
      <c r="N18" s="85" t="s">
        <v>733</v>
      </c>
      <c r="O18" s="85" t="s">
        <v>734</v>
      </c>
      <c r="P18" s="89">
        <v>10200</v>
      </c>
      <c r="Q18" s="85"/>
      <c r="R18" s="85" t="s">
        <v>26</v>
      </c>
      <c r="S18" s="85"/>
      <c r="T18" s="89"/>
      <c r="U18" s="85"/>
      <c r="V18" s="96"/>
      <c r="W18" s="124" t="s">
        <v>26</v>
      </c>
      <c r="X18" s="124"/>
      <c r="Y18" s="121">
        <f t="shared" si="8"/>
        <v>26431</v>
      </c>
      <c r="Z18" s="97"/>
      <c r="AA18" s="85"/>
      <c r="AB18" s="135" t="s">
        <v>32</v>
      </c>
      <c r="AC18" s="136">
        <f>+AC17-AC9</f>
        <v>7</v>
      </c>
      <c r="AD18" s="85" t="s">
        <v>33</v>
      </c>
      <c r="AE18" s="85"/>
      <c r="AF18" s="85"/>
      <c r="AG18" s="85"/>
      <c r="AH18" s="85"/>
      <c r="AI18" s="85"/>
      <c r="AJ18" s="85"/>
      <c r="AK18" s="85"/>
      <c r="AL18" s="85"/>
    </row>
    <row r="19" spans="2:38" x14ac:dyDescent="0.25">
      <c r="B19" s="85" t="s">
        <v>615</v>
      </c>
      <c r="C19" s="85" t="s">
        <v>732</v>
      </c>
      <c r="D19" s="89">
        <v>13152</v>
      </c>
      <c r="E19" s="85"/>
      <c r="F19" s="85" t="s">
        <v>34</v>
      </c>
      <c r="G19" s="85"/>
      <c r="H19" s="89"/>
      <c r="I19" s="85"/>
      <c r="J19" s="85" t="s">
        <v>626</v>
      </c>
      <c r="K19" s="85" t="s">
        <v>740</v>
      </c>
      <c r="L19" s="89">
        <v>3000</v>
      </c>
      <c r="M19" s="85"/>
      <c r="N19" s="85" t="s">
        <v>705</v>
      </c>
      <c r="O19" s="85" t="s">
        <v>735</v>
      </c>
      <c r="P19" s="89">
        <v>6247</v>
      </c>
      <c r="Q19" s="85"/>
      <c r="R19" s="85" t="s">
        <v>34</v>
      </c>
      <c r="S19" s="85"/>
      <c r="T19" s="89"/>
      <c r="U19" s="85"/>
      <c r="V19" s="96"/>
      <c r="W19" s="124" t="s">
        <v>34</v>
      </c>
      <c r="X19" s="124"/>
      <c r="Y19" s="121">
        <f t="shared" si="8"/>
        <v>22399</v>
      </c>
      <c r="Z19" s="97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</row>
    <row r="20" spans="2:38" x14ac:dyDescent="0.25">
      <c r="B20" s="85" t="s">
        <v>36</v>
      </c>
      <c r="C20" s="85"/>
      <c r="D20" s="89"/>
      <c r="E20" s="85"/>
      <c r="F20" s="85" t="s">
        <v>36</v>
      </c>
      <c r="G20" s="85"/>
      <c r="H20" s="89"/>
      <c r="I20" s="85"/>
      <c r="J20" s="85" t="s">
        <v>36</v>
      </c>
      <c r="K20" s="85"/>
      <c r="L20" s="89"/>
      <c r="M20" s="85"/>
      <c r="N20" s="85" t="s">
        <v>626</v>
      </c>
      <c r="O20" s="85" t="s">
        <v>736</v>
      </c>
      <c r="P20" s="89">
        <v>12577</v>
      </c>
      <c r="Q20" s="85"/>
      <c r="R20" s="85" t="s">
        <v>36</v>
      </c>
      <c r="S20" s="85"/>
      <c r="T20" s="89"/>
      <c r="U20" s="85"/>
      <c r="V20" s="96"/>
      <c r="W20" s="124" t="s">
        <v>36</v>
      </c>
      <c r="X20" s="124"/>
      <c r="Y20" s="121">
        <f t="shared" si="8"/>
        <v>12577</v>
      </c>
      <c r="Z20" s="97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</row>
    <row r="21" spans="2:38" x14ac:dyDescent="0.25">
      <c r="B21" s="85"/>
      <c r="C21" s="85"/>
      <c r="D21" s="89"/>
      <c r="E21" s="85"/>
      <c r="F21" s="85"/>
      <c r="G21" s="85"/>
      <c r="H21" s="89"/>
      <c r="I21" s="85"/>
      <c r="J21" s="85"/>
      <c r="K21" s="85"/>
      <c r="L21" s="89"/>
      <c r="M21" s="85"/>
      <c r="N21" s="85"/>
      <c r="O21" s="85"/>
      <c r="P21" s="89"/>
      <c r="Q21" s="85"/>
      <c r="R21" s="85"/>
      <c r="S21" s="85"/>
      <c r="T21" s="89"/>
      <c r="U21" s="85"/>
      <c r="V21" s="96"/>
      <c r="W21" s="124"/>
      <c r="X21" s="124"/>
      <c r="Y21" s="121">
        <f t="shared" si="8"/>
        <v>0</v>
      </c>
      <c r="Z21" s="97"/>
      <c r="AA21" s="85"/>
      <c r="AB21" s="139" t="s">
        <v>37</v>
      </c>
      <c r="AC21" s="139"/>
      <c r="AD21" s="139"/>
      <c r="AE21" s="114"/>
      <c r="AF21" s="85"/>
      <c r="AG21" s="85"/>
      <c r="AH21" s="85"/>
      <c r="AI21" s="139" t="s">
        <v>38</v>
      </c>
      <c r="AJ21" s="139"/>
      <c r="AK21" s="139"/>
      <c r="AL21" s="147"/>
    </row>
    <row r="22" spans="2:38" x14ac:dyDescent="0.25">
      <c r="B22" s="85"/>
      <c r="C22" s="85"/>
      <c r="D22" s="89"/>
      <c r="E22" s="85"/>
      <c r="F22" s="85"/>
      <c r="G22" s="85"/>
      <c r="H22" s="89"/>
      <c r="I22" s="85"/>
      <c r="J22" s="85"/>
      <c r="K22" s="85"/>
      <c r="L22" s="89"/>
      <c r="M22" s="85"/>
      <c r="N22" s="85"/>
      <c r="O22" s="85"/>
      <c r="P22" s="89"/>
      <c r="Q22" s="85"/>
      <c r="R22" s="85"/>
      <c r="S22" s="85"/>
      <c r="T22" s="89"/>
      <c r="U22" s="85"/>
      <c r="V22" s="96"/>
      <c r="W22" s="124"/>
      <c r="X22" s="124"/>
      <c r="Y22" s="121">
        <f t="shared" si="8"/>
        <v>0</v>
      </c>
      <c r="Z22" s="97"/>
      <c r="AA22" s="85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G22" s="85"/>
      <c r="AH22" s="85"/>
      <c r="AI22" s="132" t="s">
        <v>41</v>
      </c>
      <c r="AJ22" s="132" t="s">
        <v>45</v>
      </c>
      <c r="AK22" s="132" t="s">
        <v>43</v>
      </c>
      <c r="AL22" s="132" t="s">
        <v>8</v>
      </c>
    </row>
    <row r="23" spans="2:38" x14ac:dyDescent="0.25">
      <c r="B23" s="85" t="s">
        <v>46</v>
      </c>
      <c r="C23" s="85"/>
      <c r="D23" s="89"/>
      <c r="E23" s="85"/>
      <c r="F23" s="85" t="s">
        <v>46</v>
      </c>
      <c r="G23" s="85"/>
      <c r="H23" s="89"/>
      <c r="I23" s="85"/>
      <c r="J23" s="85" t="s">
        <v>46</v>
      </c>
      <c r="K23" s="85"/>
      <c r="L23" s="89"/>
      <c r="M23" s="85"/>
      <c r="N23" s="85" t="s">
        <v>240</v>
      </c>
      <c r="O23" s="85"/>
      <c r="P23" s="89"/>
      <c r="Q23" s="85"/>
      <c r="R23" s="85" t="s">
        <v>46</v>
      </c>
      <c r="S23" s="85"/>
      <c r="T23" s="89"/>
      <c r="U23" s="85"/>
      <c r="V23" s="96"/>
      <c r="W23" s="124" t="s">
        <v>46</v>
      </c>
      <c r="X23" s="124"/>
      <c r="Y23" s="121">
        <f t="shared" si="8"/>
        <v>0</v>
      </c>
      <c r="Z23" s="97"/>
      <c r="AA23" s="85"/>
      <c r="AB23" s="166" t="s">
        <v>70</v>
      </c>
      <c r="AC23" s="167">
        <v>45881</v>
      </c>
      <c r="AD23" s="166" t="s">
        <v>727</v>
      </c>
      <c r="AE23" s="166" t="s">
        <v>382</v>
      </c>
      <c r="AF23" s="166">
        <v>9908</v>
      </c>
      <c r="AG23" s="85"/>
      <c r="AH23" s="85"/>
      <c r="AI23" s="166" t="s">
        <v>59</v>
      </c>
      <c r="AJ23" s="166" t="s">
        <v>495</v>
      </c>
      <c r="AK23" s="166" t="s">
        <v>590</v>
      </c>
      <c r="AL23" s="200">
        <v>6180</v>
      </c>
    </row>
    <row r="24" spans="2:38" x14ac:dyDescent="0.25">
      <c r="B24" s="85" t="s">
        <v>54</v>
      </c>
      <c r="C24" s="85"/>
      <c r="D24" s="89"/>
      <c r="E24" s="85"/>
      <c r="F24" s="85" t="s">
        <v>54</v>
      </c>
      <c r="G24" s="85"/>
      <c r="H24" s="89"/>
      <c r="I24" s="85"/>
      <c r="J24" s="85" t="s">
        <v>54</v>
      </c>
      <c r="K24" s="85"/>
      <c r="L24" s="89"/>
      <c r="M24" s="85"/>
      <c r="N24" s="85" t="s">
        <v>240</v>
      </c>
      <c r="O24" s="85"/>
      <c r="P24" s="89"/>
      <c r="Q24" s="85"/>
      <c r="R24" s="85" t="s">
        <v>54</v>
      </c>
      <c r="S24" s="85"/>
      <c r="T24" s="89"/>
      <c r="U24" s="85"/>
      <c r="V24" s="96"/>
      <c r="W24" s="124" t="s">
        <v>54</v>
      </c>
      <c r="X24" s="124"/>
      <c r="Y24" s="121">
        <f t="shared" si="8"/>
        <v>0</v>
      </c>
      <c r="Z24" s="97"/>
      <c r="AA24" s="85"/>
      <c r="AB24" s="166" t="s">
        <v>144</v>
      </c>
      <c r="AC24" s="167">
        <v>45856</v>
      </c>
      <c r="AD24" s="166" t="s">
        <v>728</v>
      </c>
      <c r="AE24" s="166" t="s">
        <v>729</v>
      </c>
      <c r="AF24" s="166">
        <v>9000</v>
      </c>
      <c r="AG24" s="85"/>
      <c r="AH24" s="85"/>
      <c r="AI24" s="166" t="s">
        <v>59</v>
      </c>
      <c r="AJ24" s="166" t="s">
        <v>170</v>
      </c>
      <c r="AK24" s="166" t="s">
        <v>662</v>
      </c>
      <c r="AL24" s="168">
        <v>16400</v>
      </c>
    </row>
    <row r="25" spans="2:38" x14ac:dyDescent="0.25">
      <c r="B25" s="85" t="s">
        <v>61</v>
      </c>
      <c r="C25" s="85"/>
      <c r="D25" s="89"/>
      <c r="E25" s="85"/>
      <c r="F25" s="85" t="s">
        <v>61</v>
      </c>
      <c r="G25" s="85"/>
      <c r="H25" s="89"/>
      <c r="I25" s="85"/>
      <c r="J25" s="85" t="s">
        <v>61</v>
      </c>
      <c r="K25" s="85"/>
      <c r="L25" s="89"/>
      <c r="M25" s="85"/>
      <c r="N25" s="85" t="s">
        <v>240</v>
      </c>
      <c r="O25" s="85"/>
      <c r="P25" s="89"/>
      <c r="Q25" s="85"/>
      <c r="R25" s="85" t="s">
        <v>61</v>
      </c>
      <c r="S25" s="85"/>
      <c r="T25" s="89"/>
      <c r="U25" s="85"/>
      <c r="V25" s="96"/>
      <c r="W25" s="124" t="s">
        <v>61</v>
      </c>
      <c r="X25" s="124"/>
      <c r="Y25" s="121">
        <f t="shared" si="8"/>
        <v>0</v>
      </c>
      <c r="Z25" s="97"/>
      <c r="AA25" s="85"/>
      <c r="AB25" s="166" t="s">
        <v>738</v>
      </c>
      <c r="AC25" s="204">
        <v>45871</v>
      </c>
      <c r="AD25" s="166" t="s">
        <v>103</v>
      </c>
      <c r="AE25" s="166"/>
      <c r="AF25" s="166">
        <v>53195</v>
      </c>
      <c r="AG25" s="85"/>
      <c r="AH25" s="85"/>
      <c r="AI25" s="166" t="s">
        <v>72</v>
      </c>
      <c r="AJ25" s="166" t="s">
        <v>273</v>
      </c>
      <c r="AK25" s="166" t="s">
        <v>744</v>
      </c>
      <c r="AL25" s="168">
        <v>40089</v>
      </c>
    </row>
    <row r="26" spans="2:38" x14ac:dyDescent="0.25">
      <c r="B26" s="85"/>
      <c r="C26" s="85"/>
      <c r="D26" s="89"/>
      <c r="E26" s="85"/>
      <c r="F26" s="85"/>
      <c r="G26" s="85"/>
      <c r="H26" s="89"/>
      <c r="I26" s="85"/>
      <c r="J26" s="85"/>
      <c r="K26" s="85"/>
      <c r="L26" s="89"/>
      <c r="M26" s="85"/>
      <c r="N26" s="85"/>
      <c r="O26" s="85"/>
      <c r="P26" s="89"/>
      <c r="Q26" s="85"/>
      <c r="R26" s="85"/>
      <c r="S26" s="85"/>
      <c r="T26" s="85"/>
      <c r="U26" s="85"/>
      <c r="V26" s="96"/>
      <c r="W26" s="124"/>
      <c r="X26" s="124"/>
      <c r="Y26" s="121">
        <f t="shared" si="8"/>
        <v>0</v>
      </c>
      <c r="Z26" s="97"/>
      <c r="AA26" s="85"/>
      <c r="AB26" s="85"/>
      <c r="AC26" s="85"/>
      <c r="AD26" s="85"/>
      <c r="AE26" s="85"/>
      <c r="AF26" s="104"/>
      <c r="AG26" s="85"/>
      <c r="AH26" s="85"/>
      <c r="AI26" s="166" t="s">
        <v>139</v>
      </c>
      <c r="AJ26" s="166" t="s">
        <v>397</v>
      </c>
      <c r="AK26" s="166" t="s">
        <v>745</v>
      </c>
      <c r="AL26" s="166">
        <v>8898</v>
      </c>
    </row>
    <row r="27" spans="2:38" ht="15.75" thickBot="1" x14ac:dyDescent="0.3">
      <c r="B27" s="85"/>
      <c r="C27" s="85"/>
      <c r="D27" s="89"/>
      <c r="E27" s="85"/>
      <c r="F27" s="85"/>
      <c r="G27" s="85"/>
      <c r="H27" s="89"/>
      <c r="I27" s="85"/>
      <c r="J27" s="85"/>
      <c r="K27" s="85"/>
      <c r="L27" s="89"/>
      <c r="M27" s="85"/>
      <c r="N27" s="85"/>
      <c r="O27" s="85"/>
      <c r="P27" s="89"/>
      <c r="Q27" s="85"/>
      <c r="R27" s="85"/>
      <c r="S27" s="85"/>
      <c r="T27" s="89"/>
      <c r="U27" s="85"/>
      <c r="V27" s="96"/>
      <c r="W27" s="124"/>
      <c r="X27" s="124"/>
      <c r="Y27" s="121">
        <f t="shared" si="8"/>
        <v>0</v>
      </c>
      <c r="Z27" s="97"/>
      <c r="AA27" s="85"/>
      <c r="AB27" s="85"/>
      <c r="AC27" s="85"/>
      <c r="AD27" s="85"/>
      <c r="AE27" s="85"/>
      <c r="AF27" s="85"/>
      <c r="AG27" s="85"/>
      <c r="AH27" s="85"/>
      <c r="AI27" s="166" t="s">
        <v>144</v>
      </c>
      <c r="AJ27" s="166" t="s">
        <v>453</v>
      </c>
      <c r="AK27" s="166" t="s">
        <v>746</v>
      </c>
      <c r="AL27" s="168">
        <v>5600</v>
      </c>
    </row>
    <row r="28" spans="2:38" ht="15.75" thickBot="1" x14ac:dyDescent="0.3">
      <c r="B28" s="235" t="s">
        <v>12</v>
      </c>
      <c r="C28" s="236"/>
      <c r="D28" s="93">
        <f>+SUM(D16:D27)</f>
        <v>93515</v>
      </c>
      <c r="E28" s="85"/>
      <c r="F28" s="235" t="s">
        <v>12</v>
      </c>
      <c r="G28" s="236"/>
      <c r="H28" s="93">
        <f>+SUM(H16:H27)</f>
        <v>105070</v>
      </c>
      <c r="I28" s="85"/>
      <c r="J28" s="235" t="s">
        <v>12</v>
      </c>
      <c r="K28" s="236"/>
      <c r="L28" s="93">
        <f>+SUM(L16:L27)</f>
        <v>126518</v>
      </c>
      <c r="M28" s="85"/>
      <c r="N28" s="235" t="s">
        <v>12</v>
      </c>
      <c r="O28" s="236"/>
      <c r="P28" s="93">
        <f>+SUM(P16:P27)</f>
        <v>104584</v>
      </c>
      <c r="Q28" s="85"/>
      <c r="R28" s="235" t="s">
        <v>12</v>
      </c>
      <c r="S28" s="236"/>
      <c r="T28" s="93">
        <f>+SUM(T16:T27)</f>
        <v>0</v>
      </c>
      <c r="U28" s="85"/>
      <c r="V28" s="96"/>
      <c r="W28" s="235" t="s">
        <v>12</v>
      </c>
      <c r="X28" s="236"/>
      <c r="Y28" s="93">
        <f>+SUM(Y16:Y27)</f>
        <v>429687</v>
      </c>
      <c r="Z28" s="97"/>
      <c r="AA28" s="85"/>
      <c r="AB28" s="85"/>
      <c r="AC28" s="85"/>
      <c r="AD28" s="85"/>
      <c r="AE28" s="85"/>
      <c r="AF28" s="85"/>
      <c r="AG28" s="85"/>
      <c r="AH28" s="85"/>
      <c r="AI28" s="166" t="s">
        <v>70</v>
      </c>
      <c r="AJ28" s="166" t="s">
        <v>471</v>
      </c>
      <c r="AK28" s="166" t="s">
        <v>189</v>
      </c>
      <c r="AL28" s="168">
        <v>15200</v>
      </c>
    </row>
    <row r="29" spans="2:38" x14ac:dyDescent="0.25">
      <c r="B29" s="85"/>
      <c r="C29" s="85"/>
      <c r="D29" s="89"/>
      <c r="E29" s="85"/>
      <c r="F29" s="85"/>
      <c r="G29" s="85"/>
      <c r="H29" s="89"/>
      <c r="I29" s="85"/>
      <c r="J29" s="85"/>
      <c r="K29" s="85"/>
      <c r="L29" s="89"/>
      <c r="M29" s="85"/>
      <c r="N29" s="85"/>
      <c r="O29" s="85"/>
      <c r="P29" s="89"/>
      <c r="Q29" s="85"/>
      <c r="R29" s="85"/>
      <c r="S29" s="85"/>
      <c r="T29" s="89"/>
      <c r="U29" s="85"/>
      <c r="V29" s="96"/>
      <c r="W29" s="100"/>
      <c r="X29" s="100"/>
      <c r="Y29" s="99"/>
      <c r="Z29" s="97"/>
      <c r="AA29" s="85"/>
      <c r="AB29" s="85"/>
      <c r="AC29" s="85"/>
      <c r="AD29" s="85"/>
      <c r="AE29" s="85"/>
      <c r="AF29" s="85"/>
      <c r="AG29" s="85"/>
      <c r="AH29" s="85"/>
      <c r="AI29" s="166" t="s">
        <v>70</v>
      </c>
      <c r="AJ29" s="166" t="s">
        <v>473</v>
      </c>
      <c r="AK29" s="166" t="s">
        <v>462</v>
      </c>
      <c r="AL29" s="168">
        <v>8700</v>
      </c>
    </row>
    <row r="30" spans="2:38" ht="15.75" thickBot="1" x14ac:dyDescent="0.3">
      <c r="B30" s="237" t="s">
        <v>75</v>
      </c>
      <c r="C30" s="237"/>
      <c r="D30" s="91">
        <f>+D28-D15</f>
        <v>3</v>
      </c>
      <c r="E30" s="85"/>
      <c r="F30" s="237" t="s">
        <v>75</v>
      </c>
      <c r="G30" s="237"/>
      <c r="H30" s="91">
        <f>+H28-H15</f>
        <v>2</v>
      </c>
      <c r="I30" s="85"/>
      <c r="J30" s="237" t="s">
        <v>75</v>
      </c>
      <c r="K30" s="237"/>
      <c r="L30" s="91">
        <f>+L28-L15</f>
        <v>-4356</v>
      </c>
      <c r="M30" s="85"/>
      <c r="N30" s="237" t="s">
        <v>75</v>
      </c>
      <c r="O30" s="237"/>
      <c r="P30" s="91">
        <f>+P28-P15</f>
        <v>14</v>
      </c>
      <c r="Q30" s="85"/>
      <c r="R30" s="237" t="s">
        <v>75</v>
      </c>
      <c r="S30" s="237"/>
      <c r="T30" s="91">
        <f>+T28-T15</f>
        <v>0</v>
      </c>
      <c r="U30" s="85"/>
      <c r="V30" s="96"/>
      <c r="W30" s="238" t="s">
        <v>75</v>
      </c>
      <c r="X30" s="238"/>
      <c r="Y30" s="126">
        <f>+Y28-Y15</f>
        <v>-4337</v>
      </c>
      <c r="Z30" s="97"/>
      <c r="AA30" s="85"/>
      <c r="AB30" s="85"/>
      <c r="AC30" s="85"/>
      <c r="AD30" s="85"/>
      <c r="AE30" s="85"/>
      <c r="AF30" s="85"/>
      <c r="AG30" s="85"/>
      <c r="AH30" s="85"/>
      <c r="AI30" s="166" t="s">
        <v>72</v>
      </c>
      <c r="AJ30" s="166" t="s">
        <v>741</v>
      </c>
      <c r="AK30" s="166" t="s">
        <v>63</v>
      </c>
      <c r="AL30" s="168">
        <v>38750</v>
      </c>
    </row>
    <row r="31" spans="2:38" ht="16.5" thickTop="1" thickBo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01"/>
      <c r="W31" s="102"/>
      <c r="X31" s="102"/>
      <c r="Y31" s="102"/>
      <c r="Z31" s="103"/>
      <c r="AA31" s="85"/>
      <c r="AB31" s="145" t="s">
        <v>74</v>
      </c>
      <c r="AC31" s="145"/>
      <c r="AD31" s="145"/>
      <c r="AE31" s="145"/>
      <c r="AF31" s="140">
        <f>+SUM(AF23:AF30)</f>
        <v>72103</v>
      </c>
      <c r="AG31" s="85"/>
      <c r="AH31" s="85"/>
      <c r="AI31" s="166" t="s">
        <v>72</v>
      </c>
      <c r="AJ31" s="166" t="s">
        <v>742</v>
      </c>
      <c r="AK31" s="166" t="s">
        <v>63</v>
      </c>
      <c r="AL31" s="168">
        <v>39675</v>
      </c>
    </row>
    <row r="32" spans="2:38" x14ac:dyDescent="0.2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166" t="s">
        <v>70</v>
      </c>
      <c r="AJ32" s="166" t="s">
        <v>512</v>
      </c>
      <c r="AK32" s="166" t="s">
        <v>329</v>
      </c>
      <c r="AL32" s="168">
        <v>6774</v>
      </c>
    </row>
    <row r="33" spans="2:38" ht="15.75" thickBo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166" t="s">
        <v>70</v>
      </c>
      <c r="AJ33" s="166" t="s">
        <v>515</v>
      </c>
      <c r="AK33" s="166" t="s">
        <v>368</v>
      </c>
      <c r="AL33" s="168">
        <v>11570</v>
      </c>
    </row>
    <row r="34" spans="2:38" x14ac:dyDescent="0.25">
      <c r="B34" s="94" t="s">
        <v>76</v>
      </c>
      <c r="C34" s="95"/>
      <c r="D34" s="105"/>
      <c r="E34" s="85"/>
      <c r="F34" s="94" t="s">
        <v>76</v>
      </c>
      <c r="G34" s="95"/>
      <c r="H34" s="105"/>
      <c r="I34" s="85"/>
      <c r="J34" s="94" t="s">
        <v>76</v>
      </c>
      <c r="K34" s="95"/>
      <c r="L34" s="105">
        <v>4356</v>
      </c>
      <c r="M34" s="85"/>
      <c r="N34" s="94" t="s">
        <v>76</v>
      </c>
      <c r="O34" s="95"/>
      <c r="P34" s="105"/>
      <c r="Q34" s="85"/>
      <c r="R34" s="94" t="s">
        <v>76</v>
      </c>
      <c r="S34" s="95"/>
      <c r="T34" s="105"/>
      <c r="U34" s="85"/>
      <c r="V34" s="85"/>
      <c r="W34" s="127" t="s">
        <v>76</v>
      </c>
      <c r="X34" s="128"/>
      <c r="Y34" s="129">
        <f>+D34+H34+L34+P34+T34</f>
        <v>4356</v>
      </c>
      <c r="Z34" s="85"/>
      <c r="AA34" s="85"/>
      <c r="AB34" s="85"/>
      <c r="AC34" s="85"/>
      <c r="AD34" s="85"/>
      <c r="AE34" s="85"/>
      <c r="AF34" s="85"/>
      <c r="AG34" s="85"/>
      <c r="AH34" s="85"/>
      <c r="AI34" s="166" t="s">
        <v>59</v>
      </c>
      <c r="AJ34" s="166" t="s">
        <v>551</v>
      </c>
      <c r="AK34" s="166" t="s">
        <v>402</v>
      </c>
      <c r="AL34" s="168">
        <v>6950</v>
      </c>
    </row>
    <row r="35" spans="2:38" x14ac:dyDescent="0.25">
      <c r="B35" s="96" t="s">
        <v>77</v>
      </c>
      <c r="C35" s="100"/>
      <c r="D35" s="106"/>
      <c r="E35" s="85"/>
      <c r="F35" s="96" t="s">
        <v>77</v>
      </c>
      <c r="G35" s="100"/>
      <c r="H35" s="106"/>
      <c r="I35" s="85"/>
      <c r="J35" s="96" t="s">
        <v>77</v>
      </c>
      <c r="K35" s="100"/>
      <c r="L35" s="106"/>
      <c r="M35" s="85"/>
      <c r="N35" s="96" t="s">
        <v>77</v>
      </c>
      <c r="O35" s="100"/>
      <c r="P35" s="106"/>
      <c r="Q35" s="85"/>
      <c r="R35" s="96" t="s">
        <v>77</v>
      </c>
      <c r="S35" s="100"/>
      <c r="T35" s="106"/>
      <c r="U35" s="85"/>
      <c r="V35" s="85"/>
      <c r="W35" s="130" t="s">
        <v>77</v>
      </c>
      <c r="X35" s="124"/>
      <c r="Y35" s="131">
        <f t="shared" ref="Y35:Y36" si="9">+D35+H35+L35+P35+T35</f>
        <v>0</v>
      </c>
      <c r="Z35" s="85"/>
      <c r="AA35" s="85"/>
      <c r="AB35" s="85"/>
      <c r="AC35" s="85"/>
      <c r="AD35" s="85"/>
      <c r="AE35" s="85"/>
      <c r="AF35" s="85"/>
      <c r="AG35" s="85"/>
      <c r="AH35" s="85"/>
      <c r="AI35" s="166" t="s">
        <v>70</v>
      </c>
      <c r="AJ35" s="166" t="s">
        <v>547</v>
      </c>
      <c r="AK35" s="166" t="s">
        <v>369</v>
      </c>
      <c r="AL35" s="168">
        <v>8032</v>
      </c>
    </row>
    <row r="36" spans="2:38" x14ac:dyDescent="0.25">
      <c r="B36" s="96" t="s">
        <v>79</v>
      </c>
      <c r="C36" s="100"/>
      <c r="D36" s="106">
        <v>-3</v>
      </c>
      <c r="E36" s="85"/>
      <c r="F36" s="96" t="s">
        <v>79</v>
      </c>
      <c r="G36" s="100"/>
      <c r="H36" s="106">
        <v>-2</v>
      </c>
      <c r="I36" s="85"/>
      <c r="J36" s="96" t="s">
        <v>79</v>
      </c>
      <c r="K36" s="100"/>
      <c r="L36" s="106"/>
      <c r="M36" s="85"/>
      <c r="N36" s="96" t="s">
        <v>79</v>
      </c>
      <c r="O36" s="100"/>
      <c r="P36" s="106">
        <v>-14</v>
      </c>
      <c r="Q36" s="85"/>
      <c r="R36" s="96" t="s">
        <v>82</v>
      </c>
      <c r="S36" s="100"/>
      <c r="T36" s="106"/>
      <c r="U36" s="85"/>
      <c r="V36" s="85"/>
      <c r="W36" s="130" t="s">
        <v>78</v>
      </c>
      <c r="X36" s="124"/>
      <c r="Y36" s="131">
        <f t="shared" si="9"/>
        <v>-19</v>
      </c>
      <c r="Z36" s="85"/>
      <c r="AA36" s="85"/>
      <c r="AB36" s="85"/>
      <c r="AC36" s="85"/>
      <c r="AD36" s="85"/>
      <c r="AE36" s="85"/>
      <c r="AF36" s="85"/>
      <c r="AG36" s="85"/>
      <c r="AH36" s="85"/>
      <c r="AI36" s="166" t="s">
        <v>72</v>
      </c>
      <c r="AJ36" s="166" t="s">
        <v>743</v>
      </c>
      <c r="AK36" s="166" t="s">
        <v>190</v>
      </c>
      <c r="AL36" s="168">
        <v>24946</v>
      </c>
    </row>
    <row r="37" spans="2:38" x14ac:dyDescent="0.25">
      <c r="B37" s="96" t="s">
        <v>18</v>
      </c>
      <c r="C37" s="100"/>
      <c r="D37" s="106">
        <f>+SUM(D34:D36)</f>
        <v>-3</v>
      </c>
      <c r="E37" s="85"/>
      <c r="F37" s="96" t="s">
        <v>18</v>
      </c>
      <c r="G37" s="100"/>
      <c r="H37" s="106">
        <f>+SUM(H34:H36)</f>
        <v>-2</v>
      </c>
      <c r="I37" s="85"/>
      <c r="J37" s="96" t="s">
        <v>18</v>
      </c>
      <c r="K37" s="100"/>
      <c r="L37" s="106">
        <v>4356</v>
      </c>
      <c r="M37" s="85"/>
      <c r="N37" s="96" t="s">
        <v>18</v>
      </c>
      <c r="O37" s="100"/>
      <c r="P37" s="106">
        <f>+SUM(P34:P36)</f>
        <v>-14</v>
      </c>
      <c r="Q37" s="85"/>
      <c r="R37" s="96" t="s">
        <v>18</v>
      </c>
      <c r="S37" s="100"/>
      <c r="T37" s="106">
        <f>+SUM(T34:T36)</f>
        <v>0</v>
      </c>
      <c r="U37" s="85"/>
      <c r="V37" s="85"/>
      <c r="W37" s="117" t="s">
        <v>18</v>
      </c>
      <c r="X37" s="118"/>
      <c r="Y37" s="119">
        <f>+SUM(Y34:Y36)</f>
        <v>4337</v>
      </c>
      <c r="Z37" s="85"/>
      <c r="AA37" s="85"/>
      <c r="AB37" s="85"/>
      <c r="AC37" s="85"/>
      <c r="AD37" s="85"/>
      <c r="AE37" s="85"/>
      <c r="AF37" s="85"/>
      <c r="AG37" s="85"/>
      <c r="AH37" s="85"/>
      <c r="AI37" s="166" t="s">
        <v>139</v>
      </c>
      <c r="AJ37" s="166" t="s">
        <v>598</v>
      </c>
      <c r="AK37" s="166" t="s">
        <v>747</v>
      </c>
      <c r="AL37" s="168">
        <v>3000</v>
      </c>
    </row>
    <row r="38" spans="2:38" ht="15.75" thickBot="1" x14ac:dyDescent="0.3">
      <c r="B38" s="107" t="s">
        <v>81</v>
      </c>
      <c r="C38" s="108"/>
      <c r="D38" s="109">
        <f>+D30+D37</f>
        <v>0</v>
      </c>
      <c r="E38" s="85"/>
      <c r="F38" s="107" t="s">
        <v>81</v>
      </c>
      <c r="G38" s="108"/>
      <c r="H38" s="109">
        <f>+H30+H37</f>
        <v>0</v>
      </c>
      <c r="I38" s="85"/>
      <c r="J38" s="107" t="s">
        <v>81</v>
      </c>
      <c r="K38" s="108"/>
      <c r="L38" s="109"/>
      <c r="M38" s="85"/>
      <c r="N38" s="107" t="s">
        <v>81</v>
      </c>
      <c r="O38" s="108"/>
      <c r="P38" s="109">
        <f>+P30+P37</f>
        <v>0</v>
      </c>
      <c r="Q38" s="85"/>
      <c r="R38" s="107" t="s">
        <v>81</v>
      </c>
      <c r="S38" s="108"/>
      <c r="T38" s="109">
        <f>+T30+T37</f>
        <v>0</v>
      </c>
      <c r="U38" s="85"/>
      <c r="V38" s="85"/>
      <c r="W38" s="107" t="s">
        <v>81</v>
      </c>
      <c r="X38" s="108"/>
      <c r="Y38" s="109">
        <f>+Y30+Y37</f>
        <v>0</v>
      </c>
      <c r="Z38" s="85"/>
      <c r="AA38" s="85"/>
      <c r="AB38" s="85"/>
      <c r="AC38" s="85"/>
      <c r="AD38" s="85"/>
      <c r="AE38" s="85"/>
      <c r="AF38" s="85"/>
      <c r="AG38" s="85"/>
      <c r="AH38" s="85"/>
      <c r="AI38" s="166" t="s">
        <v>139</v>
      </c>
      <c r="AJ38" s="166" t="s">
        <v>602</v>
      </c>
      <c r="AK38" s="166" t="s">
        <v>748</v>
      </c>
      <c r="AL38" s="168">
        <v>3000</v>
      </c>
    </row>
    <row r="39" spans="2:38" x14ac:dyDescent="0.25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166" t="s">
        <v>59</v>
      </c>
      <c r="AJ39" s="166" t="s">
        <v>553</v>
      </c>
      <c r="AL39" s="168">
        <v>5000</v>
      </c>
    </row>
    <row r="40" spans="2:38" x14ac:dyDescent="0.25"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</row>
    <row r="41" spans="2:38" ht="15.75" thickBot="1" x14ac:dyDescent="0.3">
      <c r="AI41" s="150" t="s">
        <v>74</v>
      </c>
      <c r="AJ41" s="150"/>
      <c r="AK41" s="150"/>
      <c r="AL41" s="175">
        <f>+SUM(AL23:AL40)</f>
        <v>248764</v>
      </c>
    </row>
    <row r="42" spans="2:38" ht="15.75" thickTop="1" x14ac:dyDescent="0.25"/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41"/>
  <sheetViews>
    <sheetView topLeftCell="A4" zoomScale="80" zoomScaleNormal="80" workbookViewId="0">
      <selection activeCell="B42" sqref="B42"/>
    </sheetView>
  </sheetViews>
  <sheetFormatPr defaultRowHeight="15" x14ac:dyDescent="0.25"/>
  <cols>
    <col min="5" max="5" width="1.42578125" customWidth="1"/>
    <col min="8" max="8" width="9.5703125" bestFit="1" customWidth="1"/>
    <col min="9" max="9" width="0.5703125" customWidth="1"/>
    <col min="10" max="10" width="13.5703125" bestFit="1" customWidth="1"/>
    <col min="11" max="11" width="13.7109375" bestFit="1" customWidth="1"/>
    <col min="12" max="12" width="9.5703125" bestFit="1" customWidth="1"/>
    <col min="13" max="13" width="0.5703125" customWidth="1"/>
    <col min="14" max="14" width="13.5703125" bestFit="1" customWidth="1"/>
    <col min="15" max="15" width="13.28515625" bestFit="1" customWidth="1"/>
    <col min="16" max="16" width="9.140625" customWidth="1"/>
    <col min="17" max="17" width="0.5703125" customWidth="1"/>
    <col min="20" max="20" width="9.140625" customWidth="1"/>
    <col min="21" max="21" width="0.5703125" customWidth="1"/>
    <col min="22" max="22" width="1.28515625" customWidth="1"/>
    <col min="25" max="25" width="9.5703125" bestFit="1" customWidth="1"/>
    <col min="26" max="26" width="1.42578125" customWidth="1"/>
    <col min="27" max="27" width="0.28515625" customWidth="1"/>
    <col min="28" max="28" width="11" customWidth="1"/>
    <col min="29" max="29" width="10.5703125" bestFit="1" customWidth="1"/>
    <col min="34" max="34" width="0.42578125" customWidth="1"/>
    <col min="35" max="35" width="14.7109375" customWidth="1"/>
    <col min="36" max="36" width="14.28515625" bestFit="1" customWidth="1"/>
    <col min="37" max="37" width="14.5703125" bestFit="1" customWidth="1"/>
  </cols>
  <sheetData>
    <row r="2" spans="2:38" ht="15.75" thickBot="1" x14ac:dyDescent="0.3"/>
    <row r="3" spans="2:38" x14ac:dyDescent="0.25">
      <c r="B3" s="240" t="s">
        <v>0</v>
      </c>
      <c r="C3" s="240"/>
      <c r="D3" s="240"/>
      <c r="E3" s="85"/>
      <c r="F3" s="240" t="s">
        <v>1</v>
      </c>
      <c r="G3" s="240"/>
      <c r="H3" s="240"/>
      <c r="I3" s="85"/>
      <c r="J3" s="240" t="s">
        <v>2</v>
      </c>
      <c r="K3" s="240"/>
      <c r="L3" s="240"/>
      <c r="M3" s="85"/>
      <c r="N3" s="240" t="s">
        <v>3</v>
      </c>
      <c r="O3" s="240"/>
      <c r="P3" s="240"/>
      <c r="Q3" s="85"/>
      <c r="R3" s="240" t="s">
        <v>4</v>
      </c>
      <c r="S3" s="240"/>
      <c r="T3" s="240"/>
      <c r="U3" s="85"/>
      <c r="V3" s="94"/>
      <c r="W3" s="244" t="s">
        <v>5</v>
      </c>
      <c r="X3" s="244"/>
      <c r="Y3" s="244"/>
      <c r="Z3" s="196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</row>
    <row r="4" spans="2:38" x14ac:dyDescent="0.25">
      <c r="B4" s="88" t="s">
        <v>6</v>
      </c>
      <c r="C4" s="88" t="s">
        <v>7</v>
      </c>
      <c r="D4" s="88" t="s">
        <v>8</v>
      </c>
      <c r="E4" s="85"/>
      <c r="F4" s="88" t="s">
        <v>6</v>
      </c>
      <c r="G4" s="88" t="s">
        <v>7</v>
      </c>
      <c r="H4" s="88" t="s">
        <v>8</v>
      </c>
      <c r="I4" s="85"/>
      <c r="J4" s="88" t="s">
        <v>6</v>
      </c>
      <c r="K4" s="88" t="s">
        <v>7</v>
      </c>
      <c r="L4" s="88" t="s">
        <v>8</v>
      </c>
      <c r="M4" s="85"/>
      <c r="N4" s="88" t="s">
        <v>6</v>
      </c>
      <c r="O4" s="88" t="s">
        <v>7</v>
      </c>
      <c r="P4" s="88" t="s">
        <v>8</v>
      </c>
      <c r="Q4" s="85"/>
      <c r="R4" s="88" t="s">
        <v>6</v>
      </c>
      <c r="S4" s="88" t="s">
        <v>7</v>
      </c>
      <c r="T4" s="88" t="s">
        <v>8</v>
      </c>
      <c r="U4" s="85"/>
      <c r="V4" s="96"/>
      <c r="W4" s="98" t="s">
        <v>6</v>
      </c>
      <c r="X4" s="98" t="s">
        <v>7</v>
      </c>
      <c r="Y4" s="98" t="s">
        <v>8</v>
      </c>
      <c r="Z4" s="97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</row>
    <row r="5" spans="2:38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/>
      <c r="H5" s="120">
        <f>+G5*F5</f>
        <v>0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/>
      <c r="T5" s="120">
        <f>+S5*R5</f>
        <v>0</v>
      </c>
      <c r="U5" s="110"/>
      <c r="V5" s="111"/>
      <c r="W5" s="122">
        <v>1</v>
      </c>
      <c r="X5" s="123">
        <f>+C5+G5+K5+O5+S5</f>
        <v>0</v>
      </c>
      <c r="Y5" s="121">
        <f>+D5+H5+L5+P5+T5</f>
        <v>0</v>
      </c>
      <c r="Z5" s="112"/>
      <c r="AA5" s="110"/>
      <c r="AB5" s="212" t="s">
        <v>9</v>
      </c>
      <c r="AC5" s="225"/>
      <c r="AD5" s="225"/>
      <c r="AE5" s="225"/>
      <c r="AF5" s="225"/>
      <c r="AG5" s="146"/>
      <c r="AH5" s="85"/>
      <c r="AI5" s="88" t="s">
        <v>6</v>
      </c>
      <c r="AJ5" s="88" t="s">
        <v>7</v>
      </c>
      <c r="AK5" s="88" t="s">
        <v>8</v>
      </c>
      <c r="AL5" s="85"/>
    </row>
    <row r="6" spans="2:38" ht="15.75" thickTop="1" x14ac:dyDescent="0.25">
      <c r="B6" s="86">
        <v>10</v>
      </c>
      <c r="C6" s="86">
        <v>21</v>
      </c>
      <c r="D6" s="120">
        <f>+C6*B6</f>
        <v>210</v>
      </c>
      <c r="E6" s="85"/>
      <c r="F6" s="86">
        <v>10</v>
      </c>
      <c r="G6" s="86">
        <v>164</v>
      </c>
      <c r="H6" s="120">
        <f>+G6*F6</f>
        <v>1640</v>
      </c>
      <c r="I6" s="85"/>
      <c r="J6" s="86">
        <v>10</v>
      </c>
      <c r="K6" s="86">
        <v>120</v>
      </c>
      <c r="L6" s="120">
        <f>+K6*J6</f>
        <v>1200</v>
      </c>
      <c r="M6" s="85"/>
      <c r="N6" s="86">
        <v>10</v>
      </c>
      <c r="O6" s="86"/>
      <c r="P6" s="120">
        <f>+O6*N6</f>
        <v>0</v>
      </c>
      <c r="Q6" s="85"/>
      <c r="R6" s="86">
        <v>10</v>
      </c>
      <c r="S6" s="86"/>
      <c r="T6" s="120">
        <f>+S6*R6</f>
        <v>0</v>
      </c>
      <c r="U6" s="85"/>
      <c r="V6" s="96"/>
      <c r="W6" s="123">
        <v>10</v>
      </c>
      <c r="X6" s="123">
        <f>+C6+G6+K6+O6+S6</f>
        <v>305</v>
      </c>
      <c r="Y6" s="121">
        <f>+D6+H6+L6+P6+T6</f>
        <v>3050</v>
      </c>
      <c r="Z6" s="97"/>
      <c r="AA6" s="85"/>
      <c r="AB6" s="85"/>
      <c r="AC6" s="85"/>
      <c r="AD6" s="85"/>
      <c r="AE6" s="85"/>
      <c r="AF6" s="85"/>
      <c r="AG6" s="85"/>
      <c r="AH6" s="85"/>
      <c r="AI6" s="113">
        <v>1</v>
      </c>
      <c r="AJ6" s="113"/>
      <c r="AK6" s="120">
        <f t="shared" ref="AK6:AK13" si="0">+AJ6*AI6</f>
        <v>0</v>
      </c>
      <c r="AL6" s="110"/>
    </row>
    <row r="7" spans="2:38" x14ac:dyDescent="0.25">
      <c r="B7" s="86">
        <v>20</v>
      </c>
      <c r="C7" s="86">
        <v>5</v>
      </c>
      <c r="D7" s="120">
        <f t="shared" ref="D7:D12" si="1">+C7*B7</f>
        <v>100</v>
      </c>
      <c r="E7" s="85"/>
      <c r="F7" s="86">
        <v>20</v>
      </c>
      <c r="G7" s="86">
        <v>21</v>
      </c>
      <c r="H7" s="120">
        <f t="shared" ref="H7:H12" si="2">+G7*F7</f>
        <v>420</v>
      </c>
      <c r="I7" s="85"/>
      <c r="J7" s="86">
        <v>20</v>
      </c>
      <c r="K7" s="86">
        <v>24</v>
      </c>
      <c r="L7" s="120">
        <f t="shared" ref="L7:L12" si="3">+K7*J7</f>
        <v>480</v>
      </c>
      <c r="M7" s="85"/>
      <c r="N7" s="86">
        <v>20</v>
      </c>
      <c r="O7" s="86"/>
      <c r="P7" s="120">
        <f t="shared" ref="P7:P12" si="4">+O7*N7</f>
        <v>0</v>
      </c>
      <c r="Q7" s="85"/>
      <c r="R7" s="86">
        <v>20</v>
      </c>
      <c r="S7" s="86"/>
      <c r="T7" s="120">
        <f t="shared" ref="T7:T12" si="5">+S7*R7</f>
        <v>0</v>
      </c>
      <c r="U7" s="85"/>
      <c r="V7" s="96"/>
      <c r="W7" s="123">
        <v>20</v>
      </c>
      <c r="X7" s="123">
        <f>+C7+G7+K7+O7+S7</f>
        <v>50</v>
      </c>
      <c r="Y7" s="121">
        <f t="shared" ref="Y7:Y12" si="6">+D7+H7+L7+P7+T7</f>
        <v>1000</v>
      </c>
      <c r="Z7" s="97"/>
      <c r="AA7" s="85"/>
      <c r="AB7" s="141" t="s">
        <v>10</v>
      </c>
      <c r="AC7" s="142">
        <f>Y13</f>
        <v>308300</v>
      </c>
      <c r="AD7" s="110"/>
      <c r="AE7" s="110"/>
      <c r="AF7" s="110"/>
      <c r="AG7" s="110"/>
      <c r="AH7" s="85"/>
      <c r="AI7" s="86">
        <v>10</v>
      </c>
      <c r="AJ7" s="86">
        <v>306</v>
      </c>
      <c r="AK7" s="120">
        <f t="shared" si="0"/>
        <v>3060</v>
      </c>
      <c r="AL7" s="85"/>
    </row>
    <row r="8" spans="2:38" x14ac:dyDescent="0.25">
      <c r="B8" s="86">
        <v>50</v>
      </c>
      <c r="C8" s="86">
        <v>84</v>
      </c>
      <c r="D8" s="120">
        <f t="shared" si="1"/>
        <v>4200</v>
      </c>
      <c r="E8" s="85"/>
      <c r="F8" s="86">
        <v>50</v>
      </c>
      <c r="G8" s="86">
        <v>39</v>
      </c>
      <c r="H8" s="120">
        <f t="shared" si="2"/>
        <v>1950</v>
      </c>
      <c r="I8" s="85"/>
      <c r="J8" s="86">
        <v>50</v>
      </c>
      <c r="K8" s="86">
        <v>49</v>
      </c>
      <c r="L8" s="120">
        <f t="shared" si="3"/>
        <v>2450</v>
      </c>
      <c r="M8" s="85"/>
      <c r="N8" s="86">
        <v>50</v>
      </c>
      <c r="O8" s="86">
        <v>35</v>
      </c>
      <c r="P8" s="120">
        <f t="shared" si="4"/>
        <v>1750</v>
      </c>
      <c r="Q8" s="85"/>
      <c r="R8" s="86">
        <v>50</v>
      </c>
      <c r="S8" s="86"/>
      <c r="T8" s="120">
        <f t="shared" si="5"/>
        <v>0</v>
      </c>
      <c r="U8" s="85"/>
      <c r="V8" s="96"/>
      <c r="W8" s="123">
        <v>50</v>
      </c>
      <c r="X8" s="123">
        <f t="shared" ref="X8:X12" si="7">+C8+G8+K8+O8+S8</f>
        <v>207</v>
      </c>
      <c r="Y8" s="121">
        <f t="shared" si="6"/>
        <v>10350</v>
      </c>
      <c r="Z8" s="97"/>
      <c r="AA8" s="85"/>
      <c r="AB8" s="138" t="s">
        <v>11</v>
      </c>
      <c r="AC8" s="138">
        <f>+AF31</f>
        <v>82103</v>
      </c>
      <c r="AD8" s="85"/>
      <c r="AE8" s="85"/>
      <c r="AF8" s="85"/>
      <c r="AG8" s="85"/>
      <c r="AH8" s="85"/>
      <c r="AI8" s="86">
        <v>20</v>
      </c>
      <c r="AJ8" s="86">
        <v>50</v>
      </c>
      <c r="AK8" s="120">
        <f t="shared" si="0"/>
        <v>1000</v>
      </c>
      <c r="AL8" s="85"/>
    </row>
    <row r="9" spans="2:38" ht="15.75" thickBot="1" x14ac:dyDescent="0.3">
      <c r="B9" s="86">
        <v>100</v>
      </c>
      <c r="C9" s="86">
        <v>34</v>
      </c>
      <c r="D9" s="120">
        <f t="shared" si="1"/>
        <v>3400</v>
      </c>
      <c r="E9" s="85"/>
      <c r="F9" s="86">
        <v>100</v>
      </c>
      <c r="G9" s="86">
        <v>20</v>
      </c>
      <c r="H9" s="120">
        <f t="shared" si="2"/>
        <v>2000</v>
      </c>
      <c r="I9" s="85"/>
      <c r="J9" s="86">
        <v>100</v>
      </c>
      <c r="K9" s="86">
        <v>29</v>
      </c>
      <c r="L9" s="120">
        <f t="shared" si="3"/>
        <v>2900</v>
      </c>
      <c r="M9" s="85"/>
      <c r="N9" s="86">
        <v>100</v>
      </c>
      <c r="O9" s="86">
        <v>61</v>
      </c>
      <c r="P9" s="120">
        <f t="shared" si="4"/>
        <v>6100</v>
      </c>
      <c r="Q9" s="85"/>
      <c r="R9" s="86">
        <v>100</v>
      </c>
      <c r="S9" s="86"/>
      <c r="T9" s="120">
        <f t="shared" si="5"/>
        <v>0</v>
      </c>
      <c r="U9" s="85"/>
      <c r="V9" s="96"/>
      <c r="W9" s="123">
        <v>100</v>
      </c>
      <c r="X9" s="123">
        <f t="shared" si="7"/>
        <v>144</v>
      </c>
      <c r="Y9" s="121">
        <f t="shared" si="6"/>
        <v>14400</v>
      </c>
      <c r="Z9" s="97"/>
      <c r="AA9" s="85"/>
      <c r="AB9" s="143" t="s">
        <v>12</v>
      </c>
      <c r="AC9" s="144">
        <f>SUM(AC7:AC8)</f>
        <v>390403</v>
      </c>
      <c r="AD9" s="85"/>
      <c r="AE9" s="85"/>
      <c r="AF9" s="85"/>
      <c r="AG9" s="85"/>
      <c r="AH9" s="85"/>
      <c r="AI9" s="86">
        <v>50</v>
      </c>
      <c r="AJ9" s="86">
        <v>209</v>
      </c>
      <c r="AK9" s="120">
        <f t="shared" si="0"/>
        <v>10450</v>
      </c>
      <c r="AL9" s="85"/>
    </row>
    <row r="10" spans="2:38" x14ac:dyDescent="0.25">
      <c r="B10" s="86">
        <v>500</v>
      </c>
      <c r="C10" s="86">
        <v>26</v>
      </c>
      <c r="D10" s="120">
        <f t="shared" si="1"/>
        <v>13000</v>
      </c>
      <c r="E10" s="85"/>
      <c r="F10" s="86">
        <v>500</v>
      </c>
      <c r="G10" s="86">
        <v>42</v>
      </c>
      <c r="H10" s="120">
        <f t="shared" si="2"/>
        <v>21000</v>
      </c>
      <c r="I10" s="85"/>
      <c r="J10" s="86">
        <v>500</v>
      </c>
      <c r="K10" s="86">
        <v>37</v>
      </c>
      <c r="L10" s="120">
        <f t="shared" si="3"/>
        <v>18500</v>
      </c>
      <c r="M10" s="85"/>
      <c r="N10" s="86">
        <v>500</v>
      </c>
      <c r="O10" s="86">
        <v>22</v>
      </c>
      <c r="P10" s="120">
        <f t="shared" si="4"/>
        <v>11000</v>
      </c>
      <c r="Q10" s="85"/>
      <c r="R10" s="86">
        <v>500</v>
      </c>
      <c r="S10" s="86"/>
      <c r="T10" s="120">
        <f t="shared" si="5"/>
        <v>0</v>
      </c>
      <c r="U10" s="85"/>
      <c r="V10" s="96"/>
      <c r="W10" s="123">
        <v>500</v>
      </c>
      <c r="X10" s="123">
        <f t="shared" si="7"/>
        <v>127</v>
      </c>
      <c r="Y10" s="121">
        <f t="shared" si="6"/>
        <v>63500</v>
      </c>
      <c r="Z10" s="97"/>
      <c r="AA10" s="85"/>
      <c r="AB10" s="85"/>
      <c r="AC10" s="85"/>
      <c r="AD10" s="85"/>
      <c r="AE10" s="85"/>
      <c r="AF10" s="85"/>
      <c r="AG10" s="85"/>
      <c r="AH10" s="85"/>
      <c r="AI10" s="86">
        <v>100</v>
      </c>
      <c r="AJ10" s="86">
        <v>144</v>
      </c>
      <c r="AK10" s="120">
        <f t="shared" si="0"/>
        <v>14400</v>
      </c>
      <c r="AL10" s="85"/>
    </row>
    <row r="11" spans="2:38" x14ac:dyDescent="0.25">
      <c r="B11" s="86">
        <v>1000</v>
      </c>
      <c r="C11" s="86">
        <v>29</v>
      </c>
      <c r="D11" s="120">
        <f t="shared" si="1"/>
        <v>29000</v>
      </c>
      <c r="E11" s="85"/>
      <c r="F11" s="86">
        <v>1000</v>
      </c>
      <c r="G11" s="86">
        <v>63</v>
      </c>
      <c r="H11" s="120">
        <f t="shared" si="2"/>
        <v>63000</v>
      </c>
      <c r="I11" s="85"/>
      <c r="J11" s="86">
        <v>1000</v>
      </c>
      <c r="K11" s="86">
        <v>53</v>
      </c>
      <c r="L11" s="120">
        <f t="shared" si="3"/>
        <v>53000</v>
      </c>
      <c r="M11" s="85"/>
      <c r="N11" s="86">
        <v>1000</v>
      </c>
      <c r="O11" s="86">
        <v>26</v>
      </c>
      <c r="P11" s="120">
        <f t="shared" si="4"/>
        <v>26000</v>
      </c>
      <c r="Q11" s="85"/>
      <c r="R11" s="86">
        <v>1000</v>
      </c>
      <c r="S11" s="86"/>
      <c r="T11" s="120">
        <f t="shared" si="5"/>
        <v>0</v>
      </c>
      <c r="U11" s="85"/>
      <c r="V11" s="96"/>
      <c r="W11" s="123">
        <v>1000</v>
      </c>
      <c r="X11" s="123">
        <f t="shared" si="7"/>
        <v>171</v>
      </c>
      <c r="Y11" s="121">
        <f t="shared" si="6"/>
        <v>171000</v>
      </c>
      <c r="Z11" s="97"/>
      <c r="AA11" s="85"/>
      <c r="AB11" s="132" t="s">
        <v>13</v>
      </c>
      <c r="AC11" s="132" t="s">
        <v>8</v>
      </c>
      <c r="AD11" s="132" t="s">
        <v>14</v>
      </c>
      <c r="AE11" s="132" t="s">
        <v>15</v>
      </c>
      <c r="AF11" s="132" t="s">
        <v>16</v>
      </c>
      <c r="AG11" s="132"/>
      <c r="AH11" s="85"/>
      <c r="AI11" s="86">
        <v>500</v>
      </c>
      <c r="AJ11" s="86">
        <v>149</v>
      </c>
      <c r="AK11" s="120">
        <f t="shared" si="0"/>
        <v>74500</v>
      </c>
      <c r="AL11" s="85"/>
    </row>
    <row r="12" spans="2:38" x14ac:dyDescent="0.25">
      <c r="B12" s="86">
        <v>5000</v>
      </c>
      <c r="C12" s="86">
        <v>1</v>
      </c>
      <c r="D12" s="120">
        <f t="shared" si="1"/>
        <v>5000</v>
      </c>
      <c r="E12" s="85"/>
      <c r="F12" s="86">
        <v>5000</v>
      </c>
      <c r="G12" s="86">
        <v>2</v>
      </c>
      <c r="H12" s="120">
        <f t="shared" si="2"/>
        <v>10000</v>
      </c>
      <c r="I12" s="85"/>
      <c r="J12" s="86">
        <v>5000</v>
      </c>
      <c r="K12" s="86">
        <v>3</v>
      </c>
      <c r="L12" s="120">
        <f t="shared" si="3"/>
        <v>15000</v>
      </c>
      <c r="M12" s="85"/>
      <c r="N12" s="86">
        <v>5000</v>
      </c>
      <c r="O12" s="86">
        <v>3</v>
      </c>
      <c r="P12" s="120">
        <f t="shared" si="4"/>
        <v>15000</v>
      </c>
      <c r="Q12" s="85"/>
      <c r="R12" s="86">
        <v>5000</v>
      </c>
      <c r="S12" s="86"/>
      <c r="T12" s="120">
        <f t="shared" si="5"/>
        <v>0</v>
      </c>
      <c r="U12" s="85"/>
      <c r="V12" s="96"/>
      <c r="W12" s="123">
        <v>5000</v>
      </c>
      <c r="X12" s="123">
        <f t="shared" si="7"/>
        <v>9</v>
      </c>
      <c r="Y12" s="121">
        <f t="shared" si="6"/>
        <v>45000</v>
      </c>
      <c r="Z12" s="97"/>
      <c r="AA12" s="85"/>
      <c r="AB12" s="85" t="s">
        <v>17</v>
      </c>
      <c r="AC12" s="89">
        <v>386410</v>
      </c>
      <c r="AD12" s="85">
        <v>74705</v>
      </c>
      <c r="AE12" s="137" t="s">
        <v>763</v>
      </c>
      <c r="AF12" s="85" t="s">
        <v>223</v>
      </c>
      <c r="AG12" s="85"/>
      <c r="AH12" s="85"/>
      <c r="AI12" s="86">
        <v>1000</v>
      </c>
      <c r="AJ12" s="86">
        <v>242</v>
      </c>
      <c r="AK12" s="120">
        <f t="shared" si="0"/>
        <v>242000</v>
      </c>
      <c r="AL12" s="85"/>
    </row>
    <row r="13" spans="2:38" ht="15.75" thickBot="1" x14ac:dyDescent="0.3">
      <c r="B13" s="87" t="s">
        <v>18</v>
      </c>
      <c r="C13" s="87"/>
      <c r="D13" s="90">
        <f>+SUM(D5:D12)</f>
        <v>54910</v>
      </c>
      <c r="E13" s="85"/>
      <c r="F13" s="87" t="s">
        <v>18</v>
      </c>
      <c r="G13" s="87"/>
      <c r="H13" s="90">
        <f>+SUM(H5:H12)</f>
        <v>100010</v>
      </c>
      <c r="I13" s="85"/>
      <c r="J13" s="87" t="s">
        <v>18</v>
      </c>
      <c r="K13" s="87"/>
      <c r="L13" s="90">
        <f>+SUM(L5:L12)</f>
        <v>93530</v>
      </c>
      <c r="M13" s="85"/>
      <c r="N13" s="87" t="s">
        <v>18</v>
      </c>
      <c r="O13" s="87"/>
      <c r="P13" s="90">
        <f>+SUM(P5:P12)</f>
        <v>59850</v>
      </c>
      <c r="Q13" s="85"/>
      <c r="R13" s="87" t="s">
        <v>18</v>
      </c>
      <c r="S13" s="87"/>
      <c r="T13" s="90">
        <f>+SUM(T5:T12)</f>
        <v>0</v>
      </c>
      <c r="U13" s="85"/>
      <c r="V13" s="96"/>
      <c r="W13" s="87" t="s">
        <v>18</v>
      </c>
      <c r="X13" s="87"/>
      <c r="Y13" s="90">
        <f>+SUM(Y5:Y12)</f>
        <v>308300</v>
      </c>
      <c r="Z13" s="97"/>
      <c r="AA13" s="85"/>
      <c r="AB13" s="85" t="s">
        <v>19</v>
      </c>
      <c r="AC13" s="89">
        <v>4000</v>
      </c>
      <c r="AD13" s="85"/>
      <c r="AE13" s="85"/>
      <c r="AF13" s="85"/>
      <c r="AG13" s="85"/>
      <c r="AH13" s="85"/>
      <c r="AI13" s="86">
        <v>5000</v>
      </c>
      <c r="AJ13" s="86">
        <v>9</v>
      </c>
      <c r="AK13" s="120">
        <f t="shared" si="0"/>
        <v>45000</v>
      </c>
      <c r="AL13" s="85"/>
    </row>
    <row r="14" spans="2:38" ht="15.75" thickBot="1" x14ac:dyDescent="0.3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96"/>
      <c r="W14" s="100"/>
      <c r="X14" s="100"/>
      <c r="Y14" s="100"/>
      <c r="Z14" s="97"/>
      <c r="AA14" s="85"/>
      <c r="AB14" s="85" t="s">
        <v>20</v>
      </c>
      <c r="AC14" s="89"/>
      <c r="AD14" s="85"/>
      <c r="AE14" s="85"/>
      <c r="AF14" s="85"/>
      <c r="AG14" s="85"/>
      <c r="AH14" s="85"/>
      <c r="AI14" s="87" t="s">
        <v>18</v>
      </c>
      <c r="AJ14" s="87"/>
      <c r="AK14" s="90">
        <f>+SUM(AK6:AK13)</f>
        <v>390410</v>
      </c>
      <c r="AL14" s="85"/>
    </row>
    <row r="15" spans="2:38" ht="15.75" thickBot="1" x14ac:dyDescent="0.3">
      <c r="B15" s="242" t="s">
        <v>21</v>
      </c>
      <c r="C15" s="243"/>
      <c r="D15" s="92">
        <v>54905</v>
      </c>
      <c r="E15" s="114"/>
      <c r="F15" s="242" t="s">
        <v>21</v>
      </c>
      <c r="G15" s="243"/>
      <c r="H15" s="92">
        <v>104791</v>
      </c>
      <c r="I15" s="114"/>
      <c r="J15" s="242" t="s">
        <v>21</v>
      </c>
      <c r="K15" s="243"/>
      <c r="L15" s="92">
        <v>116122</v>
      </c>
      <c r="M15" s="114"/>
      <c r="N15" s="242" t="s">
        <v>21</v>
      </c>
      <c r="O15" s="243"/>
      <c r="P15" s="92">
        <v>78690</v>
      </c>
      <c r="Q15" s="114"/>
      <c r="R15" s="242" t="s">
        <v>21</v>
      </c>
      <c r="S15" s="243"/>
      <c r="T15" s="92"/>
      <c r="U15" s="114"/>
      <c r="V15" s="115"/>
      <c r="W15" s="242" t="s">
        <v>21</v>
      </c>
      <c r="X15" s="243"/>
      <c r="Y15" s="92">
        <f>+D15+H15+L15+P15+T15</f>
        <v>354508</v>
      </c>
      <c r="Z15" s="116"/>
      <c r="AA15" s="114"/>
      <c r="AB15" s="85" t="s">
        <v>22</v>
      </c>
      <c r="AC15" s="89"/>
      <c r="AD15" s="85"/>
      <c r="AE15" s="85"/>
      <c r="AF15" s="85"/>
      <c r="AG15" s="85"/>
      <c r="AH15" s="85"/>
      <c r="AI15" s="85"/>
      <c r="AJ15" s="85"/>
      <c r="AK15" s="85"/>
      <c r="AL15" s="85"/>
    </row>
    <row r="16" spans="2:38" x14ac:dyDescent="0.25">
      <c r="B16" s="85" t="s">
        <v>10</v>
      </c>
      <c r="C16" s="85"/>
      <c r="D16" s="89">
        <f>+D13</f>
        <v>54910</v>
      </c>
      <c r="E16" s="85"/>
      <c r="F16" s="85" t="s">
        <v>10</v>
      </c>
      <c r="G16" s="85"/>
      <c r="H16" s="89">
        <f>+H13</f>
        <v>100010</v>
      </c>
      <c r="I16" s="85"/>
      <c r="J16" s="85" t="s">
        <v>10</v>
      </c>
      <c r="K16" s="85"/>
      <c r="L16" s="89">
        <f>+L13</f>
        <v>93530</v>
      </c>
      <c r="M16" s="85"/>
      <c r="N16" s="85" t="s">
        <v>10</v>
      </c>
      <c r="O16" s="85"/>
      <c r="P16" s="89">
        <f>+P13</f>
        <v>59850</v>
      </c>
      <c r="Q16" s="85"/>
      <c r="R16" s="85" t="s">
        <v>10</v>
      </c>
      <c r="S16" s="85"/>
      <c r="T16" s="89">
        <f>+T13</f>
        <v>0</v>
      </c>
      <c r="U16" s="85"/>
      <c r="V16" s="96"/>
      <c r="W16" s="124" t="s">
        <v>10</v>
      </c>
      <c r="X16" s="124"/>
      <c r="Y16" s="121">
        <f>+D16+H16+L16+P16+T16</f>
        <v>308300</v>
      </c>
      <c r="Z16" s="97"/>
      <c r="AA16" s="85"/>
      <c r="AB16" s="85" t="s">
        <v>23</v>
      </c>
      <c r="AC16" s="89"/>
      <c r="AD16" s="85"/>
      <c r="AE16" s="85"/>
      <c r="AF16" s="85"/>
      <c r="AG16" s="85"/>
      <c r="AH16" s="85"/>
      <c r="AI16" s="85"/>
      <c r="AJ16" s="85"/>
      <c r="AK16" s="85"/>
      <c r="AL16" s="85"/>
    </row>
    <row r="17" spans="2:38" x14ac:dyDescent="0.25">
      <c r="B17" s="85" t="s">
        <v>17</v>
      </c>
      <c r="C17" s="85"/>
      <c r="D17" s="89"/>
      <c r="E17" s="85"/>
      <c r="F17" s="85" t="s">
        <v>17</v>
      </c>
      <c r="G17" s="85"/>
      <c r="H17" s="89"/>
      <c r="I17" s="85"/>
      <c r="J17" s="85" t="s">
        <v>17</v>
      </c>
      <c r="K17" s="85"/>
      <c r="L17" s="89">
        <v>8465</v>
      </c>
      <c r="M17" s="85"/>
      <c r="N17" s="85" t="s">
        <v>17</v>
      </c>
      <c r="O17" s="85"/>
      <c r="P17" s="89"/>
      <c r="Q17" s="85"/>
      <c r="R17" s="85" t="s">
        <v>17</v>
      </c>
      <c r="S17" s="85"/>
      <c r="T17" s="89"/>
      <c r="U17" s="85"/>
      <c r="V17" s="96"/>
      <c r="W17" s="124" t="s">
        <v>17</v>
      </c>
      <c r="X17" s="124"/>
      <c r="Y17" s="121">
        <f t="shared" ref="Y17:Y27" si="8">+D17+H17+L17+P17+T17</f>
        <v>8465</v>
      </c>
      <c r="Z17" s="97"/>
      <c r="AA17" s="85"/>
      <c r="AB17" s="133" t="s">
        <v>12</v>
      </c>
      <c r="AC17" s="134">
        <f>+SUM(AC12:AC16)</f>
        <v>390410</v>
      </c>
      <c r="AD17" s="160"/>
      <c r="AE17" s="85"/>
      <c r="AF17" s="85"/>
      <c r="AG17" s="85"/>
      <c r="AH17" s="85"/>
      <c r="AI17" s="85"/>
      <c r="AJ17" s="85"/>
      <c r="AK17" s="85"/>
      <c r="AL17" s="85"/>
    </row>
    <row r="18" spans="2:38" x14ac:dyDescent="0.25">
      <c r="B18" s="85" t="s">
        <v>26</v>
      </c>
      <c r="C18" s="85"/>
      <c r="D18" s="89"/>
      <c r="E18" s="85"/>
      <c r="F18" s="85" t="s">
        <v>26</v>
      </c>
      <c r="G18" s="85"/>
      <c r="H18" s="89"/>
      <c r="I18" s="85"/>
      <c r="J18" s="85" t="s">
        <v>755</v>
      </c>
      <c r="K18" s="85" t="s">
        <v>756</v>
      </c>
      <c r="L18" s="89">
        <v>5214</v>
      </c>
      <c r="M18" s="85"/>
      <c r="N18" s="85" t="s">
        <v>615</v>
      </c>
      <c r="O18" s="85" t="s">
        <v>752</v>
      </c>
      <c r="P18" s="89">
        <v>3200</v>
      </c>
      <c r="Q18" s="85"/>
      <c r="R18" s="85" t="s">
        <v>26</v>
      </c>
      <c r="S18" s="85"/>
      <c r="T18" s="89"/>
      <c r="U18" s="85"/>
      <c r="V18" s="96"/>
      <c r="W18" s="124" t="s">
        <v>26</v>
      </c>
      <c r="X18" s="124"/>
      <c r="Y18" s="121">
        <f t="shared" si="8"/>
        <v>8414</v>
      </c>
      <c r="Z18" s="97"/>
      <c r="AA18" s="85"/>
      <c r="AB18" s="135" t="s">
        <v>32</v>
      </c>
      <c r="AC18" s="136">
        <f>+AC17-AC9</f>
        <v>7</v>
      </c>
      <c r="AD18" s="85" t="s">
        <v>33</v>
      </c>
      <c r="AE18" s="85"/>
      <c r="AF18" s="85"/>
      <c r="AG18" s="85"/>
      <c r="AH18" s="85"/>
      <c r="AI18" s="85"/>
      <c r="AJ18" s="85"/>
      <c r="AK18" s="85"/>
      <c r="AL18" s="85"/>
    </row>
    <row r="19" spans="2:38" x14ac:dyDescent="0.25">
      <c r="B19" s="85" t="s">
        <v>34</v>
      </c>
      <c r="C19" s="85"/>
      <c r="D19" s="89"/>
      <c r="E19" s="85"/>
      <c r="F19" s="85" t="s">
        <v>34</v>
      </c>
      <c r="G19" s="85"/>
      <c r="H19" s="89"/>
      <c r="I19" s="85"/>
      <c r="J19" s="85" t="s">
        <v>757</v>
      </c>
      <c r="K19" s="85" t="s">
        <v>758</v>
      </c>
      <c r="L19" s="89">
        <v>7950</v>
      </c>
      <c r="M19" s="85"/>
      <c r="N19" s="85" t="s">
        <v>753</v>
      </c>
      <c r="O19" s="85" t="s">
        <v>754</v>
      </c>
      <c r="P19" s="89">
        <v>15650</v>
      </c>
      <c r="Q19" s="85"/>
      <c r="R19" s="85" t="s">
        <v>34</v>
      </c>
      <c r="S19" s="85"/>
      <c r="T19" s="89"/>
      <c r="U19" s="85"/>
      <c r="V19" s="96"/>
      <c r="W19" s="124" t="s">
        <v>34</v>
      </c>
      <c r="X19" s="124"/>
      <c r="Y19" s="121">
        <f t="shared" si="8"/>
        <v>23600</v>
      </c>
      <c r="Z19" s="97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</row>
    <row r="20" spans="2:38" x14ac:dyDescent="0.25">
      <c r="B20" s="85" t="s">
        <v>36</v>
      </c>
      <c r="C20" s="85"/>
      <c r="D20" s="89"/>
      <c r="E20" s="85"/>
      <c r="F20" s="85" t="s">
        <v>36</v>
      </c>
      <c r="G20" s="85"/>
      <c r="H20" s="89"/>
      <c r="I20" s="85"/>
      <c r="J20" s="85" t="s">
        <v>36</v>
      </c>
      <c r="K20" s="85"/>
      <c r="L20" s="89"/>
      <c r="M20" s="85"/>
      <c r="N20" s="85" t="s">
        <v>36</v>
      </c>
      <c r="O20" s="85"/>
      <c r="P20" s="89"/>
      <c r="Q20" s="85"/>
      <c r="R20" s="85" t="s">
        <v>36</v>
      </c>
      <c r="S20" s="85"/>
      <c r="T20" s="89"/>
      <c r="U20" s="85"/>
      <c r="V20" s="96"/>
      <c r="W20" s="124" t="s">
        <v>36</v>
      </c>
      <c r="X20" s="124"/>
      <c r="Y20" s="121">
        <f t="shared" si="8"/>
        <v>0</v>
      </c>
      <c r="Z20" s="97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</row>
    <row r="21" spans="2:38" x14ac:dyDescent="0.25">
      <c r="B21" s="85"/>
      <c r="C21" s="85"/>
      <c r="D21" s="89"/>
      <c r="E21" s="85"/>
      <c r="F21" s="85"/>
      <c r="G21" s="85"/>
      <c r="H21" s="89"/>
      <c r="I21" s="85"/>
      <c r="J21" s="85"/>
      <c r="K21" s="85"/>
      <c r="L21" s="89"/>
      <c r="M21" s="85"/>
      <c r="N21" s="85"/>
      <c r="O21" s="85"/>
      <c r="P21" s="89"/>
      <c r="Q21" s="85"/>
      <c r="R21" s="85"/>
      <c r="S21" s="85"/>
      <c r="T21" s="89"/>
      <c r="U21" s="85"/>
      <c r="V21" s="96"/>
      <c r="W21" s="124"/>
      <c r="X21" s="124"/>
      <c r="Y21" s="121">
        <f t="shared" si="8"/>
        <v>0</v>
      </c>
      <c r="Z21" s="97"/>
      <c r="AA21" s="85"/>
      <c r="AB21" s="139" t="s">
        <v>37</v>
      </c>
      <c r="AC21" s="139"/>
      <c r="AD21" s="139"/>
      <c r="AE21" s="114"/>
      <c r="AF21" s="85"/>
      <c r="AG21" s="85"/>
      <c r="AH21" s="85"/>
      <c r="AI21" s="139" t="s">
        <v>38</v>
      </c>
      <c r="AJ21" s="139"/>
      <c r="AK21" s="139"/>
      <c r="AL21" s="147"/>
    </row>
    <row r="22" spans="2:38" x14ac:dyDescent="0.25">
      <c r="B22" s="85"/>
      <c r="C22" s="85"/>
      <c r="D22" s="89"/>
      <c r="E22" s="85"/>
      <c r="F22" s="85"/>
      <c r="G22" s="85"/>
      <c r="H22" s="89"/>
      <c r="I22" s="85"/>
      <c r="J22" s="85"/>
      <c r="K22" s="85"/>
      <c r="L22" s="89"/>
      <c r="M22" s="85"/>
      <c r="N22" s="85"/>
      <c r="O22" s="85"/>
      <c r="P22" s="89"/>
      <c r="Q22" s="85"/>
      <c r="R22" s="85"/>
      <c r="S22" s="85"/>
      <c r="T22" s="89"/>
      <c r="U22" s="85"/>
      <c r="V22" s="96"/>
      <c r="W22" s="124"/>
      <c r="X22" s="124"/>
      <c r="Y22" s="121">
        <f t="shared" si="8"/>
        <v>0</v>
      </c>
      <c r="Z22" s="97"/>
      <c r="AA22" s="85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G22" s="85"/>
      <c r="AH22" s="85"/>
      <c r="AI22" s="132" t="s">
        <v>41</v>
      </c>
      <c r="AJ22" s="132" t="s">
        <v>45</v>
      </c>
      <c r="AK22" s="132" t="s">
        <v>43</v>
      </c>
      <c r="AL22" s="132" t="s">
        <v>8</v>
      </c>
    </row>
    <row r="23" spans="2:38" x14ac:dyDescent="0.25">
      <c r="B23" s="85" t="s">
        <v>46</v>
      </c>
      <c r="C23" s="85"/>
      <c r="D23" s="89"/>
      <c r="E23" s="85"/>
      <c r="F23" s="85" t="s">
        <v>46</v>
      </c>
      <c r="G23" s="85"/>
      <c r="H23" s="89"/>
      <c r="I23" s="85"/>
      <c r="J23" s="85" t="s">
        <v>46</v>
      </c>
      <c r="K23" s="85"/>
      <c r="L23" s="89"/>
      <c r="M23" s="85"/>
      <c r="N23" s="85" t="s">
        <v>240</v>
      </c>
      <c r="O23" s="85"/>
      <c r="P23" s="89"/>
      <c r="Q23" s="85"/>
      <c r="R23" s="85" t="s">
        <v>46</v>
      </c>
      <c r="S23" s="85"/>
      <c r="T23" s="89"/>
      <c r="U23" s="85"/>
      <c r="V23" s="96"/>
      <c r="W23" s="124" t="s">
        <v>46</v>
      </c>
      <c r="X23" s="124"/>
      <c r="Y23" s="121">
        <f t="shared" si="8"/>
        <v>0</v>
      </c>
      <c r="Z23" s="97"/>
      <c r="AA23" s="85"/>
      <c r="AB23" s="166" t="s">
        <v>750</v>
      </c>
      <c r="AC23" s="204">
        <v>45885</v>
      </c>
      <c r="AD23" s="166" t="s">
        <v>293</v>
      </c>
      <c r="AE23" s="166"/>
      <c r="AF23" s="166">
        <v>15000</v>
      </c>
      <c r="AG23" s="85"/>
      <c r="AH23" s="85"/>
      <c r="AI23" s="85" t="s">
        <v>139</v>
      </c>
      <c r="AJ23" s="85" t="s">
        <v>553</v>
      </c>
      <c r="AK23" s="85"/>
      <c r="AL23" s="147">
        <v>8465</v>
      </c>
    </row>
    <row r="24" spans="2:38" x14ac:dyDescent="0.25">
      <c r="B24" s="85" t="s">
        <v>54</v>
      </c>
      <c r="C24" s="85"/>
      <c r="D24" s="89"/>
      <c r="E24" s="85"/>
      <c r="F24" s="85" t="s">
        <v>54</v>
      </c>
      <c r="G24" s="85"/>
      <c r="H24" s="89"/>
      <c r="I24" s="85"/>
      <c r="J24" s="85" t="s">
        <v>54</v>
      </c>
      <c r="K24" s="85"/>
      <c r="L24" s="89"/>
      <c r="M24" s="85"/>
      <c r="N24" s="85" t="s">
        <v>240</v>
      </c>
      <c r="O24" s="85"/>
      <c r="P24" s="89"/>
      <c r="Q24" s="85"/>
      <c r="R24" s="85" t="s">
        <v>54</v>
      </c>
      <c r="S24" s="85"/>
      <c r="T24" s="89"/>
      <c r="U24" s="85"/>
      <c r="V24" s="96"/>
      <c r="W24" s="124" t="s">
        <v>54</v>
      </c>
      <c r="X24" s="124"/>
      <c r="Y24" s="121">
        <f t="shared" si="8"/>
        <v>0</v>
      </c>
      <c r="Z24" s="97"/>
      <c r="AA24" s="85"/>
      <c r="AB24" s="166" t="s">
        <v>751</v>
      </c>
      <c r="AC24" s="204">
        <v>45890</v>
      </c>
      <c r="AD24" s="166" t="s">
        <v>611</v>
      </c>
      <c r="AE24" s="166"/>
      <c r="AF24" s="166">
        <v>67103</v>
      </c>
      <c r="AG24" s="85"/>
      <c r="AH24" s="85"/>
      <c r="AI24" s="100" t="s">
        <v>759</v>
      </c>
      <c r="AJ24" s="166" t="s">
        <v>316</v>
      </c>
      <c r="AK24" s="100" t="s">
        <v>759</v>
      </c>
      <c r="AL24" s="149">
        <v>5797</v>
      </c>
    </row>
    <row r="25" spans="2:38" x14ac:dyDescent="0.25">
      <c r="B25" s="85" t="s">
        <v>61</v>
      </c>
      <c r="C25" s="85"/>
      <c r="D25" s="89"/>
      <c r="E25" s="85"/>
      <c r="F25" s="85" t="s">
        <v>61</v>
      </c>
      <c r="G25" s="85"/>
      <c r="H25" s="89"/>
      <c r="I25" s="85"/>
      <c r="J25" s="85" t="s">
        <v>61</v>
      </c>
      <c r="K25" s="85"/>
      <c r="L25" s="89"/>
      <c r="M25" s="85"/>
      <c r="N25" s="85" t="s">
        <v>240</v>
      </c>
      <c r="O25" s="85"/>
      <c r="P25" s="89"/>
      <c r="Q25" s="85"/>
      <c r="R25" s="85" t="s">
        <v>61</v>
      </c>
      <c r="S25" s="85"/>
      <c r="T25" s="89"/>
      <c r="U25" s="85"/>
      <c r="V25" s="96"/>
      <c r="W25" s="124" t="s">
        <v>61</v>
      </c>
      <c r="X25" s="124"/>
      <c r="Y25" s="121">
        <f t="shared" si="8"/>
        <v>0</v>
      </c>
      <c r="Z25" s="97"/>
      <c r="AA25" s="85"/>
      <c r="AB25" s="85"/>
      <c r="AC25" s="85"/>
      <c r="AD25" s="85"/>
      <c r="AE25" s="85"/>
      <c r="AF25" s="85"/>
      <c r="AG25" s="85"/>
      <c r="AH25" s="85"/>
      <c r="AI25" s="100" t="s">
        <v>760</v>
      </c>
      <c r="AJ25" s="166" t="s">
        <v>381</v>
      </c>
      <c r="AK25" s="100" t="s">
        <v>760</v>
      </c>
      <c r="AL25" s="149">
        <v>4760</v>
      </c>
    </row>
    <row r="26" spans="2:38" x14ac:dyDescent="0.25">
      <c r="B26" s="85"/>
      <c r="C26" s="85"/>
      <c r="D26" s="89"/>
      <c r="E26" s="85"/>
      <c r="F26" s="85"/>
      <c r="G26" s="85"/>
      <c r="H26" s="89"/>
      <c r="I26" s="85"/>
      <c r="J26" s="85"/>
      <c r="K26" s="85"/>
      <c r="L26" s="89"/>
      <c r="M26" s="85"/>
      <c r="N26" s="85"/>
      <c r="O26" s="85"/>
      <c r="P26" s="89"/>
      <c r="Q26" s="85"/>
      <c r="R26" s="85"/>
      <c r="S26" s="85"/>
      <c r="T26" s="85"/>
      <c r="U26" s="85"/>
      <c r="V26" s="96"/>
      <c r="W26" s="124"/>
      <c r="X26" s="124"/>
      <c r="Y26" s="121">
        <f t="shared" si="8"/>
        <v>0</v>
      </c>
      <c r="Z26" s="97"/>
      <c r="AA26" s="85"/>
      <c r="AB26" s="85"/>
      <c r="AC26" s="85"/>
      <c r="AD26" s="85"/>
      <c r="AE26" s="85"/>
      <c r="AF26" s="104"/>
      <c r="AG26" s="85"/>
      <c r="AH26" s="85"/>
      <c r="AI26" s="100" t="s">
        <v>761</v>
      </c>
      <c r="AJ26" s="166" t="s">
        <v>493</v>
      </c>
      <c r="AK26" s="100" t="s">
        <v>761</v>
      </c>
      <c r="AL26" s="99">
        <v>10204</v>
      </c>
    </row>
    <row r="27" spans="2:38" ht="15.75" thickBot="1" x14ac:dyDescent="0.3">
      <c r="B27" s="85"/>
      <c r="C27" s="85"/>
      <c r="D27" s="89"/>
      <c r="E27" s="85"/>
      <c r="F27" s="85"/>
      <c r="G27" s="85"/>
      <c r="H27" s="89"/>
      <c r="I27" s="85"/>
      <c r="J27" s="85"/>
      <c r="K27" s="85"/>
      <c r="L27" s="89"/>
      <c r="M27" s="85"/>
      <c r="N27" s="85"/>
      <c r="O27" s="85"/>
      <c r="P27" s="89"/>
      <c r="Q27" s="85"/>
      <c r="R27" s="85"/>
      <c r="S27" s="85"/>
      <c r="T27" s="89"/>
      <c r="U27" s="85"/>
      <c r="V27" s="96"/>
      <c r="W27" s="124"/>
      <c r="X27" s="124"/>
      <c r="Y27" s="121">
        <f t="shared" si="8"/>
        <v>0</v>
      </c>
      <c r="Z27" s="97"/>
      <c r="AA27" s="85"/>
      <c r="AB27" s="85"/>
      <c r="AC27" s="85"/>
      <c r="AD27" s="85"/>
      <c r="AE27" s="85"/>
      <c r="AF27" s="85"/>
      <c r="AG27" s="85"/>
      <c r="AH27" s="85"/>
      <c r="AI27" s="100" t="s">
        <v>63</v>
      </c>
      <c r="AJ27" s="166" t="s">
        <v>762</v>
      </c>
      <c r="AK27" s="100" t="s">
        <v>63</v>
      </c>
      <c r="AL27" s="149">
        <v>22500</v>
      </c>
    </row>
    <row r="28" spans="2:38" ht="15.75" thickBot="1" x14ac:dyDescent="0.3">
      <c r="B28" s="235" t="s">
        <v>12</v>
      </c>
      <c r="C28" s="236"/>
      <c r="D28" s="93">
        <f>+SUM(D16:D27)</f>
        <v>54910</v>
      </c>
      <c r="E28" s="85"/>
      <c r="F28" s="235" t="s">
        <v>12</v>
      </c>
      <c r="G28" s="236"/>
      <c r="H28" s="93">
        <f>+SUM(H16:H27)</f>
        <v>100010</v>
      </c>
      <c r="I28" s="85"/>
      <c r="J28" s="235" t="s">
        <v>12</v>
      </c>
      <c r="K28" s="236"/>
      <c r="L28" s="93">
        <f>+SUM(L16:L27)</f>
        <v>115159</v>
      </c>
      <c r="M28" s="85"/>
      <c r="N28" s="235" t="s">
        <v>12</v>
      </c>
      <c r="O28" s="236"/>
      <c r="P28" s="93">
        <f>+SUM(P16:P27)</f>
        <v>78700</v>
      </c>
      <c r="Q28" s="85"/>
      <c r="R28" s="235" t="s">
        <v>12</v>
      </c>
      <c r="S28" s="236"/>
      <c r="T28" s="93">
        <f>+SUM(T16:T27)</f>
        <v>0</v>
      </c>
      <c r="U28" s="85"/>
      <c r="V28" s="96"/>
      <c r="W28" s="235" t="s">
        <v>12</v>
      </c>
      <c r="X28" s="236"/>
      <c r="Y28" s="93">
        <f>+SUM(Y16:Y27)</f>
        <v>348779</v>
      </c>
      <c r="Z28" s="97"/>
      <c r="AA28" s="85"/>
      <c r="AB28" s="85"/>
      <c r="AC28" s="85"/>
      <c r="AD28" s="85"/>
      <c r="AE28" s="85"/>
      <c r="AF28" s="85"/>
      <c r="AG28" s="85"/>
      <c r="AH28" s="85"/>
      <c r="AI28" s="100" t="s">
        <v>105</v>
      </c>
      <c r="AJ28" s="166" t="s">
        <v>679</v>
      </c>
      <c r="AK28" s="100" t="s">
        <v>105</v>
      </c>
      <c r="AL28" s="149">
        <v>141250</v>
      </c>
    </row>
    <row r="29" spans="2:38" x14ac:dyDescent="0.25">
      <c r="B29" s="85"/>
      <c r="C29" s="85"/>
      <c r="D29" s="89"/>
      <c r="E29" s="85"/>
      <c r="F29" s="85"/>
      <c r="G29" s="85"/>
      <c r="H29" s="89"/>
      <c r="I29" s="85"/>
      <c r="J29" s="85"/>
      <c r="K29" s="85"/>
      <c r="L29" s="89"/>
      <c r="M29" s="85"/>
      <c r="N29" s="85"/>
      <c r="O29" s="85"/>
      <c r="P29" s="89"/>
      <c r="Q29" s="85"/>
      <c r="R29" s="85"/>
      <c r="S29" s="85"/>
      <c r="T29" s="89"/>
      <c r="U29" s="85"/>
      <c r="V29" s="96"/>
      <c r="W29" s="100"/>
      <c r="X29" s="100"/>
      <c r="Y29" s="99"/>
      <c r="Z29" s="97"/>
      <c r="AA29" s="85"/>
      <c r="AB29" s="85"/>
      <c r="AC29" s="85"/>
      <c r="AD29" s="85"/>
      <c r="AE29" s="85"/>
      <c r="AF29" s="85"/>
      <c r="AG29" s="85"/>
      <c r="AH29" s="85"/>
      <c r="AI29" s="100" t="s">
        <v>105</v>
      </c>
      <c r="AJ29" s="166" t="s">
        <v>678</v>
      </c>
      <c r="AK29" s="100" t="s">
        <v>105</v>
      </c>
      <c r="AL29" s="149">
        <v>40000</v>
      </c>
    </row>
    <row r="30" spans="2:38" ht="15.75" thickBot="1" x14ac:dyDescent="0.3">
      <c r="B30" s="237" t="s">
        <v>75</v>
      </c>
      <c r="C30" s="237"/>
      <c r="D30" s="91">
        <f>+D28-D15</f>
        <v>5</v>
      </c>
      <c r="E30" s="85"/>
      <c r="F30" s="237" t="s">
        <v>75</v>
      </c>
      <c r="G30" s="237"/>
      <c r="H30" s="91">
        <f>+H28-H15</f>
        <v>-4781</v>
      </c>
      <c r="I30" s="85"/>
      <c r="J30" s="237" t="s">
        <v>75</v>
      </c>
      <c r="K30" s="237"/>
      <c r="L30" s="91">
        <f>+L28-L15</f>
        <v>-963</v>
      </c>
      <c r="M30" s="85"/>
      <c r="N30" s="237" t="s">
        <v>75</v>
      </c>
      <c r="O30" s="237"/>
      <c r="P30" s="91">
        <f>+P28-P15</f>
        <v>10</v>
      </c>
      <c r="Q30" s="85"/>
      <c r="R30" s="237" t="s">
        <v>75</v>
      </c>
      <c r="S30" s="237"/>
      <c r="T30" s="91">
        <f>+T28-T15</f>
        <v>0</v>
      </c>
      <c r="U30" s="85"/>
      <c r="V30" s="96"/>
      <c r="W30" s="238" t="s">
        <v>75</v>
      </c>
      <c r="X30" s="238"/>
      <c r="Y30" s="126">
        <f>+Y28-Y15</f>
        <v>-5729</v>
      </c>
      <c r="Z30" s="97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147"/>
    </row>
    <row r="31" spans="2:38" ht="16.5" thickTop="1" thickBo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01"/>
      <c r="W31" s="102"/>
      <c r="X31" s="102"/>
      <c r="Y31" s="102"/>
      <c r="Z31" s="103"/>
      <c r="AA31" s="85"/>
      <c r="AB31" s="145" t="s">
        <v>74</v>
      </c>
      <c r="AC31" s="145"/>
      <c r="AD31" s="145"/>
      <c r="AE31" s="145"/>
      <c r="AF31" s="140">
        <f>+SUM(AF23:AF30)</f>
        <v>82103</v>
      </c>
      <c r="AG31" s="85"/>
      <c r="AH31" s="85"/>
      <c r="AI31" s="145" t="s">
        <v>74</v>
      </c>
      <c r="AJ31" s="145"/>
      <c r="AK31" s="145"/>
      <c r="AL31" s="140">
        <f>+SUM(AL23:AL30)</f>
        <v>232976</v>
      </c>
    </row>
    <row r="32" spans="2:38" x14ac:dyDescent="0.2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</row>
    <row r="33" spans="2:38" ht="15.75" thickBo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</row>
    <row r="34" spans="2:38" x14ac:dyDescent="0.25">
      <c r="B34" s="94" t="s">
        <v>76</v>
      </c>
      <c r="C34" s="95"/>
      <c r="D34" s="105"/>
      <c r="E34" s="85"/>
      <c r="F34" s="94" t="s">
        <v>76</v>
      </c>
      <c r="G34" s="95"/>
      <c r="H34" s="105">
        <v>4781</v>
      </c>
      <c r="I34" s="85"/>
      <c r="J34" s="94" t="s">
        <v>76</v>
      </c>
      <c r="K34" s="95"/>
      <c r="L34" s="105">
        <v>963</v>
      </c>
      <c r="M34" s="85"/>
      <c r="N34" s="94" t="s">
        <v>76</v>
      </c>
      <c r="O34" s="95"/>
      <c r="P34" s="105"/>
      <c r="Q34" s="85"/>
      <c r="R34" s="94" t="s">
        <v>76</v>
      </c>
      <c r="S34" s="95"/>
      <c r="T34" s="105"/>
      <c r="U34" s="85"/>
      <c r="V34" s="85"/>
      <c r="W34" s="127" t="s">
        <v>76</v>
      </c>
      <c r="X34" s="128"/>
      <c r="Y34" s="129">
        <f>+D34+H34+L34+P34+T34</f>
        <v>5744</v>
      </c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</row>
    <row r="35" spans="2:38" x14ac:dyDescent="0.25">
      <c r="B35" s="96" t="s">
        <v>77</v>
      </c>
      <c r="C35" s="100"/>
      <c r="D35" s="106"/>
      <c r="E35" s="85"/>
      <c r="F35" s="96" t="s">
        <v>77</v>
      </c>
      <c r="G35" s="100"/>
      <c r="H35" s="106"/>
      <c r="I35" s="85"/>
      <c r="J35" s="96" t="s">
        <v>77</v>
      </c>
      <c r="K35" s="100"/>
      <c r="L35" s="106"/>
      <c r="M35" s="85"/>
      <c r="N35" s="96" t="s">
        <v>77</v>
      </c>
      <c r="O35" s="100"/>
      <c r="P35" s="106"/>
      <c r="Q35" s="85"/>
      <c r="R35" s="96" t="s">
        <v>77</v>
      </c>
      <c r="S35" s="100"/>
      <c r="T35" s="106"/>
      <c r="U35" s="85"/>
      <c r="V35" s="85"/>
      <c r="W35" s="130" t="s">
        <v>77</v>
      </c>
      <c r="X35" s="124"/>
      <c r="Y35" s="131">
        <f t="shared" ref="Y35:Y36" si="9">+D35+H35+L35+P35+T35</f>
        <v>0</v>
      </c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</row>
    <row r="36" spans="2:38" x14ac:dyDescent="0.25">
      <c r="B36" s="96" t="s">
        <v>79</v>
      </c>
      <c r="C36" s="100"/>
      <c r="D36" s="106">
        <v>-5</v>
      </c>
      <c r="E36" s="85"/>
      <c r="F36" s="96" t="s">
        <v>79</v>
      </c>
      <c r="G36" s="100"/>
      <c r="H36" s="106"/>
      <c r="I36" s="85"/>
      <c r="J36" s="96" t="s">
        <v>79</v>
      </c>
      <c r="K36" s="100"/>
      <c r="L36" s="106"/>
      <c r="M36" s="85"/>
      <c r="N36" s="96" t="s">
        <v>79</v>
      </c>
      <c r="O36" s="100"/>
      <c r="P36" s="106">
        <v>-10</v>
      </c>
      <c r="Q36" s="85"/>
      <c r="R36" s="96" t="s">
        <v>82</v>
      </c>
      <c r="S36" s="100"/>
      <c r="T36" s="106"/>
      <c r="U36" s="85"/>
      <c r="V36" s="85"/>
      <c r="W36" s="130" t="s">
        <v>78</v>
      </c>
      <c r="X36" s="124"/>
      <c r="Y36" s="131">
        <f t="shared" si="9"/>
        <v>-15</v>
      </c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</row>
    <row r="37" spans="2:38" x14ac:dyDescent="0.25">
      <c r="B37" s="96" t="s">
        <v>18</v>
      </c>
      <c r="C37" s="100"/>
      <c r="D37" s="106">
        <f>+SUM(D34:D36)</f>
        <v>-5</v>
      </c>
      <c r="E37" s="85"/>
      <c r="F37" s="96" t="s">
        <v>18</v>
      </c>
      <c r="G37" s="100"/>
      <c r="H37" s="106">
        <f>+SUM(H34:H36)</f>
        <v>4781</v>
      </c>
      <c r="I37" s="85"/>
      <c r="J37" s="96" t="s">
        <v>18</v>
      </c>
      <c r="K37" s="100"/>
      <c r="L37" s="106">
        <f>+SUM(L34:L36)</f>
        <v>963</v>
      </c>
      <c r="M37" s="85"/>
      <c r="N37" s="96" t="s">
        <v>18</v>
      </c>
      <c r="O37" s="100"/>
      <c r="P37" s="106">
        <f>+SUM(P34:P36)</f>
        <v>-10</v>
      </c>
      <c r="Q37" s="85"/>
      <c r="R37" s="96" t="s">
        <v>18</v>
      </c>
      <c r="S37" s="100"/>
      <c r="T37" s="106">
        <f>+SUM(T34:T36)</f>
        <v>0</v>
      </c>
      <c r="U37" s="85"/>
      <c r="V37" s="85"/>
      <c r="W37" s="117" t="s">
        <v>18</v>
      </c>
      <c r="X37" s="118"/>
      <c r="Y37" s="119">
        <f>+SUM(Y34:Y36)</f>
        <v>5729</v>
      </c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</row>
    <row r="38" spans="2:38" ht="15.75" thickBot="1" x14ac:dyDescent="0.3">
      <c r="B38" s="107" t="s">
        <v>81</v>
      </c>
      <c r="C38" s="108"/>
      <c r="D38" s="109">
        <f>+D30+D37</f>
        <v>0</v>
      </c>
      <c r="E38" s="85"/>
      <c r="F38" s="107" t="s">
        <v>81</v>
      </c>
      <c r="G38" s="108"/>
      <c r="H38" s="109">
        <f>+H30+H37</f>
        <v>0</v>
      </c>
      <c r="I38" s="85"/>
      <c r="J38" s="107" t="s">
        <v>81</v>
      </c>
      <c r="K38" s="108"/>
      <c r="L38" s="109">
        <f>+L30+L37</f>
        <v>0</v>
      </c>
      <c r="M38" s="85"/>
      <c r="N38" s="107" t="s">
        <v>81</v>
      </c>
      <c r="O38" s="108"/>
      <c r="P38" s="109">
        <f>+P30+P37</f>
        <v>0</v>
      </c>
      <c r="Q38" s="85"/>
      <c r="R38" s="107" t="s">
        <v>81</v>
      </c>
      <c r="S38" s="108"/>
      <c r="T38" s="109">
        <f>+T30+T37</f>
        <v>0</v>
      </c>
      <c r="U38" s="85"/>
      <c r="V38" s="85"/>
      <c r="W38" s="107" t="s">
        <v>81</v>
      </c>
      <c r="X38" s="108"/>
      <c r="Y38" s="109">
        <f>+Y30+Y37</f>
        <v>0</v>
      </c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</row>
    <row r="39" spans="2:38" x14ac:dyDescent="0.25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</row>
    <row r="40" spans="2:38" x14ac:dyDescent="0.25"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</row>
    <row r="41" spans="2:38" x14ac:dyDescent="0.25"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38"/>
  <sheetViews>
    <sheetView zoomScale="70" zoomScaleNormal="70" workbookViewId="0">
      <selection activeCell="B3" sqref="B3:AL41"/>
    </sheetView>
  </sheetViews>
  <sheetFormatPr defaultRowHeight="15" x14ac:dyDescent="0.25"/>
  <cols>
    <col min="1" max="2" width="9.140625" style="85"/>
    <col min="3" max="3" width="17.5703125" style="85" customWidth="1"/>
    <col min="4" max="4" width="9.140625" style="85"/>
    <col min="5" max="5" width="1.7109375" style="85" customWidth="1"/>
    <col min="6" max="6" width="9.140625" style="85"/>
    <col min="7" max="7" width="15" style="85" customWidth="1"/>
    <col min="8" max="8" width="9.140625" style="85"/>
    <col min="9" max="9" width="1.7109375" style="85" customWidth="1"/>
    <col min="10" max="10" width="12.42578125" style="85" customWidth="1"/>
    <col min="11" max="11" width="17.42578125" style="85" customWidth="1"/>
    <col min="12" max="12" width="9.140625" style="85"/>
    <col min="13" max="13" width="1" style="85" customWidth="1"/>
    <col min="14" max="14" width="14.140625" style="85" customWidth="1"/>
    <col min="15" max="15" width="18.140625" style="85" customWidth="1"/>
    <col min="16" max="16" width="9.140625" style="85"/>
    <col min="17" max="17" width="1.7109375" style="85" customWidth="1"/>
    <col min="18" max="18" width="9.140625" style="85"/>
    <col min="19" max="19" width="17.28515625" style="85" customWidth="1"/>
    <col min="20" max="20" width="9.140625" style="85"/>
    <col min="21" max="21" width="1.7109375" style="85" customWidth="1"/>
    <col min="22" max="22" width="2" style="85" customWidth="1"/>
    <col min="23" max="24" width="9.140625" style="85"/>
    <col min="25" max="25" width="10.28515625" style="85" customWidth="1"/>
    <col min="26" max="26" width="2" style="85" customWidth="1"/>
    <col min="27" max="27" width="9.140625" style="85"/>
    <col min="28" max="28" width="15.28515625" style="85" bestFit="1" customWidth="1"/>
    <col min="29" max="29" width="10.140625" style="85" customWidth="1"/>
    <col min="30" max="30" width="12.5703125" style="85" customWidth="1"/>
    <col min="31" max="31" width="12" style="85" customWidth="1"/>
    <col min="32" max="32" width="10.5703125" style="85" customWidth="1"/>
    <col min="33" max="34" width="9.140625" style="85"/>
    <col min="35" max="35" width="20.28515625" style="85" bestFit="1" customWidth="1"/>
    <col min="36" max="36" width="13" style="85" customWidth="1"/>
    <col min="37" max="37" width="16.85546875" style="85" customWidth="1"/>
    <col min="38" max="38" width="13.85546875" style="85" customWidth="1"/>
    <col min="39" max="39" width="11" style="85" customWidth="1"/>
    <col min="40" max="16384" width="9.140625" style="85"/>
  </cols>
  <sheetData>
    <row r="2" spans="2:39" ht="15.75" thickBot="1" x14ac:dyDescent="0.3"/>
    <row r="3" spans="2:39" x14ac:dyDescent="0.25">
      <c r="B3" s="240" t="s">
        <v>0</v>
      </c>
      <c r="C3" s="240"/>
      <c r="D3" s="240"/>
      <c r="F3" s="240" t="s">
        <v>1</v>
      </c>
      <c r="G3" s="240"/>
      <c r="H3" s="240"/>
      <c r="J3" s="240" t="s">
        <v>2</v>
      </c>
      <c r="K3" s="240"/>
      <c r="L3" s="240"/>
      <c r="N3" s="240" t="s">
        <v>3</v>
      </c>
      <c r="O3" s="240"/>
      <c r="P3" s="240"/>
      <c r="R3" s="240" t="s">
        <v>4</v>
      </c>
      <c r="S3" s="240"/>
      <c r="T3" s="240"/>
      <c r="V3" s="94"/>
      <c r="W3" s="244" t="s">
        <v>5</v>
      </c>
      <c r="X3" s="244"/>
      <c r="Y3" s="244"/>
      <c r="Z3" s="196"/>
    </row>
    <row r="4" spans="2:39" x14ac:dyDescent="0.25">
      <c r="B4" s="88" t="s">
        <v>6</v>
      </c>
      <c r="C4" s="88" t="s">
        <v>7</v>
      </c>
      <c r="D4" s="88" t="s">
        <v>8</v>
      </c>
      <c r="F4" s="88" t="s">
        <v>6</v>
      </c>
      <c r="G4" s="88" t="s">
        <v>7</v>
      </c>
      <c r="H4" s="88" t="s">
        <v>8</v>
      </c>
      <c r="J4" s="88" t="s">
        <v>6</v>
      </c>
      <c r="K4" s="88" t="s">
        <v>7</v>
      </c>
      <c r="L4" s="88" t="s">
        <v>8</v>
      </c>
      <c r="N4" s="88" t="s">
        <v>6</v>
      </c>
      <c r="O4" s="88" t="s">
        <v>7</v>
      </c>
      <c r="P4" s="88" t="s">
        <v>8</v>
      </c>
      <c r="R4" s="88" t="s">
        <v>6</v>
      </c>
      <c r="S4" s="88" t="s">
        <v>7</v>
      </c>
      <c r="T4" s="88" t="s">
        <v>8</v>
      </c>
      <c r="V4" s="96"/>
      <c r="W4" s="98" t="s">
        <v>6</v>
      </c>
      <c r="X4" s="98" t="s">
        <v>7</v>
      </c>
      <c r="Y4" s="98" t="s">
        <v>8</v>
      </c>
      <c r="Z4" s="97"/>
    </row>
    <row r="5" spans="2:39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/>
      <c r="H5" s="120">
        <f>+G5*F5</f>
        <v>0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/>
      <c r="T5" s="120">
        <f>+S5*R5</f>
        <v>0</v>
      </c>
      <c r="U5" s="110"/>
      <c r="V5" s="111"/>
      <c r="W5" s="122">
        <v>1</v>
      </c>
      <c r="X5" s="123">
        <f>+C5+G5+K5+O5+S5</f>
        <v>0</v>
      </c>
      <c r="Y5" s="121">
        <f>+D5+H5+L5+P5+T5</f>
        <v>0</v>
      </c>
      <c r="Z5" s="112"/>
      <c r="AA5" s="110"/>
      <c r="AB5" s="194" t="s">
        <v>9</v>
      </c>
      <c r="AC5" s="194"/>
      <c r="AD5" s="194"/>
      <c r="AE5" s="194"/>
      <c r="AF5" s="194"/>
      <c r="AG5" s="146"/>
      <c r="AI5" s="88" t="s">
        <v>6</v>
      </c>
      <c r="AJ5" s="88" t="s">
        <v>7</v>
      </c>
      <c r="AK5" s="88" t="s">
        <v>8</v>
      </c>
    </row>
    <row r="6" spans="2:39" ht="15.75" thickTop="1" x14ac:dyDescent="0.25">
      <c r="B6" s="86">
        <v>10</v>
      </c>
      <c r="C6" s="86"/>
      <c r="D6" s="120">
        <f>+C6*B6</f>
        <v>0</v>
      </c>
      <c r="F6" s="86">
        <v>10</v>
      </c>
      <c r="G6" s="86"/>
      <c r="H6" s="120">
        <f>+G6*F6</f>
        <v>0</v>
      </c>
      <c r="J6" s="86">
        <v>10</v>
      </c>
      <c r="K6" s="86"/>
      <c r="L6" s="120">
        <f>+K6*J6</f>
        <v>0</v>
      </c>
      <c r="N6" s="86">
        <v>10</v>
      </c>
      <c r="O6" s="86"/>
      <c r="P6" s="120">
        <f>+O6*N6</f>
        <v>0</v>
      </c>
      <c r="R6" s="86">
        <v>10</v>
      </c>
      <c r="S6" s="86"/>
      <c r="T6" s="120">
        <f>+S6*R6</f>
        <v>0</v>
      </c>
      <c r="V6" s="96"/>
      <c r="W6" s="123">
        <v>10</v>
      </c>
      <c r="X6" s="123">
        <f>+C6+G6+K6+O6+S6</f>
        <v>0</v>
      </c>
      <c r="Y6" s="121">
        <f>+D6+H6+L6+P6+T6</f>
        <v>0</v>
      </c>
      <c r="Z6" s="97"/>
      <c r="AI6" s="113">
        <v>1</v>
      </c>
      <c r="AJ6" s="113"/>
      <c r="AK6" s="120">
        <f t="shared" ref="AK6:AK13" si="0">+AJ6*AI6</f>
        <v>0</v>
      </c>
      <c r="AL6" s="110"/>
      <c r="AM6" s="110"/>
    </row>
    <row r="7" spans="2:39" x14ac:dyDescent="0.25">
      <c r="B7" s="86">
        <v>20</v>
      </c>
      <c r="C7" s="86"/>
      <c r="D7" s="120">
        <f t="shared" ref="D7:D12" si="1">+C7*B7</f>
        <v>0</v>
      </c>
      <c r="F7" s="86">
        <v>20</v>
      </c>
      <c r="G7" s="86"/>
      <c r="H7" s="120">
        <f t="shared" ref="H7:H12" si="2">+G7*F7</f>
        <v>0</v>
      </c>
      <c r="J7" s="86">
        <v>20</v>
      </c>
      <c r="K7" s="86"/>
      <c r="L7" s="120">
        <f t="shared" ref="L7:L12" si="3">+K7*J7</f>
        <v>0</v>
      </c>
      <c r="N7" s="86">
        <v>20</v>
      </c>
      <c r="O7" s="86"/>
      <c r="P7" s="120">
        <f t="shared" ref="P7:P12" si="4">+O7*N7</f>
        <v>0</v>
      </c>
      <c r="R7" s="86">
        <v>20</v>
      </c>
      <c r="S7" s="86"/>
      <c r="T7" s="120">
        <f t="shared" ref="T7:T12" si="5">+S7*R7</f>
        <v>0</v>
      </c>
      <c r="V7" s="96"/>
      <c r="W7" s="123">
        <v>20</v>
      </c>
      <c r="X7" s="123">
        <f>+C7+G7+K7+O7+S7</f>
        <v>0</v>
      </c>
      <c r="Y7" s="121">
        <f t="shared" ref="Y7:Y12" si="6">+D7+H7+L7+P7+T7</f>
        <v>0</v>
      </c>
      <c r="Z7" s="97"/>
      <c r="AB7" s="141" t="s">
        <v>10</v>
      </c>
      <c r="AC7" s="142">
        <f>Y13</f>
        <v>0</v>
      </c>
      <c r="AD7" s="110"/>
      <c r="AE7" s="110"/>
      <c r="AF7" s="110"/>
      <c r="AG7" s="110"/>
      <c r="AI7" s="86">
        <v>10</v>
      </c>
      <c r="AJ7" s="86"/>
      <c r="AK7" s="120">
        <f t="shared" si="0"/>
        <v>0</v>
      </c>
    </row>
    <row r="8" spans="2:39" x14ac:dyDescent="0.25">
      <c r="B8" s="86">
        <v>50</v>
      </c>
      <c r="C8" s="86"/>
      <c r="D8" s="120">
        <f t="shared" si="1"/>
        <v>0</v>
      </c>
      <c r="F8" s="86">
        <v>50</v>
      </c>
      <c r="G8" s="86"/>
      <c r="H8" s="120">
        <f t="shared" si="2"/>
        <v>0</v>
      </c>
      <c r="J8" s="86">
        <v>50</v>
      </c>
      <c r="K8" s="86"/>
      <c r="L8" s="120">
        <f t="shared" si="3"/>
        <v>0</v>
      </c>
      <c r="N8" s="86">
        <v>50</v>
      </c>
      <c r="O8" s="86"/>
      <c r="P8" s="120">
        <f t="shared" si="4"/>
        <v>0</v>
      </c>
      <c r="R8" s="86">
        <v>50</v>
      </c>
      <c r="S8" s="86"/>
      <c r="T8" s="120">
        <f t="shared" si="5"/>
        <v>0</v>
      </c>
      <c r="V8" s="96"/>
      <c r="W8" s="123">
        <v>50</v>
      </c>
      <c r="X8" s="123">
        <f t="shared" ref="X8:X12" si="7">+C8+G8+K8+O8+S8</f>
        <v>0</v>
      </c>
      <c r="Y8" s="121">
        <f t="shared" si="6"/>
        <v>0</v>
      </c>
      <c r="Z8" s="97"/>
      <c r="AB8" s="138" t="s">
        <v>11</v>
      </c>
      <c r="AC8" s="138">
        <f>+AF31</f>
        <v>0</v>
      </c>
      <c r="AI8" s="86">
        <v>20</v>
      </c>
      <c r="AJ8" s="86"/>
      <c r="AK8" s="120">
        <f t="shared" si="0"/>
        <v>0</v>
      </c>
    </row>
    <row r="9" spans="2:39" ht="15.75" thickBot="1" x14ac:dyDescent="0.3">
      <c r="B9" s="86">
        <v>100</v>
      </c>
      <c r="C9" s="86"/>
      <c r="D9" s="120">
        <f t="shared" si="1"/>
        <v>0</v>
      </c>
      <c r="F9" s="86">
        <v>100</v>
      </c>
      <c r="G9" s="86"/>
      <c r="H9" s="120">
        <f t="shared" si="2"/>
        <v>0</v>
      </c>
      <c r="J9" s="86">
        <v>100</v>
      </c>
      <c r="K9" s="86"/>
      <c r="L9" s="120">
        <f t="shared" si="3"/>
        <v>0</v>
      </c>
      <c r="N9" s="86">
        <v>100</v>
      </c>
      <c r="O9" s="86"/>
      <c r="P9" s="120">
        <f t="shared" si="4"/>
        <v>0</v>
      </c>
      <c r="R9" s="86">
        <v>100</v>
      </c>
      <c r="S9" s="86"/>
      <c r="T9" s="120">
        <f t="shared" si="5"/>
        <v>0</v>
      </c>
      <c r="V9" s="96"/>
      <c r="W9" s="123">
        <v>100</v>
      </c>
      <c r="X9" s="123">
        <f t="shared" si="7"/>
        <v>0</v>
      </c>
      <c r="Y9" s="121">
        <f t="shared" si="6"/>
        <v>0</v>
      </c>
      <c r="Z9" s="97"/>
      <c r="AB9" s="143" t="s">
        <v>12</v>
      </c>
      <c r="AC9" s="144">
        <f>SUM(AC7:AC8)</f>
        <v>0</v>
      </c>
      <c r="AI9" s="86">
        <v>50</v>
      </c>
      <c r="AJ9" s="86"/>
      <c r="AK9" s="120">
        <f t="shared" si="0"/>
        <v>0</v>
      </c>
    </row>
    <row r="10" spans="2:39" x14ac:dyDescent="0.25">
      <c r="B10" s="86">
        <v>500</v>
      </c>
      <c r="C10" s="86"/>
      <c r="D10" s="120">
        <f t="shared" si="1"/>
        <v>0</v>
      </c>
      <c r="F10" s="86">
        <v>500</v>
      </c>
      <c r="G10" s="86"/>
      <c r="H10" s="120">
        <f t="shared" si="2"/>
        <v>0</v>
      </c>
      <c r="J10" s="86">
        <v>500</v>
      </c>
      <c r="K10" s="86"/>
      <c r="L10" s="120">
        <f t="shared" si="3"/>
        <v>0</v>
      </c>
      <c r="N10" s="86">
        <v>500</v>
      </c>
      <c r="O10" s="86"/>
      <c r="P10" s="120">
        <f t="shared" si="4"/>
        <v>0</v>
      </c>
      <c r="R10" s="86">
        <v>500</v>
      </c>
      <c r="S10" s="86"/>
      <c r="T10" s="120">
        <f t="shared" si="5"/>
        <v>0</v>
      </c>
      <c r="V10" s="96"/>
      <c r="W10" s="123">
        <v>500</v>
      </c>
      <c r="X10" s="123">
        <f t="shared" si="7"/>
        <v>0</v>
      </c>
      <c r="Y10" s="121">
        <f t="shared" si="6"/>
        <v>0</v>
      </c>
      <c r="Z10" s="97"/>
      <c r="AI10" s="86">
        <v>100</v>
      </c>
      <c r="AJ10" s="86"/>
      <c r="AK10" s="120">
        <f t="shared" si="0"/>
        <v>0</v>
      </c>
    </row>
    <row r="11" spans="2:39" x14ac:dyDescent="0.25">
      <c r="B11" s="86">
        <v>1000</v>
      </c>
      <c r="C11" s="86"/>
      <c r="D11" s="120">
        <f t="shared" si="1"/>
        <v>0</v>
      </c>
      <c r="F11" s="86">
        <v>1000</v>
      </c>
      <c r="G11" s="86"/>
      <c r="H11" s="120">
        <f t="shared" si="2"/>
        <v>0</v>
      </c>
      <c r="J11" s="86">
        <v>1000</v>
      </c>
      <c r="K11" s="86"/>
      <c r="L11" s="120">
        <f t="shared" si="3"/>
        <v>0</v>
      </c>
      <c r="N11" s="86">
        <v>1000</v>
      </c>
      <c r="O11" s="86"/>
      <c r="P11" s="120">
        <f t="shared" si="4"/>
        <v>0</v>
      </c>
      <c r="R11" s="86">
        <v>1000</v>
      </c>
      <c r="S11" s="86"/>
      <c r="T11" s="120">
        <f t="shared" si="5"/>
        <v>0</v>
      </c>
      <c r="V11" s="96"/>
      <c r="W11" s="123">
        <v>1000</v>
      </c>
      <c r="X11" s="123">
        <f t="shared" si="7"/>
        <v>0</v>
      </c>
      <c r="Y11" s="121">
        <f t="shared" si="6"/>
        <v>0</v>
      </c>
      <c r="Z11" s="97"/>
      <c r="AB11" s="132" t="s">
        <v>13</v>
      </c>
      <c r="AC11" s="132" t="s">
        <v>8</v>
      </c>
      <c r="AD11" s="132" t="s">
        <v>14</v>
      </c>
      <c r="AE11" s="132" t="s">
        <v>15</v>
      </c>
      <c r="AF11" s="132" t="s">
        <v>16</v>
      </c>
      <c r="AG11" s="132"/>
      <c r="AI11" s="86">
        <v>500</v>
      </c>
      <c r="AJ11" s="86"/>
      <c r="AK11" s="120">
        <f t="shared" si="0"/>
        <v>0</v>
      </c>
    </row>
    <row r="12" spans="2:39" x14ac:dyDescent="0.25">
      <c r="B12" s="86">
        <v>5000</v>
      </c>
      <c r="C12" s="86"/>
      <c r="D12" s="120">
        <f t="shared" si="1"/>
        <v>0</v>
      </c>
      <c r="F12" s="86">
        <v>5000</v>
      </c>
      <c r="G12" s="86"/>
      <c r="H12" s="120">
        <f t="shared" si="2"/>
        <v>0</v>
      </c>
      <c r="J12" s="86">
        <v>5000</v>
      </c>
      <c r="K12" s="86"/>
      <c r="L12" s="120">
        <f t="shared" si="3"/>
        <v>0</v>
      </c>
      <c r="N12" s="86">
        <v>5000</v>
      </c>
      <c r="O12" s="86"/>
      <c r="P12" s="120">
        <f t="shared" si="4"/>
        <v>0</v>
      </c>
      <c r="R12" s="86">
        <v>5000</v>
      </c>
      <c r="S12" s="86"/>
      <c r="T12" s="120">
        <f t="shared" si="5"/>
        <v>0</v>
      </c>
      <c r="V12" s="96"/>
      <c r="W12" s="123">
        <v>5000</v>
      </c>
      <c r="X12" s="123">
        <f t="shared" si="7"/>
        <v>0</v>
      </c>
      <c r="Y12" s="121">
        <f t="shared" si="6"/>
        <v>0</v>
      </c>
      <c r="Z12" s="97"/>
      <c r="AB12" s="85" t="s">
        <v>17</v>
      </c>
      <c r="AC12" s="89"/>
      <c r="AE12" s="137"/>
      <c r="AI12" s="86">
        <v>1000</v>
      </c>
      <c r="AJ12" s="86"/>
      <c r="AK12" s="120">
        <f t="shared" si="0"/>
        <v>0</v>
      </c>
    </row>
    <row r="13" spans="2:39" ht="15.75" thickBot="1" x14ac:dyDescent="0.3">
      <c r="B13" s="87" t="s">
        <v>18</v>
      </c>
      <c r="C13" s="87"/>
      <c r="D13" s="90">
        <f>+SUM(D5:D12)</f>
        <v>0</v>
      </c>
      <c r="F13" s="87" t="s">
        <v>18</v>
      </c>
      <c r="G13" s="87"/>
      <c r="H13" s="90">
        <f>+SUM(H5:H12)</f>
        <v>0</v>
      </c>
      <c r="J13" s="87" t="s">
        <v>18</v>
      </c>
      <c r="K13" s="87"/>
      <c r="L13" s="90">
        <f>+SUM(L5:L12)</f>
        <v>0</v>
      </c>
      <c r="N13" s="87" t="s">
        <v>18</v>
      </c>
      <c r="O13" s="87"/>
      <c r="P13" s="90">
        <f>+SUM(P5:P12)</f>
        <v>0</v>
      </c>
      <c r="R13" s="87" t="s">
        <v>18</v>
      </c>
      <c r="S13" s="87"/>
      <c r="T13" s="90">
        <f>+SUM(T5:T12)</f>
        <v>0</v>
      </c>
      <c r="V13" s="96"/>
      <c r="W13" s="87" t="s">
        <v>18</v>
      </c>
      <c r="X13" s="87"/>
      <c r="Y13" s="90">
        <f>+SUM(Y5:Y12)</f>
        <v>0</v>
      </c>
      <c r="Z13" s="97"/>
      <c r="AB13" s="85" t="s">
        <v>19</v>
      </c>
      <c r="AC13" s="89"/>
      <c r="AI13" s="86">
        <v>5000</v>
      </c>
      <c r="AJ13" s="86"/>
      <c r="AK13" s="120">
        <f t="shared" si="0"/>
        <v>0</v>
      </c>
    </row>
    <row r="14" spans="2:39" ht="15.75" thickBot="1" x14ac:dyDescent="0.3">
      <c r="V14" s="96"/>
      <c r="W14" s="100"/>
      <c r="X14" s="100"/>
      <c r="Y14" s="100"/>
      <c r="Z14" s="97"/>
      <c r="AB14" s="85" t="s">
        <v>20</v>
      </c>
      <c r="AC14" s="89"/>
      <c r="AI14" s="87" t="s">
        <v>18</v>
      </c>
      <c r="AJ14" s="87"/>
      <c r="AK14" s="90">
        <f>+SUM(AK6:AK13)</f>
        <v>0</v>
      </c>
    </row>
    <row r="15" spans="2:39" ht="15.75" thickBot="1" x14ac:dyDescent="0.3">
      <c r="B15" s="242" t="s">
        <v>21</v>
      </c>
      <c r="C15" s="243"/>
      <c r="D15" s="92"/>
      <c r="E15" s="114"/>
      <c r="F15" s="242" t="s">
        <v>21</v>
      </c>
      <c r="G15" s="243"/>
      <c r="H15" s="92"/>
      <c r="I15" s="114"/>
      <c r="J15" s="242" t="s">
        <v>21</v>
      </c>
      <c r="K15" s="243"/>
      <c r="L15" s="92"/>
      <c r="M15" s="114"/>
      <c r="N15" s="242" t="s">
        <v>21</v>
      </c>
      <c r="O15" s="243"/>
      <c r="P15" s="92"/>
      <c r="Q15" s="114"/>
      <c r="R15" s="242" t="s">
        <v>21</v>
      </c>
      <c r="S15" s="243"/>
      <c r="T15" s="92"/>
      <c r="U15" s="114"/>
      <c r="V15" s="115"/>
      <c r="W15" s="242" t="s">
        <v>21</v>
      </c>
      <c r="X15" s="243"/>
      <c r="Y15" s="92">
        <f>+D15+H15+L15+P15+T15</f>
        <v>0</v>
      </c>
      <c r="Z15" s="116"/>
      <c r="AA15" s="114"/>
      <c r="AB15" s="85" t="s">
        <v>22</v>
      </c>
      <c r="AC15" s="89"/>
    </row>
    <row r="16" spans="2:39" x14ac:dyDescent="0.25">
      <c r="B16" s="85" t="s">
        <v>10</v>
      </c>
      <c r="D16" s="89">
        <f>+D13</f>
        <v>0</v>
      </c>
      <c r="F16" s="85" t="s">
        <v>10</v>
      </c>
      <c r="H16" s="89">
        <f>+H13</f>
        <v>0</v>
      </c>
      <c r="J16" s="85" t="s">
        <v>10</v>
      </c>
      <c r="L16" s="89">
        <f>+L13</f>
        <v>0</v>
      </c>
      <c r="N16" s="85" t="s">
        <v>10</v>
      </c>
      <c r="P16" s="89">
        <f>+P13</f>
        <v>0</v>
      </c>
      <c r="R16" s="85" t="s">
        <v>10</v>
      </c>
      <c r="T16" s="89">
        <f>+T13</f>
        <v>0</v>
      </c>
      <c r="V16" s="96"/>
      <c r="W16" s="124" t="s">
        <v>10</v>
      </c>
      <c r="X16" s="124"/>
      <c r="Y16" s="121">
        <f>+D16+H16+L16+P16+T16</f>
        <v>0</v>
      </c>
      <c r="Z16" s="97"/>
      <c r="AB16" s="85" t="s">
        <v>23</v>
      </c>
      <c r="AC16" s="89"/>
    </row>
    <row r="17" spans="2:38" x14ac:dyDescent="0.25">
      <c r="B17" s="85" t="s">
        <v>17</v>
      </c>
      <c r="D17" s="89"/>
      <c r="F17" s="85" t="s">
        <v>17</v>
      </c>
      <c r="H17" s="89"/>
      <c r="J17" s="85" t="s">
        <v>17</v>
      </c>
      <c r="L17" s="89"/>
      <c r="N17" s="85" t="s">
        <v>17</v>
      </c>
      <c r="P17" s="89"/>
      <c r="R17" s="85" t="s">
        <v>17</v>
      </c>
      <c r="T17" s="89"/>
      <c r="V17" s="96"/>
      <c r="W17" s="124" t="s">
        <v>17</v>
      </c>
      <c r="X17" s="124"/>
      <c r="Y17" s="121">
        <f t="shared" ref="Y17:Y27" si="8">+D17+H17+L17+P17+T17</f>
        <v>0</v>
      </c>
      <c r="Z17" s="97"/>
      <c r="AB17" s="133" t="s">
        <v>12</v>
      </c>
      <c r="AC17" s="134">
        <f>+SUM(AC12:AC16)</f>
        <v>0</v>
      </c>
      <c r="AD17" s="160"/>
    </row>
    <row r="18" spans="2:38" x14ac:dyDescent="0.25">
      <c r="B18" s="85" t="s">
        <v>26</v>
      </c>
      <c r="D18" s="89"/>
      <c r="F18" s="85" t="s">
        <v>26</v>
      </c>
      <c r="H18" s="89"/>
      <c r="J18" s="85" t="s">
        <v>26</v>
      </c>
      <c r="L18" s="89"/>
      <c r="N18" s="85" t="s">
        <v>26</v>
      </c>
      <c r="P18" s="89"/>
      <c r="R18" s="85" t="s">
        <v>26</v>
      </c>
      <c r="T18" s="89"/>
      <c r="V18" s="96"/>
      <c r="W18" s="124" t="s">
        <v>26</v>
      </c>
      <c r="X18" s="124"/>
      <c r="Y18" s="121">
        <f t="shared" si="8"/>
        <v>0</v>
      </c>
      <c r="Z18" s="97"/>
      <c r="AB18" s="135" t="s">
        <v>32</v>
      </c>
      <c r="AC18" s="136">
        <f>+AC17-AC9</f>
        <v>0</v>
      </c>
      <c r="AD18" s="85" t="s">
        <v>33</v>
      </c>
    </row>
    <row r="19" spans="2:38" x14ac:dyDescent="0.25">
      <c r="B19" s="85" t="s">
        <v>34</v>
      </c>
      <c r="D19" s="89"/>
      <c r="F19" s="85" t="s">
        <v>34</v>
      </c>
      <c r="H19" s="89"/>
      <c r="J19" s="85" t="s">
        <v>34</v>
      </c>
      <c r="L19" s="89"/>
      <c r="N19" s="85" t="s">
        <v>34</v>
      </c>
      <c r="P19" s="89"/>
      <c r="R19" s="85" t="s">
        <v>34</v>
      </c>
      <c r="T19" s="89"/>
      <c r="V19" s="96"/>
      <c r="W19" s="124" t="s">
        <v>34</v>
      </c>
      <c r="X19" s="124"/>
      <c r="Y19" s="121">
        <f t="shared" si="8"/>
        <v>0</v>
      </c>
      <c r="Z19" s="97"/>
    </row>
    <row r="20" spans="2:38" x14ac:dyDescent="0.25">
      <c r="B20" s="85" t="s">
        <v>36</v>
      </c>
      <c r="D20" s="89"/>
      <c r="F20" s="85" t="s">
        <v>36</v>
      </c>
      <c r="H20" s="89"/>
      <c r="J20" s="85" t="s">
        <v>36</v>
      </c>
      <c r="L20" s="89"/>
      <c r="N20" s="85" t="s">
        <v>36</v>
      </c>
      <c r="P20" s="89"/>
      <c r="R20" s="85" t="s">
        <v>36</v>
      </c>
      <c r="T20" s="89"/>
      <c r="V20" s="96"/>
      <c r="W20" s="124" t="s">
        <v>36</v>
      </c>
      <c r="X20" s="124"/>
      <c r="Y20" s="121">
        <f t="shared" si="8"/>
        <v>0</v>
      </c>
      <c r="Z20" s="97"/>
    </row>
    <row r="21" spans="2:38" x14ac:dyDescent="0.25">
      <c r="D21" s="89"/>
      <c r="H21" s="89"/>
      <c r="L21" s="89"/>
      <c r="P21" s="89"/>
      <c r="T21" s="89"/>
      <c r="V21" s="96"/>
      <c r="W21" s="124"/>
      <c r="X21" s="124"/>
      <c r="Y21" s="121">
        <f t="shared" si="8"/>
        <v>0</v>
      </c>
      <c r="Z21" s="97"/>
      <c r="AB21" s="139" t="s">
        <v>37</v>
      </c>
      <c r="AC21" s="139"/>
      <c r="AD21" s="139"/>
      <c r="AE21" s="114"/>
      <c r="AI21" s="139" t="s">
        <v>38</v>
      </c>
      <c r="AJ21" s="139"/>
      <c r="AK21" s="139"/>
      <c r="AL21" s="147"/>
    </row>
    <row r="22" spans="2:38" x14ac:dyDescent="0.25">
      <c r="D22" s="89"/>
      <c r="H22" s="89"/>
      <c r="L22" s="89"/>
      <c r="P22" s="89"/>
      <c r="T22" s="89"/>
      <c r="V22" s="96"/>
      <c r="W22" s="124"/>
      <c r="X22" s="124"/>
      <c r="Y22" s="121">
        <f t="shared" si="8"/>
        <v>0</v>
      </c>
      <c r="Z22" s="97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I22" s="132" t="s">
        <v>41</v>
      </c>
      <c r="AJ22" s="132" t="s">
        <v>45</v>
      </c>
      <c r="AK22" s="132" t="s">
        <v>43</v>
      </c>
      <c r="AL22" s="132" t="s">
        <v>8</v>
      </c>
    </row>
    <row r="23" spans="2:38" x14ac:dyDescent="0.25">
      <c r="B23" s="85" t="s">
        <v>46</v>
      </c>
      <c r="D23" s="89"/>
      <c r="F23" s="85" t="s">
        <v>46</v>
      </c>
      <c r="H23" s="89"/>
      <c r="J23" s="85" t="s">
        <v>46</v>
      </c>
      <c r="L23" s="89"/>
      <c r="N23" s="85" t="s">
        <v>240</v>
      </c>
      <c r="P23" s="89"/>
      <c r="R23" s="85" t="s">
        <v>46</v>
      </c>
      <c r="T23" s="89"/>
      <c r="V23" s="96"/>
      <c r="W23" s="124" t="s">
        <v>46</v>
      </c>
      <c r="X23" s="124"/>
      <c r="Y23" s="121">
        <f t="shared" si="8"/>
        <v>0</v>
      </c>
      <c r="Z23" s="97"/>
      <c r="AL23" s="147"/>
    </row>
    <row r="24" spans="2:38" x14ac:dyDescent="0.25">
      <c r="B24" s="85" t="s">
        <v>54</v>
      </c>
      <c r="D24" s="89"/>
      <c r="F24" s="85" t="s">
        <v>54</v>
      </c>
      <c r="H24" s="89"/>
      <c r="J24" s="85" t="s">
        <v>54</v>
      </c>
      <c r="L24" s="89"/>
      <c r="N24" s="85" t="s">
        <v>240</v>
      </c>
      <c r="P24" s="89"/>
      <c r="R24" s="85" t="s">
        <v>54</v>
      </c>
      <c r="T24" s="89"/>
      <c r="V24" s="96"/>
      <c r="W24" s="124" t="s">
        <v>54</v>
      </c>
      <c r="X24" s="124"/>
      <c r="Y24" s="121">
        <f t="shared" si="8"/>
        <v>0</v>
      </c>
      <c r="Z24" s="97"/>
      <c r="AL24" s="147"/>
    </row>
    <row r="25" spans="2:38" x14ac:dyDescent="0.25">
      <c r="B25" s="85" t="s">
        <v>61</v>
      </c>
      <c r="D25" s="89"/>
      <c r="F25" s="85" t="s">
        <v>61</v>
      </c>
      <c r="H25" s="89"/>
      <c r="J25" s="85" t="s">
        <v>61</v>
      </c>
      <c r="L25" s="89"/>
      <c r="N25" s="85" t="s">
        <v>240</v>
      </c>
      <c r="P25" s="89"/>
      <c r="R25" s="85" t="s">
        <v>61</v>
      </c>
      <c r="T25" s="89"/>
      <c r="V25" s="96"/>
      <c r="W25" s="124" t="s">
        <v>61</v>
      </c>
      <c r="X25" s="124"/>
      <c r="Y25" s="121">
        <f t="shared" si="8"/>
        <v>0</v>
      </c>
      <c r="Z25" s="97"/>
      <c r="AL25" s="147"/>
    </row>
    <row r="26" spans="2:38" x14ac:dyDescent="0.25">
      <c r="D26" s="89"/>
      <c r="H26" s="89"/>
      <c r="L26" s="89"/>
      <c r="P26" s="89"/>
      <c r="V26" s="96"/>
      <c r="W26" s="124"/>
      <c r="X26" s="124"/>
      <c r="Y26" s="121">
        <f t="shared" si="8"/>
        <v>0</v>
      </c>
      <c r="Z26" s="97"/>
      <c r="AF26" s="104"/>
      <c r="AL26" s="147"/>
    </row>
    <row r="27" spans="2:38" ht="15.75" thickBot="1" x14ac:dyDescent="0.3">
      <c r="D27" s="89"/>
      <c r="H27" s="89"/>
      <c r="L27" s="89"/>
      <c r="P27" s="89"/>
      <c r="T27" s="89"/>
      <c r="V27" s="96"/>
      <c r="W27" s="124"/>
      <c r="X27" s="124"/>
      <c r="Y27" s="121">
        <f t="shared" si="8"/>
        <v>0</v>
      </c>
      <c r="Z27" s="97"/>
      <c r="AL27" s="147"/>
    </row>
    <row r="28" spans="2:38" ht="15.75" thickBot="1" x14ac:dyDescent="0.3">
      <c r="B28" s="235" t="s">
        <v>12</v>
      </c>
      <c r="C28" s="236"/>
      <c r="D28" s="93">
        <f>+SUM(D16:D27)</f>
        <v>0</v>
      </c>
      <c r="F28" s="235" t="s">
        <v>12</v>
      </c>
      <c r="G28" s="236"/>
      <c r="H28" s="93">
        <f>+SUM(H16:H27)</f>
        <v>0</v>
      </c>
      <c r="J28" s="235" t="s">
        <v>12</v>
      </c>
      <c r="K28" s="236"/>
      <c r="L28" s="93">
        <f>+SUM(L16:L27)</f>
        <v>0</v>
      </c>
      <c r="N28" s="235" t="s">
        <v>12</v>
      </c>
      <c r="O28" s="236"/>
      <c r="P28" s="93">
        <f>+SUM(P16:P27)</f>
        <v>0</v>
      </c>
      <c r="R28" s="235" t="s">
        <v>12</v>
      </c>
      <c r="S28" s="236"/>
      <c r="T28" s="93">
        <f>+SUM(T16:T27)</f>
        <v>0</v>
      </c>
      <c r="V28" s="96"/>
      <c r="W28" s="235" t="s">
        <v>12</v>
      </c>
      <c r="X28" s="236"/>
      <c r="Y28" s="93">
        <f>+SUM(Y16:Y27)</f>
        <v>0</v>
      </c>
      <c r="Z28" s="97"/>
      <c r="AL28" s="147"/>
    </row>
    <row r="29" spans="2:38" x14ac:dyDescent="0.25">
      <c r="D29" s="89"/>
      <c r="H29" s="89"/>
      <c r="L29" s="89"/>
      <c r="P29" s="89"/>
      <c r="T29" s="89"/>
      <c r="V29" s="96"/>
      <c r="W29" s="100"/>
      <c r="X29" s="100"/>
      <c r="Y29" s="99"/>
      <c r="Z29" s="97"/>
      <c r="AL29" s="147"/>
    </row>
    <row r="30" spans="2:38" ht="15.75" thickBot="1" x14ac:dyDescent="0.3">
      <c r="B30" s="237" t="s">
        <v>75</v>
      </c>
      <c r="C30" s="237"/>
      <c r="D30" s="91">
        <f>+D28-D15</f>
        <v>0</v>
      </c>
      <c r="F30" s="237" t="s">
        <v>75</v>
      </c>
      <c r="G30" s="237"/>
      <c r="H30" s="91">
        <f>+H28-H15</f>
        <v>0</v>
      </c>
      <c r="J30" s="237" t="s">
        <v>75</v>
      </c>
      <c r="K30" s="237"/>
      <c r="L30" s="91">
        <f>+L28-L15</f>
        <v>0</v>
      </c>
      <c r="N30" s="237" t="s">
        <v>75</v>
      </c>
      <c r="O30" s="237"/>
      <c r="P30" s="91">
        <f>+P28-P15</f>
        <v>0</v>
      </c>
      <c r="R30" s="237" t="s">
        <v>75</v>
      </c>
      <c r="S30" s="237"/>
      <c r="T30" s="91">
        <f>+T28-T15</f>
        <v>0</v>
      </c>
      <c r="V30" s="96"/>
      <c r="W30" s="238" t="s">
        <v>75</v>
      </c>
      <c r="X30" s="238"/>
      <c r="Y30" s="126">
        <f>+Y28-Y15</f>
        <v>0</v>
      </c>
      <c r="Z30" s="97"/>
      <c r="AL30" s="147"/>
    </row>
    <row r="31" spans="2:38" ht="16.5" thickTop="1" thickBot="1" x14ac:dyDescent="0.3">
      <c r="V31" s="101"/>
      <c r="W31" s="102"/>
      <c r="X31" s="102"/>
      <c r="Y31" s="102"/>
      <c r="Z31" s="103"/>
      <c r="AB31" s="145" t="s">
        <v>74</v>
      </c>
      <c r="AC31" s="145"/>
      <c r="AD31" s="145"/>
      <c r="AE31" s="145"/>
      <c r="AF31" s="140">
        <f>+SUM(AF23:AF30)</f>
        <v>0</v>
      </c>
      <c r="AI31" s="145" t="s">
        <v>74</v>
      </c>
      <c r="AJ31" s="145"/>
      <c r="AK31" s="145"/>
      <c r="AL31" s="140">
        <f>+SUM(AL23:AL30)</f>
        <v>0</v>
      </c>
    </row>
    <row r="33" spans="2:25" ht="15.75" thickBot="1" x14ac:dyDescent="0.3"/>
    <row r="34" spans="2:25" x14ac:dyDescent="0.25">
      <c r="B34" s="94" t="s">
        <v>76</v>
      </c>
      <c r="C34" s="95"/>
      <c r="D34" s="105"/>
      <c r="F34" s="94" t="s">
        <v>76</v>
      </c>
      <c r="G34" s="95"/>
      <c r="H34" s="105"/>
      <c r="J34" s="94" t="s">
        <v>76</v>
      </c>
      <c r="K34" s="95"/>
      <c r="L34" s="105"/>
      <c r="N34" s="94" t="s">
        <v>76</v>
      </c>
      <c r="O34" s="95"/>
      <c r="P34" s="105"/>
      <c r="R34" s="94" t="s">
        <v>76</v>
      </c>
      <c r="S34" s="95"/>
      <c r="T34" s="105"/>
      <c r="W34" s="127" t="s">
        <v>76</v>
      </c>
      <c r="X34" s="128"/>
      <c r="Y34" s="129">
        <f>+D34+H34+L34+P34+T34</f>
        <v>0</v>
      </c>
    </row>
    <row r="35" spans="2:25" x14ac:dyDescent="0.25">
      <c r="B35" s="96" t="s">
        <v>77</v>
      </c>
      <c r="C35" s="100"/>
      <c r="D35" s="106"/>
      <c r="F35" s="96" t="s">
        <v>77</v>
      </c>
      <c r="G35" s="100"/>
      <c r="H35" s="106"/>
      <c r="J35" s="96" t="s">
        <v>77</v>
      </c>
      <c r="K35" s="100"/>
      <c r="L35" s="106"/>
      <c r="N35" s="96" t="s">
        <v>77</v>
      </c>
      <c r="O35" s="100"/>
      <c r="P35" s="106"/>
      <c r="R35" s="96" t="s">
        <v>77</v>
      </c>
      <c r="S35" s="100"/>
      <c r="T35" s="106"/>
      <c r="W35" s="130" t="s">
        <v>77</v>
      </c>
      <c r="X35" s="124"/>
      <c r="Y35" s="131">
        <f t="shared" ref="Y35:Y36" si="9">+D35+H35+L35+P35+T35</f>
        <v>0</v>
      </c>
    </row>
    <row r="36" spans="2:25" x14ac:dyDescent="0.25">
      <c r="B36" s="96" t="s">
        <v>79</v>
      </c>
      <c r="C36" s="100"/>
      <c r="D36" s="106"/>
      <c r="F36" s="96" t="s">
        <v>79</v>
      </c>
      <c r="G36" s="100"/>
      <c r="H36" s="106"/>
      <c r="J36" s="96" t="s">
        <v>79</v>
      </c>
      <c r="K36" s="100"/>
      <c r="L36" s="106"/>
      <c r="N36" s="96" t="s">
        <v>79</v>
      </c>
      <c r="O36" s="100"/>
      <c r="P36" s="106"/>
      <c r="R36" s="96" t="s">
        <v>82</v>
      </c>
      <c r="S36" s="100"/>
      <c r="T36" s="106"/>
      <c r="W36" s="130" t="s">
        <v>78</v>
      </c>
      <c r="X36" s="124"/>
      <c r="Y36" s="131">
        <f t="shared" si="9"/>
        <v>0</v>
      </c>
    </row>
    <row r="37" spans="2:25" x14ac:dyDescent="0.25">
      <c r="B37" s="96" t="s">
        <v>18</v>
      </c>
      <c r="C37" s="100"/>
      <c r="D37" s="106">
        <f>+SUM(D34:D36)</f>
        <v>0</v>
      </c>
      <c r="F37" s="96" t="s">
        <v>18</v>
      </c>
      <c r="G37" s="100"/>
      <c r="H37" s="106">
        <f>+SUM(H34:H36)</f>
        <v>0</v>
      </c>
      <c r="J37" s="96" t="s">
        <v>18</v>
      </c>
      <c r="K37" s="100"/>
      <c r="L37" s="106">
        <f>+SUM(L34:L36)</f>
        <v>0</v>
      </c>
      <c r="N37" s="96" t="s">
        <v>18</v>
      </c>
      <c r="O37" s="100"/>
      <c r="P37" s="106">
        <f>+SUM(P34:P36)</f>
        <v>0</v>
      </c>
      <c r="R37" s="96" t="s">
        <v>18</v>
      </c>
      <c r="S37" s="100"/>
      <c r="T37" s="106">
        <f>+SUM(T34:T36)</f>
        <v>0</v>
      </c>
      <c r="W37" s="117" t="s">
        <v>18</v>
      </c>
      <c r="X37" s="118"/>
      <c r="Y37" s="119">
        <f>+SUM(Y34:Y36)</f>
        <v>0</v>
      </c>
    </row>
    <row r="38" spans="2:25" ht="15.75" thickBot="1" x14ac:dyDescent="0.3">
      <c r="B38" s="107" t="s">
        <v>81</v>
      </c>
      <c r="C38" s="108"/>
      <c r="D38" s="109">
        <f>+D30+D37</f>
        <v>0</v>
      </c>
      <c r="F38" s="107" t="s">
        <v>81</v>
      </c>
      <c r="G38" s="108"/>
      <c r="H38" s="109">
        <f>+H30+H37</f>
        <v>0</v>
      </c>
      <c r="J38" s="107" t="s">
        <v>81</v>
      </c>
      <c r="K38" s="108"/>
      <c r="L38" s="109">
        <f>+L30+L37</f>
        <v>0</v>
      </c>
      <c r="N38" s="107" t="s">
        <v>81</v>
      </c>
      <c r="O38" s="108"/>
      <c r="P38" s="109">
        <f>+P30+P37</f>
        <v>0</v>
      </c>
      <c r="R38" s="107" t="s">
        <v>81</v>
      </c>
      <c r="S38" s="108"/>
      <c r="T38" s="109">
        <f>+T30+T37</f>
        <v>0</v>
      </c>
      <c r="W38" s="107" t="s">
        <v>81</v>
      </c>
      <c r="X38" s="108"/>
      <c r="Y38" s="109">
        <f>+Y30+Y37</f>
        <v>0</v>
      </c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W3:Y3"/>
    <mergeCell ref="B3:D3"/>
    <mergeCell ref="F3:H3"/>
    <mergeCell ref="J3:L3"/>
    <mergeCell ref="N3:P3"/>
    <mergeCell ref="R3:T3"/>
    <mergeCell ref="B15:C15"/>
    <mergeCell ref="F15:G15"/>
    <mergeCell ref="J15:K15"/>
    <mergeCell ref="N15:O15"/>
    <mergeCell ref="R15:S15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41"/>
  <sheetViews>
    <sheetView topLeftCell="I4" zoomScale="80" zoomScaleNormal="80" workbookViewId="0">
      <selection activeCell="AF31" sqref="AF31"/>
    </sheetView>
  </sheetViews>
  <sheetFormatPr defaultRowHeight="15" x14ac:dyDescent="0.25"/>
  <cols>
    <col min="3" max="3" width="15.85546875" bestFit="1" customWidth="1"/>
    <col min="5" max="5" width="1.140625" customWidth="1"/>
    <col min="7" max="7" width="14.7109375" bestFit="1" customWidth="1"/>
    <col min="8" max="8" width="9.5703125" bestFit="1" customWidth="1"/>
    <col min="9" max="9" width="1.42578125" customWidth="1"/>
    <col min="11" max="11" width="14.42578125" customWidth="1"/>
    <col min="13" max="13" width="1.28515625" customWidth="1"/>
    <col min="16" max="16" width="9.7109375" bestFit="1" customWidth="1"/>
    <col min="17" max="17" width="1.42578125" customWidth="1"/>
    <col min="18" max="19" width="13.5703125" bestFit="1" customWidth="1"/>
    <col min="20" max="20" width="9.5703125" bestFit="1" customWidth="1"/>
    <col min="21" max="22" width="1.28515625" customWidth="1"/>
    <col min="25" max="25" width="9.5703125" bestFit="1" customWidth="1"/>
    <col min="26" max="26" width="1.140625" customWidth="1"/>
    <col min="28" max="28" width="15.28515625" bestFit="1" customWidth="1"/>
    <col min="29" max="29" width="10.5703125" bestFit="1" customWidth="1"/>
    <col min="36" max="36" width="15" customWidth="1"/>
    <col min="37" max="37" width="17.7109375" bestFit="1" customWidth="1"/>
    <col min="38" max="38" width="11.85546875" customWidth="1"/>
  </cols>
  <sheetData>
    <row r="2" spans="2:38" ht="15.75" thickBot="1" x14ac:dyDescent="0.3"/>
    <row r="3" spans="2:38" x14ac:dyDescent="0.25">
      <c r="B3" s="240" t="s">
        <v>0</v>
      </c>
      <c r="C3" s="240"/>
      <c r="D3" s="240"/>
      <c r="E3" s="85"/>
      <c r="F3" s="240" t="s">
        <v>1</v>
      </c>
      <c r="G3" s="240"/>
      <c r="H3" s="240"/>
      <c r="I3" s="85"/>
      <c r="J3" s="240" t="s">
        <v>2</v>
      </c>
      <c r="K3" s="240"/>
      <c r="L3" s="240"/>
      <c r="M3" s="85"/>
      <c r="N3" s="240" t="s">
        <v>3</v>
      </c>
      <c r="O3" s="240"/>
      <c r="P3" s="240"/>
      <c r="Q3" s="85"/>
      <c r="R3" s="240" t="s">
        <v>4</v>
      </c>
      <c r="S3" s="240"/>
      <c r="T3" s="240"/>
      <c r="U3" s="85"/>
      <c r="V3" s="94"/>
      <c r="W3" s="244" t="s">
        <v>5</v>
      </c>
      <c r="X3" s="244"/>
      <c r="Y3" s="244"/>
      <c r="Z3" s="196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</row>
    <row r="4" spans="2:38" x14ac:dyDescent="0.25">
      <c r="B4" s="88" t="s">
        <v>6</v>
      </c>
      <c r="C4" s="88" t="s">
        <v>7</v>
      </c>
      <c r="D4" s="88" t="s">
        <v>8</v>
      </c>
      <c r="E4" s="85"/>
      <c r="F4" s="88" t="s">
        <v>6</v>
      </c>
      <c r="G4" s="88" t="s">
        <v>7</v>
      </c>
      <c r="H4" s="88" t="s">
        <v>8</v>
      </c>
      <c r="I4" s="85"/>
      <c r="J4" s="88" t="s">
        <v>6</v>
      </c>
      <c r="K4" s="88" t="s">
        <v>7</v>
      </c>
      <c r="L4" s="88" t="s">
        <v>8</v>
      </c>
      <c r="M4" s="85"/>
      <c r="N4" s="88" t="s">
        <v>6</v>
      </c>
      <c r="O4" s="88" t="s">
        <v>7</v>
      </c>
      <c r="P4" s="88" t="s">
        <v>8</v>
      </c>
      <c r="Q4" s="85"/>
      <c r="R4" s="88" t="s">
        <v>6</v>
      </c>
      <c r="S4" s="88" t="s">
        <v>7</v>
      </c>
      <c r="T4" s="88" t="s">
        <v>8</v>
      </c>
      <c r="U4" s="85"/>
      <c r="V4" s="96"/>
      <c r="W4" s="98" t="s">
        <v>6</v>
      </c>
      <c r="X4" s="98" t="s">
        <v>7</v>
      </c>
      <c r="Y4" s="98" t="s">
        <v>8</v>
      </c>
      <c r="Z4" s="97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</row>
    <row r="5" spans="2:38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/>
      <c r="H5" s="120">
        <f>+G5*F5</f>
        <v>0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/>
      <c r="T5" s="120">
        <f>+S5*R5</f>
        <v>0</v>
      </c>
      <c r="U5" s="110"/>
      <c r="V5" s="111"/>
      <c r="W5" s="122">
        <v>1</v>
      </c>
      <c r="X5" s="123">
        <f>+C5+G5+K5+O5+S5</f>
        <v>0</v>
      </c>
      <c r="Y5" s="121">
        <f>+D5+H5+L5+P5+T5</f>
        <v>0</v>
      </c>
      <c r="Z5" s="112"/>
      <c r="AA5" s="110"/>
      <c r="AB5" s="207" t="s">
        <v>9</v>
      </c>
      <c r="AC5" s="226"/>
      <c r="AD5" s="226"/>
      <c r="AE5" s="226"/>
      <c r="AF5" s="226"/>
      <c r="AG5" s="146"/>
      <c r="AH5" s="85"/>
      <c r="AI5" s="88" t="s">
        <v>6</v>
      </c>
      <c r="AJ5" s="88" t="s">
        <v>7</v>
      </c>
      <c r="AK5" s="88" t="s">
        <v>8</v>
      </c>
      <c r="AL5" s="85"/>
    </row>
    <row r="6" spans="2:38" ht="15.75" thickTop="1" x14ac:dyDescent="0.25">
      <c r="B6" s="86">
        <v>10</v>
      </c>
      <c r="C6" s="86">
        <v>209</v>
      </c>
      <c r="D6" s="120">
        <f>+C6*B6</f>
        <v>2090</v>
      </c>
      <c r="E6" s="85"/>
      <c r="F6" s="86">
        <v>10</v>
      </c>
      <c r="G6" s="86">
        <v>146</v>
      </c>
      <c r="H6" s="120">
        <f>+G6*F6</f>
        <v>1460</v>
      </c>
      <c r="I6" s="85"/>
      <c r="J6" s="86">
        <v>10</v>
      </c>
      <c r="K6" s="86">
        <v>38</v>
      </c>
      <c r="L6" s="120">
        <f>+K6*J6</f>
        <v>380</v>
      </c>
      <c r="M6" s="85"/>
      <c r="N6" s="86">
        <v>10</v>
      </c>
      <c r="O6" s="86">
        <v>105</v>
      </c>
      <c r="P6" s="120">
        <f>+O6*N6</f>
        <v>1050</v>
      </c>
      <c r="Q6" s="85"/>
      <c r="R6" s="86">
        <v>10</v>
      </c>
      <c r="S6" s="86">
        <v>44</v>
      </c>
      <c r="T6" s="120">
        <f>+S6*R6</f>
        <v>440</v>
      </c>
      <c r="U6" s="85"/>
      <c r="V6" s="96"/>
      <c r="W6" s="123">
        <v>10</v>
      </c>
      <c r="X6" s="123">
        <f>+C6+G6+K6+O6+S6</f>
        <v>542</v>
      </c>
      <c r="Y6" s="121">
        <f>+D6+H6+L6+P6+T6</f>
        <v>5420</v>
      </c>
      <c r="Z6" s="97"/>
      <c r="AA6" s="85"/>
      <c r="AB6" s="85"/>
      <c r="AC6" s="85"/>
      <c r="AD6" s="85"/>
      <c r="AE6" s="85"/>
      <c r="AF6" s="85"/>
      <c r="AG6" s="85"/>
      <c r="AH6" s="85"/>
      <c r="AI6" s="113">
        <v>1</v>
      </c>
      <c r="AJ6" s="113"/>
      <c r="AK6" s="120">
        <f t="shared" ref="AK6:AK13" si="0">+AJ6*AI6</f>
        <v>0</v>
      </c>
      <c r="AL6" s="110"/>
    </row>
    <row r="7" spans="2:38" x14ac:dyDescent="0.25">
      <c r="B7" s="86">
        <v>20</v>
      </c>
      <c r="C7" s="86">
        <v>47</v>
      </c>
      <c r="D7" s="120">
        <f t="shared" ref="D7:D12" si="1">+C7*B7</f>
        <v>940</v>
      </c>
      <c r="E7" s="85"/>
      <c r="F7" s="86">
        <v>20</v>
      </c>
      <c r="G7" s="86">
        <v>44</v>
      </c>
      <c r="H7" s="120">
        <f t="shared" ref="H7:H12" si="2">+G7*F7</f>
        <v>880</v>
      </c>
      <c r="I7" s="85"/>
      <c r="J7" s="86">
        <v>20</v>
      </c>
      <c r="K7" s="86">
        <v>6</v>
      </c>
      <c r="L7" s="120">
        <f t="shared" ref="L7:L12" si="3">+K7*J7</f>
        <v>120</v>
      </c>
      <c r="M7" s="85"/>
      <c r="N7" s="86">
        <v>20</v>
      </c>
      <c r="O7" s="86">
        <v>12</v>
      </c>
      <c r="P7" s="120">
        <f t="shared" ref="P7:P12" si="4">+O7*N7</f>
        <v>240</v>
      </c>
      <c r="Q7" s="85"/>
      <c r="R7" s="86">
        <v>20</v>
      </c>
      <c r="S7" s="86">
        <v>11</v>
      </c>
      <c r="T7" s="120">
        <f t="shared" ref="T7:T12" si="5">+S7*R7</f>
        <v>220</v>
      </c>
      <c r="U7" s="85"/>
      <c r="V7" s="96"/>
      <c r="W7" s="123">
        <v>20</v>
      </c>
      <c r="X7" s="123">
        <f>+C7+G7+K7+O7+S7</f>
        <v>120</v>
      </c>
      <c r="Y7" s="121">
        <f t="shared" ref="Y7:Y12" si="6">+D7+H7+L7+P7+T7</f>
        <v>2400</v>
      </c>
      <c r="Z7" s="97"/>
      <c r="AA7" s="85"/>
      <c r="AB7" s="141" t="s">
        <v>10</v>
      </c>
      <c r="AC7" s="142">
        <f>Y13</f>
        <v>379370</v>
      </c>
      <c r="AD7" s="110"/>
      <c r="AE7" s="110"/>
      <c r="AF7" s="110"/>
      <c r="AG7" s="110"/>
      <c r="AH7" s="85"/>
      <c r="AI7" s="86">
        <v>10</v>
      </c>
      <c r="AJ7" s="86">
        <v>1047</v>
      </c>
      <c r="AK7" s="120">
        <f t="shared" si="0"/>
        <v>10470</v>
      </c>
      <c r="AL7" s="85"/>
    </row>
    <row r="8" spans="2:38" x14ac:dyDescent="0.25">
      <c r="B8" s="86">
        <v>50</v>
      </c>
      <c r="C8" s="86">
        <v>36</v>
      </c>
      <c r="D8" s="120">
        <f t="shared" si="1"/>
        <v>1800</v>
      </c>
      <c r="E8" s="85"/>
      <c r="F8" s="86">
        <v>50</v>
      </c>
      <c r="G8" s="86">
        <v>73</v>
      </c>
      <c r="H8" s="120">
        <f t="shared" si="2"/>
        <v>3650</v>
      </c>
      <c r="I8" s="85"/>
      <c r="J8" s="86">
        <v>50</v>
      </c>
      <c r="K8" s="86">
        <v>33</v>
      </c>
      <c r="L8" s="120">
        <f t="shared" si="3"/>
        <v>1650</v>
      </c>
      <c r="M8" s="85"/>
      <c r="N8" s="86">
        <v>50</v>
      </c>
      <c r="O8" s="86">
        <v>170</v>
      </c>
      <c r="P8" s="120">
        <f t="shared" si="4"/>
        <v>8500</v>
      </c>
      <c r="Q8" s="85"/>
      <c r="R8" s="86">
        <v>50</v>
      </c>
      <c r="S8" s="86">
        <v>25</v>
      </c>
      <c r="T8" s="120">
        <f t="shared" si="5"/>
        <v>1250</v>
      </c>
      <c r="U8" s="85"/>
      <c r="V8" s="96"/>
      <c r="W8" s="123">
        <v>50</v>
      </c>
      <c r="X8" s="123">
        <f t="shared" ref="X8:X12" si="7">+C8+G8+K8+O8+S8</f>
        <v>337</v>
      </c>
      <c r="Y8" s="121">
        <f t="shared" si="6"/>
        <v>16850</v>
      </c>
      <c r="Z8" s="97"/>
      <c r="AA8" s="85"/>
      <c r="AB8" s="138" t="s">
        <v>11</v>
      </c>
      <c r="AC8" s="138">
        <f>+AF31</f>
        <v>529011</v>
      </c>
      <c r="AD8" s="85"/>
      <c r="AE8" s="85"/>
      <c r="AF8" s="85"/>
      <c r="AG8" s="85"/>
      <c r="AH8" s="85"/>
      <c r="AI8" s="86">
        <v>20</v>
      </c>
      <c r="AJ8" s="86">
        <v>120</v>
      </c>
      <c r="AK8" s="120">
        <f t="shared" si="0"/>
        <v>2400</v>
      </c>
      <c r="AL8" s="85"/>
    </row>
    <row r="9" spans="2:38" ht="15.75" thickBot="1" x14ac:dyDescent="0.3">
      <c r="B9" s="86">
        <v>100</v>
      </c>
      <c r="C9" s="86">
        <v>3</v>
      </c>
      <c r="D9" s="120">
        <f t="shared" si="1"/>
        <v>300</v>
      </c>
      <c r="E9" s="85"/>
      <c r="F9" s="86">
        <v>100</v>
      </c>
      <c r="G9" s="86">
        <v>99</v>
      </c>
      <c r="H9" s="120">
        <f t="shared" si="2"/>
        <v>9900</v>
      </c>
      <c r="I9" s="85"/>
      <c r="J9" s="86">
        <v>100</v>
      </c>
      <c r="K9" s="86">
        <v>59</v>
      </c>
      <c r="L9" s="120">
        <f t="shared" si="3"/>
        <v>5900</v>
      </c>
      <c r="M9" s="85"/>
      <c r="N9" s="86">
        <v>100</v>
      </c>
      <c r="O9" s="86">
        <v>81</v>
      </c>
      <c r="P9" s="120">
        <f t="shared" si="4"/>
        <v>8100</v>
      </c>
      <c r="Q9" s="85"/>
      <c r="R9" s="86">
        <v>100</v>
      </c>
      <c r="S9" s="86">
        <v>30</v>
      </c>
      <c r="T9" s="120">
        <f t="shared" si="5"/>
        <v>3000</v>
      </c>
      <c r="U9" s="85"/>
      <c r="V9" s="96"/>
      <c r="W9" s="123">
        <v>100</v>
      </c>
      <c r="X9" s="123">
        <f t="shared" si="7"/>
        <v>272</v>
      </c>
      <c r="Y9" s="121">
        <f t="shared" si="6"/>
        <v>27200</v>
      </c>
      <c r="Z9" s="97"/>
      <c r="AA9" s="85"/>
      <c r="AB9" s="143" t="s">
        <v>12</v>
      </c>
      <c r="AC9" s="144">
        <f>SUM(AC7:AC8)</f>
        <v>908381</v>
      </c>
      <c r="AD9" s="85"/>
      <c r="AE9" s="85"/>
      <c r="AF9" s="85"/>
      <c r="AG9" s="85"/>
      <c r="AH9" s="85"/>
      <c r="AI9" s="86">
        <v>50</v>
      </c>
      <c r="AJ9" s="86">
        <v>438</v>
      </c>
      <c r="AK9" s="120">
        <f t="shared" si="0"/>
        <v>21900</v>
      </c>
      <c r="AL9" s="85"/>
    </row>
    <row r="10" spans="2:38" x14ac:dyDescent="0.25">
      <c r="B10" s="86">
        <v>500</v>
      </c>
      <c r="C10" s="86">
        <v>23</v>
      </c>
      <c r="D10" s="120">
        <f t="shared" si="1"/>
        <v>11500</v>
      </c>
      <c r="E10" s="85"/>
      <c r="F10" s="86">
        <v>500</v>
      </c>
      <c r="G10" s="86">
        <v>29</v>
      </c>
      <c r="H10" s="120">
        <f t="shared" si="2"/>
        <v>14500</v>
      </c>
      <c r="I10" s="85"/>
      <c r="J10" s="86">
        <v>500</v>
      </c>
      <c r="K10" s="86">
        <v>25</v>
      </c>
      <c r="L10" s="120">
        <f t="shared" si="3"/>
        <v>12500</v>
      </c>
      <c r="M10" s="85"/>
      <c r="N10" s="86">
        <v>500</v>
      </c>
      <c r="O10" s="86">
        <v>28</v>
      </c>
      <c r="P10" s="120">
        <f t="shared" si="4"/>
        <v>14000</v>
      </c>
      <c r="Q10" s="85"/>
      <c r="R10" s="86">
        <v>500</v>
      </c>
      <c r="S10" s="86">
        <v>10</v>
      </c>
      <c r="T10" s="120">
        <f t="shared" si="5"/>
        <v>5000</v>
      </c>
      <c r="U10" s="85"/>
      <c r="V10" s="96"/>
      <c r="W10" s="123">
        <v>500</v>
      </c>
      <c r="X10" s="123">
        <f t="shared" si="7"/>
        <v>115</v>
      </c>
      <c r="Y10" s="121">
        <f t="shared" si="6"/>
        <v>57500</v>
      </c>
      <c r="Z10" s="97"/>
      <c r="AA10" s="85"/>
      <c r="AB10" s="85"/>
      <c r="AC10" s="85"/>
      <c r="AD10" s="85"/>
      <c r="AE10" s="85"/>
      <c r="AF10" s="85"/>
      <c r="AG10" s="85"/>
      <c r="AH10" s="85"/>
      <c r="AI10" s="86">
        <v>100</v>
      </c>
      <c r="AJ10" s="86">
        <v>369</v>
      </c>
      <c r="AK10" s="120">
        <f t="shared" si="0"/>
        <v>36900</v>
      </c>
      <c r="AL10" s="85"/>
    </row>
    <row r="11" spans="2:38" x14ac:dyDescent="0.25">
      <c r="B11" s="86">
        <v>1000</v>
      </c>
      <c r="C11" s="86">
        <v>17</v>
      </c>
      <c r="D11" s="120">
        <f t="shared" si="1"/>
        <v>17000</v>
      </c>
      <c r="E11" s="85"/>
      <c r="F11" s="86">
        <v>1000</v>
      </c>
      <c r="G11" s="86">
        <v>64</v>
      </c>
      <c r="H11" s="120">
        <f t="shared" si="2"/>
        <v>64000</v>
      </c>
      <c r="I11" s="85"/>
      <c r="J11" s="86">
        <v>1000</v>
      </c>
      <c r="K11" s="86">
        <v>22</v>
      </c>
      <c r="L11" s="120">
        <f t="shared" si="3"/>
        <v>22000</v>
      </c>
      <c r="M11" s="85"/>
      <c r="N11" s="86">
        <v>1000</v>
      </c>
      <c r="O11" s="86">
        <v>48</v>
      </c>
      <c r="P11" s="120">
        <f t="shared" si="4"/>
        <v>48000</v>
      </c>
      <c r="Q11" s="85"/>
      <c r="R11" s="86">
        <v>1000</v>
      </c>
      <c r="S11" s="86">
        <v>29</v>
      </c>
      <c r="T11" s="120">
        <f t="shared" si="5"/>
        <v>29000</v>
      </c>
      <c r="U11" s="85"/>
      <c r="V11" s="96"/>
      <c r="W11" s="123">
        <v>1000</v>
      </c>
      <c r="X11" s="123">
        <f t="shared" si="7"/>
        <v>180</v>
      </c>
      <c r="Y11" s="121">
        <f t="shared" si="6"/>
        <v>180000</v>
      </c>
      <c r="Z11" s="97"/>
      <c r="AA11" s="85"/>
      <c r="AB11" s="132" t="s">
        <v>13</v>
      </c>
      <c r="AC11" s="132" t="s">
        <v>8</v>
      </c>
      <c r="AD11" s="132" t="s">
        <v>14</v>
      </c>
      <c r="AE11" s="132" t="s">
        <v>15</v>
      </c>
      <c r="AF11" s="132" t="s">
        <v>16</v>
      </c>
      <c r="AG11" s="132"/>
      <c r="AH11" s="85"/>
      <c r="AI11" s="86">
        <v>500</v>
      </c>
      <c r="AJ11" s="86">
        <v>197</v>
      </c>
      <c r="AK11" s="120">
        <f t="shared" si="0"/>
        <v>98500</v>
      </c>
      <c r="AL11" s="85"/>
    </row>
    <row r="12" spans="2:38" x14ac:dyDescent="0.25">
      <c r="B12" s="86">
        <v>5000</v>
      </c>
      <c r="C12" s="86"/>
      <c r="D12" s="120">
        <f t="shared" si="1"/>
        <v>0</v>
      </c>
      <c r="E12" s="85"/>
      <c r="F12" s="86">
        <v>5000</v>
      </c>
      <c r="G12" s="86">
        <v>1</v>
      </c>
      <c r="H12" s="120">
        <f t="shared" si="2"/>
        <v>5000</v>
      </c>
      <c r="I12" s="85"/>
      <c r="J12" s="86">
        <v>5000</v>
      </c>
      <c r="K12" s="86">
        <v>2</v>
      </c>
      <c r="L12" s="120">
        <f t="shared" si="3"/>
        <v>10000</v>
      </c>
      <c r="M12" s="85"/>
      <c r="N12" s="86">
        <v>5000</v>
      </c>
      <c r="O12" s="86">
        <v>4</v>
      </c>
      <c r="P12" s="120">
        <f t="shared" si="4"/>
        <v>20000</v>
      </c>
      <c r="Q12" s="85"/>
      <c r="R12" s="86">
        <v>5000</v>
      </c>
      <c r="S12" s="86">
        <v>11</v>
      </c>
      <c r="T12" s="120">
        <f t="shared" si="5"/>
        <v>55000</v>
      </c>
      <c r="U12" s="85"/>
      <c r="V12" s="96"/>
      <c r="W12" s="123">
        <v>5000</v>
      </c>
      <c r="X12" s="123">
        <f t="shared" si="7"/>
        <v>18</v>
      </c>
      <c r="Y12" s="121">
        <f t="shared" si="6"/>
        <v>90000</v>
      </c>
      <c r="Z12" s="97"/>
      <c r="AA12" s="85"/>
      <c r="AB12" s="85" t="s">
        <v>17</v>
      </c>
      <c r="AC12" s="89">
        <v>587070</v>
      </c>
      <c r="AD12" s="85">
        <v>97494</v>
      </c>
      <c r="AE12" s="137" t="s">
        <v>787</v>
      </c>
      <c r="AF12" s="85" t="s">
        <v>223</v>
      </c>
      <c r="AG12" s="85"/>
      <c r="AH12" s="85"/>
      <c r="AI12" s="86">
        <v>1000</v>
      </c>
      <c r="AJ12" s="86">
        <v>292</v>
      </c>
      <c r="AK12" s="120">
        <f t="shared" si="0"/>
        <v>292000</v>
      </c>
      <c r="AL12" s="85"/>
    </row>
    <row r="13" spans="2:38" ht="15.75" thickBot="1" x14ac:dyDescent="0.3">
      <c r="B13" s="87" t="s">
        <v>18</v>
      </c>
      <c r="C13" s="87"/>
      <c r="D13" s="90">
        <f>+SUM(D5:D12)</f>
        <v>33630</v>
      </c>
      <c r="E13" s="85"/>
      <c r="F13" s="87" t="s">
        <v>18</v>
      </c>
      <c r="G13" s="87"/>
      <c r="H13" s="90">
        <f>+SUM(H5:H12)</f>
        <v>99390</v>
      </c>
      <c r="I13" s="85"/>
      <c r="J13" s="87" t="s">
        <v>18</v>
      </c>
      <c r="K13" s="87"/>
      <c r="L13" s="90">
        <f>+SUM(L5:L12)</f>
        <v>52550</v>
      </c>
      <c r="M13" s="85"/>
      <c r="N13" s="87" t="s">
        <v>18</v>
      </c>
      <c r="O13" s="87"/>
      <c r="P13" s="90">
        <f>+SUM(P5:P12)</f>
        <v>99890</v>
      </c>
      <c r="Q13" s="85"/>
      <c r="R13" s="87" t="s">
        <v>18</v>
      </c>
      <c r="S13" s="87"/>
      <c r="T13" s="90">
        <f>+SUM(T5:T12)</f>
        <v>93910</v>
      </c>
      <c r="U13" s="85"/>
      <c r="V13" s="96"/>
      <c r="W13" s="87" t="s">
        <v>18</v>
      </c>
      <c r="X13" s="87"/>
      <c r="Y13" s="90">
        <f>+SUM(Y5:Y12)</f>
        <v>379370</v>
      </c>
      <c r="Z13" s="97"/>
      <c r="AA13" s="85"/>
      <c r="AB13" s="85" t="s">
        <v>19</v>
      </c>
      <c r="AC13" s="89">
        <v>11100</v>
      </c>
      <c r="AD13" s="85"/>
      <c r="AE13" s="85"/>
      <c r="AF13" s="85"/>
      <c r="AG13" s="85"/>
      <c r="AH13" s="85"/>
      <c r="AI13" s="86">
        <v>5000</v>
      </c>
      <c r="AJ13" s="86">
        <v>27</v>
      </c>
      <c r="AK13" s="120">
        <f t="shared" si="0"/>
        <v>135000</v>
      </c>
      <c r="AL13" s="85"/>
    </row>
    <row r="14" spans="2:38" ht="15.75" thickBot="1" x14ac:dyDescent="0.3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96"/>
      <c r="W14" s="100"/>
      <c r="X14" s="100"/>
      <c r="Y14" s="100"/>
      <c r="Z14" s="97"/>
      <c r="AA14" s="85"/>
      <c r="AB14" s="85" t="s">
        <v>17</v>
      </c>
      <c r="AC14" s="89">
        <v>310230</v>
      </c>
      <c r="AD14" s="85">
        <v>700347</v>
      </c>
      <c r="AE14" s="85" t="s">
        <v>763</v>
      </c>
      <c r="AF14" s="85" t="s">
        <v>223</v>
      </c>
      <c r="AG14" s="85"/>
      <c r="AH14" s="85"/>
      <c r="AI14" s="87" t="s">
        <v>18</v>
      </c>
      <c r="AJ14" s="87"/>
      <c r="AK14" s="90">
        <f>+SUM(AK6:AK13)</f>
        <v>597170</v>
      </c>
      <c r="AL14" s="85"/>
    </row>
    <row r="15" spans="2:38" ht="15.75" thickBot="1" x14ac:dyDescent="0.3">
      <c r="B15" s="242" t="s">
        <v>21</v>
      </c>
      <c r="C15" s="243"/>
      <c r="D15" s="92">
        <v>61317</v>
      </c>
      <c r="E15" s="114"/>
      <c r="F15" s="242" t="s">
        <v>21</v>
      </c>
      <c r="G15" s="243"/>
      <c r="H15" s="92">
        <v>109177</v>
      </c>
      <c r="I15" s="114"/>
      <c r="J15" s="242" t="s">
        <v>21</v>
      </c>
      <c r="K15" s="243"/>
      <c r="L15" s="92">
        <v>77601</v>
      </c>
      <c r="M15" s="114"/>
      <c r="N15" s="242" t="s">
        <v>21</v>
      </c>
      <c r="O15" s="243"/>
      <c r="P15" s="92">
        <v>102390</v>
      </c>
      <c r="Q15" s="114"/>
      <c r="R15" s="242" t="s">
        <v>21</v>
      </c>
      <c r="S15" s="243"/>
      <c r="T15" s="92">
        <v>396462</v>
      </c>
      <c r="U15" s="114"/>
      <c r="V15" s="115"/>
      <c r="W15" s="242" t="s">
        <v>21</v>
      </c>
      <c r="X15" s="243"/>
      <c r="Y15" s="92">
        <f>+D15+H15+L15+P15+T15</f>
        <v>746947</v>
      </c>
      <c r="Z15" s="116"/>
      <c r="AA15" s="114"/>
      <c r="AB15" s="85" t="s">
        <v>22</v>
      </c>
      <c r="AC15" s="89"/>
      <c r="AD15" s="85"/>
      <c r="AE15" s="85"/>
      <c r="AF15" s="85"/>
      <c r="AG15" s="85"/>
      <c r="AH15" s="85"/>
      <c r="AI15" s="85"/>
      <c r="AJ15" s="85"/>
      <c r="AK15" s="85"/>
      <c r="AL15" s="85"/>
    </row>
    <row r="16" spans="2:38" x14ac:dyDescent="0.25">
      <c r="B16" s="85" t="s">
        <v>10</v>
      </c>
      <c r="C16" s="85"/>
      <c r="D16" s="89">
        <f>+D13</f>
        <v>33630</v>
      </c>
      <c r="E16" s="85"/>
      <c r="F16" s="85" t="s">
        <v>10</v>
      </c>
      <c r="G16" s="85"/>
      <c r="H16" s="89">
        <f>+H13</f>
        <v>99390</v>
      </c>
      <c r="I16" s="85"/>
      <c r="J16" s="85" t="s">
        <v>10</v>
      </c>
      <c r="K16" s="85"/>
      <c r="L16" s="89">
        <f>+L13</f>
        <v>52550</v>
      </c>
      <c r="M16" s="85"/>
      <c r="N16" s="85" t="s">
        <v>10</v>
      </c>
      <c r="O16" s="85"/>
      <c r="P16" s="89">
        <f>+P13</f>
        <v>99890</v>
      </c>
      <c r="Q16" s="85"/>
      <c r="R16" s="85" t="s">
        <v>10</v>
      </c>
      <c r="S16" s="85"/>
      <c r="T16" s="89">
        <f>+T13</f>
        <v>93910</v>
      </c>
      <c r="U16" s="85"/>
      <c r="V16" s="96"/>
      <c r="W16" s="124" t="s">
        <v>10</v>
      </c>
      <c r="X16" s="124"/>
      <c r="Y16" s="121">
        <f>+D16+H16+L16+P16+T16</f>
        <v>379370</v>
      </c>
      <c r="Z16" s="97"/>
      <c r="AA16" s="85"/>
      <c r="AB16" s="85" t="s">
        <v>23</v>
      </c>
      <c r="AC16" s="89">
        <v>2500</v>
      </c>
      <c r="AD16" s="85"/>
      <c r="AE16" s="85"/>
      <c r="AF16" s="85"/>
      <c r="AG16" s="85"/>
      <c r="AH16" s="85"/>
      <c r="AI16" s="85"/>
      <c r="AJ16" s="85"/>
      <c r="AK16" s="85"/>
      <c r="AL16" s="85"/>
    </row>
    <row r="17" spans="2:38" x14ac:dyDescent="0.25">
      <c r="B17" s="85" t="s">
        <v>17</v>
      </c>
      <c r="C17" s="85"/>
      <c r="D17" s="89">
        <v>2060</v>
      </c>
      <c r="E17" s="85"/>
      <c r="F17" s="85" t="s">
        <v>17</v>
      </c>
      <c r="G17" s="85"/>
      <c r="H17" s="89"/>
      <c r="I17" s="85"/>
      <c r="J17" s="85" t="s">
        <v>17</v>
      </c>
      <c r="K17" s="85"/>
      <c r="L17" s="89"/>
      <c r="M17" s="85"/>
      <c r="N17" s="85" t="s">
        <v>17</v>
      </c>
      <c r="O17" s="85"/>
      <c r="P17" s="89"/>
      <c r="Q17" s="85"/>
      <c r="R17" s="85" t="s">
        <v>17</v>
      </c>
      <c r="S17" s="85"/>
      <c r="T17" s="89"/>
      <c r="U17" s="85"/>
      <c r="V17" s="96"/>
      <c r="W17" s="124" t="s">
        <v>17</v>
      </c>
      <c r="X17" s="124"/>
      <c r="Y17" s="121">
        <f t="shared" ref="Y17:Y27" si="8">+D17+H17+L17+P17+T17</f>
        <v>2060</v>
      </c>
      <c r="Z17" s="97"/>
      <c r="AA17" s="85"/>
      <c r="AB17" s="133" t="s">
        <v>12</v>
      </c>
      <c r="AC17" s="134">
        <f>+SUM(AC12:AC16)</f>
        <v>910900</v>
      </c>
      <c r="AD17" s="160"/>
      <c r="AE17" s="85"/>
      <c r="AF17" s="85"/>
      <c r="AG17" s="85"/>
      <c r="AH17" s="85"/>
      <c r="AI17" s="85"/>
      <c r="AJ17" s="85"/>
      <c r="AK17" s="85"/>
      <c r="AL17" s="85"/>
    </row>
    <row r="18" spans="2:38" x14ac:dyDescent="0.25">
      <c r="B18" s="85" t="s">
        <v>764</v>
      </c>
      <c r="C18" s="85" t="s">
        <v>765</v>
      </c>
      <c r="D18" s="89">
        <v>12846</v>
      </c>
      <c r="E18" s="85"/>
      <c r="F18" s="85" t="s">
        <v>26</v>
      </c>
      <c r="G18" s="85" t="s">
        <v>768</v>
      </c>
      <c r="H18" s="89">
        <v>9787</v>
      </c>
      <c r="I18" s="85"/>
      <c r="J18" s="85" t="s">
        <v>26</v>
      </c>
      <c r="K18" s="85" t="s">
        <v>769</v>
      </c>
      <c r="L18" s="89">
        <v>12284</v>
      </c>
      <c r="M18" s="85"/>
      <c r="N18" s="85" t="s">
        <v>26</v>
      </c>
      <c r="O18" s="85"/>
      <c r="P18" s="89"/>
      <c r="Q18" s="85"/>
      <c r="R18" s="85" t="s">
        <v>776</v>
      </c>
      <c r="S18" s="85" t="s">
        <v>775</v>
      </c>
      <c r="T18" s="89">
        <v>11676</v>
      </c>
      <c r="U18" s="85"/>
      <c r="V18" s="96"/>
      <c r="W18" s="124" t="s">
        <v>26</v>
      </c>
      <c r="X18" s="124"/>
      <c r="Y18" s="121">
        <f t="shared" si="8"/>
        <v>46593</v>
      </c>
      <c r="Z18" s="97"/>
      <c r="AA18" s="85"/>
      <c r="AB18" s="135" t="s">
        <v>32</v>
      </c>
      <c r="AC18" s="136">
        <f>+AC17-AC9</f>
        <v>2519</v>
      </c>
      <c r="AD18" s="85" t="s">
        <v>33</v>
      </c>
      <c r="AE18" s="85"/>
      <c r="AF18" s="85"/>
      <c r="AG18" s="85"/>
      <c r="AH18" s="85"/>
      <c r="AI18" s="85"/>
      <c r="AJ18" s="85"/>
      <c r="AK18" s="85"/>
      <c r="AL18" s="85"/>
    </row>
    <row r="19" spans="2:38" x14ac:dyDescent="0.25">
      <c r="B19" s="85" t="s">
        <v>34</v>
      </c>
      <c r="C19" s="85" t="s">
        <v>766</v>
      </c>
      <c r="D19" s="89">
        <v>12783</v>
      </c>
      <c r="E19" s="85"/>
      <c r="F19" s="85" t="s">
        <v>34</v>
      </c>
      <c r="G19" s="85"/>
      <c r="H19" s="89"/>
      <c r="I19" s="85"/>
      <c r="J19" s="85" t="s">
        <v>34</v>
      </c>
      <c r="K19" s="85" t="s">
        <v>770</v>
      </c>
      <c r="L19" s="89">
        <v>13000</v>
      </c>
      <c r="M19" s="85"/>
      <c r="N19" s="85" t="s">
        <v>34</v>
      </c>
      <c r="O19" s="85"/>
      <c r="P19" s="89"/>
      <c r="Q19" s="85"/>
      <c r="R19" s="85" t="s">
        <v>777</v>
      </c>
      <c r="S19" s="85" t="s">
        <v>778</v>
      </c>
      <c r="T19" s="89">
        <v>40985</v>
      </c>
      <c r="U19" s="85"/>
      <c r="V19" s="96"/>
      <c r="W19" s="124" t="s">
        <v>34</v>
      </c>
      <c r="X19" s="124"/>
      <c r="Y19" s="121">
        <f t="shared" si="8"/>
        <v>66768</v>
      </c>
      <c r="Z19" s="97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</row>
    <row r="20" spans="2:38" x14ac:dyDescent="0.25">
      <c r="B20" s="85" t="s">
        <v>36</v>
      </c>
      <c r="C20" s="85"/>
      <c r="D20" s="89"/>
      <c r="E20" s="85"/>
      <c r="F20" s="85" t="s">
        <v>36</v>
      </c>
      <c r="G20" s="85"/>
      <c r="H20" s="89"/>
      <c r="I20" s="85"/>
      <c r="J20" s="85" t="s">
        <v>36</v>
      </c>
      <c r="K20" s="85"/>
      <c r="L20" s="89"/>
      <c r="M20" s="85"/>
      <c r="N20" s="85" t="s">
        <v>36</v>
      </c>
      <c r="O20" s="85"/>
      <c r="P20" s="89"/>
      <c r="Q20" s="85"/>
      <c r="R20" s="85" t="s">
        <v>36</v>
      </c>
      <c r="S20" s="85"/>
      <c r="T20" s="89"/>
      <c r="U20" s="85"/>
      <c r="V20" s="96"/>
      <c r="W20" s="124" t="s">
        <v>36</v>
      </c>
      <c r="X20" s="124"/>
      <c r="Y20" s="121">
        <f t="shared" si="8"/>
        <v>0</v>
      </c>
      <c r="Z20" s="97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</row>
    <row r="21" spans="2:38" x14ac:dyDescent="0.25">
      <c r="B21" s="85"/>
      <c r="C21" s="85"/>
      <c r="D21" s="89"/>
      <c r="E21" s="85"/>
      <c r="F21" s="85"/>
      <c r="G21" s="85"/>
      <c r="H21" s="89"/>
      <c r="I21" s="85"/>
      <c r="J21" s="85"/>
      <c r="K21" s="85"/>
      <c r="L21" s="89"/>
      <c r="M21" s="85"/>
      <c r="N21" s="85"/>
      <c r="O21" s="85"/>
      <c r="P21" s="89"/>
      <c r="Q21" s="85"/>
      <c r="R21" s="85"/>
      <c r="S21" s="85"/>
      <c r="T21" s="89"/>
      <c r="U21" s="85"/>
      <c r="V21" s="96"/>
      <c r="W21" s="124"/>
      <c r="X21" s="124"/>
      <c r="Y21" s="121">
        <f t="shared" si="8"/>
        <v>0</v>
      </c>
      <c r="Z21" s="97"/>
      <c r="AA21" s="85"/>
      <c r="AB21" s="139" t="s">
        <v>37</v>
      </c>
      <c r="AC21" s="139"/>
      <c r="AD21" s="139"/>
      <c r="AE21" s="114"/>
      <c r="AF21" s="85"/>
      <c r="AG21" s="85"/>
      <c r="AH21" s="85"/>
      <c r="AI21" s="139" t="s">
        <v>38</v>
      </c>
      <c r="AJ21" s="139"/>
      <c r="AK21" s="139"/>
      <c r="AL21" s="147"/>
    </row>
    <row r="22" spans="2:38" x14ac:dyDescent="0.25">
      <c r="B22" s="85"/>
      <c r="C22" s="85"/>
      <c r="D22" s="89"/>
      <c r="E22" s="85"/>
      <c r="F22" s="85"/>
      <c r="G22" s="85"/>
      <c r="H22" s="89"/>
      <c r="I22" s="85"/>
      <c r="J22" s="85"/>
      <c r="K22" s="85"/>
      <c r="L22" s="89"/>
      <c r="M22" s="85"/>
      <c r="N22" s="85"/>
      <c r="O22" s="85"/>
      <c r="P22" s="89"/>
      <c r="Q22" s="85"/>
      <c r="R22" s="85"/>
      <c r="S22" s="85"/>
      <c r="T22" s="89"/>
      <c r="U22" s="85"/>
      <c r="V22" s="96"/>
      <c r="W22" s="124"/>
      <c r="X22" s="124"/>
      <c r="Y22" s="121">
        <f t="shared" si="8"/>
        <v>0</v>
      </c>
      <c r="Z22" s="97"/>
      <c r="AA22" s="85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G22" s="85"/>
      <c r="AH22" s="85"/>
      <c r="AI22" s="132" t="s">
        <v>41</v>
      </c>
      <c r="AJ22" s="132" t="s">
        <v>45</v>
      </c>
      <c r="AK22" s="132" t="s">
        <v>43</v>
      </c>
      <c r="AL22" s="132" t="s">
        <v>8</v>
      </c>
    </row>
    <row r="23" spans="2:38" x14ac:dyDescent="0.25">
      <c r="B23" s="85" t="s">
        <v>46</v>
      </c>
      <c r="C23" s="85"/>
      <c r="D23" s="89"/>
      <c r="E23" s="85"/>
      <c r="F23" s="85" t="s">
        <v>46</v>
      </c>
      <c r="G23" s="85"/>
      <c r="H23" s="89"/>
      <c r="I23" s="85"/>
      <c r="J23" s="85" t="s">
        <v>46</v>
      </c>
      <c r="K23" s="85"/>
      <c r="L23" s="89"/>
      <c r="M23" s="85"/>
      <c r="N23" s="85" t="s">
        <v>46</v>
      </c>
      <c r="O23" s="85" t="s">
        <v>767</v>
      </c>
      <c r="P23" s="89">
        <v>2500</v>
      </c>
      <c r="Q23" s="85"/>
      <c r="R23" s="85" t="s">
        <v>779</v>
      </c>
      <c r="S23" s="85" t="s">
        <v>178</v>
      </c>
      <c r="T23" s="89">
        <v>128671</v>
      </c>
      <c r="U23" s="85"/>
      <c r="V23" s="96"/>
      <c r="W23" s="124" t="s">
        <v>46</v>
      </c>
      <c r="X23" s="124"/>
      <c r="Y23" s="121">
        <f t="shared" si="8"/>
        <v>131171</v>
      </c>
      <c r="Z23" s="97"/>
      <c r="AA23" s="85"/>
      <c r="AB23" s="166" t="s">
        <v>723</v>
      </c>
      <c r="AC23" s="204">
        <v>45869</v>
      </c>
      <c r="AD23" s="166" t="s">
        <v>722</v>
      </c>
      <c r="AE23" s="166"/>
      <c r="AF23" s="166">
        <v>39180</v>
      </c>
      <c r="AG23" s="85"/>
      <c r="AH23" s="85"/>
      <c r="AI23" s="166" t="s">
        <v>70</v>
      </c>
      <c r="AJ23" s="166" t="s">
        <v>514</v>
      </c>
      <c r="AK23" s="166" t="s">
        <v>262</v>
      </c>
      <c r="AL23" s="227">
        <v>14000</v>
      </c>
    </row>
    <row r="24" spans="2:38" x14ac:dyDescent="0.25">
      <c r="B24" s="85" t="s">
        <v>54</v>
      </c>
      <c r="C24" s="85"/>
      <c r="D24" s="89"/>
      <c r="E24" s="85"/>
      <c r="F24" s="85" t="s">
        <v>54</v>
      </c>
      <c r="G24" s="85"/>
      <c r="H24" s="89"/>
      <c r="I24" s="85"/>
      <c r="J24" s="85" t="s">
        <v>54</v>
      </c>
      <c r="K24" s="85"/>
      <c r="L24" s="89"/>
      <c r="M24" s="85"/>
      <c r="N24" s="85" t="s">
        <v>54</v>
      </c>
      <c r="O24" s="85"/>
      <c r="P24" s="89"/>
      <c r="Q24" s="85"/>
      <c r="R24" s="85" t="s">
        <v>780</v>
      </c>
      <c r="S24" s="85" t="s">
        <v>781</v>
      </c>
      <c r="T24" s="89">
        <v>59187</v>
      </c>
      <c r="U24" s="85"/>
      <c r="V24" s="96"/>
      <c r="W24" s="124" t="s">
        <v>54</v>
      </c>
      <c r="X24" s="124"/>
      <c r="Y24" s="121">
        <f t="shared" si="8"/>
        <v>59187</v>
      </c>
      <c r="Z24" s="97"/>
      <c r="AA24" s="85"/>
      <c r="AB24" s="166" t="s">
        <v>771</v>
      </c>
      <c r="AC24" s="204">
        <v>45886</v>
      </c>
      <c r="AD24" s="166" t="s">
        <v>105</v>
      </c>
      <c r="AE24" s="166"/>
      <c r="AF24" s="166">
        <v>310230</v>
      </c>
      <c r="AH24" s="85"/>
      <c r="AI24" s="166" t="s">
        <v>144</v>
      </c>
      <c r="AJ24" s="166" t="s">
        <v>519</v>
      </c>
      <c r="AK24" s="166" t="s">
        <v>66</v>
      </c>
      <c r="AL24" s="227">
        <v>9846</v>
      </c>
    </row>
    <row r="25" spans="2:38" x14ac:dyDescent="0.25">
      <c r="B25" s="85" t="s">
        <v>61</v>
      </c>
      <c r="C25" s="85"/>
      <c r="D25" s="89"/>
      <c r="E25" s="85"/>
      <c r="F25" s="85" t="s">
        <v>61</v>
      </c>
      <c r="G25" s="85"/>
      <c r="H25" s="89"/>
      <c r="I25" s="85"/>
      <c r="J25" s="85" t="s">
        <v>61</v>
      </c>
      <c r="K25" s="85"/>
      <c r="L25" s="89"/>
      <c r="M25" s="85"/>
      <c r="N25" s="85" t="s">
        <v>61</v>
      </c>
      <c r="O25" s="85"/>
      <c r="P25" s="89"/>
      <c r="Q25" s="85"/>
      <c r="R25" s="85" t="s">
        <v>782</v>
      </c>
      <c r="S25" s="85" t="s">
        <v>417</v>
      </c>
      <c r="T25" s="89">
        <v>52428</v>
      </c>
      <c r="U25" s="85"/>
      <c r="V25" s="96"/>
      <c r="W25" s="124" t="s">
        <v>61</v>
      </c>
      <c r="X25" s="124"/>
      <c r="Y25" s="121">
        <f t="shared" si="8"/>
        <v>52428</v>
      </c>
      <c r="Z25" s="97"/>
      <c r="AA25" s="85"/>
      <c r="AB25" s="166" t="s">
        <v>772</v>
      </c>
      <c r="AC25" s="204">
        <v>45887</v>
      </c>
      <c r="AD25" s="166" t="s">
        <v>539</v>
      </c>
      <c r="AE25" s="166"/>
      <c r="AF25" s="166">
        <v>22561</v>
      </c>
      <c r="AG25" s="85"/>
      <c r="AH25" s="85"/>
      <c r="AI25" s="166" t="s">
        <v>59</v>
      </c>
      <c r="AJ25" s="166" t="s">
        <v>562</v>
      </c>
      <c r="AK25" s="166" t="s">
        <v>761</v>
      </c>
      <c r="AL25" s="228">
        <v>5467</v>
      </c>
    </row>
    <row r="26" spans="2:38" x14ac:dyDescent="0.25">
      <c r="B26" s="85"/>
      <c r="C26" s="85"/>
      <c r="D26" s="89"/>
      <c r="E26" s="85"/>
      <c r="F26" s="85"/>
      <c r="G26" s="85"/>
      <c r="H26" s="89"/>
      <c r="I26" s="85"/>
      <c r="J26" s="85"/>
      <c r="K26" s="85"/>
      <c r="L26" s="89"/>
      <c r="M26" s="85"/>
      <c r="N26" s="85"/>
      <c r="O26" s="85"/>
      <c r="P26" s="89"/>
      <c r="Q26" s="85"/>
      <c r="R26" s="85"/>
      <c r="S26" s="85"/>
      <c r="T26" s="85"/>
      <c r="U26" s="85"/>
      <c r="V26" s="96"/>
      <c r="W26" s="124"/>
      <c r="X26" s="124"/>
      <c r="Y26" s="121">
        <f t="shared" si="8"/>
        <v>0</v>
      </c>
      <c r="Z26" s="97"/>
      <c r="AA26" s="85"/>
      <c r="AB26" s="166" t="s">
        <v>773</v>
      </c>
      <c r="AC26" s="204">
        <v>45885</v>
      </c>
      <c r="AD26" s="166" t="s">
        <v>48</v>
      </c>
      <c r="AE26" s="166"/>
      <c r="AF26" s="166">
        <v>53842</v>
      </c>
      <c r="AG26" s="85"/>
      <c r="AH26" s="85"/>
      <c r="AI26" s="166" t="s">
        <v>59</v>
      </c>
      <c r="AJ26" s="166" t="s">
        <v>564</v>
      </c>
      <c r="AK26" s="166" t="s">
        <v>370</v>
      </c>
      <c r="AL26" s="228">
        <v>8071</v>
      </c>
    </row>
    <row r="27" spans="2:38" ht="15.75" thickBot="1" x14ac:dyDescent="0.3">
      <c r="B27" s="85"/>
      <c r="C27" s="85"/>
      <c r="D27" s="89"/>
      <c r="E27" s="85"/>
      <c r="F27" s="85"/>
      <c r="G27" s="85"/>
      <c r="H27" s="89"/>
      <c r="I27" s="85"/>
      <c r="J27" s="85"/>
      <c r="K27" s="85"/>
      <c r="L27" s="89"/>
      <c r="M27" s="85"/>
      <c r="N27" s="85"/>
      <c r="O27" s="85"/>
      <c r="P27" s="89"/>
      <c r="Q27" s="85"/>
      <c r="R27" s="85"/>
      <c r="S27" s="85"/>
      <c r="T27" s="89"/>
      <c r="U27" s="85"/>
      <c r="V27" s="96"/>
      <c r="W27" s="124"/>
      <c r="X27" s="124"/>
      <c r="Y27" s="121">
        <f t="shared" si="8"/>
        <v>0</v>
      </c>
      <c r="Z27" s="97"/>
      <c r="AA27" s="85"/>
      <c r="AB27" s="166" t="s">
        <v>774</v>
      </c>
      <c r="AC27" s="204">
        <v>45891</v>
      </c>
      <c r="AD27" s="166" t="s">
        <v>635</v>
      </c>
      <c r="AE27" s="166"/>
      <c r="AF27" s="166">
        <v>74698</v>
      </c>
      <c r="AG27" s="85"/>
      <c r="AH27" s="85"/>
      <c r="AI27" s="166" t="s">
        <v>139</v>
      </c>
      <c r="AJ27" s="166" t="s">
        <v>565</v>
      </c>
      <c r="AK27" s="166" t="s">
        <v>745</v>
      </c>
      <c r="AL27" s="227">
        <v>3735</v>
      </c>
    </row>
    <row r="28" spans="2:38" ht="15.75" thickBot="1" x14ac:dyDescent="0.3">
      <c r="B28" s="235" t="s">
        <v>12</v>
      </c>
      <c r="C28" s="236"/>
      <c r="D28" s="93">
        <f>+SUM(D16:D27)</f>
        <v>61319</v>
      </c>
      <c r="E28" s="85"/>
      <c r="F28" s="235" t="s">
        <v>12</v>
      </c>
      <c r="G28" s="236"/>
      <c r="H28" s="93">
        <f>+SUM(H16:H27)</f>
        <v>109177</v>
      </c>
      <c r="I28" s="85"/>
      <c r="J28" s="235" t="s">
        <v>12</v>
      </c>
      <c r="K28" s="236"/>
      <c r="L28" s="93">
        <f>+SUM(L16:L27)</f>
        <v>77834</v>
      </c>
      <c r="M28" s="85"/>
      <c r="N28" s="235" t="s">
        <v>12</v>
      </c>
      <c r="O28" s="236"/>
      <c r="P28" s="93">
        <f>+SUM(P16:P27)</f>
        <v>102390</v>
      </c>
      <c r="Q28" s="85"/>
      <c r="R28" s="235" t="s">
        <v>12</v>
      </c>
      <c r="S28" s="236"/>
      <c r="T28" s="93">
        <f>+SUM(T16:T27)</f>
        <v>386857</v>
      </c>
      <c r="U28" s="85"/>
      <c r="V28" s="96"/>
      <c r="W28" s="235" t="s">
        <v>12</v>
      </c>
      <c r="X28" s="236"/>
      <c r="Y28" s="93">
        <f>+SUM(Y16:Y27)</f>
        <v>737577</v>
      </c>
      <c r="Z28" s="97"/>
      <c r="AA28" s="85"/>
      <c r="AB28" s="166" t="s">
        <v>560</v>
      </c>
      <c r="AC28" s="204">
        <v>45878</v>
      </c>
      <c r="AD28" s="166" t="s">
        <v>105</v>
      </c>
      <c r="AE28" s="166"/>
      <c r="AF28" s="166">
        <v>3500</v>
      </c>
      <c r="AG28" s="85"/>
      <c r="AH28" s="85"/>
      <c r="AI28" s="166" t="s">
        <v>139</v>
      </c>
      <c r="AJ28" s="166" t="s">
        <v>600</v>
      </c>
      <c r="AK28" s="166" t="s">
        <v>368</v>
      </c>
      <c r="AL28" s="227">
        <v>8300</v>
      </c>
    </row>
    <row r="29" spans="2:38" x14ac:dyDescent="0.25">
      <c r="B29" s="85"/>
      <c r="C29" s="85"/>
      <c r="D29" s="89"/>
      <c r="E29" s="85"/>
      <c r="F29" s="85"/>
      <c r="G29" s="85"/>
      <c r="H29" s="89"/>
      <c r="I29" s="85"/>
      <c r="J29" s="85"/>
      <c r="K29" s="85"/>
      <c r="L29" s="89"/>
      <c r="M29" s="85"/>
      <c r="N29" s="85"/>
      <c r="O29" s="85"/>
      <c r="P29" s="89"/>
      <c r="Q29" s="85"/>
      <c r="R29" s="85"/>
      <c r="S29" s="85"/>
      <c r="T29" s="89"/>
      <c r="U29" s="85"/>
      <c r="V29" s="96"/>
      <c r="W29" s="100"/>
      <c r="X29" s="100"/>
      <c r="Y29" s="99"/>
      <c r="Z29" s="97"/>
      <c r="AA29" s="85"/>
      <c r="AB29" s="166" t="s">
        <v>786</v>
      </c>
      <c r="AC29" s="204">
        <v>45876</v>
      </c>
      <c r="AD29" s="166" t="s">
        <v>65</v>
      </c>
      <c r="AE29" s="166"/>
      <c r="AF29" s="166">
        <v>25000</v>
      </c>
      <c r="AG29" s="85"/>
      <c r="AH29" s="85"/>
      <c r="AI29" s="166" t="s">
        <v>139</v>
      </c>
      <c r="AJ29" s="166" t="s">
        <v>603</v>
      </c>
      <c r="AK29" s="166" t="s">
        <v>785</v>
      </c>
      <c r="AL29" s="227">
        <v>4000</v>
      </c>
    </row>
    <row r="30" spans="2:38" ht="15.75" thickBot="1" x14ac:dyDescent="0.3">
      <c r="B30" s="237" t="s">
        <v>75</v>
      </c>
      <c r="C30" s="237"/>
      <c r="D30" s="91">
        <f>+D28-D15</f>
        <v>2</v>
      </c>
      <c r="E30" s="85"/>
      <c r="F30" s="237" t="s">
        <v>75</v>
      </c>
      <c r="G30" s="237"/>
      <c r="H30" s="91">
        <f>+H28-H15</f>
        <v>0</v>
      </c>
      <c r="I30" s="85"/>
      <c r="J30" s="237" t="s">
        <v>75</v>
      </c>
      <c r="K30" s="237"/>
      <c r="L30" s="91">
        <f>+L28-L15</f>
        <v>233</v>
      </c>
      <c r="M30" s="85"/>
      <c r="N30" s="237" t="s">
        <v>75</v>
      </c>
      <c r="O30" s="237"/>
      <c r="P30" s="91">
        <f>+P28-P15</f>
        <v>0</v>
      </c>
      <c r="Q30" s="85"/>
      <c r="R30" s="237" t="s">
        <v>75</v>
      </c>
      <c r="S30" s="237"/>
      <c r="T30" s="91">
        <f>+T28-T15</f>
        <v>-9605</v>
      </c>
      <c r="U30" s="85"/>
      <c r="V30" s="96"/>
      <c r="W30" s="238" t="s">
        <v>75</v>
      </c>
      <c r="X30" s="238"/>
      <c r="Y30" s="126">
        <f>+Y28-Y15</f>
        <v>-9370</v>
      </c>
      <c r="Z30" s="97"/>
      <c r="AA30" s="85"/>
      <c r="AB30" s="85"/>
      <c r="AC30" s="85"/>
      <c r="AD30" s="85"/>
      <c r="AE30" s="85"/>
      <c r="AF30" s="85"/>
      <c r="AG30" s="85"/>
      <c r="AH30" s="85"/>
      <c r="AI30" s="166" t="s">
        <v>72</v>
      </c>
      <c r="AJ30" s="166" t="s">
        <v>614</v>
      </c>
      <c r="AK30" s="166" t="s">
        <v>718</v>
      </c>
      <c r="AL30" s="228">
        <v>17338</v>
      </c>
    </row>
    <row r="31" spans="2:38" ht="16.5" thickTop="1" thickBo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01"/>
      <c r="W31" s="102"/>
      <c r="X31" s="102"/>
      <c r="Y31" s="102"/>
      <c r="Z31" s="103"/>
      <c r="AA31" s="85"/>
      <c r="AB31" s="145" t="s">
        <v>74</v>
      </c>
      <c r="AC31" s="145"/>
      <c r="AD31" s="145"/>
      <c r="AE31" s="145"/>
      <c r="AF31" s="140">
        <f>+SUM(AF23:AF30)</f>
        <v>529011</v>
      </c>
      <c r="AG31" s="85"/>
      <c r="AH31" s="85"/>
      <c r="AI31" s="166" t="s">
        <v>72</v>
      </c>
      <c r="AJ31" s="166" t="s">
        <v>784</v>
      </c>
      <c r="AK31" s="166" t="s">
        <v>509</v>
      </c>
      <c r="AL31" s="227">
        <v>64388</v>
      </c>
    </row>
    <row r="32" spans="2:38" x14ac:dyDescent="0.2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166" t="s">
        <v>144</v>
      </c>
      <c r="AJ32" s="166" t="s">
        <v>553</v>
      </c>
      <c r="AK32" s="166"/>
      <c r="AL32" s="227">
        <v>2060</v>
      </c>
    </row>
    <row r="33" spans="2:38" ht="15.75" thickBo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166"/>
      <c r="AJ33" s="166"/>
      <c r="AK33" s="166"/>
      <c r="AL33" s="166"/>
    </row>
    <row r="34" spans="2:38" x14ac:dyDescent="0.25">
      <c r="B34" s="94" t="s">
        <v>76</v>
      </c>
      <c r="C34" s="95"/>
      <c r="D34" s="105"/>
      <c r="E34" s="85"/>
      <c r="F34" s="94" t="s">
        <v>76</v>
      </c>
      <c r="G34" s="95"/>
      <c r="H34" s="105"/>
      <c r="I34" s="85"/>
      <c r="J34" s="94" t="s">
        <v>76</v>
      </c>
      <c r="K34" s="95"/>
      <c r="L34" s="105"/>
      <c r="M34" s="85"/>
      <c r="N34" s="94" t="s">
        <v>76</v>
      </c>
      <c r="O34" s="95"/>
      <c r="P34" s="105"/>
      <c r="Q34" s="85"/>
      <c r="R34" s="94" t="s">
        <v>76</v>
      </c>
      <c r="S34" s="95"/>
      <c r="T34" s="105">
        <v>6402</v>
      </c>
      <c r="U34" s="85"/>
      <c r="V34" s="85"/>
      <c r="W34" s="127" t="s">
        <v>76</v>
      </c>
      <c r="X34" s="128"/>
      <c r="Y34" s="129">
        <f>+D34+H34+L34+P34+T34</f>
        <v>6402</v>
      </c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</row>
    <row r="35" spans="2:38" x14ac:dyDescent="0.25">
      <c r="B35" s="96" t="s">
        <v>77</v>
      </c>
      <c r="C35" s="100"/>
      <c r="D35" s="106"/>
      <c r="E35" s="85"/>
      <c r="F35" s="96" t="s">
        <v>77</v>
      </c>
      <c r="G35" s="100"/>
      <c r="H35" s="106"/>
      <c r="I35" s="85"/>
      <c r="J35" s="96" t="s">
        <v>77</v>
      </c>
      <c r="K35" s="100"/>
      <c r="L35" s="106"/>
      <c r="M35" s="85"/>
      <c r="N35" s="96" t="s">
        <v>77</v>
      </c>
      <c r="O35" s="100"/>
      <c r="P35" s="106"/>
      <c r="Q35" s="85"/>
      <c r="R35" s="96" t="s">
        <v>77</v>
      </c>
      <c r="S35" s="100"/>
      <c r="T35" s="106"/>
      <c r="U35" s="85"/>
      <c r="V35" s="85"/>
      <c r="W35" s="130" t="s">
        <v>77</v>
      </c>
      <c r="X35" s="124"/>
      <c r="Y35" s="131">
        <f t="shared" ref="Y35:Y36" si="9">+D35+H35+L35+P35+T35</f>
        <v>0</v>
      </c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</row>
    <row r="36" spans="2:38" ht="15.75" thickBot="1" x14ac:dyDescent="0.3">
      <c r="B36" s="96" t="s">
        <v>79</v>
      </c>
      <c r="C36" s="100"/>
      <c r="D36" s="106">
        <v>2</v>
      </c>
      <c r="E36" s="85"/>
      <c r="F36" s="96" t="s">
        <v>79</v>
      </c>
      <c r="G36" s="100"/>
      <c r="H36" s="106"/>
      <c r="I36" s="85"/>
      <c r="J36" s="96" t="s">
        <v>79</v>
      </c>
      <c r="K36" s="100"/>
      <c r="L36" s="106">
        <v>-233</v>
      </c>
      <c r="M36" s="85"/>
      <c r="N36" s="96" t="s">
        <v>79</v>
      </c>
      <c r="O36" s="100"/>
      <c r="P36" s="106"/>
      <c r="Q36" s="85"/>
      <c r="R36" s="96" t="s">
        <v>783</v>
      </c>
      <c r="S36" s="100"/>
      <c r="T36" s="106">
        <v>3203</v>
      </c>
      <c r="U36" s="85"/>
      <c r="V36" s="85"/>
      <c r="W36" s="130" t="s">
        <v>78</v>
      </c>
      <c r="X36" s="124"/>
      <c r="Y36" s="131">
        <f t="shared" si="9"/>
        <v>2972</v>
      </c>
      <c r="Z36" s="85"/>
      <c r="AA36" s="85"/>
      <c r="AB36" s="85"/>
      <c r="AC36" s="85"/>
      <c r="AD36" s="85"/>
      <c r="AE36" s="85"/>
      <c r="AF36" s="85"/>
      <c r="AG36" s="85"/>
      <c r="AH36" s="85"/>
      <c r="AI36" s="145" t="s">
        <v>74</v>
      </c>
      <c r="AJ36" s="145"/>
      <c r="AK36" s="145"/>
      <c r="AL36" s="176">
        <f>+SUM(AL23:AL35)</f>
        <v>137205</v>
      </c>
    </row>
    <row r="37" spans="2:38" ht="15.75" thickTop="1" x14ac:dyDescent="0.25">
      <c r="B37" s="96" t="s">
        <v>18</v>
      </c>
      <c r="C37" s="100"/>
      <c r="D37" s="106"/>
      <c r="E37" s="85"/>
      <c r="F37" s="96" t="s">
        <v>18</v>
      </c>
      <c r="G37" s="100"/>
      <c r="H37" s="106">
        <f>+SUM(H34:H36)</f>
        <v>0</v>
      </c>
      <c r="I37" s="85"/>
      <c r="J37" s="96" t="s">
        <v>18</v>
      </c>
      <c r="K37" s="100"/>
      <c r="L37" s="106">
        <f>+SUM(L34:L36)</f>
        <v>-233</v>
      </c>
      <c r="M37" s="85"/>
      <c r="N37" s="96" t="s">
        <v>18</v>
      </c>
      <c r="O37" s="100"/>
      <c r="P37" s="106">
        <f>+SUM(P34:P36)</f>
        <v>0</v>
      </c>
      <c r="Q37" s="85"/>
      <c r="R37" s="96" t="s">
        <v>18</v>
      </c>
      <c r="S37" s="100"/>
      <c r="T37" s="106">
        <f>+SUM(T34:T36)</f>
        <v>9605</v>
      </c>
      <c r="U37" s="85"/>
      <c r="V37" s="85"/>
      <c r="W37" s="117" t="s">
        <v>18</v>
      </c>
      <c r="X37" s="118"/>
      <c r="Y37" s="119">
        <f>+SUM(Y34:Y36)</f>
        <v>9374</v>
      </c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</row>
    <row r="38" spans="2:38" ht="15.75" thickBot="1" x14ac:dyDescent="0.3">
      <c r="B38" s="107" t="s">
        <v>81</v>
      </c>
      <c r="C38" s="108"/>
      <c r="D38" s="109">
        <v>0</v>
      </c>
      <c r="E38" s="85"/>
      <c r="F38" s="107" t="s">
        <v>81</v>
      </c>
      <c r="G38" s="108"/>
      <c r="H38" s="109">
        <f>+H30+H37</f>
        <v>0</v>
      </c>
      <c r="I38" s="85"/>
      <c r="J38" s="107" t="s">
        <v>81</v>
      </c>
      <c r="K38" s="108"/>
      <c r="L38" s="109">
        <f>+L30+L37</f>
        <v>0</v>
      </c>
      <c r="M38" s="85"/>
      <c r="N38" s="107" t="s">
        <v>81</v>
      </c>
      <c r="O38" s="108"/>
      <c r="P38" s="109">
        <f>+P30+P37</f>
        <v>0</v>
      </c>
      <c r="Q38" s="85"/>
      <c r="R38" s="107" t="s">
        <v>81</v>
      </c>
      <c r="S38" s="108"/>
      <c r="T38" s="109">
        <f>+T30+T37</f>
        <v>0</v>
      </c>
      <c r="U38" s="85"/>
      <c r="V38" s="85"/>
      <c r="W38" s="107" t="s">
        <v>81</v>
      </c>
      <c r="X38" s="108"/>
      <c r="Y38" s="109">
        <f>+Y30+Y37</f>
        <v>4</v>
      </c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</row>
    <row r="39" spans="2:38" x14ac:dyDescent="0.25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</row>
    <row r="40" spans="2:38" x14ac:dyDescent="0.25"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</row>
    <row r="41" spans="2:38" x14ac:dyDescent="0.25"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41"/>
  <sheetViews>
    <sheetView topLeftCell="O11" zoomScaleNormal="100" workbookViewId="0">
      <selection activeCell="AL37" sqref="AL37"/>
    </sheetView>
  </sheetViews>
  <sheetFormatPr defaultRowHeight="15" x14ac:dyDescent="0.25"/>
  <cols>
    <col min="2" max="3" width="13.5703125" bestFit="1" customWidth="1"/>
    <col min="5" max="5" width="0.5703125" customWidth="1"/>
    <col min="6" max="7" width="13.5703125" bestFit="1" customWidth="1"/>
    <col min="9" max="9" width="0.42578125" customWidth="1"/>
    <col min="13" max="13" width="0.42578125" customWidth="1"/>
    <col min="15" max="15" width="13.85546875" bestFit="1" customWidth="1"/>
    <col min="17" max="17" width="0.42578125" customWidth="1"/>
    <col min="18" max="18" width="13.5703125" bestFit="1" customWidth="1"/>
    <col min="19" max="19" width="12.85546875" bestFit="1" customWidth="1"/>
    <col min="20" max="20" width="10.5703125" bestFit="1" customWidth="1"/>
    <col min="21" max="21" width="0.7109375" customWidth="1"/>
    <col min="22" max="22" width="1" customWidth="1"/>
    <col min="26" max="26" width="1.5703125" customWidth="1"/>
    <col min="27" max="27" width="0.5703125" customWidth="1"/>
    <col min="28" max="28" width="15" bestFit="1" customWidth="1"/>
    <col min="29" max="29" width="10.5703125" bestFit="1" customWidth="1"/>
    <col min="30" max="30" width="12.140625" customWidth="1"/>
    <col min="31" max="31" width="15.85546875" bestFit="1" customWidth="1"/>
    <col min="34" max="34" width="1.42578125" customWidth="1"/>
    <col min="36" max="36" width="16.42578125" bestFit="1" customWidth="1"/>
    <col min="37" max="37" width="13.5703125" bestFit="1" customWidth="1"/>
    <col min="38" max="38" width="10.42578125" customWidth="1"/>
  </cols>
  <sheetData>
    <row r="2" spans="2:38" ht="15.75" thickBot="1" x14ac:dyDescent="0.3"/>
    <row r="3" spans="2:38" x14ac:dyDescent="0.25">
      <c r="B3" s="240" t="s">
        <v>0</v>
      </c>
      <c r="C3" s="240"/>
      <c r="D3" s="240"/>
      <c r="E3" s="85"/>
      <c r="F3" s="240" t="s">
        <v>1</v>
      </c>
      <c r="G3" s="240"/>
      <c r="H3" s="240"/>
      <c r="I3" s="85"/>
      <c r="J3" s="240" t="s">
        <v>2</v>
      </c>
      <c r="K3" s="240"/>
      <c r="L3" s="240"/>
      <c r="M3" s="85"/>
      <c r="N3" s="240" t="s">
        <v>737</v>
      </c>
      <c r="O3" s="240"/>
      <c r="P3" s="240"/>
      <c r="Q3" s="85"/>
      <c r="R3" s="240" t="s">
        <v>4</v>
      </c>
      <c r="S3" s="240"/>
      <c r="T3" s="240"/>
      <c r="U3" s="85"/>
      <c r="V3" s="94"/>
      <c r="W3" s="244" t="s">
        <v>5</v>
      </c>
      <c r="X3" s="244"/>
      <c r="Y3" s="244"/>
      <c r="Z3" s="196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</row>
    <row r="4" spans="2:38" x14ac:dyDescent="0.25">
      <c r="B4" s="88" t="s">
        <v>6</v>
      </c>
      <c r="C4" s="88" t="s">
        <v>7</v>
      </c>
      <c r="D4" s="88" t="s">
        <v>8</v>
      </c>
      <c r="E4" s="85"/>
      <c r="F4" s="88" t="s">
        <v>6</v>
      </c>
      <c r="G4" s="88" t="s">
        <v>7</v>
      </c>
      <c r="H4" s="88" t="s">
        <v>8</v>
      </c>
      <c r="I4" s="85"/>
      <c r="J4" s="88" t="s">
        <v>6</v>
      </c>
      <c r="K4" s="88" t="s">
        <v>7</v>
      </c>
      <c r="L4" s="88" t="s">
        <v>8</v>
      </c>
      <c r="M4" s="85"/>
      <c r="N4" s="88" t="s">
        <v>6</v>
      </c>
      <c r="O4" s="88" t="s">
        <v>7</v>
      </c>
      <c r="P4" s="88" t="s">
        <v>8</v>
      </c>
      <c r="Q4" s="85"/>
      <c r="R4" s="88" t="s">
        <v>6</v>
      </c>
      <c r="S4" s="88" t="s">
        <v>7</v>
      </c>
      <c r="T4" s="88" t="s">
        <v>8</v>
      </c>
      <c r="U4" s="85"/>
      <c r="V4" s="96"/>
      <c r="W4" s="98" t="s">
        <v>6</v>
      </c>
      <c r="X4" s="98" t="s">
        <v>7</v>
      </c>
      <c r="Y4" s="98" t="s">
        <v>8</v>
      </c>
      <c r="Z4" s="97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</row>
    <row r="5" spans="2:38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>
        <v>62</v>
      </c>
      <c r="H5" s="120">
        <f>+G5*F5</f>
        <v>62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>
        <v>6</v>
      </c>
      <c r="T5" s="120">
        <f>+S5*R5</f>
        <v>6</v>
      </c>
      <c r="U5" s="110"/>
      <c r="V5" s="111"/>
      <c r="W5" s="122">
        <v>1</v>
      </c>
      <c r="X5" s="123">
        <f>+C5+G5+K5+O5+S5</f>
        <v>68</v>
      </c>
      <c r="Y5" s="121">
        <f>+D5+H5+L5+P5+T5</f>
        <v>68</v>
      </c>
      <c r="Z5" s="112"/>
      <c r="AA5" s="110"/>
      <c r="AB5" s="207" t="s">
        <v>9</v>
      </c>
      <c r="AC5" s="229"/>
      <c r="AD5" s="229"/>
      <c r="AE5" s="229"/>
      <c r="AF5" s="229"/>
      <c r="AG5" s="146"/>
      <c r="AH5" s="85"/>
      <c r="AI5" s="88" t="s">
        <v>6</v>
      </c>
      <c r="AJ5" s="88" t="s">
        <v>7</v>
      </c>
      <c r="AK5" s="88" t="s">
        <v>8</v>
      </c>
      <c r="AL5" s="85"/>
    </row>
    <row r="6" spans="2:38" ht="15.75" thickTop="1" x14ac:dyDescent="0.25">
      <c r="B6" s="86">
        <v>10</v>
      </c>
      <c r="C6" s="86">
        <v>14</v>
      </c>
      <c r="D6" s="120">
        <f>+C6*B6</f>
        <v>140</v>
      </c>
      <c r="E6" s="85"/>
      <c r="F6" s="86">
        <v>10</v>
      </c>
      <c r="G6" s="86">
        <v>43</v>
      </c>
      <c r="H6" s="120">
        <f>+G6*F6</f>
        <v>430</v>
      </c>
      <c r="I6" s="85"/>
      <c r="J6" s="86">
        <v>10</v>
      </c>
      <c r="K6" s="86">
        <v>57</v>
      </c>
      <c r="L6" s="120">
        <f>+K6*J6</f>
        <v>570</v>
      </c>
      <c r="M6" s="85"/>
      <c r="N6" s="86">
        <v>10</v>
      </c>
      <c r="O6" s="86">
        <v>307</v>
      </c>
      <c r="P6" s="120">
        <f>+O6*N6</f>
        <v>3070</v>
      </c>
      <c r="Q6" s="85"/>
      <c r="R6" s="86">
        <v>10</v>
      </c>
      <c r="S6" s="86">
        <v>50</v>
      </c>
      <c r="T6" s="120">
        <f>+S6*R6</f>
        <v>500</v>
      </c>
      <c r="U6" s="85"/>
      <c r="V6" s="96"/>
      <c r="W6" s="123">
        <v>10</v>
      </c>
      <c r="X6" s="123">
        <f>+C6+G6+K6+O6+S6</f>
        <v>471</v>
      </c>
      <c r="Y6" s="121">
        <f>+D6+H6+L6+P6+T6</f>
        <v>4710</v>
      </c>
      <c r="Z6" s="97"/>
      <c r="AA6" s="85"/>
      <c r="AB6" s="85"/>
      <c r="AC6" s="85"/>
      <c r="AD6" s="85"/>
      <c r="AE6" s="85"/>
      <c r="AF6" s="85"/>
      <c r="AG6" s="85"/>
      <c r="AH6" s="85"/>
      <c r="AI6" s="113">
        <v>1</v>
      </c>
      <c r="AJ6" s="113">
        <v>68</v>
      </c>
      <c r="AK6" s="120">
        <f t="shared" ref="AK6:AK13" si="0">+AJ6*AI6</f>
        <v>68</v>
      </c>
      <c r="AL6" s="110"/>
    </row>
    <row r="7" spans="2:38" x14ac:dyDescent="0.25">
      <c r="B7" s="86">
        <v>20</v>
      </c>
      <c r="C7" s="86">
        <v>6</v>
      </c>
      <c r="D7" s="120">
        <f t="shared" ref="D7:D12" si="1">+C7*B7</f>
        <v>120</v>
      </c>
      <c r="E7" s="85"/>
      <c r="F7" s="86">
        <v>20</v>
      </c>
      <c r="G7" s="86">
        <v>13</v>
      </c>
      <c r="H7" s="120">
        <f t="shared" ref="H7:H12" si="2">+G7*F7</f>
        <v>260</v>
      </c>
      <c r="I7" s="85"/>
      <c r="J7" s="86">
        <v>20</v>
      </c>
      <c r="K7" s="86">
        <v>10</v>
      </c>
      <c r="L7" s="120">
        <f t="shared" ref="L7:L12" si="3">+K7*J7</f>
        <v>200</v>
      </c>
      <c r="M7" s="85"/>
      <c r="N7" s="86">
        <v>20</v>
      </c>
      <c r="O7" s="86">
        <v>60</v>
      </c>
      <c r="P7" s="120">
        <f t="shared" ref="P7:P12" si="4">+O7*N7</f>
        <v>1200</v>
      </c>
      <c r="Q7" s="85"/>
      <c r="R7" s="86">
        <v>20</v>
      </c>
      <c r="S7" s="86">
        <v>22</v>
      </c>
      <c r="T7" s="120">
        <f t="shared" ref="T7:T12" si="5">+S7*R7</f>
        <v>440</v>
      </c>
      <c r="U7" s="85"/>
      <c r="V7" s="96"/>
      <c r="W7" s="123">
        <v>20</v>
      </c>
      <c r="X7" s="123">
        <f>+C7+G7+K7+O7+S7</f>
        <v>111</v>
      </c>
      <c r="Y7" s="121">
        <f t="shared" ref="Y7:Y12" si="6">+D7+H7+L7+P7+T7</f>
        <v>2220</v>
      </c>
      <c r="Z7" s="97"/>
      <c r="AA7" s="85"/>
      <c r="AB7" s="141" t="s">
        <v>10</v>
      </c>
      <c r="AC7" s="142">
        <f>Y13</f>
        <v>282848</v>
      </c>
      <c r="AD7" s="110"/>
      <c r="AE7" s="110"/>
      <c r="AF7" s="110"/>
      <c r="AG7" s="110"/>
      <c r="AH7" s="85"/>
      <c r="AI7" s="86">
        <v>10</v>
      </c>
      <c r="AJ7" s="86">
        <v>471</v>
      </c>
      <c r="AK7" s="120">
        <f t="shared" si="0"/>
        <v>4710</v>
      </c>
      <c r="AL7" s="85"/>
    </row>
    <row r="8" spans="2:38" x14ac:dyDescent="0.25">
      <c r="B8" s="86">
        <v>50</v>
      </c>
      <c r="C8" s="86">
        <v>22</v>
      </c>
      <c r="D8" s="120">
        <f t="shared" si="1"/>
        <v>1100</v>
      </c>
      <c r="E8" s="85"/>
      <c r="F8" s="86">
        <v>50</v>
      </c>
      <c r="G8" s="86">
        <v>24</v>
      </c>
      <c r="H8" s="120">
        <f t="shared" si="2"/>
        <v>1200</v>
      </c>
      <c r="I8" s="85"/>
      <c r="J8" s="86">
        <v>50</v>
      </c>
      <c r="K8" s="86">
        <v>39</v>
      </c>
      <c r="L8" s="120">
        <f t="shared" si="3"/>
        <v>1950</v>
      </c>
      <c r="M8" s="85"/>
      <c r="N8" s="86">
        <v>50</v>
      </c>
      <c r="O8" s="86">
        <v>41</v>
      </c>
      <c r="P8" s="120">
        <f t="shared" si="4"/>
        <v>2050</v>
      </c>
      <c r="Q8" s="85"/>
      <c r="R8" s="86">
        <v>50</v>
      </c>
      <c r="S8" s="86">
        <v>19</v>
      </c>
      <c r="T8" s="120">
        <f t="shared" si="5"/>
        <v>950</v>
      </c>
      <c r="U8" s="85"/>
      <c r="V8" s="96"/>
      <c r="W8" s="123">
        <v>50</v>
      </c>
      <c r="X8" s="123">
        <f t="shared" ref="X8:X12" si="7">+C8+G8+K8+O8+S8</f>
        <v>145</v>
      </c>
      <c r="Y8" s="121">
        <f t="shared" si="6"/>
        <v>7250</v>
      </c>
      <c r="Z8" s="97"/>
      <c r="AA8" s="85"/>
      <c r="AB8" s="138" t="s">
        <v>11</v>
      </c>
      <c r="AC8" s="138">
        <f>+AF31</f>
        <v>255000</v>
      </c>
      <c r="AD8" s="85"/>
      <c r="AE8" s="85"/>
      <c r="AF8" s="85"/>
      <c r="AG8" s="85"/>
      <c r="AH8" s="85"/>
      <c r="AI8" s="86">
        <v>20</v>
      </c>
      <c r="AJ8" s="86">
        <v>111</v>
      </c>
      <c r="AK8" s="120">
        <f t="shared" si="0"/>
        <v>2220</v>
      </c>
      <c r="AL8" s="85"/>
    </row>
    <row r="9" spans="2:38" ht="15.75" thickBot="1" x14ac:dyDescent="0.3">
      <c r="B9" s="86">
        <v>100</v>
      </c>
      <c r="C9" s="86">
        <v>7</v>
      </c>
      <c r="D9" s="120">
        <f t="shared" si="1"/>
        <v>700</v>
      </c>
      <c r="E9" s="85"/>
      <c r="F9" s="86">
        <v>100</v>
      </c>
      <c r="G9" s="86">
        <v>12</v>
      </c>
      <c r="H9" s="120">
        <f t="shared" si="2"/>
        <v>1200</v>
      </c>
      <c r="I9" s="85"/>
      <c r="J9" s="86">
        <v>100</v>
      </c>
      <c r="K9" s="86">
        <v>40</v>
      </c>
      <c r="L9" s="120">
        <f t="shared" si="3"/>
        <v>4000</v>
      </c>
      <c r="M9" s="85"/>
      <c r="N9" s="86">
        <v>100</v>
      </c>
      <c r="O9" s="86">
        <v>88</v>
      </c>
      <c r="P9" s="120">
        <f t="shared" si="4"/>
        <v>8800</v>
      </c>
      <c r="Q9" s="85"/>
      <c r="R9" s="86">
        <v>100</v>
      </c>
      <c r="S9" s="86">
        <v>19</v>
      </c>
      <c r="T9" s="120">
        <f t="shared" si="5"/>
        <v>1900</v>
      </c>
      <c r="U9" s="85"/>
      <c r="V9" s="96"/>
      <c r="W9" s="123">
        <v>100</v>
      </c>
      <c r="X9" s="123">
        <f t="shared" si="7"/>
        <v>166</v>
      </c>
      <c r="Y9" s="121">
        <f t="shared" si="6"/>
        <v>16600</v>
      </c>
      <c r="Z9" s="97"/>
      <c r="AA9" s="85"/>
      <c r="AB9" s="143" t="s">
        <v>12</v>
      </c>
      <c r="AC9" s="144">
        <f>SUM(AC7:AC8)</f>
        <v>537848</v>
      </c>
      <c r="AD9" s="85"/>
      <c r="AE9" s="85"/>
      <c r="AF9" s="85"/>
      <c r="AG9" s="85"/>
      <c r="AH9" s="85"/>
      <c r="AI9" s="86">
        <v>50</v>
      </c>
      <c r="AJ9" s="86">
        <v>145</v>
      </c>
      <c r="AK9" s="120">
        <f t="shared" si="0"/>
        <v>7250</v>
      </c>
      <c r="AL9" s="85"/>
    </row>
    <row r="10" spans="2:38" x14ac:dyDescent="0.25">
      <c r="B10" s="86">
        <v>500</v>
      </c>
      <c r="C10" s="86">
        <v>14</v>
      </c>
      <c r="D10" s="120">
        <f t="shared" si="1"/>
        <v>7000</v>
      </c>
      <c r="E10" s="85"/>
      <c r="F10" s="86">
        <v>500</v>
      </c>
      <c r="G10" s="86">
        <v>30</v>
      </c>
      <c r="H10" s="120">
        <f t="shared" si="2"/>
        <v>15000</v>
      </c>
      <c r="I10" s="85"/>
      <c r="J10" s="86">
        <v>500</v>
      </c>
      <c r="K10" s="86">
        <v>36</v>
      </c>
      <c r="L10" s="120">
        <f t="shared" si="3"/>
        <v>18000</v>
      </c>
      <c r="M10" s="85"/>
      <c r="N10" s="86">
        <v>500</v>
      </c>
      <c r="O10" s="86">
        <v>48</v>
      </c>
      <c r="P10" s="120">
        <f t="shared" si="4"/>
        <v>24000</v>
      </c>
      <c r="Q10" s="85"/>
      <c r="R10" s="86">
        <v>500</v>
      </c>
      <c r="S10" s="86"/>
      <c r="T10" s="120">
        <f t="shared" si="5"/>
        <v>0</v>
      </c>
      <c r="U10" s="85"/>
      <c r="V10" s="96"/>
      <c r="W10" s="123">
        <v>500</v>
      </c>
      <c r="X10" s="123">
        <f t="shared" si="7"/>
        <v>128</v>
      </c>
      <c r="Y10" s="121">
        <f t="shared" si="6"/>
        <v>64000</v>
      </c>
      <c r="Z10" s="97"/>
      <c r="AA10" s="85"/>
      <c r="AB10" s="85"/>
      <c r="AC10" s="85"/>
      <c r="AD10" s="85"/>
      <c r="AE10" s="85"/>
      <c r="AF10" s="85"/>
      <c r="AG10" s="85"/>
      <c r="AH10" s="85"/>
      <c r="AI10" s="86">
        <v>100</v>
      </c>
      <c r="AJ10" s="86">
        <v>196</v>
      </c>
      <c r="AK10" s="120">
        <f t="shared" si="0"/>
        <v>19600</v>
      </c>
      <c r="AL10" s="85"/>
    </row>
    <row r="11" spans="2:38" x14ac:dyDescent="0.25">
      <c r="B11" s="86">
        <v>1000</v>
      </c>
      <c r="C11" s="86">
        <v>19</v>
      </c>
      <c r="D11" s="120">
        <f t="shared" si="1"/>
        <v>19000</v>
      </c>
      <c r="E11" s="85"/>
      <c r="F11" s="86">
        <v>1000</v>
      </c>
      <c r="G11" s="86">
        <v>81</v>
      </c>
      <c r="H11" s="120">
        <f t="shared" si="2"/>
        <v>81000</v>
      </c>
      <c r="I11" s="85"/>
      <c r="J11" s="86">
        <v>1000</v>
      </c>
      <c r="K11" s="86">
        <v>40</v>
      </c>
      <c r="L11" s="120">
        <f t="shared" si="3"/>
        <v>40000</v>
      </c>
      <c r="M11" s="85"/>
      <c r="N11" s="86">
        <v>1000</v>
      </c>
      <c r="O11" s="86">
        <v>23</v>
      </c>
      <c r="P11" s="120">
        <f t="shared" si="4"/>
        <v>23000</v>
      </c>
      <c r="Q11" s="85"/>
      <c r="R11" s="86">
        <v>1000</v>
      </c>
      <c r="S11" s="86"/>
      <c r="T11" s="120">
        <f t="shared" si="5"/>
        <v>0</v>
      </c>
      <c r="U11" s="85"/>
      <c r="V11" s="96"/>
      <c r="W11" s="123">
        <v>1000</v>
      </c>
      <c r="X11" s="123">
        <f t="shared" si="7"/>
        <v>163</v>
      </c>
      <c r="Y11" s="121">
        <f t="shared" si="6"/>
        <v>163000</v>
      </c>
      <c r="Z11" s="97"/>
      <c r="AA11" s="85"/>
      <c r="AB11" s="132" t="s">
        <v>13</v>
      </c>
      <c r="AC11" s="132" t="s">
        <v>8</v>
      </c>
      <c r="AD11" s="132" t="s">
        <v>14</v>
      </c>
      <c r="AE11" s="132" t="s">
        <v>15</v>
      </c>
      <c r="AF11" s="132" t="s">
        <v>16</v>
      </c>
      <c r="AG11" s="132"/>
      <c r="AH11" s="85"/>
      <c r="AI11" s="86">
        <v>500</v>
      </c>
      <c r="AJ11" s="86">
        <v>132</v>
      </c>
      <c r="AK11" s="120">
        <f t="shared" si="0"/>
        <v>66000</v>
      </c>
      <c r="AL11" s="85"/>
    </row>
    <row r="12" spans="2:38" x14ac:dyDescent="0.25">
      <c r="B12" s="86">
        <v>5000</v>
      </c>
      <c r="C12" s="86">
        <v>1</v>
      </c>
      <c r="D12" s="120">
        <f t="shared" si="1"/>
        <v>5000</v>
      </c>
      <c r="E12" s="85"/>
      <c r="F12" s="86">
        <v>5000</v>
      </c>
      <c r="G12" s="86">
        <v>2</v>
      </c>
      <c r="H12" s="120">
        <f t="shared" si="2"/>
        <v>10000</v>
      </c>
      <c r="I12" s="85"/>
      <c r="J12" s="86">
        <v>5000</v>
      </c>
      <c r="K12" s="86"/>
      <c r="L12" s="120">
        <f t="shared" si="3"/>
        <v>0</v>
      </c>
      <c r="M12" s="85"/>
      <c r="N12" s="86">
        <v>5000</v>
      </c>
      <c r="O12" s="86">
        <v>2</v>
      </c>
      <c r="P12" s="120">
        <f t="shared" si="4"/>
        <v>10000</v>
      </c>
      <c r="Q12" s="85"/>
      <c r="R12" s="86">
        <v>5000</v>
      </c>
      <c r="S12" s="86"/>
      <c r="T12" s="120">
        <f t="shared" si="5"/>
        <v>0</v>
      </c>
      <c r="U12" s="85"/>
      <c r="V12" s="96"/>
      <c r="W12" s="123">
        <v>5000</v>
      </c>
      <c r="X12" s="123">
        <f t="shared" si="7"/>
        <v>5</v>
      </c>
      <c r="Y12" s="121">
        <f t="shared" si="6"/>
        <v>25000</v>
      </c>
      <c r="Z12" s="97"/>
      <c r="AA12" s="85"/>
      <c r="AB12" s="85" t="s">
        <v>17</v>
      </c>
      <c r="AC12" s="89">
        <v>520850</v>
      </c>
      <c r="AD12" s="85">
        <v>974691</v>
      </c>
      <c r="AE12" s="137" t="s">
        <v>806</v>
      </c>
      <c r="AF12" s="85" t="s">
        <v>223</v>
      </c>
      <c r="AG12" s="85"/>
      <c r="AH12" s="85"/>
      <c r="AI12" s="86">
        <v>1000</v>
      </c>
      <c r="AJ12" s="86">
        <v>388</v>
      </c>
      <c r="AK12" s="120">
        <f t="shared" si="0"/>
        <v>388000</v>
      </c>
      <c r="AL12" s="85"/>
    </row>
    <row r="13" spans="2:38" ht="15.75" thickBot="1" x14ac:dyDescent="0.3">
      <c r="B13" s="87" t="s">
        <v>18</v>
      </c>
      <c r="C13" s="87"/>
      <c r="D13" s="90">
        <f>+SUM(D5:D12)</f>
        <v>33060</v>
      </c>
      <c r="E13" s="85"/>
      <c r="F13" s="87" t="s">
        <v>18</v>
      </c>
      <c r="G13" s="87"/>
      <c r="H13" s="90">
        <f>+SUM(H5:H12)</f>
        <v>109152</v>
      </c>
      <c r="I13" s="85"/>
      <c r="J13" s="87" t="s">
        <v>18</v>
      </c>
      <c r="K13" s="87"/>
      <c r="L13" s="90">
        <f>+SUM(L5:L12)</f>
        <v>64720</v>
      </c>
      <c r="M13" s="85"/>
      <c r="N13" s="87" t="s">
        <v>18</v>
      </c>
      <c r="O13" s="87"/>
      <c r="P13" s="90">
        <f>+SUM(P5:P12)</f>
        <v>72120</v>
      </c>
      <c r="Q13" s="85"/>
      <c r="R13" s="87" t="s">
        <v>18</v>
      </c>
      <c r="S13" s="87"/>
      <c r="T13" s="90">
        <f>+SUM(T5:T12)</f>
        <v>3796</v>
      </c>
      <c r="U13" s="85"/>
      <c r="V13" s="96"/>
      <c r="W13" s="87" t="s">
        <v>18</v>
      </c>
      <c r="X13" s="87"/>
      <c r="Y13" s="90">
        <f>+SUM(Y5:Y12)</f>
        <v>282848</v>
      </c>
      <c r="Z13" s="97"/>
      <c r="AA13" s="85"/>
      <c r="AB13" s="85" t="s">
        <v>19</v>
      </c>
      <c r="AC13" s="89">
        <v>16930</v>
      </c>
      <c r="AD13" s="85"/>
      <c r="AE13" s="85"/>
      <c r="AF13" s="85"/>
      <c r="AG13" s="85"/>
      <c r="AH13" s="85"/>
      <c r="AI13" s="86">
        <v>5000</v>
      </c>
      <c r="AJ13" s="86">
        <v>10</v>
      </c>
      <c r="AK13" s="120">
        <f t="shared" si="0"/>
        <v>50000</v>
      </c>
      <c r="AL13" s="85"/>
    </row>
    <row r="14" spans="2:38" ht="15.75" thickBot="1" x14ac:dyDescent="0.3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96"/>
      <c r="W14" s="100"/>
      <c r="X14" s="100"/>
      <c r="Y14" s="100"/>
      <c r="Z14" s="97"/>
      <c r="AA14" s="85"/>
      <c r="AB14" s="85" t="s">
        <v>20</v>
      </c>
      <c r="AC14" s="89"/>
      <c r="AD14" s="85"/>
      <c r="AE14" s="85"/>
      <c r="AF14" s="85"/>
      <c r="AG14" s="85"/>
      <c r="AH14" s="85"/>
      <c r="AI14" s="87" t="s">
        <v>18</v>
      </c>
      <c r="AJ14" s="87"/>
      <c r="AK14" s="90">
        <f>+SUM(AK6:AK13)</f>
        <v>537848</v>
      </c>
      <c r="AL14" s="85"/>
    </row>
    <row r="15" spans="2:38" ht="15.75" thickBot="1" x14ac:dyDescent="0.3">
      <c r="B15" s="242" t="s">
        <v>21</v>
      </c>
      <c r="C15" s="243"/>
      <c r="D15" s="92">
        <v>51052</v>
      </c>
      <c r="E15" s="114"/>
      <c r="F15" s="242" t="s">
        <v>21</v>
      </c>
      <c r="G15" s="243"/>
      <c r="H15" s="92">
        <v>113091</v>
      </c>
      <c r="I15" s="114"/>
      <c r="J15" s="242" t="s">
        <v>21</v>
      </c>
      <c r="K15" s="243"/>
      <c r="L15" s="92">
        <v>64700</v>
      </c>
      <c r="M15" s="114"/>
      <c r="N15" s="242" t="s">
        <v>21</v>
      </c>
      <c r="O15" s="243"/>
      <c r="P15" s="92">
        <v>103737</v>
      </c>
      <c r="Q15" s="114"/>
      <c r="R15" s="242" t="s">
        <v>21</v>
      </c>
      <c r="S15" s="243"/>
      <c r="T15" s="92">
        <v>434844</v>
      </c>
      <c r="U15" s="114"/>
      <c r="V15" s="115"/>
      <c r="W15" s="242" t="s">
        <v>21</v>
      </c>
      <c r="X15" s="243"/>
      <c r="Y15" s="92">
        <f>+D15+H15+L15+P15+T15</f>
        <v>767424</v>
      </c>
      <c r="Z15" s="116"/>
      <c r="AA15" s="114"/>
      <c r="AB15" s="85" t="s">
        <v>22</v>
      </c>
      <c r="AC15" s="89"/>
      <c r="AD15" s="85"/>
      <c r="AE15" s="85"/>
      <c r="AF15" s="85"/>
      <c r="AG15" s="85"/>
      <c r="AH15" s="85"/>
      <c r="AI15" s="85"/>
      <c r="AJ15" s="85"/>
      <c r="AK15" s="85"/>
      <c r="AL15" s="85"/>
    </row>
    <row r="16" spans="2:38" x14ac:dyDescent="0.25">
      <c r="B16" s="85" t="s">
        <v>10</v>
      </c>
      <c r="C16" s="85"/>
      <c r="D16" s="89">
        <f>+D13</f>
        <v>33060</v>
      </c>
      <c r="E16" s="85"/>
      <c r="F16" s="85" t="s">
        <v>10</v>
      </c>
      <c r="G16" s="85"/>
      <c r="H16" s="89">
        <f>+H13</f>
        <v>109152</v>
      </c>
      <c r="I16" s="85"/>
      <c r="J16" s="85" t="s">
        <v>10</v>
      </c>
      <c r="K16" s="85"/>
      <c r="L16" s="89">
        <f>+L13</f>
        <v>64720</v>
      </c>
      <c r="M16" s="85"/>
      <c r="N16" s="85" t="s">
        <v>10</v>
      </c>
      <c r="O16" s="85"/>
      <c r="P16" s="89">
        <f>+P13</f>
        <v>72120</v>
      </c>
      <c r="Q16" s="85"/>
      <c r="R16" s="85" t="s">
        <v>10</v>
      </c>
      <c r="S16" s="85"/>
      <c r="T16" s="89">
        <f>+T13</f>
        <v>3796</v>
      </c>
      <c r="U16" s="85"/>
      <c r="V16" s="96"/>
      <c r="W16" s="124" t="s">
        <v>10</v>
      </c>
      <c r="X16" s="124"/>
      <c r="Y16" s="121">
        <f>+D16+H16+L16+P16+T16</f>
        <v>282848</v>
      </c>
      <c r="Z16" s="97"/>
      <c r="AA16" s="85"/>
      <c r="AB16" s="85" t="s">
        <v>23</v>
      </c>
      <c r="AC16" s="89"/>
      <c r="AD16" s="85"/>
      <c r="AE16" s="85"/>
      <c r="AF16" s="85"/>
      <c r="AG16" s="85"/>
      <c r="AH16" s="85"/>
      <c r="AI16" s="85"/>
      <c r="AJ16" s="85"/>
      <c r="AK16" s="85"/>
      <c r="AL16" s="85"/>
    </row>
    <row r="17" spans="2:38" x14ac:dyDescent="0.25">
      <c r="B17" s="85" t="s">
        <v>17</v>
      </c>
      <c r="C17" s="85"/>
      <c r="D17" s="89">
        <v>2020</v>
      </c>
      <c r="E17" s="85"/>
      <c r="F17" s="85" t="s">
        <v>17</v>
      </c>
      <c r="G17" s="85"/>
      <c r="H17" s="89"/>
      <c r="I17" s="85"/>
      <c r="J17" s="85" t="s">
        <v>17</v>
      </c>
      <c r="K17" s="85"/>
      <c r="L17" s="89"/>
      <c r="M17" s="85"/>
      <c r="N17" s="85" t="s">
        <v>17</v>
      </c>
      <c r="O17" s="85"/>
      <c r="P17" s="89"/>
      <c r="Q17" s="85"/>
      <c r="R17" s="85" t="s">
        <v>17</v>
      </c>
      <c r="S17" s="85"/>
      <c r="T17" s="89"/>
      <c r="U17" s="85"/>
      <c r="V17" s="96"/>
      <c r="W17" s="124" t="s">
        <v>17</v>
      </c>
      <c r="X17" s="124"/>
      <c r="Y17" s="121">
        <f t="shared" ref="Y17:Y27" si="8">+D17+H17+L17+P17+T17</f>
        <v>2020</v>
      </c>
      <c r="Z17" s="97"/>
      <c r="AA17" s="85"/>
      <c r="AB17" s="133" t="s">
        <v>12</v>
      </c>
      <c r="AC17" s="134">
        <f>+SUM(AC12:AC16)</f>
        <v>537780</v>
      </c>
      <c r="AD17" s="160"/>
      <c r="AE17" s="85"/>
      <c r="AF17" s="85"/>
      <c r="AG17" s="85"/>
      <c r="AH17" s="85"/>
      <c r="AI17" s="85"/>
      <c r="AJ17" s="85"/>
      <c r="AK17" s="85"/>
      <c r="AL17" s="85"/>
    </row>
    <row r="18" spans="2:38" x14ac:dyDescent="0.25">
      <c r="B18" s="85" t="s">
        <v>615</v>
      </c>
      <c r="C18" s="85" t="s">
        <v>797</v>
      </c>
      <c r="D18" s="89">
        <v>6325</v>
      </c>
      <c r="E18" s="85"/>
      <c r="F18" s="85" t="s">
        <v>777</v>
      </c>
      <c r="G18" s="100" t="s">
        <v>796</v>
      </c>
      <c r="H18" s="89">
        <v>4000</v>
      </c>
      <c r="I18" s="85"/>
      <c r="J18" s="85" t="s">
        <v>26</v>
      </c>
      <c r="K18" s="85"/>
      <c r="L18" s="89"/>
      <c r="M18" s="85"/>
      <c r="N18" s="85" t="s">
        <v>803</v>
      </c>
      <c r="O18" s="85" t="s">
        <v>804</v>
      </c>
      <c r="P18" s="89">
        <v>20735</v>
      </c>
      <c r="Q18" s="85"/>
      <c r="R18" s="85" t="s">
        <v>753</v>
      </c>
      <c r="S18" s="100" t="s">
        <v>794</v>
      </c>
      <c r="T18" s="89">
        <v>108230</v>
      </c>
      <c r="U18" s="85"/>
      <c r="V18" s="96"/>
      <c r="W18" s="124" t="s">
        <v>26</v>
      </c>
      <c r="X18" s="124"/>
      <c r="Y18" s="121">
        <f t="shared" si="8"/>
        <v>139290</v>
      </c>
      <c r="Z18" s="97"/>
      <c r="AA18" s="85"/>
      <c r="AB18" s="135" t="s">
        <v>32</v>
      </c>
      <c r="AC18" s="136">
        <f>+AC17-AC9</f>
        <v>-68</v>
      </c>
      <c r="AD18" s="85" t="s">
        <v>33</v>
      </c>
      <c r="AE18" s="85"/>
      <c r="AF18" s="85"/>
      <c r="AG18" s="85"/>
      <c r="AH18" s="85"/>
      <c r="AI18" s="85"/>
      <c r="AJ18" s="85"/>
      <c r="AK18" s="85"/>
      <c r="AL18" s="85"/>
    </row>
    <row r="19" spans="2:38" x14ac:dyDescent="0.25">
      <c r="B19" s="85" t="s">
        <v>730</v>
      </c>
      <c r="C19" s="85" t="s">
        <v>799</v>
      </c>
      <c r="D19" s="89">
        <v>9647</v>
      </c>
      <c r="E19" s="85"/>
      <c r="F19" s="85" t="s">
        <v>34</v>
      </c>
      <c r="G19" s="85"/>
      <c r="H19" s="89"/>
      <c r="I19" s="85"/>
      <c r="J19" s="85" t="s">
        <v>34</v>
      </c>
      <c r="K19" s="85"/>
      <c r="L19" s="89"/>
      <c r="M19" s="85"/>
      <c r="N19" s="85" t="s">
        <v>730</v>
      </c>
      <c r="O19" s="85" t="s">
        <v>805</v>
      </c>
      <c r="P19" s="89">
        <v>6805</v>
      </c>
      <c r="Q19" s="85"/>
      <c r="R19" s="85" t="s">
        <v>34</v>
      </c>
      <c r="S19" s="85"/>
      <c r="T19" s="89"/>
      <c r="U19" s="85"/>
      <c r="V19" s="96"/>
      <c r="W19" s="124" t="s">
        <v>34</v>
      </c>
      <c r="X19" s="124"/>
      <c r="Y19" s="121">
        <f t="shared" si="8"/>
        <v>16452</v>
      </c>
      <c r="Z19" s="97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</row>
    <row r="20" spans="2:38" x14ac:dyDescent="0.25">
      <c r="B20" s="85" t="s">
        <v>36</v>
      </c>
      <c r="C20" s="85"/>
      <c r="D20" s="89"/>
      <c r="E20" s="85"/>
      <c r="F20" s="85" t="s">
        <v>36</v>
      </c>
      <c r="G20" s="85"/>
      <c r="H20" s="89"/>
      <c r="I20" s="85"/>
      <c r="J20" s="85" t="s">
        <v>36</v>
      </c>
      <c r="K20" s="85"/>
      <c r="L20" s="89"/>
      <c r="M20" s="85"/>
      <c r="N20" s="85" t="s">
        <v>36</v>
      </c>
      <c r="O20" s="85"/>
      <c r="P20" s="89"/>
      <c r="Q20" s="85"/>
      <c r="R20" s="85" t="s">
        <v>36</v>
      </c>
      <c r="S20" s="85"/>
      <c r="T20" s="89"/>
      <c r="U20" s="85"/>
      <c r="V20" s="96"/>
      <c r="W20" s="124" t="s">
        <v>36</v>
      </c>
      <c r="X20" s="124"/>
      <c r="Y20" s="121">
        <f t="shared" si="8"/>
        <v>0</v>
      </c>
      <c r="Z20" s="97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</row>
    <row r="21" spans="2:38" x14ac:dyDescent="0.25">
      <c r="B21" s="85"/>
      <c r="C21" s="85"/>
      <c r="D21" s="89"/>
      <c r="E21" s="85"/>
      <c r="F21" s="85"/>
      <c r="G21" s="85"/>
      <c r="H21" s="89"/>
      <c r="I21" s="85"/>
      <c r="J21" s="85"/>
      <c r="K21" s="85"/>
      <c r="L21" s="89"/>
      <c r="M21" s="85"/>
      <c r="N21" s="85"/>
      <c r="O21" s="85"/>
      <c r="P21" s="89"/>
      <c r="Q21" s="85"/>
      <c r="R21" s="85"/>
      <c r="S21" s="85"/>
      <c r="T21" s="89"/>
      <c r="U21" s="85"/>
      <c r="V21" s="96"/>
      <c r="W21" s="124"/>
      <c r="X21" s="124"/>
      <c r="Y21" s="121">
        <f t="shared" si="8"/>
        <v>0</v>
      </c>
      <c r="Z21" s="97"/>
      <c r="AA21" s="85"/>
      <c r="AB21" s="139" t="s">
        <v>37</v>
      </c>
      <c r="AC21" s="139"/>
      <c r="AD21" s="139"/>
      <c r="AE21" s="114"/>
      <c r="AF21" s="85"/>
      <c r="AG21" s="85"/>
      <c r="AH21" s="85"/>
      <c r="AI21" s="139" t="s">
        <v>38</v>
      </c>
      <c r="AJ21" s="139"/>
      <c r="AK21" s="139"/>
      <c r="AL21" s="147"/>
    </row>
    <row r="22" spans="2:38" x14ac:dyDescent="0.25">
      <c r="B22" s="85"/>
      <c r="C22" s="85"/>
      <c r="D22" s="89"/>
      <c r="E22" s="85"/>
      <c r="F22" s="85"/>
      <c r="G22" s="85"/>
      <c r="H22" s="89"/>
      <c r="I22" s="85"/>
      <c r="J22" s="85"/>
      <c r="K22" s="85"/>
      <c r="L22" s="89"/>
      <c r="M22" s="85"/>
      <c r="N22" s="85"/>
      <c r="O22" s="85"/>
      <c r="P22" s="89"/>
      <c r="Q22" s="85"/>
      <c r="R22" s="85" t="s">
        <v>788</v>
      </c>
      <c r="S22" s="85" t="s">
        <v>40</v>
      </c>
      <c r="T22" s="89">
        <v>181073</v>
      </c>
      <c r="U22" s="85"/>
      <c r="V22" s="96"/>
      <c r="W22" s="124"/>
      <c r="X22" s="124"/>
      <c r="Y22" s="121">
        <f t="shared" si="8"/>
        <v>181073</v>
      </c>
      <c r="Z22" s="97"/>
      <c r="AA22" s="85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G22" s="85"/>
      <c r="AH22" s="85"/>
      <c r="AI22" s="132" t="s">
        <v>41</v>
      </c>
      <c r="AJ22" s="132" t="s">
        <v>45</v>
      </c>
      <c r="AK22" s="132" t="s">
        <v>43</v>
      </c>
      <c r="AL22" s="132" t="s">
        <v>8</v>
      </c>
    </row>
    <row r="23" spans="2:38" x14ac:dyDescent="0.25">
      <c r="B23" s="85" t="s">
        <v>46</v>
      </c>
      <c r="C23" s="85"/>
      <c r="D23" s="89"/>
      <c r="E23" s="85"/>
      <c r="F23" s="85" t="s">
        <v>46</v>
      </c>
      <c r="G23" s="85"/>
      <c r="H23" s="89"/>
      <c r="I23" s="85"/>
      <c r="J23" s="85" t="s">
        <v>46</v>
      </c>
      <c r="K23" s="85"/>
      <c r="L23" s="89"/>
      <c r="M23" s="85"/>
      <c r="N23" s="85" t="s">
        <v>240</v>
      </c>
      <c r="O23" s="85"/>
      <c r="P23" s="89"/>
      <c r="Q23" s="85"/>
      <c r="R23" s="85" t="s">
        <v>789</v>
      </c>
      <c r="S23" s="85" t="s">
        <v>401</v>
      </c>
      <c r="T23" s="89">
        <v>92515</v>
      </c>
      <c r="U23" s="85"/>
      <c r="V23" s="96"/>
      <c r="W23" s="124" t="s">
        <v>46</v>
      </c>
      <c r="X23" s="124"/>
      <c r="Y23" s="121">
        <f t="shared" si="8"/>
        <v>92515</v>
      </c>
      <c r="Z23" s="97"/>
      <c r="AA23" s="85"/>
      <c r="AB23" s="166" t="s">
        <v>774</v>
      </c>
      <c r="AC23" s="204">
        <v>45891</v>
      </c>
      <c r="AD23" s="166" t="s">
        <v>635</v>
      </c>
      <c r="AE23" s="166"/>
      <c r="AF23" s="166">
        <v>25000</v>
      </c>
      <c r="AG23" s="85"/>
      <c r="AH23" s="85"/>
      <c r="AI23" s="85" t="s">
        <v>144</v>
      </c>
      <c r="AJ23" s="85" t="s">
        <v>798</v>
      </c>
      <c r="AK23" s="85"/>
      <c r="AL23" s="89">
        <v>2020</v>
      </c>
    </row>
    <row r="24" spans="2:38" x14ac:dyDescent="0.25">
      <c r="B24" s="85" t="s">
        <v>54</v>
      </c>
      <c r="C24" s="85"/>
      <c r="D24" s="89"/>
      <c r="E24" s="85"/>
      <c r="F24" s="85" t="s">
        <v>54</v>
      </c>
      <c r="G24" s="85"/>
      <c r="H24" s="89"/>
      <c r="I24" s="85"/>
      <c r="J24" s="85" t="s">
        <v>54</v>
      </c>
      <c r="K24" s="85"/>
      <c r="L24" s="89"/>
      <c r="M24" s="85"/>
      <c r="N24" s="85" t="s">
        <v>240</v>
      </c>
      <c r="O24" s="85"/>
      <c r="P24" s="89"/>
      <c r="Q24" s="85"/>
      <c r="R24" s="85" t="s">
        <v>454</v>
      </c>
      <c r="S24" s="85" t="s">
        <v>790</v>
      </c>
      <c r="T24" s="89">
        <v>7206</v>
      </c>
      <c r="U24" s="85"/>
      <c r="V24" s="96"/>
      <c r="W24" s="124" t="s">
        <v>54</v>
      </c>
      <c r="X24" s="124"/>
      <c r="Y24" s="121">
        <f t="shared" si="8"/>
        <v>7206</v>
      </c>
      <c r="Z24" s="97"/>
      <c r="AA24" s="85"/>
      <c r="AB24" s="166" t="s">
        <v>70</v>
      </c>
      <c r="AC24" s="204">
        <v>45863</v>
      </c>
      <c r="AD24" s="166" t="s">
        <v>566</v>
      </c>
      <c r="AE24" s="166" t="s">
        <v>795</v>
      </c>
      <c r="AF24" s="166">
        <v>5000</v>
      </c>
      <c r="AG24" s="85"/>
      <c r="AH24" s="85"/>
      <c r="AI24" s="166" t="s">
        <v>70</v>
      </c>
      <c r="AJ24" s="166" t="s">
        <v>801</v>
      </c>
      <c r="AK24" s="166" t="s">
        <v>588</v>
      </c>
      <c r="AL24" s="168">
        <v>8135</v>
      </c>
    </row>
    <row r="25" spans="2:38" x14ac:dyDescent="0.25">
      <c r="B25" s="85" t="s">
        <v>61</v>
      </c>
      <c r="C25" s="85"/>
      <c r="D25" s="89"/>
      <c r="E25" s="85"/>
      <c r="F25" s="85" t="s">
        <v>61</v>
      </c>
      <c r="G25" s="85"/>
      <c r="H25" s="89"/>
      <c r="I25" s="85"/>
      <c r="J25" s="85" t="s">
        <v>61</v>
      </c>
      <c r="K25" s="85"/>
      <c r="L25" s="89"/>
      <c r="M25" s="85"/>
      <c r="N25" s="85" t="s">
        <v>240</v>
      </c>
      <c r="O25" s="85"/>
      <c r="P25" s="89"/>
      <c r="Q25" s="85"/>
      <c r="R25" s="85" t="s">
        <v>791</v>
      </c>
      <c r="S25" s="85" t="s">
        <v>293</v>
      </c>
      <c r="T25" s="89">
        <v>21975</v>
      </c>
      <c r="U25" s="85"/>
      <c r="V25" s="96"/>
      <c r="W25" s="124" t="s">
        <v>61</v>
      </c>
      <c r="X25" s="124"/>
      <c r="Y25" s="121">
        <f t="shared" si="8"/>
        <v>21975</v>
      </c>
      <c r="Z25" s="97"/>
      <c r="AA25" s="85"/>
      <c r="AB25" s="166" t="s">
        <v>800</v>
      </c>
      <c r="AC25" s="204">
        <v>45878</v>
      </c>
      <c r="AD25" s="166" t="s">
        <v>340</v>
      </c>
      <c r="AE25" s="166"/>
      <c r="AF25" s="168">
        <v>225000</v>
      </c>
      <c r="AG25" s="85"/>
      <c r="AH25" s="85"/>
      <c r="AI25" s="166" t="s">
        <v>70</v>
      </c>
      <c r="AJ25" s="166" t="s">
        <v>669</v>
      </c>
      <c r="AK25" s="166" t="s">
        <v>589</v>
      </c>
      <c r="AL25" s="200">
        <v>5000</v>
      </c>
    </row>
    <row r="26" spans="2:38" x14ac:dyDescent="0.25">
      <c r="B26" s="85"/>
      <c r="C26" s="85"/>
      <c r="D26" s="89"/>
      <c r="E26" s="85"/>
      <c r="F26" s="85"/>
      <c r="G26" s="85"/>
      <c r="H26" s="89"/>
      <c r="I26" s="85"/>
      <c r="J26" s="85"/>
      <c r="K26" s="85"/>
      <c r="L26" s="89"/>
      <c r="M26" s="85"/>
      <c r="N26" s="85"/>
      <c r="O26" s="85"/>
      <c r="P26" s="89"/>
      <c r="Q26" s="85"/>
      <c r="R26" s="85" t="s">
        <v>792</v>
      </c>
      <c r="S26" s="85" t="s">
        <v>793</v>
      </c>
      <c r="T26" s="89">
        <v>16702</v>
      </c>
      <c r="U26" s="85"/>
      <c r="V26" s="96"/>
      <c r="W26" s="124"/>
      <c r="X26" s="124"/>
      <c r="Y26" s="121">
        <f t="shared" si="8"/>
        <v>16702</v>
      </c>
      <c r="Z26" s="97"/>
      <c r="AA26" s="85"/>
      <c r="AB26" s="85"/>
      <c r="AC26" s="85"/>
      <c r="AD26" s="85"/>
      <c r="AE26" s="85"/>
      <c r="AF26" s="104"/>
      <c r="AG26" s="85"/>
      <c r="AH26" s="85"/>
      <c r="AI26" s="166" t="s">
        <v>59</v>
      </c>
      <c r="AJ26" s="166" t="s">
        <v>691</v>
      </c>
      <c r="AK26" s="166" t="s">
        <v>404</v>
      </c>
      <c r="AL26" s="200">
        <v>2129</v>
      </c>
    </row>
    <row r="27" spans="2:38" ht="15.75" thickBot="1" x14ac:dyDescent="0.3">
      <c r="B27" s="85"/>
      <c r="C27" s="85"/>
      <c r="D27" s="89"/>
      <c r="E27" s="85"/>
      <c r="F27" s="85"/>
      <c r="G27" s="85"/>
      <c r="H27" s="89"/>
      <c r="I27" s="85"/>
      <c r="J27" s="85"/>
      <c r="K27" s="85"/>
      <c r="L27" s="89"/>
      <c r="M27" s="85"/>
      <c r="N27" s="85"/>
      <c r="O27" s="85"/>
      <c r="P27" s="89"/>
      <c r="Q27" s="85"/>
      <c r="R27" s="85"/>
      <c r="S27" s="85"/>
      <c r="T27" s="89"/>
      <c r="U27" s="85"/>
      <c r="V27" s="96"/>
      <c r="W27" s="124"/>
      <c r="X27" s="124"/>
      <c r="Y27" s="121">
        <f t="shared" si="8"/>
        <v>0</v>
      </c>
      <c r="Z27" s="97"/>
      <c r="AA27" s="85"/>
      <c r="AB27" s="85"/>
      <c r="AC27" s="85"/>
      <c r="AD27" s="85"/>
      <c r="AE27" s="85"/>
      <c r="AF27" s="85"/>
      <c r="AG27" s="85"/>
      <c r="AH27" s="85"/>
      <c r="AI27" s="166" t="s">
        <v>72</v>
      </c>
      <c r="AJ27" s="166" t="s">
        <v>802</v>
      </c>
      <c r="AK27" s="166" t="s">
        <v>509</v>
      </c>
      <c r="AL27" s="168">
        <v>177200</v>
      </c>
    </row>
    <row r="28" spans="2:38" ht="15.75" thickBot="1" x14ac:dyDescent="0.3">
      <c r="B28" s="235" t="s">
        <v>12</v>
      </c>
      <c r="C28" s="236"/>
      <c r="D28" s="93">
        <f>+SUM(D16:D27)</f>
        <v>51052</v>
      </c>
      <c r="E28" s="85"/>
      <c r="F28" s="235" t="s">
        <v>12</v>
      </c>
      <c r="G28" s="236"/>
      <c r="H28" s="93">
        <f>+SUM(H16:H27)</f>
        <v>113152</v>
      </c>
      <c r="I28" s="85"/>
      <c r="J28" s="235" t="s">
        <v>12</v>
      </c>
      <c r="K28" s="236"/>
      <c r="L28" s="93">
        <f>+SUM(L16:L27)</f>
        <v>64720</v>
      </c>
      <c r="M28" s="85"/>
      <c r="N28" s="235" t="s">
        <v>12</v>
      </c>
      <c r="O28" s="236"/>
      <c r="P28" s="93">
        <f>+SUM(P16:P27)</f>
        <v>99660</v>
      </c>
      <c r="Q28" s="85"/>
      <c r="R28" s="235" t="s">
        <v>12</v>
      </c>
      <c r="S28" s="236"/>
      <c r="T28" s="93">
        <f>+SUM(T16:T27)</f>
        <v>431497</v>
      </c>
      <c r="U28" s="85"/>
      <c r="V28" s="96"/>
      <c r="W28" s="235" t="s">
        <v>12</v>
      </c>
      <c r="X28" s="236"/>
      <c r="Y28" s="93">
        <f>+SUM(Y16:Y27)</f>
        <v>760081</v>
      </c>
      <c r="Z28" s="97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147"/>
    </row>
    <row r="29" spans="2:38" x14ac:dyDescent="0.25">
      <c r="B29" s="85"/>
      <c r="C29" s="85"/>
      <c r="D29" s="89"/>
      <c r="E29" s="85"/>
      <c r="F29" s="85"/>
      <c r="G29" s="85"/>
      <c r="H29" s="89"/>
      <c r="I29" s="85"/>
      <c r="J29" s="85"/>
      <c r="K29" s="85"/>
      <c r="L29" s="89"/>
      <c r="M29" s="85"/>
      <c r="N29" s="85"/>
      <c r="O29" s="85"/>
      <c r="P29" s="89"/>
      <c r="Q29" s="85"/>
      <c r="R29" s="85"/>
      <c r="S29" s="85"/>
      <c r="T29" s="89"/>
      <c r="U29" s="85"/>
      <c r="V29" s="96"/>
      <c r="W29" s="100"/>
      <c r="X29" s="100"/>
      <c r="Y29" s="99"/>
      <c r="Z29" s="97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147"/>
    </row>
    <row r="30" spans="2:38" ht="15.75" thickBot="1" x14ac:dyDescent="0.3">
      <c r="B30" s="237" t="s">
        <v>75</v>
      </c>
      <c r="C30" s="237"/>
      <c r="D30" s="91">
        <f>+D28-D15</f>
        <v>0</v>
      </c>
      <c r="E30" s="85"/>
      <c r="F30" s="237" t="s">
        <v>75</v>
      </c>
      <c r="G30" s="237"/>
      <c r="H30" s="91">
        <f>+H28-H15</f>
        <v>61</v>
      </c>
      <c r="I30" s="85"/>
      <c r="J30" s="237" t="s">
        <v>75</v>
      </c>
      <c r="K30" s="237"/>
      <c r="L30" s="91">
        <f>+L28-L15</f>
        <v>20</v>
      </c>
      <c r="M30" s="85"/>
      <c r="N30" s="237" t="s">
        <v>75</v>
      </c>
      <c r="O30" s="237"/>
      <c r="P30" s="91">
        <f>+P28-P15</f>
        <v>-4077</v>
      </c>
      <c r="Q30" s="85"/>
      <c r="R30" s="237" t="s">
        <v>75</v>
      </c>
      <c r="S30" s="237"/>
      <c r="T30" s="91">
        <f>+T28-T15</f>
        <v>-3347</v>
      </c>
      <c r="U30" s="85"/>
      <c r="V30" s="96"/>
      <c r="W30" s="238" t="s">
        <v>75</v>
      </c>
      <c r="X30" s="238"/>
      <c r="Y30" s="126">
        <f>+Y28-Y15</f>
        <v>-7343</v>
      </c>
      <c r="Z30" s="97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147"/>
    </row>
    <row r="31" spans="2:38" ht="16.5" thickTop="1" thickBo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01"/>
      <c r="W31" s="102"/>
      <c r="X31" s="102"/>
      <c r="Y31" s="102"/>
      <c r="Z31" s="103"/>
      <c r="AA31" s="85"/>
      <c r="AB31" s="145" t="s">
        <v>74</v>
      </c>
      <c r="AC31" s="145"/>
      <c r="AD31" s="145"/>
      <c r="AE31" s="145"/>
      <c r="AF31" s="140">
        <f>+SUM(AF23:AF30)</f>
        <v>255000</v>
      </c>
      <c r="AG31" s="85"/>
      <c r="AH31" s="85"/>
      <c r="AI31" s="145" t="s">
        <v>74</v>
      </c>
      <c r="AJ31" s="145"/>
      <c r="AK31" s="145"/>
      <c r="AL31" s="140">
        <f>+SUM(AL23:AL30)</f>
        <v>194484</v>
      </c>
    </row>
    <row r="32" spans="2:38" x14ac:dyDescent="0.2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160">
        <f>AL31+AK14</f>
        <v>732332</v>
      </c>
    </row>
    <row r="33" spans="2:38" ht="15.75" thickBo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233">
        <v>584300</v>
      </c>
    </row>
    <row r="34" spans="2:38" x14ac:dyDescent="0.25">
      <c r="B34" s="94" t="s">
        <v>76</v>
      </c>
      <c r="C34" s="95"/>
      <c r="D34" s="105"/>
      <c r="E34" s="85"/>
      <c r="F34" s="94" t="s">
        <v>76</v>
      </c>
      <c r="G34" s="95"/>
      <c r="H34" s="105"/>
      <c r="I34" s="85"/>
      <c r="J34" s="94" t="s">
        <v>76</v>
      </c>
      <c r="K34" s="95"/>
      <c r="L34" s="105"/>
      <c r="M34" s="85"/>
      <c r="N34" s="94" t="s">
        <v>76</v>
      </c>
      <c r="O34" s="95"/>
      <c r="P34" s="105">
        <v>4077</v>
      </c>
      <c r="Q34" s="85"/>
      <c r="R34" s="94" t="s">
        <v>76</v>
      </c>
      <c r="S34" s="95"/>
      <c r="T34" s="105">
        <v>-200</v>
      </c>
      <c r="U34" s="85"/>
      <c r="V34" s="85"/>
      <c r="W34" s="127" t="s">
        <v>76</v>
      </c>
      <c r="X34" s="128"/>
      <c r="Y34" s="129">
        <f>+D34+H34+L34+P34+T34</f>
        <v>3877</v>
      </c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</row>
    <row r="35" spans="2:38" x14ac:dyDescent="0.25">
      <c r="B35" s="96" t="s">
        <v>77</v>
      </c>
      <c r="C35" s="100"/>
      <c r="D35" s="106"/>
      <c r="E35" s="85"/>
      <c r="F35" s="96" t="s">
        <v>77</v>
      </c>
      <c r="G35" s="100"/>
      <c r="H35" s="106"/>
      <c r="I35" s="85"/>
      <c r="J35" s="96" t="s">
        <v>77</v>
      </c>
      <c r="K35" s="100"/>
      <c r="L35" s="106"/>
      <c r="M35" s="85"/>
      <c r="N35" s="96" t="s">
        <v>77</v>
      </c>
      <c r="O35" s="100"/>
      <c r="P35" s="106"/>
      <c r="Q35" s="85"/>
      <c r="R35" s="96" t="s">
        <v>304</v>
      </c>
      <c r="S35" s="100"/>
      <c r="T35" s="106">
        <v>3347</v>
      </c>
      <c r="U35" s="85"/>
      <c r="V35" s="85"/>
      <c r="W35" s="130" t="s">
        <v>77</v>
      </c>
      <c r="X35" s="124"/>
      <c r="Y35" s="131">
        <f t="shared" ref="Y35:Y36" si="9">+D35+H35+L35+P35+T35</f>
        <v>3347</v>
      </c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160">
        <f>SUM(AL32:AL34)</f>
        <v>1316632</v>
      </c>
    </row>
    <row r="36" spans="2:38" x14ac:dyDescent="0.25">
      <c r="B36" s="96" t="s">
        <v>79</v>
      </c>
      <c r="C36" s="100"/>
      <c r="D36" s="106"/>
      <c r="E36" s="85"/>
      <c r="F36" s="96" t="s">
        <v>79</v>
      </c>
      <c r="G36" s="100"/>
      <c r="H36" s="106">
        <v>-61</v>
      </c>
      <c r="I36" s="85"/>
      <c r="J36" s="96" t="s">
        <v>79</v>
      </c>
      <c r="K36" s="100"/>
      <c r="L36" s="106">
        <v>-20</v>
      </c>
      <c r="M36" s="85"/>
      <c r="N36" s="96" t="s">
        <v>79</v>
      </c>
      <c r="O36" s="100"/>
      <c r="P36" s="106"/>
      <c r="Q36" s="85"/>
      <c r="R36" s="96" t="s">
        <v>82</v>
      </c>
      <c r="S36" s="100"/>
      <c r="T36" s="106"/>
      <c r="U36" s="85"/>
      <c r="V36" s="85"/>
      <c r="W36" s="130" t="s">
        <v>78</v>
      </c>
      <c r="X36" s="124"/>
      <c r="Y36" s="131">
        <f t="shared" si="9"/>
        <v>-81</v>
      </c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>
        <v>999000</v>
      </c>
    </row>
    <row r="37" spans="2:38" x14ac:dyDescent="0.25">
      <c r="B37" s="96" t="s">
        <v>18</v>
      </c>
      <c r="C37" s="100"/>
      <c r="D37" s="106">
        <f>+SUM(D34:D36)</f>
        <v>0</v>
      </c>
      <c r="E37" s="85"/>
      <c r="F37" s="96" t="s">
        <v>18</v>
      </c>
      <c r="G37" s="100"/>
      <c r="H37" s="106">
        <f>+SUM(H34:H36)</f>
        <v>-61</v>
      </c>
      <c r="I37" s="85"/>
      <c r="J37" s="96" t="s">
        <v>18</v>
      </c>
      <c r="K37" s="100"/>
      <c r="L37" s="106">
        <f>+SUM(L34:L36)</f>
        <v>-20</v>
      </c>
      <c r="M37" s="85"/>
      <c r="N37" s="96" t="s">
        <v>18</v>
      </c>
      <c r="O37" s="100"/>
      <c r="P37" s="106">
        <f>+SUM(P34:P36)</f>
        <v>4077</v>
      </c>
      <c r="Q37" s="85"/>
      <c r="R37" s="96" t="s">
        <v>18</v>
      </c>
      <c r="S37" s="100"/>
      <c r="T37" s="106">
        <f>+SUM(T34:T36)</f>
        <v>3147</v>
      </c>
      <c r="U37" s="85"/>
      <c r="V37" s="85"/>
      <c r="W37" s="117" t="s">
        <v>18</v>
      </c>
      <c r="X37" s="118"/>
      <c r="Y37" s="119">
        <f>+SUM(Y34:Y36)</f>
        <v>7143</v>
      </c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160">
        <f>AL35-AL36</f>
        <v>317632</v>
      </c>
    </row>
    <row r="38" spans="2:38" ht="15.75" thickBot="1" x14ac:dyDescent="0.3">
      <c r="B38" s="107" t="s">
        <v>81</v>
      </c>
      <c r="C38" s="108"/>
      <c r="D38" s="109">
        <f>+D30+D37</f>
        <v>0</v>
      </c>
      <c r="E38" s="85"/>
      <c r="F38" s="107" t="s">
        <v>81</v>
      </c>
      <c r="G38" s="108"/>
      <c r="H38" s="109">
        <f>+H30+H37</f>
        <v>0</v>
      </c>
      <c r="I38" s="85"/>
      <c r="J38" s="107" t="s">
        <v>81</v>
      </c>
      <c r="K38" s="108"/>
      <c r="L38" s="109">
        <f>+L30+L37</f>
        <v>0</v>
      </c>
      <c r="M38" s="85"/>
      <c r="N38" s="107" t="s">
        <v>81</v>
      </c>
      <c r="O38" s="108"/>
      <c r="P38" s="109">
        <f>+P30+P37</f>
        <v>0</v>
      </c>
      <c r="Q38" s="85"/>
      <c r="R38" s="107" t="s">
        <v>81</v>
      </c>
      <c r="S38" s="108"/>
      <c r="T38" s="109">
        <f>+T30+T37</f>
        <v>-200</v>
      </c>
      <c r="U38" s="85"/>
      <c r="V38" s="85"/>
      <c r="W38" s="107" t="s">
        <v>81</v>
      </c>
      <c r="X38" s="108"/>
      <c r="Y38" s="109">
        <f>+Y30+Y37</f>
        <v>-200</v>
      </c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</row>
    <row r="39" spans="2:38" x14ac:dyDescent="0.25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</row>
    <row r="40" spans="2:38" x14ac:dyDescent="0.25"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</row>
    <row r="41" spans="2:38" x14ac:dyDescent="0.25"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41"/>
  <sheetViews>
    <sheetView topLeftCell="O1" workbookViewId="0">
      <selection activeCell="AF3" sqref="AF3"/>
    </sheetView>
  </sheetViews>
  <sheetFormatPr defaultRowHeight="15" x14ac:dyDescent="0.25"/>
  <cols>
    <col min="2" max="2" width="13.5703125" bestFit="1" customWidth="1"/>
    <col min="3" max="3" width="13.28515625" bestFit="1" customWidth="1"/>
    <col min="5" max="5" width="0.85546875" customWidth="1"/>
    <col min="6" max="6" width="13.5703125" bestFit="1" customWidth="1"/>
    <col min="7" max="7" width="13.7109375" bestFit="1" customWidth="1"/>
    <col min="9" max="9" width="0.7109375" customWidth="1"/>
    <col min="13" max="13" width="0.5703125" customWidth="1"/>
    <col min="15" max="15" width="12" bestFit="1" customWidth="1"/>
    <col min="17" max="17" width="0.85546875" customWidth="1"/>
    <col min="19" max="19" width="13.28515625" bestFit="1" customWidth="1"/>
    <col min="20" max="20" width="10.5703125" bestFit="1" customWidth="1"/>
    <col min="21" max="21" width="0.42578125" customWidth="1"/>
    <col min="25" max="25" width="10.5703125" bestFit="1" customWidth="1"/>
    <col min="27" max="27" width="0.85546875" customWidth="1"/>
    <col min="28" max="28" width="11.42578125" customWidth="1"/>
    <col min="29" max="29" width="10.28515625" customWidth="1"/>
    <col min="30" max="30" width="9.85546875" customWidth="1"/>
    <col min="34" max="34" width="0.85546875" customWidth="1"/>
    <col min="35" max="35" width="10.5703125" customWidth="1"/>
    <col min="36" max="36" width="13.85546875" bestFit="1" customWidth="1"/>
    <col min="37" max="37" width="17.7109375" bestFit="1" customWidth="1"/>
  </cols>
  <sheetData>
    <row r="2" spans="2:38" ht="15.75" thickBot="1" x14ac:dyDescent="0.3"/>
    <row r="3" spans="2:38" x14ac:dyDescent="0.25">
      <c r="B3" s="240" t="s">
        <v>0</v>
      </c>
      <c r="C3" s="240"/>
      <c r="D3" s="240"/>
      <c r="E3" s="85"/>
      <c r="F3" s="240" t="s">
        <v>1</v>
      </c>
      <c r="G3" s="240"/>
      <c r="H3" s="240"/>
      <c r="I3" s="85"/>
      <c r="J3" s="240" t="s">
        <v>2</v>
      </c>
      <c r="K3" s="240"/>
      <c r="L3" s="240"/>
      <c r="M3" s="85"/>
      <c r="N3" s="240" t="s">
        <v>3</v>
      </c>
      <c r="O3" s="240"/>
      <c r="P3" s="240"/>
      <c r="Q3" s="85"/>
      <c r="R3" s="240" t="s">
        <v>4</v>
      </c>
      <c r="S3" s="240"/>
      <c r="T3" s="240"/>
      <c r="U3" s="85"/>
      <c r="V3" s="94"/>
      <c r="W3" s="244" t="s">
        <v>5</v>
      </c>
      <c r="X3" s="244"/>
      <c r="Y3" s="244"/>
      <c r="Z3" s="196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</row>
    <row r="4" spans="2:38" x14ac:dyDescent="0.25">
      <c r="B4" s="88" t="s">
        <v>6</v>
      </c>
      <c r="C4" s="88" t="s">
        <v>7</v>
      </c>
      <c r="D4" s="88" t="s">
        <v>8</v>
      </c>
      <c r="E4" s="85"/>
      <c r="F4" s="88" t="s">
        <v>6</v>
      </c>
      <c r="G4" s="88" t="s">
        <v>7</v>
      </c>
      <c r="H4" s="88" t="s">
        <v>8</v>
      </c>
      <c r="I4" s="85"/>
      <c r="J4" s="88" t="s">
        <v>6</v>
      </c>
      <c r="K4" s="88" t="s">
        <v>7</v>
      </c>
      <c r="L4" s="88" t="s">
        <v>8</v>
      </c>
      <c r="M4" s="85"/>
      <c r="N4" s="88" t="s">
        <v>6</v>
      </c>
      <c r="O4" s="88" t="s">
        <v>7</v>
      </c>
      <c r="P4" s="88" t="s">
        <v>8</v>
      </c>
      <c r="Q4" s="85"/>
      <c r="R4" s="88" t="s">
        <v>6</v>
      </c>
      <c r="S4" s="88" t="s">
        <v>7</v>
      </c>
      <c r="T4" s="88" t="s">
        <v>8</v>
      </c>
      <c r="U4" s="85"/>
      <c r="V4" s="96"/>
      <c r="W4" s="98" t="s">
        <v>6</v>
      </c>
      <c r="X4" s="98" t="s">
        <v>7</v>
      </c>
      <c r="Y4" s="98" t="s">
        <v>8</v>
      </c>
      <c r="Z4" s="97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</row>
    <row r="5" spans="2:38" ht="15.75" thickBot="1" x14ac:dyDescent="0.3">
      <c r="B5" s="113">
        <v>1</v>
      </c>
      <c r="C5" s="113"/>
      <c r="D5" s="120">
        <f>+C5*B5</f>
        <v>0</v>
      </c>
      <c r="E5" s="110"/>
      <c r="F5" s="113">
        <v>1</v>
      </c>
      <c r="G5" s="113">
        <v>32</v>
      </c>
      <c r="H5" s="120">
        <f>+G5*F5</f>
        <v>32</v>
      </c>
      <c r="I5" s="110"/>
      <c r="J5" s="113">
        <v>1</v>
      </c>
      <c r="K5" s="113"/>
      <c r="L5" s="120">
        <f>+K5*J5</f>
        <v>0</v>
      </c>
      <c r="M5" s="110"/>
      <c r="N5" s="113">
        <v>1</v>
      </c>
      <c r="O5" s="113"/>
      <c r="P5" s="120">
        <f>+O5*N5</f>
        <v>0</v>
      </c>
      <c r="Q5" s="110"/>
      <c r="R5" s="113">
        <v>1</v>
      </c>
      <c r="S5" s="113"/>
      <c r="T5" s="120">
        <f>+S5*R5</f>
        <v>0</v>
      </c>
      <c r="U5" s="110"/>
      <c r="V5" s="111"/>
      <c r="W5" s="122">
        <v>1</v>
      </c>
      <c r="X5" s="123">
        <f>+C5+G5+K5+O5+S5</f>
        <v>32</v>
      </c>
      <c r="Y5" s="121">
        <f>+D5+H5+L5+P5+T5</f>
        <v>32</v>
      </c>
      <c r="Z5" s="112"/>
      <c r="AA5" s="110"/>
      <c r="AB5" s="207" t="s">
        <v>9</v>
      </c>
      <c r="AC5" s="230"/>
      <c r="AD5" s="230"/>
      <c r="AE5" s="230"/>
      <c r="AF5" s="230"/>
      <c r="AG5" s="146"/>
      <c r="AH5" s="85"/>
      <c r="AI5" s="88" t="s">
        <v>6</v>
      </c>
      <c r="AJ5" s="88" t="s">
        <v>7</v>
      </c>
      <c r="AK5" s="88" t="s">
        <v>8</v>
      </c>
      <c r="AL5" s="85"/>
    </row>
    <row r="6" spans="2:38" ht="15.75" thickTop="1" x14ac:dyDescent="0.25">
      <c r="B6" s="86">
        <v>10</v>
      </c>
      <c r="C6" s="86">
        <v>91</v>
      </c>
      <c r="D6" s="120">
        <f>+C6*B6</f>
        <v>910</v>
      </c>
      <c r="E6" s="85"/>
      <c r="F6" s="86">
        <v>10</v>
      </c>
      <c r="G6" s="86">
        <v>30</v>
      </c>
      <c r="H6" s="120">
        <f>+G6*F6</f>
        <v>300</v>
      </c>
      <c r="I6" s="85"/>
      <c r="J6" s="86">
        <v>10</v>
      </c>
      <c r="K6" s="86">
        <v>110</v>
      </c>
      <c r="L6" s="120">
        <f>+K6*J6</f>
        <v>1100</v>
      </c>
      <c r="M6" s="85"/>
      <c r="N6" s="86">
        <v>10</v>
      </c>
      <c r="O6" s="86">
        <v>21</v>
      </c>
      <c r="P6" s="120">
        <f>+O6*N6</f>
        <v>210</v>
      </c>
      <c r="Q6" s="85"/>
      <c r="R6" s="86">
        <v>10</v>
      </c>
      <c r="S6" s="86"/>
      <c r="T6" s="120">
        <f>+S6*R6</f>
        <v>0</v>
      </c>
      <c r="U6" s="85"/>
      <c r="V6" s="96"/>
      <c r="W6" s="123">
        <v>10</v>
      </c>
      <c r="X6" s="123">
        <f>+C6+G6+K6+O6+S6</f>
        <v>252</v>
      </c>
      <c r="Y6" s="121">
        <f>+D6+H6+L6+P6+T6</f>
        <v>2520</v>
      </c>
      <c r="Z6" s="97"/>
      <c r="AA6" s="85"/>
      <c r="AB6" s="85"/>
      <c r="AC6" s="85"/>
      <c r="AD6" s="85"/>
      <c r="AE6" s="85"/>
      <c r="AF6" s="85"/>
      <c r="AG6" s="85"/>
      <c r="AH6" s="85"/>
      <c r="AI6" s="113">
        <v>1</v>
      </c>
      <c r="AJ6" s="113">
        <v>32</v>
      </c>
      <c r="AK6" s="120">
        <f t="shared" ref="AK6:AK13" si="0">+AJ6*AI6</f>
        <v>32</v>
      </c>
      <c r="AL6" s="110"/>
    </row>
    <row r="7" spans="2:38" x14ac:dyDescent="0.25">
      <c r="B7" s="86">
        <v>20</v>
      </c>
      <c r="C7" s="86">
        <v>20</v>
      </c>
      <c r="D7" s="120">
        <f t="shared" ref="D7:D12" si="1">+C7*B7</f>
        <v>400</v>
      </c>
      <c r="E7" s="85"/>
      <c r="F7" s="86">
        <v>20</v>
      </c>
      <c r="G7" s="86">
        <v>4</v>
      </c>
      <c r="H7" s="120">
        <f t="shared" ref="H7:H12" si="2">+G7*F7</f>
        <v>80</v>
      </c>
      <c r="I7" s="85"/>
      <c r="J7" s="86">
        <v>20</v>
      </c>
      <c r="K7" s="86">
        <v>13</v>
      </c>
      <c r="L7" s="120">
        <f t="shared" ref="L7:L12" si="3">+K7*J7</f>
        <v>260</v>
      </c>
      <c r="M7" s="85"/>
      <c r="N7" s="86">
        <v>20</v>
      </c>
      <c r="O7" s="86">
        <v>3</v>
      </c>
      <c r="P7" s="120">
        <f t="shared" ref="P7:P12" si="4">+O7*N7</f>
        <v>60</v>
      </c>
      <c r="Q7" s="85"/>
      <c r="R7" s="86">
        <v>20</v>
      </c>
      <c r="S7" s="86"/>
      <c r="T7" s="120">
        <f t="shared" ref="T7:T12" si="5">+S7*R7</f>
        <v>0</v>
      </c>
      <c r="U7" s="85"/>
      <c r="V7" s="96"/>
      <c r="W7" s="123">
        <v>20</v>
      </c>
      <c r="X7" s="123">
        <f>+C7+G7+K7+O7+S7</f>
        <v>40</v>
      </c>
      <c r="Y7" s="121">
        <f t="shared" ref="Y7:Y12" si="6">+D7+H7+L7+P7+T7</f>
        <v>800</v>
      </c>
      <c r="Z7" s="97"/>
      <c r="AA7" s="85"/>
      <c r="AB7" s="141" t="s">
        <v>10</v>
      </c>
      <c r="AC7" s="142">
        <f>Y13</f>
        <v>247052</v>
      </c>
      <c r="AD7" s="110"/>
      <c r="AE7" s="110"/>
      <c r="AF7" s="110"/>
      <c r="AG7" s="110"/>
      <c r="AH7" s="85"/>
      <c r="AI7" s="86">
        <v>10</v>
      </c>
      <c r="AJ7" s="86">
        <v>264</v>
      </c>
      <c r="AK7" s="120">
        <f t="shared" si="0"/>
        <v>2640</v>
      </c>
      <c r="AL7" s="85"/>
    </row>
    <row r="8" spans="2:38" x14ac:dyDescent="0.25">
      <c r="B8" s="86">
        <v>50</v>
      </c>
      <c r="C8" s="86">
        <v>52</v>
      </c>
      <c r="D8" s="120">
        <f t="shared" si="1"/>
        <v>2600</v>
      </c>
      <c r="E8" s="85"/>
      <c r="F8" s="86">
        <v>50</v>
      </c>
      <c r="G8" s="86">
        <v>12</v>
      </c>
      <c r="H8" s="120">
        <f t="shared" si="2"/>
        <v>600</v>
      </c>
      <c r="I8" s="85"/>
      <c r="J8" s="86">
        <v>50</v>
      </c>
      <c r="K8" s="86">
        <v>68</v>
      </c>
      <c r="L8" s="120">
        <f t="shared" si="3"/>
        <v>3400</v>
      </c>
      <c r="M8" s="85"/>
      <c r="N8" s="86">
        <v>50</v>
      </c>
      <c r="O8" s="86">
        <v>4</v>
      </c>
      <c r="P8" s="120">
        <f t="shared" si="4"/>
        <v>200</v>
      </c>
      <c r="Q8" s="85"/>
      <c r="R8" s="86">
        <v>50</v>
      </c>
      <c r="S8" s="86"/>
      <c r="T8" s="120">
        <f t="shared" si="5"/>
        <v>0</v>
      </c>
      <c r="U8" s="85"/>
      <c r="V8" s="96"/>
      <c r="W8" s="123">
        <v>50</v>
      </c>
      <c r="X8" s="123">
        <f t="shared" ref="X8:X12" si="7">+C8+G8+K8+O8+S8</f>
        <v>136</v>
      </c>
      <c r="Y8" s="121">
        <f t="shared" si="6"/>
        <v>6800</v>
      </c>
      <c r="Z8" s="97"/>
      <c r="AA8" s="85"/>
      <c r="AB8" s="138" t="s">
        <v>11</v>
      </c>
      <c r="AC8" s="138">
        <f>+AF31</f>
        <v>147090</v>
      </c>
      <c r="AD8" s="85"/>
      <c r="AE8" s="85"/>
      <c r="AF8" s="85"/>
      <c r="AG8" s="85"/>
      <c r="AH8" s="85"/>
      <c r="AI8" s="86">
        <v>20</v>
      </c>
      <c r="AJ8" s="86">
        <v>41</v>
      </c>
      <c r="AK8" s="120">
        <f t="shared" si="0"/>
        <v>820</v>
      </c>
      <c r="AL8" s="85"/>
    </row>
    <row r="9" spans="2:38" ht="15.75" thickBot="1" x14ac:dyDescent="0.3">
      <c r="B9" s="86">
        <v>100</v>
      </c>
      <c r="C9" s="86">
        <v>17</v>
      </c>
      <c r="D9" s="120">
        <f t="shared" si="1"/>
        <v>1700</v>
      </c>
      <c r="E9" s="85"/>
      <c r="F9" s="86">
        <v>100</v>
      </c>
      <c r="G9" s="86">
        <v>12</v>
      </c>
      <c r="H9" s="120">
        <f t="shared" si="2"/>
        <v>1200</v>
      </c>
      <c r="I9" s="85"/>
      <c r="J9" s="86">
        <v>100</v>
      </c>
      <c r="K9" s="86">
        <v>34</v>
      </c>
      <c r="L9" s="120">
        <f t="shared" si="3"/>
        <v>3400</v>
      </c>
      <c r="M9" s="85"/>
      <c r="N9" s="86">
        <v>100</v>
      </c>
      <c r="O9" s="86">
        <v>11</v>
      </c>
      <c r="P9" s="120">
        <f t="shared" si="4"/>
        <v>1100</v>
      </c>
      <c r="Q9" s="85"/>
      <c r="R9" s="86">
        <v>100</v>
      </c>
      <c r="S9" s="86"/>
      <c r="T9" s="120">
        <f t="shared" si="5"/>
        <v>0</v>
      </c>
      <c r="U9" s="85"/>
      <c r="V9" s="96"/>
      <c r="W9" s="123">
        <v>100</v>
      </c>
      <c r="X9" s="123">
        <f t="shared" si="7"/>
        <v>74</v>
      </c>
      <c r="Y9" s="121">
        <f t="shared" si="6"/>
        <v>7400</v>
      </c>
      <c r="Z9" s="97"/>
      <c r="AA9" s="85"/>
      <c r="AB9" s="143" t="s">
        <v>12</v>
      </c>
      <c r="AC9" s="144">
        <f>SUM(AC7:AC8)</f>
        <v>394142</v>
      </c>
      <c r="AD9" s="85"/>
      <c r="AE9" s="85"/>
      <c r="AF9" s="85"/>
      <c r="AG9" s="85"/>
      <c r="AH9" s="85"/>
      <c r="AI9" s="86">
        <v>50</v>
      </c>
      <c r="AJ9" s="86">
        <v>175</v>
      </c>
      <c r="AK9" s="120">
        <f t="shared" si="0"/>
        <v>8750</v>
      </c>
      <c r="AL9" s="85"/>
    </row>
    <row r="10" spans="2:38" x14ac:dyDescent="0.25">
      <c r="B10" s="86">
        <v>500</v>
      </c>
      <c r="C10" s="86">
        <v>22</v>
      </c>
      <c r="D10" s="120">
        <f t="shared" si="1"/>
        <v>11000</v>
      </c>
      <c r="E10" s="85"/>
      <c r="F10" s="86">
        <v>500</v>
      </c>
      <c r="G10" s="86">
        <v>42</v>
      </c>
      <c r="H10" s="120">
        <f t="shared" si="2"/>
        <v>21000</v>
      </c>
      <c r="I10" s="85"/>
      <c r="J10" s="86">
        <v>500</v>
      </c>
      <c r="K10" s="86">
        <v>48</v>
      </c>
      <c r="L10" s="120">
        <f t="shared" si="3"/>
        <v>24000</v>
      </c>
      <c r="M10" s="85"/>
      <c r="N10" s="86">
        <v>500</v>
      </c>
      <c r="O10" s="86">
        <v>23</v>
      </c>
      <c r="P10" s="120">
        <f t="shared" si="4"/>
        <v>11500</v>
      </c>
      <c r="Q10" s="85"/>
      <c r="R10" s="86">
        <v>500</v>
      </c>
      <c r="S10" s="86"/>
      <c r="T10" s="120">
        <f t="shared" si="5"/>
        <v>0</v>
      </c>
      <c r="U10" s="85"/>
      <c r="V10" s="96"/>
      <c r="W10" s="123">
        <v>500</v>
      </c>
      <c r="X10" s="123">
        <f t="shared" si="7"/>
        <v>135</v>
      </c>
      <c r="Y10" s="121">
        <f t="shared" si="6"/>
        <v>67500</v>
      </c>
      <c r="Z10" s="97"/>
      <c r="AA10" s="85"/>
      <c r="AB10" s="85"/>
      <c r="AC10" s="85"/>
      <c r="AD10" s="85"/>
      <c r="AE10" s="85"/>
      <c r="AF10" s="85"/>
      <c r="AG10" s="85"/>
      <c r="AH10" s="85"/>
      <c r="AI10" s="86">
        <v>100</v>
      </c>
      <c r="AJ10" s="86">
        <v>99</v>
      </c>
      <c r="AK10" s="120">
        <f t="shared" si="0"/>
        <v>9900</v>
      </c>
      <c r="AL10" s="85"/>
    </row>
    <row r="11" spans="2:38" x14ac:dyDescent="0.25">
      <c r="B11" s="86">
        <v>1000</v>
      </c>
      <c r="C11" s="86">
        <v>25</v>
      </c>
      <c r="D11" s="120">
        <f t="shared" si="1"/>
        <v>25000</v>
      </c>
      <c r="E11" s="85"/>
      <c r="F11" s="86">
        <v>1000</v>
      </c>
      <c r="G11" s="86">
        <v>38</v>
      </c>
      <c r="H11" s="120">
        <f t="shared" si="2"/>
        <v>38000</v>
      </c>
      <c r="I11" s="85"/>
      <c r="J11" s="86">
        <v>1000</v>
      </c>
      <c r="K11" s="86">
        <v>55</v>
      </c>
      <c r="L11" s="120">
        <f t="shared" si="3"/>
        <v>55000</v>
      </c>
      <c r="M11" s="85"/>
      <c r="N11" s="86">
        <v>1000</v>
      </c>
      <c r="O11" s="86">
        <v>24</v>
      </c>
      <c r="P11" s="120">
        <f t="shared" si="4"/>
        <v>24000</v>
      </c>
      <c r="Q11" s="85"/>
      <c r="R11" s="86">
        <v>1000</v>
      </c>
      <c r="S11" s="86"/>
      <c r="T11" s="120">
        <f t="shared" si="5"/>
        <v>0</v>
      </c>
      <c r="U11" s="85"/>
      <c r="V11" s="96"/>
      <c r="W11" s="123">
        <v>1000</v>
      </c>
      <c r="X11" s="123">
        <f t="shared" si="7"/>
        <v>142</v>
      </c>
      <c r="Y11" s="121">
        <f t="shared" si="6"/>
        <v>142000</v>
      </c>
      <c r="Z11" s="97"/>
      <c r="AA11" s="85"/>
      <c r="AB11" s="132" t="s">
        <v>13</v>
      </c>
      <c r="AC11" s="132" t="s">
        <v>8</v>
      </c>
      <c r="AD11" s="132" t="s">
        <v>14</v>
      </c>
      <c r="AE11" s="132" t="s">
        <v>15</v>
      </c>
      <c r="AF11" s="132" t="s">
        <v>16</v>
      </c>
      <c r="AG11" s="132"/>
      <c r="AH11" s="85"/>
      <c r="AI11" s="86">
        <v>500</v>
      </c>
      <c r="AJ11" s="86">
        <v>154</v>
      </c>
      <c r="AK11" s="120">
        <f t="shared" si="0"/>
        <v>77000</v>
      </c>
      <c r="AL11" s="85"/>
    </row>
    <row r="12" spans="2:38" x14ac:dyDescent="0.25">
      <c r="B12" s="86">
        <v>5000</v>
      </c>
      <c r="C12" s="86"/>
      <c r="D12" s="120">
        <f t="shared" si="1"/>
        <v>0</v>
      </c>
      <c r="E12" s="85"/>
      <c r="F12" s="86">
        <v>5000</v>
      </c>
      <c r="G12" s="86">
        <v>2</v>
      </c>
      <c r="H12" s="120">
        <f t="shared" si="2"/>
        <v>10000</v>
      </c>
      <c r="I12" s="85"/>
      <c r="J12" s="86">
        <v>5000</v>
      </c>
      <c r="K12" s="86"/>
      <c r="L12" s="120">
        <f t="shared" si="3"/>
        <v>0</v>
      </c>
      <c r="M12" s="85"/>
      <c r="N12" s="86">
        <v>5000</v>
      </c>
      <c r="O12" s="86">
        <v>2</v>
      </c>
      <c r="P12" s="120">
        <f t="shared" si="4"/>
        <v>10000</v>
      </c>
      <c r="Q12" s="85"/>
      <c r="R12" s="86">
        <v>5000</v>
      </c>
      <c r="S12" s="86"/>
      <c r="T12" s="120">
        <f t="shared" si="5"/>
        <v>0</v>
      </c>
      <c r="U12" s="85"/>
      <c r="V12" s="96"/>
      <c r="W12" s="123">
        <v>5000</v>
      </c>
      <c r="X12" s="123">
        <f t="shared" si="7"/>
        <v>4</v>
      </c>
      <c r="Y12" s="121">
        <f t="shared" si="6"/>
        <v>20000</v>
      </c>
      <c r="Z12" s="97"/>
      <c r="AA12" s="85"/>
      <c r="AB12" s="85" t="s">
        <v>17</v>
      </c>
      <c r="AC12" s="89">
        <v>394110</v>
      </c>
      <c r="AD12" s="85">
        <v>74907</v>
      </c>
      <c r="AE12" s="137" t="s">
        <v>806</v>
      </c>
      <c r="AF12" s="85" t="s">
        <v>223</v>
      </c>
      <c r="AG12" s="85"/>
      <c r="AH12" s="85"/>
      <c r="AI12" s="86">
        <v>1000</v>
      </c>
      <c r="AJ12" s="86">
        <v>165</v>
      </c>
      <c r="AK12" s="120">
        <f t="shared" si="0"/>
        <v>165000</v>
      </c>
      <c r="AL12" s="85"/>
    </row>
    <row r="13" spans="2:38" ht="15.75" thickBot="1" x14ac:dyDescent="0.3">
      <c r="B13" s="87" t="s">
        <v>18</v>
      </c>
      <c r="C13" s="87"/>
      <c r="D13" s="90">
        <f>+SUM(D5:D12)</f>
        <v>41610</v>
      </c>
      <c r="E13" s="85"/>
      <c r="F13" s="87" t="s">
        <v>18</v>
      </c>
      <c r="G13" s="87"/>
      <c r="H13" s="90">
        <f>+SUM(H5:H12)</f>
        <v>71212</v>
      </c>
      <c r="I13" s="85"/>
      <c r="J13" s="87" t="s">
        <v>18</v>
      </c>
      <c r="K13" s="87"/>
      <c r="L13" s="90">
        <f>+SUM(L5:L12)</f>
        <v>87160</v>
      </c>
      <c r="M13" s="85"/>
      <c r="N13" s="87" t="s">
        <v>18</v>
      </c>
      <c r="O13" s="87"/>
      <c r="P13" s="90">
        <f>+SUM(P5:P12)</f>
        <v>47070</v>
      </c>
      <c r="Q13" s="85"/>
      <c r="R13" s="87" t="s">
        <v>18</v>
      </c>
      <c r="S13" s="87"/>
      <c r="T13" s="90">
        <f>+SUM(T5:T12)</f>
        <v>0</v>
      </c>
      <c r="U13" s="85"/>
      <c r="V13" s="96"/>
      <c r="W13" s="87" t="s">
        <v>18</v>
      </c>
      <c r="X13" s="87"/>
      <c r="Y13" s="90">
        <f>+SUM(Y5:Y12)</f>
        <v>247052</v>
      </c>
      <c r="Z13" s="97"/>
      <c r="AA13" s="85"/>
      <c r="AB13" s="85" t="s">
        <v>19</v>
      </c>
      <c r="AC13" s="89">
        <v>32</v>
      </c>
      <c r="AD13" s="85"/>
      <c r="AE13" s="85"/>
      <c r="AF13" s="85"/>
      <c r="AG13" s="85"/>
      <c r="AH13" s="85"/>
      <c r="AI13" s="86">
        <v>5000</v>
      </c>
      <c r="AJ13" s="86">
        <v>26</v>
      </c>
      <c r="AK13" s="120">
        <f t="shared" si="0"/>
        <v>130000</v>
      </c>
      <c r="AL13" s="85"/>
    </row>
    <row r="14" spans="2:38" ht="15.75" thickBot="1" x14ac:dyDescent="0.3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96"/>
      <c r="W14" s="100"/>
      <c r="X14" s="100"/>
      <c r="Y14" s="100"/>
      <c r="Z14" s="97"/>
      <c r="AA14" s="85"/>
      <c r="AB14" s="85" t="s">
        <v>20</v>
      </c>
      <c r="AC14" s="89"/>
      <c r="AD14" s="85"/>
      <c r="AE14" s="85"/>
      <c r="AF14" s="85"/>
      <c r="AG14" s="85"/>
      <c r="AH14" s="85"/>
      <c r="AI14" s="87" t="s">
        <v>18</v>
      </c>
      <c r="AJ14" s="87"/>
      <c r="AK14" s="90">
        <f>+SUM(AK6:AK13)</f>
        <v>394142</v>
      </c>
      <c r="AL14" s="85"/>
    </row>
    <row r="15" spans="2:38" ht="15.75" thickBot="1" x14ac:dyDescent="0.3">
      <c r="B15" s="242" t="s">
        <v>21</v>
      </c>
      <c r="C15" s="243"/>
      <c r="D15" s="92">
        <v>50901</v>
      </c>
      <c r="E15" s="114"/>
      <c r="F15" s="242" t="s">
        <v>21</v>
      </c>
      <c r="G15" s="243"/>
      <c r="H15" s="92">
        <v>101037</v>
      </c>
      <c r="I15" s="114"/>
      <c r="J15" s="242" t="s">
        <v>21</v>
      </c>
      <c r="K15" s="243"/>
      <c r="L15" s="92">
        <v>87123</v>
      </c>
      <c r="M15" s="114"/>
      <c r="N15" s="242" t="s">
        <v>21</v>
      </c>
      <c r="O15" s="243"/>
      <c r="P15" s="92">
        <v>53019</v>
      </c>
      <c r="Q15" s="114"/>
      <c r="R15" s="242" t="s">
        <v>21</v>
      </c>
      <c r="S15" s="243"/>
      <c r="T15" s="92">
        <v>900076</v>
      </c>
      <c r="U15" s="114"/>
      <c r="V15" s="115"/>
      <c r="W15" s="242" t="s">
        <v>21</v>
      </c>
      <c r="X15" s="243"/>
      <c r="Y15" s="92">
        <f>+D15+H15+L15+P15+T15</f>
        <v>1192156</v>
      </c>
      <c r="Z15" s="116"/>
      <c r="AA15" s="114"/>
      <c r="AB15" s="85" t="s">
        <v>22</v>
      </c>
      <c r="AC15" s="89"/>
      <c r="AD15" s="85"/>
      <c r="AE15" s="85"/>
      <c r="AF15" s="85"/>
      <c r="AG15" s="85"/>
      <c r="AH15" s="85"/>
      <c r="AI15" s="85"/>
      <c r="AJ15" s="85"/>
      <c r="AK15" s="85"/>
      <c r="AL15" s="85"/>
    </row>
    <row r="16" spans="2:38" x14ac:dyDescent="0.25">
      <c r="B16" s="85" t="s">
        <v>10</v>
      </c>
      <c r="C16" s="85"/>
      <c r="D16" s="89">
        <f>+D13</f>
        <v>41610</v>
      </c>
      <c r="E16" s="85"/>
      <c r="F16" s="85" t="s">
        <v>10</v>
      </c>
      <c r="G16" s="85"/>
      <c r="H16" s="89">
        <f>+H13</f>
        <v>71212</v>
      </c>
      <c r="I16" s="85"/>
      <c r="J16" s="85" t="s">
        <v>10</v>
      </c>
      <c r="K16" s="85"/>
      <c r="L16" s="89">
        <f>+L13</f>
        <v>87160</v>
      </c>
      <c r="M16" s="85"/>
      <c r="N16" s="85" t="s">
        <v>10</v>
      </c>
      <c r="O16" s="85"/>
      <c r="P16" s="89">
        <f>+P13</f>
        <v>47070</v>
      </c>
      <c r="Q16" s="85"/>
      <c r="R16" s="85" t="s">
        <v>10</v>
      </c>
      <c r="S16" s="85"/>
      <c r="T16" s="89">
        <f>+T13</f>
        <v>0</v>
      </c>
      <c r="U16" s="85"/>
      <c r="V16" s="96"/>
      <c r="W16" s="124" t="s">
        <v>10</v>
      </c>
      <c r="X16" s="124"/>
      <c r="Y16" s="121">
        <f>+D16+H16+L16+P16+T16</f>
        <v>247052</v>
      </c>
      <c r="Z16" s="97"/>
      <c r="AA16" s="85"/>
      <c r="AB16" s="85" t="s">
        <v>23</v>
      </c>
      <c r="AC16" s="89"/>
      <c r="AD16" s="85"/>
      <c r="AE16" s="85"/>
      <c r="AF16" s="85"/>
      <c r="AG16" s="85"/>
      <c r="AH16" s="85"/>
      <c r="AI16" s="85"/>
      <c r="AJ16" s="85"/>
      <c r="AK16" s="85"/>
      <c r="AL16" s="85"/>
    </row>
    <row r="17" spans="2:38" x14ac:dyDescent="0.25">
      <c r="B17" s="85" t="s">
        <v>17</v>
      </c>
      <c r="C17" s="85"/>
      <c r="D17" s="89">
        <v>2211</v>
      </c>
      <c r="E17" s="85"/>
      <c r="F17" s="85" t="s">
        <v>17</v>
      </c>
      <c r="G17" s="85"/>
      <c r="H17" s="89"/>
      <c r="I17" s="85"/>
      <c r="J17" s="85" t="s">
        <v>17</v>
      </c>
      <c r="K17" s="85"/>
      <c r="L17" s="89"/>
      <c r="M17" s="85"/>
      <c r="N17" s="85" t="s">
        <v>17</v>
      </c>
      <c r="O17" s="85"/>
      <c r="P17" s="89"/>
      <c r="Q17" s="85"/>
      <c r="R17" s="85" t="s">
        <v>17</v>
      </c>
      <c r="S17" s="85"/>
      <c r="T17" s="89"/>
      <c r="U17" s="85"/>
      <c r="V17" s="96"/>
      <c r="W17" s="124" t="s">
        <v>17</v>
      </c>
      <c r="X17" s="124"/>
      <c r="Y17" s="121">
        <f t="shared" ref="Y17:Y27" si="8">+D17+H17+L17+P17+T17</f>
        <v>2211</v>
      </c>
      <c r="Z17" s="97"/>
      <c r="AA17" s="85"/>
      <c r="AB17" s="133" t="s">
        <v>12</v>
      </c>
      <c r="AC17" s="134">
        <f>+SUM(AC12:AC16)</f>
        <v>394142</v>
      </c>
      <c r="AD17" s="160"/>
      <c r="AE17" s="85"/>
      <c r="AF17" s="85"/>
      <c r="AG17" s="85"/>
      <c r="AH17" s="85"/>
      <c r="AI17" s="85"/>
      <c r="AJ17" s="85"/>
      <c r="AK17" s="85"/>
      <c r="AL17" s="85"/>
    </row>
    <row r="18" spans="2:38" x14ac:dyDescent="0.25">
      <c r="B18" s="85" t="s">
        <v>809</v>
      </c>
      <c r="C18" s="85" t="s">
        <v>810</v>
      </c>
      <c r="D18" s="89">
        <v>6080</v>
      </c>
      <c r="E18" s="85"/>
      <c r="F18" s="85" t="s">
        <v>811</v>
      </c>
      <c r="G18" s="85" t="s">
        <v>812</v>
      </c>
      <c r="H18" s="89">
        <v>10600</v>
      </c>
      <c r="I18" s="85"/>
      <c r="J18" s="85" t="s">
        <v>26</v>
      </c>
      <c r="K18" s="85"/>
      <c r="L18" s="89"/>
      <c r="M18" s="85"/>
      <c r="N18" s="85" t="s">
        <v>26</v>
      </c>
      <c r="O18" s="85"/>
      <c r="P18" s="89"/>
      <c r="Q18" s="85"/>
      <c r="R18" s="85" t="s">
        <v>26</v>
      </c>
      <c r="S18" s="85"/>
      <c r="T18" s="89"/>
      <c r="U18" s="85"/>
      <c r="V18" s="96"/>
      <c r="W18" s="124" t="s">
        <v>26</v>
      </c>
      <c r="X18" s="124"/>
      <c r="Y18" s="121">
        <f t="shared" si="8"/>
        <v>16680</v>
      </c>
      <c r="Z18" s="97"/>
      <c r="AA18" s="85"/>
      <c r="AB18" s="135" t="s">
        <v>32</v>
      </c>
      <c r="AC18" s="136">
        <f>+AC17-AC9</f>
        <v>0</v>
      </c>
      <c r="AD18" s="85" t="s">
        <v>33</v>
      </c>
      <c r="AE18" s="85"/>
      <c r="AF18" s="85"/>
      <c r="AG18" s="85"/>
      <c r="AH18" s="85"/>
      <c r="AI18" s="85"/>
      <c r="AJ18" s="85"/>
      <c r="AK18" s="85"/>
      <c r="AL18" s="85"/>
    </row>
    <row r="19" spans="2:38" x14ac:dyDescent="0.25">
      <c r="B19" s="85" t="s">
        <v>34</v>
      </c>
      <c r="C19" s="85"/>
      <c r="D19" s="89"/>
      <c r="E19" s="85"/>
      <c r="F19" s="85" t="s">
        <v>813</v>
      </c>
      <c r="G19" s="85" t="s">
        <v>814</v>
      </c>
      <c r="H19" s="89">
        <v>6275</v>
      </c>
      <c r="I19" s="85"/>
      <c r="J19" s="85" t="s">
        <v>34</v>
      </c>
      <c r="K19" s="85"/>
      <c r="L19" s="89"/>
      <c r="M19" s="85"/>
      <c r="N19" s="85" t="s">
        <v>34</v>
      </c>
      <c r="O19" s="85"/>
      <c r="P19" s="89"/>
      <c r="Q19" s="85"/>
      <c r="R19" s="85" t="s">
        <v>34</v>
      </c>
      <c r="S19" s="85"/>
      <c r="T19" s="89"/>
      <c r="U19" s="85"/>
      <c r="V19" s="96"/>
      <c r="W19" s="124" t="s">
        <v>34</v>
      </c>
      <c r="X19" s="124"/>
      <c r="Y19" s="121">
        <f t="shared" si="8"/>
        <v>6275</v>
      </c>
      <c r="Z19" s="97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</row>
    <row r="20" spans="2:38" x14ac:dyDescent="0.25">
      <c r="B20" s="85" t="s">
        <v>36</v>
      </c>
      <c r="C20" s="85"/>
      <c r="D20" s="89"/>
      <c r="E20" s="85"/>
      <c r="F20" s="85" t="s">
        <v>705</v>
      </c>
      <c r="G20" s="85" t="s">
        <v>815</v>
      </c>
      <c r="H20" s="89">
        <v>6000</v>
      </c>
      <c r="I20" s="85"/>
      <c r="J20" s="85" t="s">
        <v>36</v>
      </c>
      <c r="K20" s="85"/>
      <c r="L20" s="89"/>
      <c r="M20" s="85"/>
      <c r="N20" s="85" t="s">
        <v>36</v>
      </c>
      <c r="O20" s="85"/>
      <c r="P20" s="89"/>
      <c r="Q20" s="85"/>
      <c r="R20" s="85" t="s">
        <v>36</v>
      </c>
      <c r="S20" s="85"/>
      <c r="T20" s="89"/>
      <c r="U20" s="85"/>
      <c r="V20" s="96"/>
      <c r="W20" s="124" t="s">
        <v>36</v>
      </c>
      <c r="X20" s="124"/>
      <c r="Y20" s="121">
        <f t="shared" si="8"/>
        <v>6000</v>
      </c>
      <c r="Z20" s="97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</row>
    <row r="21" spans="2:38" x14ac:dyDescent="0.25">
      <c r="B21" s="85"/>
      <c r="C21" s="85"/>
      <c r="D21" s="89"/>
      <c r="E21" s="85"/>
      <c r="F21" s="85" t="s">
        <v>733</v>
      </c>
      <c r="G21" s="85" t="s">
        <v>816</v>
      </c>
      <c r="H21" s="89">
        <v>6320</v>
      </c>
      <c r="I21" s="85"/>
      <c r="J21" s="85"/>
      <c r="K21" s="85"/>
      <c r="L21" s="89"/>
      <c r="M21" s="85"/>
      <c r="N21" s="85"/>
      <c r="O21" s="85"/>
      <c r="P21" s="89"/>
      <c r="Q21" s="85"/>
      <c r="R21" s="85" t="s">
        <v>819</v>
      </c>
      <c r="S21" s="85" t="s">
        <v>340</v>
      </c>
      <c r="T21" s="89">
        <v>639883</v>
      </c>
      <c r="U21" s="85"/>
      <c r="V21" s="96"/>
      <c r="W21" s="124"/>
      <c r="X21" s="124"/>
      <c r="Y21" s="121">
        <f t="shared" si="8"/>
        <v>646203</v>
      </c>
      <c r="Z21" s="97"/>
      <c r="AA21" s="85"/>
      <c r="AB21" s="139" t="s">
        <v>37</v>
      </c>
      <c r="AC21" s="139"/>
      <c r="AD21" s="139"/>
      <c r="AE21" s="114"/>
      <c r="AF21" s="85"/>
      <c r="AG21" s="85"/>
      <c r="AH21" s="85"/>
      <c r="AI21" s="139" t="s">
        <v>38</v>
      </c>
      <c r="AJ21" s="139"/>
      <c r="AK21" s="139"/>
      <c r="AL21" s="147"/>
    </row>
    <row r="22" spans="2:38" x14ac:dyDescent="0.25">
      <c r="B22" s="85"/>
      <c r="C22" s="85"/>
      <c r="D22" s="89"/>
      <c r="E22" s="85"/>
      <c r="F22" s="85"/>
      <c r="G22" s="85"/>
      <c r="H22" s="89"/>
      <c r="I22" s="85"/>
      <c r="J22" s="85"/>
      <c r="K22" s="85"/>
      <c r="L22" s="89"/>
      <c r="M22" s="85"/>
      <c r="N22" s="85"/>
      <c r="O22" s="85"/>
      <c r="P22" s="89"/>
      <c r="Q22" s="85"/>
      <c r="R22" s="85" t="s">
        <v>820</v>
      </c>
      <c r="S22" s="85" t="s">
        <v>821</v>
      </c>
      <c r="T22" s="89">
        <v>18664</v>
      </c>
      <c r="U22" s="85"/>
      <c r="V22" s="96"/>
      <c r="W22" s="124"/>
      <c r="X22" s="124"/>
      <c r="Y22" s="121">
        <f t="shared" si="8"/>
        <v>18664</v>
      </c>
      <c r="Z22" s="97"/>
      <c r="AA22" s="85"/>
      <c r="AB22" s="132" t="s">
        <v>41</v>
      </c>
      <c r="AC22" s="132" t="s">
        <v>42</v>
      </c>
      <c r="AD22" s="132" t="s">
        <v>43</v>
      </c>
      <c r="AE22" s="132" t="s">
        <v>44</v>
      </c>
      <c r="AF22" s="132" t="s">
        <v>8</v>
      </c>
      <c r="AG22" s="85"/>
      <c r="AH22" s="85"/>
      <c r="AI22" s="132" t="s">
        <v>41</v>
      </c>
      <c r="AJ22" s="132" t="s">
        <v>45</v>
      </c>
      <c r="AK22" s="132" t="s">
        <v>43</v>
      </c>
      <c r="AL22" s="132" t="s">
        <v>8</v>
      </c>
    </row>
    <row r="23" spans="2:38" x14ac:dyDescent="0.25">
      <c r="B23" s="85" t="s">
        <v>46</v>
      </c>
      <c r="C23" s="85"/>
      <c r="D23" s="89"/>
      <c r="E23" s="85"/>
      <c r="F23" s="85" t="s">
        <v>46</v>
      </c>
      <c r="G23" s="85"/>
      <c r="H23" s="89"/>
      <c r="I23" s="85"/>
      <c r="J23" s="85" t="s">
        <v>46</v>
      </c>
      <c r="K23" s="85"/>
      <c r="L23" s="89"/>
      <c r="M23" s="85"/>
      <c r="N23" s="85" t="s">
        <v>807</v>
      </c>
      <c r="O23" s="85" t="s">
        <v>808</v>
      </c>
      <c r="P23" s="89">
        <v>5950</v>
      </c>
      <c r="Q23" s="85"/>
      <c r="R23" s="85" t="s">
        <v>822</v>
      </c>
      <c r="S23" s="85" t="s">
        <v>823</v>
      </c>
      <c r="T23" s="89">
        <v>11199</v>
      </c>
      <c r="U23" s="85"/>
      <c r="V23" s="96"/>
      <c r="W23" s="124" t="s">
        <v>46</v>
      </c>
      <c r="X23" s="124"/>
      <c r="Y23" s="121">
        <f t="shared" si="8"/>
        <v>17149</v>
      </c>
      <c r="Z23" s="97"/>
      <c r="AA23" s="85"/>
      <c r="AB23" s="166" t="s">
        <v>786</v>
      </c>
      <c r="AC23" s="204">
        <v>45876</v>
      </c>
      <c r="AD23" s="166" t="s">
        <v>65</v>
      </c>
      <c r="AE23" s="166"/>
      <c r="AF23" s="166">
        <v>18660</v>
      </c>
      <c r="AG23" s="85"/>
      <c r="AH23" s="85"/>
      <c r="AI23" s="166" t="s">
        <v>144</v>
      </c>
      <c r="AJ23" s="166" t="s">
        <v>553</v>
      </c>
      <c r="AK23" s="166"/>
      <c r="AL23" s="168">
        <v>2211</v>
      </c>
    </row>
    <row r="24" spans="2:38" x14ac:dyDescent="0.25">
      <c r="B24" s="85" t="s">
        <v>54</v>
      </c>
      <c r="C24" s="85"/>
      <c r="D24" s="89"/>
      <c r="E24" s="85"/>
      <c r="F24" s="85" t="s">
        <v>54</v>
      </c>
      <c r="G24" s="85"/>
      <c r="H24" s="89"/>
      <c r="I24" s="85"/>
      <c r="J24" s="85" t="s">
        <v>54</v>
      </c>
      <c r="K24" s="85"/>
      <c r="L24" s="89"/>
      <c r="M24" s="85"/>
      <c r="N24" s="85" t="s">
        <v>240</v>
      </c>
      <c r="O24" s="85"/>
      <c r="P24" s="89"/>
      <c r="Q24" s="85"/>
      <c r="R24" s="85" t="s">
        <v>824</v>
      </c>
      <c r="S24" s="85" t="s">
        <v>825</v>
      </c>
      <c r="T24" s="89">
        <v>51412</v>
      </c>
      <c r="U24" s="85"/>
      <c r="V24" s="96"/>
      <c r="W24" s="124" t="s">
        <v>54</v>
      </c>
      <c r="X24" s="124"/>
      <c r="Y24" s="121">
        <f t="shared" si="8"/>
        <v>51412</v>
      </c>
      <c r="Z24" s="97"/>
      <c r="AA24" s="85"/>
      <c r="AB24" s="166" t="s">
        <v>817</v>
      </c>
      <c r="AC24" s="204">
        <v>45886</v>
      </c>
      <c r="AD24" s="166" t="s">
        <v>521</v>
      </c>
      <c r="AE24" s="166"/>
      <c r="AF24" s="166">
        <v>1930</v>
      </c>
      <c r="AG24" s="85"/>
      <c r="AH24" s="85"/>
      <c r="AI24" s="166" t="s">
        <v>817</v>
      </c>
      <c r="AJ24" s="166"/>
      <c r="AK24" s="166" t="s">
        <v>521</v>
      </c>
      <c r="AL24" s="168">
        <v>1020</v>
      </c>
    </row>
    <row r="25" spans="2:38" x14ac:dyDescent="0.25">
      <c r="B25" s="85" t="s">
        <v>61</v>
      </c>
      <c r="C25" s="85"/>
      <c r="D25" s="89"/>
      <c r="E25" s="85"/>
      <c r="F25" s="85" t="s">
        <v>61</v>
      </c>
      <c r="G25" s="85"/>
      <c r="H25" s="89"/>
      <c r="I25" s="85"/>
      <c r="J25" s="85" t="s">
        <v>61</v>
      </c>
      <c r="K25" s="85"/>
      <c r="L25" s="89"/>
      <c r="M25" s="85"/>
      <c r="N25" s="85" t="s">
        <v>240</v>
      </c>
      <c r="O25" s="85"/>
      <c r="P25" s="89"/>
      <c r="Q25" s="85"/>
      <c r="R25" s="85" t="s">
        <v>826</v>
      </c>
      <c r="S25" s="85" t="s">
        <v>827</v>
      </c>
      <c r="T25" s="89">
        <v>89996</v>
      </c>
      <c r="V25" s="96"/>
      <c r="W25" s="124" t="s">
        <v>61</v>
      </c>
      <c r="X25" s="124"/>
      <c r="Y25" s="121">
        <f>+D25+H25+L25+P25+T25</f>
        <v>89996</v>
      </c>
      <c r="Z25" s="97"/>
      <c r="AA25" s="85"/>
      <c r="AB25" s="166" t="s">
        <v>139</v>
      </c>
      <c r="AC25" s="167">
        <v>45882</v>
      </c>
      <c r="AD25" s="166" t="s">
        <v>818</v>
      </c>
      <c r="AE25" s="166" t="s">
        <v>437</v>
      </c>
      <c r="AF25" s="166">
        <v>5000</v>
      </c>
      <c r="AG25" s="85"/>
      <c r="AH25" s="85"/>
      <c r="AI25" s="166" t="s">
        <v>72</v>
      </c>
      <c r="AJ25" s="166" t="s">
        <v>831</v>
      </c>
      <c r="AK25" s="166" t="s">
        <v>415</v>
      </c>
      <c r="AL25" s="168">
        <v>30000</v>
      </c>
    </row>
    <row r="26" spans="2:38" x14ac:dyDescent="0.25">
      <c r="B26" s="85"/>
      <c r="C26" s="85"/>
      <c r="D26" s="89"/>
      <c r="E26" s="85"/>
      <c r="F26" s="85"/>
      <c r="G26" s="85"/>
      <c r="H26" s="89"/>
      <c r="I26" s="85"/>
      <c r="J26" s="85"/>
      <c r="K26" s="85"/>
      <c r="L26" s="89"/>
      <c r="M26" s="85"/>
      <c r="N26" s="85"/>
      <c r="O26" s="85"/>
      <c r="P26" s="89"/>
      <c r="Q26" s="85"/>
      <c r="R26" s="85" t="s">
        <v>828</v>
      </c>
      <c r="S26" s="85" t="s">
        <v>829</v>
      </c>
      <c r="T26" s="89">
        <v>88922</v>
      </c>
      <c r="V26" s="96"/>
      <c r="W26" s="124"/>
      <c r="X26" s="124"/>
      <c r="Y26" s="121">
        <f>+D26+H26+L26+P26+T26</f>
        <v>88922</v>
      </c>
      <c r="Z26" s="97"/>
      <c r="AA26" s="85"/>
      <c r="AB26" s="166" t="s">
        <v>750</v>
      </c>
      <c r="AC26" s="204">
        <v>45885</v>
      </c>
      <c r="AD26" s="166" t="s">
        <v>293</v>
      </c>
      <c r="AE26" s="166"/>
      <c r="AF26" s="166">
        <v>500</v>
      </c>
      <c r="AG26" s="85"/>
      <c r="AH26" s="85"/>
      <c r="AI26" s="85"/>
      <c r="AJ26" s="85"/>
      <c r="AK26" s="85"/>
      <c r="AL26" s="147"/>
    </row>
    <row r="27" spans="2:38" ht="15.75" thickBot="1" x14ac:dyDescent="0.3">
      <c r="B27" s="85"/>
      <c r="C27" s="85"/>
      <c r="D27" s="89"/>
      <c r="E27" s="85"/>
      <c r="F27" s="85"/>
      <c r="G27" s="85"/>
      <c r="H27" s="89"/>
      <c r="I27" s="85"/>
      <c r="J27" s="85"/>
      <c r="K27" s="85"/>
      <c r="L27" s="89"/>
      <c r="M27" s="85"/>
      <c r="N27" s="85"/>
      <c r="O27" s="85"/>
      <c r="P27" s="89"/>
      <c r="Q27" s="85"/>
      <c r="R27" s="85"/>
      <c r="S27" s="85"/>
      <c r="T27" s="89"/>
      <c r="U27" s="85"/>
      <c r="V27" s="96"/>
      <c r="W27" s="124"/>
      <c r="X27" s="124"/>
      <c r="Y27" s="121">
        <f t="shared" si="8"/>
        <v>0</v>
      </c>
      <c r="Z27" s="97"/>
      <c r="AA27" s="85"/>
      <c r="AB27" s="166" t="s">
        <v>800</v>
      </c>
      <c r="AC27" s="204">
        <v>45878</v>
      </c>
      <c r="AD27" s="166" t="s">
        <v>340</v>
      </c>
      <c r="AE27" s="166"/>
      <c r="AF27" s="166">
        <v>95000</v>
      </c>
      <c r="AG27" s="85"/>
      <c r="AH27" s="85"/>
      <c r="AI27" s="85"/>
      <c r="AJ27" s="85"/>
      <c r="AK27" s="85"/>
      <c r="AL27" s="147"/>
    </row>
    <row r="28" spans="2:38" ht="15.75" thickBot="1" x14ac:dyDescent="0.3">
      <c r="B28" s="235" t="s">
        <v>12</v>
      </c>
      <c r="C28" s="236"/>
      <c r="D28" s="93">
        <f>+SUM(D16:D27)</f>
        <v>49901</v>
      </c>
      <c r="E28" s="85"/>
      <c r="F28" s="235" t="s">
        <v>12</v>
      </c>
      <c r="G28" s="236"/>
      <c r="H28" s="93">
        <f>+SUM(H16:H27)</f>
        <v>100407</v>
      </c>
      <c r="I28" s="85"/>
      <c r="J28" s="235" t="s">
        <v>12</v>
      </c>
      <c r="K28" s="236"/>
      <c r="L28" s="93">
        <f>+SUM(L16:L27)</f>
        <v>87160</v>
      </c>
      <c r="M28" s="85"/>
      <c r="N28" s="235" t="s">
        <v>12</v>
      </c>
      <c r="O28" s="236"/>
      <c r="P28" s="93">
        <f>+SUM(P16:P27)</f>
        <v>53020</v>
      </c>
      <c r="Q28" s="85"/>
      <c r="R28" s="235" t="s">
        <v>12</v>
      </c>
      <c r="S28" s="236"/>
      <c r="T28" s="93">
        <f>+SUM(T16:T27)</f>
        <v>900076</v>
      </c>
      <c r="U28" s="85"/>
      <c r="V28" s="96"/>
      <c r="W28" s="235" t="s">
        <v>12</v>
      </c>
      <c r="X28" s="236"/>
      <c r="Y28" s="93">
        <f>+SUM(Y16:Y27)</f>
        <v>1190564</v>
      </c>
      <c r="Z28" s="97"/>
      <c r="AA28" s="85"/>
      <c r="AB28" s="166" t="s">
        <v>72</v>
      </c>
      <c r="AC28" s="167">
        <v>45890</v>
      </c>
      <c r="AD28" s="166" t="s">
        <v>830</v>
      </c>
      <c r="AE28" s="166"/>
      <c r="AF28" s="166">
        <v>26000</v>
      </c>
      <c r="AG28" s="85"/>
      <c r="AH28" s="85"/>
      <c r="AI28" s="85"/>
      <c r="AJ28" s="85"/>
      <c r="AK28" s="85"/>
      <c r="AL28" s="147"/>
    </row>
    <row r="29" spans="2:38" x14ac:dyDescent="0.25">
      <c r="B29" s="85"/>
      <c r="C29" s="85"/>
      <c r="D29" s="89"/>
      <c r="E29" s="85"/>
      <c r="F29" s="85"/>
      <c r="G29" s="85"/>
      <c r="H29" s="89"/>
      <c r="I29" s="85"/>
      <c r="J29" s="85"/>
      <c r="K29" s="85"/>
      <c r="L29" s="89"/>
      <c r="M29" s="85"/>
      <c r="N29" s="85"/>
      <c r="O29" s="85"/>
      <c r="P29" s="89"/>
      <c r="Q29" s="85"/>
      <c r="R29" s="85"/>
      <c r="S29" s="85"/>
      <c r="T29" s="89"/>
      <c r="U29" s="85"/>
      <c r="V29" s="96"/>
      <c r="W29" s="100"/>
      <c r="X29" s="100"/>
      <c r="Y29" s="99"/>
      <c r="Z29" s="97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147"/>
    </row>
    <row r="30" spans="2:38" ht="15.75" thickBot="1" x14ac:dyDescent="0.3">
      <c r="B30" s="237" t="s">
        <v>75</v>
      </c>
      <c r="C30" s="237"/>
      <c r="D30" s="91">
        <f>+D28-D15</f>
        <v>-1000</v>
      </c>
      <c r="E30" s="85"/>
      <c r="F30" s="237" t="s">
        <v>75</v>
      </c>
      <c r="G30" s="237"/>
      <c r="H30" s="91">
        <f>+H28-H15</f>
        <v>-630</v>
      </c>
      <c r="I30" s="85"/>
      <c r="J30" s="237" t="s">
        <v>75</v>
      </c>
      <c r="K30" s="237"/>
      <c r="L30" s="91">
        <f>+L28-L15</f>
        <v>37</v>
      </c>
      <c r="M30" s="85"/>
      <c r="N30" s="237" t="s">
        <v>75</v>
      </c>
      <c r="O30" s="237"/>
      <c r="P30" s="91">
        <f>+P28-P15</f>
        <v>1</v>
      </c>
      <c r="Q30" s="85"/>
      <c r="R30" s="237" t="s">
        <v>75</v>
      </c>
      <c r="S30" s="237"/>
      <c r="T30" s="91">
        <f>+T28-T15</f>
        <v>0</v>
      </c>
      <c r="U30" s="85"/>
      <c r="V30" s="96"/>
      <c r="W30" s="238" t="s">
        <v>75</v>
      </c>
      <c r="X30" s="238"/>
      <c r="Y30" s="126">
        <f>+Y28-Y15</f>
        <v>-1592</v>
      </c>
      <c r="Z30" s="97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147"/>
    </row>
    <row r="31" spans="2:38" ht="16.5" thickTop="1" thickBo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101"/>
      <c r="W31" s="102"/>
      <c r="X31" s="102"/>
      <c r="Y31" s="102"/>
      <c r="Z31" s="103"/>
      <c r="AA31" s="85"/>
      <c r="AB31" s="145" t="s">
        <v>74</v>
      </c>
      <c r="AC31" s="145"/>
      <c r="AD31" s="145"/>
      <c r="AE31" s="145"/>
      <c r="AF31" s="140">
        <f>+SUM(AF23:AF30)</f>
        <v>147090</v>
      </c>
      <c r="AG31" s="85"/>
      <c r="AH31" s="85"/>
      <c r="AI31" s="145" t="s">
        <v>74</v>
      </c>
      <c r="AJ31" s="145"/>
      <c r="AK31" s="145"/>
      <c r="AL31" s="140">
        <f>+SUM(AL23:AL30)</f>
        <v>33231</v>
      </c>
    </row>
    <row r="32" spans="2:38" x14ac:dyDescent="0.2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</row>
    <row r="33" spans="2:38" ht="15.75" thickBo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</row>
    <row r="34" spans="2:38" x14ac:dyDescent="0.25">
      <c r="B34" s="94" t="s">
        <v>76</v>
      </c>
      <c r="C34" s="95"/>
      <c r="D34" s="105">
        <v>1000</v>
      </c>
      <c r="E34" s="85"/>
      <c r="F34" s="94" t="s">
        <v>76</v>
      </c>
      <c r="G34" s="95"/>
      <c r="H34" s="105">
        <v>630</v>
      </c>
      <c r="I34" s="85"/>
      <c r="J34" s="94" t="s">
        <v>76</v>
      </c>
      <c r="K34" s="95"/>
      <c r="L34" s="105"/>
      <c r="M34" s="85"/>
      <c r="N34" s="94" t="s">
        <v>76</v>
      </c>
      <c r="O34" s="95"/>
      <c r="P34" s="105"/>
      <c r="Q34" s="85"/>
      <c r="R34" s="94" t="s">
        <v>76</v>
      </c>
      <c r="S34" s="95"/>
      <c r="T34" s="105"/>
      <c r="U34" s="85"/>
      <c r="V34" s="85"/>
      <c r="W34" s="127" t="s">
        <v>76</v>
      </c>
      <c r="X34" s="128"/>
      <c r="Y34" s="129">
        <f>+D34+H34+L34+P34+T34</f>
        <v>1630</v>
      </c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</row>
    <row r="35" spans="2:38" x14ac:dyDescent="0.25">
      <c r="B35" s="96" t="s">
        <v>77</v>
      </c>
      <c r="C35" s="100"/>
      <c r="D35" s="106"/>
      <c r="E35" s="85"/>
      <c r="F35" s="96" t="s">
        <v>77</v>
      </c>
      <c r="G35" s="100"/>
      <c r="H35" s="106"/>
      <c r="I35" s="85"/>
      <c r="J35" s="96" t="s">
        <v>77</v>
      </c>
      <c r="K35" s="100"/>
      <c r="L35" s="106"/>
      <c r="M35" s="85"/>
      <c r="N35" s="96" t="s">
        <v>77</v>
      </c>
      <c r="O35" s="100"/>
      <c r="P35" s="106"/>
      <c r="Q35" s="85"/>
      <c r="R35" s="96" t="s">
        <v>77</v>
      </c>
      <c r="S35" s="100"/>
      <c r="T35" s="106"/>
      <c r="U35" s="85"/>
      <c r="V35" s="85"/>
      <c r="W35" s="130" t="s">
        <v>77</v>
      </c>
      <c r="X35" s="124"/>
      <c r="Y35" s="131">
        <f t="shared" ref="Y35:Y36" si="9">+D35+H35+L35+P35+T35</f>
        <v>0</v>
      </c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</row>
    <row r="36" spans="2:38" x14ac:dyDescent="0.25">
      <c r="B36" s="96" t="s">
        <v>79</v>
      </c>
      <c r="C36" s="100"/>
      <c r="D36" s="106"/>
      <c r="E36" s="85"/>
      <c r="F36" s="96" t="s">
        <v>79</v>
      </c>
      <c r="G36" s="100"/>
      <c r="H36" s="106"/>
      <c r="I36" s="85"/>
      <c r="J36" s="96" t="s">
        <v>79</v>
      </c>
      <c r="K36" s="100"/>
      <c r="L36" s="106">
        <v>-37</v>
      </c>
      <c r="M36" s="85"/>
      <c r="N36" s="96" t="s">
        <v>79</v>
      </c>
      <c r="O36" s="100"/>
      <c r="P36" s="106">
        <v>-1</v>
      </c>
      <c r="Q36" s="85"/>
      <c r="R36" s="96" t="s">
        <v>82</v>
      </c>
      <c r="S36" s="100"/>
      <c r="T36" s="106"/>
      <c r="U36" s="85"/>
      <c r="V36" s="85"/>
      <c r="W36" s="130" t="s">
        <v>78</v>
      </c>
      <c r="X36" s="124"/>
      <c r="Y36" s="131">
        <f t="shared" si="9"/>
        <v>-38</v>
      </c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</row>
    <row r="37" spans="2:38" x14ac:dyDescent="0.25">
      <c r="B37" s="96" t="s">
        <v>18</v>
      </c>
      <c r="C37" s="100"/>
      <c r="D37" s="106">
        <f>+SUM(D34:D36)</f>
        <v>1000</v>
      </c>
      <c r="E37" s="85"/>
      <c r="F37" s="96" t="s">
        <v>18</v>
      </c>
      <c r="G37" s="100"/>
      <c r="H37" s="106">
        <f>+SUM(H34:H36)</f>
        <v>630</v>
      </c>
      <c r="I37" s="85"/>
      <c r="J37" s="96" t="s">
        <v>18</v>
      </c>
      <c r="K37" s="100"/>
      <c r="L37" s="106">
        <f>+SUM(L34:L36)</f>
        <v>-37</v>
      </c>
      <c r="M37" s="85"/>
      <c r="N37" s="96" t="s">
        <v>18</v>
      </c>
      <c r="O37" s="100"/>
      <c r="P37" s="106">
        <f>+SUM(P34:P36)</f>
        <v>-1</v>
      </c>
      <c r="Q37" s="85"/>
      <c r="R37" s="96" t="s">
        <v>18</v>
      </c>
      <c r="S37" s="100"/>
      <c r="T37" s="106">
        <f>+SUM(T34:T36)</f>
        <v>0</v>
      </c>
      <c r="U37" s="85"/>
      <c r="V37" s="85"/>
      <c r="W37" s="117" t="s">
        <v>18</v>
      </c>
      <c r="X37" s="118"/>
      <c r="Y37" s="119">
        <f>+SUM(Y34:Y36)</f>
        <v>1592</v>
      </c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</row>
    <row r="38" spans="2:38" ht="15.75" thickBot="1" x14ac:dyDescent="0.3">
      <c r="B38" s="107" t="s">
        <v>81</v>
      </c>
      <c r="C38" s="108"/>
      <c r="D38" s="109">
        <f>+D30+D37</f>
        <v>0</v>
      </c>
      <c r="E38" s="85"/>
      <c r="F38" s="107" t="s">
        <v>81</v>
      </c>
      <c r="G38" s="108"/>
      <c r="H38" s="109">
        <f>+H30+H37</f>
        <v>0</v>
      </c>
      <c r="I38" s="85"/>
      <c r="J38" s="107" t="s">
        <v>81</v>
      </c>
      <c r="K38" s="108"/>
      <c r="L38" s="109">
        <f>+L30+L37</f>
        <v>0</v>
      </c>
      <c r="M38" s="85"/>
      <c r="N38" s="107" t="s">
        <v>81</v>
      </c>
      <c r="O38" s="108"/>
      <c r="P38" s="109">
        <f>+P30+P37</f>
        <v>0</v>
      </c>
      <c r="Q38" s="85"/>
      <c r="R38" s="107" t="s">
        <v>81</v>
      </c>
      <c r="S38" s="108"/>
      <c r="T38" s="109">
        <f>+T30+T37</f>
        <v>0</v>
      </c>
      <c r="U38" s="85"/>
      <c r="V38" s="85"/>
      <c r="W38" s="107" t="s">
        <v>81</v>
      </c>
      <c r="X38" s="108"/>
      <c r="Y38" s="109">
        <f>+Y30+Y37</f>
        <v>0</v>
      </c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</row>
    <row r="39" spans="2:38" x14ac:dyDescent="0.25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</row>
    <row r="40" spans="2:38" x14ac:dyDescent="0.25"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</row>
    <row r="41" spans="2:38" x14ac:dyDescent="0.25"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" sqref="B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01-08-2025</vt:lpstr>
      <vt:lpstr>02-08-2025</vt:lpstr>
      <vt:lpstr>04-08-2025</vt:lpstr>
      <vt:lpstr>05-08-2025</vt:lpstr>
      <vt:lpstr>06-08-2025</vt:lpstr>
      <vt:lpstr>Office Cash</vt:lpstr>
      <vt:lpstr>07-08-2025</vt:lpstr>
      <vt:lpstr>08-08-2025</vt:lpstr>
      <vt:lpstr>09-08-2025</vt:lpstr>
      <vt:lpstr>11-08-2025</vt:lpstr>
      <vt:lpstr>12-08-2025</vt:lpstr>
      <vt:lpstr>13-08-2025</vt:lpstr>
      <vt:lpstr>15-08-2025</vt:lpstr>
      <vt:lpstr>16-08-2025</vt:lpstr>
      <vt:lpstr>17-08-2025</vt:lpstr>
      <vt:lpstr>18-08-2025</vt:lpstr>
      <vt:lpstr>20-08-2025</vt:lpstr>
      <vt:lpstr>21-08-2025</vt:lpstr>
      <vt:lpstr>22-08-2025</vt:lpstr>
      <vt:lpstr>23-082025</vt:lpstr>
      <vt:lpstr>25-28-2025</vt:lpstr>
      <vt:lpstr>26-08-2025</vt:lpstr>
      <vt:lpstr>27-08-2025</vt:lpstr>
      <vt:lpstr>MASTER</vt:lpstr>
      <vt:lpstr>28-08-2025</vt:lpstr>
      <vt:lpstr>29-08-2025</vt:lpstr>
      <vt:lpstr>30-08-2025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2025-08-01T16:06:19Z</dcterms:created>
  <dcterms:modified xsi:type="dcterms:W3CDTF">2025-10-01T10:37:11Z</dcterms:modified>
</cp:coreProperties>
</file>