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685" windowWidth="17235" windowHeight="3630" firstSheet="15" activeTab="22"/>
  </bookViews>
  <sheets>
    <sheet name="10-07-25" sheetId="1" r:id="rId1"/>
    <sheet name="11-07-25" sheetId="2" r:id="rId2"/>
    <sheet name="12-07-25" sheetId="3" r:id="rId3"/>
    <sheet name="14 Dublicate" sheetId="12" r:id="rId4"/>
    <sheet name="14-07-25" sheetId="4" r:id="rId5"/>
    <sheet name="15-07-25" sheetId="5" r:id="rId6"/>
    <sheet name="16-07-25" sheetId="6" r:id="rId7"/>
    <sheet name="17-07-2025" sheetId="7" r:id="rId8"/>
    <sheet name="18-07-2025" sheetId="8" r:id="rId9"/>
    <sheet name="19-07-25" sheetId="9" r:id="rId10"/>
    <sheet name="21-07-25" sheetId="10" r:id="rId11"/>
    <sheet name="22-07-25" sheetId="13" r:id="rId12"/>
    <sheet name="23-07-25" sheetId="14" r:id="rId13"/>
    <sheet name="24-07-25" sheetId="15" r:id="rId14"/>
    <sheet name="25-07-25" sheetId="16" r:id="rId15"/>
    <sheet name="26-07-25" sheetId="17" r:id="rId16"/>
    <sheet name="28-07-25" sheetId="18" r:id="rId17"/>
    <sheet name="29-07-25" sheetId="19" r:id="rId18"/>
    <sheet name="30-07-25" sheetId="20" r:id="rId19"/>
    <sheet name="31-07-25" sheetId="21" r:id="rId20"/>
    <sheet name="01-08-25" sheetId="22" r:id="rId21"/>
    <sheet name="02-08-25" sheetId="23" r:id="rId22"/>
    <sheet name="04-08-2025" sheetId="24" r:id="rId23"/>
    <sheet name="Office Cash" sheetId="11" r:id="rId24"/>
    <sheet name="05-08-25" sheetId="25" r:id="rId25"/>
    <sheet name="Sheet7" sheetId="26" r:id="rId26"/>
  </sheets>
  <calcPr calcId="144525"/>
</workbook>
</file>

<file path=xl/calcChain.xml><?xml version="1.0" encoding="utf-8"?>
<calcChain xmlns="http://schemas.openxmlformats.org/spreadsheetml/2006/main">
  <c r="AF18" i="22" l="1"/>
  <c r="AF7" i="23" l="1"/>
  <c r="X11" i="22" l="1"/>
  <c r="T3" i="11" l="1"/>
  <c r="Q4" i="11" s="1"/>
  <c r="T4" i="11" s="1"/>
  <c r="Q5" i="11" s="1"/>
  <c r="T5" i="11" s="1"/>
  <c r="Q6" i="11" s="1"/>
  <c r="T6" i="11" s="1"/>
  <c r="Q7" i="11" s="1"/>
  <c r="T7" i="11" s="1"/>
  <c r="Q8" i="11" s="1"/>
  <c r="T8" i="11" s="1"/>
  <c r="Q9" i="11" s="1"/>
  <c r="T9" i="11" s="1"/>
  <c r="Q10" i="11" s="1"/>
  <c r="AF7" i="21"/>
  <c r="G25" i="11" l="1"/>
  <c r="AM41" i="20"/>
  <c r="Y37" i="26" l="1"/>
  <c r="T37" i="26"/>
  <c r="P37" i="26"/>
  <c r="L37" i="26"/>
  <c r="H37" i="26"/>
  <c r="D37" i="26"/>
  <c r="Y36" i="26"/>
  <c r="Y35" i="26"/>
  <c r="AM34" i="26"/>
  <c r="Y34" i="26"/>
  <c r="AF29" i="26"/>
  <c r="T28" i="26"/>
  <c r="T30" i="26" s="1"/>
  <c r="T38" i="26" s="1"/>
  <c r="L28" i="26"/>
  <c r="L30" i="26" s="1"/>
  <c r="L38" i="26" s="1"/>
  <c r="D28" i="26"/>
  <c r="D30" i="26" s="1"/>
  <c r="D38" i="26" s="1"/>
  <c r="Y27" i="26"/>
  <c r="Y26" i="26"/>
  <c r="Y25" i="26"/>
  <c r="Y24" i="26"/>
  <c r="Y23" i="26"/>
  <c r="Y22" i="26"/>
  <c r="Y21" i="26"/>
  <c r="Y20" i="26"/>
  <c r="Y19" i="26"/>
  <c r="Y18" i="26"/>
  <c r="AF17" i="26"/>
  <c r="Y17" i="26"/>
  <c r="AM16" i="26"/>
  <c r="AM15" i="26"/>
  <c r="Y15" i="26"/>
  <c r="AM14" i="26"/>
  <c r="AM13" i="26"/>
  <c r="AM12" i="26"/>
  <c r="X12" i="26"/>
  <c r="T12" i="26"/>
  <c r="P12" i="26"/>
  <c r="L12" i="26"/>
  <c r="H12" i="26"/>
  <c r="D12" i="26"/>
  <c r="AM11" i="26"/>
  <c r="X11" i="26"/>
  <c r="T11" i="26"/>
  <c r="P11" i="26"/>
  <c r="L11" i="26"/>
  <c r="Y11" i="26" s="1"/>
  <c r="AF7" i="26" s="1"/>
  <c r="AF9" i="26" s="1"/>
  <c r="AF18" i="26" s="1"/>
  <c r="H11" i="26"/>
  <c r="D11" i="26"/>
  <c r="AM10" i="26"/>
  <c r="X10" i="26"/>
  <c r="T10" i="26"/>
  <c r="P10" i="26"/>
  <c r="L10" i="26"/>
  <c r="Y10" i="26" s="1"/>
  <c r="H10" i="26"/>
  <c r="D10" i="26"/>
  <c r="AM9" i="26"/>
  <c r="AM17" i="26" s="1"/>
  <c r="X9" i="26"/>
  <c r="T9" i="26"/>
  <c r="P9" i="26"/>
  <c r="L9" i="26"/>
  <c r="H9" i="26"/>
  <c r="D9" i="26"/>
  <c r="Y9" i="26" s="1"/>
  <c r="AF8" i="26"/>
  <c r="X8" i="26"/>
  <c r="T8" i="26"/>
  <c r="P8" i="26"/>
  <c r="L8" i="26"/>
  <c r="H8" i="26"/>
  <c r="D8" i="26"/>
  <c r="Y8" i="26" s="1"/>
  <c r="X7" i="26"/>
  <c r="T7" i="26"/>
  <c r="P7" i="26"/>
  <c r="L7" i="26"/>
  <c r="H7" i="26"/>
  <c r="D7" i="26"/>
  <c r="X6" i="26"/>
  <c r="T6" i="26"/>
  <c r="P6" i="26"/>
  <c r="L6" i="26"/>
  <c r="L13" i="26" s="1"/>
  <c r="H6" i="26"/>
  <c r="D6" i="26"/>
  <c r="D13" i="26" s="1"/>
  <c r="X5" i="26"/>
  <c r="T5" i="26"/>
  <c r="P5" i="26"/>
  <c r="P13" i="26" s="1"/>
  <c r="P16" i="26" s="1"/>
  <c r="P28" i="26" s="1"/>
  <c r="P30" i="26" s="1"/>
  <c r="P38" i="26" s="1"/>
  <c r="L5" i="26"/>
  <c r="H5" i="26"/>
  <c r="D5" i="26"/>
  <c r="Y37" i="25"/>
  <c r="T37" i="25"/>
  <c r="P37" i="25"/>
  <c r="L37" i="25"/>
  <c r="H37" i="25"/>
  <c r="D37" i="25"/>
  <c r="Y36" i="25"/>
  <c r="Y35" i="25"/>
  <c r="AM34" i="25"/>
  <c r="Y34" i="25"/>
  <c r="AF29" i="25"/>
  <c r="T28" i="25"/>
  <c r="T30" i="25" s="1"/>
  <c r="T38" i="25" s="1"/>
  <c r="L28" i="25"/>
  <c r="L30" i="25" s="1"/>
  <c r="L38" i="25" s="1"/>
  <c r="D28" i="25"/>
  <c r="D30" i="25" s="1"/>
  <c r="D38" i="25" s="1"/>
  <c r="Y27" i="25"/>
  <c r="Y26" i="25"/>
  <c r="Y25" i="25"/>
  <c r="Y24" i="25"/>
  <c r="Y23" i="25"/>
  <c r="Y22" i="25"/>
  <c r="Y21" i="25"/>
  <c r="Y20" i="25"/>
  <c r="Y19" i="25"/>
  <c r="Y18" i="25"/>
  <c r="AF17" i="25"/>
  <c r="Y17" i="25"/>
  <c r="AM16" i="25"/>
  <c r="AM15" i="25"/>
  <c r="Y15" i="25"/>
  <c r="AM14" i="25"/>
  <c r="AM13" i="25"/>
  <c r="AM12" i="25"/>
  <c r="X12" i="25"/>
  <c r="T12" i="25"/>
  <c r="P12" i="25"/>
  <c r="L12" i="25"/>
  <c r="Y12" i="25" s="1"/>
  <c r="H12" i="25"/>
  <c r="D12" i="25"/>
  <c r="AM11" i="25"/>
  <c r="X11" i="25"/>
  <c r="T11" i="25"/>
  <c r="P11" i="25"/>
  <c r="L11" i="25"/>
  <c r="Y11" i="25" s="1"/>
  <c r="AF7" i="25" s="1"/>
  <c r="AF9" i="25" s="1"/>
  <c r="AF18" i="25" s="1"/>
  <c r="H11" i="25"/>
  <c r="D11" i="25"/>
  <c r="AM10" i="25"/>
  <c r="X10" i="25"/>
  <c r="T10" i="25"/>
  <c r="P10" i="25"/>
  <c r="L10" i="25"/>
  <c r="Y10" i="25" s="1"/>
  <c r="H10" i="25"/>
  <c r="D10" i="25"/>
  <c r="AM9" i="25"/>
  <c r="X9" i="25"/>
  <c r="T9" i="25"/>
  <c r="P9" i="25"/>
  <c r="L9" i="25"/>
  <c r="H9" i="25"/>
  <c r="D9" i="25"/>
  <c r="Y9" i="25" s="1"/>
  <c r="AF8" i="25"/>
  <c r="X8" i="25"/>
  <c r="T8" i="25"/>
  <c r="P8" i="25"/>
  <c r="L8" i="25"/>
  <c r="H8" i="25"/>
  <c r="D8" i="25"/>
  <c r="Y8" i="25" s="1"/>
  <c r="X7" i="25"/>
  <c r="T7" i="25"/>
  <c r="P7" i="25"/>
  <c r="L7" i="25"/>
  <c r="H7" i="25"/>
  <c r="D7" i="25"/>
  <c r="Y7" i="25" s="1"/>
  <c r="X6" i="25"/>
  <c r="T6" i="25"/>
  <c r="T13" i="25" s="1"/>
  <c r="P6" i="25"/>
  <c r="L6" i="25"/>
  <c r="Y6" i="25" s="1"/>
  <c r="H6" i="25"/>
  <c r="D6" i="25"/>
  <c r="D13" i="25" s="1"/>
  <c r="X5" i="25"/>
  <c r="T5" i="25"/>
  <c r="P5" i="25"/>
  <c r="P13" i="25" s="1"/>
  <c r="P16" i="25" s="1"/>
  <c r="P28" i="25" s="1"/>
  <c r="P30" i="25" s="1"/>
  <c r="P38" i="25" s="1"/>
  <c r="L5" i="25"/>
  <c r="H5" i="25"/>
  <c r="Y5" i="25" s="1"/>
  <c r="D5" i="25"/>
  <c r="T37" i="24"/>
  <c r="P37" i="24"/>
  <c r="L37" i="24"/>
  <c r="H37" i="24"/>
  <c r="D37" i="24"/>
  <c r="Y36" i="24"/>
  <c r="Y35" i="24"/>
  <c r="AM34" i="24"/>
  <c r="Y34" i="24"/>
  <c r="AF29" i="24"/>
  <c r="AF8" i="24" s="1"/>
  <c r="T28" i="24"/>
  <c r="T30" i="24" s="1"/>
  <c r="T38" i="24" s="1"/>
  <c r="L28" i="24"/>
  <c r="L30" i="24" s="1"/>
  <c r="L38" i="24" s="1"/>
  <c r="D28" i="24"/>
  <c r="D30" i="24" s="1"/>
  <c r="D38" i="24" s="1"/>
  <c r="Y27" i="24"/>
  <c r="Y26" i="24"/>
  <c r="Y25" i="24"/>
  <c r="Y24" i="24"/>
  <c r="Y23" i="24"/>
  <c r="Y22" i="24"/>
  <c r="Y21" i="24"/>
  <c r="Y20" i="24"/>
  <c r="Y19" i="24"/>
  <c r="Y18" i="24"/>
  <c r="AF17" i="24"/>
  <c r="Y17" i="24"/>
  <c r="AM16" i="24"/>
  <c r="AM15" i="24"/>
  <c r="Y15" i="24"/>
  <c r="AM14" i="24"/>
  <c r="AM13" i="24"/>
  <c r="AM12" i="24"/>
  <c r="X12" i="24"/>
  <c r="T12" i="24"/>
  <c r="P12" i="24"/>
  <c r="L12" i="24"/>
  <c r="H12" i="24"/>
  <c r="D12" i="24"/>
  <c r="AM11" i="24"/>
  <c r="X11" i="24"/>
  <c r="T11" i="24"/>
  <c r="P11" i="24"/>
  <c r="L11" i="24"/>
  <c r="H11" i="24"/>
  <c r="D11" i="24"/>
  <c r="Y11" i="24" s="1"/>
  <c r="AM10" i="24"/>
  <c r="X10" i="24"/>
  <c r="T10" i="24"/>
  <c r="P10" i="24"/>
  <c r="L10" i="24"/>
  <c r="H10" i="24"/>
  <c r="D10" i="24"/>
  <c r="AM9" i="24"/>
  <c r="X9" i="24"/>
  <c r="T9" i="24"/>
  <c r="P9" i="24"/>
  <c r="L9" i="24"/>
  <c r="H9" i="24"/>
  <c r="D9" i="24"/>
  <c r="X8" i="24"/>
  <c r="T8" i="24"/>
  <c r="P8" i="24"/>
  <c r="L8" i="24"/>
  <c r="H8" i="24"/>
  <c r="Y8" i="24" s="1"/>
  <c r="D8" i="24"/>
  <c r="X7" i="24"/>
  <c r="T7" i="24"/>
  <c r="P7" i="24"/>
  <c r="L7" i="24"/>
  <c r="H7" i="24"/>
  <c r="D7" i="24"/>
  <c r="X6" i="24"/>
  <c r="T6" i="24"/>
  <c r="P6" i="24"/>
  <c r="L6" i="24"/>
  <c r="H6" i="24"/>
  <c r="D6" i="24"/>
  <c r="X5" i="24"/>
  <c r="T5" i="24"/>
  <c r="P5" i="24"/>
  <c r="L5" i="24"/>
  <c r="H5" i="24"/>
  <c r="D5" i="24"/>
  <c r="Y5" i="24" s="1"/>
  <c r="T37" i="23"/>
  <c r="P37" i="23"/>
  <c r="L37" i="23"/>
  <c r="H37" i="23"/>
  <c r="D37" i="23"/>
  <c r="Y36" i="23"/>
  <c r="Y35" i="23"/>
  <c r="AM34" i="23"/>
  <c r="Y34" i="23"/>
  <c r="L30" i="23"/>
  <c r="AF29" i="23"/>
  <c r="AF8" i="23" s="1"/>
  <c r="T28" i="23"/>
  <c r="T30" i="23" s="1"/>
  <c r="T38" i="23" s="1"/>
  <c r="L28" i="23"/>
  <c r="D28" i="23"/>
  <c r="D30" i="23" s="1"/>
  <c r="D38" i="23" s="1"/>
  <c r="Y27" i="23"/>
  <c r="Y26" i="23"/>
  <c r="Y25" i="23"/>
  <c r="Y24" i="23"/>
  <c r="Y23" i="23"/>
  <c r="Y22" i="23"/>
  <c r="Y21" i="23"/>
  <c r="Y20" i="23"/>
  <c r="Y19" i="23"/>
  <c r="Y18" i="23"/>
  <c r="AF17" i="23"/>
  <c r="Y17" i="23"/>
  <c r="AM16" i="23"/>
  <c r="AM15" i="23"/>
  <c r="Y15" i="23"/>
  <c r="AM14" i="23"/>
  <c r="AM13" i="23"/>
  <c r="AM12" i="23"/>
  <c r="X12" i="23"/>
  <c r="T12" i="23"/>
  <c r="P12" i="23"/>
  <c r="L12" i="23"/>
  <c r="H12" i="23"/>
  <c r="D12" i="23"/>
  <c r="AM11" i="23"/>
  <c r="X11" i="23"/>
  <c r="T11" i="23"/>
  <c r="P11" i="23"/>
  <c r="L11" i="23"/>
  <c r="H11" i="23"/>
  <c r="D11" i="23"/>
  <c r="AM10" i="23"/>
  <c r="X10" i="23"/>
  <c r="T10" i="23"/>
  <c r="P10" i="23"/>
  <c r="L10" i="23"/>
  <c r="H10" i="23"/>
  <c r="D10" i="23"/>
  <c r="AM9" i="23"/>
  <c r="X9" i="23"/>
  <c r="T9" i="23"/>
  <c r="P9" i="23"/>
  <c r="L9" i="23"/>
  <c r="H9" i="23"/>
  <c r="D9" i="23"/>
  <c r="X8" i="23"/>
  <c r="T8" i="23"/>
  <c r="P8" i="23"/>
  <c r="L8" i="23"/>
  <c r="H8" i="23"/>
  <c r="D8" i="23"/>
  <c r="X7" i="23"/>
  <c r="T7" i="23"/>
  <c r="P7" i="23"/>
  <c r="L7" i="23"/>
  <c r="H7" i="23"/>
  <c r="D7" i="23"/>
  <c r="X6" i="23"/>
  <c r="T6" i="23"/>
  <c r="P6" i="23"/>
  <c r="L6" i="23"/>
  <c r="H6" i="23"/>
  <c r="D6" i="23"/>
  <c r="X5" i="23"/>
  <c r="T5" i="23"/>
  <c r="P5" i="23"/>
  <c r="L5" i="23"/>
  <c r="H5" i="23"/>
  <c r="D5" i="23"/>
  <c r="Y5" i="23" s="1"/>
  <c r="T37" i="22"/>
  <c r="P37" i="22"/>
  <c r="L37" i="22"/>
  <c r="H37" i="22"/>
  <c r="D37" i="22"/>
  <c r="Y36" i="22"/>
  <c r="Y37" i="22" s="1"/>
  <c r="Y35" i="22"/>
  <c r="AM34" i="22"/>
  <c r="Y34" i="22"/>
  <c r="AF29" i="22"/>
  <c r="AF8" i="22" s="1"/>
  <c r="T28" i="22"/>
  <c r="T30" i="22" s="1"/>
  <c r="T38" i="22" s="1"/>
  <c r="L28" i="22"/>
  <c r="L30" i="22" s="1"/>
  <c r="L38" i="22" s="1"/>
  <c r="D28" i="22"/>
  <c r="D30" i="22" s="1"/>
  <c r="D38" i="22" s="1"/>
  <c r="Y27" i="22"/>
  <c r="Y26" i="22"/>
  <c r="Y25" i="22"/>
  <c r="Y24" i="22"/>
  <c r="Y23" i="22"/>
  <c r="Y22" i="22"/>
  <c r="Y21" i="22"/>
  <c r="Y20" i="22"/>
  <c r="Y19" i="22"/>
  <c r="Y18" i="22"/>
  <c r="AF17" i="22"/>
  <c r="Y17" i="22"/>
  <c r="AM16" i="22"/>
  <c r="AM15" i="22"/>
  <c r="Y15" i="22"/>
  <c r="AM14" i="22"/>
  <c r="AM13" i="22"/>
  <c r="AM12" i="22"/>
  <c r="X12" i="22"/>
  <c r="T12" i="22"/>
  <c r="P12" i="22"/>
  <c r="L12" i="22"/>
  <c r="H12" i="22"/>
  <c r="D12" i="22"/>
  <c r="AM11" i="22"/>
  <c r="T11" i="22"/>
  <c r="P11" i="22"/>
  <c r="L11" i="22"/>
  <c r="H11" i="22"/>
  <c r="D11" i="22"/>
  <c r="AM10" i="22"/>
  <c r="X10" i="22"/>
  <c r="T10" i="22"/>
  <c r="P10" i="22"/>
  <c r="L10" i="22"/>
  <c r="H10" i="22"/>
  <c r="D10" i="22"/>
  <c r="AM9" i="22"/>
  <c r="X9" i="22"/>
  <c r="T9" i="22"/>
  <c r="P9" i="22"/>
  <c r="L9" i="22"/>
  <c r="H9" i="22"/>
  <c r="D9" i="22"/>
  <c r="Y9" i="22" s="1"/>
  <c r="X8" i="22"/>
  <c r="T8" i="22"/>
  <c r="P8" i="22"/>
  <c r="L8" i="22"/>
  <c r="H8" i="22"/>
  <c r="D8" i="22"/>
  <c r="X7" i="22"/>
  <c r="T7" i="22"/>
  <c r="P7" i="22"/>
  <c r="L7" i="22"/>
  <c r="H7" i="22"/>
  <c r="D7" i="22"/>
  <c r="X6" i="22"/>
  <c r="T6" i="22"/>
  <c r="P6" i="22"/>
  <c r="L6" i="22"/>
  <c r="H6" i="22"/>
  <c r="D6" i="22"/>
  <c r="X5" i="22"/>
  <c r="T5" i="22"/>
  <c r="P5" i="22"/>
  <c r="L5" i="22"/>
  <c r="H5" i="22"/>
  <c r="D5" i="22"/>
  <c r="T37" i="21"/>
  <c r="P37" i="21"/>
  <c r="L37" i="21"/>
  <c r="H37" i="21"/>
  <c r="D37" i="21"/>
  <c r="Y36" i="21"/>
  <c r="Y35" i="21"/>
  <c r="AM34" i="21"/>
  <c r="Y34" i="21"/>
  <c r="AF29" i="21"/>
  <c r="T28" i="21"/>
  <c r="T30" i="21" s="1"/>
  <c r="L28" i="21"/>
  <c r="L30" i="21" s="1"/>
  <c r="D28" i="21"/>
  <c r="D30" i="21" s="1"/>
  <c r="Y27" i="21"/>
  <c r="Y26" i="21"/>
  <c r="Y25" i="21"/>
  <c r="Y24" i="21"/>
  <c r="Y23" i="21"/>
  <c r="Y22" i="21"/>
  <c r="Y21" i="21"/>
  <c r="Y20" i="21"/>
  <c r="Y19" i="21"/>
  <c r="Y18" i="21"/>
  <c r="AF17" i="21"/>
  <c r="Y17" i="21"/>
  <c r="AM16" i="21"/>
  <c r="AM15" i="21"/>
  <c r="Y15" i="21"/>
  <c r="AM14" i="21"/>
  <c r="AM13" i="21"/>
  <c r="AM12" i="21"/>
  <c r="X12" i="21"/>
  <c r="T12" i="21"/>
  <c r="P12" i="21"/>
  <c r="L12" i="21"/>
  <c r="H12" i="21"/>
  <c r="D12" i="21"/>
  <c r="AM11" i="21"/>
  <c r="X11" i="21"/>
  <c r="T11" i="21"/>
  <c r="P11" i="21"/>
  <c r="L11" i="21"/>
  <c r="H11" i="21"/>
  <c r="D11" i="21"/>
  <c r="AM10" i="21"/>
  <c r="X10" i="21"/>
  <c r="T10" i="21"/>
  <c r="P10" i="21"/>
  <c r="L10" i="21"/>
  <c r="H10" i="21"/>
  <c r="D10" i="21"/>
  <c r="AM9" i="21"/>
  <c r="X9" i="21"/>
  <c r="T9" i="21"/>
  <c r="P9" i="21"/>
  <c r="L9" i="21"/>
  <c r="H9" i="21"/>
  <c r="D9" i="21"/>
  <c r="AF8" i="21"/>
  <c r="X8" i="21"/>
  <c r="T8" i="21"/>
  <c r="P8" i="21"/>
  <c r="L8" i="21"/>
  <c r="H8" i="21"/>
  <c r="D8" i="21"/>
  <c r="X7" i="21"/>
  <c r="T7" i="21"/>
  <c r="P7" i="21"/>
  <c r="L7" i="21"/>
  <c r="H7" i="21"/>
  <c r="D7" i="21"/>
  <c r="X6" i="21"/>
  <c r="T6" i="21"/>
  <c r="P6" i="21"/>
  <c r="L6" i="21"/>
  <c r="H6" i="21"/>
  <c r="D6" i="21"/>
  <c r="X5" i="21"/>
  <c r="T5" i="21"/>
  <c r="P5" i="21"/>
  <c r="L5" i="21"/>
  <c r="H5" i="21"/>
  <c r="D5" i="21"/>
  <c r="AM17" i="25" l="1"/>
  <c r="Y12" i="26"/>
  <c r="Y7" i="26"/>
  <c r="T13" i="26"/>
  <c r="Y5" i="26"/>
  <c r="Y13" i="25"/>
  <c r="AM17" i="24"/>
  <c r="L13" i="24"/>
  <c r="H13" i="24"/>
  <c r="H16" i="24" s="1"/>
  <c r="H28" i="24" s="1"/>
  <c r="H30" i="24" s="1"/>
  <c r="H38" i="24" s="1"/>
  <c r="Y37" i="24"/>
  <c r="Y10" i="24"/>
  <c r="Y9" i="24"/>
  <c r="Y7" i="24"/>
  <c r="AF9" i="24"/>
  <c r="AF18" i="24" s="1"/>
  <c r="Y6" i="24"/>
  <c r="P13" i="24"/>
  <c r="P16" i="24" s="1"/>
  <c r="P28" i="24" s="1"/>
  <c r="P30" i="24" s="1"/>
  <c r="P38" i="24" s="1"/>
  <c r="Y12" i="24"/>
  <c r="H13" i="23"/>
  <c r="H16" i="23" s="1"/>
  <c r="H28" i="23" s="1"/>
  <c r="H30" i="23" s="1"/>
  <c r="H38" i="23" s="1"/>
  <c r="Y6" i="23"/>
  <c r="L38" i="23"/>
  <c r="T13" i="23"/>
  <c r="L13" i="23"/>
  <c r="AM17" i="23"/>
  <c r="Y7" i="23"/>
  <c r="Y37" i="23"/>
  <c r="Y12" i="23"/>
  <c r="Y11" i="23"/>
  <c r="AF9" i="23" s="1"/>
  <c r="AF18" i="23" s="1"/>
  <c r="Y10" i="23"/>
  <c r="Y9" i="23"/>
  <c r="P13" i="23"/>
  <c r="P16" i="23" s="1"/>
  <c r="P28" i="23" s="1"/>
  <c r="P30" i="23" s="1"/>
  <c r="P38" i="23" s="1"/>
  <c r="Y8" i="23"/>
  <c r="AM17" i="22"/>
  <c r="Y8" i="22"/>
  <c r="P13" i="22"/>
  <c r="P16" i="22" s="1"/>
  <c r="P28" i="22" s="1"/>
  <c r="P30" i="22" s="1"/>
  <c r="P38" i="22" s="1"/>
  <c r="Y10" i="22"/>
  <c r="Y7" i="22"/>
  <c r="L13" i="22"/>
  <c r="T13" i="22"/>
  <c r="Y12" i="22"/>
  <c r="Y11" i="22"/>
  <c r="Y5" i="22"/>
  <c r="D13" i="22"/>
  <c r="H13" i="21"/>
  <c r="H16" i="21" s="1"/>
  <c r="H28" i="21" s="1"/>
  <c r="H30" i="21" s="1"/>
  <c r="H38" i="21" s="1"/>
  <c r="L38" i="21"/>
  <c r="Y7" i="21"/>
  <c r="L13" i="21"/>
  <c r="T38" i="21"/>
  <c r="D38" i="21"/>
  <c r="Y37" i="21"/>
  <c r="T13" i="21"/>
  <c r="Y8" i="21"/>
  <c r="Y6" i="21"/>
  <c r="Y9" i="21"/>
  <c r="AM17" i="21"/>
  <c r="Y12" i="21"/>
  <c r="Y11" i="21"/>
  <c r="AF9" i="21" s="1"/>
  <c r="AF18" i="21" s="1"/>
  <c r="P13" i="21"/>
  <c r="P16" i="21" s="1"/>
  <c r="P28" i="21" s="1"/>
  <c r="P30" i="21" s="1"/>
  <c r="P38" i="21" s="1"/>
  <c r="Y10" i="21"/>
  <c r="Y5" i="21"/>
  <c r="Y6" i="26"/>
  <c r="H13" i="26"/>
  <c r="H16" i="26" s="1"/>
  <c r="L13" i="25"/>
  <c r="H13" i="25"/>
  <c r="H16" i="25" s="1"/>
  <c r="D13" i="24"/>
  <c r="D13" i="23"/>
  <c r="Y6" i="22"/>
  <c r="H13" i="22"/>
  <c r="H16" i="22" s="1"/>
  <c r="D13" i="21"/>
  <c r="G23" i="11"/>
  <c r="D24" i="11" s="1"/>
  <c r="G24" i="11" s="1"/>
  <c r="D23" i="11"/>
  <c r="G22" i="11"/>
  <c r="D22" i="11"/>
  <c r="G21" i="11"/>
  <c r="D21" i="11"/>
  <c r="G20" i="11"/>
  <c r="D20" i="11"/>
  <c r="G19" i="11"/>
  <c r="D19" i="11"/>
  <c r="G18" i="11"/>
  <c r="Y13" i="26" l="1"/>
  <c r="Y16" i="24"/>
  <c r="Y28" i="24" s="1"/>
  <c r="Y30" i="24" s="1"/>
  <c r="Y38" i="24" s="1"/>
  <c r="Y13" i="24"/>
  <c r="Y13" i="23"/>
  <c r="Y16" i="23"/>
  <c r="Y28" i="23" s="1"/>
  <c r="Y30" i="23" s="1"/>
  <c r="Y38" i="23" s="1"/>
  <c r="Y13" i="22"/>
  <c r="AF7" i="22" s="1"/>
  <c r="AF9" i="22" s="1"/>
  <c r="Y13" i="21"/>
  <c r="Y16" i="21"/>
  <c r="Y28" i="21" s="1"/>
  <c r="Y30" i="21" s="1"/>
  <c r="Y38" i="21" s="1"/>
  <c r="H28" i="26"/>
  <c r="H30" i="26" s="1"/>
  <c r="H38" i="26" s="1"/>
  <c r="Y16" i="26"/>
  <c r="Y28" i="26" s="1"/>
  <c r="Y30" i="26" s="1"/>
  <c r="Y38" i="26" s="1"/>
  <c r="H28" i="25"/>
  <c r="H30" i="25" s="1"/>
  <c r="H38" i="25" s="1"/>
  <c r="Y16" i="25"/>
  <c r="Y28" i="25" s="1"/>
  <c r="Y30" i="25" s="1"/>
  <c r="Y38" i="25" s="1"/>
  <c r="H28" i="22"/>
  <c r="H30" i="22" s="1"/>
  <c r="H38" i="22" s="1"/>
  <c r="Y16" i="22"/>
  <c r="Y28" i="22" s="1"/>
  <c r="Y30" i="22" s="1"/>
  <c r="Y38" i="22" s="1"/>
  <c r="P37" i="19"/>
  <c r="P28" i="19"/>
  <c r="P30" i="19" s="1"/>
  <c r="P38" i="19" s="1"/>
  <c r="P12" i="19"/>
  <c r="P11" i="19"/>
  <c r="P10" i="19"/>
  <c r="P9" i="19"/>
  <c r="P8" i="19"/>
  <c r="P7" i="19"/>
  <c r="P6" i="19"/>
  <c r="P5" i="19"/>
  <c r="P13" i="19" l="1"/>
  <c r="L5" i="19"/>
  <c r="L6" i="19"/>
  <c r="L7" i="19"/>
  <c r="L8" i="19"/>
  <c r="L9" i="19"/>
  <c r="L10" i="19"/>
  <c r="L11" i="19"/>
  <c r="L12" i="19"/>
  <c r="L28" i="19"/>
  <c r="L30" i="19" s="1"/>
  <c r="L37" i="19"/>
  <c r="L38" i="19" l="1"/>
  <c r="L13" i="19"/>
  <c r="AE45" i="15"/>
  <c r="Z23" i="17"/>
  <c r="Z22" i="17"/>
  <c r="Z21" i="17"/>
  <c r="Z20" i="17"/>
  <c r="AF7" i="18"/>
  <c r="AG29" i="16" l="1"/>
  <c r="T37" i="20" l="1"/>
  <c r="P37" i="20"/>
  <c r="L37" i="20"/>
  <c r="H37" i="20"/>
  <c r="D37" i="20"/>
  <c r="Y36" i="20"/>
  <c r="Y35" i="20"/>
  <c r="Y34" i="20"/>
  <c r="AF29" i="20"/>
  <c r="T28" i="20"/>
  <c r="T30" i="20" s="1"/>
  <c r="T38" i="20" s="1"/>
  <c r="L28" i="20"/>
  <c r="L30" i="20" s="1"/>
  <c r="L38" i="20" s="1"/>
  <c r="D28" i="20"/>
  <c r="D30" i="20" s="1"/>
  <c r="Y27" i="20"/>
  <c r="Y26" i="20"/>
  <c r="Y25" i="20"/>
  <c r="Y24" i="20"/>
  <c r="Y23" i="20"/>
  <c r="Y22" i="20"/>
  <c r="Y21" i="20"/>
  <c r="Y20" i="20"/>
  <c r="Y19" i="20"/>
  <c r="Y18" i="20"/>
  <c r="AF17" i="20"/>
  <c r="Y17" i="20"/>
  <c r="AM16" i="20"/>
  <c r="AM15" i="20"/>
  <c r="Y15" i="20"/>
  <c r="AM14" i="20"/>
  <c r="AM13" i="20"/>
  <c r="AM12" i="20"/>
  <c r="X12" i="20"/>
  <c r="T12" i="20"/>
  <c r="P12" i="20"/>
  <c r="L12" i="20"/>
  <c r="H12" i="20"/>
  <c r="D12" i="20"/>
  <c r="AM11" i="20"/>
  <c r="X11" i="20"/>
  <c r="T11" i="20"/>
  <c r="P11" i="20"/>
  <c r="L11" i="20"/>
  <c r="H11" i="20"/>
  <c r="D11" i="20"/>
  <c r="AM10" i="20"/>
  <c r="X10" i="20"/>
  <c r="T10" i="20"/>
  <c r="P10" i="20"/>
  <c r="L10" i="20"/>
  <c r="H10" i="20"/>
  <c r="D10" i="20"/>
  <c r="AM9" i="20"/>
  <c r="X9" i="20"/>
  <c r="T9" i="20"/>
  <c r="P9" i="20"/>
  <c r="L9" i="20"/>
  <c r="H9" i="20"/>
  <c r="D9" i="20"/>
  <c r="AF8" i="20"/>
  <c r="X8" i="20"/>
  <c r="T8" i="20"/>
  <c r="P8" i="20"/>
  <c r="L8" i="20"/>
  <c r="H8" i="20"/>
  <c r="D8" i="20"/>
  <c r="X7" i="20"/>
  <c r="T7" i="20"/>
  <c r="P7" i="20"/>
  <c r="L7" i="20"/>
  <c r="H7" i="20"/>
  <c r="D7" i="20"/>
  <c r="X6" i="20"/>
  <c r="T6" i="20"/>
  <c r="T13" i="20" s="1"/>
  <c r="P6" i="20"/>
  <c r="L6" i="20"/>
  <c r="H6" i="20"/>
  <c r="D6" i="20"/>
  <c r="X5" i="20"/>
  <c r="T5" i="20"/>
  <c r="P5" i="20"/>
  <c r="L5" i="20"/>
  <c r="H5" i="20"/>
  <c r="D5" i="20"/>
  <c r="T37" i="19"/>
  <c r="H37" i="19"/>
  <c r="D37" i="19"/>
  <c r="Y36" i="19"/>
  <c r="Y35" i="19"/>
  <c r="AM34" i="19"/>
  <c r="Y34" i="19"/>
  <c r="AF29" i="19"/>
  <c r="T28" i="19"/>
  <c r="T30" i="19" s="1"/>
  <c r="T38" i="19" s="1"/>
  <c r="D28" i="19"/>
  <c r="D30" i="19" s="1"/>
  <c r="D38" i="19" s="1"/>
  <c r="Y27" i="19"/>
  <c r="Y26" i="19"/>
  <c r="Y25" i="19"/>
  <c r="Y24" i="19"/>
  <c r="Y23" i="19"/>
  <c r="Y22" i="19"/>
  <c r="Y21" i="19"/>
  <c r="Y20" i="19"/>
  <c r="Y19" i="19"/>
  <c r="Y18" i="19"/>
  <c r="AF17" i="19"/>
  <c r="Y17" i="19"/>
  <c r="AM16" i="19"/>
  <c r="AM15" i="19"/>
  <c r="Y15" i="19"/>
  <c r="AM14" i="19"/>
  <c r="AM13" i="19"/>
  <c r="AM12" i="19"/>
  <c r="X12" i="19"/>
  <c r="T12" i="19"/>
  <c r="H12" i="19"/>
  <c r="D12" i="19"/>
  <c r="Y12" i="19" s="1"/>
  <c r="AM11" i="19"/>
  <c r="X11" i="19"/>
  <c r="T11" i="19"/>
  <c r="H11" i="19"/>
  <c r="D11" i="19"/>
  <c r="AM10" i="19"/>
  <c r="X10" i="19"/>
  <c r="T10" i="19"/>
  <c r="H10" i="19"/>
  <c r="D10" i="19"/>
  <c r="Y10" i="19" s="1"/>
  <c r="AM9" i="19"/>
  <c r="X9" i="19"/>
  <c r="T9" i="19"/>
  <c r="H9" i="19"/>
  <c r="D9" i="19"/>
  <c r="X8" i="19"/>
  <c r="T8" i="19"/>
  <c r="H8" i="19"/>
  <c r="D8" i="19"/>
  <c r="Y8" i="19" s="1"/>
  <c r="X7" i="19"/>
  <c r="T7" i="19"/>
  <c r="H7" i="19"/>
  <c r="D7" i="19"/>
  <c r="X6" i="19"/>
  <c r="T6" i="19"/>
  <c r="T13" i="19" s="1"/>
  <c r="H6" i="19"/>
  <c r="D6" i="19"/>
  <c r="X5" i="19"/>
  <c r="T5" i="19"/>
  <c r="H5" i="19"/>
  <c r="D5" i="19"/>
  <c r="Y5" i="19" s="1"/>
  <c r="T37" i="18"/>
  <c r="P37" i="18"/>
  <c r="L37" i="18"/>
  <c r="H37" i="18"/>
  <c r="D37" i="18"/>
  <c r="Y36" i="18"/>
  <c r="Y35" i="18"/>
  <c r="AM34" i="18"/>
  <c r="Y34" i="18"/>
  <c r="AF29" i="18"/>
  <c r="AF8" i="18" s="1"/>
  <c r="T28" i="18"/>
  <c r="T30" i="18" s="1"/>
  <c r="T38" i="18" s="1"/>
  <c r="L28" i="18"/>
  <c r="L30" i="18" s="1"/>
  <c r="D28" i="18"/>
  <c r="D30" i="18" s="1"/>
  <c r="D38" i="18" s="1"/>
  <c r="Y27" i="18"/>
  <c r="Y26" i="18"/>
  <c r="Y25" i="18"/>
  <c r="Y24" i="18"/>
  <c r="Y23" i="18"/>
  <c r="Y22" i="18"/>
  <c r="Y21" i="18"/>
  <c r="Y20" i="18"/>
  <c r="Y19" i="18"/>
  <c r="Y18" i="18"/>
  <c r="AF17" i="18"/>
  <c r="Y17" i="18"/>
  <c r="AM16" i="18"/>
  <c r="AM15" i="18"/>
  <c r="Y15" i="18"/>
  <c r="AM14" i="18"/>
  <c r="AM13" i="18"/>
  <c r="AM12" i="18"/>
  <c r="X12" i="18"/>
  <c r="T12" i="18"/>
  <c r="P12" i="18"/>
  <c r="L12" i="18"/>
  <c r="H12" i="18"/>
  <c r="D12" i="18"/>
  <c r="AM11" i="18"/>
  <c r="X11" i="18"/>
  <c r="T11" i="18"/>
  <c r="P11" i="18"/>
  <c r="L11" i="18"/>
  <c r="H11" i="18"/>
  <c r="D11" i="18"/>
  <c r="AM10" i="18"/>
  <c r="X10" i="18"/>
  <c r="T10" i="18"/>
  <c r="P10" i="18"/>
  <c r="L10" i="18"/>
  <c r="H10" i="18"/>
  <c r="D10" i="18"/>
  <c r="AM9" i="18"/>
  <c r="X9" i="18"/>
  <c r="T9" i="18"/>
  <c r="P9" i="18"/>
  <c r="L9" i="18"/>
  <c r="H9" i="18"/>
  <c r="D9" i="18"/>
  <c r="X8" i="18"/>
  <c r="T8" i="18"/>
  <c r="P8" i="18"/>
  <c r="L8" i="18"/>
  <c r="H8" i="18"/>
  <c r="D8" i="18"/>
  <c r="X7" i="18"/>
  <c r="T7" i="18"/>
  <c r="P7" i="18"/>
  <c r="L7" i="18"/>
  <c r="H7" i="18"/>
  <c r="D7" i="18"/>
  <c r="X6" i="18"/>
  <c r="T6" i="18"/>
  <c r="P6" i="18"/>
  <c r="L6" i="18"/>
  <c r="H6" i="18"/>
  <c r="D6" i="18"/>
  <c r="X5" i="18"/>
  <c r="T5" i="18"/>
  <c r="P5" i="18"/>
  <c r="L5" i="18"/>
  <c r="H5" i="18"/>
  <c r="D5" i="18"/>
  <c r="U38" i="17"/>
  <c r="Q38" i="17"/>
  <c r="M38" i="17"/>
  <c r="I38" i="17"/>
  <c r="E38" i="17"/>
  <c r="Z37" i="17"/>
  <c r="Z38" i="17" s="1"/>
  <c r="Z36" i="17"/>
  <c r="AN35" i="17"/>
  <c r="Z35" i="17"/>
  <c r="AG30" i="17"/>
  <c r="AG9" i="17" s="1"/>
  <c r="U29" i="17"/>
  <c r="U31" i="17" s="1"/>
  <c r="U39" i="17" s="1"/>
  <c r="M29" i="17"/>
  <c r="M31" i="17" s="1"/>
  <c r="M39" i="17" s="1"/>
  <c r="E29" i="17"/>
  <c r="E31" i="17" s="1"/>
  <c r="E39" i="17" s="1"/>
  <c r="Z28" i="17"/>
  <c r="Z27" i="17"/>
  <c r="Z26" i="17"/>
  <c r="Z25" i="17"/>
  <c r="Z24" i="17"/>
  <c r="Z19" i="17"/>
  <c r="AG18" i="17"/>
  <c r="Z18" i="17"/>
  <c r="AN17" i="17"/>
  <c r="AN16" i="17"/>
  <c r="Z16" i="17"/>
  <c r="AN15" i="17"/>
  <c r="AN14" i="17"/>
  <c r="AN13" i="17"/>
  <c r="Y13" i="17"/>
  <c r="U13" i="17"/>
  <c r="Q13" i="17"/>
  <c r="M13" i="17"/>
  <c r="I13" i="17"/>
  <c r="E13" i="17"/>
  <c r="AN12" i="17"/>
  <c r="Y12" i="17"/>
  <c r="U12" i="17"/>
  <c r="Q12" i="17"/>
  <c r="M12" i="17"/>
  <c r="I12" i="17"/>
  <c r="E12" i="17"/>
  <c r="AN11" i="17"/>
  <c r="Y11" i="17"/>
  <c r="U11" i="17"/>
  <c r="Q11" i="17"/>
  <c r="M11" i="17"/>
  <c r="I11" i="17"/>
  <c r="E11" i="17"/>
  <c r="AN10" i="17"/>
  <c r="Y10" i="17"/>
  <c r="U10" i="17"/>
  <c r="Q10" i="17"/>
  <c r="M10" i="17"/>
  <c r="I10" i="17"/>
  <c r="E10" i="17"/>
  <c r="Y9" i="17"/>
  <c r="U9" i="17"/>
  <c r="Q9" i="17"/>
  <c r="M9" i="17"/>
  <c r="I9" i="17"/>
  <c r="E9" i="17"/>
  <c r="Y8" i="17"/>
  <c r="U8" i="17"/>
  <c r="Q8" i="17"/>
  <c r="M8" i="17"/>
  <c r="I8" i="17"/>
  <c r="E8" i="17"/>
  <c r="Y7" i="17"/>
  <c r="U7" i="17"/>
  <c r="Q7" i="17"/>
  <c r="M7" i="17"/>
  <c r="I7" i="17"/>
  <c r="E7" i="17"/>
  <c r="Y6" i="17"/>
  <c r="U6" i="17"/>
  <c r="Q6" i="17"/>
  <c r="M6" i="17"/>
  <c r="I6" i="17"/>
  <c r="E6" i="17"/>
  <c r="Z6" i="17" s="1"/>
  <c r="AM17" i="20" l="1"/>
  <c r="Y37" i="20"/>
  <c r="Y9" i="20"/>
  <c r="L13" i="20"/>
  <c r="Y6" i="20"/>
  <c r="Y8" i="20"/>
  <c r="Y12" i="20"/>
  <c r="P13" i="20"/>
  <c r="P16" i="20" s="1"/>
  <c r="P28" i="20" s="1"/>
  <c r="P30" i="20" s="1"/>
  <c r="P38" i="20" s="1"/>
  <c r="Y11" i="20"/>
  <c r="AF9" i="20" s="1"/>
  <c r="Y10" i="20"/>
  <c r="Y7" i="20"/>
  <c r="H13" i="20"/>
  <c r="H16" i="20" s="1"/>
  <c r="Y16" i="20" s="1"/>
  <c r="Y28" i="20" s="1"/>
  <c r="Y30" i="20" s="1"/>
  <c r="Y5" i="20"/>
  <c r="D38" i="20"/>
  <c r="AM17" i="19"/>
  <c r="H13" i="19"/>
  <c r="H16" i="19" s="1"/>
  <c r="Y16" i="19" s="1"/>
  <c r="Y28" i="19" s="1"/>
  <c r="Y30" i="19" s="1"/>
  <c r="Y11" i="19"/>
  <c r="AF9" i="19" s="1"/>
  <c r="AF18" i="19" s="1"/>
  <c r="Y7" i="19"/>
  <c r="Y6" i="19"/>
  <c r="Y37" i="19"/>
  <c r="Y9" i="19"/>
  <c r="AM17" i="18"/>
  <c r="L38" i="18"/>
  <c r="Y9" i="18"/>
  <c r="Y5" i="18"/>
  <c r="H13" i="18"/>
  <c r="H16" i="18" s="1"/>
  <c r="H28" i="18" s="1"/>
  <c r="H30" i="18" s="1"/>
  <c r="H38" i="18" s="1"/>
  <c r="Y12" i="18"/>
  <c r="Y37" i="18"/>
  <c r="T13" i="18"/>
  <c r="Y11" i="18"/>
  <c r="AF9" i="18"/>
  <c r="AF18" i="18" s="1"/>
  <c r="P13" i="18"/>
  <c r="P16" i="18" s="1"/>
  <c r="P28" i="18" s="1"/>
  <c r="P30" i="18" s="1"/>
  <c r="P38" i="18" s="1"/>
  <c r="Y10" i="18"/>
  <c r="Y8" i="18"/>
  <c r="Y7" i="18"/>
  <c r="Y6" i="18"/>
  <c r="AN18" i="17"/>
  <c r="U14" i="17"/>
  <c r="M14" i="17"/>
  <c r="I14" i="17"/>
  <c r="I17" i="17" s="1"/>
  <c r="I29" i="17" s="1"/>
  <c r="I31" i="17" s="1"/>
  <c r="I39" i="17" s="1"/>
  <c r="Z9" i="17"/>
  <c r="Z13" i="17"/>
  <c r="Q14" i="17"/>
  <c r="Q17" i="17" s="1"/>
  <c r="Q29" i="17" s="1"/>
  <c r="Q31" i="17" s="1"/>
  <c r="Q39" i="17" s="1"/>
  <c r="Z12" i="17"/>
  <c r="AG10" i="17" s="1"/>
  <c r="AG19" i="17" s="1"/>
  <c r="Z11" i="17"/>
  <c r="Z10" i="17"/>
  <c r="Z8" i="17"/>
  <c r="Z7" i="17"/>
  <c r="AF18" i="20"/>
  <c r="D13" i="20"/>
  <c r="H28" i="19"/>
  <c r="H30" i="19" s="1"/>
  <c r="H38" i="19" s="1"/>
  <c r="D13" i="19"/>
  <c r="D13" i="18"/>
  <c r="L13" i="18"/>
  <c r="E14" i="17"/>
  <c r="AE50" i="15"/>
  <c r="AD47" i="15"/>
  <c r="AD49" i="15" s="1"/>
  <c r="AL25" i="15"/>
  <c r="AF29" i="15"/>
  <c r="AE7" i="15" s="1"/>
  <c r="Y22" i="15"/>
  <c r="Y21" i="15"/>
  <c r="T28" i="15"/>
  <c r="Y38" i="20" l="1"/>
  <c r="Y13" i="20"/>
  <c r="H28" i="20"/>
  <c r="H30" i="20" s="1"/>
  <c r="H38" i="20" s="1"/>
  <c r="Y13" i="19"/>
  <c r="Y38" i="19"/>
  <c r="Y16" i="18"/>
  <c r="Y28" i="18" s="1"/>
  <c r="Y30" i="18" s="1"/>
  <c r="Y38" i="18" s="1"/>
  <c r="Y13" i="18"/>
  <c r="Z17" i="17"/>
  <c r="Z29" i="17" s="1"/>
  <c r="Z31" i="17" s="1"/>
  <c r="Z39" i="17" s="1"/>
  <c r="Z14" i="17"/>
  <c r="U37" i="16"/>
  <c r="Q37" i="16"/>
  <c r="M37" i="16"/>
  <c r="I37" i="16"/>
  <c r="E37" i="16"/>
  <c r="Z36" i="16"/>
  <c r="Z35" i="16"/>
  <c r="Z34" i="16"/>
  <c r="Z37" i="16" s="1"/>
  <c r="E30" i="16"/>
  <c r="E38" i="16" s="1"/>
  <c r="U28" i="16"/>
  <c r="U30" i="16" s="1"/>
  <c r="U38" i="16" s="1"/>
  <c r="M28" i="16"/>
  <c r="M30" i="16" s="1"/>
  <c r="M38" i="16" s="1"/>
  <c r="E28" i="16"/>
  <c r="Z27" i="16"/>
  <c r="Z26" i="16"/>
  <c r="Z25" i="16"/>
  <c r="Z24" i="16"/>
  <c r="Z23" i="16"/>
  <c r="Z22" i="16"/>
  <c r="Z21" i="16"/>
  <c r="Z20" i="16"/>
  <c r="Z19" i="16"/>
  <c r="Z18" i="16"/>
  <c r="Z17" i="16"/>
  <c r="Z15" i="16"/>
  <c r="Y12" i="16"/>
  <c r="U12" i="16"/>
  <c r="Q12" i="16"/>
  <c r="M12" i="16"/>
  <c r="I12" i="16"/>
  <c r="E12" i="16"/>
  <c r="Y11" i="16"/>
  <c r="U11" i="16"/>
  <c r="Q11" i="16"/>
  <c r="M11" i="16"/>
  <c r="I11" i="16"/>
  <c r="E11" i="16"/>
  <c r="Y10" i="16"/>
  <c r="U10" i="16"/>
  <c r="Q10" i="16"/>
  <c r="M10" i="16"/>
  <c r="I10" i="16"/>
  <c r="E10" i="16"/>
  <c r="Z10" i="16" s="1"/>
  <c r="Y9" i="16"/>
  <c r="U9" i="16"/>
  <c r="Q9" i="16"/>
  <c r="M9" i="16"/>
  <c r="I9" i="16"/>
  <c r="E9" i="16"/>
  <c r="Y8" i="16"/>
  <c r="U8" i="16"/>
  <c r="Q8" i="16"/>
  <c r="M8" i="16"/>
  <c r="I8" i="16"/>
  <c r="E8" i="16"/>
  <c r="Y7" i="16"/>
  <c r="U7" i="16"/>
  <c r="Q7" i="16"/>
  <c r="M7" i="16"/>
  <c r="I7" i="16"/>
  <c r="E7" i="16"/>
  <c r="Y6" i="16"/>
  <c r="U6" i="16"/>
  <c r="Q6" i="16"/>
  <c r="M6" i="16"/>
  <c r="I6" i="16"/>
  <c r="E6" i="16"/>
  <c r="Z6" i="16" s="1"/>
  <c r="Y5" i="16"/>
  <c r="U5" i="16"/>
  <c r="Q5" i="16"/>
  <c r="Q13" i="16" s="1"/>
  <c r="Q16" i="16" s="1"/>
  <c r="Q28" i="16" s="1"/>
  <c r="Q30" i="16" s="1"/>
  <c r="M5" i="16"/>
  <c r="I5" i="16"/>
  <c r="E5" i="16"/>
  <c r="AN34" i="16"/>
  <c r="AL7" i="15"/>
  <c r="AL6" i="15"/>
  <c r="AL11" i="15"/>
  <c r="AL10" i="15"/>
  <c r="AL9" i="15"/>
  <c r="AL8" i="15"/>
  <c r="AL5" i="15"/>
  <c r="AL4" i="15"/>
  <c r="U13" i="16" l="1"/>
  <c r="Q38" i="16"/>
  <c r="Z9" i="16"/>
  <c r="I13" i="16"/>
  <c r="I16" i="16" s="1"/>
  <c r="Z16" i="16" s="1"/>
  <c r="Z28" i="16" s="1"/>
  <c r="Z30" i="16" s="1"/>
  <c r="Z38" i="16" s="1"/>
  <c r="Z11" i="16"/>
  <c r="M13" i="16"/>
  <c r="Z7" i="16"/>
  <c r="Z12" i="16"/>
  <c r="Z8" i="16"/>
  <c r="E13" i="16"/>
  <c r="Z5" i="16"/>
  <c r="AL12" i="15"/>
  <c r="AE16" i="15" s="1"/>
  <c r="D18" i="11"/>
  <c r="AM34" i="14"/>
  <c r="Z23" i="14"/>
  <c r="I28" i="16" l="1"/>
  <c r="I30" i="16" s="1"/>
  <c r="I38" i="16" s="1"/>
  <c r="Z13" i="16"/>
  <c r="G17" i="11"/>
  <c r="D17" i="11"/>
  <c r="F16" i="11"/>
  <c r="L11" i="11"/>
  <c r="L10" i="11"/>
  <c r="L9" i="11"/>
  <c r="L8" i="11"/>
  <c r="L7" i="11"/>
  <c r="L6" i="11"/>
  <c r="L5" i="11"/>
  <c r="L4" i="11"/>
  <c r="L12" i="11" l="1"/>
  <c r="AG17" i="16" l="1"/>
  <c r="AN16" i="16"/>
  <c r="AN15" i="16"/>
  <c r="AN14" i="16"/>
  <c r="AN13" i="16"/>
  <c r="AN12" i="16"/>
  <c r="AN11" i="16"/>
  <c r="AN10" i="16"/>
  <c r="AN9" i="16"/>
  <c r="AG8" i="16"/>
  <c r="T37" i="15"/>
  <c r="P37" i="15"/>
  <c r="L37" i="15"/>
  <c r="H37" i="15"/>
  <c r="D37" i="15"/>
  <c r="Y36" i="15"/>
  <c r="Y35" i="15"/>
  <c r="Y34" i="15"/>
  <c r="T30" i="15"/>
  <c r="L28" i="15"/>
  <c r="L30" i="15" s="1"/>
  <c r="L38" i="15" s="1"/>
  <c r="D28" i="15"/>
  <c r="D30" i="15" s="1"/>
  <c r="Y27" i="15"/>
  <c r="Y26" i="15"/>
  <c r="Y25" i="15"/>
  <c r="Y24" i="15"/>
  <c r="Y23" i="15"/>
  <c r="Y20" i="15"/>
  <c r="Y19" i="15"/>
  <c r="Y18" i="15"/>
  <c r="Y17" i="15"/>
  <c r="Y15" i="15"/>
  <c r="X12" i="15"/>
  <c r="T12" i="15"/>
  <c r="P12" i="15"/>
  <c r="L12" i="15"/>
  <c r="H12" i="15"/>
  <c r="D12" i="15"/>
  <c r="X11" i="15"/>
  <c r="T11" i="15"/>
  <c r="P11" i="15"/>
  <c r="L11" i="15"/>
  <c r="H11" i="15"/>
  <c r="D11" i="15"/>
  <c r="X10" i="15"/>
  <c r="T10" i="15"/>
  <c r="P10" i="15"/>
  <c r="L10" i="15"/>
  <c r="H10" i="15"/>
  <c r="D10" i="15"/>
  <c r="X9" i="15"/>
  <c r="T9" i="15"/>
  <c r="P9" i="15"/>
  <c r="L9" i="15"/>
  <c r="H9" i="15"/>
  <c r="D9" i="15"/>
  <c r="X8" i="15"/>
  <c r="T8" i="15"/>
  <c r="P8" i="15"/>
  <c r="L8" i="15"/>
  <c r="H8" i="15"/>
  <c r="D8" i="15"/>
  <c r="X7" i="15"/>
  <c r="T7" i="15"/>
  <c r="P7" i="15"/>
  <c r="L7" i="15"/>
  <c r="H7" i="15"/>
  <c r="D7" i="15"/>
  <c r="X6" i="15"/>
  <c r="T6" i="15"/>
  <c r="P6" i="15"/>
  <c r="P13" i="15" s="1"/>
  <c r="P16" i="15" s="1"/>
  <c r="P28" i="15" s="1"/>
  <c r="P30" i="15" s="1"/>
  <c r="L6" i="15"/>
  <c r="H6" i="15"/>
  <c r="D6" i="15"/>
  <c r="X5" i="15"/>
  <c r="T5" i="15"/>
  <c r="P5" i="15"/>
  <c r="L5" i="15"/>
  <c r="H5" i="15"/>
  <c r="D5" i="15"/>
  <c r="U38" i="14"/>
  <c r="U37" i="14"/>
  <c r="Q37" i="14"/>
  <c r="M37" i="14"/>
  <c r="I37" i="14"/>
  <c r="E37" i="14"/>
  <c r="Z36" i="14"/>
  <c r="Z35" i="14"/>
  <c r="Z34" i="14"/>
  <c r="U30" i="14"/>
  <c r="AG29" i="14"/>
  <c r="AF8" i="14" s="1"/>
  <c r="U28" i="14"/>
  <c r="M28" i="14"/>
  <c r="M30" i="14" s="1"/>
  <c r="E28" i="14"/>
  <c r="E30" i="14" s="1"/>
  <c r="E38" i="14" s="1"/>
  <c r="Z27" i="14"/>
  <c r="Z26" i="14"/>
  <c r="Z25" i="14"/>
  <c r="Z24" i="14"/>
  <c r="Z22" i="14"/>
  <c r="Z21" i="14"/>
  <c r="Z20" i="14"/>
  <c r="Z19" i="14"/>
  <c r="Z18" i="14"/>
  <c r="AF17" i="14"/>
  <c r="Z17" i="14"/>
  <c r="AM12" i="14"/>
  <c r="AM11" i="14"/>
  <c r="Z15" i="14"/>
  <c r="AM10" i="14"/>
  <c r="AM9" i="14"/>
  <c r="AM8" i="14"/>
  <c r="Y12" i="14"/>
  <c r="U12" i="14"/>
  <c r="Q12" i="14"/>
  <c r="M12" i="14"/>
  <c r="Z12" i="14" s="1"/>
  <c r="I12" i="14"/>
  <c r="E12" i="14"/>
  <c r="AM7" i="14"/>
  <c r="Y11" i="14"/>
  <c r="U11" i="14"/>
  <c r="Q11" i="14"/>
  <c r="M11" i="14"/>
  <c r="I11" i="14"/>
  <c r="E11" i="14"/>
  <c r="AM6" i="14"/>
  <c r="Y10" i="14"/>
  <c r="U10" i="14"/>
  <c r="Q10" i="14"/>
  <c r="M10" i="14"/>
  <c r="I10" i="14"/>
  <c r="E10" i="14"/>
  <c r="AM5" i="14"/>
  <c r="Y9" i="14"/>
  <c r="U9" i="14"/>
  <c r="Q9" i="14"/>
  <c r="M9" i="14"/>
  <c r="I9" i="14"/>
  <c r="E9" i="14"/>
  <c r="Y8" i="14"/>
  <c r="U8" i="14"/>
  <c r="Q8" i="14"/>
  <c r="M8" i="14"/>
  <c r="I8" i="14"/>
  <c r="E8" i="14"/>
  <c r="Y7" i="14"/>
  <c r="U7" i="14"/>
  <c r="Q7" i="14"/>
  <c r="M7" i="14"/>
  <c r="I7" i="14"/>
  <c r="E7" i="14"/>
  <c r="Y6" i="14"/>
  <c r="U6" i="14"/>
  <c r="Q6" i="14"/>
  <c r="M6" i="14"/>
  <c r="I6" i="14"/>
  <c r="E6" i="14"/>
  <c r="Y5" i="14"/>
  <c r="U5" i="14"/>
  <c r="U13" i="14" s="1"/>
  <c r="Q5" i="14"/>
  <c r="M5" i="14"/>
  <c r="I5" i="14"/>
  <c r="E5" i="14"/>
  <c r="AG29" i="13"/>
  <c r="AG8" i="13" s="1"/>
  <c r="AG17" i="13"/>
  <c r="AN16" i="13"/>
  <c r="AN15" i="13"/>
  <c r="AN14" i="13"/>
  <c r="AN13" i="13"/>
  <c r="AN12" i="13"/>
  <c r="AN11" i="13"/>
  <c r="AN10" i="13"/>
  <c r="AN9" i="13"/>
  <c r="AN17" i="16" l="1"/>
  <c r="AG9" i="16"/>
  <c r="AG18" i="16" s="1"/>
  <c r="T38" i="15"/>
  <c r="T13" i="15"/>
  <c r="D38" i="15"/>
  <c r="Y12" i="15"/>
  <c r="Y7" i="15"/>
  <c r="Y8" i="15"/>
  <c r="Y11" i="15"/>
  <c r="D13" i="15"/>
  <c r="Y9" i="15"/>
  <c r="Y10" i="15"/>
  <c r="H13" i="15"/>
  <c r="H16" i="15" s="1"/>
  <c r="H28" i="15" s="1"/>
  <c r="H30" i="15" s="1"/>
  <c r="H38" i="15" s="1"/>
  <c r="Y37" i="15"/>
  <c r="P38" i="15"/>
  <c r="Y6" i="15"/>
  <c r="AM13" i="14"/>
  <c r="M38" i="14"/>
  <c r="Q13" i="14"/>
  <c r="Q16" i="14" s="1"/>
  <c r="Q28" i="14" s="1"/>
  <c r="Q30" i="14" s="1"/>
  <c r="Q38" i="14" s="1"/>
  <c r="Z9" i="14"/>
  <c r="Z8" i="14"/>
  <c r="Z10" i="14"/>
  <c r="I13" i="14"/>
  <c r="I16" i="14" s="1"/>
  <c r="I28" i="14" s="1"/>
  <c r="I30" i="14" s="1"/>
  <c r="I38" i="14" s="1"/>
  <c r="Z37" i="14"/>
  <c r="Z7" i="14"/>
  <c r="Z6" i="14"/>
  <c r="E13" i="14"/>
  <c r="Z11" i="14"/>
  <c r="AF9" i="14" s="1"/>
  <c r="AG18" i="14" s="1"/>
  <c r="Y16" i="15"/>
  <c r="Y28" i="15" s="1"/>
  <c r="Y30" i="15" s="1"/>
  <c r="L13" i="15"/>
  <c r="Y5" i="15"/>
  <c r="M13" i="14"/>
  <c r="Z5" i="14"/>
  <c r="AN17" i="13"/>
  <c r="Y38" i="15" l="1"/>
  <c r="Y13" i="15"/>
  <c r="AE6" i="15" s="1"/>
  <c r="AE8" i="15" s="1"/>
  <c r="AF17" i="15" s="1"/>
  <c r="Z16" i="14"/>
  <c r="Z28" i="14" s="1"/>
  <c r="Z30" i="14" s="1"/>
  <c r="Z38" i="14" s="1"/>
  <c r="Z13" i="14"/>
  <c r="AG9" i="10"/>
  <c r="AG31" i="10" l="1"/>
  <c r="AG10" i="10" s="1"/>
  <c r="AG19" i="10"/>
  <c r="AN18" i="10"/>
  <c r="AN17" i="10"/>
  <c r="AN16" i="10"/>
  <c r="AN15" i="10"/>
  <c r="AN14" i="10"/>
  <c r="AN13" i="10"/>
  <c r="AN12" i="10"/>
  <c r="AN11" i="10"/>
  <c r="AN19" i="10" l="1"/>
  <c r="AG7" i="9"/>
  <c r="U16" i="9"/>
  <c r="AG29" i="9" l="1"/>
  <c r="AG8" i="9" s="1"/>
  <c r="AG9" i="9" s="1"/>
  <c r="AG17" i="9"/>
  <c r="AN16" i="9"/>
  <c r="AN15" i="9"/>
  <c r="AN14" i="9"/>
  <c r="AN13" i="9"/>
  <c r="AN12" i="9"/>
  <c r="AN11" i="9"/>
  <c r="AN10" i="9"/>
  <c r="AN9" i="9"/>
  <c r="AN17" i="9" l="1"/>
  <c r="AG18" i="9"/>
  <c r="AG28" i="8"/>
  <c r="AG7" i="8" s="1"/>
  <c r="AG8" i="8" s="1"/>
  <c r="AG16" i="8"/>
  <c r="AG6" i="8"/>
  <c r="AG17" i="8" l="1"/>
  <c r="E30" i="8"/>
  <c r="AM23" i="7" l="1"/>
  <c r="AG7" i="7"/>
  <c r="AG8" i="7"/>
  <c r="AG6" i="7"/>
  <c r="Z21" i="7"/>
  <c r="U37" i="13" l="1"/>
  <c r="Q37" i="13"/>
  <c r="M37" i="13"/>
  <c r="I37" i="13"/>
  <c r="E37" i="13"/>
  <c r="Z36" i="13"/>
  <c r="Z35" i="13"/>
  <c r="Z34" i="13"/>
  <c r="U28" i="13"/>
  <c r="U30" i="13" s="1"/>
  <c r="U38" i="13" s="1"/>
  <c r="M28" i="13"/>
  <c r="M30" i="13" s="1"/>
  <c r="E28" i="13"/>
  <c r="E30" i="13" s="1"/>
  <c r="E38" i="13" s="1"/>
  <c r="Z27" i="13"/>
  <c r="Z26" i="13"/>
  <c r="Z25" i="13"/>
  <c r="Z24" i="13"/>
  <c r="Z23" i="13"/>
  <c r="Z22" i="13"/>
  <c r="Z21" i="13"/>
  <c r="Z20" i="13"/>
  <c r="Z19" i="13"/>
  <c r="Z18" i="13"/>
  <c r="Z17" i="13"/>
  <c r="Z15" i="13"/>
  <c r="Y12" i="13"/>
  <c r="U12" i="13"/>
  <c r="Q12" i="13"/>
  <c r="M12" i="13"/>
  <c r="I12" i="13"/>
  <c r="E12" i="13"/>
  <c r="Y11" i="13"/>
  <c r="U11" i="13"/>
  <c r="Q11" i="13"/>
  <c r="M11" i="13"/>
  <c r="I11" i="13"/>
  <c r="E11" i="13"/>
  <c r="Y10" i="13"/>
  <c r="U10" i="13"/>
  <c r="Q10" i="13"/>
  <c r="M10" i="13"/>
  <c r="I10" i="13"/>
  <c r="E10" i="13"/>
  <c r="Y9" i="13"/>
  <c r="U9" i="13"/>
  <c r="Q9" i="13"/>
  <c r="M9" i="13"/>
  <c r="I9" i="13"/>
  <c r="E9" i="13"/>
  <c r="Y8" i="13"/>
  <c r="U8" i="13"/>
  <c r="Q8" i="13"/>
  <c r="M8" i="13"/>
  <c r="I8" i="13"/>
  <c r="E8" i="13"/>
  <c r="Y7" i="13"/>
  <c r="U7" i="13"/>
  <c r="U13" i="13" s="1"/>
  <c r="Q7" i="13"/>
  <c r="M7" i="13"/>
  <c r="I7" i="13"/>
  <c r="E7" i="13"/>
  <c r="Z7" i="13" s="1"/>
  <c r="Y6" i="13"/>
  <c r="U6" i="13"/>
  <c r="Q6" i="13"/>
  <c r="M6" i="13"/>
  <c r="I6" i="13"/>
  <c r="E6" i="13"/>
  <c r="Y5" i="13"/>
  <c r="U5" i="13"/>
  <c r="Q5" i="13"/>
  <c r="Q13" i="13" s="1"/>
  <c r="Q28" i="13" s="1"/>
  <c r="Q30" i="13" s="1"/>
  <c r="M5" i="13"/>
  <c r="I5" i="13"/>
  <c r="E5" i="13"/>
  <c r="U37" i="10"/>
  <c r="Q37" i="10"/>
  <c r="M37" i="10"/>
  <c r="I37" i="10"/>
  <c r="E37" i="10"/>
  <c r="Z36" i="10"/>
  <c r="Z35" i="10"/>
  <c r="Z34" i="10"/>
  <c r="E30" i="10"/>
  <c r="E38" i="10" s="1"/>
  <c r="U28" i="10"/>
  <c r="U30" i="10" s="1"/>
  <c r="M28" i="10"/>
  <c r="M30" i="10" s="1"/>
  <c r="M38" i="10" s="1"/>
  <c r="E28" i="10"/>
  <c r="Z27" i="10"/>
  <c r="Z26" i="10"/>
  <c r="Z25" i="10"/>
  <c r="Z24" i="10"/>
  <c r="Z23" i="10"/>
  <c r="Z22" i="10"/>
  <c r="Z21" i="10"/>
  <c r="Z20" i="10"/>
  <c r="Z19" i="10"/>
  <c r="Z18" i="10"/>
  <c r="Z17" i="10"/>
  <c r="Z15" i="10"/>
  <c r="AG11" i="10" s="1"/>
  <c r="AG20" i="10" s="1"/>
  <c r="Y12" i="10"/>
  <c r="U12" i="10"/>
  <c r="Q12" i="10"/>
  <c r="M12" i="10"/>
  <c r="I12" i="10"/>
  <c r="Z12" i="10" s="1"/>
  <c r="E12" i="10"/>
  <c r="Y11" i="10"/>
  <c r="U11" i="10"/>
  <c r="Q11" i="10"/>
  <c r="M11" i="10"/>
  <c r="I11" i="10"/>
  <c r="E11" i="10"/>
  <c r="Y10" i="10"/>
  <c r="U10" i="10"/>
  <c r="Q10" i="10"/>
  <c r="M10" i="10"/>
  <c r="I10" i="10"/>
  <c r="E10" i="10"/>
  <c r="Y9" i="10"/>
  <c r="U9" i="10"/>
  <c r="Q9" i="10"/>
  <c r="M9" i="10"/>
  <c r="I9" i="10"/>
  <c r="E9" i="10"/>
  <c r="Y8" i="10"/>
  <c r="U8" i="10"/>
  <c r="Q8" i="10"/>
  <c r="M8" i="10"/>
  <c r="I8" i="10"/>
  <c r="E8" i="10"/>
  <c r="Y7" i="10"/>
  <c r="U7" i="10"/>
  <c r="Q7" i="10"/>
  <c r="M7" i="10"/>
  <c r="I7" i="10"/>
  <c r="E7" i="10"/>
  <c r="Y6" i="10"/>
  <c r="U6" i="10"/>
  <c r="Q6" i="10"/>
  <c r="M6" i="10"/>
  <c r="I6" i="10"/>
  <c r="E6" i="10"/>
  <c r="Y5" i="10"/>
  <c r="U5" i="10"/>
  <c r="Q5" i="10"/>
  <c r="Q13" i="10" s="1"/>
  <c r="Q16" i="10" s="1"/>
  <c r="Q28" i="10" s="1"/>
  <c r="Q30" i="10" s="1"/>
  <c r="Q38" i="10" s="1"/>
  <c r="M5" i="10"/>
  <c r="I5" i="10"/>
  <c r="E5" i="10"/>
  <c r="E13" i="10" s="1"/>
  <c r="U37" i="9"/>
  <c r="Q37" i="9"/>
  <c r="M37" i="9"/>
  <c r="I37" i="9"/>
  <c r="E37" i="9"/>
  <c r="Z36" i="9"/>
  <c r="Z37" i="9" s="1"/>
  <c r="Z35" i="9"/>
  <c r="Z34" i="9"/>
  <c r="U28" i="9"/>
  <c r="U30" i="9" s="1"/>
  <c r="U38" i="9" s="1"/>
  <c r="M28" i="9"/>
  <c r="M30" i="9" s="1"/>
  <c r="M38" i="9" s="1"/>
  <c r="E28" i="9"/>
  <c r="E30" i="9" s="1"/>
  <c r="E38" i="9" s="1"/>
  <c r="Z27" i="9"/>
  <c r="Z26" i="9"/>
  <c r="Z25" i="9"/>
  <c r="Z24" i="9"/>
  <c r="Z23" i="9"/>
  <c r="Z22" i="9"/>
  <c r="Z21" i="9"/>
  <c r="Z20" i="9"/>
  <c r="Z19" i="9"/>
  <c r="Z18" i="9"/>
  <c r="Z17" i="9"/>
  <c r="Z15" i="9"/>
  <c r="Y12" i="9"/>
  <c r="U12" i="9"/>
  <c r="Q12" i="9"/>
  <c r="M12" i="9"/>
  <c r="I12" i="9"/>
  <c r="E12" i="9"/>
  <c r="Y11" i="9"/>
  <c r="U11" i="9"/>
  <c r="Q11" i="9"/>
  <c r="M11" i="9"/>
  <c r="I11" i="9"/>
  <c r="E11" i="9"/>
  <c r="Y10" i="9"/>
  <c r="U10" i="9"/>
  <c r="Q10" i="9"/>
  <c r="M10" i="9"/>
  <c r="I10" i="9"/>
  <c r="E10" i="9"/>
  <c r="Y9" i="9"/>
  <c r="U9" i="9"/>
  <c r="Q9" i="9"/>
  <c r="M9" i="9"/>
  <c r="I9" i="9"/>
  <c r="E9" i="9"/>
  <c r="Y8" i="9"/>
  <c r="U8" i="9"/>
  <c r="Q8" i="9"/>
  <c r="M8" i="9"/>
  <c r="I8" i="9"/>
  <c r="E8" i="9"/>
  <c r="Y7" i="9"/>
  <c r="U7" i="9"/>
  <c r="Q7" i="9"/>
  <c r="M7" i="9"/>
  <c r="I7" i="9"/>
  <c r="E7" i="9"/>
  <c r="Y6" i="9"/>
  <c r="U6" i="9"/>
  <c r="Q6" i="9"/>
  <c r="M6" i="9"/>
  <c r="I6" i="9"/>
  <c r="E6" i="9"/>
  <c r="Y5" i="9"/>
  <c r="U5" i="9"/>
  <c r="Q5" i="9"/>
  <c r="M5" i="9"/>
  <c r="I5" i="9"/>
  <c r="E5" i="9"/>
  <c r="U37" i="8"/>
  <c r="Q37" i="8"/>
  <c r="M37" i="8"/>
  <c r="I37" i="8"/>
  <c r="E37" i="8"/>
  <c r="Z36" i="8"/>
  <c r="Z35" i="8"/>
  <c r="Z34" i="8"/>
  <c r="U28" i="8"/>
  <c r="U30" i="8" s="1"/>
  <c r="M28" i="8"/>
  <c r="M30" i="8" s="1"/>
  <c r="E28" i="8"/>
  <c r="Z27" i="8"/>
  <c r="Z26" i="8"/>
  <c r="Z25" i="8"/>
  <c r="Z24" i="8"/>
  <c r="Z23" i="8"/>
  <c r="Z22" i="8"/>
  <c r="Z21" i="8"/>
  <c r="Z20" i="8"/>
  <c r="Z19" i="8"/>
  <c r="Z18" i="8"/>
  <c r="Z17" i="8"/>
  <c r="AN15" i="8"/>
  <c r="Z15" i="8"/>
  <c r="AN14" i="8"/>
  <c r="AN13" i="8"/>
  <c r="AN12" i="8"/>
  <c r="Y12" i="8"/>
  <c r="U12" i="8"/>
  <c r="Q12" i="8"/>
  <c r="M12" i="8"/>
  <c r="I12" i="8"/>
  <c r="E12" i="8"/>
  <c r="AN11" i="8"/>
  <c r="Y11" i="8"/>
  <c r="U11" i="8"/>
  <c r="Q11" i="8"/>
  <c r="M11" i="8"/>
  <c r="I11" i="8"/>
  <c r="E11" i="8"/>
  <c r="AN10" i="8"/>
  <c r="Y10" i="8"/>
  <c r="U10" i="8"/>
  <c r="Q10" i="8"/>
  <c r="M10" i="8"/>
  <c r="I10" i="8"/>
  <c r="E10" i="8"/>
  <c r="AN9" i="8"/>
  <c r="Y9" i="8"/>
  <c r="U9" i="8"/>
  <c r="Q9" i="8"/>
  <c r="M9" i="8"/>
  <c r="I9" i="8"/>
  <c r="E9" i="8"/>
  <c r="AN8" i="8"/>
  <c r="Y8" i="8"/>
  <c r="U8" i="8"/>
  <c r="Q8" i="8"/>
  <c r="M8" i="8"/>
  <c r="Z8" i="8" s="1"/>
  <c r="I8" i="8"/>
  <c r="E8" i="8"/>
  <c r="Y7" i="8"/>
  <c r="U7" i="8"/>
  <c r="Q7" i="8"/>
  <c r="M7" i="8"/>
  <c r="I7" i="8"/>
  <c r="I13" i="8" s="1"/>
  <c r="I16" i="8" s="1"/>
  <c r="E7" i="8"/>
  <c r="Y6" i="8"/>
  <c r="U6" i="8"/>
  <c r="Q6" i="8"/>
  <c r="M6" i="8"/>
  <c r="I6" i="8"/>
  <c r="E6" i="8"/>
  <c r="Y5" i="8"/>
  <c r="U5" i="8"/>
  <c r="Q5" i="8"/>
  <c r="M5" i="8"/>
  <c r="I5" i="8"/>
  <c r="E5" i="8"/>
  <c r="AG28" i="7"/>
  <c r="M38" i="13" l="1"/>
  <c r="I13" i="13"/>
  <c r="I16" i="13" s="1"/>
  <c r="I28" i="13" s="1"/>
  <c r="I30" i="13" s="1"/>
  <c r="I38" i="13" s="1"/>
  <c r="Z8" i="13"/>
  <c r="Z12" i="13"/>
  <c r="M13" i="13"/>
  <c r="Q38" i="13"/>
  <c r="Z10" i="13"/>
  <c r="Z6" i="13"/>
  <c r="Z37" i="13"/>
  <c r="Z11" i="13"/>
  <c r="AG9" i="13" s="1"/>
  <c r="AG18" i="13" s="1"/>
  <c r="Z9" i="13"/>
  <c r="U38" i="10"/>
  <c r="Z37" i="10"/>
  <c r="U13" i="10"/>
  <c r="Z6" i="10"/>
  <c r="Z10" i="10"/>
  <c r="M13" i="10"/>
  <c r="Z8" i="10"/>
  <c r="Z11" i="10"/>
  <c r="Z9" i="10"/>
  <c r="Z7" i="10"/>
  <c r="Z6" i="9"/>
  <c r="Z7" i="9"/>
  <c r="U13" i="9"/>
  <c r="M13" i="9"/>
  <c r="Z11" i="9"/>
  <c r="Z9" i="9"/>
  <c r="E13" i="9"/>
  <c r="Z8" i="9"/>
  <c r="Z12" i="9"/>
  <c r="Z10" i="9"/>
  <c r="Q13" i="9"/>
  <c r="Q16" i="9" s="1"/>
  <c r="Q28" i="9" s="1"/>
  <c r="Q30" i="9" s="1"/>
  <c r="Q38" i="9" s="1"/>
  <c r="AN16" i="8"/>
  <c r="M38" i="8"/>
  <c r="M13" i="8"/>
  <c r="U38" i="8"/>
  <c r="U13" i="8"/>
  <c r="E38" i="8"/>
  <c r="Z37" i="8"/>
  <c r="Z12" i="8"/>
  <c r="Z11" i="8"/>
  <c r="E13" i="8"/>
  <c r="Z10" i="8"/>
  <c r="Z9" i="8"/>
  <c r="Z6" i="8"/>
  <c r="Q13" i="8"/>
  <c r="Q16" i="8" s="1"/>
  <c r="Q28" i="8" s="1"/>
  <c r="Q30" i="8" s="1"/>
  <c r="Q38" i="8" s="1"/>
  <c r="Z5" i="13"/>
  <c r="E13" i="13"/>
  <c r="Z5" i="10"/>
  <c r="I13" i="10"/>
  <c r="I16" i="10" s="1"/>
  <c r="I13" i="9"/>
  <c r="I16" i="9" s="1"/>
  <c r="Z5" i="9"/>
  <c r="I28" i="8"/>
  <c r="I30" i="8" s="1"/>
  <c r="I38" i="8" s="1"/>
  <c r="Z7" i="8"/>
  <c r="Z5" i="8"/>
  <c r="Z16" i="13" l="1"/>
  <c r="Z28" i="13" s="1"/>
  <c r="Z30" i="13" s="1"/>
  <c r="Z38" i="13" s="1"/>
  <c r="Z13" i="13"/>
  <c r="Z13" i="10"/>
  <c r="Z13" i="9"/>
  <c r="Z13" i="8"/>
  <c r="Z16" i="8"/>
  <c r="Z28" i="8" s="1"/>
  <c r="Z30" i="8" s="1"/>
  <c r="Z38" i="8" s="1"/>
  <c r="I28" i="10"/>
  <c r="I30" i="10" s="1"/>
  <c r="I38" i="10" s="1"/>
  <c r="Z16" i="10"/>
  <c r="Z28" i="10" s="1"/>
  <c r="Z30" i="10" s="1"/>
  <c r="Z38" i="10" s="1"/>
  <c r="Z16" i="9"/>
  <c r="Z28" i="9" s="1"/>
  <c r="Z30" i="9" s="1"/>
  <c r="Z38" i="9" s="1"/>
  <c r="I28" i="9"/>
  <c r="I30" i="9" s="1"/>
  <c r="I38" i="9" s="1"/>
  <c r="AL9" i="6"/>
  <c r="AL20" i="6"/>
  <c r="AL19" i="6"/>
  <c r="AF8" i="6"/>
  <c r="AG11" i="5" l="1"/>
  <c r="AG28" i="6" l="1"/>
  <c r="AJ29" i="12" l="1"/>
  <c r="U16" i="12"/>
  <c r="U28" i="12" s="1"/>
  <c r="U30" i="12" s="1"/>
  <c r="AG27" i="12"/>
  <c r="AG7" i="12" s="1"/>
  <c r="AG8" i="12" s="1"/>
  <c r="AG16" i="12"/>
  <c r="AG6" i="12"/>
  <c r="E38" i="12"/>
  <c r="U37" i="12"/>
  <c r="Q37" i="12"/>
  <c r="M37" i="12"/>
  <c r="I37" i="12"/>
  <c r="E37" i="12"/>
  <c r="Z36" i="12"/>
  <c r="Z35" i="12"/>
  <c r="Z34" i="12"/>
  <c r="Z37" i="12" s="1"/>
  <c r="E30" i="12"/>
  <c r="M28" i="12"/>
  <c r="M30" i="12" s="1"/>
  <c r="M38" i="12" s="1"/>
  <c r="E28" i="12"/>
  <c r="Z27" i="12"/>
  <c r="Z26" i="12"/>
  <c r="Z25" i="12"/>
  <c r="Z24" i="12"/>
  <c r="Z23" i="12"/>
  <c r="Z22" i="12"/>
  <c r="Z21" i="12"/>
  <c r="Z20" i="12"/>
  <c r="Z19" i="12"/>
  <c r="Z18" i="12"/>
  <c r="Z17" i="12"/>
  <c r="AM15" i="12"/>
  <c r="Z15" i="12"/>
  <c r="AM14" i="12"/>
  <c r="AM13" i="12"/>
  <c r="AM12" i="12"/>
  <c r="Y12" i="12"/>
  <c r="U12" i="12"/>
  <c r="Q12" i="12"/>
  <c r="M12" i="12"/>
  <c r="I12" i="12"/>
  <c r="Z12" i="12" s="1"/>
  <c r="E12" i="12"/>
  <c r="AM11" i="12"/>
  <c r="Y11" i="12"/>
  <c r="U11" i="12"/>
  <c r="Q11" i="12"/>
  <c r="M11" i="12"/>
  <c r="I11" i="12"/>
  <c r="Z11" i="12" s="1"/>
  <c r="E11" i="12"/>
  <c r="AM10" i="12"/>
  <c r="Y10" i="12"/>
  <c r="U10" i="12"/>
  <c r="Q10" i="12"/>
  <c r="M10" i="12"/>
  <c r="I10" i="12"/>
  <c r="Z10" i="12" s="1"/>
  <c r="E10" i="12"/>
  <c r="AM9" i="12"/>
  <c r="Y9" i="12"/>
  <c r="U9" i="12"/>
  <c r="Q9" i="12"/>
  <c r="M9" i="12"/>
  <c r="I9" i="12"/>
  <c r="Z9" i="12" s="1"/>
  <c r="E9" i="12"/>
  <c r="AM8" i="12"/>
  <c r="AM16" i="12" s="1"/>
  <c r="Y8" i="12"/>
  <c r="U8" i="12"/>
  <c r="Q8" i="12"/>
  <c r="M8" i="12"/>
  <c r="I8" i="12"/>
  <c r="Z8" i="12" s="1"/>
  <c r="E8" i="12"/>
  <c r="Y7" i="12"/>
  <c r="U7" i="12"/>
  <c r="Q7" i="12"/>
  <c r="M7" i="12"/>
  <c r="I7" i="12"/>
  <c r="E7" i="12"/>
  <c r="Z7" i="12" s="1"/>
  <c r="Y6" i="12"/>
  <c r="U6" i="12"/>
  <c r="Q6" i="12"/>
  <c r="M6" i="12"/>
  <c r="I6" i="12"/>
  <c r="E6" i="12"/>
  <c r="Z6" i="12" s="1"/>
  <c r="Y5" i="12"/>
  <c r="U5" i="12"/>
  <c r="U13" i="12" s="1"/>
  <c r="Q5" i="12"/>
  <c r="Q13" i="12" s="1"/>
  <c r="Q16" i="12" s="1"/>
  <c r="Q28" i="12" s="1"/>
  <c r="Q30" i="12" s="1"/>
  <c r="Q38" i="12" s="1"/>
  <c r="M5" i="12"/>
  <c r="M13" i="12" s="1"/>
  <c r="I5" i="12"/>
  <c r="E5" i="12"/>
  <c r="E13" i="12" s="1"/>
  <c r="AE27" i="3"/>
  <c r="AG16" i="5"/>
  <c r="AG27" i="5"/>
  <c r="AG7" i="5" s="1"/>
  <c r="AG8" i="5" s="1"/>
  <c r="AG6" i="5"/>
  <c r="G4" i="11"/>
  <c r="D5" i="11" s="1"/>
  <c r="G5" i="11" s="1"/>
  <c r="D6" i="11" l="1"/>
  <c r="G6" i="11" s="1"/>
  <c r="D7" i="11" s="1"/>
  <c r="G7" i="11" s="1"/>
  <c r="AG17" i="5"/>
  <c r="U38" i="12"/>
  <c r="AG17" i="12"/>
  <c r="Z5" i="12"/>
  <c r="Z13" i="12" s="1"/>
  <c r="I13" i="12"/>
  <c r="I16" i="12" s="1"/>
  <c r="I28" i="12" l="1"/>
  <c r="I30" i="12" s="1"/>
  <c r="I38" i="12" s="1"/>
  <c r="Z16" i="12"/>
  <c r="Z28" i="12" s="1"/>
  <c r="Z30" i="12" s="1"/>
  <c r="Z38" i="12" s="1"/>
  <c r="D8" i="11"/>
  <c r="G8" i="11" s="1"/>
  <c r="D9" i="11" l="1"/>
  <c r="G9" i="11" s="1"/>
  <c r="D10" i="11" s="1"/>
  <c r="G10" i="11" s="1"/>
  <c r="D11" i="11" s="1"/>
  <c r="G11" i="11" s="1"/>
  <c r="D12" i="11" s="1"/>
  <c r="G12" i="11" s="1"/>
  <c r="D13" i="11" s="1"/>
  <c r="G13" i="11" s="1"/>
  <c r="D14" i="11" s="1"/>
  <c r="G14" i="11" s="1"/>
  <c r="D15" i="11" s="1"/>
  <c r="G15" i="11" s="1"/>
  <c r="D16" i="11" s="1"/>
  <c r="G16" i="11" s="1"/>
  <c r="AM9" i="4" l="1"/>
  <c r="M37" i="4"/>
  <c r="AN15" i="7" l="1"/>
  <c r="AN14" i="7"/>
  <c r="AN13" i="7"/>
  <c r="AG16" i="7"/>
  <c r="AN12" i="7"/>
  <c r="AN11" i="7"/>
  <c r="AN10" i="7"/>
  <c r="AN9" i="7"/>
  <c r="AN8" i="7"/>
  <c r="AM15" i="6"/>
  <c r="AM14" i="6"/>
  <c r="AM13" i="6"/>
  <c r="AF17" i="6"/>
  <c r="AM12" i="6"/>
  <c r="AM11" i="6"/>
  <c r="AM10" i="6"/>
  <c r="AM9" i="6"/>
  <c r="AM8" i="6"/>
  <c r="AN13" i="5"/>
  <c r="AN12" i="5"/>
  <c r="AN11" i="5"/>
  <c r="AN10" i="5"/>
  <c r="AN9" i="5"/>
  <c r="AN8" i="5"/>
  <c r="AN7" i="5"/>
  <c r="AN6" i="5"/>
  <c r="AF16" i="4"/>
  <c r="AF17" i="4" s="1"/>
  <c r="AM15" i="4"/>
  <c r="AM14" i="4"/>
  <c r="AM13" i="4"/>
  <c r="AM12" i="4"/>
  <c r="AM11" i="4"/>
  <c r="AM10" i="4"/>
  <c r="AM8" i="4"/>
  <c r="U37" i="7"/>
  <c r="Q37" i="7"/>
  <c r="M37" i="7"/>
  <c r="I37" i="7"/>
  <c r="E37" i="7"/>
  <c r="Z36" i="7"/>
  <c r="Z35" i="7"/>
  <c r="Z34" i="7"/>
  <c r="U28" i="7"/>
  <c r="U30" i="7" s="1"/>
  <c r="M28" i="7"/>
  <c r="M30" i="7" s="1"/>
  <c r="E28" i="7"/>
  <c r="E30" i="7" s="1"/>
  <c r="Z27" i="7"/>
  <c r="Z26" i="7"/>
  <c r="Z25" i="7"/>
  <c r="Z24" i="7"/>
  <c r="Z23" i="7"/>
  <c r="Z22" i="7"/>
  <c r="Z20" i="7"/>
  <c r="Z19" i="7"/>
  <c r="Z18" i="7"/>
  <c r="Z17" i="7"/>
  <c r="Z15" i="7"/>
  <c r="Y12" i="7"/>
  <c r="U12" i="7"/>
  <c r="Q12" i="7"/>
  <c r="M12" i="7"/>
  <c r="I12" i="7"/>
  <c r="E12" i="7"/>
  <c r="Y11" i="7"/>
  <c r="U11" i="7"/>
  <c r="Q11" i="7"/>
  <c r="M11" i="7"/>
  <c r="I11" i="7"/>
  <c r="E11" i="7"/>
  <c r="Y10" i="7"/>
  <c r="U10" i="7"/>
  <c r="Q10" i="7"/>
  <c r="M10" i="7"/>
  <c r="I10" i="7"/>
  <c r="E10" i="7"/>
  <c r="Y9" i="7"/>
  <c r="U9" i="7"/>
  <c r="Q9" i="7"/>
  <c r="M9" i="7"/>
  <c r="I9" i="7"/>
  <c r="E9" i="7"/>
  <c r="Y8" i="7"/>
  <c r="U8" i="7"/>
  <c r="Q8" i="7"/>
  <c r="M8" i="7"/>
  <c r="I8" i="7"/>
  <c r="E8" i="7"/>
  <c r="Y7" i="7"/>
  <c r="U7" i="7"/>
  <c r="Q7" i="7"/>
  <c r="M7" i="7"/>
  <c r="I7" i="7"/>
  <c r="E7" i="7"/>
  <c r="Y6" i="7"/>
  <c r="U6" i="7"/>
  <c r="Q6" i="7"/>
  <c r="M6" i="7"/>
  <c r="I6" i="7"/>
  <c r="E6" i="7"/>
  <c r="Y5" i="7"/>
  <c r="U5" i="7"/>
  <c r="Q5" i="7"/>
  <c r="M5" i="7"/>
  <c r="I5" i="7"/>
  <c r="E5" i="7"/>
  <c r="U37" i="6"/>
  <c r="Q37" i="6"/>
  <c r="M37" i="6"/>
  <c r="I37" i="6"/>
  <c r="E37" i="6"/>
  <c r="Z36" i="6"/>
  <c r="Z35" i="6"/>
  <c r="Z34" i="6"/>
  <c r="M30" i="6"/>
  <c r="M38" i="6" s="1"/>
  <c r="U28" i="6"/>
  <c r="U30" i="6" s="1"/>
  <c r="U38" i="6" s="1"/>
  <c r="M28" i="6"/>
  <c r="E28" i="6"/>
  <c r="E30" i="6" s="1"/>
  <c r="Z27" i="6"/>
  <c r="Z26" i="6"/>
  <c r="Z25" i="6"/>
  <c r="Z24" i="6"/>
  <c r="Z23" i="6"/>
  <c r="Z22" i="6"/>
  <c r="Z21" i="6"/>
  <c r="Z20" i="6"/>
  <c r="Z19" i="6"/>
  <c r="Z18" i="6"/>
  <c r="Z17" i="6"/>
  <c r="Z15" i="6"/>
  <c r="Y12" i="6"/>
  <c r="U12" i="6"/>
  <c r="Q12" i="6"/>
  <c r="M12" i="6"/>
  <c r="I12" i="6"/>
  <c r="E12" i="6"/>
  <c r="Y11" i="6"/>
  <c r="U11" i="6"/>
  <c r="Q11" i="6"/>
  <c r="M11" i="6"/>
  <c r="I11" i="6"/>
  <c r="E11" i="6"/>
  <c r="Y10" i="6"/>
  <c r="U10" i="6"/>
  <c r="Q10" i="6"/>
  <c r="M10" i="6"/>
  <c r="I10" i="6"/>
  <c r="E10" i="6"/>
  <c r="Y9" i="6"/>
  <c r="U9" i="6"/>
  <c r="Q9" i="6"/>
  <c r="M9" i="6"/>
  <c r="I9" i="6"/>
  <c r="E9" i="6"/>
  <c r="Y8" i="6"/>
  <c r="U8" i="6"/>
  <c r="Q8" i="6"/>
  <c r="M8" i="6"/>
  <c r="I8" i="6"/>
  <c r="E8" i="6"/>
  <c r="Y7" i="6"/>
  <c r="U7" i="6"/>
  <c r="Q7" i="6"/>
  <c r="M7" i="6"/>
  <c r="I7" i="6"/>
  <c r="E7" i="6"/>
  <c r="Y6" i="6"/>
  <c r="U6" i="6"/>
  <c r="Q6" i="6"/>
  <c r="M6" i="6"/>
  <c r="I6" i="6"/>
  <c r="E6" i="6"/>
  <c r="Y5" i="6"/>
  <c r="U5" i="6"/>
  <c r="Q5" i="6"/>
  <c r="M5" i="6"/>
  <c r="I5" i="6"/>
  <c r="E5" i="6"/>
  <c r="Z5" i="6" s="1"/>
  <c r="U13" i="7" l="1"/>
  <c r="U38" i="7"/>
  <c r="M38" i="7"/>
  <c r="I13" i="7"/>
  <c r="I16" i="7" s="1"/>
  <c r="I28" i="7" s="1"/>
  <c r="I30" i="7" s="1"/>
  <c r="I38" i="7" s="1"/>
  <c r="Z12" i="7"/>
  <c r="M13" i="7"/>
  <c r="Z11" i="7"/>
  <c r="Z9" i="7"/>
  <c r="Z8" i="7"/>
  <c r="Z7" i="7"/>
  <c r="Q13" i="7"/>
  <c r="Q16" i="7" s="1"/>
  <c r="Q28" i="7" s="1"/>
  <c r="Q30" i="7" s="1"/>
  <c r="Q38" i="7" s="1"/>
  <c r="E38" i="7"/>
  <c r="Z37" i="7"/>
  <c r="Z10" i="7"/>
  <c r="E13" i="7"/>
  <c r="Z6" i="7"/>
  <c r="AN16" i="7"/>
  <c r="M13" i="6"/>
  <c r="U13" i="6"/>
  <c r="Z8" i="6"/>
  <c r="I13" i="6"/>
  <c r="I16" i="6" s="1"/>
  <c r="I28" i="6" s="1"/>
  <c r="I30" i="6" s="1"/>
  <c r="I38" i="6" s="1"/>
  <c r="Z12" i="6"/>
  <c r="Z9" i="6"/>
  <c r="Q13" i="6"/>
  <c r="Q16" i="6" s="1"/>
  <c r="Q28" i="6" s="1"/>
  <c r="Q30" i="6" s="1"/>
  <c r="Q38" i="6" s="1"/>
  <c r="E38" i="6"/>
  <c r="Z37" i="6"/>
  <c r="Z11" i="6"/>
  <c r="Z10" i="6"/>
  <c r="Z7" i="6"/>
  <c r="Z6" i="6"/>
  <c r="AM16" i="6"/>
  <c r="AN14" i="5"/>
  <c r="AM16" i="4"/>
  <c r="AH16" i="7"/>
  <c r="AF18" i="6"/>
  <c r="AG17" i="6"/>
  <c r="AG16" i="4"/>
  <c r="Z5" i="7"/>
  <c r="E13" i="6"/>
  <c r="AE16" i="3"/>
  <c r="AE17" i="3" s="1"/>
  <c r="AE18" i="3" s="1"/>
  <c r="AE14" i="3"/>
  <c r="AQ15" i="3"/>
  <c r="AQ14" i="3"/>
  <c r="AQ13" i="3"/>
  <c r="AQ12" i="3"/>
  <c r="AQ11" i="3"/>
  <c r="AQ10" i="3"/>
  <c r="AQ9" i="3"/>
  <c r="AQ8" i="3"/>
  <c r="Z16" i="7" l="1"/>
  <c r="Z28" i="7" s="1"/>
  <c r="Z30" i="7" s="1"/>
  <c r="Z38" i="7" s="1"/>
  <c r="Z13" i="7"/>
  <c r="AG17" i="7" s="1"/>
  <c r="Z16" i="6"/>
  <c r="Z28" i="6" s="1"/>
  <c r="Z30" i="6" s="1"/>
  <c r="Z38" i="6" s="1"/>
  <c r="Z13" i="6"/>
  <c r="AN15" i="5"/>
  <c r="AF17" i="3"/>
  <c r="AQ16" i="3"/>
  <c r="AK12" i="2"/>
  <c r="AK11" i="2"/>
  <c r="AK10" i="2"/>
  <c r="AK9" i="2"/>
  <c r="AK8" i="2"/>
  <c r="AK7" i="2"/>
  <c r="AK6" i="2"/>
  <c r="AK5" i="2"/>
  <c r="U36" i="2"/>
  <c r="AD13" i="2"/>
  <c r="AE14" i="1"/>
  <c r="AE13" i="1"/>
  <c r="AE5" i="1"/>
  <c r="AK13" i="2" l="1"/>
  <c r="U37" i="5"/>
  <c r="Q37" i="5"/>
  <c r="M37" i="5"/>
  <c r="I37" i="5"/>
  <c r="E37" i="5"/>
  <c r="Z36" i="5"/>
  <c r="Z35" i="5"/>
  <c r="Z34" i="5"/>
  <c r="U30" i="5"/>
  <c r="U38" i="5" s="1"/>
  <c r="E30" i="5"/>
  <c r="E38" i="5" s="1"/>
  <c r="U28" i="5"/>
  <c r="M28" i="5"/>
  <c r="M30" i="5" s="1"/>
  <c r="E28" i="5"/>
  <c r="Z27" i="5"/>
  <c r="Z26" i="5"/>
  <c r="Z25" i="5"/>
  <c r="Z24" i="5"/>
  <c r="Z23" i="5"/>
  <c r="Z22" i="5"/>
  <c r="Z21" i="5"/>
  <c r="Z20" i="5"/>
  <c r="Z19" i="5"/>
  <c r="Z18" i="5"/>
  <c r="Z17" i="5"/>
  <c r="Z15" i="5"/>
  <c r="Y12" i="5"/>
  <c r="U12" i="5"/>
  <c r="Q12" i="5"/>
  <c r="M12" i="5"/>
  <c r="I12" i="5"/>
  <c r="E12" i="5"/>
  <c r="Y11" i="5"/>
  <c r="U11" i="5"/>
  <c r="Q11" i="5"/>
  <c r="M11" i="5"/>
  <c r="I11" i="5"/>
  <c r="E11" i="5"/>
  <c r="Y10" i="5"/>
  <c r="U10" i="5"/>
  <c r="Q10" i="5"/>
  <c r="M10" i="5"/>
  <c r="I10" i="5"/>
  <c r="E10" i="5"/>
  <c r="Z10" i="5" s="1"/>
  <c r="Y9" i="5"/>
  <c r="U9" i="5"/>
  <c r="Q9" i="5"/>
  <c r="M9" i="5"/>
  <c r="I9" i="5"/>
  <c r="E9" i="5"/>
  <c r="Y8" i="5"/>
  <c r="U8" i="5"/>
  <c r="Q8" i="5"/>
  <c r="M8" i="5"/>
  <c r="I8" i="5"/>
  <c r="E8" i="5"/>
  <c r="Y7" i="5"/>
  <c r="U7" i="5"/>
  <c r="Q7" i="5"/>
  <c r="M7" i="5"/>
  <c r="Z7" i="5" s="1"/>
  <c r="I7" i="5"/>
  <c r="E7" i="5"/>
  <c r="Y6" i="5"/>
  <c r="U6" i="5"/>
  <c r="Q6" i="5"/>
  <c r="M6" i="5"/>
  <c r="I6" i="5"/>
  <c r="E6" i="5"/>
  <c r="Z6" i="5" s="1"/>
  <c r="Y5" i="5"/>
  <c r="U5" i="5"/>
  <c r="U13" i="5" s="1"/>
  <c r="Q5" i="5"/>
  <c r="Q13" i="5" s="1"/>
  <c r="Q16" i="5" s="1"/>
  <c r="Q28" i="5" s="1"/>
  <c r="Q30" i="5" s="1"/>
  <c r="Q38" i="5" s="1"/>
  <c r="M5" i="5"/>
  <c r="I5" i="5"/>
  <c r="E5" i="5"/>
  <c r="Z5" i="5" s="1"/>
  <c r="U37" i="4"/>
  <c r="Q37" i="4"/>
  <c r="I37" i="4"/>
  <c r="E37" i="4"/>
  <c r="Z36" i="4"/>
  <c r="Z35" i="4"/>
  <c r="Z34" i="4"/>
  <c r="U28" i="4"/>
  <c r="U30" i="4" s="1"/>
  <c r="M28" i="4"/>
  <c r="M30" i="4" s="1"/>
  <c r="M38" i="4" s="1"/>
  <c r="E28" i="4"/>
  <c r="E30" i="4" s="1"/>
  <c r="E38" i="4" s="1"/>
  <c r="Z27" i="4"/>
  <c r="Z26" i="4"/>
  <c r="Z25" i="4"/>
  <c r="Z24" i="4"/>
  <c r="Z23" i="4"/>
  <c r="Z22" i="4"/>
  <c r="Z21" i="4"/>
  <c r="Z20" i="4"/>
  <c r="Z19" i="4"/>
  <c r="Z18" i="4"/>
  <c r="Z17" i="4"/>
  <c r="Z15" i="4"/>
  <c r="Y12" i="4"/>
  <c r="U12" i="4"/>
  <c r="Q12" i="4"/>
  <c r="M12" i="4"/>
  <c r="I12" i="4"/>
  <c r="E12" i="4"/>
  <c r="Y11" i="4"/>
  <c r="U11" i="4"/>
  <c r="Q11" i="4"/>
  <c r="M11" i="4"/>
  <c r="I11" i="4"/>
  <c r="E11" i="4"/>
  <c r="Y10" i="4"/>
  <c r="U10" i="4"/>
  <c r="Q10" i="4"/>
  <c r="M10" i="4"/>
  <c r="I10" i="4"/>
  <c r="E10" i="4"/>
  <c r="Y9" i="4"/>
  <c r="U9" i="4"/>
  <c r="Q9" i="4"/>
  <c r="M9" i="4"/>
  <c r="I9" i="4"/>
  <c r="E9" i="4"/>
  <c r="Y8" i="4"/>
  <c r="U8" i="4"/>
  <c r="Q8" i="4"/>
  <c r="M8" i="4"/>
  <c r="I8" i="4"/>
  <c r="E8" i="4"/>
  <c r="Y7" i="4"/>
  <c r="U7" i="4"/>
  <c r="Q7" i="4"/>
  <c r="M7" i="4"/>
  <c r="I7" i="4"/>
  <c r="E7" i="4"/>
  <c r="Y6" i="4"/>
  <c r="U6" i="4"/>
  <c r="Q6" i="4"/>
  <c r="M6" i="4"/>
  <c r="I6" i="4"/>
  <c r="E6" i="4"/>
  <c r="Y5" i="4"/>
  <c r="U5" i="4"/>
  <c r="Q5" i="4"/>
  <c r="M5" i="4"/>
  <c r="I5" i="4"/>
  <c r="E5" i="4"/>
  <c r="Z5" i="4" s="1"/>
  <c r="U37" i="3"/>
  <c r="Q37" i="3"/>
  <c r="M37" i="3"/>
  <c r="I37" i="3"/>
  <c r="E37" i="3"/>
  <c r="Z36" i="3"/>
  <c r="Z35" i="3"/>
  <c r="Z34" i="3"/>
  <c r="E30" i="3"/>
  <c r="E38" i="3" s="1"/>
  <c r="U28" i="3"/>
  <c r="U30" i="3" s="1"/>
  <c r="U38" i="3" s="1"/>
  <c r="M28" i="3"/>
  <c r="M30" i="3" s="1"/>
  <c r="M38" i="3" s="1"/>
  <c r="E28" i="3"/>
  <c r="Z27" i="3"/>
  <c r="Z26" i="3"/>
  <c r="Z25" i="3"/>
  <c r="Z24" i="3"/>
  <c r="Z23" i="3"/>
  <c r="Z22" i="3"/>
  <c r="Z21" i="3"/>
  <c r="Z20" i="3"/>
  <c r="Z19" i="3"/>
  <c r="Z18" i="3"/>
  <c r="Z17" i="3"/>
  <c r="Z15" i="3"/>
  <c r="Y12" i="3"/>
  <c r="U12" i="3"/>
  <c r="Q12" i="3"/>
  <c r="M12" i="3"/>
  <c r="I12" i="3"/>
  <c r="E12" i="3"/>
  <c r="Y11" i="3"/>
  <c r="U11" i="3"/>
  <c r="Q11" i="3"/>
  <c r="M11" i="3"/>
  <c r="I11" i="3"/>
  <c r="E11" i="3"/>
  <c r="Y10" i="3"/>
  <c r="U10" i="3"/>
  <c r="Q10" i="3"/>
  <c r="M10" i="3"/>
  <c r="I10" i="3"/>
  <c r="E10" i="3"/>
  <c r="Y9" i="3"/>
  <c r="U9" i="3"/>
  <c r="Q9" i="3"/>
  <c r="M9" i="3"/>
  <c r="I9" i="3"/>
  <c r="E9" i="3"/>
  <c r="Y8" i="3"/>
  <c r="U8" i="3"/>
  <c r="Q8" i="3"/>
  <c r="M8" i="3"/>
  <c r="I8" i="3"/>
  <c r="E8" i="3"/>
  <c r="Y7" i="3"/>
  <c r="U7" i="3"/>
  <c r="Q7" i="3"/>
  <c r="M7" i="3"/>
  <c r="I7" i="3"/>
  <c r="E7" i="3"/>
  <c r="Y6" i="3"/>
  <c r="U6" i="3"/>
  <c r="Q6" i="3"/>
  <c r="M6" i="3"/>
  <c r="I6" i="3"/>
  <c r="E6" i="3"/>
  <c r="Y5" i="3"/>
  <c r="U5" i="3"/>
  <c r="U13" i="3" s="1"/>
  <c r="Q5" i="3"/>
  <c r="Q13" i="3" s="1"/>
  <c r="Q16" i="3" s="1"/>
  <c r="Q28" i="3" s="1"/>
  <c r="Q30" i="3" s="1"/>
  <c r="Q38" i="3" s="1"/>
  <c r="M5" i="3"/>
  <c r="I5" i="3"/>
  <c r="E5" i="3"/>
  <c r="Z5" i="3" s="1"/>
  <c r="Z11" i="5" l="1"/>
  <c r="I13" i="5"/>
  <c r="I16" i="5" s="1"/>
  <c r="I28" i="5" s="1"/>
  <c r="I30" i="5" s="1"/>
  <c r="I38" i="5" s="1"/>
  <c r="M38" i="5"/>
  <c r="M13" i="5"/>
  <c r="Z12" i="5"/>
  <c r="Z37" i="5"/>
  <c r="Z8" i="5"/>
  <c r="Z9" i="5"/>
  <c r="U38" i="4"/>
  <c r="I13" i="4"/>
  <c r="I16" i="4" s="1"/>
  <c r="Z37" i="4"/>
  <c r="M13" i="4"/>
  <c r="Z10" i="4"/>
  <c r="U13" i="4"/>
  <c r="Z8" i="4"/>
  <c r="Z12" i="4"/>
  <c r="Z6" i="4"/>
  <c r="Q13" i="4"/>
  <c r="Q16" i="4" s="1"/>
  <c r="Q28" i="4" s="1"/>
  <c r="Q30" i="4" s="1"/>
  <c r="Q38" i="4" s="1"/>
  <c r="Z7" i="4"/>
  <c r="Z9" i="4"/>
  <c r="Z11" i="4"/>
  <c r="Z8" i="3"/>
  <c r="Z12" i="3"/>
  <c r="I13" i="3"/>
  <c r="I16" i="3" s="1"/>
  <c r="Z9" i="3"/>
  <c r="Z10" i="3"/>
  <c r="Z11" i="3"/>
  <c r="Z37" i="3"/>
  <c r="Z6" i="3"/>
  <c r="Z7" i="3"/>
  <c r="M13" i="3"/>
  <c r="E13" i="5"/>
  <c r="E13" i="4"/>
  <c r="I28" i="3"/>
  <c r="I30" i="3" s="1"/>
  <c r="I38" i="3" s="1"/>
  <c r="Z16" i="3"/>
  <c r="Z28" i="3" s="1"/>
  <c r="Z30" i="3" s="1"/>
  <c r="Z38" i="3" s="1"/>
  <c r="E13" i="3"/>
  <c r="Y7" i="2"/>
  <c r="Y6" i="2"/>
  <c r="U37" i="2"/>
  <c r="Q37" i="2"/>
  <c r="M37" i="2"/>
  <c r="I37" i="2"/>
  <c r="E37" i="2"/>
  <c r="Z36" i="2"/>
  <c r="Z35" i="2"/>
  <c r="Z34" i="2"/>
  <c r="Z27" i="2"/>
  <c r="Z26" i="2"/>
  <c r="Z25" i="2"/>
  <c r="Z24" i="2"/>
  <c r="Z23" i="2"/>
  <c r="Z22" i="2"/>
  <c r="Z21" i="2"/>
  <c r="Z20" i="2"/>
  <c r="Z19" i="2"/>
  <c r="Z18" i="2"/>
  <c r="Z17" i="2"/>
  <c r="Z15" i="2"/>
  <c r="Y12" i="2"/>
  <c r="U12" i="2"/>
  <c r="Q12" i="2"/>
  <c r="M12" i="2"/>
  <c r="I12" i="2"/>
  <c r="E12" i="2"/>
  <c r="Y11" i="2"/>
  <c r="U11" i="2"/>
  <c r="Q11" i="2"/>
  <c r="M11" i="2"/>
  <c r="I11" i="2"/>
  <c r="E11" i="2"/>
  <c r="Y10" i="2"/>
  <c r="U10" i="2"/>
  <c r="Q10" i="2"/>
  <c r="M10" i="2"/>
  <c r="I10" i="2"/>
  <c r="E10" i="2"/>
  <c r="Y9" i="2"/>
  <c r="U9" i="2"/>
  <c r="Q9" i="2"/>
  <c r="M9" i="2"/>
  <c r="I9" i="2"/>
  <c r="E9" i="2"/>
  <c r="Y8" i="2"/>
  <c r="U8" i="2"/>
  <c r="Q8" i="2"/>
  <c r="M8" i="2"/>
  <c r="I8" i="2"/>
  <c r="E8" i="2"/>
  <c r="U7" i="2"/>
  <c r="Q7" i="2"/>
  <c r="M7" i="2"/>
  <c r="I7" i="2"/>
  <c r="E7" i="2"/>
  <c r="U6" i="2"/>
  <c r="Q6" i="2"/>
  <c r="M6" i="2"/>
  <c r="I6" i="2"/>
  <c r="E6" i="2"/>
  <c r="Y5" i="2"/>
  <c r="U5" i="2"/>
  <c r="Q5" i="2"/>
  <c r="M5" i="2"/>
  <c r="I5" i="2"/>
  <c r="E5" i="2"/>
  <c r="Z16" i="4" l="1"/>
  <c r="Z28" i="4" s="1"/>
  <c r="Z30" i="4" s="1"/>
  <c r="I13" i="2"/>
  <c r="I16" i="2" s="1"/>
  <c r="I28" i="2" s="1"/>
  <c r="I30" i="2" s="1"/>
  <c r="I38" i="2" s="1"/>
  <c r="Z16" i="5"/>
  <c r="Z28" i="5" s="1"/>
  <c r="Z30" i="5" s="1"/>
  <c r="Z38" i="5" s="1"/>
  <c r="Z13" i="5"/>
  <c r="I28" i="4"/>
  <c r="I30" i="4" s="1"/>
  <c r="I38" i="4" s="1"/>
  <c r="Z38" i="4"/>
  <c r="Z13" i="4"/>
  <c r="Z13" i="3"/>
  <c r="E13" i="2"/>
  <c r="U13" i="2"/>
  <c r="U28" i="2" s="1"/>
  <c r="U30" i="2" s="1"/>
  <c r="U38" i="2" s="1"/>
  <c r="Z37" i="2"/>
  <c r="Q13" i="2"/>
  <c r="Q16" i="2" s="1"/>
  <c r="Q28" i="2" s="1"/>
  <c r="Q30" i="2" s="1"/>
  <c r="Q38" i="2" s="1"/>
  <c r="M13" i="2"/>
  <c r="M28" i="2" s="1"/>
  <c r="M30" i="2" s="1"/>
  <c r="M38" i="2" s="1"/>
  <c r="Z6" i="2"/>
  <c r="Z10" i="2"/>
  <c r="Z8" i="2"/>
  <c r="Z12" i="2"/>
  <c r="Z7" i="2"/>
  <c r="Z11" i="2"/>
  <c r="Z9" i="2"/>
  <c r="E28" i="2"/>
  <c r="E30" i="2" s="1"/>
  <c r="E38" i="2" s="1"/>
  <c r="Z5" i="2"/>
  <c r="Y6" i="1"/>
  <c r="Y7" i="1"/>
  <c r="Z36" i="1"/>
  <c r="Z35" i="1"/>
  <c r="U35" i="1"/>
  <c r="Z34" i="1"/>
  <c r="Z37" i="1" s="1"/>
  <c r="U37" i="1"/>
  <c r="Z16" i="1"/>
  <c r="Z27" i="1"/>
  <c r="Z26" i="1"/>
  <c r="Z25" i="1"/>
  <c r="Z24" i="1"/>
  <c r="Z23" i="1"/>
  <c r="Z22" i="1"/>
  <c r="Z21" i="1"/>
  <c r="Z20" i="1"/>
  <c r="Z19" i="1"/>
  <c r="Z18" i="1"/>
  <c r="Z17" i="1"/>
  <c r="U5" i="1"/>
  <c r="Q5" i="1"/>
  <c r="M5" i="1"/>
  <c r="M13" i="1" s="1"/>
  <c r="I5" i="1"/>
  <c r="I13" i="1" s="1"/>
  <c r="Y5" i="1"/>
  <c r="E5" i="1"/>
  <c r="Q37" i="1"/>
  <c r="M37" i="1"/>
  <c r="E37" i="1"/>
  <c r="I37" i="1"/>
  <c r="Z15" i="1"/>
  <c r="Y12" i="1"/>
  <c r="Y11" i="1"/>
  <c r="Y10" i="1"/>
  <c r="Y9" i="1"/>
  <c r="Y8" i="1"/>
  <c r="U12" i="1"/>
  <c r="U11" i="1"/>
  <c r="U10" i="1"/>
  <c r="U9" i="1"/>
  <c r="U8" i="1"/>
  <c r="U7" i="1"/>
  <c r="U6" i="1"/>
  <c r="Q12" i="1"/>
  <c r="Q11" i="1"/>
  <c r="Q10" i="1"/>
  <c r="Q9" i="1"/>
  <c r="Q8" i="1"/>
  <c r="Q7" i="1"/>
  <c r="Q6" i="1"/>
  <c r="M12" i="1"/>
  <c r="M11" i="1"/>
  <c r="M10" i="1"/>
  <c r="M9" i="1"/>
  <c r="M8" i="1"/>
  <c r="M7" i="1"/>
  <c r="M6" i="1"/>
  <c r="I12" i="1"/>
  <c r="I11" i="1"/>
  <c r="I10" i="1"/>
  <c r="I9" i="1"/>
  <c r="I8" i="1"/>
  <c r="I7" i="1"/>
  <c r="I6" i="1"/>
  <c r="E12" i="1"/>
  <c r="E11" i="1"/>
  <c r="E10" i="1"/>
  <c r="E9" i="1"/>
  <c r="E8" i="1"/>
  <c r="E7" i="1"/>
  <c r="E6" i="1"/>
  <c r="Z16" i="2" l="1"/>
  <c r="Z28" i="2" s="1"/>
  <c r="Z30" i="2" s="1"/>
  <c r="Z38" i="2" s="1"/>
  <c r="Z13" i="2"/>
  <c r="AD5" i="2" s="1"/>
  <c r="AD14" i="2" s="1"/>
  <c r="Z38" i="1"/>
  <c r="Z11" i="1"/>
  <c r="Z10" i="1"/>
  <c r="Z7" i="1"/>
  <c r="U13" i="1"/>
  <c r="U16" i="1" s="1"/>
  <c r="U28" i="1" s="1"/>
  <c r="U30" i="1" s="1"/>
  <c r="U38" i="1" s="1"/>
  <c r="Z6" i="1"/>
  <c r="Z8" i="1"/>
  <c r="Z9" i="1"/>
  <c r="Q13" i="1"/>
  <c r="Q16" i="1" s="1"/>
  <c r="Z12" i="1"/>
  <c r="Z5" i="1"/>
  <c r="E13" i="1"/>
  <c r="E16" i="1" s="1"/>
  <c r="E28" i="1" s="1"/>
  <c r="M16" i="1"/>
  <c r="M28" i="1" s="1"/>
  <c r="I16" i="1"/>
  <c r="I28" i="1" s="1"/>
  <c r="I30" i="1" s="1"/>
  <c r="I38" i="1" s="1"/>
  <c r="Z13" i="1" l="1"/>
  <c r="Q28" i="1"/>
  <c r="Q30" i="1" s="1"/>
  <c r="Q38" i="1" s="1"/>
  <c r="M30" i="1"/>
  <c r="M38" i="1" s="1"/>
  <c r="E30" i="1"/>
  <c r="E38" i="1" s="1"/>
  <c r="Z28" i="1" l="1"/>
  <c r="Z30" i="1" s="1"/>
</calcChain>
</file>

<file path=xl/comments1.xml><?xml version="1.0" encoding="utf-8"?>
<comments xmlns="http://schemas.openxmlformats.org/spreadsheetml/2006/main">
  <authors>
    <author>TOSHIBA</author>
  </authors>
  <commentList>
    <comment ref="I34" authorId="0">
      <text>
        <r>
          <rPr>
            <sz val="9"/>
            <color indexed="81"/>
            <rFont val="Tahoma"/>
            <family val="2"/>
          </rPr>
          <t>Adjusted in Cash 15-07-25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I34" authorId="0">
      <text>
        <r>
          <rPr>
            <sz val="9"/>
            <color indexed="81"/>
            <rFont val="Tahoma"/>
            <family val="2"/>
          </rPr>
          <t>Adjusted in Cash 15-07-25</t>
        </r>
      </text>
    </comment>
  </commentList>
</comments>
</file>

<file path=xl/comments3.xml><?xml version="1.0" encoding="utf-8"?>
<comments xmlns="http://schemas.openxmlformats.org/spreadsheetml/2006/main">
  <authors>
    <author>TOSHIBA</author>
  </authors>
  <commentList>
    <comment ref="AF1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Slary Adv: 3000
Farhaj(BANK) : 3000</t>
        </r>
      </text>
    </comment>
  </commentList>
</comments>
</file>

<file path=xl/comments4.xml><?xml version="1.0" encoding="utf-8"?>
<comments xmlns="http://schemas.openxmlformats.org/spreadsheetml/2006/main">
  <authors>
    <author>TOSHIBA</author>
  </authors>
  <commentList>
    <comment ref="F10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Till 15th Shortage:10010</t>
        </r>
      </text>
    </comment>
    <comment ref="F16" authorId="0">
      <text>
        <r>
          <rPr>
            <sz val="9"/>
            <color indexed="81"/>
            <rFont val="Tahoma"/>
            <family val="2"/>
          </rPr>
          <t xml:space="preserve">
KAM at Home
54000+5668UN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Shah Sec Advanced paid from 25th july cash</t>
        </r>
      </text>
    </comment>
  </commentList>
</comments>
</file>

<file path=xl/sharedStrings.xml><?xml version="1.0" encoding="utf-8"?>
<sst xmlns="http://schemas.openxmlformats.org/spreadsheetml/2006/main" count="4390" uniqueCount="556">
  <si>
    <t>Rs</t>
  </si>
  <si>
    <t>Qty</t>
  </si>
  <si>
    <t>Amount</t>
  </si>
  <si>
    <t>Total</t>
  </si>
  <si>
    <t>Summary</t>
  </si>
  <si>
    <t>Cash</t>
  </si>
  <si>
    <t>Bank</t>
  </si>
  <si>
    <t>Chq-1</t>
  </si>
  <si>
    <t>Chq-2</t>
  </si>
  <si>
    <t>Chq-3</t>
  </si>
  <si>
    <t>TOTAL</t>
  </si>
  <si>
    <t>Shortage (+/-)</t>
  </si>
  <si>
    <t>NAME: Asghar</t>
  </si>
  <si>
    <t>NAME: Touseeq</t>
  </si>
  <si>
    <t>NAME: Salman</t>
  </si>
  <si>
    <t>Cash Shortage</t>
  </si>
  <si>
    <t>DEPOT TOTAL</t>
  </si>
  <si>
    <t>NAME: Hummam</t>
  </si>
  <si>
    <t>BI-197659</t>
  </si>
  <si>
    <t>FB-1555</t>
  </si>
  <si>
    <t>Chq- 18-7-25</t>
  </si>
  <si>
    <t>Chq-18-7-25</t>
  </si>
  <si>
    <t>Balance</t>
  </si>
  <si>
    <t>etc</t>
  </si>
  <si>
    <t>NAME: Fahad</t>
  </si>
  <si>
    <t>Chq-19-7-25</t>
  </si>
  <si>
    <t>BML-97662405</t>
  </si>
  <si>
    <t>Mehmood Kshif</t>
  </si>
  <si>
    <t>Bill-1</t>
  </si>
  <si>
    <t>Bill-2</t>
  </si>
  <si>
    <t>Agha Conf</t>
  </si>
  <si>
    <t>Bill-3</t>
  </si>
  <si>
    <t>Nasir Conf'</t>
  </si>
  <si>
    <t>Chq-15-07-25</t>
  </si>
  <si>
    <t>BML-97662946</t>
  </si>
  <si>
    <t>BAH-11912963</t>
  </si>
  <si>
    <t>Chq-19-07-25</t>
  </si>
  <si>
    <t>HBL-00000146</t>
  </si>
  <si>
    <t>Chq-23-07-25</t>
  </si>
  <si>
    <t>HBL-00000147</t>
  </si>
  <si>
    <t xml:space="preserve"> Tax Adj</t>
  </si>
  <si>
    <t>Ctn Shortage</t>
  </si>
  <si>
    <t>Cash Excess</t>
  </si>
  <si>
    <t>Chq-</t>
  </si>
  <si>
    <t>NAME: Maroof</t>
  </si>
  <si>
    <t>Chq-24-07-25</t>
  </si>
  <si>
    <t>Chq-17-07-25</t>
  </si>
  <si>
    <t>Chq-16-07-25</t>
  </si>
  <si>
    <t>NAME: Salman/ Shaqoor</t>
  </si>
  <si>
    <t>Younus Store</t>
  </si>
  <si>
    <t>Ismail Conf</t>
  </si>
  <si>
    <t>Shazad Conf</t>
  </si>
  <si>
    <t>Bill-4</t>
  </si>
  <si>
    <t>Tawakal Conf</t>
  </si>
  <si>
    <t>MB-A-19508876</t>
  </si>
  <si>
    <t>MCB-2045555958</t>
  </si>
  <si>
    <t>Cash Treatment</t>
  </si>
  <si>
    <t>Head</t>
  </si>
  <si>
    <t>Slip Number</t>
  </si>
  <si>
    <t>Date</t>
  </si>
  <si>
    <t>Slip #</t>
  </si>
  <si>
    <t>Habib Metro</t>
  </si>
  <si>
    <t>Cash Office</t>
  </si>
  <si>
    <t>Ent</t>
  </si>
  <si>
    <t>Misc</t>
  </si>
  <si>
    <t>Staionary</t>
  </si>
  <si>
    <t>Diff (+/-)</t>
  </si>
  <si>
    <t>Excess</t>
  </si>
  <si>
    <t>Alfalah-40301706</t>
  </si>
  <si>
    <t>BAH-10678406</t>
  </si>
  <si>
    <t>Bank Islami-00008527</t>
  </si>
  <si>
    <t>BAH-10111047</t>
  </si>
  <si>
    <t>Adv Van</t>
  </si>
  <si>
    <t>WS  shortage</t>
  </si>
  <si>
    <t>Chq-20-07-25</t>
  </si>
  <si>
    <t>BAL-11636504</t>
  </si>
  <si>
    <t>MB-20410045</t>
  </si>
  <si>
    <t>Chq-12-07-25</t>
  </si>
  <si>
    <t>BI-00282400</t>
  </si>
  <si>
    <t>MB-E-42212394</t>
  </si>
  <si>
    <t>BAH-11440180</t>
  </si>
  <si>
    <t>Bill-5</t>
  </si>
  <si>
    <t>Bill-6</t>
  </si>
  <si>
    <t>Karachi Conf</t>
  </si>
  <si>
    <t>Zubaidh Conf</t>
  </si>
  <si>
    <t>White Smoke</t>
  </si>
  <si>
    <t>Zunaisha Conf</t>
  </si>
  <si>
    <t>Choiec Conf</t>
  </si>
  <si>
    <t>Ss Conf</t>
  </si>
  <si>
    <t>Bill-</t>
  </si>
  <si>
    <t>Panjwani Conf</t>
  </si>
  <si>
    <t>NAME: Asif</t>
  </si>
  <si>
    <t>Chq-14-07-25</t>
  </si>
  <si>
    <t>MB-A-20347589</t>
  </si>
  <si>
    <t xml:space="preserve">NAME: Asad </t>
  </si>
  <si>
    <t>BI-00197662</t>
  </si>
  <si>
    <t>NAME: Shakoor</t>
  </si>
  <si>
    <t>Zubaidh Conf/Ashraf</t>
  </si>
  <si>
    <t>White Store</t>
  </si>
  <si>
    <t>Zunaisha</t>
  </si>
  <si>
    <t>Recovery</t>
  </si>
  <si>
    <t>New Hassan Conf</t>
  </si>
  <si>
    <t>Star Conf</t>
  </si>
  <si>
    <t>Irfan Conf</t>
  </si>
  <si>
    <t>Bill-1,2,3</t>
  </si>
  <si>
    <t>UBL-78577654</t>
  </si>
  <si>
    <t>MB-A-21701966</t>
  </si>
  <si>
    <t>MB-A-19508885</t>
  </si>
  <si>
    <t>BAH-10567743</t>
  </si>
  <si>
    <t>AB-2500151626</t>
  </si>
  <si>
    <t>S.No</t>
  </si>
  <si>
    <t>Expense</t>
  </si>
  <si>
    <t>Net</t>
  </si>
  <si>
    <t>Recoveries</t>
  </si>
  <si>
    <t>DSR Name</t>
  </si>
  <si>
    <t>Bill Date</t>
  </si>
  <si>
    <t>Shortage Date</t>
  </si>
  <si>
    <t>RECOVRIES</t>
  </si>
  <si>
    <t>Asad</t>
  </si>
  <si>
    <t xml:space="preserve">14-07-25 </t>
  </si>
  <si>
    <t>Recovories</t>
  </si>
  <si>
    <t>Shortage</t>
  </si>
  <si>
    <t>Shop Name</t>
  </si>
  <si>
    <t>14-07-25</t>
  </si>
  <si>
    <t>Habibi Mtero</t>
  </si>
  <si>
    <t>Online Recived</t>
  </si>
  <si>
    <t>14/7/2025</t>
  </si>
  <si>
    <t>15-07-25</t>
  </si>
  <si>
    <t>Habib Mtero</t>
  </si>
  <si>
    <t>15/7/2025</t>
  </si>
  <si>
    <t>UBL-79349595</t>
  </si>
  <si>
    <t>MB-E-42212409</t>
  </si>
  <si>
    <t>BI-00282403</t>
  </si>
  <si>
    <t>BAH-11443613</t>
  </si>
  <si>
    <t>Entertaimnet</t>
  </si>
  <si>
    <t>Staitionary</t>
  </si>
  <si>
    <t>16-07-25</t>
  </si>
  <si>
    <t>Chq-25-07-25</t>
  </si>
  <si>
    <t>Chq-22-07-25</t>
  </si>
  <si>
    <t>MB-20410048</t>
  </si>
  <si>
    <t>BAH-11636514</t>
  </si>
  <si>
    <t>16/7/2025</t>
  </si>
  <si>
    <t>Chq-25-7-25</t>
  </si>
  <si>
    <t>Chq-26-7-25</t>
  </si>
  <si>
    <t>BI-00039821</t>
  </si>
  <si>
    <t>MCB-2049448440</t>
  </si>
  <si>
    <t>17-07-25</t>
  </si>
  <si>
    <t>HM bank</t>
  </si>
  <si>
    <t>MB-A-21701970</t>
  </si>
  <si>
    <t>Bill-2371</t>
  </si>
  <si>
    <t>Faizan</t>
  </si>
  <si>
    <t>Aysha G/s</t>
  </si>
  <si>
    <t>Cash Against Chq</t>
  </si>
  <si>
    <t>Asif</t>
  </si>
  <si>
    <t>Credit Bill</t>
  </si>
  <si>
    <t>Mehmood Cof</t>
  </si>
  <si>
    <t>FM Marketing</t>
  </si>
  <si>
    <t>Mashallah</t>
  </si>
  <si>
    <t>last supply</t>
  </si>
  <si>
    <t>Discount</t>
  </si>
  <si>
    <t>BAH-11912977</t>
  </si>
  <si>
    <t>Chq-02-08-25</t>
  </si>
  <si>
    <t>BAH-10072778</t>
  </si>
  <si>
    <t>BAH-11009350</t>
  </si>
  <si>
    <t>BAH-11009349</t>
  </si>
  <si>
    <t>Chq-01-08-25</t>
  </si>
  <si>
    <t>BML-97662963</t>
  </si>
  <si>
    <t>Chq-29-07-25</t>
  </si>
  <si>
    <t>MB-21050497</t>
  </si>
  <si>
    <t>Bill  Recovery</t>
  </si>
  <si>
    <t>ZM Mrt</t>
  </si>
  <si>
    <t>Chq-4</t>
  </si>
  <si>
    <t>Chq-5</t>
  </si>
  <si>
    <t>Chq-6</t>
  </si>
  <si>
    <t>17/7/2026</t>
  </si>
  <si>
    <t>FB-CA0000001571</t>
  </si>
  <si>
    <t>BAF-40301711</t>
  </si>
  <si>
    <t>Bill-3121</t>
  </si>
  <si>
    <t>Chq-26-07-25</t>
  </si>
  <si>
    <t>BAH-10295592</t>
  </si>
  <si>
    <t>BAH-10111049</t>
  </si>
  <si>
    <t>Chq-30-07-25</t>
  </si>
  <si>
    <t>UBL-65874272</t>
  </si>
  <si>
    <t xml:space="preserve">NAME: </t>
  </si>
  <si>
    <t>Bill-0441</t>
  </si>
  <si>
    <t>Shahid Conf</t>
  </si>
  <si>
    <t>Bill-0471</t>
  </si>
  <si>
    <t>Bill-0401</t>
  </si>
  <si>
    <t>Kainat</t>
  </si>
  <si>
    <t>Bill-0461</t>
  </si>
  <si>
    <t>BAH-11941962</t>
  </si>
  <si>
    <t>HBl-00000243</t>
  </si>
  <si>
    <t>BAH-10567746</t>
  </si>
  <si>
    <t>BAH-10408260</t>
  </si>
  <si>
    <t>MB-11250876</t>
  </si>
  <si>
    <t>MB-19508895</t>
  </si>
  <si>
    <t>No Supply</t>
  </si>
  <si>
    <t>Bank- online</t>
  </si>
  <si>
    <t>18-07-25</t>
  </si>
  <si>
    <t>HM</t>
  </si>
  <si>
    <t>18/7/2026</t>
  </si>
  <si>
    <t>19-7-25</t>
  </si>
  <si>
    <t>BAH-10144296</t>
  </si>
  <si>
    <t>Bill-0511</t>
  </si>
  <si>
    <t>Panjwani</t>
  </si>
  <si>
    <t>Bill-0481</t>
  </si>
  <si>
    <t>Chq-23-7-25</t>
  </si>
  <si>
    <t>BAH-11443619</t>
  </si>
  <si>
    <t>Chq-29-7-25</t>
  </si>
  <si>
    <t>BI-0028405</t>
  </si>
  <si>
    <t>Chq-27-7-25</t>
  </si>
  <si>
    <t>UBL-79349599</t>
  </si>
  <si>
    <t>MB-42212417</t>
  </si>
  <si>
    <t>Partial payment recived due to % Issue</t>
  </si>
  <si>
    <t>Excess/Shortage</t>
  </si>
  <si>
    <t>21-07-25</t>
  </si>
  <si>
    <t>NAME: Asad</t>
  </si>
  <si>
    <t>Chq-21-07-25</t>
  </si>
  <si>
    <t>MB-11649090</t>
  </si>
  <si>
    <t>MBC-2049448443</t>
  </si>
  <si>
    <t>Chq-28-07-25</t>
  </si>
  <si>
    <t>BAH-11000977</t>
  </si>
  <si>
    <t>FB-0000000240</t>
  </si>
  <si>
    <t>MB-20347595</t>
  </si>
  <si>
    <t>Chq-27-07-25</t>
  </si>
  <si>
    <t>AB-02948158</t>
  </si>
  <si>
    <t>Chq-07-08-25</t>
  </si>
  <si>
    <t>BAH-11199041</t>
  </si>
  <si>
    <t>BI-00197678</t>
  </si>
  <si>
    <t>Bill-0531</t>
  </si>
  <si>
    <t>Star conf</t>
  </si>
  <si>
    <t>Bill-0551</t>
  </si>
  <si>
    <t>Khan conf</t>
  </si>
  <si>
    <t>Bill-0561</t>
  </si>
  <si>
    <t>BS Shahzaz conf</t>
  </si>
  <si>
    <t>Bill-0571</t>
  </si>
  <si>
    <t>Mashallah conf</t>
  </si>
  <si>
    <t>Bill-0581</t>
  </si>
  <si>
    <t>New hassan conf</t>
  </si>
  <si>
    <t>Bill-0541</t>
  </si>
  <si>
    <t>MS farooq pan</t>
  </si>
  <si>
    <t>21/7/2026</t>
  </si>
  <si>
    <t>22/7/2026</t>
  </si>
  <si>
    <t>22-07-25</t>
  </si>
  <si>
    <t>HM-470,050</t>
  </si>
  <si>
    <t>BAH-10111054</t>
  </si>
  <si>
    <t>BAF-41856418</t>
  </si>
  <si>
    <t>Bill-4161</t>
  </si>
  <si>
    <t>Shander pan</t>
  </si>
  <si>
    <t>BAH-10687561</t>
  </si>
  <si>
    <t>BAH-11933783</t>
  </si>
  <si>
    <t>BAH-10144297</t>
  </si>
  <si>
    <t>MBC-2045555970</t>
  </si>
  <si>
    <t>BAH-10408277</t>
  </si>
  <si>
    <t>Bill-3881</t>
  </si>
  <si>
    <t>Rehmat bakers gs</t>
  </si>
  <si>
    <t>ZM Mart</t>
  </si>
  <si>
    <t>Sajid</t>
  </si>
  <si>
    <t>23/7/2026</t>
  </si>
  <si>
    <t>Bill-4891</t>
  </si>
  <si>
    <t>Muhammadi pan shop</t>
  </si>
  <si>
    <t>FM Supplair</t>
  </si>
  <si>
    <t xml:space="preserve">Faizan </t>
  </si>
  <si>
    <t xml:space="preserve">Shandar pan </t>
  </si>
  <si>
    <t>BAF-42037551</t>
  </si>
  <si>
    <t>Chq-31-07-25</t>
  </si>
  <si>
    <t>BLH-11637863</t>
  </si>
  <si>
    <t>MB-20410053</t>
  </si>
  <si>
    <t>MB-42212425</t>
  </si>
  <si>
    <t>BAH-11443623</t>
  </si>
  <si>
    <t>Rahmat bak gs</t>
  </si>
  <si>
    <t>Khayal hi store</t>
  </si>
  <si>
    <t>Asad Medical St</t>
  </si>
  <si>
    <t>Adil Store</t>
  </si>
  <si>
    <t>Ctn choriii</t>
  </si>
  <si>
    <t>Chq Recovery</t>
  </si>
  <si>
    <t>Bill Recovery</t>
  </si>
  <si>
    <t>RECOVRIES-- Cash</t>
  </si>
  <si>
    <t>Chq no</t>
  </si>
  <si>
    <t>Shahid Bilal G/s</t>
  </si>
  <si>
    <t>Mobeen G/S</t>
  </si>
  <si>
    <t>Saeed  Store</t>
  </si>
  <si>
    <t>Fayyaz</t>
  </si>
  <si>
    <t>Famliy Mart</t>
  </si>
  <si>
    <t xml:space="preserve">Raju Pan </t>
  </si>
  <si>
    <t>Famous store</t>
  </si>
  <si>
    <t>MB-A-20410048</t>
  </si>
  <si>
    <t>Rameen Cold</t>
  </si>
  <si>
    <t>Sinan Conf</t>
  </si>
  <si>
    <t>Midway Food</t>
  </si>
  <si>
    <t>RECOVRIES-- ONLINE</t>
  </si>
  <si>
    <t>24/7/2026</t>
  </si>
  <si>
    <t>24-07-25</t>
  </si>
  <si>
    <t>MB</t>
  </si>
  <si>
    <t>UBL-82326477</t>
  </si>
  <si>
    <t>Bill</t>
  </si>
  <si>
    <t>MBC-2002663309</t>
  </si>
  <si>
    <t>BI-00197687</t>
  </si>
  <si>
    <t>MB-21701974</t>
  </si>
  <si>
    <t>Chq-13-08-25</t>
  </si>
  <si>
    <t>HM-183363378</t>
  </si>
  <si>
    <t>Chq-14-08-25</t>
  </si>
  <si>
    <t>Chq-15-08-25</t>
  </si>
  <si>
    <t>HM-183363379</t>
  </si>
  <si>
    <t>HM-183363380</t>
  </si>
  <si>
    <t>BAH-11912986</t>
  </si>
  <si>
    <t>Mashallah Conf</t>
  </si>
  <si>
    <t>Mehmood Conf</t>
  </si>
  <si>
    <t>FM marketing</t>
  </si>
  <si>
    <t>Nasir &amp; Sone</t>
  </si>
  <si>
    <t>BML-97662973</t>
  </si>
  <si>
    <t>Saeed Cigrate</t>
  </si>
  <si>
    <t>CD</t>
  </si>
  <si>
    <t>DD</t>
  </si>
  <si>
    <t>NAME: Sumair</t>
  </si>
  <si>
    <t>Shoaib Store</t>
  </si>
  <si>
    <t>Syeed uper Store</t>
  </si>
  <si>
    <t>Nabeel</t>
  </si>
  <si>
    <t>25/7/2026</t>
  </si>
  <si>
    <t>KAM</t>
  </si>
  <si>
    <t>Owaise</t>
  </si>
  <si>
    <t>Home</t>
  </si>
  <si>
    <t>25-07-25</t>
  </si>
  <si>
    <t>mohammadi pan shop</t>
  </si>
  <si>
    <t>23-07-25</t>
  </si>
  <si>
    <t>Chq-25-08-25</t>
  </si>
  <si>
    <t>BAH-10213911</t>
  </si>
  <si>
    <t>HBL-00000060</t>
  </si>
  <si>
    <t>Chq-05-08-25</t>
  </si>
  <si>
    <t>BAH-10295599</t>
  </si>
  <si>
    <t>MCB-2045555979</t>
  </si>
  <si>
    <t>BAH-10408313</t>
  </si>
  <si>
    <t>MB-19508910</t>
  </si>
  <si>
    <t>Bill-0731</t>
  </si>
  <si>
    <t>Ismail conf</t>
  </si>
  <si>
    <t>Bill-0691</t>
  </si>
  <si>
    <t>Tawakal conf</t>
  </si>
  <si>
    <t>NAME: Shahzad</t>
  </si>
  <si>
    <t>BAF-40301712</t>
  </si>
  <si>
    <t>Bill-0751</t>
  </si>
  <si>
    <t>Aslam Sup</t>
  </si>
  <si>
    <t>Bill-0741</t>
  </si>
  <si>
    <t>Shazad conf</t>
  </si>
  <si>
    <t>Chq-06-08-25</t>
  </si>
  <si>
    <t>BAH-11941967</t>
  </si>
  <si>
    <t>Chq-09-08-25</t>
  </si>
  <si>
    <t>BAH-10294956</t>
  </si>
  <si>
    <t>BAH-10292612</t>
  </si>
  <si>
    <t xml:space="preserve"> Shah secutriy</t>
  </si>
  <si>
    <t>26-07-25</t>
  </si>
  <si>
    <t>UBL-82326478</t>
  </si>
  <si>
    <t>BI-00198556</t>
  </si>
  <si>
    <t>Chq-26-08-25</t>
  </si>
  <si>
    <t>BAH-11443626</t>
  </si>
  <si>
    <t>Mashallah conf majid</t>
  </si>
  <si>
    <t>Imran oli</t>
  </si>
  <si>
    <t>Bill-0801</t>
  </si>
  <si>
    <t>Zunaisha conf</t>
  </si>
  <si>
    <t>Bill-0811</t>
  </si>
  <si>
    <t>Panjwani conf</t>
  </si>
  <si>
    <t>Bill-0791</t>
  </si>
  <si>
    <t>Karachi conf</t>
  </si>
  <si>
    <t>Bill-0771</t>
  </si>
  <si>
    <t>Huzaifa conf</t>
  </si>
  <si>
    <t>Bill-0761</t>
  </si>
  <si>
    <t>MH pan</t>
  </si>
  <si>
    <t>0531</t>
  </si>
  <si>
    <t>26/7/2026</t>
  </si>
  <si>
    <t>28-07-25</t>
  </si>
  <si>
    <t>Chq-05-08-27</t>
  </si>
  <si>
    <t>Pajwani</t>
  </si>
  <si>
    <t>19-07-25</t>
  </si>
  <si>
    <t>MBC-00200898</t>
  </si>
  <si>
    <t>Muna pan</t>
  </si>
  <si>
    <t>Owais</t>
  </si>
  <si>
    <t>Imran  oli</t>
  </si>
  <si>
    <t>KK Mart</t>
  </si>
  <si>
    <t>Abdulah Cold</t>
  </si>
  <si>
    <t>BLH-10687561</t>
  </si>
  <si>
    <t>Kashif M/D</t>
  </si>
  <si>
    <t>Faisal</t>
  </si>
  <si>
    <t>Raju Pan Shop</t>
  </si>
  <si>
    <t>A.Rehman</t>
  </si>
  <si>
    <t>Faheem Traders</t>
  </si>
  <si>
    <t>BI-197696</t>
  </si>
  <si>
    <t>UBL-80436919</t>
  </si>
  <si>
    <t>UBL-82375951</t>
  </si>
  <si>
    <t>Chq-03-08-25</t>
  </si>
  <si>
    <t>MB-21701975</t>
  </si>
  <si>
    <t>Chq-08-08-25</t>
  </si>
  <si>
    <t>BML-97662143</t>
  </si>
  <si>
    <t>MB-224222712</t>
  </si>
  <si>
    <t>Bill-0890</t>
  </si>
  <si>
    <t>Bill-0820</t>
  </si>
  <si>
    <t>Irfan conf</t>
  </si>
  <si>
    <t>Bill-0840</t>
  </si>
  <si>
    <t>Mashallah majid</t>
  </si>
  <si>
    <t>Newhssan conf</t>
  </si>
  <si>
    <t>Chq replacment</t>
  </si>
  <si>
    <t>Hamid Van</t>
  </si>
  <si>
    <t>28/7/2026</t>
  </si>
  <si>
    <t>29-07-25</t>
  </si>
  <si>
    <t>Star conf-0531</t>
  </si>
  <si>
    <t>Raast</t>
  </si>
  <si>
    <t>BLH-10295602</t>
  </si>
  <si>
    <t>BLH10111060</t>
  </si>
  <si>
    <t>Chq-04-08-25</t>
  </si>
  <si>
    <t>HBL-00000061</t>
  </si>
  <si>
    <t>Bill-6770</t>
  </si>
  <si>
    <t>BLH-10144303</t>
  </si>
  <si>
    <t>AB-2500151632</t>
  </si>
  <si>
    <t>MCB-2045555986</t>
  </si>
  <si>
    <t>HBL-000000375</t>
  </si>
  <si>
    <t>BLH-10072711</t>
  </si>
  <si>
    <t>BLH-10408332</t>
  </si>
  <si>
    <t>29/7/2026</t>
  </si>
  <si>
    <t>Duplicate to adjust Shortage</t>
  </si>
  <si>
    <t>23/7/2027</t>
  </si>
  <si>
    <t>ADV Secruty</t>
  </si>
  <si>
    <t>30-07-25</t>
  </si>
  <si>
    <t>Bill-7320</t>
  </si>
  <si>
    <t>CA-00000000247</t>
  </si>
  <si>
    <t>BLH-11637896</t>
  </si>
  <si>
    <t>Chq-10-08-25</t>
  </si>
  <si>
    <t>BLH-10213914</t>
  </si>
  <si>
    <t>Bill-7240</t>
  </si>
  <si>
    <t>Famuos gs</t>
  </si>
  <si>
    <t>Imran Sweets</t>
  </si>
  <si>
    <t>Attqui</t>
  </si>
  <si>
    <t>sajid</t>
  </si>
  <si>
    <t>BI-00282405</t>
  </si>
  <si>
    <t>Pak Dry GS</t>
  </si>
  <si>
    <t>Asif Conf</t>
  </si>
  <si>
    <t>Family Mart Namil</t>
  </si>
  <si>
    <t>Rameen cold gs</t>
  </si>
  <si>
    <t>Amir</t>
  </si>
  <si>
    <t>Al Noor Store</t>
  </si>
  <si>
    <t>Noor Store</t>
  </si>
  <si>
    <t>Imran Store</t>
  </si>
  <si>
    <t>faisal</t>
  </si>
  <si>
    <t>Baqala mini mart</t>
  </si>
  <si>
    <t>SaeedCigrate</t>
  </si>
  <si>
    <t>Naimal Mart</t>
  </si>
  <si>
    <t>Rameen G/S</t>
  </si>
  <si>
    <t>Self mart</t>
  </si>
  <si>
    <t>AB-2502948158</t>
  </si>
  <si>
    <t>Shahid conf</t>
  </si>
  <si>
    <t>Asif-0441</t>
  </si>
  <si>
    <t>Hassnain</t>
  </si>
  <si>
    <t>Asif-0121</t>
  </si>
  <si>
    <t>Shandar pan shop</t>
  </si>
  <si>
    <t>Faizan-6770</t>
  </si>
  <si>
    <t>BLH-11443632</t>
  </si>
  <si>
    <t>BI-00198560</t>
  </si>
  <si>
    <t>E-42212439</t>
  </si>
  <si>
    <t>UBL-82326482</t>
  </si>
  <si>
    <t>30/7/2026</t>
  </si>
  <si>
    <t>31-07-25</t>
  </si>
  <si>
    <t>BAH-11912998</t>
  </si>
  <si>
    <t>Bill-0960</t>
  </si>
  <si>
    <t>Nasir &amp; sons</t>
  </si>
  <si>
    <t>Bill-0920</t>
  </si>
  <si>
    <t>Faheem conf</t>
  </si>
  <si>
    <t>Bill-0950</t>
  </si>
  <si>
    <t>Mahmood kasif</t>
  </si>
  <si>
    <t>Bill-0910</t>
  </si>
  <si>
    <t>Agha conf</t>
  </si>
  <si>
    <t>Bill-1000</t>
  </si>
  <si>
    <t>RY traders</t>
  </si>
  <si>
    <t>Noor porvison</t>
  </si>
  <si>
    <t>Bill-0980</t>
  </si>
  <si>
    <t>Saeed Citrate</t>
  </si>
  <si>
    <t>Bill-1010</t>
  </si>
  <si>
    <t>Mashallah Habib</t>
  </si>
  <si>
    <t>BI-00197707</t>
  </si>
  <si>
    <t>UBL-82375955</t>
  </si>
  <si>
    <t>BML-97662416</t>
  </si>
  <si>
    <t>MB-22422739</t>
  </si>
  <si>
    <t>Chq-12-08-25</t>
  </si>
  <si>
    <t>Hassan Confectionary</t>
  </si>
  <si>
    <t>Mubeen Store</t>
  </si>
  <si>
    <t>Premier GT</t>
  </si>
  <si>
    <t>Premier GS</t>
  </si>
  <si>
    <t>Shahzad</t>
  </si>
  <si>
    <t>Asif-741</t>
  </si>
  <si>
    <t>Asif-611</t>
  </si>
  <si>
    <t>Asif-661</t>
  </si>
  <si>
    <t>Mahmood conf</t>
  </si>
  <si>
    <t>Asif-641</t>
  </si>
  <si>
    <t>31/7/2026</t>
  </si>
  <si>
    <t>Chq-28-08-25</t>
  </si>
  <si>
    <t>BAH-10111061</t>
  </si>
  <si>
    <t>Asif-531</t>
  </si>
  <si>
    <t>jazz cash</t>
  </si>
  <si>
    <t>BAH-10294977</t>
  </si>
  <si>
    <t>Bill-1020</t>
  </si>
  <si>
    <t>Bill-1030</t>
  </si>
  <si>
    <t>Hasnain conf</t>
  </si>
  <si>
    <t>Bill-1080</t>
  </si>
  <si>
    <t>Bill-1070</t>
  </si>
  <si>
    <t>Tariq Brother</t>
  </si>
  <si>
    <t>Khyal Mart</t>
  </si>
  <si>
    <t>Saeed Super Mart</t>
  </si>
  <si>
    <t>Fayaz</t>
  </si>
  <si>
    <t>Atif GS</t>
  </si>
  <si>
    <t>Kainat Conf</t>
  </si>
  <si>
    <t>Asif-0401</t>
  </si>
  <si>
    <t>Asif-0980</t>
  </si>
  <si>
    <t>Asif-1010</t>
  </si>
  <si>
    <t>BAH-11922228</t>
  </si>
  <si>
    <t>BAH-10687573</t>
  </si>
  <si>
    <t>MB-20410056</t>
  </si>
  <si>
    <t>BAF-4012573</t>
  </si>
  <si>
    <t>Bill-1130</t>
  </si>
  <si>
    <t>Bill-1140</t>
  </si>
  <si>
    <t>CD3% DD2%</t>
  </si>
  <si>
    <t xml:space="preserve">Cash </t>
  </si>
  <si>
    <t>UBL-82326484</t>
  </si>
  <si>
    <t>BI-00198565</t>
  </si>
  <si>
    <t>BAH-11443637</t>
  </si>
  <si>
    <t>MB-42212446</t>
  </si>
  <si>
    <t>Asif-811</t>
  </si>
  <si>
    <t>Asif-840</t>
  </si>
  <si>
    <t>faizan-320</t>
  </si>
  <si>
    <t>Advanc Salary</t>
  </si>
  <si>
    <t>NAME: fahad</t>
  </si>
  <si>
    <t>Chq-11-08-25</t>
  </si>
  <si>
    <t>MCB-2049448452</t>
  </si>
  <si>
    <t>BAH-11002396</t>
  </si>
  <si>
    <t>BI-00039852</t>
  </si>
  <si>
    <t>MB-22534744</t>
  </si>
  <si>
    <t>Bill-1180</t>
  </si>
  <si>
    <t>Kanh conf</t>
  </si>
  <si>
    <t>Bill-1260</t>
  </si>
  <si>
    <t>MS farooq</t>
  </si>
  <si>
    <t>Bill-1240</t>
  </si>
  <si>
    <t>Dastageer GS</t>
  </si>
  <si>
    <t>Bill-0090</t>
  </si>
  <si>
    <t>BS shahzad</t>
  </si>
  <si>
    <t>Bill-1250</t>
  </si>
  <si>
    <t>Bill-1230</t>
  </si>
  <si>
    <t>Bill-1220</t>
  </si>
  <si>
    <t>New hassan</t>
  </si>
  <si>
    <t>CD 2%</t>
  </si>
  <si>
    <t>UBL-80436927</t>
  </si>
  <si>
    <t>BI-00197714</t>
  </si>
  <si>
    <t>Bill-8770</t>
  </si>
  <si>
    <t>Al shams</t>
  </si>
  <si>
    <t>MB-22422749</t>
  </si>
  <si>
    <t>MB-22522928</t>
  </si>
  <si>
    <t>MB-A-20347595</t>
  </si>
  <si>
    <t>Primuium Store</t>
  </si>
  <si>
    <t>BaqalaStore</t>
  </si>
  <si>
    <t>Salaries</t>
  </si>
  <si>
    <t>KE</t>
  </si>
  <si>
    <t>Cash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</si>
</sst>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0" xfId="0" applyNumberFormat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3" fillId="7" borderId="11" xfId="1" applyNumberFormat="1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0" xfId="0" applyFill="1"/>
    <xf numFmtId="164" fontId="5" fillId="8" borderId="1" xfId="1" applyNumberFormat="1" applyFont="1" applyFill="1" applyBorder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2" fillId="10" borderId="13" xfId="0" applyFont="1" applyFill="1" applyBorder="1" applyAlignment="1">
      <alignment vertical="center"/>
    </xf>
    <xf numFmtId="164" fontId="2" fillId="10" borderId="13" xfId="0" applyNumberFormat="1" applyFont="1" applyFill="1" applyBorder="1" applyAlignment="1">
      <alignment vertical="center"/>
    </xf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4" borderId="0" xfId="0" applyFill="1"/>
    <xf numFmtId="0" fontId="0" fillId="0" borderId="0" xfId="0" applyFill="1"/>
    <xf numFmtId="164" fontId="0" fillId="12" borderId="11" xfId="1" applyNumberFormat="1" applyFont="1" applyFill="1" applyBorder="1"/>
    <xf numFmtId="0" fontId="0" fillId="0" borderId="0" xfId="0" applyAlignment="1">
      <alignment horizontal="left"/>
    </xf>
    <xf numFmtId="0" fontId="2" fillId="5" borderId="15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9" borderId="0" xfId="0" applyFill="1"/>
    <xf numFmtId="0" fontId="3" fillId="9" borderId="0" xfId="0" applyFont="1" applyFill="1"/>
    <xf numFmtId="164" fontId="0" fillId="14" borderId="9" xfId="1" applyNumberFormat="1" applyFont="1" applyFill="1" applyBorder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3" borderId="5" xfId="0" applyFont="1" applyFill="1" applyBorder="1"/>
    <xf numFmtId="164" fontId="3" fillId="13" borderId="5" xfId="0" applyNumberFormat="1" applyFont="1" applyFill="1" applyBorder="1"/>
    <xf numFmtId="0" fontId="3" fillId="11" borderId="1" xfId="0" applyFont="1" applyFill="1" applyBorder="1" applyAlignment="1"/>
    <xf numFmtId="15" fontId="0" fillId="0" borderId="0" xfId="0" applyNumberFormat="1" applyFill="1" applyBorder="1"/>
    <xf numFmtId="14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0" xfId="0" applyFont="1"/>
    <xf numFmtId="0" fontId="3" fillId="9" borderId="0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164" fontId="0" fillId="0" borderId="0" xfId="1" applyNumberFormat="1" applyFont="1" applyFill="1"/>
    <xf numFmtId="164" fontId="0" fillId="0" borderId="0" xfId="0" applyNumberFormat="1" applyAlignment="1">
      <alignment horizontal="center"/>
    </xf>
    <xf numFmtId="0" fontId="3" fillId="9" borderId="1" xfId="0" applyFont="1" applyFill="1" applyBorder="1" applyAlignment="1">
      <alignment horizontal="center"/>
    </xf>
    <xf numFmtId="3" fontId="0" fillId="0" borderId="0" xfId="0" applyNumberFormat="1"/>
    <xf numFmtId="0" fontId="3" fillId="9" borderId="1" xfId="0" applyFont="1" applyFill="1" applyBorder="1" applyAlignment="1">
      <alignment horizontal="center"/>
    </xf>
    <xf numFmtId="3" fontId="0" fillId="0" borderId="0" xfId="0" applyNumberFormat="1" applyFill="1" applyBorder="1"/>
    <xf numFmtId="3" fontId="0" fillId="0" borderId="0" xfId="0" applyNumberFormat="1" applyBorder="1"/>
    <xf numFmtId="0" fontId="3" fillId="11" borderId="16" xfId="0" applyFont="1" applyFill="1" applyBorder="1" applyAlignment="1"/>
    <xf numFmtId="0" fontId="0" fillId="16" borderId="0" xfId="0" applyFill="1" applyBorder="1"/>
    <xf numFmtId="15" fontId="0" fillId="16" borderId="0" xfId="0" applyNumberFormat="1" applyFill="1" applyBorder="1"/>
    <xf numFmtId="0" fontId="3" fillId="11" borderId="16" xfId="0" applyFont="1" applyFill="1" applyBorder="1"/>
    <xf numFmtId="0" fontId="0" fillId="14" borderId="0" xfId="0" applyFill="1" applyBorder="1"/>
    <xf numFmtId="0" fontId="0" fillId="14" borderId="0" xfId="0" applyFill="1"/>
    <xf numFmtId="164" fontId="0" fillId="2" borderId="0" xfId="0" applyNumberFormat="1" applyFill="1"/>
    <xf numFmtId="164" fontId="3" fillId="2" borderId="0" xfId="0" applyNumberFormat="1" applyFont="1" applyFill="1"/>
    <xf numFmtId="164" fontId="3" fillId="2" borderId="0" xfId="1" applyNumberFormat="1" applyFont="1" applyFill="1"/>
    <xf numFmtId="164" fontId="0" fillId="9" borderId="0" xfId="0" applyNumberFormat="1" applyFill="1"/>
    <xf numFmtId="49" fontId="0" fillId="17" borderId="15" xfId="0" applyNumberFormat="1" applyFill="1" applyBorder="1"/>
    <xf numFmtId="0" fontId="0" fillId="16" borderId="15" xfId="0" applyFill="1" applyBorder="1"/>
    <xf numFmtId="3" fontId="0" fillId="9" borderId="0" xfId="0" applyNumberFormat="1" applyFill="1"/>
    <xf numFmtId="0" fontId="0" fillId="0" borderId="0" xfId="0" applyFill="1" applyAlignment="1">
      <alignment horizontal="center"/>
    </xf>
    <xf numFmtId="0" fontId="0" fillId="18" borderId="0" xfId="0" applyFill="1" applyAlignment="1">
      <alignment horizontal="center"/>
    </xf>
    <xf numFmtId="14" fontId="0" fillId="18" borderId="0" xfId="0" applyNumberFormat="1" applyFill="1" applyAlignment="1">
      <alignment horizontal="center"/>
    </xf>
    <xf numFmtId="0" fontId="0" fillId="18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15" xfId="0" applyFill="1" applyBorder="1"/>
    <xf numFmtId="0" fontId="0" fillId="0" borderId="15" xfId="0" applyBorder="1"/>
    <xf numFmtId="15" fontId="0" fillId="16" borderId="15" xfId="0" applyNumberFormat="1" applyFill="1" applyBorder="1"/>
    <xf numFmtId="0" fontId="0" fillId="3" borderId="15" xfId="0" applyFill="1" applyBorder="1"/>
    <xf numFmtId="3" fontId="0" fillId="3" borderId="15" xfId="0" applyNumberFormat="1" applyFill="1" applyBorder="1"/>
    <xf numFmtId="15" fontId="0" fillId="3" borderId="15" xfId="0" applyNumberFormat="1" applyFill="1" applyBorder="1"/>
    <xf numFmtId="3" fontId="3" fillId="11" borderId="16" xfId="0" applyNumberFormat="1" applyFont="1" applyFill="1" applyBorder="1"/>
    <xf numFmtId="3" fontId="0" fillId="0" borderId="15" xfId="0" applyNumberFormat="1" applyBorder="1"/>
    <xf numFmtId="0" fontId="0" fillId="0" borderId="0" xfId="0" applyNumberForma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8" borderId="0" xfId="0" applyFill="1" applyAlignment="1">
      <alignment horizontal="center"/>
    </xf>
    <xf numFmtId="15" fontId="0" fillId="14" borderId="0" xfId="0" applyNumberFormat="1" applyFill="1" applyBorder="1"/>
    <xf numFmtId="15" fontId="0" fillId="15" borderId="0" xfId="0" applyNumberFormat="1" applyFill="1" applyBorder="1"/>
    <xf numFmtId="0" fontId="0" fillId="15" borderId="0" xfId="0" applyFill="1" applyBorder="1"/>
    <xf numFmtId="15" fontId="0" fillId="0" borderId="0" xfId="0" applyNumberFormat="1" applyFill="1" applyBorder="1" applyAlignment="1">
      <alignment horizontal="right"/>
    </xf>
    <xf numFmtId="3" fontId="0" fillId="16" borderId="0" xfId="0" applyNumberFormat="1" applyFill="1" applyBorder="1"/>
    <xf numFmtId="0" fontId="3" fillId="0" borderId="0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H40"/>
  <sheetViews>
    <sheetView zoomScale="80" zoomScaleNormal="80" workbookViewId="0">
      <selection activeCell="AE10" sqref="AE10"/>
    </sheetView>
  </sheetViews>
  <sheetFormatPr defaultRowHeight="15" x14ac:dyDescent="0.25"/>
  <cols>
    <col min="3" max="3" width="15.140625" bestFit="1" customWidth="1"/>
    <col min="4" max="4" width="14.5703125" bestFit="1" customWidth="1"/>
    <col min="5" max="5" width="8.5703125" bestFit="1" customWidth="1"/>
    <col min="6" max="6" width="0.7109375" customWidth="1"/>
    <col min="7" max="7" width="15.140625" bestFit="1" customWidth="1"/>
    <col min="8" max="8" width="4.42578125" bestFit="1" customWidth="1"/>
    <col min="9" max="9" width="8.5703125" bestFit="1" customWidth="1"/>
    <col min="10" max="10" width="0.5703125" customWidth="1"/>
    <col min="11" max="11" width="15.140625" bestFit="1" customWidth="1"/>
    <col min="12" max="12" width="10.28515625" bestFit="1" customWidth="1"/>
    <col min="13" max="13" width="8.5703125" bestFit="1" customWidth="1"/>
    <col min="14" max="14" width="0.7109375" customWidth="1"/>
    <col min="15" max="15" width="15.140625" bestFit="1" customWidth="1"/>
    <col min="16" max="16" width="4.42578125" bestFit="1" customWidth="1"/>
    <col min="17" max="17" width="8.5703125" bestFit="1" customWidth="1"/>
    <col min="18" max="18" width="0.85546875" customWidth="1"/>
    <col min="19" max="19" width="15.140625" bestFit="1" customWidth="1"/>
    <col min="20" max="20" width="16.5703125" bestFit="1" customWidth="1"/>
    <col min="21" max="21" width="9.5703125" bestFit="1" customWidth="1"/>
    <col min="22" max="22" width="5.140625" customWidth="1"/>
    <col min="23" max="23" width="1.140625" customWidth="1"/>
    <col min="24" max="24" width="15.140625" bestFit="1" customWidth="1"/>
    <col min="25" max="25" width="5.5703125" bestFit="1" customWidth="1"/>
    <col min="26" max="26" width="9.5703125" bestFit="1" customWidth="1"/>
    <col min="27" max="27" width="1.140625" customWidth="1"/>
    <col min="29" max="29" width="3.42578125" bestFit="1" customWidth="1"/>
    <col min="30" max="30" width="19" customWidth="1"/>
    <col min="31" max="31" width="13.140625" customWidth="1"/>
    <col min="32" max="32" width="12.140625" bestFit="1" customWidth="1"/>
    <col min="33" max="33" width="10.5703125" bestFit="1" customWidth="1"/>
    <col min="34" max="34" width="13.42578125" bestFit="1" customWidth="1"/>
  </cols>
  <sheetData>
    <row r="1" spans="3:34" ht="15.75" thickBot="1" x14ac:dyDescent="0.3"/>
    <row r="2" spans="3:34" x14ac:dyDescent="0.25">
      <c r="W2" s="9"/>
      <c r="X2" s="10"/>
      <c r="Y2" s="10"/>
      <c r="Z2" s="10"/>
      <c r="AA2" s="11"/>
    </row>
    <row r="3" spans="3:34" ht="15.75" thickBot="1" x14ac:dyDescent="0.3">
      <c r="C3" s="132" t="s">
        <v>24</v>
      </c>
      <c r="D3" s="132"/>
      <c r="E3" s="132"/>
      <c r="G3" s="132" t="s">
        <v>13</v>
      </c>
      <c r="H3" s="132"/>
      <c r="I3" s="132"/>
      <c r="K3" s="132" t="s">
        <v>17</v>
      </c>
      <c r="L3" s="132"/>
      <c r="M3" s="132"/>
      <c r="O3" s="132" t="s">
        <v>12</v>
      </c>
      <c r="P3" s="132"/>
      <c r="Q3" s="132"/>
      <c r="S3" s="132" t="s">
        <v>14</v>
      </c>
      <c r="T3" s="132"/>
      <c r="U3" s="132"/>
      <c r="W3" s="12"/>
      <c r="X3" s="126" t="s">
        <v>16</v>
      </c>
      <c r="Y3" s="126"/>
      <c r="Z3" s="126"/>
      <c r="AA3" s="13"/>
      <c r="AD3" s="133" t="s">
        <v>56</v>
      </c>
      <c r="AE3" s="133"/>
      <c r="AF3" s="133"/>
      <c r="AG3" s="133"/>
      <c r="AH3" s="133"/>
    </row>
    <row r="4" spans="3:34" ht="15.75" thickTop="1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34" s="28" customFormat="1" ht="15.75" thickBot="1" x14ac:dyDescent="0.3">
      <c r="C5" s="31">
        <v>1</v>
      </c>
      <c r="D5" s="31">
        <v>43</v>
      </c>
      <c r="E5" s="4">
        <f>+D5*C5</f>
        <v>43</v>
      </c>
      <c r="G5" s="31">
        <v>1</v>
      </c>
      <c r="H5" s="31"/>
      <c r="I5" s="4">
        <f>+H5*G5</f>
        <v>0</v>
      </c>
      <c r="K5" s="31">
        <v>1</v>
      </c>
      <c r="L5" s="31"/>
      <c r="M5" s="4">
        <f>+L5*K5</f>
        <v>0</v>
      </c>
      <c r="O5" s="31">
        <v>1</v>
      </c>
      <c r="P5" s="31"/>
      <c r="Q5" s="4">
        <f>+P5*O5</f>
        <v>0</v>
      </c>
      <c r="S5" s="31">
        <v>1</v>
      </c>
      <c r="T5" s="31"/>
      <c r="U5" s="4">
        <f>+T5*S5</f>
        <v>0</v>
      </c>
      <c r="W5" s="29"/>
      <c r="X5" s="32">
        <v>1</v>
      </c>
      <c r="Y5" s="15">
        <f>+D5+H5+L5+P5+T5</f>
        <v>43</v>
      </c>
      <c r="Z5" s="16">
        <f>+E5+I5+M5+Q5+U5</f>
        <v>43</v>
      </c>
      <c r="AA5" s="30"/>
      <c r="AD5" s="51" t="s">
        <v>5</v>
      </c>
      <c r="AE5" s="52">
        <f>+Z13</f>
        <v>305653</v>
      </c>
    </row>
    <row r="6" spans="3:34" x14ac:dyDescent="0.25">
      <c r="C6" s="1">
        <v>10</v>
      </c>
      <c r="D6" s="1">
        <v>55</v>
      </c>
      <c r="E6" s="4">
        <f>+D6*C6</f>
        <v>550</v>
      </c>
      <c r="G6" s="1">
        <v>10</v>
      </c>
      <c r="H6" s="1">
        <v>87</v>
      </c>
      <c r="I6" s="4">
        <f>+H6*G6</f>
        <v>870</v>
      </c>
      <c r="K6" s="1">
        <v>10</v>
      </c>
      <c r="L6" s="1">
        <v>30</v>
      </c>
      <c r="M6" s="4">
        <f>+L6*K6</f>
        <v>300</v>
      </c>
      <c r="O6" s="1">
        <v>10</v>
      </c>
      <c r="P6" s="1">
        <v>597</v>
      </c>
      <c r="Q6" s="4">
        <f>+P6*O6</f>
        <v>5970</v>
      </c>
      <c r="S6" s="1">
        <v>10</v>
      </c>
      <c r="T6" s="1">
        <v>272</v>
      </c>
      <c r="U6" s="4">
        <f>+T6*S6</f>
        <v>2720</v>
      </c>
      <c r="W6" s="12"/>
      <c r="X6" s="15">
        <v>10</v>
      </c>
      <c r="Y6" s="15">
        <f>+D6+H6+L6+P6+T6-2</f>
        <v>1039</v>
      </c>
      <c r="Z6" s="16">
        <f>+E6+I6+M6+Q6+U6</f>
        <v>10410</v>
      </c>
      <c r="AA6" s="13"/>
    </row>
    <row r="7" spans="3:34" x14ac:dyDescent="0.25">
      <c r="C7" s="1">
        <v>20</v>
      </c>
      <c r="D7" s="1">
        <v>7</v>
      </c>
      <c r="E7" s="4">
        <f t="shared" ref="E7:E12" si="0">+D7*C7</f>
        <v>140</v>
      </c>
      <c r="G7" s="1">
        <v>20</v>
      </c>
      <c r="H7" s="1">
        <v>7</v>
      </c>
      <c r="I7" s="4">
        <f t="shared" ref="I7:I12" si="1">+H7*G7</f>
        <v>140</v>
      </c>
      <c r="K7" s="1">
        <v>20</v>
      </c>
      <c r="L7" s="1">
        <v>10</v>
      </c>
      <c r="M7" s="4">
        <f t="shared" ref="M7:M12" si="2">+L7*K7</f>
        <v>200</v>
      </c>
      <c r="O7" s="1">
        <v>20</v>
      </c>
      <c r="P7" s="1">
        <v>50</v>
      </c>
      <c r="Q7" s="4">
        <f t="shared" ref="Q7:Q12" si="3">+P7*O7</f>
        <v>1000</v>
      </c>
      <c r="S7" s="1">
        <v>20</v>
      </c>
      <c r="T7" s="1">
        <v>1</v>
      </c>
      <c r="U7" s="4">
        <f t="shared" ref="U7:U12" si="4">+T7*S7</f>
        <v>20</v>
      </c>
      <c r="W7" s="12"/>
      <c r="X7" s="15">
        <v>20</v>
      </c>
      <c r="Y7" s="15">
        <f>+D7+H7+L7+P7+T7-2</f>
        <v>73</v>
      </c>
      <c r="Z7" s="16">
        <f t="shared" ref="Z7:Z12" si="5">+E7+I7+M7+Q7+U7</f>
        <v>1500</v>
      </c>
      <c r="AA7" s="13"/>
      <c r="AD7" s="53" t="s">
        <v>57</v>
      </c>
      <c r="AE7" s="53" t="s">
        <v>2</v>
      </c>
      <c r="AF7" s="53" t="s">
        <v>58</v>
      </c>
      <c r="AG7" s="53" t="s">
        <v>59</v>
      </c>
      <c r="AH7" s="53" t="s">
        <v>60</v>
      </c>
    </row>
    <row r="8" spans="3:34" x14ac:dyDescent="0.25">
      <c r="C8" s="1">
        <v>50</v>
      </c>
      <c r="D8" s="1">
        <v>18</v>
      </c>
      <c r="E8" s="4">
        <f t="shared" si="0"/>
        <v>900</v>
      </c>
      <c r="G8" s="1">
        <v>50</v>
      </c>
      <c r="H8" s="1">
        <v>34</v>
      </c>
      <c r="I8" s="4">
        <f t="shared" si="1"/>
        <v>1700</v>
      </c>
      <c r="K8" s="1">
        <v>50</v>
      </c>
      <c r="L8" s="1">
        <v>22</v>
      </c>
      <c r="M8" s="4">
        <f t="shared" si="2"/>
        <v>1100</v>
      </c>
      <c r="O8" s="1">
        <v>50</v>
      </c>
      <c r="P8" s="1">
        <v>68</v>
      </c>
      <c r="Q8" s="4">
        <f t="shared" si="3"/>
        <v>3400</v>
      </c>
      <c r="S8" s="1">
        <v>50</v>
      </c>
      <c r="T8" s="1"/>
      <c r="U8" s="4">
        <f t="shared" si="4"/>
        <v>0</v>
      </c>
      <c r="W8" s="12"/>
      <c r="X8" s="15">
        <v>50</v>
      </c>
      <c r="Y8" s="15">
        <f t="shared" ref="Y8:Y12" si="6">+D8+H8+L8+P8+T8</f>
        <v>142</v>
      </c>
      <c r="Z8" s="16">
        <f t="shared" si="5"/>
        <v>7100</v>
      </c>
      <c r="AA8" s="13"/>
      <c r="AD8" t="s">
        <v>6</v>
      </c>
      <c r="AE8" s="4">
        <v>295550</v>
      </c>
      <c r="AF8">
        <v>41612787</v>
      </c>
      <c r="AG8" s="58">
        <v>45968</v>
      </c>
      <c r="AH8" t="s">
        <v>61</v>
      </c>
    </row>
    <row r="9" spans="3:34" x14ac:dyDescent="0.25">
      <c r="C9" s="1">
        <v>100</v>
      </c>
      <c r="D9" s="1">
        <v>23</v>
      </c>
      <c r="E9" s="4">
        <f t="shared" si="0"/>
        <v>2300</v>
      </c>
      <c r="G9" s="1">
        <v>100</v>
      </c>
      <c r="H9" s="1">
        <v>38</v>
      </c>
      <c r="I9" s="4">
        <f t="shared" si="1"/>
        <v>3800</v>
      </c>
      <c r="K9" s="1">
        <v>100</v>
      </c>
      <c r="L9" s="1">
        <v>10</v>
      </c>
      <c r="M9" s="4">
        <f t="shared" si="2"/>
        <v>1000</v>
      </c>
      <c r="O9" s="1">
        <v>100</v>
      </c>
      <c r="P9" s="1">
        <v>41</v>
      </c>
      <c r="Q9" s="4">
        <f t="shared" si="3"/>
        <v>4100</v>
      </c>
      <c r="S9" s="1">
        <v>100</v>
      </c>
      <c r="T9" s="1">
        <v>4</v>
      </c>
      <c r="U9" s="4">
        <f t="shared" si="4"/>
        <v>400</v>
      </c>
      <c r="W9" s="12"/>
      <c r="X9" s="15">
        <v>100</v>
      </c>
      <c r="Y9" s="15">
        <f t="shared" si="6"/>
        <v>116</v>
      </c>
      <c r="Z9" s="16">
        <f t="shared" si="5"/>
        <v>11600</v>
      </c>
      <c r="AA9" s="13"/>
      <c r="AD9" t="s">
        <v>62</v>
      </c>
      <c r="AE9" s="4">
        <v>10000</v>
      </c>
    </row>
    <row r="10" spans="3:34" x14ac:dyDescent="0.25">
      <c r="C10" s="1">
        <v>500</v>
      </c>
      <c r="D10" s="1">
        <v>50</v>
      </c>
      <c r="E10" s="4">
        <f t="shared" si="0"/>
        <v>25000</v>
      </c>
      <c r="G10" s="1">
        <v>500</v>
      </c>
      <c r="H10" s="1">
        <v>37</v>
      </c>
      <c r="I10" s="4">
        <f t="shared" si="1"/>
        <v>18500</v>
      </c>
      <c r="K10" s="1">
        <v>500</v>
      </c>
      <c r="L10" s="1">
        <v>31</v>
      </c>
      <c r="M10" s="4">
        <f t="shared" si="2"/>
        <v>15500</v>
      </c>
      <c r="O10" s="1">
        <v>500</v>
      </c>
      <c r="P10" s="1">
        <v>54</v>
      </c>
      <c r="Q10" s="4">
        <f t="shared" si="3"/>
        <v>27000</v>
      </c>
      <c r="S10" s="1">
        <v>500</v>
      </c>
      <c r="T10" s="1">
        <v>42</v>
      </c>
      <c r="U10" s="4">
        <f t="shared" si="4"/>
        <v>21000</v>
      </c>
      <c r="W10" s="12"/>
      <c r="X10" s="15">
        <v>500</v>
      </c>
      <c r="Y10" s="15">
        <f t="shared" si="6"/>
        <v>214</v>
      </c>
      <c r="Z10" s="16">
        <f t="shared" si="5"/>
        <v>107000</v>
      </c>
      <c r="AA10" s="13"/>
      <c r="AD10" t="s">
        <v>63</v>
      </c>
      <c r="AE10" s="4">
        <v>1000</v>
      </c>
    </row>
    <row r="11" spans="3:34" x14ac:dyDescent="0.25">
      <c r="C11" s="1">
        <v>1000</v>
      </c>
      <c r="D11" s="1">
        <v>39</v>
      </c>
      <c r="E11" s="4">
        <f t="shared" si="0"/>
        <v>39000</v>
      </c>
      <c r="G11" s="1">
        <v>1000</v>
      </c>
      <c r="H11" s="1">
        <v>37</v>
      </c>
      <c r="I11" s="4">
        <f t="shared" si="1"/>
        <v>37000</v>
      </c>
      <c r="K11" s="1">
        <v>1000</v>
      </c>
      <c r="L11" s="1">
        <v>27</v>
      </c>
      <c r="M11" s="4">
        <f t="shared" si="2"/>
        <v>27000</v>
      </c>
      <c r="O11" s="1">
        <v>1000</v>
      </c>
      <c r="P11" s="1">
        <v>43</v>
      </c>
      <c r="Q11" s="4">
        <f t="shared" si="3"/>
        <v>43000</v>
      </c>
      <c r="S11" s="1">
        <v>1000</v>
      </c>
      <c r="T11" s="1">
        <v>7</v>
      </c>
      <c r="U11" s="4">
        <f t="shared" si="4"/>
        <v>7000</v>
      </c>
      <c r="W11" s="12"/>
      <c r="X11" s="15">
        <v>1000</v>
      </c>
      <c r="Y11" s="15">
        <f t="shared" si="6"/>
        <v>153</v>
      </c>
      <c r="Z11" s="16">
        <f t="shared" si="5"/>
        <v>153000</v>
      </c>
      <c r="AA11" s="13"/>
      <c r="AD11" t="s">
        <v>64</v>
      </c>
      <c r="AE11" s="4">
        <v>200</v>
      </c>
    </row>
    <row r="12" spans="3:34" x14ac:dyDescent="0.25">
      <c r="C12" s="1">
        <v>5000</v>
      </c>
      <c r="D12" s="1">
        <v>1</v>
      </c>
      <c r="E12" s="4">
        <f t="shared" si="0"/>
        <v>5000</v>
      </c>
      <c r="G12" s="1">
        <v>5000</v>
      </c>
      <c r="H12" s="1"/>
      <c r="I12" s="4">
        <f t="shared" si="1"/>
        <v>0</v>
      </c>
      <c r="K12" s="1">
        <v>5000</v>
      </c>
      <c r="L12" s="1">
        <v>1</v>
      </c>
      <c r="M12" s="4">
        <f t="shared" si="2"/>
        <v>5000</v>
      </c>
      <c r="O12" s="1">
        <v>5000</v>
      </c>
      <c r="P12" s="1">
        <v>1</v>
      </c>
      <c r="Q12" s="4">
        <f t="shared" si="3"/>
        <v>5000</v>
      </c>
      <c r="S12" s="1">
        <v>5000</v>
      </c>
      <c r="T12" s="1"/>
      <c r="U12" s="4">
        <f t="shared" si="4"/>
        <v>0</v>
      </c>
      <c r="W12" s="12"/>
      <c r="X12" s="15">
        <v>5000</v>
      </c>
      <c r="Y12" s="15">
        <f t="shared" si="6"/>
        <v>3</v>
      </c>
      <c r="Z12" s="16">
        <f t="shared" si="5"/>
        <v>15000</v>
      </c>
      <c r="AA12" s="13"/>
      <c r="AD12" t="s">
        <v>65</v>
      </c>
      <c r="AE12" s="4">
        <v>600</v>
      </c>
    </row>
    <row r="13" spans="3:34" ht="15.75" thickBot="1" x14ac:dyDescent="0.3">
      <c r="C13" s="2" t="s">
        <v>3</v>
      </c>
      <c r="D13" s="2"/>
      <c r="E13" s="5">
        <f>+SUM(E5:E12)</f>
        <v>72933</v>
      </c>
      <c r="G13" s="2" t="s">
        <v>3</v>
      </c>
      <c r="H13" s="2"/>
      <c r="I13" s="5">
        <f>+SUM(I5:I12)</f>
        <v>62010</v>
      </c>
      <c r="K13" s="2" t="s">
        <v>3</v>
      </c>
      <c r="L13" s="2"/>
      <c r="M13" s="5">
        <f>+SUM(M5:M12)</f>
        <v>50100</v>
      </c>
      <c r="O13" s="2" t="s">
        <v>3</v>
      </c>
      <c r="P13" s="2"/>
      <c r="Q13" s="5">
        <f>+SUM(Q5:Q12)</f>
        <v>89470</v>
      </c>
      <c r="S13" s="2" t="s">
        <v>3</v>
      </c>
      <c r="T13" s="2"/>
      <c r="U13" s="5">
        <f>+SUM(U5:U12)</f>
        <v>31140</v>
      </c>
      <c r="W13" s="12"/>
      <c r="X13" s="2" t="s">
        <v>3</v>
      </c>
      <c r="Y13" s="2"/>
      <c r="Z13" s="5">
        <f>+SUM(Z5:Z12)</f>
        <v>305653</v>
      </c>
      <c r="AA13" s="13"/>
      <c r="AD13" s="54" t="s">
        <v>10</v>
      </c>
      <c r="AE13" s="55">
        <f>+SUM(AE8:AE12)</f>
        <v>307350</v>
      </c>
    </row>
    <row r="14" spans="3:34" ht="15.75" thickBot="1" x14ac:dyDescent="0.3">
      <c r="W14" s="12"/>
      <c r="X14" s="17"/>
      <c r="Y14" s="17"/>
      <c r="Z14" s="17"/>
      <c r="AA14" s="13"/>
      <c r="AD14" s="56" t="s">
        <v>66</v>
      </c>
      <c r="AE14" s="57">
        <f>+AE13-AE5</f>
        <v>1697</v>
      </c>
      <c r="AF14" t="s">
        <v>67</v>
      </c>
    </row>
    <row r="15" spans="3:34" s="33" customFormat="1" ht="15.75" thickBot="1" x14ac:dyDescent="0.3">
      <c r="C15" s="127" t="s">
        <v>4</v>
      </c>
      <c r="D15" s="128"/>
      <c r="E15" s="7">
        <v>83071</v>
      </c>
      <c r="G15" s="127" t="s">
        <v>4</v>
      </c>
      <c r="H15" s="128"/>
      <c r="I15" s="7">
        <v>63825</v>
      </c>
      <c r="K15" s="127" t="s">
        <v>4</v>
      </c>
      <c r="L15" s="128"/>
      <c r="M15" s="7">
        <v>63148</v>
      </c>
      <c r="O15" s="127" t="s">
        <v>4</v>
      </c>
      <c r="P15" s="128"/>
      <c r="Q15" s="7">
        <v>89467</v>
      </c>
      <c r="S15" s="127" t="s">
        <v>4</v>
      </c>
      <c r="T15" s="128"/>
      <c r="U15" s="7">
        <v>240515</v>
      </c>
      <c r="W15" s="34"/>
      <c r="X15" s="127" t="s">
        <v>4</v>
      </c>
      <c r="Y15" s="128"/>
      <c r="Z15" s="7">
        <f>+E15+I15+M15+Q15+U15</f>
        <v>540026</v>
      </c>
      <c r="AA15" s="35"/>
    </row>
    <row r="16" spans="3:34" x14ac:dyDescent="0.25">
      <c r="C16" t="s">
        <v>5</v>
      </c>
      <c r="E16" s="4">
        <f>+E13</f>
        <v>72933</v>
      </c>
      <c r="G16" t="s">
        <v>5</v>
      </c>
      <c r="I16" s="4">
        <f>+I13</f>
        <v>62010</v>
      </c>
      <c r="K16" t="s">
        <v>5</v>
      </c>
      <c r="M16" s="4">
        <f>+M13</f>
        <v>50100</v>
      </c>
      <c r="O16" t="s">
        <v>5</v>
      </c>
      <c r="Q16" s="4">
        <f>+Q13</f>
        <v>89470</v>
      </c>
      <c r="S16" t="s">
        <v>5</v>
      </c>
      <c r="U16" s="4">
        <f>+U13</f>
        <v>31140</v>
      </c>
      <c r="W16" s="12"/>
      <c r="X16" s="17" t="s">
        <v>5</v>
      </c>
      <c r="Y16" s="17"/>
      <c r="Z16" s="16">
        <f>+E16+I16+M16+Q16+U16</f>
        <v>305653</v>
      </c>
      <c r="AA16" s="13"/>
    </row>
    <row r="17" spans="3:27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17" t="s">
        <v>6</v>
      </c>
      <c r="Y17" s="17"/>
      <c r="Z17" s="16">
        <f t="shared" ref="Z17:Z27" si="7">+E17+I17+M17+Q17+U17</f>
        <v>0</v>
      </c>
      <c r="AA17" s="13"/>
    </row>
    <row r="18" spans="3:27" x14ac:dyDescent="0.25">
      <c r="C18" t="s">
        <v>25</v>
      </c>
      <c r="D18" t="s">
        <v>26</v>
      </c>
      <c r="E18" s="4">
        <v>9000</v>
      </c>
      <c r="G18" t="s">
        <v>7</v>
      </c>
      <c r="I18" s="4"/>
      <c r="K18" t="s">
        <v>20</v>
      </c>
      <c r="L18" t="s">
        <v>18</v>
      </c>
      <c r="M18" s="4">
        <v>8957</v>
      </c>
      <c r="O18" t="s">
        <v>7</v>
      </c>
      <c r="Q18" s="4"/>
      <c r="S18" t="s">
        <v>33</v>
      </c>
      <c r="T18" t="s">
        <v>35</v>
      </c>
      <c r="U18" s="4">
        <v>13220</v>
      </c>
      <c r="W18" s="12"/>
      <c r="X18" s="17" t="s">
        <v>7</v>
      </c>
      <c r="Y18" s="17"/>
      <c r="Z18" s="16">
        <f t="shared" si="7"/>
        <v>31177</v>
      </c>
      <c r="AA18" s="13"/>
    </row>
    <row r="19" spans="3:27" x14ac:dyDescent="0.25">
      <c r="C19" t="s">
        <v>8</v>
      </c>
      <c r="E19" s="4"/>
      <c r="G19" t="s">
        <v>8</v>
      </c>
      <c r="I19" s="4"/>
      <c r="K19" t="s">
        <v>21</v>
      </c>
      <c r="L19" t="s">
        <v>19</v>
      </c>
      <c r="M19" s="4">
        <v>4091</v>
      </c>
      <c r="O19" t="s">
        <v>8</v>
      </c>
      <c r="Q19" s="4"/>
      <c r="S19" t="s">
        <v>33</v>
      </c>
      <c r="T19" t="s">
        <v>34</v>
      </c>
      <c r="U19" s="4">
        <v>37904</v>
      </c>
      <c r="W19" s="12"/>
      <c r="X19" s="17" t="s">
        <v>8</v>
      </c>
      <c r="Y19" s="17"/>
      <c r="Z19" s="16">
        <f t="shared" si="7"/>
        <v>41995</v>
      </c>
      <c r="AA19" s="13"/>
    </row>
    <row r="20" spans="3:27" x14ac:dyDescent="0.25">
      <c r="C20" t="s">
        <v>9</v>
      </c>
      <c r="E20" s="4"/>
      <c r="G20" t="s">
        <v>9</v>
      </c>
      <c r="I20" s="4"/>
      <c r="K20" t="s">
        <v>9</v>
      </c>
      <c r="M20" s="4"/>
      <c r="O20" t="s">
        <v>9</v>
      </c>
      <c r="Q20" s="4"/>
      <c r="S20" t="s">
        <v>36</v>
      </c>
      <c r="T20" t="s">
        <v>37</v>
      </c>
      <c r="U20" s="4">
        <v>23000</v>
      </c>
      <c r="W20" s="12"/>
      <c r="X20" s="17" t="s">
        <v>9</v>
      </c>
      <c r="Y20" s="17"/>
      <c r="Z20" s="16">
        <f t="shared" si="7"/>
        <v>23000</v>
      </c>
      <c r="AA20" s="13"/>
    </row>
    <row r="21" spans="3:27" x14ac:dyDescent="0.25">
      <c r="E21" s="4"/>
      <c r="I21" s="4"/>
      <c r="M21" s="4"/>
      <c r="Q21" s="4"/>
      <c r="S21" t="s">
        <v>38</v>
      </c>
      <c r="T21" t="s">
        <v>39</v>
      </c>
      <c r="U21" s="4">
        <v>23000</v>
      </c>
      <c r="W21" s="12"/>
      <c r="X21" s="17"/>
      <c r="Y21" s="17"/>
      <c r="Z21" s="16">
        <f t="shared" si="7"/>
        <v>23000</v>
      </c>
      <c r="AA21" s="13"/>
    </row>
    <row r="22" spans="3:27" x14ac:dyDescent="0.25">
      <c r="E22" s="4"/>
      <c r="I22" s="4"/>
      <c r="M22" s="4"/>
      <c r="Q22" s="4"/>
      <c r="U22" s="4"/>
      <c r="W22" s="12"/>
      <c r="X22" s="17"/>
      <c r="Y22" s="17"/>
      <c r="Z22" s="16">
        <f t="shared" si="7"/>
        <v>0</v>
      </c>
      <c r="AA22" s="13"/>
    </row>
    <row r="23" spans="3:27" x14ac:dyDescent="0.25">
      <c r="E23" s="4"/>
      <c r="I23" s="4"/>
      <c r="M23" s="4"/>
      <c r="Q23" s="4"/>
      <c r="S23" t="s">
        <v>28</v>
      </c>
      <c r="T23" t="s">
        <v>27</v>
      </c>
      <c r="U23" s="4">
        <v>53477</v>
      </c>
      <c r="W23" s="12"/>
      <c r="X23" t="s">
        <v>28</v>
      </c>
      <c r="Y23" s="17"/>
      <c r="Z23" s="16">
        <f t="shared" si="7"/>
        <v>53477</v>
      </c>
      <c r="AA23" s="13"/>
    </row>
    <row r="24" spans="3:27" x14ac:dyDescent="0.25">
      <c r="E24" s="4"/>
      <c r="I24" s="4"/>
      <c r="M24" s="4"/>
      <c r="Q24" s="4"/>
      <c r="S24" t="s">
        <v>29</v>
      </c>
      <c r="T24" t="s">
        <v>30</v>
      </c>
      <c r="U24" s="4">
        <v>29762</v>
      </c>
      <c r="W24" s="12"/>
      <c r="X24" t="s">
        <v>29</v>
      </c>
      <c r="Y24" s="17"/>
      <c r="Z24" s="16">
        <f t="shared" si="7"/>
        <v>29762</v>
      </c>
      <c r="AA24" s="13"/>
    </row>
    <row r="25" spans="3:27" x14ac:dyDescent="0.25">
      <c r="E25" s="4"/>
      <c r="I25" s="4"/>
      <c r="M25" s="4"/>
      <c r="Q25" s="4"/>
      <c r="S25" t="s">
        <v>31</v>
      </c>
      <c r="T25" t="s">
        <v>32</v>
      </c>
      <c r="U25" s="4">
        <v>22792</v>
      </c>
      <c r="W25" s="12"/>
      <c r="X25" t="s">
        <v>31</v>
      </c>
      <c r="Y25" s="17"/>
      <c r="Z25" s="16">
        <f t="shared" si="7"/>
        <v>22792</v>
      </c>
      <c r="AA25" s="13"/>
    </row>
    <row r="26" spans="3:27" x14ac:dyDescent="0.25">
      <c r="E26" s="4"/>
      <c r="I26" s="4"/>
      <c r="M26" s="4"/>
      <c r="Q26" s="4"/>
      <c r="W26" s="12"/>
      <c r="X26" s="21"/>
      <c r="Y26" s="17"/>
      <c r="Z26" s="16">
        <f t="shared" si="7"/>
        <v>0</v>
      </c>
      <c r="AA26" s="13"/>
    </row>
    <row r="27" spans="3:27" ht="15.75" thickBot="1" x14ac:dyDescent="0.3">
      <c r="E27" s="4"/>
      <c r="I27" s="4"/>
      <c r="M27" s="4"/>
      <c r="Q27" s="4"/>
      <c r="U27" s="4"/>
      <c r="W27" s="12"/>
      <c r="X27" s="21"/>
      <c r="Y27" s="17"/>
      <c r="Z27" s="16">
        <f t="shared" si="7"/>
        <v>0</v>
      </c>
      <c r="AA27" s="13"/>
    </row>
    <row r="28" spans="3:27" ht="15.75" thickBot="1" x14ac:dyDescent="0.3">
      <c r="C28" s="129" t="s">
        <v>10</v>
      </c>
      <c r="D28" s="130"/>
      <c r="E28" s="8">
        <f>+SUM(E16:E27)</f>
        <v>81933</v>
      </c>
      <c r="G28" s="129" t="s">
        <v>10</v>
      </c>
      <c r="H28" s="130"/>
      <c r="I28" s="8">
        <f>+SUM(I16:I27)</f>
        <v>62010</v>
      </c>
      <c r="K28" s="129" t="s">
        <v>10</v>
      </c>
      <c r="L28" s="130"/>
      <c r="M28" s="8">
        <f>+SUM(M16:M27)</f>
        <v>63148</v>
      </c>
      <c r="O28" s="129" t="s">
        <v>10</v>
      </c>
      <c r="P28" s="130"/>
      <c r="Q28" s="8">
        <f>+SUM(Q16:Q27)</f>
        <v>89470</v>
      </c>
      <c r="S28" s="129" t="s">
        <v>10</v>
      </c>
      <c r="T28" s="130"/>
      <c r="U28" s="8">
        <f>+SUM(U16:U27)</f>
        <v>234295</v>
      </c>
      <c r="W28" s="12"/>
      <c r="X28" s="129" t="s">
        <v>10</v>
      </c>
      <c r="Y28" s="130"/>
      <c r="Z28" s="8">
        <f>+SUM(Z16:Z27)</f>
        <v>530856</v>
      </c>
      <c r="AA28" s="13"/>
    </row>
    <row r="29" spans="3:27" ht="7.5" customHeight="1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27" ht="15.75" thickBot="1" x14ac:dyDescent="0.3">
      <c r="C30" s="131" t="s">
        <v>11</v>
      </c>
      <c r="D30" s="131"/>
      <c r="E30" s="6">
        <f>+E28-E15</f>
        <v>-1138</v>
      </c>
      <c r="G30" s="131" t="s">
        <v>11</v>
      </c>
      <c r="H30" s="131"/>
      <c r="I30" s="6">
        <f>+I28-I15</f>
        <v>-1815</v>
      </c>
      <c r="K30" s="131" t="s">
        <v>11</v>
      </c>
      <c r="L30" s="131"/>
      <c r="M30" s="6">
        <f>+M28-M15</f>
        <v>0</v>
      </c>
      <c r="O30" s="131" t="s">
        <v>11</v>
      </c>
      <c r="P30" s="131"/>
      <c r="Q30" s="6">
        <f>+Q28-Q15</f>
        <v>3</v>
      </c>
      <c r="S30" s="131" t="s">
        <v>11</v>
      </c>
      <c r="T30" s="131"/>
      <c r="U30" s="6">
        <f>+U28-U15</f>
        <v>-6220</v>
      </c>
      <c r="W30" s="12"/>
      <c r="X30" s="131" t="s">
        <v>11</v>
      </c>
      <c r="Y30" s="131"/>
      <c r="Z30" s="6">
        <f>+Z28-Z15</f>
        <v>-9170</v>
      </c>
      <c r="AA30" s="13"/>
    </row>
    <row r="31" spans="3:27" ht="16.5" thickTop="1" thickBot="1" x14ac:dyDescent="0.3">
      <c r="W31" s="18"/>
      <c r="X31" s="19"/>
      <c r="Y31" s="19"/>
      <c r="Z31" s="19"/>
      <c r="AA31" s="20"/>
    </row>
    <row r="32" spans="3:27" ht="6.75" customHeight="1" x14ac:dyDescent="0.25"/>
    <row r="33" spans="3:26" ht="5.25" customHeight="1" thickBot="1" x14ac:dyDescent="0.3"/>
    <row r="34" spans="3:26" x14ac:dyDescent="0.25">
      <c r="C34" s="9" t="s">
        <v>15</v>
      </c>
      <c r="D34" s="10"/>
      <c r="E34" s="23">
        <v>1138</v>
      </c>
      <c r="G34" s="9" t="s">
        <v>15</v>
      </c>
      <c r="H34" s="10"/>
      <c r="I34" s="23">
        <v>1765</v>
      </c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/>
      <c r="X34" s="9" t="s">
        <v>15</v>
      </c>
      <c r="Y34" s="10"/>
      <c r="Z34" s="23">
        <f>+E34+I34+M34+Q34+U34</f>
        <v>2903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>
        <v>50</v>
      </c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>
        <f>555+1136+774</f>
        <v>2465</v>
      </c>
      <c r="X35" s="12" t="s">
        <v>40</v>
      </c>
      <c r="Y35" s="17"/>
      <c r="Z35" s="24">
        <f t="shared" ref="Z35:Z36" si="8">+E35+I35+M35+Q35+U35</f>
        <v>2515</v>
      </c>
    </row>
    <row r="36" spans="3:26" x14ac:dyDescent="0.25">
      <c r="C36" s="12" t="s">
        <v>23</v>
      </c>
      <c r="D36" s="17"/>
      <c r="E36" s="24"/>
      <c r="G36" s="12" t="s">
        <v>23</v>
      </c>
      <c r="H36" s="17"/>
      <c r="I36" s="24"/>
      <c r="K36" s="12" t="s">
        <v>23</v>
      </c>
      <c r="L36" s="17"/>
      <c r="M36" s="24"/>
      <c r="O36" s="12" t="s">
        <v>42</v>
      </c>
      <c r="P36" s="17"/>
      <c r="Q36" s="24">
        <v>-3</v>
      </c>
      <c r="S36" s="12" t="s">
        <v>41</v>
      </c>
      <c r="T36" s="17"/>
      <c r="U36" s="24">
        <v>3755</v>
      </c>
      <c r="X36" s="12" t="s">
        <v>23</v>
      </c>
      <c r="Y36" s="17"/>
      <c r="Z36" s="24">
        <f t="shared" si="8"/>
        <v>3752</v>
      </c>
    </row>
    <row r="37" spans="3:26" x14ac:dyDescent="0.25">
      <c r="C37" s="12" t="s">
        <v>3</v>
      </c>
      <c r="D37" s="17"/>
      <c r="E37" s="24">
        <f>+SUM(E34:E36)</f>
        <v>1138</v>
      </c>
      <c r="G37" s="12" t="s">
        <v>3</v>
      </c>
      <c r="H37" s="17"/>
      <c r="I37" s="24">
        <f>+SUM(I34:I36)</f>
        <v>1815</v>
      </c>
      <c r="K37" s="12" t="s">
        <v>3</v>
      </c>
      <c r="L37" s="17"/>
      <c r="M37" s="24">
        <f>+SUM(M34:M36)</f>
        <v>0</v>
      </c>
      <c r="O37" s="12" t="s">
        <v>3</v>
      </c>
      <c r="P37" s="17"/>
      <c r="Q37" s="24">
        <f>+SUM(Q34:Q36)</f>
        <v>-3</v>
      </c>
      <c r="S37" s="12" t="s">
        <v>3</v>
      </c>
      <c r="T37" s="17"/>
      <c r="U37" s="24">
        <f>+SUM(U34:U36)</f>
        <v>6220</v>
      </c>
      <c r="X37" s="36" t="s">
        <v>3</v>
      </c>
      <c r="Y37" s="37"/>
      <c r="Z37" s="38">
        <f>+SUM(Z34:Z36)</f>
        <v>9170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0</v>
      </c>
    </row>
    <row r="40" spans="3:26" x14ac:dyDescent="0.25">
      <c r="Z40" s="22"/>
    </row>
  </sheetData>
  <mergeCells count="25">
    <mergeCell ref="AD3:AH3"/>
    <mergeCell ref="C30:D30"/>
    <mergeCell ref="C15:D15"/>
    <mergeCell ref="C28:D28"/>
    <mergeCell ref="C3:E3"/>
    <mergeCell ref="G3:I3"/>
    <mergeCell ref="G15:H15"/>
    <mergeCell ref="G28:H28"/>
    <mergeCell ref="G30:H30"/>
    <mergeCell ref="K3:M3"/>
    <mergeCell ref="K15:L15"/>
    <mergeCell ref="K28:L28"/>
    <mergeCell ref="K30:L30"/>
    <mergeCell ref="O3:Q3"/>
    <mergeCell ref="O15:P15"/>
    <mergeCell ref="O28:P28"/>
    <mergeCell ref="X3:Z3"/>
    <mergeCell ref="X15:Y15"/>
    <mergeCell ref="X28:Y28"/>
    <mergeCell ref="X30:Y30"/>
    <mergeCell ref="O30:P30"/>
    <mergeCell ref="S3:U3"/>
    <mergeCell ref="S15:T15"/>
    <mergeCell ref="S28:T28"/>
    <mergeCell ref="S30:T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40"/>
  <sheetViews>
    <sheetView zoomScale="60" zoomScaleNormal="60" workbookViewId="0">
      <selection activeCell="U35" activeCellId="1" sqref="Q35 U35"/>
    </sheetView>
  </sheetViews>
  <sheetFormatPr defaultRowHeight="15" x14ac:dyDescent="0.25"/>
  <cols>
    <col min="3" max="3" width="15.7109375" bestFit="1" customWidth="1"/>
    <col min="4" max="4" width="19.28515625" bestFit="1" customWidth="1"/>
    <col min="5" max="5" width="12.42578125" bestFit="1" customWidth="1"/>
    <col min="6" max="6" width="0.7109375" customWidth="1"/>
    <col min="7" max="7" width="13" customWidth="1"/>
    <col min="8" max="8" width="13.7109375" customWidth="1"/>
    <col min="9" max="9" width="11.42578125" bestFit="1" customWidth="1"/>
    <col min="10" max="10" width="0.5703125" customWidth="1"/>
    <col min="11" max="11" width="15.7109375" bestFit="1" customWidth="1"/>
    <col min="12" max="12" width="14.85546875" bestFit="1" customWidth="1"/>
    <col min="13" max="13" width="11" bestFit="1" customWidth="1"/>
    <col min="14" max="14" width="0.7109375" customWidth="1"/>
    <col min="15" max="15" width="15.42578125" bestFit="1" customWidth="1"/>
    <col min="16" max="16" width="18.5703125" bestFit="1" customWidth="1"/>
    <col min="17" max="17" width="11.42578125" bestFit="1" customWidth="1"/>
    <col min="18" max="18" width="0.85546875" customWidth="1"/>
    <col min="19" max="19" width="15.85546875" bestFit="1" customWidth="1"/>
    <col min="20" max="20" width="23" bestFit="1" customWidth="1"/>
    <col min="21" max="21" width="13.28515625" bestFit="1" customWidth="1"/>
    <col min="22" max="22" width="5.140625" customWidth="1"/>
    <col min="23" max="23" width="1.140625" customWidth="1"/>
    <col min="24" max="24" width="13.5703125" bestFit="1" customWidth="1"/>
    <col min="26" max="26" width="12.85546875" bestFit="1" customWidth="1"/>
    <col min="27" max="27" width="1.140625" customWidth="1"/>
    <col min="29" max="29" width="12.42578125" bestFit="1" customWidth="1"/>
    <col min="30" max="30" width="13.5703125" customWidth="1"/>
    <col min="31" max="31" width="15.28515625" bestFit="1" customWidth="1"/>
    <col min="32" max="32" width="10.28515625" bestFit="1" customWidth="1"/>
    <col min="33" max="33" width="12.5703125" bestFit="1" customWidth="1"/>
    <col min="36" max="36" width="10.42578125" customWidth="1"/>
    <col min="37" max="37" width="12.85546875" bestFit="1" customWidth="1"/>
  </cols>
  <sheetData>
    <row r="1" spans="3:37" ht="15.75" thickBot="1" x14ac:dyDescent="0.3"/>
    <row r="2" spans="3:37" x14ac:dyDescent="0.25">
      <c r="C2" s="59"/>
      <c r="G2" s="59"/>
      <c r="H2" s="59"/>
      <c r="I2" s="59"/>
      <c r="K2" s="59"/>
      <c r="L2" s="59"/>
      <c r="M2" s="59"/>
      <c r="O2" s="59"/>
      <c r="P2" s="59"/>
      <c r="Q2" s="59"/>
      <c r="W2" s="9"/>
      <c r="X2" s="10"/>
      <c r="Y2" s="10"/>
      <c r="Z2" s="10"/>
      <c r="AA2" s="11"/>
    </row>
    <row r="3" spans="3:37" ht="15.75" thickBot="1" x14ac:dyDescent="0.3">
      <c r="C3" s="132" t="s">
        <v>24</v>
      </c>
      <c r="D3" s="132"/>
      <c r="E3" s="132"/>
      <c r="G3" s="132" t="s">
        <v>13</v>
      </c>
      <c r="H3" s="132"/>
      <c r="I3" s="132"/>
      <c r="K3" s="132" t="s">
        <v>44</v>
      </c>
      <c r="L3" s="132"/>
      <c r="M3" s="132"/>
      <c r="O3" s="132" t="s">
        <v>12</v>
      </c>
      <c r="P3" s="132"/>
      <c r="Q3" s="132"/>
      <c r="S3" s="132" t="s">
        <v>48</v>
      </c>
      <c r="T3" s="132"/>
      <c r="U3" s="132"/>
      <c r="W3" s="12"/>
      <c r="X3" s="126" t="s">
        <v>16</v>
      </c>
      <c r="Y3" s="126"/>
      <c r="Z3" s="126"/>
      <c r="AA3" s="13"/>
      <c r="AC3" s="133" t="s">
        <v>56</v>
      </c>
      <c r="AD3" s="133"/>
      <c r="AE3" s="133"/>
      <c r="AF3" s="133"/>
      <c r="AG3" s="133"/>
    </row>
    <row r="4" spans="3:37" ht="15.75" thickTop="1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  <c r="AI4" s="3" t="s">
        <v>0</v>
      </c>
      <c r="AJ4" s="3" t="s">
        <v>1</v>
      </c>
      <c r="AK4" s="3" t="s">
        <v>2</v>
      </c>
    </row>
    <row r="5" spans="3:37" s="28" customFormat="1" ht="15.75" thickBot="1" x14ac:dyDescent="0.3">
      <c r="C5" s="31">
        <v>1</v>
      </c>
      <c r="D5" s="31">
        <v>46</v>
      </c>
      <c r="E5" s="39">
        <f>+D5*C5</f>
        <v>46</v>
      </c>
      <c r="G5" s="31">
        <v>1</v>
      </c>
      <c r="H5" s="31">
        <v>76</v>
      </c>
      <c r="I5" s="39">
        <f>+H5*G5</f>
        <v>76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122</v>
      </c>
      <c r="Z5" s="40">
        <f>+E5+I5+M5+Q5+U5</f>
        <v>122</v>
      </c>
      <c r="AA5" s="30"/>
      <c r="AC5" s="51" t="s">
        <v>5</v>
      </c>
      <c r="AD5" s="52">
        <f>+Z13</f>
        <v>278462</v>
      </c>
      <c r="AI5" s="31">
        <v>1</v>
      </c>
      <c r="AJ5" s="31">
        <v>122</v>
      </c>
      <c r="AK5" s="39">
        <f>+AJ5*AI5</f>
        <v>122</v>
      </c>
    </row>
    <row r="6" spans="3:37" x14ac:dyDescent="0.25">
      <c r="C6" s="1">
        <v>10</v>
      </c>
      <c r="D6" s="1">
        <v>31</v>
      </c>
      <c r="E6" s="39">
        <f>+D6*C6</f>
        <v>310</v>
      </c>
      <c r="G6" s="1">
        <v>10</v>
      </c>
      <c r="H6" s="1">
        <v>57</v>
      </c>
      <c r="I6" s="39">
        <f>+H6*G6</f>
        <v>570</v>
      </c>
      <c r="K6" s="1">
        <v>10</v>
      </c>
      <c r="L6" s="1">
        <v>120</v>
      </c>
      <c r="M6" s="39">
        <f>+L6*K6</f>
        <v>1200</v>
      </c>
      <c r="O6" s="1">
        <v>10</v>
      </c>
      <c r="P6" s="1">
        <v>212</v>
      </c>
      <c r="Q6" s="39">
        <f>+P6*O6</f>
        <v>2120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420</v>
      </c>
      <c r="Z6" s="40">
        <f>+E6+I6+M6+Q6+U6</f>
        <v>4200</v>
      </c>
      <c r="AA6" s="13"/>
      <c r="AI6" s="1">
        <v>10</v>
      </c>
      <c r="AJ6" s="1">
        <v>420</v>
      </c>
      <c r="AK6" s="39">
        <f>+AJ6*AI6</f>
        <v>4200</v>
      </c>
    </row>
    <row r="7" spans="3:37" x14ac:dyDescent="0.25">
      <c r="C7" s="1">
        <v>20</v>
      </c>
      <c r="D7" s="1">
        <v>7</v>
      </c>
      <c r="E7" s="39">
        <f t="shared" ref="E7:E12" si="0">+D7*C7</f>
        <v>140</v>
      </c>
      <c r="G7" s="1">
        <v>20</v>
      </c>
      <c r="H7" s="1">
        <v>11</v>
      </c>
      <c r="I7" s="39">
        <f t="shared" ref="I7:I12" si="1">+H7*G7</f>
        <v>220</v>
      </c>
      <c r="K7" s="1">
        <v>20</v>
      </c>
      <c r="L7" s="1">
        <v>33</v>
      </c>
      <c r="M7" s="39">
        <f t="shared" ref="M7:M12" si="2">+L7*K7</f>
        <v>660</v>
      </c>
      <c r="O7" s="1">
        <v>20</v>
      </c>
      <c r="P7" s="1"/>
      <c r="Q7" s="39">
        <f t="shared" ref="Q7:Q12" si="3">+P7*O7</f>
        <v>0</v>
      </c>
      <c r="S7" s="1">
        <v>20</v>
      </c>
      <c r="T7" s="1">
        <v>1</v>
      </c>
      <c r="U7" s="39">
        <f t="shared" ref="U7:U12" si="4">+T7*S7</f>
        <v>20</v>
      </c>
      <c r="W7" s="12"/>
      <c r="X7" s="42">
        <v>20</v>
      </c>
      <c r="Y7" s="42">
        <f>+D7+H7+L7+P7+T7</f>
        <v>52</v>
      </c>
      <c r="Z7" s="40">
        <f t="shared" ref="Z7:Z12" si="5">+E7+I7+M7+Q7+U7</f>
        <v>1040</v>
      </c>
      <c r="AA7" s="13"/>
      <c r="AC7" s="53" t="s">
        <v>57</v>
      </c>
      <c r="AD7" s="53" t="s">
        <v>2</v>
      </c>
      <c r="AE7" s="53" t="s">
        <v>58</v>
      </c>
      <c r="AF7" s="53" t="s">
        <v>59</v>
      </c>
      <c r="AG7" s="53" t="s">
        <v>6</v>
      </c>
      <c r="AI7" s="1">
        <v>20</v>
      </c>
      <c r="AJ7" s="1">
        <v>52</v>
      </c>
      <c r="AK7" s="39">
        <f t="shared" ref="AK7:AK12" si="6">+AJ7*AI7</f>
        <v>1040</v>
      </c>
    </row>
    <row r="8" spans="3:37" x14ac:dyDescent="0.25">
      <c r="C8" s="1">
        <v>50</v>
      </c>
      <c r="D8" s="1">
        <v>17</v>
      </c>
      <c r="E8" s="39">
        <f t="shared" si="0"/>
        <v>850</v>
      </c>
      <c r="G8" s="1">
        <v>50</v>
      </c>
      <c r="H8" s="1">
        <v>27</v>
      </c>
      <c r="I8" s="39">
        <f t="shared" si="1"/>
        <v>1350</v>
      </c>
      <c r="K8" s="1">
        <v>50</v>
      </c>
      <c r="L8" s="1">
        <v>20</v>
      </c>
      <c r="M8" s="39">
        <f t="shared" si="2"/>
        <v>1000</v>
      </c>
      <c r="O8" s="1">
        <v>50</v>
      </c>
      <c r="P8" s="1">
        <v>241</v>
      </c>
      <c r="Q8" s="39">
        <f t="shared" si="3"/>
        <v>12050</v>
      </c>
      <c r="S8" s="1">
        <v>50</v>
      </c>
      <c r="T8" s="1">
        <v>1</v>
      </c>
      <c r="U8" s="39">
        <f t="shared" si="4"/>
        <v>50</v>
      </c>
      <c r="W8" s="12"/>
      <c r="X8" s="42">
        <v>50</v>
      </c>
      <c r="Y8" s="42">
        <f t="shared" ref="Y8:Y12" si="7">+D8+H8+L8+P8+T8</f>
        <v>306</v>
      </c>
      <c r="Z8" s="40">
        <f t="shared" si="5"/>
        <v>15300</v>
      </c>
      <c r="AA8" s="13"/>
      <c r="AC8" t="s">
        <v>6</v>
      </c>
      <c r="AD8" s="4">
        <v>273562</v>
      </c>
      <c r="AE8">
        <v>41612305</v>
      </c>
      <c r="AF8" s="58" t="s">
        <v>123</v>
      </c>
      <c r="AG8" t="s">
        <v>124</v>
      </c>
      <c r="AI8" s="1">
        <v>50</v>
      </c>
      <c r="AJ8" s="1">
        <v>306</v>
      </c>
      <c r="AK8" s="39">
        <f t="shared" si="6"/>
        <v>15300</v>
      </c>
    </row>
    <row r="9" spans="3:37" x14ac:dyDescent="0.25">
      <c r="C9" s="1">
        <v>100</v>
      </c>
      <c r="D9" s="1">
        <v>39</v>
      </c>
      <c r="E9" s="39">
        <f t="shared" si="0"/>
        <v>3900</v>
      </c>
      <c r="G9" s="1">
        <v>100</v>
      </c>
      <c r="H9" s="1">
        <v>53</v>
      </c>
      <c r="I9" s="39">
        <f t="shared" si="1"/>
        <v>5300</v>
      </c>
      <c r="K9" s="1">
        <v>100</v>
      </c>
      <c r="L9" s="1">
        <v>13</v>
      </c>
      <c r="M9" s="39">
        <f t="shared" si="2"/>
        <v>1300</v>
      </c>
      <c r="O9" s="1">
        <v>100</v>
      </c>
      <c r="P9" s="1">
        <v>96</v>
      </c>
      <c r="Q9" s="39">
        <f t="shared" si="3"/>
        <v>9600</v>
      </c>
      <c r="S9" s="1">
        <v>100</v>
      </c>
      <c r="T9" s="1">
        <v>2</v>
      </c>
      <c r="U9" s="39">
        <f t="shared" si="4"/>
        <v>200</v>
      </c>
      <c r="W9" s="12"/>
      <c r="X9" s="42">
        <v>100</v>
      </c>
      <c r="Y9" s="42">
        <f t="shared" si="7"/>
        <v>203</v>
      </c>
      <c r="Z9" s="40">
        <f t="shared" si="5"/>
        <v>20300</v>
      </c>
      <c r="AA9" s="13"/>
      <c r="AC9" t="s">
        <v>62</v>
      </c>
      <c r="AD9" s="4"/>
      <c r="AI9" s="1">
        <v>100</v>
      </c>
      <c r="AJ9" s="1">
        <v>189</v>
      </c>
      <c r="AK9" s="39">
        <f t="shared" si="6"/>
        <v>18900</v>
      </c>
    </row>
    <row r="10" spans="3:37" x14ac:dyDescent="0.25">
      <c r="C10" s="1">
        <v>500</v>
      </c>
      <c r="D10" s="1">
        <v>36</v>
      </c>
      <c r="E10" s="39">
        <f t="shared" si="0"/>
        <v>18000</v>
      </c>
      <c r="G10" s="1">
        <v>500</v>
      </c>
      <c r="H10" s="1">
        <v>20</v>
      </c>
      <c r="I10" s="39">
        <f t="shared" si="1"/>
        <v>10000</v>
      </c>
      <c r="K10" s="1">
        <v>500</v>
      </c>
      <c r="L10" s="1">
        <v>21</v>
      </c>
      <c r="M10" s="39">
        <f t="shared" si="2"/>
        <v>10500</v>
      </c>
      <c r="O10" s="1">
        <v>500</v>
      </c>
      <c r="P10" s="1">
        <v>11</v>
      </c>
      <c r="Q10" s="39">
        <f t="shared" si="3"/>
        <v>5500</v>
      </c>
      <c r="S10" s="1">
        <v>500</v>
      </c>
      <c r="T10" s="1">
        <v>9</v>
      </c>
      <c r="U10" s="39">
        <f t="shared" si="4"/>
        <v>4500</v>
      </c>
      <c r="W10" s="12"/>
      <c r="X10" s="42">
        <v>500</v>
      </c>
      <c r="Y10" s="42">
        <f t="shared" si="7"/>
        <v>97</v>
      </c>
      <c r="Z10" s="40">
        <f t="shared" si="5"/>
        <v>48500</v>
      </c>
      <c r="AA10" s="13"/>
      <c r="AC10" t="s">
        <v>63</v>
      </c>
      <c r="AD10" s="4">
        <v>550</v>
      </c>
      <c r="AI10" s="1">
        <v>500</v>
      </c>
      <c r="AJ10" s="1">
        <v>90</v>
      </c>
      <c r="AK10" s="39">
        <f t="shared" si="6"/>
        <v>45000</v>
      </c>
    </row>
    <row r="11" spans="3:37" x14ac:dyDescent="0.25">
      <c r="C11" s="1">
        <v>1000</v>
      </c>
      <c r="D11" s="1">
        <v>60</v>
      </c>
      <c r="E11" s="39">
        <f t="shared" si="0"/>
        <v>60000</v>
      </c>
      <c r="G11" s="1">
        <v>1000</v>
      </c>
      <c r="H11" s="1">
        <v>27</v>
      </c>
      <c r="I11" s="39">
        <f t="shared" si="1"/>
        <v>27000</v>
      </c>
      <c r="K11" s="1">
        <v>1000</v>
      </c>
      <c r="L11" s="1">
        <v>17</v>
      </c>
      <c r="M11" s="39">
        <f t="shared" si="2"/>
        <v>17000</v>
      </c>
      <c r="O11" s="1">
        <v>1000</v>
      </c>
      <c r="P11" s="1">
        <v>36</v>
      </c>
      <c r="Q11" s="39">
        <f t="shared" si="3"/>
        <v>36000</v>
      </c>
      <c r="S11" s="1">
        <v>1000</v>
      </c>
      <c r="T11" s="1">
        <v>14</v>
      </c>
      <c r="U11" s="39">
        <f t="shared" si="4"/>
        <v>14000</v>
      </c>
      <c r="W11" s="12"/>
      <c r="X11" s="42">
        <v>1000</v>
      </c>
      <c r="Y11" s="42">
        <f t="shared" si="7"/>
        <v>154</v>
      </c>
      <c r="Z11" s="40">
        <f t="shared" si="5"/>
        <v>154000</v>
      </c>
      <c r="AA11" s="13"/>
      <c r="AC11" t="s">
        <v>64</v>
      </c>
      <c r="AD11" s="4">
        <v>150</v>
      </c>
      <c r="AI11" s="1">
        <v>1000</v>
      </c>
      <c r="AJ11" s="1">
        <v>153</v>
      </c>
      <c r="AK11" s="39">
        <f t="shared" si="6"/>
        <v>153000</v>
      </c>
    </row>
    <row r="12" spans="3:37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3</v>
      </c>
      <c r="I12" s="39">
        <f t="shared" si="1"/>
        <v>15000</v>
      </c>
      <c r="K12" s="1">
        <v>5000</v>
      </c>
      <c r="L12" s="1">
        <v>2</v>
      </c>
      <c r="M12" s="39">
        <f t="shared" si="2"/>
        <v>10000</v>
      </c>
      <c r="O12" s="1">
        <v>5000</v>
      </c>
      <c r="P12" s="1">
        <v>1</v>
      </c>
      <c r="Q12" s="39">
        <f t="shared" si="3"/>
        <v>5000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7"/>
        <v>7</v>
      </c>
      <c r="Z12" s="40">
        <f t="shared" si="5"/>
        <v>35000</v>
      </c>
      <c r="AA12" s="13"/>
      <c r="AC12" t="s">
        <v>72</v>
      </c>
      <c r="AD12" s="4">
        <v>4000</v>
      </c>
      <c r="AI12" s="1">
        <v>5000</v>
      </c>
      <c r="AJ12" s="1">
        <v>7</v>
      </c>
      <c r="AK12" s="39">
        <f t="shared" si="6"/>
        <v>35000</v>
      </c>
    </row>
    <row r="13" spans="3:37" ht="15.75" thickBot="1" x14ac:dyDescent="0.3">
      <c r="C13" s="2" t="s">
        <v>3</v>
      </c>
      <c r="D13" s="2"/>
      <c r="E13" s="5">
        <f>+SUM(E5:E12)</f>
        <v>88246</v>
      </c>
      <c r="G13" s="2" t="s">
        <v>3</v>
      </c>
      <c r="H13" s="2"/>
      <c r="I13" s="5">
        <f>+SUM(I5:I12)</f>
        <v>59516</v>
      </c>
      <c r="K13" s="2" t="s">
        <v>3</v>
      </c>
      <c r="L13" s="2"/>
      <c r="M13" s="5">
        <f>+SUM(M5:M12)</f>
        <v>41660</v>
      </c>
      <c r="O13" s="2" t="s">
        <v>3</v>
      </c>
      <c r="P13" s="2"/>
      <c r="Q13" s="5">
        <f>+SUM(Q5:Q12)</f>
        <v>70270</v>
      </c>
      <c r="S13" s="2" t="s">
        <v>3</v>
      </c>
      <c r="T13" s="2"/>
      <c r="U13" s="5">
        <f>+SUM(U5:U12)</f>
        <v>18770</v>
      </c>
      <c r="W13" s="12"/>
      <c r="X13" s="2" t="s">
        <v>3</v>
      </c>
      <c r="Y13" s="2"/>
      <c r="Z13" s="5">
        <f>+SUM(Z5:Z12)</f>
        <v>278462</v>
      </c>
      <c r="AA13" s="13"/>
      <c r="AC13" s="54" t="s">
        <v>10</v>
      </c>
      <c r="AD13" s="55">
        <f>+SUM(AD8:AD12)</f>
        <v>278262</v>
      </c>
      <c r="AI13" s="2" t="s">
        <v>3</v>
      </c>
      <c r="AJ13" s="2"/>
      <c r="AK13" s="5">
        <f>+SUM(AK5:AK12)</f>
        <v>272562</v>
      </c>
    </row>
    <row r="14" spans="3:37" ht="15.75" thickBot="1" x14ac:dyDescent="0.3">
      <c r="W14" s="12"/>
      <c r="X14" s="17"/>
      <c r="Y14" s="17"/>
      <c r="Z14" s="17"/>
      <c r="AA14" s="13"/>
      <c r="AC14" s="56" t="s">
        <v>66</v>
      </c>
      <c r="AD14" s="57">
        <f>+AD13-AD5</f>
        <v>-200</v>
      </c>
      <c r="AE14" t="s">
        <v>121</v>
      </c>
      <c r="AK14">
        <v>142960</v>
      </c>
    </row>
    <row r="15" spans="3:37" s="33" customFormat="1" ht="15.75" thickBot="1" x14ac:dyDescent="0.3">
      <c r="C15" s="127" t="s">
        <v>4</v>
      </c>
      <c r="D15" s="128"/>
      <c r="E15" s="7">
        <v>109907</v>
      </c>
      <c r="G15" s="127" t="s">
        <v>4</v>
      </c>
      <c r="H15" s="128"/>
      <c r="I15" s="7">
        <v>60274</v>
      </c>
      <c r="K15" s="127" t="s">
        <v>4</v>
      </c>
      <c r="L15" s="128"/>
      <c r="M15" s="7">
        <v>51818</v>
      </c>
      <c r="O15" s="127" t="s">
        <v>4</v>
      </c>
      <c r="P15" s="128"/>
      <c r="Q15" s="7">
        <v>89408</v>
      </c>
      <c r="S15" s="127" t="s">
        <v>4</v>
      </c>
      <c r="T15" s="128"/>
      <c r="U15" s="7">
        <v>403866</v>
      </c>
      <c r="W15" s="34"/>
      <c r="X15" s="127" t="s">
        <v>4</v>
      </c>
      <c r="Y15" s="128"/>
      <c r="Z15" s="7">
        <f>+E15+I15+M15+Q15+U15</f>
        <v>715273</v>
      </c>
      <c r="AA15" s="35"/>
    </row>
    <row r="16" spans="3:37" x14ac:dyDescent="0.25">
      <c r="C16" t="s">
        <v>5</v>
      </c>
      <c r="E16" s="4">
        <v>88246</v>
      </c>
      <c r="G16" t="s">
        <v>5</v>
      </c>
      <c r="I16" s="4">
        <f>+I13</f>
        <v>59516</v>
      </c>
      <c r="K16" t="s">
        <v>5</v>
      </c>
      <c r="M16" s="4">
        <v>41660</v>
      </c>
      <c r="O16" t="s">
        <v>5</v>
      </c>
      <c r="Q16" s="4">
        <f>+Q13</f>
        <v>70270</v>
      </c>
      <c r="S16" t="s">
        <v>5</v>
      </c>
      <c r="U16" s="4"/>
      <c r="W16" s="12"/>
      <c r="X16" s="43" t="s">
        <v>5</v>
      </c>
      <c r="Y16" s="43"/>
      <c r="Z16" s="40">
        <f>+E16+I16+M16+Q16+U16</f>
        <v>259692</v>
      </c>
      <c r="AA16" s="13"/>
    </row>
    <row r="17" spans="3:27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</row>
    <row r="18" spans="3:27" x14ac:dyDescent="0.25">
      <c r="C18" t="s">
        <v>46</v>
      </c>
      <c r="D18" t="s">
        <v>54</v>
      </c>
      <c r="E18" s="4">
        <v>7159</v>
      </c>
      <c r="G18" t="s">
        <v>7</v>
      </c>
      <c r="I18" s="4"/>
      <c r="K18" t="s">
        <v>45</v>
      </c>
      <c r="L18" t="s">
        <v>71</v>
      </c>
      <c r="M18" s="4">
        <v>10223</v>
      </c>
      <c r="O18" t="s">
        <v>46</v>
      </c>
      <c r="P18" t="s">
        <v>68</v>
      </c>
      <c r="Q18" s="4">
        <v>12345</v>
      </c>
      <c r="S18" t="s">
        <v>45</v>
      </c>
      <c r="T18" t="s">
        <v>70</v>
      </c>
      <c r="U18" s="4">
        <v>24700</v>
      </c>
      <c r="W18" s="12"/>
      <c r="X18" s="43" t="s">
        <v>7</v>
      </c>
      <c r="Y18" s="43"/>
      <c r="Z18" s="40">
        <f t="shared" si="8"/>
        <v>54427</v>
      </c>
      <c r="AA18" s="13"/>
    </row>
    <row r="19" spans="3:27" x14ac:dyDescent="0.25">
      <c r="C19" t="s">
        <v>45</v>
      </c>
      <c r="D19" t="s">
        <v>55</v>
      </c>
      <c r="E19" s="4">
        <v>7661</v>
      </c>
      <c r="G19" t="s">
        <v>8</v>
      </c>
      <c r="I19" s="4"/>
      <c r="K19" t="s">
        <v>43</v>
      </c>
      <c r="M19" s="4"/>
      <c r="O19" t="s">
        <v>47</v>
      </c>
      <c r="P19" t="s">
        <v>69</v>
      </c>
      <c r="Q19" s="4">
        <v>5740</v>
      </c>
      <c r="S19" t="s">
        <v>43</v>
      </c>
      <c r="U19" s="4"/>
      <c r="W19" s="12"/>
      <c r="X19" s="43" t="s">
        <v>8</v>
      </c>
      <c r="Y19" s="43"/>
      <c r="Z19" s="40">
        <f t="shared" si="8"/>
        <v>13401</v>
      </c>
      <c r="AA19" s="13"/>
    </row>
    <row r="20" spans="3:27" x14ac:dyDescent="0.25">
      <c r="C20" t="s">
        <v>9</v>
      </c>
      <c r="E20" s="4"/>
      <c r="G20" t="s">
        <v>9</v>
      </c>
      <c r="I20" s="4"/>
      <c r="K20" t="s">
        <v>9</v>
      </c>
      <c r="M20" s="4"/>
      <c r="O20" t="s">
        <v>9</v>
      </c>
      <c r="Q20" s="4"/>
      <c r="S20" t="s">
        <v>43</v>
      </c>
      <c r="U20" s="4"/>
      <c r="W20" s="12"/>
      <c r="X20" s="43" t="s">
        <v>9</v>
      </c>
      <c r="Y20" s="43"/>
      <c r="Z20" s="40">
        <f t="shared" si="8"/>
        <v>0</v>
      </c>
      <c r="AA20" s="13"/>
    </row>
    <row r="21" spans="3:27" x14ac:dyDescent="0.25">
      <c r="E21" s="4"/>
      <c r="I21" s="4"/>
      <c r="M21" s="4"/>
      <c r="Q21" s="4"/>
      <c r="S21" t="s">
        <v>43</v>
      </c>
      <c r="U21" s="4"/>
      <c r="W21" s="12"/>
      <c r="X21" s="43"/>
      <c r="Y21" s="43"/>
      <c r="Z21" s="40">
        <f t="shared" si="8"/>
        <v>0</v>
      </c>
      <c r="AA21" s="13"/>
    </row>
    <row r="22" spans="3:27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</row>
    <row r="23" spans="3:27" x14ac:dyDescent="0.25">
      <c r="E23" s="4"/>
      <c r="I23" s="4"/>
      <c r="M23" s="4"/>
      <c r="Q23" s="4"/>
      <c r="S23" t="s">
        <v>28</v>
      </c>
      <c r="T23" t="s">
        <v>49</v>
      </c>
      <c r="U23" s="4">
        <v>26970</v>
      </c>
      <c r="W23" s="12"/>
      <c r="X23" s="44" t="s">
        <v>28</v>
      </c>
      <c r="Y23" s="43"/>
      <c r="Z23" s="40">
        <f t="shared" si="8"/>
        <v>26970</v>
      </c>
      <c r="AA23" s="13"/>
    </row>
    <row r="24" spans="3:27" x14ac:dyDescent="0.25">
      <c r="E24" s="4"/>
      <c r="I24" s="4"/>
      <c r="M24" s="4"/>
      <c r="Q24" s="4"/>
      <c r="S24" t="s">
        <v>29</v>
      </c>
      <c r="T24" s="60" t="s">
        <v>50</v>
      </c>
      <c r="U24" s="4">
        <v>109387</v>
      </c>
      <c r="W24" s="12"/>
      <c r="X24" s="44" t="s">
        <v>29</v>
      </c>
      <c r="Y24" s="43"/>
      <c r="Z24" s="40">
        <f t="shared" si="8"/>
        <v>109387</v>
      </c>
      <c r="AA24" s="13"/>
    </row>
    <row r="25" spans="3:27" x14ac:dyDescent="0.25">
      <c r="E25" s="4"/>
      <c r="I25" s="4"/>
      <c r="M25" s="4"/>
      <c r="Q25" s="4"/>
      <c r="S25" t="s">
        <v>31</v>
      </c>
      <c r="T25" t="s">
        <v>51</v>
      </c>
      <c r="U25" s="4">
        <v>74773</v>
      </c>
      <c r="W25" s="12"/>
      <c r="X25" s="44" t="s">
        <v>31</v>
      </c>
      <c r="Y25" s="43"/>
      <c r="Z25" s="40">
        <f t="shared" si="8"/>
        <v>74773</v>
      </c>
      <c r="AA25" s="13"/>
    </row>
    <row r="26" spans="3:27" x14ac:dyDescent="0.25">
      <c r="E26" s="4"/>
      <c r="I26" s="4"/>
      <c r="M26" s="4"/>
      <c r="Q26" s="4"/>
      <c r="S26" t="s">
        <v>52</v>
      </c>
      <c r="T26" t="s">
        <v>53</v>
      </c>
      <c r="U26" s="4">
        <v>141385</v>
      </c>
      <c r="W26" s="12"/>
      <c r="X26" s="43"/>
      <c r="Y26" s="43"/>
      <c r="Z26" s="40">
        <f t="shared" si="8"/>
        <v>141385</v>
      </c>
      <c r="AA26" s="13"/>
    </row>
    <row r="27" spans="3:27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27" ht="15.75" thickBot="1" x14ac:dyDescent="0.3">
      <c r="C28" s="129" t="s">
        <v>10</v>
      </c>
      <c r="D28" s="130"/>
      <c r="E28" s="8">
        <f>+SUM(E16:E27)</f>
        <v>103066</v>
      </c>
      <c r="G28" s="129" t="s">
        <v>10</v>
      </c>
      <c r="H28" s="130"/>
      <c r="I28" s="8">
        <f>+SUM(I16:I27)</f>
        <v>59516</v>
      </c>
      <c r="K28" s="129" t="s">
        <v>10</v>
      </c>
      <c r="L28" s="130"/>
      <c r="M28" s="8">
        <f>+SUM(M16:M27)</f>
        <v>51883</v>
      </c>
      <c r="O28" s="129" t="s">
        <v>10</v>
      </c>
      <c r="P28" s="130"/>
      <c r="Q28" s="8">
        <f>+SUM(Q16:Q27)</f>
        <v>88355</v>
      </c>
      <c r="S28" s="129" t="s">
        <v>10</v>
      </c>
      <c r="T28" s="130"/>
      <c r="U28" s="8">
        <f>+SUM(U16:U27)</f>
        <v>377215</v>
      </c>
      <c r="W28" s="12"/>
      <c r="X28" s="129" t="s">
        <v>10</v>
      </c>
      <c r="Y28" s="130"/>
      <c r="Z28" s="8">
        <f>+SUM(Z16:Z27)</f>
        <v>680035</v>
      </c>
      <c r="AA28" s="13"/>
    </row>
    <row r="29" spans="3:27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27" ht="15.75" thickBot="1" x14ac:dyDescent="0.3">
      <c r="C30" s="131" t="s">
        <v>11</v>
      </c>
      <c r="D30" s="131"/>
      <c r="E30" s="6">
        <f>+E28-E15</f>
        <v>-6841</v>
      </c>
      <c r="G30" s="131" t="s">
        <v>11</v>
      </c>
      <c r="H30" s="131"/>
      <c r="I30" s="6">
        <f>+I28-I15</f>
        <v>-758</v>
      </c>
      <c r="K30" s="131" t="s">
        <v>11</v>
      </c>
      <c r="L30" s="131"/>
      <c r="M30" s="6">
        <f>+M28-M15</f>
        <v>65</v>
      </c>
      <c r="O30" s="131" t="s">
        <v>11</v>
      </c>
      <c r="P30" s="131"/>
      <c r="Q30" s="6">
        <f>+Q28-Q15</f>
        <v>-1053</v>
      </c>
      <c r="S30" s="131" t="s">
        <v>11</v>
      </c>
      <c r="T30" s="131"/>
      <c r="U30" s="6">
        <f>+U28-U15</f>
        <v>-26651</v>
      </c>
      <c r="W30" s="12"/>
      <c r="X30" s="134" t="s">
        <v>11</v>
      </c>
      <c r="Y30" s="134"/>
      <c r="Z30" s="45">
        <f>+Z28-Z15</f>
        <v>-35238</v>
      </c>
      <c r="AA30" s="13"/>
    </row>
    <row r="31" spans="3:27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>
        <v>6841</v>
      </c>
      <c r="G34" s="9" t="s">
        <v>15</v>
      </c>
      <c r="H34" s="10"/>
      <c r="I34" s="23">
        <v>758</v>
      </c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/>
      <c r="X34" s="46" t="s">
        <v>15</v>
      </c>
      <c r="Y34" s="47"/>
      <c r="Z34" s="48">
        <f>+E34+I34+M34+Q34+U34</f>
        <v>7599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>
        <v>1057</v>
      </c>
      <c r="S35" s="12" t="s">
        <v>40</v>
      </c>
      <c r="T35" s="17"/>
      <c r="U35" s="61">
        <v>7880</v>
      </c>
      <c r="X35" s="49" t="s">
        <v>40</v>
      </c>
      <c r="Y35" s="43"/>
      <c r="Z35" s="50">
        <f t="shared" ref="Z35:Z36" si="9">+E35+I35+M35+Q35+U35</f>
        <v>8937</v>
      </c>
    </row>
    <row r="36" spans="3:26" x14ac:dyDescent="0.25">
      <c r="C36" s="12" t="s">
        <v>23</v>
      </c>
      <c r="D36" s="17"/>
      <c r="E36" s="24"/>
      <c r="G36" s="12" t="s">
        <v>23</v>
      </c>
      <c r="H36" s="17"/>
      <c r="I36" s="24"/>
      <c r="K36" s="12" t="s">
        <v>23</v>
      </c>
      <c r="L36" s="17"/>
      <c r="M36" s="24"/>
      <c r="O36" s="12" t="s">
        <v>42</v>
      </c>
      <c r="P36" s="17"/>
      <c r="Q36" s="24"/>
      <c r="S36" s="12" t="s">
        <v>73</v>
      </c>
      <c r="T36" s="17"/>
      <c r="U36" s="61">
        <f>16286+2718+100</f>
        <v>19104</v>
      </c>
      <c r="X36" s="49" t="s">
        <v>23</v>
      </c>
      <c r="Y36" s="43"/>
      <c r="Z36" s="50">
        <f t="shared" si="9"/>
        <v>19104</v>
      </c>
    </row>
    <row r="37" spans="3:26" x14ac:dyDescent="0.25">
      <c r="C37" s="12" t="s">
        <v>3</v>
      </c>
      <c r="D37" s="17"/>
      <c r="E37" s="24">
        <f>+SUM(E34:E36)</f>
        <v>6841</v>
      </c>
      <c r="G37" s="12" t="s">
        <v>3</v>
      </c>
      <c r="H37" s="17"/>
      <c r="I37" s="24">
        <f>+SUM(I34:I36)</f>
        <v>758</v>
      </c>
      <c r="K37" s="12" t="s">
        <v>3</v>
      </c>
      <c r="L37" s="17"/>
      <c r="M37" s="24">
        <f>+SUM(M34:M36)</f>
        <v>0</v>
      </c>
      <c r="O37" s="12" t="s">
        <v>3</v>
      </c>
      <c r="P37" s="17"/>
      <c r="Q37" s="24">
        <f>+SUM(Q34:Q36)</f>
        <v>1057</v>
      </c>
      <c r="S37" s="12" t="s">
        <v>3</v>
      </c>
      <c r="T37" s="17"/>
      <c r="U37" s="24">
        <f>+SUM(U34:U36)</f>
        <v>26984</v>
      </c>
      <c r="X37" s="36" t="s">
        <v>3</v>
      </c>
      <c r="Y37" s="37"/>
      <c r="Z37" s="38">
        <f>+SUM(Z34:Z36)</f>
        <v>35640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65</v>
      </c>
      <c r="O38" s="25" t="s">
        <v>22</v>
      </c>
      <c r="P38" s="26"/>
      <c r="Q38" s="27">
        <f>+Q30+Q37</f>
        <v>4</v>
      </c>
      <c r="S38" s="25" t="s">
        <v>22</v>
      </c>
      <c r="T38" s="26"/>
      <c r="U38" s="27">
        <f>+U30+U37</f>
        <v>333</v>
      </c>
      <c r="X38" s="25" t="s">
        <v>22</v>
      </c>
      <c r="Y38" s="26"/>
      <c r="Z38" s="27">
        <f>+Z30+Z37</f>
        <v>402</v>
      </c>
    </row>
    <row r="40" spans="3:26" x14ac:dyDescent="0.25">
      <c r="Z40" s="22"/>
    </row>
  </sheetData>
  <mergeCells count="25">
    <mergeCell ref="AC3:AG3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  <mergeCell ref="O15:P15"/>
    <mergeCell ref="S15:T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Q40"/>
  <sheetViews>
    <sheetView zoomScale="80" zoomScaleNormal="80" workbookViewId="0">
      <selection activeCell="AH17" sqref="AH17:AH18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3.5703125" bestFit="1" customWidth="1"/>
    <col min="8" max="8" width="14.42578125" bestFit="1" customWidth="1"/>
    <col min="9" max="9" width="9.5703125" bestFit="1" customWidth="1"/>
    <col min="10" max="10" width="0.5703125" customWidth="1"/>
    <col min="11" max="11" width="13.5703125" bestFit="1" customWidth="1"/>
    <col min="12" max="12" width="13.140625" bestFit="1" customWidth="1"/>
    <col min="14" max="14" width="0.7109375" customWidth="1"/>
    <col min="15" max="15" width="11.28515625" customWidth="1"/>
    <col min="18" max="18" width="0.85546875" customWidth="1"/>
    <col min="19" max="19" width="13.5703125" bestFit="1" customWidth="1"/>
    <col min="20" max="20" width="15.140625" bestFit="1" customWidth="1"/>
    <col min="21" max="21" width="11.5703125" bestFit="1" customWidth="1"/>
    <col min="22" max="22" width="5.140625" customWidth="1"/>
    <col min="23" max="23" width="1.140625" customWidth="1"/>
    <col min="24" max="24" width="13.5703125" bestFit="1" customWidth="1"/>
    <col min="26" max="26" width="11.140625" bestFit="1" customWidth="1"/>
    <col min="27" max="27" width="1.140625" customWidth="1"/>
    <col min="30" max="30" width="16" bestFit="1" customWidth="1"/>
    <col min="31" max="31" width="9.5703125" bestFit="1" customWidth="1"/>
    <col min="32" max="32" width="12.140625" bestFit="1" customWidth="1"/>
    <col min="34" max="34" width="14.28515625" bestFit="1" customWidth="1"/>
  </cols>
  <sheetData>
    <row r="1" spans="3:43" ht="15.75" thickBot="1" x14ac:dyDescent="0.3"/>
    <row r="2" spans="3:43" x14ac:dyDescent="0.25">
      <c r="W2" s="9"/>
      <c r="X2" s="10"/>
      <c r="Y2" s="10"/>
      <c r="Z2" s="10"/>
      <c r="AA2" s="11"/>
    </row>
    <row r="3" spans="3:43" x14ac:dyDescent="0.25">
      <c r="C3" s="132" t="s">
        <v>24</v>
      </c>
      <c r="D3" s="132"/>
      <c r="E3" s="132"/>
      <c r="G3" s="132" t="s">
        <v>13</v>
      </c>
      <c r="H3" s="132"/>
      <c r="I3" s="132"/>
      <c r="K3" s="132" t="s">
        <v>44</v>
      </c>
      <c r="L3" s="132"/>
      <c r="M3" s="132"/>
      <c r="O3" s="132" t="s">
        <v>12</v>
      </c>
      <c r="P3" s="132"/>
      <c r="Q3" s="132"/>
      <c r="S3" s="132" t="s">
        <v>14</v>
      </c>
      <c r="T3" s="132"/>
      <c r="U3" s="132"/>
      <c r="W3" s="12"/>
      <c r="X3" s="126" t="s">
        <v>16</v>
      </c>
      <c r="Y3" s="126"/>
      <c r="Z3" s="126"/>
      <c r="AA3" s="13"/>
    </row>
    <row r="4" spans="3:43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43" s="28" customFormat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</row>
    <row r="6" spans="3:43" ht="15.75" thickBot="1" x14ac:dyDescent="0.3">
      <c r="C6" s="1">
        <v>10</v>
      </c>
      <c r="D6" s="1"/>
      <c r="E6" s="39">
        <f>+D6*C6</f>
        <v>0</v>
      </c>
      <c r="G6" s="1">
        <v>10</v>
      </c>
      <c r="H6" s="1">
        <v>29</v>
      </c>
      <c r="I6" s="39">
        <f>+H6*G6</f>
        <v>290</v>
      </c>
      <c r="K6" s="1">
        <v>10</v>
      </c>
      <c r="L6" s="1">
        <v>67</v>
      </c>
      <c r="M6" s="39">
        <f>+L6*K6</f>
        <v>670</v>
      </c>
      <c r="O6" s="1">
        <v>10</v>
      </c>
      <c r="P6" s="1">
        <v>17</v>
      </c>
      <c r="Q6" s="39">
        <f>+P6*O6</f>
        <v>170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113</v>
      </c>
      <c r="Z6" s="40">
        <f>+E6+I6+M6+Q6+U6</f>
        <v>1130</v>
      </c>
      <c r="AA6" s="13"/>
      <c r="AD6" s="133" t="s">
        <v>56</v>
      </c>
      <c r="AE6" s="133"/>
      <c r="AF6" s="133"/>
      <c r="AG6" s="133"/>
      <c r="AH6" s="133"/>
    </row>
    <row r="7" spans="3:43" ht="15.75" thickTop="1" x14ac:dyDescent="0.25">
      <c r="C7" s="1">
        <v>20</v>
      </c>
      <c r="D7" s="1"/>
      <c r="E7" s="39">
        <f t="shared" ref="E7:E12" si="0">+D7*C7</f>
        <v>0</v>
      </c>
      <c r="G7" s="1">
        <v>20</v>
      </c>
      <c r="H7" s="1">
        <v>2</v>
      </c>
      <c r="I7" s="39">
        <f t="shared" ref="I7:I12" si="1">+H7*G7</f>
        <v>40</v>
      </c>
      <c r="K7" s="1">
        <v>20</v>
      </c>
      <c r="L7" s="1">
        <v>23</v>
      </c>
      <c r="M7" s="39">
        <f t="shared" ref="M7:M12" si="2">+L7*K7</f>
        <v>460</v>
      </c>
      <c r="O7" s="1">
        <v>20</v>
      </c>
      <c r="P7" s="1"/>
      <c r="Q7" s="39">
        <f t="shared" ref="Q7:Q12" si="3">+P7*O7</f>
        <v>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25</v>
      </c>
      <c r="Z7" s="40">
        <f t="shared" ref="Z7:Z12" si="5">+E7+I7+M7+Q7+U7</f>
        <v>500</v>
      </c>
      <c r="AA7" s="13"/>
      <c r="AO7" s="3" t="s">
        <v>0</v>
      </c>
      <c r="AP7" s="3" t="s">
        <v>1</v>
      </c>
      <c r="AQ7" s="3" t="s">
        <v>2</v>
      </c>
    </row>
    <row r="8" spans="3:43" ht="15.75" thickBot="1" x14ac:dyDescent="0.3">
      <c r="C8" s="1">
        <v>50</v>
      </c>
      <c r="D8" s="1"/>
      <c r="E8" s="39">
        <f t="shared" si="0"/>
        <v>0</v>
      </c>
      <c r="G8" s="1">
        <v>50</v>
      </c>
      <c r="H8" s="1">
        <v>17</v>
      </c>
      <c r="I8" s="39">
        <f t="shared" si="1"/>
        <v>850</v>
      </c>
      <c r="K8" s="1">
        <v>50</v>
      </c>
      <c r="L8" s="1">
        <v>38</v>
      </c>
      <c r="M8" s="39">
        <f t="shared" si="2"/>
        <v>1900</v>
      </c>
      <c r="O8" s="1">
        <v>50</v>
      </c>
      <c r="P8" s="1">
        <v>20</v>
      </c>
      <c r="Q8" s="39">
        <f t="shared" si="3"/>
        <v>1000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6">+D8+H8+L8+P8+T8</f>
        <v>75</v>
      </c>
      <c r="Z8" s="40">
        <f t="shared" si="5"/>
        <v>3750</v>
      </c>
      <c r="AA8" s="13"/>
      <c r="AD8" s="51" t="s">
        <v>5</v>
      </c>
      <c r="AE8" s="52">
        <v>150380</v>
      </c>
      <c r="AF8" s="28"/>
      <c r="AG8" s="28"/>
      <c r="AH8" s="28"/>
      <c r="AI8" s="28"/>
      <c r="AO8" s="31">
        <v>1</v>
      </c>
      <c r="AP8" s="31"/>
      <c r="AQ8" s="39">
        <f>+AP8*AO8</f>
        <v>0</v>
      </c>
    </row>
    <row r="9" spans="3:43" x14ac:dyDescent="0.25">
      <c r="C9" s="1">
        <v>100</v>
      </c>
      <c r="D9" s="1"/>
      <c r="E9" s="39">
        <f t="shared" si="0"/>
        <v>0</v>
      </c>
      <c r="G9" s="1">
        <v>100</v>
      </c>
      <c r="H9" s="1">
        <v>25</v>
      </c>
      <c r="I9" s="39">
        <f t="shared" si="1"/>
        <v>2500</v>
      </c>
      <c r="K9" s="1">
        <v>100</v>
      </c>
      <c r="L9" s="1">
        <v>37</v>
      </c>
      <c r="M9" s="39">
        <f t="shared" si="2"/>
        <v>3700</v>
      </c>
      <c r="O9" s="1">
        <v>100</v>
      </c>
      <c r="P9" s="1">
        <v>63</v>
      </c>
      <c r="Q9" s="39">
        <f t="shared" si="3"/>
        <v>6300</v>
      </c>
      <c r="S9" s="1">
        <v>100</v>
      </c>
      <c r="T9" s="1"/>
      <c r="U9" s="39">
        <f t="shared" si="4"/>
        <v>0</v>
      </c>
      <c r="W9" s="12"/>
      <c r="X9" s="42">
        <v>100</v>
      </c>
      <c r="Y9" s="42">
        <f t="shared" si="6"/>
        <v>125</v>
      </c>
      <c r="Z9" s="40">
        <f t="shared" si="5"/>
        <v>12500</v>
      </c>
      <c r="AA9" s="13"/>
      <c r="AO9" s="1">
        <v>10</v>
      </c>
      <c r="AP9" s="1">
        <v>88</v>
      </c>
      <c r="AQ9" s="39">
        <f>+AP9*AO9</f>
        <v>880</v>
      </c>
    </row>
    <row r="10" spans="3:43" x14ac:dyDescent="0.25">
      <c r="C10" s="1">
        <v>500</v>
      </c>
      <c r="D10" s="1"/>
      <c r="E10" s="39">
        <f t="shared" si="0"/>
        <v>0</v>
      </c>
      <c r="G10" s="1">
        <v>500</v>
      </c>
      <c r="H10" s="1">
        <v>42</v>
      </c>
      <c r="I10" s="39">
        <f t="shared" si="1"/>
        <v>21000</v>
      </c>
      <c r="K10" s="1">
        <v>500</v>
      </c>
      <c r="L10" s="1">
        <v>38</v>
      </c>
      <c r="M10" s="39">
        <f t="shared" si="2"/>
        <v>19000</v>
      </c>
      <c r="O10" s="1">
        <v>500</v>
      </c>
      <c r="P10" s="1">
        <v>31</v>
      </c>
      <c r="Q10" s="39">
        <f t="shared" si="3"/>
        <v>15500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111</v>
      </c>
      <c r="Z10" s="40">
        <f t="shared" si="5"/>
        <v>55500</v>
      </c>
      <c r="AA10" s="13"/>
      <c r="AD10" s="53" t="s">
        <v>57</v>
      </c>
      <c r="AE10" s="53" t="s">
        <v>2</v>
      </c>
      <c r="AF10" s="53" t="s">
        <v>58</v>
      </c>
      <c r="AG10" s="53" t="s">
        <v>59</v>
      </c>
      <c r="AH10" s="53" t="s">
        <v>60</v>
      </c>
      <c r="AO10" s="1">
        <v>20</v>
      </c>
      <c r="AP10" s="1">
        <v>24</v>
      </c>
      <c r="AQ10" s="39">
        <f t="shared" ref="AQ10:AQ15" si="7">+AP10*AO10</f>
        <v>480</v>
      </c>
    </row>
    <row r="11" spans="3:43" x14ac:dyDescent="0.25">
      <c r="C11" s="1">
        <v>1000</v>
      </c>
      <c r="D11" s="1"/>
      <c r="E11" s="39">
        <f t="shared" si="0"/>
        <v>0</v>
      </c>
      <c r="G11" s="1">
        <v>1000</v>
      </c>
      <c r="H11" s="1">
        <v>25</v>
      </c>
      <c r="I11" s="39">
        <f t="shared" si="1"/>
        <v>25000</v>
      </c>
      <c r="K11" s="1">
        <v>1000</v>
      </c>
      <c r="L11" s="1">
        <v>19</v>
      </c>
      <c r="M11" s="39">
        <f t="shared" si="2"/>
        <v>19000</v>
      </c>
      <c r="O11" s="1">
        <v>1000</v>
      </c>
      <c r="P11" s="1">
        <v>23</v>
      </c>
      <c r="Q11" s="39">
        <f t="shared" si="3"/>
        <v>23000</v>
      </c>
      <c r="S11" s="1">
        <v>1000</v>
      </c>
      <c r="T11" s="1"/>
      <c r="U11" s="39">
        <f t="shared" si="4"/>
        <v>0</v>
      </c>
      <c r="W11" s="12"/>
      <c r="X11" s="42">
        <v>1000</v>
      </c>
      <c r="Y11" s="42">
        <f t="shared" si="6"/>
        <v>67</v>
      </c>
      <c r="Z11" s="40">
        <f t="shared" si="5"/>
        <v>67000</v>
      </c>
      <c r="AA11" s="13"/>
      <c r="AD11" t="s">
        <v>6</v>
      </c>
      <c r="AE11" s="4">
        <v>124338</v>
      </c>
      <c r="AF11">
        <v>41612305</v>
      </c>
      <c r="AG11" s="58" t="s">
        <v>123</v>
      </c>
      <c r="AH11" t="s">
        <v>124</v>
      </c>
      <c r="AO11" s="1">
        <v>50</v>
      </c>
      <c r="AP11" s="1">
        <v>74</v>
      </c>
      <c r="AQ11" s="39">
        <f t="shared" si="7"/>
        <v>3700</v>
      </c>
    </row>
    <row r="12" spans="3:43" x14ac:dyDescent="0.25">
      <c r="C12" s="1">
        <v>5000</v>
      </c>
      <c r="D12" s="1"/>
      <c r="E12" s="39">
        <f t="shared" si="0"/>
        <v>0</v>
      </c>
      <c r="G12" s="1">
        <v>5000</v>
      </c>
      <c r="H12" s="1">
        <v>1</v>
      </c>
      <c r="I12" s="39">
        <f t="shared" si="1"/>
        <v>5000</v>
      </c>
      <c r="K12" s="1">
        <v>5000</v>
      </c>
      <c r="L12" s="1"/>
      <c r="M12" s="39">
        <f t="shared" si="2"/>
        <v>0</v>
      </c>
      <c r="O12" s="1">
        <v>5000</v>
      </c>
      <c r="P12" s="1">
        <v>1</v>
      </c>
      <c r="Q12" s="39">
        <f t="shared" si="3"/>
        <v>5000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2</v>
      </c>
      <c r="Z12" s="40">
        <f t="shared" si="5"/>
        <v>10000</v>
      </c>
      <c r="AA12" s="13"/>
      <c r="AD12" t="s">
        <v>125</v>
      </c>
      <c r="AE12">
        <v>20000</v>
      </c>
      <c r="AO12" s="1">
        <v>100</v>
      </c>
      <c r="AP12" s="1">
        <v>119</v>
      </c>
      <c r="AQ12" s="39">
        <f t="shared" si="7"/>
        <v>11900</v>
      </c>
    </row>
    <row r="13" spans="3:43" ht="15.75" thickBot="1" x14ac:dyDescent="0.3">
      <c r="C13" s="2" t="s">
        <v>3</v>
      </c>
      <c r="D13" s="2"/>
      <c r="E13" s="5">
        <f>+SUM(E5:E12)</f>
        <v>0</v>
      </c>
      <c r="G13" s="2" t="s">
        <v>3</v>
      </c>
      <c r="H13" s="2"/>
      <c r="I13" s="5">
        <f>+SUM(I5:I12)</f>
        <v>54680</v>
      </c>
      <c r="K13" s="2" t="s">
        <v>3</v>
      </c>
      <c r="L13" s="2"/>
      <c r="M13" s="5">
        <f>+SUM(M5:M12)</f>
        <v>44730</v>
      </c>
      <c r="O13" s="2" t="s">
        <v>3</v>
      </c>
      <c r="P13" s="2"/>
      <c r="Q13" s="5">
        <f>+SUM(Q5:Q12)</f>
        <v>50970</v>
      </c>
      <c r="S13" s="2" t="s">
        <v>3</v>
      </c>
      <c r="T13" s="2"/>
      <c r="U13" s="5">
        <f>+SUM(U5:U12)</f>
        <v>0</v>
      </c>
      <c r="W13" s="12"/>
      <c r="X13" s="2" t="s">
        <v>3</v>
      </c>
      <c r="Y13" s="2"/>
      <c r="Z13" s="5">
        <f>+SUM(Z5:Z12)</f>
        <v>150380</v>
      </c>
      <c r="AA13" s="13"/>
      <c r="AD13" t="s">
        <v>62</v>
      </c>
      <c r="AE13" s="4"/>
      <c r="AO13" s="1">
        <v>500</v>
      </c>
      <c r="AP13" s="1">
        <v>108</v>
      </c>
      <c r="AQ13" s="39">
        <f t="shared" si="7"/>
        <v>54000</v>
      </c>
    </row>
    <row r="14" spans="3:43" ht="15.75" thickBot="1" x14ac:dyDescent="0.3">
      <c r="W14" s="12"/>
      <c r="X14" s="17"/>
      <c r="Y14" s="17"/>
      <c r="Z14" s="17"/>
      <c r="AA14" s="13"/>
      <c r="AD14" t="s">
        <v>63</v>
      </c>
      <c r="AE14" s="4">
        <f>490</f>
        <v>490</v>
      </c>
      <c r="AO14" s="1">
        <v>1000</v>
      </c>
      <c r="AP14" s="1">
        <v>62</v>
      </c>
      <c r="AQ14" s="39">
        <f t="shared" si="7"/>
        <v>62000</v>
      </c>
    </row>
    <row r="15" spans="3:43" s="33" customFormat="1" ht="15.75" thickBot="1" x14ac:dyDescent="0.3">
      <c r="C15" s="127" t="s">
        <v>4</v>
      </c>
      <c r="D15" s="128"/>
      <c r="E15" s="7"/>
      <c r="G15" s="127" t="s">
        <v>4</v>
      </c>
      <c r="H15" s="128"/>
      <c r="I15" s="7">
        <v>75491</v>
      </c>
      <c r="K15" s="127" t="s">
        <v>4</v>
      </c>
      <c r="L15" s="128"/>
      <c r="M15" s="7">
        <v>64783</v>
      </c>
      <c r="O15" s="127" t="s">
        <v>4</v>
      </c>
      <c r="P15" s="128"/>
      <c r="Q15" s="7">
        <v>50969</v>
      </c>
      <c r="S15" s="127" t="s">
        <v>4</v>
      </c>
      <c r="T15" s="128"/>
      <c r="U15" s="7">
        <v>828033</v>
      </c>
      <c r="W15" s="34"/>
      <c r="X15" s="127" t="s">
        <v>4</v>
      </c>
      <c r="Y15" s="128"/>
      <c r="Z15" s="7">
        <f>+E15+I15+M15+Q15+U15</f>
        <v>1019276</v>
      </c>
      <c r="AA15" s="35"/>
      <c r="AD15" t="s">
        <v>64</v>
      </c>
      <c r="AE15" s="4">
        <v>6230</v>
      </c>
      <c r="AF15"/>
      <c r="AG15"/>
      <c r="AH15"/>
      <c r="AI15"/>
      <c r="AO15" s="1">
        <v>5000</v>
      </c>
      <c r="AP15" s="1">
        <v>2</v>
      </c>
      <c r="AQ15" s="39">
        <f t="shared" si="7"/>
        <v>10000</v>
      </c>
    </row>
    <row r="16" spans="3:43" ht="15.75" thickBot="1" x14ac:dyDescent="0.3">
      <c r="C16" t="s">
        <v>5</v>
      </c>
      <c r="E16" s="4"/>
      <c r="G16" t="s">
        <v>5</v>
      </c>
      <c r="I16" s="4">
        <f>+I13</f>
        <v>54680</v>
      </c>
      <c r="K16" t="s">
        <v>5</v>
      </c>
      <c r="M16" s="4">
        <v>44730</v>
      </c>
      <c r="O16" t="s">
        <v>5</v>
      </c>
      <c r="Q16" s="4">
        <f>+Q13</f>
        <v>50970</v>
      </c>
      <c r="S16" t="s">
        <v>5</v>
      </c>
      <c r="U16" s="4"/>
      <c r="W16" s="12"/>
      <c r="X16" s="43" t="s">
        <v>5</v>
      </c>
      <c r="Y16" s="43"/>
      <c r="Z16" s="40">
        <f>+E16+I16+M16+Q16+U16</f>
        <v>150380</v>
      </c>
      <c r="AA16" s="13"/>
      <c r="AD16" t="s">
        <v>72</v>
      </c>
      <c r="AE16" s="4">
        <f>400+300</f>
        <v>700</v>
      </c>
      <c r="AO16" s="2" t="s">
        <v>3</v>
      </c>
      <c r="AP16" s="2"/>
      <c r="AQ16" s="5">
        <f>+SUM(AQ8:AQ15)</f>
        <v>142960</v>
      </c>
    </row>
    <row r="17" spans="3:32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D17" s="54" t="s">
        <v>10</v>
      </c>
      <c r="AE17" s="55">
        <f>+SUM(AE11:AE16)</f>
        <v>151758</v>
      </c>
      <c r="AF17" s="22">
        <f>AE17-Z13</f>
        <v>1378</v>
      </c>
    </row>
    <row r="18" spans="3:32" x14ac:dyDescent="0.25">
      <c r="C18" t="s">
        <v>43</v>
      </c>
      <c r="E18" s="4"/>
      <c r="G18" t="s">
        <v>77</v>
      </c>
      <c r="H18" t="s">
        <v>78</v>
      </c>
      <c r="I18" s="4">
        <v>8600</v>
      </c>
      <c r="K18" t="s">
        <v>74</v>
      </c>
      <c r="L18" t="s">
        <v>75</v>
      </c>
      <c r="M18" s="4">
        <v>13800</v>
      </c>
      <c r="O18" t="s">
        <v>7</v>
      </c>
      <c r="Q18" s="4"/>
      <c r="S18" t="s">
        <v>43</v>
      </c>
      <c r="U18" s="4"/>
      <c r="W18" s="12"/>
      <c r="X18" s="43" t="s">
        <v>7</v>
      </c>
      <c r="Y18" s="43"/>
      <c r="Z18" s="40">
        <f t="shared" si="8"/>
        <v>22400</v>
      </c>
      <c r="AA18" s="13"/>
      <c r="AD18" s="56" t="s">
        <v>66</v>
      </c>
      <c r="AE18" s="57">
        <f>+AE17-AE8</f>
        <v>1378</v>
      </c>
      <c r="AF18" t="s">
        <v>67</v>
      </c>
    </row>
    <row r="19" spans="3:32" x14ac:dyDescent="0.25">
      <c r="C19" t="s">
        <v>8</v>
      </c>
      <c r="E19" s="4"/>
      <c r="G19" t="s">
        <v>77</v>
      </c>
      <c r="H19" t="s">
        <v>79</v>
      </c>
      <c r="I19" s="4">
        <v>6710</v>
      </c>
      <c r="K19" t="s">
        <v>74</v>
      </c>
      <c r="L19" t="s">
        <v>76</v>
      </c>
      <c r="M19" s="4">
        <v>6260</v>
      </c>
      <c r="O19" t="s">
        <v>8</v>
      </c>
      <c r="Q19" s="4"/>
      <c r="S19" t="s">
        <v>43</v>
      </c>
      <c r="U19" s="4"/>
      <c r="W19" s="12"/>
      <c r="X19" s="43" t="s">
        <v>8</v>
      </c>
      <c r="Y19" s="43"/>
      <c r="Z19" s="40">
        <f t="shared" si="8"/>
        <v>12970</v>
      </c>
      <c r="AA19" s="13"/>
    </row>
    <row r="20" spans="3:32" x14ac:dyDescent="0.25">
      <c r="C20" t="s">
        <v>9</v>
      </c>
      <c r="E20" s="4"/>
      <c r="G20" t="s">
        <v>77</v>
      </c>
      <c r="H20" t="s">
        <v>80</v>
      </c>
      <c r="I20" s="4">
        <v>5500</v>
      </c>
      <c r="K20" t="s">
        <v>9</v>
      </c>
      <c r="M20" s="4"/>
      <c r="O20" t="s">
        <v>9</v>
      </c>
      <c r="Q20" s="4"/>
      <c r="S20" t="s">
        <v>28</v>
      </c>
      <c r="T20" t="s">
        <v>83</v>
      </c>
      <c r="U20" s="4">
        <v>52791</v>
      </c>
      <c r="W20" s="12"/>
      <c r="X20" s="43" t="s">
        <v>9</v>
      </c>
      <c r="Y20" s="43"/>
      <c r="Z20" s="40">
        <f t="shared" si="8"/>
        <v>58291</v>
      </c>
      <c r="AA20" s="13"/>
    </row>
    <row r="21" spans="3:32" x14ac:dyDescent="0.25">
      <c r="E21" s="4"/>
      <c r="I21" s="4"/>
      <c r="M21" s="4"/>
      <c r="Q21" s="4"/>
      <c r="S21" t="s">
        <v>29</v>
      </c>
      <c r="T21" t="s">
        <v>84</v>
      </c>
      <c r="U21" s="4">
        <v>10953</v>
      </c>
      <c r="W21" s="12"/>
      <c r="X21" s="43"/>
      <c r="Y21" s="43"/>
      <c r="Z21" s="40">
        <f t="shared" si="8"/>
        <v>10953</v>
      </c>
      <c r="AA21" s="13"/>
    </row>
    <row r="22" spans="3:32" x14ac:dyDescent="0.25">
      <c r="E22" s="4"/>
      <c r="I22" s="4"/>
      <c r="M22" s="4"/>
      <c r="Q22" s="4"/>
      <c r="S22" t="s">
        <v>31</v>
      </c>
      <c r="T22" t="s">
        <v>85</v>
      </c>
      <c r="U22" s="4">
        <v>8953</v>
      </c>
      <c r="W22" s="12"/>
      <c r="X22" s="43"/>
      <c r="Y22" s="43"/>
      <c r="Z22" s="40">
        <f t="shared" si="8"/>
        <v>8953</v>
      </c>
      <c r="AA22" s="13"/>
    </row>
    <row r="23" spans="3:32" x14ac:dyDescent="0.25">
      <c r="E23" s="4"/>
      <c r="I23" s="4"/>
      <c r="M23" s="4"/>
      <c r="Q23" s="4"/>
      <c r="S23" t="s">
        <v>52</v>
      </c>
      <c r="T23" t="s">
        <v>86</v>
      </c>
      <c r="U23" s="4">
        <v>18579</v>
      </c>
      <c r="W23" s="12"/>
      <c r="X23" s="44" t="s">
        <v>28</v>
      </c>
      <c r="Y23" s="43"/>
      <c r="Z23" s="40">
        <f t="shared" si="8"/>
        <v>18579</v>
      </c>
      <c r="AA23" s="13"/>
    </row>
    <row r="24" spans="3:32" x14ac:dyDescent="0.25">
      <c r="E24" s="4"/>
      <c r="I24" s="4"/>
      <c r="M24" s="4"/>
      <c r="Q24" s="4"/>
      <c r="S24" t="s">
        <v>81</v>
      </c>
      <c r="T24" t="s">
        <v>87</v>
      </c>
      <c r="U24" s="4">
        <v>7263</v>
      </c>
      <c r="W24" s="12"/>
      <c r="X24" s="44" t="s">
        <v>29</v>
      </c>
      <c r="Y24" s="43"/>
      <c r="Z24" s="40">
        <f t="shared" si="8"/>
        <v>7263</v>
      </c>
      <c r="AA24" s="13"/>
    </row>
    <row r="25" spans="3:32" x14ac:dyDescent="0.25">
      <c r="E25" s="4"/>
      <c r="I25" s="4"/>
      <c r="M25" s="4"/>
      <c r="Q25" s="4"/>
      <c r="S25" t="s">
        <v>82</v>
      </c>
      <c r="T25" t="s">
        <v>88</v>
      </c>
      <c r="U25" s="4">
        <v>117398</v>
      </c>
      <c r="W25" s="12"/>
      <c r="X25" s="44" t="s">
        <v>31</v>
      </c>
      <c r="Y25" s="43"/>
      <c r="Z25" s="40">
        <f t="shared" si="8"/>
        <v>117398</v>
      </c>
      <c r="AA25" s="13"/>
    </row>
    <row r="26" spans="3:32" x14ac:dyDescent="0.25">
      <c r="E26" s="4"/>
      <c r="I26" s="4"/>
      <c r="M26" s="4"/>
      <c r="Q26" s="4"/>
      <c r="S26" t="s">
        <v>89</v>
      </c>
      <c r="T26" t="s">
        <v>90</v>
      </c>
      <c r="U26" s="4">
        <v>612095</v>
      </c>
      <c r="W26" s="12"/>
      <c r="X26" s="43"/>
      <c r="Y26" s="43"/>
      <c r="Z26" s="40">
        <f t="shared" si="8"/>
        <v>612095</v>
      </c>
      <c r="AA26" s="13"/>
    </row>
    <row r="27" spans="3:32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  <c r="AE27">
        <f>142960-124338</f>
        <v>18622</v>
      </c>
    </row>
    <row r="28" spans="3:32" ht="15.75" thickBot="1" x14ac:dyDescent="0.3">
      <c r="C28" s="129" t="s">
        <v>10</v>
      </c>
      <c r="D28" s="130"/>
      <c r="E28" s="8">
        <f>+SUM(E16:E27)</f>
        <v>0</v>
      </c>
      <c r="G28" s="129" t="s">
        <v>10</v>
      </c>
      <c r="H28" s="130"/>
      <c r="I28" s="8">
        <f>+SUM(I16:I27)</f>
        <v>75490</v>
      </c>
      <c r="K28" s="129" t="s">
        <v>10</v>
      </c>
      <c r="L28" s="130"/>
      <c r="M28" s="8">
        <f>+SUM(M16:M27)</f>
        <v>64790</v>
      </c>
      <c r="O28" s="129" t="s">
        <v>10</v>
      </c>
      <c r="P28" s="130"/>
      <c r="Q28" s="8">
        <f>+SUM(Q16:Q27)</f>
        <v>50970</v>
      </c>
      <c r="S28" s="129" t="s">
        <v>10</v>
      </c>
      <c r="T28" s="130"/>
      <c r="U28" s="8">
        <f>+SUM(U16:U27)</f>
        <v>828032</v>
      </c>
      <c r="W28" s="12"/>
      <c r="X28" s="129" t="s">
        <v>10</v>
      </c>
      <c r="Y28" s="130"/>
      <c r="Z28" s="8">
        <f>+SUM(Z16:Z27)</f>
        <v>1019282</v>
      </c>
      <c r="AA28" s="13"/>
    </row>
    <row r="29" spans="3:32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2" ht="15.75" thickBot="1" x14ac:dyDescent="0.3">
      <c r="C30" s="131" t="s">
        <v>11</v>
      </c>
      <c r="D30" s="131"/>
      <c r="E30" s="6">
        <f>+E28-E15</f>
        <v>0</v>
      </c>
      <c r="G30" s="131" t="s">
        <v>11</v>
      </c>
      <c r="H30" s="131"/>
      <c r="I30" s="6">
        <f>+I28-I15</f>
        <v>-1</v>
      </c>
      <c r="K30" s="131" t="s">
        <v>11</v>
      </c>
      <c r="L30" s="131"/>
      <c r="M30" s="6">
        <f>+M28-M15</f>
        <v>7</v>
      </c>
      <c r="O30" s="131" t="s">
        <v>11</v>
      </c>
      <c r="P30" s="131"/>
      <c r="Q30" s="6">
        <f>+Q28-Q15</f>
        <v>1</v>
      </c>
      <c r="S30" s="131" t="s">
        <v>11</v>
      </c>
      <c r="T30" s="131"/>
      <c r="U30" s="6">
        <f>+U28-U15</f>
        <v>-1</v>
      </c>
      <c r="W30" s="12"/>
      <c r="X30" s="134" t="s">
        <v>11</v>
      </c>
      <c r="Y30" s="134"/>
      <c r="Z30" s="45">
        <f>+Z28-Z15</f>
        <v>6</v>
      </c>
      <c r="AA30" s="13"/>
    </row>
    <row r="31" spans="3:32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/>
      <c r="X34" s="46" t="s">
        <v>15</v>
      </c>
      <c r="Y34" s="47"/>
      <c r="Z34" s="48">
        <f>+E34+I34+M34+Q34+U34</f>
        <v>0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23</v>
      </c>
      <c r="D36" s="17"/>
      <c r="E36" s="24"/>
      <c r="G36" s="12" t="s">
        <v>23</v>
      </c>
      <c r="H36" s="17"/>
      <c r="I36" s="24"/>
      <c r="K36" s="12" t="s">
        <v>42</v>
      </c>
      <c r="L36" s="17"/>
      <c r="M36" s="24">
        <v>-7</v>
      </c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-7</v>
      </c>
    </row>
    <row r="37" spans="3:26" x14ac:dyDescent="0.25">
      <c r="C37" s="12" t="s">
        <v>3</v>
      </c>
      <c r="D37" s="17"/>
      <c r="E37" s="24">
        <f>+SUM(E34:E36)</f>
        <v>0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-7</v>
      </c>
      <c r="O37" s="12" t="s">
        <v>3</v>
      </c>
      <c r="P37" s="17"/>
      <c r="Q37" s="24">
        <f>+SUM(Q34:Q36)</f>
        <v>0</v>
      </c>
      <c r="S37" s="12" t="s">
        <v>3</v>
      </c>
      <c r="T37" s="17"/>
      <c r="U37" s="24">
        <f>+SUM(U34:U36)</f>
        <v>0</v>
      </c>
      <c r="X37" s="36" t="s">
        <v>3</v>
      </c>
      <c r="Y37" s="37"/>
      <c r="Z37" s="38">
        <f>+SUM(Z34:Z36)</f>
        <v>-7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-1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1</v>
      </c>
      <c r="S38" s="25" t="s">
        <v>22</v>
      </c>
      <c r="T38" s="26"/>
      <c r="U38" s="27">
        <f>+U30+U37</f>
        <v>-1</v>
      </c>
      <c r="X38" s="25" t="s">
        <v>22</v>
      </c>
      <c r="Y38" s="26"/>
      <c r="Z38" s="27">
        <f>+Z30+Z37</f>
        <v>-1</v>
      </c>
    </row>
    <row r="40" spans="3:26" x14ac:dyDescent="0.25">
      <c r="Z40" s="22"/>
    </row>
  </sheetData>
  <mergeCells count="25">
    <mergeCell ref="X3:Z3"/>
    <mergeCell ref="C15:D15"/>
    <mergeCell ref="G15:H15"/>
    <mergeCell ref="K15:L15"/>
    <mergeCell ref="O15:P15"/>
    <mergeCell ref="S15:T15"/>
    <mergeCell ref="C3:E3"/>
    <mergeCell ref="G3:I3"/>
    <mergeCell ref="K3:M3"/>
    <mergeCell ref="O3:Q3"/>
    <mergeCell ref="S3:U3"/>
    <mergeCell ref="AD6:AH6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X15:Y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AM40"/>
  <sheetViews>
    <sheetView zoomScale="70" zoomScaleNormal="70" workbookViewId="0">
      <selection activeCell="U35" sqref="U35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3" customWidth="1"/>
    <col min="8" max="8" width="14.7109375" bestFit="1" customWidth="1"/>
    <col min="9" max="9" width="11.85546875" bestFit="1" customWidth="1"/>
    <col min="10" max="10" width="0.7109375" customWidth="1"/>
    <col min="11" max="11" width="12.5703125" customWidth="1"/>
    <col min="12" max="12" width="16.42578125" customWidth="1"/>
    <col min="13" max="13" width="12.42578125" bestFit="1" customWidth="1"/>
    <col min="14" max="14" width="0.7109375" customWidth="1"/>
    <col min="15" max="15" width="11.28515625" customWidth="1"/>
    <col min="17" max="17" width="11.42578125" bestFit="1" customWidth="1"/>
    <col min="18" max="18" width="0.85546875" customWidth="1"/>
    <col min="19" max="19" width="13.5703125" bestFit="1" customWidth="1"/>
    <col min="20" max="20" width="19.5703125" bestFit="1" customWidth="1"/>
    <col min="21" max="21" width="13.5703125" bestFit="1" customWidth="1"/>
    <col min="22" max="22" width="5.140625" customWidth="1"/>
    <col min="23" max="23" width="1.140625" customWidth="1"/>
    <col min="24" max="24" width="13.5703125" bestFit="1" customWidth="1"/>
    <col min="26" max="26" width="13.140625" bestFit="1" customWidth="1"/>
    <col min="27" max="27" width="1.140625" customWidth="1"/>
    <col min="29" max="29" width="15.28515625" bestFit="1" customWidth="1"/>
    <col min="30" max="30" width="11.140625" bestFit="1" customWidth="1"/>
    <col min="31" max="31" width="21" bestFit="1" customWidth="1"/>
    <col min="32" max="32" width="18.28515625" bestFit="1" customWidth="1"/>
    <col min="33" max="33" width="14.140625" bestFit="1" customWidth="1"/>
    <col min="34" max="34" width="15.28515625" bestFit="1" customWidth="1"/>
    <col min="35" max="35" width="10.28515625" bestFit="1" customWidth="1"/>
    <col min="36" max="36" width="12" customWidth="1"/>
    <col min="39" max="39" width="12.85546875" bestFit="1" customWidth="1"/>
  </cols>
  <sheetData>
    <row r="1" spans="3:39" ht="15.75" thickBot="1" x14ac:dyDescent="0.3"/>
    <row r="2" spans="3:39" x14ac:dyDescent="0.25">
      <c r="W2" s="9"/>
      <c r="X2" s="10"/>
      <c r="Y2" s="10"/>
      <c r="Z2" s="10"/>
      <c r="AA2" s="11"/>
    </row>
    <row r="3" spans="3:39" x14ac:dyDescent="0.25">
      <c r="C3" s="132" t="s">
        <v>44</v>
      </c>
      <c r="D3" s="132"/>
      <c r="E3" s="132"/>
      <c r="G3" s="132" t="s">
        <v>94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3:39" ht="15.75" thickBot="1" x14ac:dyDescent="0.3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  <c r="AF4" s="133" t="s">
        <v>56</v>
      </c>
      <c r="AG4" s="133"/>
      <c r="AH4" s="133"/>
      <c r="AI4" s="133"/>
      <c r="AJ4" s="133"/>
    </row>
    <row r="5" spans="3:39" s="28" customFormat="1" ht="15.75" thickTop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F5"/>
      <c r="AG5"/>
      <c r="AH5"/>
      <c r="AI5"/>
      <c r="AJ5"/>
    </row>
    <row r="6" spans="3:39" x14ac:dyDescent="0.25">
      <c r="C6" s="1">
        <v>10</v>
      </c>
      <c r="D6" s="1">
        <v>571</v>
      </c>
      <c r="E6" s="39">
        <f>+D6*C6</f>
        <v>5710</v>
      </c>
      <c r="G6" s="1">
        <v>10</v>
      </c>
      <c r="H6" s="1">
        <v>96</v>
      </c>
      <c r="I6" s="39">
        <f>+H6*G6</f>
        <v>960</v>
      </c>
      <c r="K6" s="1">
        <v>10</v>
      </c>
      <c r="L6" s="1">
        <v>130</v>
      </c>
      <c r="M6" s="39">
        <f>+L6*K6</f>
        <v>1300</v>
      </c>
      <c r="O6" s="1">
        <v>10</v>
      </c>
      <c r="P6" s="1">
        <v>145</v>
      </c>
      <c r="Q6" s="39">
        <f>+P6*O6</f>
        <v>1450</v>
      </c>
      <c r="S6" s="1">
        <v>10</v>
      </c>
      <c r="T6" s="1">
        <v>352</v>
      </c>
      <c r="U6" s="39">
        <f>+T6*S6</f>
        <v>3520</v>
      </c>
      <c r="W6" s="12"/>
      <c r="X6" s="42">
        <v>10</v>
      </c>
      <c r="Y6" s="42">
        <f>+D6+H6+L6+P6+T6</f>
        <v>1294</v>
      </c>
      <c r="Z6" s="40">
        <f>+E6+I6+M6+Q6+U6</f>
        <v>12940</v>
      </c>
      <c r="AA6" s="13"/>
      <c r="AF6" s="70" t="s">
        <v>5</v>
      </c>
      <c r="AG6" s="71">
        <f>+Z13</f>
        <v>377740</v>
      </c>
      <c r="AH6" s="28"/>
      <c r="AI6" s="28"/>
      <c r="AJ6" s="28"/>
    </row>
    <row r="7" spans="3:39" x14ac:dyDescent="0.25">
      <c r="C7" s="1">
        <v>20</v>
      </c>
      <c r="D7" s="1">
        <v>55</v>
      </c>
      <c r="E7" s="39">
        <f t="shared" ref="E7:E12" si="0">+D7*C7</f>
        <v>1100</v>
      </c>
      <c r="G7" s="1">
        <v>20</v>
      </c>
      <c r="H7" s="1">
        <v>24</v>
      </c>
      <c r="I7" s="39">
        <f t="shared" ref="I7:I12" si="1">+H7*G7</f>
        <v>480</v>
      </c>
      <c r="K7" s="1">
        <v>20</v>
      </c>
      <c r="L7" s="1">
        <v>13</v>
      </c>
      <c r="M7" s="39">
        <f t="shared" ref="M7:M12" si="2">+L7*K7</f>
        <v>260</v>
      </c>
      <c r="O7" s="1">
        <v>20</v>
      </c>
      <c r="P7" s="1">
        <v>16</v>
      </c>
      <c r="Q7" s="39">
        <f t="shared" ref="Q7:Q12" si="3">+P7*O7</f>
        <v>320</v>
      </c>
      <c r="S7" s="1">
        <v>20</v>
      </c>
      <c r="T7" s="1">
        <v>57</v>
      </c>
      <c r="U7" s="39">
        <f t="shared" ref="U7:U12" si="4">+T7*S7</f>
        <v>1140</v>
      </c>
      <c r="W7" s="12"/>
      <c r="X7" s="42">
        <v>20</v>
      </c>
      <c r="Y7" s="42">
        <f>+D7+H7+L7+P7+T7</f>
        <v>165</v>
      </c>
      <c r="Z7" s="40">
        <f t="shared" ref="Z7:Z12" si="5">+E7+I7+M7+Q7+U7</f>
        <v>3300</v>
      </c>
      <c r="AA7" s="13"/>
      <c r="AF7" s="66" t="s">
        <v>120</v>
      </c>
      <c r="AG7" s="66">
        <f>+AG27</f>
        <v>97279</v>
      </c>
      <c r="AK7" s="3" t="s">
        <v>0</v>
      </c>
      <c r="AL7" s="3" t="s">
        <v>1</v>
      </c>
      <c r="AM7" s="3" t="s">
        <v>2</v>
      </c>
    </row>
    <row r="8" spans="3:39" ht="15.75" thickBot="1" x14ac:dyDescent="0.3">
      <c r="C8" s="1">
        <v>50</v>
      </c>
      <c r="D8" s="1">
        <v>70</v>
      </c>
      <c r="E8" s="39">
        <f t="shared" si="0"/>
        <v>3500</v>
      </c>
      <c r="G8" s="1">
        <v>50</v>
      </c>
      <c r="H8" s="1">
        <v>45</v>
      </c>
      <c r="I8" s="39">
        <f t="shared" si="1"/>
        <v>2250</v>
      </c>
      <c r="K8" s="1">
        <v>50</v>
      </c>
      <c r="L8" s="1">
        <v>82</v>
      </c>
      <c r="M8" s="39">
        <f t="shared" si="2"/>
        <v>4100</v>
      </c>
      <c r="O8" s="1">
        <v>50</v>
      </c>
      <c r="P8" s="1">
        <v>2</v>
      </c>
      <c r="Q8" s="39">
        <f t="shared" si="3"/>
        <v>100</v>
      </c>
      <c r="S8" s="1">
        <v>50</v>
      </c>
      <c r="T8" s="1">
        <v>7</v>
      </c>
      <c r="U8" s="39">
        <f t="shared" si="4"/>
        <v>350</v>
      </c>
      <c r="W8" s="12"/>
      <c r="X8" s="42">
        <v>50</v>
      </c>
      <c r="Y8" s="42">
        <f t="shared" ref="Y8:Y12" si="6">+D8+H8+L8+P8+T8</f>
        <v>206</v>
      </c>
      <c r="Z8" s="40">
        <f t="shared" si="5"/>
        <v>10300</v>
      </c>
      <c r="AA8" s="13"/>
      <c r="AF8" s="72" t="s">
        <v>10</v>
      </c>
      <c r="AG8" s="73">
        <f>SUM(AG6:AG7)</f>
        <v>475019</v>
      </c>
      <c r="AK8" s="31">
        <v>1</v>
      </c>
      <c r="AL8" s="31"/>
      <c r="AM8" s="39">
        <f>+AL8*AK8</f>
        <v>0</v>
      </c>
    </row>
    <row r="9" spans="3:39" x14ac:dyDescent="0.25">
      <c r="C9" s="1">
        <v>100</v>
      </c>
      <c r="D9" s="1">
        <v>74</v>
      </c>
      <c r="E9" s="39">
        <f t="shared" si="0"/>
        <v>7400</v>
      </c>
      <c r="G9" s="1">
        <v>100</v>
      </c>
      <c r="H9" s="1">
        <v>58</v>
      </c>
      <c r="I9" s="39">
        <f t="shared" si="1"/>
        <v>5800</v>
      </c>
      <c r="K9" s="1">
        <v>100</v>
      </c>
      <c r="L9" s="1">
        <v>119</v>
      </c>
      <c r="M9" s="39">
        <f t="shared" si="2"/>
        <v>11900</v>
      </c>
      <c r="O9" s="1">
        <v>100</v>
      </c>
      <c r="P9" s="1">
        <v>5</v>
      </c>
      <c r="Q9" s="39">
        <f t="shared" si="3"/>
        <v>500</v>
      </c>
      <c r="S9" s="1">
        <v>100</v>
      </c>
      <c r="T9" s="1">
        <v>6</v>
      </c>
      <c r="U9" s="39">
        <f t="shared" si="4"/>
        <v>600</v>
      </c>
      <c r="W9" s="12"/>
      <c r="X9" s="42">
        <v>100</v>
      </c>
      <c r="Y9" s="42">
        <f t="shared" si="6"/>
        <v>262</v>
      </c>
      <c r="Z9" s="40">
        <f t="shared" si="5"/>
        <v>26200</v>
      </c>
      <c r="AA9" s="13"/>
      <c r="AK9" s="1">
        <v>10</v>
      </c>
      <c r="AL9" s="1">
        <v>1786</v>
      </c>
      <c r="AM9" s="39">
        <f>+AL9*AK9</f>
        <v>17860</v>
      </c>
    </row>
    <row r="10" spans="3:39" x14ac:dyDescent="0.25">
      <c r="C10" s="1">
        <v>500</v>
      </c>
      <c r="D10" s="1">
        <v>19</v>
      </c>
      <c r="E10" s="39">
        <f t="shared" si="0"/>
        <v>9500</v>
      </c>
      <c r="G10" s="1">
        <v>500</v>
      </c>
      <c r="H10" s="1">
        <v>27</v>
      </c>
      <c r="I10" s="39">
        <f t="shared" si="1"/>
        <v>13500</v>
      </c>
      <c r="K10" s="1">
        <v>500</v>
      </c>
      <c r="L10" s="1">
        <v>69</v>
      </c>
      <c r="M10" s="39">
        <f t="shared" si="2"/>
        <v>34500</v>
      </c>
      <c r="O10" s="1">
        <v>500</v>
      </c>
      <c r="P10" s="1">
        <v>43</v>
      </c>
      <c r="Q10" s="39">
        <f t="shared" si="3"/>
        <v>21500</v>
      </c>
      <c r="S10" s="1">
        <v>500</v>
      </c>
      <c r="T10" s="1">
        <v>24</v>
      </c>
      <c r="U10" s="39">
        <f t="shared" si="4"/>
        <v>12000</v>
      </c>
      <c r="W10" s="12"/>
      <c r="X10" s="42">
        <v>500</v>
      </c>
      <c r="Y10" s="42">
        <f t="shared" si="6"/>
        <v>182</v>
      </c>
      <c r="Z10" s="40">
        <f t="shared" si="5"/>
        <v>91000</v>
      </c>
      <c r="AA10" s="13"/>
      <c r="AF10" s="53" t="s">
        <v>57</v>
      </c>
      <c r="AG10" s="53" t="s">
        <v>2</v>
      </c>
      <c r="AH10" s="53" t="s">
        <v>58</v>
      </c>
      <c r="AI10" s="53" t="s">
        <v>59</v>
      </c>
      <c r="AJ10" s="53" t="s">
        <v>60</v>
      </c>
      <c r="AK10" s="1">
        <v>20</v>
      </c>
      <c r="AL10" s="1">
        <v>189</v>
      </c>
      <c r="AM10" s="39">
        <f t="shared" ref="AM10:AM15" si="7">+AL10*AK10</f>
        <v>3780</v>
      </c>
    </row>
    <row r="11" spans="3:39" x14ac:dyDescent="0.25">
      <c r="C11" s="1">
        <v>1000</v>
      </c>
      <c r="D11" s="1">
        <v>57</v>
      </c>
      <c r="E11" s="39">
        <f t="shared" si="0"/>
        <v>57000</v>
      </c>
      <c r="G11" s="1">
        <v>1000</v>
      </c>
      <c r="H11" s="1">
        <v>22</v>
      </c>
      <c r="I11" s="39">
        <f t="shared" si="1"/>
        <v>22000</v>
      </c>
      <c r="K11" s="1">
        <v>1000</v>
      </c>
      <c r="L11" s="1">
        <v>80</v>
      </c>
      <c r="M11" s="39">
        <f t="shared" si="2"/>
        <v>80000</v>
      </c>
      <c r="O11" s="1">
        <v>1000</v>
      </c>
      <c r="P11" s="1">
        <v>30</v>
      </c>
      <c r="Q11" s="39">
        <f t="shared" si="3"/>
        <v>30000</v>
      </c>
      <c r="S11" s="1">
        <v>1000</v>
      </c>
      <c r="T11" s="1">
        <v>10</v>
      </c>
      <c r="U11" s="39">
        <f t="shared" si="4"/>
        <v>10000</v>
      </c>
      <c r="W11" s="12"/>
      <c r="X11" s="42">
        <v>1000</v>
      </c>
      <c r="Y11" s="42">
        <f t="shared" si="6"/>
        <v>199</v>
      </c>
      <c r="Z11" s="40">
        <f t="shared" si="5"/>
        <v>199000</v>
      </c>
      <c r="AA11" s="13"/>
      <c r="AF11" t="s">
        <v>6</v>
      </c>
      <c r="AG11" s="4">
        <v>457650</v>
      </c>
      <c r="AH11">
        <v>848724</v>
      </c>
      <c r="AI11" s="58" t="s">
        <v>127</v>
      </c>
      <c r="AJ11" t="s">
        <v>128</v>
      </c>
      <c r="AK11" s="1">
        <v>50</v>
      </c>
      <c r="AL11" s="1">
        <v>255</v>
      </c>
      <c r="AM11" s="39">
        <f t="shared" si="7"/>
        <v>12750</v>
      </c>
    </row>
    <row r="12" spans="3:39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2</v>
      </c>
      <c r="I12" s="39">
        <f t="shared" si="1"/>
        <v>10000</v>
      </c>
      <c r="K12" s="1">
        <v>5000</v>
      </c>
      <c r="L12" s="1"/>
      <c r="M12" s="39">
        <f t="shared" si="2"/>
        <v>0</v>
      </c>
      <c r="O12" s="1">
        <v>5000</v>
      </c>
      <c r="P12" s="1">
        <v>4</v>
      </c>
      <c r="Q12" s="39">
        <f t="shared" si="3"/>
        <v>20000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7</v>
      </c>
      <c r="Z12" s="40">
        <f t="shared" si="5"/>
        <v>35000</v>
      </c>
      <c r="AA12" s="13"/>
      <c r="AF12" t="s">
        <v>62</v>
      </c>
      <c r="AG12" s="4">
        <v>20140</v>
      </c>
      <c r="AK12" s="1">
        <v>100</v>
      </c>
      <c r="AL12" s="1">
        <v>424</v>
      </c>
      <c r="AM12" s="39">
        <f t="shared" si="7"/>
        <v>42400</v>
      </c>
    </row>
    <row r="13" spans="3:39" ht="15.75" thickBot="1" x14ac:dyDescent="0.3">
      <c r="C13" s="2" t="s">
        <v>3</v>
      </c>
      <c r="D13" s="2"/>
      <c r="E13" s="5">
        <f>+SUM(E5:E12)</f>
        <v>89210</v>
      </c>
      <c r="G13" s="2" t="s">
        <v>3</v>
      </c>
      <c r="H13" s="2"/>
      <c r="I13" s="5">
        <f>+SUM(I5:I12)</f>
        <v>54990</v>
      </c>
      <c r="K13" s="2" t="s">
        <v>3</v>
      </c>
      <c r="L13" s="2"/>
      <c r="M13" s="5">
        <f>+SUM(M5:M12)</f>
        <v>132060</v>
      </c>
      <c r="O13" s="2" t="s">
        <v>3</v>
      </c>
      <c r="P13" s="2"/>
      <c r="Q13" s="5">
        <f>+SUM(Q5:Q12)</f>
        <v>73870</v>
      </c>
      <c r="S13" s="2" t="s">
        <v>3</v>
      </c>
      <c r="T13" s="2"/>
      <c r="U13" s="5">
        <f>+SUM(U5:U12)</f>
        <v>27610</v>
      </c>
      <c r="W13" s="12"/>
      <c r="X13" s="2" t="s">
        <v>3</v>
      </c>
      <c r="Y13" s="2"/>
      <c r="Z13" s="5">
        <f>+SUM(Z5:Z12)</f>
        <v>377740</v>
      </c>
      <c r="AA13" s="13"/>
      <c r="AF13" t="s">
        <v>63</v>
      </c>
      <c r="AG13" s="4">
        <v>690</v>
      </c>
      <c r="AK13" s="1">
        <v>500</v>
      </c>
      <c r="AL13" s="1">
        <v>222</v>
      </c>
      <c r="AM13" s="39">
        <f t="shared" si="7"/>
        <v>111000</v>
      </c>
    </row>
    <row r="14" spans="3:39" ht="15.75" thickBot="1" x14ac:dyDescent="0.3">
      <c r="W14" s="12"/>
      <c r="X14" s="17"/>
      <c r="Y14" s="17"/>
      <c r="Z14" s="17"/>
      <c r="AA14" s="13"/>
      <c r="AF14" t="s">
        <v>64</v>
      </c>
      <c r="AG14" s="4">
        <v>2850</v>
      </c>
      <c r="AK14" s="1">
        <v>1000</v>
      </c>
      <c r="AL14" s="1">
        <v>245</v>
      </c>
      <c r="AM14" s="39">
        <f t="shared" si="7"/>
        <v>245000</v>
      </c>
    </row>
    <row r="15" spans="3:39" s="33" customFormat="1" ht="15.75" thickBot="1" x14ac:dyDescent="0.3">
      <c r="C15" s="127" t="s">
        <v>4</v>
      </c>
      <c r="D15" s="128"/>
      <c r="E15" s="7">
        <v>89810.37</v>
      </c>
      <c r="G15" s="127" t="s">
        <v>4</v>
      </c>
      <c r="H15" s="128"/>
      <c r="I15" s="7">
        <v>78143</v>
      </c>
      <c r="K15" s="127" t="s">
        <v>4</v>
      </c>
      <c r="L15" s="128"/>
      <c r="M15" s="7">
        <v>139663</v>
      </c>
      <c r="O15" s="127" t="s">
        <v>4</v>
      </c>
      <c r="P15" s="128"/>
      <c r="Q15" s="7">
        <v>73873</v>
      </c>
      <c r="S15" s="127" t="s">
        <v>4</v>
      </c>
      <c r="T15" s="128"/>
      <c r="U15" s="7">
        <v>405148</v>
      </c>
      <c r="W15" s="34"/>
      <c r="X15" s="127" t="s">
        <v>4</v>
      </c>
      <c r="Y15" s="128"/>
      <c r="Z15" s="7">
        <f>+E15+I15+M15+Q15+U15</f>
        <v>786637.37</v>
      </c>
      <c r="AA15" s="35"/>
      <c r="AF15" t="s">
        <v>72</v>
      </c>
      <c r="AG15" s="4">
        <v>2800</v>
      </c>
      <c r="AH15"/>
      <c r="AI15"/>
      <c r="AJ15"/>
      <c r="AK15" s="1">
        <v>5000</v>
      </c>
      <c r="AL15" s="1">
        <v>9</v>
      </c>
      <c r="AM15" s="39">
        <f t="shared" si="7"/>
        <v>45000</v>
      </c>
    </row>
    <row r="16" spans="3:39" ht="15.75" thickBot="1" x14ac:dyDescent="0.3">
      <c r="C16" t="s">
        <v>5</v>
      </c>
      <c r="E16" s="4">
        <v>89210</v>
      </c>
      <c r="G16" t="s">
        <v>5</v>
      </c>
      <c r="I16" s="4">
        <f>+I13</f>
        <v>54990</v>
      </c>
      <c r="K16" t="s">
        <v>5</v>
      </c>
      <c r="M16" s="4">
        <v>132060</v>
      </c>
      <c r="O16" t="s">
        <v>5</v>
      </c>
      <c r="Q16" s="4">
        <f>+Q13</f>
        <v>73870</v>
      </c>
      <c r="S16" t="s">
        <v>5</v>
      </c>
      <c r="U16" s="4">
        <f>+U13</f>
        <v>27610</v>
      </c>
      <c r="W16" s="12"/>
      <c r="X16" s="43" t="s">
        <v>5</v>
      </c>
      <c r="Y16" s="43"/>
      <c r="Z16" s="40">
        <f>+E16+I16+M16+Q16+U16</f>
        <v>377740</v>
      </c>
      <c r="AA16" s="13"/>
      <c r="AF16" s="54" t="s">
        <v>10</v>
      </c>
      <c r="AG16" s="55">
        <f>+SUM(AG11:AG15)</f>
        <v>484130</v>
      </c>
      <c r="AH16" s="22"/>
      <c r="AK16" s="2" t="s">
        <v>3</v>
      </c>
      <c r="AL16" s="2"/>
      <c r="AM16" s="5">
        <f>+SUM(AM8:AM15)</f>
        <v>477790</v>
      </c>
    </row>
    <row r="17" spans="3:36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F17" s="56" t="s">
        <v>66</v>
      </c>
      <c r="AG17" s="57">
        <f>+AG16-AG8</f>
        <v>9111</v>
      </c>
      <c r="AH17" t="s">
        <v>67</v>
      </c>
    </row>
    <row r="18" spans="3:36" x14ac:dyDescent="0.25">
      <c r="C18" t="s">
        <v>43</v>
      </c>
      <c r="E18" s="4"/>
      <c r="G18" t="s">
        <v>92</v>
      </c>
      <c r="H18" t="s">
        <v>95</v>
      </c>
      <c r="I18" s="4">
        <v>9624</v>
      </c>
      <c r="K18" t="s">
        <v>92</v>
      </c>
      <c r="L18" t="s">
        <v>93</v>
      </c>
      <c r="M18" s="4">
        <v>2700</v>
      </c>
      <c r="O18" t="s">
        <v>7</v>
      </c>
      <c r="Q18" s="4"/>
      <c r="S18" t="s">
        <v>43</v>
      </c>
      <c r="U18" s="4"/>
      <c r="W18" s="12"/>
      <c r="X18" s="43" t="s">
        <v>7</v>
      </c>
      <c r="Y18" s="43"/>
      <c r="Z18" s="40">
        <f t="shared" si="8"/>
        <v>12324</v>
      </c>
      <c r="AA18" s="13"/>
    </row>
    <row r="19" spans="3:36" x14ac:dyDescent="0.25">
      <c r="C19" t="s">
        <v>8</v>
      </c>
      <c r="E19" s="4"/>
      <c r="G19" t="s">
        <v>92</v>
      </c>
      <c r="H19" t="s">
        <v>105</v>
      </c>
      <c r="I19" s="4">
        <v>3623</v>
      </c>
      <c r="K19" t="s">
        <v>92</v>
      </c>
      <c r="L19" s="62">
        <v>97662407</v>
      </c>
      <c r="M19" s="4">
        <v>5000</v>
      </c>
      <c r="O19" t="s">
        <v>8</v>
      </c>
      <c r="Q19" s="4"/>
      <c r="S19" t="s">
        <v>43</v>
      </c>
      <c r="U19" s="4"/>
      <c r="W19" s="12"/>
      <c r="X19" s="43" t="s">
        <v>8</v>
      </c>
      <c r="Y19" s="43"/>
      <c r="Z19" s="40">
        <f t="shared" si="8"/>
        <v>8623</v>
      </c>
      <c r="AA19" s="13"/>
      <c r="AC19" s="67" t="s">
        <v>117</v>
      </c>
      <c r="AD19" s="67"/>
      <c r="AE19" s="33"/>
    </row>
    <row r="20" spans="3:36" x14ac:dyDescent="0.25">
      <c r="C20" t="s">
        <v>9</v>
      </c>
      <c r="E20" s="4"/>
      <c r="F20">
        <v>0</v>
      </c>
      <c r="G20" t="s">
        <v>92</v>
      </c>
      <c r="H20" t="s">
        <v>106</v>
      </c>
      <c r="I20" s="4">
        <v>9000</v>
      </c>
      <c r="K20" t="s">
        <v>9</v>
      </c>
      <c r="M20" s="4"/>
      <c r="O20" t="s">
        <v>9</v>
      </c>
      <c r="Q20" s="4"/>
      <c r="S20" t="s">
        <v>28</v>
      </c>
      <c r="T20" t="s">
        <v>103</v>
      </c>
      <c r="U20" s="4">
        <v>41948</v>
      </c>
      <c r="W20" s="12"/>
      <c r="X20" s="43" t="s">
        <v>9</v>
      </c>
      <c r="Y20" s="43"/>
      <c r="Z20" s="40">
        <f t="shared" si="8"/>
        <v>50948</v>
      </c>
      <c r="AA20" s="13"/>
      <c r="AC20" s="53" t="s">
        <v>114</v>
      </c>
      <c r="AD20" s="53" t="s">
        <v>115</v>
      </c>
      <c r="AE20" s="53" t="s">
        <v>122</v>
      </c>
      <c r="AF20" s="53" t="s">
        <v>116</v>
      </c>
      <c r="AG20" s="53" t="s">
        <v>2</v>
      </c>
    </row>
    <row r="21" spans="3:36" x14ac:dyDescent="0.25">
      <c r="E21" s="4"/>
      <c r="I21" s="4"/>
      <c r="M21" s="4"/>
      <c r="Q21" s="4"/>
      <c r="S21" t="s">
        <v>29</v>
      </c>
      <c r="T21" t="s">
        <v>102</v>
      </c>
      <c r="U21" s="4">
        <v>300653</v>
      </c>
      <c r="W21" s="12"/>
      <c r="X21" s="43"/>
      <c r="Y21" s="43"/>
      <c r="Z21" s="40">
        <f t="shared" si="8"/>
        <v>300653</v>
      </c>
      <c r="AA21" s="13"/>
      <c r="AC21" t="s">
        <v>118</v>
      </c>
      <c r="AE21" t="s">
        <v>83</v>
      </c>
      <c r="AG21" s="4">
        <v>52791</v>
      </c>
    </row>
    <row r="22" spans="3:36" x14ac:dyDescent="0.25">
      <c r="E22" s="4"/>
      <c r="I22" s="4"/>
      <c r="M22" s="4"/>
      <c r="Q22" s="4"/>
      <c r="S22" t="s">
        <v>31</v>
      </c>
      <c r="T22" t="s">
        <v>101</v>
      </c>
      <c r="U22" s="4">
        <v>34950</v>
      </c>
      <c r="W22" s="12"/>
      <c r="X22" s="43"/>
      <c r="Y22" s="43"/>
      <c r="Z22" s="40">
        <f t="shared" si="8"/>
        <v>34950</v>
      </c>
      <c r="AA22" s="13"/>
      <c r="AE22" t="s">
        <v>97</v>
      </c>
      <c r="AG22" s="4">
        <v>9693</v>
      </c>
    </row>
    <row r="23" spans="3:36" x14ac:dyDescent="0.25">
      <c r="E23" s="4"/>
      <c r="I23" s="4"/>
      <c r="M23" s="4"/>
      <c r="Q23" s="4"/>
      <c r="U23" s="4"/>
      <c r="W23" s="12"/>
      <c r="X23" s="44" t="s">
        <v>28</v>
      </c>
      <c r="Y23" s="43"/>
      <c r="Z23" s="40">
        <f t="shared" si="8"/>
        <v>0</v>
      </c>
      <c r="AA23" s="13"/>
      <c r="AD23" s="58">
        <v>45998</v>
      </c>
      <c r="AE23" t="s">
        <v>98</v>
      </c>
      <c r="AG23" s="4">
        <v>8953</v>
      </c>
      <c r="AH23" t="s">
        <v>169</v>
      </c>
    </row>
    <row r="24" spans="3:36" x14ac:dyDescent="0.25">
      <c r="E24" s="4"/>
      <c r="I24" s="4"/>
      <c r="M24" s="4"/>
      <c r="Q24" s="4"/>
      <c r="U24" s="4"/>
      <c r="W24" s="12"/>
      <c r="X24" s="44" t="s">
        <v>29</v>
      </c>
      <c r="Y24" s="43"/>
      <c r="Z24" s="40">
        <f t="shared" si="8"/>
        <v>0</v>
      </c>
      <c r="AA24" s="13"/>
      <c r="AD24" s="58">
        <v>45998</v>
      </c>
      <c r="AE24" t="s">
        <v>99</v>
      </c>
      <c r="AG24">
        <v>18579</v>
      </c>
      <c r="AH24" t="s">
        <v>169</v>
      </c>
    </row>
    <row r="25" spans="3:36" x14ac:dyDescent="0.25">
      <c r="E25" s="4"/>
      <c r="I25" s="4"/>
      <c r="M25" s="4"/>
      <c r="Q25" s="4"/>
      <c r="U25" s="4"/>
      <c r="W25" s="12"/>
      <c r="X25" s="44" t="s">
        <v>31</v>
      </c>
      <c r="Y25" s="43"/>
      <c r="Z25" s="40">
        <f t="shared" si="8"/>
        <v>0</v>
      </c>
      <c r="AA25" s="13"/>
      <c r="AD25" s="58">
        <v>45998</v>
      </c>
      <c r="AE25" t="s">
        <v>87</v>
      </c>
      <c r="AG25" s="4">
        <v>7263</v>
      </c>
      <c r="AH25" t="s">
        <v>169</v>
      </c>
    </row>
    <row r="26" spans="3:36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</row>
    <row r="27" spans="3:36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  <c r="AC27" s="135" t="s">
        <v>113</v>
      </c>
      <c r="AD27" s="135"/>
      <c r="AE27" s="135"/>
      <c r="AF27" s="135"/>
      <c r="AG27" s="69">
        <f>+SUM(AG21:AG26)</f>
        <v>97279</v>
      </c>
      <c r="AJ27">
        <v>477790</v>
      </c>
    </row>
    <row r="28" spans="3:36" ht="16.5" thickTop="1" thickBot="1" x14ac:dyDescent="0.3">
      <c r="C28" s="129" t="s">
        <v>10</v>
      </c>
      <c r="D28" s="130"/>
      <c r="E28" s="8">
        <f>+SUM(E16:E27)</f>
        <v>89210</v>
      </c>
      <c r="G28" s="129" t="s">
        <v>10</v>
      </c>
      <c r="H28" s="130"/>
      <c r="I28" s="8">
        <f>+SUM(I16:I27)</f>
        <v>77237</v>
      </c>
      <c r="K28" s="129" t="s">
        <v>10</v>
      </c>
      <c r="L28" s="130"/>
      <c r="M28" s="8">
        <f>+SUM(M16:M27)</f>
        <v>139760</v>
      </c>
      <c r="O28" s="129" t="s">
        <v>10</v>
      </c>
      <c r="P28" s="130"/>
      <c r="Q28" s="8">
        <f>+SUM(Q16:Q27)</f>
        <v>73870</v>
      </c>
      <c r="S28" s="129" t="s">
        <v>10</v>
      </c>
      <c r="T28" s="130"/>
      <c r="U28" s="8">
        <f>+SUM(U16:U27)</f>
        <v>405161</v>
      </c>
      <c r="W28" s="12"/>
      <c r="X28" s="129" t="s">
        <v>10</v>
      </c>
      <c r="Y28" s="130"/>
      <c r="Z28" s="8">
        <f>+SUM(Z16:Z27)</f>
        <v>785238</v>
      </c>
      <c r="AA28" s="13"/>
      <c r="AJ28">
        <v>-457650</v>
      </c>
    </row>
    <row r="29" spans="3:36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  <c r="AJ29">
        <f>SUM(AJ27:AJ28)</f>
        <v>20140</v>
      </c>
    </row>
    <row r="30" spans="3:36" ht="15.75" thickBot="1" x14ac:dyDescent="0.3">
      <c r="C30" s="131" t="s">
        <v>11</v>
      </c>
      <c r="D30" s="131"/>
      <c r="E30" s="6">
        <f>+E28-E15</f>
        <v>-600.36999999999534</v>
      </c>
      <c r="G30" s="131" t="s">
        <v>11</v>
      </c>
      <c r="H30" s="131"/>
      <c r="I30" s="6">
        <f>+I28-I15</f>
        <v>-906</v>
      </c>
      <c r="K30" s="131" t="s">
        <v>11</v>
      </c>
      <c r="L30" s="131"/>
      <c r="M30" s="6">
        <f>+M28-M15</f>
        <v>97</v>
      </c>
      <c r="O30" s="131" t="s">
        <v>11</v>
      </c>
      <c r="P30" s="131"/>
      <c r="Q30" s="6">
        <f>+Q28-Q15</f>
        <v>-3</v>
      </c>
      <c r="S30" s="131" t="s">
        <v>11</v>
      </c>
      <c r="T30" s="131"/>
      <c r="U30" s="6">
        <f>+U28-U15</f>
        <v>13</v>
      </c>
      <c r="W30" s="12"/>
      <c r="X30" s="134" t="s">
        <v>11</v>
      </c>
      <c r="Y30" s="134"/>
      <c r="Z30" s="45">
        <f>+Z28-Z15</f>
        <v>-1399.3699999999953</v>
      </c>
      <c r="AA30" s="13"/>
    </row>
    <row r="31" spans="3:36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>
        <v>600</v>
      </c>
      <c r="G34" s="9" t="s">
        <v>15</v>
      </c>
      <c r="H34" s="10"/>
      <c r="I34" s="68">
        <v>910</v>
      </c>
      <c r="K34" s="9" t="s">
        <v>15</v>
      </c>
      <c r="L34" s="10"/>
      <c r="M34" s="23"/>
      <c r="O34" s="9" t="s">
        <v>15</v>
      </c>
      <c r="P34" s="10"/>
      <c r="Q34" s="23">
        <v>3</v>
      </c>
      <c r="S34" s="9" t="s">
        <v>15</v>
      </c>
      <c r="T34" s="10"/>
      <c r="U34" s="23">
        <v>-13</v>
      </c>
      <c r="X34" s="46" t="s">
        <v>15</v>
      </c>
      <c r="Y34" s="47"/>
      <c r="Z34" s="48">
        <f>+E34+I34+M34+Q34+U34</f>
        <v>1500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23</v>
      </c>
      <c r="D36" s="17"/>
      <c r="E36" s="24"/>
      <c r="G36" s="12" t="s">
        <v>42</v>
      </c>
      <c r="H36" s="17"/>
      <c r="I36" s="24">
        <v>-4</v>
      </c>
      <c r="K36" s="12" t="s">
        <v>67</v>
      </c>
      <c r="L36" s="17"/>
      <c r="M36" s="24">
        <v>-97</v>
      </c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-101</v>
      </c>
    </row>
    <row r="37" spans="3:26" x14ac:dyDescent="0.25">
      <c r="C37" s="12" t="s">
        <v>3</v>
      </c>
      <c r="D37" s="17"/>
      <c r="E37" s="24">
        <f>+SUM(E34:E36)</f>
        <v>600</v>
      </c>
      <c r="G37" s="12" t="s">
        <v>3</v>
      </c>
      <c r="H37" s="17"/>
      <c r="I37" s="24">
        <f>+SUM(I34:I36)</f>
        <v>906</v>
      </c>
      <c r="K37" s="12" t="s">
        <v>3</v>
      </c>
      <c r="L37" s="17"/>
      <c r="M37" s="24">
        <f>+SUM(M34:M36)</f>
        <v>-97</v>
      </c>
      <c r="O37" s="12" t="s">
        <v>3</v>
      </c>
      <c r="P37" s="17"/>
      <c r="Q37" s="24">
        <f>+SUM(Q34:Q36)</f>
        <v>3</v>
      </c>
      <c r="S37" s="12" t="s">
        <v>3</v>
      </c>
      <c r="T37" s="17"/>
      <c r="U37" s="24">
        <f>+SUM(U34:U36)</f>
        <v>-13</v>
      </c>
      <c r="X37" s="36" t="s">
        <v>3</v>
      </c>
      <c r="Y37" s="37"/>
      <c r="Z37" s="38">
        <f>+SUM(Z34:Z36)</f>
        <v>1399</v>
      </c>
    </row>
    <row r="38" spans="3:26" ht="15.75" thickBot="1" x14ac:dyDescent="0.3">
      <c r="C38" s="25" t="s">
        <v>22</v>
      </c>
      <c r="D38" s="26"/>
      <c r="E38" s="27">
        <f>+E30+E37</f>
        <v>-0.36999999999534339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-0.36999999999534339</v>
      </c>
    </row>
    <row r="40" spans="3:26" x14ac:dyDescent="0.25">
      <c r="Z40" s="22"/>
    </row>
  </sheetData>
  <mergeCells count="26">
    <mergeCell ref="AF4:AJ4"/>
    <mergeCell ref="AC27:AF27"/>
    <mergeCell ref="C30:D30"/>
    <mergeCell ref="G30:H30"/>
    <mergeCell ref="K30:L30"/>
    <mergeCell ref="O30:P30"/>
    <mergeCell ref="S30:T30"/>
    <mergeCell ref="X30:Y30"/>
    <mergeCell ref="C28:D28"/>
    <mergeCell ref="G28:H28"/>
    <mergeCell ref="K28:L28"/>
    <mergeCell ref="O28:P28"/>
    <mergeCell ref="S28:T28"/>
    <mergeCell ref="X28:Y28"/>
    <mergeCell ref="C15:D15"/>
    <mergeCell ref="G15:H15"/>
    <mergeCell ref="K15:L15"/>
    <mergeCell ref="O15:P15"/>
    <mergeCell ref="S15:T15"/>
    <mergeCell ref="X15:Y15"/>
    <mergeCell ref="C3:E3"/>
    <mergeCell ref="G3:I3"/>
    <mergeCell ref="K3:M3"/>
    <mergeCell ref="O3:Q3"/>
    <mergeCell ref="S3:U3"/>
    <mergeCell ref="X3:Z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AM40"/>
  <sheetViews>
    <sheetView topLeftCell="H1" zoomScale="70" zoomScaleNormal="70" workbookViewId="0">
      <selection activeCell="S3" sqref="S3:U3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3" customWidth="1"/>
    <col min="8" max="8" width="14.7109375" bestFit="1" customWidth="1"/>
    <col min="9" max="9" width="11.85546875" bestFit="1" customWidth="1"/>
    <col min="10" max="10" width="0.7109375" customWidth="1"/>
    <col min="11" max="11" width="12.5703125" customWidth="1"/>
    <col min="12" max="12" width="16.42578125" customWidth="1"/>
    <col min="13" max="13" width="12.42578125" bestFit="1" customWidth="1"/>
    <col min="14" max="14" width="0.7109375" customWidth="1"/>
    <col min="15" max="15" width="11.28515625" customWidth="1"/>
    <col min="17" max="17" width="11.42578125" bestFit="1" customWidth="1"/>
    <col min="18" max="18" width="0.85546875" customWidth="1"/>
    <col min="19" max="19" width="13.5703125" bestFit="1" customWidth="1"/>
    <col min="20" max="20" width="19.5703125" bestFit="1" customWidth="1"/>
    <col min="21" max="21" width="12.85546875" bestFit="1" customWidth="1"/>
    <col min="22" max="22" width="5.140625" customWidth="1"/>
    <col min="23" max="23" width="1.140625" customWidth="1"/>
    <col min="24" max="24" width="13.5703125" bestFit="1" customWidth="1"/>
    <col min="26" max="26" width="13.140625" bestFit="1" customWidth="1"/>
    <col min="27" max="27" width="1.140625" customWidth="1"/>
    <col min="31" max="31" width="15" customWidth="1"/>
    <col min="32" max="32" width="15.5703125" customWidth="1"/>
    <col min="33" max="33" width="12" bestFit="1" customWidth="1"/>
    <col min="34" max="34" width="5.140625" bestFit="1" customWidth="1"/>
  </cols>
  <sheetData>
    <row r="1" spans="3:39" ht="15.75" thickBot="1" x14ac:dyDescent="0.3"/>
    <row r="2" spans="3:39" x14ac:dyDescent="0.25">
      <c r="W2" s="9"/>
      <c r="X2" s="10"/>
      <c r="Y2" s="10"/>
      <c r="Z2" s="10"/>
      <c r="AA2" s="11"/>
    </row>
    <row r="3" spans="3:39" x14ac:dyDescent="0.25">
      <c r="C3" s="132" t="s">
        <v>44</v>
      </c>
      <c r="D3" s="132"/>
      <c r="E3" s="132"/>
      <c r="G3" s="132" t="s">
        <v>94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3:39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39" s="28" customFormat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</row>
    <row r="6" spans="3:39" ht="15.75" thickBot="1" x14ac:dyDescent="0.3">
      <c r="C6" s="1">
        <v>10</v>
      </c>
      <c r="D6" s="1">
        <v>571</v>
      </c>
      <c r="E6" s="39">
        <f>+D6*C6</f>
        <v>5710</v>
      </c>
      <c r="G6" s="1">
        <v>10</v>
      </c>
      <c r="H6" s="1">
        <v>96</v>
      </c>
      <c r="I6" s="39">
        <f>+H6*G6</f>
        <v>960</v>
      </c>
      <c r="K6" s="1">
        <v>10</v>
      </c>
      <c r="L6" s="1">
        <v>130</v>
      </c>
      <c r="M6" s="39">
        <f>+L6*K6</f>
        <v>1300</v>
      </c>
      <c r="O6" s="1">
        <v>10</v>
      </c>
      <c r="P6" s="1">
        <v>145</v>
      </c>
      <c r="Q6" s="39">
        <f>+P6*O6</f>
        <v>1450</v>
      </c>
      <c r="S6" s="1">
        <v>10</v>
      </c>
      <c r="T6" s="1">
        <v>352</v>
      </c>
      <c r="U6" s="39">
        <f>+T6*S6</f>
        <v>3520</v>
      </c>
      <c r="W6" s="12"/>
      <c r="X6" s="42">
        <v>10</v>
      </c>
      <c r="Y6" s="42">
        <f>+D6+H6+L6+P6+T6</f>
        <v>1294</v>
      </c>
      <c r="Z6" s="40">
        <f>+E6+I6+M6+Q6+U6</f>
        <v>12940</v>
      </c>
      <c r="AA6" s="13"/>
      <c r="AE6" s="133" t="s">
        <v>56</v>
      </c>
      <c r="AF6" s="133"/>
      <c r="AG6" s="133"/>
      <c r="AH6" s="133"/>
      <c r="AI6" s="133"/>
    </row>
    <row r="7" spans="3:39" ht="15.75" thickTop="1" x14ac:dyDescent="0.25">
      <c r="C7" s="1">
        <v>20</v>
      </c>
      <c r="D7" s="1">
        <v>55</v>
      </c>
      <c r="E7" s="39">
        <f t="shared" ref="E7:E12" si="0">+D7*C7</f>
        <v>1100</v>
      </c>
      <c r="G7" s="1">
        <v>20</v>
      </c>
      <c r="H7" s="1">
        <v>24</v>
      </c>
      <c r="I7" s="39">
        <f t="shared" ref="I7:I12" si="1">+H7*G7</f>
        <v>480</v>
      </c>
      <c r="K7" s="1">
        <v>20</v>
      </c>
      <c r="L7" s="1">
        <v>13</v>
      </c>
      <c r="M7" s="39">
        <f t="shared" ref="M7:M12" si="2">+L7*K7</f>
        <v>260</v>
      </c>
      <c r="O7" s="1">
        <v>20</v>
      </c>
      <c r="P7" s="1">
        <v>16</v>
      </c>
      <c r="Q7" s="39">
        <f t="shared" ref="Q7:Q12" si="3">+P7*O7</f>
        <v>320</v>
      </c>
      <c r="S7" s="1">
        <v>20</v>
      </c>
      <c r="T7" s="1">
        <v>57</v>
      </c>
      <c r="U7" s="39">
        <f t="shared" ref="U7:U12" si="4">+T7*S7</f>
        <v>1140</v>
      </c>
      <c r="W7" s="12"/>
      <c r="X7" s="42">
        <v>20</v>
      </c>
      <c r="Y7" s="42">
        <f>+D7+H7+L7+P7+T7</f>
        <v>165</v>
      </c>
      <c r="Z7" s="40">
        <f t="shared" ref="Z7:Z12" si="5">+E7+I7+M7+Q7+U7</f>
        <v>3300</v>
      </c>
      <c r="AA7" s="13"/>
      <c r="AK7" s="3" t="s">
        <v>0</v>
      </c>
      <c r="AL7" s="3" t="s">
        <v>1</v>
      </c>
      <c r="AM7" s="3" t="s">
        <v>2</v>
      </c>
    </row>
    <row r="8" spans="3:39" ht="15.75" thickBot="1" x14ac:dyDescent="0.3">
      <c r="C8" s="1">
        <v>50</v>
      </c>
      <c r="D8" s="1">
        <v>70</v>
      </c>
      <c r="E8" s="39">
        <f t="shared" si="0"/>
        <v>3500</v>
      </c>
      <c r="G8" s="1">
        <v>50</v>
      </c>
      <c r="H8" s="1">
        <v>45</v>
      </c>
      <c r="I8" s="39">
        <f t="shared" si="1"/>
        <v>2250</v>
      </c>
      <c r="K8" s="1">
        <v>50</v>
      </c>
      <c r="L8" s="1">
        <v>82</v>
      </c>
      <c r="M8" s="39">
        <f t="shared" si="2"/>
        <v>4100</v>
      </c>
      <c r="O8" s="1">
        <v>50</v>
      </c>
      <c r="P8" s="1">
        <v>2</v>
      </c>
      <c r="Q8" s="39">
        <f t="shared" si="3"/>
        <v>100</v>
      </c>
      <c r="S8" s="1">
        <v>50</v>
      </c>
      <c r="T8" s="1">
        <v>7</v>
      </c>
      <c r="U8" s="39">
        <f t="shared" si="4"/>
        <v>350</v>
      </c>
      <c r="W8" s="12"/>
      <c r="X8" s="42">
        <v>50</v>
      </c>
      <c r="Y8" s="42">
        <f t="shared" ref="Y8:Y12" si="6">+D8+H8+L8+P8+T8</f>
        <v>206</v>
      </c>
      <c r="Z8" s="40">
        <f t="shared" si="5"/>
        <v>10300</v>
      </c>
      <c r="AA8" s="13"/>
      <c r="AE8" s="51" t="s">
        <v>5</v>
      </c>
      <c r="AF8" s="52">
        <v>381489</v>
      </c>
      <c r="AG8" s="28"/>
      <c r="AH8" s="28"/>
      <c r="AI8" s="28"/>
      <c r="AJ8" s="28"/>
      <c r="AK8" s="31">
        <v>1</v>
      </c>
      <c r="AL8" s="31"/>
      <c r="AM8" s="39">
        <f>+AL8*AK8</f>
        <v>0</v>
      </c>
    </row>
    <row r="9" spans="3:39" x14ac:dyDescent="0.25">
      <c r="C9" s="1">
        <v>100</v>
      </c>
      <c r="D9" s="1">
        <v>74</v>
      </c>
      <c r="E9" s="39">
        <f t="shared" si="0"/>
        <v>7400</v>
      </c>
      <c r="G9" s="1">
        <v>100</v>
      </c>
      <c r="H9" s="1">
        <v>58</v>
      </c>
      <c r="I9" s="39">
        <f t="shared" si="1"/>
        <v>5800</v>
      </c>
      <c r="K9" s="1">
        <v>100</v>
      </c>
      <c r="L9" s="1">
        <v>119</v>
      </c>
      <c r="M9" s="39">
        <f t="shared" si="2"/>
        <v>11900</v>
      </c>
      <c r="O9" s="1">
        <v>100</v>
      </c>
      <c r="P9" s="1">
        <v>5</v>
      </c>
      <c r="Q9" s="39">
        <f t="shared" si="3"/>
        <v>500</v>
      </c>
      <c r="S9" s="1">
        <v>100</v>
      </c>
      <c r="T9" s="1">
        <v>6</v>
      </c>
      <c r="U9" s="39">
        <f t="shared" si="4"/>
        <v>600</v>
      </c>
      <c r="W9" s="12"/>
      <c r="X9" s="42">
        <v>100</v>
      </c>
      <c r="Y9" s="42">
        <f t="shared" si="6"/>
        <v>262</v>
      </c>
      <c r="Z9" s="40">
        <f t="shared" si="5"/>
        <v>26200</v>
      </c>
      <c r="AA9" s="13"/>
      <c r="AK9" s="1">
        <v>10</v>
      </c>
      <c r="AL9" s="1">
        <v>1786</v>
      </c>
      <c r="AM9" s="39">
        <f>+AL9*AK9</f>
        <v>17860</v>
      </c>
    </row>
    <row r="10" spans="3:39" x14ac:dyDescent="0.25">
      <c r="C10" s="1">
        <v>500</v>
      </c>
      <c r="D10" s="1">
        <v>19</v>
      </c>
      <c r="E10" s="39">
        <f t="shared" si="0"/>
        <v>9500</v>
      </c>
      <c r="G10" s="1">
        <v>500</v>
      </c>
      <c r="H10" s="1">
        <v>27</v>
      </c>
      <c r="I10" s="39">
        <f t="shared" si="1"/>
        <v>13500</v>
      </c>
      <c r="K10" s="1">
        <v>500</v>
      </c>
      <c r="L10" s="1">
        <v>69</v>
      </c>
      <c r="M10" s="39">
        <f t="shared" si="2"/>
        <v>34500</v>
      </c>
      <c r="O10" s="1">
        <v>500</v>
      </c>
      <c r="P10" s="1">
        <v>43</v>
      </c>
      <c r="Q10" s="39">
        <f t="shared" si="3"/>
        <v>21500</v>
      </c>
      <c r="S10" s="1">
        <v>500</v>
      </c>
      <c r="T10" s="1">
        <v>24</v>
      </c>
      <c r="U10" s="39">
        <f t="shared" si="4"/>
        <v>12000</v>
      </c>
      <c r="W10" s="12"/>
      <c r="X10" s="42">
        <v>500</v>
      </c>
      <c r="Y10" s="42">
        <f t="shared" si="6"/>
        <v>182</v>
      </c>
      <c r="Z10" s="40">
        <f t="shared" si="5"/>
        <v>91000</v>
      </c>
      <c r="AA10" s="13"/>
      <c r="AE10" s="53" t="s">
        <v>57</v>
      </c>
      <c r="AF10" s="53" t="s">
        <v>2</v>
      </c>
      <c r="AG10" s="53" t="s">
        <v>58</v>
      </c>
      <c r="AH10" s="53" t="s">
        <v>59</v>
      </c>
      <c r="AI10" s="53" t="s">
        <v>60</v>
      </c>
      <c r="AK10" s="1">
        <v>20</v>
      </c>
      <c r="AL10" s="1">
        <v>189</v>
      </c>
      <c r="AM10" s="39">
        <f t="shared" ref="AM10:AM15" si="7">+AL10*AK10</f>
        <v>3780</v>
      </c>
    </row>
    <row r="11" spans="3:39" x14ac:dyDescent="0.25">
      <c r="C11" s="1">
        <v>1000</v>
      </c>
      <c r="D11" s="1">
        <v>57</v>
      </c>
      <c r="E11" s="39">
        <f t="shared" si="0"/>
        <v>57000</v>
      </c>
      <c r="G11" s="1">
        <v>1000</v>
      </c>
      <c r="H11" s="1">
        <v>22</v>
      </c>
      <c r="I11" s="39">
        <f t="shared" si="1"/>
        <v>22000</v>
      </c>
      <c r="K11" s="1">
        <v>1000</v>
      </c>
      <c r="L11" s="1">
        <v>80</v>
      </c>
      <c r="M11" s="39">
        <f t="shared" si="2"/>
        <v>80000</v>
      </c>
      <c r="O11" s="1">
        <v>1000</v>
      </c>
      <c r="P11" s="1">
        <v>30</v>
      </c>
      <c r="Q11" s="39">
        <f t="shared" si="3"/>
        <v>30000</v>
      </c>
      <c r="S11" s="1">
        <v>1000</v>
      </c>
      <c r="T11" s="1">
        <v>10</v>
      </c>
      <c r="U11" s="39">
        <f t="shared" si="4"/>
        <v>10000</v>
      </c>
      <c r="W11" s="12"/>
      <c r="X11" s="42">
        <v>1000</v>
      </c>
      <c r="Y11" s="42">
        <f t="shared" si="6"/>
        <v>199</v>
      </c>
      <c r="Z11" s="40">
        <f t="shared" si="5"/>
        <v>199000</v>
      </c>
      <c r="AA11" s="13"/>
      <c r="AE11" t="s">
        <v>6</v>
      </c>
      <c r="AF11" s="4">
        <v>-458150</v>
      </c>
      <c r="AH11" s="58"/>
      <c r="AK11" s="1">
        <v>50</v>
      </c>
      <c r="AL11" s="1">
        <v>255</v>
      </c>
      <c r="AM11" s="39">
        <f t="shared" si="7"/>
        <v>12750</v>
      </c>
    </row>
    <row r="12" spans="3:39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2</v>
      </c>
      <c r="I12" s="39">
        <f t="shared" si="1"/>
        <v>10000</v>
      </c>
      <c r="K12" s="1">
        <v>5000</v>
      </c>
      <c r="L12" s="1"/>
      <c r="M12" s="39">
        <f t="shared" si="2"/>
        <v>0</v>
      </c>
      <c r="O12" s="1">
        <v>5000</v>
      </c>
      <c r="P12" s="1">
        <v>4</v>
      </c>
      <c r="Q12" s="39">
        <f t="shared" si="3"/>
        <v>20000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7</v>
      </c>
      <c r="Z12" s="40">
        <f t="shared" si="5"/>
        <v>35000</v>
      </c>
      <c r="AA12" s="13"/>
      <c r="AE12" t="s">
        <v>62</v>
      </c>
      <c r="AF12" s="4">
        <v>477790</v>
      </c>
      <c r="AK12" s="1">
        <v>100</v>
      </c>
      <c r="AL12" s="1">
        <v>424</v>
      </c>
      <c r="AM12" s="39">
        <f t="shared" si="7"/>
        <v>42400</v>
      </c>
    </row>
    <row r="13" spans="3:39" ht="15.75" thickBot="1" x14ac:dyDescent="0.3">
      <c r="C13" s="2" t="s">
        <v>3</v>
      </c>
      <c r="D13" s="2"/>
      <c r="E13" s="5">
        <f>+SUM(E5:E12)</f>
        <v>89210</v>
      </c>
      <c r="G13" s="2" t="s">
        <v>3</v>
      </c>
      <c r="H13" s="2"/>
      <c r="I13" s="5">
        <f>+SUM(I5:I12)</f>
        <v>54990</v>
      </c>
      <c r="K13" s="2" t="s">
        <v>3</v>
      </c>
      <c r="L13" s="2"/>
      <c r="M13" s="5">
        <f>+SUM(M5:M12)</f>
        <v>132060</v>
      </c>
      <c r="O13" s="2" t="s">
        <v>3</v>
      </c>
      <c r="P13" s="2"/>
      <c r="Q13" s="5">
        <f>+SUM(Q5:Q12)</f>
        <v>73870</v>
      </c>
      <c r="S13" s="2" t="s">
        <v>3</v>
      </c>
      <c r="T13" s="2"/>
      <c r="U13" s="5">
        <f>+SUM(U5:U12)</f>
        <v>27610</v>
      </c>
      <c r="W13" s="12"/>
      <c r="X13" s="2" t="s">
        <v>3</v>
      </c>
      <c r="Y13" s="2"/>
      <c r="Z13" s="5">
        <f>+SUM(Z5:Z12)</f>
        <v>377740</v>
      </c>
      <c r="AA13" s="13"/>
      <c r="AE13" t="s">
        <v>63</v>
      </c>
      <c r="AF13" s="4">
        <v>690</v>
      </c>
      <c r="AK13" s="1">
        <v>500</v>
      </c>
      <c r="AL13" s="1">
        <v>222</v>
      </c>
      <c r="AM13" s="39">
        <f t="shared" si="7"/>
        <v>111000</v>
      </c>
    </row>
    <row r="14" spans="3:39" ht="15.75" thickBot="1" x14ac:dyDescent="0.3">
      <c r="W14" s="12"/>
      <c r="X14" s="17"/>
      <c r="Y14" s="17"/>
      <c r="Z14" s="17"/>
      <c r="AA14" s="13"/>
      <c r="AE14" t="s">
        <v>64</v>
      </c>
      <c r="AF14" s="4">
        <v>2850</v>
      </c>
      <c r="AK14" s="1">
        <v>1000</v>
      </c>
      <c r="AL14" s="1">
        <v>245</v>
      </c>
      <c r="AM14" s="39">
        <f t="shared" si="7"/>
        <v>245000</v>
      </c>
    </row>
    <row r="15" spans="3:39" s="33" customFormat="1" ht="15.75" thickBot="1" x14ac:dyDescent="0.3">
      <c r="C15" s="127" t="s">
        <v>4</v>
      </c>
      <c r="D15" s="128"/>
      <c r="E15" s="7">
        <v>89810.37</v>
      </c>
      <c r="G15" s="127" t="s">
        <v>4</v>
      </c>
      <c r="H15" s="128"/>
      <c r="I15" s="7">
        <v>78143</v>
      </c>
      <c r="K15" s="127" t="s">
        <v>4</v>
      </c>
      <c r="L15" s="128"/>
      <c r="M15" s="7">
        <v>139663</v>
      </c>
      <c r="O15" s="127" t="s">
        <v>4</v>
      </c>
      <c r="P15" s="128"/>
      <c r="Q15" s="7">
        <v>73873</v>
      </c>
      <c r="S15" s="127" t="s">
        <v>4</v>
      </c>
      <c r="T15" s="128"/>
      <c r="U15" s="7"/>
      <c r="W15" s="34"/>
      <c r="X15" s="127" t="s">
        <v>4</v>
      </c>
      <c r="Y15" s="128"/>
      <c r="Z15" s="7">
        <f>+E15+I15+M15+Q15+U15</f>
        <v>381489.37</v>
      </c>
      <c r="AA15" s="35"/>
      <c r="AE15" t="s">
        <v>72</v>
      </c>
      <c r="AF15" s="4">
        <v>2800</v>
      </c>
      <c r="AG15"/>
      <c r="AH15"/>
      <c r="AI15"/>
      <c r="AJ15"/>
      <c r="AK15" s="1">
        <v>5000</v>
      </c>
      <c r="AL15" s="1">
        <v>9</v>
      </c>
      <c r="AM15" s="39">
        <f t="shared" si="7"/>
        <v>45000</v>
      </c>
    </row>
    <row r="16" spans="3:39" ht="15.75" thickBot="1" x14ac:dyDescent="0.3">
      <c r="C16" t="s">
        <v>5</v>
      </c>
      <c r="E16" s="4">
        <v>89210</v>
      </c>
      <c r="G16" t="s">
        <v>5</v>
      </c>
      <c r="I16" s="4">
        <f>+I13</f>
        <v>54990</v>
      </c>
      <c r="K16" t="s">
        <v>5</v>
      </c>
      <c r="M16" s="4">
        <v>132060</v>
      </c>
      <c r="O16" t="s">
        <v>5</v>
      </c>
      <c r="Q16" s="4">
        <f>+Q13</f>
        <v>73870</v>
      </c>
      <c r="S16" t="s">
        <v>5</v>
      </c>
      <c r="U16" s="4"/>
      <c r="W16" s="12"/>
      <c r="X16" s="43" t="s">
        <v>5</v>
      </c>
      <c r="Y16" s="43"/>
      <c r="Z16" s="40">
        <f>+E16+I16+M16+Q16+U16</f>
        <v>350130</v>
      </c>
      <c r="AA16" s="13"/>
      <c r="AE16" s="54" t="s">
        <v>10</v>
      </c>
      <c r="AF16" s="55">
        <f>+SUM(AF11:AF15)</f>
        <v>25980</v>
      </c>
      <c r="AG16" s="22">
        <f>AF16-AA13</f>
        <v>25980</v>
      </c>
      <c r="AK16" s="2" t="s">
        <v>3</v>
      </c>
      <c r="AL16" s="2"/>
      <c r="AM16" s="5">
        <f>+SUM(AM8:AM15)</f>
        <v>477790</v>
      </c>
    </row>
    <row r="17" spans="3:33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E17" s="56" t="s">
        <v>66</v>
      </c>
      <c r="AF17" s="57">
        <f>+AF16-AF8</f>
        <v>-355509</v>
      </c>
      <c r="AG17" t="s">
        <v>67</v>
      </c>
    </row>
    <row r="18" spans="3:33" x14ac:dyDescent="0.25">
      <c r="C18" t="s">
        <v>43</v>
      </c>
      <c r="E18" s="4"/>
      <c r="G18" t="s">
        <v>92</v>
      </c>
      <c r="H18" t="s">
        <v>95</v>
      </c>
      <c r="I18" s="4">
        <v>9624</v>
      </c>
      <c r="K18" t="s">
        <v>92</v>
      </c>
      <c r="L18" t="s">
        <v>93</v>
      </c>
      <c r="M18" s="4">
        <v>2700</v>
      </c>
      <c r="O18" t="s">
        <v>7</v>
      </c>
      <c r="Q18" s="4"/>
      <c r="S18" t="s">
        <v>43</v>
      </c>
      <c r="U18" s="4"/>
      <c r="W18" s="12"/>
      <c r="X18" s="43" t="s">
        <v>7</v>
      </c>
      <c r="Y18" s="43"/>
      <c r="Z18" s="40">
        <f t="shared" si="8"/>
        <v>12324</v>
      </c>
      <c r="AA18" s="13"/>
    </row>
    <row r="19" spans="3:33" x14ac:dyDescent="0.25">
      <c r="C19" t="s">
        <v>8</v>
      </c>
      <c r="E19" s="4"/>
      <c r="G19" t="s">
        <v>92</v>
      </c>
      <c r="H19" t="s">
        <v>105</v>
      </c>
      <c r="I19" s="4">
        <v>3623</v>
      </c>
      <c r="K19" t="s">
        <v>92</v>
      </c>
      <c r="L19" s="62">
        <v>97662407</v>
      </c>
      <c r="M19" s="4">
        <v>5000</v>
      </c>
      <c r="O19" t="s">
        <v>8</v>
      </c>
      <c r="Q19" s="4"/>
      <c r="S19" t="s">
        <v>43</v>
      </c>
      <c r="U19" s="4"/>
      <c r="W19" s="12"/>
      <c r="X19" s="43" t="s">
        <v>8</v>
      </c>
      <c r="Y19" s="43"/>
      <c r="Z19" s="40">
        <f t="shared" si="8"/>
        <v>8623</v>
      </c>
      <c r="AA19" s="13"/>
    </row>
    <row r="20" spans="3:33" x14ac:dyDescent="0.25">
      <c r="C20" t="s">
        <v>9</v>
      </c>
      <c r="E20" s="4"/>
      <c r="F20">
        <v>0</v>
      </c>
      <c r="G20" t="s">
        <v>92</v>
      </c>
      <c r="H20" t="s">
        <v>106</v>
      </c>
      <c r="I20" s="4">
        <v>9000</v>
      </c>
      <c r="K20" t="s">
        <v>9</v>
      </c>
      <c r="M20" s="4"/>
      <c r="O20" t="s">
        <v>9</v>
      </c>
      <c r="Q20" s="4"/>
      <c r="S20" t="s">
        <v>28</v>
      </c>
      <c r="T20" t="s">
        <v>103</v>
      </c>
      <c r="U20" s="4">
        <v>41948</v>
      </c>
      <c r="W20" s="12"/>
      <c r="X20" s="43" t="s">
        <v>9</v>
      </c>
      <c r="Y20" s="43"/>
      <c r="Z20" s="40">
        <f t="shared" si="8"/>
        <v>50948</v>
      </c>
      <c r="AA20" s="13"/>
    </row>
    <row r="21" spans="3:33" x14ac:dyDescent="0.25">
      <c r="E21" s="4"/>
      <c r="I21" s="4"/>
      <c r="M21" s="4"/>
      <c r="Q21" s="4"/>
      <c r="S21" t="s">
        <v>29</v>
      </c>
      <c r="T21" t="s">
        <v>102</v>
      </c>
      <c r="U21" s="4">
        <v>300653</v>
      </c>
      <c r="W21" s="12"/>
      <c r="X21" s="43"/>
      <c r="Y21" s="43"/>
      <c r="Z21" s="40">
        <f t="shared" si="8"/>
        <v>300653</v>
      </c>
      <c r="AA21" s="13"/>
    </row>
    <row r="22" spans="3:33" x14ac:dyDescent="0.25">
      <c r="E22" s="4"/>
      <c r="I22" s="4"/>
      <c r="M22" s="4"/>
      <c r="Q22" s="4"/>
      <c r="S22" t="s">
        <v>31</v>
      </c>
      <c r="T22" t="s">
        <v>101</v>
      </c>
      <c r="U22" s="4">
        <v>34950</v>
      </c>
      <c r="W22" s="12"/>
      <c r="X22" s="43"/>
      <c r="Y22" s="43"/>
      <c r="Z22" s="40">
        <f t="shared" si="8"/>
        <v>34950</v>
      </c>
      <c r="AA22" s="13"/>
    </row>
    <row r="23" spans="3:33" x14ac:dyDescent="0.25">
      <c r="E23" s="4"/>
      <c r="I23" s="4"/>
      <c r="M23" s="4"/>
      <c r="Q23" s="4"/>
      <c r="S23" t="s">
        <v>100</v>
      </c>
      <c r="T23" t="s">
        <v>83</v>
      </c>
      <c r="U23" s="4">
        <v>52791</v>
      </c>
      <c r="W23" s="12"/>
      <c r="X23" s="44" t="s">
        <v>28</v>
      </c>
      <c r="Y23" s="43"/>
      <c r="Z23" s="40">
        <f t="shared" si="8"/>
        <v>52791</v>
      </c>
      <c r="AA23" s="13"/>
    </row>
    <row r="24" spans="3:33" x14ac:dyDescent="0.25">
      <c r="E24" s="4"/>
      <c r="I24" s="4"/>
      <c r="M24" s="4"/>
      <c r="Q24" s="4"/>
      <c r="S24" t="s">
        <v>100</v>
      </c>
      <c r="T24" t="s">
        <v>97</v>
      </c>
      <c r="U24" s="4">
        <v>9693</v>
      </c>
      <c r="W24" s="12"/>
      <c r="X24" s="44" t="s">
        <v>29</v>
      </c>
      <c r="Y24" s="43"/>
      <c r="Z24" s="40">
        <f t="shared" si="8"/>
        <v>9693</v>
      </c>
      <c r="AA24" s="13"/>
    </row>
    <row r="25" spans="3:33" x14ac:dyDescent="0.25">
      <c r="E25" s="4"/>
      <c r="I25" s="4"/>
      <c r="M25" s="4"/>
      <c r="Q25" s="4"/>
      <c r="S25" t="s">
        <v>100</v>
      </c>
      <c r="T25" t="s">
        <v>98</v>
      </c>
      <c r="U25" s="4">
        <v>8953</v>
      </c>
      <c r="W25" s="12"/>
      <c r="X25" s="44" t="s">
        <v>31</v>
      </c>
      <c r="Y25" s="43"/>
      <c r="Z25" s="40">
        <f t="shared" si="8"/>
        <v>8953</v>
      </c>
      <c r="AA25" s="13"/>
    </row>
    <row r="26" spans="3:33" x14ac:dyDescent="0.25">
      <c r="E26" s="4"/>
      <c r="I26" s="4"/>
      <c r="M26" s="4"/>
      <c r="Q26" s="4"/>
      <c r="S26" t="s">
        <v>100</v>
      </c>
      <c r="T26" t="s">
        <v>99</v>
      </c>
      <c r="U26">
        <v>18579</v>
      </c>
      <c r="W26" s="12"/>
      <c r="X26" s="43"/>
      <c r="Y26" s="43"/>
      <c r="Z26" s="40">
        <f t="shared" si="8"/>
        <v>18579</v>
      </c>
      <c r="AA26" s="13"/>
    </row>
    <row r="27" spans="3:33" ht="15.75" thickBot="1" x14ac:dyDescent="0.3">
      <c r="E27" s="4"/>
      <c r="I27" s="4"/>
      <c r="M27" s="4"/>
      <c r="Q27" s="4"/>
      <c r="S27" t="s">
        <v>100</v>
      </c>
      <c r="T27" t="s">
        <v>87</v>
      </c>
      <c r="U27" s="4">
        <v>7263</v>
      </c>
      <c r="W27" s="12"/>
      <c r="X27" s="43"/>
      <c r="Y27" s="43"/>
      <c r="Z27" s="40">
        <f t="shared" si="8"/>
        <v>7263</v>
      </c>
      <c r="AA27" s="13"/>
    </row>
    <row r="28" spans="3:33" ht="15.75" thickBot="1" x14ac:dyDescent="0.3">
      <c r="C28" s="129" t="s">
        <v>10</v>
      </c>
      <c r="D28" s="130"/>
      <c r="E28" s="8">
        <f>+SUM(E16:E27)</f>
        <v>89210</v>
      </c>
      <c r="G28" s="129" t="s">
        <v>10</v>
      </c>
      <c r="H28" s="130"/>
      <c r="I28" s="8">
        <f>+SUM(I16:I27)</f>
        <v>77237</v>
      </c>
      <c r="K28" s="129" t="s">
        <v>10</v>
      </c>
      <c r="L28" s="130"/>
      <c r="M28" s="8">
        <f>+SUM(M16:M27)</f>
        <v>139760</v>
      </c>
      <c r="O28" s="129" t="s">
        <v>10</v>
      </c>
      <c r="P28" s="130"/>
      <c r="Q28" s="8">
        <f>+SUM(Q16:Q27)</f>
        <v>73870</v>
      </c>
      <c r="S28" s="129" t="s">
        <v>10</v>
      </c>
      <c r="T28" s="130"/>
      <c r="U28" s="8">
        <f>+SUM(U16:U27)</f>
        <v>474830</v>
      </c>
      <c r="W28" s="12"/>
      <c r="X28" s="129" t="s">
        <v>10</v>
      </c>
      <c r="Y28" s="130"/>
      <c r="Z28" s="8">
        <f>+SUM(Z16:Z27)</f>
        <v>854907</v>
      </c>
      <c r="AA28" s="13"/>
    </row>
    <row r="29" spans="3:33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3" ht="15.75" thickBot="1" x14ac:dyDescent="0.3">
      <c r="C30" s="131" t="s">
        <v>11</v>
      </c>
      <c r="D30" s="131"/>
      <c r="E30" s="6">
        <f>+E28-E15</f>
        <v>-600.36999999999534</v>
      </c>
      <c r="G30" s="131" t="s">
        <v>11</v>
      </c>
      <c r="H30" s="131"/>
      <c r="I30" s="6">
        <f>+I28-I15</f>
        <v>-906</v>
      </c>
      <c r="K30" s="131" t="s">
        <v>11</v>
      </c>
      <c r="L30" s="131"/>
      <c r="M30" s="6">
        <f>+M28-M15</f>
        <v>97</v>
      </c>
      <c r="O30" s="131" t="s">
        <v>11</v>
      </c>
      <c r="P30" s="131"/>
      <c r="Q30" s="6">
        <f>+Q28-Q15</f>
        <v>-3</v>
      </c>
      <c r="S30" s="131" t="s">
        <v>11</v>
      </c>
      <c r="T30" s="131"/>
      <c r="U30" s="6">
        <f>+U28-U15</f>
        <v>474830</v>
      </c>
      <c r="W30" s="12"/>
      <c r="X30" s="134" t="s">
        <v>11</v>
      </c>
      <c r="Y30" s="134"/>
      <c r="Z30" s="45">
        <f>+Z28-Z15</f>
        <v>473417.63</v>
      </c>
      <c r="AA30" s="13"/>
    </row>
    <row r="31" spans="3:33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>
        <v>600</v>
      </c>
      <c r="G34" s="9" t="s">
        <v>15</v>
      </c>
      <c r="H34" s="10"/>
      <c r="I34" s="68">
        <v>910</v>
      </c>
      <c r="K34" s="9" t="s">
        <v>15</v>
      </c>
      <c r="L34" s="10"/>
      <c r="M34" s="23"/>
      <c r="O34" s="9" t="s">
        <v>15</v>
      </c>
      <c r="P34" s="10"/>
      <c r="Q34" s="23">
        <v>3</v>
      </c>
      <c r="S34" s="9" t="s">
        <v>104</v>
      </c>
      <c r="T34" s="10"/>
      <c r="U34" s="23">
        <v>-377551</v>
      </c>
      <c r="X34" s="46" t="s">
        <v>15</v>
      </c>
      <c r="Y34" s="47"/>
      <c r="Z34" s="48">
        <f>+E34+I34+M34+Q34+U34</f>
        <v>-376038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100</v>
      </c>
      <c r="T35" s="17"/>
      <c r="U35" s="24">
        <v>-97279</v>
      </c>
      <c r="X35" s="49" t="s">
        <v>40</v>
      </c>
      <c r="Y35" s="43"/>
      <c r="Z35" s="50">
        <f t="shared" ref="Z35:Z36" si="9">+E35+I35+M35+Q35+U35</f>
        <v>-97279</v>
      </c>
    </row>
    <row r="36" spans="3:26" x14ac:dyDescent="0.25">
      <c r="C36" s="12" t="s">
        <v>23</v>
      </c>
      <c r="D36" s="17"/>
      <c r="E36" s="24"/>
      <c r="G36" s="12" t="s">
        <v>42</v>
      </c>
      <c r="H36" s="17"/>
      <c r="I36" s="24">
        <v>-4</v>
      </c>
      <c r="K36" s="12" t="s">
        <v>67</v>
      </c>
      <c r="L36" s="17"/>
      <c r="M36" s="24">
        <v>-97</v>
      </c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-101</v>
      </c>
    </row>
    <row r="37" spans="3:26" x14ac:dyDescent="0.25">
      <c r="C37" s="12" t="s">
        <v>3</v>
      </c>
      <c r="D37" s="17"/>
      <c r="E37" s="24">
        <f>+SUM(E34:E36)</f>
        <v>600</v>
      </c>
      <c r="G37" s="12" t="s">
        <v>3</v>
      </c>
      <c r="H37" s="17"/>
      <c r="I37" s="24">
        <f>+SUM(I34:I36)</f>
        <v>906</v>
      </c>
      <c r="K37" s="12" t="s">
        <v>3</v>
      </c>
      <c r="L37" s="17"/>
      <c r="M37" s="24">
        <f>+SUM(M34:M36)</f>
        <v>-97</v>
      </c>
      <c r="O37" s="12" t="s">
        <v>3</v>
      </c>
      <c r="P37" s="17"/>
      <c r="Q37" s="24">
        <f>+SUM(Q34:Q36)</f>
        <v>3</v>
      </c>
      <c r="S37" s="12" t="s">
        <v>3</v>
      </c>
      <c r="T37" s="17"/>
      <c r="U37" s="24">
        <f>+SUM(U34:U36)</f>
        <v>-474830</v>
      </c>
      <c r="X37" s="36" t="s">
        <v>3</v>
      </c>
      <c r="Y37" s="37"/>
      <c r="Z37" s="38">
        <f>+SUM(Z34:Z36)</f>
        <v>-473418</v>
      </c>
    </row>
    <row r="38" spans="3:26" ht="15.75" thickBot="1" x14ac:dyDescent="0.3">
      <c r="C38" s="25" t="s">
        <v>22</v>
      </c>
      <c r="D38" s="26"/>
      <c r="E38" s="27">
        <f>+E30+E37</f>
        <v>-0.36999999999534339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-0.36999999999534339</v>
      </c>
    </row>
    <row r="40" spans="3:26" x14ac:dyDescent="0.25">
      <c r="Z40" s="22"/>
    </row>
  </sheetData>
  <mergeCells count="25">
    <mergeCell ref="AE6:AI6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  <mergeCell ref="O15:P15"/>
    <mergeCell ref="S15:T15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O40"/>
  <sheetViews>
    <sheetView zoomScale="70" zoomScaleNormal="70" workbookViewId="0">
      <selection activeCell="K3" sqref="K3:M3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3.5703125" bestFit="1" customWidth="1"/>
    <col min="8" max="8" width="14.42578125" bestFit="1" customWidth="1"/>
    <col min="9" max="9" width="11.42578125" bestFit="1" customWidth="1"/>
    <col min="10" max="10" width="0.5703125" customWidth="1"/>
    <col min="11" max="11" width="13.5703125" bestFit="1" customWidth="1"/>
    <col min="12" max="12" width="14.7109375" bestFit="1" customWidth="1"/>
    <col min="13" max="13" width="11.42578125" bestFit="1" customWidth="1"/>
    <col min="14" max="14" width="0.7109375" customWidth="1"/>
    <col min="15" max="15" width="11.28515625" customWidth="1"/>
    <col min="17" max="17" width="11" bestFit="1" customWidth="1"/>
    <col min="18" max="18" width="0.85546875" customWidth="1"/>
    <col min="19" max="19" width="13.5703125" bestFit="1" customWidth="1"/>
    <col min="20" max="20" width="15.14062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2.85546875" bestFit="1" customWidth="1"/>
    <col min="27" max="27" width="1.140625" customWidth="1"/>
    <col min="29" max="29" width="15.28515625" bestFit="1" customWidth="1"/>
    <col min="30" max="30" width="15.28515625" customWidth="1"/>
    <col min="31" max="31" width="13.7109375" customWidth="1"/>
    <col min="32" max="32" width="15.140625" bestFit="1" customWidth="1"/>
    <col min="33" max="33" width="12.85546875" bestFit="1" customWidth="1"/>
    <col min="34" max="34" width="12.140625" bestFit="1" customWidth="1"/>
    <col min="36" max="36" width="13.42578125" bestFit="1" customWidth="1"/>
    <col min="38" max="38" width="9.5703125" bestFit="1" customWidth="1"/>
    <col min="40" max="40" width="12.85546875" bestFit="1" customWidth="1"/>
  </cols>
  <sheetData>
    <row r="1" spans="3:41" ht="15.75" thickBot="1" x14ac:dyDescent="0.3"/>
    <row r="2" spans="3:41" x14ac:dyDescent="0.25">
      <c r="W2" s="9"/>
      <c r="X2" s="10"/>
      <c r="Y2" s="10"/>
      <c r="Z2" s="10"/>
      <c r="AA2" s="11"/>
    </row>
    <row r="3" spans="3:41" x14ac:dyDescent="0.25">
      <c r="C3" s="132" t="s">
        <v>44</v>
      </c>
      <c r="D3" s="132"/>
      <c r="E3" s="132"/>
      <c r="G3" s="132" t="s">
        <v>94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14</v>
      </c>
      <c r="T3" s="132"/>
      <c r="U3" s="132"/>
      <c r="W3" s="12"/>
      <c r="X3" s="126" t="s">
        <v>16</v>
      </c>
      <c r="Y3" s="126"/>
      <c r="Z3" s="126"/>
      <c r="AA3" s="13"/>
    </row>
    <row r="4" spans="3:41" ht="15.75" thickBot="1" x14ac:dyDescent="0.3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  <c r="AF4" s="133" t="s">
        <v>56</v>
      </c>
      <c r="AG4" s="133"/>
      <c r="AH4" s="133"/>
      <c r="AI4" s="133"/>
      <c r="AJ4" s="133"/>
    </row>
    <row r="5" spans="3:41" s="28" customFormat="1" ht="15.75" thickTop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F5"/>
      <c r="AG5"/>
      <c r="AH5"/>
      <c r="AI5"/>
      <c r="AJ5"/>
      <c r="AK5"/>
      <c r="AL5" s="3" t="s">
        <v>0</v>
      </c>
      <c r="AM5" s="3" t="s">
        <v>1</v>
      </c>
      <c r="AN5" s="3" t="s">
        <v>2</v>
      </c>
      <c r="AO5"/>
    </row>
    <row r="6" spans="3:41" x14ac:dyDescent="0.25">
      <c r="C6" s="1">
        <v>10</v>
      </c>
      <c r="D6" s="1">
        <v>52</v>
      </c>
      <c r="E6" s="39">
        <f>+D6*C6</f>
        <v>520</v>
      </c>
      <c r="G6" s="1">
        <v>10</v>
      </c>
      <c r="H6" s="1">
        <v>28</v>
      </c>
      <c r="I6" s="39">
        <f>+H6*G6</f>
        <v>280</v>
      </c>
      <c r="K6" s="1">
        <v>10</v>
      </c>
      <c r="L6" s="1">
        <v>85</v>
      </c>
      <c r="M6" s="39">
        <f>+L6*K6</f>
        <v>850</v>
      </c>
      <c r="O6" s="1">
        <v>10</v>
      </c>
      <c r="P6" s="1">
        <v>90</v>
      </c>
      <c r="Q6" s="39">
        <f>+P6*O6</f>
        <v>900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255</v>
      </c>
      <c r="Z6" s="40">
        <f>+E6+I6+M6+Q6+U6</f>
        <v>2550</v>
      </c>
      <c r="AA6" s="13"/>
      <c r="AF6" s="70" t="s">
        <v>5</v>
      </c>
      <c r="AG6" s="71">
        <f>+Z13</f>
        <v>225990</v>
      </c>
      <c r="AH6" s="28"/>
      <c r="AI6" s="28"/>
      <c r="AJ6" s="28"/>
      <c r="AK6" s="28"/>
      <c r="AL6" s="31">
        <v>1</v>
      </c>
      <c r="AM6" s="31"/>
      <c r="AN6" s="39">
        <f>+AM6*AL6</f>
        <v>0</v>
      </c>
      <c r="AO6" s="28"/>
    </row>
    <row r="7" spans="3:41" x14ac:dyDescent="0.25">
      <c r="C7" s="1">
        <v>20</v>
      </c>
      <c r="D7" s="1">
        <v>14</v>
      </c>
      <c r="E7" s="39">
        <f t="shared" ref="E7:E12" si="0">+D7*C7</f>
        <v>280</v>
      </c>
      <c r="G7" s="1">
        <v>20</v>
      </c>
      <c r="H7" s="1">
        <v>3</v>
      </c>
      <c r="I7" s="39">
        <f t="shared" ref="I7:I12" si="1">+H7*G7</f>
        <v>60</v>
      </c>
      <c r="K7" s="1">
        <v>20</v>
      </c>
      <c r="L7" s="1">
        <v>13</v>
      </c>
      <c r="M7" s="39">
        <f t="shared" ref="M7:M12" si="2">+L7*K7</f>
        <v>260</v>
      </c>
      <c r="O7" s="1">
        <v>20</v>
      </c>
      <c r="P7" s="1">
        <v>17</v>
      </c>
      <c r="Q7" s="39">
        <f t="shared" ref="Q7:Q12" si="3">+P7*O7</f>
        <v>340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47</v>
      </c>
      <c r="Z7" s="40">
        <f t="shared" ref="Z7:Z12" si="5">+E7+I7+M7+Q7+U7</f>
        <v>940</v>
      </c>
      <c r="AA7" s="13"/>
      <c r="AF7" s="66" t="s">
        <v>120</v>
      </c>
      <c r="AG7" s="66">
        <f>+AG27</f>
        <v>910</v>
      </c>
      <c r="AL7" s="1">
        <v>10</v>
      </c>
      <c r="AM7" s="1">
        <v>255</v>
      </c>
      <c r="AN7" s="39">
        <f>+AM7*AL7</f>
        <v>2550</v>
      </c>
    </row>
    <row r="8" spans="3:41" ht="15.75" thickBot="1" x14ac:dyDescent="0.3">
      <c r="C8" s="1">
        <v>50</v>
      </c>
      <c r="D8" s="1">
        <v>57</v>
      </c>
      <c r="E8" s="39">
        <f t="shared" si="0"/>
        <v>2850</v>
      </c>
      <c r="G8" s="1">
        <v>50</v>
      </c>
      <c r="H8" s="1">
        <v>68</v>
      </c>
      <c r="I8" s="39">
        <f t="shared" si="1"/>
        <v>3400</v>
      </c>
      <c r="K8" s="1">
        <v>50</v>
      </c>
      <c r="L8" s="1">
        <v>44</v>
      </c>
      <c r="M8" s="39">
        <f t="shared" si="2"/>
        <v>2200</v>
      </c>
      <c r="O8" s="1">
        <v>50</v>
      </c>
      <c r="P8" s="1">
        <v>13</v>
      </c>
      <c r="Q8" s="39">
        <f t="shared" si="3"/>
        <v>650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6">+D8+H8+L8+P8+T8</f>
        <v>182</v>
      </c>
      <c r="Z8" s="40">
        <f t="shared" si="5"/>
        <v>9100</v>
      </c>
      <c r="AA8" s="13"/>
      <c r="AF8" s="72" t="s">
        <v>10</v>
      </c>
      <c r="AG8" s="73">
        <f>SUM(AG6:AG7)</f>
        <v>226900</v>
      </c>
      <c r="AL8" s="1">
        <v>20</v>
      </c>
      <c r="AM8" s="1">
        <v>47</v>
      </c>
      <c r="AN8" s="39">
        <f t="shared" ref="AN8:AN13" si="7">+AM8*AL8</f>
        <v>940</v>
      </c>
    </row>
    <row r="9" spans="3:41" x14ac:dyDescent="0.25">
      <c r="C9" s="1">
        <v>100</v>
      </c>
      <c r="D9" s="1">
        <v>33</v>
      </c>
      <c r="E9" s="39">
        <f t="shared" si="0"/>
        <v>3300</v>
      </c>
      <c r="G9" s="1">
        <v>100</v>
      </c>
      <c r="H9" s="1">
        <v>69</v>
      </c>
      <c r="I9" s="39">
        <f t="shared" si="1"/>
        <v>6900</v>
      </c>
      <c r="K9" s="1">
        <v>100</v>
      </c>
      <c r="L9" s="1">
        <v>46</v>
      </c>
      <c r="M9" s="39">
        <f t="shared" si="2"/>
        <v>4600</v>
      </c>
      <c r="O9" s="1">
        <v>100</v>
      </c>
      <c r="P9" s="1">
        <v>46</v>
      </c>
      <c r="Q9" s="39">
        <f t="shared" si="3"/>
        <v>4600</v>
      </c>
      <c r="S9" s="1">
        <v>100</v>
      </c>
      <c r="T9" s="1"/>
      <c r="U9" s="39">
        <f t="shared" si="4"/>
        <v>0</v>
      </c>
      <c r="W9" s="12"/>
      <c r="X9" s="42">
        <v>100</v>
      </c>
      <c r="Y9" s="42">
        <f t="shared" si="6"/>
        <v>194</v>
      </c>
      <c r="Z9" s="40">
        <f t="shared" si="5"/>
        <v>19400</v>
      </c>
      <c r="AA9" s="13"/>
      <c r="AL9" s="1">
        <v>50</v>
      </c>
      <c r="AM9" s="1">
        <v>182</v>
      </c>
      <c r="AN9" s="39">
        <f t="shared" si="7"/>
        <v>9100</v>
      </c>
    </row>
    <row r="10" spans="3:41" x14ac:dyDescent="0.25">
      <c r="C10" s="1">
        <v>500</v>
      </c>
      <c r="D10" s="1">
        <v>13</v>
      </c>
      <c r="E10" s="39">
        <f t="shared" si="0"/>
        <v>6500</v>
      </c>
      <c r="G10" s="1">
        <v>500</v>
      </c>
      <c r="H10" s="1">
        <v>36</v>
      </c>
      <c r="I10" s="39">
        <f t="shared" si="1"/>
        <v>18000</v>
      </c>
      <c r="K10" s="1">
        <v>500</v>
      </c>
      <c r="L10" s="1">
        <v>26</v>
      </c>
      <c r="M10" s="39">
        <f t="shared" si="2"/>
        <v>13000</v>
      </c>
      <c r="O10" s="1">
        <v>500</v>
      </c>
      <c r="P10" s="1">
        <v>19</v>
      </c>
      <c r="Q10" s="39">
        <f t="shared" si="3"/>
        <v>9500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94</v>
      </c>
      <c r="Z10" s="40">
        <f t="shared" si="5"/>
        <v>47000</v>
      </c>
      <c r="AA10" s="13"/>
      <c r="AF10" s="53" t="s">
        <v>57</v>
      </c>
      <c r="AG10" s="53" t="s">
        <v>2</v>
      </c>
      <c r="AH10" s="53" t="s">
        <v>58</v>
      </c>
      <c r="AI10" s="53" t="s">
        <v>59</v>
      </c>
      <c r="AJ10" s="53" t="s">
        <v>6</v>
      </c>
      <c r="AL10" s="1">
        <v>100</v>
      </c>
      <c r="AM10" s="1">
        <v>199</v>
      </c>
      <c r="AN10" s="39">
        <f t="shared" si="7"/>
        <v>19900</v>
      </c>
    </row>
    <row r="11" spans="3:41" x14ac:dyDescent="0.25">
      <c r="C11" s="1">
        <v>1000</v>
      </c>
      <c r="D11" s="1">
        <v>33</v>
      </c>
      <c r="E11" s="39">
        <f t="shared" si="0"/>
        <v>33000</v>
      </c>
      <c r="G11" s="1">
        <v>1000</v>
      </c>
      <c r="H11" s="1">
        <v>28</v>
      </c>
      <c r="I11" s="39">
        <f t="shared" si="1"/>
        <v>28000</v>
      </c>
      <c r="K11" s="1">
        <v>1000</v>
      </c>
      <c r="L11" s="1">
        <v>20</v>
      </c>
      <c r="M11" s="39">
        <f t="shared" si="2"/>
        <v>20000</v>
      </c>
      <c r="O11" s="1">
        <v>1000</v>
      </c>
      <c r="P11" s="1">
        <v>26</v>
      </c>
      <c r="Q11" s="39">
        <f t="shared" si="3"/>
        <v>26000</v>
      </c>
      <c r="S11" s="1">
        <v>1000</v>
      </c>
      <c r="T11" s="1"/>
      <c r="U11" s="39">
        <f t="shared" si="4"/>
        <v>0</v>
      </c>
      <c r="W11" s="12"/>
      <c r="X11" s="42">
        <v>1000</v>
      </c>
      <c r="Y11" s="42">
        <f t="shared" si="6"/>
        <v>107</v>
      </c>
      <c r="Z11" s="40">
        <f t="shared" si="5"/>
        <v>107000</v>
      </c>
      <c r="AA11" s="13"/>
      <c r="AF11" t="s">
        <v>6</v>
      </c>
      <c r="AG11" s="4">
        <f>+AN14</f>
        <v>226490</v>
      </c>
      <c r="AH11">
        <v>848905</v>
      </c>
      <c r="AI11" s="58" t="s">
        <v>136</v>
      </c>
      <c r="AJ11" t="s">
        <v>61</v>
      </c>
      <c r="AL11" s="1">
        <v>500</v>
      </c>
      <c r="AM11" s="1">
        <v>94</v>
      </c>
      <c r="AN11" s="39">
        <f t="shared" si="7"/>
        <v>47000</v>
      </c>
    </row>
    <row r="12" spans="3:41" x14ac:dyDescent="0.25">
      <c r="C12" s="1">
        <v>5000</v>
      </c>
      <c r="D12" s="1">
        <v>2</v>
      </c>
      <c r="E12" s="39">
        <f t="shared" si="0"/>
        <v>10000</v>
      </c>
      <c r="G12" s="1">
        <v>5000</v>
      </c>
      <c r="H12" s="1">
        <v>1</v>
      </c>
      <c r="I12" s="39">
        <f t="shared" si="1"/>
        <v>5000</v>
      </c>
      <c r="K12" s="1">
        <v>5000</v>
      </c>
      <c r="L12" s="1">
        <v>3</v>
      </c>
      <c r="M12" s="39">
        <f t="shared" si="2"/>
        <v>15000</v>
      </c>
      <c r="O12" s="1">
        <v>5000</v>
      </c>
      <c r="P12" s="1">
        <v>2</v>
      </c>
      <c r="Q12" s="39">
        <f t="shared" si="3"/>
        <v>10000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8</v>
      </c>
      <c r="Z12" s="40">
        <f t="shared" si="5"/>
        <v>40000</v>
      </c>
      <c r="AA12" s="13"/>
      <c r="AF12" t="s">
        <v>62</v>
      </c>
      <c r="AL12" s="1">
        <v>1000</v>
      </c>
      <c r="AM12" s="1">
        <v>107</v>
      </c>
      <c r="AN12" s="39">
        <f t="shared" si="7"/>
        <v>107000</v>
      </c>
    </row>
    <row r="13" spans="3:41" ht="15.75" thickBot="1" x14ac:dyDescent="0.3">
      <c r="C13" s="2" t="s">
        <v>3</v>
      </c>
      <c r="D13" s="2"/>
      <c r="E13" s="5">
        <f>+SUM(E5:E12)</f>
        <v>56450</v>
      </c>
      <c r="G13" s="2" t="s">
        <v>3</v>
      </c>
      <c r="H13" s="2"/>
      <c r="I13" s="5">
        <f>+SUM(I5:I12)</f>
        <v>61640</v>
      </c>
      <c r="K13" s="2" t="s">
        <v>3</v>
      </c>
      <c r="L13" s="2"/>
      <c r="M13" s="5">
        <f>+SUM(M5:M12)</f>
        <v>55910</v>
      </c>
      <c r="O13" s="2" t="s">
        <v>3</v>
      </c>
      <c r="P13" s="2"/>
      <c r="Q13" s="5">
        <f>+SUM(Q5:Q12)</f>
        <v>51990</v>
      </c>
      <c r="S13" s="2" t="s">
        <v>3</v>
      </c>
      <c r="T13" s="2"/>
      <c r="U13" s="5">
        <f>+SUM(U5:U12)</f>
        <v>0</v>
      </c>
      <c r="W13" s="12"/>
      <c r="X13" s="2" t="s">
        <v>3</v>
      </c>
      <c r="Y13" s="2"/>
      <c r="Z13" s="5">
        <f>+SUM(Z5:Z12)</f>
        <v>225990</v>
      </c>
      <c r="AA13" s="13"/>
      <c r="AF13" t="s">
        <v>63</v>
      </c>
      <c r="AG13" s="4"/>
      <c r="AL13" s="1">
        <v>5000</v>
      </c>
      <c r="AM13" s="1">
        <v>8</v>
      </c>
      <c r="AN13" s="39">
        <f t="shared" si="7"/>
        <v>40000</v>
      </c>
    </row>
    <row r="14" spans="3:41" ht="15.75" thickBot="1" x14ac:dyDescent="0.3">
      <c r="W14" s="12"/>
      <c r="X14" s="17"/>
      <c r="Y14" s="17"/>
      <c r="Z14" s="17"/>
      <c r="AA14" s="13"/>
      <c r="AF14" t="s">
        <v>64</v>
      </c>
      <c r="AG14" s="4"/>
      <c r="AL14" s="2" t="s">
        <v>3</v>
      </c>
      <c r="AM14" s="2"/>
      <c r="AN14" s="5">
        <f>+SUM(AN6:AN13)</f>
        <v>226490</v>
      </c>
    </row>
    <row r="15" spans="3:41" s="33" customFormat="1" ht="15.75" thickBot="1" x14ac:dyDescent="0.3">
      <c r="C15" s="127" t="s">
        <v>4</v>
      </c>
      <c r="D15" s="128"/>
      <c r="E15" s="7">
        <v>64096</v>
      </c>
      <c r="G15" s="127" t="s">
        <v>4</v>
      </c>
      <c r="H15" s="128"/>
      <c r="I15" s="7">
        <v>65390</v>
      </c>
      <c r="K15" s="127" t="s">
        <v>4</v>
      </c>
      <c r="L15" s="128"/>
      <c r="M15" s="7">
        <v>82892</v>
      </c>
      <c r="O15" s="127" t="s">
        <v>4</v>
      </c>
      <c r="P15" s="128"/>
      <c r="Q15" s="7">
        <v>51988</v>
      </c>
      <c r="S15" s="127" t="s">
        <v>4</v>
      </c>
      <c r="T15" s="128"/>
      <c r="U15" s="7"/>
      <c r="W15" s="34"/>
      <c r="X15" s="127" t="s">
        <v>4</v>
      </c>
      <c r="Y15" s="128"/>
      <c r="Z15" s="7">
        <f>+E15+I15+M15+Q15+U15</f>
        <v>264366</v>
      </c>
      <c r="AA15" s="35"/>
      <c r="AF15" t="s">
        <v>72</v>
      </c>
      <c r="AG15" s="4"/>
      <c r="AH15"/>
      <c r="AI15"/>
      <c r="AJ15"/>
      <c r="AK15"/>
      <c r="AL15"/>
      <c r="AM15"/>
      <c r="AN15" s="22">
        <f>+AN14-Z13</f>
        <v>500</v>
      </c>
      <c r="AO15"/>
    </row>
    <row r="16" spans="3:41" x14ac:dyDescent="0.25">
      <c r="C16" t="s">
        <v>5</v>
      </c>
      <c r="E16" s="4">
        <v>56450</v>
      </c>
      <c r="G16" t="s">
        <v>5</v>
      </c>
      <c r="I16" s="4">
        <f>+I13</f>
        <v>61640</v>
      </c>
      <c r="K16" t="s">
        <v>5</v>
      </c>
      <c r="M16" s="4">
        <v>55910</v>
      </c>
      <c r="O16" t="s">
        <v>5</v>
      </c>
      <c r="Q16" s="4">
        <f>+Q13</f>
        <v>51990</v>
      </c>
      <c r="S16" t="s">
        <v>5</v>
      </c>
      <c r="U16" s="4"/>
      <c r="W16" s="12"/>
      <c r="X16" s="43" t="s">
        <v>5</v>
      </c>
      <c r="Y16" s="43"/>
      <c r="Z16" s="40">
        <f>+E16+I16+M16+Q16+U16</f>
        <v>225990</v>
      </c>
      <c r="AA16" s="13"/>
      <c r="AF16" s="54" t="s">
        <v>10</v>
      </c>
      <c r="AG16" s="55">
        <f>+SUM(AG11:AG15)</f>
        <v>226490</v>
      </c>
      <c r="AH16" s="22"/>
      <c r="AO16" s="33"/>
    </row>
    <row r="17" spans="3:34" x14ac:dyDescent="0.25">
      <c r="C17" t="s">
        <v>6</v>
      </c>
      <c r="E17" s="4">
        <v>7650</v>
      </c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7650</v>
      </c>
      <c r="AA17" s="13"/>
      <c r="AF17" s="56" t="s">
        <v>66</v>
      </c>
      <c r="AG17" s="57">
        <f>+AG16-AG8</f>
        <v>-410</v>
      </c>
      <c r="AH17" t="s">
        <v>121</v>
      </c>
    </row>
    <row r="18" spans="3:34" x14ac:dyDescent="0.25">
      <c r="C18" t="s">
        <v>43</v>
      </c>
      <c r="E18" s="4"/>
      <c r="G18" t="s">
        <v>33</v>
      </c>
      <c r="H18" t="s">
        <v>109</v>
      </c>
      <c r="I18" s="4">
        <v>3790</v>
      </c>
      <c r="K18" t="s">
        <v>33</v>
      </c>
      <c r="L18" t="s">
        <v>107</v>
      </c>
      <c r="M18" s="4">
        <v>6990</v>
      </c>
      <c r="O18" t="s">
        <v>7</v>
      </c>
      <c r="Q18" s="4"/>
      <c r="S18" t="s">
        <v>43</v>
      </c>
      <c r="U18" s="4"/>
      <c r="W18" s="12"/>
      <c r="X18" s="43" t="s">
        <v>7</v>
      </c>
      <c r="Y18" s="43"/>
      <c r="Z18" s="40">
        <f t="shared" si="8"/>
        <v>10780</v>
      </c>
      <c r="AA18" s="13"/>
    </row>
    <row r="19" spans="3:34" x14ac:dyDescent="0.25">
      <c r="C19" t="s">
        <v>8</v>
      </c>
      <c r="E19" s="4"/>
      <c r="G19" t="s">
        <v>8</v>
      </c>
      <c r="I19" s="4"/>
      <c r="K19" t="s">
        <v>33</v>
      </c>
      <c r="L19" t="s">
        <v>108</v>
      </c>
      <c r="M19" s="4">
        <v>20000</v>
      </c>
      <c r="O19" t="s">
        <v>8</v>
      </c>
      <c r="Q19" s="4"/>
      <c r="S19" t="s">
        <v>43</v>
      </c>
      <c r="U19" s="4"/>
      <c r="W19" s="12"/>
      <c r="X19" s="43" t="s">
        <v>8</v>
      </c>
      <c r="Y19" s="43"/>
      <c r="Z19" s="40">
        <f t="shared" si="8"/>
        <v>20000</v>
      </c>
      <c r="AA19" s="13"/>
      <c r="AC19" s="67" t="s">
        <v>117</v>
      </c>
      <c r="AD19" s="67"/>
      <c r="AE19" s="33"/>
    </row>
    <row r="20" spans="3:34" x14ac:dyDescent="0.25">
      <c r="C20" t="s">
        <v>9</v>
      </c>
      <c r="E20" s="4"/>
      <c r="G20" t="s">
        <v>9</v>
      </c>
      <c r="I20" s="4"/>
      <c r="K20" t="s">
        <v>9</v>
      </c>
      <c r="M20" s="4"/>
      <c r="O20" t="s">
        <v>9</v>
      </c>
      <c r="Q20" s="4"/>
      <c r="S20" t="s">
        <v>43</v>
      </c>
      <c r="U20" s="4"/>
      <c r="W20" s="12"/>
      <c r="X20" s="43" t="s">
        <v>9</v>
      </c>
      <c r="Y20" s="43"/>
      <c r="Z20" s="40">
        <f t="shared" si="8"/>
        <v>0</v>
      </c>
      <c r="AA20" s="13"/>
      <c r="AC20" s="53" t="s">
        <v>114</v>
      </c>
      <c r="AD20" s="53" t="s">
        <v>115</v>
      </c>
      <c r="AE20" s="53" t="s">
        <v>122</v>
      </c>
      <c r="AF20" s="53" t="s">
        <v>116</v>
      </c>
      <c r="AG20" s="53" t="s">
        <v>2</v>
      </c>
    </row>
    <row r="21" spans="3:34" x14ac:dyDescent="0.25">
      <c r="E21" s="4"/>
      <c r="I21" s="4"/>
      <c r="M21" s="4"/>
      <c r="Q21" s="4"/>
      <c r="S21" t="s">
        <v>43</v>
      </c>
      <c r="U21" s="4"/>
      <c r="W21" s="12"/>
      <c r="X21" s="43"/>
      <c r="Y21" s="43"/>
      <c r="Z21" s="40">
        <f t="shared" si="8"/>
        <v>0</v>
      </c>
      <c r="AA21" s="13"/>
      <c r="AC21" t="s">
        <v>118</v>
      </c>
      <c r="AF21" t="s">
        <v>119</v>
      </c>
      <c r="AG21">
        <v>910</v>
      </c>
    </row>
    <row r="22" spans="3:34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</row>
    <row r="23" spans="3:34" x14ac:dyDescent="0.25">
      <c r="E23" s="4"/>
      <c r="I23" s="4"/>
      <c r="M23" s="4"/>
      <c r="Q23" s="4"/>
      <c r="S23" t="s">
        <v>28</v>
      </c>
      <c r="U23" s="4"/>
      <c r="W23" s="12"/>
      <c r="X23" s="44" t="s">
        <v>28</v>
      </c>
      <c r="Y23" s="43"/>
      <c r="Z23" s="40">
        <f t="shared" si="8"/>
        <v>0</v>
      </c>
      <c r="AA23" s="13"/>
    </row>
    <row r="24" spans="3:34" x14ac:dyDescent="0.25">
      <c r="E24" s="4"/>
      <c r="I24" s="4"/>
      <c r="M24" s="4"/>
      <c r="Q24" s="4"/>
      <c r="S24" t="s">
        <v>29</v>
      </c>
      <c r="U24" s="4"/>
      <c r="W24" s="12"/>
      <c r="X24" s="44" t="s">
        <v>29</v>
      </c>
      <c r="Y24" s="43"/>
      <c r="Z24" s="40">
        <f t="shared" si="8"/>
        <v>0</v>
      </c>
      <c r="AA24" s="13"/>
    </row>
    <row r="25" spans="3:34" x14ac:dyDescent="0.25">
      <c r="E25" s="4"/>
      <c r="I25" s="4"/>
      <c r="M25" s="4"/>
      <c r="Q25" s="4"/>
      <c r="S25" t="s">
        <v>31</v>
      </c>
      <c r="U25" s="4"/>
      <c r="W25" s="12"/>
      <c r="X25" s="44" t="s">
        <v>31</v>
      </c>
      <c r="Y25" s="43"/>
      <c r="Z25" s="40">
        <f t="shared" si="8"/>
        <v>0</v>
      </c>
      <c r="AA25" s="13"/>
    </row>
    <row r="26" spans="3:34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</row>
    <row r="27" spans="3:34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  <c r="AC27" s="135" t="s">
        <v>113</v>
      </c>
      <c r="AD27" s="135"/>
      <c r="AE27" s="135"/>
      <c r="AF27" s="135"/>
      <c r="AG27" s="69">
        <f>+SUM(AG21:AG26)</f>
        <v>910</v>
      </c>
    </row>
    <row r="28" spans="3:34" ht="16.5" thickTop="1" thickBot="1" x14ac:dyDescent="0.3">
      <c r="C28" s="129" t="s">
        <v>10</v>
      </c>
      <c r="D28" s="130"/>
      <c r="E28" s="8">
        <f>+SUM(E16:E27)</f>
        <v>64100</v>
      </c>
      <c r="G28" s="129" t="s">
        <v>10</v>
      </c>
      <c r="H28" s="130"/>
      <c r="I28" s="8">
        <f>+SUM(I16:I27)</f>
        <v>65430</v>
      </c>
      <c r="K28" s="129" t="s">
        <v>10</v>
      </c>
      <c r="L28" s="130"/>
      <c r="M28" s="8">
        <f>+SUM(M16:M27)</f>
        <v>82900</v>
      </c>
      <c r="O28" s="129" t="s">
        <v>10</v>
      </c>
      <c r="P28" s="130"/>
      <c r="Q28" s="8">
        <f>+SUM(Q16:Q27)</f>
        <v>51990</v>
      </c>
      <c r="S28" s="129" t="s">
        <v>10</v>
      </c>
      <c r="T28" s="130"/>
      <c r="U28" s="8">
        <f>+SUM(U16:U27)</f>
        <v>0</v>
      </c>
      <c r="W28" s="12"/>
      <c r="X28" s="129" t="s">
        <v>10</v>
      </c>
      <c r="Y28" s="130"/>
      <c r="Z28" s="8">
        <f>+SUM(Z16:Z27)</f>
        <v>264420</v>
      </c>
      <c r="AA28" s="13"/>
    </row>
    <row r="29" spans="3:34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4" ht="15.75" thickBot="1" x14ac:dyDescent="0.3">
      <c r="C30" s="131" t="s">
        <v>11</v>
      </c>
      <c r="D30" s="131"/>
      <c r="E30" s="6">
        <f>+E28-E15</f>
        <v>4</v>
      </c>
      <c r="G30" s="131" t="s">
        <v>11</v>
      </c>
      <c r="H30" s="131"/>
      <c r="I30" s="6">
        <f>+I28-I15</f>
        <v>40</v>
      </c>
      <c r="K30" s="131" t="s">
        <v>11</v>
      </c>
      <c r="L30" s="131"/>
      <c r="M30" s="6">
        <f>+M28-M15</f>
        <v>8</v>
      </c>
      <c r="O30" s="131" t="s">
        <v>11</v>
      </c>
      <c r="P30" s="131"/>
      <c r="Q30" s="6">
        <f>+Q28-Q15</f>
        <v>2</v>
      </c>
      <c r="S30" s="131" t="s">
        <v>11</v>
      </c>
      <c r="T30" s="131"/>
      <c r="U30" s="6">
        <f>+U28-U15</f>
        <v>0</v>
      </c>
      <c r="W30" s="12"/>
      <c r="X30" s="134" t="s">
        <v>11</v>
      </c>
      <c r="Y30" s="134"/>
      <c r="Z30" s="45">
        <f>+Z28-Z15</f>
        <v>54</v>
      </c>
      <c r="AA30" s="13"/>
    </row>
    <row r="31" spans="3:34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/>
      <c r="X34" s="46" t="s">
        <v>15</v>
      </c>
      <c r="Y34" s="47"/>
      <c r="Z34" s="48">
        <f>+E34+I34+M34+Q34+U34</f>
        <v>0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42</v>
      </c>
      <c r="D36" s="17"/>
      <c r="E36" s="24">
        <v>-4</v>
      </c>
      <c r="G36" s="12" t="s">
        <v>42</v>
      </c>
      <c r="H36" s="17"/>
      <c r="I36" s="24">
        <v>-40</v>
      </c>
      <c r="K36" s="12" t="s">
        <v>42</v>
      </c>
      <c r="L36" s="17"/>
      <c r="M36" s="24">
        <v>-8</v>
      </c>
      <c r="O36" s="12" t="s">
        <v>42</v>
      </c>
      <c r="P36" s="17"/>
      <c r="Q36" s="24">
        <v>-2</v>
      </c>
      <c r="S36" s="12" t="s">
        <v>41</v>
      </c>
      <c r="T36" s="17"/>
      <c r="U36" s="24"/>
      <c r="X36" s="49" t="s">
        <v>23</v>
      </c>
      <c r="Y36" s="43"/>
      <c r="Z36" s="50">
        <f t="shared" si="9"/>
        <v>-54</v>
      </c>
    </row>
    <row r="37" spans="3:26" x14ac:dyDescent="0.25">
      <c r="C37" s="12" t="s">
        <v>3</v>
      </c>
      <c r="D37" s="17"/>
      <c r="E37" s="24">
        <f>+SUM(E34:E36)</f>
        <v>-4</v>
      </c>
      <c r="G37" s="12" t="s">
        <v>3</v>
      </c>
      <c r="H37" s="17"/>
      <c r="I37" s="24">
        <f>+SUM(I34:I36)</f>
        <v>-40</v>
      </c>
      <c r="K37" s="12" t="s">
        <v>3</v>
      </c>
      <c r="L37" s="17"/>
      <c r="M37" s="24">
        <f>+SUM(M34:M36)</f>
        <v>-8</v>
      </c>
      <c r="O37" s="12" t="s">
        <v>3</v>
      </c>
      <c r="P37" s="17"/>
      <c r="Q37" s="24">
        <f>+SUM(Q34:Q36)</f>
        <v>-2</v>
      </c>
      <c r="S37" s="12" t="s">
        <v>3</v>
      </c>
      <c r="T37" s="17"/>
      <c r="U37" s="24">
        <f>+SUM(U34:U36)</f>
        <v>0</v>
      </c>
      <c r="X37" s="36" t="s">
        <v>3</v>
      </c>
      <c r="Y37" s="37"/>
      <c r="Z37" s="38">
        <f>+SUM(Z34:Z36)</f>
        <v>-54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0</v>
      </c>
    </row>
    <row r="40" spans="3:26" x14ac:dyDescent="0.25">
      <c r="Z40" s="22"/>
    </row>
  </sheetData>
  <mergeCells count="26">
    <mergeCell ref="AC27:AF27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  <mergeCell ref="O15:P15"/>
    <mergeCell ref="S15:T15"/>
    <mergeCell ref="AF4:AJ4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M40"/>
  <sheetViews>
    <sheetView topLeftCell="A2" zoomScale="80" zoomScaleNormal="80" workbookViewId="0">
      <selection activeCell="AF12" sqref="AF12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0.7109375" customWidth="1"/>
    <col min="9" max="9" width="9.5703125" bestFit="1" customWidth="1"/>
    <col min="10" max="10" width="0.5703125" customWidth="1"/>
    <col min="11" max="11" width="13.5703125" bestFit="1" customWidth="1"/>
    <col min="12" max="12" width="14.5703125" bestFit="1" customWidth="1"/>
    <col min="14" max="14" width="0.7109375" customWidth="1"/>
    <col min="15" max="15" width="13.5703125" bestFit="1" customWidth="1"/>
    <col min="16" max="16" width="14.140625" bestFit="1" customWidth="1"/>
    <col min="18" max="18" width="0.85546875" customWidth="1"/>
    <col min="19" max="19" width="13.5703125" bestFit="1" customWidth="1"/>
    <col min="20" max="20" width="15.14062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0.140625" bestFit="1" customWidth="1"/>
    <col min="27" max="27" width="1.140625" customWidth="1"/>
    <col min="29" max="29" width="10.28515625" customWidth="1"/>
    <col min="31" max="31" width="12.7109375" bestFit="1" customWidth="1"/>
    <col min="32" max="32" width="13.5703125" bestFit="1" customWidth="1"/>
    <col min="33" max="33" width="12" bestFit="1" customWidth="1"/>
    <col min="39" max="39" width="9.5703125" bestFit="1" customWidth="1"/>
  </cols>
  <sheetData>
    <row r="1" spans="3:39" ht="15.75" thickBot="1" x14ac:dyDescent="0.3"/>
    <row r="2" spans="3:39" x14ac:dyDescent="0.25">
      <c r="W2" s="9"/>
      <c r="X2" s="10"/>
      <c r="Y2" s="10"/>
      <c r="Z2" s="10"/>
      <c r="AA2" s="11"/>
    </row>
    <row r="3" spans="3:39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3:39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39" s="28" customFormat="1" x14ac:dyDescent="0.25">
      <c r="C5" s="31">
        <v>1</v>
      </c>
      <c r="D5" s="31"/>
      <c r="E5" s="39">
        <f>+D5*C5</f>
        <v>0</v>
      </c>
      <c r="G5" s="31">
        <v>1</v>
      </c>
      <c r="H5" s="31">
        <v>4</v>
      </c>
      <c r="I5" s="39">
        <f>+H5*G5</f>
        <v>4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4</v>
      </c>
      <c r="Z5" s="40">
        <f>+E5+I5+M5+Q5+U5</f>
        <v>4</v>
      </c>
      <c r="AA5" s="30"/>
    </row>
    <row r="6" spans="3:39" ht="15.75" thickBot="1" x14ac:dyDescent="0.3">
      <c r="C6" s="1">
        <v>10</v>
      </c>
      <c r="D6" s="1">
        <v>76</v>
      </c>
      <c r="E6" s="39">
        <f>+D6*C6</f>
        <v>760</v>
      </c>
      <c r="G6" s="1">
        <v>10</v>
      </c>
      <c r="H6" s="1">
        <v>94</v>
      </c>
      <c r="I6" s="39">
        <f>+H6*G6</f>
        <v>940</v>
      </c>
      <c r="K6" s="1">
        <v>10</v>
      </c>
      <c r="L6" s="1">
        <v>30</v>
      </c>
      <c r="M6" s="39">
        <f>+L6*K6</f>
        <v>300</v>
      </c>
      <c r="O6" s="1">
        <v>10</v>
      </c>
      <c r="P6" s="1">
        <v>36</v>
      </c>
      <c r="Q6" s="39">
        <f>+P6*O6</f>
        <v>360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236</v>
      </c>
      <c r="Z6" s="40">
        <f>+E6+I6+M6+Q6+U6</f>
        <v>2360</v>
      </c>
      <c r="AA6" s="13"/>
      <c r="AE6" s="133" t="s">
        <v>56</v>
      </c>
      <c r="AF6" s="133"/>
      <c r="AG6" s="133"/>
      <c r="AH6" s="133"/>
      <c r="AI6" s="133"/>
    </row>
    <row r="7" spans="3:39" ht="15.75" thickTop="1" x14ac:dyDescent="0.25">
      <c r="C7" s="1">
        <v>20</v>
      </c>
      <c r="D7" s="1">
        <v>41</v>
      </c>
      <c r="E7" s="39">
        <f t="shared" ref="E7:E12" si="0">+D7*C7</f>
        <v>820</v>
      </c>
      <c r="G7" s="1">
        <v>20</v>
      </c>
      <c r="H7" s="1">
        <v>18</v>
      </c>
      <c r="I7" s="39">
        <f t="shared" ref="I7:I12" si="1">+H7*G7</f>
        <v>360</v>
      </c>
      <c r="K7" s="1">
        <v>20</v>
      </c>
      <c r="L7" s="1">
        <v>8</v>
      </c>
      <c r="M7" s="39">
        <f t="shared" ref="M7:M12" si="2">+L7*K7</f>
        <v>160</v>
      </c>
      <c r="O7" s="1">
        <v>20</v>
      </c>
      <c r="P7" s="1"/>
      <c r="Q7" s="39">
        <f t="shared" ref="Q7:Q12" si="3">+P7*O7</f>
        <v>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67</v>
      </c>
      <c r="Z7" s="40">
        <f t="shared" ref="Z7:Z12" si="5">+E7+I7+M7+Q7+U7</f>
        <v>1340</v>
      </c>
      <c r="AA7" s="13"/>
      <c r="AK7" s="3" t="s">
        <v>0</v>
      </c>
      <c r="AL7" s="3" t="s">
        <v>1</v>
      </c>
      <c r="AM7" s="3" t="s">
        <v>2</v>
      </c>
    </row>
    <row r="8" spans="3:39" ht="15.75" thickBot="1" x14ac:dyDescent="0.3">
      <c r="C8" s="1">
        <v>50</v>
      </c>
      <c r="D8" s="1">
        <v>157</v>
      </c>
      <c r="E8" s="39">
        <f t="shared" si="0"/>
        <v>7850</v>
      </c>
      <c r="G8" s="1">
        <v>50</v>
      </c>
      <c r="H8" s="1">
        <v>30</v>
      </c>
      <c r="I8" s="39">
        <f t="shared" si="1"/>
        <v>1500</v>
      </c>
      <c r="K8" s="1">
        <v>50</v>
      </c>
      <c r="L8" s="1">
        <v>40</v>
      </c>
      <c r="M8" s="39">
        <f t="shared" si="2"/>
        <v>2000</v>
      </c>
      <c r="O8" s="1">
        <v>50</v>
      </c>
      <c r="P8" s="1">
        <v>1</v>
      </c>
      <c r="Q8" s="39">
        <f t="shared" si="3"/>
        <v>50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6">+D8+H8+L8+P8+T8</f>
        <v>228</v>
      </c>
      <c r="Z8" s="40">
        <f t="shared" si="5"/>
        <v>11400</v>
      </c>
      <c r="AA8" s="13"/>
      <c r="AE8" s="51" t="s">
        <v>5</v>
      </c>
      <c r="AF8" s="52">
        <f>+Z13</f>
        <v>262604</v>
      </c>
      <c r="AG8" s="28"/>
      <c r="AH8" s="28"/>
      <c r="AI8" s="28"/>
      <c r="AJ8" s="28"/>
      <c r="AK8" s="31">
        <v>1</v>
      </c>
      <c r="AL8" s="31">
        <v>4</v>
      </c>
      <c r="AM8" s="39">
        <f>+AL8*AK8</f>
        <v>4</v>
      </c>
    </row>
    <row r="9" spans="3:39" x14ac:dyDescent="0.25">
      <c r="C9" s="1">
        <v>100</v>
      </c>
      <c r="D9" s="1">
        <v>44</v>
      </c>
      <c r="E9" s="39">
        <f t="shared" si="0"/>
        <v>4400</v>
      </c>
      <c r="G9" s="1">
        <v>100</v>
      </c>
      <c r="H9" s="1">
        <v>39</v>
      </c>
      <c r="I9" s="39">
        <f t="shared" si="1"/>
        <v>3900</v>
      </c>
      <c r="K9" s="1">
        <v>100</v>
      </c>
      <c r="L9" s="1">
        <v>24</v>
      </c>
      <c r="M9" s="39">
        <f t="shared" si="2"/>
        <v>2400</v>
      </c>
      <c r="O9" s="1">
        <v>100</v>
      </c>
      <c r="P9" s="1">
        <v>38</v>
      </c>
      <c r="Q9" s="39">
        <f t="shared" si="3"/>
        <v>3800</v>
      </c>
      <c r="S9" s="1">
        <v>100</v>
      </c>
      <c r="T9" s="1"/>
      <c r="U9" s="39">
        <f t="shared" si="4"/>
        <v>0</v>
      </c>
      <c r="W9" s="12"/>
      <c r="X9" s="42">
        <v>100</v>
      </c>
      <c r="Y9" s="42">
        <f t="shared" si="6"/>
        <v>145</v>
      </c>
      <c r="Z9" s="40">
        <f t="shared" si="5"/>
        <v>14500</v>
      </c>
      <c r="AA9" s="13"/>
      <c r="AK9" s="1">
        <v>10</v>
      </c>
      <c r="AL9" s="1">
        <f>236+1000</f>
        <v>1236</v>
      </c>
      <c r="AM9" s="39">
        <f>+AL9*AK9</f>
        <v>12360</v>
      </c>
    </row>
    <row r="10" spans="3:39" x14ac:dyDescent="0.25">
      <c r="C10" s="1">
        <v>500</v>
      </c>
      <c r="D10" s="1">
        <v>21</v>
      </c>
      <c r="E10" s="39">
        <f t="shared" si="0"/>
        <v>10500</v>
      </c>
      <c r="G10" s="1">
        <v>500</v>
      </c>
      <c r="H10" s="1">
        <v>25</v>
      </c>
      <c r="I10" s="39">
        <f t="shared" si="1"/>
        <v>12500</v>
      </c>
      <c r="K10" s="1">
        <v>500</v>
      </c>
      <c r="L10" s="1">
        <v>18</v>
      </c>
      <c r="M10" s="39">
        <f t="shared" si="2"/>
        <v>9000</v>
      </c>
      <c r="O10" s="1">
        <v>500</v>
      </c>
      <c r="P10" s="1">
        <v>42</v>
      </c>
      <c r="Q10" s="39">
        <f t="shared" si="3"/>
        <v>21000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106</v>
      </c>
      <c r="Z10" s="40">
        <f t="shared" si="5"/>
        <v>53000</v>
      </c>
      <c r="AA10" s="13"/>
      <c r="AE10" s="53" t="s">
        <v>57</v>
      </c>
      <c r="AF10" s="53" t="s">
        <v>2</v>
      </c>
      <c r="AG10" s="53" t="s">
        <v>58</v>
      </c>
      <c r="AH10" s="53" t="s">
        <v>59</v>
      </c>
      <c r="AI10" s="53" t="s">
        <v>60</v>
      </c>
      <c r="AK10" s="1">
        <v>20</v>
      </c>
      <c r="AL10" s="1">
        <v>67</v>
      </c>
      <c r="AM10" s="39">
        <f t="shared" ref="AM10:AM15" si="7">+AL10*AK10</f>
        <v>1340</v>
      </c>
    </row>
    <row r="11" spans="3:39" x14ac:dyDescent="0.25">
      <c r="C11" s="1">
        <v>1000</v>
      </c>
      <c r="D11" s="1">
        <v>34</v>
      </c>
      <c r="E11" s="39">
        <f t="shared" si="0"/>
        <v>34000</v>
      </c>
      <c r="G11" s="1">
        <v>1000</v>
      </c>
      <c r="H11" s="1">
        <v>47</v>
      </c>
      <c r="I11" s="39">
        <f t="shared" si="1"/>
        <v>47000</v>
      </c>
      <c r="K11" s="1">
        <v>1000</v>
      </c>
      <c r="L11" s="1">
        <v>32</v>
      </c>
      <c r="M11" s="39">
        <f t="shared" si="2"/>
        <v>32000</v>
      </c>
      <c r="O11" s="1">
        <v>1000</v>
      </c>
      <c r="P11" s="1">
        <v>27</v>
      </c>
      <c r="Q11" s="39">
        <f t="shared" si="3"/>
        <v>27000</v>
      </c>
      <c r="S11" s="1">
        <v>1000</v>
      </c>
      <c r="T11" s="1"/>
      <c r="U11" s="39">
        <f t="shared" si="4"/>
        <v>0</v>
      </c>
      <c r="W11" s="12"/>
      <c r="X11" s="42">
        <v>1000</v>
      </c>
      <c r="Y11" s="42">
        <f t="shared" si="6"/>
        <v>140</v>
      </c>
      <c r="Z11" s="40">
        <f t="shared" si="5"/>
        <v>140000</v>
      </c>
      <c r="AA11" s="13"/>
      <c r="AE11" t="s">
        <v>6</v>
      </c>
      <c r="AF11" s="4">
        <v>255600</v>
      </c>
      <c r="AG11">
        <v>41612239</v>
      </c>
      <c r="AH11" s="58" t="s">
        <v>146</v>
      </c>
      <c r="AI11" t="s">
        <v>147</v>
      </c>
      <c r="AK11" s="1">
        <v>50</v>
      </c>
      <c r="AL11" s="1">
        <v>228</v>
      </c>
      <c r="AM11" s="39">
        <f t="shared" si="7"/>
        <v>11400</v>
      </c>
    </row>
    <row r="12" spans="3:39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3</v>
      </c>
      <c r="I12" s="39">
        <f t="shared" si="1"/>
        <v>15000</v>
      </c>
      <c r="K12" s="1">
        <v>5000</v>
      </c>
      <c r="L12" s="1">
        <v>3</v>
      </c>
      <c r="M12" s="39">
        <f t="shared" si="2"/>
        <v>15000</v>
      </c>
      <c r="O12" s="1">
        <v>5000</v>
      </c>
      <c r="P12" s="1">
        <v>1</v>
      </c>
      <c r="Q12" s="39">
        <f t="shared" si="3"/>
        <v>5000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8</v>
      </c>
      <c r="Z12" s="40">
        <f t="shared" si="5"/>
        <v>40000</v>
      </c>
      <c r="AA12" s="13"/>
      <c r="AE12" t="s">
        <v>62</v>
      </c>
      <c r="AF12" s="4">
        <v>7004</v>
      </c>
      <c r="AK12" s="1">
        <v>100</v>
      </c>
      <c r="AL12" s="1">
        <v>145</v>
      </c>
      <c r="AM12" s="39">
        <f t="shared" si="7"/>
        <v>14500</v>
      </c>
    </row>
    <row r="13" spans="3:39" ht="15.75" thickBot="1" x14ac:dyDescent="0.3">
      <c r="C13" s="2" t="s">
        <v>3</v>
      </c>
      <c r="D13" s="2"/>
      <c r="E13" s="5">
        <f>+SUM(E5:E12)</f>
        <v>63330</v>
      </c>
      <c r="G13" s="2" t="s">
        <v>3</v>
      </c>
      <c r="H13" s="2"/>
      <c r="I13" s="5">
        <f>+SUM(I5:I12)</f>
        <v>81204</v>
      </c>
      <c r="K13" s="2" t="s">
        <v>3</v>
      </c>
      <c r="L13" s="2"/>
      <c r="M13" s="5">
        <f>+SUM(M5:M12)</f>
        <v>60860</v>
      </c>
      <c r="O13" s="2" t="s">
        <v>3</v>
      </c>
      <c r="P13" s="2"/>
      <c r="Q13" s="5">
        <f>+SUM(Q5:Q12)</f>
        <v>57210</v>
      </c>
      <c r="S13" s="2" t="s">
        <v>3</v>
      </c>
      <c r="T13" s="2"/>
      <c r="U13" s="5">
        <f>+SUM(U5:U12)</f>
        <v>0</v>
      </c>
      <c r="W13" s="12"/>
      <c r="X13" s="2" t="s">
        <v>3</v>
      </c>
      <c r="Y13" s="2"/>
      <c r="Z13" s="5">
        <f>+SUM(Z5:Z12)</f>
        <v>262604</v>
      </c>
      <c r="AA13" s="13"/>
      <c r="AE13" t="s">
        <v>134</v>
      </c>
      <c r="AF13" s="4"/>
      <c r="AK13" s="1">
        <v>500</v>
      </c>
      <c r="AL13" s="1">
        <v>86</v>
      </c>
      <c r="AM13" s="39">
        <f t="shared" si="7"/>
        <v>43000</v>
      </c>
    </row>
    <row r="14" spans="3:39" ht="15.75" thickBot="1" x14ac:dyDescent="0.3">
      <c r="W14" s="12"/>
      <c r="X14" s="17"/>
      <c r="Y14" s="17"/>
      <c r="Z14" s="17"/>
      <c r="AA14" s="13"/>
      <c r="AE14" t="s">
        <v>135</v>
      </c>
      <c r="AK14" s="1">
        <v>1000</v>
      </c>
      <c r="AL14" s="1">
        <v>140</v>
      </c>
      <c r="AM14" s="39">
        <f t="shared" si="7"/>
        <v>140000</v>
      </c>
    </row>
    <row r="15" spans="3:39" s="33" customFormat="1" ht="15.75" thickBot="1" x14ac:dyDescent="0.3">
      <c r="C15" s="127" t="s">
        <v>4</v>
      </c>
      <c r="D15" s="128"/>
      <c r="E15" s="7">
        <v>63253</v>
      </c>
      <c r="G15" s="127" t="s">
        <v>4</v>
      </c>
      <c r="H15" s="128"/>
      <c r="I15" s="7">
        <v>81204</v>
      </c>
      <c r="K15" s="127" t="s">
        <v>4</v>
      </c>
      <c r="L15" s="128"/>
      <c r="M15" s="7">
        <v>93194</v>
      </c>
      <c r="O15" s="127" t="s">
        <v>4</v>
      </c>
      <c r="P15" s="128"/>
      <c r="Q15" s="7">
        <v>67295.789999999994</v>
      </c>
      <c r="S15" s="127" t="s">
        <v>4</v>
      </c>
      <c r="T15" s="128"/>
      <c r="U15" s="7"/>
      <c r="W15" s="34"/>
      <c r="X15" s="127" t="s">
        <v>4</v>
      </c>
      <c r="Y15" s="128"/>
      <c r="Z15" s="7">
        <f>+E15+I15+M15+Q15+U15</f>
        <v>304946.78999999998</v>
      </c>
      <c r="AA15" s="35"/>
      <c r="AE15" t="s">
        <v>64</v>
      </c>
      <c r="AF15" s="4"/>
      <c r="AG15"/>
      <c r="AH15"/>
      <c r="AI15"/>
      <c r="AJ15"/>
      <c r="AK15" s="1">
        <v>5000</v>
      </c>
      <c r="AL15" s="1">
        <v>8</v>
      </c>
      <c r="AM15" s="39">
        <f t="shared" si="7"/>
        <v>40000</v>
      </c>
    </row>
    <row r="16" spans="3:39" ht="15.75" thickBot="1" x14ac:dyDescent="0.3">
      <c r="C16" t="s">
        <v>5</v>
      </c>
      <c r="E16" s="4">
        <v>63330</v>
      </c>
      <c r="G16" t="s">
        <v>5</v>
      </c>
      <c r="I16" s="4">
        <f>+I13</f>
        <v>81204</v>
      </c>
      <c r="K16" t="s">
        <v>5</v>
      </c>
      <c r="M16" s="4">
        <v>60860</v>
      </c>
      <c r="O16" t="s">
        <v>5</v>
      </c>
      <c r="Q16" s="4">
        <f>+Q13</f>
        <v>57210</v>
      </c>
      <c r="S16" t="s">
        <v>5</v>
      </c>
      <c r="U16" s="4"/>
      <c r="W16" s="12"/>
      <c r="X16" s="43" t="s">
        <v>5</v>
      </c>
      <c r="Y16" s="43"/>
      <c r="Z16" s="40">
        <f>+E16+I16+M16+Q16+U16</f>
        <v>262604</v>
      </c>
      <c r="AA16" s="13"/>
      <c r="AE16" t="s">
        <v>72</v>
      </c>
      <c r="AF16" s="4"/>
      <c r="AK16" s="2" t="s">
        <v>3</v>
      </c>
      <c r="AL16" s="2"/>
      <c r="AM16" s="5">
        <f>+SUM(AM8:AM15)</f>
        <v>262604</v>
      </c>
    </row>
    <row r="17" spans="3:38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E17" s="54" t="s">
        <v>10</v>
      </c>
      <c r="AF17" s="55">
        <f>+SUM(AF11:AF16)</f>
        <v>262604</v>
      </c>
      <c r="AG17" s="22">
        <f>AF17-AA13</f>
        <v>262604</v>
      </c>
    </row>
    <row r="18" spans="3:38" x14ac:dyDescent="0.25">
      <c r="C18" t="s">
        <v>43</v>
      </c>
      <c r="E18" s="4"/>
      <c r="G18" t="s">
        <v>7</v>
      </c>
      <c r="I18" s="4"/>
      <c r="K18" t="s">
        <v>38</v>
      </c>
      <c r="L18" t="s">
        <v>131</v>
      </c>
      <c r="M18" s="4">
        <v>11650</v>
      </c>
      <c r="O18" t="s">
        <v>38</v>
      </c>
      <c r="P18" t="s">
        <v>139</v>
      </c>
      <c r="Q18" s="4">
        <v>3000</v>
      </c>
      <c r="S18" t="s">
        <v>43</v>
      </c>
      <c r="U18" s="4"/>
      <c r="W18" s="12"/>
      <c r="X18" s="43" t="s">
        <v>7</v>
      </c>
      <c r="Y18" s="43"/>
      <c r="Z18" s="40">
        <f t="shared" si="8"/>
        <v>14650</v>
      </c>
      <c r="AA18" s="13"/>
      <c r="AE18" s="56" t="s">
        <v>66</v>
      </c>
      <c r="AF18" s="57">
        <f>+AF17-AF8</f>
        <v>0</v>
      </c>
      <c r="AG18" t="s">
        <v>67</v>
      </c>
    </row>
    <row r="19" spans="3:38" x14ac:dyDescent="0.25">
      <c r="C19" t="s">
        <v>8</v>
      </c>
      <c r="E19" s="4"/>
      <c r="G19" t="s">
        <v>8</v>
      </c>
      <c r="I19" s="4"/>
      <c r="K19" t="s">
        <v>137</v>
      </c>
      <c r="L19" t="s">
        <v>132</v>
      </c>
      <c r="M19" s="4">
        <v>9500</v>
      </c>
      <c r="O19" t="s">
        <v>138</v>
      </c>
      <c r="P19" t="s">
        <v>140</v>
      </c>
      <c r="Q19" s="4">
        <v>7084</v>
      </c>
      <c r="S19" t="s">
        <v>43</v>
      </c>
      <c r="U19" s="4"/>
      <c r="W19" s="12"/>
      <c r="X19" s="43" t="s">
        <v>8</v>
      </c>
      <c r="Y19" s="43"/>
      <c r="Z19" s="40">
        <f t="shared" si="8"/>
        <v>16584</v>
      </c>
      <c r="AA19" s="13"/>
      <c r="AL19">
        <f>86-106</f>
        <v>-20</v>
      </c>
    </row>
    <row r="20" spans="3:38" x14ac:dyDescent="0.25">
      <c r="C20" t="s">
        <v>9</v>
      </c>
      <c r="E20" s="4"/>
      <c r="G20" t="s">
        <v>9</v>
      </c>
      <c r="I20" s="4"/>
      <c r="K20" t="s">
        <v>138</v>
      </c>
      <c r="L20" t="s">
        <v>133</v>
      </c>
      <c r="M20" s="4">
        <v>5000</v>
      </c>
      <c r="O20" t="s">
        <v>9</v>
      </c>
      <c r="Q20" s="4"/>
      <c r="S20" t="s">
        <v>43</v>
      </c>
      <c r="U20" s="4"/>
      <c r="W20" s="12"/>
      <c r="X20" s="43" t="s">
        <v>9</v>
      </c>
      <c r="Y20" s="43"/>
      <c r="Z20" s="40">
        <f t="shared" si="8"/>
        <v>5000</v>
      </c>
      <c r="AA20" s="13"/>
      <c r="AC20" s="67" t="s">
        <v>117</v>
      </c>
      <c r="AD20" s="67"/>
      <c r="AE20" s="33"/>
      <c r="AL20">
        <f>+AL19*500</f>
        <v>-10000</v>
      </c>
    </row>
    <row r="21" spans="3:38" x14ac:dyDescent="0.25">
      <c r="E21" s="4"/>
      <c r="I21" s="4"/>
      <c r="K21" t="s">
        <v>74</v>
      </c>
      <c r="L21" t="s">
        <v>130</v>
      </c>
      <c r="M21" s="4">
        <v>5633</v>
      </c>
      <c r="Q21" s="4"/>
      <c r="S21" t="s">
        <v>43</v>
      </c>
      <c r="U21" s="4"/>
      <c r="W21" s="12"/>
      <c r="X21" s="43"/>
      <c r="Y21" s="43"/>
      <c r="Z21" s="40">
        <f t="shared" si="8"/>
        <v>5633</v>
      </c>
      <c r="AA21" s="13"/>
      <c r="AC21" s="53" t="s">
        <v>114</v>
      </c>
      <c r="AD21" s="53" t="s">
        <v>115</v>
      </c>
      <c r="AE21" s="53" t="s">
        <v>122</v>
      </c>
      <c r="AF21" s="53" t="s">
        <v>116</v>
      </c>
      <c r="AG21" s="53" t="s">
        <v>2</v>
      </c>
    </row>
    <row r="22" spans="3:38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</row>
    <row r="23" spans="3:38" x14ac:dyDescent="0.25">
      <c r="E23" s="4"/>
      <c r="I23" s="4"/>
      <c r="M23" s="4"/>
      <c r="Q23" s="4"/>
      <c r="S23" t="s">
        <v>28</v>
      </c>
      <c r="U23" s="4"/>
      <c r="W23" s="12"/>
      <c r="X23" s="44" t="s">
        <v>28</v>
      </c>
      <c r="Y23" s="43"/>
      <c r="Z23" s="40">
        <f t="shared" si="8"/>
        <v>0</v>
      </c>
      <c r="AA23" s="13"/>
    </row>
    <row r="24" spans="3:38" x14ac:dyDescent="0.25">
      <c r="E24" s="4"/>
      <c r="I24" s="4"/>
      <c r="M24" s="4"/>
      <c r="Q24" s="4"/>
      <c r="S24" t="s">
        <v>29</v>
      </c>
      <c r="U24" s="4"/>
      <c r="W24" s="12"/>
      <c r="X24" s="44" t="s">
        <v>29</v>
      </c>
      <c r="Y24" s="43"/>
      <c r="Z24" s="40">
        <f t="shared" si="8"/>
        <v>0</v>
      </c>
      <c r="AA24" s="13"/>
    </row>
    <row r="25" spans="3:38" x14ac:dyDescent="0.25">
      <c r="E25" s="4"/>
      <c r="I25" s="4"/>
      <c r="M25" s="4"/>
      <c r="Q25" s="4"/>
      <c r="S25" t="s">
        <v>31</v>
      </c>
      <c r="U25" s="4"/>
      <c r="W25" s="12"/>
      <c r="X25" s="44" t="s">
        <v>31</v>
      </c>
      <c r="Y25" s="43"/>
      <c r="Z25" s="40">
        <f t="shared" si="8"/>
        <v>0</v>
      </c>
      <c r="AA25" s="13"/>
    </row>
    <row r="26" spans="3:38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</row>
    <row r="27" spans="3:38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38" ht="15.75" thickBot="1" x14ac:dyDescent="0.3">
      <c r="C28" s="129" t="s">
        <v>10</v>
      </c>
      <c r="D28" s="130"/>
      <c r="E28" s="8">
        <f>+SUM(E16:E27)</f>
        <v>63330</v>
      </c>
      <c r="G28" s="129" t="s">
        <v>10</v>
      </c>
      <c r="H28" s="130"/>
      <c r="I28" s="8">
        <f>+SUM(I16:I27)</f>
        <v>81204</v>
      </c>
      <c r="K28" s="129" t="s">
        <v>10</v>
      </c>
      <c r="L28" s="130"/>
      <c r="M28" s="8">
        <f>+SUM(M16:M27)</f>
        <v>92643</v>
      </c>
      <c r="O28" s="129" t="s">
        <v>10</v>
      </c>
      <c r="P28" s="130"/>
      <c r="Q28" s="8">
        <f>+SUM(Q16:Q27)</f>
        <v>67294</v>
      </c>
      <c r="S28" s="129" t="s">
        <v>10</v>
      </c>
      <c r="T28" s="130"/>
      <c r="U28" s="8">
        <f>+SUM(U16:U27)</f>
        <v>0</v>
      </c>
      <c r="W28" s="12"/>
      <c r="X28" s="129" t="s">
        <v>10</v>
      </c>
      <c r="Y28" s="130"/>
      <c r="Z28" s="8">
        <f>+SUM(Z16:Z27)</f>
        <v>304471</v>
      </c>
      <c r="AA28" s="13"/>
      <c r="AC28" s="135" t="s">
        <v>113</v>
      </c>
      <c r="AD28" s="135"/>
      <c r="AE28" s="135"/>
      <c r="AF28" s="135"/>
      <c r="AG28" s="69">
        <f>+SUM(AG22:AG27)</f>
        <v>0</v>
      </c>
    </row>
    <row r="29" spans="3:38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8" ht="15.75" thickBot="1" x14ac:dyDescent="0.3">
      <c r="C30" s="131" t="s">
        <v>11</v>
      </c>
      <c r="D30" s="131"/>
      <c r="E30" s="6">
        <f>+E28-E15</f>
        <v>77</v>
      </c>
      <c r="G30" s="131" t="s">
        <v>11</v>
      </c>
      <c r="H30" s="131"/>
      <c r="I30" s="6">
        <f>+I28-I15</f>
        <v>0</v>
      </c>
      <c r="K30" s="131" t="s">
        <v>11</v>
      </c>
      <c r="L30" s="131"/>
      <c r="M30" s="6">
        <f>+M28-M15</f>
        <v>-551</v>
      </c>
      <c r="O30" s="131" t="s">
        <v>11</v>
      </c>
      <c r="P30" s="131"/>
      <c r="Q30" s="6">
        <f>+Q28-Q15</f>
        <v>-1.7899999999935972</v>
      </c>
      <c r="S30" s="131" t="s">
        <v>11</v>
      </c>
      <c r="T30" s="131"/>
      <c r="U30" s="6">
        <f>+U28-U15</f>
        <v>0</v>
      </c>
      <c r="W30" s="12"/>
      <c r="X30" s="134" t="s">
        <v>11</v>
      </c>
      <c r="Y30" s="134"/>
      <c r="Z30" s="45">
        <f>+Z28-Z15</f>
        <v>-475.78999999997905</v>
      </c>
      <c r="AA30" s="13"/>
    </row>
    <row r="31" spans="3:38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>
        <v>551</v>
      </c>
      <c r="O34" s="9" t="s">
        <v>15</v>
      </c>
      <c r="P34" s="10"/>
      <c r="Q34" s="23">
        <v>2</v>
      </c>
      <c r="S34" s="9" t="s">
        <v>15</v>
      </c>
      <c r="T34" s="10"/>
      <c r="U34" s="23"/>
      <c r="X34" s="46" t="s">
        <v>15</v>
      </c>
      <c r="Y34" s="47"/>
      <c r="Z34" s="48">
        <f>+E34+I34+M34+Q34+U34</f>
        <v>553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42</v>
      </c>
      <c r="D36" s="17"/>
      <c r="E36" s="24">
        <v>-77</v>
      </c>
      <c r="G36" s="12" t="s">
        <v>23</v>
      </c>
      <c r="H36" s="17"/>
      <c r="I36" s="24"/>
      <c r="K36" s="12" t="s">
        <v>23</v>
      </c>
      <c r="L36" s="17"/>
      <c r="M36" s="24"/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-77</v>
      </c>
    </row>
    <row r="37" spans="3:26" x14ac:dyDescent="0.25">
      <c r="C37" s="12" t="s">
        <v>3</v>
      </c>
      <c r="D37" s="17"/>
      <c r="E37" s="24">
        <f>+SUM(E34:E36)</f>
        <v>-77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551</v>
      </c>
      <c r="O37" s="12" t="s">
        <v>3</v>
      </c>
      <c r="P37" s="17"/>
      <c r="Q37" s="24">
        <f>+SUM(Q34:Q36)</f>
        <v>2</v>
      </c>
      <c r="S37" s="12" t="s">
        <v>3</v>
      </c>
      <c r="T37" s="17"/>
      <c r="U37" s="24">
        <f>+SUM(U34:U36)</f>
        <v>0</v>
      </c>
      <c r="X37" s="36" t="s">
        <v>3</v>
      </c>
      <c r="Y37" s="37"/>
      <c r="Z37" s="38">
        <f>+SUM(Z34:Z36)</f>
        <v>476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0.21000000000640284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0.21000000002095476</v>
      </c>
    </row>
    <row r="40" spans="3:26" x14ac:dyDescent="0.25">
      <c r="Z40" s="22"/>
    </row>
  </sheetData>
  <mergeCells count="26"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AC28:AF28"/>
    <mergeCell ref="O15:P15"/>
    <mergeCell ref="S15:T15"/>
    <mergeCell ref="X15:Y15"/>
    <mergeCell ref="C3:E3"/>
    <mergeCell ref="G3:I3"/>
    <mergeCell ref="K3:M3"/>
    <mergeCell ref="O3:Q3"/>
    <mergeCell ref="S3:U3"/>
    <mergeCell ref="X3:Z3"/>
    <mergeCell ref="AE6:AI6"/>
    <mergeCell ref="C15:D15"/>
    <mergeCell ref="G15:H15"/>
    <mergeCell ref="K15:L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40"/>
  <sheetViews>
    <sheetView topLeftCell="A6" zoomScale="90" zoomScaleNormal="90" workbookViewId="0">
      <selection activeCell="G18" sqref="G18:I18"/>
    </sheetView>
  </sheetViews>
  <sheetFormatPr defaultRowHeight="15" x14ac:dyDescent="0.25"/>
  <cols>
    <col min="3" max="3" width="13.42578125" bestFit="1" customWidth="1"/>
    <col min="4" max="4" width="17" bestFit="1" customWidth="1"/>
    <col min="5" max="5" width="11" customWidth="1"/>
    <col min="6" max="6" width="0.7109375" customWidth="1"/>
    <col min="7" max="7" width="10.7109375" customWidth="1"/>
    <col min="9" max="9" width="9.5703125" bestFit="1" customWidth="1"/>
    <col min="10" max="10" width="0.5703125" customWidth="1"/>
    <col min="11" max="11" width="13.5703125" bestFit="1" customWidth="1"/>
    <col min="12" max="12" width="17.28515625" bestFit="1" customWidth="1"/>
    <col min="14" max="14" width="0.7109375" customWidth="1"/>
    <col min="15" max="15" width="11.28515625" customWidth="1"/>
    <col min="18" max="18" width="0.85546875" customWidth="1"/>
    <col min="19" max="19" width="13.5703125" bestFit="1" customWidth="1"/>
    <col min="20" max="20" width="15.14062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0.140625" bestFit="1" customWidth="1"/>
    <col min="27" max="27" width="1.140625" customWidth="1"/>
    <col min="29" max="29" width="10.7109375" bestFit="1" customWidth="1"/>
    <col min="30" max="30" width="10.7109375" customWidth="1"/>
    <col min="31" max="31" width="16.5703125" bestFit="1" customWidth="1"/>
    <col min="32" max="32" width="13.5703125" customWidth="1"/>
    <col min="33" max="33" width="14.5703125" customWidth="1"/>
    <col min="34" max="34" width="18" bestFit="1" customWidth="1"/>
    <col min="39" max="39" width="12" customWidth="1"/>
    <col min="40" max="40" width="11.42578125" customWidth="1"/>
  </cols>
  <sheetData>
    <row r="1" spans="3:40" ht="15.75" thickBot="1" x14ac:dyDescent="0.3"/>
    <row r="2" spans="3:40" x14ac:dyDescent="0.25">
      <c r="W2" s="9"/>
      <c r="X2" s="10"/>
      <c r="Y2" s="10"/>
      <c r="Z2" s="10"/>
      <c r="AA2" s="11"/>
    </row>
    <row r="3" spans="3:40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3:40" ht="15.75" thickBot="1" x14ac:dyDescent="0.3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  <c r="AF4" s="133" t="s">
        <v>56</v>
      </c>
      <c r="AG4" s="133"/>
      <c r="AH4" s="133"/>
      <c r="AI4" s="133"/>
      <c r="AJ4" s="133"/>
    </row>
    <row r="5" spans="3:40" s="28" customFormat="1" ht="15.75" thickTop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F5"/>
      <c r="AG5"/>
      <c r="AH5"/>
      <c r="AI5"/>
      <c r="AJ5"/>
    </row>
    <row r="6" spans="3:40" x14ac:dyDescent="0.25">
      <c r="C6" s="1">
        <v>10</v>
      </c>
      <c r="D6" s="1">
        <v>159</v>
      </c>
      <c r="E6" s="39">
        <f>+D6*C6</f>
        <v>1590</v>
      </c>
      <c r="G6" s="1">
        <v>10</v>
      </c>
      <c r="H6" s="1">
        <v>90</v>
      </c>
      <c r="I6" s="39">
        <f>+H6*G6</f>
        <v>900</v>
      </c>
      <c r="K6" s="1">
        <v>10</v>
      </c>
      <c r="L6" s="1">
        <v>33</v>
      </c>
      <c r="M6" s="39">
        <f>+L6*K6</f>
        <v>330</v>
      </c>
      <c r="O6" s="1">
        <v>10</v>
      </c>
      <c r="P6" s="1">
        <v>132</v>
      </c>
      <c r="Q6" s="39">
        <f>+P6*O6</f>
        <v>1320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414</v>
      </c>
      <c r="Z6" s="40">
        <f>+E6+I6+M6+Q6+U6</f>
        <v>4140</v>
      </c>
      <c r="AA6" s="13"/>
      <c r="AF6" s="70" t="s">
        <v>5</v>
      </c>
      <c r="AG6" s="71">
        <f>+Z13</f>
        <v>327150</v>
      </c>
      <c r="AH6" s="28"/>
      <c r="AI6" s="28"/>
      <c r="AJ6" s="28"/>
    </row>
    <row r="7" spans="3:40" x14ac:dyDescent="0.25">
      <c r="C7" s="1">
        <v>20</v>
      </c>
      <c r="D7" s="1">
        <v>6</v>
      </c>
      <c r="E7" s="39">
        <f t="shared" ref="E7:E12" si="0">+D7*C7</f>
        <v>120</v>
      </c>
      <c r="G7" s="1">
        <v>20</v>
      </c>
      <c r="H7" s="1">
        <v>19</v>
      </c>
      <c r="I7" s="39">
        <f t="shared" ref="I7:I12" si="1">+H7*G7</f>
        <v>380</v>
      </c>
      <c r="K7" s="1">
        <v>20</v>
      </c>
      <c r="L7" s="1">
        <v>6</v>
      </c>
      <c r="M7" s="39">
        <f t="shared" ref="M7:M12" si="2">+L7*K7</f>
        <v>120</v>
      </c>
      <c r="O7" s="1">
        <v>20</v>
      </c>
      <c r="P7" s="1">
        <v>2</v>
      </c>
      <c r="Q7" s="39">
        <f t="shared" ref="Q7:Q12" si="3">+P7*O7</f>
        <v>40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33</v>
      </c>
      <c r="Z7" s="40">
        <f t="shared" ref="Z7:Z12" si="5">+E7+I7+M7+Q7+U7</f>
        <v>660</v>
      </c>
      <c r="AA7" s="13"/>
      <c r="AF7" s="66" t="s">
        <v>120</v>
      </c>
      <c r="AG7" s="66">
        <f>+AG28</f>
        <v>168104</v>
      </c>
      <c r="AL7" s="3" t="s">
        <v>0</v>
      </c>
      <c r="AM7" s="3" t="s">
        <v>1</v>
      </c>
      <c r="AN7" s="3" t="s">
        <v>2</v>
      </c>
    </row>
    <row r="8" spans="3:40" ht="15.75" thickBot="1" x14ac:dyDescent="0.3">
      <c r="C8" s="1">
        <v>50</v>
      </c>
      <c r="D8" s="1">
        <v>15</v>
      </c>
      <c r="E8" s="39">
        <f t="shared" si="0"/>
        <v>750</v>
      </c>
      <c r="G8" s="1">
        <v>50</v>
      </c>
      <c r="H8" s="1">
        <v>89</v>
      </c>
      <c r="I8" s="39">
        <f t="shared" si="1"/>
        <v>4450</v>
      </c>
      <c r="K8" s="1">
        <v>50</v>
      </c>
      <c r="L8" s="1">
        <v>46</v>
      </c>
      <c r="M8" s="39">
        <f t="shared" si="2"/>
        <v>2300</v>
      </c>
      <c r="O8" s="1">
        <v>50</v>
      </c>
      <c r="P8" s="1">
        <v>83</v>
      </c>
      <c r="Q8" s="39">
        <f t="shared" si="3"/>
        <v>4150</v>
      </c>
      <c r="S8" s="1">
        <v>50</v>
      </c>
      <c r="T8" s="1">
        <v>22</v>
      </c>
      <c r="U8" s="39">
        <f t="shared" si="4"/>
        <v>1100</v>
      </c>
      <c r="W8" s="12"/>
      <c r="X8" s="42">
        <v>50</v>
      </c>
      <c r="Y8" s="42">
        <f t="shared" ref="Y8:Y12" si="6">+D8+H8+L8+P8+T8</f>
        <v>255</v>
      </c>
      <c r="Z8" s="40">
        <f t="shared" si="5"/>
        <v>12750</v>
      </c>
      <c r="AA8" s="13"/>
      <c r="AF8" s="72" t="s">
        <v>10</v>
      </c>
      <c r="AG8" s="73">
        <f>SUM(AG6:AG7)</f>
        <v>495254</v>
      </c>
      <c r="AK8" s="28"/>
      <c r="AL8" s="31">
        <v>1</v>
      </c>
      <c r="AM8" s="31"/>
      <c r="AN8" s="39">
        <f>+AM8*AL8</f>
        <v>0</v>
      </c>
    </row>
    <row r="9" spans="3:40" x14ac:dyDescent="0.25">
      <c r="C9" s="1">
        <v>100</v>
      </c>
      <c r="D9" s="1">
        <v>26</v>
      </c>
      <c r="E9" s="39">
        <f t="shared" si="0"/>
        <v>2600</v>
      </c>
      <c r="G9" s="1">
        <v>100</v>
      </c>
      <c r="H9" s="1">
        <v>93</v>
      </c>
      <c r="I9" s="39">
        <f t="shared" si="1"/>
        <v>9300</v>
      </c>
      <c r="K9" s="1">
        <v>100</v>
      </c>
      <c r="L9" s="1">
        <v>24</v>
      </c>
      <c r="M9" s="39">
        <f t="shared" si="2"/>
        <v>2400</v>
      </c>
      <c r="O9" s="1">
        <v>100</v>
      </c>
      <c r="P9" s="1">
        <v>38</v>
      </c>
      <c r="Q9" s="39">
        <f t="shared" si="3"/>
        <v>3800</v>
      </c>
      <c r="S9" s="1">
        <v>100</v>
      </c>
      <c r="T9" s="1">
        <v>25</v>
      </c>
      <c r="U9" s="39">
        <f t="shared" si="4"/>
        <v>2500</v>
      </c>
      <c r="W9" s="12"/>
      <c r="X9" s="42">
        <v>100</v>
      </c>
      <c r="Y9" s="42">
        <f t="shared" si="6"/>
        <v>206</v>
      </c>
      <c r="Z9" s="40">
        <f t="shared" si="5"/>
        <v>20600</v>
      </c>
      <c r="AA9" s="13"/>
      <c r="AL9" s="1">
        <v>10</v>
      </c>
      <c r="AM9" s="1">
        <v>464</v>
      </c>
      <c r="AN9" s="39">
        <f>+AM9*AL9</f>
        <v>4640</v>
      </c>
    </row>
    <row r="10" spans="3:40" x14ac:dyDescent="0.25">
      <c r="C10" s="1">
        <v>500</v>
      </c>
      <c r="D10" s="1">
        <v>33</v>
      </c>
      <c r="E10" s="39">
        <f t="shared" si="0"/>
        <v>16500</v>
      </c>
      <c r="G10" s="1">
        <v>500</v>
      </c>
      <c r="H10" s="1">
        <v>41</v>
      </c>
      <c r="I10" s="39">
        <f t="shared" si="1"/>
        <v>20500</v>
      </c>
      <c r="K10" s="1">
        <v>500</v>
      </c>
      <c r="L10" s="1">
        <v>34</v>
      </c>
      <c r="M10" s="39">
        <f t="shared" si="2"/>
        <v>17000</v>
      </c>
      <c r="O10" s="1">
        <v>500</v>
      </c>
      <c r="P10" s="1">
        <v>46</v>
      </c>
      <c r="Q10" s="39">
        <f t="shared" si="3"/>
        <v>23000</v>
      </c>
      <c r="S10" s="1">
        <v>500</v>
      </c>
      <c r="T10" s="1">
        <v>10</v>
      </c>
      <c r="U10" s="39">
        <f t="shared" si="4"/>
        <v>5000</v>
      </c>
      <c r="W10" s="12"/>
      <c r="X10" s="42">
        <v>500</v>
      </c>
      <c r="Y10" s="42">
        <f t="shared" si="6"/>
        <v>164</v>
      </c>
      <c r="Z10" s="40">
        <f t="shared" si="5"/>
        <v>82000</v>
      </c>
      <c r="AA10" s="13"/>
      <c r="AF10" s="53" t="s">
        <v>57</v>
      </c>
      <c r="AG10" s="53" t="s">
        <v>2</v>
      </c>
      <c r="AH10" s="53" t="s">
        <v>58</v>
      </c>
      <c r="AI10" s="53" t="s">
        <v>59</v>
      </c>
      <c r="AJ10" s="53" t="s">
        <v>60</v>
      </c>
      <c r="AL10" s="1">
        <v>20</v>
      </c>
      <c r="AM10" s="1">
        <v>33</v>
      </c>
      <c r="AN10" s="39">
        <f t="shared" ref="AN10:AN15" si="7">+AM10*AL10</f>
        <v>660</v>
      </c>
    </row>
    <row r="11" spans="3:40" x14ac:dyDescent="0.25">
      <c r="C11" s="1">
        <v>1000</v>
      </c>
      <c r="D11" s="1">
        <v>28</v>
      </c>
      <c r="E11" s="39">
        <f t="shared" si="0"/>
        <v>28000</v>
      </c>
      <c r="G11" s="1">
        <v>1000</v>
      </c>
      <c r="H11" s="1">
        <v>49</v>
      </c>
      <c r="I11" s="39">
        <f t="shared" si="1"/>
        <v>49000</v>
      </c>
      <c r="K11" s="1">
        <v>1000</v>
      </c>
      <c r="L11" s="1">
        <v>35</v>
      </c>
      <c r="M11" s="39">
        <f t="shared" si="2"/>
        <v>35000</v>
      </c>
      <c r="O11" s="1">
        <v>1000</v>
      </c>
      <c r="P11" s="1">
        <v>36</v>
      </c>
      <c r="Q11" s="39">
        <f t="shared" si="3"/>
        <v>36000</v>
      </c>
      <c r="S11" s="1">
        <v>1000</v>
      </c>
      <c r="T11" s="1">
        <v>14</v>
      </c>
      <c r="U11" s="39">
        <f t="shared" si="4"/>
        <v>14000</v>
      </c>
      <c r="W11" s="12"/>
      <c r="X11" s="42">
        <v>1000</v>
      </c>
      <c r="Y11" s="42">
        <f t="shared" si="6"/>
        <v>162</v>
      </c>
      <c r="Z11" s="40">
        <f t="shared" si="5"/>
        <v>162000</v>
      </c>
      <c r="AA11" s="13"/>
      <c r="AF11" t="s">
        <v>6</v>
      </c>
      <c r="AG11" s="4">
        <v>461500</v>
      </c>
      <c r="AH11">
        <v>5993</v>
      </c>
      <c r="AI11" s="58" t="s">
        <v>198</v>
      </c>
      <c r="AJ11" t="s">
        <v>199</v>
      </c>
      <c r="AL11" s="1">
        <v>50</v>
      </c>
      <c r="AM11" s="1">
        <v>277</v>
      </c>
      <c r="AN11" s="39">
        <f t="shared" si="7"/>
        <v>13850</v>
      </c>
    </row>
    <row r="12" spans="3:40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3</v>
      </c>
      <c r="I12" s="39">
        <f t="shared" si="1"/>
        <v>15000</v>
      </c>
      <c r="K12" s="1">
        <v>5000</v>
      </c>
      <c r="L12" s="1">
        <v>3</v>
      </c>
      <c r="M12" s="39">
        <f t="shared" si="2"/>
        <v>15000</v>
      </c>
      <c r="O12" s="1">
        <v>5000</v>
      </c>
      <c r="P12" s="1">
        <v>2</v>
      </c>
      <c r="Q12" s="39">
        <f t="shared" si="3"/>
        <v>10000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9</v>
      </c>
      <c r="Z12" s="40">
        <f t="shared" si="5"/>
        <v>45000</v>
      </c>
      <c r="AA12" s="13"/>
      <c r="AF12" t="s">
        <v>62</v>
      </c>
      <c r="AG12" s="4">
        <v>33750</v>
      </c>
      <c r="AL12" s="1">
        <v>100</v>
      </c>
      <c r="AM12" s="1">
        <v>436</v>
      </c>
      <c r="AN12" s="39">
        <f t="shared" si="7"/>
        <v>43600</v>
      </c>
    </row>
    <row r="13" spans="3:40" ht="15.75" thickBot="1" x14ac:dyDescent="0.3">
      <c r="C13" s="2" t="s">
        <v>3</v>
      </c>
      <c r="D13" s="2"/>
      <c r="E13" s="5">
        <f>+SUM(E5:E12)</f>
        <v>54560</v>
      </c>
      <c r="G13" s="2" t="s">
        <v>3</v>
      </c>
      <c r="H13" s="2"/>
      <c r="I13" s="5">
        <f>+SUM(I5:I12)</f>
        <v>99530</v>
      </c>
      <c r="K13" s="2" t="s">
        <v>3</v>
      </c>
      <c r="L13" s="2"/>
      <c r="M13" s="5">
        <f>+SUM(M5:M12)</f>
        <v>72150</v>
      </c>
      <c r="O13" s="2" t="s">
        <v>3</v>
      </c>
      <c r="P13" s="2"/>
      <c r="Q13" s="5">
        <f>+SUM(Q5:Q12)</f>
        <v>78310</v>
      </c>
      <c r="S13" s="2" t="s">
        <v>3</v>
      </c>
      <c r="T13" s="2"/>
      <c r="U13" s="5">
        <f>+SUM(U5:U12)</f>
        <v>22600</v>
      </c>
      <c r="W13" s="12"/>
      <c r="X13" s="2" t="s">
        <v>3</v>
      </c>
      <c r="Y13" s="2"/>
      <c r="Z13" s="5">
        <f>+SUM(Z5:Z12)</f>
        <v>327150</v>
      </c>
      <c r="AA13" s="13"/>
      <c r="AF13" t="s">
        <v>63</v>
      </c>
      <c r="AG13" s="4"/>
      <c r="AL13" s="1">
        <v>500</v>
      </c>
      <c r="AM13" s="1">
        <v>273</v>
      </c>
      <c r="AN13" s="39">
        <f t="shared" si="7"/>
        <v>136500</v>
      </c>
    </row>
    <row r="14" spans="3:40" ht="15.75" thickBot="1" x14ac:dyDescent="0.3">
      <c r="W14" s="12"/>
      <c r="X14" s="17"/>
      <c r="Y14" s="17"/>
      <c r="Z14" s="17"/>
      <c r="AA14" s="13"/>
      <c r="AF14" t="s">
        <v>64</v>
      </c>
      <c r="AG14" s="4"/>
      <c r="AL14" s="1">
        <v>1000</v>
      </c>
      <c r="AM14" s="1">
        <v>176</v>
      </c>
      <c r="AN14" s="39">
        <f t="shared" si="7"/>
        <v>176000</v>
      </c>
    </row>
    <row r="15" spans="3:40" s="33" customFormat="1" ht="15.75" thickBot="1" x14ac:dyDescent="0.3">
      <c r="C15" s="127" t="s">
        <v>4</v>
      </c>
      <c r="D15" s="128"/>
      <c r="E15" s="7">
        <v>74663</v>
      </c>
      <c r="G15" s="127" t="s">
        <v>4</v>
      </c>
      <c r="H15" s="128"/>
      <c r="I15" s="7">
        <v>114948</v>
      </c>
      <c r="K15" s="127" t="s">
        <v>4</v>
      </c>
      <c r="L15" s="128"/>
      <c r="M15" s="7">
        <v>85708</v>
      </c>
      <c r="O15" s="127" t="s">
        <v>4</v>
      </c>
      <c r="P15" s="128"/>
      <c r="Q15" s="7">
        <v>78693</v>
      </c>
      <c r="S15" s="127" t="s">
        <v>4</v>
      </c>
      <c r="T15" s="128"/>
      <c r="U15" s="7">
        <v>270362</v>
      </c>
      <c r="W15" s="34"/>
      <c r="X15" s="127" t="s">
        <v>4</v>
      </c>
      <c r="Y15" s="128"/>
      <c r="Z15" s="7">
        <f>+E15+I15+M15+Q15+U15</f>
        <v>624374</v>
      </c>
      <c r="AA15" s="35"/>
      <c r="AF15" t="s">
        <v>72</v>
      </c>
      <c r="AG15" s="4"/>
      <c r="AH15"/>
      <c r="AI15"/>
      <c r="AJ15"/>
      <c r="AK15"/>
      <c r="AL15" s="1">
        <v>5000</v>
      </c>
      <c r="AM15" s="1">
        <v>24</v>
      </c>
      <c r="AN15" s="39">
        <f t="shared" si="7"/>
        <v>120000</v>
      </c>
    </row>
    <row r="16" spans="3:40" ht="15.75" thickBot="1" x14ac:dyDescent="0.3">
      <c r="C16" t="s">
        <v>5</v>
      </c>
      <c r="E16" s="4">
        <v>54560</v>
      </c>
      <c r="G16" t="s">
        <v>5</v>
      </c>
      <c r="I16" s="4">
        <f>+I13</f>
        <v>99530</v>
      </c>
      <c r="K16" t="s">
        <v>5</v>
      </c>
      <c r="M16" s="4">
        <v>72150</v>
      </c>
      <c r="O16" t="s">
        <v>5</v>
      </c>
      <c r="Q16" s="4">
        <f>+Q13</f>
        <v>78310</v>
      </c>
      <c r="S16" t="s">
        <v>5</v>
      </c>
      <c r="U16" s="4">
        <v>22600</v>
      </c>
      <c r="W16" s="12"/>
      <c r="X16" s="43" t="s">
        <v>5</v>
      </c>
      <c r="Y16" s="43"/>
      <c r="Z16" s="40">
        <f>+E16+I16+M16+Q16+U16</f>
        <v>327150</v>
      </c>
      <c r="AA16" s="13"/>
      <c r="AF16" s="54" t="s">
        <v>10</v>
      </c>
      <c r="AG16" s="55">
        <f>+SUM(AG11:AG15)</f>
        <v>495250</v>
      </c>
      <c r="AH16" s="22">
        <f>AG16-AA13</f>
        <v>495250</v>
      </c>
      <c r="AL16" s="2" t="s">
        <v>3</v>
      </c>
      <c r="AM16" s="2"/>
      <c r="AN16" s="5">
        <f>+SUM(AN8:AN15)</f>
        <v>495250</v>
      </c>
    </row>
    <row r="17" spans="3:39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F17" s="56" t="s">
        <v>66</v>
      </c>
      <c r="AG17" s="57">
        <f>+AG16-AG8</f>
        <v>-4</v>
      </c>
      <c r="AH17" t="s">
        <v>67</v>
      </c>
    </row>
    <row r="18" spans="3:39" x14ac:dyDescent="0.25">
      <c r="C18" t="s">
        <v>142</v>
      </c>
      <c r="D18" t="s">
        <v>144</v>
      </c>
      <c r="E18" s="4">
        <v>12140</v>
      </c>
      <c r="G18" s="60" t="s">
        <v>149</v>
      </c>
      <c r="H18" s="60" t="s">
        <v>170</v>
      </c>
      <c r="I18" s="82">
        <v>15421</v>
      </c>
      <c r="K18" t="s">
        <v>138</v>
      </c>
      <c r="L18" t="s">
        <v>148</v>
      </c>
      <c r="M18" s="4">
        <v>7500</v>
      </c>
      <c r="O18" t="s">
        <v>7</v>
      </c>
      <c r="Q18" s="4"/>
      <c r="S18" t="s">
        <v>38</v>
      </c>
      <c r="T18" t="s">
        <v>160</v>
      </c>
      <c r="U18" s="4">
        <v>9577</v>
      </c>
      <c r="W18" s="12"/>
      <c r="X18" s="43" t="s">
        <v>7</v>
      </c>
      <c r="Y18" s="43"/>
      <c r="Z18" s="40">
        <f t="shared" si="8"/>
        <v>44638</v>
      </c>
      <c r="AA18" s="13"/>
    </row>
    <row r="19" spans="3:39" x14ac:dyDescent="0.25">
      <c r="C19" t="s">
        <v>143</v>
      </c>
      <c r="D19" t="s">
        <v>145</v>
      </c>
      <c r="E19" s="4">
        <v>7984</v>
      </c>
      <c r="G19" t="s">
        <v>8</v>
      </c>
      <c r="I19" s="4"/>
      <c r="K19" t="s">
        <v>38</v>
      </c>
      <c r="L19" t="s">
        <v>175</v>
      </c>
      <c r="M19" s="4">
        <v>6183</v>
      </c>
      <c r="O19" t="s">
        <v>8</v>
      </c>
      <c r="Q19" s="4"/>
      <c r="S19" t="s">
        <v>161</v>
      </c>
      <c r="T19" t="s">
        <v>162</v>
      </c>
      <c r="U19" s="4">
        <v>47575</v>
      </c>
      <c r="W19" s="12"/>
      <c r="X19" s="43" t="s">
        <v>8</v>
      </c>
      <c r="Y19" s="43"/>
      <c r="Z19" s="40">
        <f>+E19+I19+M21+Q19+U19</f>
        <v>55559</v>
      </c>
      <c r="AA19" s="13"/>
    </row>
    <row r="20" spans="3:39" x14ac:dyDescent="0.25">
      <c r="C20" t="s">
        <v>9</v>
      </c>
      <c r="E20" s="4"/>
      <c r="G20" t="s">
        <v>9</v>
      </c>
      <c r="I20" s="4"/>
      <c r="O20" t="s">
        <v>9</v>
      </c>
      <c r="Q20" s="4"/>
      <c r="S20" t="s">
        <v>161</v>
      </c>
      <c r="T20" t="s">
        <v>163</v>
      </c>
      <c r="U20" s="4">
        <v>26500</v>
      </c>
      <c r="W20" s="12"/>
      <c r="X20" s="43" t="s">
        <v>9</v>
      </c>
      <c r="Y20" s="43"/>
      <c r="Z20" s="40">
        <f>+E20+I20+M19+Q20+U20</f>
        <v>32683</v>
      </c>
      <c r="AA20" s="13"/>
      <c r="AC20" s="67" t="s">
        <v>117</v>
      </c>
      <c r="AD20" s="67"/>
      <c r="AE20" s="67"/>
      <c r="AF20" s="33"/>
    </row>
    <row r="21" spans="3:39" x14ac:dyDescent="0.25">
      <c r="E21" s="4"/>
      <c r="I21" s="4"/>
      <c r="M21" s="4"/>
      <c r="Q21" s="4"/>
      <c r="S21" t="s">
        <v>143</v>
      </c>
      <c r="T21" t="s">
        <v>164</v>
      </c>
      <c r="U21" s="4">
        <v>26500</v>
      </c>
      <c r="W21" s="12"/>
      <c r="X21" s="43" t="s">
        <v>171</v>
      </c>
      <c r="Y21" s="43"/>
      <c r="Z21" s="40">
        <f>+E21+I21+M20+Q21+U21</f>
        <v>26500</v>
      </c>
      <c r="AA21" s="13"/>
      <c r="AC21" s="53" t="s">
        <v>114</v>
      </c>
      <c r="AD21" s="53" t="s">
        <v>115</v>
      </c>
      <c r="AE21" s="53" t="s">
        <v>122</v>
      </c>
      <c r="AF21" s="53" t="s">
        <v>116</v>
      </c>
      <c r="AG21" s="53" t="s">
        <v>2</v>
      </c>
      <c r="AM21">
        <v>495250</v>
      </c>
    </row>
    <row r="22" spans="3:39" x14ac:dyDescent="0.25">
      <c r="E22" s="4"/>
      <c r="I22" s="4"/>
      <c r="M22" s="4"/>
      <c r="Q22" s="4"/>
      <c r="S22" t="s">
        <v>165</v>
      </c>
      <c r="T22" t="s">
        <v>166</v>
      </c>
      <c r="U22" s="4">
        <v>11342</v>
      </c>
      <c r="W22" s="12"/>
      <c r="X22" s="43" t="s">
        <v>172</v>
      </c>
      <c r="Y22" s="43"/>
      <c r="Z22" s="40">
        <f t="shared" si="8"/>
        <v>11342</v>
      </c>
      <c r="AA22" s="13"/>
      <c r="AC22" t="s">
        <v>150</v>
      </c>
      <c r="AD22" s="58">
        <v>45968</v>
      </c>
      <c r="AE22" t="s">
        <v>151</v>
      </c>
      <c r="AG22">
        <v>12345</v>
      </c>
      <c r="AH22" t="s">
        <v>152</v>
      </c>
      <c r="AM22">
        <v>295908</v>
      </c>
    </row>
    <row r="23" spans="3:39" x14ac:dyDescent="0.25">
      <c r="E23" s="4"/>
      <c r="I23" s="4"/>
      <c r="M23" s="4"/>
      <c r="Q23" s="4"/>
      <c r="S23" t="s">
        <v>167</v>
      </c>
      <c r="T23" t="s">
        <v>168</v>
      </c>
      <c r="U23" s="4">
        <v>26780</v>
      </c>
      <c r="W23" s="12"/>
      <c r="X23" s="43" t="s">
        <v>173</v>
      </c>
      <c r="Y23" s="43"/>
      <c r="Z23" s="40">
        <f t="shared" si="8"/>
        <v>26780</v>
      </c>
      <c r="AA23" s="13"/>
      <c r="AC23" t="s">
        <v>153</v>
      </c>
      <c r="AD23" s="58">
        <v>45968</v>
      </c>
      <c r="AE23" t="s">
        <v>51</v>
      </c>
      <c r="AG23">
        <v>72520</v>
      </c>
      <c r="AH23" t="s">
        <v>154</v>
      </c>
      <c r="AM23">
        <f>SUM(AM21:AM22)</f>
        <v>791158</v>
      </c>
    </row>
    <row r="24" spans="3:39" x14ac:dyDescent="0.25">
      <c r="E24" s="4"/>
      <c r="I24" s="4"/>
      <c r="M24" s="4"/>
      <c r="Q24" s="4"/>
      <c r="S24" t="s">
        <v>28</v>
      </c>
      <c r="T24" t="s">
        <v>155</v>
      </c>
      <c r="U24" s="4">
        <v>21813</v>
      </c>
      <c r="W24" s="12"/>
      <c r="X24" s="44" t="s">
        <v>28</v>
      </c>
      <c r="Y24" s="43"/>
      <c r="Z24" s="40">
        <f t="shared" si="8"/>
        <v>21813</v>
      </c>
      <c r="AA24" s="13"/>
      <c r="AC24" t="s">
        <v>153</v>
      </c>
      <c r="AD24" s="75">
        <v>45848</v>
      </c>
      <c r="AE24" s="17" t="s">
        <v>30</v>
      </c>
      <c r="AF24" s="17"/>
      <c r="AG24" s="17">
        <v>29762</v>
      </c>
      <c r="AH24" t="s">
        <v>154</v>
      </c>
    </row>
    <row r="25" spans="3:39" x14ac:dyDescent="0.25">
      <c r="E25" s="4"/>
      <c r="I25" s="4"/>
      <c r="M25" s="4"/>
      <c r="Q25" s="4"/>
      <c r="S25" t="s">
        <v>29</v>
      </c>
      <c r="T25" t="s">
        <v>156</v>
      </c>
      <c r="U25" s="4">
        <v>29848</v>
      </c>
      <c r="W25" s="12"/>
      <c r="X25" s="44" t="s">
        <v>29</v>
      </c>
      <c r="Y25" s="43"/>
      <c r="Z25" s="40">
        <f t="shared" si="8"/>
        <v>29848</v>
      </c>
      <c r="AA25" s="13"/>
      <c r="AC25" t="s">
        <v>153</v>
      </c>
      <c r="AD25" s="75">
        <v>45848</v>
      </c>
      <c r="AE25" s="21" t="s">
        <v>27</v>
      </c>
      <c r="AF25" s="17"/>
      <c r="AG25" s="21">
        <v>53477</v>
      </c>
      <c r="AH25" t="s">
        <v>154</v>
      </c>
    </row>
    <row r="26" spans="3:39" x14ac:dyDescent="0.25">
      <c r="E26" s="4"/>
      <c r="I26" s="4"/>
      <c r="M26" s="4"/>
      <c r="Q26" s="4"/>
      <c r="S26" t="s">
        <v>31</v>
      </c>
      <c r="T26" t="s">
        <v>157</v>
      </c>
      <c r="U26" s="4">
        <v>9982</v>
      </c>
      <c r="W26" s="12"/>
      <c r="X26" s="44" t="s">
        <v>31</v>
      </c>
      <c r="Y26" s="43"/>
      <c r="Z26" s="40">
        <f t="shared" si="8"/>
        <v>9982</v>
      </c>
      <c r="AA26" s="13"/>
    </row>
    <row r="27" spans="3:39" ht="15.75" thickBot="1" x14ac:dyDescent="0.3">
      <c r="E27" s="4"/>
      <c r="I27" s="4"/>
      <c r="M27" s="4"/>
      <c r="Q27" s="4"/>
      <c r="S27" t="s">
        <v>52</v>
      </c>
      <c r="T27" t="s">
        <v>30</v>
      </c>
      <c r="U27" s="4">
        <v>29563</v>
      </c>
      <c r="W27" s="12"/>
      <c r="X27" s="43" t="s">
        <v>52</v>
      </c>
      <c r="Y27" s="43"/>
      <c r="Z27" s="40">
        <f t="shared" si="8"/>
        <v>29563</v>
      </c>
      <c r="AA27" s="13"/>
    </row>
    <row r="28" spans="3:39" ht="15.75" thickBot="1" x14ac:dyDescent="0.3">
      <c r="C28" s="129" t="s">
        <v>10</v>
      </c>
      <c r="D28" s="130"/>
      <c r="E28" s="8">
        <f>+SUM(E16:E27)</f>
        <v>74684</v>
      </c>
      <c r="G28" s="129" t="s">
        <v>10</v>
      </c>
      <c r="H28" s="130"/>
      <c r="I28" s="8">
        <f>+SUM(I16:I27)</f>
        <v>114951</v>
      </c>
      <c r="K28" s="129" t="s">
        <v>10</v>
      </c>
      <c r="L28" s="130"/>
      <c r="M28" s="8">
        <f>+SUM(M16:M27)</f>
        <v>85833</v>
      </c>
      <c r="O28" s="129" t="s">
        <v>10</v>
      </c>
      <c r="P28" s="130"/>
      <c r="Q28" s="8">
        <f>+SUM(Q16:Q27)</f>
        <v>78310</v>
      </c>
      <c r="S28" s="129" t="s">
        <v>10</v>
      </c>
      <c r="T28" s="130"/>
      <c r="U28" s="8">
        <f>+SUM(U16:U27)</f>
        <v>262080</v>
      </c>
      <c r="W28" s="12"/>
      <c r="X28" s="129" t="s">
        <v>10</v>
      </c>
      <c r="Y28" s="130"/>
      <c r="Z28" s="8">
        <f>+SUM(Z16:Z27)</f>
        <v>615858</v>
      </c>
      <c r="AA28" s="13"/>
      <c r="AC28" s="74" t="s">
        <v>113</v>
      </c>
      <c r="AD28" s="74"/>
      <c r="AE28" s="74"/>
      <c r="AF28" s="74"/>
      <c r="AG28" s="69">
        <f>+SUM(AG22:AG27)</f>
        <v>168104</v>
      </c>
    </row>
    <row r="29" spans="3:39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9" ht="15.75" thickBot="1" x14ac:dyDescent="0.3">
      <c r="C30" s="131" t="s">
        <v>11</v>
      </c>
      <c r="D30" s="131"/>
      <c r="E30" s="6">
        <f>+E28-E15</f>
        <v>21</v>
      </c>
      <c r="G30" s="131" t="s">
        <v>11</v>
      </c>
      <c r="H30" s="131"/>
      <c r="I30" s="6">
        <f>+I28-I15</f>
        <v>3</v>
      </c>
      <c r="K30" s="131" t="s">
        <v>11</v>
      </c>
      <c r="L30" s="131"/>
      <c r="M30" s="6">
        <f>+M28-M15</f>
        <v>125</v>
      </c>
      <c r="O30" s="131" t="s">
        <v>11</v>
      </c>
      <c r="P30" s="131"/>
      <c r="Q30" s="6">
        <f>+Q28-Q15</f>
        <v>-383</v>
      </c>
      <c r="S30" s="131" t="s">
        <v>11</v>
      </c>
      <c r="T30" s="131"/>
      <c r="U30" s="6">
        <f>+U28-U15</f>
        <v>-8282</v>
      </c>
      <c r="W30" s="12"/>
      <c r="X30" s="134" t="s">
        <v>11</v>
      </c>
      <c r="Y30" s="134"/>
      <c r="Z30" s="45">
        <f>+Z28-Z15</f>
        <v>-8516</v>
      </c>
      <c r="AA30" s="13"/>
    </row>
    <row r="31" spans="3:39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>
        <v>383</v>
      </c>
      <c r="S34" s="9" t="s">
        <v>15</v>
      </c>
      <c r="T34" s="10" t="s">
        <v>159</v>
      </c>
      <c r="U34" s="23">
        <v>6811</v>
      </c>
      <c r="X34" s="46" t="s">
        <v>15</v>
      </c>
      <c r="Y34" s="47"/>
      <c r="Z34" s="48">
        <f>+E34+I34+M34+Q34+U34</f>
        <v>7194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 t="s">
        <v>158</v>
      </c>
      <c r="U35" s="24">
        <v>1495</v>
      </c>
      <c r="X35" s="49" t="s">
        <v>40</v>
      </c>
      <c r="Y35" s="43"/>
      <c r="Z35" s="50">
        <f t="shared" ref="Z35:Z36" si="9">+E35+I35+M35+Q35+U35</f>
        <v>1495</v>
      </c>
    </row>
    <row r="36" spans="3:26" x14ac:dyDescent="0.25">
      <c r="C36" s="12" t="s">
        <v>42</v>
      </c>
      <c r="D36" s="17"/>
      <c r="E36" s="24">
        <v>-21</v>
      </c>
      <c r="G36" s="12" t="s">
        <v>42</v>
      </c>
      <c r="H36" s="17"/>
      <c r="I36" s="24">
        <v>-3</v>
      </c>
      <c r="K36" s="12" t="s">
        <v>23</v>
      </c>
      <c r="L36" s="17"/>
      <c r="M36" s="24"/>
      <c r="O36" s="12" t="s">
        <v>42</v>
      </c>
      <c r="P36" s="17"/>
      <c r="Q36" s="24"/>
      <c r="S36" s="12" t="s">
        <v>40</v>
      </c>
      <c r="T36" s="17"/>
      <c r="U36" s="24"/>
      <c r="X36" s="49" t="s">
        <v>23</v>
      </c>
      <c r="Y36" s="43"/>
      <c r="Z36" s="50">
        <f t="shared" si="9"/>
        <v>-24</v>
      </c>
    </row>
    <row r="37" spans="3:26" x14ac:dyDescent="0.25">
      <c r="C37" s="12" t="s">
        <v>3</v>
      </c>
      <c r="D37" s="17"/>
      <c r="E37" s="24">
        <f>+SUM(E34:E36)</f>
        <v>-21</v>
      </c>
      <c r="G37" s="12" t="s">
        <v>3</v>
      </c>
      <c r="H37" s="17"/>
      <c r="I37" s="24">
        <f>+SUM(I34:I36)</f>
        <v>-3</v>
      </c>
      <c r="K37" s="12" t="s">
        <v>3</v>
      </c>
      <c r="L37" s="17"/>
      <c r="M37" s="24">
        <f>+SUM(M34:M36)</f>
        <v>0</v>
      </c>
      <c r="O37" s="12" t="s">
        <v>3</v>
      </c>
      <c r="P37" s="17"/>
      <c r="Q37" s="24">
        <f>+SUM(Q34:Q36)</f>
        <v>383</v>
      </c>
      <c r="S37" s="12" t="s">
        <v>3</v>
      </c>
      <c r="T37" s="17"/>
      <c r="U37" s="24">
        <f>+SUM(U34:U36)</f>
        <v>8306</v>
      </c>
      <c r="X37" s="36" t="s">
        <v>3</v>
      </c>
      <c r="Y37" s="37"/>
      <c r="Z37" s="38">
        <f>+SUM(Z34:Z36)</f>
        <v>8665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125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24</v>
      </c>
      <c r="X38" s="25" t="s">
        <v>22</v>
      </c>
      <c r="Y38" s="26"/>
      <c r="Z38" s="27">
        <f>+Z30+Z37</f>
        <v>149</v>
      </c>
    </row>
    <row r="40" spans="3:26" x14ac:dyDescent="0.25">
      <c r="Z40" s="22"/>
    </row>
  </sheetData>
  <mergeCells count="25">
    <mergeCell ref="AF4:AJ4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O15:P15"/>
    <mergeCell ref="S15:T15"/>
    <mergeCell ref="X15:Y15"/>
    <mergeCell ref="X3:Z3"/>
    <mergeCell ref="C15:D15"/>
    <mergeCell ref="G15:H15"/>
    <mergeCell ref="K15:L15"/>
    <mergeCell ref="C3:E3"/>
    <mergeCell ref="G3:I3"/>
    <mergeCell ref="K3:M3"/>
    <mergeCell ref="O3:Q3"/>
    <mergeCell ref="S3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40"/>
  <sheetViews>
    <sheetView zoomScale="90" zoomScaleNormal="90" workbookViewId="0">
      <selection activeCell="K4" sqref="K4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0.7109375" customWidth="1"/>
    <col min="9" max="9" width="9.5703125" bestFit="1" customWidth="1"/>
    <col min="10" max="10" width="0.5703125" customWidth="1"/>
    <col min="11" max="12" width="13.5703125" bestFit="1" customWidth="1"/>
    <col min="14" max="14" width="0.7109375" customWidth="1"/>
    <col min="15" max="15" width="13.5703125" bestFit="1" customWidth="1"/>
    <col min="16" max="16" width="13.28515625" bestFit="1" customWidth="1"/>
    <col min="18" max="18" width="0.85546875" customWidth="1"/>
    <col min="19" max="19" width="13.5703125" bestFit="1" customWidth="1"/>
    <col min="20" max="20" width="17.710937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0.140625" bestFit="1" customWidth="1"/>
    <col min="27" max="27" width="1.140625" customWidth="1"/>
    <col min="30" max="30" width="10.42578125" bestFit="1" customWidth="1"/>
    <col min="31" max="31" width="15.140625" bestFit="1" customWidth="1"/>
    <col min="32" max="32" width="13.5703125" bestFit="1" customWidth="1"/>
    <col min="33" max="33" width="10.140625" bestFit="1" customWidth="1"/>
    <col min="34" max="34" width="12" bestFit="1" customWidth="1"/>
    <col min="36" max="36" width="11.85546875" customWidth="1"/>
  </cols>
  <sheetData>
    <row r="1" spans="3:40" ht="15.75" thickBot="1" x14ac:dyDescent="0.3"/>
    <row r="2" spans="3:40" x14ac:dyDescent="0.25">
      <c r="G2" t="s">
        <v>196</v>
      </c>
      <c r="W2" s="9"/>
      <c r="X2" s="10"/>
      <c r="Y2" s="10"/>
      <c r="Z2" s="10"/>
      <c r="AA2" s="11"/>
    </row>
    <row r="3" spans="3:40" x14ac:dyDescent="0.25">
      <c r="C3" s="132" t="s">
        <v>44</v>
      </c>
      <c r="D3" s="132"/>
      <c r="E3" s="132"/>
      <c r="G3" s="132" t="s">
        <v>183</v>
      </c>
      <c r="H3" s="132"/>
      <c r="I3" s="132"/>
      <c r="K3" s="132" t="s">
        <v>525</v>
      </c>
      <c r="L3" s="132"/>
      <c r="M3" s="132"/>
      <c r="O3" s="132" t="s">
        <v>12</v>
      </c>
      <c r="P3" s="132"/>
      <c r="Q3" s="132"/>
      <c r="S3" s="132" t="s">
        <v>24</v>
      </c>
      <c r="T3" s="132"/>
      <c r="U3" s="132"/>
      <c r="W3" s="12"/>
      <c r="X3" s="126" t="s">
        <v>16</v>
      </c>
      <c r="Y3" s="126"/>
      <c r="Z3" s="126"/>
      <c r="AA3" s="13"/>
    </row>
    <row r="4" spans="3:40" ht="15.75" thickBot="1" x14ac:dyDescent="0.3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  <c r="AF4" s="133" t="s">
        <v>56</v>
      </c>
      <c r="AG4" s="133"/>
      <c r="AH4" s="133"/>
      <c r="AI4" s="133"/>
      <c r="AJ4" s="133"/>
      <c r="AK4" s="80"/>
    </row>
    <row r="5" spans="3:40" s="28" customFormat="1" ht="15.75" thickTop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F5"/>
      <c r="AG5"/>
      <c r="AH5"/>
      <c r="AI5"/>
      <c r="AJ5"/>
      <c r="AK5"/>
    </row>
    <row r="6" spans="3:40" x14ac:dyDescent="0.25">
      <c r="C6" s="1">
        <v>10</v>
      </c>
      <c r="D6" s="1">
        <v>123</v>
      </c>
      <c r="E6" s="39">
        <f>+D6*C6</f>
        <v>1230</v>
      </c>
      <c r="G6" s="1">
        <v>10</v>
      </c>
      <c r="H6" s="1"/>
      <c r="I6" s="39">
        <f>+H6*G6</f>
        <v>0</v>
      </c>
      <c r="K6" s="1">
        <v>10</v>
      </c>
      <c r="L6" s="1">
        <v>128</v>
      </c>
      <c r="M6" s="39">
        <f>+L6*K6</f>
        <v>1280</v>
      </c>
      <c r="O6" s="1">
        <v>10</v>
      </c>
      <c r="P6" s="1">
        <v>21</v>
      </c>
      <c r="Q6" s="39">
        <f>+P6*O6</f>
        <v>210</v>
      </c>
      <c r="S6" s="1">
        <v>10</v>
      </c>
      <c r="T6" s="1">
        <v>1</v>
      </c>
      <c r="U6" s="39">
        <f>+T6*S6</f>
        <v>10</v>
      </c>
      <c r="W6" s="12"/>
      <c r="X6" s="42">
        <v>10</v>
      </c>
      <c r="Y6" s="42">
        <f>+D6+H6+L6+P6+T6</f>
        <v>273</v>
      </c>
      <c r="Z6" s="40">
        <f>+E6+I6+M6+Q6+U6</f>
        <v>2730</v>
      </c>
      <c r="AA6" s="13"/>
      <c r="AF6" s="70" t="s">
        <v>5</v>
      </c>
      <c r="AG6" s="71">
        <f>+Z13</f>
        <v>222460</v>
      </c>
      <c r="AH6" s="28"/>
      <c r="AI6" s="28"/>
      <c r="AJ6" s="28"/>
      <c r="AK6" s="28"/>
    </row>
    <row r="7" spans="3:40" x14ac:dyDescent="0.25">
      <c r="C7" s="1">
        <v>20</v>
      </c>
      <c r="D7" s="1">
        <v>12</v>
      </c>
      <c r="E7" s="39">
        <f t="shared" ref="E7:E12" si="0">+D7*C7</f>
        <v>240</v>
      </c>
      <c r="G7" s="1">
        <v>20</v>
      </c>
      <c r="H7" s="1"/>
      <c r="I7" s="39">
        <f t="shared" ref="I7:I12" si="1">+H7*G7</f>
        <v>0</v>
      </c>
      <c r="K7" s="1">
        <v>20</v>
      </c>
      <c r="L7" s="1">
        <v>21</v>
      </c>
      <c r="M7" s="39">
        <f t="shared" ref="M7:M12" si="2">+L7*K7</f>
        <v>420</v>
      </c>
      <c r="O7" s="1">
        <v>20</v>
      </c>
      <c r="P7" s="1"/>
      <c r="Q7" s="39">
        <f t="shared" ref="Q7:Q12" si="3">+P7*O7</f>
        <v>0</v>
      </c>
      <c r="S7" s="1">
        <v>20</v>
      </c>
      <c r="T7" s="1">
        <v>1</v>
      </c>
      <c r="U7" s="39">
        <f t="shared" ref="U7:U12" si="4">+T7*S7</f>
        <v>20</v>
      </c>
      <c r="W7" s="12"/>
      <c r="X7" s="42">
        <v>20</v>
      </c>
      <c r="Y7" s="42">
        <f>+D7+H7+L7+P7+T7</f>
        <v>34</v>
      </c>
      <c r="Z7" s="40">
        <f t="shared" ref="Z7:Z12" si="5">+E7+I7+M7+Q7+U7</f>
        <v>680</v>
      </c>
      <c r="AA7" s="13"/>
      <c r="AF7" s="66" t="s">
        <v>120</v>
      </c>
      <c r="AG7" s="66">
        <f>+AG28</f>
        <v>0</v>
      </c>
      <c r="AL7" s="3" t="s">
        <v>0</v>
      </c>
      <c r="AM7" s="3" t="s">
        <v>1</v>
      </c>
      <c r="AN7" s="3" t="s">
        <v>2</v>
      </c>
    </row>
    <row r="8" spans="3:40" ht="15.75" thickBot="1" x14ac:dyDescent="0.3">
      <c r="C8" s="1">
        <v>50</v>
      </c>
      <c r="D8" s="1">
        <v>42</v>
      </c>
      <c r="E8" s="39">
        <f t="shared" si="0"/>
        <v>2100</v>
      </c>
      <c r="G8" s="1">
        <v>50</v>
      </c>
      <c r="H8" s="1"/>
      <c r="I8" s="39">
        <f t="shared" si="1"/>
        <v>0</v>
      </c>
      <c r="K8" s="1">
        <v>50</v>
      </c>
      <c r="L8" s="1">
        <v>89</v>
      </c>
      <c r="M8" s="39">
        <f t="shared" si="2"/>
        <v>4450</v>
      </c>
      <c r="O8" s="1">
        <v>50</v>
      </c>
      <c r="P8" s="1">
        <v>31</v>
      </c>
      <c r="Q8" s="39">
        <f t="shared" si="3"/>
        <v>1550</v>
      </c>
      <c r="S8" s="1">
        <v>50</v>
      </c>
      <c r="T8" s="1">
        <v>5</v>
      </c>
      <c r="U8" s="39">
        <f t="shared" si="4"/>
        <v>250</v>
      </c>
      <c r="W8" s="12"/>
      <c r="X8" s="42">
        <v>50</v>
      </c>
      <c r="Y8" s="42">
        <f t="shared" ref="Y8:Y12" si="6">+D8+H8+L8+P8+T8</f>
        <v>167</v>
      </c>
      <c r="Z8" s="40">
        <f t="shared" si="5"/>
        <v>8350</v>
      </c>
      <c r="AA8" s="13"/>
      <c r="AF8" s="72" t="s">
        <v>10</v>
      </c>
      <c r="AG8" s="73">
        <f>SUM(AG6:AG7)</f>
        <v>222460</v>
      </c>
      <c r="AL8" s="31">
        <v>1</v>
      </c>
      <c r="AM8" s="31"/>
      <c r="AN8" s="39">
        <f>+AM8*AL8</f>
        <v>0</v>
      </c>
    </row>
    <row r="9" spans="3:40" x14ac:dyDescent="0.25">
      <c r="C9" s="1">
        <v>100</v>
      </c>
      <c r="D9" s="1">
        <v>16</v>
      </c>
      <c r="E9" s="39">
        <f t="shared" si="0"/>
        <v>1600</v>
      </c>
      <c r="G9" s="1">
        <v>100</v>
      </c>
      <c r="H9" s="1"/>
      <c r="I9" s="39">
        <f t="shared" si="1"/>
        <v>0</v>
      </c>
      <c r="K9" s="1">
        <v>100</v>
      </c>
      <c r="L9" s="1">
        <v>32</v>
      </c>
      <c r="M9" s="39">
        <f t="shared" si="2"/>
        <v>3200</v>
      </c>
      <c r="O9" s="1">
        <v>100</v>
      </c>
      <c r="P9" s="1">
        <v>45</v>
      </c>
      <c r="Q9" s="39">
        <f t="shared" si="3"/>
        <v>4500</v>
      </c>
      <c r="S9" s="1">
        <v>100</v>
      </c>
      <c r="T9" s="1">
        <v>9</v>
      </c>
      <c r="U9" s="39">
        <f t="shared" si="4"/>
        <v>900</v>
      </c>
      <c r="W9" s="12"/>
      <c r="X9" s="42">
        <v>100</v>
      </c>
      <c r="Y9" s="42">
        <f t="shared" si="6"/>
        <v>102</v>
      </c>
      <c r="Z9" s="40">
        <f t="shared" si="5"/>
        <v>10200</v>
      </c>
      <c r="AA9" s="13"/>
      <c r="AL9" s="1">
        <v>10</v>
      </c>
      <c r="AM9" s="1">
        <v>21</v>
      </c>
      <c r="AN9" s="39">
        <f>+AM9*AL9</f>
        <v>210</v>
      </c>
    </row>
    <row r="10" spans="3:40" x14ac:dyDescent="0.25">
      <c r="C10" s="1">
        <v>500</v>
      </c>
      <c r="D10" s="1">
        <v>29</v>
      </c>
      <c r="E10" s="39">
        <f t="shared" si="0"/>
        <v>14500</v>
      </c>
      <c r="G10" s="1">
        <v>500</v>
      </c>
      <c r="H10" s="1"/>
      <c r="I10" s="39">
        <f t="shared" si="1"/>
        <v>0</v>
      </c>
      <c r="K10" s="1">
        <v>500</v>
      </c>
      <c r="L10" s="1">
        <v>36</v>
      </c>
      <c r="M10" s="39">
        <f t="shared" si="2"/>
        <v>18000</v>
      </c>
      <c r="O10" s="1">
        <v>500</v>
      </c>
      <c r="P10" s="1">
        <v>30</v>
      </c>
      <c r="Q10" s="39">
        <f t="shared" si="3"/>
        <v>15000</v>
      </c>
      <c r="S10" s="1">
        <v>500</v>
      </c>
      <c r="T10" s="1">
        <v>2</v>
      </c>
      <c r="U10" s="39">
        <f t="shared" si="4"/>
        <v>1000</v>
      </c>
      <c r="W10" s="12"/>
      <c r="X10" s="42">
        <v>500</v>
      </c>
      <c r="Y10" s="42">
        <f t="shared" si="6"/>
        <v>97</v>
      </c>
      <c r="Z10" s="40">
        <f t="shared" si="5"/>
        <v>48500</v>
      </c>
      <c r="AA10" s="13"/>
      <c r="AF10" s="53" t="s">
        <v>57</v>
      </c>
      <c r="AG10" s="53" t="s">
        <v>2</v>
      </c>
      <c r="AH10" s="53" t="s">
        <v>58</v>
      </c>
      <c r="AI10" s="53" t="s">
        <v>59</v>
      </c>
      <c r="AJ10" s="53" t="s">
        <v>60</v>
      </c>
      <c r="AK10" s="53"/>
      <c r="AL10" s="1">
        <v>20</v>
      </c>
      <c r="AM10" s="1">
        <v>46</v>
      </c>
      <c r="AN10" s="39">
        <f t="shared" ref="AN10:AN15" si="7">+AM10*AL10</f>
        <v>920</v>
      </c>
    </row>
    <row r="11" spans="3:40" x14ac:dyDescent="0.25">
      <c r="C11" s="1">
        <v>1000</v>
      </c>
      <c r="D11" s="1">
        <v>11</v>
      </c>
      <c r="E11" s="39">
        <f t="shared" si="0"/>
        <v>11000</v>
      </c>
      <c r="G11" s="1">
        <v>1000</v>
      </c>
      <c r="H11" s="1"/>
      <c r="I11" s="39">
        <f t="shared" si="1"/>
        <v>0</v>
      </c>
      <c r="K11" s="1">
        <v>1000</v>
      </c>
      <c r="L11" s="1">
        <v>47</v>
      </c>
      <c r="M11" s="39">
        <f t="shared" si="2"/>
        <v>47000</v>
      </c>
      <c r="O11" s="1">
        <v>1000</v>
      </c>
      <c r="P11" s="1">
        <v>37</v>
      </c>
      <c r="Q11" s="39">
        <f t="shared" si="3"/>
        <v>37000</v>
      </c>
      <c r="S11" s="1">
        <v>1000</v>
      </c>
      <c r="T11" s="1">
        <v>22</v>
      </c>
      <c r="U11" s="39">
        <f t="shared" si="4"/>
        <v>22000</v>
      </c>
      <c r="W11" s="12"/>
      <c r="X11" s="42">
        <v>1000</v>
      </c>
      <c r="Y11" s="42">
        <f t="shared" si="6"/>
        <v>117</v>
      </c>
      <c r="Z11" s="40">
        <f t="shared" si="5"/>
        <v>117000</v>
      </c>
      <c r="AA11" s="13"/>
      <c r="AF11" t="s">
        <v>6</v>
      </c>
      <c r="AG11" s="4">
        <v>219700</v>
      </c>
      <c r="AH11">
        <v>115</v>
      </c>
      <c r="AI11" s="58" t="s">
        <v>201</v>
      </c>
      <c r="AJ11" t="s">
        <v>199</v>
      </c>
      <c r="AL11" s="1">
        <v>50</v>
      </c>
      <c r="AM11" s="1">
        <v>301</v>
      </c>
      <c r="AN11" s="39">
        <f t="shared" si="7"/>
        <v>15050</v>
      </c>
    </row>
    <row r="12" spans="3:40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/>
      <c r="I12" s="39">
        <f t="shared" si="1"/>
        <v>0</v>
      </c>
      <c r="K12" s="1">
        <v>5000</v>
      </c>
      <c r="L12" s="1">
        <v>2</v>
      </c>
      <c r="M12" s="39">
        <f t="shared" si="2"/>
        <v>10000</v>
      </c>
      <c r="O12" s="1">
        <v>5000</v>
      </c>
      <c r="P12" s="1">
        <v>2</v>
      </c>
      <c r="Q12" s="39">
        <f t="shared" si="3"/>
        <v>10000</v>
      </c>
      <c r="S12" s="1">
        <v>5000</v>
      </c>
      <c r="T12" s="1">
        <v>2</v>
      </c>
      <c r="U12" s="39">
        <f t="shared" si="4"/>
        <v>10000</v>
      </c>
      <c r="W12" s="12"/>
      <c r="X12" s="42">
        <v>5000</v>
      </c>
      <c r="Y12" s="42">
        <f t="shared" si="6"/>
        <v>7</v>
      </c>
      <c r="Z12" s="40">
        <f t="shared" si="5"/>
        <v>35000</v>
      </c>
      <c r="AA12" s="13"/>
      <c r="AF12" t="s">
        <v>62</v>
      </c>
      <c r="AG12" s="4">
        <v>2760</v>
      </c>
      <c r="AL12" s="1">
        <v>100</v>
      </c>
      <c r="AM12" s="1">
        <v>108</v>
      </c>
      <c r="AN12" s="39">
        <f t="shared" si="7"/>
        <v>10800</v>
      </c>
    </row>
    <row r="13" spans="3:40" ht="15.75" thickBot="1" x14ac:dyDescent="0.3">
      <c r="C13" s="2" t="s">
        <v>3</v>
      </c>
      <c r="D13" s="2"/>
      <c r="E13" s="5">
        <f>+SUM(E5:E12)</f>
        <v>35670</v>
      </c>
      <c r="G13" s="2" t="s">
        <v>3</v>
      </c>
      <c r="H13" s="2"/>
      <c r="I13" s="5">
        <f>+SUM(I5:I12)</f>
        <v>0</v>
      </c>
      <c r="K13" s="2" t="s">
        <v>3</v>
      </c>
      <c r="L13" s="2"/>
      <c r="M13" s="5">
        <f>+SUM(M5:M12)</f>
        <v>84350</v>
      </c>
      <c r="O13" s="2" t="s">
        <v>3</v>
      </c>
      <c r="P13" s="2"/>
      <c r="Q13" s="5">
        <f>+SUM(Q5:Q12)</f>
        <v>68260</v>
      </c>
      <c r="S13" s="2" t="s">
        <v>3</v>
      </c>
      <c r="T13" s="2"/>
      <c r="U13" s="5">
        <f>+SUM(U5:U12)</f>
        <v>34180</v>
      </c>
      <c r="W13" s="12"/>
      <c r="X13" s="2" t="s">
        <v>3</v>
      </c>
      <c r="Y13" s="2"/>
      <c r="Z13" s="5">
        <f>+SUM(Z5:Z12)</f>
        <v>222460</v>
      </c>
      <c r="AA13" s="13"/>
      <c r="AF13" t="s">
        <v>63</v>
      </c>
      <c r="AG13" s="4"/>
      <c r="AL13" s="1">
        <v>500</v>
      </c>
      <c r="AM13" s="1">
        <v>97</v>
      </c>
      <c r="AN13" s="39">
        <f t="shared" si="7"/>
        <v>48500</v>
      </c>
    </row>
    <row r="14" spans="3:40" ht="15.75" thickBot="1" x14ac:dyDescent="0.3">
      <c r="W14" s="12"/>
      <c r="X14" s="17"/>
      <c r="Y14" s="17"/>
      <c r="Z14" s="17"/>
      <c r="AA14" s="13"/>
      <c r="AF14" t="s">
        <v>64</v>
      </c>
      <c r="AG14" s="4"/>
      <c r="AL14" s="1">
        <v>1000</v>
      </c>
      <c r="AM14" s="1">
        <v>117</v>
      </c>
      <c r="AN14" s="39">
        <f t="shared" si="7"/>
        <v>117000</v>
      </c>
    </row>
    <row r="15" spans="3:40" s="33" customFormat="1" ht="15.75" thickBot="1" x14ac:dyDescent="0.3">
      <c r="C15" s="127" t="s">
        <v>4</v>
      </c>
      <c r="D15" s="128"/>
      <c r="E15" s="7">
        <v>66574</v>
      </c>
      <c r="G15" s="127" t="s">
        <v>4</v>
      </c>
      <c r="H15" s="128"/>
      <c r="I15" s="7"/>
      <c r="K15" s="127" t="s">
        <v>4</v>
      </c>
      <c r="L15" s="128"/>
      <c r="M15" s="7">
        <v>134724</v>
      </c>
      <c r="O15" s="127" t="s">
        <v>4</v>
      </c>
      <c r="P15" s="128"/>
      <c r="Q15" s="7">
        <v>101729</v>
      </c>
      <c r="S15" s="127" t="s">
        <v>4</v>
      </c>
      <c r="T15" s="128"/>
      <c r="U15" s="7">
        <v>308351</v>
      </c>
      <c r="W15" s="34"/>
      <c r="X15" s="127" t="s">
        <v>4</v>
      </c>
      <c r="Y15" s="128"/>
      <c r="Z15" s="7">
        <f>+E15+I15+M15+Q15+U15</f>
        <v>611378</v>
      </c>
      <c r="AA15" s="35"/>
      <c r="AF15" t="s">
        <v>72</v>
      </c>
      <c r="AG15" s="4"/>
      <c r="AH15"/>
      <c r="AI15"/>
      <c r="AJ15"/>
      <c r="AK15"/>
      <c r="AL15" s="1">
        <v>5000</v>
      </c>
      <c r="AM15" s="1">
        <v>6</v>
      </c>
      <c r="AN15" s="39">
        <f t="shared" si="7"/>
        <v>30000</v>
      </c>
    </row>
    <row r="16" spans="3:40" ht="15.75" thickBot="1" x14ac:dyDescent="0.3">
      <c r="C16" t="s">
        <v>5</v>
      </c>
      <c r="E16" s="4">
        <v>35670</v>
      </c>
      <c r="G16" t="s">
        <v>5</v>
      </c>
      <c r="I16" s="4">
        <f>+I13</f>
        <v>0</v>
      </c>
      <c r="K16" t="s">
        <v>5</v>
      </c>
      <c r="M16" s="4">
        <v>84350</v>
      </c>
      <c r="O16" t="s">
        <v>5</v>
      </c>
      <c r="Q16" s="4">
        <f>+Q13</f>
        <v>68260</v>
      </c>
      <c r="S16" t="s">
        <v>5</v>
      </c>
      <c r="U16" s="4">
        <v>34180</v>
      </c>
      <c r="W16" s="12"/>
      <c r="X16" s="43" t="s">
        <v>5</v>
      </c>
      <c r="Y16" s="43"/>
      <c r="Z16" s="40">
        <f>+E16+I16+M16+Q16+U16</f>
        <v>222460</v>
      </c>
      <c r="AA16" s="13"/>
      <c r="AF16" s="54" t="s">
        <v>10</v>
      </c>
      <c r="AG16" s="55">
        <f>+SUM(AG11:AG15)</f>
        <v>222460</v>
      </c>
      <c r="AH16" s="22"/>
      <c r="AL16" s="2" t="s">
        <v>3</v>
      </c>
      <c r="AM16" s="2"/>
      <c r="AN16" s="5">
        <f>+SUM(AN8:AN15)</f>
        <v>222480</v>
      </c>
    </row>
    <row r="17" spans="3:34" x14ac:dyDescent="0.25">
      <c r="C17" t="s">
        <v>197</v>
      </c>
      <c r="E17" s="4">
        <v>5420</v>
      </c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5420</v>
      </c>
      <c r="AA17" s="13"/>
      <c r="AF17" s="56" t="s">
        <v>66</v>
      </c>
      <c r="AG17" s="57">
        <f>+AG16-AG8</f>
        <v>0</v>
      </c>
      <c r="AH17" t="s">
        <v>67</v>
      </c>
    </row>
    <row r="18" spans="3:34" x14ac:dyDescent="0.25">
      <c r="C18" t="s">
        <v>178</v>
      </c>
      <c r="D18" t="s">
        <v>179</v>
      </c>
      <c r="E18" s="4">
        <v>5673</v>
      </c>
      <c r="G18" t="s">
        <v>7</v>
      </c>
      <c r="I18" s="4"/>
      <c r="K18" t="s">
        <v>137</v>
      </c>
      <c r="L18" t="s">
        <v>191</v>
      </c>
      <c r="M18" s="4">
        <v>18013</v>
      </c>
      <c r="O18" t="s">
        <v>137</v>
      </c>
      <c r="P18" t="s">
        <v>176</v>
      </c>
      <c r="Q18" s="4">
        <v>18600</v>
      </c>
      <c r="S18" t="s">
        <v>181</v>
      </c>
      <c r="T18" t="s">
        <v>190</v>
      </c>
      <c r="U18" s="4">
        <v>7700</v>
      </c>
      <c r="W18" s="12"/>
      <c r="X18" s="43" t="s">
        <v>7</v>
      </c>
      <c r="Y18" s="43"/>
      <c r="Z18" s="40">
        <f t="shared" si="8"/>
        <v>49986</v>
      </c>
      <c r="AA18" s="13"/>
    </row>
    <row r="19" spans="3:34" x14ac:dyDescent="0.25">
      <c r="C19" t="s">
        <v>178</v>
      </c>
      <c r="D19" t="s">
        <v>180</v>
      </c>
      <c r="E19" s="4">
        <v>6245</v>
      </c>
      <c r="G19" t="s">
        <v>8</v>
      </c>
      <c r="I19" s="4"/>
      <c r="K19" t="s">
        <v>137</v>
      </c>
      <c r="L19" t="s">
        <v>192</v>
      </c>
      <c r="M19" s="4">
        <v>15000</v>
      </c>
      <c r="O19" t="s">
        <v>137</v>
      </c>
      <c r="P19" t="s">
        <v>202</v>
      </c>
      <c r="Q19" s="4">
        <v>7207</v>
      </c>
      <c r="S19" t="s">
        <v>299</v>
      </c>
      <c r="T19" t="s">
        <v>300</v>
      </c>
      <c r="U19" s="4">
        <v>27900</v>
      </c>
      <c r="W19" s="12"/>
      <c r="X19" s="43" t="s">
        <v>8</v>
      </c>
      <c r="Y19" s="43"/>
      <c r="Z19" s="40">
        <f t="shared" si="8"/>
        <v>56352</v>
      </c>
      <c r="AA19" s="13"/>
    </row>
    <row r="20" spans="3:34" x14ac:dyDescent="0.25">
      <c r="C20" t="s">
        <v>181</v>
      </c>
      <c r="D20" t="s">
        <v>182</v>
      </c>
      <c r="E20" s="4">
        <v>13570</v>
      </c>
      <c r="G20" t="s">
        <v>9</v>
      </c>
      <c r="I20" s="4"/>
      <c r="K20" t="s">
        <v>165</v>
      </c>
      <c r="L20" t="s">
        <v>193</v>
      </c>
      <c r="M20" s="4">
        <v>4790</v>
      </c>
      <c r="O20" t="s">
        <v>137</v>
      </c>
      <c r="P20" t="s">
        <v>249</v>
      </c>
      <c r="Q20" s="4">
        <v>7664</v>
      </c>
      <c r="S20" t="s">
        <v>301</v>
      </c>
      <c r="T20" t="s">
        <v>303</v>
      </c>
      <c r="U20" s="4">
        <v>27840</v>
      </c>
      <c r="W20" s="12"/>
      <c r="X20" s="43" t="s">
        <v>9</v>
      </c>
      <c r="Y20" s="43"/>
      <c r="Z20" s="40">
        <f t="shared" si="8"/>
        <v>53864</v>
      </c>
      <c r="AA20" s="13"/>
      <c r="AC20" s="67" t="s">
        <v>117</v>
      </c>
      <c r="AD20" s="67"/>
      <c r="AE20" s="67"/>
      <c r="AF20" s="33"/>
    </row>
    <row r="21" spans="3:34" x14ac:dyDescent="0.25">
      <c r="E21" s="4"/>
      <c r="I21" s="4"/>
      <c r="K21" t="s">
        <v>138</v>
      </c>
      <c r="L21" t="s">
        <v>194</v>
      </c>
      <c r="M21" s="4">
        <v>5000</v>
      </c>
      <c r="O21" t="s">
        <v>177</v>
      </c>
      <c r="Q21" s="4"/>
      <c r="S21" t="s">
        <v>302</v>
      </c>
      <c r="T21" t="s">
        <v>304</v>
      </c>
      <c r="U21" s="4">
        <v>27900</v>
      </c>
      <c r="W21" s="12"/>
      <c r="X21" s="43"/>
      <c r="Y21" s="43"/>
      <c r="Z21" s="40">
        <f t="shared" si="8"/>
        <v>32900</v>
      </c>
      <c r="AA21" s="13"/>
      <c r="AC21" s="53" t="s">
        <v>114</v>
      </c>
      <c r="AD21" s="53" t="s">
        <v>115</v>
      </c>
      <c r="AE21" s="53" t="s">
        <v>122</v>
      </c>
      <c r="AF21" s="53" t="s">
        <v>116</v>
      </c>
      <c r="AG21" s="53" t="s">
        <v>2</v>
      </c>
    </row>
    <row r="22" spans="3:34" x14ac:dyDescent="0.25">
      <c r="E22" s="4"/>
      <c r="I22" s="4"/>
      <c r="K22" t="s">
        <v>45</v>
      </c>
      <c r="L22" t="s">
        <v>195</v>
      </c>
      <c r="M22" s="4">
        <v>7600</v>
      </c>
      <c r="Q22" s="4"/>
      <c r="S22" t="s">
        <v>43</v>
      </c>
      <c r="U22" s="4"/>
      <c r="W22" s="12"/>
      <c r="X22" s="43"/>
      <c r="Y22" s="43"/>
      <c r="Z22" s="40">
        <f t="shared" si="8"/>
        <v>7600</v>
      </c>
      <c r="AA22" s="13"/>
      <c r="AD22" s="58"/>
    </row>
    <row r="23" spans="3:34" x14ac:dyDescent="0.25">
      <c r="E23" s="4"/>
      <c r="I23" s="4"/>
      <c r="M23" s="4"/>
      <c r="Q23" s="4"/>
      <c r="S23" t="s">
        <v>184</v>
      </c>
      <c r="T23" t="s">
        <v>185</v>
      </c>
      <c r="U23" s="4">
        <v>60795</v>
      </c>
      <c r="W23" s="12"/>
      <c r="X23" s="44" t="s">
        <v>28</v>
      </c>
      <c r="Y23" s="43"/>
      <c r="Z23" s="40">
        <f t="shared" si="8"/>
        <v>60795</v>
      </c>
      <c r="AA23" s="13"/>
      <c r="AD23" s="58"/>
    </row>
    <row r="24" spans="3:34" x14ac:dyDescent="0.25">
      <c r="E24" s="4"/>
      <c r="I24" s="4"/>
      <c r="M24" s="4"/>
      <c r="P24" s="79"/>
      <c r="Q24" s="4"/>
      <c r="S24" t="s">
        <v>186</v>
      </c>
      <c r="T24" t="s">
        <v>50</v>
      </c>
      <c r="U24" s="4">
        <v>49831</v>
      </c>
      <c r="W24" s="12"/>
      <c r="X24" s="44" t="s">
        <v>29</v>
      </c>
      <c r="Y24" s="43"/>
      <c r="Z24" s="40">
        <f t="shared" si="8"/>
        <v>49831</v>
      </c>
      <c r="AA24" s="13"/>
      <c r="AD24" s="75"/>
      <c r="AE24" s="17"/>
      <c r="AF24" s="17"/>
      <c r="AG24" s="17"/>
    </row>
    <row r="25" spans="3:34" x14ac:dyDescent="0.25">
      <c r="E25" s="4"/>
      <c r="I25" s="4"/>
      <c r="M25" s="4"/>
      <c r="Q25" s="4"/>
      <c r="S25" t="s">
        <v>187</v>
      </c>
      <c r="T25" t="s">
        <v>188</v>
      </c>
      <c r="U25" s="4">
        <v>3613</v>
      </c>
      <c r="W25" s="12"/>
      <c r="X25" s="44" t="s">
        <v>31</v>
      </c>
      <c r="Y25" s="43"/>
      <c r="Z25" s="40">
        <f t="shared" si="8"/>
        <v>3613</v>
      </c>
      <c r="AA25" s="13"/>
      <c r="AD25" s="75"/>
      <c r="AE25" s="21"/>
      <c r="AF25" s="17"/>
      <c r="AG25" s="21"/>
    </row>
    <row r="26" spans="3:34" x14ac:dyDescent="0.25">
      <c r="E26" s="4"/>
      <c r="I26" s="4"/>
      <c r="M26" s="4"/>
      <c r="Q26" s="4"/>
      <c r="S26" t="s">
        <v>189</v>
      </c>
      <c r="T26" t="s">
        <v>51</v>
      </c>
      <c r="U26" s="4">
        <v>68588</v>
      </c>
      <c r="W26" s="12"/>
      <c r="X26" s="43"/>
      <c r="Y26" s="43"/>
      <c r="Z26" s="40">
        <f t="shared" si="8"/>
        <v>68588</v>
      </c>
      <c r="AA26" s="13"/>
    </row>
    <row r="27" spans="3:34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34" ht="15.75" thickBot="1" x14ac:dyDescent="0.3">
      <c r="C28" s="129" t="s">
        <v>10</v>
      </c>
      <c r="D28" s="130"/>
      <c r="E28" s="8">
        <f>+SUM(E16:E27)</f>
        <v>66578</v>
      </c>
      <c r="G28" s="129" t="s">
        <v>10</v>
      </c>
      <c r="H28" s="130"/>
      <c r="I28" s="8">
        <f>+SUM(I16:I27)</f>
        <v>0</v>
      </c>
      <c r="K28" s="129" t="s">
        <v>10</v>
      </c>
      <c r="L28" s="130"/>
      <c r="M28" s="8">
        <f>+SUM(M16:M27)</f>
        <v>134753</v>
      </c>
      <c r="O28" s="129" t="s">
        <v>10</v>
      </c>
      <c r="P28" s="130"/>
      <c r="Q28" s="8">
        <f>+SUM(Q16:Q27)</f>
        <v>101731</v>
      </c>
      <c r="S28" s="129" t="s">
        <v>10</v>
      </c>
      <c r="T28" s="130"/>
      <c r="U28" s="8">
        <f>+SUM(U16:U27)</f>
        <v>308347</v>
      </c>
      <c r="W28" s="12"/>
      <c r="X28" s="129" t="s">
        <v>10</v>
      </c>
      <c r="Y28" s="130"/>
      <c r="Z28" s="8">
        <f>+SUM(Z16:Z27)</f>
        <v>611409</v>
      </c>
      <c r="AA28" s="13"/>
      <c r="AC28" s="74" t="s">
        <v>113</v>
      </c>
      <c r="AD28" s="74"/>
      <c r="AE28" s="74"/>
      <c r="AF28" s="74"/>
      <c r="AG28" s="69">
        <f>+SUM(AG22:AG27)</f>
        <v>0</v>
      </c>
    </row>
    <row r="29" spans="3:34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34" ht="15.75" thickBot="1" x14ac:dyDescent="0.3">
      <c r="C30" s="131" t="s">
        <v>11</v>
      </c>
      <c r="D30" s="131"/>
      <c r="E30" s="6">
        <f>+E28-E15</f>
        <v>4</v>
      </c>
      <c r="G30" s="131" t="s">
        <v>11</v>
      </c>
      <c r="H30" s="131"/>
      <c r="I30" s="6">
        <f>+I28-I15</f>
        <v>0</v>
      </c>
      <c r="K30" s="131" t="s">
        <v>11</v>
      </c>
      <c r="L30" s="131"/>
      <c r="M30" s="6">
        <f>+M28-M15</f>
        <v>29</v>
      </c>
      <c r="O30" s="131" t="s">
        <v>11</v>
      </c>
      <c r="P30" s="131"/>
      <c r="Q30" s="6">
        <f>+Q28-Q15</f>
        <v>2</v>
      </c>
      <c r="S30" s="131" t="s">
        <v>11</v>
      </c>
      <c r="T30" s="131"/>
      <c r="U30" s="6">
        <f>+U28-U15</f>
        <v>-4</v>
      </c>
      <c r="W30" s="12"/>
      <c r="X30" s="134" t="s">
        <v>11</v>
      </c>
      <c r="Y30" s="134"/>
      <c r="Z30" s="45">
        <f>+Z28-Z15</f>
        <v>31</v>
      </c>
      <c r="AA30" s="13"/>
    </row>
    <row r="31" spans="3:34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>
        <v>4</v>
      </c>
      <c r="X34" s="46" t="s">
        <v>15</v>
      </c>
      <c r="Y34" s="47"/>
      <c r="Z34" s="48">
        <f>+E34+I34+M34+Q34+U34</f>
        <v>4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42</v>
      </c>
      <c r="D36" s="17"/>
      <c r="E36" s="24">
        <v>-4</v>
      </c>
      <c r="G36" s="12" t="s">
        <v>23</v>
      </c>
      <c r="H36" s="17"/>
      <c r="I36" s="24"/>
      <c r="K36" s="12" t="s">
        <v>42</v>
      </c>
      <c r="L36" s="17"/>
      <c r="M36" s="24">
        <v>-29</v>
      </c>
      <c r="O36" s="12" t="s">
        <v>42</v>
      </c>
      <c r="P36" s="17"/>
      <c r="Q36" s="24">
        <v>-2</v>
      </c>
      <c r="S36" s="12" t="s">
        <v>41</v>
      </c>
      <c r="T36" s="17"/>
      <c r="U36" s="24"/>
      <c r="X36" s="49" t="s">
        <v>23</v>
      </c>
      <c r="Y36" s="43"/>
      <c r="Z36" s="50">
        <f t="shared" si="9"/>
        <v>-35</v>
      </c>
    </row>
    <row r="37" spans="3:26" x14ac:dyDescent="0.25">
      <c r="C37" s="12" t="s">
        <v>3</v>
      </c>
      <c r="D37" s="17"/>
      <c r="E37" s="24">
        <f>+SUM(E34:E36)</f>
        <v>-4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-29</v>
      </c>
      <c r="O37" s="12" t="s">
        <v>3</v>
      </c>
      <c r="P37" s="17"/>
      <c r="Q37" s="24">
        <f>+SUM(Q34:Q36)</f>
        <v>-2</v>
      </c>
      <c r="S37" s="12" t="s">
        <v>3</v>
      </c>
      <c r="T37" s="17"/>
      <c r="U37" s="24">
        <f>+SUM(U34:U36)</f>
        <v>4</v>
      </c>
      <c r="X37" s="36" t="s">
        <v>3</v>
      </c>
      <c r="Y37" s="37"/>
      <c r="Z37" s="38">
        <f>+SUM(Z34:Z36)</f>
        <v>-31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0</v>
      </c>
    </row>
    <row r="40" spans="3:26" x14ac:dyDescent="0.25">
      <c r="Z40" s="22"/>
    </row>
  </sheetData>
  <mergeCells count="25"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AF4:AJ4"/>
    <mergeCell ref="O15:P15"/>
    <mergeCell ref="S15:T15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40"/>
  <sheetViews>
    <sheetView zoomScale="80" zoomScaleNormal="80" workbookViewId="0">
      <selection activeCell="AC43" sqref="AC43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0.7109375" customWidth="1"/>
    <col min="8" max="8" width="13.7109375" bestFit="1" customWidth="1"/>
    <col min="9" max="9" width="9.5703125" bestFit="1" customWidth="1"/>
    <col min="10" max="10" width="0.5703125" customWidth="1"/>
    <col min="11" max="11" width="11.5703125" customWidth="1"/>
    <col min="14" max="14" width="0.7109375" customWidth="1"/>
    <col min="15" max="15" width="11.28515625" customWidth="1"/>
    <col min="18" max="18" width="0.85546875" customWidth="1"/>
    <col min="19" max="19" width="13.5703125" bestFit="1" customWidth="1"/>
    <col min="20" max="20" width="15.14062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0.140625" bestFit="1" customWidth="1"/>
    <col min="27" max="27" width="1.140625" customWidth="1"/>
    <col min="29" max="29" width="13.28515625" customWidth="1"/>
    <col min="30" max="30" width="10.140625" customWidth="1"/>
    <col min="31" max="31" width="11.140625" bestFit="1" customWidth="1"/>
    <col min="32" max="32" width="13.5703125" bestFit="1" customWidth="1"/>
    <col min="33" max="33" width="12" bestFit="1" customWidth="1"/>
    <col min="34" max="34" width="15.7109375" customWidth="1"/>
    <col min="35" max="35" width="11.85546875" customWidth="1"/>
    <col min="40" max="40" width="9.5703125" bestFit="1" customWidth="1"/>
  </cols>
  <sheetData>
    <row r="1" spans="3:40" ht="15.75" thickBot="1" x14ac:dyDescent="0.3"/>
    <row r="2" spans="3:40" x14ac:dyDescent="0.25">
      <c r="W2" s="9"/>
      <c r="X2" s="10"/>
      <c r="Y2" s="10"/>
      <c r="Z2" s="10"/>
      <c r="AA2" s="11"/>
    </row>
    <row r="3" spans="3:40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24</v>
      </c>
      <c r="T3" s="132"/>
      <c r="U3" s="132"/>
      <c r="W3" s="12"/>
      <c r="X3" s="126" t="s">
        <v>16</v>
      </c>
      <c r="Y3" s="126"/>
      <c r="Z3" s="126"/>
      <c r="AA3" s="13"/>
    </row>
    <row r="4" spans="3:40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40" s="28" customFormat="1" ht="15.75" thickBot="1" x14ac:dyDescent="0.3">
      <c r="C5" s="31">
        <v>1</v>
      </c>
      <c r="D5" s="31">
        <v>3</v>
      </c>
      <c r="E5" s="39">
        <f>+D5*C5</f>
        <v>3</v>
      </c>
      <c r="G5" s="31">
        <v>1</v>
      </c>
      <c r="H5" s="31"/>
      <c r="I5" s="39">
        <f>+H5*G5</f>
        <v>0</v>
      </c>
      <c r="K5" s="31">
        <v>1</v>
      </c>
      <c r="L5" s="31">
        <v>2</v>
      </c>
      <c r="M5" s="39">
        <f>+L5*K5</f>
        <v>2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5</v>
      </c>
      <c r="Z5" s="40">
        <f>+E5+I5+M5+Q5+U5</f>
        <v>5</v>
      </c>
      <c r="AA5" s="30"/>
      <c r="AC5"/>
      <c r="AD5"/>
      <c r="AE5"/>
      <c r="AF5" s="133" t="s">
        <v>56</v>
      </c>
      <c r="AG5" s="133"/>
      <c r="AH5" s="133"/>
      <c r="AI5" s="133"/>
      <c r="AJ5" s="133"/>
      <c r="AK5" s="80"/>
      <c r="AL5"/>
      <c r="AM5"/>
      <c r="AN5"/>
    </row>
    <row r="6" spans="3:40" ht="15.75" thickTop="1" x14ac:dyDescent="0.25">
      <c r="C6" s="1">
        <v>10</v>
      </c>
      <c r="D6" s="1">
        <v>132</v>
      </c>
      <c r="E6" s="39">
        <f>+D6*C6</f>
        <v>1320</v>
      </c>
      <c r="G6" s="1">
        <v>10</v>
      </c>
      <c r="H6" s="1">
        <v>72</v>
      </c>
      <c r="I6" s="39">
        <f>+H6*G6</f>
        <v>720</v>
      </c>
      <c r="K6" s="1">
        <v>10</v>
      </c>
      <c r="L6" s="1">
        <v>130</v>
      </c>
      <c r="M6" s="39">
        <f>+L6*K6</f>
        <v>1300</v>
      </c>
      <c r="O6" s="1">
        <v>10</v>
      </c>
      <c r="P6" s="1">
        <v>40</v>
      </c>
      <c r="Q6" s="39">
        <f>+P6*O6</f>
        <v>400</v>
      </c>
      <c r="S6" s="1">
        <v>10</v>
      </c>
      <c r="T6" s="1">
        <v>153</v>
      </c>
      <c r="U6" s="39">
        <f>+T6*S6</f>
        <v>1530</v>
      </c>
      <c r="W6" s="12"/>
      <c r="X6" s="42">
        <v>10</v>
      </c>
      <c r="Y6" s="42">
        <f>+D6+H6+L6+P6+T6</f>
        <v>527</v>
      </c>
      <c r="Z6" s="40">
        <f>+E6+I6+M6+Q6+U6</f>
        <v>5270</v>
      </c>
      <c r="AA6" s="13"/>
      <c r="AC6" s="28"/>
      <c r="AD6" s="28"/>
      <c r="AE6" s="28"/>
      <c r="AL6" s="28"/>
      <c r="AM6" s="28"/>
      <c r="AN6" s="28"/>
    </row>
    <row r="7" spans="3:40" x14ac:dyDescent="0.25">
      <c r="C7" s="1">
        <v>20</v>
      </c>
      <c r="D7" s="1">
        <v>31</v>
      </c>
      <c r="E7" s="39">
        <f t="shared" ref="E7:E12" si="0">+D7*C7</f>
        <v>620</v>
      </c>
      <c r="G7" s="1">
        <v>20</v>
      </c>
      <c r="H7" s="1">
        <v>22</v>
      </c>
      <c r="I7" s="39">
        <f t="shared" ref="I7:I12" si="1">+H7*G7</f>
        <v>440</v>
      </c>
      <c r="K7" s="1">
        <v>20</v>
      </c>
      <c r="L7" s="1">
        <v>27</v>
      </c>
      <c r="M7" s="39">
        <f t="shared" ref="M7:M12" si="2">+L7*K7</f>
        <v>540</v>
      </c>
      <c r="O7" s="1">
        <v>20</v>
      </c>
      <c r="P7" s="1"/>
      <c r="Q7" s="39">
        <f t="shared" ref="Q7:Q12" si="3">+P7*O7</f>
        <v>0</v>
      </c>
      <c r="S7" s="1">
        <v>20</v>
      </c>
      <c r="T7" s="1">
        <v>19</v>
      </c>
      <c r="U7" s="39">
        <f t="shared" ref="U7:U12" si="4">+T7*S7</f>
        <v>380</v>
      </c>
      <c r="W7" s="12"/>
      <c r="X7" s="42">
        <v>20</v>
      </c>
      <c r="Y7" s="42">
        <f>+D7+H7+L7+P7+T7</f>
        <v>99</v>
      </c>
      <c r="Z7" s="40">
        <f t="shared" ref="Z7:Z12" si="5">+E7+I7+M7+Q7+U7</f>
        <v>1980</v>
      </c>
      <c r="AA7" s="13"/>
      <c r="AF7" s="70" t="s">
        <v>5</v>
      </c>
      <c r="AG7" s="71">
        <f>+Z13</f>
        <v>211355</v>
      </c>
      <c r="AH7" s="28"/>
      <c r="AI7" s="28"/>
      <c r="AJ7" s="28"/>
      <c r="AK7" s="28"/>
    </row>
    <row r="8" spans="3:40" x14ac:dyDescent="0.25">
      <c r="C8" s="1">
        <v>50</v>
      </c>
      <c r="D8" s="1">
        <v>27</v>
      </c>
      <c r="E8" s="39">
        <f t="shared" si="0"/>
        <v>1350</v>
      </c>
      <c r="G8" s="1">
        <v>50</v>
      </c>
      <c r="H8" s="1">
        <v>19</v>
      </c>
      <c r="I8" s="39">
        <f t="shared" si="1"/>
        <v>950</v>
      </c>
      <c r="K8" s="1">
        <v>50</v>
      </c>
      <c r="L8" s="1">
        <v>75</v>
      </c>
      <c r="M8" s="39">
        <f t="shared" si="2"/>
        <v>3750</v>
      </c>
      <c r="O8" s="1">
        <v>50</v>
      </c>
      <c r="P8" s="1">
        <v>17</v>
      </c>
      <c r="Q8" s="39">
        <f t="shared" si="3"/>
        <v>850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6">+D8+H8+L8+P8+T8</f>
        <v>138</v>
      </c>
      <c r="Z8" s="40">
        <f t="shared" si="5"/>
        <v>6900</v>
      </c>
      <c r="AA8" s="13"/>
      <c r="AF8" s="66" t="s">
        <v>120</v>
      </c>
      <c r="AG8" s="66">
        <f>+AG29</f>
        <v>581500</v>
      </c>
      <c r="AL8" s="3" t="s">
        <v>0</v>
      </c>
      <c r="AM8" s="3" t="s">
        <v>1</v>
      </c>
      <c r="AN8" s="3" t="s">
        <v>2</v>
      </c>
    </row>
    <row r="9" spans="3:40" ht="15.75" thickBot="1" x14ac:dyDescent="0.3">
      <c r="C9" s="1">
        <v>100</v>
      </c>
      <c r="D9" s="1">
        <v>35</v>
      </c>
      <c r="E9" s="39">
        <f t="shared" si="0"/>
        <v>3500</v>
      </c>
      <c r="G9" s="1">
        <v>100</v>
      </c>
      <c r="H9" s="1">
        <v>48</v>
      </c>
      <c r="I9" s="39">
        <f t="shared" si="1"/>
        <v>4800</v>
      </c>
      <c r="K9" s="1">
        <v>100</v>
      </c>
      <c r="L9" s="1">
        <v>89</v>
      </c>
      <c r="M9" s="39">
        <f t="shared" si="2"/>
        <v>8900</v>
      </c>
      <c r="O9" s="1">
        <v>100</v>
      </c>
      <c r="P9" s="1">
        <v>64</v>
      </c>
      <c r="Q9" s="39">
        <f t="shared" si="3"/>
        <v>6400</v>
      </c>
      <c r="S9" s="1">
        <v>100</v>
      </c>
      <c r="T9" s="1">
        <v>1</v>
      </c>
      <c r="U9" s="39">
        <f t="shared" si="4"/>
        <v>100</v>
      </c>
      <c r="W9" s="12"/>
      <c r="X9" s="42">
        <v>100</v>
      </c>
      <c r="Y9" s="42">
        <f t="shared" si="6"/>
        <v>237</v>
      </c>
      <c r="Z9" s="40">
        <f t="shared" si="5"/>
        <v>23700</v>
      </c>
      <c r="AA9" s="13"/>
      <c r="AF9" s="72" t="s">
        <v>10</v>
      </c>
      <c r="AG9" s="73">
        <f>SUM(AG7:AG8)</f>
        <v>792855</v>
      </c>
      <c r="AL9" s="31">
        <v>1</v>
      </c>
      <c r="AM9" s="31"/>
      <c r="AN9" s="39">
        <f>+AM9*AL9</f>
        <v>0</v>
      </c>
    </row>
    <row r="10" spans="3:40" x14ac:dyDescent="0.25">
      <c r="C10" s="1">
        <v>500</v>
      </c>
      <c r="D10" s="1">
        <v>22</v>
      </c>
      <c r="E10" s="39">
        <f t="shared" si="0"/>
        <v>11000</v>
      </c>
      <c r="G10" s="1">
        <v>500</v>
      </c>
      <c r="H10" s="1">
        <v>30</v>
      </c>
      <c r="I10" s="39">
        <f t="shared" si="1"/>
        <v>15000</v>
      </c>
      <c r="K10" s="1">
        <v>500</v>
      </c>
      <c r="L10" s="1">
        <v>33</v>
      </c>
      <c r="M10" s="39">
        <f t="shared" si="2"/>
        <v>16500</v>
      </c>
      <c r="O10" s="1">
        <v>500</v>
      </c>
      <c r="P10" s="1">
        <v>30</v>
      </c>
      <c r="Q10" s="39">
        <f t="shared" si="3"/>
        <v>15000</v>
      </c>
      <c r="S10" s="1">
        <v>500</v>
      </c>
      <c r="T10" s="1">
        <v>2</v>
      </c>
      <c r="U10" s="39">
        <f t="shared" si="4"/>
        <v>1000</v>
      </c>
      <c r="W10" s="12"/>
      <c r="X10" s="42">
        <v>500</v>
      </c>
      <c r="Y10" s="42">
        <f t="shared" si="6"/>
        <v>117</v>
      </c>
      <c r="Z10" s="40">
        <f t="shared" si="5"/>
        <v>58500</v>
      </c>
      <c r="AA10" s="13"/>
      <c r="AL10" s="1">
        <v>10</v>
      </c>
      <c r="AM10" s="1">
        <v>527</v>
      </c>
      <c r="AN10" s="39">
        <f>+AM10*AL10</f>
        <v>5270</v>
      </c>
    </row>
    <row r="11" spans="3:40" x14ac:dyDescent="0.25">
      <c r="C11" s="1">
        <v>1000</v>
      </c>
      <c r="D11" s="1">
        <v>21</v>
      </c>
      <c r="E11" s="39">
        <f t="shared" si="0"/>
        <v>21000</v>
      </c>
      <c r="G11" s="1">
        <v>1000</v>
      </c>
      <c r="H11" s="1">
        <v>30</v>
      </c>
      <c r="I11" s="39">
        <f t="shared" si="1"/>
        <v>30000</v>
      </c>
      <c r="K11" s="1">
        <v>1000</v>
      </c>
      <c r="L11" s="1">
        <v>33</v>
      </c>
      <c r="M11" s="39">
        <f t="shared" si="2"/>
        <v>33000</v>
      </c>
      <c r="O11" s="1">
        <v>1000</v>
      </c>
      <c r="P11" s="1">
        <v>15</v>
      </c>
      <c r="Q11" s="39">
        <f t="shared" si="3"/>
        <v>15000</v>
      </c>
      <c r="S11" s="1">
        <v>1000</v>
      </c>
      <c r="T11" s="1">
        <v>1</v>
      </c>
      <c r="U11" s="39">
        <f t="shared" si="4"/>
        <v>1000</v>
      </c>
      <c r="W11" s="12"/>
      <c r="X11" s="42">
        <v>1000</v>
      </c>
      <c r="Y11" s="42">
        <f t="shared" si="6"/>
        <v>100</v>
      </c>
      <c r="Z11" s="40">
        <f t="shared" si="5"/>
        <v>100000</v>
      </c>
      <c r="AA11" s="13"/>
      <c r="AF11" s="53" t="s">
        <v>57</v>
      </c>
      <c r="AG11" s="53" t="s">
        <v>2</v>
      </c>
      <c r="AH11" s="53" t="s">
        <v>58</v>
      </c>
      <c r="AI11" s="53" t="s">
        <v>59</v>
      </c>
      <c r="AJ11" s="53" t="s">
        <v>60</v>
      </c>
      <c r="AK11" s="53"/>
      <c r="AL11" s="1">
        <v>20</v>
      </c>
      <c r="AM11" s="1">
        <v>79</v>
      </c>
      <c r="AN11" s="39">
        <f t="shared" ref="AN11:AN16" si="7">+AM11*AL11</f>
        <v>1580</v>
      </c>
    </row>
    <row r="12" spans="3:40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>
        <v>1</v>
      </c>
      <c r="I12" s="39">
        <f t="shared" si="1"/>
        <v>5000</v>
      </c>
      <c r="K12" s="1">
        <v>5000</v>
      </c>
      <c r="L12" s="1"/>
      <c r="M12" s="39">
        <f t="shared" si="2"/>
        <v>0</v>
      </c>
      <c r="O12" s="1">
        <v>5000</v>
      </c>
      <c r="P12" s="1">
        <v>1</v>
      </c>
      <c r="Q12" s="39">
        <f t="shared" si="3"/>
        <v>5000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3</v>
      </c>
      <c r="Z12" s="40">
        <f t="shared" si="5"/>
        <v>15000</v>
      </c>
      <c r="AA12" s="13"/>
      <c r="AF12" t="s">
        <v>6</v>
      </c>
      <c r="AG12" s="4">
        <v>755000</v>
      </c>
      <c r="AH12">
        <v>41789810</v>
      </c>
      <c r="AI12" s="58" t="s">
        <v>215</v>
      </c>
      <c r="AJ12" t="s">
        <v>199</v>
      </c>
      <c r="AL12" s="1">
        <v>50</v>
      </c>
      <c r="AM12" s="1">
        <v>136</v>
      </c>
      <c r="AN12" s="39">
        <f t="shared" si="7"/>
        <v>6800</v>
      </c>
    </row>
    <row r="13" spans="3:40" ht="15.75" thickBot="1" x14ac:dyDescent="0.3">
      <c r="C13" s="2" t="s">
        <v>3</v>
      </c>
      <c r="D13" s="2"/>
      <c r="E13" s="5">
        <f>+SUM(E5:E12)</f>
        <v>43793</v>
      </c>
      <c r="G13" s="2" t="s">
        <v>3</v>
      </c>
      <c r="H13" s="2"/>
      <c r="I13" s="5">
        <f>+SUM(I5:I12)</f>
        <v>56910</v>
      </c>
      <c r="K13" s="2" t="s">
        <v>3</v>
      </c>
      <c r="L13" s="2"/>
      <c r="M13" s="5">
        <f>+SUM(M5:M12)</f>
        <v>63992</v>
      </c>
      <c r="O13" s="2" t="s">
        <v>3</v>
      </c>
      <c r="P13" s="2"/>
      <c r="Q13" s="5">
        <f>+SUM(Q5:Q12)</f>
        <v>42650</v>
      </c>
      <c r="S13" s="2" t="s">
        <v>3</v>
      </c>
      <c r="T13" s="2"/>
      <c r="U13" s="5">
        <f>+SUM(U5:U12)</f>
        <v>4010</v>
      </c>
      <c r="W13" s="12"/>
      <c r="X13" s="2" t="s">
        <v>3</v>
      </c>
      <c r="Y13" s="2"/>
      <c r="Z13" s="5">
        <f>+SUM(Z5:Z12)</f>
        <v>211355</v>
      </c>
      <c r="AA13" s="13"/>
      <c r="AF13" t="s">
        <v>62</v>
      </c>
      <c r="AG13" s="4">
        <v>37350</v>
      </c>
      <c r="AL13" s="1">
        <v>100</v>
      </c>
      <c r="AM13" s="1">
        <v>237</v>
      </c>
      <c r="AN13" s="39">
        <f t="shared" si="7"/>
        <v>23700</v>
      </c>
    </row>
    <row r="14" spans="3:40" ht="15.75" thickBot="1" x14ac:dyDescent="0.3">
      <c r="W14" s="12"/>
      <c r="X14" s="17"/>
      <c r="Y14" s="17"/>
      <c r="Z14" s="17"/>
      <c r="AA14" s="13"/>
      <c r="AF14" t="s">
        <v>63</v>
      </c>
      <c r="AG14" s="4"/>
      <c r="AL14" s="1">
        <v>500</v>
      </c>
      <c r="AM14" s="1">
        <v>474</v>
      </c>
      <c r="AN14" s="39">
        <f t="shared" si="7"/>
        <v>237000</v>
      </c>
    </row>
    <row r="15" spans="3:40" s="33" customFormat="1" ht="15.75" thickBot="1" x14ac:dyDescent="0.3">
      <c r="C15" s="127" t="s">
        <v>4</v>
      </c>
      <c r="D15" s="128"/>
      <c r="E15" s="7">
        <v>45593</v>
      </c>
      <c r="G15" s="127" t="s">
        <v>4</v>
      </c>
      <c r="H15" s="128"/>
      <c r="I15" s="7">
        <v>79253</v>
      </c>
      <c r="K15" s="127" t="s">
        <v>4</v>
      </c>
      <c r="L15" s="128"/>
      <c r="M15" s="7">
        <v>63992</v>
      </c>
      <c r="O15" s="127" t="s">
        <v>4</v>
      </c>
      <c r="P15" s="128"/>
      <c r="Q15" s="7">
        <v>43070</v>
      </c>
      <c r="S15" s="127" t="s">
        <v>4</v>
      </c>
      <c r="T15" s="128"/>
      <c r="U15" s="7">
        <v>569249</v>
      </c>
      <c r="W15" s="34"/>
      <c r="X15" s="127" t="s">
        <v>4</v>
      </c>
      <c r="Y15" s="128"/>
      <c r="Z15" s="7">
        <f>+E15+I15+M15+Q15+U15</f>
        <v>801157</v>
      </c>
      <c r="AA15" s="35"/>
      <c r="AC15"/>
      <c r="AD15"/>
      <c r="AE15"/>
      <c r="AF15" t="s">
        <v>64</v>
      </c>
      <c r="AG15" s="4"/>
      <c r="AH15"/>
      <c r="AI15"/>
      <c r="AJ15"/>
      <c r="AK15"/>
      <c r="AL15" s="1">
        <v>1000</v>
      </c>
      <c r="AM15" s="1">
        <v>353</v>
      </c>
      <c r="AN15" s="39">
        <f t="shared" si="7"/>
        <v>353000</v>
      </c>
    </row>
    <row r="16" spans="3:40" x14ac:dyDescent="0.25">
      <c r="C16" t="s">
        <v>5</v>
      </c>
      <c r="E16" s="4">
        <v>43793</v>
      </c>
      <c r="G16" t="s">
        <v>5</v>
      </c>
      <c r="I16" s="4">
        <f>+I13</f>
        <v>56910</v>
      </c>
      <c r="K16" t="s">
        <v>5</v>
      </c>
      <c r="M16" s="4">
        <v>63992</v>
      </c>
      <c r="O16" t="s">
        <v>5</v>
      </c>
      <c r="Q16" s="4">
        <f>+Q13</f>
        <v>42650</v>
      </c>
      <c r="S16" t="s">
        <v>5</v>
      </c>
      <c r="U16" s="4">
        <f>+U13</f>
        <v>4010</v>
      </c>
      <c r="W16" s="12"/>
      <c r="X16" s="43" t="s">
        <v>5</v>
      </c>
      <c r="Y16" s="43"/>
      <c r="Z16" s="40">
        <f>+E16+I16+M16+Q16+U16</f>
        <v>211355</v>
      </c>
      <c r="AA16" s="13"/>
      <c r="AC16" s="33"/>
      <c r="AD16" s="33"/>
      <c r="AE16" s="33"/>
      <c r="AF16" t="s">
        <v>72</v>
      </c>
      <c r="AG16" s="4"/>
      <c r="AL16" s="1">
        <v>5000</v>
      </c>
      <c r="AM16" s="1">
        <v>33</v>
      </c>
      <c r="AN16" s="39">
        <f t="shared" si="7"/>
        <v>165000</v>
      </c>
    </row>
    <row r="17" spans="3:40" ht="15.75" thickBot="1" x14ac:dyDescent="0.3">
      <c r="C17" t="s">
        <v>6</v>
      </c>
      <c r="E17" s="4">
        <v>1800</v>
      </c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1800</v>
      </c>
      <c r="AA17" s="13"/>
      <c r="AF17" s="54" t="s">
        <v>10</v>
      </c>
      <c r="AG17" s="55">
        <f>+SUM(AG12:AG16)</f>
        <v>792350</v>
      </c>
      <c r="AH17" s="22"/>
      <c r="AL17" s="2" t="s">
        <v>3</v>
      </c>
      <c r="AM17" s="2"/>
      <c r="AN17" s="5">
        <f>+SUM(AN9:AN16)</f>
        <v>792350</v>
      </c>
    </row>
    <row r="18" spans="3:40" x14ac:dyDescent="0.25">
      <c r="C18" t="s">
        <v>43</v>
      </c>
      <c r="E18" s="4"/>
      <c r="G18" t="s">
        <v>206</v>
      </c>
      <c r="H18" t="s">
        <v>207</v>
      </c>
      <c r="I18" s="4">
        <v>4500</v>
      </c>
      <c r="K18" t="s">
        <v>43</v>
      </c>
      <c r="M18" s="4"/>
      <c r="O18" t="s">
        <v>7</v>
      </c>
      <c r="Q18" s="4"/>
      <c r="S18" t="s">
        <v>43</v>
      </c>
      <c r="U18" s="4"/>
      <c r="W18" s="12"/>
      <c r="X18" s="43" t="s">
        <v>7</v>
      </c>
      <c r="Y18" s="43"/>
      <c r="Z18" s="40">
        <f t="shared" si="8"/>
        <v>4500</v>
      </c>
      <c r="AA18" s="13"/>
      <c r="AF18" s="56" t="s">
        <v>66</v>
      </c>
      <c r="AG18" s="57">
        <f>+AG17-AG9</f>
        <v>-505</v>
      </c>
      <c r="AH18" t="s">
        <v>214</v>
      </c>
    </row>
    <row r="19" spans="3:40" x14ac:dyDescent="0.25">
      <c r="C19" t="s">
        <v>8</v>
      </c>
      <c r="E19" s="4"/>
      <c r="G19" t="s">
        <v>208</v>
      </c>
      <c r="H19" t="s">
        <v>209</v>
      </c>
      <c r="I19" s="4">
        <v>6000</v>
      </c>
      <c r="K19" t="s">
        <v>43</v>
      </c>
      <c r="M19" s="4"/>
      <c r="O19" t="s">
        <v>8</v>
      </c>
      <c r="Q19" s="4"/>
      <c r="S19" t="s">
        <v>43</v>
      </c>
      <c r="U19" s="4"/>
      <c r="W19" s="12"/>
      <c r="X19" s="43" t="s">
        <v>8</v>
      </c>
      <c r="Y19" s="43"/>
      <c r="Z19" s="40">
        <f t="shared" si="8"/>
        <v>6000</v>
      </c>
      <c r="AA19" s="13"/>
    </row>
    <row r="20" spans="3:40" x14ac:dyDescent="0.25">
      <c r="C20" t="s">
        <v>9</v>
      </c>
      <c r="E20" s="4"/>
      <c r="G20" t="s">
        <v>210</v>
      </c>
      <c r="H20" t="s">
        <v>211</v>
      </c>
      <c r="I20" s="4">
        <v>5720</v>
      </c>
      <c r="K20" t="s">
        <v>9</v>
      </c>
      <c r="M20" s="4"/>
      <c r="O20" t="s">
        <v>9</v>
      </c>
      <c r="Q20" s="4"/>
      <c r="S20" t="s">
        <v>43</v>
      </c>
      <c r="U20" s="4"/>
      <c r="W20" s="12"/>
      <c r="X20" s="43" t="s">
        <v>9</v>
      </c>
      <c r="Y20" s="43"/>
      <c r="Z20" s="40">
        <f t="shared" si="8"/>
        <v>5720</v>
      </c>
      <c r="AA20" s="13"/>
    </row>
    <row r="21" spans="3:40" x14ac:dyDescent="0.25">
      <c r="E21" s="4"/>
      <c r="G21" t="s">
        <v>143</v>
      </c>
      <c r="H21" t="s">
        <v>212</v>
      </c>
      <c r="I21" s="4">
        <v>6130</v>
      </c>
      <c r="M21" s="4"/>
      <c r="Q21" s="4"/>
      <c r="S21" t="s">
        <v>43</v>
      </c>
      <c r="U21" s="4"/>
      <c r="W21" s="12"/>
      <c r="X21" s="43"/>
      <c r="Y21" s="43"/>
      <c r="Z21" s="40">
        <f t="shared" si="8"/>
        <v>6130</v>
      </c>
      <c r="AA21" s="13"/>
      <c r="AC21" s="67" t="s">
        <v>117</v>
      </c>
      <c r="AD21" s="67"/>
      <c r="AE21" s="67"/>
      <c r="AF21" s="33"/>
    </row>
    <row r="22" spans="3:40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  <c r="AC22" s="53" t="s">
        <v>114</v>
      </c>
      <c r="AD22" s="53" t="s">
        <v>115</v>
      </c>
      <c r="AE22" s="53" t="s">
        <v>122</v>
      </c>
      <c r="AF22" s="53" t="s">
        <v>116</v>
      </c>
      <c r="AG22" s="53" t="s">
        <v>2</v>
      </c>
    </row>
    <row r="23" spans="3:40" x14ac:dyDescent="0.25">
      <c r="E23" s="4"/>
      <c r="I23" s="4"/>
      <c r="M23" s="4"/>
      <c r="Q23" s="4"/>
      <c r="S23" t="s">
        <v>203</v>
      </c>
      <c r="T23" t="s">
        <v>83</v>
      </c>
      <c r="U23" s="4">
        <v>87781</v>
      </c>
      <c r="W23" s="12"/>
      <c r="X23" s="44" t="s">
        <v>28</v>
      </c>
      <c r="Y23" s="43"/>
      <c r="Z23" s="40">
        <f t="shared" si="8"/>
        <v>87781</v>
      </c>
      <c r="AA23" s="13"/>
      <c r="AC23" t="s">
        <v>153</v>
      </c>
      <c r="AD23" s="58">
        <v>45850</v>
      </c>
      <c r="AE23" t="s">
        <v>204</v>
      </c>
      <c r="AG23">
        <v>581500</v>
      </c>
      <c r="AH23" t="s">
        <v>213</v>
      </c>
    </row>
    <row r="24" spans="3:40" x14ac:dyDescent="0.25">
      <c r="E24" s="4"/>
      <c r="I24" s="4"/>
      <c r="M24" s="4"/>
      <c r="Q24" s="4"/>
      <c r="S24" t="s">
        <v>205</v>
      </c>
      <c r="T24" t="s">
        <v>90</v>
      </c>
      <c r="U24" s="4">
        <v>477432</v>
      </c>
      <c r="W24" s="12"/>
      <c r="X24" s="44" t="s">
        <v>29</v>
      </c>
      <c r="Y24" s="43"/>
      <c r="Z24" s="40">
        <f t="shared" si="8"/>
        <v>477432</v>
      </c>
      <c r="AA24" s="13"/>
      <c r="AD24" s="58"/>
    </row>
    <row r="25" spans="3:40" x14ac:dyDescent="0.25">
      <c r="E25" s="4"/>
      <c r="I25" s="4"/>
      <c r="M25" s="4"/>
      <c r="Q25" s="4"/>
      <c r="S25" t="s">
        <v>31</v>
      </c>
      <c r="U25" s="4"/>
      <c r="W25" s="12"/>
      <c r="X25" s="44" t="s">
        <v>31</v>
      </c>
      <c r="Y25" s="43"/>
      <c r="Z25" s="40">
        <f t="shared" si="8"/>
        <v>0</v>
      </c>
      <c r="AA25" s="13"/>
      <c r="AD25" s="75"/>
      <c r="AE25" s="17"/>
      <c r="AF25" s="17"/>
      <c r="AG25" s="17"/>
    </row>
    <row r="26" spans="3:40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  <c r="AD26" s="75"/>
      <c r="AE26" s="21"/>
      <c r="AF26" s="17"/>
      <c r="AG26" s="21"/>
    </row>
    <row r="27" spans="3:40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40" ht="15.75" thickBot="1" x14ac:dyDescent="0.3">
      <c r="C28" s="129" t="s">
        <v>10</v>
      </c>
      <c r="D28" s="130"/>
      <c r="E28" s="8">
        <f>+SUM(E16:E27)</f>
        <v>45593</v>
      </c>
      <c r="G28" s="129" t="s">
        <v>10</v>
      </c>
      <c r="H28" s="130"/>
      <c r="I28" s="8">
        <f>+SUM(I16:I27)</f>
        <v>79260</v>
      </c>
      <c r="K28" s="129" t="s">
        <v>10</v>
      </c>
      <c r="L28" s="130"/>
      <c r="M28" s="8">
        <f>+SUM(M16:M27)</f>
        <v>63992</v>
      </c>
      <c r="O28" s="129" t="s">
        <v>10</v>
      </c>
      <c r="P28" s="130"/>
      <c r="Q28" s="8">
        <f>+SUM(Q16:Q27)</f>
        <v>42650</v>
      </c>
      <c r="S28" s="129" t="s">
        <v>10</v>
      </c>
      <c r="T28" s="130"/>
      <c r="U28" s="8">
        <f>+SUM(U16:U27)</f>
        <v>569223</v>
      </c>
      <c r="W28" s="12"/>
      <c r="X28" s="129" t="s">
        <v>10</v>
      </c>
      <c r="Y28" s="130"/>
      <c r="Z28" s="8">
        <f>+SUM(Z16:Z27)</f>
        <v>800718</v>
      </c>
      <c r="AA28" s="13"/>
    </row>
    <row r="29" spans="3:40" ht="15.75" thickBot="1" x14ac:dyDescent="0.3">
      <c r="E29" s="4"/>
      <c r="I29" s="4"/>
      <c r="M29" s="4"/>
      <c r="Q29" s="4"/>
      <c r="U29" s="4"/>
      <c r="W29" s="12"/>
      <c r="X29" s="17"/>
      <c r="Y29" s="17"/>
      <c r="Z29" s="16"/>
      <c r="AA29" s="13"/>
      <c r="AC29" s="74" t="s">
        <v>113</v>
      </c>
      <c r="AD29" s="74"/>
      <c r="AE29" s="74"/>
      <c r="AF29" s="74"/>
      <c r="AG29" s="69">
        <f>+SUM(AG23:AG28)</f>
        <v>581500</v>
      </c>
    </row>
    <row r="30" spans="3:40" ht="16.5" thickTop="1" thickBot="1" x14ac:dyDescent="0.3">
      <c r="C30" s="131" t="s">
        <v>11</v>
      </c>
      <c r="D30" s="131"/>
      <c r="E30" s="6">
        <f>+E28-E15</f>
        <v>0</v>
      </c>
      <c r="G30" s="131" t="s">
        <v>11</v>
      </c>
      <c r="H30" s="131"/>
      <c r="I30" s="6">
        <f>+I28-I15</f>
        <v>7</v>
      </c>
      <c r="K30" s="131" t="s">
        <v>11</v>
      </c>
      <c r="L30" s="131"/>
      <c r="M30" s="6">
        <f>+M28-M15</f>
        <v>0</v>
      </c>
      <c r="O30" s="131" t="s">
        <v>11</v>
      </c>
      <c r="P30" s="131"/>
      <c r="Q30" s="6">
        <f>+Q28-Q15</f>
        <v>-420</v>
      </c>
      <c r="S30" s="131" t="s">
        <v>11</v>
      </c>
      <c r="T30" s="131"/>
      <c r="U30" s="6">
        <f>+U28-U15</f>
        <v>-26</v>
      </c>
      <c r="W30" s="12"/>
      <c r="X30" s="134" t="s">
        <v>11</v>
      </c>
      <c r="Y30" s="134"/>
      <c r="Z30" s="45">
        <f>+Z28-Z15</f>
        <v>-439</v>
      </c>
      <c r="AA30" s="13"/>
    </row>
    <row r="31" spans="3:40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>
        <v>420</v>
      </c>
      <c r="S34" s="9" t="s">
        <v>15</v>
      </c>
      <c r="T34" s="10"/>
      <c r="U34" s="23"/>
      <c r="X34" s="46" t="s">
        <v>15</v>
      </c>
      <c r="Y34" s="47"/>
      <c r="Z34" s="48">
        <f>+E34+I34+M34+Q34+U34</f>
        <v>420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>
        <v>26</v>
      </c>
      <c r="X35" s="49" t="s">
        <v>40</v>
      </c>
      <c r="Y35" s="43"/>
      <c r="Z35" s="50">
        <f t="shared" ref="Z35:Z36" si="9">+E35+I35+M35+Q35+U35</f>
        <v>26</v>
      </c>
    </row>
    <row r="36" spans="3:26" x14ac:dyDescent="0.25">
      <c r="C36" s="12" t="s">
        <v>23</v>
      </c>
      <c r="D36" s="17"/>
      <c r="E36" s="24"/>
      <c r="G36" s="12" t="s">
        <v>42</v>
      </c>
      <c r="H36" s="17"/>
      <c r="I36" s="24">
        <v>-7</v>
      </c>
      <c r="K36" s="12" t="s">
        <v>23</v>
      </c>
      <c r="L36" s="17"/>
      <c r="M36" s="24"/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-7</v>
      </c>
    </row>
    <row r="37" spans="3:26" x14ac:dyDescent="0.25">
      <c r="C37" s="12" t="s">
        <v>3</v>
      </c>
      <c r="D37" s="17"/>
      <c r="E37" s="24">
        <f>+SUM(E34:E36)</f>
        <v>0</v>
      </c>
      <c r="G37" s="12" t="s">
        <v>3</v>
      </c>
      <c r="H37" s="17"/>
      <c r="I37" s="24">
        <f>+SUM(I34:I36)</f>
        <v>-7</v>
      </c>
      <c r="K37" s="12" t="s">
        <v>3</v>
      </c>
      <c r="L37" s="17"/>
      <c r="M37" s="24">
        <f>+SUM(M34:M36)</f>
        <v>0</v>
      </c>
      <c r="O37" s="12" t="s">
        <v>3</v>
      </c>
      <c r="P37" s="17"/>
      <c r="Q37" s="24">
        <f>+SUM(Q34:Q36)</f>
        <v>420</v>
      </c>
      <c r="S37" s="12" t="s">
        <v>3</v>
      </c>
      <c r="T37" s="17"/>
      <c r="U37" s="24">
        <f>+SUM(U34:U36)</f>
        <v>26</v>
      </c>
      <c r="X37" s="36" t="s">
        <v>3</v>
      </c>
      <c r="Y37" s="37"/>
      <c r="Z37" s="38">
        <f>+SUM(Z34:Z36)</f>
        <v>439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0</v>
      </c>
    </row>
    <row r="40" spans="3:26" x14ac:dyDescent="0.25">
      <c r="Z40" s="22"/>
    </row>
  </sheetData>
  <mergeCells count="25"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AF5:AJ5"/>
    <mergeCell ref="O15:P15"/>
    <mergeCell ref="S15:T15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40"/>
  <sheetViews>
    <sheetView topLeftCell="Q1" zoomScale="90" zoomScaleNormal="90" workbookViewId="0">
      <selection activeCell="S23" sqref="S23"/>
    </sheetView>
  </sheetViews>
  <sheetFormatPr defaultRowHeight="15" x14ac:dyDescent="0.25"/>
  <cols>
    <col min="3" max="3" width="13.42578125" bestFit="1" customWidth="1"/>
    <col min="4" max="4" width="13.5703125" bestFit="1" customWidth="1"/>
    <col min="5" max="5" width="11" customWidth="1"/>
    <col min="6" max="6" width="0.7109375" customWidth="1"/>
    <col min="7" max="7" width="13.5703125" bestFit="1" customWidth="1"/>
    <col min="8" max="8" width="13.7109375" bestFit="1" customWidth="1"/>
    <col min="9" max="9" width="9.5703125" bestFit="1" customWidth="1"/>
    <col min="10" max="10" width="0.5703125" customWidth="1"/>
    <col min="11" max="11" width="13.5703125" bestFit="1" customWidth="1"/>
    <col min="12" max="12" width="12.5703125" bestFit="1" customWidth="1"/>
    <col min="14" max="14" width="0.7109375" customWidth="1"/>
    <col min="15" max="15" width="13.5703125" bestFit="1" customWidth="1"/>
    <col min="16" max="16" width="17" bestFit="1" customWidth="1"/>
    <col min="17" max="17" width="9.5703125" bestFit="1" customWidth="1"/>
    <col min="18" max="18" width="0.85546875" customWidth="1"/>
    <col min="19" max="19" width="13.5703125" bestFit="1" customWidth="1"/>
    <col min="20" max="20" width="15.140625" bestFit="1" customWidth="1"/>
    <col min="21" max="21" width="10.5703125" bestFit="1" customWidth="1"/>
    <col min="22" max="22" width="5.140625" customWidth="1"/>
    <col min="23" max="23" width="1.140625" customWidth="1"/>
    <col min="24" max="24" width="13.5703125" bestFit="1" customWidth="1"/>
    <col min="26" max="26" width="10.140625" bestFit="1" customWidth="1"/>
    <col min="27" max="27" width="1.140625" customWidth="1"/>
    <col min="30" max="30" width="10.42578125" bestFit="1" customWidth="1"/>
    <col min="31" max="31" width="11.140625" bestFit="1" customWidth="1"/>
    <col min="32" max="32" width="14.140625" customWidth="1"/>
    <col min="33" max="34" width="16.42578125" customWidth="1"/>
    <col min="36" max="36" width="11.28515625" bestFit="1" customWidth="1"/>
    <col min="40" max="40" width="12.85546875" bestFit="1" customWidth="1"/>
  </cols>
  <sheetData>
    <row r="1" spans="3:40" ht="15.75" thickBot="1" x14ac:dyDescent="0.3"/>
    <row r="2" spans="3:40" x14ac:dyDescent="0.25">
      <c r="W2" s="9"/>
      <c r="X2" s="10"/>
      <c r="Y2" s="10"/>
      <c r="Z2" s="10"/>
      <c r="AA2" s="11"/>
    </row>
    <row r="3" spans="3:40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216</v>
      </c>
      <c r="T3" s="132"/>
      <c r="U3" s="132"/>
      <c r="W3" s="12"/>
      <c r="X3" s="126" t="s">
        <v>16</v>
      </c>
      <c r="Y3" s="126"/>
      <c r="Z3" s="126"/>
      <c r="AA3" s="13"/>
    </row>
    <row r="4" spans="3:40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3:40" s="28" customFormat="1" x14ac:dyDescent="0.25">
      <c r="C5" s="31">
        <v>1</v>
      </c>
      <c r="D5" s="31"/>
      <c r="E5" s="39">
        <f>+D5*C5</f>
        <v>0</v>
      </c>
      <c r="G5" s="31">
        <v>1</v>
      </c>
      <c r="H5" s="31"/>
      <c r="I5" s="39">
        <f>+H5*G5</f>
        <v>0</v>
      </c>
      <c r="K5" s="31">
        <v>1</v>
      </c>
      <c r="L5" s="31"/>
      <c r="M5" s="39">
        <f>+L5*K5</f>
        <v>0</v>
      </c>
      <c r="O5" s="31">
        <v>1</v>
      </c>
      <c r="P5" s="31"/>
      <c r="Q5" s="39">
        <f>+P5*O5</f>
        <v>0</v>
      </c>
      <c r="S5" s="31">
        <v>1</v>
      </c>
      <c r="T5" s="31"/>
      <c r="U5" s="39">
        <f>+T5*S5</f>
        <v>0</v>
      </c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C5"/>
      <c r="AD5"/>
      <c r="AE5"/>
      <c r="AF5"/>
      <c r="AG5"/>
      <c r="AH5"/>
      <c r="AI5"/>
      <c r="AJ5"/>
      <c r="AK5"/>
      <c r="AL5"/>
      <c r="AM5"/>
      <c r="AN5"/>
    </row>
    <row r="6" spans="3:40" x14ac:dyDescent="0.25">
      <c r="C6" s="1">
        <v>10</v>
      </c>
      <c r="D6" s="1">
        <v>405</v>
      </c>
      <c r="E6" s="39">
        <f>+D6*C6</f>
        <v>4050</v>
      </c>
      <c r="G6" s="1">
        <v>10</v>
      </c>
      <c r="H6" s="1">
        <v>119</v>
      </c>
      <c r="I6" s="39">
        <f>+H6*G6</f>
        <v>1190</v>
      </c>
      <c r="K6" s="1">
        <v>10</v>
      </c>
      <c r="L6" s="1">
        <v>100</v>
      </c>
      <c r="M6" s="39">
        <f>+L6*K6</f>
        <v>1000</v>
      </c>
      <c r="O6" s="1">
        <v>10</v>
      </c>
      <c r="P6" s="1">
        <v>48</v>
      </c>
      <c r="Q6" s="39">
        <f>+P6*O6</f>
        <v>480</v>
      </c>
      <c r="S6" s="1">
        <v>10</v>
      </c>
      <c r="T6" s="1">
        <v>403</v>
      </c>
      <c r="U6" s="39">
        <f>+T6*S6</f>
        <v>4030</v>
      </c>
      <c r="W6" s="12"/>
      <c r="X6" s="42">
        <v>10</v>
      </c>
      <c r="Y6" s="42">
        <f>+D6+H6+L6+P6+T6</f>
        <v>1075</v>
      </c>
      <c r="Z6" s="40">
        <f>+E6+I6+M6+Q6+U6</f>
        <v>10750</v>
      </c>
      <c r="AA6" s="13"/>
    </row>
    <row r="7" spans="3:40" ht="15.75" thickBot="1" x14ac:dyDescent="0.3">
      <c r="C7" s="1">
        <v>20</v>
      </c>
      <c r="D7" s="1">
        <v>50</v>
      </c>
      <c r="E7" s="39">
        <f t="shared" ref="E7:E12" si="0">+D7*C7</f>
        <v>1000</v>
      </c>
      <c r="G7" s="1">
        <v>20</v>
      </c>
      <c r="H7" s="1">
        <v>37</v>
      </c>
      <c r="I7" s="39">
        <f t="shared" ref="I7:I12" si="1">+H7*G7</f>
        <v>740</v>
      </c>
      <c r="K7" s="1">
        <v>20</v>
      </c>
      <c r="L7" s="1">
        <v>8</v>
      </c>
      <c r="M7" s="39">
        <f t="shared" ref="M7:M12" si="2">+L7*K7</f>
        <v>160</v>
      </c>
      <c r="O7" s="1">
        <v>20</v>
      </c>
      <c r="P7" s="1"/>
      <c r="Q7" s="39">
        <f t="shared" ref="Q7:Q12" si="3">+P7*O7</f>
        <v>0</v>
      </c>
      <c r="S7" s="1">
        <v>20</v>
      </c>
      <c r="T7" s="1">
        <v>50</v>
      </c>
      <c r="U7" s="39">
        <f t="shared" ref="U7:U12" si="4">+T7*S7</f>
        <v>1000</v>
      </c>
      <c r="W7" s="12"/>
      <c r="X7" s="42">
        <v>20</v>
      </c>
      <c r="Y7" s="42">
        <f>+D7+H7+L7+P7+T7</f>
        <v>145</v>
      </c>
      <c r="Z7" s="40">
        <f t="shared" ref="Z7:Z12" si="5">+E7+I7+M7+Q7+U7</f>
        <v>2900</v>
      </c>
      <c r="AA7" s="13"/>
      <c r="AF7" s="133" t="s">
        <v>56</v>
      </c>
      <c r="AG7" s="133"/>
      <c r="AH7" s="133"/>
      <c r="AI7" s="133"/>
      <c r="AJ7" s="133"/>
      <c r="AK7" s="80"/>
    </row>
    <row r="8" spans="3:40" ht="15.75" thickTop="1" x14ac:dyDescent="0.25">
      <c r="C8" s="1">
        <v>50</v>
      </c>
      <c r="D8" s="1">
        <v>117</v>
      </c>
      <c r="E8" s="39">
        <f t="shared" si="0"/>
        <v>5850</v>
      </c>
      <c r="G8" s="1">
        <v>50</v>
      </c>
      <c r="H8" s="1">
        <v>34</v>
      </c>
      <c r="I8" s="39">
        <f t="shared" si="1"/>
        <v>1700</v>
      </c>
      <c r="K8" s="1">
        <v>50</v>
      </c>
      <c r="L8" s="1">
        <v>68</v>
      </c>
      <c r="M8" s="39">
        <f t="shared" si="2"/>
        <v>3400</v>
      </c>
      <c r="O8" s="1">
        <v>50</v>
      </c>
      <c r="P8" s="1">
        <v>27</v>
      </c>
      <c r="Q8" s="39">
        <f t="shared" si="3"/>
        <v>1350</v>
      </c>
      <c r="S8" s="1">
        <v>50</v>
      </c>
      <c r="T8" s="1">
        <v>1</v>
      </c>
      <c r="U8" s="39">
        <f t="shared" si="4"/>
        <v>50</v>
      </c>
      <c r="W8" s="12"/>
      <c r="X8" s="42">
        <v>50</v>
      </c>
      <c r="Y8" s="42">
        <f t="shared" ref="Y8:Y12" si="6">+D8+H8+L8+P8+T8</f>
        <v>247</v>
      </c>
      <c r="Z8" s="40">
        <f t="shared" si="5"/>
        <v>12350</v>
      </c>
      <c r="AA8" s="13"/>
      <c r="AC8" s="28"/>
      <c r="AD8" s="28"/>
      <c r="AE8" s="28"/>
      <c r="AL8" s="28"/>
      <c r="AM8" s="28"/>
      <c r="AN8" s="28"/>
    </row>
    <row r="9" spans="3:40" x14ac:dyDescent="0.25">
      <c r="C9" s="1">
        <v>100</v>
      </c>
      <c r="D9" s="1">
        <v>38</v>
      </c>
      <c r="E9" s="39">
        <f t="shared" si="0"/>
        <v>3800</v>
      </c>
      <c r="G9" s="1">
        <v>100</v>
      </c>
      <c r="H9" s="1">
        <v>64</v>
      </c>
      <c r="I9" s="39">
        <f t="shared" si="1"/>
        <v>6400</v>
      </c>
      <c r="K9" s="1">
        <v>100</v>
      </c>
      <c r="L9" s="1">
        <v>44</v>
      </c>
      <c r="M9" s="39">
        <f t="shared" si="2"/>
        <v>4400</v>
      </c>
      <c r="O9" s="1">
        <v>100</v>
      </c>
      <c r="P9" s="1">
        <v>15</v>
      </c>
      <c r="Q9" s="39">
        <f t="shared" si="3"/>
        <v>1500</v>
      </c>
      <c r="S9" s="1">
        <v>100</v>
      </c>
      <c r="T9" s="1">
        <v>203</v>
      </c>
      <c r="U9" s="39">
        <f t="shared" si="4"/>
        <v>20300</v>
      </c>
      <c r="W9" s="12"/>
      <c r="X9" s="42">
        <v>100</v>
      </c>
      <c r="Y9" s="42">
        <f t="shared" si="6"/>
        <v>364</v>
      </c>
      <c r="Z9" s="40">
        <f t="shared" si="5"/>
        <v>36400</v>
      </c>
      <c r="AA9" s="13"/>
      <c r="AF9" s="70" t="s">
        <v>5</v>
      </c>
      <c r="AG9" s="71">
        <f>+Z13</f>
        <v>302400</v>
      </c>
      <c r="AH9" s="28"/>
      <c r="AI9" s="28"/>
      <c r="AJ9" s="28"/>
      <c r="AK9" s="28"/>
    </row>
    <row r="10" spans="3:40" x14ac:dyDescent="0.25">
      <c r="C10" s="1">
        <v>500</v>
      </c>
      <c r="D10" s="1">
        <v>19</v>
      </c>
      <c r="E10" s="39">
        <f t="shared" si="0"/>
        <v>9500</v>
      </c>
      <c r="G10" s="1">
        <v>500</v>
      </c>
      <c r="H10" s="1">
        <v>28</v>
      </c>
      <c r="I10" s="39">
        <f t="shared" si="1"/>
        <v>14000</v>
      </c>
      <c r="K10" s="1">
        <v>500</v>
      </c>
      <c r="L10" s="1">
        <v>56</v>
      </c>
      <c r="M10" s="39">
        <f t="shared" si="2"/>
        <v>28000</v>
      </c>
      <c r="O10" s="1">
        <v>500</v>
      </c>
      <c r="P10" s="1">
        <v>29</v>
      </c>
      <c r="Q10" s="39">
        <f t="shared" si="3"/>
        <v>14500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132</v>
      </c>
      <c r="Z10" s="40">
        <f t="shared" si="5"/>
        <v>66000</v>
      </c>
      <c r="AA10" s="13"/>
      <c r="AF10" s="66" t="s">
        <v>120</v>
      </c>
      <c r="AG10" s="66">
        <f>+AG31</f>
        <v>200000</v>
      </c>
      <c r="AL10" s="3" t="s">
        <v>0</v>
      </c>
      <c r="AM10" s="3" t="s">
        <v>1</v>
      </c>
      <c r="AN10" s="3" t="s">
        <v>2</v>
      </c>
    </row>
    <row r="11" spans="3:40" ht="15.75" thickBot="1" x14ac:dyDescent="0.3">
      <c r="C11" s="1">
        <v>1000</v>
      </c>
      <c r="D11" s="1">
        <v>31</v>
      </c>
      <c r="E11" s="39">
        <f t="shared" si="0"/>
        <v>31000</v>
      </c>
      <c r="G11" s="1">
        <v>1000</v>
      </c>
      <c r="H11" s="1">
        <v>28</v>
      </c>
      <c r="I11" s="39">
        <f t="shared" si="1"/>
        <v>28000</v>
      </c>
      <c r="K11" s="1">
        <v>1000</v>
      </c>
      <c r="L11" s="1">
        <v>44</v>
      </c>
      <c r="M11" s="39">
        <f t="shared" si="2"/>
        <v>44000</v>
      </c>
      <c r="O11" s="1">
        <v>1000</v>
      </c>
      <c r="P11" s="1">
        <v>38</v>
      </c>
      <c r="Q11" s="39">
        <f t="shared" si="3"/>
        <v>38000</v>
      </c>
      <c r="S11" s="1">
        <v>1000</v>
      </c>
      <c r="T11" s="1">
        <v>3</v>
      </c>
      <c r="U11" s="39">
        <f t="shared" si="4"/>
        <v>3000</v>
      </c>
      <c r="W11" s="12"/>
      <c r="X11" s="42">
        <v>1000</v>
      </c>
      <c r="Y11" s="42">
        <f t="shared" si="6"/>
        <v>144</v>
      </c>
      <c r="Z11" s="40">
        <f t="shared" si="5"/>
        <v>144000</v>
      </c>
      <c r="AA11" s="13"/>
      <c r="AF11" s="72" t="s">
        <v>10</v>
      </c>
      <c r="AG11" s="73">
        <f>SUM(AG9:AG10)</f>
        <v>502400</v>
      </c>
      <c r="AL11" s="31">
        <v>1</v>
      </c>
      <c r="AM11" s="31"/>
      <c r="AN11" s="39">
        <f>+AM11*AL11</f>
        <v>0</v>
      </c>
    </row>
    <row r="12" spans="3:40" x14ac:dyDescent="0.25">
      <c r="C12" s="1">
        <v>5000</v>
      </c>
      <c r="D12" s="1">
        <v>3</v>
      </c>
      <c r="E12" s="39">
        <f t="shared" si="0"/>
        <v>15000</v>
      </c>
      <c r="G12" s="1">
        <v>5000</v>
      </c>
      <c r="H12" s="1">
        <v>2</v>
      </c>
      <c r="I12" s="39">
        <f t="shared" si="1"/>
        <v>10000</v>
      </c>
      <c r="K12" s="1">
        <v>5000</v>
      </c>
      <c r="L12" s="1"/>
      <c r="M12" s="39">
        <f t="shared" si="2"/>
        <v>0</v>
      </c>
      <c r="O12" s="1">
        <v>5000</v>
      </c>
      <c r="P12" s="1">
        <v>1</v>
      </c>
      <c r="Q12" s="39">
        <f t="shared" si="3"/>
        <v>5000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6</v>
      </c>
      <c r="Z12" s="40">
        <f t="shared" si="5"/>
        <v>30000</v>
      </c>
      <c r="AA12" s="13"/>
      <c r="AL12" s="1">
        <v>10</v>
      </c>
      <c r="AM12" s="1">
        <v>2545</v>
      </c>
      <c r="AN12" s="39">
        <f>+AM12*AL12</f>
        <v>25450</v>
      </c>
    </row>
    <row r="13" spans="3:40" ht="15.75" thickBot="1" x14ac:dyDescent="0.3">
      <c r="C13" s="2" t="s">
        <v>3</v>
      </c>
      <c r="D13" s="2"/>
      <c r="E13" s="5">
        <f>+SUM(E5:E12)</f>
        <v>70200</v>
      </c>
      <c r="G13" s="2" t="s">
        <v>3</v>
      </c>
      <c r="H13" s="2"/>
      <c r="I13" s="5">
        <f>+SUM(I5:I12)</f>
        <v>62030</v>
      </c>
      <c r="K13" s="2" t="s">
        <v>3</v>
      </c>
      <c r="L13" s="2"/>
      <c r="M13" s="5">
        <f>+SUM(M5:M12)</f>
        <v>80960</v>
      </c>
      <c r="O13" s="2" t="s">
        <v>3</v>
      </c>
      <c r="P13" s="2"/>
      <c r="Q13" s="5">
        <f>+SUM(Q5:Q12)</f>
        <v>60830</v>
      </c>
      <c r="S13" s="2" t="s">
        <v>3</v>
      </c>
      <c r="T13" s="2"/>
      <c r="U13" s="5">
        <f>+SUM(U5:U12)</f>
        <v>28380</v>
      </c>
      <c r="W13" s="12"/>
      <c r="X13" s="2" t="s">
        <v>3</v>
      </c>
      <c r="Y13" s="2"/>
      <c r="Z13" s="5">
        <f>+SUM(Z5:Z12)</f>
        <v>302400</v>
      </c>
      <c r="AA13" s="13"/>
      <c r="AF13" s="53" t="s">
        <v>57</v>
      </c>
      <c r="AG13" s="53" t="s">
        <v>2</v>
      </c>
      <c r="AH13" s="53" t="s">
        <v>58</v>
      </c>
      <c r="AI13" s="53" t="s">
        <v>59</v>
      </c>
      <c r="AJ13" s="53" t="s">
        <v>60</v>
      </c>
      <c r="AK13" s="53"/>
      <c r="AL13" s="1">
        <v>20</v>
      </c>
      <c r="AM13" s="1">
        <v>385</v>
      </c>
      <c r="AN13" s="39">
        <f t="shared" ref="AN13:AN18" si="7">+AM13*AL13</f>
        <v>7700</v>
      </c>
    </row>
    <row r="14" spans="3:40" ht="15.75" thickBot="1" x14ac:dyDescent="0.3">
      <c r="W14" s="12"/>
      <c r="X14" s="17"/>
      <c r="Y14" s="17"/>
      <c r="Z14" s="17"/>
      <c r="AA14" s="13"/>
      <c r="AF14" t="s">
        <v>6</v>
      </c>
      <c r="AG14" s="4">
        <v>476400</v>
      </c>
      <c r="AH14">
        <v>5997</v>
      </c>
      <c r="AI14" s="58" t="s">
        <v>243</v>
      </c>
      <c r="AJ14" t="s">
        <v>244</v>
      </c>
      <c r="AL14" s="1">
        <v>50</v>
      </c>
      <c r="AM14" s="1">
        <v>437</v>
      </c>
      <c r="AN14" s="39">
        <f t="shared" si="7"/>
        <v>21850</v>
      </c>
    </row>
    <row r="15" spans="3:40" s="33" customFormat="1" ht="15.75" thickBot="1" x14ac:dyDescent="0.3">
      <c r="C15" s="127" t="s">
        <v>4</v>
      </c>
      <c r="D15" s="128"/>
      <c r="E15" s="7">
        <v>76051</v>
      </c>
      <c r="G15" s="127" t="s">
        <v>4</v>
      </c>
      <c r="H15" s="128"/>
      <c r="I15" s="7">
        <v>90470.35</v>
      </c>
      <c r="K15" s="127" t="s">
        <v>4</v>
      </c>
      <c r="L15" s="128"/>
      <c r="M15" s="7">
        <v>84753.9</v>
      </c>
      <c r="O15" s="127" t="s">
        <v>4</v>
      </c>
      <c r="P15" s="128"/>
      <c r="Q15" s="7">
        <v>108759.87</v>
      </c>
      <c r="S15" s="127" t="s">
        <v>4</v>
      </c>
      <c r="T15" s="128"/>
      <c r="U15" s="7">
        <v>525628.84</v>
      </c>
      <c r="W15" s="34"/>
      <c r="X15" s="127" t="s">
        <v>4</v>
      </c>
      <c r="Y15" s="128"/>
      <c r="Z15" s="7">
        <f>+E15+I15+M15+Q15+U15</f>
        <v>885663.96</v>
      </c>
      <c r="AA15" s="35"/>
      <c r="AC15"/>
      <c r="AD15"/>
      <c r="AE15"/>
      <c r="AF15" t="s">
        <v>62</v>
      </c>
      <c r="AG15" s="4">
        <v>26000</v>
      </c>
      <c r="AH15"/>
      <c r="AI15"/>
      <c r="AJ15"/>
      <c r="AK15"/>
      <c r="AL15" s="1">
        <v>100</v>
      </c>
      <c r="AM15" s="1">
        <v>584</v>
      </c>
      <c r="AN15" s="39">
        <f t="shared" si="7"/>
        <v>58400</v>
      </c>
    </row>
    <row r="16" spans="3:40" x14ac:dyDescent="0.25">
      <c r="C16" t="s">
        <v>5</v>
      </c>
      <c r="E16" s="4">
        <v>70200</v>
      </c>
      <c r="G16" t="s">
        <v>5</v>
      </c>
      <c r="I16" s="4">
        <f>+I13</f>
        <v>62030</v>
      </c>
      <c r="K16" t="s">
        <v>5</v>
      </c>
      <c r="M16" s="4">
        <v>80960</v>
      </c>
      <c r="O16" t="s">
        <v>5</v>
      </c>
      <c r="Q16" s="4">
        <f>+Q13</f>
        <v>60830</v>
      </c>
      <c r="S16" t="s">
        <v>5</v>
      </c>
      <c r="U16" s="4">
        <v>28380</v>
      </c>
      <c r="W16" s="12"/>
      <c r="X16" s="43" t="s">
        <v>5</v>
      </c>
      <c r="Y16" s="43"/>
      <c r="Z16" s="40">
        <f>+E16+I16+M16+Q16+U16</f>
        <v>302400</v>
      </c>
      <c r="AA16" s="13"/>
      <c r="AF16" t="s">
        <v>63</v>
      </c>
      <c r="AG16" s="4"/>
      <c r="AL16" s="1">
        <v>500</v>
      </c>
      <c r="AM16" s="1">
        <v>170</v>
      </c>
      <c r="AN16" s="39">
        <f t="shared" si="7"/>
        <v>85000</v>
      </c>
    </row>
    <row r="17" spans="3:40" x14ac:dyDescent="0.25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F17" t="s">
        <v>64</v>
      </c>
      <c r="AG17" s="4"/>
      <c r="AL17" s="1">
        <v>1000</v>
      </c>
      <c r="AM17" s="1">
        <v>219</v>
      </c>
      <c r="AN17" s="39">
        <f t="shared" si="7"/>
        <v>219000</v>
      </c>
    </row>
    <row r="18" spans="3:40" x14ac:dyDescent="0.25">
      <c r="C18" t="s">
        <v>217</v>
      </c>
      <c r="D18" t="s">
        <v>218</v>
      </c>
      <c r="E18" s="4">
        <v>6062</v>
      </c>
      <c r="G18" t="s">
        <v>224</v>
      </c>
      <c r="H18" t="s">
        <v>225</v>
      </c>
      <c r="I18" s="4">
        <v>8920</v>
      </c>
      <c r="K18" t="s">
        <v>165</v>
      </c>
      <c r="L18" t="s">
        <v>223</v>
      </c>
      <c r="M18" s="4">
        <v>3820</v>
      </c>
      <c r="O18" t="s">
        <v>165</v>
      </c>
      <c r="P18" t="s">
        <v>219</v>
      </c>
      <c r="Q18" s="4">
        <v>15284</v>
      </c>
      <c r="S18" t="s">
        <v>43</v>
      </c>
      <c r="U18" s="4"/>
      <c r="W18" s="12"/>
      <c r="X18" s="43" t="s">
        <v>7</v>
      </c>
      <c r="Y18" s="43"/>
      <c r="Z18" s="40">
        <f t="shared" si="8"/>
        <v>34086</v>
      </c>
      <c r="AA18" s="13"/>
      <c r="AC18" s="33"/>
      <c r="AD18" s="33"/>
      <c r="AE18" s="33"/>
      <c r="AF18" t="s">
        <v>72</v>
      </c>
      <c r="AG18" s="4"/>
      <c r="AL18" s="1">
        <v>5000</v>
      </c>
      <c r="AM18" s="1">
        <v>17</v>
      </c>
      <c r="AN18" s="39">
        <f t="shared" si="7"/>
        <v>85000</v>
      </c>
    </row>
    <row r="19" spans="3:40" ht="15.75" thickBot="1" x14ac:dyDescent="0.3">
      <c r="C19" t="s">
        <v>8</v>
      </c>
      <c r="E19" s="4"/>
      <c r="G19" t="s">
        <v>226</v>
      </c>
      <c r="H19" t="s">
        <v>227</v>
      </c>
      <c r="I19" s="4">
        <v>13795</v>
      </c>
      <c r="K19" t="s">
        <v>43</v>
      </c>
      <c r="M19" s="4"/>
      <c r="O19" t="s">
        <v>220</v>
      </c>
      <c r="P19" t="s">
        <v>221</v>
      </c>
      <c r="Q19" s="4">
        <v>11888</v>
      </c>
      <c r="S19" t="s">
        <v>43</v>
      </c>
      <c r="U19" s="4"/>
      <c r="W19" s="12"/>
      <c r="X19" s="43" t="s">
        <v>8</v>
      </c>
      <c r="Y19" s="43"/>
      <c r="Z19" s="40">
        <f t="shared" si="8"/>
        <v>25683</v>
      </c>
      <c r="AA19" s="13"/>
      <c r="AF19" s="54" t="s">
        <v>10</v>
      </c>
      <c r="AG19" s="55">
        <f>+SUM(AG14:AG18)</f>
        <v>502400</v>
      </c>
      <c r="AH19" s="22"/>
      <c r="AL19" s="2" t="s">
        <v>3</v>
      </c>
      <c r="AM19" s="2"/>
      <c r="AN19" s="5">
        <f>+SUM(AN11:AN18)</f>
        <v>502400</v>
      </c>
    </row>
    <row r="20" spans="3:40" x14ac:dyDescent="0.25">
      <c r="C20" t="s">
        <v>9</v>
      </c>
      <c r="E20" s="4"/>
      <c r="G20" t="s">
        <v>178</v>
      </c>
      <c r="H20" t="s">
        <v>228</v>
      </c>
      <c r="I20" s="4">
        <v>5725</v>
      </c>
      <c r="K20" t="s">
        <v>9</v>
      </c>
      <c r="M20" s="4"/>
      <c r="O20" t="s">
        <v>167</v>
      </c>
      <c r="P20" t="s">
        <v>222</v>
      </c>
      <c r="Q20" s="4">
        <v>20347</v>
      </c>
      <c r="S20" t="s">
        <v>43</v>
      </c>
      <c r="U20" s="4"/>
      <c r="W20" s="12"/>
      <c r="X20" s="43" t="s">
        <v>9</v>
      </c>
      <c r="Y20" s="43"/>
      <c r="Z20" s="40">
        <f t="shared" si="8"/>
        <v>26072</v>
      </c>
      <c r="AA20" s="13"/>
      <c r="AF20" s="56" t="s">
        <v>66</v>
      </c>
      <c r="AG20" s="57">
        <f>+AG19-AG11</f>
        <v>0</v>
      </c>
      <c r="AH20" t="s">
        <v>214</v>
      </c>
    </row>
    <row r="21" spans="3:40" x14ac:dyDescent="0.25">
      <c r="E21" s="4"/>
      <c r="I21" s="4"/>
      <c r="M21" s="4"/>
      <c r="Q21" s="4"/>
      <c r="S21" t="s">
        <v>43</v>
      </c>
      <c r="U21" s="4"/>
      <c r="W21" s="12"/>
      <c r="X21" s="43"/>
      <c r="Y21" s="43"/>
      <c r="Z21" s="40">
        <f t="shared" si="8"/>
        <v>0</v>
      </c>
      <c r="AA21" s="13"/>
    </row>
    <row r="22" spans="3:40" x14ac:dyDescent="0.25">
      <c r="E22" s="4"/>
      <c r="I22" s="4"/>
      <c r="M22" s="4"/>
      <c r="Q22" s="4"/>
      <c r="S22" t="s">
        <v>235</v>
      </c>
      <c r="T22" t="s">
        <v>236</v>
      </c>
      <c r="U22" s="4">
        <v>64012</v>
      </c>
      <c r="W22" s="12"/>
      <c r="X22" s="43"/>
      <c r="Y22" s="43"/>
      <c r="Z22" s="40">
        <f t="shared" si="8"/>
        <v>64012</v>
      </c>
      <c r="AA22" s="13"/>
    </row>
    <row r="23" spans="3:40" x14ac:dyDescent="0.25">
      <c r="E23" s="4"/>
      <c r="I23" s="4"/>
      <c r="M23" s="4"/>
      <c r="Q23" s="4"/>
      <c r="S23" t="s">
        <v>229</v>
      </c>
      <c r="T23" t="s">
        <v>230</v>
      </c>
      <c r="U23" s="4">
        <v>338896.4</v>
      </c>
      <c r="W23" s="12"/>
      <c r="X23" s="44" t="s">
        <v>28</v>
      </c>
      <c r="Y23" s="43"/>
      <c r="Z23" s="40">
        <f t="shared" si="8"/>
        <v>338896.4</v>
      </c>
      <c r="AA23" s="13"/>
      <c r="AC23" s="67" t="s">
        <v>117</v>
      </c>
      <c r="AD23" s="67"/>
      <c r="AE23" s="67"/>
      <c r="AF23" s="33"/>
    </row>
    <row r="24" spans="3:40" x14ac:dyDescent="0.25">
      <c r="E24" s="4"/>
      <c r="I24" s="4"/>
      <c r="M24" s="4"/>
      <c r="Q24" s="4"/>
      <c r="S24" t="s">
        <v>231</v>
      </c>
      <c r="T24" t="s">
        <v>232</v>
      </c>
      <c r="U24" s="4">
        <v>14441</v>
      </c>
      <c r="W24" s="12"/>
      <c r="X24" s="44" t="s">
        <v>29</v>
      </c>
      <c r="Y24" s="43"/>
      <c r="Z24" s="40">
        <f t="shared" si="8"/>
        <v>14441</v>
      </c>
      <c r="AA24" s="13"/>
      <c r="AC24" s="53" t="s">
        <v>114</v>
      </c>
      <c r="AD24" s="53" t="s">
        <v>115</v>
      </c>
      <c r="AE24" s="53" t="s">
        <v>122</v>
      </c>
      <c r="AF24" s="53" t="s">
        <v>116</v>
      </c>
      <c r="AG24" s="53" t="s">
        <v>2</v>
      </c>
    </row>
    <row r="25" spans="3:40" x14ac:dyDescent="0.25">
      <c r="E25" s="4"/>
      <c r="I25" s="4"/>
      <c r="M25" s="4"/>
      <c r="Q25" s="4"/>
      <c r="S25" t="s">
        <v>233</v>
      </c>
      <c r="T25" t="s">
        <v>234</v>
      </c>
      <c r="U25" s="4">
        <v>31805</v>
      </c>
      <c r="W25" s="12"/>
      <c r="X25" s="44" t="s">
        <v>31</v>
      </c>
      <c r="Y25" s="43"/>
      <c r="Z25" s="40">
        <f t="shared" si="8"/>
        <v>31805</v>
      </c>
      <c r="AA25" s="13"/>
      <c r="AC25" t="s">
        <v>153</v>
      </c>
      <c r="AD25" s="58">
        <v>45850</v>
      </c>
      <c r="AE25" t="s">
        <v>102</v>
      </c>
      <c r="AG25">
        <v>200000</v>
      </c>
    </row>
    <row r="26" spans="3:40" x14ac:dyDescent="0.25">
      <c r="E26" s="4"/>
      <c r="I26" s="4"/>
      <c r="M26" s="4"/>
      <c r="Q26" s="4"/>
      <c r="S26" t="s">
        <v>237</v>
      </c>
      <c r="T26" t="s">
        <v>238</v>
      </c>
      <c r="U26" s="4">
        <v>11413</v>
      </c>
      <c r="W26" s="12"/>
      <c r="X26" s="43"/>
      <c r="Y26" s="43"/>
      <c r="Z26" s="40">
        <f t="shared" si="8"/>
        <v>11413</v>
      </c>
      <c r="AA26" s="13"/>
      <c r="AD26" s="58"/>
    </row>
    <row r="27" spans="3:40" ht="15.75" thickBot="1" x14ac:dyDescent="0.3">
      <c r="E27" s="4"/>
      <c r="I27" s="4"/>
      <c r="M27" s="4"/>
      <c r="Q27" s="4"/>
      <c r="S27" t="s">
        <v>239</v>
      </c>
      <c r="T27" t="s">
        <v>240</v>
      </c>
      <c r="U27" s="4">
        <v>36682</v>
      </c>
      <c r="W27" s="12"/>
      <c r="X27" s="43"/>
      <c r="Y27" s="43"/>
      <c r="Z27" s="40">
        <f t="shared" si="8"/>
        <v>36682</v>
      </c>
      <c r="AA27" s="13"/>
      <c r="AD27" s="75"/>
      <c r="AE27" s="17"/>
      <c r="AF27" s="17"/>
      <c r="AG27" s="17"/>
    </row>
    <row r="28" spans="3:40" ht="15.75" thickBot="1" x14ac:dyDescent="0.3">
      <c r="C28" s="129" t="s">
        <v>10</v>
      </c>
      <c r="D28" s="130"/>
      <c r="E28" s="8">
        <f>+SUM(E16:E27)</f>
        <v>76262</v>
      </c>
      <c r="G28" s="129" t="s">
        <v>10</v>
      </c>
      <c r="H28" s="130"/>
      <c r="I28" s="8">
        <f>+SUM(I16:I27)</f>
        <v>90470</v>
      </c>
      <c r="K28" s="129" t="s">
        <v>10</v>
      </c>
      <c r="L28" s="130"/>
      <c r="M28" s="8">
        <f>+SUM(M16:M27)</f>
        <v>84780</v>
      </c>
      <c r="O28" s="129" t="s">
        <v>10</v>
      </c>
      <c r="P28" s="130"/>
      <c r="Q28" s="8">
        <f>+SUM(Q16:Q27)</f>
        <v>108349</v>
      </c>
      <c r="S28" s="129" t="s">
        <v>10</v>
      </c>
      <c r="T28" s="130"/>
      <c r="U28" s="8">
        <f>+SUM(U16:U27)</f>
        <v>525629.4</v>
      </c>
      <c r="W28" s="12"/>
      <c r="X28" s="129" t="s">
        <v>10</v>
      </c>
      <c r="Y28" s="130"/>
      <c r="Z28" s="8">
        <f>+SUM(Z16:Z27)</f>
        <v>885490.4</v>
      </c>
      <c r="AA28" s="13"/>
      <c r="AD28" s="75"/>
      <c r="AE28" s="21"/>
      <c r="AF28" s="17"/>
      <c r="AG28" s="21"/>
    </row>
    <row r="29" spans="3:40" x14ac:dyDescent="0.25">
      <c r="E29" s="4"/>
      <c r="I29" s="4"/>
      <c r="M29" s="4"/>
      <c r="Q29" s="4"/>
      <c r="U29" s="4"/>
      <c r="W29" s="12"/>
      <c r="X29" s="17"/>
      <c r="Y29" s="17"/>
      <c r="Z29" s="16"/>
      <c r="AA29" s="13"/>
    </row>
    <row r="30" spans="3:40" ht="15.75" thickBot="1" x14ac:dyDescent="0.3">
      <c r="C30" s="131" t="s">
        <v>11</v>
      </c>
      <c r="D30" s="131"/>
      <c r="E30" s="6">
        <f>+E28-E15</f>
        <v>211</v>
      </c>
      <c r="G30" s="131" t="s">
        <v>11</v>
      </c>
      <c r="H30" s="131"/>
      <c r="I30" s="6">
        <f>+I28-I15</f>
        <v>-0.35000000000582077</v>
      </c>
      <c r="K30" s="131" t="s">
        <v>11</v>
      </c>
      <c r="L30" s="131"/>
      <c r="M30" s="6">
        <f>+M28-M15</f>
        <v>26.100000000005821</v>
      </c>
      <c r="O30" s="131" t="s">
        <v>11</v>
      </c>
      <c r="P30" s="131"/>
      <c r="Q30" s="6">
        <f>+Q28-Q15</f>
        <v>-410.86999999999534</v>
      </c>
      <c r="S30" s="131" t="s">
        <v>11</v>
      </c>
      <c r="T30" s="131"/>
      <c r="U30" s="6">
        <f>+U28-U15</f>
        <v>0.56000000005587935</v>
      </c>
      <c r="W30" s="12"/>
      <c r="X30" s="134" t="s">
        <v>11</v>
      </c>
      <c r="Y30" s="134"/>
      <c r="Z30" s="45">
        <f>+Z28-Z15</f>
        <v>-173.55999999993946</v>
      </c>
      <c r="AA30" s="13"/>
    </row>
    <row r="31" spans="3:40" ht="16.5" thickTop="1" thickBot="1" x14ac:dyDescent="0.3">
      <c r="W31" s="18"/>
      <c r="X31" s="19"/>
      <c r="Y31" s="19"/>
      <c r="Z31" s="19"/>
      <c r="AA31" s="20"/>
      <c r="AC31" s="74" t="s">
        <v>113</v>
      </c>
      <c r="AD31" s="74"/>
      <c r="AE31" s="74"/>
      <c r="AF31" s="74"/>
      <c r="AG31" s="69">
        <f>+SUM(AG25:AG30)</f>
        <v>200000</v>
      </c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>
        <v>411</v>
      </c>
      <c r="S34" s="9" t="s">
        <v>15</v>
      </c>
      <c r="T34" s="10"/>
      <c r="U34" s="23"/>
      <c r="X34" s="46" t="s">
        <v>15</v>
      </c>
      <c r="Y34" s="47"/>
      <c r="Z34" s="48">
        <f>+E34+I34+M34+Q34+U34</f>
        <v>411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42</v>
      </c>
      <c r="D36" s="17"/>
      <c r="E36" s="24">
        <v>-211</v>
      </c>
      <c r="G36" s="12" t="s">
        <v>23</v>
      </c>
      <c r="H36" s="17"/>
      <c r="I36" s="24"/>
      <c r="K36" s="12" t="s">
        <v>42</v>
      </c>
      <c r="L36" s="17"/>
      <c r="M36" s="24">
        <v>-26</v>
      </c>
      <c r="O36" s="12" t="s">
        <v>42</v>
      </c>
      <c r="P36" s="17"/>
      <c r="Q36" s="24"/>
      <c r="S36" s="12" t="s">
        <v>42</v>
      </c>
      <c r="T36" s="17"/>
      <c r="U36" s="24">
        <v>-1</v>
      </c>
      <c r="X36" s="49" t="s">
        <v>23</v>
      </c>
      <c r="Y36" s="43"/>
      <c r="Z36" s="50">
        <f t="shared" si="9"/>
        <v>-238</v>
      </c>
    </row>
    <row r="37" spans="3:26" x14ac:dyDescent="0.25">
      <c r="C37" s="12" t="s">
        <v>3</v>
      </c>
      <c r="D37" s="17"/>
      <c r="E37" s="24">
        <f>+SUM(E34:E36)</f>
        <v>-211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-26</v>
      </c>
      <c r="O37" s="12" t="s">
        <v>3</v>
      </c>
      <c r="P37" s="17"/>
      <c r="Q37" s="24">
        <f>+SUM(Q34:Q36)</f>
        <v>411</v>
      </c>
      <c r="S37" s="12" t="s">
        <v>3</v>
      </c>
      <c r="T37" s="17"/>
      <c r="U37" s="24">
        <f>+SUM(U34:U36)</f>
        <v>-1</v>
      </c>
      <c r="X37" s="36" t="s">
        <v>3</v>
      </c>
      <c r="Y37" s="37"/>
      <c r="Z37" s="38">
        <f>+SUM(Z34:Z36)</f>
        <v>173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-0.35000000000582077</v>
      </c>
      <c r="K38" s="25" t="s">
        <v>22</v>
      </c>
      <c r="L38" s="26"/>
      <c r="M38" s="27">
        <f>+M30+M37</f>
        <v>0.10000000000582077</v>
      </c>
      <c r="O38" s="25" t="s">
        <v>22</v>
      </c>
      <c r="P38" s="26"/>
      <c r="Q38" s="27">
        <f>+Q30+Q37</f>
        <v>0.13000000000465661</v>
      </c>
      <c r="S38" s="25" t="s">
        <v>22</v>
      </c>
      <c r="T38" s="26"/>
      <c r="U38" s="27">
        <f>+U30+U37</f>
        <v>-0.43999999994412065</v>
      </c>
      <c r="X38" s="25" t="s">
        <v>22</v>
      </c>
      <c r="Y38" s="26"/>
      <c r="Z38" s="27">
        <f>+Z30+Z37</f>
        <v>-0.55999999993946403</v>
      </c>
    </row>
    <row r="40" spans="3:26" x14ac:dyDescent="0.25">
      <c r="Z40" s="22"/>
    </row>
  </sheetData>
  <mergeCells count="25"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  <mergeCell ref="AF7:AJ7"/>
    <mergeCell ref="O15:P15"/>
    <mergeCell ref="S15:T15"/>
    <mergeCell ref="X15:Y15"/>
    <mergeCell ref="C3:E3"/>
    <mergeCell ref="G3:I3"/>
    <mergeCell ref="K3:M3"/>
    <mergeCell ref="O3:Q3"/>
    <mergeCell ref="S3:U3"/>
    <mergeCell ref="X3:Z3"/>
    <mergeCell ref="C15:D15"/>
    <mergeCell ref="G15:H15"/>
    <mergeCell ref="K15:L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40"/>
  <sheetViews>
    <sheetView topLeftCell="C1" zoomScale="90" zoomScaleNormal="90" workbookViewId="0">
      <selection activeCell="P20" sqref="P20"/>
    </sheetView>
  </sheetViews>
  <sheetFormatPr defaultRowHeight="15" x14ac:dyDescent="0.25"/>
  <cols>
    <col min="3" max="4" width="13.5703125" bestFit="1" customWidth="1"/>
    <col min="6" max="6" width="1.85546875" customWidth="1"/>
    <col min="8" max="8" width="16.5703125" bestFit="1" customWidth="1"/>
    <col min="10" max="10" width="1.42578125" customWidth="1"/>
    <col min="11" max="11" width="13.5703125" bestFit="1" customWidth="1"/>
    <col min="12" max="12" width="15.85546875" bestFit="1" customWidth="1"/>
    <col min="14" max="14" width="1.5703125" customWidth="1"/>
    <col min="15" max="15" width="13.5703125" bestFit="1" customWidth="1"/>
    <col min="16" max="16" width="17" bestFit="1" customWidth="1"/>
    <col min="18" max="18" width="2" customWidth="1"/>
    <col min="22" max="22" width="3.28515625" customWidth="1"/>
    <col min="23" max="23" width="2.85546875" customWidth="1"/>
    <col min="26" max="26" width="9.5703125" bestFit="1" customWidth="1"/>
    <col min="27" max="27" width="2.7109375" customWidth="1"/>
    <col min="29" max="29" width="11.28515625" bestFit="1" customWidth="1"/>
    <col min="30" max="30" width="10.5703125" bestFit="1" customWidth="1"/>
    <col min="31" max="31" width="11.42578125" bestFit="1" customWidth="1"/>
    <col min="32" max="32" width="13.85546875" bestFit="1" customWidth="1"/>
    <col min="33" max="33" width="10.28515625" bestFit="1" customWidth="1"/>
    <col min="40" max="40" width="9.5703125" bestFit="1" customWidth="1"/>
  </cols>
  <sheetData>
    <row r="1" spans="2:40" ht="15.75" thickBot="1" x14ac:dyDescent="0.3"/>
    <row r="2" spans="2:40" x14ac:dyDescent="0.25">
      <c r="W2" s="9"/>
      <c r="X2" s="10"/>
      <c r="Y2" s="10"/>
      <c r="Z2" s="10"/>
      <c r="AA2" s="11"/>
    </row>
    <row r="3" spans="2:40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2:40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2:40" ht="15.75" thickBot="1" x14ac:dyDescent="0.3">
      <c r="B5" s="28"/>
      <c r="C5" s="31">
        <v>1</v>
      </c>
      <c r="D5" s="31"/>
      <c r="E5" s="39">
        <f>+D5*C5</f>
        <v>0</v>
      </c>
      <c r="F5" s="28"/>
      <c r="G5" s="31">
        <v>1</v>
      </c>
      <c r="H5" s="31"/>
      <c r="I5" s="39">
        <f>+H5*G5</f>
        <v>0</v>
      </c>
      <c r="J5" s="28"/>
      <c r="K5" s="31">
        <v>1</v>
      </c>
      <c r="L5" s="31"/>
      <c r="M5" s="39">
        <f>+L5*K5</f>
        <v>0</v>
      </c>
      <c r="N5" s="28"/>
      <c r="O5" s="31">
        <v>1</v>
      </c>
      <c r="P5" s="31"/>
      <c r="Q5" s="39">
        <f>+P5*O5</f>
        <v>0</v>
      </c>
      <c r="R5" s="28"/>
      <c r="S5" s="31">
        <v>1</v>
      </c>
      <c r="T5" s="31"/>
      <c r="U5" s="39">
        <f>+T5*S5</f>
        <v>0</v>
      </c>
      <c r="V5" s="28"/>
      <c r="W5" s="29"/>
      <c r="X5" s="41">
        <v>1</v>
      </c>
      <c r="Y5" s="42">
        <f>+D5+H5+L5+P5+T5</f>
        <v>0</v>
      </c>
      <c r="Z5" s="40">
        <f>+E5+I5+M5+Q5+U5</f>
        <v>0</v>
      </c>
      <c r="AA5" s="30"/>
      <c r="AB5" s="28"/>
      <c r="AF5" s="133" t="s">
        <v>56</v>
      </c>
      <c r="AG5" s="133"/>
      <c r="AH5" s="133"/>
      <c r="AI5" s="133"/>
      <c r="AJ5" s="133"/>
      <c r="AK5" s="80"/>
    </row>
    <row r="6" spans="2:40" ht="15.75" thickTop="1" x14ac:dyDescent="0.25">
      <c r="C6" s="1">
        <v>10</v>
      </c>
      <c r="D6" s="1">
        <v>387</v>
      </c>
      <c r="E6" s="39">
        <f>+D6*C6</f>
        <v>3870</v>
      </c>
      <c r="G6" s="1">
        <v>10</v>
      </c>
      <c r="H6" s="1">
        <v>86</v>
      </c>
      <c r="I6" s="39">
        <f>+H6*G6</f>
        <v>860</v>
      </c>
      <c r="K6" s="1">
        <v>10</v>
      </c>
      <c r="L6" s="1">
        <v>38</v>
      </c>
      <c r="M6" s="39">
        <f>+L6*K6</f>
        <v>380</v>
      </c>
      <c r="O6" s="1">
        <v>10</v>
      </c>
      <c r="P6" s="1">
        <v>174</v>
      </c>
      <c r="Q6" s="39">
        <f>+P6*O6</f>
        <v>1740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685</v>
      </c>
      <c r="Z6" s="40">
        <f>+E6+I6+M6+Q6+U6</f>
        <v>6850</v>
      </c>
      <c r="AA6" s="13"/>
      <c r="AC6" s="28"/>
      <c r="AD6" s="28"/>
      <c r="AE6" s="28"/>
      <c r="AL6" s="28"/>
      <c r="AM6" s="28"/>
      <c r="AN6" s="28"/>
    </row>
    <row r="7" spans="2:40" x14ac:dyDescent="0.25">
      <c r="C7" s="1">
        <v>20</v>
      </c>
      <c r="D7" s="1">
        <v>49</v>
      </c>
      <c r="E7" s="39">
        <f t="shared" ref="E7:E12" si="0">+D7*C7</f>
        <v>980</v>
      </c>
      <c r="G7" s="1">
        <v>20</v>
      </c>
      <c r="H7" s="1">
        <v>12</v>
      </c>
      <c r="I7" s="39">
        <f t="shared" ref="I7:I12" si="1">+H7*G7</f>
        <v>240</v>
      </c>
      <c r="K7" s="1">
        <v>20</v>
      </c>
      <c r="L7" s="1">
        <v>10</v>
      </c>
      <c r="M7" s="39">
        <f t="shared" ref="M7:M12" si="2">+L7*K7</f>
        <v>200</v>
      </c>
      <c r="O7" s="1">
        <v>20</v>
      </c>
      <c r="P7" s="1"/>
      <c r="Q7" s="39">
        <f t="shared" ref="Q7:Q12" si="3">+P7*O7</f>
        <v>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71</v>
      </c>
      <c r="Z7" s="40">
        <f t="shared" ref="Z7:Z12" si="5">+E7+I7+M7+Q7+U7</f>
        <v>1420</v>
      </c>
      <c r="AA7" s="13"/>
      <c r="AF7" s="70" t="s">
        <v>5</v>
      </c>
      <c r="AG7" s="71">
        <v>251720</v>
      </c>
      <c r="AH7" s="28"/>
      <c r="AI7" s="28"/>
      <c r="AJ7" s="28"/>
      <c r="AK7" s="28"/>
    </row>
    <row r="8" spans="2:40" x14ac:dyDescent="0.25">
      <c r="C8" s="1">
        <v>50</v>
      </c>
      <c r="D8" s="1">
        <v>106</v>
      </c>
      <c r="E8" s="39">
        <f t="shared" si="0"/>
        <v>5300</v>
      </c>
      <c r="G8" s="1">
        <v>50</v>
      </c>
      <c r="H8" s="1">
        <v>58</v>
      </c>
      <c r="I8" s="39">
        <f t="shared" si="1"/>
        <v>2900</v>
      </c>
      <c r="K8" s="1">
        <v>50</v>
      </c>
      <c r="L8" s="1">
        <v>21</v>
      </c>
      <c r="M8" s="39">
        <f t="shared" si="2"/>
        <v>1050</v>
      </c>
      <c r="O8" s="1">
        <v>50</v>
      </c>
      <c r="P8" s="1"/>
      <c r="Q8" s="39">
        <f t="shared" si="3"/>
        <v>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6">+D8+H8+L8+P8+T8</f>
        <v>185</v>
      </c>
      <c r="Z8" s="40">
        <f t="shared" si="5"/>
        <v>9250</v>
      </c>
      <c r="AA8" s="13"/>
      <c r="AF8" s="66" t="s">
        <v>120</v>
      </c>
      <c r="AG8" s="66">
        <f>+AG29</f>
        <v>15421</v>
      </c>
      <c r="AL8" s="3" t="s">
        <v>0</v>
      </c>
      <c r="AM8" s="3" t="s">
        <v>1</v>
      </c>
      <c r="AN8" s="3" t="s">
        <v>2</v>
      </c>
    </row>
    <row r="9" spans="2:40" ht="15.75" thickBot="1" x14ac:dyDescent="0.3">
      <c r="C9" s="1">
        <v>100</v>
      </c>
      <c r="D9" s="1">
        <v>53</v>
      </c>
      <c r="E9" s="39">
        <f t="shared" si="0"/>
        <v>5300</v>
      </c>
      <c r="G9" s="1">
        <v>100</v>
      </c>
      <c r="H9" s="1">
        <v>85</v>
      </c>
      <c r="I9" s="39">
        <f t="shared" si="1"/>
        <v>8500</v>
      </c>
      <c r="K9" s="1">
        <v>100</v>
      </c>
      <c r="L9" s="1">
        <v>23</v>
      </c>
      <c r="M9" s="39">
        <f t="shared" si="2"/>
        <v>2300</v>
      </c>
      <c r="O9" s="1">
        <v>100</v>
      </c>
      <c r="P9" s="1">
        <v>1</v>
      </c>
      <c r="Q9" s="39">
        <f t="shared" si="3"/>
        <v>100</v>
      </c>
      <c r="S9" s="1">
        <v>100</v>
      </c>
      <c r="T9" s="1"/>
      <c r="U9" s="39">
        <f t="shared" si="4"/>
        <v>0</v>
      </c>
      <c r="W9" s="12"/>
      <c r="X9" s="42">
        <v>100</v>
      </c>
      <c r="Y9" s="42">
        <f t="shared" si="6"/>
        <v>162</v>
      </c>
      <c r="Z9" s="40">
        <f t="shared" si="5"/>
        <v>16200</v>
      </c>
      <c r="AA9" s="13"/>
      <c r="AF9" s="72" t="s">
        <v>10</v>
      </c>
      <c r="AG9" s="73">
        <f>SUM(AG7:AG8)</f>
        <v>267141</v>
      </c>
      <c r="AL9" s="31">
        <v>1</v>
      </c>
      <c r="AM9" s="31"/>
      <c r="AN9" s="39">
        <f>+AM9*AL9</f>
        <v>0</v>
      </c>
    </row>
    <row r="10" spans="2:40" x14ac:dyDescent="0.25">
      <c r="C10" s="1">
        <v>500</v>
      </c>
      <c r="D10" s="1">
        <v>14</v>
      </c>
      <c r="E10" s="39">
        <f t="shared" si="0"/>
        <v>7000</v>
      </c>
      <c r="G10" s="1">
        <v>500</v>
      </c>
      <c r="H10" s="1">
        <v>33</v>
      </c>
      <c r="I10" s="39">
        <f t="shared" si="1"/>
        <v>16500</v>
      </c>
      <c r="K10" s="1">
        <v>500</v>
      </c>
      <c r="L10" s="1">
        <v>39</v>
      </c>
      <c r="M10" s="39">
        <f t="shared" si="2"/>
        <v>19500</v>
      </c>
      <c r="O10" s="1">
        <v>500</v>
      </c>
      <c r="P10" s="1">
        <v>30</v>
      </c>
      <c r="Q10" s="39">
        <f t="shared" si="3"/>
        <v>15000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116</v>
      </c>
      <c r="Z10" s="40">
        <f t="shared" si="5"/>
        <v>58000</v>
      </c>
      <c r="AA10" s="13"/>
      <c r="AL10" s="1">
        <v>10</v>
      </c>
      <c r="AM10" s="1">
        <v>685</v>
      </c>
      <c r="AN10" s="39">
        <f>+AM10*AL10</f>
        <v>6850</v>
      </c>
    </row>
    <row r="11" spans="2:40" x14ac:dyDescent="0.25">
      <c r="C11" s="1">
        <v>1000</v>
      </c>
      <c r="D11" s="1">
        <v>32</v>
      </c>
      <c r="E11" s="39">
        <f t="shared" si="0"/>
        <v>32000</v>
      </c>
      <c r="G11" s="1">
        <v>1000</v>
      </c>
      <c r="H11" s="1">
        <v>45</v>
      </c>
      <c r="I11" s="39">
        <f t="shared" si="1"/>
        <v>45000</v>
      </c>
      <c r="K11" s="1">
        <v>1000</v>
      </c>
      <c r="L11" s="1">
        <v>45</v>
      </c>
      <c r="M11" s="39">
        <f t="shared" si="2"/>
        <v>45000</v>
      </c>
      <c r="O11" s="1">
        <v>1000</v>
      </c>
      <c r="P11" s="1">
        <v>23</v>
      </c>
      <c r="Q11" s="39">
        <f t="shared" si="3"/>
        <v>23000</v>
      </c>
      <c r="S11" s="1">
        <v>1000</v>
      </c>
      <c r="T11" s="1"/>
      <c r="U11" s="39">
        <f t="shared" si="4"/>
        <v>0</v>
      </c>
      <c r="W11" s="12"/>
      <c r="X11" s="42">
        <v>1000</v>
      </c>
      <c r="Y11" s="42">
        <f t="shared" si="6"/>
        <v>145</v>
      </c>
      <c r="Z11" s="40">
        <f t="shared" si="5"/>
        <v>145000</v>
      </c>
      <c r="AA11" s="13"/>
      <c r="AF11" s="53" t="s">
        <v>57</v>
      </c>
      <c r="AG11" s="53" t="s">
        <v>2</v>
      </c>
      <c r="AH11" s="53" t="s">
        <v>58</v>
      </c>
      <c r="AI11" s="53" t="s">
        <v>59</v>
      </c>
      <c r="AJ11" s="53" t="s">
        <v>60</v>
      </c>
      <c r="AK11" s="53"/>
      <c r="AL11" s="1">
        <v>20</v>
      </c>
      <c r="AM11" s="1">
        <v>72</v>
      </c>
      <c r="AN11" s="39">
        <f t="shared" ref="AN11:AN16" si="7">+AM11*AL11</f>
        <v>1440</v>
      </c>
    </row>
    <row r="12" spans="2:40" x14ac:dyDescent="0.25">
      <c r="C12" s="1">
        <v>5000</v>
      </c>
      <c r="D12" s="1">
        <v>1</v>
      </c>
      <c r="E12" s="39">
        <f t="shared" si="0"/>
        <v>5000</v>
      </c>
      <c r="G12" s="1">
        <v>5000</v>
      </c>
      <c r="H12" s="1"/>
      <c r="I12" s="39">
        <f t="shared" si="1"/>
        <v>0</v>
      </c>
      <c r="K12" s="1">
        <v>5000</v>
      </c>
      <c r="L12" s="1">
        <v>2</v>
      </c>
      <c r="M12" s="39">
        <f t="shared" si="2"/>
        <v>10000</v>
      </c>
      <c r="O12" s="1">
        <v>5000</v>
      </c>
      <c r="P12" s="1"/>
      <c r="Q12" s="39">
        <f t="shared" si="3"/>
        <v>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6"/>
        <v>3</v>
      </c>
      <c r="Z12" s="40">
        <f t="shared" si="5"/>
        <v>15000</v>
      </c>
      <c r="AA12" s="13"/>
      <c r="AF12" t="s">
        <v>6</v>
      </c>
      <c r="AG12" s="4">
        <v>258950</v>
      </c>
      <c r="AI12" s="58"/>
      <c r="AL12" s="1">
        <v>50</v>
      </c>
      <c r="AM12" s="1">
        <v>185</v>
      </c>
      <c r="AN12" s="39">
        <f t="shared" si="7"/>
        <v>9250</v>
      </c>
    </row>
    <row r="13" spans="2:40" ht="15.75" thickBot="1" x14ac:dyDescent="0.3">
      <c r="C13" s="2" t="s">
        <v>3</v>
      </c>
      <c r="D13" s="2"/>
      <c r="E13" s="5">
        <f>+SUM(E5:E12)</f>
        <v>59450</v>
      </c>
      <c r="G13" s="2" t="s">
        <v>3</v>
      </c>
      <c r="H13" s="2"/>
      <c r="I13" s="5">
        <f>+SUM(I5:I12)</f>
        <v>74000</v>
      </c>
      <c r="K13" s="2" t="s">
        <v>3</v>
      </c>
      <c r="L13" s="2"/>
      <c r="M13" s="5">
        <f>+SUM(M5:M12)</f>
        <v>78430</v>
      </c>
      <c r="O13" s="2" t="s">
        <v>3</v>
      </c>
      <c r="P13" s="2"/>
      <c r="Q13" s="5">
        <f>+SUM(Q5:Q12)</f>
        <v>39840</v>
      </c>
      <c r="S13" s="2" t="s">
        <v>3</v>
      </c>
      <c r="T13" s="2"/>
      <c r="U13" s="5">
        <f>+SUM(U5:U12)</f>
        <v>0</v>
      </c>
      <c r="W13" s="12"/>
      <c r="X13" s="2" t="s">
        <v>3</v>
      </c>
      <c r="Y13" s="2"/>
      <c r="Z13" s="5">
        <f>+SUM(Z5:Z12)</f>
        <v>251720</v>
      </c>
      <c r="AA13" s="13"/>
      <c r="AF13" t="s">
        <v>62</v>
      </c>
      <c r="AG13" s="4">
        <v>8490</v>
      </c>
      <c r="AL13" s="1">
        <v>100</v>
      </c>
      <c r="AM13" s="1">
        <v>244</v>
      </c>
      <c r="AN13" s="39">
        <f t="shared" si="7"/>
        <v>24400</v>
      </c>
    </row>
    <row r="14" spans="2:40" ht="15.75" thickBot="1" x14ac:dyDescent="0.3">
      <c r="W14" s="12"/>
      <c r="X14" s="17"/>
      <c r="Y14" s="17"/>
      <c r="Z14" s="17"/>
      <c r="AA14" s="13"/>
      <c r="AF14" t="s">
        <v>63</v>
      </c>
      <c r="AG14" s="4"/>
      <c r="AL14" s="1">
        <v>500</v>
      </c>
      <c r="AM14" s="1">
        <v>147</v>
      </c>
      <c r="AN14" s="39">
        <f t="shared" si="7"/>
        <v>73500</v>
      </c>
    </row>
    <row r="15" spans="2:40" ht="15.75" thickBot="1" x14ac:dyDescent="0.3">
      <c r="B15" s="33"/>
      <c r="C15" s="127" t="s">
        <v>4</v>
      </c>
      <c r="D15" s="128"/>
      <c r="E15" s="7">
        <v>75776</v>
      </c>
      <c r="F15" s="33"/>
      <c r="G15" s="127" t="s">
        <v>4</v>
      </c>
      <c r="H15" s="128"/>
      <c r="I15" s="7">
        <v>76523</v>
      </c>
      <c r="J15" s="33"/>
      <c r="K15" s="127" t="s">
        <v>4</v>
      </c>
      <c r="L15" s="128"/>
      <c r="M15" s="7">
        <v>87814</v>
      </c>
      <c r="N15" s="33"/>
      <c r="O15" s="127" t="s">
        <v>4</v>
      </c>
      <c r="P15" s="128"/>
      <c r="Q15" s="7">
        <v>79335</v>
      </c>
      <c r="R15" s="33"/>
      <c r="S15" s="127" t="s">
        <v>4</v>
      </c>
      <c r="T15" s="128"/>
      <c r="U15" s="7"/>
      <c r="V15" s="33"/>
      <c r="W15" s="34"/>
      <c r="X15" s="127" t="s">
        <v>4</v>
      </c>
      <c r="Y15" s="128"/>
      <c r="Z15" s="7">
        <f>+E15+I15+M15+Q15+U15</f>
        <v>319448</v>
      </c>
      <c r="AA15" s="35"/>
      <c r="AB15" s="33"/>
      <c r="AF15" t="s">
        <v>64</v>
      </c>
      <c r="AG15" s="4"/>
      <c r="AL15" s="1">
        <v>1000</v>
      </c>
      <c r="AM15" s="1">
        <v>137</v>
      </c>
      <c r="AN15" s="39">
        <f t="shared" si="7"/>
        <v>137000</v>
      </c>
    </row>
    <row r="16" spans="2:40" x14ac:dyDescent="0.25">
      <c r="C16" t="s">
        <v>5</v>
      </c>
      <c r="E16" s="4">
        <v>59450</v>
      </c>
      <c r="G16" t="s">
        <v>5</v>
      </c>
      <c r="I16" s="4">
        <f>+I13</f>
        <v>74000</v>
      </c>
      <c r="K16" t="s">
        <v>5</v>
      </c>
      <c r="M16" s="4">
        <v>78430</v>
      </c>
      <c r="O16" t="s">
        <v>5</v>
      </c>
      <c r="Q16" s="4">
        <v>39840</v>
      </c>
      <c r="S16" t="s">
        <v>5</v>
      </c>
      <c r="U16" s="4"/>
      <c r="W16" s="12"/>
      <c r="X16" s="43" t="s">
        <v>5</v>
      </c>
      <c r="Y16" s="43"/>
      <c r="Z16" s="40">
        <f>+E16+I16+M16+Q16+U16</f>
        <v>251720</v>
      </c>
      <c r="AA16" s="13"/>
      <c r="AC16" s="33"/>
      <c r="AD16" s="33"/>
      <c r="AE16" s="33"/>
      <c r="AF16" t="s">
        <v>72</v>
      </c>
      <c r="AG16" s="4"/>
      <c r="AL16" s="1">
        <v>5000</v>
      </c>
      <c r="AM16" s="1">
        <v>3</v>
      </c>
      <c r="AN16" s="39">
        <f t="shared" si="7"/>
        <v>15000</v>
      </c>
    </row>
    <row r="17" spans="3:40" ht="15.75" thickBot="1" x14ac:dyDescent="0.3">
      <c r="C17" t="s">
        <v>6</v>
      </c>
      <c r="E17" s="4"/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0</v>
      </c>
      <c r="AA17" s="13"/>
      <c r="AF17" s="54" t="s">
        <v>10</v>
      </c>
      <c r="AG17" s="55">
        <f>+SUM(AG12:AG16)</f>
        <v>267440</v>
      </c>
      <c r="AH17" s="22"/>
      <c r="AL17" s="2" t="s">
        <v>3</v>
      </c>
      <c r="AM17" s="2"/>
      <c r="AN17" s="5">
        <f>+SUM(AN9:AN16)</f>
        <v>267440</v>
      </c>
    </row>
    <row r="18" spans="3:40" x14ac:dyDescent="0.25">
      <c r="C18" t="s">
        <v>165</v>
      </c>
      <c r="D18" t="s">
        <v>251</v>
      </c>
      <c r="E18" s="4">
        <v>9202</v>
      </c>
      <c r="G18" t="s">
        <v>7</v>
      </c>
      <c r="I18" s="4"/>
      <c r="K18" t="s">
        <v>220</v>
      </c>
      <c r="L18" t="s">
        <v>252</v>
      </c>
      <c r="M18" s="4">
        <v>5743</v>
      </c>
      <c r="O18" t="s">
        <v>167</v>
      </c>
      <c r="P18" t="s">
        <v>245</v>
      </c>
      <c r="Q18" s="4">
        <v>7608</v>
      </c>
      <c r="S18" t="s">
        <v>43</v>
      </c>
      <c r="U18" s="4"/>
      <c r="W18" s="12"/>
      <c r="X18" s="43" t="s">
        <v>7</v>
      </c>
      <c r="Y18" s="43"/>
      <c r="Z18" s="40">
        <f t="shared" si="8"/>
        <v>22553</v>
      </c>
      <c r="AA18" s="13"/>
      <c r="AF18" s="56" t="s">
        <v>66</v>
      </c>
      <c r="AG18" s="57">
        <f>+AG17-AG9</f>
        <v>299</v>
      </c>
      <c r="AH18" t="s">
        <v>214</v>
      </c>
    </row>
    <row r="19" spans="3:40" x14ac:dyDescent="0.25">
      <c r="C19" t="s">
        <v>167</v>
      </c>
      <c r="D19" t="s">
        <v>250</v>
      </c>
      <c r="E19" s="4">
        <v>7125</v>
      </c>
      <c r="G19" t="s">
        <v>8</v>
      </c>
      <c r="I19" s="4"/>
      <c r="K19" t="s">
        <v>161</v>
      </c>
      <c r="L19" t="s">
        <v>253</v>
      </c>
      <c r="M19" s="4">
        <v>3729</v>
      </c>
      <c r="O19" t="s">
        <v>167</v>
      </c>
      <c r="P19" t="s">
        <v>246</v>
      </c>
      <c r="Q19" s="4">
        <v>10200</v>
      </c>
      <c r="S19" t="s">
        <v>43</v>
      </c>
      <c r="U19" s="4"/>
      <c r="W19" s="12"/>
      <c r="X19" s="43" t="s">
        <v>8</v>
      </c>
      <c r="Y19" s="43"/>
      <c r="Z19" s="40">
        <f t="shared" si="8"/>
        <v>21054</v>
      </c>
      <c r="AA19" s="13"/>
    </row>
    <row r="20" spans="3:40" x14ac:dyDescent="0.25">
      <c r="C20" t="s">
        <v>9</v>
      </c>
      <c r="E20" s="4"/>
      <c r="G20" t="s">
        <v>9</v>
      </c>
      <c r="I20" s="4"/>
      <c r="K20" t="s">
        <v>9</v>
      </c>
      <c r="M20" s="4"/>
      <c r="O20" t="s">
        <v>181</v>
      </c>
      <c r="P20" t="s">
        <v>296</v>
      </c>
      <c r="Q20" s="4">
        <v>15394</v>
      </c>
      <c r="S20" t="s">
        <v>43</v>
      </c>
      <c r="U20" s="4"/>
      <c r="W20" s="12"/>
      <c r="X20" s="43" t="s">
        <v>9</v>
      </c>
      <c r="Y20" s="43"/>
      <c r="Z20" s="40">
        <f t="shared" si="8"/>
        <v>15394</v>
      </c>
      <c r="AA20" s="13"/>
    </row>
    <row r="21" spans="3:40" x14ac:dyDescent="0.25">
      <c r="E21" s="4"/>
      <c r="G21" t="s">
        <v>254</v>
      </c>
      <c r="H21" t="s">
        <v>255</v>
      </c>
      <c r="I21" s="4">
        <v>2653</v>
      </c>
      <c r="K21" t="s">
        <v>89</v>
      </c>
      <c r="M21" s="4"/>
      <c r="O21" t="s">
        <v>247</v>
      </c>
      <c r="P21" t="s">
        <v>248</v>
      </c>
      <c r="Q21" s="4">
        <v>6300</v>
      </c>
      <c r="S21" t="s">
        <v>43</v>
      </c>
      <c r="U21" s="4"/>
      <c r="W21" s="12"/>
      <c r="X21" s="43"/>
      <c r="Y21" s="43"/>
      <c r="Z21" s="40">
        <f t="shared" si="8"/>
        <v>8953</v>
      </c>
      <c r="AA21" s="13"/>
      <c r="AC21" s="67" t="s">
        <v>117</v>
      </c>
      <c r="AD21" s="67"/>
      <c r="AE21" s="67"/>
      <c r="AF21" s="33"/>
    </row>
    <row r="22" spans="3:40" x14ac:dyDescent="0.25">
      <c r="E22" s="4"/>
      <c r="I22" s="4"/>
      <c r="K22" t="s">
        <v>89</v>
      </c>
      <c r="M22" s="4"/>
      <c r="O22" t="s">
        <v>295</v>
      </c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  <c r="AC22" s="53" t="s">
        <v>114</v>
      </c>
      <c r="AD22" s="53" t="s">
        <v>115</v>
      </c>
      <c r="AE22" s="53" t="s">
        <v>122</v>
      </c>
      <c r="AF22" s="53" t="s">
        <v>116</v>
      </c>
      <c r="AG22" s="53" t="s">
        <v>2</v>
      </c>
    </row>
    <row r="23" spans="3:40" x14ac:dyDescent="0.25">
      <c r="E23" s="4"/>
      <c r="I23" s="4"/>
      <c r="M23" s="4"/>
      <c r="Q23" s="4"/>
      <c r="S23" t="s">
        <v>28</v>
      </c>
      <c r="U23" s="4"/>
      <c r="W23" s="12"/>
      <c r="X23" s="44" t="s">
        <v>28</v>
      </c>
      <c r="Y23" s="43"/>
      <c r="Z23" s="40">
        <f t="shared" si="8"/>
        <v>0</v>
      </c>
      <c r="AA23" s="13"/>
      <c r="AC23" t="s">
        <v>257</v>
      </c>
      <c r="AD23" s="58">
        <v>45855</v>
      </c>
      <c r="AE23" t="s">
        <v>256</v>
      </c>
      <c r="AG23">
        <v>15421</v>
      </c>
    </row>
    <row r="24" spans="3:40" x14ac:dyDescent="0.25">
      <c r="E24" s="4"/>
      <c r="I24" s="4"/>
      <c r="M24" s="4"/>
      <c r="Q24" s="4"/>
      <c r="S24" t="s">
        <v>29</v>
      </c>
      <c r="U24" s="4"/>
      <c r="W24" s="12"/>
      <c r="X24" s="44" t="s">
        <v>29</v>
      </c>
      <c r="Y24" s="43"/>
      <c r="Z24" s="40">
        <f t="shared" si="8"/>
        <v>0</v>
      </c>
      <c r="AA24" s="13"/>
      <c r="AD24" s="58"/>
    </row>
    <row r="25" spans="3:40" x14ac:dyDescent="0.25">
      <c r="E25" s="4"/>
      <c r="I25" s="4"/>
      <c r="M25" s="4"/>
      <c r="Q25" s="4"/>
      <c r="S25" t="s">
        <v>31</v>
      </c>
      <c r="U25" s="4"/>
      <c r="W25" s="12"/>
      <c r="X25" s="44" t="s">
        <v>31</v>
      </c>
      <c r="Y25" s="43"/>
      <c r="Z25" s="40">
        <f t="shared" si="8"/>
        <v>0</v>
      </c>
      <c r="AA25" s="13"/>
      <c r="AD25" s="75"/>
      <c r="AE25" s="17"/>
      <c r="AF25" s="17"/>
      <c r="AG25" s="17"/>
    </row>
    <row r="26" spans="3:40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  <c r="AD26" s="75"/>
      <c r="AE26" s="21"/>
      <c r="AF26" s="17"/>
      <c r="AG26" s="21"/>
    </row>
    <row r="27" spans="3:40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40" ht="15.75" thickBot="1" x14ac:dyDescent="0.3">
      <c r="C28" s="129" t="s">
        <v>10</v>
      </c>
      <c r="D28" s="130"/>
      <c r="E28" s="8">
        <f>+SUM(E16:E27)</f>
        <v>75777</v>
      </c>
      <c r="G28" s="129" t="s">
        <v>10</v>
      </c>
      <c r="H28" s="130"/>
      <c r="I28" s="8">
        <f>+SUM(I16:I27)</f>
        <v>76653</v>
      </c>
      <c r="K28" s="129" t="s">
        <v>10</v>
      </c>
      <c r="L28" s="130"/>
      <c r="M28" s="8">
        <f>+SUM(M16:M27)</f>
        <v>87902</v>
      </c>
      <c r="O28" s="129" t="s">
        <v>10</v>
      </c>
      <c r="P28" s="130"/>
      <c r="Q28" s="8">
        <f>+SUM(Q16:Q27)</f>
        <v>79342</v>
      </c>
      <c r="S28" s="129" t="s">
        <v>10</v>
      </c>
      <c r="T28" s="130"/>
      <c r="U28" s="8">
        <f>+SUM(U16:U27)</f>
        <v>0</v>
      </c>
      <c r="W28" s="12"/>
      <c r="X28" s="129" t="s">
        <v>10</v>
      </c>
      <c r="Y28" s="130"/>
      <c r="Z28" s="8">
        <f>+SUM(Z16:Z27)</f>
        <v>319674</v>
      </c>
      <c r="AA28" s="13"/>
    </row>
    <row r="29" spans="3:40" ht="15.75" thickBot="1" x14ac:dyDescent="0.3">
      <c r="E29" s="4"/>
      <c r="I29" s="4"/>
      <c r="M29" s="4"/>
      <c r="Q29" s="4"/>
      <c r="U29" s="4"/>
      <c r="W29" s="12"/>
      <c r="X29" s="17"/>
      <c r="Y29" s="17"/>
      <c r="Z29" s="16"/>
      <c r="AA29" s="13"/>
      <c r="AC29" s="74" t="s">
        <v>113</v>
      </c>
      <c r="AD29" s="74"/>
      <c r="AE29" s="74"/>
      <c r="AF29" s="74"/>
      <c r="AG29" s="69">
        <f>+SUM(AG23:AG28)</f>
        <v>15421</v>
      </c>
    </row>
    <row r="30" spans="3:40" ht="16.5" thickTop="1" thickBot="1" x14ac:dyDescent="0.3">
      <c r="C30" s="131" t="s">
        <v>11</v>
      </c>
      <c r="D30" s="131"/>
      <c r="E30" s="6">
        <f>+E28-E15</f>
        <v>1</v>
      </c>
      <c r="G30" s="131" t="s">
        <v>11</v>
      </c>
      <c r="H30" s="131"/>
      <c r="I30" s="6">
        <f>+I28-I15</f>
        <v>130</v>
      </c>
      <c r="K30" s="131" t="s">
        <v>11</v>
      </c>
      <c r="L30" s="131"/>
      <c r="M30" s="6">
        <f>+M28-M15</f>
        <v>88</v>
      </c>
      <c r="O30" s="131" t="s">
        <v>11</v>
      </c>
      <c r="P30" s="131"/>
      <c r="Q30" s="6">
        <f>+Q28-Q15</f>
        <v>7</v>
      </c>
      <c r="S30" s="131" t="s">
        <v>11</v>
      </c>
      <c r="T30" s="131"/>
      <c r="U30" s="6">
        <f>+U28-U15</f>
        <v>0</v>
      </c>
      <c r="W30" s="12"/>
      <c r="X30" s="134" t="s">
        <v>11</v>
      </c>
      <c r="Y30" s="134"/>
      <c r="Z30" s="45">
        <f>+Z28-Z15</f>
        <v>226</v>
      </c>
      <c r="AA30" s="13"/>
    </row>
    <row r="31" spans="3:40" ht="16.5" thickTop="1" thickBot="1" x14ac:dyDescent="0.3">
      <c r="W31" s="18"/>
      <c r="X31" s="19"/>
      <c r="Y31" s="19"/>
      <c r="Z31" s="19"/>
      <c r="AA31" s="20"/>
    </row>
    <row r="33" spans="3:26" ht="15.75" thickBot="1" x14ac:dyDescent="0.3"/>
    <row r="34" spans="3:26" x14ac:dyDescent="0.25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/>
      <c r="M34" s="23"/>
      <c r="O34" s="9" t="s">
        <v>15</v>
      </c>
      <c r="P34" s="10"/>
      <c r="Q34" s="23"/>
      <c r="S34" s="9" t="s">
        <v>15</v>
      </c>
      <c r="T34" s="10"/>
      <c r="U34" s="23"/>
      <c r="X34" s="46" t="s">
        <v>15</v>
      </c>
      <c r="Y34" s="47"/>
      <c r="Z34" s="48">
        <f>+E34+I34+M34+Q34+U34</f>
        <v>0</v>
      </c>
    </row>
    <row r="35" spans="3:26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26" x14ac:dyDescent="0.25">
      <c r="C36" s="12" t="s">
        <v>42</v>
      </c>
      <c r="D36" s="17"/>
      <c r="E36" s="24">
        <v>-1</v>
      </c>
      <c r="G36" s="12" t="s">
        <v>23</v>
      </c>
      <c r="H36" s="17"/>
      <c r="I36" s="24"/>
      <c r="K36" s="12" t="s">
        <v>42</v>
      </c>
      <c r="L36" s="17"/>
      <c r="M36" s="24">
        <v>-88</v>
      </c>
      <c r="O36" s="12" t="s">
        <v>42</v>
      </c>
      <c r="P36" s="17"/>
      <c r="Q36" s="24">
        <v>-7</v>
      </c>
      <c r="S36" s="12" t="s">
        <v>41</v>
      </c>
      <c r="T36" s="17"/>
      <c r="U36" s="24"/>
      <c r="X36" s="49" t="s">
        <v>23</v>
      </c>
      <c r="Y36" s="43"/>
      <c r="Z36" s="50">
        <f t="shared" si="9"/>
        <v>-96</v>
      </c>
    </row>
    <row r="37" spans="3:26" x14ac:dyDescent="0.25">
      <c r="C37" s="12" t="s">
        <v>3</v>
      </c>
      <c r="D37" s="17"/>
      <c r="E37" s="24">
        <f>+SUM(E34:E36)</f>
        <v>-1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-88</v>
      </c>
      <c r="O37" s="12" t="s">
        <v>3</v>
      </c>
      <c r="P37" s="17"/>
      <c r="Q37" s="24">
        <f>+SUM(Q34:Q36)</f>
        <v>-7</v>
      </c>
      <c r="S37" s="12" t="s">
        <v>3</v>
      </c>
      <c r="T37" s="17"/>
      <c r="U37" s="24">
        <f>+SUM(U34:U36)</f>
        <v>0</v>
      </c>
      <c r="X37" s="36" t="s">
        <v>3</v>
      </c>
      <c r="Y37" s="37"/>
      <c r="Z37" s="38">
        <f>+SUM(Z34:Z36)</f>
        <v>-96</v>
      </c>
    </row>
    <row r="38" spans="3:26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130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130</v>
      </c>
    </row>
    <row r="40" spans="3:26" x14ac:dyDescent="0.25">
      <c r="Z40" s="22"/>
    </row>
  </sheetData>
  <mergeCells count="25">
    <mergeCell ref="O15:P15"/>
    <mergeCell ref="S15:T15"/>
    <mergeCell ref="X15:Y15"/>
    <mergeCell ref="X3:Z3"/>
    <mergeCell ref="C3:E3"/>
    <mergeCell ref="G3:I3"/>
    <mergeCell ref="K3:M3"/>
    <mergeCell ref="O3:Q3"/>
    <mergeCell ref="S3:U3"/>
    <mergeCell ref="AF5:AJ5"/>
    <mergeCell ref="C30:D30"/>
    <mergeCell ref="G30:H30"/>
    <mergeCell ref="K30:L30"/>
    <mergeCell ref="O30:P30"/>
    <mergeCell ref="S30:T30"/>
    <mergeCell ref="X30:Y30"/>
    <mergeCell ref="C28:D28"/>
    <mergeCell ref="G28:H28"/>
    <mergeCell ref="K28:L28"/>
    <mergeCell ref="O28:P28"/>
    <mergeCell ref="S28:T28"/>
    <mergeCell ref="X28:Y28"/>
    <mergeCell ref="C15:D15"/>
    <mergeCell ref="G15:H15"/>
    <mergeCell ref="K15:L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2" zoomScale="80" zoomScaleNormal="80" workbookViewId="0">
      <selection activeCell="AF13" sqref="AF13"/>
    </sheetView>
  </sheetViews>
  <sheetFormatPr defaultRowHeight="15" x14ac:dyDescent="0.25"/>
  <cols>
    <col min="4" max="4" width="10.85546875" customWidth="1"/>
    <col min="5" max="5" width="9.42578125" customWidth="1"/>
    <col min="10" max="10" width="1.42578125" customWidth="1"/>
    <col min="11" max="12" width="13.5703125" bestFit="1" customWidth="1"/>
    <col min="14" max="14" width="2" customWidth="1"/>
    <col min="15" max="15" width="13.5703125" bestFit="1" customWidth="1"/>
    <col min="16" max="16" width="20.85546875" bestFit="1" customWidth="1"/>
    <col min="18" max="18" width="1.7109375" customWidth="1"/>
    <col min="19" max="19" width="13.5703125" bestFit="1" customWidth="1"/>
    <col min="22" max="22" width="1.5703125" customWidth="1"/>
    <col min="23" max="23" width="1" customWidth="1"/>
    <col min="25" max="25" width="10.28515625" customWidth="1"/>
    <col min="26" max="26" width="10.5703125" customWidth="1"/>
    <col min="27" max="27" width="1" customWidth="1"/>
    <col min="28" max="28" width="2.140625" customWidth="1"/>
    <col min="29" max="29" width="10.7109375" bestFit="1" customWidth="1"/>
    <col min="30" max="30" width="9.5703125" bestFit="1" customWidth="1"/>
    <col min="31" max="31" width="15.28515625" bestFit="1" customWidth="1"/>
    <col min="32" max="32" width="13.5703125" bestFit="1" customWidth="1"/>
    <col min="33" max="33" width="12" bestFit="1" customWidth="1"/>
    <col min="36" max="36" width="10.7109375" bestFit="1" customWidth="1"/>
    <col min="37" max="37" width="15.7109375" bestFit="1" customWidth="1"/>
    <col min="38" max="38" width="15.28515625" bestFit="1" customWidth="1"/>
  </cols>
  <sheetData>
    <row r="1" spans="2:39" ht="15.75" thickBot="1" x14ac:dyDescent="0.3"/>
    <row r="2" spans="2:39" x14ac:dyDescent="0.25">
      <c r="W2" s="9"/>
      <c r="X2" s="10"/>
      <c r="Y2" s="10"/>
      <c r="Z2" s="10"/>
      <c r="AA2" s="11"/>
    </row>
    <row r="3" spans="2:39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12</v>
      </c>
      <c r="P3" s="132"/>
      <c r="Q3" s="132"/>
      <c r="S3" s="132" t="s">
        <v>96</v>
      </c>
      <c r="T3" s="132"/>
      <c r="U3" s="132"/>
      <c r="W3" s="12"/>
      <c r="X3" s="126" t="s">
        <v>16</v>
      </c>
      <c r="Y3" s="126"/>
      <c r="Z3" s="126"/>
      <c r="AA3" s="13"/>
    </row>
    <row r="4" spans="2:39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2:39" ht="15.75" thickBot="1" x14ac:dyDescent="0.3">
      <c r="B5" s="28"/>
      <c r="C5" s="31">
        <v>1</v>
      </c>
      <c r="D5" s="31"/>
      <c r="E5" s="39">
        <f>+D5*C5</f>
        <v>0</v>
      </c>
      <c r="F5" s="28"/>
      <c r="G5" s="31">
        <v>1</v>
      </c>
      <c r="H5" s="31">
        <v>12</v>
      </c>
      <c r="I5" s="39">
        <f>+H5*G5</f>
        <v>12</v>
      </c>
      <c r="J5" s="28"/>
      <c r="K5" s="31">
        <v>1</v>
      </c>
      <c r="L5" s="31"/>
      <c r="M5" s="39">
        <f>+L5*K5</f>
        <v>0</v>
      </c>
      <c r="N5" s="28"/>
      <c r="O5" s="31">
        <v>1</v>
      </c>
      <c r="P5" s="31"/>
      <c r="Q5" s="39">
        <f>+P5*O5</f>
        <v>0</v>
      </c>
      <c r="R5" s="28"/>
      <c r="S5" s="31">
        <v>1</v>
      </c>
      <c r="T5" s="31"/>
      <c r="U5" s="39">
        <f>+T5*S5</f>
        <v>0</v>
      </c>
      <c r="V5" s="28"/>
      <c r="W5" s="29"/>
      <c r="X5" s="41">
        <v>1</v>
      </c>
      <c r="Y5" s="42">
        <f>+D5+H5+L5+P5+T5</f>
        <v>12</v>
      </c>
      <c r="Z5" s="40">
        <f>+E5+I5+M5+Q5+U5</f>
        <v>12</v>
      </c>
      <c r="AA5" s="30"/>
      <c r="AB5" s="28"/>
      <c r="AE5" s="84" t="s">
        <v>56</v>
      </c>
      <c r="AF5" s="84"/>
      <c r="AG5" s="84"/>
      <c r="AH5" s="84"/>
      <c r="AI5" s="84"/>
      <c r="AK5" s="31">
        <v>1</v>
      </c>
      <c r="AL5" s="31"/>
      <c r="AM5" s="39">
        <f>+AL5*AK5</f>
        <v>0</v>
      </c>
    </row>
    <row r="6" spans="2:39" ht="15.75" thickTop="1" x14ac:dyDescent="0.25">
      <c r="C6" s="1">
        <v>10</v>
      </c>
      <c r="D6" s="1">
        <v>21</v>
      </c>
      <c r="E6" s="39">
        <f>+D6*C6</f>
        <v>210</v>
      </c>
      <c r="G6" s="1">
        <v>10</v>
      </c>
      <c r="H6" s="1">
        <v>95</v>
      </c>
      <c r="I6" s="39">
        <f>+H6*G6</f>
        <v>950</v>
      </c>
      <c r="K6" s="1">
        <v>10</v>
      </c>
      <c r="L6" s="1">
        <v>75</v>
      </c>
      <c r="M6" s="39">
        <f>+L6*K6</f>
        <v>750</v>
      </c>
      <c r="O6" s="1">
        <v>10</v>
      </c>
      <c r="P6" s="1">
        <v>73</v>
      </c>
      <c r="Q6" s="39">
        <f>+P6*O6</f>
        <v>730</v>
      </c>
      <c r="S6" s="1">
        <v>10</v>
      </c>
      <c r="T6" s="1"/>
      <c r="U6" s="39">
        <f>+T6*S6</f>
        <v>0</v>
      </c>
      <c r="W6" s="12"/>
      <c r="X6" s="42">
        <v>10</v>
      </c>
      <c r="Y6" s="42">
        <f>+D6+H6+L6+P6+T6</f>
        <v>264</v>
      </c>
      <c r="Z6" s="40">
        <f>+E6+I6+M6+Q6+U6</f>
        <v>2640</v>
      </c>
      <c r="AA6" s="13"/>
      <c r="AC6" s="28"/>
      <c r="AD6" s="28"/>
      <c r="AK6" s="1">
        <v>10</v>
      </c>
      <c r="AL6" s="1">
        <v>264</v>
      </c>
      <c r="AM6" s="39">
        <f>+AL6*AK6</f>
        <v>2640</v>
      </c>
    </row>
    <row r="7" spans="2:39" x14ac:dyDescent="0.25">
      <c r="C7" s="1">
        <v>20</v>
      </c>
      <c r="D7" s="1">
        <v>9</v>
      </c>
      <c r="E7" s="39">
        <f t="shared" ref="E7:E12" si="0">+D7*C7</f>
        <v>180</v>
      </c>
      <c r="G7" s="1">
        <v>20</v>
      </c>
      <c r="H7" s="1">
        <v>14</v>
      </c>
      <c r="I7" s="39">
        <f t="shared" ref="I7:I12" si="1">+H7*G7</f>
        <v>280</v>
      </c>
      <c r="K7" s="1">
        <v>20</v>
      </c>
      <c r="L7" s="1">
        <v>10</v>
      </c>
      <c r="M7" s="39">
        <f t="shared" ref="M7:M12" si="2">+L7*K7</f>
        <v>200</v>
      </c>
      <c r="O7" s="1">
        <v>20</v>
      </c>
      <c r="P7" s="1"/>
      <c r="Q7" s="39">
        <f t="shared" ref="Q7:Q12" si="3">+P7*O7</f>
        <v>0</v>
      </c>
      <c r="S7" s="1">
        <v>20</v>
      </c>
      <c r="T7" s="1"/>
      <c r="U7" s="39">
        <f t="shared" ref="U7:U12" si="4">+T7*S7</f>
        <v>0</v>
      </c>
      <c r="W7" s="12"/>
      <c r="X7" s="42">
        <v>20</v>
      </c>
      <c r="Y7" s="42">
        <f>+D7+H7+L7+P7+T7</f>
        <v>33</v>
      </c>
      <c r="Z7" s="40">
        <f t="shared" ref="Z7:Z12" si="5">+E7+I7+M7+Q7+U7</f>
        <v>660</v>
      </c>
      <c r="AA7" s="13"/>
      <c r="AE7" s="70" t="s">
        <v>5</v>
      </c>
      <c r="AF7" s="71">
        <v>209262</v>
      </c>
      <c r="AG7" s="28"/>
      <c r="AH7" s="28"/>
      <c r="AI7" s="28"/>
      <c r="AJ7" s="28"/>
      <c r="AK7" s="1">
        <v>20</v>
      </c>
      <c r="AL7" s="1">
        <v>34</v>
      </c>
      <c r="AM7" s="39">
        <f t="shared" ref="AM7:AM12" si="6">+AL7*AK7</f>
        <v>680</v>
      </c>
    </row>
    <row r="8" spans="2:39" x14ac:dyDescent="0.25">
      <c r="C8" s="1">
        <v>50</v>
      </c>
      <c r="D8" s="1">
        <v>39</v>
      </c>
      <c r="E8" s="39">
        <f t="shared" si="0"/>
        <v>1950</v>
      </c>
      <c r="G8" s="1">
        <v>50</v>
      </c>
      <c r="H8" s="1">
        <v>82</v>
      </c>
      <c r="I8" s="39">
        <f t="shared" si="1"/>
        <v>4100</v>
      </c>
      <c r="K8" s="1">
        <v>50</v>
      </c>
      <c r="L8" s="1">
        <v>32</v>
      </c>
      <c r="M8" s="39">
        <f t="shared" si="2"/>
        <v>1600</v>
      </c>
      <c r="O8" s="1">
        <v>50</v>
      </c>
      <c r="P8" s="1">
        <v>42</v>
      </c>
      <c r="Q8" s="39">
        <f t="shared" si="3"/>
        <v>2100</v>
      </c>
      <c r="S8" s="1">
        <v>50</v>
      </c>
      <c r="T8" s="1"/>
      <c r="U8" s="39">
        <f t="shared" si="4"/>
        <v>0</v>
      </c>
      <c r="W8" s="12"/>
      <c r="X8" s="42">
        <v>50</v>
      </c>
      <c r="Y8" s="42">
        <f t="shared" ref="Y8:Y12" si="7">+D8+H8+L8+P8+T8</f>
        <v>195</v>
      </c>
      <c r="Z8" s="40">
        <f t="shared" si="5"/>
        <v>9750</v>
      </c>
      <c r="AA8" s="13"/>
      <c r="AE8" s="66" t="s">
        <v>120</v>
      </c>
      <c r="AF8" s="66">
        <f>+AG29</f>
        <v>48066</v>
      </c>
      <c r="AK8" s="1">
        <v>50</v>
      </c>
      <c r="AL8" s="1">
        <v>206</v>
      </c>
      <c r="AM8" s="39">
        <f t="shared" si="6"/>
        <v>10300</v>
      </c>
    </row>
    <row r="9" spans="2:39" ht="15.75" thickBot="1" x14ac:dyDescent="0.3">
      <c r="C9" s="1">
        <v>100</v>
      </c>
      <c r="D9" s="1">
        <v>44</v>
      </c>
      <c r="E9" s="39">
        <f t="shared" si="0"/>
        <v>4400</v>
      </c>
      <c r="G9" s="1">
        <v>100</v>
      </c>
      <c r="H9" s="1">
        <v>47</v>
      </c>
      <c r="I9" s="39">
        <f t="shared" si="1"/>
        <v>4700</v>
      </c>
      <c r="K9" s="1">
        <v>100</v>
      </c>
      <c r="L9" s="1">
        <v>40</v>
      </c>
      <c r="M9" s="39">
        <f t="shared" si="2"/>
        <v>4000</v>
      </c>
      <c r="O9" s="1">
        <v>100</v>
      </c>
      <c r="P9" s="1">
        <v>31</v>
      </c>
      <c r="Q9" s="39">
        <f t="shared" si="3"/>
        <v>3100</v>
      </c>
      <c r="S9" s="1">
        <v>100</v>
      </c>
      <c r="T9" s="1"/>
      <c r="U9" s="39">
        <f t="shared" si="4"/>
        <v>0</v>
      </c>
      <c r="W9" s="12"/>
      <c r="X9" s="42">
        <v>100</v>
      </c>
      <c r="Y9" s="42">
        <f t="shared" si="7"/>
        <v>162</v>
      </c>
      <c r="Z9" s="40">
        <f t="shared" si="5"/>
        <v>16200</v>
      </c>
      <c r="AA9" s="13"/>
      <c r="AE9" s="72" t="s">
        <v>10</v>
      </c>
      <c r="AF9" s="73">
        <f>SUM(AF7:AF8)</f>
        <v>257328</v>
      </c>
      <c r="AK9" s="1">
        <v>100</v>
      </c>
      <c r="AL9" s="1">
        <v>167</v>
      </c>
      <c r="AM9" s="39">
        <f t="shared" si="6"/>
        <v>16700</v>
      </c>
    </row>
    <row r="10" spans="2:39" x14ac:dyDescent="0.25">
      <c r="C10" s="1">
        <v>500</v>
      </c>
      <c r="D10" s="1">
        <v>23</v>
      </c>
      <c r="E10" s="39">
        <f t="shared" si="0"/>
        <v>11500</v>
      </c>
      <c r="G10" s="1">
        <v>500</v>
      </c>
      <c r="H10" s="1">
        <v>34</v>
      </c>
      <c r="I10" s="39">
        <f t="shared" si="1"/>
        <v>17000</v>
      </c>
      <c r="K10" s="1">
        <v>500</v>
      </c>
      <c r="L10" s="1">
        <v>20</v>
      </c>
      <c r="M10" s="39">
        <f t="shared" si="2"/>
        <v>10000</v>
      </c>
      <c r="O10" s="1">
        <v>500</v>
      </c>
      <c r="P10" s="1">
        <v>27</v>
      </c>
      <c r="Q10" s="39">
        <f t="shared" si="3"/>
        <v>13500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7"/>
        <v>104</v>
      </c>
      <c r="Z10" s="40">
        <f t="shared" si="5"/>
        <v>52000</v>
      </c>
      <c r="AA10" s="13"/>
      <c r="AK10" s="1">
        <v>500</v>
      </c>
      <c r="AL10" s="1">
        <v>110</v>
      </c>
      <c r="AM10" s="39">
        <f t="shared" si="6"/>
        <v>55000</v>
      </c>
    </row>
    <row r="11" spans="2:39" x14ac:dyDescent="0.25">
      <c r="C11" s="1">
        <v>1000</v>
      </c>
      <c r="D11" s="1">
        <v>30</v>
      </c>
      <c r="E11" s="39">
        <f t="shared" si="0"/>
        <v>30000</v>
      </c>
      <c r="G11" s="1">
        <v>1000</v>
      </c>
      <c r="H11" s="1">
        <v>30</v>
      </c>
      <c r="I11" s="39">
        <f t="shared" si="1"/>
        <v>30000</v>
      </c>
      <c r="K11" s="1">
        <v>1000</v>
      </c>
      <c r="L11" s="1">
        <v>34</v>
      </c>
      <c r="M11" s="39">
        <f t="shared" si="2"/>
        <v>34000</v>
      </c>
      <c r="O11" s="1">
        <v>1000</v>
      </c>
      <c r="P11" s="1">
        <v>24</v>
      </c>
      <c r="Q11" s="39">
        <f t="shared" si="3"/>
        <v>24000</v>
      </c>
      <c r="S11" s="1">
        <v>1000</v>
      </c>
      <c r="T11" s="1"/>
      <c r="U11" s="39">
        <f t="shared" si="4"/>
        <v>0</v>
      </c>
      <c r="W11" s="12"/>
      <c r="X11" s="42">
        <v>1000</v>
      </c>
      <c r="Y11" s="42">
        <f t="shared" si="7"/>
        <v>118</v>
      </c>
      <c r="Z11" s="40">
        <f t="shared" si="5"/>
        <v>118000</v>
      </c>
      <c r="AA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K11" s="1">
        <v>1000</v>
      </c>
      <c r="AL11" s="1">
        <v>152</v>
      </c>
      <c r="AM11" s="39">
        <f t="shared" si="6"/>
        <v>152000</v>
      </c>
    </row>
    <row r="12" spans="2:39" x14ac:dyDescent="0.25">
      <c r="C12" s="1">
        <v>5000</v>
      </c>
      <c r="D12" s="1"/>
      <c r="E12" s="39">
        <f t="shared" si="0"/>
        <v>0</v>
      </c>
      <c r="G12" s="1">
        <v>5000</v>
      </c>
      <c r="H12" s="1"/>
      <c r="I12" s="39">
        <f t="shared" si="1"/>
        <v>0</v>
      </c>
      <c r="K12" s="1">
        <v>5000</v>
      </c>
      <c r="L12" s="1">
        <v>2</v>
      </c>
      <c r="M12" s="39">
        <f t="shared" si="2"/>
        <v>10000</v>
      </c>
      <c r="O12" s="1">
        <v>5000</v>
      </c>
      <c r="P12" s="1"/>
      <c r="Q12" s="39">
        <f t="shared" si="3"/>
        <v>0</v>
      </c>
      <c r="S12" s="1">
        <v>5000</v>
      </c>
      <c r="T12" s="1"/>
      <c r="U12" s="39">
        <f t="shared" si="4"/>
        <v>0</v>
      </c>
      <c r="W12" s="12"/>
      <c r="X12" s="42">
        <v>5000</v>
      </c>
      <c r="Y12" s="42">
        <f t="shared" si="7"/>
        <v>2</v>
      </c>
      <c r="Z12" s="40">
        <f t="shared" si="5"/>
        <v>10000</v>
      </c>
      <c r="AA12" s="13"/>
      <c r="AE12" t="s">
        <v>6</v>
      </c>
      <c r="AF12" s="4">
        <v>257250</v>
      </c>
      <c r="AG12">
        <v>9811</v>
      </c>
      <c r="AH12" s="58" t="s">
        <v>292</v>
      </c>
      <c r="AI12" t="s">
        <v>293</v>
      </c>
      <c r="AK12" s="1">
        <v>5000</v>
      </c>
      <c r="AL12" s="1">
        <v>4</v>
      </c>
      <c r="AM12" s="39">
        <f t="shared" si="6"/>
        <v>20000</v>
      </c>
    </row>
    <row r="13" spans="2:39" ht="15.75" thickBot="1" x14ac:dyDescent="0.3">
      <c r="C13" s="2" t="s">
        <v>3</v>
      </c>
      <c r="D13" s="2"/>
      <c r="E13" s="5">
        <f>+SUM(E5:E12)</f>
        <v>48240</v>
      </c>
      <c r="G13" s="2" t="s">
        <v>3</v>
      </c>
      <c r="H13" s="2"/>
      <c r="I13" s="5">
        <f>+SUM(I5:I12)</f>
        <v>57042</v>
      </c>
      <c r="K13" s="2" t="s">
        <v>3</v>
      </c>
      <c r="L13" s="2"/>
      <c r="M13" s="5">
        <f>+SUM(M5:M12)</f>
        <v>60550</v>
      </c>
      <c r="O13" s="2" t="s">
        <v>3</v>
      </c>
      <c r="P13" s="2"/>
      <c r="Q13" s="5">
        <f>+SUM(Q5:Q12)</f>
        <v>43430</v>
      </c>
      <c r="S13" s="2" t="s">
        <v>3</v>
      </c>
      <c r="T13" s="2"/>
      <c r="U13" s="5">
        <f>+SUM(U5:U12)</f>
        <v>0</v>
      </c>
      <c r="W13" s="12"/>
      <c r="X13" s="2" t="s">
        <v>3</v>
      </c>
      <c r="Y13" s="2"/>
      <c r="Z13" s="5">
        <f>+SUM(Z5:Z12)</f>
        <v>209262</v>
      </c>
      <c r="AA13" s="13"/>
      <c r="AE13" t="s">
        <v>62</v>
      </c>
      <c r="AF13" s="4">
        <v>70</v>
      </c>
      <c r="AK13" s="2" t="s">
        <v>3</v>
      </c>
      <c r="AL13" s="2"/>
      <c r="AM13" s="5">
        <f>+SUM(AM5:AM12)</f>
        <v>257320</v>
      </c>
    </row>
    <row r="14" spans="2:39" ht="15.75" thickBot="1" x14ac:dyDescent="0.3">
      <c r="W14" s="12"/>
      <c r="X14" s="17"/>
      <c r="Y14" s="17"/>
      <c r="Z14" s="17"/>
      <c r="AA14" s="13"/>
      <c r="AE14" t="s">
        <v>63</v>
      </c>
      <c r="AF14" s="4"/>
    </row>
    <row r="15" spans="2:39" ht="15.75" thickBot="1" x14ac:dyDescent="0.3">
      <c r="B15" s="33"/>
      <c r="C15" s="127" t="s">
        <v>4</v>
      </c>
      <c r="D15" s="128"/>
      <c r="E15" s="7">
        <v>52677</v>
      </c>
      <c r="F15" s="33"/>
      <c r="G15" s="127" t="s">
        <v>4</v>
      </c>
      <c r="H15" s="128"/>
      <c r="I15" s="7">
        <v>57042</v>
      </c>
      <c r="J15" s="33"/>
      <c r="K15" s="127" t="s">
        <v>4</v>
      </c>
      <c r="L15" s="128"/>
      <c r="M15" s="7">
        <v>83044</v>
      </c>
      <c r="N15" s="33"/>
      <c r="O15" s="127" t="s">
        <v>4</v>
      </c>
      <c r="P15" s="128"/>
      <c r="Q15" s="7">
        <v>75562</v>
      </c>
      <c r="R15" s="33"/>
      <c r="S15" s="127" t="s">
        <v>4</v>
      </c>
      <c r="T15" s="128"/>
      <c r="U15" s="7"/>
      <c r="V15" s="33"/>
      <c r="W15" s="34"/>
      <c r="X15" s="127" t="s">
        <v>4</v>
      </c>
      <c r="Y15" s="128"/>
      <c r="Z15" s="7">
        <f>+E15+I15+M15+Q15+U15</f>
        <v>268325</v>
      </c>
      <c r="AA15" s="35"/>
      <c r="AB15" s="33"/>
      <c r="AE15" t="s">
        <v>64</v>
      </c>
      <c r="AF15" s="4"/>
    </row>
    <row r="16" spans="2:39" x14ac:dyDescent="0.25">
      <c r="C16" t="s">
        <v>5</v>
      </c>
      <c r="E16" s="4">
        <v>48240</v>
      </c>
      <c r="G16" t="s">
        <v>5</v>
      </c>
      <c r="I16" s="4">
        <f>+I13</f>
        <v>57042</v>
      </c>
      <c r="K16" t="s">
        <v>5</v>
      </c>
      <c r="M16" s="4">
        <v>60550</v>
      </c>
      <c r="O16" t="s">
        <v>5</v>
      </c>
      <c r="Q16" s="4">
        <f>+Q13</f>
        <v>43430</v>
      </c>
      <c r="S16" t="s">
        <v>5</v>
      </c>
      <c r="U16" s="4"/>
      <c r="W16" s="12"/>
      <c r="X16" s="43" t="s">
        <v>5</v>
      </c>
      <c r="Y16" s="43"/>
      <c r="Z16" s="40">
        <f>+E16+I16+M16+Q16+U16</f>
        <v>209262</v>
      </c>
      <c r="AA16" s="13"/>
      <c r="AC16" s="33"/>
      <c r="AD16" s="33"/>
      <c r="AE16" t="s">
        <v>72</v>
      </c>
      <c r="AF16" s="4"/>
    </row>
    <row r="17" spans="3:39" x14ac:dyDescent="0.25">
      <c r="C17" t="s">
        <v>6</v>
      </c>
      <c r="E17" s="4">
        <v>4440</v>
      </c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4440</v>
      </c>
      <c r="AA17" s="13"/>
      <c r="AE17" s="54" t="s">
        <v>10</v>
      </c>
      <c r="AF17" s="55">
        <f>+SUM(AF12:AF16)</f>
        <v>257320</v>
      </c>
      <c r="AG17" s="22"/>
    </row>
    <row r="18" spans="3:39" x14ac:dyDescent="0.25">
      <c r="C18" t="s">
        <v>43</v>
      </c>
      <c r="E18" s="4"/>
      <c r="G18" t="s">
        <v>7</v>
      </c>
      <c r="I18" s="4"/>
      <c r="K18" t="s">
        <v>181</v>
      </c>
      <c r="L18" t="s">
        <v>268</v>
      </c>
      <c r="M18" s="4">
        <v>6150</v>
      </c>
      <c r="O18" t="s">
        <v>265</v>
      </c>
      <c r="P18" t="s">
        <v>264</v>
      </c>
      <c r="Q18" s="4">
        <v>6090</v>
      </c>
      <c r="S18" t="s">
        <v>43</v>
      </c>
      <c r="U18" s="4"/>
      <c r="W18" s="12"/>
      <c r="X18" s="43" t="s">
        <v>7</v>
      </c>
      <c r="Y18" s="43"/>
      <c r="Z18" s="40">
        <f t="shared" si="8"/>
        <v>12240</v>
      </c>
      <c r="AA18" s="13"/>
      <c r="AF18" s="56" t="s">
        <v>66</v>
      </c>
      <c r="AG18" s="57">
        <f>+AF17-AF9</f>
        <v>-8</v>
      </c>
      <c r="AH18" t="s">
        <v>214</v>
      </c>
    </row>
    <row r="19" spans="3:39" x14ac:dyDescent="0.25">
      <c r="C19" t="s">
        <v>8</v>
      </c>
      <c r="E19" s="4"/>
      <c r="G19" t="s">
        <v>8</v>
      </c>
      <c r="I19" s="4"/>
      <c r="K19" t="s">
        <v>181</v>
      </c>
      <c r="L19" t="s">
        <v>269</v>
      </c>
      <c r="M19" s="4">
        <v>5000</v>
      </c>
      <c r="O19" t="s">
        <v>265</v>
      </c>
      <c r="P19" t="s">
        <v>266</v>
      </c>
      <c r="Q19" s="4">
        <v>14000</v>
      </c>
      <c r="S19" t="s">
        <v>43</v>
      </c>
      <c r="U19" s="4"/>
      <c r="W19" s="12"/>
      <c r="X19" s="43" t="s">
        <v>8</v>
      </c>
      <c r="Y19" s="43"/>
      <c r="Z19" s="40">
        <f t="shared" si="8"/>
        <v>19000</v>
      </c>
      <c r="AA19" s="13"/>
    </row>
    <row r="20" spans="3:39" x14ac:dyDescent="0.25">
      <c r="C20" t="s">
        <v>9</v>
      </c>
      <c r="E20" s="4"/>
      <c r="G20" t="s">
        <v>9</v>
      </c>
      <c r="I20" s="4"/>
      <c r="K20" t="s">
        <v>220</v>
      </c>
      <c r="L20" t="s">
        <v>294</v>
      </c>
      <c r="M20" s="4">
        <v>6036</v>
      </c>
      <c r="O20" t="s">
        <v>181</v>
      </c>
      <c r="P20" t="s">
        <v>267</v>
      </c>
      <c r="Q20" s="4">
        <v>5750</v>
      </c>
      <c r="S20" t="s">
        <v>43</v>
      </c>
      <c r="U20" s="4"/>
      <c r="W20" s="12"/>
      <c r="X20" s="43" t="s">
        <v>9</v>
      </c>
      <c r="Y20" s="43"/>
      <c r="Z20" s="40">
        <f t="shared" si="8"/>
        <v>11786</v>
      </c>
      <c r="AA20" s="13"/>
    </row>
    <row r="21" spans="3:39" x14ac:dyDescent="0.25">
      <c r="E21" s="4"/>
      <c r="I21" s="4"/>
      <c r="M21" s="4"/>
      <c r="S21" t="s">
        <v>43</v>
      </c>
      <c r="U21" s="4"/>
      <c r="W21" s="12"/>
      <c r="X21" s="43"/>
      <c r="Y21" s="43"/>
      <c r="Z21" s="40">
        <f>+E21+I21+M21+Q23+U21</f>
        <v>6190</v>
      </c>
      <c r="AA21" s="13"/>
      <c r="AC21" s="67" t="s">
        <v>277</v>
      </c>
      <c r="AD21" s="67"/>
      <c r="AE21" s="67"/>
      <c r="AF21" s="33"/>
      <c r="AJ21" s="67" t="s">
        <v>290</v>
      </c>
      <c r="AK21" s="67"/>
      <c r="AL21" s="67"/>
      <c r="AM21" s="85"/>
    </row>
    <row r="22" spans="3:39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  <c r="AC22" s="53" t="s">
        <v>114</v>
      </c>
      <c r="AD22" s="53" t="s">
        <v>115</v>
      </c>
      <c r="AE22" s="53" t="s">
        <v>122</v>
      </c>
      <c r="AF22" s="53" t="s">
        <v>116</v>
      </c>
      <c r="AG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3:39" x14ac:dyDescent="0.25">
      <c r="E23" s="4"/>
      <c r="I23" s="4"/>
      <c r="M23" s="4"/>
      <c r="O23" t="s">
        <v>259</v>
      </c>
      <c r="P23" t="s">
        <v>260</v>
      </c>
      <c r="Q23" s="4">
        <v>6190</v>
      </c>
      <c r="S23" t="s">
        <v>28</v>
      </c>
      <c r="U23" s="4"/>
      <c r="W23" s="12"/>
      <c r="X23" s="44" t="s">
        <v>28</v>
      </c>
      <c r="Y23" s="43"/>
      <c r="Z23" s="40">
        <f t="shared" si="8"/>
        <v>6190</v>
      </c>
      <c r="AA23" s="13"/>
      <c r="AC23" s="90" t="s">
        <v>153</v>
      </c>
      <c r="AD23" s="91">
        <v>45848</v>
      </c>
      <c r="AE23" s="90" t="s">
        <v>261</v>
      </c>
      <c r="AF23" s="17"/>
      <c r="AG23" s="85">
        <v>23000</v>
      </c>
      <c r="AH23" t="s">
        <v>275</v>
      </c>
      <c r="AJ23" t="s">
        <v>257</v>
      </c>
      <c r="AK23" t="s">
        <v>175</v>
      </c>
      <c r="AL23" t="s">
        <v>279</v>
      </c>
      <c r="AM23">
        <v>6183</v>
      </c>
    </row>
    <row r="24" spans="3:39" x14ac:dyDescent="0.25">
      <c r="E24" s="4"/>
      <c r="I24" s="4"/>
      <c r="M24" s="4"/>
      <c r="Q24" s="4"/>
      <c r="S24" t="s">
        <v>29</v>
      </c>
      <c r="U24" s="4"/>
      <c r="W24" s="12"/>
      <c r="X24" s="44" t="s">
        <v>29</v>
      </c>
      <c r="Y24" s="43"/>
      <c r="Z24" s="40">
        <f t="shared" si="8"/>
        <v>0</v>
      </c>
      <c r="AA24" s="13"/>
      <c r="AC24" s="90" t="s">
        <v>262</v>
      </c>
      <c r="AD24" s="91">
        <v>45860</v>
      </c>
      <c r="AE24" s="90" t="s">
        <v>263</v>
      </c>
      <c r="AF24" s="17"/>
      <c r="AG24" s="85">
        <v>6300</v>
      </c>
      <c r="AH24" t="s">
        <v>276</v>
      </c>
      <c r="AJ24" t="s">
        <v>257</v>
      </c>
      <c r="AK24" t="s">
        <v>207</v>
      </c>
      <c r="AL24" t="s">
        <v>280</v>
      </c>
      <c r="AM24">
        <v>4500</v>
      </c>
    </row>
    <row r="25" spans="3:39" x14ac:dyDescent="0.25">
      <c r="E25" s="4"/>
      <c r="I25" s="4"/>
      <c r="M25" s="4"/>
      <c r="Q25" s="4"/>
      <c r="S25" t="s">
        <v>31</v>
      </c>
      <c r="U25" s="4"/>
      <c r="W25" s="12"/>
      <c r="X25" s="44" t="s">
        <v>31</v>
      </c>
      <c r="Y25" s="43"/>
      <c r="Z25" s="40">
        <f t="shared" si="8"/>
        <v>0</v>
      </c>
      <c r="AA25" s="13"/>
      <c r="AC25" s="90" t="s">
        <v>257</v>
      </c>
      <c r="AD25" s="91">
        <v>45860</v>
      </c>
      <c r="AE25" s="90" t="s">
        <v>270</v>
      </c>
      <c r="AF25" s="17"/>
      <c r="AG25" s="88">
        <v>2653</v>
      </c>
      <c r="AH25" t="s">
        <v>276</v>
      </c>
      <c r="AJ25" t="s">
        <v>282</v>
      </c>
      <c r="AK25" t="s">
        <v>107</v>
      </c>
      <c r="AL25" t="s">
        <v>281</v>
      </c>
      <c r="AM25">
        <v>6990</v>
      </c>
    </row>
    <row r="26" spans="3:39" x14ac:dyDescent="0.25">
      <c r="E26" s="4"/>
      <c r="I26" s="4"/>
      <c r="M26" s="4"/>
      <c r="Q26" s="4"/>
      <c r="W26" s="12"/>
      <c r="X26" s="43"/>
      <c r="Y26" s="43"/>
      <c r="Z26" s="40">
        <f t="shared" si="8"/>
        <v>0</v>
      </c>
      <c r="AA26" s="13"/>
      <c r="AC26" s="90" t="s">
        <v>257</v>
      </c>
      <c r="AD26" s="91">
        <v>45852</v>
      </c>
      <c r="AE26" s="90" t="s">
        <v>271</v>
      </c>
      <c r="AF26" s="17"/>
      <c r="AG26" s="87">
        <v>8700</v>
      </c>
      <c r="AH26" t="s">
        <v>275</v>
      </c>
      <c r="AJ26" t="s">
        <v>282</v>
      </c>
      <c r="AK26" t="s">
        <v>93</v>
      </c>
      <c r="AL26" t="s">
        <v>283</v>
      </c>
      <c r="AM26">
        <v>2700</v>
      </c>
    </row>
    <row r="27" spans="3:39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  <c r="AC27" s="90" t="s">
        <v>257</v>
      </c>
      <c r="AD27" s="91">
        <v>45852</v>
      </c>
      <c r="AE27" s="90" t="s">
        <v>272</v>
      </c>
      <c r="AF27" s="17"/>
      <c r="AG27" s="90">
        <v>3623</v>
      </c>
      <c r="AH27" t="s">
        <v>275</v>
      </c>
      <c r="AJ27" t="s">
        <v>282</v>
      </c>
      <c r="AK27" t="s">
        <v>108</v>
      </c>
      <c r="AL27" t="s">
        <v>284</v>
      </c>
      <c r="AM27">
        <v>20000</v>
      </c>
    </row>
    <row r="28" spans="3:39" ht="15.75" thickBot="1" x14ac:dyDescent="0.3">
      <c r="C28" s="129" t="s">
        <v>10</v>
      </c>
      <c r="D28" s="130"/>
      <c r="E28" s="8">
        <f>+SUM(E16:E27)</f>
        <v>52680</v>
      </c>
      <c r="G28" s="129" t="s">
        <v>10</v>
      </c>
      <c r="H28" s="130"/>
      <c r="I28" s="8">
        <f>+SUM(I16:I27)</f>
        <v>57042</v>
      </c>
      <c r="K28" s="129" t="s">
        <v>10</v>
      </c>
      <c r="L28" s="130"/>
      <c r="M28" s="8">
        <f>+SUM(M16:M27)</f>
        <v>77736</v>
      </c>
      <c r="O28" s="129" t="s">
        <v>10</v>
      </c>
      <c r="P28" s="130"/>
      <c r="Q28" s="8">
        <f>+SUM(Q16:Q27)</f>
        <v>75460</v>
      </c>
      <c r="S28" s="129" t="s">
        <v>10</v>
      </c>
      <c r="T28" s="130"/>
      <c r="U28" s="8">
        <f>+SUM(U16:U27)</f>
        <v>0</v>
      </c>
      <c r="W28" s="12"/>
      <c r="X28" s="129" t="s">
        <v>10</v>
      </c>
      <c r="Y28" s="130"/>
      <c r="Z28" s="8">
        <f>+SUM(Z16:Z27)</f>
        <v>269108</v>
      </c>
      <c r="AA28" s="13"/>
      <c r="AC28" s="90" t="s">
        <v>257</v>
      </c>
      <c r="AD28" s="91">
        <v>45853</v>
      </c>
      <c r="AE28" s="90" t="s">
        <v>273</v>
      </c>
      <c r="AF28" s="17"/>
      <c r="AG28" s="90">
        <v>3790</v>
      </c>
      <c r="AH28" t="s">
        <v>275</v>
      </c>
      <c r="AJ28" t="s">
        <v>153</v>
      </c>
      <c r="AK28" t="s">
        <v>39</v>
      </c>
      <c r="AL28" t="s">
        <v>261</v>
      </c>
      <c r="AM28">
        <v>23000</v>
      </c>
    </row>
    <row r="29" spans="3:39" ht="15.75" thickBot="1" x14ac:dyDescent="0.3">
      <c r="E29" s="4"/>
      <c r="I29" s="4"/>
      <c r="M29" s="4"/>
      <c r="Q29" s="4"/>
      <c r="U29" s="4"/>
      <c r="W29" s="12"/>
      <c r="X29" s="17"/>
      <c r="Y29" s="17"/>
      <c r="Z29" s="16"/>
      <c r="AA29" s="13"/>
      <c r="AC29" s="89" t="s">
        <v>113</v>
      </c>
      <c r="AD29" s="89"/>
      <c r="AE29" s="89"/>
      <c r="AF29" s="89"/>
      <c r="AG29" s="92">
        <f>+SUM(AG23:AG28)</f>
        <v>48066</v>
      </c>
      <c r="AJ29" t="s">
        <v>150</v>
      </c>
      <c r="AK29" t="s">
        <v>286</v>
      </c>
      <c r="AL29" t="s">
        <v>285</v>
      </c>
      <c r="AM29">
        <v>3000</v>
      </c>
    </row>
    <row r="30" spans="3:39" ht="16.5" thickTop="1" thickBot="1" x14ac:dyDescent="0.3">
      <c r="C30" s="131" t="s">
        <v>11</v>
      </c>
      <c r="D30" s="131"/>
      <c r="E30" s="6">
        <f>+E28-E15</f>
        <v>3</v>
      </c>
      <c r="G30" s="131" t="s">
        <v>11</v>
      </c>
      <c r="H30" s="131"/>
      <c r="I30" s="6">
        <f>+I28-I15</f>
        <v>0</v>
      </c>
      <c r="K30" s="131" t="s">
        <v>11</v>
      </c>
      <c r="L30" s="131"/>
      <c r="M30" s="6">
        <f>+M28-M15</f>
        <v>-5308</v>
      </c>
      <c r="O30" s="131" t="s">
        <v>11</v>
      </c>
      <c r="P30" s="131"/>
      <c r="Q30" s="6">
        <f>+Q28-Q15</f>
        <v>-102</v>
      </c>
      <c r="S30" s="131" t="s">
        <v>11</v>
      </c>
      <c r="T30" s="131"/>
      <c r="U30" s="6">
        <f>+U28-U15</f>
        <v>0</v>
      </c>
      <c r="W30" s="12"/>
      <c r="X30" s="134" t="s">
        <v>11</v>
      </c>
      <c r="Y30" s="134"/>
      <c r="Z30" s="45">
        <f>+Z28-Z15</f>
        <v>783</v>
      </c>
      <c r="AA30" s="13"/>
      <c r="AJ30" t="s">
        <v>150</v>
      </c>
      <c r="AK30" t="s">
        <v>130</v>
      </c>
      <c r="AL30" t="s">
        <v>287</v>
      </c>
      <c r="AM30">
        <v>5633</v>
      </c>
    </row>
    <row r="31" spans="3:39" ht="16.5" thickTop="1" thickBot="1" x14ac:dyDescent="0.3">
      <c r="W31" s="18"/>
      <c r="X31" s="19"/>
      <c r="Y31" s="19"/>
      <c r="Z31" s="19"/>
      <c r="AA31" s="20"/>
      <c r="AJ31" t="s">
        <v>153</v>
      </c>
      <c r="AK31" t="s">
        <v>160</v>
      </c>
      <c r="AL31" t="s">
        <v>288</v>
      </c>
      <c r="AM31">
        <v>9577</v>
      </c>
    </row>
    <row r="32" spans="3:39" x14ac:dyDescent="0.25">
      <c r="AJ32" t="s">
        <v>282</v>
      </c>
      <c r="AK32" t="s">
        <v>131</v>
      </c>
      <c r="AL32" t="s">
        <v>289</v>
      </c>
      <c r="AM32">
        <v>11650</v>
      </c>
    </row>
    <row r="33" spans="3:39" ht="15.75" thickBot="1" x14ac:dyDescent="0.3"/>
    <row r="34" spans="3:39" ht="15.75" thickBot="1" x14ac:dyDescent="0.3">
      <c r="C34" s="9" t="s">
        <v>15</v>
      </c>
      <c r="D34" s="10"/>
      <c r="E34" s="23"/>
      <c r="G34" s="9" t="s">
        <v>15</v>
      </c>
      <c r="H34" s="10"/>
      <c r="I34" s="23"/>
      <c r="K34" s="9" t="s">
        <v>15</v>
      </c>
      <c r="L34" s="10" t="s">
        <v>274</v>
      </c>
      <c r="M34" s="23">
        <v>5308</v>
      </c>
      <c r="O34" s="9" t="s">
        <v>15</v>
      </c>
      <c r="P34" s="10"/>
      <c r="Q34" s="23">
        <v>102</v>
      </c>
      <c r="S34" s="9" t="s">
        <v>15</v>
      </c>
      <c r="T34" s="10"/>
      <c r="U34" s="23"/>
      <c r="X34" s="46" t="s">
        <v>15</v>
      </c>
      <c r="Y34" s="47"/>
      <c r="Z34" s="48">
        <f>+E34+I34+M34+Q34+U34</f>
        <v>5410</v>
      </c>
      <c r="AJ34" s="89" t="s">
        <v>113</v>
      </c>
      <c r="AK34" s="89"/>
      <c r="AL34" s="89"/>
      <c r="AM34" s="92">
        <f>+SUM(AM23:AM33)</f>
        <v>93233</v>
      </c>
    </row>
    <row r="35" spans="3:39" ht="15.75" thickTop="1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39" x14ac:dyDescent="0.25">
      <c r="C36" s="12" t="s">
        <v>42</v>
      </c>
      <c r="D36" s="17"/>
      <c r="E36" s="24">
        <v>-3</v>
      </c>
      <c r="G36" s="12" t="s">
        <v>23</v>
      </c>
      <c r="H36" s="17"/>
      <c r="I36" s="24"/>
      <c r="K36" s="12" t="s">
        <v>23</v>
      </c>
      <c r="L36" s="17"/>
      <c r="M36" s="24"/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-3</v>
      </c>
    </row>
    <row r="37" spans="3:39" x14ac:dyDescent="0.25">
      <c r="C37" s="12" t="s">
        <v>3</v>
      </c>
      <c r="D37" s="17"/>
      <c r="E37" s="24">
        <f>+SUM(E34:E36)</f>
        <v>-3</v>
      </c>
      <c r="G37" s="12" t="s">
        <v>3</v>
      </c>
      <c r="H37" s="17"/>
      <c r="I37" s="24">
        <f>+SUM(I34:I36)</f>
        <v>0</v>
      </c>
      <c r="K37" s="12" t="s">
        <v>3</v>
      </c>
      <c r="L37" s="17"/>
      <c r="M37" s="24">
        <f>+SUM(M34:M36)</f>
        <v>5308</v>
      </c>
      <c r="O37" s="12" t="s">
        <v>3</v>
      </c>
      <c r="P37" s="17"/>
      <c r="Q37" s="24">
        <f>+SUM(Q34:Q36)</f>
        <v>102</v>
      </c>
      <c r="S37" s="12" t="s">
        <v>3</v>
      </c>
      <c r="T37" s="17"/>
      <c r="U37" s="24">
        <f>+SUM(U34:U36)</f>
        <v>0</v>
      </c>
      <c r="X37" s="36" t="s">
        <v>3</v>
      </c>
      <c r="Y37" s="37"/>
      <c r="Z37" s="38">
        <f>+SUM(Z34:Z36)</f>
        <v>5407</v>
      </c>
    </row>
    <row r="38" spans="3:39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0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6190</v>
      </c>
    </row>
    <row r="40" spans="3:39" x14ac:dyDescent="0.25">
      <c r="Z40" s="22"/>
    </row>
  </sheetData>
  <mergeCells count="24">
    <mergeCell ref="X15:Y15"/>
    <mergeCell ref="X3:Z3"/>
    <mergeCell ref="C3:E3"/>
    <mergeCell ref="G3:I3"/>
    <mergeCell ref="K3:M3"/>
    <mergeCell ref="O3:Q3"/>
    <mergeCell ref="S3:U3"/>
    <mergeCell ref="C15:D15"/>
    <mergeCell ref="G15:H15"/>
    <mergeCell ref="K15:L15"/>
    <mergeCell ref="O15:P15"/>
    <mergeCell ref="S15:T15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50"/>
  <sheetViews>
    <sheetView zoomScale="90" zoomScaleNormal="90" workbookViewId="0">
      <selection activeCell="AE44" sqref="AE44"/>
    </sheetView>
  </sheetViews>
  <sheetFormatPr defaultRowHeight="15" x14ac:dyDescent="0.25"/>
  <cols>
    <col min="5" max="5" width="1.28515625" customWidth="1"/>
    <col min="9" max="9" width="1.5703125" customWidth="1"/>
    <col min="10" max="10" width="13.5703125" bestFit="1" customWidth="1"/>
    <col min="11" max="11" width="11.42578125" bestFit="1" customWidth="1"/>
    <col min="13" max="13" width="1.28515625" customWidth="1"/>
    <col min="17" max="17" width="1.42578125" customWidth="1"/>
    <col min="19" max="19" width="14.140625" bestFit="1" customWidth="1"/>
    <col min="20" max="20" width="12.140625" bestFit="1" customWidth="1"/>
    <col min="21" max="22" width="1.85546875" customWidth="1"/>
    <col min="25" max="25" width="10.140625" bestFit="1" customWidth="1"/>
    <col min="26" max="26" width="1.85546875" customWidth="1"/>
    <col min="27" max="27" width="1" customWidth="1"/>
    <col min="28" max="28" width="10.42578125" customWidth="1"/>
    <col min="29" max="29" width="10.85546875" customWidth="1"/>
    <col min="30" max="30" width="15" bestFit="1" customWidth="1"/>
    <col min="31" max="31" width="16" customWidth="1"/>
    <col min="32" max="32" width="14" customWidth="1"/>
    <col min="35" max="35" width="13.7109375" customWidth="1"/>
    <col min="36" max="36" width="17" bestFit="1" customWidth="1"/>
    <col min="37" max="37" width="12.140625" bestFit="1" customWidth="1"/>
  </cols>
  <sheetData>
    <row r="1" spans="2:38" ht="15.75" thickBot="1" x14ac:dyDescent="0.3"/>
    <row r="2" spans="2:38" x14ac:dyDescent="0.25">
      <c r="V2" s="9"/>
      <c r="W2" s="10"/>
      <c r="X2" s="10"/>
      <c r="Y2" s="10"/>
      <c r="Z2" s="11"/>
    </row>
    <row r="3" spans="2:38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8" ht="15.75" thickBot="1" x14ac:dyDescent="0.3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  <c r="AC4" s="66"/>
      <c r="AD4" s="86" t="s">
        <v>56</v>
      </c>
      <c r="AE4" s="86"/>
      <c r="AF4" s="86"/>
      <c r="AG4" s="86"/>
      <c r="AH4" s="86"/>
      <c r="AJ4" s="31">
        <v>1</v>
      </c>
      <c r="AK4" s="31">
        <v>7</v>
      </c>
      <c r="AL4" s="39">
        <f>+AK4*AJ4</f>
        <v>7</v>
      </c>
    </row>
    <row r="5" spans="2:38" ht="21.75" customHeight="1" thickTop="1" x14ac:dyDescent="0.25">
      <c r="B5" s="31">
        <v>1</v>
      </c>
      <c r="C5" s="31"/>
      <c r="D5" s="39">
        <f>+C5*B5</f>
        <v>0</v>
      </c>
      <c r="E5" s="28"/>
      <c r="F5" s="31">
        <v>1</v>
      </c>
      <c r="G5" s="31">
        <v>1</v>
      </c>
      <c r="H5" s="39">
        <f>+G5*F5</f>
        <v>1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1</v>
      </c>
      <c r="Y5" s="40">
        <f>+D5+H5+L5+P5+T5</f>
        <v>1</v>
      </c>
      <c r="Z5" s="30"/>
      <c r="AA5" s="28"/>
      <c r="AB5" s="28"/>
      <c r="AC5" s="28"/>
      <c r="AJ5" s="1">
        <v>10</v>
      </c>
      <c r="AK5" s="1">
        <v>22</v>
      </c>
      <c r="AL5" s="39">
        <f>+AK5*AJ5</f>
        <v>220</v>
      </c>
    </row>
    <row r="6" spans="2:38" x14ac:dyDescent="0.25">
      <c r="B6" s="1">
        <v>10</v>
      </c>
      <c r="C6" s="1">
        <v>115</v>
      </c>
      <c r="D6" s="39">
        <f>+C6*B6</f>
        <v>1150</v>
      </c>
      <c r="F6" s="1">
        <v>10</v>
      </c>
      <c r="G6" s="1">
        <v>31</v>
      </c>
      <c r="H6" s="39">
        <f>+G6*F6</f>
        <v>310</v>
      </c>
      <c r="J6" s="1">
        <v>10</v>
      </c>
      <c r="K6" s="1">
        <v>15</v>
      </c>
      <c r="L6" s="39">
        <f>+K6*J6</f>
        <v>150</v>
      </c>
      <c r="N6" s="1">
        <v>10</v>
      </c>
      <c r="O6" s="1">
        <v>129</v>
      </c>
      <c r="P6" s="39">
        <f>+O6*N6</f>
        <v>1290</v>
      </c>
      <c r="R6" s="1">
        <v>10</v>
      </c>
      <c r="S6" s="1">
        <v>32</v>
      </c>
      <c r="T6" s="39">
        <f>+S6*R6</f>
        <v>320</v>
      </c>
      <c r="V6" s="12"/>
      <c r="W6" s="42">
        <v>10</v>
      </c>
      <c r="X6" s="42">
        <f>+C6+G6+K6+O6+S6</f>
        <v>322</v>
      </c>
      <c r="Y6" s="40">
        <f>+D6+H6+L6+P6+T6</f>
        <v>3220</v>
      </c>
      <c r="Z6" s="13"/>
      <c r="AD6" s="70" t="s">
        <v>5</v>
      </c>
      <c r="AE6" s="71">
        <f>+Y13</f>
        <v>309011</v>
      </c>
      <c r="AF6" s="28"/>
      <c r="AG6" s="28"/>
      <c r="AH6" s="28"/>
      <c r="AI6" s="28"/>
      <c r="AJ6" s="1">
        <v>20</v>
      </c>
      <c r="AK6" s="1">
        <v>47</v>
      </c>
      <c r="AL6" s="39">
        <f t="shared" ref="AL6:AL11" si="0">+AK6*AJ6</f>
        <v>940</v>
      </c>
    </row>
    <row r="7" spans="2:38" x14ac:dyDescent="0.25">
      <c r="B7" s="1">
        <v>20</v>
      </c>
      <c r="C7" s="1">
        <v>31</v>
      </c>
      <c r="D7" s="39">
        <f t="shared" ref="D7:D12" si="1">+C7*B7</f>
        <v>620</v>
      </c>
      <c r="F7" s="1">
        <v>20</v>
      </c>
      <c r="G7" s="1">
        <v>4</v>
      </c>
      <c r="H7" s="39">
        <f t="shared" ref="H7:H12" si="2">+G7*F7</f>
        <v>80</v>
      </c>
      <c r="J7" s="1">
        <v>20</v>
      </c>
      <c r="K7" s="1">
        <v>5</v>
      </c>
      <c r="L7" s="39">
        <f t="shared" ref="L7:L12" si="3">+K7*J7</f>
        <v>100</v>
      </c>
      <c r="N7" s="1">
        <v>20</v>
      </c>
      <c r="O7" s="1"/>
      <c r="P7" s="39">
        <f t="shared" ref="P7:P12" si="4">+O7*N7</f>
        <v>0</v>
      </c>
      <c r="R7" s="1">
        <v>20</v>
      </c>
      <c r="S7" s="1">
        <v>2</v>
      </c>
      <c r="T7" s="39">
        <f t="shared" ref="T7:T12" si="5">+S7*R7</f>
        <v>40</v>
      </c>
      <c r="V7" s="12"/>
      <c r="W7" s="42">
        <v>20</v>
      </c>
      <c r="X7" s="42">
        <f>+C7+G7+K7+O7+S7</f>
        <v>42</v>
      </c>
      <c r="Y7" s="40">
        <f t="shared" ref="Y7:Y12" si="6">+D7+H7+L7+P7+T7</f>
        <v>840</v>
      </c>
      <c r="Z7" s="13"/>
      <c r="AD7" s="66" t="s">
        <v>120</v>
      </c>
      <c r="AE7" s="66">
        <f>+AF29</f>
        <v>268206</v>
      </c>
      <c r="AJ7" s="1">
        <v>50</v>
      </c>
      <c r="AK7" s="1">
        <v>221</v>
      </c>
      <c r="AL7" s="39">
        <f t="shared" si="0"/>
        <v>11050</v>
      </c>
    </row>
    <row r="8" spans="2:38" ht="15.75" thickBot="1" x14ac:dyDescent="0.3">
      <c r="B8" s="1">
        <v>50</v>
      </c>
      <c r="C8" s="1">
        <v>10</v>
      </c>
      <c r="D8" s="39">
        <f t="shared" si="1"/>
        <v>500</v>
      </c>
      <c r="F8" s="1">
        <v>50</v>
      </c>
      <c r="G8" s="1">
        <v>71</v>
      </c>
      <c r="H8" s="39">
        <f t="shared" si="2"/>
        <v>3550</v>
      </c>
      <c r="J8" s="1">
        <v>50</v>
      </c>
      <c r="K8" s="1">
        <v>17</v>
      </c>
      <c r="L8" s="39">
        <f t="shared" si="3"/>
        <v>850</v>
      </c>
      <c r="N8" s="1">
        <v>50</v>
      </c>
      <c r="O8" s="1">
        <v>110</v>
      </c>
      <c r="P8" s="39">
        <f t="shared" si="4"/>
        <v>5500</v>
      </c>
      <c r="R8" s="1">
        <v>50</v>
      </c>
      <c r="S8" s="1">
        <v>9</v>
      </c>
      <c r="T8" s="39">
        <f t="shared" si="5"/>
        <v>450</v>
      </c>
      <c r="V8" s="12"/>
      <c r="W8" s="42">
        <v>50</v>
      </c>
      <c r="X8" s="42">
        <f t="shared" ref="X8:X12" si="7">+C8+G8+K8+O8+S8</f>
        <v>217</v>
      </c>
      <c r="Y8" s="40">
        <f t="shared" si="6"/>
        <v>10850</v>
      </c>
      <c r="Z8" s="13"/>
      <c r="AD8" s="72" t="s">
        <v>10</v>
      </c>
      <c r="AE8" s="73">
        <f>SUM(AE6:AE7)</f>
        <v>577217</v>
      </c>
      <c r="AJ8" s="1">
        <v>100</v>
      </c>
      <c r="AK8" s="1">
        <v>210</v>
      </c>
      <c r="AL8" s="39">
        <f t="shared" si="0"/>
        <v>21000</v>
      </c>
    </row>
    <row r="9" spans="2:38" ht="16.5" customHeight="1" x14ac:dyDescent="0.25">
      <c r="B9" s="1">
        <v>100</v>
      </c>
      <c r="C9" s="1">
        <v>3</v>
      </c>
      <c r="D9" s="39">
        <f t="shared" si="1"/>
        <v>300</v>
      </c>
      <c r="F9" s="1">
        <v>100</v>
      </c>
      <c r="G9" s="1">
        <v>90</v>
      </c>
      <c r="H9" s="39">
        <f t="shared" si="2"/>
        <v>9000</v>
      </c>
      <c r="J9" s="1">
        <v>100</v>
      </c>
      <c r="K9" s="1">
        <v>35</v>
      </c>
      <c r="L9" s="39">
        <f t="shared" si="3"/>
        <v>3500</v>
      </c>
      <c r="N9" s="1">
        <v>100</v>
      </c>
      <c r="O9" s="1">
        <v>49</v>
      </c>
      <c r="P9" s="39">
        <f t="shared" si="4"/>
        <v>4900</v>
      </c>
      <c r="R9" s="1">
        <v>100</v>
      </c>
      <c r="S9" s="1">
        <v>29</v>
      </c>
      <c r="T9" s="39">
        <f t="shared" si="5"/>
        <v>2900</v>
      </c>
      <c r="V9" s="12"/>
      <c r="W9" s="42">
        <v>100</v>
      </c>
      <c r="X9" s="42">
        <f t="shared" si="7"/>
        <v>206</v>
      </c>
      <c r="Y9" s="40">
        <f t="shared" si="6"/>
        <v>20600</v>
      </c>
      <c r="Z9" s="13"/>
      <c r="AJ9" s="1">
        <v>500</v>
      </c>
      <c r="AK9" s="1">
        <v>236</v>
      </c>
      <c r="AL9" s="39">
        <f t="shared" si="0"/>
        <v>118000</v>
      </c>
    </row>
    <row r="10" spans="2:38" x14ac:dyDescent="0.25">
      <c r="B10" s="1">
        <v>500</v>
      </c>
      <c r="C10" s="1">
        <v>20</v>
      </c>
      <c r="D10" s="39">
        <f t="shared" si="1"/>
        <v>10000</v>
      </c>
      <c r="F10" s="1">
        <v>500</v>
      </c>
      <c r="G10" s="1">
        <v>34</v>
      </c>
      <c r="H10" s="39">
        <f t="shared" si="2"/>
        <v>17000</v>
      </c>
      <c r="J10" s="1">
        <v>500</v>
      </c>
      <c r="K10" s="1">
        <v>19</v>
      </c>
      <c r="L10" s="39">
        <f t="shared" si="3"/>
        <v>9500</v>
      </c>
      <c r="N10" s="1">
        <v>500</v>
      </c>
      <c r="O10" s="1">
        <v>27</v>
      </c>
      <c r="P10" s="39">
        <f t="shared" si="4"/>
        <v>13500</v>
      </c>
      <c r="R10" s="1">
        <v>500</v>
      </c>
      <c r="S10" s="1">
        <v>63</v>
      </c>
      <c r="T10" s="39">
        <f t="shared" si="5"/>
        <v>31500</v>
      </c>
      <c r="V10" s="12"/>
      <c r="W10" s="42">
        <v>500</v>
      </c>
      <c r="X10" s="42">
        <f t="shared" si="7"/>
        <v>163</v>
      </c>
      <c r="Y10" s="40">
        <f t="shared" si="6"/>
        <v>81500</v>
      </c>
      <c r="Z10" s="13"/>
      <c r="AD10" s="53" t="s">
        <v>57</v>
      </c>
      <c r="AE10" s="53" t="s">
        <v>2</v>
      </c>
      <c r="AF10" s="53" t="s">
        <v>58</v>
      </c>
      <c r="AG10" s="53" t="s">
        <v>59</v>
      </c>
      <c r="AH10" s="53" t="s">
        <v>60</v>
      </c>
      <c r="AJ10" s="1">
        <v>1000</v>
      </c>
      <c r="AK10" s="1">
        <v>291</v>
      </c>
      <c r="AL10" s="39">
        <f t="shared" si="0"/>
        <v>291000</v>
      </c>
    </row>
    <row r="11" spans="2:38" x14ac:dyDescent="0.25">
      <c r="B11" s="1">
        <v>1000</v>
      </c>
      <c r="C11" s="1">
        <v>16</v>
      </c>
      <c r="D11" s="39">
        <f t="shared" si="1"/>
        <v>16000</v>
      </c>
      <c r="F11" s="1">
        <v>1000</v>
      </c>
      <c r="G11" s="1">
        <v>55</v>
      </c>
      <c r="H11" s="39">
        <f t="shared" si="2"/>
        <v>55000</v>
      </c>
      <c r="J11" s="1">
        <v>1000</v>
      </c>
      <c r="K11" s="1">
        <v>39</v>
      </c>
      <c r="L11" s="39">
        <f t="shared" si="3"/>
        <v>39000</v>
      </c>
      <c r="N11" s="1">
        <v>1000</v>
      </c>
      <c r="O11" s="1">
        <v>47</v>
      </c>
      <c r="P11" s="39">
        <f t="shared" si="4"/>
        <v>47000</v>
      </c>
      <c r="R11" s="1">
        <v>1000</v>
      </c>
      <c r="S11" s="1"/>
      <c r="T11" s="39">
        <f t="shared" si="5"/>
        <v>0</v>
      </c>
      <c r="V11" s="12"/>
      <c r="W11" s="42">
        <v>1000</v>
      </c>
      <c r="X11" s="42">
        <f t="shared" si="7"/>
        <v>157</v>
      </c>
      <c r="Y11" s="40">
        <f t="shared" si="6"/>
        <v>157000</v>
      </c>
      <c r="Z11" s="13"/>
      <c r="AD11" t="s">
        <v>6</v>
      </c>
      <c r="AE11" s="4">
        <v>576720</v>
      </c>
      <c r="AF11">
        <v>848926</v>
      </c>
      <c r="AG11" s="58" t="s">
        <v>322</v>
      </c>
      <c r="AH11" t="s">
        <v>199</v>
      </c>
      <c r="AJ11" s="1">
        <v>5000</v>
      </c>
      <c r="AK11" s="1">
        <v>27</v>
      </c>
      <c r="AL11" s="39">
        <f t="shared" si="0"/>
        <v>135000</v>
      </c>
    </row>
    <row r="12" spans="2:38" ht="15.75" thickBot="1" x14ac:dyDescent="0.3">
      <c r="B12" s="1">
        <v>5000</v>
      </c>
      <c r="C12" s="1">
        <v>3</v>
      </c>
      <c r="D12" s="39">
        <f t="shared" si="1"/>
        <v>15000</v>
      </c>
      <c r="F12" s="1">
        <v>5000</v>
      </c>
      <c r="G12" s="1">
        <v>1</v>
      </c>
      <c r="H12" s="39">
        <f t="shared" si="2"/>
        <v>5000</v>
      </c>
      <c r="J12" s="1">
        <v>5000</v>
      </c>
      <c r="K12" s="1">
        <v>2</v>
      </c>
      <c r="L12" s="39">
        <f t="shared" si="3"/>
        <v>10000</v>
      </c>
      <c r="N12" s="1">
        <v>5000</v>
      </c>
      <c r="O12" s="1">
        <v>1</v>
      </c>
      <c r="P12" s="39">
        <f t="shared" si="4"/>
        <v>5000</v>
      </c>
      <c r="R12" s="1">
        <v>5000</v>
      </c>
      <c r="S12" s="1"/>
      <c r="T12" s="39">
        <f t="shared" si="5"/>
        <v>0</v>
      </c>
      <c r="V12" s="12"/>
      <c r="W12" s="42">
        <v>5000</v>
      </c>
      <c r="X12" s="42">
        <f t="shared" si="7"/>
        <v>7</v>
      </c>
      <c r="Y12" s="40">
        <f t="shared" si="6"/>
        <v>35000</v>
      </c>
      <c r="Z12" s="13"/>
      <c r="AD12" t="s">
        <v>62</v>
      </c>
      <c r="AE12" s="4">
        <v>497</v>
      </c>
      <c r="AJ12" s="2" t="s">
        <v>3</v>
      </c>
      <c r="AK12" s="2"/>
      <c r="AL12" s="5">
        <f>+SUM(AL4:AL11)</f>
        <v>577217</v>
      </c>
    </row>
    <row r="13" spans="2:38" ht="15.75" thickBot="1" x14ac:dyDescent="0.3">
      <c r="B13" s="2" t="s">
        <v>3</v>
      </c>
      <c r="C13" s="2"/>
      <c r="D13" s="5">
        <f>+SUM(D5:D12)</f>
        <v>43570</v>
      </c>
      <c r="F13" s="2" t="s">
        <v>3</v>
      </c>
      <c r="G13" s="2"/>
      <c r="H13" s="5">
        <f>+SUM(H5:H12)</f>
        <v>89941</v>
      </c>
      <c r="J13" s="2" t="s">
        <v>3</v>
      </c>
      <c r="K13" s="2"/>
      <c r="L13" s="5">
        <f>+SUM(L5:L12)</f>
        <v>63100</v>
      </c>
      <c r="N13" s="2" t="s">
        <v>3</v>
      </c>
      <c r="O13" s="2"/>
      <c r="P13" s="5">
        <f>+SUM(P5:P12)</f>
        <v>77190</v>
      </c>
      <c r="R13" s="2" t="s">
        <v>3</v>
      </c>
      <c r="S13" s="2"/>
      <c r="T13" s="5">
        <f>+SUM(T5:T12)</f>
        <v>35210</v>
      </c>
      <c r="V13" s="12"/>
      <c r="W13" s="2" t="s">
        <v>3</v>
      </c>
      <c r="X13" s="2"/>
      <c r="Y13" s="5">
        <f>+SUM(Y5:Y12)</f>
        <v>309011</v>
      </c>
      <c r="Z13" s="13"/>
      <c r="AD13" t="s">
        <v>63</v>
      </c>
      <c r="AE13" s="4"/>
    </row>
    <row r="14" spans="2:38" ht="15.75" thickBot="1" x14ac:dyDescent="0.3">
      <c r="V14" s="12"/>
      <c r="W14" s="17"/>
      <c r="X14" s="17"/>
      <c r="Y14" s="17"/>
      <c r="Z14" s="13"/>
      <c r="AD14" t="s">
        <v>64</v>
      </c>
      <c r="AE14" s="4"/>
    </row>
    <row r="15" spans="2:38" ht="15.75" thickBot="1" x14ac:dyDescent="0.3">
      <c r="B15" s="127" t="s">
        <v>4</v>
      </c>
      <c r="C15" s="128"/>
      <c r="D15" s="7">
        <v>43373</v>
      </c>
      <c r="E15" s="33"/>
      <c r="F15" s="127" t="s">
        <v>4</v>
      </c>
      <c r="G15" s="128"/>
      <c r="H15" s="7">
        <v>89941</v>
      </c>
      <c r="I15" s="33"/>
      <c r="J15" s="127" t="s">
        <v>4</v>
      </c>
      <c r="K15" s="128"/>
      <c r="L15" s="7">
        <v>79651</v>
      </c>
      <c r="M15" s="33"/>
      <c r="N15" s="127" t="s">
        <v>4</v>
      </c>
      <c r="O15" s="128"/>
      <c r="P15" s="7">
        <v>77181</v>
      </c>
      <c r="Q15" s="33"/>
      <c r="R15" s="127" t="s">
        <v>4</v>
      </c>
      <c r="S15" s="128"/>
      <c r="T15" s="7">
        <v>627138</v>
      </c>
      <c r="U15" s="33"/>
      <c r="V15" s="34"/>
      <c r="W15" s="127" t="s">
        <v>4</v>
      </c>
      <c r="X15" s="128"/>
      <c r="Y15" s="7">
        <f>+D15+H15+L15+P15+T15</f>
        <v>917284</v>
      </c>
      <c r="Z15" s="35"/>
      <c r="AA15" s="33"/>
      <c r="AB15" s="33"/>
      <c r="AC15" s="33"/>
      <c r="AD15" t="s">
        <v>72</v>
      </c>
      <c r="AE15" s="4"/>
    </row>
    <row r="16" spans="2:38" x14ac:dyDescent="0.25">
      <c r="B16" t="s">
        <v>5</v>
      </c>
      <c r="D16" s="4">
        <v>43570</v>
      </c>
      <c r="F16" t="s">
        <v>5</v>
      </c>
      <c r="H16" s="4">
        <f>+H13</f>
        <v>89941</v>
      </c>
      <c r="J16" t="s">
        <v>5</v>
      </c>
      <c r="L16" s="4">
        <v>63100</v>
      </c>
      <c r="N16" t="s">
        <v>5</v>
      </c>
      <c r="P16" s="4">
        <f>+P13</f>
        <v>77190</v>
      </c>
      <c r="R16" t="s">
        <v>5</v>
      </c>
      <c r="T16" s="4">
        <v>35210</v>
      </c>
      <c r="V16" s="12"/>
      <c r="W16" s="43" t="s">
        <v>5</v>
      </c>
      <c r="X16" s="43"/>
      <c r="Y16" s="40">
        <f>+D16+H16+L16+P16+T16</f>
        <v>309011</v>
      </c>
      <c r="Z16" s="13"/>
      <c r="AD16" s="54" t="s">
        <v>10</v>
      </c>
      <c r="AE16" s="55">
        <f>+SUM(AE11:AE15)</f>
        <v>577217</v>
      </c>
      <c r="AF16" s="22"/>
    </row>
    <row r="17" spans="2:38" x14ac:dyDescent="0.25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2" si="8">+D17+H17+L17+P17+T17</f>
        <v>0</v>
      </c>
      <c r="Z17" s="13"/>
      <c r="AE17" s="56" t="s">
        <v>66</v>
      </c>
      <c r="AF17" s="57">
        <f>+AE16-AE8</f>
        <v>0</v>
      </c>
      <c r="AG17" t="s">
        <v>214</v>
      </c>
    </row>
    <row r="18" spans="2:38" x14ac:dyDescent="0.25">
      <c r="B18" t="s">
        <v>43</v>
      </c>
      <c r="D18" s="4"/>
      <c r="F18" t="s">
        <v>7</v>
      </c>
      <c r="H18" s="4"/>
      <c r="J18" t="s">
        <v>165</v>
      </c>
      <c r="K18" t="s">
        <v>297</v>
      </c>
      <c r="L18" s="4">
        <v>10646</v>
      </c>
      <c r="N18" t="s">
        <v>7</v>
      </c>
      <c r="P18" s="4"/>
      <c r="R18" t="s">
        <v>43</v>
      </c>
      <c r="S18" t="s">
        <v>305</v>
      </c>
      <c r="T18" s="4">
        <v>14500</v>
      </c>
      <c r="V18" s="12"/>
      <c r="W18" s="43" t="s">
        <v>7</v>
      </c>
      <c r="X18" s="43"/>
      <c r="Y18" s="40">
        <f t="shared" si="8"/>
        <v>25146</v>
      </c>
      <c r="Z18" s="13"/>
    </row>
    <row r="19" spans="2:38" x14ac:dyDescent="0.25">
      <c r="B19" t="s">
        <v>8</v>
      </c>
      <c r="D19" s="4"/>
      <c r="F19" t="s">
        <v>8</v>
      </c>
      <c r="H19" s="4"/>
      <c r="J19" t="s">
        <v>265</v>
      </c>
      <c r="K19" t="s">
        <v>298</v>
      </c>
      <c r="L19" s="4">
        <v>6000</v>
      </c>
      <c r="N19" t="s">
        <v>8</v>
      </c>
      <c r="P19" s="4"/>
      <c r="R19" t="s">
        <v>43</v>
      </c>
      <c r="S19" t="s">
        <v>310</v>
      </c>
      <c r="T19" s="4">
        <v>10677</v>
      </c>
      <c r="V19" s="12"/>
      <c r="W19" s="43" t="s">
        <v>8</v>
      </c>
      <c r="X19" s="43"/>
      <c r="Y19" s="40">
        <f t="shared" si="8"/>
        <v>16677</v>
      </c>
      <c r="Z19" s="13"/>
    </row>
    <row r="20" spans="2:38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0</v>
      </c>
      <c r="Z20" s="13"/>
      <c r="AB20" s="67" t="s">
        <v>117</v>
      </c>
      <c r="AC20" s="67"/>
      <c r="AD20" s="67"/>
      <c r="AE20" s="33"/>
      <c r="AI20" s="67" t="s">
        <v>290</v>
      </c>
      <c r="AJ20" s="67"/>
      <c r="AK20" s="67"/>
      <c r="AL20" s="85"/>
    </row>
    <row r="21" spans="2:38" x14ac:dyDescent="0.25">
      <c r="D21" s="4"/>
      <c r="H21" s="4"/>
      <c r="L21" s="4"/>
      <c r="P21" s="4"/>
      <c r="R21" t="s">
        <v>28</v>
      </c>
      <c r="S21" t="s">
        <v>30</v>
      </c>
      <c r="T21" s="4">
        <v>19026</v>
      </c>
      <c r="V21" s="12"/>
      <c r="W21" s="43"/>
      <c r="X21" s="43"/>
      <c r="Y21" s="40">
        <f t="shared" si="8"/>
        <v>19026</v>
      </c>
      <c r="Z21" s="13"/>
      <c r="AB21" s="53" t="s">
        <v>114</v>
      </c>
      <c r="AC21" s="53" t="s">
        <v>115</v>
      </c>
      <c r="AD21" s="53" t="s">
        <v>122</v>
      </c>
      <c r="AE21" s="53" t="s">
        <v>116</v>
      </c>
      <c r="AF21" s="53" t="s">
        <v>2</v>
      </c>
      <c r="AI21" s="53" t="s">
        <v>114</v>
      </c>
      <c r="AJ21" s="53" t="s">
        <v>278</v>
      </c>
      <c r="AK21" s="53" t="s">
        <v>122</v>
      </c>
      <c r="AL21" s="53" t="s">
        <v>2</v>
      </c>
    </row>
    <row r="22" spans="2:38" x14ac:dyDescent="0.25">
      <c r="D22" s="4"/>
      <c r="H22" s="4"/>
      <c r="L22" s="4"/>
      <c r="P22" s="4"/>
      <c r="R22" t="s">
        <v>29</v>
      </c>
      <c r="S22" t="s">
        <v>306</v>
      </c>
      <c r="T22" s="4">
        <v>20946</v>
      </c>
      <c r="V22" s="12"/>
      <c r="W22" s="43"/>
      <c r="X22" s="43"/>
      <c r="Y22" s="40">
        <f t="shared" si="8"/>
        <v>20946</v>
      </c>
      <c r="Z22" s="13"/>
      <c r="AB22" t="s">
        <v>153</v>
      </c>
      <c r="AC22" s="58">
        <v>45855</v>
      </c>
      <c r="AD22" t="s">
        <v>155</v>
      </c>
      <c r="AF22" s="94">
        <v>21813</v>
      </c>
      <c r="AJ22" s="17" t="s">
        <v>55</v>
      </c>
      <c r="AK22" s="17" t="s">
        <v>315</v>
      </c>
      <c r="AL22" s="17">
        <v>7661</v>
      </c>
    </row>
    <row r="23" spans="2:38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31</v>
      </c>
      <c r="S23" t="s">
        <v>307</v>
      </c>
      <c r="T23" s="4">
        <v>37370</v>
      </c>
      <c r="V23" s="12"/>
      <c r="W23" s="44" t="s">
        <v>28</v>
      </c>
      <c r="X23" s="43"/>
      <c r="Y23" s="40">
        <f>+D23+H23+L23+P23+T21</f>
        <v>19026</v>
      </c>
      <c r="Z23" s="13"/>
      <c r="AB23" t="s">
        <v>153</v>
      </c>
      <c r="AC23" s="58">
        <v>45855</v>
      </c>
      <c r="AD23" t="s">
        <v>30</v>
      </c>
      <c r="AF23" s="94">
        <v>29563</v>
      </c>
      <c r="AJ23" s="17" t="s">
        <v>195</v>
      </c>
      <c r="AK23" s="21" t="s">
        <v>316</v>
      </c>
      <c r="AL23" s="16">
        <v>7600</v>
      </c>
    </row>
    <row r="24" spans="2:38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S24" t="s">
        <v>308</v>
      </c>
      <c r="T24" s="4">
        <v>56307</v>
      </c>
      <c r="V24" s="12"/>
      <c r="W24" s="44" t="s">
        <v>29</v>
      </c>
      <c r="X24" s="43"/>
      <c r="Y24" s="40">
        <f>+D24+H24+L24+P24+T22</f>
        <v>20946</v>
      </c>
      <c r="Z24" s="13"/>
      <c r="AB24" t="s">
        <v>153</v>
      </c>
      <c r="AC24" s="58">
        <v>45856</v>
      </c>
      <c r="AD24" s="17" t="s">
        <v>51</v>
      </c>
      <c r="AE24" s="17"/>
      <c r="AF24" s="93">
        <v>68588</v>
      </c>
      <c r="AJ24" s="17" t="s">
        <v>71</v>
      </c>
      <c r="AK24" s="17" t="s">
        <v>317</v>
      </c>
      <c r="AL24" s="17">
        <v>10223</v>
      </c>
    </row>
    <row r="25" spans="2:38" ht="15.75" thickBot="1" x14ac:dyDescent="0.3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S25" t="s">
        <v>309</v>
      </c>
      <c r="T25" s="4">
        <v>33422</v>
      </c>
      <c r="V25" s="12"/>
      <c r="W25" s="44" t="s">
        <v>31</v>
      </c>
      <c r="X25" s="43"/>
      <c r="Y25" s="40">
        <f>+D25+H25+L25+P25+T23</f>
        <v>37370</v>
      </c>
      <c r="Z25" s="13"/>
      <c r="AB25" t="s">
        <v>153</v>
      </c>
      <c r="AC25" s="75">
        <v>45848</v>
      </c>
      <c r="AD25" s="21" t="s">
        <v>32</v>
      </c>
      <c r="AE25" s="17"/>
      <c r="AF25" s="93">
        <v>22792</v>
      </c>
      <c r="AI25" s="89" t="s">
        <v>113</v>
      </c>
      <c r="AJ25" s="89"/>
      <c r="AK25" s="89"/>
      <c r="AL25" s="92">
        <f>+SUM(AL22:AL24)</f>
        <v>25484</v>
      </c>
    </row>
    <row r="26" spans="2:38" ht="15.75" thickTop="1" x14ac:dyDescent="0.25">
      <c r="D26" s="4"/>
      <c r="H26" s="4"/>
      <c r="L26" s="4"/>
      <c r="P26" s="4"/>
      <c r="S26" t="s">
        <v>311</v>
      </c>
      <c r="T26" s="4">
        <v>378222</v>
      </c>
      <c r="V26" s="12"/>
      <c r="W26" s="43"/>
      <c r="X26" s="43"/>
      <c r="Y26" s="40">
        <f>+D26+H26+L26+P26+T24</f>
        <v>56307</v>
      </c>
      <c r="Z26" s="13"/>
      <c r="AB26" t="s">
        <v>153</v>
      </c>
      <c r="AC26" s="58">
        <v>45855</v>
      </c>
      <c r="AD26" t="s">
        <v>156</v>
      </c>
      <c r="AF26" s="94">
        <v>29848</v>
      </c>
    </row>
    <row r="27" spans="2:38" ht="15.75" thickBot="1" x14ac:dyDescent="0.3">
      <c r="D27" s="4"/>
      <c r="H27" s="4"/>
      <c r="L27" s="4"/>
      <c r="P27" s="4"/>
      <c r="V27" s="12"/>
      <c r="W27" s="43"/>
      <c r="X27" s="43"/>
      <c r="Y27" s="40">
        <f>+D27+H27+L27+P27+T25</f>
        <v>33422</v>
      </c>
      <c r="Z27" s="13"/>
      <c r="AB27" t="s">
        <v>153</v>
      </c>
      <c r="AC27" s="58">
        <v>45850</v>
      </c>
      <c r="AD27" t="s">
        <v>102</v>
      </c>
      <c r="AF27" s="94">
        <v>85620</v>
      </c>
    </row>
    <row r="28" spans="2:38" ht="15.75" thickBot="1" x14ac:dyDescent="0.3">
      <c r="B28" s="129" t="s">
        <v>10</v>
      </c>
      <c r="C28" s="130"/>
      <c r="D28" s="8">
        <f>+SUM(D16:D27)</f>
        <v>43570</v>
      </c>
      <c r="F28" s="129" t="s">
        <v>10</v>
      </c>
      <c r="G28" s="130"/>
      <c r="H28" s="8">
        <f>+SUM(H16:H27)</f>
        <v>89941</v>
      </c>
      <c r="J28" s="129" t="s">
        <v>10</v>
      </c>
      <c r="K28" s="130"/>
      <c r="L28" s="8">
        <f>+SUM(L16:L27)</f>
        <v>79746</v>
      </c>
      <c r="N28" s="129" t="s">
        <v>10</v>
      </c>
      <c r="O28" s="130"/>
      <c r="P28" s="8">
        <f>+SUM(P16:P27)</f>
        <v>77190</v>
      </c>
      <c r="R28" s="129" t="s">
        <v>10</v>
      </c>
      <c r="S28" s="130"/>
      <c r="T28" s="8">
        <f>+SUM(T16:T26)</f>
        <v>605680</v>
      </c>
      <c r="V28" s="12"/>
      <c r="W28" s="129" t="s">
        <v>10</v>
      </c>
      <c r="X28" s="130"/>
      <c r="Y28" s="8">
        <f>+SUM(Y16:Y27)</f>
        <v>557877</v>
      </c>
      <c r="Z28" s="13"/>
      <c r="AF28" s="94">
        <v>9982</v>
      </c>
    </row>
    <row r="29" spans="2:38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+SUM(AF22:AF28)</f>
        <v>268206</v>
      </c>
    </row>
    <row r="30" spans="2:38" ht="16.5" thickTop="1" thickBot="1" x14ac:dyDescent="0.3">
      <c r="B30" s="131" t="s">
        <v>11</v>
      </c>
      <c r="C30" s="131"/>
      <c r="D30" s="6">
        <f>+D28-D15</f>
        <v>197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95</v>
      </c>
      <c r="N30" s="131" t="s">
        <v>11</v>
      </c>
      <c r="O30" s="131"/>
      <c r="P30" s="6">
        <f>+P28-P15</f>
        <v>9</v>
      </c>
      <c r="R30" s="131" t="s">
        <v>11</v>
      </c>
      <c r="S30" s="131"/>
      <c r="T30" s="6">
        <f>+T28-T15</f>
        <v>-21458</v>
      </c>
      <c r="V30" s="12"/>
      <c r="W30" s="134" t="s">
        <v>11</v>
      </c>
      <c r="X30" s="134"/>
      <c r="Y30" s="45">
        <f>+Y28-Y15</f>
        <v>-359407</v>
      </c>
      <c r="Z30" s="13"/>
    </row>
    <row r="31" spans="2:38" ht="16.5" thickTop="1" thickBot="1" x14ac:dyDescent="0.3">
      <c r="V31" s="18"/>
      <c r="W31" s="19"/>
      <c r="X31" s="19"/>
      <c r="Y31" s="19"/>
      <c r="Z31" s="20"/>
    </row>
    <row r="33" spans="2:32" ht="15.75" thickBot="1" x14ac:dyDescent="0.3"/>
    <row r="34" spans="2:32" x14ac:dyDescent="0.25">
      <c r="B34" s="9" t="s">
        <v>15</v>
      </c>
      <c r="C34" s="10"/>
      <c r="D34" s="23"/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/>
      <c r="R34" s="9" t="s">
        <v>15</v>
      </c>
      <c r="S34" s="10"/>
      <c r="T34" s="23"/>
      <c r="W34" s="46" t="s">
        <v>15</v>
      </c>
      <c r="X34" s="47"/>
      <c r="Y34" s="48">
        <f>+D34+H34+L34+P34+T34</f>
        <v>0</v>
      </c>
    </row>
    <row r="35" spans="2:32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312</v>
      </c>
      <c r="S35" s="17"/>
      <c r="T35" s="24">
        <v>13611</v>
      </c>
      <c r="W35" s="49" t="s">
        <v>40</v>
      </c>
      <c r="X35" s="43"/>
      <c r="Y35" s="50">
        <f t="shared" ref="Y35:Y36" si="9">+D35+H35+L35+P35+T35</f>
        <v>13611</v>
      </c>
    </row>
    <row r="36" spans="2:32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23</v>
      </c>
      <c r="K36" s="17"/>
      <c r="L36" s="24"/>
      <c r="N36" s="12" t="s">
        <v>42</v>
      </c>
      <c r="O36" s="17"/>
      <c r="P36" s="24">
        <v>-9</v>
      </c>
      <c r="R36" s="12" t="s">
        <v>313</v>
      </c>
      <c r="S36" s="17"/>
      <c r="T36" s="24">
        <v>7962</v>
      </c>
      <c r="W36" s="49" t="s">
        <v>23</v>
      </c>
      <c r="X36" s="43"/>
      <c r="Y36" s="50">
        <f t="shared" si="9"/>
        <v>7953</v>
      </c>
    </row>
    <row r="37" spans="2:32" x14ac:dyDescent="0.25">
      <c r="B37" s="12" t="s">
        <v>3</v>
      </c>
      <c r="C37" s="17"/>
      <c r="D37" s="24">
        <f>+SUM(D34:D36)</f>
        <v>0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0</v>
      </c>
      <c r="N37" s="12" t="s">
        <v>3</v>
      </c>
      <c r="O37" s="17"/>
      <c r="P37" s="24">
        <f>+SUM(P34:P36)</f>
        <v>-9</v>
      </c>
      <c r="R37" s="12" t="s">
        <v>3</v>
      </c>
      <c r="S37" s="17"/>
      <c r="T37" s="24">
        <f>+SUM(T34:T36)</f>
        <v>21573</v>
      </c>
      <c r="W37" s="36" t="s">
        <v>3</v>
      </c>
      <c r="X37" s="37"/>
      <c r="Y37" s="38">
        <f>+SUM(Y34:Y36)</f>
        <v>21564</v>
      </c>
    </row>
    <row r="38" spans="2:32" ht="15.75" thickBot="1" x14ac:dyDescent="0.3">
      <c r="B38" s="25" t="s">
        <v>22</v>
      </c>
      <c r="C38" s="26"/>
      <c r="D38" s="27">
        <f>+D30+D37</f>
        <v>197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95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115</v>
      </c>
      <c r="W38" s="25" t="s">
        <v>22</v>
      </c>
      <c r="X38" s="26"/>
      <c r="Y38" s="27">
        <f>+Y30+Y37</f>
        <v>-337843</v>
      </c>
      <c r="AD38" t="s">
        <v>319</v>
      </c>
      <c r="AE38" t="s">
        <v>320</v>
      </c>
    </row>
    <row r="39" spans="2:32" x14ac:dyDescent="0.25">
      <c r="AD39" s="4">
        <v>1000000</v>
      </c>
      <c r="AE39" s="4">
        <v>2300000</v>
      </c>
    </row>
    <row r="40" spans="2:32" x14ac:dyDescent="0.25">
      <c r="Y40" s="22"/>
      <c r="AD40" s="4">
        <v>910000</v>
      </c>
      <c r="AE40" s="4">
        <v>300000</v>
      </c>
    </row>
    <row r="41" spans="2:32" x14ac:dyDescent="0.25">
      <c r="AD41" s="4">
        <v>500000</v>
      </c>
      <c r="AE41" s="4">
        <v>700000</v>
      </c>
    </row>
    <row r="42" spans="2:32" x14ac:dyDescent="0.25">
      <c r="AD42" s="4">
        <v>450000</v>
      </c>
      <c r="AE42" s="4">
        <v>700000</v>
      </c>
      <c r="AF42" t="s">
        <v>321</v>
      </c>
    </row>
    <row r="43" spans="2:32" x14ac:dyDescent="0.25">
      <c r="AD43" s="4">
        <v>50000</v>
      </c>
      <c r="AE43" s="4">
        <v>800000</v>
      </c>
    </row>
    <row r="44" spans="2:32" x14ac:dyDescent="0.25">
      <c r="AD44" s="4">
        <v>990000</v>
      </c>
      <c r="AE44" s="4"/>
    </row>
    <row r="45" spans="2:32" x14ac:dyDescent="0.25">
      <c r="AD45" s="4">
        <v>800000</v>
      </c>
      <c r="AE45" s="97">
        <f>SUM(AE39:AE44)</f>
        <v>4800000</v>
      </c>
    </row>
    <row r="46" spans="2:32" x14ac:dyDescent="0.25">
      <c r="AD46" s="4">
        <v>200000</v>
      </c>
      <c r="AE46" s="4"/>
    </row>
    <row r="47" spans="2:32" x14ac:dyDescent="0.25">
      <c r="AD47" s="95">
        <f>SUM(AD39:AD46)</f>
        <v>4900000</v>
      </c>
      <c r="AE47" s="4"/>
    </row>
    <row r="48" spans="2:32" x14ac:dyDescent="0.25">
      <c r="AD48" s="22">
        <v>-1000000</v>
      </c>
      <c r="AE48" s="4"/>
    </row>
    <row r="49" spans="30:31" x14ac:dyDescent="0.25">
      <c r="AD49" s="96">
        <f>SUM(AD47:AD48)</f>
        <v>3900000</v>
      </c>
    </row>
    <row r="50" spans="30:31" x14ac:dyDescent="0.25">
      <c r="AE50" s="98">
        <f>+AE45+AD49</f>
        <v>8700000</v>
      </c>
    </row>
  </sheetData>
  <mergeCells count="24">
    <mergeCell ref="N15:O15"/>
    <mergeCell ref="R15:S15"/>
    <mergeCell ref="W15:X1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40"/>
  <sheetViews>
    <sheetView zoomScale="80" zoomScaleNormal="80" workbookViewId="0">
      <selection activeCell="AF17" sqref="AF17"/>
    </sheetView>
  </sheetViews>
  <sheetFormatPr defaultRowHeight="15" x14ac:dyDescent="0.25"/>
  <cols>
    <col min="3" max="3" width="13.5703125" bestFit="1" customWidth="1"/>
    <col min="4" max="4" width="14.5703125" bestFit="1" customWidth="1"/>
    <col min="5" max="5" width="9.140625" customWidth="1"/>
    <col min="6" max="6" width="1.5703125" customWidth="1"/>
    <col min="7" max="7" width="13.5703125" bestFit="1" customWidth="1"/>
    <col min="8" max="8" width="15.85546875" bestFit="1" customWidth="1"/>
    <col min="9" max="9" width="9.5703125" bestFit="1" customWidth="1"/>
    <col min="10" max="10" width="1.28515625" customWidth="1"/>
    <col min="13" max="13" width="10.7109375" customWidth="1"/>
    <col min="14" max="14" width="1.42578125" customWidth="1"/>
    <col min="15" max="15" width="13.5703125" bestFit="1" customWidth="1"/>
    <col min="16" max="16" width="13.28515625" bestFit="1" customWidth="1"/>
    <col min="18" max="18" width="1.85546875" customWidth="1"/>
    <col min="19" max="20" width="13.5703125" bestFit="1" customWidth="1"/>
    <col min="21" max="21" width="10.5703125" bestFit="1" customWidth="1"/>
    <col min="22" max="23" width="1.85546875" customWidth="1"/>
    <col min="26" max="26" width="9.5703125" bestFit="1" customWidth="1"/>
    <col min="27" max="27" width="1.85546875" customWidth="1"/>
    <col min="29" max="29" width="15.7109375" customWidth="1"/>
    <col min="30" max="30" width="15.5703125" customWidth="1"/>
    <col min="31" max="31" width="13.5703125" customWidth="1"/>
    <col min="32" max="32" width="13.42578125" customWidth="1"/>
    <col min="33" max="33" width="9.7109375" bestFit="1" customWidth="1"/>
    <col min="34" max="34" width="17.140625" bestFit="1" customWidth="1"/>
    <col min="37" max="37" width="11.42578125" customWidth="1"/>
    <col min="38" max="38" width="10.42578125" customWidth="1"/>
    <col min="39" max="39" width="10.85546875" customWidth="1"/>
    <col min="40" max="40" width="10.28515625" customWidth="1"/>
  </cols>
  <sheetData>
    <row r="1" spans="2:40" ht="15.75" thickBot="1" x14ac:dyDescent="0.3"/>
    <row r="2" spans="2:40" x14ac:dyDescent="0.25">
      <c r="W2" s="9"/>
      <c r="X2" s="10"/>
      <c r="Y2" s="10"/>
      <c r="Z2" s="10"/>
      <c r="AA2" s="11"/>
    </row>
    <row r="3" spans="2:40" x14ac:dyDescent="0.25">
      <c r="C3" s="132" t="s">
        <v>44</v>
      </c>
      <c r="D3" s="132"/>
      <c r="E3" s="132"/>
      <c r="G3" s="132" t="s">
        <v>24</v>
      </c>
      <c r="H3" s="132"/>
      <c r="I3" s="132"/>
      <c r="K3" s="132" t="s">
        <v>91</v>
      </c>
      <c r="L3" s="132"/>
      <c r="M3" s="132"/>
      <c r="O3" s="132" t="s">
        <v>337</v>
      </c>
      <c r="P3" s="132"/>
      <c r="Q3" s="132"/>
      <c r="S3" s="132" t="s">
        <v>314</v>
      </c>
      <c r="T3" s="132"/>
      <c r="U3" s="132"/>
      <c r="W3" s="12"/>
      <c r="X3" s="126" t="s">
        <v>16</v>
      </c>
      <c r="Y3" s="126"/>
      <c r="Z3" s="126"/>
      <c r="AA3" s="13"/>
    </row>
    <row r="4" spans="2:40" x14ac:dyDescent="0.25">
      <c r="C4" s="3" t="s">
        <v>0</v>
      </c>
      <c r="D4" s="3" t="s">
        <v>1</v>
      </c>
      <c r="E4" s="3" t="s">
        <v>2</v>
      </c>
      <c r="G4" s="3" t="s">
        <v>0</v>
      </c>
      <c r="H4" s="3" t="s">
        <v>1</v>
      </c>
      <c r="I4" s="3" t="s">
        <v>2</v>
      </c>
      <c r="K4" s="3" t="s">
        <v>0</v>
      </c>
      <c r="L4" s="3" t="s">
        <v>1</v>
      </c>
      <c r="M4" s="3" t="s">
        <v>2</v>
      </c>
      <c r="O4" s="3" t="s">
        <v>0</v>
      </c>
      <c r="P4" s="3" t="s">
        <v>1</v>
      </c>
      <c r="Q4" s="3" t="s">
        <v>2</v>
      </c>
      <c r="S4" s="3" t="s">
        <v>0</v>
      </c>
      <c r="T4" s="3" t="s">
        <v>1</v>
      </c>
      <c r="U4" s="3" t="s">
        <v>2</v>
      </c>
      <c r="W4" s="12"/>
      <c r="X4" s="14" t="s">
        <v>0</v>
      </c>
      <c r="Y4" s="14" t="s">
        <v>1</v>
      </c>
      <c r="Z4" s="14" t="s">
        <v>2</v>
      </c>
      <c r="AA4" s="13"/>
    </row>
    <row r="5" spans="2:40" ht="15.75" thickBot="1" x14ac:dyDescent="0.3">
      <c r="B5" s="28"/>
      <c r="C5" s="31">
        <v>1</v>
      </c>
      <c r="D5" s="31"/>
      <c r="E5" s="39">
        <f>+D5*C5</f>
        <v>0</v>
      </c>
      <c r="F5" s="28"/>
      <c r="G5" s="31">
        <v>1</v>
      </c>
      <c r="H5" s="31">
        <v>50</v>
      </c>
      <c r="I5" s="39">
        <f>+H5*G5</f>
        <v>50</v>
      </c>
      <c r="J5" s="28"/>
      <c r="K5" s="31">
        <v>1</v>
      </c>
      <c r="L5" s="31"/>
      <c r="M5" s="39">
        <f>+L5*K5</f>
        <v>0</v>
      </c>
      <c r="N5" s="28"/>
      <c r="O5" s="31">
        <v>1</v>
      </c>
      <c r="P5" s="31">
        <v>40</v>
      </c>
      <c r="Q5" s="39">
        <f>+P5*O5</f>
        <v>40</v>
      </c>
      <c r="R5" s="28"/>
      <c r="S5" s="31">
        <v>1</v>
      </c>
      <c r="T5" s="31"/>
      <c r="U5" s="39">
        <f>+T5*S5</f>
        <v>0</v>
      </c>
      <c r="V5" s="28"/>
      <c r="W5" s="29"/>
      <c r="X5" s="41">
        <v>1</v>
      </c>
      <c r="Y5" s="42">
        <f>+D5+H5+L5+P5+T5</f>
        <v>90</v>
      </c>
      <c r="Z5" s="40">
        <f>+E5+I5+M5+Q5+U5</f>
        <v>90</v>
      </c>
      <c r="AA5" s="30"/>
      <c r="AB5" s="28"/>
      <c r="AF5" s="133" t="s">
        <v>56</v>
      </c>
      <c r="AG5" s="133"/>
      <c r="AH5" s="133"/>
      <c r="AI5" s="133"/>
      <c r="AJ5" s="133"/>
      <c r="AK5" s="80"/>
    </row>
    <row r="6" spans="2:40" ht="15.75" thickTop="1" x14ac:dyDescent="0.25">
      <c r="C6" s="1">
        <v>10</v>
      </c>
      <c r="D6" s="1">
        <v>55</v>
      </c>
      <c r="E6" s="39">
        <f>+D6*C6</f>
        <v>550</v>
      </c>
      <c r="G6" s="1">
        <v>10</v>
      </c>
      <c r="H6" s="1">
        <v>49</v>
      </c>
      <c r="I6" s="39">
        <f>+H6*G6</f>
        <v>490</v>
      </c>
      <c r="K6" s="1">
        <v>10</v>
      </c>
      <c r="L6" s="1">
        <v>134</v>
      </c>
      <c r="M6" s="39">
        <f>+L6*K6</f>
        <v>1340</v>
      </c>
      <c r="O6" s="1">
        <v>10</v>
      </c>
      <c r="P6" s="1">
        <v>126</v>
      </c>
      <c r="Q6" s="39">
        <f>+P6*O6</f>
        <v>1260</v>
      </c>
      <c r="S6" s="1">
        <v>10</v>
      </c>
      <c r="T6" s="1">
        <v>300</v>
      </c>
      <c r="U6" s="39">
        <f>+T6*S6</f>
        <v>3000</v>
      </c>
      <c r="W6" s="12"/>
      <c r="X6" s="42">
        <v>10</v>
      </c>
      <c r="Y6" s="42">
        <f>+D6+H6+L6+P6+T6</f>
        <v>664</v>
      </c>
      <c r="Z6" s="40">
        <f>+E6+I6+M6+Q6+U6</f>
        <v>6640</v>
      </c>
      <c r="AA6" s="13"/>
      <c r="AC6" s="28"/>
      <c r="AD6" s="28"/>
      <c r="AE6" s="28"/>
      <c r="AL6" s="28"/>
      <c r="AM6" s="28"/>
      <c r="AN6" s="28"/>
    </row>
    <row r="7" spans="2:40" x14ac:dyDescent="0.25">
      <c r="C7" s="1">
        <v>20</v>
      </c>
      <c r="D7" s="1">
        <v>3</v>
      </c>
      <c r="E7" s="39">
        <f t="shared" ref="E7:E12" si="0">+D7*C7</f>
        <v>60</v>
      </c>
      <c r="G7" s="1">
        <v>20</v>
      </c>
      <c r="H7" s="1">
        <v>12</v>
      </c>
      <c r="I7" s="39">
        <f t="shared" ref="I7:I12" si="1">+H7*G7</f>
        <v>240</v>
      </c>
      <c r="K7" s="1">
        <v>20</v>
      </c>
      <c r="L7" s="1">
        <v>28</v>
      </c>
      <c r="M7" s="39">
        <f t="shared" ref="M7:M12" si="2">+L7*K7</f>
        <v>560</v>
      </c>
      <c r="O7" s="1">
        <v>20</v>
      </c>
      <c r="P7" s="1">
        <v>31</v>
      </c>
      <c r="Q7" s="39">
        <f t="shared" ref="Q7:Q12" si="3">+P7*O7</f>
        <v>620</v>
      </c>
      <c r="S7" s="1">
        <v>20</v>
      </c>
      <c r="T7" s="1">
        <v>51</v>
      </c>
      <c r="U7" s="39">
        <f t="shared" ref="U7:U12" si="4">+T7*S7</f>
        <v>1020</v>
      </c>
      <c r="W7" s="12"/>
      <c r="X7" s="42">
        <v>20</v>
      </c>
      <c r="Y7" s="42">
        <f>+D7+H7+L7+P7+T7</f>
        <v>125</v>
      </c>
      <c r="Z7" s="40">
        <f t="shared" ref="Z7:Z12" si="5">+E7+I7+M7+Q7+U7</f>
        <v>2500</v>
      </c>
      <c r="AA7" s="13"/>
      <c r="AF7" s="70" t="s">
        <v>5</v>
      </c>
      <c r="AG7" s="71">
        <v>277080</v>
      </c>
      <c r="AH7" s="28"/>
      <c r="AI7" s="28"/>
      <c r="AJ7" s="28"/>
      <c r="AK7" s="28"/>
    </row>
    <row r="8" spans="2:40" x14ac:dyDescent="0.25">
      <c r="C8" s="1">
        <v>50</v>
      </c>
      <c r="D8" s="1">
        <v>19</v>
      </c>
      <c r="E8" s="39">
        <f t="shared" si="0"/>
        <v>950</v>
      </c>
      <c r="G8" s="1">
        <v>50</v>
      </c>
      <c r="H8" s="1">
        <v>37</v>
      </c>
      <c r="I8" s="39">
        <f t="shared" si="1"/>
        <v>1850</v>
      </c>
      <c r="K8" s="1">
        <v>50</v>
      </c>
      <c r="L8" s="1">
        <v>18</v>
      </c>
      <c r="M8" s="39">
        <f t="shared" si="2"/>
        <v>900</v>
      </c>
      <c r="O8" s="1">
        <v>50</v>
      </c>
      <c r="P8" s="1">
        <v>120</v>
      </c>
      <c r="Q8" s="39">
        <f t="shared" si="3"/>
        <v>6000</v>
      </c>
      <c r="S8" s="1">
        <v>50</v>
      </c>
      <c r="T8" s="1">
        <v>101</v>
      </c>
      <c r="U8" s="39">
        <f t="shared" si="4"/>
        <v>5050</v>
      </c>
      <c r="W8" s="12"/>
      <c r="X8" s="42">
        <v>50</v>
      </c>
      <c r="Y8" s="42">
        <f t="shared" ref="Y8:Y12" si="6">+D8+H8+L8+P8+T8</f>
        <v>295</v>
      </c>
      <c r="Z8" s="40">
        <f t="shared" si="5"/>
        <v>14750</v>
      </c>
      <c r="AA8" s="13"/>
      <c r="AF8" s="66" t="s">
        <v>120</v>
      </c>
      <c r="AG8" s="66">
        <f>+AG29</f>
        <v>5690</v>
      </c>
      <c r="AL8" s="3" t="s">
        <v>0</v>
      </c>
      <c r="AM8" s="3" t="s">
        <v>1</v>
      </c>
      <c r="AN8" s="3" t="s">
        <v>2</v>
      </c>
    </row>
    <row r="9" spans="2:40" ht="15.75" thickBot="1" x14ac:dyDescent="0.3">
      <c r="C9" s="1">
        <v>100</v>
      </c>
      <c r="D9" s="1">
        <v>14</v>
      </c>
      <c r="E9" s="39">
        <f t="shared" si="0"/>
        <v>1400</v>
      </c>
      <c r="G9" s="1">
        <v>100</v>
      </c>
      <c r="H9" s="1">
        <v>47</v>
      </c>
      <c r="I9" s="39">
        <f t="shared" si="1"/>
        <v>4700</v>
      </c>
      <c r="K9" s="1">
        <v>100</v>
      </c>
      <c r="L9" s="1">
        <v>52</v>
      </c>
      <c r="M9" s="39">
        <f t="shared" si="2"/>
        <v>5200</v>
      </c>
      <c r="O9" s="1">
        <v>100</v>
      </c>
      <c r="P9" s="1">
        <v>79</v>
      </c>
      <c r="Q9" s="39">
        <f t="shared" si="3"/>
        <v>7900</v>
      </c>
      <c r="S9" s="1">
        <v>100</v>
      </c>
      <c r="T9" s="1">
        <v>4</v>
      </c>
      <c r="U9" s="39">
        <f t="shared" si="4"/>
        <v>400</v>
      </c>
      <c r="W9" s="12"/>
      <c r="X9" s="42">
        <v>100</v>
      </c>
      <c r="Y9" s="42">
        <f t="shared" si="6"/>
        <v>196</v>
      </c>
      <c r="Z9" s="40">
        <f t="shared" si="5"/>
        <v>19600</v>
      </c>
      <c r="AA9" s="13"/>
      <c r="AF9" s="72" t="s">
        <v>10</v>
      </c>
      <c r="AG9" s="73">
        <f>SUM(AG7:AG8)</f>
        <v>282770</v>
      </c>
      <c r="AL9" s="31">
        <v>1</v>
      </c>
      <c r="AM9" s="31"/>
      <c r="AN9" s="39">
        <f>+AM9*AL9</f>
        <v>0</v>
      </c>
    </row>
    <row r="10" spans="2:40" x14ac:dyDescent="0.25">
      <c r="C10" s="1">
        <v>500</v>
      </c>
      <c r="D10" s="1">
        <v>4</v>
      </c>
      <c r="E10" s="39">
        <f t="shared" si="0"/>
        <v>2000</v>
      </c>
      <c r="G10" s="1">
        <v>500</v>
      </c>
      <c r="H10" s="1">
        <v>35</v>
      </c>
      <c r="I10" s="39">
        <f t="shared" si="1"/>
        <v>17500</v>
      </c>
      <c r="K10" s="1">
        <v>500</v>
      </c>
      <c r="L10" s="1">
        <v>28</v>
      </c>
      <c r="M10" s="39">
        <f t="shared" si="2"/>
        <v>14000</v>
      </c>
      <c r="O10" s="1">
        <v>500</v>
      </c>
      <c r="P10" s="1">
        <v>40</v>
      </c>
      <c r="Q10" s="39">
        <f t="shared" si="3"/>
        <v>20000</v>
      </c>
      <c r="S10" s="1">
        <v>500</v>
      </c>
      <c r="T10" s="1"/>
      <c r="U10" s="39">
        <f t="shared" si="4"/>
        <v>0</v>
      </c>
      <c r="W10" s="12"/>
      <c r="X10" s="42">
        <v>500</v>
      </c>
      <c r="Y10" s="42">
        <f t="shared" si="6"/>
        <v>107</v>
      </c>
      <c r="Z10" s="40">
        <f t="shared" si="5"/>
        <v>53500</v>
      </c>
      <c r="AA10" s="13"/>
      <c r="AL10" s="1">
        <v>10</v>
      </c>
      <c r="AM10" s="1">
        <v>570</v>
      </c>
      <c r="AN10" s="39">
        <f>+AM10*AL10</f>
        <v>5700</v>
      </c>
    </row>
    <row r="11" spans="2:40" x14ac:dyDescent="0.25">
      <c r="C11" s="1">
        <v>1000</v>
      </c>
      <c r="D11" s="1">
        <v>19</v>
      </c>
      <c r="E11" s="39">
        <f t="shared" si="0"/>
        <v>19000</v>
      </c>
      <c r="G11" s="1">
        <v>1000</v>
      </c>
      <c r="H11" s="1">
        <v>55</v>
      </c>
      <c r="I11" s="39">
        <f t="shared" si="1"/>
        <v>55000</v>
      </c>
      <c r="K11" s="1">
        <v>1000</v>
      </c>
      <c r="L11" s="1">
        <v>34</v>
      </c>
      <c r="M11" s="39">
        <f t="shared" si="2"/>
        <v>34000</v>
      </c>
      <c r="O11" s="1">
        <v>1000</v>
      </c>
      <c r="P11" s="1">
        <v>28</v>
      </c>
      <c r="Q11" s="39">
        <f t="shared" si="3"/>
        <v>28000</v>
      </c>
      <c r="S11" s="1">
        <v>1000</v>
      </c>
      <c r="T11" s="1">
        <v>4</v>
      </c>
      <c r="U11" s="39">
        <f t="shared" si="4"/>
        <v>4000</v>
      </c>
      <c r="W11" s="12"/>
      <c r="X11" s="42">
        <v>1000</v>
      </c>
      <c r="Y11" s="42">
        <f t="shared" si="6"/>
        <v>140</v>
      </c>
      <c r="Z11" s="40">
        <f t="shared" si="5"/>
        <v>140000</v>
      </c>
      <c r="AA11" s="13"/>
      <c r="AF11" s="53" t="s">
        <v>57</v>
      </c>
      <c r="AG11" s="53" t="s">
        <v>2</v>
      </c>
      <c r="AH11" s="53" t="s">
        <v>58</v>
      </c>
      <c r="AI11" s="53" t="s">
        <v>59</v>
      </c>
      <c r="AJ11" s="53" t="s">
        <v>60</v>
      </c>
      <c r="AK11" s="53"/>
      <c r="AL11" s="1">
        <v>20</v>
      </c>
      <c r="AM11" s="1">
        <v>129</v>
      </c>
      <c r="AN11" s="39">
        <f t="shared" ref="AN11:AN16" si="7">+AM11*AL11</f>
        <v>2580</v>
      </c>
    </row>
    <row r="12" spans="2:40" x14ac:dyDescent="0.25">
      <c r="C12" s="1">
        <v>5000</v>
      </c>
      <c r="D12" s="1">
        <v>2</v>
      </c>
      <c r="E12" s="39">
        <f t="shared" si="0"/>
        <v>10000</v>
      </c>
      <c r="G12" s="1">
        <v>5000</v>
      </c>
      <c r="H12" s="1">
        <v>2</v>
      </c>
      <c r="I12" s="39">
        <f t="shared" si="1"/>
        <v>10000</v>
      </c>
      <c r="K12" s="1">
        <v>5000</v>
      </c>
      <c r="L12" s="1">
        <v>3</v>
      </c>
      <c r="M12" s="39">
        <f t="shared" si="2"/>
        <v>15000</v>
      </c>
      <c r="O12" s="1">
        <v>5000</v>
      </c>
      <c r="P12" s="1"/>
      <c r="Q12" s="39">
        <f t="shared" si="3"/>
        <v>0</v>
      </c>
      <c r="S12" s="1">
        <v>5000</v>
      </c>
      <c r="T12" s="1">
        <v>1</v>
      </c>
      <c r="U12" s="39">
        <f t="shared" si="4"/>
        <v>5000</v>
      </c>
      <c r="W12" s="12"/>
      <c r="X12" s="42">
        <v>5000</v>
      </c>
      <c r="Y12" s="42">
        <f t="shared" si="6"/>
        <v>8</v>
      </c>
      <c r="Z12" s="40">
        <f t="shared" si="5"/>
        <v>40000</v>
      </c>
      <c r="AA12" s="13"/>
      <c r="AF12" t="s">
        <v>6</v>
      </c>
      <c r="AG12" s="4">
        <v>256350</v>
      </c>
      <c r="AH12">
        <v>30713</v>
      </c>
      <c r="AI12" s="58" t="s">
        <v>349</v>
      </c>
      <c r="AJ12" t="s">
        <v>199</v>
      </c>
      <c r="AL12" s="1">
        <v>50</v>
      </c>
      <c r="AM12" s="1">
        <v>196</v>
      </c>
      <c r="AN12" s="39">
        <f t="shared" si="7"/>
        <v>9800</v>
      </c>
    </row>
    <row r="13" spans="2:40" ht="15.75" thickBot="1" x14ac:dyDescent="0.3">
      <c r="C13" s="2" t="s">
        <v>3</v>
      </c>
      <c r="D13" s="2"/>
      <c r="E13" s="5">
        <f>+SUM(E5:E12)</f>
        <v>33960</v>
      </c>
      <c r="G13" s="2" t="s">
        <v>3</v>
      </c>
      <c r="H13" s="2"/>
      <c r="I13" s="5">
        <f>+SUM(I5:I12)</f>
        <v>89830</v>
      </c>
      <c r="K13" s="2" t="s">
        <v>3</v>
      </c>
      <c r="L13" s="2"/>
      <c r="M13" s="5">
        <f>+SUM(M5:M12)</f>
        <v>71000</v>
      </c>
      <c r="O13" s="2" t="s">
        <v>3</v>
      </c>
      <c r="P13" s="2"/>
      <c r="Q13" s="5">
        <f>+SUM(Q5:Q12)</f>
        <v>63820</v>
      </c>
      <c r="S13" s="2" t="s">
        <v>3</v>
      </c>
      <c r="T13" s="2"/>
      <c r="U13" s="5">
        <f>+SUM(U5:U12)</f>
        <v>18470</v>
      </c>
      <c r="W13" s="12"/>
      <c r="X13" s="2" t="s">
        <v>3</v>
      </c>
      <c r="Y13" s="2"/>
      <c r="Z13" s="5">
        <f>+SUM(Z5:Z12)</f>
        <v>277080</v>
      </c>
      <c r="AA13" s="13"/>
      <c r="AF13" t="s">
        <v>62</v>
      </c>
      <c r="AG13" s="4">
        <v>12430</v>
      </c>
      <c r="AL13" s="1">
        <v>100</v>
      </c>
      <c r="AM13" s="1">
        <v>197</v>
      </c>
      <c r="AN13" s="39">
        <f t="shared" si="7"/>
        <v>19700</v>
      </c>
    </row>
    <row r="14" spans="2:40" ht="15.75" thickBot="1" x14ac:dyDescent="0.3">
      <c r="W14" s="12"/>
      <c r="X14" s="17"/>
      <c r="Y14" s="17"/>
      <c r="Z14" s="17"/>
      <c r="AA14" s="13"/>
      <c r="AF14" t="s">
        <v>63</v>
      </c>
      <c r="AG14" s="4"/>
      <c r="AL14" s="1">
        <v>500</v>
      </c>
      <c r="AM14" s="1">
        <v>116</v>
      </c>
      <c r="AN14" s="39">
        <f t="shared" si="7"/>
        <v>58000</v>
      </c>
    </row>
    <row r="15" spans="2:40" ht="15.75" thickBot="1" x14ac:dyDescent="0.3">
      <c r="B15" s="33"/>
      <c r="C15" s="127" t="s">
        <v>4</v>
      </c>
      <c r="D15" s="128"/>
      <c r="E15" s="7">
        <v>73632</v>
      </c>
      <c r="F15" s="33"/>
      <c r="G15" s="127" t="s">
        <v>4</v>
      </c>
      <c r="H15" s="128"/>
      <c r="I15" s="7">
        <v>111588</v>
      </c>
      <c r="J15" s="33"/>
      <c r="K15" s="127" t="s">
        <v>4</v>
      </c>
      <c r="L15" s="128"/>
      <c r="M15" s="7">
        <v>69623</v>
      </c>
      <c r="N15" s="33"/>
      <c r="O15" s="127" t="s">
        <v>4</v>
      </c>
      <c r="P15" s="128"/>
      <c r="Q15" s="7">
        <v>80723</v>
      </c>
      <c r="R15" s="33"/>
      <c r="S15" s="127" t="s">
        <v>4</v>
      </c>
      <c r="T15" s="128"/>
      <c r="U15" s="7">
        <v>460875</v>
      </c>
      <c r="V15" s="33"/>
      <c r="W15" s="34"/>
      <c r="X15" s="127" t="s">
        <v>4</v>
      </c>
      <c r="Y15" s="128"/>
      <c r="Z15" s="7">
        <f>+E15+I15+M15+Q15+U15</f>
        <v>796441</v>
      </c>
      <c r="AA15" s="35"/>
      <c r="AB15" s="33"/>
      <c r="AF15" t="s">
        <v>64</v>
      </c>
      <c r="AG15" s="4"/>
      <c r="AL15" s="1">
        <v>1000</v>
      </c>
      <c r="AM15" s="1">
        <v>138</v>
      </c>
      <c r="AN15" s="39">
        <f t="shared" si="7"/>
        <v>138000</v>
      </c>
    </row>
    <row r="16" spans="2:40" x14ac:dyDescent="0.25">
      <c r="C16" t="s">
        <v>5</v>
      </c>
      <c r="E16" s="4">
        <v>33960</v>
      </c>
      <c r="G16" t="s">
        <v>5</v>
      </c>
      <c r="I16" s="4">
        <f>+I13</f>
        <v>89830</v>
      </c>
      <c r="K16" t="s">
        <v>5</v>
      </c>
      <c r="M16" s="4">
        <v>71000</v>
      </c>
      <c r="O16" t="s">
        <v>5</v>
      </c>
      <c r="Q16" s="4">
        <f>+Q13</f>
        <v>63820</v>
      </c>
      <c r="S16" t="s">
        <v>5</v>
      </c>
      <c r="U16" s="4">
        <v>18470</v>
      </c>
      <c r="W16" s="12"/>
      <c r="X16" s="43" t="s">
        <v>5</v>
      </c>
      <c r="Y16" s="43"/>
      <c r="Z16" s="40">
        <f>+E16+I16+M16+Q16+U16</f>
        <v>277080</v>
      </c>
      <c r="AA16" s="13"/>
      <c r="AC16" s="33"/>
      <c r="AD16" s="33"/>
      <c r="AE16" s="33"/>
      <c r="AF16" t="s">
        <v>418</v>
      </c>
      <c r="AG16" s="4">
        <v>13990</v>
      </c>
      <c r="AH16" t="s">
        <v>348</v>
      </c>
      <c r="AL16" s="1">
        <v>5000</v>
      </c>
      <c r="AM16" s="1">
        <v>7</v>
      </c>
      <c r="AN16" s="39">
        <f t="shared" si="7"/>
        <v>35000</v>
      </c>
    </row>
    <row r="17" spans="3:42" ht="15.75" thickBot="1" x14ac:dyDescent="0.3">
      <c r="C17" t="s">
        <v>6</v>
      </c>
      <c r="E17" s="4">
        <v>3800</v>
      </c>
      <c r="G17" t="s">
        <v>6</v>
      </c>
      <c r="I17" s="4"/>
      <c r="K17" t="s">
        <v>6</v>
      </c>
      <c r="M17" s="4"/>
      <c r="O17" t="s">
        <v>6</v>
      </c>
      <c r="Q17" s="4"/>
      <c r="S17" t="s">
        <v>6</v>
      </c>
      <c r="U17" s="4"/>
      <c r="W17" s="12"/>
      <c r="X17" s="43" t="s">
        <v>6</v>
      </c>
      <c r="Y17" s="43"/>
      <c r="Z17" s="40">
        <f t="shared" ref="Z17:Z27" si="8">+E17+I17+M17+Q17+U17</f>
        <v>3800</v>
      </c>
      <c r="AA17" s="13"/>
      <c r="AF17" s="54" t="s">
        <v>10</v>
      </c>
      <c r="AG17" s="55">
        <f>+SUM(AG12:AG16)</f>
        <v>282770</v>
      </c>
      <c r="AH17" s="22"/>
      <c r="AL17" s="2" t="s">
        <v>3</v>
      </c>
      <c r="AM17" s="2"/>
      <c r="AN17" s="5">
        <f>+SUM(AN9:AN16)</f>
        <v>268780</v>
      </c>
      <c r="AP17" s="22"/>
    </row>
    <row r="18" spans="3:42" x14ac:dyDescent="0.25">
      <c r="C18" t="s">
        <v>325</v>
      </c>
      <c r="D18" t="s">
        <v>326</v>
      </c>
      <c r="E18" s="4">
        <v>21490</v>
      </c>
      <c r="G18" t="s">
        <v>265</v>
      </c>
      <c r="H18" t="s">
        <v>330</v>
      </c>
      <c r="I18" s="4">
        <v>7069</v>
      </c>
      <c r="K18" t="s">
        <v>43</v>
      </c>
      <c r="M18" s="4"/>
      <c r="O18" t="s">
        <v>161</v>
      </c>
      <c r="P18" t="s">
        <v>338</v>
      </c>
      <c r="Q18" s="4">
        <v>15796</v>
      </c>
      <c r="S18" t="s">
        <v>343</v>
      </c>
      <c r="T18" t="s">
        <v>344</v>
      </c>
      <c r="U18" s="4">
        <v>37290</v>
      </c>
      <c r="W18" s="12"/>
      <c r="X18" s="43" t="s">
        <v>7</v>
      </c>
      <c r="Y18" s="43"/>
      <c r="Z18" s="40">
        <f t="shared" si="8"/>
        <v>81645</v>
      </c>
      <c r="AA18" s="13"/>
      <c r="AF18" s="56" t="s">
        <v>66</v>
      </c>
      <c r="AG18" s="57">
        <f>+AG17-AG9</f>
        <v>0</v>
      </c>
      <c r="AH18" t="s">
        <v>214</v>
      </c>
    </row>
    <row r="19" spans="3:42" x14ac:dyDescent="0.25">
      <c r="C19" t="s">
        <v>161</v>
      </c>
      <c r="D19" t="s">
        <v>327</v>
      </c>
      <c r="E19" s="4">
        <v>8343</v>
      </c>
      <c r="G19" t="s">
        <v>161</v>
      </c>
      <c r="H19" s="17" t="s">
        <v>331</v>
      </c>
      <c r="I19" s="4">
        <v>8661</v>
      </c>
      <c r="K19" t="s">
        <v>43</v>
      </c>
      <c r="M19" s="4"/>
      <c r="O19" t="s">
        <v>8</v>
      </c>
      <c r="Q19" s="4"/>
      <c r="S19" t="s">
        <v>345</v>
      </c>
      <c r="T19" t="s">
        <v>346</v>
      </c>
      <c r="U19" s="4">
        <v>37090</v>
      </c>
      <c r="W19" s="12"/>
      <c r="X19" s="43" t="s">
        <v>8</v>
      </c>
      <c r="Y19" s="43"/>
      <c r="Z19" s="40">
        <f t="shared" si="8"/>
        <v>54094</v>
      </c>
      <c r="AA19" s="13"/>
    </row>
    <row r="20" spans="3:42" x14ac:dyDescent="0.25">
      <c r="C20" t="s">
        <v>328</v>
      </c>
      <c r="D20" t="s">
        <v>329</v>
      </c>
      <c r="E20" s="4">
        <v>4629</v>
      </c>
      <c r="G20" t="s">
        <v>265</v>
      </c>
      <c r="H20" s="17" t="s">
        <v>332</v>
      </c>
      <c r="I20" s="4">
        <v>5938</v>
      </c>
      <c r="K20" t="s">
        <v>9</v>
      </c>
      <c r="M20" s="4"/>
      <c r="O20" t="s">
        <v>9</v>
      </c>
      <c r="Q20" s="4"/>
      <c r="S20" t="s">
        <v>43</v>
      </c>
      <c r="U20" s="4"/>
      <c r="W20" s="12"/>
      <c r="X20" s="43" t="s">
        <v>9</v>
      </c>
      <c r="Y20" s="43"/>
      <c r="Z20" s="40">
        <f t="shared" si="8"/>
        <v>10567</v>
      </c>
      <c r="AA20" s="13"/>
    </row>
    <row r="21" spans="3:42" x14ac:dyDescent="0.25">
      <c r="E21" s="4"/>
      <c r="I21" s="4"/>
      <c r="M21" s="4"/>
      <c r="Q21" s="4"/>
      <c r="S21" t="s">
        <v>43</v>
      </c>
      <c r="U21" s="4"/>
      <c r="W21" s="12"/>
      <c r="X21" s="43"/>
      <c r="Y21" s="43"/>
      <c r="Z21" s="40">
        <f t="shared" si="8"/>
        <v>0</v>
      </c>
      <c r="AA21" s="13"/>
      <c r="AC21" s="67" t="s">
        <v>117</v>
      </c>
      <c r="AD21" s="67"/>
      <c r="AE21" s="67"/>
      <c r="AF21" s="33"/>
      <c r="AK21" s="67" t="s">
        <v>290</v>
      </c>
      <c r="AL21" s="67"/>
      <c r="AM21" s="67"/>
      <c r="AN21" s="85"/>
    </row>
    <row r="22" spans="3:42" x14ac:dyDescent="0.25">
      <c r="E22" s="4"/>
      <c r="I22" s="4"/>
      <c r="M22" s="4"/>
      <c r="Q22" s="4"/>
      <c r="S22" t="s">
        <v>43</v>
      </c>
      <c r="U22" s="4"/>
      <c r="W22" s="12"/>
      <c r="X22" s="43"/>
      <c r="Y22" s="43"/>
      <c r="Z22" s="40">
        <f t="shared" si="8"/>
        <v>0</v>
      </c>
      <c r="AA22" s="13"/>
      <c r="AC22" s="53" t="s">
        <v>114</v>
      </c>
      <c r="AD22" s="53" t="s">
        <v>115</v>
      </c>
      <c r="AE22" s="53" t="s">
        <v>122</v>
      </c>
      <c r="AF22" s="53" t="s">
        <v>116</v>
      </c>
      <c r="AG22" s="53" t="s">
        <v>2</v>
      </c>
      <c r="AH22" s="53"/>
      <c r="AK22" s="53" t="s">
        <v>114</v>
      </c>
      <c r="AL22" s="53" t="s">
        <v>278</v>
      </c>
      <c r="AM22" s="53" t="s">
        <v>122</v>
      </c>
      <c r="AN22" s="53" t="s">
        <v>2</v>
      </c>
    </row>
    <row r="23" spans="3:42" x14ac:dyDescent="0.25">
      <c r="C23" t="s">
        <v>28</v>
      </c>
      <c r="E23" s="4"/>
      <c r="G23" t="s">
        <v>28</v>
      </c>
      <c r="I23" s="4"/>
      <c r="K23" t="s">
        <v>28</v>
      </c>
      <c r="M23" s="4"/>
      <c r="O23" t="s">
        <v>28</v>
      </c>
      <c r="Q23" s="4"/>
      <c r="S23" t="s">
        <v>333</v>
      </c>
      <c r="T23" t="s">
        <v>334</v>
      </c>
      <c r="U23" s="4">
        <v>120337</v>
      </c>
      <c r="W23" s="12"/>
      <c r="X23" s="44" t="s">
        <v>28</v>
      </c>
      <c r="Y23" s="43"/>
      <c r="Z23" s="40">
        <f t="shared" si="8"/>
        <v>120337</v>
      </c>
      <c r="AA23" s="13"/>
      <c r="AC23" t="s">
        <v>150</v>
      </c>
      <c r="AD23" s="58" t="s">
        <v>324</v>
      </c>
      <c r="AE23" t="s">
        <v>323</v>
      </c>
      <c r="AG23">
        <v>5690</v>
      </c>
      <c r="AK23" t="s">
        <v>153</v>
      </c>
      <c r="AL23" t="s">
        <v>347</v>
      </c>
      <c r="AM23" t="s">
        <v>53</v>
      </c>
      <c r="AN23">
        <v>139629</v>
      </c>
    </row>
    <row r="24" spans="3:42" x14ac:dyDescent="0.25">
      <c r="C24" t="s">
        <v>29</v>
      </c>
      <c r="E24" s="4"/>
      <c r="G24" t="s">
        <v>29</v>
      </c>
      <c r="I24" s="4"/>
      <c r="K24" t="s">
        <v>29</v>
      </c>
      <c r="M24" s="4"/>
      <c r="O24" t="s">
        <v>29</v>
      </c>
      <c r="Q24" s="4"/>
      <c r="S24" t="s">
        <v>335</v>
      </c>
      <c r="T24" t="s">
        <v>336</v>
      </c>
      <c r="U24" s="4">
        <v>123757</v>
      </c>
      <c r="W24" s="12"/>
      <c r="X24" s="44" t="s">
        <v>29</v>
      </c>
      <c r="Y24" s="43"/>
      <c r="Z24" s="40">
        <f t="shared" si="8"/>
        <v>123757</v>
      </c>
      <c r="AA24" s="13"/>
      <c r="AD24" s="58"/>
    </row>
    <row r="25" spans="3:42" x14ac:dyDescent="0.25">
      <c r="C25" t="s">
        <v>31</v>
      </c>
      <c r="E25" s="4"/>
      <c r="G25" t="s">
        <v>31</v>
      </c>
      <c r="I25" s="4"/>
      <c r="K25" t="s">
        <v>31</v>
      </c>
      <c r="M25" s="4"/>
      <c r="O25" t="s">
        <v>31</v>
      </c>
      <c r="Q25" s="4"/>
      <c r="S25" t="s">
        <v>339</v>
      </c>
      <c r="T25" t="s">
        <v>340</v>
      </c>
      <c r="U25" s="4">
        <v>72018</v>
      </c>
      <c r="W25" s="12"/>
      <c r="X25" s="44" t="s">
        <v>31</v>
      </c>
      <c r="Y25" s="43"/>
      <c r="Z25" s="40">
        <f t="shared" si="8"/>
        <v>72018</v>
      </c>
      <c r="AA25" s="13"/>
      <c r="AD25" s="75"/>
      <c r="AE25" s="17"/>
      <c r="AF25" s="17"/>
      <c r="AG25" s="17"/>
    </row>
    <row r="26" spans="3:42" x14ac:dyDescent="0.25">
      <c r="E26" s="4"/>
      <c r="I26" s="4"/>
      <c r="M26" s="4"/>
      <c r="Q26" s="4"/>
      <c r="S26" t="s">
        <v>341</v>
      </c>
      <c r="T26" t="s">
        <v>342</v>
      </c>
      <c r="U26" s="4">
        <v>49771</v>
      </c>
      <c r="W26" s="12"/>
      <c r="X26" s="43"/>
      <c r="Y26" s="43"/>
      <c r="Z26" s="40">
        <f t="shared" si="8"/>
        <v>49771</v>
      </c>
      <c r="AA26" s="13"/>
      <c r="AD26" s="75"/>
      <c r="AE26" s="21"/>
      <c r="AF26" s="17"/>
      <c r="AG26" s="21"/>
    </row>
    <row r="27" spans="3:42" ht="15.75" thickBot="1" x14ac:dyDescent="0.3">
      <c r="E27" s="4"/>
      <c r="I27" s="4"/>
      <c r="M27" s="4"/>
      <c r="Q27" s="4"/>
      <c r="U27" s="4"/>
      <c r="W27" s="12"/>
      <c r="X27" s="43"/>
      <c r="Y27" s="43"/>
      <c r="Z27" s="40">
        <f t="shared" si="8"/>
        <v>0</v>
      </c>
      <c r="AA27" s="13"/>
    </row>
    <row r="28" spans="3:42" ht="15.75" thickBot="1" x14ac:dyDescent="0.3">
      <c r="C28" s="129" t="s">
        <v>10</v>
      </c>
      <c r="D28" s="130"/>
      <c r="E28" s="8">
        <f>+SUM(E16:E27)</f>
        <v>72222</v>
      </c>
      <c r="G28" s="129" t="s">
        <v>10</v>
      </c>
      <c r="H28" s="130"/>
      <c r="I28" s="8">
        <f>+SUM(I16:I27)</f>
        <v>111498</v>
      </c>
      <c r="K28" s="129" t="s">
        <v>10</v>
      </c>
      <c r="L28" s="130"/>
      <c r="M28" s="8">
        <f>+SUM(M16:M27)</f>
        <v>71000</v>
      </c>
      <c r="O28" s="129" t="s">
        <v>10</v>
      </c>
      <c r="P28" s="130"/>
      <c r="Q28" s="8">
        <f>+SUM(Q16:Q27)</f>
        <v>79616</v>
      </c>
      <c r="S28" s="129" t="s">
        <v>10</v>
      </c>
      <c r="T28" s="130"/>
      <c r="U28" s="8">
        <f>+SUM(U16:U27)</f>
        <v>458733</v>
      </c>
      <c r="W28" s="12"/>
      <c r="X28" s="129" t="s">
        <v>10</v>
      </c>
      <c r="Y28" s="130"/>
      <c r="Z28" s="8">
        <f>+SUM(Z16:Z27)</f>
        <v>793069</v>
      </c>
      <c r="AA28" s="13"/>
    </row>
    <row r="29" spans="3:42" ht="15.75" thickBot="1" x14ac:dyDescent="0.3">
      <c r="E29" s="4"/>
      <c r="I29" s="4"/>
      <c r="M29" s="4"/>
      <c r="Q29" s="4"/>
      <c r="U29" s="4"/>
      <c r="W29" s="12"/>
      <c r="X29" s="17"/>
      <c r="Y29" s="17"/>
      <c r="Z29" s="16"/>
      <c r="AA29" s="13"/>
      <c r="AC29" s="74" t="s">
        <v>113</v>
      </c>
      <c r="AD29" s="74"/>
      <c r="AE29" s="74"/>
      <c r="AF29" s="74"/>
      <c r="AG29" s="69">
        <f>+SUM(AG23:AG28)</f>
        <v>5690</v>
      </c>
    </row>
    <row r="30" spans="3:42" ht="16.5" thickTop="1" thickBot="1" x14ac:dyDescent="0.3">
      <c r="C30" s="131" t="s">
        <v>11</v>
      </c>
      <c r="D30" s="131"/>
      <c r="E30" s="6">
        <f>+E28-E15</f>
        <v>-1410</v>
      </c>
      <c r="G30" s="131" t="s">
        <v>11</v>
      </c>
      <c r="H30" s="131"/>
      <c r="I30" s="6">
        <f>+I28-I15</f>
        <v>-90</v>
      </c>
      <c r="K30" s="131" t="s">
        <v>11</v>
      </c>
      <c r="L30" s="131"/>
      <c r="M30" s="6">
        <f>+M28-M15</f>
        <v>1377</v>
      </c>
      <c r="O30" s="131" t="s">
        <v>11</v>
      </c>
      <c r="P30" s="131"/>
      <c r="Q30" s="6">
        <f>+Q28-Q15</f>
        <v>-1107</v>
      </c>
      <c r="S30" s="131" t="s">
        <v>11</v>
      </c>
      <c r="T30" s="131"/>
      <c r="U30" s="6">
        <f>+U28-U15</f>
        <v>-2142</v>
      </c>
      <c r="W30" s="12"/>
      <c r="X30" s="134" t="s">
        <v>11</v>
      </c>
      <c r="Y30" s="134"/>
      <c r="Z30" s="45">
        <f>+Z28-Z15</f>
        <v>-3372</v>
      </c>
      <c r="AA30" s="13"/>
    </row>
    <row r="31" spans="3:42" ht="16.5" thickTop="1" thickBot="1" x14ac:dyDescent="0.3">
      <c r="W31" s="18"/>
      <c r="X31" s="19"/>
      <c r="Y31" s="19"/>
      <c r="Z31" s="19"/>
      <c r="AA31" s="20"/>
    </row>
    <row r="33" spans="3:40" ht="15.75" thickBot="1" x14ac:dyDescent="0.3"/>
    <row r="34" spans="3:40" ht="15.75" thickBot="1" x14ac:dyDescent="0.3">
      <c r="C34" s="9" t="s">
        <v>15</v>
      </c>
      <c r="D34" s="10"/>
      <c r="E34" s="23">
        <v>1410</v>
      </c>
      <c r="G34" s="9" t="s">
        <v>15</v>
      </c>
      <c r="H34" s="10"/>
      <c r="I34" s="23">
        <v>90</v>
      </c>
      <c r="K34" s="9" t="s">
        <v>15</v>
      </c>
      <c r="L34" s="10"/>
      <c r="M34" s="23"/>
      <c r="O34" s="9" t="s">
        <v>15</v>
      </c>
      <c r="P34" s="10"/>
      <c r="Q34" s="23">
        <v>1107</v>
      </c>
      <c r="S34" s="9" t="s">
        <v>15</v>
      </c>
      <c r="T34" s="10"/>
      <c r="U34" s="23">
        <v>2142</v>
      </c>
      <c r="X34" s="46" t="s">
        <v>15</v>
      </c>
      <c r="Y34" s="47"/>
      <c r="Z34" s="48">
        <f>+E34+I34+M34+Q34+U34</f>
        <v>4749</v>
      </c>
      <c r="AK34" s="89" t="s">
        <v>113</v>
      </c>
      <c r="AL34" s="89"/>
      <c r="AM34" s="89"/>
      <c r="AN34" s="92">
        <f>+SUM(AN23:AN33)</f>
        <v>139629</v>
      </c>
    </row>
    <row r="35" spans="3:40" ht="15.75" thickTop="1" x14ac:dyDescent="0.25">
      <c r="C35" s="12" t="s">
        <v>40</v>
      </c>
      <c r="D35" s="17"/>
      <c r="E35" s="24"/>
      <c r="G35" s="12" t="s">
        <v>40</v>
      </c>
      <c r="H35" s="17"/>
      <c r="I35" s="24"/>
      <c r="K35" s="12" t="s">
        <v>40</v>
      </c>
      <c r="L35" s="17"/>
      <c r="M35" s="24"/>
      <c r="O35" s="12" t="s">
        <v>40</v>
      </c>
      <c r="P35" s="17"/>
      <c r="Q35" s="24"/>
      <c r="S35" s="12" t="s">
        <v>40</v>
      </c>
      <c r="T35" s="17"/>
      <c r="U35" s="24"/>
      <c r="X35" s="49" t="s">
        <v>40</v>
      </c>
      <c r="Y35" s="43"/>
      <c r="Z35" s="50">
        <f t="shared" ref="Z35:Z36" si="9">+E35+I35+M35+Q35+U35</f>
        <v>0</v>
      </c>
    </row>
    <row r="36" spans="3:40" x14ac:dyDescent="0.25">
      <c r="C36" s="12" t="s">
        <v>23</v>
      </c>
      <c r="D36" s="17"/>
      <c r="E36" s="24"/>
      <c r="G36" s="12" t="s">
        <v>23</v>
      </c>
      <c r="H36" s="17"/>
      <c r="I36" s="24"/>
      <c r="K36" s="12" t="s">
        <v>23</v>
      </c>
      <c r="L36" s="17"/>
      <c r="M36" s="24"/>
      <c r="O36" s="12" t="s">
        <v>42</v>
      </c>
      <c r="P36" s="17"/>
      <c r="Q36" s="24"/>
      <c r="S36" s="12" t="s">
        <v>41</v>
      </c>
      <c r="T36" s="17"/>
      <c r="U36" s="24"/>
      <c r="X36" s="49" t="s">
        <v>23</v>
      </c>
      <c r="Y36" s="43"/>
      <c r="Z36" s="50">
        <f t="shared" si="9"/>
        <v>0</v>
      </c>
    </row>
    <row r="37" spans="3:40" x14ac:dyDescent="0.25">
      <c r="C37" s="12" t="s">
        <v>3</v>
      </c>
      <c r="D37" s="17"/>
      <c r="E37" s="24">
        <f>+SUM(E34:E36)</f>
        <v>1410</v>
      </c>
      <c r="G37" s="12" t="s">
        <v>3</v>
      </c>
      <c r="H37" s="17"/>
      <c r="I37" s="24">
        <f>+SUM(I34:I36)</f>
        <v>90</v>
      </c>
      <c r="K37" s="12" t="s">
        <v>3</v>
      </c>
      <c r="L37" s="17"/>
      <c r="M37" s="24">
        <f>+SUM(M34:M36)</f>
        <v>0</v>
      </c>
      <c r="O37" s="12" t="s">
        <v>3</v>
      </c>
      <c r="P37" s="17"/>
      <c r="Q37" s="24">
        <f>+SUM(Q34:Q36)</f>
        <v>1107</v>
      </c>
      <c r="S37" s="12" t="s">
        <v>3</v>
      </c>
      <c r="T37" s="17"/>
      <c r="U37" s="24">
        <f>+SUM(U34:U36)</f>
        <v>2142</v>
      </c>
      <c r="X37" s="36" t="s">
        <v>3</v>
      </c>
      <c r="Y37" s="37"/>
      <c r="Z37" s="38">
        <f>+SUM(Z34:Z36)</f>
        <v>4749</v>
      </c>
    </row>
    <row r="38" spans="3:40" ht="15.75" thickBot="1" x14ac:dyDescent="0.3">
      <c r="C38" s="25" t="s">
        <v>22</v>
      </c>
      <c r="D38" s="26"/>
      <c r="E38" s="27">
        <f>+E30+E37</f>
        <v>0</v>
      </c>
      <c r="G38" s="25" t="s">
        <v>22</v>
      </c>
      <c r="H38" s="26"/>
      <c r="I38" s="27">
        <f>+I30+I37</f>
        <v>0</v>
      </c>
      <c r="K38" s="25" t="s">
        <v>22</v>
      </c>
      <c r="L38" s="26"/>
      <c r="M38" s="27">
        <f>+M30+M37</f>
        <v>1377</v>
      </c>
      <c r="O38" s="25" t="s">
        <v>22</v>
      </c>
      <c r="P38" s="26"/>
      <c r="Q38" s="27">
        <f>+Q30+Q37</f>
        <v>0</v>
      </c>
      <c r="S38" s="25" t="s">
        <v>22</v>
      </c>
      <c r="T38" s="26"/>
      <c r="U38" s="27">
        <f>+U30+U37</f>
        <v>0</v>
      </c>
      <c r="X38" s="25" t="s">
        <v>22</v>
      </c>
      <c r="Y38" s="26"/>
      <c r="Z38" s="27">
        <f>+Z30+Z37</f>
        <v>1377</v>
      </c>
    </row>
    <row r="40" spans="3:40" x14ac:dyDescent="0.25">
      <c r="Z40" s="22"/>
    </row>
  </sheetData>
  <mergeCells count="25">
    <mergeCell ref="X3:Z3"/>
    <mergeCell ref="C3:E3"/>
    <mergeCell ref="G3:I3"/>
    <mergeCell ref="K3:M3"/>
    <mergeCell ref="O3:Q3"/>
    <mergeCell ref="S3:U3"/>
    <mergeCell ref="AF5:AJ5"/>
    <mergeCell ref="C15:D15"/>
    <mergeCell ref="G15:H15"/>
    <mergeCell ref="K15:L15"/>
    <mergeCell ref="O15:P15"/>
    <mergeCell ref="S15:T15"/>
    <mergeCell ref="X15:Y15"/>
    <mergeCell ref="X30:Y30"/>
    <mergeCell ref="C28:D28"/>
    <mergeCell ref="G28:H28"/>
    <mergeCell ref="K28:L28"/>
    <mergeCell ref="O28:P28"/>
    <mergeCell ref="S28:T28"/>
    <mergeCell ref="X28:Y28"/>
    <mergeCell ref="C30:D30"/>
    <mergeCell ref="G30:H30"/>
    <mergeCell ref="K30:L30"/>
    <mergeCell ref="O30:P30"/>
    <mergeCell ref="S30:T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41"/>
  <sheetViews>
    <sheetView zoomScale="70" zoomScaleNormal="70" workbookViewId="0">
      <selection activeCell="AG14" sqref="AG14"/>
    </sheetView>
  </sheetViews>
  <sheetFormatPr defaultRowHeight="15" x14ac:dyDescent="0.25"/>
  <cols>
    <col min="5" max="5" width="11.42578125" bestFit="1" customWidth="1"/>
    <col min="6" max="6" width="1.5703125" customWidth="1"/>
    <col min="7" max="7" width="13.5703125" bestFit="1" customWidth="1"/>
    <col min="8" max="8" width="13.85546875" bestFit="1" customWidth="1"/>
    <col min="9" max="9" width="11.42578125" bestFit="1" customWidth="1"/>
    <col min="10" max="10" width="1.42578125" customWidth="1"/>
    <col min="13" max="13" width="11.42578125" bestFit="1" customWidth="1"/>
    <col min="14" max="14" width="2.42578125" customWidth="1"/>
    <col min="17" max="17" width="11.42578125" bestFit="1" customWidth="1"/>
    <col min="18" max="18" width="0.7109375" customWidth="1"/>
    <col min="20" max="20" width="13.42578125" bestFit="1" customWidth="1"/>
    <col min="21" max="21" width="14.5703125" bestFit="1" customWidth="1"/>
    <col min="22" max="22" width="2.42578125" customWidth="1"/>
    <col min="23" max="23" width="2" customWidth="1"/>
    <col min="26" max="26" width="14.28515625" bestFit="1" customWidth="1"/>
    <col min="27" max="27" width="2.5703125" customWidth="1"/>
    <col min="31" max="31" width="20.7109375" bestFit="1" customWidth="1"/>
    <col min="32" max="32" width="17.28515625" customWidth="1"/>
    <col min="33" max="33" width="12.85546875" bestFit="1" customWidth="1"/>
    <col min="34" max="34" width="11.7109375" customWidth="1"/>
    <col min="38" max="39" width="11.7109375" customWidth="1"/>
    <col min="40" max="40" width="12.85546875" bestFit="1" customWidth="1"/>
  </cols>
  <sheetData>
    <row r="2" spans="2:40" ht="15.75" thickBot="1" x14ac:dyDescent="0.3"/>
    <row r="3" spans="2:40" x14ac:dyDescent="0.25">
      <c r="W3" s="9"/>
      <c r="X3" s="10"/>
      <c r="Y3" s="10"/>
      <c r="Z3" s="10"/>
      <c r="AA3" s="11"/>
    </row>
    <row r="4" spans="2:40" x14ac:dyDescent="0.25">
      <c r="C4" s="132" t="s">
        <v>44</v>
      </c>
      <c r="D4" s="132"/>
      <c r="E4" s="132"/>
      <c r="G4" s="132" t="s">
        <v>24</v>
      </c>
      <c r="H4" s="132"/>
      <c r="I4" s="132"/>
      <c r="K4" s="132" t="s">
        <v>91</v>
      </c>
      <c r="L4" s="132"/>
      <c r="M4" s="132"/>
      <c r="O4" s="132" t="s">
        <v>12</v>
      </c>
      <c r="P4" s="132"/>
      <c r="Q4" s="132"/>
      <c r="S4" s="132" t="s">
        <v>96</v>
      </c>
      <c r="T4" s="132"/>
      <c r="U4" s="132"/>
      <c r="W4" s="12"/>
      <c r="X4" s="126" t="s">
        <v>16</v>
      </c>
      <c r="Y4" s="126"/>
      <c r="Z4" s="126"/>
      <c r="AA4" s="13"/>
    </row>
    <row r="5" spans="2:40" x14ac:dyDescent="0.25">
      <c r="C5" s="3" t="s">
        <v>0</v>
      </c>
      <c r="D5" s="3" t="s">
        <v>1</v>
      </c>
      <c r="E5" s="3" t="s">
        <v>2</v>
      </c>
      <c r="G5" s="3" t="s">
        <v>0</v>
      </c>
      <c r="H5" s="3" t="s">
        <v>1</v>
      </c>
      <c r="I5" s="3" t="s">
        <v>2</v>
      </c>
      <c r="K5" s="3" t="s">
        <v>0</v>
      </c>
      <c r="L5" s="3" t="s">
        <v>1</v>
      </c>
      <c r="M5" s="3" t="s">
        <v>2</v>
      </c>
      <c r="O5" s="3" t="s">
        <v>0</v>
      </c>
      <c r="P5" s="3" t="s">
        <v>1</v>
      </c>
      <c r="Q5" s="3" t="s">
        <v>2</v>
      </c>
      <c r="S5" s="3" t="s">
        <v>0</v>
      </c>
      <c r="T5" s="3" t="s">
        <v>1</v>
      </c>
      <c r="U5" s="3" t="s">
        <v>2</v>
      </c>
      <c r="W5" s="12"/>
      <c r="X5" s="14" t="s">
        <v>0</v>
      </c>
      <c r="Y5" s="14" t="s">
        <v>1</v>
      </c>
      <c r="Z5" s="14" t="s">
        <v>2</v>
      </c>
      <c r="AA5" s="13"/>
    </row>
    <row r="6" spans="2:40" ht="15.75" thickBot="1" x14ac:dyDescent="0.3">
      <c r="B6" s="28"/>
      <c r="C6" s="31">
        <v>1</v>
      </c>
      <c r="D6" s="31"/>
      <c r="E6" s="39">
        <f>+D6*C6</f>
        <v>0</v>
      </c>
      <c r="F6" s="28"/>
      <c r="G6" s="31">
        <v>1</v>
      </c>
      <c r="H6" s="31">
        <v>9</v>
      </c>
      <c r="I6" s="39">
        <f>+H6*G6</f>
        <v>9</v>
      </c>
      <c r="J6" s="28"/>
      <c r="K6" s="31">
        <v>1</v>
      </c>
      <c r="L6" s="31"/>
      <c r="M6" s="39">
        <f>+L6*K6</f>
        <v>0</v>
      </c>
      <c r="N6" s="28"/>
      <c r="O6" s="31">
        <v>1</v>
      </c>
      <c r="P6" s="31"/>
      <c r="Q6" s="39">
        <f>+P6*O6</f>
        <v>0</v>
      </c>
      <c r="R6" s="28"/>
      <c r="S6" s="31">
        <v>1</v>
      </c>
      <c r="T6" s="31"/>
      <c r="U6" s="39">
        <f>+T6*S6</f>
        <v>0</v>
      </c>
      <c r="V6" s="28"/>
      <c r="W6" s="29"/>
      <c r="X6" s="41">
        <v>1</v>
      </c>
      <c r="Y6" s="42">
        <f>+D6+H6+L6+P6+T6</f>
        <v>9</v>
      </c>
      <c r="Z6" s="40">
        <f>+E6+I6+M6+Q6+U6</f>
        <v>9</v>
      </c>
      <c r="AA6" s="30"/>
      <c r="AB6" s="28"/>
      <c r="AF6" s="133" t="s">
        <v>56</v>
      </c>
      <c r="AG6" s="133"/>
      <c r="AH6" s="133"/>
      <c r="AI6" s="133"/>
      <c r="AJ6" s="133"/>
      <c r="AK6" s="80"/>
    </row>
    <row r="7" spans="2:40" ht="15.75" thickTop="1" x14ac:dyDescent="0.25">
      <c r="C7" s="1">
        <v>10</v>
      </c>
      <c r="D7" s="1">
        <v>38</v>
      </c>
      <c r="E7" s="39">
        <f>+D7*C7</f>
        <v>380</v>
      </c>
      <c r="G7" s="1">
        <v>10</v>
      </c>
      <c r="H7" s="1">
        <v>217</v>
      </c>
      <c r="I7" s="39">
        <f>+H7*G7</f>
        <v>2170</v>
      </c>
      <c r="K7" s="1">
        <v>10</v>
      </c>
      <c r="L7" s="1">
        <v>34</v>
      </c>
      <c r="M7" s="39">
        <f>+L7*K7</f>
        <v>340</v>
      </c>
      <c r="O7" s="1">
        <v>10</v>
      </c>
      <c r="P7" s="1">
        <v>1</v>
      </c>
      <c r="Q7" s="39">
        <f>+P7*O7</f>
        <v>10</v>
      </c>
      <c r="S7" s="1">
        <v>10</v>
      </c>
      <c r="T7" s="1">
        <v>4</v>
      </c>
      <c r="U7" s="39">
        <f>+T7*S7</f>
        <v>40</v>
      </c>
      <c r="W7" s="12"/>
      <c r="X7" s="42">
        <v>10</v>
      </c>
      <c r="Y7" s="42">
        <f>+D7+H7+L7+P7+T7</f>
        <v>294</v>
      </c>
      <c r="Z7" s="40">
        <f>+E7+I7+M7+Q7+U7</f>
        <v>2940</v>
      </c>
      <c r="AA7" s="13"/>
      <c r="AC7" s="28"/>
      <c r="AD7" s="28"/>
      <c r="AE7" s="28"/>
      <c r="AL7" s="28"/>
      <c r="AM7" s="28"/>
      <c r="AN7" s="28"/>
    </row>
    <row r="8" spans="2:40" x14ac:dyDescent="0.25">
      <c r="C8" s="1">
        <v>20</v>
      </c>
      <c r="D8" s="1">
        <v>10</v>
      </c>
      <c r="E8" s="39">
        <f t="shared" ref="E8:E13" si="0">+D8*C8</f>
        <v>200</v>
      </c>
      <c r="G8" s="1">
        <v>20</v>
      </c>
      <c r="H8" s="1">
        <v>35</v>
      </c>
      <c r="I8" s="39">
        <f t="shared" ref="I8:I13" si="1">+H8*G8</f>
        <v>700</v>
      </c>
      <c r="K8" s="1">
        <v>20</v>
      </c>
      <c r="L8" s="1">
        <v>7</v>
      </c>
      <c r="M8" s="39">
        <f t="shared" ref="M8:M13" si="2">+L8*K8</f>
        <v>140</v>
      </c>
      <c r="O8" s="1">
        <v>20</v>
      </c>
      <c r="P8" s="1">
        <v>4</v>
      </c>
      <c r="Q8" s="39">
        <f t="shared" ref="Q8:Q13" si="3">+P8*O8</f>
        <v>80</v>
      </c>
      <c r="S8" s="1">
        <v>20</v>
      </c>
      <c r="T8" s="1"/>
      <c r="U8" s="39">
        <f t="shared" ref="U8:U13" si="4">+T8*S8</f>
        <v>0</v>
      </c>
      <c r="W8" s="12"/>
      <c r="X8" s="42">
        <v>20</v>
      </c>
      <c r="Y8" s="42">
        <f>+D8+H8+L8+P8+T8</f>
        <v>56</v>
      </c>
      <c r="Z8" s="40">
        <f t="shared" ref="Z8:Z13" si="5">+E8+I8+M8+Q8+U8</f>
        <v>1120</v>
      </c>
      <c r="AA8" s="13"/>
      <c r="AF8" s="70" t="s">
        <v>5</v>
      </c>
      <c r="AG8" s="71">
        <v>247669</v>
      </c>
      <c r="AH8" s="28"/>
      <c r="AI8" s="28"/>
      <c r="AJ8" s="28"/>
      <c r="AK8" s="28"/>
    </row>
    <row r="9" spans="2:40" x14ac:dyDescent="0.25">
      <c r="C9" s="1">
        <v>50</v>
      </c>
      <c r="D9" s="1">
        <v>45</v>
      </c>
      <c r="E9" s="39">
        <f t="shared" si="0"/>
        <v>2250</v>
      </c>
      <c r="G9" s="1">
        <v>50</v>
      </c>
      <c r="H9" s="1">
        <v>55</v>
      </c>
      <c r="I9" s="39">
        <f t="shared" si="1"/>
        <v>2750</v>
      </c>
      <c r="K9" s="1">
        <v>50</v>
      </c>
      <c r="L9" s="1">
        <v>34</v>
      </c>
      <c r="M9" s="39">
        <f t="shared" si="2"/>
        <v>1700</v>
      </c>
      <c r="O9" s="1">
        <v>50</v>
      </c>
      <c r="P9" s="1">
        <v>73</v>
      </c>
      <c r="Q9" s="39">
        <f t="shared" si="3"/>
        <v>3650</v>
      </c>
      <c r="S9" s="1">
        <v>50</v>
      </c>
      <c r="T9" s="1">
        <v>1</v>
      </c>
      <c r="U9" s="39">
        <f t="shared" si="4"/>
        <v>50</v>
      </c>
      <c r="W9" s="12"/>
      <c r="X9" s="42">
        <v>50</v>
      </c>
      <c r="Y9" s="42">
        <f t="shared" ref="Y9:Y13" si="6">+D9+H9+L9+P9+T9</f>
        <v>208</v>
      </c>
      <c r="Z9" s="40">
        <f t="shared" si="5"/>
        <v>10400</v>
      </c>
      <c r="AA9" s="13"/>
      <c r="AF9" s="66" t="s">
        <v>120</v>
      </c>
      <c r="AG9" s="66">
        <f>+AG30</f>
        <v>139612</v>
      </c>
      <c r="AL9" s="3" t="s">
        <v>0</v>
      </c>
      <c r="AM9" s="3" t="s">
        <v>1</v>
      </c>
      <c r="AN9" s="3" t="s">
        <v>2</v>
      </c>
    </row>
    <row r="10" spans="2:40" ht="15.75" thickBot="1" x14ac:dyDescent="0.3">
      <c r="C10" s="1">
        <v>100</v>
      </c>
      <c r="D10" s="1">
        <v>43</v>
      </c>
      <c r="E10" s="39">
        <f t="shared" si="0"/>
        <v>4300</v>
      </c>
      <c r="G10" s="1">
        <v>100</v>
      </c>
      <c r="H10" s="1">
        <v>35</v>
      </c>
      <c r="I10" s="39">
        <f t="shared" si="1"/>
        <v>3500</v>
      </c>
      <c r="K10" s="1">
        <v>100</v>
      </c>
      <c r="L10" s="1">
        <v>42</v>
      </c>
      <c r="M10" s="39">
        <f t="shared" si="2"/>
        <v>4200</v>
      </c>
      <c r="O10" s="1">
        <v>100</v>
      </c>
      <c r="P10" s="1">
        <v>25</v>
      </c>
      <c r="Q10" s="39">
        <f t="shared" si="3"/>
        <v>2500</v>
      </c>
      <c r="S10" s="1">
        <v>100</v>
      </c>
      <c r="T10" s="1">
        <v>7</v>
      </c>
      <c r="U10" s="39">
        <f t="shared" si="4"/>
        <v>700</v>
      </c>
      <c r="W10" s="12"/>
      <c r="X10" s="42">
        <v>100</v>
      </c>
      <c r="Y10" s="42">
        <f t="shared" si="6"/>
        <v>152</v>
      </c>
      <c r="Z10" s="40">
        <f t="shared" si="5"/>
        <v>15200</v>
      </c>
      <c r="AA10" s="13"/>
      <c r="AF10" s="72" t="s">
        <v>10</v>
      </c>
      <c r="AG10" s="73">
        <f>SUM(AG8:AG9)</f>
        <v>387281</v>
      </c>
      <c r="AL10" s="31">
        <v>1</v>
      </c>
      <c r="AM10" s="31"/>
      <c r="AN10" s="39">
        <f>+AM10*AL10</f>
        <v>0</v>
      </c>
    </row>
    <row r="11" spans="2:40" x14ac:dyDescent="0.25">
      <c r="C11" s="1">
        <v>500</v>
      </c>
      <c r="D11" s="1">
        <v>32</v>
      </c>
      <c r="E11" s="39">
        <f t="shared" si="0"/>
        <v>16000</v>
      </c>
      <c r="G11" s="1">
        <v>500</v>
      </c>
      <c r="H11" s="1">
        <v>23</v>
      </c>
      <c r="I11" s="39">
        <f t="shared" si="1"/>
        <v>11500</v>
      </c>
      <c r="K11" s="1">
        <v>500</v>
      </c>
      <c r="L11" s="1">
        <v>16</v>
      </c>
      <c r="M11" s="39">
        <f t="shared" si="2"/>
        <v>8000</v>
      </c>
      <c r="O11" s="1">
        <v>500</v>
      </c>
      <c r="P11" s="1">
        <v>27</v>
      </c>
      <c r="Q11" s="39">
        <f t="shared" si="3"/>
        <v>13500</v>
      </c>
      <c r="S11" s="1">
        <v>500</v>
      </c>
      <c r="T11" s="1">
        <v>8</v>
      </c>
      <c r="U11" s="39">
        <f t="shared" si="4"/>
        <v>4000</v>
      </c>
      <c r="W11" s="12"/>
      <c r="X11" s="42">
        <v>500</v>
      </c>
      <c r="Y11" s="42">
        <f t="shared" si="6"/>
        <v>106</v>
      </c>
      <c r="Z11" s="40">
        <f t="shared" si="5"/>
        <v>53000</v>
      </c>
      <c r="AA11" s="13"/>
      <c r="AL11" s="1">
        <v>10</v>
      </c>
      <c r="AM11" s="1">
        <v>801</v>
      </c>
      <c r="AN11" s="39">
        <f>+AM11*AL11</f>
        <v>8010</v>
      </c>
    </row>
    <row r="12" spans="2:40" x14ac:dyDescent="0.25">
      <c r="C12" s="1">
        <v>1000</v>
      </c>
      <c r="D12" s="1">
        <v>31</v>
      </c>
      <c r="E12" s="39">
        <f t="shared" si="0"/>
        <v>31000</v>
      </c>
      <c r="G12" s="1">
        <v>1000</v>
      </c>
      <c r="H12" s="1">
        <v>41</v>
      </c>
      <c r="I12" s="39">
        <f t="shared" si="1"/>
        <v>41000</v>
      </c>
      <c r="K12" s="1">
        <v>1000</v>
      </c>
      <c r="L12" s="1">
        <v>35</v>
      </c>
      <c r="M12" s="39">
        <f t="shared" si="2"/>
        <v>35000</v>
      </c>
      <c r="O12" s="1">
        <v>1000</v>
      </c>
      <c r="P12" s="1">
        <v>13</v>
      </c>
      <c r="Q12" s="39">
        <f t="shared" si="3"/>
        <v>13000</v>
      </c>
      <c r="S12" s="1">
        <v>1000</v>
      </c>
      <c r="T12" s="1">
        <v>5</v>
      </c>
      <c r="U12" s="39">
        <f t="shared" si="4"/>
        <v>5000</v>
      </c>
      <c r="W12" s="12"/>
      <c r="X12" s="42">
        <v>1000</v>
      </c>
      <c r="Y12" s="42">
        <f t="shared" si="6"/>
        <v>125</v>
      </c>
      <c r="Z12" s="40">
        <f t="shared" si="5"/>
        <v>125000</v>
      </c>
      <c r="AA12" s="13"/>
      <c r="AF12" s="53" t="s">
        <v>57</v>
      </c>
      <c r="AG12" s="53" t="s">
        <v>2</v>
      </c>
      <c r="AH12" s="53" t="s">
        <v>58</v>
      </c>
      <c r="AI12" s="53" t="s">
        <v>59</v>
      </c>
      <c r="AJ12" s="53" t="s">
        <v>60</v>
      </c>
      <c r="AK12" s="53"/>
      <c r="AL12" s="1">
        <v>20</v>
      </c>
      <c r="AM12" s="1">
        <v>128</v>
      </c>
      <c r="AN12" s="39">
        <f t="shared" ref="AN12:AN17" si="7">+AM12*AL12</f>
        <v>2560</v>
      </c>
    </row>
    <row r="13" spans="2:40" x14ac:dyDescent="0.25">
      <c r="C13" s="1">
        <v>5000</v>
      </c>
      <c r="D13" s="1"/>
      <c r="E13" s="39">
        <f t="shared" si="0"/>
        <v>0</v>
      </c>
      <c r="G13" s="1">
        <v>5000</v>
      </c>
      <c r="H13" s="1">
        <v>1</v>
      </c>
      <c r="I13" s="39">
        <f t="shared" si="1"/>
        <v>5000</v>
      </c>
      <c r="K13" s="1">
        <v>5000</v>
      </c>
      <c r="L13" s="1">
        <v>4</v>
      </c>
      <c r="M13" s="39">
        <f t="shared" si="2"/>
        <v>20000</v>
      </c>
      <c r="O13" s="1">
        <v>5000</v>
      </c>
      <c r="P13" s="1">
        <v>3</v>
      </c>
      <c r="Q13" s="39">
        <f t="shared" si="3"/>
        <v>15000</v>
      </c>
      <c r="S13" s="1">
        <v>5000</v>
      </c>
      <c r="T13" s="1"/>
      <c r="U13" s="39">
        <f t="shared" si="4"/>
        <v>0</v>
      </c>
      <c r="W13" s="12"/>
      <c r="X13" s="42">
        <v>5000</v>
      </c>
      <c r="Y13" s="42">
        <f t="shared" si="6"/>
        <v>8</v>
      </c>
      <c r="Z13" s="40">
        <f t="shared" si="5"/>
        <v>40000</v>
      </c>
      <c r="AA13" s="13"/>
      <c r="AF13" t="s">
        <v>6</v>
      </c>
      <c r="AG13" s="4">
        <v>306700</v>
      </c>
      <c r="AH13">
        <v>41592591</v>
      </c>
      <c r="AI13" s="58" t="s">
        <v>368</v>
      </c>
      <c r="AJ13" t="s">
        <v>199</v>
      </c>
      <c r="AL13" s="1">
        <v>50</v>
      </c>
      <c r="AM13" s="1">
        <v>222</v>
      </c>
      <c r="AN13" s="39">
        <f t="shared" si="7"/>
        <v>11100</v>
      </c>
    </row>
    <row r="14" spans="2:40" ht="15.75" thickBot="1" x14ac:dyDescent="0.3">
      <c r="C14" s="2" t="s">
        <v>3</v>
      </c>
      <c r="D14" s="2"/>
      <c r="E14" s="5">
        <f>+SUM(E6:E13)</f>
        <v>54130</v>
      </c>
      <c r="G14" s="2" t="s">
        <v>3</v>
      </c>
      <c r="H14" s="2"/>
      <c r="I14" s="5">
        <f>+SUM(I6:I13)</f>
        <v>66629</v>
      </c>
      <c r="K14" s="2" t="s">
        <v>3</v>
      </c>
      <c r="L14" s="2"/>
      <c r="M14" s="5">
        <f>+SUM(M6:M13)</f>
        <v>69380</v>
      </c>
      <c r="O14" s="2" t="s">
        <v>3</v>
      </c>
      <c r="P14" s="2"/>
      <c r="Q14" s="5">
        <f>+SUM(Q6:Q13)</f>
        <v>47740</v>
      </c>
      <c r="S14" s="2" t="s">
        <v>3</v>
      </c>
      <c r="T14" s="2"/>
      <c r="U14" s="5">
        <f>+SUM(U6:U13)</f>
        <v>9790</v>
      </c>
      <c r="W14" s="12"/>
      <c r="X14" s="2" t="s">
        <v>3</v>
      </c>
      <c r="Y14" s="2"/>
      <c r="Z14" s="5">
        <f>+SUM(Z6:Z13)</f>
        <v>247669</v>
      </c>
      <c r="AA14" s="13"/>
      <c r="AF14" t="s">
        <v>62</v>
      </c>
      <c r="AG14" s="4">
        <v>10570</v>
      </c>
      <c r="AL14" s="1">
        <v>100</v>
      </c>
      <c r="AM14" s="1">
        <v>171</v>
      </c>
      <c r="AN14" s="39">
        <f t="shared" si="7"/>
        <v>17100</v>
      </c>
    </row>
    <row r="15" spans="2:40" ht="15.75" thickBot="1" x14ac:dyDescent="0.3">
      <c r="W15" s="12"/>
      <c r="X15" s="17"/>
      <c r="Y15" s="17"/>
      <c r="Z15" s="17"/>
      <c r="AA15" s="13"/>
      <c r="AF15" t="s">
        <v>63</v>
      </c>
      <c r="AG15" s="4"/>
      <c r="AL15" s="1">
        <v>500</v>
      </c>
      <c r="AM15" s="1">
        <v>243</v>
      </c>
      <c r="AN15" s="39">
        <f t="shared" si="7"/>
        <v>121500</v>
      </c>
    </row>
    <row r="16" spans="2:40" ht="15.75" thickBot="1" x14ac:dyDescent="0.3">
      <c r="B16" s="33"/>
      <c r="C16" s="127" t="s">
        <v>4</v>
      </c>
      <c r="D16" s="128"/>
      <c r="E16" s="7">
        <v>54063</v>
      </c>
      <c r="F16" s="33"/>
      <c r="G16" s="127" t="s">
        <v>4</v>
      </c>
      <c r="H16" s="128"/>
      <c r="I16" s="7">
        <v>90021</v>
      </c>
      <c r="J16" s="33"/>
      <c r="K16" s="127" t="s">
        <v>4</v>
      </c>
      <c r="L16" s="128"/>
      <c r="M16" s="7">
        <v>69236</v>
      </c>
      <c r="N16" s="33"/>
      <c r="O16" s="127" t="s">
        <v>4</v>
      </c>
      <c r="P16" s="128"/>
      <c r="Q16" s="7">
        <v>47739</v>
      </c>
      <c r="R16" s="33"/>
      <c r="S16" s="127" t="s">
        <v>4</v>
      </c>
      <c r="T16" s="128"/>
      <c r="U16" s="7">
        <v>1226883</v>
      </c>
      <c r="V16" s="33"/>
      <c r="W16" s="34"/>
      <c r="X16" s="127" t="s">
        <v>4</v>
      </c>
      <c r="Y16" s="128"/>
      <c r="Z16" s="7">
        <f>+E16+I16+M16+Q16+U16</f>
        <v>1487942</v>
      </c>
      <c r="AA16" s="35"/>
      <c r="AB16" s="33"/>
      <c r="AF16" t="s">
        <v>64</v>
      </c>
      <c r="AG16" s="4"/>
      <c r="AL16" s="1">
        <v>1000</v>
      </c>
      <c r="AM16" s="1">
        <v>187</v>
      </c>
      <c r="AN16" s="39">
        <f t="shared" si="7"/>
        <v>187000</v>
      </c>
    </row>
    <row r="17" spans="3:40" x14ac:dyDescent="0.25">
      <c r="C17" t="s">
        <v>5</v>
      </c>
      <c r="E17" s="4">
        <v>54130</v>
      </c>
      <c r="G17" t="s">
        <v>5</v>
      </c>
      <c r="I17" s="4">
        <f>+I14</f>
        <v>66629</v>
      </c>
      <c r="K17" t="s">
        <v>5</v>
      </c>
      <c r="M17" s="4">
        <v>69380</v>
      </c>
      <c r="O17" t="s">
        <v>5</v>
      </c>
      <c r="Q17" s="4">
        <f>+Q14</f>
        <v>47740</v>
      </c>
      <c r="S17" t="s">
        <v>5</v>
      </c>
      <c r="U17" s="4">
        <v>9790</v>
      </c>
      <c r="W17" s="12"/>
      <c r="X17" s="43" t="s">
        <v>5</v>
      </c>
      <c r="Y17" s="43"/>
      <c r="Z17" s="40">
        <f>+E17+I17+M17+Q17+U17</f>
        <v>247669</v>
      </c>
      <c r="AA17" s="13"/>
      <c r="AC17" s="33"/>
      <c r="AD17" s="33"/>
      <c r="AE17" s="33"/>
      <c r="AF17" t="s">
        <v>72</v>
      </c>
      <c r="AG17" s="4">
        <v>70000</v>
      </c>
      <c r="AH17" t="s">
        <v>399</v>
      </c>
      <c r="AL17" s="1">
        <v>5000</v>
      </c>
      <c r="AM17" s="1">
        <v>8</v>
      </c>
      <c r="AN17" s="39">
        <f t="shared" si="7"/>
        <v>40000</v>
      </c>
    </row>
    <row r="18" spans="3:40" ht="15.75" thickBot="1" x14ac:dyDescent="0.3">
      <c r="C18" t="s">
        <v>6</v>
      </c>
      <c r="E18" s="4"/>
      <c r="G18" t="s">
        <v>6</v>
      </c>
      <c r="I18" s="4"/>
      <c r="K18" t="s">
        <v>6</v>
      </c>
      <c r="M18" s="4"/>
      <c r="O18" t="s">
        <v>6</v>
      </c>
      <c r="Q18" s="4"/>
      <c r="S18" t="s">
        <v>6</v>
      </c>
      <c r="U18" s="4"/>
      <c r="W18" s="12"/>
      <c r="X18" s="43" t="s">
        <v>6</v>
      </c>
      <c r="Y18" s="43"/>
      <c r="Z18" s="40">
        <f t="shared" ref="Z18:Z23" si="8">+E18+I18+M18+Q18+U18</f>
        <v>0</v>
      </c>
      <c r="AA18" s="13"/>
      <c r="AF18" s="54" t="s">
        <v>10</v>
      </c>
      <c r="AG18" s="55">
        <f>+SUM(AG13:AG17)</f>
        <v>387270</v>
      </c>
      <c r="AH18" s="22"/>
      <c r="AL18" s="2" t="s">
        <v>3</v>
      </c>
      <c r="AM18" s="2"/>
      <c r="AN18" s="5">
        <f>+SUM(AN10:AN17)</f>
        <v>387270</v>
      </c>
    </row>
    <row r="19" spans="3:40" x14ac:dyDescent="0.25">
      <c r="C19" t="s">
        <v>43</v>
      </c>
      <c r="E19" s="4"/>
      <c r="G19" t="s">
        <v>161</v>
      </c>
      <c r="H19" t="s">
        <v>350</v>
      </c>
      <c r="I19" s="4">
        <v>6892</v>
      </c>
      <c r="K19" t="s">
        <v>43</v>
      </c>
      <c r="M19" s="4"/>
      <c r="O19" t="s">
        <v>7</v>
      </c>
      <c r="Q19" s="4"/>
      <c r="S19" t="s">
        <v>43</v>
      </c>
      <c r="U19" s="4"/>
      <c r="W19" s="12"/>
      <c r="X19" s="43" t="s">
        <v>7</v>
      </c>
      <c r="Y19" s="43"/>
      <c r="Z19" s="40">
        <f t="shared" si="8"/>
        <v>6892</v>
      </c>
      <c r="AA19" s="13"/>
      <c r="AF19" s="56" t="s">
        <v>66</v>
      </c>
      <c r="AG19" s="57">
        <f>+AG18-AG10</f>
        <v>-11</v>
      </c>
      <c r="AH19" t="s">
        <v>214</v>
      </c>
    </row>
    <row r="20" spans="3:40" x14ac:dyDescent="0.25">
      <c r="C20" t="s">
        <v>8</v>
      </c>
      <c r="E20" s="4"/>
      <c r="G20" t="s">
        <v>352</v>
      </c>
      <c r="H20" t="s">
        <v>351</v>
      </c>
      <c r="I20" s="4">
        <v>11500</v>
      </c>
      <c r="K20" t="s">
        <v>43</v>
      </c>
      <c r="M20" s="4"/>
      <c r="O20" t="s">
        <v>8</v>
      </c>
      <c r="Q20" s="4"/>
      <c r="S20" t="s">
        <v>356</v>
      </c>
      <c r="T20" t="s">
        <v>357</v>
      </c>
      <c r="U20" s="4">
        <v>304433</v>
      </c>
      <c r="W20" s="12"/>
      <c r="X20" s="43" t="s">
        <v>8</v>
      </c>
      <c r="Y20" s="43"/>
      <c r="Z20" s="40">
        <f t="shared" si="8"/>
        <v>315933</v>
      </c>
      <c r="AA20" s="13"/>
    </row>
    <row r="21" spans="3:40" x14ac:dyDescent="0.25">
      <c r="C21" t="s">
        <v>9</v>
      </c>
      <c r="E21" s="4"/>
      <c r="G21" t="s">
        <v>181</v>
      </c>
      <c r="H21" t="s">
        <v>353</v>
      </c>
      <c r="I21" s="4">
        <v>5000</v>
      </c>
      <c r="K21" t="s">
        <v>9</v>
      </c>
      <c r="M21" s="4"/>
      <c r="O21" t="s">
        <v>9</v>
      </c>
      <c r="Q21" s="4"/>
      <c r="S21" t="s">
        <v>358</v>
      </c>
      <c r="T21" t="s">
        <v>359</v>
      </c>
      <c r="U21" s="4">
        <v>528037</v>
      </c>
      <c r="W21" s="12"/>
      <c r="X21" s="43" t="s">
        <v>9</v>
      </c>
      <c r="Y21" s="43"/>
      <c r="Z21" s="40">
        <f t="shared" si="8"/>
        <v>533037</v>
      </c>
      <c r="AA21" s="13"/>
    </row>
    <row r="22" spans="3:40" x14ac:dyDescent="0.25">
      <c r="E22" s="4"/>
      <c r="I22" s="4"/>
      <c r="M22" s="4"/>
      <c r="Q22" s="4"/>
      <c r="S22" t="s">
        <v>360</v>
      </c>
      <c r="T22" t="s">
        <v>361</v>
      </c>
      <c r="U22" s="4">
        <v>189777</v>
      </c>
      <c r="W22" s="12"/>
      <c r="X22" s="43"/>
      <c r="Y22" s="43"/>
      <c r="Z22" s="40">
        <f t="shared" si="8"/>
        <v>189777</v>
      </c>
      <c r="AA22" s="13"/>
      <c r="AC22" s="67" t="s">
        <v>117</v>
      </c>
      <c r="AD22" s="67"/>
      <c r="AE22" s="67"/>
      <c r="AF22" s="33"/>
      <c r="AK22" s="67" t="s">
        <v>290</v>
      </c>
      <c r="AL22" s="67"/>
      <c r="AM22" s="67"/>
      <c r="AN22" s="85"/>
    </row>
    <row r="23" spans="3:40" x14ac:dyDescent="0.25">
      <c r="E23" s="4"/>
      <c r="I23" s="4"/>
      <c r="M23" s="4"/>
      <c r="Q23" s="4"/>
      <c r="S23" t="s">
        <v>362</v>
      </c>
      <c r="T23" t="s">
        <v>363</v>
      </c>
      <c r="U23" s="4">
        <v>100102</v>
      </c>
      <c r="W23" s="12"/>
      <c r="X23" s="43"/>
      <c r="Y23" s="43"/>
      <c r="Z23" s="40">
        <f t="shared" si="8"/>
        <v>100102</v>
      </c>
      <c r="AA23" s="13"/>
      <c r="AC23" s="53" t="s">
        <v>114</v>
      </c>
      <c r="AD23" s="53" t="s">
        <v>115</v>
      </c>
      <c r="AE23" s="53" t="s">
        <v>122</v>
      </c>
      <c r="AF23" s="53" t="s">
        <v>116</v>
      </c>
      <c r="AG23" s="53" t="s">
        <v>2</v>
      </c>
      <c r="AK23" s="53" t="s">
        <v>114</v>
      </c>
      <c r="AL23" s="53" t="s">
        <v>278</v>
      </c>
      <c r="AM23" s="53" t="s">
        <v>122</v>
      </c>
      <c r="AN23" s="53" t="s">
        <v>2</v>
      </c>
    </row>
    <row r="24" spans="3:40" x14ac:dyDescent="0.25">
      <c r="C24" t="s">
        <v>28</v>
      </c>
      <c r="E24" s="4"/>
      <c r="G24" t="s">
        <v>28</v>
      </c>
      <c r="I24" s="4"/>
      <c r="K24" t="s">
        <v>28</v>
      </c>
      <c r="M24" s="4"/>
      <c r="O24" t="s">
        <v>28</v>
      </c>
      <c r="Q24" s="4"/>
      <c r="S24" t="s">
        <v>364</v>
      </c>
      <c r="T24" t="s">
        <v>365</v>
      </c>
      <c r="U24" s="4">
        <v>94740</v>
      </c>
      <c r="W24" s="12"/>
      <c r="X24" s="44" t="s">
        <v>28</v>
      </c>
      <c r="Y24" s="43"/>
      <c r="Z24" s="40">
        <f>+E24+I24+M24+Q24+U20</f>
        <v>304433</v>
      </c>
      <c r="AA24" s="13"/>
      <c r="AC24" t="s">
        <v>153</v>
      </c>
      <c r="AD24" s="58" t="s">
        <v>215</v>
      </c>
      <c r="AE24" t="s">
        <v>354</v>
      </c>
      <c r="AG24">
        <v>31012</v>
      </c>
      <c r="AL24" s="100"/>
      <c r="AN24" s="85"/>
    </row>
    <row r="25" spans="3:40" x14ac:dyDescent="0.25">
      <c r="C25" t="s">
        <v>29</v>
      </c>
      <c r="E25" s="4"/>
      <c r="G25" t="s">
        <v>29</v>
      </c>
      <c r="I25" s="4"/>
      <c r="K25" t="s">
        <v>29</v>
      </c>
      <c r="M25" s="4"/>
      <c r="O25" t="s">
        <v>29</v>
      </c>
      <c r="Q25" s="4"/>
      <c r="R25">
        <v>811</v>
      </c>
      <c r="W25" s="12"/>
      <c r="X25" s="44" t="s">
        <v>29</v>
      </c>
      <c r="Y25" s="43"/>
      <c r="Z25" s="40">
        <f>+E25+I25+M25+Q25+U21</f>
        <v>528037</v>
      </c>
      <c r="AA25" s="13"/>
      <c r="AC25" t="s">
        <v>153</v>
      </c>
      <c r="AD25" s="99" t="s">
        <v>366</v>
      </c>
      <c r="AE25" t="s">
        <v>230</v>
      </c>
      <c r="AG25" s="85">
        <v>100000</v>
      </c>
    </row>
    <row r="26" spans="3:40" x14ac:dyDescent="0.25">
      <c r="C26" t="s">
        <v>31</v>
      </c>
      <c r="E26" s="4"/>
      <c r="G26" t="s">
        <v>31</v>
      </c>
      <c r="I26" s="4"/>
      <c r="K26" t="s">
        <v>31</v>
      </c>
      <c r="M26" s="4"/>
      <c r="O26" t="s">
        <v>31</v>
      </c>
      <c r="Q26" s="4"/>
      <c r="W26" s="12"/>
      <c r="X26" s="44" t="s">
        <v>31</v>
      </c>
      <c r="Y26" s="43"/>
      <c r="Z26" s="40">
        <f>+E26+I26+M26+Q26+U22</f>
        <v>189777</v>
      </c>
      <c r="AA26" s="13"/>
      <c r="AC26" t="s">
        <v>257</v>
      </c>
      <c r="AD26" s="75"/>
      <c r="AE26" t="s">
        <v>355</v>
      </c>
      <c r="AF26" s="17"/>
      <c r="AG26" s="17">
        <v>8600</v>
      </c>
    </row>
    <row r="27" spans="3:40" x14ac:dyDescent="0.25">
      <c r="E27" s="4"/>
      <c r="I27" s="4"/>
      <c r="M27" s="4"/>
      <c r="Q27" s="4"/>
      <c r="W27" s="12"/>
      <c r="X27" s="43"/>
      <c r="Y27" s="43"/>
      <c r="Z27" s="40">
        <f>+E27+I27+M27+Q27+U23</f>
        <v>100102</v>
      </c>
      <c r="AA27" s="13"/>
      <c r="AD27" s="75"/>
      <c r="AE27" s="21"/>
      <c r="AF27" s="17"/>
      <c r="AG27" s="21"/>
    </row>
    <row r="28" spans="3:40" ht="15.75" thickBot="1" x14ac:dyDescent="0.3">
      <c r="E28" s="4"/>
      <c r="I28" s="4"/>
      <c r="M28" s="4"/>
      <c r="Q28" s="4"/>
      <c r="W28" s="12"/>
      <c r="X28" s="43"/>
      <c r="Y28" s="43"/>
      <c r="Z28" s="40">
        <f>+E28+I28+M28+Q28+U24</f>
        <v>94740</v>
      </c>
      <c r="AA28" s="13"/>
    </row>
    <row r="29" spans="3:40" ht="15.75" thickBot="1" x14ac:dyDescent="0.3">
      <c r="C29" s="129" t="s">
        <v>10</v>
      </c>
      <c r="D29" s="130"/>
      <c r="E29" s="8">
        <f>+SUM(E17:E28)</f>
        <v>54130</v>
      </c>
      <c r="G29" s="129" t="s">
        <v>10</v>
      </c>
      <c r="H29" s="130"/>
      <c r="I29" s="8">
        <f>+SUM(I17:I28)</f>
        <v>90021</v>
      </c>
      <c r="K29" s="129" t="s">
        <v>10</v>
      </c>
      <c r="L29" s="130"/>
      <c r="M29" s="8">
        <f>+SUM(M17:M28)</f>
        <v>69380</v>
      </c>
      <c r="O29" s="129" t="s">
        <v>10</v>
      </c>
      <c r="P29" s="130"/>
      <c r="Q29" s="8">
        <f>+SUM(Q17:Q28)</f>
        <v>47740</v>
      </c>
      <c r="S29" s="129" t="s">
        <v>10</v>
      </c>
      <c r="T29" s="130"/>
      <c r="U29" s="8">
        <f>+SUM(U17:U24)</f>
        <v>1226879</v>
      </c>
      <c r="W29" s="12"/>
      <c r="X29" s="129" t="s">
        <v>10</v>
      </c>
      <c r="Y29" s="130"/>
      <c r="Z29" s="8">
        <f>+SUM(Z17:Z28)</f>
        <v>2610499</v>
      </c>
      <c r="AA29" s="13"/>
    </row>
    <row r="30" spans="3:40" ht="15.75" thickBot="1" x14ac:dyDescent="0.3">
      <c r="E30" s="4"/>
      <c r="I30" s="4"/>
      <c r="M30" s="4"/>
      <c r="Q30" s="4"/>
      <c r="U30" s="4"/>
      <c r="W30" s="12"/>
      <c r="X30" s="17"/>
      <c r="Y30" s="17"/>
      <c r="Z30" s="16"/>
      <c r="AA30" s="13"/>
      <c r="AC30" s="74" t="s">
        <v>113</v>
      </c>
      <c r="AD30" s="74"/>
      <c r="AE30" s="74"/>
      <c r="AF30" s="74"/>
      <c r="AG30" s="69">
        <f>+SUM(AG24:AG29)</f>
        <v>139612</v>
      </c>
    </row>
    <row r="31" spans="3:40" ht="16.5" thickTop="1" thickBot="1" x14ac:dyDescent="0.3">
      <c r="C31" s="131" t="s">
        <v>11</v>
      </c>
      <c r="D31" s="131"/>
      <c r="E31" s="6">
        <f>+E29-E16</f>
        <v>67</v>
      </c>
      <c r="G31" s="131" t="s">
        <v>11</v>
      </c>
      <c r="H31" s="131"/>
      <c r="I31" s="6">
        <f>+I29-I16</f>
        <v>0</v>
      </c>
      <c r="K31" s="131" t="s">
        <v>11</v>
      </c>
      <c r="L31" s="131"/>
      <c r="M31" s="6">
        <f>+M29-M16</f>
        <v>144</v>
      </c>
      <c r="O31" s="131" t="s">
        <v>11</v>
      </c>
      <c r="P31" s="131"/>
      <c r="Q31" s="6">
        <f>+Q29-Q16</f>
        <v>1</v>
      </c>
      <c r="S31" s="131" t="s">
        <v>11</v>
      </c>
      <c r="T31" s="131"/>
      <c r="U31" s="6">
        <f>+U29-U16</f>
        <v>-4</v>
      </c>
      <c r="W31" s="12"/>
      <c r="X31" s="134" t="s">
        <v>11</v>
      </c>
      <c r="Y31" s="134"/>
      <c r="Z31" s="45">
        <f>+Z29-Z16</f>
        <v>1122557</v>
      </c>
      <c r="AA31" s="13"/>
    </row>
    <row r="32" spans="3:40" ht="16.5" thickTop="1" thickBot="1" x14ac:dyDescent="0.3">
      <c r="W32" s="18"/>
      <c r="X32" s="19"/>
      <c r="Y32" s="19"/>
      <c r="Z32" s="19"/>
      <c r="AA32" s="20"/>
    </row>
    <row r="34" spans="3:40" ht="15.75" thickBot="1" x14ac:dyDescent="0.3"/>
    <row r="35" spans="3:40" ht="15.75" thickBot="1" x14ac:dyDescent="0.3">
      <c r="C35" s="9" t="s">
        <v>15</v>
      </c>
      <c r="D35" s="10"/>
      <c r="E35" s="23"/>
      <c r="G35" s="9" t="s">
        <v>15</v>
      </c>
      <c r="H35" s="10"/>
      <c r="I35" s="23"/>
      <c r="K35" s="9" t="s">
        <v>15</v>
      </c>
      <c r="L35" s="10"/>
      <c r="M35" s="23"/>
      <c r="O35" s="9" t="s">
        <v>15</v>
      </c>
      <c r="P35" s="10"/>
      <c r="Q35" s="23"/>
      <c r="S35" s="9" t="s">
        <v>15</v>
      </c>
      <c r="T35" s="10"/>
      <c r="U35" s="23"/>
      <c r="X35" s="46" t="s">
        <v>15</v>
      </c>
      <c r="Y35" s="47"/>
      <c r="Z35" s="48">
        <f>+E35+I35+M35+Q35+U35</f>
        <v>0</v>
      </c>
      <c r="AK35" s="89" t="s">
        <v>113</v>
      </c>
      <c r="AL35" s="89"/>
      <c r="AM35" s="89"/>
      <c r="AN35" s="92">
        <f>+SUM(AN24:AN34)</f>
        <v>0</v>
      </c>
    </row>
    <row r="36" spans="3:40" ht="15.75" thickTop="1" x14ac:dyDescent="0.25">
      <c r="C36" s="12" t="s">
        <v>40</v>
      </c>
      <c r="D36" s="17"/>
      <c r="E36" s="24"/>
      <c r="G36" s="12" t="s">
        <v>40</v>
      </c>
      <c r="H36" s="17"/>
      <c r="I36" s="24"/>
      <c r="K36" s="12" t="s">
        <v>40</v>
      </c>
      <c r="L36" s="17"/>
      <c r="M36" s="24"/>
      <c r="O36" s="12" t="s">
        <v>40</v>
      </c>
      <c r="P36" s="17"/>
      <c r="Q36" s="24"/>
      <c r="S36" s="12" t="s">
        <v>40</v>
      </c>
      <c r="T36" s="17"/>
      <c r="U36" s="24"/>
      <c r="X36" s="49" t="s">
        <v>40</v>
      </c>
      <c r="Y36" s="43"/>
      <c r="Z36" s="50">
        <f t="shared" ref="Z36:Z37" si="9">+E36+I36+M36+Q36+U36</f>
        <v>0</v>
      </c>
    </row>
    <row r="37" spans="3:40" x14ac:dyDescent="0.25">
      <c r="C37" s="12" t="s">
        <v>23</v>
      </c>
      <c r="D37" s="17"/>
      <c r="E37" s="24"/>
      <c r="G37" s="12" t="s">
        <v>23</v>
      </c>
      <c r="H37" s="17"/>
      <c r="I37" s="24"/>
      <c r="K37" s="12" t="s">
        <v>42</v>
      </c>
      <c r="L37" s="17"/>
      <c r="M37" s="24">
        <v>-144</v>
      </c>
      <c r="O37" s="12" t="s">
        <v>42</v>
      </c>
      <c r="P37" s="17"/>
      <c r="Q37" s="24">
        <v>-1</v>
      </c>
      <c r="S37" s="12" t="s">
        <v>41</v>
      </c>
      <c r="T37" s="17"/>
      <c r="U37" s="24"/>
      <c r="X37" s="49" t="s">
        <v>23</v>
      </c>
      <c r="Y37" s="43"/>
      <c r="Z37" s="50">
        <f t="shared" si="9"/>
        <v>-145</v>
      </c>
    </row>
    <row r="38" spans="3:40" x14ac:dyDescent="0.25">
      <c r="C38" s="12" t="s">
        <v>3</v>
      </c>
      <c r="D38" s="17"/>
      <c r="E38" s="24">
        <f>+SUM(E35:E37)</f>
        <v>0</v>
      </c>
      <c r="G38" s="12" t="s">
        <v>3</v>
      </c>
      <c r="H38" s="17"/>
      <c r="I38" s="24">
        <f>+SUM(I35:I37)</f>
        <v>0</v>
      </c>
      <c r="K38" s="12" t="s">
        <v>3</v>
      </c>
      <c r="L38" s="17"/>
      <c r="M38" s="24">
        <f>+SUM(M35:M37)</f>
        <v>-144</v>
      </c>
      <c r="O38" s="12" t="s">
        <v>3</v>
      </c>
      <c r="P38" s="17"/>
      <c r="Q38" s="24">
        <f>+SUM(Q35:Q37)</f>
        <v>-1</v>
      </c>
      <c r="S38" s="12" t="s">
        <v>3</v>
      </c>
      <c r="T38" s="17"/>
      <c r="U38" s="24">
        <f>+SUM(U35:U37)</f>
        <v>0</v>
      </c>
      <c r="X38" s="36" t="s">
        <v>3</v>
      </c>
      <c r="Y38" s="37"/>
      <c r="Z38" s="38">
        <f>+SUM(Z35:Z37)</f>
        <v>-145</v>
      </c>
    </row>
    <row r="39" spans="3:40" ht="15.75" thickBot="1" x14ac:dyDescent="0.3">
      <c r="C39" s="25" t="s">
        <v>22</v>
      </c>
      <c r="D39" s="26"/>
      <c r="E39" s="27">
        <f>+E31+E38</f>
        <v>67</v>
      </c>
      <c r="G39" s="25" t="s">
        <v>22</v>
      </c>
      <c r="H39" s="26"/>
      <c r="I39" s="27">
        <f>+I31+I38</f>
        <v>0</v>
      </c>
      <c r="K39" s="25" t="s">
        <v>22</v>
      </c>
      <c r="L39" s="26"/>
      <c r="M39" s="27">
        <f>+M31+M38</f>
        <v>0</v>
      </c>
      <c r="O39" s="25" t="s">
        <v>22</v>
      </c>
      <c r="P39" s="26"/>
      <c r="Q39" s="27">
        <f>+Q31+Q38</f>
        <v>0</v>
      </c>
      <c r="S39" s="25" t="s">
        <v>22</v>
      </c>
      <c r="T39" s="26"/>
      <c r="U39" s="27">
        <f>+U31+U38</f>
        <v>-4</v>
      </c>
      <c r="X39" s="25" t="s">
        <v>22</v>
      </c>
      <c r="Y39" s="26"/>
      <c r="Z39" s="27">
        <f>+Z31+Z38</f>
        <v>1122412</v>
      </c>
    </row>
    <row r="41" spans="3:40" x14ac:dyDescent="0.25">
      <c r="Z41" s="22"/>
    </row>
  </sheetData>
  <mergeCells count="25">
    <mergeCell ref="X4:Z4"/>
    <mergeCell ref="C4:E4"/>
    <mergeCell ref="G4:I4"/>
    <mergeCell ref="K4:M4"/>
    <mergeCell ref="O4:Q4"/>
    <mergeCell ref="S4:U4"/>
    <mergeCell ref="AF6:AJ6"/>
    <mergeCell ref="C16:D16"/>
    <mergeCell ref="G16:H16"/>
    <mergeCell ref="K16:L16"/>
    <mergeCell ref="O16:P16"/>
    <mergeCell ref="S16:T16"/>
    <mergeCell ref="X16:Y16"/>
    <mergeCell ref="X31:Y31"/>
    <mergeCell ref="C29:D29"/>
    <mergeCell ref="G29:H29"/>
    <mergeCell ref="K29:L29"/>
    <mergeCell ref="O29:P29"/>
    <mergeCell ref="S29:T29"/>
    <mergeCell ref="X29:Y29"/>
    <mergeCell ref="C31:D31"/>
    <mergeCell ref="G31:H31"/>
    <mergeCell ref="K31:L31"/>
    <mergeCell ref="O31:P31"/>
    <mergeCell ref="S31:T3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topLeftCell="N2" zoomScale="80" zoomScaleNormal="80" workbookViewId="0">
      <selection activeCell="H20" sqref="H20"/>
    </sheetView>
  </sheetViews>
  <sheetFormatPr defaultRowHeight="15" x14ac:dyDescent="0.25"/>
  <cols>
    <col min="5" max="5" width="1.5703125" customWidth="1"/>
    <col min="6" max="6" width="14.42578125" customWidth="1"/>
    <col min="7" max="7" width="15.28515625" customWidth="1"/>
    <col min="9" max="9" width="2.140625" customWidth="1"/>
    <col min="10" max="10" width="13.5703125" customWidth="1"/>
    <col min="11" max="11" width="13.5703125" bestFit="1" customWidth="1"/>
    <col min="12" max="12" width="9.5703125" bestFit="1" customWidth="1"/>
    <col min="13" max="13" width="1.85546875" customWidth="1"/>
    <col min="14" max="14" width="13.5703125" bestFit="1" customWidth="1"/>
    <col min="15" max="15" width="14.140625" customWidth="1"/>
    <col min="16" max="16" width="17.28515625" customWidth="1"/>
    <col min="17" max="17" width="1.28515625" customWidth="1"/>
    <col min="19" max="19" width="17.140625" customWidth="1"/>
    <col min="20" max="20" width="9.5703125" bestFit="1" customWidth="1"/>
    <col min="21" max="21" width="2" customWidth="1"/>
    <col min="22" max="22" width="1.5703125" customWidth="1"/>
    <col min="25" max="25" width="9.5703125" bestFit="1" customWidth="1"/>
    <col min="26" max="26" width="1.85546875" customWidth="1"/>
    <col min="28" max="28" width="11.42578125" customWidth="1"/>
    <col min="29" max="29" width="12.5703125" customWidth="1"/>
    <col min="30" max="30" width="18" bestFit="1" customWidth="1"/>
    <col min="31" max="31" width="14.85546875" customWidth="1"/>
    <col min="32" max="32" width="11.140625" customWidth="1"/>
    <col min="33" max="33" width="17.140625" bestFit="1" customWidth="1"/>
    <col min="36" max="36" width="17" customWidth="1"/>
    <col min="37" max="37" width="14.5703125" bestFit="1" customWidth="1"/>
    <col min="38" max="38" width="17.140625" bestFit="1" customWidth="1"/>
    <col min="39" max="39" width="9.5703125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>
        <v>6</v>
      </c>
      <c r="H5" s="39">
        <f>+G5*F5</f>
        <v>6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6</v>
      </c>
      <c r="Y5" s="40">
        <f>+D5+H5+L5+P5+T5</f>
        <v>6</v>
      </c>
      <c r="Z5" s="30"/>
      <c r="AA5" s="28"/>
      <c r="AE5" s="133" t="s">
        <v>56</v>
      </c>
      <c r="AF5" s="133"/>
      <c r="AG5" s="133"/>
      <c r="AH5" s="133"/>
      <c r="AI5" s="133"/>
    </row>
    <row r="6" spans="2:39" ht="15.75" thickTop="1" x14ac:dyDescent="0.25">
      <c r="B6" s="1">
        <v>10</v>
      </c>
      <c r="C6" s="1">
        <v>96</v>
      </c>
      <c r="D6" s="39">
        <f>+C6*B6</f>
        <v>960</v>
      </c>
      <c r="F6" s="1">
        <v>10</v>
      </c>
      <c r="G6" s="1">
        <v>129</v>
      </c>
      <c r="H6" s="39">
        <f>+G6*F6</f>
        <v>1290</v>
      </c>
      <c r="J6" s="1">
        <v>10</v>
      </c>
      <c r="K6" s="1">
        <v>16</v>
      </c>
      <c r="L6" s="39">
        <f>+K6*J6</f>
        <v>160</v>
      </c>
      <c r="N6" s="1">
        <v>10</v>
      </c>
      <c r="O6" s="1">
        <v>12</v>
      </c>
      <c r="P6" s="39">
        <f>+O6*N6</f>
        <v>120</v>
      </c>
      <c r="R6" s="1">
        <v>10</v>
      </c>
      <c r="S6" s="1">
        <v>2</v>
      </c>
      <c r="T6" s="39">
        <f>+S6*R6</f>
        <v>20</v>
      </c>
      <c r="V6" s="12"/>
      <c r="W6" s="42">
        <v>10</v>
      </c>
      <c r="X6" s="42">
        <f>+C6+G6+K6+O6+S6</f>
        <v>255</v>
      </c>
      <c r="Y6" s="40">
        <f>+D6+H6+L6+P6+T6</f>
        <v>2550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80</v>
      </c>
      <c r="D7" s="39">
        <f t="shared" ref="D7:D12" si="0">+C7*B7</f>
        <v>1600</v>
      </c>
      <c r="F7" s="1">
        <v>20</v>
      </c>
      <c r="G7" s="1">
        <v>17</v>
      </c>
      <c r="H7" s="39">
        <f t="shared" ref="H7:H12" si="1">+G7*F7</f>
        <v>340</v>
      </c>
      <c r="J7" s="1">
        <v>20</v>
      </c>
      <c r="K7" s="1">
        <v>6</v>
      </c>
      <c r="L7" s="39">
        <f t="shared" ref="L7:L12" si="2">+K7*J7</f>
        <v>120</v>
      </c>
      <c r="N7" s="1">
        <v>20</v>
      </c>
      <c r="O7" s="1">
        <v>3</v>
      </c>
      <c r="P7" s="39">
        <f t="shared" ref="P7:P12" si="3">+O7*N7</f>
        <v>60</v>
      </c>
      <c r="R7" s="1">
        <v>20</v>
      </c>
      <c r="S7" s="1">
        <v>1</v>
      </c>
      <c r="T7" s="39">
        <f t="shared" ref="T7:T12" si="4">+S7*R7</f>
        <v>20</v>
      </c>
      <c r="V7" s="12"/>
      <c r="W7" s="42">
        <v>20</v>
      </c>
      <c r="X7" s="42">
        <f>+C7+G7+K7+O7+S7</f>
        <v>107</v>
      </c>
      <c r="Y7" s="40">
        <f t="shared" ref="Y7:Y12" si="5">+D7+H7+L7+P7+T7</f>
        <v>2140</v>
      </c>
      <c r="Z7" s="13"/>
      <c r="AE7" s="70" t="s">
        <v>5</v>
      </c>
      <c r="AF7" s="71">
        <f>+Y13</f>
        <v>281696</v>
      </c>
      <c r="AG7" s="28"/>
      <c r="AH7" s="28"/>
      <c r="AI7" s="28"/>
      <c r="AJ7" s="28"/>
    </row>
    <row r="8" spans="2:39" x14ac:dyDescent="0.25">
      <c r="B8" s="1">
        <v>50</v>
      </c>
      <c r="C8" s="1">
        <v>18</v>
      </c>
      <c r="D8" s="39">
        <f t="shared" si="0"/>
        <v>900</v>
      </c>
      <c r="F8" s="1">
        <v>50</v>
      </c>
      <c r="G8" s="1">
        <v>77</v>
      </c>
      <c r="H8" s="39">
        <f t="shared" si="1"/>
        <v>3850</v>
      </c>
      <c r="J8" s="1">
        <v>50</v>
      </c>
      <c r="K8" s="1">
        <v>56</v>
      </c>
      <c r="L8" s="39">
        <f t="shared" si="2"/>
        <v>2800</v>
      </c>
      <c r="N8" s="1">
        <v>50</v>
      </c>
      <c r="O8" s="1">
        <v>20</v>
      </c>
      <c r="P8" s="39">
        <f t="shared" si="3"/>
        <v>1000</v>
      </c>
      <c r="R8" s="1">
        <v>50</v>
      </c>
      <c r="S8" s="1">
        <v>5</v>
      </c>
      <c r="T8" s="39">
        <f t="shared" si="4"/>
        <v>250</v>
      </c>
      <c r="V8" s="12"/>
      <c r="W8" s="42">
        <v>50</v>
      </c>
      <c r="X8" s="42">
        <f t="shared" ref="X8:X12" si="6">+C8+G8+K8+O8+S8</f>
        <v>176</v>
      </c>
      <c r="Y8" s="40">
        <f t="shared" si="5"/>
        <v>8800</v>
      </c>
      <c r="Z8" s="13"/>
      <c r="AE8" s="66" t="s">
        <v>120</v>
      </c>
      <c r="AF8" s="66">
        <f>+AF29</f>
        <v>77400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72</v>
      </c>
      <c r="D9" s="39">
        <f t="shared" si="0"/>
        <v>7200</v>
      </c>
      <c r="F9" s="1">
        <v>100</v>
      </c>
      <c r="G9" s="1">
        <v>53</v>
      </c>
      <c r="H9" s="39">
        <f t="shared" si="1"/>
        <v>5300</v>
      </c>
      <c r="J9" s="1">
        <v>100</v>
      </c>
      <c r="K9" s="1">
        <v>51</v>
      </c>
      <c r="L9" s="39">
        <f t="shared" si="2"/>
        <v>5100</v>
      </c>
      <c r="N9" s="1">
        <v>100</v>
      </c>
      <c r="O9" s="1">
        <v>22</v>
      </c>
      <c r="P9" s="39">
        <f t="shared" si="3"/>
        <v>2200</v>
      </c>
      <c r="R9" s="1">
        <v>100</v>
      </c>
      <c r="S9" s="1">
        <v>159</v>
      </c>
      <c r="T9" s="39">
        <f t="shared" si="4"/>
        <v>15900</v>
      </c>
      <c r="V9" s="12"/>
      <c r="W9" s="42">
        <v>100</v>
      </c>
      <c r="X9" s="42">
        <f t="shared" si="6"/>
        <v>357</v>
      </c>
      <c r="Y9" s="40">
        <f t="shared" si="5"/>
        <v>35700</v>
      </c>
      <c r="Z9" s="13"/>
      <c r="AE9" s="72" t="s">
        <v>10</v>
      </c>
      <c r="AF9" s="73">
        <f>SUM(AF7:AF8)</f>
        <v>359096</v>
      </c>
      <c r="AK9" s="31">
        <v>1</v>
      </c>
      <c r="AL9" s="31"/>
      <c r="AM9" s="39">
        <f>+AL9*AK9</f>
        <v>0</v>
      </c>
    </row>
    <row r="10" spans="2:39" x14ac:dyDescent="0.25">
      <c r="B10" s="1">
        <v>500</v>
      </c>
      <c r="C10" s="1">
        <v>17</v>
      </c>
      <c r="D10" s="39">
        <f t="shared" si="0"/>
        <v>8500</v>
      </c>
      <c r="F10" s="1">
        <v>500</v>
      </c>
      <c r="G10" s="1">
        <v>20</v>
      </c>
      <c r="H10" s="39">
        <f t="shared" si="1"/>
        <v>10000</v>
      </c>
      <c r="J10" s="1">
        <v>500</v>
      </c>
      <c r="K10" s="1">
        <v>54</v>
      </c>
      <c r="L10" s="39">
        <f t="shared" si="2"/>
        <v>27000</v>
      </c>
      <c r="N10" s="1">
        <v>500</v>
      </c>
      <c r="O10" s="1">
        <v>25</v>
      </c>
      <c r="P10" s="39">
        <f t="shared" si="3"/>
        <v>12500</v>
      </c>
      <c r="R10" s="1">
        <v>500</v>
      </c>
      <c r="S10" s="1">
        <v>1</v>
      </c>
      <c r="T10" s="39">
        <f t="shared" si="4"/>
        <v>500</v>
      </c>
      <c r="V10" s="12"/>
      <c r="W10" s="42">
        <v>500</v>
      </c>
      <c r="X10" s="42">
        <f t="shared" si="6"/>
        <v>117</v>
      </c>
      <c r="Y10" s="40">
        <f t="shared" si="5"/>
        <v>58500</v>
      </c>
      <c r="Z10" s="13"/>
      <c r="AK10" s="1">
        <v>10</v>
      </c>
      <c r="AL10" s="1">
        <v>464</v>
      </c>
      <c r="AM10" s="39">
        <f>+AL10*AK10</f>
        <v>4640</v>
      </c>
    </row>
    <row r="11" spans="2:39" x14ac:dyDescent="0.25">
      <c r="B11" s="1">
        <v>1000</v>
      </c>
      <c r="C11" s="1">
        <v>38</v>
      </c>
      <c r="D11" s="39">
        <f t="shared" si="0"/>
        <v>38000</v>
      </c>
      <c r="F11" s="1">
        <v>1000</v>
      </c>
      <c r="G11" s="1">
        <v>19</v>
      </c>
      <c r="H11" s="39">
        <f t="shared" si="1"/>
        <v>19000</v>
      </c>
      <c r="J11" s="1">
        <v>1000</v>
      </c>
      <c r="K11" s="1">
        <v>44</v>
      </c>
      <c r="L11" s="39">
        <f t="shared" si="2"/>
        <v>44000</v>
      </c>
      <c r="N11" s="1">
        <v>1000</v>
      </c>
      <c r="O11" s="1">
        <v>32</v>
      </c>
      <c r="P11" s="39">
        <f t="shared" si="3"/>
        <v>32000</v>
      </c>
      <c r="R11" s="1">
        <v>1000</v>
      </c>
      <c r="S11" s="1">
        <v>6</v>
      </c>
      <c r="T11" s="39">
        <f t="shared" si="4"/>
        <v>6000</v>
      </c>
      <c r="V11" s="12"/>
      <c r="W11" s="42">
        <v>1000</v>
      </c>
      <c r="X11" s="42">
        <f t="shared" si="6"/>
        <v>139</v>
      </c>
      <c r="Y11" s="40">
        <f t="shared" si="5"/>
        <v>139000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K11" s="1">
        <v>20</v>
      </c>
      <c r="AL11" s="1">
        <v>146</v>
      </c>
      <c r="AM11" s="39">
        <f t="shared" ref="AM11:AM16" si="7">+AL11*AK11</f>
        <v>2920</v>
      </c>
    </row>
    <row r="12" spans="2:39" x14ac:dyDescent="0.25">
      <c r="B12" s="1">
        <v>5000</v>
      </c>
      <c r="C12" s="1">
        <v>1</v>
      </c>
      <c r="D12" s="39">
        <f t="shared" si="0"/>
        <v>5000</v>
      </c>
      <c r="F12" s="1">
        <v>5000</v>
      </c>
      <c r="G12" s="1">
        <v>2</v>
      </c>
      <c r="H12" s="39">
        <f t="shared" si="1"/>
        <v>10000</v>
      </c>
      <c r="J12" s="1">
        <v>5000</v>
      </c>
      <c r="K12" s="1">
        <v>1</v>
      </c>
      <c r="L12" s="39">
        <f t="shared" si="2"/>
        <v>5000</v>
      </c>
      <c r="N12" s="1">
        <v>5000</v>
      </c>
      <c r="O12" s="1">
        <v>3</v>
      </c>
      <c r="P12" s="39">
        <f t="shared" si="3"/>
        <v>15000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7</v>
      </c>
      <c r="Y12" s="40">
        <f t="shared" si="5"/>
        <v>35000</v>
      </c>
      <c r="Z12" s="13"/>
      <c r="AE12" t="s">
        <v>6</v>
      </c>
      <c r="AF12" s="4">
        <v>353250</v>
      </c>
      <c r="AG12">
        <v>8985</v>
      </c>
      <c r="AH12" s="58" t="s">
        <v>401</v>
      </c>
      <c r="AI12" t="s">
        <v>199</v>
      </c>
      <c r="AK12" s="1">
        <v>50</v>
      </c>
      <c r="AL12" s="1">
        <v>232</v>
      </c>
      <c r="AM12" s="39">
        <f t="shared" si="7"/>
        <v>11600</v>
      </c>
    </row>
    <row r="13" spans="2:39" ht="15.75" thickBot="1" x14ac:dyDescent="0.3">
      <c r="B13" s="2" t="s">
        <v>3</v>
      </c>
      <c r="C13" s="2"/>
      <c r="D13" s="5">
        <f>+SUM(D5:D12)</f>
        <v>62160</v>
      </c>
      <c r="F13" s="2" t="s">
        <v>3</v>
      </c>
      <c r="G13" s="2"/>
      <c r="H13" s="5">
        <f>+SUM(H5:H12)</f>
        <v>49786</v>
      </c>
      <c r="J13" s="2" t="s">
        <v>3</v>
      </c>
      <c r="K13" s="2"/>
      <c r="L13" s="5">
        <f>+SUM(L5:L12)</f>
        <v>84180</v>
      </c>
      <c r="N13" s="2" t="s">
        <v>3</v>
      </c>
      <c r="O13" s="2"/>
      <c r="P13" s="5">
        <f>+SUM(P5:P12)</f>
        <v>62880</v>
      </c>
      <c r="R13" s="2" t="s">
        <v>3</v>
      </c>
      <c r="S13" s="2"/>
      <c r="T13" s="5">
        <f>+SUM(T5:T12)</f>
        <v>22690</v>
      </c>
      <c r="V13" s="12"/>
      <c r="W13" s="2" t="s">
        <v>3</v>
      </c>
      <c r="X13" s="2"/>
      <c r="Y13" s="5">
        <f>+SUM(Y5:Y12)</f>
        <v>281696</v>
      </c>
      <c r="Z13" s="13"/>
      <c r="AE13" t="s">
        <v>62</v>
      </c>
      <c r="AF13" s="4">
        <v>5670</v>
      </c>
      <c r="AK13" s="1">
        <v>100</v>
      </c>
      <c r="AL13" s="1">
        <v>388</v>
      </c>
      <c r="AM13" s="39">
        <f t="shared" si="7"/>
        <v>38800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134</v>
      </c>
      <c r="AM14" s="39">
        <f t="shared" si="7"/>
        <v>67000</v>
      </c>
    </row>
    <row r="15" spans="2:39" ht="15.75" thickBot="1" x14ac:dyDescent="0.3">
      <c r="B15" s="127" t="s">
        <v>4</v>
      </c>
      <c r="C15" s="128"/>
      <c r="D15" s="7">
        <v>65114.91</v>
      </c>
      <c r="E15" s="33"/>
      <c r="F15" s="127" t="s">
        <v>4</v>
      </c>
      <c r="G15" s="128"/>
      <c r="H15" s="7">
        <v>98670</v>
      </c>
      <c r="I15" s="33"/>
      <c r="J15" s="127" t="s">
        <v>4</v>
      </c>
      <c r="K15" s="128"/>
      <c r="L15" s="7">
        <v>114324</v>
      </c>
      <c r="M15" s="33"/>
      <c r="N15" s="127" t="s">
        <v>4</v>
      </c>
      <c r="O15" s="128"/>
      <c r="P15" s="7">
        <v>75482</v>
      </c>
      <c r="Q15" s="33"/>
      <c r="R15" s="127" t="s">
        <v>4</v>
      </c>
      <c r="S15" s="128"/>
      <c r="T15" s="7">
        <v>214836</v>
      </c>
      <c r="U15" s="33"/>
      <c r="V15" s="34"/>
      <c r="W15" s="127" t="s">
        <v>4</v>
      </c>
      <c r="X15" s="128"/>
      <c r="Y15" s="7">
        <f>+D15+H15+L15+P15+T15</f>
        <v>568426.91</v>
      </c>
      <c r="Z15" s="35"/>
      <c r="AA15" s="33"/>
      <c r="AE15" t="s">
        <v>64</v>
      </c>
      <c r="AF15" s="4"/>
      <c r="AK15" s="1">
        <v>1000</v>
      </c>
      <c r="AL15" s="1">
        <v>199</v>
      </c>
      <c r="AM15" s="39">
        <f t="shared" si="7"/>
        <v>199000</v>
      </c>
    </row>
    <row r="16" spans="2:39" x14ac:dyDescent="0.25">
      <c r="B16" t="s">
        <v>5</v>
      </c>
      <c r="D16" s="4">
        <v>62160</v>
      </c>
      <c r="F16" t="s">
        <v>5</v>
      </c>
      <c r="H16" s="4">
        <f>+H13</f>
        <v>49786</v>
      </c>
      <c r="J16" t="s">
        <v>5</v>
      </c>
      <c r="L16" s="4">
        <v>84180</v>
      </c>
      <c r="N16" t="s">
        <v>5</v>
      </c>
      <c r="P16" s="4">
        <f>+P13</f>
        <v>62880</v>
      </c>
      <c r="R16" t="s">
        <v>5</v>
      </c>
      <c r="T16" s="4">
        <v>22690</v>
      </c>
      <c r="V16" s="12"/>
      <c r="W16" s="43" t="s">
        <v>5</v>
      </c>
      <c r="X16" s="43"/>
      <c r="Y16" s="40">
        <f>+D16+H16+L16+P16+T16</f>
        <v>281696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7</v>
      </c>
      <c r="AM16" s="39">
        <f t="shared" si="7"/>
        <v>35000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358920</v>
      </c>
      <c r="AG17" s="22"/>
      <c r="AK17" s="2" t="s">
        <v>3</v>
      </c>
      <c r="AL17" s="2"/>
      <c r="AM17" s="5">
        <f>+SUM(AM9:AM16)</f>
        <v>358960</v>
      </c>
    </row>
    <row r="18" spans="2:39" x14ac:dyDescent="0.25">
      <c r="B18" t="s">
        <v>43</v>
      </c>
      <c r="D18" s="4"/>
      <c r="F18" t="s">
        <v>328</v>
      </c>
      <c r="G18" t="s">
        <v>384</v>
      </c>
      <c r="H18" s="4">
        <v>6497</v>
      </c>
      <c r="J18" t="s">
        <v>328</v>
      </c>
      <c r="K18" t="s">
        <v>391</v>
      </c>
      <c r="L18" s="4">
        <v>22619</v>
      </c>
      <c r="N18" t="s">
        <v>369</v>
      </c>
      <c r="O18" s="17" t="s">
        <v>372</v>
      </c>
      <c r="P18" s="4">
        <v>10124</v>
      </c>
      <c r="R18" t="s">
        <v>43</v>
      </c>
      <c r="T18" s="4"/>
      <c r="V18" s="12"/>
      <c r="W18" s="43" t="s">
        <v>7</v>
      </c>
      <c r="X18" s="43"/>
      <c r="Y18" s="40">
        <f t="shared" si="8"/>
        <v>39240</v>
      </c>
      <c r="Z18" s="13"/>
      <c r="AE18" s="56" t="s">
        <v>66</v>
      </c>
      <c r="AF18" s="57">
        <f>+AF17-AF9</f>
        <v>-176</v>
      </c>
      <c r="AG18" t="s">
        <v>214</v>
      </c>
    </row>
    <row r="19" spans="2:39" x14ac:dyDescent="0.25">
      <c r="B19" t="s">
        <v>8</v>
      </c>
      <c r="D19" s="4"/>
      <c r="F19" t="s">
        <v>161</v>
      </c>
      <c r="G19" t="s">
        <v>385</v>
      </c>
      <c r="H19" s="4">
        <v>4557</v>
      </c>
      <c r="J19" t="s">
        <v>389</v>
      </c>
      <c r="K19" t="s">
        <v>390</v>
      </c>
      <c r="L19" s="4">
        <v>7600</v>
      </c>
      <c r="N19" t="s">
        <v>8</v>
      </c>
      <c r="P19" s="4"/>
      <c r="R19" t="s">
        <v>43</v>
      </c>
      <c r="T19" s="4"/>
      <c r="V19" s="12"/>
      <c r="W19" s="43" t="s">
        <v>8</v>
      </c>
      <c r="X19" s="43"/>
      <c r="Y19" s="40">
        <f t="shared" si="8"/>
        <v>12157</v>
      </c>
      <c r="Z19" s="13"/>
    </row>
    <row r="20" spans="2:39" x14ac:dyDescent="0.25">
      <c r="B20" t="s">
        <v>9</v>
      </c>
      <c r="D20" s="4"/>
      <c r="F20" t="s">
        <v>345</v>
      </c>
      <c r="G20" t="s">
        <v>386</v>
      </c>
      <c r="H20" s="4">
        <v>28830</v>
      </c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28830</v>
      </c>
      <c r="Z20" s="13"/>
    </row>
    <row r="21" spans="2:39" x14ac:dyDescent="0.25">
      <c r="D21" s="4"/>
      <c r="F21" t="s">
        <v>387</v>
      </c>
      <c r="G21" t="s">
        <v>388</v>
      </c>
      <c r="H21" s="4">
        <v>9000</v>
      </c>
      <c r="L21" s="4"/>
      <c r="P21" s="4"/>
      <c r="R21" t="s">
        <v>43</v>
      </c>
      <c r="T21" s="4"/>
      <c r="V21" s="12"/>
      <c r="W21" s="43"/>
      <c r="X21" s="43"/>
      <c r="Y21" s="40">
        <f t="shared" si="8"/>
        <v>9000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/>
      <c r="V22" s="12"/>
      <c r="W22" s="43"/>
      <c r="X22" s="43"/>
      <c r="Y22" s="40">
        <f t="shared" si="8"/>
        <v>0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393</v>
      </c>
      <c r="S23" t="s">
        <v>394</v>
      </c>
      <c r="T23" s="4">
        <v>30425</v>
      </c>
      <c r="V23" s="12"/>
      <c r="W23" s="44" t="s">
        <v>28</v>
      </c>
      <c r="X23" s="43"/>
      <c r="Y23" s="40">
        <f t="shared" si="8"/>
        <v>30425</v>
      </c>
      <c r="Z23" s="13"/>
      <c r="AB23" t="s">
        <v>153</v>
      </c>
      <c r="AC23" s="58" t="s">
        <v>371</v>
      </c>
      <c r="AD23" t="s">
        <v>370</v>
      </c>
      <c r="AF23" s="85">
        <v>28500</v>
      </c>
      <c r="AJ23" s="17" t="s">
        <v>282</v>
      </c>
      <c r="AK23" s="21" t="s">
        <v>132</v>
      </c>
      <c r="AL23" s="17" t="s">
        <v>375</v>
      </c>
      <c r="AM23" s="88">
        <v>9500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392</v>
      </c>
      <c r="S24" t="s">
        <v>232</v>
      </c>
      <c r="T24" s="4">
        <v>13490</v>
      </c>
      <c r="V24" s="12"/>
      <c r="W24" s="44" t="s">
        <v>29</v>
      </c>
      <c r="X24" s="43"/>
      <c r="Y24" s="40">
        <f t="shared" si="8"/>
        <v>13490</v>
      </c>
      <c r="Z24" s="13"/>
      <c r="AB24" t="s">
        <v>257</v>
      </c>
      <c r="AC24" s="58" t="s">
        <v>198</v>
      </c>
      <c r="AD24" t="s">
        <v>373</v>
      </c>
      <c r="AF24" s="85">
        <v>5000</v>
      </c>
      <c r="AG24" t="s">
        <v>398</v>
      </c>
      <c r="AJ24" s="17" t="s">
        <v>257</v>
      </c>
      <c r="AK24" s="17" t="s">
        <v>191</v>
      </c>
      <c r="AL24" s="21" t="s">
        <v>376</v>
      </c>
      <c r="AM24" s="88">
        <v>18013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395</v>
      </c>
      <c r="S25" t="s">
        <v>396</v>
      </c>
      <c r="T25" s="4">
        <v>148346</v>
      </c>
      <c r="V25" s="12"/>
      <c r="W25" s="44" t="s">
        <v>31</v>
      </c>
      <c r="X25" s="43"/>
      <c r="Y25" s="40">
        <f t="shared" si="8"/>
        <v>148346</v>
      </c>
      <c r="Z25" s="13"/>
      <c r="AB25" t="s">
        <v>153</v>
      </c>
      <c r="AC25" s="75"/>
      <c r="AD25" s="17" t="s">
        <v>397</v>
      </c>
      <c r="AE25" s="17"/>
      <c r="AF25" s="17">
        <v>10900</v>
      </c>
      <c r="AJ25" s="21" t="s">
        <v>150</v>
      </c>
      <c r="AK25" s="17" t="s">
        <v>378</v>
      </c>
      <c r="AL25" s="21" t="s">
        <v>377</v>
      </c>
      <c r="AM25" s="88">
        <v>7664</v>
      </c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B26" t="s">
        <v>153</v>
      </c>
      <c r="AC26" s="75"/>
      <c r="AD26" s="21" t="s">
        <v>396</v>
      </c>
      <c r="AE26" s="17"/>
      <c r="AF26" s="21">
        <v>33000</v>
      </c>
      <c r="AJ26" s="17" t="s">
        <v>380</v>
      </c>
      <c r="AK26" s="17" t="s">
        <v>144</v>
      </c>
      <c r="AL26" s="17" t="s">
        <v>379</v>
      </c>
      <c r="AM26" s="88">
        <v>12140</v>
      </c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  <c r="AJ27" s="21" t="s">
        <v>257</v>
      </c>
      <c r="AK27" s="17" t="s">
        <v>192</v>
      </c>
      <c r="AL27" s="17" t="s">
        <v>381</v>
      </c>
      <c r="AM27" s="88">
        <v>15000</v>
      </c>
    </row>
    <row r="28" spans="2:39" ht="15.75" thickBot="1" x14ac:dyDescent="0.3">
      <c r="B28" s="129" t="s">
        <v>10</v>
      </c>
      <c r="C28" s="130"/>
      <c r="D28" s="8">
        <f>+SUM(D16:D27)</f>
        <v>62160</v>
      </c>
      <c r="F28" s="129" t="s">
        <v>10</v>
      </c>
      <c r="G28" s="130"/>
      <c r="H28" s="8">
        <f>+SUM(H16:H27)</f>
        <v>98670</v>
      </c>
      <c r="J28" s="129" t="s">
        <v>10</v>
      </c>
      <c r="K28" s="130"/>
      <c r="L28" s="8">
        <f>+SUM(L16:L27)</f>
        <v>114399</v>
      </c>
      <c r="N28" s="129" t="s">
        <v>10</v>
      </c>
      <c r="O28" s="130"/>
      <c r="P28" s="8">
        <f>+SUM(P16:P27)</f>
        <v>73004</v>
      </c>
      <c r="R28" s="129" t="s">
        <v>10</v>
      </c>
      <c r="S28" s="130"/>
      <c r="T28" s="8">
        <f>+SUM(T16:T27)</f>
        <v>214951</v>
      </c>
      <c r="V28" s="12"/>
      <c r="W28" s="129" t="s">
        <v>10</v>
      </c>
      <c r="X28" s="130"/>
      <c r="Y28" s="8">
        <f>+SUM(Y16:Y27)</f>
        <v>563184</v>
      </c>
      <c r="Z28" s="13"/>
      <c r="AJ28" s="21" t="s">
        <v>150</v>
      </c>
      <c r="AK28" s="17" t="s">
        <v>202</v>
      </c>
      <c r="AL28" s="21" t="s">
        <v>382</v>
      </c>
      <c r="AM28" s="88">
        <v>7207</v>
      </c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77400</v>
      </c>
      <c r="AJ29" s="17" t="s">
        <v>153</v>
      </c>
      <c r="AK29" s="17" t="s">
        <v>34</v>
      </c>
      <c r="AL29" s="17" t="s">
        <v>383</v>
      </c>
      <c r="AM29" s="88">
        <v>37904</v>
      </c>
    </row>
    <row r="30" spans="2:39" ht="16.5" thickTop="1" thickBot="1" x14ac:dyDescent="0.3">
      <c r="B30" s="131" t="s">
        <v>11</v>
      </c>
      <c r="C30" s="131"/>
      <c r="D30" s="6">
        <f>+D28-D15</f>
        <v>-2954.9100000000035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75</v>
      </c>
      <c r="N30" s="131" t="s">
        <v>11</v>
      </c>
      <c r="O30" s="131"/>
      <c r="P30" s="6">
        <f>+P28-P15</f>
        <v>-2478</v>
      </c>
      <c r="R30" s="131" t="s">
        <v>11</v>
      </c>
      <c r="S30" s="131"/>
      <c r="T30" s="6">
        <f>+T28-T15</f>
        <v>115</v>
      </c>
      <c r="V30" s="12"/>
      <c r="W30" s="134" t="s">
        <v>11</v>
      </c>
      <c r="X30" s="134"/>
      <c r="Y30" s="45">
        <f>+Y28-Y15</f>
        <v>-5242.9100000000326</v>
      </c>
      <c r="Z30" s="13"/>
      <c r="AJ30" s="17"/>
      <c r="AK30" s="17"/>
      <c r="AL30" s="17"/>
      <c r="AM30" s="17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374</v>
      </c>
      <c r="C34" s="10"/>
      <c r="D34" s="23">
        <v>2939</v>
      </c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>
        <v>2478</v>
      </c>
      <c r="R34" s="9" t="s">
        <v>15</v>
      </c>
      <c r="S34" s="10"/>
      <c r="T34" s="23"/>
      <c r="W34" s="46" t="s">
        <v>15</v>
      </c>
      <c r="X34" s="47"/>
      <c r="Y34" s="48">
        <f>+D34+H34+L34+P34+T34</f>
        <v>5417</v>
      </c>
      <c r="AJ34" s="89" t="s">
        <v>113</v>
      </c>
      <c r="AK34" s="89"/>
      <c r="AL34" s="89"/>
      <c r="AM34" s="92">
        <f>+SUM(AM23:AM33)</f>
        <v>107428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42</v>
      </c>
      <c r="C36" s="17"/>
      <c r="D36" s="24">
        <v>16</v>
      </c>
      <c r="F36" s="12" t="s">
        <v>23</v>
      </c>
      <c r="G36" s="17"/>
      <c r="H36" s="24"/>
      <c r="J36" s="12" t="s">
        <v>42</v>
      </c>
      <c r="K36" s="17"/>
      <c r="L36" s="24">
        <v>-75</v>
      </c>
      <c r="N36" s="12" t="s">
        <v>42</v>
      </c>
      <c r="O36" s="17"/>
      <c r="P36" s="24"/>
      <c r="R36" s="12" t="s">
        <v>41</v>
      </c>
      <c r="S36" s="17"/>
      <c r="T36" s="24"/>
      <c r="W36" s="49" t="s">
        <v>23</v>
      </c>
      <c r="X36" s="43"/>
      <c r="Y36" s="50">
        <f t="shared" si="9"/>
        <v>-59</v>
      </c>
    </row>
    <row r="37" spans="2:39" x14ac:dyDescent="0.25">
      <c r="B37" s="12" t="s">
        <v>3</v>
      </c>
      <c r="C37" s="17"/>
      <c r="D37" s="24">
        <f>+SUM(D34:D36)</f>
        <v>2955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-75</v>
      </c>
      <c r="N37" s="12" t="s">
        <v>3</v>
      </c>
      <c r="O37" s="17"/>
      <c r="P37" s="24">
        <f>+SUM(P34:P36)</f>
        <v>2478</v>
      </c>
      <c r="R37" s="12" t="s">
        <v>3</v>
      </c>
      <c r="S37" s="17"/>
      <c r="T37" s="24">
        <f>+SUM(T34:T36)</f>
        <v>0</v>
      </c>
      <c r="W37" s="36" t="s">
        <v>3</v>
      </c>
      <c r="X37" s="37"/>
      <c r="Y37" s="38">
        <f>+SUM(Y34:Y36)</f>
        <v>5358</v>
      </c>
    </row>
    <row r="38" spans="2:39" ht="15.75" thickBot="1" x14ac:dyDescent="0.3">
      <c r="B38" s="25" t="s">
        <v>22</v>
      </c>
      <c r="C38" s="26"/>
      <c r="D38" s="27">
        <f>+D30+D37</f>
        <v>8.999999999650754E-2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115</v>
      </c>
      <c r="W38" s="25" t="s">
        <v>22</v>
      </c>
      <c r="X38" s="26"/>
      <c r="Y38" s="27">
        <f>+Y30+Y37</f>
        <v>115.0899999999674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zoomScale="80" zoomScaleNormal="80" workbookViewId="0">
      <selection activeCell="AF13" sqref="AF13"/>
    </sheetView>
  </sheetViews>
  <sheetFormatPr defaultRowHeight="15" x14ac:dyDescent="0.25"/>
  <cols>
    <col min="2" max="2" width="12.85546875" customWidth="1"/>
    <col min="3" max="3" width="14.7109375" customWidth="1"/>
    <col min="4" max="4" width="11.42578125" bestFit="1" customWidth="1"/>
    <col min="5" max="5" width="1.28515625" customWidth="1"/>
    <col min="6" max="6" width="13.5703125" bestFit="1" customWidth="1"/>
    <col min="7" max="7" width="14" customWidth="1"/>
    <col min="8" max="8" width="11.42578125" bestFit="1" customWidth="1"/>
    <col min="9" max="9" width="2.7109375" customWidth="1"/>
    <col min="10" max="10" width="13.5703125" bestFit="1" customWidth="1"/>
    <col min="11" max="11" width="15.85546875" bestFit="1" customWidth="1"/>
    <col min="12" max="12" width="12.42578125" bestFit="1" customWidth="1"/>
    <col min="13" max="13" width="1.85546875" customWidth="1"/>
    <col min="14" max="14" width="13.5703125" bestFit="1" customWidth="1"/>
    <col min="15" max="15" width="13.140625" bestFit="1" customWidth="1"/>
    <col min="16" max="16" width="10.5703125" customWidth="1"/>
    <col min="17" max="17" width="1.42578125" customWidth="1"/>
    <col min="21" max="21" width="1.7109375" customWidth="1"/>
    <col min="22" max="22" width="1.42578125" customWidth="1"/>
    <col min="25" max="25" width="12.85546875" bestFit="1" customWidth="1"/>
    <col min="26" max="26" width="1.42578125" customWidth="1"/>
    <col min="30" max="30" width="16.85546875" customWidth="1"/>
    <col min="31" max="31" width="13.85546875" bestFit="1" customWidth="1"/>
    <col min="32" max="32" width="13.5703125" bestFit="1" customWidth="1"/>
    <col min="33" max="33" width="11.42578125" customWidth="1"/>
    <col min="36" max="36" width="17.140625" customWidth="1"/>
    <col min="38" max="38" width="15.42578125" bestFit="1" customWidth="1"/>
    <col min="39" max="39" width="12.42578125" bestFit="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183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>
        <v>11</v>
      </c>
      <c r="D5" s="39">
        <f>+C5*B5</f>
        <v>11</v>
      </c>
      <c r="E5" s="28"/>
      <c r="F5" s="31">
        <v>1</v>
      </c>
      <c r="G5" s="31">
        <v>2</v>
      </c>
      <c r="H5" s="39">
        <f>+G5*F5</f>
        <v>2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13</v>
      </c>
      <c r="Y5" s="40">
        <f>+D5+H5+L5+P5+T5</f>
        <v>13</v>
      </c>
      <c r="Z5" s="30"/>
      <c r="AA5" s="28"/>
      <c r="AE5" s="133" t="s">
        <v>56</v>
      </c>
      <c r="AF5" s="133"/>
      <c r="AG5" s="133"/>
      <c r="AH5" s="133"/>
      <c r="AI5" s="133"/>
    </row>
    <row r="6" spans="2:39" ht="15.75" thickTop="1" x14ac:dyDescent="0.25">
      <c r="B6" s="1">
        <v>10</v>
      </c>
      <c r="C6" s="1">
        <v>72</v>
      </c>
      <c r="D6" s="39">
        <f>+C6*B6</f>
        <v>720</v>
      </c>
      <c r="F6" s="1">
        <v>10</v>
      </c>
      <c r="G6" s="1">
        <v>115</v>
      </c>
      <c r="H6" s="39">
        <f>+G6*F6</f>
        <v>1150</v>
      </c>
      <c r="J6" s="1">
        <v>10</v>
      </c>
      <c r="K6" s="1">
        <v>42</v>
      </c>
      <c r="L6" s="39">
        <f>+K6*J6</f>
        <v>420</v>
      </c>
      <c r="N6" s="1">
        <v>10</v>
      </c>
      <c r="O6" s="1">
        <v>49</v>
      </c>
      <c r="P6" s="39">
        <f>+O6*N6</f>
        <v>490</v>
      </c>
      <c r="R6" s="1">
        <v>10</v>
      </c>
      <c r="S6" s="1"/>
      <c r="T6" s="39">
        <f>+S6*R6</f>
        <v>0</v>
      </c>
      <c r="V6" s="12"/>
      <c r="W6" s="42">
        <v>10</v>
      </c>
      <c r="X6" s="42">
        <f>+C6+G6+K6+O6+S6</f>
        <v>278</v>
      </c>
      <c r="Y6" s="40">
        <f>+D6+H6+L6+P6+T6</f>
        <v>2780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37</v>
      </c>
      <c r="D7" s="39">
        <f t="shared" ref="D7:D12" si="0">+C7*B7</f>
        <v>740</v>
      </c>
      <c r="F7" s="1">
        <v>20</v>
      </c>
      <c r="G7" s="1">
        <v>16</v>
      </c>
      <c r="H7" s="39">
        <f t="shared" ref="H7:H12" si="1">+G7*F7</f>
        <v>320</v>
      </c>
      <c r="J7" s="1">
        <v>20</v>
      </c>
      <c r="K7" s="1">
        <v>8</v>
      </c>
      <c r="L7" s="39">
        <f t="shared" ref="L7:L12" si="2">+K7*J7</f>
        <v>160</v>
      </c>
      <c r="N7" s="1">
        <v>20</v>
      </c>
      <c r="O7" s="1">
        <v>6</v>
      </c>
      <c r="P7" s="39">
        <f t="shared" ref="P7:P12" si="3">+O7*N7</f>
        <v>120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67</v>
      </c>
      <c r="Y7" s="40">
        <f t="shared" ref="Y7:Y12" si="5">+D7+H7+L7+P7+T7</f>
        <v>1340</v>
      </c>
      <c r="Z7" s="13"/>
      <c r="AE7" s="70" t="s">
        <v>5</v>
      </c>
      <c r="AF7" s="71">
        <v>289833</v>
      </c>
      <c r="AG7" s="28"/>
      <c r="AH7" s="28"/>
      <c r="AI7" s="28"/>
      <c r="AJ7" s="28"/>
    </row>
    <row r="8" spans="2:39" x14ac:dyDescent="0.25">
      <c r="B8" s="1">
        <v>50</v>
      </c>
      <c r="C8" s="1">
        <v>63</v>
      </c>
      <c r="D8" s="39">
        <f t="shared" si="0"/>
        <v>3150</v>
      </c>
      <c r="F8" s="1">
        <v>50</v>
      </c>
      <c r="G8" s="1">
        <v>20</v>
      </c>
      <c r="H8" s="39">
        <f t="shared" si="1"/>
        <v>1000</v>
      </c>
      <c r="J8" s="1">
        <v>50</v>
      </c>
      <c r="K8" s="1">
        <v>29</v>
      </c>
      <c r="L8" s="39">
        <f t="shared" si="2"/>
        <v>1450</v>
      </c>
      <c r="N8" s="1">
        <v>50</v>
      </c>
      <c r="O8" s="1">
        <v>8</v>
      </c>
      <c r="P8" s="39">
        <f t="shared" si="3"/>
        <v>400</v>
      </c>
      <c r="R8" s="1">
        <v>50</v>
      </c>
      <c r="S8" s="1"/>
      <c r="T8" s="39">
        <f t="shared" si="4"/>
        <v>0</v>
      </c>
      <c r="V8" s="12"/>
      <c r="W8" s="42">
        <v>50</v>
      </c>
      <c r="X8" s="42">
        <f t="shared" ref="X8:X12" si="6">+C8+G8+K8+O8+S8</f>
        <v>120</v>
      </c>
      <c r="Y8" s="40">
        <f t="shared" si="5"/>
        <v>6000</v>
      </c>
      <c r="Z8" s="13"/>
      <c r="AE8" s="66" t="s">
        <v>120</v>
      </c>
      <c r="AF8" s="101"/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80</v>
      </c>
      <c r="D9" s="39">
        <f t="shared" si="0"/>
        <v>8000</v>
      </c>
      <c r="F9" s="1">
        <v>100</v>
      </c>
      <c r="G9" s="1">
        <v>83</v>
      </c>
      <c r="H9" s="39">
        <f t="shared" si="1"/>
        <v>8300</v>
      </c>
      <c r="J9" s="1">
        <v>100</v>
      </c>
      <c r="K9" s="1">
        <v>33</v>
      </c>
      <c r="L9" s="39">
        <f t="shared" si="2"/>
        <v>3300</v>
      </c>
      <c r="N9" s="1">
        <v>100</v>
      </c>
      <c r="O9" s="1">
        <v>16</v>
      </c>
      <c r="P9" s="39">
        <f t="shared" si="3"/>
        <v>1600</v>
      </c>
      <c r="R9" s="1">
        <v>100</v>
      </c>
      <c r="S9" s="1"/>
      <c r="T9" s="39">
        <f t="shared" si="4"/>
        <v>0</v>
      </c>
      <c r="V9" s="12"/>
      <c r="W9" s="42">
        <v>100</v>
      </c>
      <c r="X9" s="42">
        <f t="shared" si="6"/>
        <v>212</v>
      </c>
      <c r="Y9" s="40">
        <f t="shared" si="5"/>
        <v>21200</v>
      </c>
      <c r="Z9" s="13"/>
      <c r="AE9" s="72" t="s">
        <v>10</v>
      </c>
      <c r="AF9" s="73">
        <f>SUM(AF7:AF8)</f>
        <v>289833</v>
      </c>
      <c r="AK9" s="31">
        <v>1</v>
      </c>
      <c r="AL9" s="31">
        <v>13</v>
      </c>
      <c r="AM9" s="39">
        <f>+AL9*AK9</f>
        <v>13</v>
      </c>
    </row>
    <row r="10" spans="2:39" x14ac:dyDescent="0.25">
      <c r="B10" s="1">
        <v>500</v>
      </c>
      <c r="C10" s="1">
        <v>40</v>
      </c>
      <c r="D10" s="39">
        <f t="shared" si="0"/>
        <v>20000</v>
      </c>
      <c r="F10" s="1">
        <v>500</v>
      </c>
      <c r="G10" s="1">
        <v>27</v>
      </c>
      <c r="H10" s="39">
        <f t="shared" si="1"/>
        <v>13500</v>
      </c>
      <c r="J10" s="1">
        <v>500</v>
      </c>
      <c r="K10" s="1">
        <v>62</v>
      </c>
      <c r="L10" s="39">
        <f t="shared" si="2"/>
        <v>31000</v>
      </c>
      <c r="N10" s="1">
        <v>500</v>
      </c>
      <c r="O10" s="1">
        <v>36</v>
      </c>
      <c r="P10" s="39">
        <f t="shared" si="3"/>
        <v>18000</v>
      </c>
      <c r="R10" s="1">
        <v>500</v>
      </c>
      <c r="S10" s="1"/>
      <c r="T10" s="39">
        <f t="shared" si="4"/>
        <v>0</v>
      </c>
      <c r="V10" s="12"/>
      <c r="W10" s="42">
        <v>500</v>
      </c>
      <c r="X10" s="42">
        <f t="shared" si="6"/>
        <v>165</v>
      </c>
      <c r="Y10" s="40">
        <f t="shared" si="5"/>
        <v>82500</v>
      </c>
      <c r="Z10" s="13"/>
      <c r="AK10" s="1">
        <v>10</v>
      </c>
      <c r="AL10" s="1">
        <v>278</v>
      </c>
      <c r="AM10" s="39">
        <f>+AL10*AK10</f>
        <v>2780</v>
      </c>
    </row>
    <row r="11" spans="2:39" x14ac:dyDescent="0.25">
      <c r="B11" s="1">
        <v>1000</v>
      </c>
      <c r="C11" s="1">
        <v>31</v>
      </c>
      <c r="D11" s="39">
        <f t="shared" si="0"/>
        <v>31000</v>
      </c>
      <c r="F11" s="1">
        <v>1000</v>
      </c>
      <c r="G11" s="1">
        <v>49</v>
      </c>
      <c r="H11" s="39">
        <f t="shared" si="1"/>
        <v>49000</v>
      </c>
      <c r="J11" s="1">
        <v>1000</v>
      </c>
      <c r="K11" s="1">
        <v>51</v>
      </c>
      <c r="L11" s="39">
        <f t="shared" si="2"/>
        <v>51000</v>
      </c>
      <c r="N11" s="1">
        <v>1000</v>
      </c>
      <c r="O11" s="1">
        <v>30</v>
      </c>
      <c r="P11" s="39">
        <f t="shared" si="3"/>
        <v>30000</v>
      </c>
      <c r="R11" s="1">
        <v>1000</v>
      </c>
      <c r="S11" s="1"/>
      <c r="T11" s="39">
        <f t="shared" si="4"/>
        <v>0</v>
      </c>
      <c r="V11" s="12"/>
      <c r="W11" s="42">
        <v>1000</v>
      </c>
      <c r="X11" s="42">
        <f t="shared" si="6"/>
        <v>161</v>
      </c>
      <c r="Y11" s="40">
        <f t="shared" si="5"/>
        <v>161000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K11" s="1">
        <v>20</v>
      </c>
      <c r="AL11" s="1">
        <v>67</v>
      </c>
      <c r="AM11" s="39">
        <f t="shared" ref="AM11:AM16" si="7">+AL11*AK11</f>
        <v>1340</v>
      </c>
    </row>
    <row r="12" spans="2:39" x14ac:dyDescent="0.25">
      <c r="B12" s="1">
        <v>5000</v>
      </c>
      <c r="C12" s="1">
        <v>1</v>
      </c>
      <c r="D12" s="39">
        <f t="shared" si="0"/>
        <v>5000</v>
      </c>
      <c r="F12" s="1">
        <v>5000</v>
      </c>
      <c r="G12" s="1">
        <v>1</v>
      </c>
      <c r="H12" s="39">
        <f t="shared" si="1"/>
        <v>5000</v>
      </c>
      <c r="J12" s="1">
        <v>5000</v>
      </c>
      <c r="K12" s="1"/>
      <c r="L12" s="39">
        <f t="shared" si="2"/>
        <v>0</v>
      </c>
      <c r="N12" s="1">
        <v>5000</v>
      </c>
      <c r="O12" s="1">
        <v>1</v>
      </c>
      <c r="P12" s="39">
        <f t="shared" si="3"/>
        <v>5000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3</v>
      </c>
      <c r="Y12" s="40">
        <f t="shared" si="5"/>
        <v>15000</v>
      </c>
      <c r="Z12" s="13"/>
      <c r="AE12" t="s">
        <v>6</v>
      </c>
      <c r="AF12" s="4">
        <v>287810</v>
      </c>
      <c r="AG12">
        <v>41592692</v>
      </c>
      <c r="AH12" s="58" t="s">
        <v>419</v>
      </c>
      <c r="AI12" t="s">
        <v>199</v>
      </c>
      <c r="AK12" s="1">
        <v>50</v>
      </c>
      <c r="AL12" s="1">
        <v>120</v>
      </c>
      <c r="AM12" s="39">
        <f t="shared" si="7"/>
        <v>6000</v>
      </c>
    </row>
    <row r="13" spans="2:39" ht="15.75" thickBot="1" x14ac:dyDescent="0.3">
      <c r="B13" s="2" t="s">
        <v>3</v>
      </c>
      <c r="C13" s="2"/>
      <c r="D13" s="5">
        <f>+SUM(D5:D12)</f>
        <v>68621</v>
      </c>
      <c r="F13" s="2" t="s">
        <v>3</v>
      </c>
      <c r="G13" s="2"/>
      <c r="H13" s="5">
        <f>+SUM(H5:H12)</f>
        <v>78272</v>
      </c>
      <c r="J13" s="2" t="s">
        <v>3</v>
      </c>
      <c r="K13" s="2"/>
      <c r="L13" s="5">
        <f>+SUM(L5:L12)</f>
        <v>87330</v>
      </c>
      <c r="N13" s="2" t="s">
        <v>3</v>
      </c>
      <c r="O13" s="2"/>
      <c r="P13" s="5">
        <f>+SUM(P5:P12)</f>
        <v>55610</v>
      </c>
      <c r="R13" s="2" t="s">
        <v>3</v>
      </c>
      <c r="S13" s="2"/>
      <c r="T13" s="5">
        <f>+SUM(T5:T12)</f>
        <v>0</v>
      </c>
      <c r="V13" s="12"/>
      <c r="W13" s="2" t="s">
        <v>3</v>
      </c>
      <c r="X13" s="2"/>
      <c r="Y13" s="5">
        <f>+SUM(Y5:Y12)</f>
        <v>289833</v>
      </c>
      <c r="Z13" s="13"/>
      <c r="AE13" t="s">
        <v>62</v>
      </c>
      <c r="AF13" s="4">
        <v>2023</v>
      </c>
      <c r="AK13" s="1">
        <v>100</v>
      </c>
      <c r="AL13" s="1">
        <v>212</v>
      </c>
      <c r="AM13" s="39">
        <f t="shared" si="7"/>
        <v>21200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165</v>
      </c>
      <c r="AM14" s="39">
        <f t="shared" si="7"/>
        <v>82500</v>
      </c>
    </row>
    <row r="15" spans="2:39" ht="15.75" thickBot="1" x14ac:dyDescent="0.3">
      <c r="B15" s="127" t="s">
        <v>4</v>
      </c>
      <c r="C15" s="128"/>
      <c r="D15" s="7">
        <v>74728</v>
      </c>
      <c r="E15" s="33"/>
      <c r="F15" s="127" t="s">
        <v>4</v>
      </c>
      <c r="G15" s="128"/>
      <c r="H15" s="7">
        <v>82919</v>
      </c>
      <c r="I15" s="33"/>
      <c r="J15" s="127" t="s">
        <v>4</v>
      </c>
      <c r="K15" s="128"/>
      <c r="L15" s="7">
        <v>110616</v>
      </c>
      <c r="M15" s="33"/>
      <c r="N15" s="127" t="s">
        <v>4</v>
      </c>
      <c r="O15" s="128"/>
      <c r="P15" s="7">
        <v>86515</v>
      </c>
      <c r="Q15" s="33"/>
      <c r="R15" s="127" t="s">
        <v>4</v>
      </c>
      <c r="S15" s="128"/>
      <c r="T15" s="7"/>
      <c r="U15" s="33"/>
      <c r="V15" s="34"/>
      <c r="W15" s="127" t="s">
        <v>4</v>
      </c>
      <c r="X15" s="128"/>
      <c r="Y15" s="7">
        <f>+D15+H15+L15+P15+T15</f>
        <v>354778</v>
      </c>
      <c r="Z15" s="35"/>
      <c r="AA15" s="33"/>
      <c r="AE15" t="s">
        <v>64</v>
      </c>
      <c r="AF15" s="4"/>
      <c r="AK15" s="1">
        <v>1000</v>
      </c>
      <c r="AL15" s="1">
        <v>161</v>
      </c>
      <c r="AM15" s="39">
        <f t="shared" si="7"/>
        <v>161000</v>
      </c>
    </row>
    <row r="16" spans="2:39" x14ac:dyDescent="0.25">
      <c r="B16" t="s">
        <v>5</v>
      </c>
      <c r="D16" s="4">
        <v>68621</v>
      </c>
      <c r="F16" t="s">
        <v>5</v>
      </c>
      <c r="H16" s="4">
        <f>+H13</f>
        <v>78272</v>
      </c>
      <c r="J16" t="s">
        <v>5</v>
      </c>
      <c r="L16" s="4">
        <v>87330</v>
      </c>
      <c r="N16" t="s">
        <v>5</v>
      </c>
      <c r="P16" s="4">
        <v>55610</v>
      </c>
      <c r="R16" t="s">
        <v>5</v>
      </c>
      <c r="T16" s="4"/>
      <c r="V16" s="12"/>
      <c r="W16" s="43" t="s">
        <v>5</v>
      </c>
      <c r="X16" s="43"/>
      <c r="Y16" s="40">
        <f>+D16+H16+L16+P16+T16</f>
        <v>289833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3</v>
      </c>
      <c r="AM16" s="39">
        <f t="shared" si="7"/>
        <v>15000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289833</v>
      </c>
      <c r="AG17" s="22"/>
      <c r="AK17" s="2" t="s">
        <v>3</v>
      </c>
      <c r="AL17" s="2"/>
      <c r="AM17" s="5">
        <f>+SUM(AM9:AM16)</f>
        <v>289833</v>
      </c>
    </row>
    <row r="18" spans="2:39" x14ac:dyDescent="0.25">
      <c r="B18" t="s">
        <v>389</v>
      </c>
      <c r="C18" t="s">
        <v>409</v>
      </c>
      <c r="D18" s="4">
        <v>6107</v>
      </c>
      <c r="F18" t="s">
        <v>406</v>
      </c>
      <c r="G18" t="s">
        <v>410</v>
      </c>
      <c r="H18" s="4">
        <v>4647</v>
      </c>
      <c r="J18" t="s">
        <v>328</v>
      </c>
      <c r="K18" t="s">
        <v>411</v>
      </c>
      <c r="L18" s="4">
        <v>4668</v>
      </c>
      <c r="N18" t="s">
        <v>328</v>
      </c>
      <c r="O18" t="s">
        <v>404</v>
      </c>
      <c r="P18" s="4">
        <v>6292</v>
      </c>
      <c r="R18" t="s">
        <v>43</v>
      </c>
      <c r="T18" s="4"/>
      <c r="V18" s="12"/>
      <c r="W18" s="43" t="s">
        <v>7</v>
      </c>
      <c r="X18" s="43"/>
      <c r="Y18" s="40">
        <f t="shared" si="8"/>
        <v>21714</v>
      </c>
      <c r="Z18" s="13"/>
      <c r="AE18" s="56" t="s">
        <v>66</v>
      </c>
      <c r="AF18" s="57">
        <f>+AF17-AF9</f>
        <v>0</v>
      </c>
      <c r="AG18" t="s">
        <v>214</v>
      </c>
    </row>
    <row r="19" spans="2:39" x14ac:dyDescent="0.25">
      <c r="B19" t="s">
        <v>8</v>
      </c>
      <c r="D19" s="4"/>
      <c r="F19" t="s">
        <v>8</v>
      </c>
      <c r="H19" s="4"/>
      <c r="J19" t="s">
        <v>343</v>
      </c>
      <c r="K19" t="s">
        <v>412</v>
      </c>
      <c r="L19" s="4">
        <v>5590</v>
      </c>
      <c r="N19" t="s">
        <v>328</v>
      </c>
      <c r="O19" t="s">
        <v>405</v>
      </c>
      <c r="P19" s="4">
        <v>10102</v>
      </c>
      <c r="R19" t="s">
        <v>43</v>
      </c>
      <c r="T19" s="4"/>
      <c r="V19" s="12"/>
      <c r="W19" s="43" t="s">
        <v>8</v>
      </c>
      <c r="X19" s="43"/>
      <c r="Y19" s="40">
        <f t="shared" si="8"/>
        <v>15692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406</v>
      </c>
      <c r="K20" t="s">
        <v>413</v>
      </c>
      <c r="L20" s="4">
        <v>5567</v>
      </c>
      <c r="N20" t="s">
        <v>406</v>
      </c>
      <c r="O20" t="s">
        <v>407</v>
      </c>
      <c r="P20" s="4">
        <v>6783</v>
      </c>
      <c r="R20" t="s">
        <v>43</v>
      </c>
      <c r="T20" s="4"/>
      <c r="V20" s="12"/>
      <c r="W20" s="43" t="s">
        <v>9</v>
      </c>
      <c r="X20" s="43"/>
      <c r="Y20" s="40">
        <f t="shared" si="8"/>
        <v>12350</v>
      </c>
      <c r="Z20" s="13"/>
    </row>
    <row r="21" spans="2:39" x14ac:dyDescent="0.25">
      <c r="D21" s="4"/>
      <c r="H21" s="4"/>
      <c r="J21" t="s">
        <v>389</v>
      </c>
      <c r="K21" t="s">
        <v>414</v>
      </c>
      <c r="L21" s="4">
        <v>5400</v>
      </c>
      <c r="P21" s="4"/>
      <c r="R21" t="s">
        <v>43</v>
      </c>
      <c r="T21" s="4"/>
      <c r="V21" s="12"/>
      <c r="W21" s="43"/>
      <c r="X21" s="43"/>
      <c r="Y21" s="40">
        <f t="shared" si="8"/>
        <v>5400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/>
      <c r="V22" s="12"/>
      <c r="W22" s="43"/>
      <c r="X22" s="43"/>
      <c r="Y22" s="40">
        <f t="shared" si="8"/>
        <v>0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408</v>
      </c>
      <c r="O23" t="s">
        <v>248</v>
      </c>
      <c r="P23" s="4">
        <v>7727</v>
      </c>
      <c r="R23" t="s">
        <v>28</v>
      </c>
      <c r="T23" s="4"/>
      <c r="V23" s="12"/>
      <c r="W23" s="44" t="s">
        <v>28</v>
      </c>
      <c r="X23" s="43"/>
      <c r="Y23" s="40">
        <f t="shared" si="8"/>
        <v>7727</v>
      </c>
      <c r="Z23" s="13"/>
      <c r="AC23" s="58"/>
      <c r="AJ23" t="s">
        <v>153</v>
      </c>
      <c r="AK23" t="s">
        <v>403</v>
      </c>
      <c r="AL23" t="s">
        <v>402</v>
      </c>
      <c r="AM23" s="85">
        <v>85000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29</v>
      </c>
      <c r="T24" s="4"/>
      <c r="V24" s="12"/>
      <c r="W24" s="44" t="s">
        <v>29</v>
      </c>
      <c r="X24" s="43"/>
      <c r="Y24" s="40">
        <f t="shared" si="8"/>
        <v>0</v>
      </c>
      <c r="Z24" s="13"/>
      <c r="AC24" s="58"/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31</v>
      </c>
      <c r="T25" s="4"/>
      <c r="V25" s="12"/>
      <c r="W25" s="44" t="s">
        <v>31</v>
      </c>
      <c r="X25" s="43"/>
      <c r="Y25" s="40">
        <f t="shared" si="8"/>
        <v>0</v>
      </c>
      <c r="Z25" s="13"/>
      <c r="AC25" s="75"/>
      <c r="AD25" s="17"/>
      <c r="AE25" s="17"/>
      <c r="AF25" s="17"/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C26" s="75"/>
      <c r="AD26" s="21"/>
      <c r="AE26" s="17"/>
      <c r="AF26" s="21"/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</row>
    <row r="28" spans="2:39" ht="15.75" thickBot="1" x14ac:dyDescent="0.3">
      <c r="B28" s="129" t="s">
        <v>10</v>
      </c>
      <c r="C28" s="130"/>
      <c r="D28" s="8">
        <f>+SUM(D16:D27)</f>
        <v>74728</v>
      </c>
      <c r="F28" s="129" t="s">
        <v>10</v>
      </c>
      <c r="G28" s="130"/>
      <c r="H28" s="8">
        <f>+SUM(H16:H27)</f>
        <v>82919</v>
      </c>
      <c r="J28" s="129" t="s">
        <v>10</v>
      </c>
      <c r="K28" s="130"/>
      <c r="L28" s="8">
        <f>+SUM(L16:L27)</f>
        <v>108555</v>
      </c>
      <c r="N28" s="129" t="s">
        <v>10</v>
      </c>
      <c r="O28" s="130"/>
      <c r="P28" s="8">
        <f>+SUM(P16:P27)</f>
        <v>86514</v>
      </c>
      <c r="R28" s="129" t="s">
        <v>10</v>
      </c>
      <c r="S28" s="130"/>
      <c r="T28" s="8">
        <f>+SUM(T16:T27)</f>
        <v>0</v>
      </c>
      <c r="V28" s="12"/>
      <c r="W28" s="129" t="s">
        <v>10</v>
      </c>
      <c r="X28" s="130"/>
      <c r="Y28" s="8">
        <f>+SUM(Y16:Y27)</f>
        <v>352716</v>
      </c>
      <c r="Z28" s="13"/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0</v>
      </c>
    </row>
    <row r="30" spans="2:39" ht="16.5" thickTop="1" thickBot="1" x14ac:dyDescent="0.3">
      <c r="B30" s="131" t="s">
        <v>11</v>
      </c>
      <c r="C30" s="131"/>
      <c r="D30" s="6">
        <f>+D28-D15</f>
        <v>0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-2061</v>
      </c>
      <c r="N30" s="131" t="s">
        <v>11</v>
      </c>
      <c r="O30" s="131"/>
      <c r="P30" s="6">
        <f>+P28-P15</f>
        <v>-1</v>
      </c>
      <c r="R30" s="131" t="s">
        <v>11</v>
      </c>
      <c r="S30" s="131"/>
      <c r="T30" s="6">
        <f>+T28-T15</f>
        <v>0</v>
      </c>
      <c r="V30" s="12"/>
      <c r="W30" s="134" t="s">
        <v>11</v>
      </c>
      <c r="X30" s="134"/>
      <c r="Y30" s="45">
        <f>+Y28-Y15</f>
        <v>-2062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/>
      <c r="J34" s="9" t="s">
        <v>15</v>
      </c>
      <c r="K34" s="10"/>
      <c r="L34" s="23">
        <v>2061</v>
      </c>
      <c r="N34" s="9" t="s">
        <v>15</v>
      </c>
      <c r="O34" s="10"/>
      <c r="P34" s="23">
        <v>1</v>
      </c>
      <c r="R34" s="9" t="s">
        <v>15</v>
      </c>
      <c r="S34" s="10"/>
      <c r="T34" s="23"/>
      <c r="W34" s="46" t="s">
        <v>15</v>
      </c>
      <c r="X34" s="47"/>
      <c r="Y34" s="48">
        <f>+D34+H34+L34+P34+T34</f>
        <v>2062</v>
      </c>
      <c r="AJ34" s="89" t="s">
        <v>113</v>
      </c>
      <c r="AK34" s="89"/>
      <c r="AL34" s="89"/>
      <c r="AM34" s="92">
        <f>+SUM(AM23:AM33)</f>
        <v>85000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23</v>
      </c>
      <c r="K36" s="17"/>
      <c r="L36" s="24"/>
      <c r="N36" s="12" t="s">
        <v>23</v>
      </c>
      <c r="O36" s="17"/>
      <c r="P36" s="24"/>
      <c r="R36" s="12" t="s">
        <v>41</v>
      </c>
      <c r="S36" s="17"/>
      <c r="T36" s="24"/>
      <c r="W36" s="49" t="s">
        <v>23</v>
      </c>
      <c r="X36" s="43"/>
      <c r="Y36" s="50">
        <f t="shared" si="9"/>
        <v>0</v>
      </c>
    </row>
    <row r="37" spans="2:39" x14ac:dyDescent="0.25">
      <c r="B37" s="12" t="s">
        <v>3</v>
      </c>
      <c r="C37" s="17"/>
      <c r="D37" s="24">
        <f>+SUM(D34:D36)</f>
        <v>0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2061</v>
      </c>
      <c r="N37" s="12" t="s">
        <v>3</v>
      </c>
      <c r="O37" s="17"/>
      <c r="P37" s="24">
        <f>+SUM(P34:P36)</f>
        <v>1</v>
      </c>
      <c r="R37" s="12" t="s">
        <v>3</v>
      </c>
      <c r="S37" s="17"/>
      <c r="T37" s="24">
        <f>+SUM(T34:T36)</f>
        <v>0</v>
      </c>
      <c r="W37" s="36" t="s">
        <v>3</v>
      </c>
      <c r="X37" s="37"/>
      <c r="Y37" s="38">
        <f>+SUM(Y34:Y36)</f>
        <v>2062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0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42"/>
  <sheetViews>
    <sheetView topLeftCell="M6" zoomScale="90" zoomScaleNormal="90" workbookViewId="0">
      <selection activeCell="AH26" sqref="AH26"/>
    </sheetView>
  </sheetViews>
  <sheetFormatPr defaultRowHeight="15" x14ac:dyDescent="0.25"/>
  <cols>
    <col min="5" max="5" width="1.7109375" customWidth="1"/>
    <col min="9" max="9" width="1.7109375" customWidth="1"/>
    <col min="10" max="10" width="12.42578125" customWidth="1"/>
    <col min="11" max="11" width="20.85546875" bestFit="1" customWidth="1"/>
    <col min="13" max="13" width="1" customWidth="1"/>
    <col min="14" max="14" width="14.140625" customWidth="1"/>
    <col min="15" max="15" width="16.28515625" customWidth="1"/>
    <col min="17" max="17" width="1.7109375" customWidth="1"/>
    <col min="21" max="21" width="1.7109375" customWidth="1"/>
    <col min="22" max="22" width="2" customWidth="1"/>
    <col min="25" max="25" width="10.28515625" customWidth="1"/>
    <col min="26" max="26" width="2" customWidth="1"/>
    <col min="28" max="28" width="10.7109375" customWidth="1"/>
    <col min="29" max="29" width="10.140625" customWidth="1"/>
    <col min="30" max="30" width="12.5703125" customWidth="1"/>
    <col min="31" max="31" width="12" customWidth="1"/>
    <col min="32" max="32" width="10.5703125" customWidth="1"/>
    <col min="36" max="36" width="10.28515625" customWidth="1"/>
    <col min="37" max="38" width="13.85546875" customWidth="1"/>
    <col min="39" max="39" width="1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183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>
        <v>5</v>
      </c>
      <c r="H5" s="39">
        <f>+G5*F5</f>
        <v>5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5</v>
      </c>
      <c r="Y5" s="40">
        <f>+D5+H5+L5+P5+T5</f>
        <v>5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>
        <v>191</v>
      </c>
      <c r="D6" s="39">
        <f>+C6*B6</f>
        <v>1910</v>
      </c>
      <c r="F6" s="1">
        <v>10</v>
      </c>
      <c r="G6" s="1">
        <v>169</v>
      </c>
      <c r="H6" s="39">
        <f>+G6*F6</f>
        <v>1690</v>
      </c>
      <c r="J6" s="1">
        <v>10</v>
      </c>
      <c r="K6" s="1">
        <v>182</v>
      </c>
      <c r="L6" s="39">
        <f>+K6*J6</f>
        <v>1820</v>
      </c>
      <c r="N6" s="1">
        <v>10</v>
      </c>
      <c r="O6" s="1">
        <v>16</v>
      </c>
      <c r="P6" s="39">
        <f>+O6*N6</f>
        <v>160</v>
      </c>
      <c r="R6" s="1">
        <v>10</v>
      </c>
      <c r="S6" s="1"/>
      <c r="T6" s="39">
        <f>+S6*R6</f>
        <v>0</v>
      </c>
      <c r="V6" s="12"/>
      <c r="W6" s="42">
        <v>10</v>
      </c>
      <c r="X6" s="42">
        <f>+C6+G6+K6+O6+S6</f>
        <v>558</v>
      </c>
      <c r="Y6" s="40">
        <f>+D6+H6+L6+P6+T6</f>
        <v>5580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22</v>
      </c>
      <c r="D7" s="39">
        <f t="shared" ref="D7:D12" si="0">+C7*B7</f>
        <v>440</v>
      </c>
      <c r="F7" s="1">
        <v>20</v>
      </c>
      <c r="G7" s="1">
        <v>39</v>
      </c>
      <c r="H7" s="39">
        <f t="shared" ref="H7:H12" si="1">+G7*F7</f>
        <v>780</v>
      </c>
      <c r="J7" s="1">
        <v>20</v>
      </c>
      <c r="K7" s="1">
        <v>34</v>
      </c>
      <c r="L7" s="39">
        <f t="shared" ref="L7:L12" si="2">+K7*J7</f>
        <v>680</v>
      </c>
      <c r="N7" s="1">
        <v>20</v>
      </c>
      <c r="O7" s="1">
        <v>5</v>
      </c>
      <c r="P7" s="39">
        <f t="shared" ref="P7:P12" si="3">+O7*N7</f>
        <v>100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100</v>
      </c>
      <c r="Y7" s="40">
        <f t="shared" ref="Y7:Y12" si="5">+D7+H7+L7+P7+T7</f>
        <v>2000</v>
      </c>
      <c r="Z7" s="13"/>
      <c r="AE7" s="70" t="s">
        <v>5</v>
      </c>
      <c r="AF7" s="71">
        <v>268185</v>
      </c>
      <c r="AG7" s="28"/>
      <c r="AH7" s="28"/>
      <c r="AI7" s="28"/>
      <c r="AJ7" s="28"/>
    </row>
    <row r="8" spans="2:39" x14ac:dyDescent="0.25">
      <c r="B8" s="1">
        <v>50</v>
      </c>
      <c r="C8" s="1">
        <v>70</v>
      </c>
      <c r="D8" s="39">
        <f t="shared" si="0"/>
        <v>3500</v>
      </c>
      <c r="F8" s="1">
        <v>50</v>
      </c>
      <c r="G8" s="1">
        <v>65</v>
      </c>
      <c r="H8" s="39">
        <f t="shared" si="1"/>
        <v>3250</v>
      </c>
      <c r="J8" s="1">
        <v>50</v>
      </c>
      <c r="K8" s="1">
        <v>79</v>
      </c>
      <c r="L8" s="39">
        <f t="shared" si="2"/>
        <v>3950</v>
      </c>
      <c r="N8" s="1">
        <v>50</v>
      </c>
      <c r="O8" s="1">
        <v>2</v>
      </c>
      <c r="P8" s="39">
        <f t="shared" si="3"/>
        <v>100</v>
      </c>
      <c r="R8" s="1">
        <v>50</v>
      </c>
      <c r="S8" s="1"/>
      <c r="T8" s="39">
        <f t="shared" si="4"/>
        <v>0</v>
      </c>
      <c r="V8" s="12"/>
      <c r="W8" s="42">
        <v>50</v>
      </c>
      <c r="X8" s="42">
        <f t="shared" ref="X8:X12" si="6">+C8+G8+K8+O8+S8</f>
        <v>216</v>
      </c>
      <c r="Y8" s="40">
        <f t="shared" si="5"/>
        <v>10800</v>
      </c>
      <c r="Z8" s="13"/>
      <c r="AE8" s="66" t="s">
        <v>120</v>
      </c>
      <c r="AF8" s="66">
        <f>+AF29</f>
        <v>93222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47</v>
      </c>
      <c r="D9" s="39">
        <f t="shared" si="0"/>
        <v>4700</v>
      </c>
      <c r="F9" s="1">
        <v>100</v>
      </c>
      <c r="G9" s="1">
        <v>86</v>
      </c>
      <c r="H9" s="39">
        <f t="shared" si="1"/>
        <v>8600</v>
      </c>
      <c r="J9" s="1">
        <v>100</v>
      </c>
      <c r="K9" s="1">
        <v>85</v>
      </c>
      <c r="L9" s="39">
        <f t="shared" si="2"/>
        <v>8500</v>
      </c>
      <c r="N9" s="1">
        <v>100</v>
      </c>
      <c r="O9" s="1"/>
      <c r="P9" s="39">
        <f t="shared" si="3"/>
        <v>0</v>
      </c>
      <c r="R9" s="1">
        <v>100</v>
      </c>
      <c r="S9" s="1"/>
      <c r="T9" s="39">
        <f t="shared" si="4"/>
        <v>0</v>
      </c>
      <c r="V9" s="12"/>
      <c r="W9" s="42">
        <v>100</v>
      </c>
      <c r="X9" s="42">
        <f t="shared" si="6"/>
        <v>218</v>
      </c>
      <c r="Y9" s="40">
        <f t="shared" si="5"/>
        <v>21800</v>
      </c>
      <c r="Z9" s="13"/>
      <c r="AE9" s="72" t="s">
        <v>10</v>
      </c>
      <c r="AF9" s="73">
        <f>SUM(AF7:AF8)</f>
        <v>361407</v>
      </c>
      <c r="AK9" s="31">
        <v>1</v>
      </c>
      <c r="AL9" s="31"/>
      <c r="AM9" s="39">
        <f>+AL9*AK9</f>
        <v>0</v>
      </c>
    </row>
    <row r="10" spans="2:39" x14ac:dyDescent="0.25">
      <c r="B10" s="1">
        <v>500</v>
      </c>
      <c r="C10" s="1">
        <v>19</v>
      </c>
      <c r="D10" s="39">
        <f t="shared" si="0"/>
        <v>9500</v>
      </c>
      <c r="F10" s="1">
        <v>500</v>
      </c>
      <c r="G10" s="1">
        <v>44</v>
      </c>
      <c r="H10" s="39">
        <f t="shared" si="1"/>
        <v>22000</v>
      </c>
      <c r="J10" s="1">
        <v>500</v>
      </c>
      <c r="K10" s="1">
        <v>28</v>
      </c>
      <c r="L10" s="39">
        <f t="shared" si="2"/>
        <v>14000</v>
      </c>
      <c r="N10" s="1">
        <v>500</v>
      </c>
      <c r="O10" s="1">
        <v>19</v>
      </c>
      <c r="P10" s="39">
        <f t="shared" si="3"/>
        <v>9500</v>
      </c>
      <c r="R10" s="1">
        <v>500</v>
      </c>
      <c r="S10" s="1"/>
      <c r="T10" s="39">
        <f t="shared" si="4"/>
        <v>0</v>
      </c>
      <c r="V10" s="12"/>
      <c r="W10" s="42">
        <v>500</v>
      </c>
      <c r="X10" s="42">
        <f t="shared" si="6"/>
        <v>110</v>
      </c>
      <c r="Y10" s="40">
        <f t="shared" si="5"/>
        <v>55000</v>
      </c>
      <c r="Z10" s="13"/>
      <c r="AK10" s="1">
        <v>10</v>
      </c>
      <c r="AL10" s="1">
        <v>1365</v>
      </c>
      <c r="AM10" s="39">
        <f>+AL10*AK10</f>
        <v>13650</v>
      </c>
    </row>
    <row r="11" spans="2:39" x14ac:dyDescent="0.25">
      <c r="B11" s="1">
        <v>1000</v>
      </c>
      <c r="C11" s="1">
        <v>23</v>
      </c>
      <c r="D11" s="39">
        <f t="shared" si="0"/>
        <v>23000</v>
      </c>
      <c r="F11" s="1">
        <v>1000</v>
      </c>
      <c r="G11" s="1">
        <v>63</v>
      </c>
      <c r="H11" s="39">
        <f t="shared" si="1"/>
        <v>63000</v>
      </c>
      <c r="J11" s="1">
        <v>1000</v>
      </c>
      <c r="K11" s="1">
        <v>41</v>
      </c>
      <c r="L11" s="39">
        <f t="shared" si="2"/>
        <v>41000</v>
      </c>
      <c r="N11" s="1">
        <v>1000</v>
      </c>
      <c r="O11" s="1">
        <v>26</v>
      </c>
      <c r="P11" s="39">
        <f t="shared" si="3"/>
        <v>26000</v>
      </c>
      <c r="R11" s="1">
        <v>1000</v>
      </c>
      <c r="S11" s="1"/>
      <c r="T11" s="39">
        <f t="shared" si="4"/>
        <v>0</v>
      </c>
      <c r="V11" s="12"/>
      <c r="W11" s="42">
        <v>1000</v>
      </c>
      <c r="X11" s="42">
        <f t="shared" si="6"/>
        <v>153</v>
      </c>
      <c r="Y11" s="40">
        <f t="shared" si="5"/>
        <v>153000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200</v>
      </c>
      <c r="AM11" s="39">
        <f t="shared" ref="AM11:AM16" si="7">+AL11*AK11</f>
        <v>4000</v>
      </c>
    </row>
    <row r="12" spans="2:39" x14ac:dyDescent="0.25">
      <c r="B12" s="1">
        <v>5000</v>
      </c>
      <c r="C12" s="1">
        <v>1</v>
      </c>
      <c r="D12" s="39">
        <f t="shared" si="0"/>
        <v>5000</v>
      </c>
      <c r="F12" s="1">
        <v>5000</v>
      </c>
      <c r="G12" s="1"/>
      <c r="H12" s="39">
        <f t="shared" si="1"/>
        <v>0</v>
      </c>
      <c r="J12" s="1">
        <v>5000</v>
      </c>
      <c r="K12" s="1">
        <v>2</v>
      </c>
      <c r="L12" s="39">
        <f t="shared" si="2"/>
        <v>10000</v>
      </c>
      <c r="N12" s="1">
        <v>5000</v>
      </c>
      <c r="O12" s="1">
        <v>1</v>
      </c>
      <c r="P12" s="39">
        <f t="shared" si="3"/>
        <v>5000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4</v>
      </c>
      <c r="Y12" s="40">
        <f t="shared" si="5"/>
        <v>20000</v>
      </c>
      <c r="Z12" s="13"/>
      <c r="AE12" t="s">
        <v>6</v>
      </c>
      <c r="AF12" s="4">
        <v>348450</v>
      </c>
      <c r="AG12">
        <v>5286</v>
      </c>
      <c r="AH12" s="58" t="s">
        <v>457</v>
      </c>
      <c r="AI12" t="s">
        <v>199</v>
      </c>
      <c r="AK12" s="1">
        <v>50</v>
      </c>
      <c r="AL12" s="1">
        <v>216</v>
      </c>
      <c r="AM12" s="39">
        <f t="shared" si="7"/>
        <v>10800</v>
      </c>
    </row>
    <row r="13" spans="2:39" ht="15.75" thickBot="1" x14ac:dyDescent="0.3">
      <c r="B13" s="2" t="s">
        <v>3</v>
      </c>
      <c r="C13" s="2"/>
      <c r="D13" s="5">
        <f>+SUM(D5:D12)</f>
        <v>48050</v>
      </c>
      <c r="F13" s="2" t="s">
        <v>3</v>
      </c>
      <c r="G13" s="2"/>
      <c r="H13" s="5">
        <f>+SUM(H5:H12)</f>
        <v>99325</v>
      </c>
      <c r="J13" s="2" t="s">
        <v>3</v>
      </c>
      <c r="K13" s="2"/>
      <c r="L13" s="5">
        <f>+SUM(L5:L12)</f>
        <v>79950</v>
      </c>
      <c r="N13" s="2" t="s">
        <v>3</v>
      </c>
      <c r="O13" s="2"/>
      <c r="P13" s="5">
        <f>+SUM(P5:P12)</f>
        <v>40860</v>
      </c>
      <c r="R13" s="2" t="s">
        <v>3</v>
      </c>
      <c r="S13" s="2"/>
      <c r="T13" s="5">
        <f>+SUM(T5:T12)</f>
        <v>0</v>
      </c>
      <c r="V13" s="12"/>
      <c r="W13" s="2" t="s">
        <v>3</v>
      </c>
      <c r="X13" s="2"/>
      <c r="Y13" s="5">
        <f>+SUM(Y5:Y12)</f>
        <v>268185</v>
      </c>
      <c r="Z13" s="13"/>
      <c r="AE13" t="s">
        <v>62</v>
      </c>
      <c r="AF13" s="4">
        <v>13000</v>
      </c>
      <c r="AK13" s="1">
        <v>100</v>
      </c>
      <c r="AL13" s="1">
        <v>230</v>
      </c>
      <c r="AM13" s="39">
        <f t="shared" si="7"/>
        <v>23000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214</v>
      </c>
      <c r="AM14" s="39">
        <f t="shared" si="7"/>
        <v>107000</v>
      </c>
    </row>
    <row r="15" spans="2:39" ht="15.75" thickBot="1" x14ac:dyDescent="0.3">
      <c r="B15" s="127" t="s">
        <v>4</v>
      </c>
      <c r="C15" s="128"/>
      <c r="D15" s="7">
        <v>48813</v>
      </c>
      <c r="E15" s="33"/>
      <c r="F15" s="127" t="s">
        <v>4</v>
      </c>
      <c r="G15" s="128"/>
      <c r="H15" s="7">
        <v>99325</v>
      </c>
      <c r="I15" s="33"/>
      <c r="J15" s="127" t="s">
        <v>4</v>
      </c>
      <c r="K15" s="128"/>
      <c r="L15" s="7">
        <v>108481</v>
      </c>
      <c r="M15" s="33"/>
      <c r="N15" s="127" t="s">
        <v>4</v>
      </c>
      <c r="O15" s="128"/>
      <c r="P15" s="7">
        <v>90213</v>
      </c>
      <c r="Q15" s="33"/>
      <c r="R15" s="127" t="s">
        <v>4</v>
      </c>
      <c r="S15" s="128"/>
      <c r="T15" s="7"/>
      <c r="U15" s="33"/>
      <c r="V15" s="34"/>
      <c r="W15" s="127" t="s">
        <v>4</v>
      </c>
      <c r="X15" s="128"/>
      <c r="Y15" s="7">
        <f>+D15+H15+L15+P15+T15</f>
        <v>346832</v>
      </c>
      <c r="Z15" s="35"/>
      <c r="AA15" s="33"/>
      <c r="AE15" t="s">
        <v>64</v>
      </c>
      <c r="AF15" s="4"/>
      <c r="AK15" s="1">
        <v>1000</v>
      </c>
      <c r="AL15" s="1">
        <v>183</v>
      </c>
      <c r="AM15" s="39">
        <f t="shared" si="7"/>
        <v>183000</v>
      </c>
    </row>
    <row r="16" spans="2:39" x14ac:dyDescent="0.25">
      <c r="B16" t="s">
        <v>5</v>
      </c>
      <c r="D16" s="4">
        <v>48050</v>
      </c>
      <c r="F16" t="s">
        <v>5</v>
      </c>
      <c r="H16" s="4">
        <f>+H13</f>
        <v>99325</v>
      </c>
      <c r="J16" t="s">
        <v>5</v>
      </c>
      <c r="L16" s="4">
        <v>79950</v>
      </c>
      <c r="N16" t="s">
        <v>5</v>
      </c>
      <c r="P16" s="4">
        <f>+P13</f>
        <v>40860</v>
      </c>
      <c r="R16" t="s">
        <v>5</v>
      </c>
      <c r="T16" s="4"/>
      <c r="V16" s="12"/>
      <c r="W16" s="43" t="s">
        <v>5</v>
      </c>
      <c r="X16" s="43"/>
      <c r="Y16" s="40">
        <f>+D16+H16+L16+P16+T16</f>
        <v>268185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4</v>
      </c>
      <c r="AM16" s="39">
        <f t="shared" si="7"/>
        <v>20000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361450</v>
      </c>
      <c r="AG17" s="22"/>
      <c r="AK17" s="2" t="s">
        <v>3</v>
      </c>
      <c r="AL17" s="2"/>
      <c r="AM17" s="5">
        <f>+SUM(AM9:AM16)</f>
        <v>361450</v>
      </c>
    </row>
    <row r="18" spans="2:39" x14ac:dyDescent="0.25">
      <c r="B18" t="s">
        <v>43</v>
      </c>
      <c r="D18" s="4"/>
      <c r="F18" t="s">
        <v>7</v>
      </c>
      <c r="H18" s="4"/>
      <c r="J18" t="s">
        <v>406</v>
      </c>
      <c r="K18" t="s">
        <v>452</v>
      </c>
      <c r="L18" s="4">
        <v>4500</v>
      </c>
      <c r="N18" t="s">
        <v>389</v>
      </c>
      <c r="O18" t="s">
        <v>421</v>
      </c>
      <c r="P18" s="4">
        <v>15500</v>
      </c>
      <c r="R18" t="s">
        <v>43</v>
      </c>
      <c r="T18" s="4"/>
      <c r="V18" s="12"/>
      <c r="W18" s="43" t="s">
        <v>7</v>
      </c>
      <c r="X18" s="43"/>
      <c r="Y18" s="40">
        <f t="shared" si="8"/>
        <v>20000</v>
      </c>
      <c r="Z18" s="13"/>
      <c r="AE18" s="56" t="s">
        <v>66</v>
      </c>
      <c r="AF18" s="57">
        <f>+AF17-AF9</f>
        <v>43</v>
      </c>
      <c r="AG18" t="s">
        <v>214</v>
      </c>
    </row>
    <row r="19" spans="2:39" x14ac:dyDescent="0.25">
      <c r="B19" t="s">
        <v>8</v>
      </c>
      <c r="D19" s="4"/>
      <c r="F19" t="s">
        <v>8</v>
      </c>
      <c r="H19" s="4"/>
      <c r="J19" t="s">
        <v>423</v>
      </c>
      <c r="K19" t="s">
        <v>453</v>
      </c>
      <c r="L19" s="4">
        <v>8800</v>
      </c>
      <c r="N19" t="s">
        <v>389</v>
      </c>
      <c r="O19" t="s">
        <v>422</v>
      </c>
      <c r="P19" s="4">
        <v>6122</v>
      </c>
      <c r="R19" t="s">
        <v>43</v>
      </c>
      <c r="T19" s="4"/>
      <c r="V19" s="12"/>
      <c r="W19" s="43" t="s">
        <v>8</v>
      </c>
      <c r="X19" s="43"/>
      <c r="Y19" s="40">
        <f t="shared" si="8"/>
        <v>14922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389</v>
      </c>
      <c r="K20" t="s">
        <v>454</v>
      </c>
      <c r="L20" s="4">
        <v>10370</v>
      </c>
      <c r="N20" t="s">
        <v>423</v>
      </c>
      <c r="O20" t="s">
        <v>424</v>
      </c>
      <c r="P20" s="4">
        <v>12120</v>
      </c>
      <c r="R20" t="s">
        <v>43</v>
      </c>
      <c r="T20" s="4"/>
      <c r="V20" s="12"/>
      <c r="W20" s="43" t="s">
        <v>9</v>
      </c>
      <c r="X20" s="43"/>
      <c r="Y20" s="40">
        <f t="shared" si="8"/>
        <v>22490</v>
      </c>
      <c r="Z20" s="13"/>
    </row>
    <row r="21" spans="2:39" x14ac:dyDescent="0.25">
      <c r="D21" s="4"/>
      <c r="H21" s="4"/>
      <c r="J21" t="s">
        <v>343</v>
      </c>
      <c r="K21" t="s">
        <v>455</v>
      </c>
      <c r="L21" s="4">
        <v>4886</v>
      </c>
      <c r="P21" s="4"/>
      <c r="R21" t="s">
        <v>43</v>
      </c>
      <c r="T21" s="4"/>
      <c r="V21" s="12"/>
      <c r="W21" s="43"/>
      <c r="X21" s="43"/>
      <c r="Y21" s="40">
        <f t="shared" si="8"/>
        <v>4886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/>
      <c r="V22" s="12"/>
      <c r="W22" s="43"/>
      <c r="X22" s="43"/>
      <c r="Y22" s="40">
        <f t="shared" si="8"/>
        <v>0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425</v>
      </c>
      <c r="O23" t="s">
        <v>426</v>
      </c>
      <c r="P23" s="4">
        <v>6122</v>
      </c>
      <c r="R23" t="s">
        <v>28</v>
      </c>
      <c r="T23" s="4"/>
      <c r="V23" s="12"/>
      <c r="W23" s="44" t="s">
        <v>28</v>
      </c>
      <c r="X23" s="43"/>
      <c r="Y23" s="40">
        <f t="shared" si="8"/>
        <v>6122</v>
      </c>
      <c r="Z23" s="13"/>
      <c r="AB23" t="s">
        <v>447</v>
      </c>
      <c r="AC23" s="110">
        <v>45856</v>
      </c>
      <c r="AD23" t="s">
        <v>446</v>
      </c>
      <c r="AF23" s="85">
        <v>60795</v>
      </c>
      <c r="AJ23" s="108" t="s">
        <v>150</v>
      </c>
      <c r="AK23">
        <v>240</v>
      </c>
      <c r="AL23" s="108" t="s">
        <v>427</v>
      </c>
      <c r="AM23" s="85">
        <v>20347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420</v>
      </c>
      <c r="O24" t="s">
        <v>260</v>
      </c>
      <c r="P24" s="4">
        <v>9466</v>
      </c>
      <c r="R24" t="s">
        <v>29</v>
      </c>
      <c r="T24" s="4"/>
      <c r="V24" s="12"/>
      <c r="W24" s="44" t="s">
        <v>29</v>
      </c>
      <c r="X24" s="43"/>
      <c r="Y24" s="40">
        <f t="shared" si="8"/>
        <v>9466</v>
      </c>
      <c r="Z24" s="13"/>
      <c r="AB24" t="s">
        <v>449</v>
      </c>
      <c r="AC24" s="110">
        <v>45849</v>
      </c>
      <c r="AD24" s="100" t="s">
        <v>448</v>
      </c>
      <c r="AF24" s="85">
        <v>24700</v>
      </c>
      <c r="AJ24" s="109" t="s">
        <v>380</v>
      </c>
      <c r="AK24" s="109" t="s">
        <v>250</v>
      </c>
      <c r="AL24" s="109" t="s">
        <v>428</v>
      </c>
      <c r="AM24" s="85">
        <v>7125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31</v>
      </c>
      <c r="T25" s="4"/>
      <c r="V25" s="12"/>
      <c r="W25" s="44" t="s">
        <v>31</v>
      </c>
      <c r="X25" s="43"/>
      <c r="Y25" s="40">
        <f t="shared" si="8"/>
        <v>0</v>
      </c>
      <c r="Z25" s="13"/>
      <c r="AB25" s="111" t="s">
        <v>451</v>
      </c>
      <c r="AC25" s="113">
        <v>45867</v>
      </c>
      <c r="AD25" s="111" t="s">
        <v>450</v>
      </c>
      <c r="AE25" s="17"/>
      <c r="AF25" s="112">
        <v>7727</v>
      </c>
      <c r="AJ25" s="108" t="s">
        <v>429</v>
      </c>
      <c r="AK25" s="109" t="s">
        <v>430</v>
      </c>
      <c r="AM25" s="85">
        <v>6000</v>
      </c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C26" s="75"/>
      <c r="AD26" s="21"/>
      <c r="AE26" s="17"/>
      <c r="AF26" s="21"/>
      <c r="AJ26" s="109" t="s">
        <v>150</v>
      </c>
      <c r="AK26" s="109" t="s">
        <v>246</v>
      </c>
      <c r="AL26" s="109" t="s">
        <v>431</v>
      </c>
      <c r="AM26" s="85">
        <v>10200</v>
      </c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  <c r="AJ27" s="109" t="s">
        <v>153</v>
      </c>
      <c r="AK27" s="109" t="s">
        <v>168</v>
      </c>
      <c r="AL27" s="109" t="s">
        <v>432</v>
      </c>
      <c r="AM27" s="85">
        <v>26780</v>
      </c>
    </row>
    <row r="28" spans="2:39" ht="15.75" thickBot="1" x14ac:dyDescent="0.3">
      <c r="B28" s="129" t="s">
        <v>10</v>
      </c>
      <c r="C28" s="130"/>
      <c r="D28" s="8">
        <f>+SUM(D16:D27)</f>
        <v>48050</v>
      </c>
      <c r="F28" s="129" t="s">
        <v>10</v>
      </c>
      <c r="G28" s="130"/>
      <c r="H28" s="8">
        <f>+SUM(H16:H27)</f>
        <v>99325</v>
      </c>
      <c r="J28" s="129" t="s">
        <v>10</v>
      </c>
      <c r="K28" s="130"/>
      <c r="L28" s="8">
        <f>+SUM(L16:L27)</f>
        <v>108506</v>
      </c>
      <c r="N28" s="129" t="s">
        <v>10</v>
      </c>
      <c r="O28" s="130"/>
      <c r="P28" s="8">
        <f>+SUM(P16:P27)</f>
        <v>90190</v>
      </c>
      <c r="R28" s="129" t="s">
        <v>10</v>
      </c>
      <c r="S28" s="130"/>
      <c r="T28" s="8">
        <f>+SUM(T16:T27)</f>
        <v>0</v>
      </c>
      <c r="V28" s="12"/>
      <c r="W28" s="129" t="s">
        <v>10</v>
      </c>
      <c r="X28" s="130"/>
      <c r="Y28" s="8">
        <f>+SUM(Y16:Y27)</f>
        <v>346071</v>
      </c>
      <c r="Z28" s="13"/>
      <c r="AJ28" s="109" t="s">
        <v>150</v>
      </c>
      <c r="AK28" s="109" t="s">
        <v>245</v>
      </c>
      <c r="AL28" s="109" t="s">
        <v>433</v>
      </c>
      <c r="AM28" s="85">
        <v>7608</v>
      </c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93222</v>
      </c>
      <c r="AJ29" s="109" t="s">
        <v>282</v>
      </c>
      <c r="AK29" t="s">
        <v>294</v>
      </c>
      <c r="AL29" s="100" t="s">
        <v>434</v>
      </c>
      <c r="AM29" s="85">
        <v>6036</v>
      </c>
    </row>
    <row r="30" spans="2:39" ht="16.5" thickTop="1" thickBot="1" x14ac:dyDescent="0.3">
      <c r="B30" s="131" t="s">
        <v>11</v>
      </c>
      <c r="C30" s="131"/>
      <c r="D30" s="6">
        <f>+D28-D15</f>
        <v>-763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25</v>
      </c>
      <c r="N30" s="131" t="s">
        <v>11</v>
      </c>
      <c r="O30" s="131"/>
      <c r="P30" s="6">
        <f>+P28-P15</f>
        <v>-23</v>
      </c>
      <c r="R30" s="131" t="s">
        <v>11</v>
      </c>
      <c r="S30" s="131"/>
      <c r="T30" s="6">
        <f>+T28-T15</f>
        <v>0</v>
      </c>
      <c r="V30" s="12"/>
      <c r="W30" s="134" t="s">
        <v>11</v>
      </c>
      <c r="X30" s="134"/>
      <c r="Y30" s="45">
        <f>+Y28-Y15</f>
        <v>-761</v>
      </c>
      <c r="Z30" s="13"/>
      <c r="AJ30" s="109" t="s">
        <v>380</v>
      </c>
      <c r="AK30" s="109" t="s">
        <v>179</v>
      </c>
      <c r="AL30" s="109" t="s">
        <v>435</v>
      </c>
      <c r="AM30" s="87">
        <v>5673</v>
      </c>
    </row>
    <row r="31" spans="2:39" ht="16.5" thickTop="1" thickBot="1" x14ac:dyDescent="0.3">
      <c r="V31" s="18"/>
      <c r="W31" s="19"/>
      <c r="X31" s="19"/>
      <c r="Y31" s="19"/>
      <c r="Z31" s="20"/>
      <c r="AJ31" s="108" t="s">
        <v>150</v>
      </c>
      <c r="AK31" s="109" t="s">
        <v>221</v>
      </c>
      <c r="AL31" s="108" t="s">
        <v>436</v>
      </c>
      <c r="AM31" s="87">
        <v>11888</v>
      </c>
    </row>
    <row r="32" spans="2:39" x14ac:dyDescent="0.25">
      <c r="AJ32" s="108" t="s">
        <v>429</v>
      </c>
      <c r="AK32" s="109" t="s">
        <v>212</v>
      </c>
      <c r="AL32" s="109" t="s">
        <v>289</v>
      </c>
      <c r="AM32" s="87">
        <v>6130</v>
      </c>
    </row>
    <row r="33" spans="2:39" ht="15.75" thickBot="1" x14ac:dyDescent="0.3">
      <c r="AJ33" s="109" t="s">
        <v>380</v>
      </c>
      <c r="AK33" s="109" t="s">
        <v>145</v>
      </c>
      <c r="AL33" s="109" t="s">
        <v>437</v>
      </c>
      <c r="AM33" s="87">
        <v>7984</v>
      </c>
    </row>
    <row r="34" spans="2:39" x14ac:dyDescent="0.25">
      <c r="B34" s="9" t="s">
        <v>15</v>
      </c>
      <c r="C34" s="10"/>
      <c r="D34" s="23">
        <v>763</v>
      </c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>
        <v>23</v>
      </c>
      <c r="R34" s="9" t="s">
        <v>15</v>
      </c>
      <c r="S34" s="10"/>
      <c r="T34" s="23"/>
      <c r="W34" s="46" t="s">
        <v>15</v>
      </c>
      <c r="X34" s="47"/>
      <c r="Y34" s="48">
        <f>+D34+H34+L34+P34+T34</f>
        <v>786</v>
      </c>
      <c r="AJ34" s="108" t="s">
        <v>439</v>
      </c>
      <c r="AK34" s="109" t="s">
        <v>218</v>
      </c>
      <c r="AL34" s="108" t="s">
        <v>438</v>
      </c>
      <c r="AM34" s="87">
        <v>6062</v>
      </c>
    </row>
    <row r="35" spans="2:39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  <c r="AJ35" s="109" t="s">
        <v>257</v>
      </c>
      <c r="AK35" s="109" t="s">
        <v>228</v>
      </c>
      <c r="AL35" s="109" t="s">
        <v>440</v>
      </c>
      <c r="AM35" s="87">
        <v>5725</v>
      </c>
    </row>
    <row r="36" spans="2:39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42</v>
      </c>
      <c r="K36" s="17"/>
      <c r="L36" s="24">
        <v>-25</v>
      </c>
      <c r="N36" s="12" t="s">
        <v>42</v>
      </c>
      <c r="O36" s="17"/>
      <c r="P36" s="24"/>
      <c r="R36" s="12" t="s">
        <v>41</v>
      </c>
      <c r="S36" s="17"/>
      <c r="T36" s="24"/>
      <c r="W36" s="49" t="s">
        <v>23</v>
      </c>
      <c r="X36" s="43"/>
      <c r="Y36" s="50">
        <f t="shared" si="9"/>
        <v>-25</v>
      </c>
      <c r="AJ36" s="109" t="s">
        <v>153</v>
      </c>
      <c r="AK36" s="109" t="s">
        <v>164</v>
      </c>
      <c r="AL36" s="109" t="s">
        <v>441</v>
      </c>
      <c r="AM36" s="87">
        <v>26500</v>
      </c>
    </row>
    <row r="37" spans="2:39" x14ac:dyDescent="0.25">
      <c r="B37" s="12" t="s">
        <v>3</v>
      </c>
      <c r="C37" s="17"/>
      <c r="D37" s="24">
        <f>+SUM(D34:D36)</f>
        <v>763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-25</v>
      </c>
      <c r="N37" s="12" t="s">
        <v>3</v>
      </c>
      <c r="O37" s="17"/>
      <c r="P37" s="24">
        <f>+SUM(P34:P36)</f>
        <v>23</v>
      </c>
      <c r="R37" s="12" t="s">
        <v>3</v>
      </c>
      <c r="S37" s="17"/>
      <c r="T37" s="24">
        <f>+SUM(T34:T36)</f>
        <v>0</v>
      </c>
      <c r="W37" s="36" t="s">
        <v>3</v>
      </c>
      <c r="X37" s="37"/>
      <c r="Y37" s="38">
        <f>+SUM(Y34:Y36)</f>
        <v>761</v>
      </c>
      <c r="AJ37" s="109" t="s">
        <v>380</v>
      </c>
      <c r="AK37" s="109" t="s">
        <v>180</v>
      </c>
      <c r="AL37" s="109" t="s">
        <v>442</v>
      </c>
      <c r="AM37" s="87">
        <v>6245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0</v>
      </c>
      <c r="AJ38" s="108" t="s">
        <v>429</v>
      </c>
      <c r="AK38" s="109" t="s">
        <v>211</v>
      </c>
      <c r="AL38" s="109" t="s">
        <v>443</v>
      </c>
      <c r="AM38" s="87">
        <v>5720</v>
      </c>
    </row>
    <row r="39" spans="2:39" x14ac:dyDescent="0.25">
      <c r="AJ39" s="109" t="s">
        <v>257</v>
      </c>
      <c r="AK39" s="109" t="s">
        <v>445</v>
      </c>
      <c r="AL39" s="109" t="s">
        <v>444</v>
      </c>
      <c r="AM39" s="87">
        <v>8920</v>
      </c>
    </row>
    <row r="41" spans="2:39" ht="15.75" thickBot="1" x14ac:dyDescent="0.3">
      <c r="AJ41" s="89" t="s">
        <v>113</v>
      </c>
      <c r="AK41" s="89"/>
      <c r="AL41" s="89"/>
      <c r="AM41" s="114">
        <f>SUM(AM23:AM39)</f>
        <v>174943</v>
      </c>
    </row>
    <row r="42" spans="2:39" ht="15.75" thickTop="1" x14ac:dyDescent="0.25"/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zoomScale="80" zoomScaleNormal="80" workbookViewId="0">
      <selection activeCell="D38" sqref="D38"/>
    </sheetView>
  </sheetViews>
  <sheetFormatPr defaultRowHeight="15" x14ac:dyDescent="0.25"/>
  <cols>
    <col min="4" max="4" width="9.140625" customWidth="1"/>
    <col min="5" max="5" width="1.5703125" customWidth="1"/>
    <col min="6" max="6" width="12.5703125" customWidth="1"/>
    <col min="7" max="7" width="16.28515625" customWidth="1"/>
    <col min="9" max="9" width="1.28515625" customWidth="1"/>
    <col min="10" max="10" width="12.7109375" customWidth="1"/>
    <col min="11" max="11" width="13.140625" customWidth="1"/>
    <col min="13" max="13" width="1.42578125" customWidth="1"/>
    <col min="17" max="17" width="1.140625" customWidth="1"/>
    <col min="18" max="18" width="13.5703125" customWidth="1"/>
    <col min="19" max="19" width="14.140625" customWidth="1"/>
    <col min="20" max="20" width="10.5703125" bestFit="1" customWidth="1"/>
    <col min="21" max="21" width="1.7109375" customWidth="1"/>
    <col min="22" max="22" width="1.140625" customWidth="1"/>
    <col min="26" max="26" width="1.7109375" customWidth="1"/>
    <col min="30" max="30" width="14.42578125" bestFit="1" customWidth="1"/>
    <col min="31" max="31" width="13.5703125" bestFit="1" customWidth="1"/>
    <col min="32" max="32" width="10.7109375" customWidth="1"/>
    <col min="33" max="33" width="15.5703125" bestFit="1" customWidth="1"/>
    <col min="34" max="34" width="10.5703125" bestFit="1" customWidth="1"/>
    <col min="38" max="38" width="20.28515625" bestFit="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/>
      <c r="H5" s="39">
        <f>+G5*F5</f>
        <v>0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0</v>
      </c>
      <c r="Y5" s="40">
        <f>+D5+H5+L5+P5+T5</f>
        <v>0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>
        <v>210</v>
      </c>
      <c r="D6" s="39">
        <f>+C6*B6</f>
        <v>2100</v>
      </c>
      <c r="F6" s="1">
        <v>10</v>
      </c>
      <c r="G6" s="1">
        <v>125</v>
      </c>
      <c r="H6" s="39">
        <f>+G6*F6</f>
        <v>1250</v>
      </c>
      <c r="J6" s="1">
        <v>10</v>
      </c>
      <c r="K6" s="1">
        <v>18</v>
      </c>
      <c r="L6" s="39">
        <f>+K6*J6</f>
        <v>180</v>
      </c>
      <c r="N6" s="1">
        <v>10</v>
      </c>
      <c r="O6" s="1">
        <v>301</v>
      </c>
      <c r="P6" s="39">
        <f>+O6*N6</f>
        <v>3010</v>
      </c>
      <c r="R6" s="1">
        <v>10</v>
      </c>
      <c r="S6" s="1">
        <v>4</v>
      </c>
      <c r="T6" s="39">
        <f>+S6*R6</f>
        <v>40</v>
      </c>
      <c r="V6" s="12"/>
      <c r="W6" s="42">
        <v>10</v>
      </c>
      <c r="X6" s="42">
        <f>+C6+G6+K6+O6+S6</f>
        <v>658</v>
      </c>
      <c r="Y6" s="40">
        <f>+D6+H6+L6+P6+T6</f>
        <v>6580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12</v>
      </c>
      <c r="D7" s="39">
        <f t="shared" ref="D7:D12" si="0">+C7*B7</f>
        <v>240</v>
      </c>
      <c r="F7" s="1">
        <v>20</v>
      </c>
      <c r="G7" s="1">
        <v>17</v>
      </c>
      <c r="H7" s="39">
        <f t="shared" ref="H7:H12" si="1">+G7*F7</f>
        <v>340</v>
      </c>
      <c r="J7" s="1">
        <v>20</v>
      </c>
      <c r="K7" s="1">
        <v>6</v>
      </c>
      <c r="L7" s="39">
        <f t="shared" ref="L7:L12" si="2">+K7*J7</f>
        <v>120</v>
      </c>
      <c r="N7" s="1">
        <v>20</v>
      </c>
      <c r="O7" s="1">
        <v>5</v>
      </c>
      <c r="P7" s="39">
        <f t="shared" ref="P7:P12" si="3">+O7*N7</f>
        <v>100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40</v>
      </c>
      <c r="Y7" s="40">
        <f t="shared" ref="Y7:Y12" si="5">+D7+H7+L7+P7+T7</f>
        <v>800</v>
      </c>
      <c r="Z7" s="13"/>
      <c r="AE7" s="70" t="s">
        <v>5</v>
      </c>
      <c r="AF7" s="71">
        <f>+Y13</f>
        <v>283380</v>
      </c>
      <c r="AG7" s="28"/>
      <c r="AH7" s="28"/>
      <c r="AI7" s="28"/>
      <c r="AJ7" s="28"/>
    </row>
    <row r="8" spans="2:39" x14ac:dyDescent="0.25">
      <c r="B8" s="1">
        <v>50</v>
      </c>
      <c r="C8" s="1"/>
      <c r="D8" s="39">
        <f t="shared" si="0"/>
        <v>0</v>
      </c>
      <c r="F8" s="1">
        <v>50</v>
      </c>
      <c r="G8" s="1">
        <v>61</v>
      </c>
      <c r="H8" s="39">
        <f t="shared" si="1"/>
        <v>3050</v>
      </c>
      <c r="J8" s="1">
        <v>50</v>
      </c>
      <c r="K8" s="1">
        <v>42</v>
      </c>
      <c r="L8" s="39">
        <f t="shared" si="2"/>
        <v>2100</v>
      </c>
      <c r="N8" s="1">
        <v>50</v>
      </c>
      <c r="O8" s="1">
        <v>36</v>
      </c>
      <c r="P8" s="39">
        <f t="shared" si="3"/>
        <v>1800</v>
      </c>
      <c r="R8" s="1">
        <v>50</v>
      </c>
      <c r="S8" s="1">
        <v>109</v>
      </c>
      <c r="T8" s="39">
        <f t="shared" si="4"/>
        <v>5450</v>
      </c>
      <c r="V8" s="12"/>
      <c r="W8" s="42">
        <v>50</v>
      </c>
      <c r="X8" s="42">
        <f t="shared" ref="X8:X12" si="6">+C8+G8+K8+O8+S8</f>
        <v>248</v>
      </c>
      <c r="Y8" s="40">
        <f t="shared" si="5"/>
        <v>12400</v>
      </c>
      <c r="Z8" s="13"/>
      <c r="AE8" s="66" t="s">
        <v>120</v>
      </c>
      <c r="AF8" s="66">
        <f>+AF29</f>
        <v>139213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4</v>
      </c>
      <c r="D9" s="39">
        <f t="shared" si="0"/>
        <v>400</v>
      </c>
      <c r="F9" s="1">
        <v>100</v>
      </c>
      <c r="G9" s="1">
        <v>87</v>
      </c>
      <c r="H9" s="39">
        <f t="shared" si="1"/>
        <v>8700</v>
      </c>
      <c r="J9" s="1">
        <v>100</v>
      </c>
      <c r="K9" s="1">
        <v>24</v>
      </c>
      <c r="L9" s="39">
        <f t="shared" si="2"/>
        <v>2400</v>
      </c>
      <c r="N9" s="1">
        <v>100</v>
      </c>
      <c r="O9" s="1">
        <v>10</v>
      </c>
      <c r="P9" s="39">
        <f t="shared" si="3"/>
        <v>1000</v>
      </c>
      <c r="R9" s="1">
        <v>100</v>
      </c>
      <c r="S9" s="1">
        <v>6</v>
      </c>
      <c r="T9" s="39">
        <f t="shared" si="4"/>
        <v>600</v>
      </c>
      <c r="V9" s="12"/>
      <c r="W9" s="42">
        <v>100</v>
      </c>
      <c r="X9" s="42">
        <f t="shared" si="6"/>
        <v>131</v>
      </c>
      <c r="Y9" s="40">
        <f t="shared" si="5"/>
        <v>13100</v>
      </c>
      <c r="Z9" s="13"/>
      <c r="AE9" s="72" t="s">
        <v>10</v>
      </c>
      <c r="AF9" s="73">
        <f>SUM(AF7:AF8)</f>
        <v>422593</v>
      </c>
      <c r="AK9" s="31">
        <v>1</v>
      </c>
      <c r="AL9" s="31">
        <v>7</v>
      </c>
      <c r="AM9" s="39">
        <f>+AL9*AK9</f>
        <v>7</v>
      </c>
    </row>
    <row r="10" spans="2:39" x14ac:dyDescent="0.25">
      <c r="B10" s="1">
        <v>500</v>
      </c>
      <c r="C10" s="1">
        <v>13</v>
      </c>
      <c r="D10" s="39">
        <f t="shared" si="0"/>
        <v>6500</v>
      </c>
      <c r="F10" s="1">
        <v>500</v>
      </c>
      <c r="G10" s="1">
        <v>36</v>
      </c>
      <c r="H10" s="39">
        <f t="shared" si="1"/>
        <v>18000</v>
      </c>
      <c r="J10" s="1">
        <v>500</v>
      </c>
      <c r="K10" s="1">
        <v>22</v>
      </c>
      <c r="L10" s="39">
        <f t="shared" si="2"/>
        <v>11000</v>
      </c>
      <c r="N10" s="1">
        <v>500</v>
      </c>
      <c r="O10" s="1">
        <v>37</v>
      </c>
      <c r="P10" s="39">
        <f t="shared" si="3"/>
        <v>18500</v>
      </c>
      <c r="R10" s="1">
        <v>500</v>
      </c>
      <c r="S10" s="1">
        <v>1</v>
      </c>
      <c r="T10" s="39">
        <f t="shared" si="4"/>
        <v>500</v>
      </c>
      <c r="V10" s="12"/>
      <c r="W10" s="42">
        <v>500</v>
      </c>
      <c r="X10" s="42">
        <f t="shared" si="6"/>
        <v>109</v>
      </c>
      <c r="Y10" s="40">
        <f t="shared" si="5"/>
        <v>54500</v>
      </c>
      <c r="Z10" s="13"/>
      <c r="AK10" s="1">
        <v>10</v>
      </c>
      <c r="AL10" s="1">
        <v>659</v>
      </c>
      <c r="AM10" s="39">
        <f>+AL10*AK10</f>
        <v>6590</v>
      </c>
    </row>
    <row r="11" spans="2:39" x14ac:dyDescent="0.25">
      <c r="B11" s="1">
        <v>1000</v>
      </c>
      <c r="C11" s="1">
        <v>30</v>
      </c>
      <c r="D11" s="39">
        <f t="shared" si="0"/>
        <v>30000</v>
      </c>
      <c r="F11" s="1">
        <v>1000</v>
      </c>
      <c r="G11" s="1">
        <v>52</v>
      </c>
      <c r="H11" s="39">
        <f t="shared" si="1"/>
        <v>52000</v>
      </c>
      <c r="J11" s="1">
        <v>1000</v>
      </c>
      <c r="K11" s="1">
        <v>19</v>
      </c>
      <c r="L11" s="39">
        <f t="shared" si="2"/>
        <v>19000</v>
      </c>
      <c r="N11" s="1">
        <v>1000</v>
      </c>
      <c r="O11" s="1">
        <v>39</v>
      </c>
      <c r="P11" s="39">
        <f t="shared" si="3"/>
        <v>39000</v>
      </c>
      <c r="R11" s="1">
        <v>1000</v>
      </c>
      <c r="S11" s="1">
        <v>1</v>
      </c>
      <c r="T11" s="39">
        <f t="shared" si="4"/>
        <v>1000</v>
      </c>
      <c r="V11" s="12"/>
      <c r="W11" s="42">
        <v>1000</v>
      </c>
      <c r="X11" s="42">
        <f t="shared" si="6"/>
        <v>141</v>
      </c>
      <c r="Y11" s="40">
        <f t="shared" si="5"/>
        <v>141000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42</v>
      </c>
      <c r="AM11" s="39">
        <f t="shared" ref="AM11:AM16" si="7">+AL11*AK11</f>
        <v>840</v>
      </c>
    </row>
    <row r="12" spans="2:39" x14ac:dyDescent="0.25">
      <c r="B12" s="1">
        <v>5000</v>
      </c>
      <c r="C12" s="1">
        <v>2</v>
      </c>
      <c r="D12" s="39">
        <f t="shared" si="0"/>
        <v>10000</v>
      </c>
      <c r="F12" s="1">
        <v>5000</v>
      </c>
      <c r="G12" s="1">
        <v>3</v>
      </c>
      <c r="H12" s="39">
        <f t="shared" si="1"/>
        <v>15000</v>
      </c>
      <c r="J12" s="1">
        <v>5000</v>
      </c>
      <c r="K12" s="1">
        <v>2</v>
      </c>
      <c r="L12" s="39">
        <f t="shared" si="2"/>
        <v>10000</v>
      </c>
      <c r="N12" s="1">
        <v>5000</v>
      </c>
      <c r="O12" s="1">
        <v>2</v>
      </c>
      <c r="P12" s="39">
        <f t="shared" si="3"/>
        <v>10000</v>
      </c>
      <c r="R12" s="1">
        <v>5000</v>
      </c>
      <c r="S12" s="1">
        <v>2</v>
      </c>
      <c r="T12" s="39">
        <f t="shared" si="4"/>
        <v>10000</v>
      </c>
      <c r="V12" s="12"/>
      <c r="W12" s="42">
        <v>5000</v>
      </c>
      <c r="X12" s="42">
        <f t="shared" si="6"/>
        <v>11</v>
      </c>
      <c r="Y12" s="40">
        <f t="shared" si="5"/>
        <v>55000</v>
      </c>
      <c r="Z12" s="13"/>
      <c r="AE12" t="s">
        <v>6</v>
      </c>
      <c r="AF12" s="4">
        <v>420940</v>
      </c>
      <c r="AG12">
        <v>65007</v>
      </c>
      <c r="AH12" s="58">
        <v>45938</v>
      </c>
      <c r="AI12" t="s">
        <v>199</v>
      </c>
      <c r="AK12" s="1">
        <v>50</v>
      </c>
      <c r="AL12" s="1">
        <v>264</v>
      </c>
      <c r="AM12" s="39">
        <f t="shared" si="7"/>
        <v>13200</v>
      </c>
    </row>
    <row r="13" spans="2:39" ht="15.75" thickBot="1" x14ac:dyDescent="0.3">
      <c r="B13" s="2" t="s">
        <v>3</v>
      </c>
      <c r="C13" s="2"/>
      <c r="D13" s="5">
        <f>+SUM(D5:D12)</f>
        <v>49240</v>
      </c>
      <c r="F13" s="2" t="s">
        <v>3</v>
      </c>
      <c r="G13" s="2"/>
      <c r="H13" s="5">
        <f>+SUM(H5:H12)</f>
        <v>98340</v>
      </c>
      <c r="J13" s="2" t="s">
        <v>3</v>
      </c>
      <c r="K13" s="2"/>
      <c r="L13" s="5">
        <f>+SUM(L5:L12)</f>
        <v>44800</v>
      </c>
      <c r="N13" s="2" t="s">
        <v>3</v>
      </c>
      <c r="O13" s="2"/>
      <c r="P13" s="5">
        <f>+SUM(P5:P12)</f>
        <v>73410</v>
      </c>
      <c r="R13" s="2" t="s">
        <v>3</v>
      </c>
      <c r="S13" s="2"/>
      <c r="T13" s="5">
        <f>+SUM(T5:T12)</f>
        <v>17590</v>
      </c>
      <c r="V13" s="12"/>
      <c r="W13" s="2" t="s">
        <v>3</v>
      </c>
      <c r="X13" s="2"/>
      <c r="Y13" s="5">
        <f>+SUM(Y5:Y12)</f>
        <v>283380</v>
      </c>
      <c r="Z13" s="13"/>
      <c r="AE13" t="s">
        <v>62</v>
      </c>
      <c r="AF13" s="4">
        <v>1590</v>
      </c>
      <c r="AK13" s="1">
        <v>100</v>
      </c>
      <c r="AL13" s="1">
        <v>174</v>
      </c>
      <c r="AM13" s="39">
        <f t="shared" si="7"/>
        <v>17400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251</v>
      </c>
      <c r="AM14" s="39">
        <f t="shared" si="7"/>
        <v>125500</v>
      </c>
    </row>
    <row r="15" spans="2:39" ht="15.75" thickBot="1" x14ac:dyDescent="0.3">
      <c r="B15" s="127" t="s">
        <v>4</v>
      </c>
      <c r="C15" s="128"/>
      <c r="D15" s="7">
        <v>49885.96</v>
      </c>
      <c r="E15" s="33"/>
      <c r="F15" s="127" t="s">
        <v>4</v>
      </c>
      <c r="G15" s="128"/>
      <c r="H15" s="7">
        <v>117720</v>
      </c>
      <c r="I15" s="33"/>
      <c r="J15" s="127" t="s">
        <v>4</v>
      </c>
      <c r="K15" s="128"/>
      <c r="L15" s="7">
        <v>73174</v>
      </c>
      <c r="M15" s="33"/>
      <c r="N15" s="127" t="s">
        <v>4</v>
      </c>
      <c r="O15" s="128"/>
      <c r="P15" s="7">
        <v>76500</v>
      </c>
      <c r="Q15" s="33"/>
      <c r="R15" s="127" t="s">
        <v>4</v>
      </c>
      <c r="S15" s="128"/>
      <c r="T15" s="7">
        <v>302919</v>
      </c>
      <c r="U15" s="33"/>
      <c r="V15" s="34"/>
      <c r="W15" s="127" t="s">
        <v>4</v>
      </c>
      <c r="X15" s="128"/>
      <c r="Y15" s="7">
        <f>+D15+H15+L15+P15+T15</f>
        <v>620198.96</v>
      </c>
      <c r="Z15" s="35"/>
      <c r="AA15" s="33"/>
      <c r="AE15" t="s">
        <v>64</v>
      </c>
      <c r="AF15" s="4"/>
      <c r="AK15" s="1">
        <v>1000</v>
      </c>
      <c r="AL15" s="1">
        <v>204</v>
      </c>
      <c r="AM15" s="39">
        <f t="shared" si="7"/>
        <v>204000</v>
      </c>
    </row>
    <row r="16" spans="2:39" x14ac:dyDescent="0.25">
      <c r="B16" t="s">
        <v>5</v>
      </c>
      <c r="D16" s="4">
        <v>49240</v>
      </c>
      <c r="F16" t="s">
        <v>5</v>
      </c>
      <c r="H16" s="4">
        <f>+H13</f>
        <v>98340</v>
      </c>
      <c r="J16" t="s">
        <v>5</v>
      </c>
      <c r="L16" s="4">
        <v>44800</v>
      </c>
      <c r="N16" t="s">
        <v>5</v>
      </c>
      <c r="P16" s="4">
        <f>+P13</f>
        <v>73410</v>
      </c>
      <c r="R16" t="s">
        <v>5</v>
      </c>
      <c r="T16" s="4">
        <v>17590</v>
      </c>
      <c r="V16" s="12"/>
      <c r="W16" s="43" t="s">
        <v>5</v>
      </c>
      <c r="X16" s="43"/>
      <c r="Y16" s="40">
        <f>+D16+H16+L16+P16+T16</f>
        <v>283380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11</v>
      </c>
      <c r="AM16" s="39">
        <f t="shared" si="7"/>
        <v>55000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422530</v>
      </c>
      <c r="AG17" s="22"/>
      <c r="AK17" s="2" t="s">
        <v>3</v>
      </c>
      <c r="AL17" s="2"/>
      <c r="AM17" s="5">
        <f>+SUM(AM9:AM16)</f>
        <v>422537</v>
      </c>
    </row>
    <row r="18" spans="2:39" x14ac:dyDescent="0.25">
      <c r="B18" t="s">
        <v>43</v>
      </c>
      <c r="D18" s="4"/>
      <c r="F18" t="s">
        <v>301</v>
      </c>
      <c r="G18" s="109" t="s">
        <v>476</v>
      </c>
      <c r="H18" s="115">
        <v>8450</v>
      </c>
      <c r="J18" t="s">
        <v>389</v>
      </c>
      <c r="K18" t="s">
        <v>474</v>
      </c>
      <c r="L18" s="4">
        <v>7550</v>
      </c>
      <c r="N18" t="s">
        <v>7</v>
      </c>
      <c r="P18" s="4"/>
      <c r="R18" t="s">
        <v>352</v>
      </c>
      <c r="S18" t="s">
        <v>458</v>
      </c>
      <c r="T18" s="4">
        <v>8528</v>
      </c>
      <c r="V18" s="12"/>
      <c r="W18" s="43" t="s">
        <v>7</v>
      </c>
      <c r="X18" s="43"/>
      <c r="Y18" s="40">
        <f t="shared" si="8"/>
        <v>24528</v>
      </c>
      <c r="Z18" s="13"/>
      <c r="AE18" s="56" t="s">
        <v>66</v>
      </c>
      <c r="AF18" s="57">
        <f>+AF17-AF9</f>
        <v>-63</v>
      </c>
      <c r="AG18" t="s">
        <v>214</v>
      </c>
    </row>
    <row r="19" spans="2:39" x14ac:dyDescent="0.25">
      <c r="B19" t="s">
        <v>8</v>
      </c>
      <c r="D19" s="4"/>
      <c r="F19" t="s">
        <v>478</v>
      </c>
      <c r="G19" s="109" t="s">
        <v>477</v>
      </c>
      <c r="H19" s="115">
        <v>10930</v>
      </c>
      <c r="J19" t="s">
        <v>165</v>
      </c>
      <c r="K19" t="s">
        <v>475</v>
      </c>
      <c r="L19" s="4">
        <v>20945</v>
      </c>
      <c r="N19" t="s">
        <v>8</v>
      </c>
      <c r="P19" s="4"/>
      <c r="R19" t="s">
        <v>43</v>
      </c>
      <c r="T19" s="4"/>
      <c r="V19" s="12"/>
      <c r="W19" s="43" t="s">
        <v>8</v>
      </c>
      <c r="X19" s="43"/>
      <c r="Y19" s="40">
        <f t="shared" si="8"/>
        <v>31875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0</v>
      </c>
      <c r="Z20" s="13"/>
    </row>
    <row r="21" spans="2:39" x14ac:dyDescent="0.25">
      <c r="D21" s="4"/>
      <c r="H21" s="4"/>
      <c r="L21" s="4"/>
      <c r="P21" s="4"/>
      <c r="R21" t="s">
        <v>470</v>
      </c>
      <c r="S21" t="s">
        <v>471</v>
      </c>
      <c r="T21" s="4">
        <v>41171</v>
      </c>
      <c r="V21" s="12"/>
      <c r="W21" s="43"/>
      <c r="X21" s="43"/>
      <c r="Y21" s="40">
        <f t="shared" si="8"/>
        <v>41171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472</v>
      </c>
      <c r="S22" t="s">
        <v>473</v>
      </c>
      <c r="T22" s="4">
        <v>2626</v>
      </c>
      <c r="V22" s="12"/>
      <c r="W22" s="43"/>
      <c r="X22" s="43"/>
      <c r="Y22" s="40">
        <f t="shared" si="8"/>
        <v>2626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459</v>
      </c>
      <c r="S23" t="s">
        <v>460</v>
      </c>
      <c r="T23" s="4">
        <v>17829</v>
      </c>
      <c r="V23" s="12"/>
      <c r="W23" s="44" t="s">
        <v>28</v>
      </c>
      <c r="X23" s="43"/>
      <c r="Y23" s="40">
        <f t="shared" si="8"/>
        <v>17829</v>
      </c>
      <c r="Z23" s="13"/>
      <c r="AB23" t="s">
        <v>484</v>
      </c>
      <c r="AC23" s="58" t="s">
        <v>322</v>
      </c>
      <c r="AD23" s="100" t="s">
        <v>483</v>
      </c>
      <c r="AF23" s="85">
        <v>49771</v>
      </c>
      <c r="AJ23" s="17" t="s">
        <v>153</v>
      </c>
      <c r="AK23" s="17">
        <v>2987</v>
      </c>
      <c r="AL23" s="90" t="s">
        <v>204</v>
      </c>
      <c r="AM23" s="85">
        <v>81200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461</v>
      </c>
      <c r="S24" t="s">
        <v>462</v>
      </c>
      <c r="T24" s="4">
        <v>49540</v>
      </c>
      <c r="V24" s="12"/>
      <c r="W24" s="44" t="s">
        <v>29</v>
      </c>
      <c r="X24" s="43"/>
      <c r="Y24" s="40">
        <f t="shared" si="8"/>
        <v>49540</v>
      </c>
      <c r="Z24" s="13"/>
      <c r="AB24" t="s">
        <v>485</v>
      </c>
      <c r="AC24" s="58" t="s">
        <v>292</v>
      </c>
      <c r="AD24" t="s">
        <v>466</v>
      </c>
      <c r="AF24">
        <v>18645</v>
      </c>
      <c r="AJ24" s="17" t="s">
        <v>153</v>
      </c>
      <c r="AK24" s="17">
        <v>1962</v>
      </c>
      <c r="AL24" s="21" t="s">
        <v>479</v>
      </c>
      <c r="AM24">
        <v>7700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463</v>
      </c>
      <c r="S25" t="s">
        <v>464</v>
      </c>
      <c r="T25" s="4">
        <v>57743</v>
      </c>
      <c r="V25" s="12"/>
      <c r="W25" s="44" t="s">
        <v>31</v>
      </c>
      <c r="X25" s="43"/>
      <c r="Y25" s="40">
        <f t="shared" si="8"/>
        <v>57743</v>
      </c>
      <c r="Z25" s="13"/>
      <c r="AB25" t="s">
        <v>486</v>
      </c>
      <c r="AC25" s="58" t="s">
        <v>292</v>
      </c>
      <c r="AD25" s="17" t="s">
        <v>460</v>
      </c>
      <c r="AE25" s="17"/>
      <c r="AF25" s="17">
        <v>33422</v>
      </c>
      <c r="AJ25" s="17" t="s">
        <v>282</v>
      </c>
      <c r="AK25" s="17">
        <v>3623</v>
      </c>
      <c r="AL25" s="17" t="s">
        <v>480</v>
      </c>
      <c r="AM25">
        <v>5000</v>
      </c>
    </row>
    <row r="26" spans="2:39" x14ac:dyDescent="0.25">
      <c r="D26" s="4"/>
      <c r="H26" s="4"/>
      <c r="L26" s="4"/>
      <c r="P26" s="4"/>
      <c r="R26" t="s">
        <v>465</v>
      </c>
      <c r="S26" t="s">
        <v>466</v>
      </c>
      <c r="T26" s="4">
        <v>44970</v>
      </c>
      <c r="V26" s="12"/>
      <c r="W26" s="43"/>
      <c r="X26" s="43"/>
      <c r="Y26" s="40">
        <f t="shared" si="8"/>
        <v>44970</v>
      </c>
      <c r="Z26" s="13"/>
      <c r="AB26" t="s">
        <v>488</v>
      </c>
      <c r="AC26" s="58" t="s">
        <v>292</v>
      </c>
      <c r="AD26" s="21" t="s">
        <v>487</v>
      </c>
      <c r="AE26" s="17"/>
      <c r="AF26" s="87">
        <v>37375</v>
      </c>
      <c r="AJ26" s="17" t="s">
        <v>282</v>
      </c>
      <c r="AK26" s="17">
        <v>2425</v>
      </c>
      <c r="AL26" s="17" t="s">
        <v>289</v>
      </c>
      <c r="AM26">
        <v>6150</v>
      </c>
    </row>
    <row r="27" spans="2:39" ht="15.75" thickBot="1" x14ac:dyDescent="0.3">
      <c r="D27" s="4"/>
      <c r="H27" s="4"/>
      <c r="L27" s="4"/>
      <c r="P27" s="4"/>
      <c r="R27" t="s">
        <v>467</v>
      </c>
      <c r="S27" t="s">
        <v>468</v>
      </c>
      <c r="T27" s="4">
        <v>61009</v>
      </c>
      <c r="V27" s="12"/>
      <c r="W27" s="43"/>
      <c r="X27" s="43"/>
      <c r="Y27" s="40">
        <f t="shared" si="8"/>
        <v>61009</v>
      </c>
      <c r="Z27" s="13"/>
      <c r="AJ27" s="17" t="s">
        <v>150</v>
      </c>
      <c r="AK27" s="17">
        <v>410053</v>
      </c>
      <c r="AL27" s="90" t="s">
        <v>285</v>
      </c>
      <c r="AM27">
        <v>5750</v>
      </c>
    </row>
    <row r="28" spans="2:39" ht="15.75" thickBot="1" x14ac:dyDescent="0.3">
      <c r="B28" s="129" t="s">
        <v>10</v>
      </c>
      <c r="C28" s="130"/>
      <c r="D28" s="8">
        <f>+SUM(D16:D27)</f>
        <v>49240</v>
      </c>
      <c r="F28" s="129" t="s">
        <v>10</v>
      </c>
      <c r="G28" s="130"/>
      <c r="H28" s="8">
        <f>+SUM(H16:H27)</f>
        <v>117720</v>
      </c>
      <c r="J28" s="129" t="s">
        <v>10</v>
      </c>
      <c r="K28" s="130"/>
      <c r="L28" s="8">
        <f>+SUM(L16:L27)</f>
        <v>73295</v>
      </c>
      <c r="N28" s="129" t="s">
        <v>10</v>
      </c>
      <c r="O28" s="130"/>
      <c r="P28" s="8">
        <f>+SUM(P16:P27)</f>
        <v>73410</v>
      </c>
      <c r="R28" s="129" t="s">
        <v>10</v>
      </c>
      <c r="S28" s="130"/>
      <c r="T28" s="8">
        <f>+SUM(T16:T27)</f>
        <v>301006</v>
      </c>
      <c r="V28" s="12"/>
      <c r="W28" s="129" t="s">
        <v>10</v>
      </c>
      <c r="X28" s="130"/>
      <c r="Y28" s="8">
        <f>+SUM(Y16:Y27)</f>
        <v>614671</v>
      </c>
      <c r="Z28" s="13"/>
      <c r="AJ28" s="17" t="s">
        <v>380</v>
      </c>
      <c r="AK28" s="17">
        <v>4274</v>
      </c>
      <c r="AL28" s="17" t="s">
        <v>481</v>
      </c>
      <c r="AM28">
        <v>13570</v>
      </c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139213</v>
      </c>
      <c r="AJ29" s="17" t="s">
        <v>150</v>
      </c>
      <c r="AK29" s="17">
        <v>3309</v>
      </c>
      <c r="AL29" s="90" t="s">
        <v>482</v>
      </c>
      <c r="AM29">
        <v>15394</v>
      </c>
    </row>
    <row r="30" spans="2:39" ht="16.5" thickTop="1" thickBot="1" x14ac:dyDescent="0.3">
      <c r="B30" s="131" t="s">
        <v>11</v>
      </c>
      <c r="C30" s="131"/>
      <c r="D30" s="6">
        <f>+D28-D15</f>
        <v>-645.95999999999913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121</v>
      </c>
      <c r="N30" s="131" t="s">
        <v>11</v>
      </c>
      <c r="O30" s="131"/>
      <c r="P30" s="6">
        <f>+P28-P15</f>
        <v>-3090</v>
      </c>
      <c r="R30" s="131" t="s">
        <v>11</v>
      </c>
      <c r="S30" s="131"/>
      <c r="T30" s="6">
        <f>+T28-T15</f>
        <v>-1913</v>
      </c>
      <c r="V30" s="12"/>
      <c r="W30" s="134" t="s">
        <v>11</v>
      </c>
      <c r="X30" s="134"/>
      <c r="Y30" s="45">
        <f>+Y28-Y15</f>
        <v>-5527.9599999999627</v>
      </c>
      <c r="Z30" s="13"/>
      <c r="AJ30" s="17" t="s">
        <v>153</v>
      </c>
      <c r="AK30" s="17">
        <v>2986</v>
      </c>
      <c r="AL30" s="17" t="s">
        <v>288</v>
      </c>
      <c r="AM30" s="17">
        <v>14500</v>
      </c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>
        <v>3090</v>
      </c>
      <c r="R34" s="9" t="s">
        <v>15</v>
      </c>
      <c r="S34" s="10"/>
      <c r="T34" s="23"/>
      <c r="W34" s="46" t="s">
        <v>15</v>
      </c>
      <c r="X34" s="47"/>
      <c r="Y34" s="48">
        <f>+D34+H34+L34+P34+T34</f>
        <v>3090</v>
      </c>
      <c r="AJ34" s="89" t="s">
        <v>113</v>
      </c>
      <c r="AK34" s="89"/>
      <c r="AL34" s="89"/>
      <c r="AM34" s="92">
        <f>+SUM(AM23:AM33)</f>
        <v>149264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469</v>
      </c>
      <c r="C36" s="17"/>
      <c r="D36" s="24">
        <v>447</v>
      </c>
      <c r="F36" s="12" t="s">
        <v>23</v>
      </c>
      <c r="G36" s="17"/>
      <c r="H36" s="24"/>
      <c r="J36" s="12" t="s">
        <v>42</v>
      </c>
      <c r="K36" s="17"/>
      <c r="L36" s="24">
        <v>-121</v>
      </c>
      <c r="N36" s="12" t="s">
        <v>42</v>
      </c>
      <c r="O36" s="17"/>
      <c r="P36" s="24"/>
      <c r="R36" s="12" t="s">
        <v>312</v>
      </c>
      <c r="S36" s="17"/>
      <c r="T36" s="24">
        <v>1913</v>
      </c>
      <c r="W36" s="49" t="s">
        <v>23</v>
      </c>
      <c r="X36" s="43"/>
      <c r="Y36" s="50">
        <f t="shared" si="9"/>
        <v>2239</v>
      </c>
    </row>
    <row r="37" spans="2:39" x14ac:dyDescent="0.25">
      <c r="B37" s="12" t="s">
        <v>3</v>
      </c>
      <c r="C37" s="17"/>
      <c r="D37" s="24">
        <f>+SUM(D34:D36)</f>
        <v>447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-121</v>
      </c>
      <c r="N37" s="12" t="s">
        <v>3</v>
      </c>
      <c r="O37" s="17"/>
      <c r="P37" s="24">
        <f>+SUM(P34:P36)</f>
        <v>3090</v>
      </c>
      <c r="R37" s="12" t="s">
        <v>3</v>
      </c>
      <c r="S37" s="17"/>
      <c r="T37" s="24">
        <f>+SUM(T34:T36)</f>
        <v>1913</v>
      </c>
      <c r="W37" s="36" t="s">
        <v>3</v>
      </c>
      <c r="X37" s="37"/>
      <c r="Y37" s="38">
        <f>+SUM(Y34:Y36)</f>
        <v>5329</v>
      </c>
    </row>
    <row r="38" spans="2:39" ht="15.75" thickBot="1" x14ac:dyDescent="0.3">
      <c r="B38" s="25" t="s">
        <v>22</v>
      </c>
      <c r="C38" s="26"/>
      <c r="D38" s="27">
        <f>+D30+D37</f>
        <v>-198.95999999999913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-198.95999999996275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topLeftCell="D5" zoomScale="90" zoomScaleNormal="90" workbookViewId="0">
      <selection activeCell="AF12" sqref="AF12:AI13"/>
    </sheetView>
  </sheetViews>
  <sheetFormatPr defaultRowHeight="15" x14ac:dyDescent="0.25"/>
  <cols>
    <col min="2" max="2" width="13.7109375" customWidth="1"/>
    <col min="3" max="3" width="13.5703125" customWidth="1"/>
    <col min="14" max="14" width="13.7109375" customWidth="1"/>
    <col min="15" max="15" width="14.85546875" customWidth="1"/>
    <col min="16" max="16" width="11.42578125" bestFit="1" customWidth="1"/>
    <col min="18" max="18" width="12" customWidth="1"/>
    <col min="19" max="19" width="14" customWidth="1"/>
    <col min="30" max="30" width="21.140625" bestFit="1" customWidth="1"/>
    <col min="31" max="31" width="13.5703125" bestFit="1" customWidth="1"/>
    <col min="32" max="32" width="12.85546875" customWidth="1"/>
    <col min="33" max="33" width="15.5703125" bestFit="1" customWidth="1"/>
    <col min="34" max="34" width="10" bestFit="1" customWidth="1"/>
    <col min="38" max="38" width="16.7109375" bestFit="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>
        <v>5</v>
      </c>
      <c r="H5" s="39">
        <f>+G5*F5</f>
        <v>5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>
        <v>5</v>
      </c>
      <c r="T5" s="39">
        <f>+S5*R5</f>
        <v>5</v>
      </c>
      <c r="U5" s="28"/>
      <c r="V5" s="29"/>
      <c r="W5" s="41">
        <v>1</v>
      </c>
      <c r="X5" s="42">
        <f>+C5+G5+K5+O5+S5</f>
        <v>10</v>
      </c>
      <c r="Y5" s="40">
        <f>+D5+H5+L5+P5+T5</f>
        <v>10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>
        <v>119</v>
      </c>
      <c r="D6" s="39">
        <f>+C6*B6</f>
        <v>1190</v>
      </c>
      <c r="F6" s="1">
        <v>10</v>
      </c>
      <c r="G6" s="1">
        <v>26</v>
      </c>
      <c r="H6" s="39">
        <f>+G6*F6</f>
        <v>260</v>
      </c>
      <c r="J6" s="1">
        <v>10</v>
      </c>
      <c r="K6" s="1">
        <v>57</v>
      </c>
      <c r="L6" s="39">
        <f>+K6*J6</f>
        <v>570</v>
      </c>
      <c r="N6" s="1">
        <v>10</v>
      </c>
      <c r="O6" s="1">
        <v>511</v>
      </c>
      <c r="P6" s="39">
        <f>+O6*N6</f>
        <v>5110</v>
      </c>
      <c r="R6" s="1">
        <v>10</v>
      </c>
      <c r="S6" s="1">
        <v>1</v>
      </c>
      <c r="T6" s="39">
        <f>+S6*R6</f>
        <v>10</v>
      </c>
      <c r="V6" s="12"/>
      <c r="W6" s="42">
        <v>10</v>
      </c>
      <c r="X6" s="42">
        <f>+C6+G6+K6+O6+S6</f>
        <v>714</v>
      </c>
      <c r="Y6" s="40">
        <f>+D6+H6+L6+P6+T6</f>
        <v>7140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4</v>
      </c>
      <c r="D7" s="39">
        <f t="shared" ref="D7:D12" si="0">+C7*B7</f>
        <v>80</v>
      </c>
      <c r="F7" s="1">
        <v>20</v>
      </c>
      <c r="G7" s="1">
        <v>4</v>
      </c>
      <c r="H7" s="39">
        <f t="shared" ref="H7:H12" si="1">+G7*F7</f>
        <v>80</v>
      </c>
      <c r="J7" s="1">
        <v>20</v>
      </c>
      <c r="K7" s="1">
        <v>4</v>
      </c>
      <c r="L7" s="39">
        <f t="shared" ref="L7:L12" si="2">+K7*J7</f>
        <v>80</v>
      </c>
      <c r="N7" s="1">
        <v>20</v>
      </c>
      <c r="O7" s="1">
        <v>87</v>
      </c>
      <c r="P7" s="39">
        <f t="shared" ref="P7:P12" si="3">+O7*N7</f>
        <v>1740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99</v>
      </c>
      <c r="Y7" s="40">
        <f t="shared" ref="Y7:Y12" si="5">+D7+H7+L7+P7+T7</f>
        <v>1980</v>
      </c>
      <c r="Z7" s="13"/>
      <c r="AE7" s="70" t="s">
        <v>5</v>
      </c>
      <c r="AF7" s="71">
        <f>Y13</f>
        <v>257580</v>
      </c>
      <c r="AG7" s="28"/>
      <c r="AH7" s="28"/>
      <c r="AI7" s="28"/>
      <c r="AJ7" s="28"/>
    </row>
    <row r="8" spans="2:39" x14ac:dyDescent="0.25">
      <c r="B8" s="1">
        <v>50</v>
      </c>
      <c r="C8" s="1">
        <v>16</v>
      </c>
      <c r="D8" s="39">
        <f t="shared" si="0"/>
        <v>800</v>
      </c>
      <c r="F8" s="1">
        <v>50</v>
      </c>
      <c r="G8" s="1">
        <v>14</v>
      </c>
      <c r="H8" s="39">
        <f t="shared" si="1"/>
        <v>700</v>
      </c>
      <c r="J8" s="1">
        <v>50</v>
      </c>
      <c r="K8" s="1">
        <v>36</v>
      </c>
      <c r="L8" s="39">
        <f t="shared" si="2"/>
        <v>1800</v>
      </c>
      <c r="N8" s="1">
        <v>50</v>
      </c>
      <c r="O8" s="1">
        <v>23</v>
      </c>
      <c r="P8" s="39">
        <f t="shared" si="3"/>
        <v>1150</v>
      </c>
      <c r="R8" s="1">
        <v>50</v>
      </c>
      <c r="S8" s="1"/>
      <c r="T8" s="39">
        <f t="shared" si="4"/>
        <v>0</v>
      </c>
      <c r="V8" s="12"/>
      <c r="W8" s="42">
        <v>50</v>
      </c>
      <c r="X8" s="42">
        <f t="shared" ref="X8:X12" si="6">+C8+G8+K8+O8+S8</f>
        <v>89</v>
      </c>
      <c r="Y8" s="40">
        <f t="shared" si="5"/>
        <v>4450</v>
      </c>
      <c r="Z8" s="13"/>
      <c r="AE8" s="66" t="s">
        <v>120</v>
      </c>
      <c r="AF8" s="66">
        <f>+AF29</f>
        <v>45852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14</v>
      </c>
      <c r="D9" s="39">
        <f t="shared" si="0"/>
        <v>1400</v>
      </c>
      <c r="F9" s="1">
        <v>100</v>
      </c>
      <c r="G9" s="1">
        <v>32</v>
      </c>
      <c r="H9" s="39">
        <f t="shared" si="1"/>
        <v>3200</v>
      </c>
      <c r="J9" s="1">
        <v>100</v>
      </c>
      <c r="K9" s="1">
        <v>40</v>
      </c>
      <c r="L9" s="39">
        <f t="shared" si="2"/>
        <v>4000</v>
      </c>
      <c r="N9" s="1">
        <v>100</v>
      </c>
      <c r="O9" s="1">
        <v>58</v>
      </c>
      <c r="P9" s="39">
        <f t="shared" si="3"/>
        <v>5800</v>
      </c>
      <c r="R9" s="1">
        <v>100</v>
      </c>
      <c r="S9" s="1">
        <v>1</v>
      </c>
      <c r="T9" s="39">
        <f t="shared" si="4"/>
        <v>100</v>
      </c>
      <c r="V9" s="12"/>
      <c r="W9" s="42">
        <v>100</v>
      </c>
      <c r="X9" s="42">
        <f t="shared" si="6"/>
        <v>145</v>
      </c>
      <c r="Y9" s="40">
        <f t="shared" si="5"/>
        <v>14500</v>
      </c>
      <c r="Z9" s="13"/>
      <c r="AE9" s="72" t="s">
        <v>10</v>
      </c>
      <c r="AF9" s="73">
        <f>SUM(AF7:AF8)</f>
        <v>303432</v>
      </c>
      <c r="AK9" s="31">
        <v>1</v>
      </c>
      <c r="AL9" s="31">
        <v>10</v>
      </c>
      <c r="AM9" s="39">
        <f>+AL9*AK9</f>
        <v>10</v>
      </c>
    </row>
    <row r="10" spans="2:39" x14ac:dyDescent="0.25">
      <c r="B10" s="1">
        <v>500</v>
      </c>
      <c r="C10" s="1">
        <v>21</v>
      </c>
      <c r="D10" s="39">
        <f t="shared" si="0"/>
        <v>10500</v>
      </c>
      <c r="F10" s="1">
        <v>500</v>
      </c>
      <c r="G10" s="1">
        <v>27</v>
      </c>
      <c r="H10" s="39">
        <f t="shared" si="1"/>
        <v>13500</v>
      </c>
      <c r="J10" s="1">
        <v>500</v>
      </c>
      <c r="K10" s="1">
        <v>34</v>
      </c>
      <c r="L10" s="39">
        <f t="shared" si="2"/>
        <v>17000</v>
      </c>
      <c r="N10" s="1">
        <v>500</v>
      </c>
      <c r="O10" s="1">
        <v>34</v>
      </c>
      <c r="P10" s="39">
        <f t="shared" si="3"/>
        <v>17000</v>
      </c>
      <c r="R10" s="1">
        <v>500</v>
      </c>
      <c r="S10" s="1">
        <v>1</v>
      </c>
      <c r="T10" s="39">
        <f t="shared" si="4"/>
        <v>500</v>
      </c>
      <c r="V10" s="12"/>
      <c r="W10" s="42">
        <v>500</v>
      </c>
      <c r="X10" s="42">
        <f t="shared" si="6"/>
        <v>117</v>
      </c>
      <c r="Y10" s="40">
        <f t="shared" si="5"/>
        <v>58500</v>
      </c>
      <c r="Z10" s="13"/>
      <c r="AK10" s="1">
        <v>10</v>
      </c>
      <c r="AL10" s="1">
        <v>716</v>
      </c>
      <c r="AM10" s="39">
        <f>+AL10*AK10</f>
        <v>7160</v>
      </c>
    </row>
    <row r="11" spans="2:39" x14ac:dyDescent="0.25">
      <c r="B11" s="1">
        <v>1000</v>
      </c>
      <c r="C11" s="1">
        <v>24</v>
      </c>
      <c r="D11" s="39">
        <f t="shared" si="0"/>
        <v>24000</v>
      </c>
      <c r="F11" s="1">
        <v>1000</v>
      </c>
      <c r="G11" s="1">
        <v>60</v>
      </c>
      <c r="H11" s="39">
        <f t="shared" si="1"/>
        <v>60000</v>
      </c>
      <c r="J11" s="1">
        <v>1000</v>
      </c>
      <c r="K11" s="1">
        <v>35</v>
      </c>
      <c r="L11" s="39">
        <f t="shared" si="2"/>
        <v>35000</v>
      </c>
      <c r="N11" s="1">
        <v>1000</v>
      </c>
      <c r="O11" s="1">
        <v>26</v>
      </c>
      <c r="P11" s="39">
        <f t="shared" si="3"/>
        <v>26000</v>
      </c>
      <c r="R11" s="1">
        <v>1000</v>
      </c>
      <c r="S11" s="1">
        <v>6</v>
      </c>
      <c r="T11" s="39">
        <f t="shared" si="4"/>
        <v>6000</v>
      </c>
      <c r="V11" s="12"/>
      <c r="W11" s="42">
        <v>1000</v>
      </c>
      <c r="X11" s="42">
        <f>+C11+G11+K11+O11+S11</f>
        <v>151</v>
      </c>
      <c r="Y11" s="40">
        <f t="shared" si="5"/>
        <v>151000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100</v>
      </c>
      <c r="AM11" s="39">
        <f t="shared" ref="AM11:AM16" si="7">+AL11*AK11</f>
        <v>2000</v>
      </c>
    </row>
    <row r="12" spans="2:39" x14ac:dyDescent="0.25">
      <c r="B12" s="1">
        <v>5000</v>
      </c>
      <c r="C12" s="1"/>
      <c r="D12" s="39">
        <f t="shared" si="0"/>
        <v>0</v>
      </c>
      <c r="F12" s="1">
        <v>5000</v>
      </c>
      <c r="G12" s="1">
        <v>1</v>
      </c>
      <c r="H12" s="39">
        <f t="shared" si="1"/>
        <v>5000</v>
      </c>
      <c r="J12" s="1">
        <v>5000</v>
      </c>
      <c r="K12" s="1"/>
      <c r="L12" s="39">
        <f t="shared" si="2"/>
        <v>0</v>
      </c>
      <c r="N12" s="1">
        <v>5000</v>
      </c>
      <c r="O12" s="1">
        <v>1</v>
      </c>
      <c r="P12" s="39">
        <f t="shared" si="3"/>
        <v>5000</v>
      </c>
      <c r="R12" s="1">
        <v>5000</v>
      </c>
      <c r="S12" s="1">
        <v>2</v>
      </c>
      <c r="T12" s="39">
        <f t="shared" si="4"/>
        <v>10000</v>
      </c>
      <c r="V12" s="12"/>
      <c r="W12" s="42">
        <v>5000</v>
      </c>
      <c r="X12" s="42">
        <f t="shared" si="6"/>
        <v>4</v>
      </c>
      <c r="Y12" s="40">
        <f t="shared" si="5"/>
        <v>20000</v>
      </c>
      <c r="Z12" s="13"/>
      <c r="AE12" t="s">
        <v>6</v>
      </c>
      <c r="AF12" s="4">
        <v>306330</v>
      </c>
      <c r="AG12">
        <v>19360</v>
      </c>
      <c r="AH12" s="58">
        <v>45696</v>
      </c>
      <c r="AI12" t="s">
        <v>199</v>
      </c>
      <c r="AK12" s="1">
        <v>50</v>
      </c>
      <c r="AL12" s="1">
        <v>89</v>
      </c>
      <c r="AM12" s="39">
        <f t="shared" si="7"/>
        <v>4450</v>
      </c>
    </row>
    <row r="13" spans="2:39" ht="15.75" thickBot="1" x14ac:dyDescent="0.3">
      <c r="B13" s="2" t="s">
        <v>3</v>
      </c>
      <c r="C13" s="2"/>
      <c r="D13" s="5">
        <f>+SUM(D5:D12)</f>
        <v>37970</v>
      </c>
      <c r="F13" s="2" t="s">
        <v>3</v>
      </c>
      <c r="G13" s="2"/>
      <c r="H13" s="5">
        <f>+SUM(H5:H12)</f>
        <v>82745</v>
      </c>
      <c r="J13" s="2" t="s">
        <v>3</v>
      </c>
      <c r="K13" s="2"/>
      <c r="L13" s="5">
        <f>+SUM(L5:L12)</f>
        <v>58450</v>
      </c>
      <c r="N13" s="2" t="s">
        <v>3</v>
      </c>
      <c r="O13" s="2"/>
      <c r="P13" s="5">
        <f>+SUM(P5:P12)</f>
        <v>61800</v>
      </c>
      <c r="R13" s="2" t="s">
        <v>3</v>
      </c>
      <c r="S13" s="2"/>
      <c r="T13" s="5">
        <f>+SUM(T5:T12)</f>
        <v>16615</v>
      </c>
      <c r="V13" s="12"/>
      <c r="W13" s="2" t="s">
        <v>3</v>
      </c>
      <c r="X13" s="2"/>
      <c r="Y13" s="5">
        <f>+SUM(Y5:Y12)</f>
        <v>257580</v>
      </c>
      <c r="Z13" s="13"/>
      <c r="AE13" t="s">
        <v>62</v>
      </c>
      <c r="AF13" s="4">
        <v>102</v>
      </c>
      <c r="AK13" s="1">
        <v>100</v>
      </c>
      <c r="AL13" s="1">
        <v>147</v>
      </c>
      <c r="AM13" s="39">
        <f t="shared" si="7"/>
        <v>14700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118</v>
      </c>
      <c r="AM14" s="39">
        <f t="shared" si="7"/>
        <v>59000</v>
      </c>
    </row>
    <row r="15" spans="2:39" ht="15.75" thickBot="1" x14ac:dyDescent="0.3">
      <c r="B15" s="127" t="s">
        <v>4</v>
      </c>
      <c r="C15" s="128"/>
      <c r="D15" s="7">
        <v>46755</v>
      </c>
      <c r="E15" s="33"/>
      <c r="F15" s="127" t="s">
        <v>4</v>
      </c>
      <c r="G15" s="128"/>
      <c r="H15" s="7">
        <v>88155</v>
      </c>
      <c r="I15" s="33"/>
      <c r="J15" s="127" t="s">
        <v>4</v>
      </c>
      <c r="K15" s="128"/>
      <c r="L15" s="7">
        <v>58355</v>
      </c>
      <c r="M15" s="33"/>
      <c r="N15" s="127" t="s">
        <v>4</v>
      </c>
      <c r="O15" s="128"/>
      <c r="P15" s="7">
        <v>88332</v>
      </c>
      <c r="Q15" s="33"/>
      <c r="R15" s="127" t="s">
        <v>4</v>
      </c>
      <c r="S15" s="128"/>
      <c r="T15" s="7">
        <v>221459</v>
      </c>
      <c r="U15" s="33"/>
      <c r="V15" s="34"/>
      <c r="W15" s="127" t="s">
        <v>4</v>
      </c>
      <c r="X15" s="128"/>
      <c r="Y15" s="7">
        <f>+D15+H15+L15+P15+T15</f>
        <v>503056</v>
      </c>
      <c r="Z15" s="35"/>
      <c r="AA15" s="33"/>
      <c r="AE15" t="s">
        <v>64</v>
      </c>
      <c r="AF15" s="4"/>
      <c r="AK15" s="1">
        <v>1000</v>
      </c>
      <c r="AL15" s="1">
        <v>156</v>
      </c>
      <c r="AM15" s="39">
        <f t="shared" si="7"/>
        <v>156000</v>
      </c>
    </row>
    <row r="16" spans="2:39" x14ac:dyDescent="0.25">
      <c r="B16" t="s">
        <v>5</v>
      </c>
      <c r="D16" s="4">
        <v>37970</v>
      </c>
      <c r="F16" t="s">
        <v>5</v>
      </c>
      <c r="H16" s="4">
        <f>+H13</f>
        <v>82745</v>
      </c>
      <c r="J16" t="s">
        <v>5</v>
      </c>
      <c r="L16" s="4">
        <v>58450</v>
      </c>
      <c r="N16" t="s">
        <v>5</v>
      </c>
      <c r="P16" s="4">
        <f>+P13</f>
        <v>61800</v>
      </c>
      <c r="R16" t="s">
        <v>5</v>
      </c>
      <c r="T16" s="4">
        <v>16615</v>
      </c>
      <c r="V16" s="12"/>
      <c r="W16" s="43" t="s">
        <v>5</v>
      </c>
      <c r="X16" s="43"/>
      <c r="Y16" s="40">
        <f>+D16+H16+L16+P16+T16</f>
        <v>257580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12</v>
      </c>
      <c r="AM16" s="39">
        <f t="shared" si="7"/>
        <v>60000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306432</v>
      </c>
      <c r="AG17" s="22"/>
      <c r="AK17" s="2" t="s">
        <v>3</v>
      </c>
      <c r="AL17" s="2"/>
      <c r="AM17" s="5">
        <f>+SUM(AM9:AM16)</f>
        <v>303320</v>
      </c>
    </row>
    <row r="18" spans="2:39" x14ac:dyDescent="0.25">
      <c r="B18" t="s">
        <v>490</v>
      </c>
      <c r="C18" t="s">
        <v>491</v>
      </c>
      <c r="D18" s="4">
        <v>8778</v>
      </c>
      <c r="F18" t="s">
        <v>7</v>
      </c>
      <c r="H18" s="4"/>
      <c r="J18" t="s">
        <v>43</v>
      </c>
      <c r="L18" s="4"/>
      <c r="N18" t="s">
        <v>345</v>
      </c>
      <c r="O18" t="s">
        <v>509</v>
      </c>
      <c r="P18" s="4">
        <v>11660</v>
      </c>
      <c r="R18" t="s">
        <v>423</v>
      </c>
      <c r="S18" t="s">
        <v>494</v>
      </c>
      <c r="T18" s="4">
        <v>48156</v>
      </c>
      <c r="V18" s="12"/>
      <c r="W18" s="43" t="s">
        <v>7</v>
      </c>
      <c r="X18" s="43"/>
      <c r="Y18" s="40">
        <f t="shared" si="8"/>
        <v>68594</v>
      </c>
      <c r="Z18" s="13"/>
      <c r="AE18" s="56" t="s">
        <v>66</v>
      </c>
      <c r="AF18" s="57">
        <f>+AF17-AF9</f>
        <v>3000</v>
      </c>
      <c r="AG18" t="s">
        <v>214</v>
      </c>
    </row>
    <row r="19" spans="2:39" x14ac:dyDescent="0.25">
      <c r="B19" t="s">
        <v>8</v>
      </c>
      <c r="D19" s="4"/>
      <c r="F19" t="s">
        <v>8</v>
      </c>
      <c r="H19" s="4"/>
      <c r="J19" t="s">
        <v>43</v>
      </c>
      <c r="L19" s="4"/>
      <c r="N19" t="s">
        <v>345</v>
      </c>
      <c r="O19" t="s">
        <v>510</v>
      </c>
      <c r="P19" s="4">
        <v>8634</v>
      </c>
      <c r="R19" t="s">
        <v>43</v>
      </c>
      <c r="T19" s="4"/>
      <c r="V19" s="12"/>
      <c r="W19" s="43" t="s">
        <v>8</v>
      </c>
      <c r="X19" s="43"/>
      <c r="Y19" s="40">
        <f t="shared" si="8"/>
        <v>8634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0</v>
      </c>
      <c r="Z20" s="13"/>
    </row>
    <row r="21" spans="2:39" x14ac:dyDescent="0.25">
      <c r="D21" s="4"/>
      <c r="H21" s="4"/>
      <c r="L21" s="4"/>
      <c r="P21" s="4"/>
      <c r="R21" t="s">
        <v>43</v>
      </c>
      <c r="T21" s="4"/>
      <c r="V21" s="12"/>
      <c r="W21" s="43"/>
      <c r="X21" s="43"/>
      <c r="Y21" s="40">
        <f t="shared" si="8"/>
        <v>0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499</v>
      </c>
      <c r="S22" t="s">
        <v>342</v>
      </c>
      <c r="T22" s="4">
        <v>32113</v>
      </c>
      <c r="V22" s="12"/>
      <c r="W22" s="43"/>
      <c r="X22" s="43"/>
      <c r="Y22" s="40">
        <f t="shared" si="8"/>
        <v>32113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495</v>
      </c>
      <c r="S23" t="s">
        <v>446</v>
      </c>
      <c r="T23" s="4">
        <v>41256</v>
      </c>
      <c r="V23" s="12"/>
      <c r="W23" s="44" t="s">
        <v>28</v>
      </c>
      <c r="X23" s="43"/>
      <c r="Y23" s="40">
        <f t="shared" si="8"/>
        <v>41256</v>
      </c>
      <c r="Z23" s="13"/>
      <c r="AB23" s="21" t="s">
        <v>506</v>
      </c>
      <c r="AC23" s="75">
        <v>45856</v>
      </c>
      <c r="AD23" s="21" t="s">
        <v>505</v>
      </c>
      <c r="AE23" s="17"/>
      <c r="AF23" s="88">
        <v>3613</v>
      </c>
      <c r="AJ23" s="17" t="s">
        <v>492</v>
      </c>
      <c r="AK23" s="17" t="s">
        <v>493</v>
      </c>
      <c r="AL23" s="17" t="s">
        <v>102</v>
      </c>
      <c r="AM23" s="88">
        <v>100000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496</v>
      </c>
      <c r="S24" t="s">
        <v>497</v>
      </c>
      <c r="T24" s="4">
        <v>3740</v>
      </c>
      <c r="V24" s="12"/>
      <c r="W24" s="44" t="s">
        <v>29</v>
      </c>
      <c r="X24" s="43"/>
      <c r="Y24" s="40">
        <f t="shared" si="8"/>
        <v>3740</v>
      </c>
      <c r="Z24" s="13"/>
      <c r="AB24" s="21" t="s">
        <v>507</v>
      </c>
      <c r="AC24" s="75">
        <v>45869</v>
      </c>
      <c r="AD24" s="21" t="s">
        <v>471</v>
      </c>
      <c r="AE24" s="17"/>
      <c r="AF24" s="88">
        <v>39113</v>
      </c>
      <c r="AJ24" s="17" t="s">
        <v>150</v>
      </c>
      <c r="AK24" s="17"/>
      <c r="AL24" s="17" t="s">
        <v>504</v>
      </c>
      <c r="AM24" s="87">
        <v>6090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498</v>
      </c>
      <c r="S25" t="s">
        <v>336</v>
      </c>
      <c r="T25" s="4">
        <v>78090</v>
      </c>
      <c r="V25" s="12"/>
      <c r="W25" s="44" t="s">
        <v>31</v>
      </c>
      <c r="X25" s="43"/>
      <c r="Y25" s="40">
        <f t="shared" si="8"/>
        <v>78090</v>
      </c>
      <c r="Z25" s="13"/>
      <c r="AB25" s="21" t="s">
        <v>508</v>
      </c>
      <c r="AC25" s="75">
        <v>45869</v>
      </c>
      <c r="AD25" s="21" t="s">
        <v>473</v>
      </c>
      <c r="AE25" s="17"/>
      <c r="AF25" s="88">
        <v>2626</v>
      </c>
      <c r="AJ25" s="17" t="s">
        <v>150</v>
      </c>
      <c r="AK25" s="17"/>
      <c r="AL25" s="17" t="s">
        <v>500</v>
      </c>
      <c r="AM25" s="87">
        <v>14000</v>
      </c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B26" s="21" t="s">
        <v>150</v>
      </c>
      <c r="AC26" s="124">
        <v>45861</v>
      </c>
      <c r="AD26" s="21" t="s">
        <v>260</v>
      </c>
      <c r="AE26" s="17"/>
      <c r="AF26" s="87">
        <v>500</v>
      </c>
      <c r="AJ26" s="17" t="s">
        <v>503</v>
      </c>
      <c r="AK26" s="17"/>
      <c r="AL26" s="17" t="s">
        <v>501</v>
      </c>
      <c r="AM26" s="17">
        <v>6000</v>
      </c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  <c r="AB27" s="60"/>
      <c r="AC27" s="60"/>
      <c r="AD27" s="60"/>
      <c r="AF27" s="87"/>
      <c r="AJ27" s="17" t="s">
        <v>257</v>
      </c>
      <c r="AK27" s="17"/>
      <c r="AL27" s="17" t="s">
        <v>502</v>
      </c>
      <c r="AM27" s="88">
        <v>5938</v>
      </c>
    </row>
    <row r="28" spans="2:39" ht="15.75" thickBot="1" x14ac:dyDescent="0.3">
      <c r="B28" s="129" t="s">
        <v>10</v>
      </c>
      <c r="C28" s="130"/>
      <c r="D28" s="8">
        <f>+SUM(D16:D27)</f>
        <v>46748</v>
      </c>
      <c r="F28" s="129" t="s">
        <v>10</v>
      </c>
      <c r="G28" s="130"/>
      <c r="H28" s="8">
        <f>+SUM(H16:H27)</f>
        <v>82745</v>
      </c>
      <c r="J28" s="129" t="s">
        <v>10</v>
      </c>
      <c r="K28" s="130"/>
      <c r="L28" s="8">
        <f>+SUM(L16:L27)</f>
        <v>58450</v>
      </c>
      <c r="N28" s="129" t="s">
        <v>10</v>
      </c>
      <c r="O28" s="130"/>
      <c r="P28" s="8">
        <f>+SUM(P16:P27)</f>
        <v>82094</v>
      </c>
      <c r="R28" s="129" t="s">
        <v>10</v>
      </c>
      <c r="S28" s="130"/>
      <c r="T28" s="8">
        <f>+SUM(T16:T27)</f>
        <v>219970</v>
      </c>
      <c r="V28" s="12"/>
      <c r="W28" s="129" t="s">
        <v>10</v>
      </c>
      <c r="X28" s="130"/>
      <c r="Y28" s="8">
        <f>+SUM(Y16:Y27)</f>
        <v>490007</v>
      </c>
      <c r="Z28" s="13"/>
      <c r="AJ28" s="17" t="s">
        <v>153</v>
      </c>
      <c r="AK28" s="17"/>
      <c r="AL28" s="17" t="s">
        <v>53</v>
      </c>
      <c r="AM28" s="88">
        <v>139629</v>
      </c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45852</v>
      </c>
    </row>
    <row r="30" spans="2:39" ht="16.5" thickTop="1" thickBot="1" x14ac:dyDescent="0.3">
      <c r="B30" s="131" t="s">
        <v>11</v>
      </c>
      <c r="C30" s="131"/>
      <c r="D30" s="6">
        <f>+D28-D15</f>
        <v>-7</v>
      </c>
      <c r="F30" s="131" t="s">
        <v>11</v>
      </c>
      <c r="G30" s="131"/>
      <c r="H30" s="6">
        <f>+H28-H15</f>
        <v>-5410</v>
      </c>
      <c r="J30" s="131" t="s">
        <v>11</v>
      </c>
      <c r="K30" s="131"/>
      <c r="L30" s="6">
        <f>+L28-L15</f>
        <v>95</v>
      </c>
      <c r="N30" s="131" t="s">
        <v>11</v>
      </c>
      <c r="O30" s="131"/>
      <c r="P30" s="6">
        <f>+P28-P15</f>
        <v>-6238</v>
      </c>
      <c r="R30" s="131" t="s">
        <v>11</v>
      </c>
      <c r="S30" s="131"/>
      <c r="T30" s="6">
        <f>+T28-T15</f>
        <v>-1489</v>
      </c>
      <c r="V30" s="12"/>
      <c r="W30" s="134" t="s">
        <v>11</v>
      </c>
      <c r="X30" s="134"/>
      <c r="Y30" s="45">
        <f>+Y28-Y15</f>
        <v>-13049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>
        <v>5410</v>
      </c>
      <c r="J34" s="9" t="s">
        <v>15</v>
      </c>
      <c r="K34" s="10"/>
      <c r="L34" s="23"/>
      <c r="N34" s="9" t="s">
        <v>15</v>
      </c>
      <c r="O34" s="10"/>
      <c r="P34" s="23">
        <v>6238</v>
      </c>
      <c r="R34" s="9" t="s">
        <v>15</v>
      </c>
      <c r="S34" s="10"/>
      <c r="T34" s="23"/>
      <c r="W34" s="46" t="s">
        <v>15</v>
      </c>
      <c r="X34" s="47"/>
      <c r="Y34" s="48">
        <f>+D34+H34+L34+P34+T34</f>
        <v>11648</v>
      </c>
      <c r="AJ34" s="89" t="s">
        <v>113</v>
      </c>
      <c r="AK34" s="89"/>
      <c r="AL34" s="89"/>
      <c r="AM34" s="92">
        <f>+SUM(AM23:AM33)</f>
        <v>271657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23</v>
      </c>
      <c r="K36" s="17"/>
      <c r="L36" s="24"/>
      <c r="N36" s="12" t="s">
        <v>42</v>
      </c>
      <c r="O36" s="17"/>
      <c r="P36" s="24"/>
      <c r="R36" s="12" t="s">
        <v>312</v>
      </c>
      <c r="S36" s="17"/>
      <c r="T36" s="24">
        <v>1489</v>
      </c>
      <c r="W36" s="49" t="s">
        <v>23</v>
      </c>
      <c r="X36" s="43"/>
      <c r="Y36" s="50">
        <f t="shared" si="9"/>
        <v>1489</v>
      </c>
    </row>
    <row r="37" spans="2:39" x14ac:dyDescent="0.25">
      <c r="B37" s="12" t="s">
        <v>3</v>
      </c>
      <c r="C37" s="17"/>
      <c r="D37" s="24">
        <f>+SUM(D34:D36)</f>
        <v>0</v>
      </c>
      <c r="F37" s="12" t="s">
        <v>3</v>
      </c>
      <c r="G37" s="17"/>
      <c r="H37" s="24">
        <f>+SUM(H34:H36)</f>
        <v>5410</v>
      </c>
      <c r="J37" s="12" t="s">
        <v>3</v>
      </c>
      <c r="K37" s="17"/>
      <c r="L37" s="24">
        <f>+SUM(L34:L36)</f>
        <v>0</v>
      </c>
      <c r="N37" s="12" t="s">
        <v>3</v>
      </c>
      <c r="O37" s="17"/>
      <c r="P37" s="24">
        <f>+SUM(P34:P36)</f>
        <v>6238</v>
      </c>
      <c r="R37" s="12" t="s">
        <v>3</v>
      </c>
      <c r="S37" s="17"/>
      <c r="T37" s="24">
        <f>+SUM(T34:T36)</f>
        <v>1489</v>
      </c>
      <c r="W37" s="36" t="s">
        <v>3</v>
      </c>
      <c r="X37" s="37"/>
      <c r="Y37" s="38">
        <f>+SUM(Y34:Y36)</f>
        <v>13137</v>
      </c>
    </row>
    <row r="38" spans="2:39" ht="15.75" thickBot="1" x14ac:dyDescent="0.3">
      <c r="B38" s="25" t="s">
        <v>22</v>
      </c>
      <c r="C38" s="26"/>
      <c r="D38" s="27">
        <f>+D30+D37</f>
        <v>-7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95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88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M38"/>
  <sheetViews>
    <sheetView topLeftCell="L5" zoomScale="90" zoomScaleNormal="90" workbookViewId="0">
      <selection activeCell="AF16" sqref="AF16"/>
    </sheetView>
  </sheetViews>
  <sheetFormatPr defaultRowHeight="15" x14ac:dyDescent="0.25"/>
  <cols>
    <col min="2" max="2" width="13.5703125" customWidth="1"/>
    <col min="3" max="3" width="13.42578125" customWidth="1"/>
    <col min="5" max="5" width="1.28515625" customWidth="1"/>
    <col min="6" max="6" width="13.5703125" customWidth="1"/>
    <col min="7" max="7" width="16" customWidth="1"/>
    <col min="9" max="9" width="1.5703125" customWidth="1"/>
    <col min="13" max="13" width="1.5703125" customWidth="1"/>
    <col min="17" max="17" width="1.42578125" customWidth="1"/>
    <col min="18" max="18" width="13.5703125" bestFit="1" customWidth="1"/>
    <col min="21" max="21" width="1" customWidth="1"/>
    <col min="22" max="22" width="1.7109375" customWidth="1"/>
    <col min="26" max="26" width="1.7109375" customWidth="1"/>
    <col min="28" max="28" width="9.85546875" customWidth="1"/>
    <col min="30" max="30" width="20.85546875" bestFit="1" customWidth="1"/>
    <col min="31" max="31" width="13.5703125" bestFit="1" customWidth="1"/>
    <col min="32" max="32" width="11.5703125" customWidth="1"/>
  </cols>
  <sheetData>
    <row r="3" spans="2:39" x14ac:dyDescent="0.25">
      <c r="B3" s="132" t="s">
        <v>44</v>
      </c>
      <c r="C3" s="132"/>
      <c r="D3" s="132"/>
      <c r="F3" s="132" t="s">
        <v>337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/>
      <c r="H5" s="39">
        <f>+G5*F5</f>
        <v>0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0</v>
      </c>
      <c r="Y5" s="40">
        <f>+D5+H5+L5+P5+T5</f>
        <v>0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>
        <v>70</v>
      </c>
      <c r="D6" s="39">
        <f>+C6*B6</f>
        <v>700</v>
      </c>
      <c r="F6" s="1">
        <v>10</v>
      </c>
      <c r="G6" s="1">
        <v>62</v>
      </c>
      <c r="H6" s="39">
        <f>+G6*F6</f>
        <v>620</v>
      </c>
      <c r="J6" s="1">
        <v>10</v>
      </c>
      <c r="K6" s="1">
        <v>48</v>
      </c>
      <c r="L6" s="39">
        <f>+K6*J6</f>
        <v>480</v>
      </c>
      <c r="N6" s="1">
        <v>10</v>
      </c>
      <c r="O6" s="1">
        <v>241</v>
      </c>
      <c r="P6" s="39">
        <f>+O6*N6</f>
        <v>2410</v>
      </c>
      <c r="R6" s="1">
        <v>10</v>
      </c>
      <c r="S6" s="1">
        <v>3</v>
      </c>
      <c r="T6" s="39">
        <f>+S6*R6</f>
        <v>30</v>
      </c>
      <c r="V6" s="12"/>
      <c r="W6" s="42">
        <v>10</v>
      </c>
      <c r="X6" s="42">
        <f>+C6+G6+K6+O6+S6</f>
        <v>424</v>
      </c>
      <c r="Y6" s="40">
        <f>+D6+H6+L6+P6+T6</f>
        <v>4240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15</v>
      </c>
      <c r="D7" s="39">
        <f t="shared" ref="D7:D12" si="0">+C7*B7</f>
        <v>300</v>
      </c>
      <c r="F7" s="1">
        <v>20</v>
      </c>
      <c r="G7" s="1">
        <v>4</v>
      </c>
      <c r="H7" s="39">
        <f t="shared" ref="H7:H12" si="1">+G7*F7</f>
        <v>80</v>
      </c>
      <c r="J7" s="1">
        <v>20</v>
      </c>
      <c r="K7" s="1">
        <v>5</v>
      </c>
      <c r="L7" s="39">
        <f t="shared" ref="L7:L12" si="2">+K7*J7</f>
        <v>100</v>
      </c>
      <c r="N7" s="1">
        <v>20</v>
      </c>
      <c r="O7" s="1"/>
      <c r="P7" s="39">
        <f t="shared" ref="P7:P12" si="3">+O7*N7</f>
        <v>0</v>
      </c>
      <c r="R7" s="1">
        <v>20</v>
      </c>
      <c r="S7" s="1">
        <v>2</v>
      </c>
      <c r="T7" s="39">
        <f t="shared" ref="T7:T12" si="4">+S7*R7</f>
        <v>40</v>
      </c>
      <c r="V7" s="12"/>
      <c r="W7" s="42">
        <v>20</v>
      </c>
      <c r="X7" s="42">
        <f>+C7+G7+K7+O7+S7</f>
        <v>26</v>
      </c>
      <c r="Y7" s="40">
        <f t="shared" ref="Y7:Y12" si="5">+D7+H7+L7+P7+T7</f>
        <v>520</v>
      </c>
      <c r="Z7" s="13"/>
      <c r="AE7" s="70" t="s">
        <v>5</v>
      </c>
      <c r="AF7" s="71">
        <f>+Y13</f>
        <v>217810</v>
      </c>
      <c r="AG7" s="28"/>
      <c r="AH7" s="28"/>
      <c r="AI7" s="28"/>
      <c r="AJ7" s="28"/>
    </row>
    <row r="8" spans="2:39" x14ac:dyDescent="0.25">
      <c r="B8" s="1">
        <v>50</v>
      </c>
      <c r="C8" s="1">
        <v>19</v>
      </c>
      <c r="D8" s="39">
        <f t="shared" si="0"/>
        <v>950</v>
      </c>
      <c r="F8" s="1">
        <v>50</v>
      </c>
      <c r="G8" s="1">
        <v>26</v>
      </c>
      <c r="H8" s="39">
        <f t="shared" si="1"/>
        <v>1300</v>
      </c>
      <c r="J8" s="1">
        <v>50</v>
      </c>
      <c r="K8" s="1">
        <v>48</v>
      </c>
      <c r="L8" s="39">
        <f t="shared" si="2"/>
        <v>2400</v>
      </c>
      <c r="N8" s="1">
        <v>50</v>
      </c>
      <c r="O8" s="1">
        <v>41</v>
      </c>
      <c r="P8" s="39">
        <f t="shared" si="3"/>
        <v>2050</v>
      </c>
      <c r="R8" s="1">
        <v>50</v>
      </c>
      <c r="S8" s="1">
        <v>11</v>
      </c>
      <c r="T8" s="39">
        <f t="shared" si="4"/>
        <v>550</v>
      </c>
      <c r="V8" s="12"/>
      <c r="W8" s="42">
        <v>50</v>
      </c>
      <c r="X8" s="42">
        <f t="shared" ref="X8:X12" si="6">+C8+G8+K8+O8+S8</f>
        <v>145</v>
      </c>
      <c r="Y8" s="40">
        <f t="shared" si="5"/>
        <v>7250</v>
      </c>
      <c r="Z8" s="13"/>
      <c r="AE8" s="66" t="s">
        <v>120</v>
      </c>
      <c r="AF8" s="66">
        <f>+AF29</f>
        <v>397722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4</v>
      </c>
      <c r="D9" s="39">
        <f t="shared" si="0"/>
        <v>400</v>
      </c>
      <c r="F9" s="1">
        <v>100</v>
      </c>
      <c r="G9" s="1">
        <v>50</v>
      </c>
      <c r="H9" s="39">
        <f t="shared" si="1"/>
        <v>5000</v>
      </c>
      <c r="J9" s="1">
        <v>100</v>
      </c>
      <c r="K9" s="1">
        <v>48</v>
      </c>
      <c r="L9" s="39">
        <f t="shared" si="2"/>
        <v>4800</v>
      </c>
      <c r="N9" s="1">
        <v>100</v>
      </c>
      <c r="O9" s="1">
        <v>30</v>
      </c>
      <c r="P9" s="39">
        <f t="shared" si="3"/>
        <v>3000</v>
      </c>
      <c r="R9" s="1">
        <v>100</v>
      </c>
      <c r="S9" s="1">
        <v>36</v>
      </c>
      <c r="T9" s="39">
        <f t="shared" si="4"/>
        <v>3600</v>
      </c>
      <c r="V9" s="12"/>
      <c r="W9" s="42">
        <v>100</v>
      </c>
      <c r="X9" s="42">
        <f t="shared" si="6"/>
        <v>168</v>
      </c>
      <c r="Y9" s="40">
        <f t="shared" si="5"/>
        <v>16800</v>
      </c>
      <c r="Z9" s="13"/>
      <c r="AE9" s="72" t="s">
        <v>10</v>
      </c>
      <c r="AF9" s="73">
        <f>SUM(AF7:AF8)</f>
        <v>615532</v>
      </c>
      <c r="AK9" s="31">
        <v>1</v>
      </c>
      <c r="AL9" s="31">
        <v>7</v>
      </c>
      <c r="AM9" s="39">
        <f>+AL9*AK9</f>
        <v>7</v>
      </c>
    </row>
    <row r="10" spans="2:39" x14ac:dyDescent="0.25">
      <c r="B10" s="1">
        <v>500</v>
      </c>
      <c r="C10" s="1">
        <v>6</v>
      </c>
      <c r="D10" s="39">
        <f t="shared" si="0"/>
        <v>3000</v>
      </c>
      <c r="F10" s="1">
        <v>500</v>
      </c>
      <c r="G10" s="1">
        <v>24</v>
      </c>
      <c r="H10" s="39">
        <f t="shared" si="1"/>
        <v>12000</v>
      </c>
      <c r="J10" s="1">
        <v>500</v>
      </c>
      <c r="K10" s="1">
        <v>20</v>
      </c>
      <c r="L10" s="39">
        <f t="shared" si="2"/>
        <v>10000</v>
      </c>
      <c r="N10" s="1">
        <v>500</v>
      </c>
      <c r="O10" s="1">
        <v>16</v>
      </c>
      <c r="P10" s="39">
        <f t="shared" si="3"/>
        <v>8000</v>
      </c>
      <c r="R10" s="1">
        <v>500</v>
      </c>
      <c r="S10" s="1">
        <v>4</v>
      </c>
      <c r="T10" s="39">
        <f t="shared" si="4"/>
        <v>2000</v>
      </c>
      <c r="V10" s="12"/>
      <c r="W10" s="42">
        <v>500</v>
      </c>
      <c r="X10" s="42">
        <f t="shared" si="6"/>
        <v>70</v>
      </c>
      <c r="Y10" s="40">
        <f t="shared" si="5"/>
        <v>35000</v>
      </c>
      <c r="Z10" s="13"/>
      <c r="AK10" s="1">
        <v>10</v>
      </c>
      <c r="AL10" s="1">
        <v>1027</v>
      </c>
      <c r="AM10" s="39">
        <f>+AL10*AK10</f>
        <v>10270</v>
      </c>
    </row>
    <row r="11" spans="2:39" x14ac:dyDescent="0.25">
      <c r="B11" s="1">
        <v>1000</v>
      </c>
      <c r="C11" s="1">
        <v>24</v>
      </c>
      <c r="D11" s="39">
        <f t="shared" si="0"/>
        <v>24000</v>
      </c>
      <c r="F11" s="1">
        <v>1000</v>
      </c>
      <c r="G11" s="1">
        <v>36</v>
      </c>
      <c r="H11" s="39">
        <f t="shared" si="1"/>
        <v>36000</v>
      </c>
      <c r="J11" s="1">
        <v>1000</v>
      </c>
      <c r="K11" s="1">
        <v>36</v>
      </c>
      <c r="L11" s="39">
        <f t="shared" si="2"/>
        <v>36000</v>
      </c>
      <c r="N11" s="1">
        <v>1000</v>
      </c>
      <c r="O11" s="1">
        <v>19</v>
      </c>
      <c r="P11" s="39">
        <f t="shared" si="3"/>
        <v>19000</v>
      </c>
      <c r="R11" s="1">
        <v>1000</v>
      </c>
      <c r="S11" s="1">
        <v>19</v>
      </c>
      <c r="T11" s="39">
        <f t="shared" si="4"/>
        <v>19000</v>
      </c>
      <c r="V11" s="12"/>
      <c r="W11" s="42">
        <v>1000</v>
      </c>
      <c r="X11" s="42">
        <f t="shared" si="6"/>
        <v>134</v>
      </c>
      <c r="Y11" s="40">
        <f t="shared" si="5"/>
        <v>134000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25</v>
      </c>
      <c r="AM11" s="39">
        <f t="shared" ref="AM11:AM16" si="7">+AL11*AK11</f>
        <v>500</v>
      </c>
    </row>
    <row r="12" spans="2:39" x14ac:dyDescent="0.25">
      <c r="B12" s="1">
        <v>5000</v>
      </c>
      <c r="C12" s="1"/>
      <c r="D12" s="39">
        <f t="shared" si="0"/>
        <v>0</v>
      </c>
      <c r="F12" s="1">
        <v>5000</v>
      </c>
      <c r="G12" s="1"/>
      <c r="H12" s="39">
        <f t="shared" si="1"/>
        <v>0</v>
      </c>
      <c r="J12" s="1">
        <v>5000</v>
      </c>
      <c r="K12" s="1">
        <v>2</v>
      </c>
      <c r="L12" s="39">
        <f t="shared" si="2"/>
        <v>10000</v>
      </c>
      <c r="N12" s="1">
        <v>5000</v>
      </c>
      <c r="O12" s="1">
        <v>2</v>
      </c>
      <c r="P12" s="39">
        <f t="shared" si="3"/>
        <v>10000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4</v>
      </c>
      <c r="Y12" s="40">
        <f t="shared" si="5"/>
        <v>20000</v>
      </c>
      <c r="Z12" s="13"/>
      <c r="AE12" t="s">
        <v>6</v>
      </c>
      <c r="AF12" s="4">
        <v>571020</v>
      </c>
      <c r="AG12">
        <v>2990</v>
      </c>
      <c r="AH12" s="58">
        <v>45755</v>
      </c>
      <c r="AK12" s="1">
        <v>50</v>
      </c>
      <c r="AL12" s="1">
        <v>145</v>
      </c>
      <c r="AM12" s="39">
        <f t="shared" si="7"/>
        <v>7250</v>
      </c>
    </row>
    <row r="13" spans="2:39" ht="15.75" thickBot="1" x14ac:dyDescent="0.3">
      <c r="B13" s="2" t="s">
        <v>3</v>
      </c>
      <c r="C13" s="2"/>
      <c r="D13" s="5">
        <f>+SUM(D5:D12)</f>
        <v>29350</v>
      </c>
      <c r="F13" s="2" t="s">
        <v>3</v>
      </c>
      <c r="G13" s="2"/>
      <c r="H13" s="5">
        <f>+SUM(H5:H12)</f>
        <v>55000</v>
      </c>
      <c r="J13" s="2" t="s">
        <v>3</v>
      </c>
      <c r="K13" s="2"/>
      <c r="L13" s="5">
        <f>+SUM(L5:L12)</f>
        <v>63780</v>
      </c>
      <c r="N13" s="2" t="s">
        <v>3</v>
      </c>
      <c r="O13" s="2"/>
      <c r="P13" s="5">
        <f>+SUM(P5:P12)</f>
        <v>44460</v>
      </c>
      <c r="R13" s="2" t="s">
        <v>3</v>
      </c>
      <c r="S13" s="2"/>
      <c r="T13" s="5">
        <f>+SUM(T5:T12)</f>
        <v>25220</v>
      </c>
      <c r="V13" s="12"/>
      <c r="W13" s="2" t="s">
        <v>3</v>
      </c>
      <c r="X13" s="2"/>
      <c r="Y13" s="5">
        <f>+SUM(Y5:Y12)</f>
        <v>217810</v>
      </c>
      <c r="Z13" s="13"/>
      <c r="AE13" t="s">
        <v>62</v>
      </c>
      <c r="AF13" s="4">
        <v>28000</v>
      </c>
      <c r="AK13" s="1">
        <v>100</v>
      </c>
      <c r="AL13" s="1">
        <v>175</v>
      </c>
      <c r="AM13" s="39">
        <f t="shared" si="7"/>
        <v>17500</v>
      </c>
    </row>
    <row r="14" spans="2:39" ht="15.75" thickBot="1" x14ac:dyDescent="0.3">
      <c r="V14" s="12"/>
      <c r="W14" s="17"/>
      <c r="X14" s="17"/>
      <c r="Y14" s="17"/>
      <c r="Z14" s="13"/>
      <c r="AE14" t="s">
        <v>524</v>
      </c>
      <c r="AF14" s="4">
        <v>15000</v>
      </c>
      <c r="AK14" s="1">
        <v>500</v>
      </c>
      <c r="AL14" s="1">
        <v>188</v>
      </c>
      <c r="AM14" s="39">
        <f t="shared" si="7"/>
        <v>94000</v>
      </c>
    </row>
    <row r="15" spans="2:39" ht="15.75" thickBot="1" x14ac:dyDescent="0.3">
      <c r="B15" s="127" t="s">
        <v>4</v>
      </c>
      <c r="C15" s="128"/>
      <c r="D15" s="7">
        <v>46562</v>
      </c>
      <c r="E15" s="33"/>
      <c r="F15" s="127" t="s">
        <v>4</v>
      </c>
      <c r="G15" s="128"/>
      <c r="H15" s="7">
        <v>91378.97</v>
      </c>
      <c r="I15" s="33"/>
      <c r="J15" s="127" t="s">
        <v>4</v>
      </c>
      <c r="K15" s="128"/>
      <c r="L15" s="7">
        <v>63730</v>
      </c>
      <c r="M15" s="33"/>
      <c r="N15" s="127" t="s">
        <v>4</v>
      </c>
      <c r="O15" s="128"/>
      <c r="P15" s="7">
        <v>41138</v>
      </c>
      <c r="Q15" s="33"/>
      <c r="R15" s="127" t="s">
        <v>4</v>
      </c>
      <c r="S15" s="128"/>
      <c r="T15" s="7">
        <v>514079</v>
      </c>
      <c r="U15" s="33"/>
      <c r="V15" s="34"/>
      <c r="W15" s="127" t="s">
        <v>4</v>
      </c>
      <c r="X15" s="128"/>
      <c r="Y15" s="7">
        <f>+D15+H15+L15+P15+T15</f>
        <v>756887.97</v>
      </c>
      <c r="Z15" s="35"/>
      <c r="AA15" s="33"/>
      <c r="AE15" t="s">
        <v>555</v>
      </c>
      <c r="AF15" s="4">
        <v>1512</v>
      </c>
      <c r="AK15" s="1">
        <v>1000</v>
      </c>
      <c r="AL15" s="1">
        <v>341</v>
      </c>
      <c r="AM15" s="39">
        <f t="shared" si="7"/>
        <v>341000</v>
      </c>
    </row>
    <row r="16" spans="2:39" x14ac:dyDescent="0.25">
      <c r="B16" t="s">
        <v>5</v>
      </c>
      <c r="D16" s="4">
        <v>29350</v>
      </c>
      <c r="F16" t="s">
        <v>5</v>
      </c>
      <c r="H16" s="4">
        <f>+H13</f>
        <v>55000</v>
      </c>
      <c r="J16" t="s">
        <v>5</v>
      </c>
      <c r="L16" s="4">
        <v>63780</v>
      </c>
      <c r="N16" t="s">
        <v>5</v>
      </c>
      <c r="P16" s="4">
        <f>+P13</f>
        <v>44460</v>
      </c>
      <c r="R16" t="s">
        <v>5</v>
      </c>
      <c r="T16" s="4">
        <v>25220</v>
      </c>
      <c r="V16" s="12"/>
      <c r="W16" s="43" t="s">
        <v>5</v>
      </c>
      <c r="X16" s="43"/>
      <c r="Y16" s="40">
        <f>+D16+H16+L16+P16+T16</f>
        <v>217810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26</v>
      </c>
      <c r="AM16" s="39">
        <f t="shared" si="7"/>
        <v>130000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615532</v>
      </c>
      <c r="AG17" s="22"/>
      <c r="AK17" s="2" t="s">
        <v>3</v>
      </c>
      <c r="AL17" s="2"/>
      <c r="AM17" s="5">
        <f>+SUM(AM9:AM16)</f>
        <v>600527</v>
      </c>
    </row>
    <row r="18" spans="2:39" x14ac:dyDescent="0.25">
      <c r="B18" t="s">
        <v>478</v>
      </c>
      <c r="C18" t="s">
        <v>511</v>
      </c>
      <c r="D18" s="4">
        <v>7670</v>
      </c>
      <c r="F18" t="s">
        <v>345</v>
      </c>
      <c r="G18" t="s">
        <v>517</v>
      </c>
      <c r="H18" s="4">
        <v>5522</v>
      </c>
      <c r="J18" t="s">
        <v>43</v>
      </c>
      <c r="L18" s="4"/>
      <c r="N18" t="s">
        <v>7</v>
      </c>
      <c r="P18" s="4"/>
      <c r="R18" t="s">
        <v>299</v>
      </c>
      <c r="S18">
        <v>92</v>
      </c>
      <c r="T18" s="4">
        <v>200000</v>
      </c>
      <c r="V18" s="12"/>
      <c r="W18" s="43" t="s">
        <v>7</v>
      </c>
      <c r="X18" s="43"/>
      <c r="Y18" s="40">
        <f t="shared" si="8"/>
        <v>213192</v>
      </c>
      <c r="Z18" s="13"/>
      <c r="AE18" s="56" t="s">
        <v>66</v>
      </c>
      <c r="AF18" s="57">
        <f>+AF17-AF9</f>
        <v>0</v>
      </c>
      <c r="AG18" t="s">
        <v>214</v>
      </c>
    </row>
    <row r="19" spans="2:39" x14ac:dyDescent="0.25">
      <c r="B19" t="s">
        <v>302</v>
      </c>
      <c r="C19" t="s">
        <v>512</v>
      </c>
      <c r="D19" s="4">
        <v>9560</v>
      </c>
      <c r="F19" t="s">
        <v>423</v>
      </c>
      <c r="G19" t="s">
        <v>518</v>
      </c>
      <c r="H19" s="4">
        <v>10000</v>
      </c>
      <c r="J19" t="s">
        <v>43</v>
      </c>
      <c r="L19" s="4"/>
      <c r="N19" t="s">
        <v>8</v>
      </c>
      <c r="P19" s="4"/>
      <c r="R19" t="s">
        <v>43</v>
      </c>
      <c r="T19" s="4"/>
      <c r="V19" s="12"/>
      <c r="W19" s="43" t="s">
        <v>8</v>
      </c>
      <c r="X19" s="43"/>
      <c r="Y19" s="40">
        <f t="shared" si="8"/>
        <v>19560</v>
      </c>
      <c r="Z19" s="13"/>
    </row>
    <row r="20" spans="2:39" x14ac:dyDescent="0.25">
      <c r="B20" t="s">
        <v>9</v>
      </c>
      <c r="D20" s="4"/>
      <c r="F20" t="s">
        <v>226</v>
      </c>
      <c r="G20" t="s">
        <v>519</v>
      </c>
      <c r="H20" s="4">
        <v>6000</v>
      </c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6000</v>
      </c>
      <c r="Z20" s="13"/>
    </row>
    <row r="21" spans="2:39" x14ac:dyDescent="0.25">
      <c r="D21" s="4"/>
      <c r="F21" t="s">
        <v>478</v>
      </c>
      <c r="G21" t="s">
        <v>520</v>
      </c>
      <c r="H21" s="4">
        <v>14480</v>
      </c>
      <c r="L21" s="4"/>
      <c r="P21" s="4"/>
      <c r="R21" t="s">
        <v>43</v>
      </c>
      <c r="T21" s="4"/>
      <c r="V21" s="12"/>
      <c r="W21" s="43"/>
      <c r="X21" s="43"/>
      <c r="Y21" s="40">
        <f t="shared" si="8"/>
        <v>14480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/>
      <c r="V22" s="12"/>
      <c r="W22" s="43"/>
      <c r="X22" s="43"/>
      <c r="Y22" s="40">
        <f t="shared" si="8"/>
        <v>0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513</v>
      </c>
      <c r="S23" t="s">
        <v>370</v>
      </c>
      <c r="T23" s="4">
        <v>211099</v>
      </c>
      <c r="V23" s="12"/>
      <c r="W23" s="44" t="s">
        <v>28</v>
      </c>
      <c r="X23" s="43"/>
      <c r="Y23" s="40">
        <f t="shared" si="8"/>
        <v>211099</v>
      </c>
      <c r="Z23" s="13"/>
      <c r="AB23" s="93" t="s">
        <v>523</v>
      </c>
      <c r="AC23" s="121">
        <v>45868</v>
      </c>
      <c r="AD23" s="93" t="s">
        <v>260</v>
      </c>
      <c r="AE23" s="17"/>
      <c r="AF23" s="93">
        <v>9466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514</v>
      </c>
      <c r="S24" t="s">
        <v>99</v>
      </c>
      <c r="T24" s="4">
        <v>53193</v>
      </c>
      <c r="V24" s="12"/>
      <c r="W24" s="44" t="s">
        <v>29</v>
      </c>
      <c r="X24" s="43"/>
      <c r="Y24" s="40">
        <f t="shared" si="8"/>
        <v>53193</v>
      </c>
      <c r="Z24" s="13"/>
      <c r="AB24" s="17" t="s">
        <v>521</v>
      </c>
      <c r="AC24" s="122">
        <v>45864</v>
      </c>
      <c r="AD24" s="17" t="s">
        <v>204</v>
      </c>
      <c r="AE24" s="17"/>
      <c r="AF24" s="88">
        <v>301305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31</v>
      </c>
      <c r="T25" s="4"/>
      <c r="V25" s="12"/>
      <c r="W25" s="44" t="s">
        <v>31</v>
      </c>
      <c r="X25" s="43"/>
      <c r="Y25" s="40">
        <f t="shared" si="8"/>
        <v>0</v>
      </c>
      <c r="Z25" s="13"/>
      <c r="AB25" s="17" t="s">
        <v>522</v>
      </c>
      <c r="AC25" s="122">
        <v>45866</v>
      </c>
      <c r="AD25" s="123" t="s">
        <v>396</v>
      </c>
      <c r="AE25" s="17"/>
      <c r="AF25" s="88">
        <v>50000</v>
      </c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B26" s="17" t="s">
        <v>492</v>
      </c>
      <c r="AC26" s="122">
        <v>45859</v>
      </c>
      <c r="AD26" s="123" t="s">
        <v>230</v>
      </c>
      <c r="AE26" s="17"/>
      <c r="AF26" s="87">
        <v>36951</v>
      </c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  <c r="AB27" s="17"/>
      <c r="AC27" s="17"/>
      <c r="AD27" s="17"/>
      <c r="AE27" s="17"/>
      <c r="AF27" s="17"/>
    </row>
    <row r="28" spans="2:39" ht="15.75" thickBot="1" x14ac:dyDescent="0.3">
      <c r="B28" s="129" t="s">
        <v>10</v>
      </c>
      <c r="C28" s="130"/>
      <c r="D28" s="8">
        <f>+SUM(D16:D27)</f>
        <v>46580</v>
      </c>
      <c r="F28" s="129" t="s">
        <v>10</v>
      </c>
      <c r="G28" s="130"/>
      <c r="H28" s="8">
        <f>+SUM(H16:H27)</f>
        <v>91002</v>
      </c>
      <c r="J28" s="129" t="s">
        <v>10</v>
      </c>
      <c r="K28" s="130"/>
      <c r="L28" s="8">
        <f>+SUM(L16:L27)</f>
        <v>63780</v>
      </c>
      <c r="N28" s="129" t="s">
        <v>10</v>
      </c>
      <c r="O28" s="130"/>
      <c r="P28" s="8">
        <f>+SUM(P16:P27)</f>
        <v>44460</v>
      </c>
      <c r="R28" s="129" t="s">
        <v>10</v>
      </c>
      <c r="S28" s="130"/>
      <c r="T28" s="8">
        <f>+SUM(T16:T27)</f>
        <v>489512</v>
      </c>
      <c r="V28" s="12"/>
      <c r="W28" s="129" t="s">
        <v>10</v>
      </c>
      <c r="X28" s="130"/>
      <c r="Y28" s="8">
        <f>+SUM(Y16:Y27)</f>
        <v>735334</v>
      </c>
      <c r="Z28" s="13"/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397722</v>
      </c>
    </row>
    <row r="30" spans="2:39" ht="16.5" thickTop="1" thickBot="1" x14ac:dyDescent="0.3">
      <c r="B30" s="131" t="s">
        <v>11</v>
      </c>
      <c r="C30" s="131"/>
      <c r="D30" s="6">
        <f>+D28-D15</f>
        <v>18</v>
      </c>
      <c r="F30" s="131" t="s">
        <v>11</v>
      </c>
      <c r="G30" s="131"/>
      <c r="H30" s="6">
        <f>+H28-H15</f>
        <v>-376.97000000000116</v>
      </c>
      <c r="J30" s="131" t="s">
        <v>11</v>
      </c>
      <c r="K30" s="131"/>
      <c r="L30" s="6">
        <f>+L28-L15</f>
        <v>50</v>
      </c>
      <c r="N30" s="131" t="s">
        <v>11</v>
      </c>
      <c r="O30" s="131"/>
      <c r="P30" s="6">
        <f>+P28-P15</f>
        <v>3322</v>
      </c>
      <c r="R30" s="131" t="s">
        <v>11</v>
      </c>
      <c r="S30" s="131"/>
      <c r="T30" s="6">
        <f>+T28-T15</f>
        <v>-24567</v>
      </c>
      <c r="V30" s="12"/>
      <c r="W30" s="134" t="s">
        <v>11</v>
      </c>
      <c r="X30" s="134"/>
      <c r="Y30" s="45">
        <f>+Y28-Y15</f>
        <v>-21553.969999999972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>
        <v>377</v>
      </c>
      <c r="J34" s="9" t="s">
        <v>15</v>
      </c>
      <c r="K34" s="10"/>
      <c r="L34" s="23"/>
      <c r="N34" s="9" t="s">
        <v>15</v>
      </c>
      <c r="O34" s="10"/>
      <c r="P34" s="23"/>
      <c r="R34" s="9" t="s">
        <v>516</v>
      </c>
      <c r="S34" s="10"/>
      <c r="T34" s="23">
        <v>-38</v>
      </c>
      <c r="W34" s="46" t="s">
        <v>15</v>
      </c>
      <c r="X34" s="47"/>
      <c r="Y34" s="48">
        <f>+D34+H34+L34+P34+T34</f>
        <v>339</v>
      </c>
      <c r="AJ34" s="89" t="s">
        <v>113</v>
      </c>
      <c r="AK34" s="89"/>
      <c r="AL34" s="89"/>
      <c r="AM34" s="92">
        <f>+SUM(AM23:AM33)</f>
        <v>0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42</v>
      </c>
      <c r="C36" s="17"/>
      <c r="D36" s="24">
        <v>-18</v>
      </c>
      <c r="F36" s="12" t="s">
        <v>23</v>
      </c>
      <c r="G36" s="17"/>
      <c r="H36" s="24"/>
      <c r="J36" s="12" t="s">
        <v>42</v>
      </c>
      <c r="K36" s="17"/>
      <c r="L36" s="24">
        <v>-50</v>
      </c>
      <c r="N36" s="12" t="s">
        <v>42</v>
      </c>
      <c r="O36" s="17"/>
      <c r="P36" s="24">
        <v>-3322</v>
      </c>
      <c r="R36" s="12" t="s">
        <v>515</v>
      </c>
      <c r="S36" s="17"/>
      <c r="T36" s="24">
        <v>24605</v>
      </c>
      <c r="W36" s="49" t="s">
        <v>23</v>
      </c>
      <c r="X36" s="43"/>
      <c r="Y36" s="50">
        <f t="shared" si="9"/>
        <v>21215</v>
      </c>
    </row>
    <row r="37" spans="2:39" x14ac:dyDescent="0.25">
      <c r="B37" s="12" t="s">
        <v>3</v>
      </c>
      <c r="C37" s="17"/>
      <c r="D37" s="24">
        <f>+SUM(D34:D36)</f>
        <v>-18</v>
      </c>
      <c r="F37" s="12" t="s">
        <v>3</v>
      </c>
      <c r="G37" s="17"/>
      <c r="H37" s="24">
        <f>+SUM(H34:H36)</f>
        <v>377</v>
      </c>
      <c r="J37" s="12" t="s">
        <v>3</v>
      </c>
      <c r="K37" s="17"/>
      <c r="L37" s="24">
        <f>+SUM(L34:L36)</f>
        <v>-50</v>
      </c>
      <c r="N37" s="12" t="s">
        <v>3</v>
      </c>
      <c r="O37" s="17"/>
      <c r="P37" s="24">
        <f>+SUM(P34:P36)</f>
        <v>-3322</v>
      </c>
      <c r="R37" s="12" t="s">
        <v>3</v>
      </c>
      <c r="S37" s="17"/>
      <c r="T37" s="24">
        <f>+SUM(T34:T36)</f>
        <v>24567</v>
      </c>
      <c r="W37" s="36" t="s">
        <v>3</v>
      </c>
      <c r="X37" s="37"/>
      <c r="Y37" s="38">
        <f>+SUM(Y34:Y36)</f>
        <v>21554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2.9999999998835847E-2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3.0000000027939677E-2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tabSelected="1" topLeftCell="A5" zoomScale="90" zoomScaleNormal="90" workbookViewId="0">
      <selection activeCell="G32" sqref="G32"/>
    </sheetView>
  </sheetViews>
  <sheetFormatPr defaultRowHeight="15" x14ac:dyDescent="0.25"/>
  <cols>
    <col min="2" max="2" width="13.7109375" customWidth="1"/>
    <col min="3" max="3" width="14.42578125" customWidth="1"/>
    <col min="5" max="5" width="1.140625" customWidth="1"/>
    <col min="6" max="6" width="14.28515625" customWidth="1"/>
    <col min="7" max="7" width="13.42578125" customWidth="1"/>
    <col min="9" max="9" width="1.42578125" customWidth="1"/>
    <col min="10" max="11" width="12" customWidth="1"/>
    <col min="13" max="13" width="1.7109375" customWidth="1"/>
    <col min="15" max="15" width="15.7109375" customWidth="1"/>
    <col min="17" max="17" width="1.140625" customWidth="1"/>
    <col min="19" max="19" width="12" customWidth="1"/>
    <col min="20" max="20" width="10.7109375" customWidth="1"/>
    <col min="21" max="21" width="1.5703125" customWidth="1"/>
    <col min="22" max="22" width="0.7109375" customWidth="1"/>
    <col min="25" max="25" width="10.140625" customWidth="1"/>
    <col min="26" max="26" width="1.28515625" customWidth="1"/>
    <col min="27" max="27" width="1.85546875" customWidth="1"/>
    <col min="29" max="29" width="9.7109375" bestFit="1" customWidth="1"/>
    <col min="30" max="30" width="12.140625" bestFit="1" customWidth="1"/>
    <col min="31" max="31" width="13.5703125" bestFit="1" customWidth="1"/>
    <col min="32" max="32" width="9.7109375" bestFit="1" customWidth="1"/>
    <col min="37" max="37" width="15.85546875" bestFit="1" customWidth="1"/>
    <col min="38" max="38" width="15" bestFit="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>
        <v>1</v>
      </c>
      <c r="H5" s="39">
        <f>+G5*F5</f>
        <v>1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>
        <v>2</v>
      </c>
      <c r="T5" s="39">
        <f>+S5*R5</f>
        <v>2</v>
      </c>
      <c r="U5" s="28"/>
      <c r="V5" s="29"/>
      <c r="W5" s="41">
        <v>1</v>
      </c>
      <c r="X5" s="42">
        <f>+C5+G5+K5+O5+S5</f>
        <v>3</v>
      </c>
      <c r="Y5" s="40">
        <f>+D5+H5+L5+P5+T5</f>
        <v>3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>
        <v>332</v>
      </c>
      <c r="D6" s="39">
        <f>+C6*B6</f>
        <v>3320</v>
      </c>
      <c r="F6" s="1">
        <v>10</v>
      </c>
      <c r="G6" s="1">
        <v>71</v>
      </c>
      <c r="H6" s="39">
        <f>+G6*F6</f>
        <v>710</v>
      </c>
      <c r="J6" s="1">
        <v>10</v>
      </c>
      <c r="K6" s="1">
        <v>372</v>
      </c>
      <c r="L6" s="39">
        <f>+K6*J6</f>
        <v>3720</v>
      </c>
      <c r="N6" s="1">
        <v>10</v>
      </c>
      <c r="O6" s="1">
        <v>3</v>
      </c>
      <c r="P6" s="39">
        <f>+O6*N6</f>
        <v>30</v>
      </c>
      <c r="R6" s="1">
        <v>10</v>
      </c>
      <c r="S6" s="1">
        <v>1</v>
      </c>
      <c r="T6" s="39">
        <f>+S6*R6</f>
        <v>10</v>
      </c>
      <c r="V6" s="12"/>
      <c r="W6" s="42">
        <v>10</v>
      </c>
      <c r="X6" s="42">
        <f>+C6+G6+K6+O6+S6</f>
        <v>779</v>
      </c>
      <c r="Y6" s="40">
        <f>+D6+H6+L6+P6+T6</f>
        <v>7790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>
        <v>55</v>
      </c>
      <c r="D7" s="39">
        <f t="shared" ref="D7:D12" si="0">+C7*B7</f>
        <v>1100</v>
      </c>
      <c r="F7" s="1">
        <v>20</v>
      </c>
      <c r="G7" s="1">
        <v>28</v>
      </c>
      <c r="H7" s="39">
        <f t="shared" ref="H7:H12" si="1">+G7*F7</f>
        <v>560</v>
      </c>
      <c r="J7" s="1">
        <v>20</v>
      </c>
      <c r="K7" s="1">
        <v>22</v>
      </c>
      <c r="L7" s="39">
        <f t="shared" ref="L7:L12" si="2">+K7*J7</f>
        <v>440</v>
      </c>
      <c r="N7" s="1">
        <v>20</v>
      </c>
      <c r="O7" s="1"/>
      <c r="P7" s="39">
        <f t="shared" ref="P7:P12" si="3">+O7*N7</f>
        <v>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105</v>
      </c>
      <c r="Y7" s="40">
        <f t="shared" ref="Y7:Y12" si="5">+D7+H7+L7+P7+T7</f>
        <v>2100</v>
      </c>
      <c r="Z7" s="13"/>
      <c r="AE7" s="70" t="s">
        <v>5</v>
      </c>
      <c r="AF7" s="71">
        <v>230393</v>
      </c>
      <c r="AG7" s="28"/>
      <c r="AH7" s="28"/>
      <c r="AI7" s="28"/>
      <c r="AJ7" s="28"/>
    </row>
    <row r="8" spans="2:39" x14ac:dyDescent="0.25">
      <c r="B8" s="1">
        <v>50</v>
      </c>
      <c r="C8" s="1">
        <v>59</v>
      </c>
      <c r="D8" s="39">
        <f t="shared" si="0"/>
        <v>2950</v>
      </c>
      <c r="F8" s="1">
        <v>50</v>
      </c>
      <c r="G8" s="1">
        <v>19</v>
      </c>
      <c r="H8" s="39">
        <f t="shared" si="1"/>
        <v>950</v>
      </c>
      <c r="J8" s="1">
        <v>50</v>
      </c>
      <c r="K8" s="1">
        <v>47</v>
      </c>
      <c r="L8" s="39">
        <f t="shared" si="2"/>
        <v>2350</v>
      </c>
      <c r="N8" s="1">
        <v>50</v>
      </c>
      <c r="O8" s="1">
        <v>5</v>
      </c>
      <c r="P8" s="39">
        <f t="shared" si="3"/>
        <v>250</v>
      </c>
      <c r="R8" s="1">
        <v>50</v>
      </c>
      <c r="S8" s="1"/>
      <c r="T8" s="39">
        <f t="shared" si="4"/>
        <v>0</v>
      </c>
      <c r="V8" s="12"/>
      <c r="W8" s="42">
        <v>50</v>
      </c>
      <c r="X8" s="42">
        <f t="shared" ref="X8:X12" si="6">+C8+G8+K8+O8+S8</f>
        <v>130</v>
      </c>
      <c r="Y8" s="40">
        <f t="shared" si="5"/>
        <v>6500</v>
      </c>
      <c r="Z8" s="13"/>
      <c r="AE8" s="66" t="s">
        <v>120</v>
      </c>
      <c r="AF8" s="66">
        <f>+AF29</f>
        <v>68487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>
        <v>27</v>
      </c>
      <c r="D9" s="39">
        <f t="shared" si="0"/>
        <v>2700</v>
      </c>
      <c r="F9" s="1">
        <v>100</v>
      </c>
      <c r="G9" s="1">
        <v>88</v>
      </c>
      <c r="H9" s="39">
        <f t="shared" si="1"/>
        <v>8800</v>
      </c>
      <c r="J9" s="1">
        <v>100</v>
      </c>
      <c r="K9" s="1">
        <v>23</v>
      </c>
      <c r="L9" s="39">
        <f t="shared" si="2"/>
        <v>2300</v>
      </c>
      <c r="N9" s="1">
        <v>100</v>
      </c>
      <c r="O9" s="1">
        <v>12</v>
      </c>
      <c r="P9" s="39">
        <f t="shared" si="3"/>
        <v>1200</v>
      </c>
      <c r="R9" s="1">
        <v>100</v>
      </c>
      <c r="S9" s="1"/>
      <c r="T9" s="39">
        <f t="shared" si="4"/>
        <v>0</v>
      </c>
      <c r="V9" s="12"/>
      <c r="W9" s="42">
        <v>100</v>
      </c>
      <c r="X9" s="42">
        <f t="shared" si="6"/>
        <v>150</v>
      </c>
      <c r="Y9" s="40">
        <f t="shared" si="5"/>
        <v>15000</v>
      </c>
      <c r="Z9" s="13"/>
      <c r="AE9" s="72" t="s">
        <v>10</v>
      </c>
      <c r="AF9" s="73">
        <f>SUM(AF7:AF8)</f>
        <v>298880</v>
      </c>
      <c r="AK9" s="31">
        <v>1</v>
      </c>
      <c r="AL9" s="31"/>
      <c r="AM9" s="39">
        <f>+AL9*AK9</f>
        <v>0</v>
      </c>
    </row>
    <row r="10" spans="2:39" x14ac:dyDescent="0.25">
      <c r="B10" s="1">
        <v>500</v>
      </c>
      <c r="C10" s="1">
        <v>24</v>
      </c>
      <c r="D10" s="39">
        <f t="shared" si="0"/>
        <v>12000</v>
      </c>
      <c r="F10" s="1">
        <v>500</v>
      </c>
      <c r="G10" s="1">
        <v>19</v>
      </c>
      <c r="H10" s="39">
        <f t="shared" si="1"/>
        <v>9500</v>
      </c>
      <c r="J10" s="1">
        <v>500</v>
      </c>
      <c r="K10" s="1">
        <v>20</v>
      </c>
      <c r="L10" s="39">
        <f t="shared" si="2"/>
        <v>10000</v>
      </c>
      <c r="N10" s="1">
        <v>500</v>
      </c>
      <c r="O10" s="1">
        <v>11</v>
      </c>
      <c r="P10" s="39">
        <f t="shared" si="3"/>
        <v>5500</v>
      </c>
      <c r="R10" s="1">
        <v>500</v>
      </c>
      <c r="S10" s="1">
        <v>4</v>
      </c>
      <c r="T10" s="39">
        <f t="shared" si="4"/>
        <v>2000</v>
      </c>
      <c r="V10" s="12"/>
      <c r="W10" s="42">
        <v>500</v>
      </c>
      <c r="X10" s="42">
        <f t="shared" si="6"/>
        <v>78</v>
      </c>
      <c r="Y10" s="40">
        <f t="shared" si="5"/>
        <v>39000</v>
      </c>
      <c r="Z10" s="13"/>
      <c r="AK10" s="1">
        <v>10</v>
      </c>
      <c r="AL10" s="1">
        <v>200</v>
      </c>
      <c r="AM10" s="39">
        <f>+AL10*AK10</f>
        <v>2000</v>
      </c>
    </row>
    <row r="11" spans="2:39" x14ac:dyDescent="0.25">
      <c r="B11" s="1">
        <v>1000</v>
      </c>
      <c r="C11" s="1">
        <v>21</v>
      </c>
      <c r="D11" s="39">
        <f t="shared" si="0"/>
        <v>21000</v>
      </c>
      <c r="F11" s="1">
        <v>1000</v>
      </c>
      <c r="G11" s="1">
        <v>13</v>
      </c>
      <c r="H11" s="39">
        <f t="shared" si="1"/>
        <v>13000</v>
      </c>
      <c r="J11" s="1">
        <v>1000</v>
      </c>
      <c r="K11" s="1">
        <v>37</v>
      </c>
      <c r="L11" s="39">
        <f t="shared" si="2"/>
        <v>37000</v>
      </c>
      <c r="N11" s="1">
        <v>1000</v>
      </c>
      <c r="O11" s="1">
        <v>35</v>
      </c>
      <c r="P11" s="39">
        <f t="shared" si="3"/>
        <v>35000</v>
      </c>
      <c r="R11" s="1">
        <v>1000</v>
      </c>
      <c r="S11" s="1">
        <v>9</v>
      </c>
      <c r="T11" s="39">
        <f t="shared" si="4"/>
        <v>9000</v>
      </c>
      <c r="V11" s="12"/>
      <c r="W11" s="42">
        <v>1000</v>
      </c>
      <c r="X11" s="42">
        <f t="shared" si="6"/>
        <v>115</v>
      </c>
      <c r="Y11" s="40">
        <f t="shared" si="5"/>
        <v>115000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51</v>
      </c>
      <c r="AM11" s="39">
        <f t="shared" ref="AM11:AM16" si="7">+AL11*AK11</f>
        <v>1020</v>
      </c>
    </row>
    <row r="12" spans="2:39" x14ac:dyDescent="0.25">
      <c r="B12" s="1">
        <v>5000</v>
      </c>
      <c r="C12" s="1"/>
      <c r="D12" s="39">
        <f t="shared" si="0"/>
        <v>0</v>
      </c>
      <c r="F12" s="1">
        <v>5000</v>
      </c>
      <c r="G12" s="1">
        <v>5</v>
      </c>
      <c r="H12" s="39">
        <f t="shared" si="1"/>
        <v>25000</v>
      </c>
      <c r="J12" s="1">
        <v>5000</v>
      </c>
      <c r="K12" s="1">
        <v>1</v>
      </c>
      <c r="L12" s="39">
        <f t="shared" si="2"/>
        <v>5000</v>
      </c>
      <c r="N12" s="1">
        <v>5000</v>
      </c>
      <c r="O12" s="1">
        <v>3</v>
      </c>
      <c r="P12" s="39">
        <f t="shared" si="3"/>
        <v>15000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9</v>
      </c>
      <c r="Y12" s="40">
        <f t="shared" si="5"/>
        <v>45000</v>
      </c>
      <c r="Z12" s="13"/>
      <c r="AE12" t="s">
        <v>6</v>
      </c>
      <c r="AF12" s="4"/>
      <c r="AH12" s="58"/>
      <c r="AK12" s="1">
        <v>50</v>
      </c>
      <c r="AL12" s="1">
        <v>5</v>
      </c>
      <c r="AM12" s="39">
        <f t="shared" si="7"/>
        <v>250</v>
      </c>
    </row>
    <row r="13" spans="2:39" ht="15.75" thickBot="1" x14ac:dyDescent="0.3">
      <c r="B13" s="2" t="s">
        <v>3</v>
      </c>
      <c r="C13" s="2"/>
      <c r="D13" s="5">
        <f>+SUM(D5:D12)</f>
        <v>43070</v>
      </c>
      <c r="F13" s="2" t="s">
        <v>3</v>
      </c>
      <c r="G13" s="2"/>
      <c r="H13" s="5">
        <f>+SUM(H5:H12)</f>
        <v>58521</v>
      </c>
      <c r="J13" s="2" t="s">
        <v>3</v>
      </c>
      <c r="K13" s="2"/>
      <c r="L13" s="5">
        <f>+SUM(L5:L12)</f>
        <v>60810</v>
      </c>
      <c r="N13" s="2" t="s">
        <v>3</v>
      </c>
      <c r="O13" s="2"/>
      <c r="P13" s="5">
        <f>+SUM(P5:P12)</f>
        <v>56980</v>
      </c>
      <c r="R13" s="2" t="s">
        <v>3</v>
      </c>
      <c r="S13" s="2"/>
      <c r="T13" s="5">
        <v>11012</v>
      </c>
      <c r="V13" s="12"/>
      <c r="W13" s="2" t="s">
        <v>3</v>
      </c>
      <c r="X13" s="2"/>
      <c r="Y13" s="5">
        <f>+SUM(Y5:Y12)</f>
        <v>230393</v>
      </c>
      <c r="Z13" s="13"/>
      <c r="AE13" t="s">
        <v>62</v>
      </c>
      <c r="AF13" s="4">
        <v>11870</v>
      </c>
      <c r="AK13" s="1">
        <v>100</v>
      </c>
      <c r="AL13" s="1">
        <v>1</v>
      </c>
      <c r="AM13" s="39">
        <f t="shared" si="7"/>
        <v>100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17</v>
      </c>
      <c r="AM14" s="39">
        <f t="shared" si="7"/>
        <v>8500</v>
      </c>
    </row>
    <row r="15" spans="2:39" ht="15.75" thickBot="1" x14ac:dyDescent="0.3">
      <c r="B15" s="127" t="s">
        <v>4</v>
      </c>
      <c r="C15" s="128"/>
      <c r="D15" s="7">
        <v>46484</v>
      </c>
      <c r="E15" s="33"/>
      <c r="F15" s="127" t="s">
        <v>4</v>
      </c>
      <c r="G15" s="128"/>
      <c r="H15" s="7">
        <v>73554</v>
      </c>
      <c r="I15" s="33"/>
      <c r="J15" s="127" t="s">
        <v>4</v>
      </c>
      <c r="K15" s="128"/>
      <c r="L15" s="7">
        <v>74048</v>
      </c>
      <c r="M15" s="33"/>
      <c r="N15" s="127" t="s">
        <v>4</v>
      </c>
      <c r="O15" s="128"/>
      <c r="P15" s="7">
        <v>87509</v>
      </c>
      <c r="Q15" s="33"/>
      <c r="R15" s="127" t="s">
        <v>4</v>
      </c>
      <c r="S15" s="128"/>
      <c r="T15" s="7">
        <v>245264</v>
      </c>
      <c r="U15" s="33"/>
      <c r="V15" s="34"/>
      <c r="W15" s="127" t="s">
        <v>4</v>
      </c>
      <c r="X15" s="128"/>
      <c r="Y15" s="7">
        <f>+D15+H15+L15+P15+T15</f>
        <v>526859</v>
      </c>
      <c r="Z15" s="35"/>
      <c r="AA15" s="33"/>
      <c r="AE15" t="s">
        <v>553</v>
      </c>
      <c r="AF15" s="4">
        <v>275898</v>
      </c>
      <c r="AK15" s="1">
        <v>1000</v>
      </c>
      <c r="AL15" s="1"/>
      <c r="AM15" s="39">
        <f t="shared" si="7"/>
        <v>0</v>
      </c>
    </row>
    <row r="16" spans="2:39" x14ac:dyDescent="0.25">
      <c r="B16" t="s">
        <v>5</v>
      </c>
      <c r="D16" s="4">
        <v>43070</v>
      </c>
      <c r="F16" t="s">
        <v>5</v>
      </c>
      <c r="H16" s="4">
        <f>+H13</f>
        <v>58521</v>
      </c>
      <c r="J16" t="s">
        <v>5</v>
      </c>
      <c r="L16" s="4">
        <v>60810</v>
      </c>
      <c r="N16" t="s">
        <v>5</v>
      </c>
      <c r="P16" s="4">
        <f>+P13</f>
        <v>56980</v>
      </c>
      <c r="R16" t="s">
        <v>5</v>
      </c>
      <c r="T16" s="4">
        <v>11012</v>
      </c>
      <c r="V16" s="12"/>
      <c r="W16" s="43" t="s">
        <v>5</v>
      </c>
      <c r="X16" s="43"/>
      <c r="Y16" s="40">
        <f>+D16+H16+L16+P16+T16</f>
        <v>230393</v>
      </c>
      <c r="Z16" s="13"/>
      <c r="AB16" s="33"/>
      <c r="AC16" s="33"/>
      <c r="AD16" s="33"/>
      <c r="AE16" t="s">
        <v>554</v>
      </c>
      <c r="AF16" s="4">
        <v>11120</v>
      </c>
      <c r="AK16" s="1">
        <v>5000</v>
      </c>
      <c r="AL16" s="1"/>
      <c r="AM16" s="39">
        <f t="shared" si="7"/>
        <v>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298888</v>
      </c>
      <c r="AG17" s="22"/>
      <c r="AK17" s="2" t="s">
        <v>3</v>
      </c>
      <c r="AL17" s="2"/>
      <c r="AM17" s="5">
        <f>+SUM(AM9:AM16)</f>
        <v>11870</v>
      </c>
    </row>
    <row r="18" spans="2:39" x14ac:dyDescent="0.25">
      <c r="B18" t="s">
        <v>423</v>
      </c>
      <c r="C18" t="s">
        <v>530</v>
      </c>
      <c r="D18" s="4">
        <v>3452</v>
      </c>
      <c r="F18" t="s">
        <v>526</v>
      </c>
      <c r="G18" t="s">
        <v>544</v>
      </c>
      <c r="H18" s="4">
        <v>2439</v>
      </c>
      <c r="J18" t="s">
        <v>526</v>
      </c>
      <c r="K18" t="s">
        <v>548</v>
      </c>
      <c r="L18" s="4">
        <v>8557</v>
      </c>
      <c r="N18" t="s">
        <v>423</v>
      </c>
      <c r="O18" t="s">
        <v>527</v>
      </c>
      <c r="P18" s="4">
        <v>13233</v>
      </c>
      <c r="R18" t="s">
        <v>43</v>
      </c>
      <c r="T18" s="4"/>
      <c r="V18" s="12"/>
      <c r="W18" s="43" t="s">
        <v>7</v>
      </c>
      <c r="X18" s="43"/>
      <c r="Y18" s="40">
        <f t="shared" si="8"/>
        <v>27681</v>
      </c>
      <c r="Z18" s="13"/>
      <c r="AE18" s="56" t="s">
        <v>66</v>
      </c>
      <c r="AF18" s="57">
        <f>+AF17-AF9</f>
        <v>8</v>
      </c>
      <c r="AG18" t="s">
        <v>214</v>
      </c>
    </row>
    <row r="19" spans="2:39" x14ac:dyDescent="0.25">
      <c r="B19" t="s">
        <v>8</v>
      </c>
      <c r="D19" s="4"/>
      <c r="F19" t="s">
        <v>345</v>
      </c>
      <c r="G19" t="s">
        <v>545</v>
      </c>
      <c r="H19" s="4">
        <v>4646</v>
      </c>
      <c r="J19" t="s">
        <v>299</v>
      </c>
      <c r="K19" t="s">
        <v>549</v>
      </c>
      <c r="L19" s="4">
        <v>4435</v>
      </c>
      <c r="N19" t="s">
        <v>478</v>
      </c>
      <c r="O19" t="s">
        <v>528</v>
      </c>
      <c r="P19" s="4">
        <v>11254</v>
      </c>
      <c r="R19" t="s">
        <v>43</v>
      </c>
      <c r="T19" s="4"/>
      <c r="V19" s="12"/>
      <c r="W19" s="43" t="s">
        <v>8</v>
      </c>
      <c r="X19" s="43"/>
      <c r="Y19" s="40">
        <f t="shared" si="8"/>
        <v>20335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526</v>
      </c>
      <c r="O20" t="s">
        <v>529</v>
      </c>
      <c r="P20" s="4">
        <v>6045</v>
      </c>
      <c r="R20" t="s">
        <v>43</v>
      </c>
      <c r="T20" s="4"/>
      <c r="V20" s="12"/>
      <c r="W20" s="43" t="s">
        <v>9</v>
      </c>
      <c r="X20" s="43"/>
      <c r="Y20" s="40">
        <f t="shared" si="8"/>
        <v>6045</v>
      </c>
      <c r="Z20" s="13"/>
    </row>
    <row r="21" spans="2:39" x14ac:dyDescent="0.25">
      <c r="D21" s="4"/>
      <c r="H21" s="4"/>
      <c r="L21" s="4"/>
      <c r="P21" s="4"/>
      <c r="R21" t="s">
        <v>531</v>
      </c>
      <c r="S21" t="s">
        <v>532</v>
      </c>
      <c r="T21" s="4">
        <v>21098</v>
      </c>
      <c r="V21" s="12"/>
      <c r="W21" s="43"/>
      <c r="X21" s="43"/>
      <c r="Y21" s="40">
        <f t="shared" si="8"/>
        <v>21098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533</v>
      </c>
      <c r="S22" t="s">
        <v>534</v>
      </c>
      <c r="T22" s="4">
        <v>14007</v>
      </c>
      <c r="V22" s="12"/>
      <c r="W22" s="43"/>
      <c r="X22" s="43"/>
      <c r="Y22" s="40">
        <f t="shared" si="8"/>
        <v>14007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546</v>
      </c>
      <c r="G23" t="s">
        <v>547</v>
      </c>
      <c r="H23" s="4">
        <v>13247</v>
      </c>
      <c r="J23" t="s">
        <v>28</v>
      </c>
      <c r="L23" s="4"/>
      <c r="N23" t="s">
        <v>28</v>
      </c>
      <c r="P23" s="4"/>
      <c r="R23" t="s">
        <v>535</v>
      </c>
      <c r="S23" t="s">
        <v>536</v>
      </c>
      <c r="T23" s="4">
        <v>29657</v>
      </c>
      <c r="V23" s="12"/>
      <c r="W23" s="44" t="s">
        <v>28</v>
      </c>
      <c r="X23" s="43"/>
      <c r="Y23" s="40">
        <f t="shared" si="8"/>
        <v>42904</v>
      </c>
      <c r="Z23" s="13"/>
      <c r="AB23" s="90" t="s">
        <v>153</v>
      </c>
      <c r="AC23" s="91">
        <v>45859</v>
      </c>
      <c r="AD23" s="17" t="s">
        <v>240</v>
      </c>
      <c r="AE23" s="17"/>
      <c r="AF23" s="125">
        <v>36682</v>
      </c>
      <c r="AJ23" t="s">
        <v>257</v>
      </c>
      <c r="AK23" t="s">
        <v>193</v>
      </c>
      <c r="AL23" t="s">
        <v>551</v>
      </c>
      <c r="AM23">
        <v>4790</v>
      </c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537</v>
      </c>
      <c r="S24" t="s">
        <v>538</v>
      </c>
      <c r="T24" s="4">
        <v>22504</v>
      </c>
      <c r="V24" s="12"/>
      <c r="W24" s="44" t="s">
        <v>29</v>
      </c>
      <c r="X24" s="43"/>
      <c r="Y24" s="40">
        <f t="shared" si="8"/>
        <v>22504</v>
      </c>
      <c r="Z24" s="13"/>
      <c r="AB24" s="90" t="s">
        <v>153</v>
      </c>
      <c r="AC24" s="91">
        <v>45859</v>
      </c>
      <c r="AD24" s="90" t="s">
        <v>234</v>
      </c>
      <c r="AE24" s="17"/>
      <c r="AF24" s="125">
        <v>31805</v>
      </c>
      <c r="AJ24" t="s">
        <v>150</v>
      </c>
      <c r="AK24" t="s">
        <v>219</v>
      </c>
      <c r="AL24" t="s">
        <v>437</v>
      </c>
      <c r="AM24">
        <v>15284</v>
      </c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539</v>
      </c>
      <c r="S25" t="s">
        <v>230</v>
      </c>
      <c r="T25" s="4">
        <v>110442</v>
      </c>
      <c r="V25" s="12"/>
      <c r="W25" s="44" t="s">
        <v>31</v>
      </c>
      <c r="X25" s="43"/>
      <c r="Y25" s="40">
        <f t="shared" si="8"/>
        <v>110442</v>
      </c>
      <c r="Z25" s="13"/>
      <c r="AC25" s="58"/>
      <c r="AD25" s="17"/>
      <c r="AE25" s="17"/>
      <c r="AF25" s="17"/>
      <c r="AJ25" t="s">
        <v>282</v>
      </c>
      <c r="AK25" t="s">
        <v>550</v>
      </c>
      <c r="AL25" t="s">
        <v>283</v>
      </c>
      <c r="AM25">
        <v>3820</v>
      </c>
    </row>
    <row r="26" spans="2:39" x14ac:dyDescent="0.25">
      <c r="D26" s="4"/>
      <c r="H26" s="4"/>
      <c r="L26" s="4"/>
      <c r="P26" s="4"/>
      <c r="R26" t="s">
        <v>540</v>
      </c>
      <c r="S26" t="s">
        <v>394</v>
      </c>
      <c r="T26" s="4">
        <v>20911</v>
      </c>
      <c r="V26" s="12"/>
      <c r="W26" s="43"/>
      <c r="X26" s="43"/>
      <c r="Y26" s="40">
        <f t="shared" si="8"/>
        <v>20911</v>
      </c>
      <c r="Z26" s="13"/>
      <c r="AC26" s="75"/>
      <c r="AD26" s="21"/>
      <c r="AE26" s="17"/>
      <c r="AF26" s="21"/>
      <c r="AJ26" t="s">
        <v>380</v>
      </c>
      <c r="AK26" t="s">
        <v>251</v>
      </c>
      <c r="AL26" t="s">
        <v>377</v>
      </c>
      <c r="AM26">
        <v>9202</v>
      </c>
    </row>
    <row r="27" spans="2:39" ht="15.75" thickBot="1" x14ac:dyDescent="0.3">
      <c r="D27" s="4"/>
      <c r="H27" s="4"/>
      <c r="L27" s="4"/>
      <c r="P27" s="4"/>
      <c r="R27" t="s">
        <v>541</v>
      </c>
      <c r="S27" t="s">
        <v>542</v>
      </c>
      <c r="T27" s="4">
        <v>15409</v>
      </c>
      <c r="V27" s="12"/>
      <c r="W27" s="43"/>
      <c r="X27" s="43"/>
      <c r="Y27" s="40">
        <f t="shared" si="8"/>
        <v>15409</v>
      </c>
      <c r="Z27" s="13"/>
      <c r="AJ27" t="s">
        <v>503</v>
      </c>
      <c r="AK27" t="s">
        <v>297</v>
      </c>
      <c r="AL27" t="s">
        <v>552</v>
      </c>
      <c r="AM27">
        <v>10646</v>
      </c>
    </row>
    <row r="28" spans="2:39" ht="15.75" thickBot="1" x14ac:dyDescent="0.3">
      <c r="B28" s="129" t="s">
        <v>10</v>
      </c>
      <c r="C28" s="130"/>
      <c r="D28" s="8">
        <f>+SUM(D16:D27)</f>
        <v>46522</v>
      </c>
      <c r="F28" s="129" t="s">
        <v>10</v>
      </c>
      <c r="G28" s="130"/>
      <c r="H28" s="8">
        <f>+SUM(H16:H27)</f>
        <v>78853</v>
      </c>
      <c r="J28" s="129" t="s">
        <v>10</v>
      </c>
      <c r="K28" s="130"/>
      <c r="L28" s="8">
        <f>+SUM(L16:L27)</f>
        <v>73802</v>
      </c>
      <c r="N28" s="129" t="s">
        <v>10</v>
      </c>
      <c r="O28" s="130"/>
      <c r="P28" s="8">
        <f>+SUM(P16:P27)</f>
        <v>87512</v>
      </c>
      <c r="R28" s="129" t="s">
        <v>10</v>
      </c>
      <c r="S28" s="130"/>
      <c r="T28" s="8">
        <f>+SUM(T16:T27)</f>
        <v>245040</v>
      </c>
      <c r="V28" s="12"/>
      <c r="W28" s="129" t="s">
        <v>10</v>
      </c>
      <c r="X28" s="130"/>
      <c r="Y28" s="8">
        <f>+SUM(Y16:Y27)</f>
        <v>531729</v>
      </c>
      <c r="Z28" s="13"/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68487</v>
      </c>
    </row>
    <row r="30" spans="2:39" ht="16.5" thickTop="1" thickBot="1" x14ac:dyDescent="0.3">
      <c r="B30" s="131" t="s">
        <v>11</v>
      </c>
      <c r="C30" s="131"/>
      <c r="D30" s="6">
        <f>+D28-D15</f>
        <v>38</v>
      </c>
      <c r="F30" s="131" t="s">
        <v>11</v>
      </c>
      <c r="G30" s="131"/>
      <c r="H30" s="6">
        <f>+H28-H15</f>
        <v>5299</v>
      </c>
      <c r="J30" s="131" t="s">
        <v>11</v>
      </c>
      <c r="K30" s="131"/>
      <c r="L30" s="6">
        <f>+L28-L15</f>
        <v>-246</v>
      </c>
      <c r="N30" s="131" t="s">
        <v>11</v>
      </c>
      <c r="O30" s="131"/>
      <c r="P30" s="6">
        <f>+P28-P15</f>
        <v>3</v>
      </c>
      <c r="R30" s="131" t="s">
        <v>11</v>
      </c>
      <c r="S30" s="131"/>
      <c r="T30" s="6">
        <f>+T28-T15</f>
        <v>-224</v>
      </c>
      <c r="V30" s="12"/>
      <c r="W30" s="134" t="s">
        <v>11</v>
      </c>
      <c r="X30" s="134"/>
      <c r="Y30" s="45">
        <f>+Y28-Y15</f>
        <v>4870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>
        <v>-5299</v>
      </c>
      <c r="J34" s="9" t="s">
        <v>15</v>
      </c>
      <c r="K34" s="10"/>
      <c r="L34" s="23"/>
      <c r="N34" s="9" t="s">
        <v>15</v>
      </c>
      <c r="O34" s="10"/>
      <c r="P34" s="23"/>
      <c r="R34" s="9" t="s">
        <v>15</v>
      </c>
      <c r="S34" s="10"/>
      <c r="T34" s="23"/>
      <c r="W34" s="46" t="s">
        <v>15</v>
      </c>
      <c r="X34" s="47"/>
      <c r="Y34" s="48">
        <f>+D34+H34+L34+P34+T34</f>
        <v>-5299</v>
      </c>
      <c r="AJ34" s="89" t="s">
        <v>113</v>
      </c>
      <c r="AK34" s="89"/>
      <c r="AL34" s="89"/>
      <c r="AM34" s="92">
        <f>+SUM(AM23:AM33)</f>
        <v>43742</v>
      </c>
    </row>
    <row r="35" spans="2:39" ht="16.5" thickTop="1" thickBot="1" x14ac:dyDescent="0.3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42</v>
      </c>
      <c r="C36" s="17"/>
      <c r="D36" s="24">
        <v>-38</v>
      </c>
      <c r="F36" s="12" t="s">
        <v>42</v>
      </c>
      <c r="G36" s="17"/>
      <c r="H36" s="23">
        <v>-5299</v>
      </c>
      <c r="J36" s="12" t="s">
        <v>23</v>
      </c>
      <c r="K36" s="17"/>
      <c r="L36" s="24"/>
      <c r="N36" s="12" t="s">
        <v>42</v>
      </c>
      <c r="O36" s="17"/>
      <c r="P36" s="24"/>
      <c r="R36" s="12" t="s">
        <v>543</v>
      </c>
      <c r="S36" s="17"/>
      <c r="T36" s="24">
        <v>224</v>
      </c>
      <c r="W36" s="49" t="s">
        <v>23</v>
      </c>
      <c r="X36" s="43"/>
      <c r="Y36" s="50">
        <f t="shared" si="9"/>
        <v>-5113</v>
      </c>
    </row>
    <row r="37" spans="2:39" x14ac:dyDescent="0.25">
      <c r="B37" s="12" t="s">
        <v>3</v>
      </c>
      <c r="C37" s="17"/>
      <c r="D37" s="24">
        <f>+SUM(D34:D36)</f>
        <v>-38</v>
      </c>
      <c r="F37" s="12" t="s">
        <v>3</v>
      </c>
      <c r="G37" s="17"/>
      <c r="H37" s="24">
        <f>+SUM(H34:H36)</f>
        <v>-10598</v>
      </c>
      <c r="J37" s="12" t="s">
        <v>3</v>
      </c>
      <c r="K37" s="17"/>
      <c r="L37" s="24">
        <f>+SUM(L34:L36)</f>
        <v>0</v>
      </c>
      <c r="N37" s="12" t="s">
        <v>3</v>
      </c>
      <c r="O37" s="17"/>
      <c r="P37" s="24">
        <f>+SUM(P34:P36)</f>
        <v>0</v>
      </c>
      <c r="R37" s="12" t="s">
        <v>3</v>
      </c>
      <c r="S37" s="17"/>
      <c r="T37" s="24">
        <f>+SUM(T34:T36)</f>
        <v>224</v>
      </c>
      <c r="W37" s="36" t="s">
        <v>3</v>
      </c>
      <c r="X37" s="37"/>
      <c r="Y37" s="38">
        <f>+SUM(Y34:Y36)</f>
        <v>-10412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-5299</v>
      </c>
      <c r="J38" s="25" t="s">
        <v>22</v>
      </c>
      <c r="K38" s="26"/>
      <c r="L38" s="27">
        <f>+L30+L37</f>
        <v>-246</v>
      </c>
      <c r="N38" s="25" t="s">
        <v>22</v>
      </c>
      <c r="O38" s="26"/>
      <c r="P38" s="27">
        <f>+P30+P37</f>
        <v>3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-5542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27"/>
  <sheetViews>
    <sheetView workbookViewId="0">
      <selection activeCell="L5" sqref="L5"/>
    </sheetView>
  </sheetViews>
  <sheetFormatPr defaultRowHeight="15" x14ac:dyDescent="0.25"/>
  <cols>
    <col min="1" max="1" width="9.140625" style="1"/>
    <col min="2" max="2" width="7.42578125" style="1" customWidth="1"/>
    <col min="3" max="3" width="9.7109375" style="1" bestFit="1" customWidth="1"/>
    <col min="4" max="4" width="9.7109375" style="1" customWidth="1"/>
    <col min="5" max="7" width="9.140625" style="1"/>
    <col min="8" max="8" width="25.28515625" style="1" bestFit="1" customWidth="1"/>
    <col min="9" max="15" width="9.140625" style="1"/>
    <col min="16" max="17" width="9.7109375" style="1" bestFit="1" customWidth="1"/>
    <col min="18" max="16384" width="9.140625" style="1"/>
  </cols>
  <sheetData>
    <row r="2" spans="2:20" x14ac:dyDescent="0.25">
      <c r="O2" s="63" t="s">
        <v>110</v>
      </c>
      <c r="P2" s="63" t="s">
        <v>59</v>
      </c>
      <c r="Q2" s="63" t="s">
        <v>22</v>
      </c>
      <c r="R2" s="63" t="s">
        <v>5</v>
      </c>
      <c r="S2" s="63" t="s">
        <v>111</v>
      </c>
      <c r="T2" s="63" t="s">
        <v>112</v>
      </c>
    </row>
    <row r="3" spans="2:20" x14ac:dyDescent="0.25">
      <c r="B3" s="63" t="s">
        <v>110</v>
      </c>
      <c r="C3" s="63" t="s">
        <v>59</v>
      </c>
      <c r="D3" s="63" t="s">
        <v>22</v>
      </c>
      <c r="E3" s="63" t="s">
        <v>5</v>
      </c>
      <c r="F3" s="63" t="s">
        <v>111</v>
      </c>
      <c r="G3" s="63" t="s">
        <v>112</v>
      </c>
      <c r="J3" s="3" t="s">
        <v>0</v>
      </c>
      <c r="K3" s="3" t="s">
        <v>1</v>
      </c>
      <c r="L3" s="3" t="s">
        <v>2</v>
      </c>
      <c r="O3" s="1">
        <v>1</v>
      </c>
      <c r="P3" s="64">
        <v>45665</v>
      </c>
      <c r="Q3" s="1">
        <v>24240</v>
      </c>
      <c r="R3" s="4">
        <v>1590</v>
      </c>
      <c r="S3" s="120">
        <v>1840</v>
      </c>
      <c r="T3" s="1">
        <f>+Q3+R3-S3</f>
        <v>23990</v>
      </c>
    </row>
    <row r="4" spans="2:20" x14ac:dyDescent="0.25">
      <c r="B4" s="1">
        <v>1</v>
      </c>
      <c r="C4" s="64">
        <v>45937</v>
      </c>
      <c r="D4" s="64"/>
      <c r="E4" s="1">
        <v>10000</v>
      </c>
      <c r="G4" s="1">
        <f>+E4-F4</f>
        <v>10000</v>
      </c>
      <c r="J4" s="31">
        <v>1</v>
      </c>
      <c r="K4" s="31"/>
      <c r="L4" s="39">
        <f>+K4*J4</f>
        <v>0</v>
      </c>
      <c r="O4" s="1">
        <v>2</v>
      </c>
      <c r="P4" s="64">
        <v>45665</v>
      </c>
      <c r="Q4" s="1">
        <f>+T3</f>
        <v>23990</v>
      </c>
      <c r="R4" s="120">
        <v>102</v>
      </c>
      <c r="S4" s="120">
        <v>9610</v>
      </c>
      <c r="T4" s="1">
        <f t="shared" ref="T4:T9" si="0">+Q4+R4-S4</f>
        <v>14482</v>
      </c>
    </row>
    <row r="5" spans="2:20" x14ac:dyDescent="0.25">
      <c r="B5" s="1">
        <v>2</v>
      </c>
      <c r="C5" s="64">
        <v>45968</v>
      </c>
      <c r="D5" s="65">
        <f>+G4</f>
        <v>10000</v>
      </c>
      <c r="G5" s="1">
        <f>+D5+E5-F5</f>
        <v>10000</v>
      </c>
      <c r="J5" s="1">
        <v>10</v>
      </c>
      <c r="K5" s="1">
        <v>1463</v>
      </c>
      <c r="L5" s="39">
        <f>+K5*J5</f>
        <v>14630</v>
      </c>
      <c r="O5" s="1">
        <v>3</v>
      </c>
      <c r="P5" s="64">
        <v>45696</v>
      </c>
      <c r="Q5" s="1">
        <f t="shared" ref="Q5:Q10" si="1">+T4</f>
        <v>14482</v>
      </c>
      <c r="R5" s="120">
        <v>28000</v>
      </c>
      <c r="S5" s="120">
        <v>7490</v>
      </c>
      <c r="T5" s="1">
        <f t="shared" si="0"/>
        <v>34992</v>
      </c>
    </row>
    <row r="6" spans="2:20" x14ac:dyDescent="0.25">
      <c r="B6" s="1">
        <v>3</v>
      </c>
      <c r="C6" s="64">
        <v>45998</v>
      </c>
      <c r="D6" s="65">
        <f t="shared" ref="D6:D24" si="2">+G5</f>
        <v>10000</v>
      </c>
      <c r="G6" s="1">
        <f t="shared" ref="G6:G8" si="3">+D6+E6-F6</f>
        <v>10000</v>
      </c>
      <c r="J6" s="1">
        <v>20</v>
      </c>
      <c r="K6" s="1">
        <v>4</v>
      </c>
      <c r="L6" s="39">
        <f t="shared" ref="L6:L11" si="4">+K6*J6</f>
        <v>80</v>
      </c>
      <c r="O6" s="1">
        <v>4</v>
      </c>
      <c r="Q6" s="1">
        <f t="shared" si="1"/>
        <v>34992</v>
      </c>
      <c r="R6" s="120"/>
      <c r="S6" s="120"/>
      <c r="T6" s="1">
        <f t="shared" si="0"/>
        <v>34992</v>
      </c>
    </row>
    <row r="7" spans="2:20" x14ac:dyDescent="0.25">
      <c r="B7" s="1">
        <v>4</v>
      </c>
      <c r="C7" s="64" t="s">
        <v>126</v>
      </c>
      <c r="D7" s="65">
        <f t="shared" si="2"/>
        <v>10000</v>
      </c>
      <c r="E7" s="1">
        <v>20140</v>
      </c>
      <c r="G7" s="1">
        <f t="shared" si="3"/>
        <v>30140</v>
      </c>
      <c r="J7" s="1">
        <v>50</v>
      </c>
      <c r="K7" s="1">
        <v>1</v>
      </c>
      <c r="L7" s="39">
        <f t="shared" si="4"/>
        <v>50</v>
      </c>
      <c r="O7" s="1">
        <v>5</v>
      </c>
      <c r="Q7" s="1">
        <f t="shared" si="1"/>
        <v>34992</v>
      </c>
      <c r="R7" s="120"/>
      <c r="S7" s="120"/>
      <c r="T7" s="1">
        <f t="shared" si="0"/>
        <v>34992</v>
      </c>
    </row>
    <row r="8" spans="2:20" x14ac:dyDescent="0.25">
      <c r="B8" s="1">
        <v>5</v>
      </c>
      <c r="C8" s="64" t="s">
        <v>129</v>
      </c>
      <c r="D8" s="65">
        <f t="shared" si="2"/>
        <v>30140</v>
      </c>
      <c r="F8" s="1">
        <v>2300</v>
      </c>
      <c r="G8" s="1">
        <f t="shared" si="3"/>
        <v>27840</v>
      </c>
      <c r="J8" s="1">
        <v>100</v>
      </c>
      <c r="K8" s="1">
        <v>1</v>
      </c>
      <c r="L8" s="39">
        <f t="shared" si="4"/>
        <v>100</v>
      </c>
      <c r="O8" s="1">
        <v>6</v>
      </c>
      <c r="Q8" s="1">
        <f t="shared" si="1"/>
        <v>34992</v>
      </c>
      <c r="R8" s="120"/>
      <c r="S8" s="120"/>
      <c r="T8" s="1">
        <f t="shared" si="0"/>
        <v>34992</v>
      </c>
    </row>
    <row r="9" spans="2:20" x14ac:dyDescent="0.25">
      <c r="B9" s="1">
        <v>6</v>
      </c>
      <c r="C9" s="64" t="s">
        <v>141</v>
      </c>
      <c r="D9" s="65">
        <f t="shared" si="2"/>
        <v>27840</v>
      </c>
      <c r="F9" s="1">
        <v>11720</v>
      </c>
      <c r="G9" s="1">
        <f>+D9+E9-F9</f>
        <v>16120</v>
      </c>
      <c r="J9" s="1">
        <v>500</v>
      </c>
      <c r="K9" s="1">
        <v>4</v>
      </c>
      <c r="L9" s="39">
        <f t="shared" si="4"/>
        <v>2000</v>
      </c>
      <c r="O9" s="1">
        <v>7</v>
      </c>
      <c r="Q9" s="1">
        <f t="shared" si="1"/>
        <v>34992</v>
      </c>
      <c r="R9" s="120"/>
      <c r="S9" s="120"/>
      <c r="T9" s="1">
        <f t="shared" si="0"/>
        <v>34992</v>
      </c>
    </row>
    <row r="10" spans="2:20" x14ac:dyDescent="0.25">
      <c r="B10" s="1">
        <v>7</v>
      </c>
      <c r="C10" s="76" t="s">
        <v>174</v>
      </c>
      <c r="D10" s="77">
        <f t="shared" si="2"/>
        <v>16120</v>
      </c>
      <c r="E10" s="78"/>
      <c r="F10" s="78">
        <v>10010</v>
      </c>
      <c r="G10" s="78">
        <f t="shared" ref="G10:G25" si="5">+D10+E10-F10</f>
        <v>6110</v>
      </c>
      <c r="H10" s="1" t="s">
        <v>416</v>
      </c>
      <c r="J10" s="1">
        <v>1000</v>
      </c>
      <c r="K10" s="1">
        <v>18</v>
      </c>
      <c r="L10" s="39">
        <f t="shared" si="4"/>
        <v>18000</v>
      </c>
      <c r="Q10" s="1">
        <f t="shared" si="1"/>
        <v>34992</v>
      </c>
    </row>
    <row r="11" spans="2:20" x14ac:dyDescent="0.25">
      <c r="B11" s="1">
        <v>8</v>
      </c>
      <c r="C11" s="76" t="s">
        <v>174</v>
      </c>
      <c r="D11" s="77">
        <f t="shared" si="2"/>
        <v>6110</v>
      </c>
      <c r="E11" s="78">
        <v>7004</v>
      </c>
      <c r="F11" s="78">
        <v>2410</v>
      </c>
      <c r="G11" s="78">
        <f t="shared" si="5"/>
        <v>10704</v>
      </c>
      <c r="J11" s="1">
        <v>5000</v>
      </c>
      <c r="L11" s="39">
        <f t="shared" si="4"/>
        <v>0</v>
      </c>
    </row>
    <row r="12" spans="2:20" ht="15.75" thickBot="1" x14ac:dyDescent="0.3">
      <c r="B12" s="1">
        <v>9</v>
      </c>
      <c r="C12" s="76" t="s">
        <v>174</v>
      </c>
      <c r="D12" s="65">
        <f t="shared" si="2"/>
        <v>10704</v>
      </c>
      <c r="E12" s="1">
        <v>33750</v>
      </c>
      <c r="F12" s="1">
        <v>10180</v>
      </c>
      <c r="G12" s="1">
        <f t="shared" si="5"/>
        <v>34274</v>
      </c>
      <c r="J12" s="2" t="s">
        <v>3</v>
      </c>
      <c r="K12" s="2"/>
      <c r="L12" s="5">
        <f>+SUM(L4:L11)</f>
        <v>34860</v>
      </c>
    </row>
    <row r="13" spans="2:20" x14ac:dyDescent="0.25">
      <c r="B13" s="1">
        <v>10</v>
      </c>
      <c r="C13" s="76" t="s">
        <v>200</v>
      </c>
      <c r="D13" s="65">
        <f t="shared" si="2"/>
        <v>34274</v>
      </c>
      <c r="E13" s="1">
        <v>2760</v>
      </c>
      <c r="G13" s="1">
        <f t="shared" si="5"/>
        <v>37034</v>
      </c>
      <c r="L13" s="83"/>
    </row>
    <row r="14" spans="2:20" x14ac:dyDescent="0.25">
      <c r="B14" s="1">
        <v>11</v>
      </c>
      <c r="C14" s="76" t="s">
        <v>200</v>
      </c>
      <c r="D14" s="65">
        <f t="shared" si="2"/>
        <v>37034</v>
      </c>
      <c r="F14" s="1">
        <v>8620</v>
      </c>
      <c r="G14" s="1">
        <f t="shared" si="5"/>
        <v>28414</v>
      </c>
      <c r="H14" s="1">
        <v>1356</v>
      </c>
      <c r="L14" s="83"/>
    </row>
    <row r="15" spans="2:20" x14ac:dyDescent="0.25">
      <c r="B15" s="1">
        <v>12</v>
      </c>
      <c r="C15" s="76" t="s">
        <v>241</v>
      </c>
      <c r="D15" s="65">
        <f t="shared" si="2"/>
        <v>28414</v>
      </c>
      <c r="E15" s="1">
        <v>37350</v>
      </c>
      <c r="F15" s="1">
        <v>18810</v>
      </c>
      <c r="G15" s="1">
        <f t="shared" si="5"/>
        <v>46954</v>
      </c>
    </row>
    <row r="16" spans="2:20" x14ac:dyDescent="0.25">
      <c r="B16" s="1">
        <v>13</v>
      </c>
      <c r="C16" s="76" t="s">
        <v>242</v>
      </c>
      <c r="D16" s="65">
        <f t="shared" si="2"/>
        <v>46954</v>
      </c>
      <c r="E16" s="1">
        <v>26000</v>
      </c>
      <c r="F16" s="81">
        <f>54000-5368</f>
        <v>48632</v>
      </c>
      <c r="G16" s="1">
        <f t="shared" si="5"/>
        <v>24322</v>
      </c>
    </row>
    <row r="17" spans="2:8" x14ac:dyDescent="0.25">
      <c r="B17" s="1">
        <v>14</v>
      </c>
      <c r="C17" s="76" t="s">
        <v>258</v>
      </c>
      <c r="D17" s="65">
        <f t="shared" si="2"/>
        <v>24322</v>
      </c>
      <c r="E17" s="1">
        <v>8490</v>
      </c>
      <c r="F17" s="1">
        <v>9610</v>
      </c>
      <c r="G17" s="1">
        <f t="shared" si="5"/>
        <v>23202</v>
      </c>
      <c r="H17" s="83">
        <v>-722</v>
      </c>
    </row>
    <row r="18" spans="2:8" x14ac:dyDescent="0.25">
      <c r="B18" s="102">
        <v>15</v>
      </c>
      <c r="C18" s="106" t="s">
        <v>417</v>
      </c>
      <c r="D18" s="107">
        <f t="shared" si="2"/>
        <v>23202</v>
      </c>
      <c r="E18" s="102">
        <v>70</v>
      </c>
      <c r="F18" s="102">
        <v>3480</v>
      </c>
      <c r="G18" s="102">
        <f t="shared" si="5"/>
        <v>19792</v>
      </c>
      <c r="H18" s="102">
        <v>368</v>
      </c>
    </row>
    <row r="19" spans="2:8" x14ac:dyDescent="0.25">
      <c r="B19" s="1">
        <v>16</v>
      </c>
      <c r="C19" s="76" t="s">
        <v>291</v>
      </c>
      <c r="D19" s="65">
        <f t="shared" si="2"/>
        <v>19792</v>
      </c>
      <c r="E19" s="102">
        <v>497</v>
      </c>
      <c r="F19" s="1">
        <v>1820</v>
      </c>
      <c r="G19" s="1">
        <f t="shared" si="5"/>
        <v>18469</v>
      </c>
      <c r="H19" s="83"/>
    </row>
    <row r="20" spans="2:8" x14ac:dyDescent="0.25">
      <c r="B20" s="1">
        <v>17</v>
      </c>
      <c r="C20" s="76" t="s">
        <v>318</v>
      </c>
      <c r="D20" s="65">
        <f t="shared" si="2"/>
        <v>18469</v>
      </c>
      <c r="E20" s="102">
        <v>12430</v>
      </c>
      <c r="F20" s="1">
        <v>28290</v>
      </c>
      <c r="G20" s="1">
        <f t="shared" si="5"/>
        <v>2609</v>
      </c>
    </row>
    <row r="21" spans="2:8" x14ac:dyDescent="0.25">
      <c r="B21" s="1">
        <v>18</v>
      </c>
      <c r="C21" s="76" t="s">
        <v>367</v>
      </c>
      <c r="D21" s="65">
        <f t="shared" si="2"/>
        <v>2609</v>
      </c>
      <c r="E21" s="102">
        <v>10570</v>
      </c>
      <c r="F21" s="1">
        <v>4730</v>
      </c>
      <c r="G21" s="1">
        <f t="shared" si="5"/>
        <v>8449</v>
      </c>
    </row>
    <row r="22" spans="2:8" x14ac:dyDescent="0.25">
      <c r="B22" s="1">
        <v>19</v>
      </c>
      <c r="C22" s="76" t="s">
        <v>400</v>
      </c>
      <c r="D22" s="65">
        <f t="shared" si="2"/>
        <v>8449</v>
      </c>
      <c r="E22" s="102">
        <v>5670</v>
      </c>
      <c r="F22" s="1">
        <v>9590</v>
      </c>
      <c r="G22" s="1">
        <f t="shared" si="5"/>
        <v>4529</v>
      </c>
    </row>
    <row r="23" spans="2:8" x14ac:dyDescent="0.25">
      <c r="B23" s="103">
        <v>20</v>
      </c>
      <c r="C23" s="104" t="s">
        <v>415</v>
      </c>
      <c r="D23" s="105">
        <f t="shared" si="2"/>
        <v>4529</v>
      </c>
      <c r="E23" s="103">
        <v>9451</v>
      </c>
      <c r="F23" s="103">
        <v>4830</v>
      </c>
      <c r="G23" s="103">
        <f t="shared" si="5"/>
        <v>9150</v>
      </c>
      <c r="H23" s="103"/>
    </row>
    <row r="24" spans="2:8" x14ac:dyDescent="0.25">
      <c r="B24" s="15">
        <v>21</v>
      </c>
      <c r="C24" s="117" t="s">
        <v>456</v>
      </c>
      <c r="D24" s="118">
        <f t="shared" si="2"/>
        <v>9150</v>
      </c>
      <c r="E24" s="119">
        <v>2023</v>
      </c>
      <c r="F24" s="119">
        <v>1480</v>
      </c>
      <c r="G24" s="119">
        <f t="shared" si="5"/>
        <v>9693</v>
      </c>
    </row>
    <row r="25" spans="2:8" x14ac:dyDescent="0.25">
      <c r="B25" s="15">
        <v>22</v>
      </c>
      <c r="C25" s="117" t="s">
        <v>489</v>
      </c>
      <c r="D25" s="118">
        <v>14560</v>
      </c>
      <c r="E25" s="119">
        <v>13000</v>
      </c>
      <c r="F25" s="119">
        <v>3320</v>
      </c>
      <c r="G25" s="119">
        <f t="shared" si="5"/>
        <v>24240</v>
      </c>
      <c r="H25" s="1">
        <v>90</v>
      </c>
    </row>
    <row r="26" spans="2:8" x14ac:dyDescent="0.25">
      <c r="B26" s="15">
        <v>23</v>
      </c>
      <c r="C26" s="15"/>
      <c r="D26" s="116"/>
      <c r="E26" s="15"/>
      <c r="F26" s="15"/>
      <c r="G26" s="15"/>
    </row>
    <row r="27" spans="2:8" x14ac:dyDescent="0.25">
      <c r="B27" s="1">
        <v>24</v>
      </c>
    </row>
  </sheetData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topLeftCell="U1" workbookViewId="0">
      <selection activeCell="AM17" sqref="AM17"/>
    </sheetView>
  </sheetViews>
  <sheetFormatPr defaultRowHeight="15" x14ac:dyDescent="0.25"/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314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/>
      <c r="H5" s="39">
        <f>+G5*F5</f>
        <v>0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0</v>
      </c>
      <c r="Y5" s="40">
        <f>+D5+H5+L5+P5+T5</f>
        <v>0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/>
      <c r="D6" s="39">
        <f>+C6*B6</f>
        <v>0</v>
      </c>
      <c r="F6" s="1">
        <v>10</v>
      </c>
      <c r="G6" s="1"/>
      <c r="H6" s="39">
        <f>+G6*F6</f>
        <v>0</v>
      </c>
      <c r="J6" s="1">
        <v>10</v>
      </c>
      <c r="K6" s="1"/>
      <c r="L6" s="39">
        <f>+K6*J6</f>
        <v>0</v>
      </c>
      <c r="N6" s="1">
        <v>10</v>
      </c>
      <c r="O6" s="1"/>
      <c r="P6" s="39">
        <f>+O6*N6</f>
        <v>0</v>
      </c>
      <c r="R6" s="1">
        <v>10</v>
      </c>
      <c r="S6" s="1"/>
      <c r="T6" s="39">
        <f>+S6*R6</f>
        <v>0</v>
      </c>
      <c r="V6" s="12"/>
      <c r="W6" s="42">
        <v>10</v>
      </c>
      <c r="X6" s="42">
        <f>+C6+G6+K6+O6+S6</f>
        <v>0</v>
      </c>
      <c r="Y6" s="40">
        <f>+D6+H6+L6+P6+T6</f>
        <v>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/>
      <c r="D7" s="39">
        <f t="shared" ref="D7:D12" si="0">+C7*B7</f>
        <v>0</v>
      </c>
      <c r="F7" s="1">
        <v>20</v>
      </c>
      <c r="G7" s="1"/>
      <c r="H7" s="39">
        <f t="shared" ref="H7:H12" si="1">+G7*F7</f>
        <v>0</v>
      </c>
      <c r="J7" s="1">
        <v>20</v>
      </c>
      <c r="K7" s="1"/>
      <c r="L7" s="39">
        <f t="shared" ref="L7:L12" si="2">+K7*J7</f>
        <v>0</v>
      </c>
      <c r="N7" s="1">
        <v>20</v>
      </c>
      <c r="O7" s="1"/>
      <c r="P7" s="39">
        <f t="shared" ref="P7:P12" si="3">+O7*N7</f>
        <v>0</v>
      </c>
      <c r="R7" s="1">
        <v>20</v>
      </c>
      <c r="S7" s="1"/>
      <c r="T7" s="39">
        <f t="shared" ref="T7:T12" si="4">+S7*R7</f>
        <v>0</v>
      </c>
      <c r="V7" s="12"/>
      <c r="W7" s="42">
        <v>20</v>
      </c>
      <c r="X7" s="42">
        <f>+C7+G7+K7+O7+S7</f>
        <v>0</v>
      </c>
      <c r="Y7" s="40">
        <f t="shared" ref="Y7:Y12" si="5">+D7+H7+L7+P7+T7</f>
        <v>0</v>
      </c>
      <c r="Z7" s="13"/>
      <c r="AE7" s="70" t="s">
        <v>5</v>
      </c>
      <c r="AF7" s="71">
        <f>+Y11</f>
        <v>0</v>
      </c>
      <c r="AG7" s="28"/>
      <c r="AH7" s="28"/>
      <c r="AI7" s="28"/>
      <c r="AJ7" s="28"/>
    </row>
    <row r="8" spans="2:39" x14ac:dyDescent="0.25">
      <c r="B8" s="1">
        <v>50</v>
      </c>
      <c r="C8" s="1"/>
      <c r="D8" s="39">
        <f t="shared" si="0"/>
        <v>0</v>
      </c>
      <c r="F8" s="1">
        <v>50</v>
      </c>
      <c r="G8" s="1"/>
      <c r="H8" s="39">
        <f t="shared" si="1"/>
        <v>0</v>
      </c>
      <c r="J8" s="1">
        <v>50</v>
      </c>
      <c r="K8" s="1"/>
      <c r="L8" s="39">
        <f t="shared" si="2"/>
        <v>0</v>
      </c>
      <c r="N8" s="1">
        <v>50</v>
      </c>
      <c r="O8" s="1"/>
      <c r="P8" s="39">
        <f t="shared" si="3"/>
        <v>0</v>
      </c>
      <c r="R8" s="1">
        <v>50</v>
      </c>
      <c r="S8" s="1"/>
      <c r="T8" s="39">
        <f t="shared" si="4"/>
        <v>0</v>
      </c>
      <c r="V8" s="12"/>
      <c r="W8" s="42">
        <v>50</v>
      </c>
      <c r="X8" s="42">
        <f t="shared" ref="X8:X12" si="6">+C8+G8+K8+O8+S8</f>
        <v>0</v>
      </c>
      <c r="Y8" s="40">
        <f t="shared" si="5"/>
        <v>0</v>
      </c>
      <c r="Z8" s="13"/>
      <c r="AE8" s="66" t="s">
        <v>120</v>
      </c>
      <c r="AF8" s="66">
        <f>+AF29</f>
        <v>0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/>
      <c r="D9" s="39">
        <f t="shared" si="0"/>
        <v>0</v>
      </c>
      <c r="F9" s="1">
        <v>100</v>
      </c>
      <c r="G9" s="1"/>
      <c r="H9" s="39">
        <f t="shared" si="1"/>
        <v>0</v>
      </c>
      <c r="J9" s="1">
        <v>100</v>
      </c>
      <c r="K9" s="1"/>
      <c r="L9" s="39">
        <f t="shared" si="2"/>
        <v>0</v>
      </c>
      <c r="N9" s="1">
        <v>100</v>
      </c>
      <c r="O9" s="1"/>
      <c r="P9" s="39">
        <f t="shared" si="3"/>
        <v>0</v>
      </c>
      <c r="R9" s="1">
        <v>100</v>
      </c>
      <c r="S9" s="1"/>
      <c r="T9" s="39">
        <f t="shared" si="4"/>
        <v>0</v>
      </c>
      <c r="V9" s="12"/>
      <c r="W9" s="42">
        <v>100</v>
      </c>
      <c r="X9" s="42">
        <f t="shared" si="6"/>
        <v>0</v>
      </c>
      <c r="Y9" s="40">
        <f t="shared" si="5"/>
        <v>0</v>
      </c>
      <c r="Z9" s="13"/>
      <c r="AE9" s="72" t="s">
        <v>10</v>
      </c>
      <c r="AF9" s="73">
        <f>SUM(AF7:AF8)</f>
        <v>0</v>
      </c>
      <c r="AK9" s="31">
        <v>1</v>
      </c>
      <c r="AL9" s="31"/>
      <c r="AM9" s="39">
        <f>+AL9*AK9</f>
        <v>0</v>
      </c>
    </row>
    <row r="10" spans="2:39" x14ac:dyDescent="0.25">
      <c r="B10" s="1">
        <v>500</v>
      </c>
      <c r="C10" s="1"/>
      <c r="D10" s="39">
        <f t="shared" si="0"/>
        <v>0</v>
      </c>
      <c r="F10" s="1">
        <v>500</v>
      </c>
      <c r="G10" s="1"/>
      <c r="H10" s="39">
        <f t="shared" si="1"/>
        <v>0</v>
      </c>
      <c r="J10" s="1">
        <v>500</v>
      </c>
      <c r="K10" s="1"/>
      <c r="L10" s="39">
        <f t="shared" si="2"/>
        <v>0</v>
      </c>
      <c r="N10" s="1">
        <v>500</v>
      </c>
      <c r="O10" s="1"/>
      <c r="P10" s="39">
        <f t="shared" si="3"/>
        <v>0</v>
      </c>
      <c r="R10" s="1">
        <v>500</v>
      </c>
      <c r="S10" s="1"/>
      <c r="T10" s="39">
        <f t="shared" si="4"/>
        <v>0</v>
      </c>
      <c r="V10" s="12"/>
      <c r="W10" s="42">
        <v>500</v>
      </c>
      <c r="X10" s="42">
        <f t="shared" si="6"/>
        <v>0</v>
      </c>
      <c r="Y10" s="40">
        <f t="shared" si="5"/>
        <v>0</v>
      </c>
      <c r="Z10" s="13"/>
      <c r="AK10" s="1">
        <v>10</v>
      </c>
      <c r="AL10" s="1">
        <v>1721</v>
      </c>
      <c r="AM10" s="39">
        <f>+AL10*AK10</f>
        <v>17210</v>
      </c>
    </row>
    <row r="11" spans="2:39" x14ac:dyDescent="0.25">
      <c r="B11" s="1">
        <v>1000</v>
      </c>
      <c r="C11" s="1"/>
      <c r="D11" s="39">
        <f t="shared" si="0"/>
        <v>0</v>
      </c>
      <c r="F11" s="1">
        <v>1000</v>
      </c>
      <c r="G11" s="1"/>
      <c r="H11" s="39">
        <f t="shared" si="1"/>
        <v>0</v>
      </c>
      <c r="J11" s="1">
        <v>1000</v>
      </c>
      <c r="K11" s="1"/>
      <c r="L11" s="39">
        <f t="shared" si="2"/>
        <v>0</v>
      </c>
      <c r="N11" s="1">
        <v>1000</v>
      </c>
      <c r="O11" s="1"/>
      <c r="P11" s="39">
        <f t="shared" si="3"/>
        <v>0</v>
      </c>
      <c r="R11" s="1">
        <v>1000</v>
      </c>
      <c r="S11" s="1"/>
      <c r="T11" s="39">
        <f t="shared" si="4"/>
        <v>0</v>
      </c>
      <c r="V11" s="12"/>
      <c r="W11" s="42">
        <v>1000</v>
      </c>
      <c r="X11" s="42">
        <f t="shared" si="6"/>
        <v>0</v>
      </c>
      <c r="Y11" s="40">
        <f t="shared" si="5"/>
        <v>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>
        <v>218</v>
      </c>
      <c r="AM11" s="39">
        <f t="shared" ref="AM11:AM16" si="7">+AL11*AK11</f>
        <v>4360</v>
      </c>
    </row>
    <row r="12" spans="2:39" x14ac:dyDescent="0.25">
      <c r="B12" s="1">
        <v>5000</v>
      </c>
      <c r="C12" s="1"/>
      <c r="D12" s="39">
        <f t="shared" si="0"/>
        <v>0</v>
      </c>
      <c r="F12" s="1">
        <v>5000</v>
      </c>
      <c r="G12" s="1"/>
      <c r="H12" s="39">
        <f t="shared" si="1"/>
        <v>0</v>
      </c>
      <c r="J12" s="1">
        <v>5000</v>
      </c>
      <c r="K12" s="1"/>
      <c r="L12" s="39">
        <f t="shared" si="2"/>
        <v>0</v>
      </c>
      <c r="N12" s="1">
        <v>5000</v>
      </c>
      <c r="O12" s="1"/>
      <c r="P12" s="39">
        <f t="shared" si="3"/>
        <v>0</v>
      </c>
      <c r="R12" s="1">
        <v>5000</v>
      </c>
      <c r="S12" s="1"/>
      <c r="T12" s="39">
        <f t="shared" si="4"/>
        <v>0</v>
      </c>
      <c r="V12" s="12"/>
      <c r="W12" s="42">
        <v>5000</v>
      </c>
      <c r="X12" s="42">
        <f t="shared" si="6"/>
        <v>0</v>
      </c>
      <c r="Y12" s="40">
        <f t="shared" si="5"/>
        <v>0</v>
      </c>
      <c r="Z12" s="13"/>
      <c r="AE12" t="s">
        <v>6</v>
      </c>
      <c r="AF12" s="4"/>
      <c r="AH12" s="58"/>
      <c r="AK12" s="1">
        <v>50</v>
      </c>
      <c r="AL12" s="1">
        <v>298</v>
      </c>
      <c r="AM12" s="39">
        <f t="shared" si="7"/>
        <v>14900</v>
      </c>
    </row>
    <row r="13" spans="2:39" ht="15.75" thickBot="1" x14ac:dyDescent="0.3">
      <c r="B13" s="2" t="s">
        <v>3</v>
      </c>
      <c r="C13" s="2"/>
      <c r="D13" s="5">
        <f>+SUM(D5:D12)</f>
        <v>0</v>
      </c>
      <c r="F13" s="2" t="s">
        <v>3</v>
      </c>
      <c r="G13" s="2"/>
      <c r="H13" s="5">
        <f>+SUM(H5:H12)</f>
        <v>0</v>
      </c>
      <c r="J13" s="2" t="s">
        <v>3</v>
      </c>
      <c r="K13" s="2"/>
      <c r="L13" s="5">
        <f>+SUM(L5:L12)</f>
        <v>0</v>
      </c>
      <c r="N13" s="2" t="s">
        <v>3</v>
      </c>
      <c r="O13" s="2"/>
      <c r="P13" s="5">
        <f>+SUM(P5:P12)</f>
        <v>0</v>
      </c>
      <c r="R13" s="2" t="s">
        <v>3</v>
      </c>
      <c r="S13" s="2"/>
      <c r="T13" s="5">
        <f>+SUM(T5:T12)</f>
        <v>0</v>
      </c>
      <c r="V13" s="12"/>
      <c r="W13" s="2" t="s">
        <v>3</v>
      </c>
      <c r="X13" s="2"/>
      <c r="Y13" s="5">
        <f>+SUM(Y5:Y12)</f>
        <v>0</v>
      </c>
      <c r="Z13" s="13"/>
      <c r="AE13" t="s">
        <v>62</v>
      </c>
      <c r="AF13" s="4"/>
      <c r="AK13" s="1">
        <v>100</v>
      </c>
      <c r="AL13" s="1">
        <v>160</v>
      </c>
      <c r="AM13" s="39">
        <f t="shared" si="7"/>
        <v>16000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>
        <v>151</v>
      </c>
      <c r="AM14" s="39">
        <f t="shared" si="7"/>
        <v>75500</v>
      </c>
    </row>
    <row r="15" spans="2:39" ht="15.75" thickBot="1" x14ac:dyDescent="0.3">
      <c r="B15" s="127" t="s">
        <v>4</v>
      </c>
      <c r="C15" s="128"/>
      <c r="D15" s="7"/>
      <c r="E15" s="33"/>
      <c r="F15" s="127" t="s">
        <v>4</v>
      </c>
      <c r="G15" s="128"/>
      <c r="H15" s="7"/>
      <c r="I15" s="33"/>
      <c r="J15" s="127" t="s">
        <v>4</v>
      </c>
      <c r="K15" s="128"/>
      <c r="L15" s="7"/>
      <c r="M15" s="33"/>
      <c r="N15" s="127" t="s">
        <v>4</v>
      </c>
      <c r="O15" s="128"/>
      <c r="P15" s="7"/>
      <c r="Q15" s="33"/>
      <c r="R15" s="127" t="s">
        <v>4</v>
      </c>
      <c r="S15" s="128"/>
      <c r="T15" s="7"/>
      <c r="U15" s="33"/>
      <c r="V15" s="34"/>
      <c r="W15" s="127" t="s">
        <v>4</v>
      </c>
      <c r="X15" s="128"/>
      <c r="Y15" s="7">
        <f>+D15+H15+L15+P15+T15</f>
        <v>0</v>
      </c>
      <c r="Z15" s="35"/>
      <c r="AA15" s="33"/>
      <c r="AE15" t="s">
        <v>64</v>
      </c>
      <c r="AF15" s="4"/>
      <c r="AK15" s="1">
        <v>1000</v>
      </c>
      <c r="AL15" s="1">
        <v>209</v>
      </c>
      <c r="AM15" s="39">
        <f t="shared" si="7"/>
        <v>209000</v>
      </c>
    </row>
    <row r="16" spans="2:39" x14ac:dyDescent="0.25">
      <c r="B16" t="s">
        <v>5</v>
      </c>
      <c r="D16" s="4"/>
      <c r="F16" t="s">
        <v>5</v>
      </c>
      <c r="H16" s="4">
        <f>+H13</f>
        <v>0</v>
      </c>
      <c r="J16" t="s">
        <v>5</v>
      </c>
      <c r="L16" s="4"/>
      <c r="N16" t="s">
        <v>5</v>
      </c>
      <c r="P16" s="4">
        <f>+P13</f>
        <v>0</v>
      </c>
      <c r="R16" t="s">
        <v>5</v>
      </c>
      <c r="T16" s="4"/>
      <c r="V16" s="12"/>
      <c r="W16" s="43" t="s">
        <v>5</v>
      </c>
      <c r="X16" s="43"/>
      <c r="Y16" s="40">
        <f>+D16+H16+L16+P16+T16</f>
        <v>0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>
        <v>7</v>
      </c>
      <c r="AM16" s="39">
        <f t="shared" si="7"/>
        <v>35000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0</v>
      </c>
      <c r="AG17" s="22"/>
      <c r="AK17" s="2" t="s">
        <v>3</v>
      </c>
      <c r="AL17" s="2"/>
      <c r="AM17" s="5">
        <f>+SUM(AM9:AM16)</f>
        <v>371970</v>
      </c>
    </row>
    <row r="18" spans="2:39" x14ac:dyDescent="0.25">
      <c r="B18" t="s">
        <v>43</v>
      </c>
      <c r="D18" s="4"/>
      <c r="F18" t="s">
        <v>7</v>
      </c>
      <c r="H18" s="4"/>
      <c r="J18" t="s">
        <v>43</v>
      </c>
      <c r="L18" s="4"/>
      <c r="N18" t="s">
        <v>7</v>
      </c>
      <c r="P18" s="4"/>
      <c r="R18" t="s">
        <v>43</v>
      </c>
      <c r="T18" s="4"/>
      <c r="V18" s="12"/>
      <c r="W18" s="43" t="s">
        <v>7</v>
      </c>
      <c r="X18" s="43"/>
      <c r="Y18" s="40">
        <f t="shared" si="8"/>
        <v>0</v>
      </c>
      <c r="Z18" s="13"/>
      <c r="AE18" s="56" t="s">
        <v>66</v>
      </c>
      <c r="AF18" s="57">
        <f>+AF17-AF9</f>
        <v>0</v>
      </c>
      <c r="AG18" t="s">
        <v>214</v>
      </c>
    </row>
    <row r="19" spans="2:39" x14ac:dyDescent="0.25">
      <c r="B19" t="s">
        <v>8</v>
      </c>
      <c r="D19" s="4"/>
      <c r="F19" t="s">
        <v>8</v>
      </c>
      <c r="H19" s="4"/>
      <c r="J19" t="s">
        <v>43</v>
      </c>
      <c r="L19" s="4"/>
      <c r="N19" t="s">
        <v>8</v>
      </c>
      <c r="P19" s="4"/>
      <c r="R19" t="s">
        <v>43</v>
      </c>
      <c r="T19" s="4"/>
      <c r="V19" s="12"/>
      <c r="W19" s="43" t="s">
        <v>8</v>
      </c>
      <c r="X19" s="43"/>
      <c r="Y19" s="40">
        <f t="shared" si="8"/>
        <v>0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0</v>
      </c>
      <c r="Z20" s="13"/>
    </row>
    <row r="21" spans="2:39" x14ac:dyDescent="0.25">
      <c r="D21" s="4"/>
      <c r="H21" s="4"/>
      <c r="L21" s="4"/>
      <c r="P21" s="4"/>
      <c r="R21" t="s">
        <v>43</v>
      </c>
      <c r="T21" s="4"/>
      <c r="V21" s="12"/>
      <c r="W21" s="43"/>
      <c r="X21" s="43"/>
      <c r="Y21" s="40">
        <f t="shared" si="8"/>
        <v>0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/>
      <c r="V22" s="12"/>
      <c r="W22" s="43"/>
      <c r="X22" s="43"/>
      <c r="Y22" s="40">
        <f t="shared" si="8"/>
        <v>0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28</v>
      </c>
      <c r="T23" s="4"/>
      <c r="V23" s="12"/>
      <c r="W23" s="44" t="s">
        <v>28</v>
      </c>
      <c r="X23" s="43"/>
      <c r="Y23" s="40">
        <f t="shared" si="8"/>
        <v>0</v>
      </c>
      <c r="Z23" s="13"/>
      <c r="AC23" s="58"/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29</v>
      </c>
      <c r="T24" s="4"/>
      <c r="V24" s="12"/>
      <c r="W24" s="44" t="s">
        <v>29</v>
      </c>
      <c r="X24" s="43"/>
      <c r="Y24" s="40">
        <f t="shared" si="8"/>
        <v>0</v>
      </c>
      <c r="Z24" s="13"/>
      <c r="AC24" s="58"/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31</v>
      </c>
      <c r="T25" s="4"/>
      <c r="V25" s="12"/>
      <c r="W25" s="44" t="s">
        <v>31</v>
      </c>
      <c r="X25" s="43"/>
      <c r="Y25" s="40">
        <f t="shared" si="8"/>
        <v>0</v>
      </c>
      <c r="Z25" s="13"/>
      <c r="AC25" s="75"/>
      <c r="AD25" s="17"/>
      <c r="AE25" s="17"/>
      <c r="AF25" s="17"/>
    </row>
    <row r="26" spans="2:39" x14ac:dyDescent="0.25">
      <c r="D26" s="4"/>
      <c r="H26" s="4"/>
      <c r="L26" s="4"/>
      <c r="P26" s="4"/>
      <c r="V26" s="12"/>
      <c r="W26" s="43"/>
      <c r="X26" s="43"/>
      <c r="Y26" s="40">
        <f t="shared" si="8"/>
        <v>0</v>
      </c>
      <c r="Z26" s="13"/>
      <c r="AC26" s="75"/>
      <c r="AD26" s="21"/>
      <c r="AE26" s="17"/>
      <c r="AF26" s="21"/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</row>
    <row r="28" spans="2:39" ht="15.75" thickBot="1" x14ac:dyDescent="0.3">
      <c r="B28" s="129" t="s">
        <v>10</v>
      </c>
      <c r="C28" s="130"/>
      <c r="D28" s="8">
        <f>+SUM(D16:D27)</f>
        <v>0</v>
      </c>
      <c r="F28" s="129" t="s">
        <v>10</v>
      </c>
      <c r="G28" s="130"/>
      <c r="H28" s="8">
        <f>+SUM(H16:H27)</f>
        <v>0</v>
      </c>
      <c r="J28" s="129" t="s">
        <v>10</v>
      </c>
      <c r="K28" s="130"/>
      <c r="L28" s="8">
        <f>+SUM(L16:L27)</f>
        <v>0</v>
      </c>
      <c r="N28" s="129" t="s">
        <v>10</v>
      </c>
      <c r="O28" s="130"/>
      <c r="P28" s="8">
        <f>+SUM(P16:P27)</f>
        <v>0</v>
      </c>
      <c r="R28" s="129" t="s">
        <v>10</v>
      </c>
      <c r="S28" s="130"/>
      <c r="T28" s="8">
        <f>+SUM(T16:T27)</f>
        <v>0</v>
      </c>
      <c r="V28" s="12"/>
      <c r="W28" s="129" t="s">
        <v>10</v>
      </c>
      <c r="X28" s="130"/>
      <c r="Y28" s="8">
        <f>+SUM(Y16:Y27)</f>
        <v>0</v>
      </c>
      <c r="Z28" s="13"/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0</v>
      </c>
    </row>
    <row r="30" spans="2:39" ht="16.5" thickTop="1" thickBot="1" x14ac:dyDescent="0.3">
      <c r="B30" s="131" t="s">
        <v>11</v>
      </c>
      <c r="C30" s="131"/>
      <c r="D30" s="6">
        <f>+D28-D15</f>
        <v>0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0</v>
      </c>
      <c r="N30" s="131" t="s">
        <v>11</v>
      </c>
      <c r="O30" s="131"/>
      <c r="P30" s="6">
        <f>+P28-P15</f>
        <v>0</v>
      </c>
      <c r="R30" s="131" t="s">
        <v>11</v>
      </c>
      <c r="S30" s="131"/>
      <c r="T30" s="6">
        <f>+T28-T15</f>
        <v>0</v>
      </c>
      <c r="V30" s="12"/>
      <c r="W30" s="134" t="s">
        <v>11</v>
      </c>
      <c r="X30" s="134"/>
      <c r="Y30" s="45">
        <f>+Y28-Y15</f>
        <v>0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/>
      <c r="R34" s="9" t="s">
        <v>15</v>
      </c>
      <c r="S34" s="10"/>
      <c r="T34" s="23"/>
      <c r="W34" s="46" t="s">
        <v>15</v>
      </c>
      <c r="X34" s="47"/>
      <c r="Y34" s="48">
        <f>+D34+H34+L34+P34+T34</f>
        <v>0</v>
      </c>
      <c r="AJ34" s="89" t="s">
        <v>113</v>
      </c>
      <c r="AK34" s="89"/>
      <c r="AL34" s="89"/>
      <c r="AM34" s="92">
        <f>+SUM(AM23:AM33)</f>
        <v>0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23</v>
      </c>
      <c r="K36" s="17"/>
      <c r="L36" s="24"/>
      <c r="N36" s="12" t="s">
        <v>42</v>
      </c>
      <c r="O36" s="17"/>
      <c r="P36" s="24"/>
      <c r="R36" s="12" t="s">
        <v>41</v>
      </c>
      <c r="S36" s="17"/>
      <c r="T36" s="24"/>
      <c r="W36" s="49" t="s">
        <v>23</v>
      </c>
      <c r="X36" s="43"/>
      <c r="Y36" s="50">
        <f t="shared" si="9"/>
        <v>0</v>
      </c>
    </row>
    <row r="37" spans="2:39" x14ac:dyDescent="0.25">
      <c r="B37" s="12" t="s">
        <v>3</v>
      </c>
      <c r="C37" s="17"/>
      <c r="D37" s="24">
        <f>+SUM(D34:D36)</f>
        <v>0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0</v>
      </c>
      <c r="N37" s="12" t="s">
        <v>3</v>
      </c>
      <c r="O37" s="17"/>
      <c r="P37" s="24">
        <f>+SUM(P34:P36)</f>
        <v>0</v>
      </c>
      <c r="R37" s="12" t="s">
        <v>3</v>
      </c>
      <c r="S37" s="17"/>
      <c r="T37" s="24">
        <f>+SUM(T34:T36)</f>
        <v>0</v>
      </c>
      <c r="W37" s="36" t="s">
        <v>3</v>
      </c>
      <c r="X37" s="37"/>
      <c r="Y37" s="38">
        <f>+SUM(Y34:Y36)</f>
        <v>0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0</v>
      </c>
      <c r="W38" s="25" t="s">
        <v>22</v>
      </c>
      <c r="X38" s="26"/>
      <c r="Y38" s="27">
        <f>+Y30+Y37</f>
        <v>0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workbookViewId="0">
      <selection activeCell="Q25" sqref="Q25"/>
    </sheetView>
  </sheetViews>
  <sheetFormatPr defaultRowHeight="15" x14ac:dyDescent="0.25"/>
  <cols>
    <col min="20" max="20" width="10.5703125" bestFit="1" customWidth="1"/>
  </cols>
  <sheetData>
    <row r="3" spans="2:39" x14ac:dyDescent="0.25">
      <c r="B3" s="132" t="s">
        <v>44</v>
      </c>
      <c r="C3" s="132"/>
      <c r="D3" s="132"/>
      <c r="F3" s="132" t="s">
        <v>24</v>
      </c>
      <c r="G3" s="132"/>
      <c r="H3" s="132"/>
      <c r="J3" s="132" t="s">
        <v>91</v>
      </c>
      <c r="K3" s="132"/>
      <c r="L3" s="132"/>
      <c r="N3" s="132" t="s">
        <v>12</v>
      </c>
      <c r="O3" s="132"/>
      <c r="P3" s="132"/>
      <c r="R3" s="132" t="s">
        <v>96</v>
      </c>
      <c r="S3" s="132"/>
      <c r="T3" s="132"/>
      <c r="V3" s="12"/>
      <c r="W3" s="126" t="s">
        <v>16</v>
      </c>
      <c r="X3" s="126"/>
      <c r="Y3" s="126"/>
      <c r="Z3" s="13"/>
    </row>
    <row r="4" spans="2:39" x14ac:dyDescent="0.2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J4" s="3" t="s">
        <v>0</v>
      </c>
      <c r="K4" s="3" t="s">
        <v>1</v>
      </c>
      <c r="L4" s="3" t="s">
        <v>2</v>
      </c>
      <c r="N4" s="3" t="s">
        <v>0</v>
      </c>
      <c r="O4" s="3" t="s">
        <v>1</v>
      </c>
      <c r="P4" s="3" t="s">
        <v>2</v>
      </c>
      <c r="R4" s="3" t="s">
        <v>0</v>
      </c>
      <c r="S4" s="3" t="s">
        <v>1</v>
      </c>
      <c r="T4" s="3" t="s">
        <v>2</v>
      </c>
      <c r="V4" s="12"/>
      <c r="W4" s="14" t="s">
        <v>0</v>
      </c>
      <c r="X4" s="14" t="s">
        <v>1</v>
      </c>
      <c r="Y4" s="14" t="s">
        <v>2</v>
      </c>
      <c r="Z4" s="13"/>
    </row>
    <row r="5" spans="2:39" ht="15.75" thickBot="1" x14ac:dyDescent="0.3">
      <c r="B5" s="31">
        <v>1</v>
      </c>
      <c r="C5" s="31"/>
      <c r="D5" s="39">
        <f>+C5*B5</f>
        <v>0</v>
      </c>
      <c r="E5" s="28"/>
      <c r="F5" s="31">
        <v>1</v>
      </c>
      <c r="G5" s="31"/>
      <c r="H5" s="39">
        <f>+G5*F5</f>
        <v>0</v>
      </c>
      <c r="I5" s="28"/>
      <c r="J5" s="31">
        <v>1</v>
      </c>
      <c r="K5" s="31"/>
      <c r="L5" s="39">
        <f>+K5*J5</f>
        <v>0</v>
      </c>
      <c r="M5" s="28"/>
      <c r="N5" s="31">
        <v>1</v>
      </c>
      <c r="O5" s="31"/>
      <c r="P5" s="39">
        <f>+O5*N5</f>
        <v>0</v>
      </c>
      <c r="Q5" s="28"/>
      <c r="R5" s="31">
        <v>1</v>
      </c>
      <c r="S5" s="31"/>
      <c r="T5" s="39">
        <f>+S5*R5</f>
        <v>0</v>
      </c>
      <c r="U5" s="28"/>
      <c r="V5" s="29"/>
      <c r="W5" s="41">
        <v>1</v>
      </c>
      <c r="X5" s="42">
        <f>+C5+G5+K5+O5+S5</f>
        <v>0</v>
      </c>
      <c r="Y5" s="40">
        <f>+D5+H5+L5+P5+T5</f>
        <v>0</v>
      </c>
      <c r="Z5" s="30"/>
      <c r="AA5" s="28"/>
      <c r="AE5" s="133" t="s">
        <v>56</v>
      </c>
      <c r="AF5" s="133"/>
      <c r="AG5" s="133"/>
      <c r="AH5" s="133"/>
      <c r="AI5" s="133"/>
      <c r="AJ5" s="80"/>
    </row>
    <row r="6" spans="2:39" ht="15.75" thickTop="1" x14ac:dyDescent="0.25">
      <c r="B6" s="1">
        <v>10</v>
      </c>
      <c r="C6" s="1"/>
      <c r="D6" s="39">
        <f>+C6*B6</f>
        <v>0</v>
      </c>
      <c r="F6" s="1">
        <v>10</v>
      </c>
      <c r="G6" s="1"/>
      <c r="H6" s="39">
        <f>+G6*F6</f>
        <v>0</v>
      </c>
      <c r="J6" s="1">
        <v>10</v>
      </c>
      <c r="K6" s="1"/>
      <c r="L6" s="39">
        <f>+K6*J6</f>
        <v>0</v>
      </c>
      <c r="N6" s="1">
        <v>10</v>
      </c>
      <c r="O6" s="1"/>
      <c r="P6" s="39">
        <f>+O6*N6</f>
        <v>0</v>
      </c>
      <c r="R6" s="1">
        <v>10</v>
      </c>
      <c r="S6" s="1">
        <v>300</v>
      </c>
      <c r="T6" s="39">
        <f>+S6*R6</f>
        <v>3000</v>
      </c>
      <c r="V6" s="12"/>
      <c r="W6" s="42">
        <v>10</v>
      </c>
      <c r="X6" s="42">
        <f>+C6+G6+K6+O6+S6</f>
        <v>300</v>
      </c>
      <c r="Y6" s="40">
        <f>+D6+H6+L6+P6+T6</f>
        <v>3000</v>
      </c>
      <c r="Z6" s="13"/>
      <c r="AB6" s="28"/>
      <c r="AC6" s="28"/>
      <c r="AD6" s="28"/>
      <c r="AK6" s="28"/>
      <c r="AL6" s="28"/>
      <c r="AM6" s="28"/>
    </row>
    <row r="7" spans="2:39" x14ac:dyDescent="0.25">
      <c r="B7" s="1">
        <v>20</v>
      </c>
      <c r="C7" s="1"/>
      <c r="D7" s="39">
        <f t="shared" ref="D7:D12" si="0">+C7*B7</f>
        <v>0</v>
      </c>
      <c r="F7" s="1">
        <v>20</v>
      </c>
      <c r="G7" s="1"/>
      <c r="H7" s="39">
        <f t="shared" ref="H7:H12" si="1">+G7*F7</f>
        <v>0</v>
      </c>
      <c r="J7" s="1">
        <v>20</v>
      </c>
      <c r="K7" s="1"/>
      <c r="L7" s="39">
        <f t="shared" ref="L7:L12" si="2">+K7*J7</f>
        <v>0</v>
      </c>
      <c r="N7" s="1">
        <v>20</v>
      </c>
      <c r="O7" s="1"/>
      <c r="P7" s="39">
        <f t="shared" ref="P7:P12" si="3">+O7*N7</f>
        <v>0</v>
      </c>
      <c r="R7" s="1">
        <v>20</v>
      </c>
      <c r="S7" s="1">
        <v>51</v>
      </c>
      <c r="T7" s="39">
        <f t="shared" ref="T7:T12" si="4">+S7*R7</f>
        <v>1020</v>
      </c>
      <c r="V7" s="12"/>
      <c r="W7" s="42">
        <v>20</v>
      </c>
      <c r="X7" s="42">
        <f>+C7+G7+K7+O7+S7</f>
        <v>51</v>
      </c>
      <c r="Y7" s="40">
        <f t="shared" ref="Y7:Y12" si="5">+D7+H7+L7+P7+T7</f>
        <v>1020</v>
      </c>
      <c r="Z7" s="13"/>
      <c r="AE7" s="70" t="s">
        <v>5</v>
      </c>
      <c r="AF7" s="71">
        <f>+Y11</f>
        <v>4000</v>
      </c>
      <c r="AG7" s="28"/>
      <c r="AH7" s="28"/>
      <c r="AI7" s="28"/>
      <c r="AJ7" s="28"/>
    </row>
    <row r="8" spans="2:39" x14ac:dyDescent="0.25">
      <c r="B8" s="1">
        <v>50</v>
      </c>
      <c r="C8" s="1"/>
      <c r="D8" s="39">
        <f t="shared" si="0"/>
        <v>0</v>
      </c>
      <c r="F8" s="1">
        <v>50</v>
      </c>
      <c r="G8" s="1"/>
      <c r="H8" s="39">
        <f t="shared" si="1"/>
        <v>0</v>
      </c>
      <c r="J8" s="1">
        <v>50</v>
      </c>
      <c r="K8" s="1"/>
      <c r="L8" s="39">
        <f t="shared" si="2"/>
        <v>0</v>
      </c>
      <c r="N8" s="1">
        <v>50</v>
      </c>
      <c r="O8" s="1"/>
      <c r="P8" s="39">
        <f t="shared" si="3"/>
        <v>0</v>
      </c>
      <c r="R8" s="1">
        <v>50</v>
      </c>
      <c r="S8" s="1">
        <v>101</v>
      </c>
      <c r="T8" s="39">
        <f t="shared" si="4"/>
        <v>5050</v>
      </c>
      <c r="V8" s="12"/>
      <c r="W8" s="42">
        <v>50</v>
      </c>
      <c r="X8" s="42">
        <f t="shared" ref="X8:X12" si="6">+C8+G8+K8+O8+S8</f>
        <v>101</v>
      </c>
      <c r="Y8" s="40">
        <f t="shared" si="5"/>
        <v>5050</v>
      </c>
      <c r="Z8" s="13"/>
      <c r="AE8" s="66" t="s">
        <v>120</v>
      </c>
      <c r="AF8" s="66">
        <f>+AF29</f>
        <v>0</v>
      </c>
      <c r="AK8" s="3" t="s">
        <v>0</v>
      </c>
      <c r="AL8" s="3" t="s">
        <v>1</v>
      </c>
      <c r="AM8" s="3" t="s">
        <v>2</v>
      </c>
    </row>
    <row r="9" spans="2:39" ht="15.75" thickBot="1" x14ac:dyDescent="0.3">
      <c r="B9" s="1">
        <v>100</v>
      </c>
      <c r="C9" s="1"/>
      <c r="D9" s="39">
        <f t="shared" si="0"/>
        <v>0</v>
      </c>
      <c r="F9" s="1">
        <v>100</v>
      </c>
      <c r="G9" s="1"/>
      <c r="H9" s="39">
        <f t="shared" si="1"/>
        <v>0</v>
      </c>
      <c r="J9" s="1">
        <v>100</v>
      </c>
      <c r="K9" s="1"/>
      <c r="L9" s="39">
        <f t="shared" si="2"/>
        <v>0</v>
      </c>
      <c r="N9" s="1">
        <v>100</v>
      </c>
      <c r="O9" s="1"/>
      <c r="P9" s="39">
        <f t="shared" si="3"/>
        <v>0</v>
      </c>
      <c r="R9" s="1">
        <v>100</v>
      </c>
      <c r="S9" s="1">
        <v>4</v>
      </c>
      <c r="T9" s="39">
        <f t="shared" si="4"/>
        <v>400</v>
      </c>
      <c r="V9" s="12"/>
      <c r="W9" s="42">
        <v>100</v>
      </c>
      <c r="X9" s="42">
        <f t="shared" si="6"/>
        <v>4</v>
      </c>
      <c r="Y9" s="40">
        <f t="shared" si="5"/>
        <v>400</v>
      </c>
      <c r="Z9" s="13"/>
      <c r="AE9" s="72" t="s">
        <v>10</v>
      </c>
      <c r="AF9" s="73">
        <f>SUM(AF7:AF8)</f>
        <v>4000</v>
      </c>
      <c r="AK9" s="31">
        <v>1</v>
      </c>
      <c r="AL9" s="31"/>
      <c r="AM9" s="39">
        <f>+AL9*AK9</f>
        <v>0</v>
      </c>
    </row>
    <row r="10" spans="2:39" x14ac:dyDescent="0.25">
      <c r="B10" s="1">
        <v>500</v>
      </c>
      <c r="C10" s="1"/>
      <c r="D10" s="39">
        <f t="shared" si="0"/>
        <v>0</v>
      </c>
      <c r="F10" s="1">
        <v>500</v>
      </c>
      <c r="G10" s="1"/>
      <c r="H10" s="39">
        <f t="shared" si="1"/>
        <v>0</v>
      </c>
      <c r="J10" s="1">
        <v>500</v>
      </c>
      <c r="K10" s="1"/>
      <c r="L10" s="39">
        <f t="shared" si="2"/>
        <v>0</v>
      </c>
      <c r="N10" s="1">
        <v>500</v>
      </c>
      <c r="O10" s="1"/>
      <c r="P10" s="39">
        <f t="shared" si="3"/>
        <v>0</v>
      </c>
      <c r="R10" s="1">
        <v>500</v>
      </c>
      <c r="S10" s="1"/>
      <c r="T10" s="39">
        <f t="shared" si="4"/>
        <v>0</v>
      </c>
      <c r="V10" s="12"/>
      <c r="W10" s="42">
        <v>500</v>
      </c>
      <c r="X10" s="42">
        <f t="shared" si="6"/>
        <v>0</v>
      </c>
      <c r="Y10" s="40">
        <f t="shared" si="5"/>
        <v>0</v>
      </c>
      <c r="Z10" s="13"/>
      <c r="AK10" s="1">
        <v>10</v>
      </c>
      <c r="AL10" s="1"/>
      <c r="AM10" s="39">
        <f>+AL10*AK10</f>
        <v>0</v>
      </c>
    </row>
    <row r="11" spans="2:39" x14ac:dyDescent="0.25">
      <c r="B11" s="1">
        <v>1000</v>
      </c>
      <c r="C11" s="1"/>
      <c r="D11" s="39">
        <f t="shared" si="0"/>
        <v>0</v>
      </c>
      <c r="F11" s="1">
        <v>1000</v>
      </c>
      <c r="G11" s="1"/>
      <c r="H11" s="39">
        <f t="shared" si="1"/>
        <v>0</v>
      </c>
      <c r="J11" s="1">
        <v>1000</v>
      </c>
      <c r="K11" s="1"/>
      <c r="L11" s="39">
        <f t="shared" si="2"/>
        <v>0</v>
      </c>
      <c r="N11" s="1">
        <v>1000</v>
      </c>
      <c r="O11" s="1"/>
      <c r="P11" s="39">
        <f t="shared" si="3"/>
        <v>0</v>
      </c>
      <c r="R11" s="1">
        <v>1000</v>
      </c>
      <c r="S11" s="1">
        <v>4</v>
      </c>
      <c r="T11" s="39">
        <f t="shared" si="4"/>
        <v>4000</v>
      </c>
      <c r="V11" s="12"/>
      <c r="W11" s="42">
        <v>1000</v>
      </c>
      <c r="X11" s="42">
        <f t="shared" si="6"/>
        <v>4</v>
      </c>
      <c r="Y11" s="40">
        <f t="shared" si="5"/>
        <v>4000</v>
      </c>
      <c r="Z11" s="13"/>
      <c r="AE11" s="53" t="s">
        <v>57</v>
      </c>
      <c r="AF11" s="53" t="s">
        <v>2</v>
      </c>
      <c r="AG11" s="53" t="s">
        <v>58</v>
      </c>
      <c r="AH11" s="53" t="s">
        <v>59</v>
      </c>
      <c r="AI11" s="53" t="s">
        <v>60</v>
      </c>
      <c r="AJ11" s="53"/>
      <c r="AK11" s="1">
        <v>20</v>
      </c>
      <c r="AL11" s="1"/>
      <c r="AM11" s="39">
        <f t="shared" ref="AM11:AM16" si="7">+AL11*AK11</f>
        <v>0</v>
      </c>
    </row>
    <row r="12" spans="2:39" x14ac:dyDescent="0.25">
      <c r="B12" s="1">
        <v>5000</v>
      </c>
      <c r="C12" s="1"/>
      <c r="D12" s="39">
        <f t="shared" si="0"/>
        <v>0</v>
      </c>
      <c r="F12" s="1">
        <v>5000</v>
      </c>
      <c r="G12" s="1"/>
      <c r="H12" s="39">
        <f t="shared" si="1"/>
        <v>0</v>
      </c>
      <c r="J12" s="1">
        <v>5000</v>
      </c>
      <c r="K12" s="1"/>
      <c r="L12" s="39">
        <f t="shared" si="2"/>
        <v>0</v>
      </c>
      <c r="N12" s="1">
        <v>5000</v>
      </c>
      <c r="O12" s="1"/>
      <c r="P12" s="39">
        <f t="shared" si="3"/>
        <v>0</v>
      </c>
      <c r="R12" s="1">
        <v>5000</v>
      </c>
      <c r="S12" s="1">
        <v>1</v>
      </c>
      <c r="T12" s="39">
        <f t="shared" si="4"/>
        <v>5000</v>
      </c>
      <c r="V12" s="12"/>
      <c r="W12" s="42">
        <v>5000</v>
      </c>
      <c r="X12" s="42">
        <f t="shared" si="6"/>
        <v>1</v>
      </c>
      <c r="Y12" s="40">
        <f t="shared" si="5"/>
        <v>5000</v>
      </c>
      <c r="Z12" s="13"/>
      <c r="AE12" t="s">
        <v>6</v>
      </c>
      <c r="AF12" s="4"/>
      <c r="AH12" s="58"/>
      <c r="AK12" s="1">
        <v>50</v>
      </c>
      <c r="AL12" s="1"/>
      <c r="AM12" s="39">
        <f t="shared" si="7"/>
        <v>0</v>
      </c>
    </row>
    <row r="13" spans="2:39" ht="15.75" thickBot="1" x14ac:dyDescent="0.3">
      <c r="B13" s="2" t="s">
        <v>3</v>
      </c>
      <c r="C13" s="2"/>
      <c r="D13" s="5">
        <f>+SUM(D5:D12)</f>
        <v>0</v>
      </c>
      <c r="F13" s="2" t="s">
        <v>3</v>
      </c>
      <c r="G13" s="2"/>
      <c r="H13" s="5">
        <f>+SUM(H5:H12)</f>
        <v>0</v>
      </c>
      <c r="J13" s="2" t="s">
        <v>3</v>
      </c>
      <c r="K13" s="2"/>
      <c r="L13" s="5">
        <f>+SUM(L5:L12)</f>
        <v>0</v>
      </c>
      <c r="N13" s="2" t="s">
        <v>3</v>
      </c>
      <c r="O13" s="2"/>
      <c r="P13" s="5">
        <f>+SUM(P5:P12)</f>
        <v>0</v>
      </c>
      <c r="R13" s="2" t="s">
        <v>3</v>
      </c>
      <c r="S13" s="2"/>
      <c r="T13" s="5">
        <f>+SUM(T5:T12)</f>
        <v>18470</v>
      </c>
      <c r="V13" s="12"/>
      <c r="W13" s="2" t="s">
        <v>3</v>
      </c>
      <c r="X13" s="2"/>
      <c r="Y13" s="5">
        <f>+SUM(Y5:Y12)</f>
        <v>18470</v>
      </c>
      <c r="Z13" s="13"/>
      <c r="AE13" t="s">
        <v>62</v>
      </c>
      <c r="AF13" s="4"/>
      <c r="AK13" s="1">
        <v>100</v>
      </c>
      <c r="AL13" s="1"/>
      <c r="AM13" s="39">
        <f t="shared" si="7"/>
        <v>0</v>
      </c>
    </row>
    <row r="14" spans="2:39" ht="15.75" thickBot="1" x14ac:dyDescent="0.3">
      <c r="V14" s="12"/>
      <c r="W14" s="17"/>
      <c r="X14" s="17"/>
      <c r="Y14" s="17"/>
      <c r="Z14" s="13"/>
      <c r="AE14" t="s">
        <v>63</v>
      </c>
      <c r="AF14" s="4"/>
      <c r="AK14" s="1">
        <v>500</v>
      </c>
      <c r="AL14" s="1"/>
      <c r="AM14" s="39">
        <f t="shared" si="7"/>
        <v>0</v>
      </c>
    </row>
    <row r="15" spans="2:39" ht="15.75" thickBot="1" x14ac:dyDescent="0.3">
      <c r="B15" s="127" t="s">
        <v>4</v>
      </c>
      <c r="C15" s="128"/>
      <c r="D15" s="7"/>
      <c r="E15" s="33"/>
      <c r="F15" s="127" t="s">
        <v>4</v>
      </c>
      <c r="G15" s="128"/>
      <c r="H15" s="7"/>
      <c r="I15" s="33"/>
      <c r="J15" s="127" t="s">
        <v>4</v>
      </c>
      <c r="K15" s="128"/>
      <c r="L15" s="7"/>
      <c r="M15" s="33"/>
      <c r="N15" s="127" t="s">
        <v>4</v>
      </c>
      <c r="O15" s="128"/>
      <c r="P15" s="7"/>
      <c r="Q15" s="33"/>
      <c r="R15" s="127" t="s">
        <v>4</v>
      </c>
      <c r="S15" s="128"/>
      <c r="T15" s="7">
        <v>460875</v>
      </c>
      <c r="U15" s="33"/>
      <c r="V15" s="34"/>
      <c r="W15" s="127" t="s">
        <v>4</v>
      </c>
      <c r="X15" s="128"/>
      <c r="Y15" s="7">
        <f>+D15+H15+L15+P15+T15</f>
        <v>460875</v>
      </c>
      <c r="Z15" s="35"/>
      <c r="AA15" s="33"/>
      <c r="AE15" t="s">
        <v>64</v>
      </c>
      <c r="AF15" s="4"/>
      <c r="AK15" s="1">
        <v>1000</v>
      </c>
      <c r="AL15" s="1"/>
      <c r="AM15" s="39">
        <f t="shared" si="7"/>
        <v>0</v>
      </c>
    </row>
    <row r="16" spans="2:39" x14ac:dyDescent="0.25">
      <c r="B16" t="s">
        <v>5</v>
      </c>
      <c r="D16" s="4"/>
      <c r="F16" t="s">
        <v>5</v>
      </c>
      <c r="H16" s="4">
        <f>+H13</f>
        <v>0</v>
      </c>
      <c r="J16" t="s">
        <v>5</v>
      </c>
      <c r="L16" s="4"/>
      <c r="N16" t="s">
        <v>5</v>
      </c>
      <c r="P16" s="4">
        <f>+P13</f>
        <v>0</v>
      </c>
      <c r="R16" t="s">
        <v>5</v>
      </c>
      <c r="T16" s="4">
        <v>18470</v>
      </c>
      <c r="V16" s="12"/>
      <c r="W16" s="43" t="s">
        <v>5</v>
      </c>
      <c r="X16" s="43"/>
      <c r="Y16" s="40">
        <f>+D16+H16+L16+P16+T16</f>
        <v>18470</v>
      </c>
      <c r="Z16" s="13"/>
      <c r="AB16" s="33"/>
      <c r="AC16" s="33"/>
      <c r="AD16" s="33"/>
      <c r="AE16" t="s">
        <v>72</v>
      </c>
      <c r="AF16" s="4"/>
      <c r="AK16" s="1">
        <v>5000</v>
      </c>
      <c r="AL16" s="1"/>
      <c r="AM16" s="39">
        <f t="shared" si="7"/>
        <v>0</v>
      </c>
    </row>
    <row r="17" spans="2:39" ht="15.75" thickBot="1" x14ac:dyDescent="0.3">
      <c r="B17" t="s">
        <v>6</v>
      </c>
      <c r="D17" s="4"/>
      <c r="F17" t="s">
        <v>6</v>
      </c>
      <c r="H17" s="4"/>
      <c r="J17" t="s">
        <v>6</v>
      </c>
      <c r="L17" s="4"/>
      <c r="N17" t="s">
        <v>6</v>
      </c>
      <c r="P17" s="4"/>
      <c r="R17" t="s">
        <v>6</v>
      </c>
      <c r="T17" s="4"/>
      <c r="V17" s="12"/>
      <c r="W17" s="43" t="s">
        <v>6</v>
      </c>
      <c r="X17" s="43"/>
      <c r="Y17" s="40">
        <f t="shared" ref="Y17:Y27" si="8">+D17+H17+L17+P17+T17</f>
        <v>0</v>
      </c>
      <c r="Z17" s="13"/>
      <c r="AE17" s="54" t="s">
        <v>10</v>
      </c>
      <c r="AF17" s="55">
        <f>+SUM(AF12:AF16)</f>
        <v>0</v>
      </c>
      <c r="AG17" s="22"/>
      <c r="AK17" s="2" t="s">
        <v>3</v>
      </c>
      <c r="AL17" s="2"/>
      <c r="AM17" s="5">
        <f>+SUM(AM9:AM16)</f>
        <v>0</v>
      </c>
    </row>
    <row r="18" spans="2:39" x14ac:dyDescent="0.25">
      <c r="B18" t="s">
        <v>43</v>
      </c>
      <c r="D18" s="4"/>
      <c r="F18" t="s">
        <v>7</v>
      </c>
      <c r="H18" s="4"/>
      <c r="J18" t="s">
        <v>43</v>
      </c>
      <c r="L18" s="4"/>
      <c r="N18" t="s">
        <v>7</v>
      </c>
      <c r="P18" s="4"/>
      <c r="R18" t="s">
        <v>43</v>
      </c>
      <c r="T18" s="4"/>
      <c r="V18" s="12"/>
      <c r="W18" s="43" t="s">
        <v>7</v>
      </c>
      <c r="X18" s="43"/>
      <c r="Y18" s="40">
        <f t="shared" si="8"/>
        <v>0</v>
      </c>
      <c r="Z18" s="13"/>
      <c r="AE18" s="56" t="s">
        <v>66</v>
      </c>
      <c r="AF18" s="57">
        <f>+AF17-AF9</f>
        <v>-4000</v>
      </c>
      <c r="AG18" t="s">
        <v>214</v>
      </c>
    </row>
    <row r="19" spans="2:39" x14ac:dyDescent="0.25">
      <c r="B19" t="s">
        <v>8</v>
      </c>
      <c r="D19" s="4"/>
      <c r="F19" t="s">
        <v>8</v>
      </c>
      <c r="H19" s="4"/>
      <c r="J19" t="s">
        <v>43</v>
      </c>
      <c r="L19" s="4"/>
      <c r="N19" t="s">
        <v>8</v>
      </c>
      <c r="P19" s="4"/>
      <c r="R19" t="s">
        <v>43</v>
      </c>
      <c r="T19" s="4"/>
      <c r="V19" s="12"/>
      <c r="W19" s="43" t="s">
        <v>8</v>
      </c>
      <c r="X19" s="43"/>
      <c r="Y19" s="40">
        <f t="shared" si="8"/>
        <v>0</v>
      </c>
      <c r="Z19" s="13"/>
    </row>
    <row r="20" spans="2:39" x14ac:dyDescent="0.25">
      <c r="B20" t="s">
        <v>9</v>
      </c>
      <c r="D20" s="4"/>
      <c r="F20" t="s">
        <v>9</v>
      </c>
      <c r="H20" s="4"/>
      <c r="J20" t="s">
        <v>9</v>
      </c>
      <c r="L20" s="4"/>
      <c r="N20" t="s">
        <v>9</v>
      </c>
      <c r="P20" s="4"/>
      <c r="R20" t="s">
        <v>43</v>
      </c>
      <c r="T20" s="4"/>
      <c r="V20" s="12"/>
      <c r="W20" s="43" t="s">
        <v>9</v>
      </c>
      <c r="X20" s="43"/>
      <c r="Y20" s="40">
        <f t="shared" si="8"/>
        <v>0</v>
      </c>
      <c r="Z20" s="13"/>
    </row>
    <row r="21" spans="2:39" x14ac:dyDescent="0.25">
      <c r="D21" s="4"/>
      <c r="H21" s="4"/>
      <c r="L21" s="4"/>
      <c r="P21" s="4"/>
      <c r="R21" t="s">
        <v>43</v>
      </c>
      <c r="T21" s="4">
        <v>39238</v>
      </c>
      <c r="V21" s="12"/>
      <c r="W21" s="43"/>
      <c r="X21" s="43"/>
      <c r="Y21" s="40">
        <f t="shared" si="8"/>
        <v>39238</v>
      </c>
      <c r="Z21" s="13"/>
      <c r="AB21" s="67" t="s">
        <v>117</v>
      </c>
      <c r="AC21" s="67"/>
      <c r="AD21" s="67"/>
      <c r="AE21" s="33"/>
      <c r="AJ21" s="67" t="s">
        <v>290</v>
      </c>
      <c r="AK21" s="67"/>
      <c r="AL21" s="67"/>
      <c r="AM21" s="85"/>
    </row>
    <row r="22" spans="2:39" x14ac:dyDescent="0.25">
      <c r="D22" s="4"/>
      <c r="H22" s="4"/>
      <c r="L22" s="4"/>
      <c r="P22" s="4"/>
      <c r="R22" t="s">
        <v>43</v>
      </c>
      <c r="T22" s="4">
        <v>137337</v>
      </c>
      <c r="V22" s="12"/>
      <c r="W22" s="43"/>
      <c r="X22" s="43"/>
      <c r="Y22" s="40">
        <f t="shared" si="8"/>
        <v>137337</v>
      </c>
      <c r="Z22" s="13"/>
      <c r="AB22" s="53" t="s">
        <v>114</v>
      </c>
      <c r="AC22" s="53" t="s">
        <v>115</v>
      </c>
      <c r="AD22" s="53" t="s">
        <v>122</v>
      </c>
      <c r="AE22" s="53" t="s">
        <v>116</v>
      </c>
      <c r="AF22" s="53" t="s">
        <v>2</v>
      </c>
      <c r="AJ22" s="53" t="s">
        <v>114</v>
      </c>
      <c r="AK22" s="53" t="s">
        <v>278</v>
      </c>
      <c r="AL22" s="53" t="s">
        <v>122</v>
      </c>
      <c r="AM22" s="53" t="s">
        <v>2</v>
      </c>
    </row>
    <row r="23" spans="2:39" x14ac:dyDescent="0.25">
      <c r="B23" t="s">
        <v>28</v>
      </c>
      <c r="D23" s="4"/>
      <c r="F23" t="s">
        <v>28</v>
      </c>
      <c r="H23" s="4"/>
      <c r="J23" t="s">
        <v>28</v>
      </c>
      <c r="L23" s="4"/>
      <c r="N23" t="s">
        <v>28</v>
      </c>
      <c r="P23" s="4"/>
      <c r="R23" t="s">
        <v>28</v>
      </c>
      <c r="T23" s="4">
        <v>37293</v>
      </c>
      <c r="V23" s="12"/>
      <c r="W23" s="44" t="s">
        <v>28</v>
      </c>
      <c r="X23" s="43"/>
      <c r="Y23" s="40">
        <f t="shared" si="8"/>
        <v>37293</v>
      </c>
      <c r="Z23" s="13"/>
      <c r="AC23" s="58"/>
    </row>
    <row r="24" spans="2:39" x14ac:dyDescent="0.25">
      <c r="B24" t="s">
        <v>29</v>
      </c>
      <c r="D24" s="4"/>
      <c r="F24" t="s">
        <v>29</v>
      </c>
      <c r="H24" s="4"/>
      <c r="J24" t="s">
        <v>29</v>
      </c>
      <c r="L24" s="4"/>
      <c r="N24" t="s">
        <v>29</v>
      </c>
      <c r="P24" s="4"/>
      <c r="R24" t="s">
        <v>29</v>
      </c>
      <c r="T24" s="4">
        <v>120336</v>
      </c>
      <c r="V24" s="12"/>
      <c r="W24" s="44" t="s">
        <v>29</v>
      </c>
      <c r="X24" s="43"/>
      <c r="Y24" s="40">
        <f t="shared" si="8"/>
        <v>120336</v>
      </c>
      <c r="Z24" s="13"/>
      <c r="AC24" s="58"/>
    </row>
    <row r="25" spans="2:39" x14ac:dyDescent="0.25">
      <c r="B25" t="s">
        <v>31</v>
      </c>
      <c r="D25" s="4"/>
      <c r="F25" t="s">
        <v>31</v>
      </c>
      <c r="H25" s="4"/>
      <c r="J25" t="s">
        <v>31</v>
      </c>
      <c r="L25" s="4"/>
      <c r="N25" t="s">
        <v>31</v>
      </c>
      <c r="P25" s="4"/>
      <c r="R25" t="s">
        <v>31</v>
      </c>
      <c r="T25" s="4">
        <v>48775</v>
      </c>
      <c r="V25" s="12"/>
      <c r="W25" s="44" t="s">
        <v>31</v>
      </c>
      <c r="X25" s="43"/>
      <c r="Y25" s="40">
        <f t="shared" si="8"/>
        <v>48775</v>
      </c>
      <c r="Z25" s="13"/>
      <c r="AC25" s="75"/>
      <c r="AD25" s="17"/>
      <c r="AE25" s="17"/>
      <c r="AF25" s="17"/>
    </row>
    <row r="26" spans="2:39" x14ac:dyDescent="0.25">
      <c r="D26" s="4"/>
      <c r="H26" s="4"/>
      <c r="L26" s="4"/>
      <c r="P26" s="4"/>
      <c r="T26" s="4">
        <v>27017</v>
      </c>
      <c r="V26" s="12"/>
      <c r="W26" s="43"/>
      <c r="X26" s="43"/>
      <c r="Y26" s="40">
        <f t="shared" si="8"/>
        <v>27017</v>
      </c>
      <c r="Z26" s="13"/>
      <c r="AC26" s="75"/>
      <c r="AD26" s="21"/>
      <c r="AE26" s="17"/>
      <c r="AF26" s="21"/>
    </row>
    <row r="27" spans="2:39" ht="15.75" thickBot="1" x14ac:dyDescent="0.3">
      <c r="D27" s="4"/>
      <c r="H27" s="4"/>
      <c r="L27" s="4"/>
      <c r="P27" s="4"/>
      <c r="T27" s="4"/>
      <c r="V27" s="12"/>
      <c r="W27" s="43"/>
      <c r="X27" s="43"/>
      <c r="Y27" s="40">
        <f t="shared" si="8"/>
        <v>0</v>
      </c>
      <c r="Z27" s="13"/>
    </row>
    <row r="28" spans="2:39" ht="15.75" thickBot="1" x14ac:dyDescent="0.3">
      <c r="B28" s="129" t="s">
        <v>10</v>
      </c>
      <c r="C28" s="130"/>
      <c r="D28" s="8">
        <f>+SUM(D16:D27)</f>
        <v>0</v>
      </c>
      <c r="F28" s="129" t="s">
        <v>10</v>
      </c>
      <c r="G28" s="130"/>
      <c r="H28" s="8">
        <f>+SUM(H16:H27)</f>
        <v>0</v>
      </c>
      <c r="J28" s="129" t="s">
        <v>10</v>
      </c>
      <c r="K28" s="130"/>
      <c r="L28" s="8">
        <f>+SUM(L16:L27)</f>
        <v>0</v>
      </c>
      <c r="N28" s="129" t="s">
        <v>10</v>
      </c>
      <c r="O28" s="130"/>
      <c r="P28" s="8">
        <f>+SUM(P16:P27)</f>
        <v>0</v>
      </c>
      <c r="R28" s="129" t="s">
        <v>10</v>
      </c>
      <c r="S28" s="130"/>
      <c r="T28" s="8">
        <f>+SUM(T16:T27)</f>
        <v>428466</v>
      </c>
      <c r="V28" s="12"/>
      <c r="W28" s="129" t="s">
        <v>10</v>
      </c>
      <c r="X28" s="130"/>
      <c r="Y28" s="8">
        <f>+SUM(Y16:Y27)</f>
        <v>428466</v>
      </c>
      <c r="Z28" s="13"/>
    </row>
    <row r="29" spans="2:39" ht="15.75" thickBot="1" x14ac:dyDescent="0.3">
      <c r="D29" s="4"/>
      <c r="H29" s="4"/>
      <c r="L29" s="4"/>
      <c r="P29" s="4"/>
      <c r="T29" s="4"/>
      <c r="V29" s="12"/>
      <c r="W29" s="17"/>
      <c r="X29" s="17"/>
      <c r="Y29" s="16"/>
      <c r="Z29" s="13"/>
      <c r="AB29" s="74" t="s">
        <v>113</v>
      </c>
      <c r="AC29" s="74"/>
      <c r="AD29" s="74"/>
      <c r="AE29" s="74"/>
      <c r="AF29" s="69">
        <f>+SUM(AF23:AF28)</f>
        <v>0</v>
      </c>
    </row>
    <row r="30" spans="2:39" ht="16.5" thickTop="1" thickBot="1" x14ac:dyDescent="0.3">
      <c r="B30" s="131" t="s">
        <v>11</v>
      </c>
      <c r="C30" s="131"/>
      <c r="D30" s="6">
        <f>+D28-D15</f>
        <v>0</v>
      </c>
      <c r="F30" s="131" t="s">
        <v>11</v>
      </c>
      <c r="G30" s="131"/>
      <c r="H30" s="6">
        <f>+H28-H15</f>
        <v>0</v>
      </c>
      <c r="J30" s="131" t="s">
        <v>11</v>
      </c>
      <c r="K30" s="131"/>
      <c r="L30" s="6">
        <f>+L28-L15</f>
        <v>0</v>
      </c>
      <c r="N30" s="131" t="s">
        <v>11</v>
      </c>
      <c r="O30" s="131"/>
      <c r="P30" s="6">
        <f>+P28-P15</f>
        <v>0</v>
      </c>
      <c r="R30" s="131" t="s">
        <v>11</v>
      </c>
      <c r="S30" s="131"/>
      <c r="T30" s="6">
        <f>+T28-T15</f>
        <v>-32409</v>
      </c>
      <c r="V30" s="12"/>
      <c r="W30" s="134" t="s">
        <v>11</v>
      </c>
      <c r="X30" s="134"/>
      <c r="Y30" s="45">
        <f>+Y28-Y15</f>
        <v>-32409</v>
      </c>
      <c r="Z30" s="13"/>
    </row>
    <row r="31" spans="2:39" ht="16.5" thickTop="1" thickBot="1" x14ac:dyDescent="0.3">
      <c r="V31" s="18"/>
      <c r="W31" s="19"/>
      <c r="X31" s="19"/>
      <c r="Y31" s="19"/>
      <c r="Z31" s="20"/>
    </row>
    <row r="33" spans="2:39" ht="15.75" thickBot="1" x14ac:dyDescent="0.3"/>
    <row r="34" spans="2:39" ht="15.75" thickBot="1" x14ac:dyDescent="0.3">
      <c r="B34" s="9" t="s">
        <v>15</v>
      </c>
      <c r="C34" s="10"/>
      <c r="D34" s="23"/>
      <c r="F34" s="9" t="s">
        <v>15</v>
      </c>
      <c r="G34" s="10"/>
      <c r="H34" s="23"/>
      <c r="J34" s="9" t="s">
        <v>15</v>
      </c>
      <c r="K34" s="10"/>
      <c r="L34" s="23"/>
      <c r="N34" s="9" t="s">
        <v>15</v>
      </c>
      <c r="O34" s="10"/>
      <c r="P34" s="23"/>
      <c r="R34" s="9" t="s">
        <v>15</v>
      </c>
      <c r="S34" s="10"/>
      <c r="T34" s="23"/>
      <c r="W34" s="46" t="s">
        <v>15</v>
      </c>
      <c r="X34" s="47"/>
      <c r="Y34" s="48">
        <f>+D34+H34+L34+P34+T34</f>
        <v>0</v>
      </c>
      <c r="AJ34" s="89" t="s">
        <v>113</v>
      </c>
      <c r="AK34" s="89"/>
      <c r="AL34" s="89"/>
      <c r="AM34" s="92">
        <f>+SUM(AM23:AM33)</f>
        <v>0</v>
      </c>
    </row>
    <row r="35" spans="2:39" ht="15.75" thickTop="1" x14ac:dyDescent="0.25">
      <c r="B35" s="12" t="s">
        <v>40</v>
      </c>
      <c r="C35" s="17"/>
      <c r="D35" s="24"/>
      <c r="F35" s="12" t="s">
        <v>40</v>
      </c>
      <c r="G35" s="17"/>
      <c r="H35" s="24"/>
      <c r="J35" s="12" t="s">
        <v>40</v>
      </c>
      <c r="K35" s="17"/>
      <c r="L35" s="24"/>
      <c r="N35" s="12" t="s">
        <v>40</v>
      </c>
      <c r="O35" s="17"/>
      <c r="P35" s="24"/>
      <c r="R35" s="12" t="s">
        <v>40</v>
      </c>
      <c r="S35" s="17"/>
      <c r="T35" s="24"/>
      <c r="W35" s="49" t="s">
        <v>40</v>
      </c>
      <c r="X35" s="43"/>
      <c r="Y35" s="50">
        <f t="shared" ref="Y35:Y36" si="9">+D35+H35+L35+P35+T35</f>
        <v>0</v>
      </c>
    </row>
    <row r="36" spans="2:39" x14ac:dyDescent="0.25">
      <c r="B36" s="12" t="s">
        <v>23</v>
      </c>
      <c r="C36" s="17"/>
      <c r="D36" s="24"/>
      <c r="F36" s="12" t="s">
        <v>23</v>
      </c>
      <c r="G36" s="17"/>
      <c r="H36" s="24"/>
      <c r="J36" s="12" t="s">
        <v>23</v>
      </c>
      <c r="K36" s="17"/>
      <c r="L36" s="24"/>
      <c r="N36" s="12" t="s">
        <v>42</v>
      </c>
      <c r="O36" s="17"/>
      <c r="P36" s="24"/>
      <c r="R36" s="12" t="s">
        <v>41</v>
      </c>
      <c r="S36" s="17"/>
      <c r="T36" s="24"/>
      <c r="W36" s="49" t="s">
        <v>23</v>
      </c>
      <c r="X36" s="43"/>
      <c r="Y36" s="50">
        <f t="shared" si="9"/>
        <v>0</v>
      </c>
    </row>
    <row r="37" spans="2:39" x14ac:dyDescent="0.25">
      <c r="B37" s="12" t="s">
        <v>3</v>
      </c>
      <c r="C37" s="17"/>
      <c r="D37" s="24">
        <f>+SUM(D34:D36)</f>
        <v>0</v>
      </c>
      <c r="F37" s="12" t="s">
        <v>3</v>
      </c>
      <c r="G37" s="17"/>
      <c r="H37" s="24">
        <f>+SUM(H34:H36)</f>
        <v>0</v>
      </c>
      <c r="J37" s="12" t="s">
        <v>3</v>
      </c>
      <c r="K37" s="17"/>
      <c r="L37" s="24">
        <f>+SUM(L34:L36)</f>
        <v>0</v>
      </c>
      <c r="N37" s="12" t="s">
        <v>3</v>
      </c>
      <c r="O37" s="17"/>
      <c r="P37" s="24">
        <f>+SUM(P34:P36)</f>
        <v>0</v>
      </c>
      <c r="R37" s="12" t="s">
        <v>3</v>
      </c>
      <c r="S37" s="17"/>
      <c r="T37" s="24">
        <f>+SUM(T34:T36)</f>
        <v>0</v>
      </c>
      <c r="W37" s="36" t="s">
        <v>3</v>
      </c>
      <c r="X37" s="37"/>
      <c r="Y37" s="38">
        <f>+SUM(Y34:Y36)</f>
        <v>0</v>
      </c>
    </row>
    <row r="38" spans="2:39" ht="15.75" thickBot="1" x14ac:dyDescent="0.3">
      <c r="B38" s="25" t="s">
        <v>22</v>
      </c>
      <c r="C38" s="26"/>
      <c r="D38" s="27">
        <f>+D30+D37</f>
        <v>0</v>
      </c>
      <c r="F38" s="25" t="s">
        <v>22</v>
      </c>
      <c r="G38" s="26"/>
      <c r="H38" s="27">
        <f>+H30+H37</f>
        <v>0</v>
      </c>
      <c r="J38" s="25" t="s">
        <v>22</v>
      </c>
      <c r="K38" s="26"/>
      <c r="L38" s="27">
        <f>+L30+L37</f>
        <v>0</v>
      </c>
      <c r="N38" s="25" t="s">
        <v>22</v>
      </c>
      <c r="O38" s="26"/>
      <c r="P38" s="27">
        <f>+P30+P37</f>
        <v>0</v>
      </c>
      <c r="R38" s="25" t="s">
        <v>22</v>
      </c>
      <c r="S38" s="26"/>
      <c r="T38" s="27">
        <f>+T30+T37</f>
        <v>-32409</v>
      </c>
      <c r="W38" s="25" t="s">
        <v>22</v>
      </c>
      <c r="X38" s="26"/>
      <c r="Y38" s="27">
        <f>+Y30+Y37</f>
        <v>-32409</v>
      </c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10-07-25</vt:lpstr>
      <vt:lpstr>11-07-25</vt:lpstr>
      <vt:lpstr>12-07-25</vt:lpstr>
      <vt:lpstr>14 Dublicate</vt:lpstr>
      <vt:lpstr>14-07-25</vt:lpstr>
      <vt:lpstr>15-07-25</vt:lpstr>
      <vt:lpstr>16-07-25</vt:lpstr>
      <vt:lpstr>17-07-2025</vt:lpstr>
      <vt:lpstr>18-07-2025</vt:lpstr>
      <vt:lpstr>19-07-25</vt:lpstr>
      <vt:lpstr>21-07-25</vt:lpstr>
      <vt:lpstr>22-07-25</vt:lpstr>
      <vt:lpstr>23-07-25</vt:lpstr>
      <vt:lpstr>24-07-25</vt:lpstr>
      <vt:lpstr>25-07-25</vt:lpstr>
      <vt:lpstr>26-07-25</vt:lpstr>
      <vt:lpstr>28-07-25</vt:lpstr>
      <vt:lpstr>29-07-25</vt:lpstr>
      <vt:lpstr>30-07-25</vt:lpstr>
      <vt:lpstr>31-07-25</vt:lpstr>
      <vt:lpstr>01-08-25</vt:lpstr>
      <vt:lpstr>02-08-25</vt:lpstr>
      <vt:lpstr>04-08-2025</vt:lpstr>
      <vt:lpstr>Office Cash</vt:lpstr>
      <vt:lpstr>05-08-25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2025-07-10T14:09:40Z</dcterms:created>
  <dcterms:modified xsi:type="dcterms:W3CDTF">2025-08-12T10:03:22Z</dcterms:modified>
</cp:coreProperties>
</file>