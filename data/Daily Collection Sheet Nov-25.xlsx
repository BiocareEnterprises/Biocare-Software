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465" windowWidth="15600" windowHeight="2160" firstSheet="14" activeTab="24"/>
  </bookViews>
  <sheets>
    <sheet name="01-11-25" sheetId="17" r:id="rId1"/>
    <sheet name="03-11-25" sheetId="18" r:id="rId2"/>
    <sheet name="04-11-25" sheetId="19" r:id="rId3"/>
    <sheet name="05-11-25" sheetId="20" r:id="rId4"/>
    <sheet name="06-11-25" sheetId="21" r:id="rId5"/>
    <sheet name="07-11-25" sheetId="22" r:id="rId6"/>
    <sheet name="08-11-25" sheetId="23" r:id="rId7"/>
    <sheet name="10-11-25" sheetId="24" r:id="rId8"/>
    <sheet name="11-11-25" sheetId="25" r:id="rId9"/>
    <sheet name="12-11-25" sheetId="26" r:id="rId10"/>
    <sheet name="13-11-25" sheetId="27" r:id="rId11"/>
    <sheet name="14-11-25" sheetId="28" r:id="rId12"/>
    <sheet name="15-11-25" sheetId="29" r:id="rId13"/>
    <sheet name="17-11-25" sheetId="30" r:id="rId14"/>
    <sheet name="18-11-25" sheetId="31" r:id="rId15"/>
    <sheet name="MASTER" sheetId="16" r:id="rId16"/>
    <sheet name="19-11-25" sheetId="32" r:id="rId17"/>
    <sheet name="20-11-25" sheetId="34" r:id="rId18"/>
    <sheet name="21-11-25" sheetId="35" r:id="rId19"/>
    <sheet name="22-11-25" sheetId="36" r:id="rId20"/>
    <sheet name="24-11-25" sheetId="37" r:id="rId21"/>
    <sheet name="25-11-25" sheetId="38" r:id="rId22"/>
    <sheet name="26-11-25" sheetId="39" r:id="rId23"/>
    <sheet name="27-11-25" sheetId="40" r:id="rId24"/>
    <sheet name="28-11-25" sheetId="41" r:id="rId25"/>
  </sheets>
  <calcPr calcId="124519"/>
</workbook>
</file>

<file path=xl/calcChain.xml><?xml version="1.0" encoding="utf-8"?>
<calcChain xmlns="http://schemas.openxmlformats.org/spreadsheetml/2006/main">
  <c r="AJ9" i="41"/>
  <c r="AJ10"/>
  <c r="G9"/>
  <c r="C10" l="1"/>
  <c r="K11"/>
  <c r="K10"/>
  <c r="K9"/>
  <c r="K8"/>
  <c r="O7"/>
  <c r="O6"/>
  <c r="O10"/>
  <c r="AJ12" i="40" l="1"/>
  <c r="AJ13"/>
  <c r="AL37" i="41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T35" i="40"/>
  <c r="S12"/>
  <c r="S11"/>
  <c r="S10"/>
  <c r="S9"/>
  <c r="S7"/>
  <c r="S6"/>
  <c r="H13" i="41" l="1"/>
  <c r="H16" s="1"/>
  <c r="H28" s="1"/>
  <c r="H30" s="1"/>
  <c r="H38" s="1"/>
  <c r="Y37"/>
  <c r="D13"/>
  <c r="D16" s="1"/>
  <c r="Y9"/>
  <c r="L13"/>
  <c r="L16" s="1"/>
  <c r="L28" s="1"/>
  <c r="L30" s="1"/>
  <c r="L38" s="1"/>
  <c r="Y8"/>
  <c r="Y10"/>
  <c r="Y12"/>
  <c r="P13"/>
  <c r="P16" s="1"/>
  <c r="P28" s="1"/>
  <c r="P30" s="1"/>
  <c r="P38" s="1"/>
  <c r="Y7"/>
  <c r="T13"/>
  <c r="T16" s="1"/>
  <c r="T28" s="1"/>
  <c r="T30" s="1"/>
  <c r="T38" s="1"/>
  <c r="Y11"/>
  <c r="AK14"/>
  <c r="D28"/>
  <c r="D30" s="1"/>
  <c r="D38" s="1"/>
  <c r="Y6"/>
  <c r="Y5"/>
  <c r="T9" i="40"/>
  <c r="T37"/>
  <c r="T12"/>
  <c r="T11"/>
  <c r="T10"/>
  <c r="T8"/>
  <c r="T7"/>
  <c r="T6"/>
  <c r="T5"/>
  <c r="Y16" i="41" l="1"/>
  <c r="Y28" s="1"/>
  <c r="Y30" s="1"/>
  <c r="Y38" s="1"/>
  <c r="Y13"/>
  <c r="AC7" s="1"/>
  <c r="AC9" s="1"/>
  <c r="AC18" s="1"/>
  <c r="T13" i="40"/>
  <c r="T16" s="1"/>
  <c r="T28" s="1"/>
  <c r="T30" s="1"/>
  <c r="T38" s="1"/>
  <c r="AL37" l="1"/>
  <c r="AF37"/>
  <c r="AC8" s="1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P12"/>
  <c r="L12"/>
  <c r="H12"/>
  <c r="D12"/>
  <c r="AK11"/>
  <c r="X11"/>
  <c r="P11"/>
  <c r="L11"/>
  <c r="H11"/>
  <c r="D11"/>
  <c r="AK10"/>
  <c r="X10"/>
  <c r="P10"/>
  <c r="L10"/>
  <c r="H10"/>
  <c r="D10"/>
  <c r="AK9"/>
  <c r="X9"/>
  <c r="P9"/>
  <c r="L9"/>
  <c r="H9"/>
  <c r="D9"/>
  <c r="AK8"/>
  <c r="X8"/>
  <c r="P8"/>
  <c r="L8"/>
  <c r="H8"/>
  <c r="D8"/>
  <c r="AK7"/>
  <c r="X7"/>
  <c r="P7"/>
  <c r="L7"/>
  <c r="H7"/>
  <c r="D7"/>
  <c r="AK6"/>
  <c r="X6"/>
  <c r="P6"/>
  <c r="L6"/>
  <c r="H6"/>
  <c r="D6"/>
  <c r="X5"/>
  <c r="P5"/>
  <c r="L5"/>
  <c r="H5"/>
  <c r="D5"/>
  <c r="G12" i="39"/>
  <c r="X12" s="1"/>
  <c r="G9"/>
  <c r="G6"/>
  <c r="AL37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T12"/>
  <c r="P12"/>
  <c r="L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Y8" s="1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AL42" i="38"/>
  <c r="AF37"/>
  <c r="AC8" s="1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P37" i="37"/>
  <c r="P38" s="1"/>
  <c r="O11"/>
  <c r="P11" s="1"/>
  <c r="O9"/>
  <c r="P9" s="1"/>
  <c r="O6"/>
  <c r="AL37"/>
  <c r="AF37"/>
  <c r="AC8" s="1"/>
  <c r="T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Y12" s="1"/>
  <c r="AK11"/>
  <c r="X11"/>
  <c r="T11"/>
  <c r="L11"/>
  <c r="H11"/>
  <c r="D11"/>
  <c r="AK10"/>
  <c r="X10"/>
  <c r="T10"/>
  <c r="T13" s="1"/>
  <c r="T16" s="1"/>
  <c r="T28" s="1"/>
  <c r="T30" s="1"/>
  <c r="T38" s="1"/>
  <c r="P10"/>
  <c r="L10"/>
  <c r="H10"/>
  <c r="D10"/>
  <c r="AK9"/>
  <c r="X9"/>
  <c r="T9"/>
  <c r="L9"/>
  <c r="H9"/>
  <c r="D9"/>
  <c r="AK8"/>
  <c r="X8"/>
  <c r="T8"/>
  <c r="P8"/>
  <c r="L8"/>
  <c r="H8"/>
  <c r="D8"/>
  <c r="AK7"/>
  <c r="X7"/>
  <c r="T7"/>
  <c r="P7"/>
  <c r="L7"/>
  <c r="Y7" s="1"/>
  <c r="H7"/>
  <c r="D7"/>
  <c r="AK6"/>
  <c r="X6"/>
  <c r="T6"/>
  <c r="P6"/>
  <c r="L6"/>
  <c r="H6"/>
  <c r="D6"/>
  <c r="X5"/>
  <c r="T5"/>
  <c r="P5"/>
  <c r="L5"/>
  <c r="H5"/>
  <c r="D5"/>
  <c r="AC16" i="36"/>
  <c r="AK14" i="40" l="1"/>
  <c r="Y7"/>
  <c r="Y9"/>
  <c r="H13"/>
  <c r="H16" s="1"/>
  <c r="H28" s="1"/>
  <c r="H30" s="1"/>
  <c r="H38" s="1"/>
  <c r="Y8"/>
  <c r="D13"/>
  <c r="D16" s="1"/>
  <c r="D28" s="1"/>
  <c r="D30" s="1"/>
  <c r="D38" s="1"/>
  <c r="Y6"/>
  <c r="P13"/>
  <c r="P16" s="1"/>
  <c r="P28" s="1"/>
  <c r="P30" s="1"/>
  <c r="P38" s="1"/>
  <c r="Y10"/>
  <c r="Y11"/>
  <c r="Y12"/>
  <c r="Y37"/>
  <c r="L13"/>
  <c r="L16" s="1"/>
  <c r="L28" s="1"/>
  <c r="L30" s="1"/>
  <c r="L38" s="1"/>
  <c r="Y5"/>
  <c r="L13" i="39"/>
  <c r="L16" s="1"/>
  <c r="L28" s="1"/>
  <c r="L30" s="1"/>
  <c r="L38" s="1"/>
  <c r="H12"/>
  <c r="H13" s="1"/>
  <c r="H16" s="1"/>
  <c r="H28" s="1"/>
  <c r="H30" s="1"/>
  <c r="H38" s="1"/>
  <c r="Y11"/>
  <c r="Y7"/>
  <c r="D13"/>
  <c r="D16" s="1"/>
  <c r="D28" s="1"/>
  <c r="D30" s="1"/>
  <c r="D38" s="1"/>
  <c r="P13"/>
  <c r="P16" s="1"/>
  <c r="P28" s="1"/>
  <c r="P30" s="1"/>
  <c r="P38" s="1"/>
  <c r="Y9"/>
  <c r="Y12"/>
  <c r="Y37"/>
  <c r="T13"/>
  <c r="T16" s="1"/>
  <c r="T28" s="1"/>
  <c r="T30" s="1"/>
  <c r="T38" s="1"/>
  <c r="Y10"/>
  <c r="AK14"/>
  <c r="Y6"/>
  <c r="Y5"/>
  <c r="T13" i="38"/>
  <c r="T16" s="1"/>
  <c r="T28" s="1"/>
  <c r="T30" s="1"/>
  <c r="T38" s="1"/>
  <c r="Y8"/>
  <c r="Y37"/>
  <c r="Y6"/>
  <c r="Y7"/>
  <c r="P13"/>
  <c r="P16" s="1"/>
  <c r="P28" s="1"/>
  <c r="P30" s="1"/>
  <c r="P38" s="1"/>
  <c r="Y10"/>
  <c r="Y11"/>
  <c r="H13"/>
  <c r="H16" s="1"/>
  <c r="H28" s="1"/>
  <c r="H30" s="1"/>
  <c r="H38" s="1"/>
  <c r="L13"/>
  <c r="L16" s="1"/>
  <c r="L28" s="1"/>
  <c r="L30" s="1"/>
  <c r="L38" s="1"/>
  <c r="Y12"/>
  <c r="Y9"/>
  <c r="AK14"/>
  <c r="Y5"/>
  <c r="D13"/>
  <c r="D16" s="1"/>
  <c r="L13" i="37"/>
  <c r="L16" s="1"/>
  <c r="L28" s="1"/>
  <c r="L30" s="1"/>
  <c r="L38" s="1"/>
  <c r="H13"/>
  <c r="H16" s="1"/>
  <c r="H28" s="1"/>
  <c r="H30" s="1"/>
  <c r="H38" s="1"/>
  <c r="Y37"/>
  <c r="Y11"/>
  <c r="Y9"/>
  <c r="AK14"/>
  <c r="Y6"/>
  <c r="Y8"/>
  <c r="P13"/>
  <c r="P16" s="1"/>
  <c r="P28" s="1"/>
  <c r="P30" s="1"/>
  <c r="Y10"/>
  <c r="Y5"/>
  <c r="D13"/>
  <c r="D16" s="1"/>
  <c r="AL37" i="36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Y11" s="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Y8" s="1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AJ12" i="35"/>
  <c r="AJ13"/>
  <c r="O11"/>
  <c r="O10"/>
  <c r="O9"/>
  <c r="O8"/>
  <c r="Y16" i="40" l="1"/>
  <c r="Y28" s="1"/>
  <c r="Y30" s="1"/>
  <c r="Y38" s="1"/>
  <c r="Y13"/>
  <c r="AC7" s="1"/>
  <c r="AC9" s="1"/>
  <c r="AC18" s="1"/>
  <c r="Y16" i="39"/>
  <c r="Y28" s="1"/>
  <c r="Y30" s="1"/>
  <c r="Y38" s="1"/>
  <c r="Y13"/>
  <c r="AC7" s="1"/>
  <c r="AC9" s="1"/>
  <c r="AC18" s="1"/>
  <c r="Y13" i="38"/>
  <c r="AC7" s="1"/>
  <c r="AC9" s="1"/>
  <c r="AC18" s="1"/>
  <c r="Y16"/>
  <c r="Y28" s="1"/>
  <c r="Y30" s="1"/>
  <c r="Y38" s="1"/>
  <c r="D28"/>
  <c r="D30" s="1"/>
  <c r="D38" s="1"/>
  <c r="Y13" i="37"/>
  <c r="AC7" s="1"/>
  <c r="AC9" s="1"/>
  <c r="AC18" s="1"/>
  <c r="Y16"/>
  <c r="Y28" s="1"/>
  <c r="Y30" s="1"/>
  <c r="Y38" s="1"/>
  <c r="D28"/>
  <c r="D30" s="1"/>
  <c r="D38" s="1"/>
  <c r="AK14" i="36"/>
  <c r="D13"/>
  <c r="D16" s="1"/>
  <c r="Y7"/>
  <c r="H13"/>
  <c r="H16" s="1"/>
  <c r="H28" s="1"/>
  <c r="H30" s="1"/>
  <c r="H38" s="1"/>
  <c r="L13"/>
  <c r="L16" s="1"/>
  <c r="L28" s="1"/>
  <c r="L30" s="1"/>
  <c r="L38" s="1"/>
  <c r="Y37"/>
  <c r="T13"/>
  <c r="T16" s="1"/>
  <c r="T28" s="1"/>
  <c r="T30" s="1"/>
  <c r="T38" s="1"/>
  <c r="Y6"/>
  <c r="Y9"/>
  <c r="Y10"/>
  <c r="P13"/>
  <c r="P16" s="1"/>
  <c r="P28" s="1"/>
  <c r="P30" s="1"/>
  <c r="P38" s="1"/>
  <c r="Y12"/>
  <c r="D28"/>
  <c r="D30" s="1"/>
  <c r="D38" s="1"/>
  <c r="Y5"/>
  <c r="AL37" i="35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Y6" s="1"/>
  <c r="H6"/>
  <c r="D6"/>
  <c r="X5"/>
  <c r="T5"/>
  <c r="P5"/>
  <c r="L5"/>
  <c r="H5"/>
  <c r="D5"/>
  <c r="S9" i="34"/>
  <c r="S8"/>
  <c r="S7"/>
  <c r="S6"/>
  <c r="S11"/>
  <c r="S10"/>
  <c r="Y13" i="36" l="1"/>
  <c r="AC7" s="1"/>
  <c r="AC9" s="1"/>
  <c r="AC18" s="1"/>
  <c r="Y16"/>
  <c r="Y28" s="1"/>
  <c r="Y30" s="1"/>
  <c r="Y38" s="1"/>
  <c r="AK14" i="35"/>
  <c r="H13"/>
  <c r="H16" s="1"/>
  <c r="H28" s="1"/>
  <c r="H30" s="1"/>
  <c r="H38" s="1"/>
  <c r="Y37"/>
  <c r="Y10"/>
  <c r="Y12"/>
  <c r="Y8"/>
  <c r="P13"/>
  <c r="P16" s="1"/>
  <c r="P28" s="1"/>
  <c r="P30" s="1"/>
  <c r="P38" s="1"/>
  <c r="Y9"/>
  <c r="L13"/>
  <c r="L16" s="1"/>
  <c r="L28" s="1"/>
  <c r="L30" s="1"/>
  <c r="L38" s="1"/>
  <c r="Y11"/>
  <c r="Y7"/>
  <c r="T13"/>
  <c r="T16" s="1"/>
  <c r="T28" s="1"/>
  <c r="T30" s="1"/>
  <c r="T38" s="1"/>
  <c r="Y5"/>
  <c r="D13"/>
  <c r="D16" s="1"/>
  <c r="AL37" i="34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L13" s="1"/>
  <c r="L16" s="1"/>
  <c r="L28" s="1"/>
  <c r="L30" s="1"/>
  <c r="L38" s="1"/>
  <c r="H5"/>
  <c r="D5"/>
  <c r="Y13" i="35" l="1"/>
  <c r="AC7" s="1"/>
  <c r="AC9" s="1"/>
  <c r="AC18" s="1"/>
  <c r="Y16"/>
  <c r="Y28" s="1"/>
  <c r="Y30" s="1"/>
  <c r="Y38" s="1"/>
  <c r="D28"/>
  <c r="D30" s="1"/>
  <c r="D38" s="1"/>
  <c r="Y9" i="34"/>
  <c r="Y37"/>
  <c r="Y12"/>
  <c r="Y11"/>
  <c r="H13"/>
  <c r="H16" s="1"/>
  <c r="H28" s="1"/>
  <c r="H30" s="1"/>
  <c r="H38" s="1"/>
  <c r="Y6"/>
  <c r="AK14"/>
  <c r="Y10"/>
  <c r="P13"/>
  <c r="P16" s="1"/>
  <c r="P28" s="1"/>
  <c r="P30" s="1"/>
  <c r="P38" s="1"/>
  <c r="Y7"/>
  <c r="T13"/>
  <c r="T16" s="1"/>
  <c r="T28" s="1"/>
  <c r="T30" s="1"/>
  <c r="T38" s="1"/>
  <c r="Y8"/>
  <c r="Y5"/>
  <c r="D13"/>
  <c r="D16" s="1"/>
  <c r="Y13" l="1"/>
  <c r="AC7" s="1"/>
  <c r="AC9" s="1"/>
  <c r="AC18" s="1"/>
  <c r="Y16"/>
  <c r="Y28" s="1"/>
  <c r="Y30" s="1"/>
  <c r="Y38" s="1"/>
  <c r="D28"/>
  <c r="D30" s="1"/>
  <c r="D38" s="1"/>
  <c r="AL37" i="32" l="1"/>
  <c r="AF37"/>
  <c r="T37"/>
  <c r="P37"/>
  <c r="L37"/>
  <c r="H37"/>
  <c r="D37"/>
  <c r="Y36"/>
  <c r="Y35"/>
  <c r="Y34"/>
  <c r="Y37" s="1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T13" s="1"/>
  <c r="T16" s="1"/>
  <c r="T28" s="1"/>
  <c r="T30" s="1"/>
  <c r="T38" s="1"/>
  <c r="P5"/>
  <c r="L5"/>
  <c r="H5"/>
  <c r="D5"/>
  <c r="AL42" i="31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AK14" i="32" l="1"/>
  <c r="D13"/>
  <c r="D16" s="1"/>
  <c r="Y8"/>
  <c r="Y9"/>
  <c r="H13"/>
  <c r="H16" s="1"/>
  <c r="H28" s="1"/>
  <c r="H30" s="1"/>
  <c r="H38" s="1"/>
  <c r="Y7"/>
  <c r="Y12"/>
  <c r="P13"/>
  <c r="P16" s="1"/>
  <c r="P28" s="1"/>
  <c r="P30" s="1"/>
  <c r="P38" s="1"/>
  <c r="Y11"/>
  <c r="Y10"/>
  <c r="L13"/>
  <c r="L16" s="1"/>
  <c r="L28" s="1"/>
  <c r="L30" s="1"/>
  <c r="L38" s="1"/>
  <c r="D28"/>
  <c r="D30" s="1"/>
  <c r="D38" s="1"/>
  <c r="Y6"/>
  <c r="Y5"/>
  <c r="T13" i="31"/>
  <c r="T16" s="1"/>
  <c r="T28" s="1"/>
  <c r="T30" s="1"/>
  <c r="T38" s="1"/>
  <c r="D13"/>
  <c r="D16" s="1"/>
  <c r="Y9"/>
  <c r="L13"/>
  <c r="L16" s="1"/>
  <c r="L28" s="1"/>
  <c r="L30" s="1"/>
  <c r="L38" s="1"/>
  <c r="Y37"/>
  <c r="Y8"/>
  <c r="H13"/>
  <c r="H16" s="1"/>
  <c r="H28" s="1"/>
  <c r="H30" s="1"/>
  <c r="H38" s="1"/>
  <c r="AK14"/>
  <c r="Y7"/>
  <c r="Y10"/>
  <c r="Y11"/>
  <c r="Y12"/>
  <c r="P13"/>
  <c r="P16" s="1"/>
  <c r="P28" s="1"/>
  <c r="P30" s="1"/>
  <c r="P38" s="1"/>
  <c r="D28"/>
  <c r="D30" s="1"/>
  <c r="D38" s="1"/>
  <c r="Y6"/>
  <c r="Y5"/>
  <c r="AL43" i="30"/>
  <c r="Y16" i="32" l="1"/>
  <c r="Y28" s="1"/>
  <c r="Y30" s="1"/>
  <c r="Y38" s="1"/>
  <c r="Y13"/>
  <c r="AC7" s="1"/>
  <c r="AC9" s="1"/>
  <c r="AC18" s="1"/>
  <c r="Y16" i="31"/>
  <c r="Y28" s="1"/>
  <c r="Y30" s="1"/>
  <c r="Y38" s="1"/>
  <c r="Y13"/>
  <c r="AC7" s="1"/>
  <c r="AC9" s="1"/>
  <c r="AC18" s="1"/>
  <c r="AF37" i="30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Y8" s="1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T15" i="29"/>
  <c r="AL37"/>
  <c r="AF37"/>
  <c r="AC8" s="1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Y12" s="1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AL37" i="28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T13" s="1"/>
  <c r="T16" s="1"/>
  <c r="T28" s="1"/>
  <c r="T30" s="1"/>
  <c r="P5"/>
  <c r="L5"/>
  <c r="H5"/>
  <c r="D5"/>
  <c r="T13" i="30" l="1"/>
  <c r="T16" s="1"/>
  <c r="T28" s="1"/>
  <c r="T30" s="1"/>
  <c r="T38" s="1"/>
  <c r="L13"/>
  <c r="L16" s="1"/>
  <c r="L28" s="1"/>
  <c r="L30" s="1"/>
  <c r="L38" s="1"/>
  <c r="Y37"/>
  <c r="D13"/>
  <c r="D16" s="1"/>
  <c r="D28" s="1"/>
  <c r="D30" s="1"/>
  <c r="D38" s="1"/>
  <c r="AK14"/>
  <c r="Y7"/>
  <c r="Y9"/>
  <c r="Y10"/>
  <c r="H13"/>
  <c r="H16" s="1"/>
  <c r="H28" s="1"/>
  <c r="H30" s="1"/>
  <c r="H38" s="1"/>
  <c r="Y11"/>
  <c r="Y12"/>
  <c r="P13"/>
  <c r="P16" s="1"/>
  <c r="P28" s="1"/>
  <c r="P30" s="1"/>
  <c r="P38" s="1"/>
  <c r="Y5"/>
  <c r="Y6"/>
  <c r="AK14" i="29"/>
  <c r="Y37"/>
  <c r="D13"/>
  <c r="D16" s="1"/>
  <c r="D28" s="1"/>
  <c r="D30" s="1"/>
  <c r="D38" s="1"/>
  <c r="H13"/>
  <c r="H16" s="1"/>
  <c r="H28" s="1"/>
  <c r="H30" s="1"/>
  <c r="H38" s="1"/>
  <c r="Y8"/>
  <c r="L13"/>
  <c r="L16" s="1"/>
  <c r="L28" s="1"/>
  <c r="L30" s="1"/>
  <c r="L38" s="1"/>
  <c r="Y9"/>
  <c r="T13"/>
  <c r="T16" s="1"/>
  <c r="T28" s="1"/>
  <c r="T30" s="1"/>
  <c r="T38" s="1"/>
  <c r="Y7"/>
  <c r="Y10"/>
  <c r="Y11"/>
  <c r="P13"/>
  <c r="P16" s="1"/>
  <c r="P28" s="1"/>
  <c r="P30" s="1"/>
  <c r="P38" s="1"/>
  <c r="Y6"/>
  <c r="Y5"/>
  <c r="Y8" i="28"/>
  <c r="H13"/>
  <c r="H16" s="1"/>
  <c r="H28" s="1"/>
  <c r="H30" s="1"/>
  <c r="H38" s="1"/>
  <c r="Y12"/>
  <c r="AK14"/>
  <c r="P13"/>
  <c r="P16" s="1"/>
  <c r="P28" s="1"/>
  <c r="P30" s="1"/>
  <c r="P38" s="1"/>
  <c r="L13"/>
  <c r="L16" s="1"/>
  <c r="L28" s="1"/>
  <c r="L30" s="1"/>
  <c r="L38" s="1"/>
  <c r="Y9"/>
  <c r="Y11"/>
  <c r="Y10"/>
  <c r="D13"/>
  <c r="D16" s="1"/>
  <c r="Y7"/>
  <c r="T38"/>
  <c r="Y37"/>
  <c r="Y6"/>
  <c r="Y5"/>
  <c r="Y16" i="30" l="1"/>
  <c r="Y28" s="1"/>
  <c r="Y30" s="1"/>
  <c r="Y38" s="1"/>
  <c r="Y13"/>
  <c r="AC7" s="1"/>
  <c r="AC9" s="1"/>
  <c r="AC18" s="1"/>
  <c r="Y16" i="29"/>
  <c r="Y28" s="1"/>
  <c r="Y30" s="1"/>
  <c r="Y38" s="1"/>
  <c r="Y13"/>
  <c r="AC7" s="1"/>
  <c r="AC9" s="1"/>
  <c r="AC18" s="1"/>
  <c r="Y16" i="28"/>
  <c r="Y28" s="1"/>
  <c r="Y30" s="1"/>
  <c r="Y38" s="1"/>
  <c r="D28"/>
  <c r="D30" s="1"/>
  <c r="D38" s="1"/>
  <c r="Y13"/>
  <c r="AC7" s="1"/>
  <c r="AC9" s="1"/>
  <c r="AC18" s="1"/>
  <c r="AL37" i="27" l="1"/>
  <c r="AF37"/>
  <c r="AC8" s="1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AL48" i="25"/>
  <c r="AL37" i="26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Y7" s="1"/>
  <c r="H7"/>
  <c r="D7"/>
  <c r="AK6"/>
  <c r="X6"/>
  <c r="T6"/>
  <c r="P6"/>
  <c r="L6"/>
  <c r="H6"/>
  <c r="D6"/>
  <c r="X5"/>
  <c r="T5"/>
  <c r="T13" s="1"/>
  <c r="T16" s="1"/>
  <c r="T28" s="1"/>
  <c r="T30" s="1"/>
  <c r="T38" s="1"/>
  <c r="P5"/>
  <c r="L5"/>
  <c r="H5"/>
  <c r="D5"/>
  <c r="T15" i="25"/>
  <c r="T13" i="27" l="1"/>
  <c r="T16" s="1"/>
  <c r="T28" s="1"/>
  <c r="T30" s="1"/>
  <c r="T38" s="1"/>
  <c r="AK14"/>
  <c r="Y7"/>
  <c r="Y9"/>
  <c r="L13"/>
  <c r="L16" s="1"/>
  <c r="L28" s="1"/>
  <c r="L30" s="1"/>
  <c r="L38" s="1"/>
  <c r="Y37"/>
  <c r="H13"/>
  <c r="H16" s="1"/>
  <c r="H28" s="1"/>
  <c r="H30" s="1"/>
  <c r="H38" s="1"/>
  <c r="Y11"/>
  <c r="Y6"/>
  <c r="Y8"/>
  <c r="Y10"/>
  <c r="P13"/>
  <c r="P16" s="1"/>
  <c r="P28" s="1"/>
  <c r="P30" s="1"/>
  <c r="P38" s="1"/>
  <c r="Y12"/>
  <c r="D13"/>
  <c r="D16" s="1"/>
  <c r="D28" s="1"/>
  <c r="D30" s="1"/>
  <c r="D38" s="1"/>
  <c r="Y5"/>
  <c r="AK14" i="26"/>
  <c r="Y10"/>
  <c r="D13"/>
  <c r="D16" s="1"/>
  <c r="Y12"/>
  <c r="H13"/>
  <c r="H16" s="1"/>
  <c r="H28" s="1"/>
  <c r="H30" s="1"/>
  <c r="H38" s="1"/>
  <c r="Y37"/>
  <c r="Y6"/>
  <c r="Y8"/>
  <c r="P13"/>
  <c r="P16" s="1"/>
  <c r="P28" s="1"/>
  <c r="P30" s="1"/>
  <c r="P38" s="1"/>
  <c r="Y9"/>
  <c r="Y11"/>
  <c r="L13"/>
  <c r="L16" s="1"/>
  <c r="L28" s="1"/>
  <c r="L30" s="1"/>
  <c r="L38" s="1"/>
  <c r="Y5"/>
  <c r="T35" i="24"/>
  <c r="Y13" i="27" l="1"/>
  <c r="AC7" s="1"/>
  <c r="AC9" s="1"/>
  <c r="AC18" s="1"/>
  <c r="Y16"/>
  <c r="Y28" s="1"/>
  <c r="Y30" s="1"/>
  <c r="Y38" s="1"/>
  <c r="Y16" i="26"/>
  <c r="Y28" s="1"/>
  <c r="Y30" s="1"/>
  <c r="Y38" s="1"/>
  <c r="D28"/>
  <c r="D30" s="1"/>
  <c r="D38" s="1"/>
  <c r="Y13"/>
  <c r="AC7" s="1"/>
  <c r="AC9" s="1"/>
  <c r="AC18" s="1"/>
  <c r="T37" i="25"/>
  <c r="Y15"/>
  <c r="AF37"/>
  <c r="AC8" s="1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L13" l="1"/>
  <c r="L16" s="1"/>
  <c r="L28" s="1"/>
  <c r="L30" s="1"/>
  <c r="L38" s="1"/>
  <c r="AK14"/>
  <c r="D13"/>
  <c r="D16" s="1"/>
  <c r="Y11"/>
  <c r="H13"/>
  <c r="H16" s="1"/>
  <c r="H28" s="1"/>
  <c r="H30" s="1"/>
  <c r="H38" s="1"/>
  <c r="Y6"/>
  <c r="Y7"/>
  <c r="Y8"/>
  <c r="P13"/>
  <c r="P16" s="1"/>
  <c r="P28" s="1"/>
  <c r="P30" s="1"/>
  <c r="P38" s="1"/>
  <c r="Y12"/>
  <c r="Y9"/>
  <c r="Y37"/>
  <c r="T13"/>
  <c r="T16" s="1"/>
  <c r="T28" s="1"/>
  <c r="T30" s="1"/>
  <c r="T38" s="1"/>
  <c r="D28"/>
  <c r="D30" s="1"/>
  <c r="D38" s="1"/>
  <c r="Y5"/>
  <c r="Y10"/>
  <c r="Y13" l="1"/>
  <c r="AC7" s="1"/>
  <c r="AC9" s="1"/>
  <c r="AC18" s="1"/>
  <c r="Y16"/>
  <c r="Y28" s="1"/>
  <c r="Y30" s="1"/>
  <c r="Y38" s="1"/>
  <c r="AL37" i="24" l="1"/>
  <c r="AF37"/>
  <c r="AC8" s="1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AK14" l="1"/>
  <c r="T13"/>
  <c r="T16" s="1"/>
  <c r="T28" s="1"/>
  <c r="T30" s="1"/>
  <c r="T38" s="1"/>
  <c r="D13"/>
  <c r="D16" s="1"/>
  <c r="D28" s="1"/>
  <c r="D30" s="1"/>
  <c r="D38" s="1"/>
  <c r="Y11"/>
  <c r="H13"/>
  <c r="H16" s="1"/>
  <c r="H28" s="1"/>
  <c r="H30" s="1"/>
  <c r="H38" s="1"/>
  <c r="Y10"/>
  <c r="Y7"/>
  <c r="Y12"/>
  <c r="P13"/>
  <c r="P16" s="1"/>
  <c r="P28" s="1"/>
  <c r="P30" s="1"/>
  <c r="P38" s="1"/>
  <c r="Y37"/>
  <c r="Y8"/>
  <c r="L13"/>
  <c r="L16" s="1"/>
  <c r="L28" s="1"/>
  <c r="L30" s="1"/>
  <c r="L38" s="1"/>
  <c r="Y9"/>
  <c r="Y6"/>
  <c r="Y5"/>
  <c r="Y16" l="1"/>
  <c r="Y28" s="1"/>
  <c r="Y30" s="1"/>
  <c r="Y38" s="1"/>
  <c r="Y13"/>
  <c r="AC7" s="1"/>
  <c r="AC9" s="1"/>
  <c r="AC18" s="1"/>
  <c r="AL37" i="23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Y11" s="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Y8" s="1"/>
  <c r="H8"/>
  <c r="D8"/>
  <c r="AK7"/>
  <c r="X7"/>
  <c r="T7"/>
  <c r="P7"/>
  <c r="L7"/>
  <c r="Y7" s="1"/>
  <c r="H7"/>
  <c r="D7"/>
  <c r="AK6"/>
  <c r="X6"/>
  <c r="T6"/>
  <c r="P6"/>
  <c r="L6"/>
  <c r="H6"/>
  <c r="D6"/>
  <c r="X5"/>
  <c r="T5"/>
  <c r="P5"/>
  <c r="L5"/>
  <c r="Y5" s="1"/>
  <c r="H5"/>
  <c r="D5"/>
  <c r="AC13" i="21"/>
  <c r="T13" i="23" l="1"/>
  <c r="T16" s="1"/>
  <c r="T28" s="1"/>
  <c r="T30" s="1"/>
  <c r="T38" s="1"/>
  <c r="Y37"/>
  <c r="AK14"/>
  <c r="H13"/>
  <c r="H16" s="1"/>
  <c r="H28" s="1"/>
  <c r="H30" s="1"/>
  <c r="H38" s="1"/>
  <c r="Y12"/>
  <c r="Y9"/>
  <c r="Y10"/>
  <c r="Y6"/>
  <c r="P13"/>
  <c r="P16" s="1"/>
  <c r="P28" s="1"/>
  <c r="P30" s="1"/>
  <c r="P38" s="1"/>
  <c r="D13"/>
  <c r="D16" s="1"/>
  <c r="L13"/>
  <c r="L16" s="1"/>
  <c r="L28" s="1"/>
  <c r="L30" s="1"/>
  <c r="L38" s="1"/>
  <c r="AL37" i="21"/>
  <c r="AF37"/>
  <c r="AC8" s="1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AL37" i="22"/>
  <c r="AF37"/>
  <c r="AC8" s="1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T15" i="20"/>
  <c r="Y13" i="23" l="1"/>
  <c r="AC7" s="1"/>
  <c r="AC9" s="1"/>
  <c r="AC18" s="1"/>
  <c r="D28"/>
  <c r="D30" s="1"/>
  <c r="D38" s="1"/>
  <c r="Y16"/>
  <c r="Y28" s="1"/>
  <c r="Y30" s="1"/>
  <c r="Y38" s="1"/>
  <c r="AK14" i="22"/>
  <c r="D13"/>
  <c r="D16" s="1"/>
  <c r="D28" s="1"/>
  <c r="D30" s="1"/>
  <c r="D38" s="1"/>
  <c r="Y7"/>
  <c r="H13"/>
  <c r="H16" s="1"/>
  <c r="H28" s="1"/>
  <c r="H30" s="1"/>
  <c r="H38" s="1"/>
  <c r="Y6"/>
  <c r="T13"/>
  <c r="T16" s="1"/>
  <c r="T28" s="1"/>
  <c r="T30" s="1"/>
  <c r="T38" s="1"/>
  <c r="Y37"/>
  <c r="Y8"/>
  <c r="Y9"/>
  <c r="Y10"/>
  <c r="P13"/>
  <c r="P16" s="1"/>
  <c r="P28" s="1"/>
  <c r="P30" s="1"/>
  <c r="P38" s="1"/>
  <c r="Y11"/>
  <c r="Y12"/>
  <c r="Y8" i="21"/>
  <c r="Y9"/>
  <c r="H13"/>
  <c r="H16" s="1"/>
  <c r="H28" s="1"/>
  <c r="H30" s="1"/>
  <c r="H38" s="1"/>
  <c r="AK14"/>
  <c r="T13"/>
  <c r="T16" s="1"/>
  <c r="T28" s="1"/>
  <c r="T30" s="1"/>
  <c r="T38" s="1"/>
  <c r="Y37"/>
  <c r="Y7"/>
  <c r="D13"/>
  <c r="D16" s="1"/>
  <c r="Y12"/>
  <c r="Y6"/>
  <c r="P13"/>
  <c r="P16" s="1"/>
  <c r="P28" s="1"/>
  <c r="P30" s="1"/>
  <c r="P38" s="1"/>
  <c r="Y10"/>
  <c r="Y11"/>
  <c r="L13"/>
  <c r="L16" s="1"/>
  <c r="L28" s="1"/>
  <c r="L30" s="1"/>
  <c r="L38" s="1"/>
  <c r="Y5"/>
  <c r="L13" i="22"/>
  <c r="L16" s="1"/>
  <c r="L28" s="1"/>
  <c r="L30" s="1"/>
  <c r="L38" s="1"/>
  <c r="Y5"/>
  <c r="AL37" i="20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T13" s="1"/>
  <c r="T16" s="1"/>
  <c r="T28" s="1"/>
  <c r="T30" s="1"/>
  <c r="T38" s="1"/>
  <c r="P5"/>
  <c r="L5"/>
  <c r="H5"/>
  <c r="D5"/>
  <c r="Y16" i="22" l="1"/>
  <c r="Y28" s="1"/>
  <c r="Y30" s="1"/>
  <c r="Y38" s="1"/>
  <c r="Y13"/>
  <c r="AC7" s="1"/>
  <c r="AC9" s="1"/>
  <c r="AC18" s="1"/>
  <c r="Y16" i="21"/>
  <c r="Y28" s="1"/>
  <c r="Y30" s="1"/>
  <c r="Y38" s="1"/>
  <c r="D28"/>
  <c r="D30" s="1"/>
  <c r="D38" s="1"/>
  <c r="Y13"/>
  <c r="AC7" s="1"/>
  <c r="AC9" s="1"/>
  <c r="AC18" s="1"/>
  <c r="AK14" i="20"/>
  <c r="Y37"/>
  <c r="P13"/>
  <c r="P16" s="1"/>
  <c r="P28" s="1"/>
  <c r="P30" s="1"/>
  <c r="P38" s="1"/>
  <c r="Y7"/>
  <c r="L13"/>
  <c r="L16" s="1"/>
  <c r="L28" s="1"/>
  <c r="L30" s="1"/>
  <c r="L38" s="1"/>
  <c r="Y9"/>
  <c r="Y8"/>
  <c r="H13"/>
  <c r="H16" s="1"/>
  <c r="H28" s="1"/>
  <c r="H30" s="1"/>
  <c r="H38" s="1"/>
  <c r="Y10"/>
  <c r="Y11"/>
  <c r="D13"/>
  <c r="D16" s="1"/>
  <c r="Y12"/>
  <c r="Y6"/>
  <c r="Y5"/>
  <c r="AL37" i="19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T13" s="1"/>
  <c r="T16" s="1"/>
  <c r="T28" s="1"/>
  <c r="T30" s="1"/>
  <c r="T38" s="1"/>
  <c r="P5"/>
  <c r="L5"/>
  <c r="H5"/>
  <c r="D5"/>
  <c r="AL37" i="18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Y12" s="1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D13" s="1"/>
  <c r="D16" s="1"/>
  <c r="AL37" i="17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T13" s="1"/>
  <c r="T16" s="1"/>
  <c r="T28" s="1"/>
  <c r="T30" s="1"/>
  <c r="T38" s="1"/>
  <c r="P5"/>
  <c r="L5"/>
  <c r="H5"/>
  <c r="D5"/>
  <c r="AF37" i="16"/>
  <c r="AL37"/>
  <c r="Y16" i="20" l="1"/>
  <c r="Y28" s="1"/>
  <c r="Y30" s="1"/>
  <c r="Y38" s="1"/>
  <c r="D28"/>
  <c r="D30" s="1"/>
  <c r="D38" s="1"/>
  <c r="Y13"/>
  <c r="AC7" s="1"/>
  <c r="AC9" s="1"/>
  <c r="AC18" s="1"/>
  <c r="D13" i="19"/>
  <c r="D16" s="1"/>
  <c r="Y9"/>
  <c r="H13"/>
  <c r="H16" s="1"/>
  <c r="H28" s="1"/>
  <c r="H30" s="1"/>
  <c r="H38" s="1"/>
  <c r="Y6"/>
  <c r="Y7"/>
  <c r="Y8"/>
  <c r="Y10"/>
  <c r="Y11"/>
  <c r="Y12"/>
  <c r="P13"/>
  <c r="P16" s="1"/>
  <c r="P28" s="1"/>
  <c r="P30" s="1"/>
  <c r="P38" s="1"/>
  <c r="Y37"/>
  <c r="AK14"/>
  <c r="D28"/>
  <c r="D30" s="1"/>
  <c r="D38" s="1"/>
  <c r="L13"/>
  <c r="L16" s="1"/>
  <c r="L28" s="1"/>
  <c r="L30" s="1"/>
  <c r="L38" s="1"/>
  <c r="Y5"/>
  <c r="AK14" i="18"/>
  <c r="H13"/>
  <c r="H16" s="1"/>
  <c r="H28" s="1"/>
  <c r="H30" s="1"/>
  <c r="H38" s="1"/>
  <c r="Y9"/>
  <c r="L13"/>
  <c r="L16" s="1"/>
  <c r="L28" s="1"/>
  <c r="L30" s="1"/>
  <c r="L38" s="1"/>
  <c r="Y8"/>
  <c r="Y7"/>
  <c r="T13"/>
  <c r="T16" s="1"/>
  <c r="T28" s="1"/>
  <c r="T30" s="1"/>
  <c r="T38" s="1"/>
  <c r="Y11"/>
  <c r="Y37"/>
  <c r="P13"/>
  <c r="P16" s="1"/>
  <c r="P28" s="1"/>
  <c r="P30" s="1"/>
  <c r="P38" s="1"/>
  <c r="Y10"/>
  <c r="D28"/>
  <c r="D30" s="1"/>
  <c r="D38" s="1"/>
  <c r="Y6"/>
  <c r="Y5"/>
  <c r="AK14" i="17"/>
  <c r="P13"/>
  <c r="P16" s="1"/>
  <c r="P28" s="1"/>
  <c r="P30" s="1"/>
  <c r="P38" s="1"/>
  <c r="Y37"/>
  <c r="Y9"/>
  <c r="H13"/>
  <c r="H16" s="1"/>
  <c r="H28" s="1"/>
  <c r="H30" s="1"/>
  <c r="H38" s="1"/>
  <c r="Y11"/>
  <c r="D13"/>
  <c r="D16" s="1"/>
  <c r="D28" s="1"/>
  <c r="D30" s="1"/>
  <c r="D38" s="1"/>
  <c r="L13"/>
  <c r="L16" s="1"/>
  <c r="L28" s="1"/>
  <c r="L30" s="1"/>
  <c r="L38" s="1"/>
  <c r="Y8"/>
  <c r="Y7"/>
  <c r="Y10"/>
  <c r="Y12"/>
  <c r="Y5"/>
  <c r="Y6"/>
  <c r="T37" i="16"/>
  <c r="P37"/>
  <c r="L37"/>
  <c r="H37"/>
  <c r="D37"/>
  <c r="Y36"/>
  <c r="Y35"/>
  <c r="Y34"/>
  <c r="AC8"/>
  <c r="Y27"/>
  <c r="Y26"/>
  <c r="Y25"/>
  <c r="Y24"/>
  <c r="Y23"/>
  <c r="Y22"/>
  <c r="Y21"/>
  <c r="Y20"/>
  <c r="Y19"/>
  <c r="Y18"/>
  <c r="AC17"/>
  <c r="Y17"/>
  <c r="AK13"/>
  <c r="AK12"/>
  <c r="Y15"/>
  <c r="AK11"/>
  <c r="AK10"/>
  <c r="AK9"/>
  <c r="X12"/>
  <c r="T12"/>
  <c r="P12"/>
  <c r="L12"/>
  <c r="H12"/>
  <c r="D12"/>
  <c r="AK8"/>
  <c r="X11"/>
  <c r="T11"/>
  <c r="P11"/>
  <c r="L11"/>
  <c r="H11"/>
  <c r="D11"/>
  <c r="AK7"/>
  <c r="X10"/>
  <c r="T10"/>
  <c r="P10"/>
  <c r="L10"/>
  <c r="H10"/>
  <c r="D10"/>
  <c r="AK6"/>
  <c r="X9"/>
  <c r="T9"/>
  <c r="P9"/>
  <c r="L9"/>
  <c r="H9"/>
  <c r="D9"/>
  <c r="X8"/>
  <c r="T8"/>
  <c r="P8"/>
  <c r="L8"/>
  <c r="H8"/>
  <c r="D8"/>
  <c r="X7"/>
  <c r="T7"/>
  <c r="P7"/>
  <c r="L7"/>
  <c r="H7"/>
  <c r="D7"/>
  <c r="X6"/>
  <c r="T6"/>
  <c r="P6"/>
  <c r="L6"/>
  <c r="H6"/>
  <c r="D6"/>
  <c r="X5"/>
  <c r="T5"/>
  <c r="P5"/>
  <c r="L5"/>
  <c r="H5"/>
  <c r="D5"/>
  <c r="Y16" i="19" l="1"/>
  <c r="Y28" s="1"/>
  <c r="Y30" s="1"/>
  <c r="Y38" s="1"/>
  <c r="Y13"/>
  <c r="AC7" s="1"/>
  <c r="AC9" s="1"/>
  <c r="AC18" s="1"/>
  <c r="Y16" i="18"/>
  <c r="Y28" s="1"/>
  <c r="Y30" s="1"/>
  <c r="Y38" s="1"/>
  <c r="Y13"/>
  <c r="AC7" s="1"/>
  <c r="AC9" s="1"/>
  <c r="AC18" s="1"/>
  <c r="Y16" i="17"/>
  <c r="Y28" s="1"/>
  <c r="Y30" s="1"/>
  <c r="Y38" s="1"/>
  <c r="Y13"/>
  <c r="AC7" s="1"/>
  <c r="AC9" s="1"/>
  <c r="AC18" s="1"/>
  <c r="Y37" i="16"/>
  <c r="T13"/>
  <c r="T16" s="1"/>
  <c r="T28" s="1"/>
  <c r="T30" s="1"/>
  <c r="T38" s="1"/>
  <c r="AK14"/>
  <c r="Y12"/>
  <c r="P13"/>
  <c r="P16" s="1"/>
  <c r="P28" s="1"/>
  <c r="P30" s="1"/>
  <c r="P38" s="1"/>
  <c r="Y11"/>
  <c r="H13"/>
  <c r="H16" s="1"/>
  <c r="H28" s="1"/>
  <c r="H30" s="1"/>
  <c r="H38" s="1"/>
  <c r="Y7"/>
  <c r="Y10"/>
  <c r="Y5"/>
  <c r="D13"/>
  <c r="D16" s="1"/>
  <c r="D28" s="1"/>
  <c r="D30" s="1"/>
  <c r="D38" s="1"/>
  <c r="Y9"/>
  <c r="Y8"/>
  <c r="L13"/>
  <c r="L16" s="1"/>
  <c r="L28" s="1"/>
  <c r="L30" s="1"/>
  <c r="L38" s="1"/>
  <c r="Y6"/>
  <c r="Y16" l="1"/>
  <c r="Y28" s="1"/>
  <c r="Y30" s="1"/>
  <c r="Y38" s="1"/>
  <c r="Y13"/>
  <c r="AC7" s="1"/>
  <c r="AC9" s="1"/>
  <c r="AC18" s="1"/>
</calcChain>
</file>

<file path=xl/comments1.xml><?xml version="1.0" encoding="utf-8"?>
<comments xmlns="http://schemas.openxmlformats.org/spreadsheetml/2006/main">
  <authors>
    <author>ADMIN</author>
  </authors>
  <commentList>
    <comment ref="AI29" authorId="0">
      <text>
        <r>
          <rPr>
            <sz val="9"/>
            <color indexed="81"/>
            <rFont val="Tahoma"/>
            <family val="2"/>
          </rPr>
          <t xml:space="preserve">farhaj take 23000 cash and send to online 23000 Biocare Account
</t>
        </r>
      </text>
    </comment>
    <comment ref="B35" authorId="0">
      <text>
        <r>
          <rPr>
            <sz val="9"/>
            <color indexed="81"/>
            <rFont val="Tahoma"/>
            <family val="2"/>
          </rPr>
          <t xml:space="preserve">2 Box Bliss 
3 Box Rush
Total 5 Amount 2080 
</t>
        </r>
      </text>
    </comment>
    <comment ref="N35" authorId="0">
      <text>
        <r>
          <rPr>
            <sz val="9"/>
            <color indexed="81"/>
            <rFont val="Tahoma"/>
            <family val="2"/>
          </rPr>
          <t>3 box Rush
2 box billes
total 5 box Amount 2600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AC16" authorId="0">
      <text>
        <r>
          <rPr>
            <sz val="9"/>
            <color indexed="81"/>
            <rFont val="Tahoma"/>
            <family val="2"/>
          </rPr>
          <t xml:space="preserve">thousend rupees issued to sumair becaues that was fake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T36" authorId="0">
      <text>
        <r>
          <rPr>
            <sz val="9"/>
            <color indexed="81"/>
            <rFont val="Tahoma"/>
            <family val="2"/>
          </rPr>
          <t xml:space="preserve">This Amount Received by Naqeeb Adv 3675..
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AC16" authorId="0">
      <text>
        <r>
          <rPr>
            <sz val="9"/>
            <color indexed="81"/>
            <rFont val="Tahoma"/>
            <family val="2"/>
          </rPr>
          <t xml:space="preserve">Adv 
Salman Warehouse 5000
Arsalan Warehouse 5000
Sumair 2500
total=12,500
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AC14" author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This is yameen conf bill amount which has been used in yesterday sheet</t>
        </r>
      </text>
    </comment>
  </commentList>
</comments>
</file>

<file path=xl/sharedStrings.xml><?xml version="1.0" encoding="utf-8"?>
<sst xmlns="http://schemas.openxmlformats.org/spreadsheetml/2006/main" count="5215" uniqueCount="787">
  <si>
    <t>NAME: Fahad</t>
  </si>
  <si>
    <t>NAME: Asif</t>
  </si>
  <si>
    <t>NAME: Asghar</t>
  </si>
  <si>
    <t>NAME: Sumair</t>
  </si>
  <si>
    <t>DEPOT TOTAL</t>
  </si>
  <si>
    <t>Rs</t>
  </si>
  <si>
    <t>Qty</t>
  </si>
  <si>
    <t>Amount</t>
  </si>
  <si>
    <t>Cash Treatment</t>
  </si>
  <si>
    <t>Cash</t>
  </si>
  <si>
    <t>Recovories</t>
  </si>
  <si>
    <t>TOTAL</t>
  </si>
  <si>
    <t>Head</t>
  </si>
  <si>
    <t>Slip Number</t>
  </si>
  <si>
    <t>Date</t>
  </si>
  <si>
    <t>Slip #</t>
  </si>
  <si>
    <t>Bank</t>
  </si>
  <si>
    <t>Total</t>
  </si>
  <si>
    <t>Cash Office</t>
  </si>
  <si>
    <t>Ent</t>
  </si>
  <si>
    <t>Summary</t>
  </si>
  <si>
    <t>Misc</t>
  </si>
  <si>
    <t>Adv Van</t>
  </si>
  <si>
    <t>Chq-1</t>
  </si>
  <si>
    <t>Diff (+/-)</t>
  </si>
  <si>
    <t>Excess/Shortage</t>
  </si>
  <si>
    <t>Chq-2</t>
  </si>
  <si>
    <t>Chq-3</t>
  </si>
  <si>
    <t>RECOVRIES</t>
  </si>
  <si>
    <t>RECOVRIES-- ONLINE</t>
  </si>
  <si>
    <t>DSR Name</t>
  </si>
  <si>
    <t>Bill Date</t>
  </si>
  <si>
    <t>Shop Name</t>
  </si>
  <si>
    <t>Shortage Date</t>
  </si>
  <si>
    <t>Chq no</t>
  </si>
  <si>
    <t>Bill-1</t>
  </si>
  <si>
    <t>Bill-2</t>
  </si>
  <si>
    <t>Bill-3</t>
  </si>
  <si>
    <t>Recoveries</t>
  </si>
  <si>
    <t>Shortage (+/-)</t>
  </si>
  <si>
    <t>Cash Shortage</t>
  </si>
  <si>
    <t xml:space="preserve"> Tax Adj</t>
  </si>
  <si>
    <t>etc</t>
  </si>
  <si>
    <t>Cash Excess</t>
  </si>
  <si>
    <t>Balance</t>
  </si>
  <si>
    <t>Ctn Shortage</t>
  </si>
  <si>
    <t>Bill-</t>
  </si>
  <si>
    <t>NAME: Shazy</t>
  </si>
  <si>
    <t>Bill-5410</t>
  </si>
  <si>
    <t>Panjwani conf</t>
  </si>
  <si>
    <t>Bill-5420</t>
  </si>
  <si>
    <t>Mavia conf</t>
  </si>
  <si>
    <t>Karachi conf</t>
  </si>
  <si>
    <t>Chq-9-11-25</t>
  </si>
  <si>
    <t>UBL-84462316</t>
  </si>
  <si>
    <t>Chq-6-11-25</t>
  </si>
  <si>
    <t>BAH-11449607</t>
  </si>
  <si>
    <t>Chq-8-11-25</t>
  </si>
  <si>
    <t>MB-A28819800</t>
  </si>
  <si>
    <t>Chq-11-11-25</t>
  </si>
  <si>
    <t>MB-A24079067</t>
  </si>
  <si>
    <t>VAN</t>
  </si>
  <si>
    <t>Bill-5400</t>
  </si>
  <si>
    <t>Hadid</t>
  </si>
  <si>
    <t>TodaySheet</t>
  </si>
  <si>
    <t>Asif</t>
  </si>
  <si>
    <t>Asif-4710</t>
  </si>
  <si>
    <t>A.Wahab</t>
  </si>
  <si>
    <t>HM-185933575</t>
  </si>
  <si>
    <t>HM</t>
  </si>
  <si>
    <t>Golden Vip</t>
  </si>
  <si>
    <t>Faizan</t>
  </si>
  <si>
    <t>HBL to Biocare</t>
  </si>
  <si>
    <t>Chq-10-11-25</t>
  </si>
  <si>
    <t>BI-00042611</t>
  </si>
  <si>
    <t>Bill-41650</t>
  </si>
  <si>
    <t>Bismillah cold</t>
  </si>
  <si>
    <t>Bill-41590</t>
  </si>
  <si>
    <t>Golden VIP</t>
  </si>
  <si>
    <t>Adv Oct salary</t>
  </si>
  <si>
    <t>Bill-5500</t>
  </si>
  <si>
    <t>Irfan conf</t>
  </si>
  <si>
    <t>Chq-15-11-25</t>
  </si>
  <si>
    <t>MB-A28962937</t>
  </si>
  <si>
    <t>Bill-5460</t>
  </si>
  <si>
    <t>Dastageer conf</t>
  </si>
  <si>
    <t>MB-A28398632</t>
  </si>
  <si>
    <t>UBL-85063460</t>
  </si>
  <si>
    <t>CD</t>
  </si>
  <si>
    <t>Ms Milk Shop</t>
  </si>
  <si>
    <t>Fayyaz</t>
  </si>
  <si>
    <t>Atif Store</t>
  </si>
  <si>
    <t>BAF-48241656</t>
  </si>
  <si>
    <t>BS Nadeem</t>
  </si>
  <si>
    <t>Asif-5130</t>
  </si>
  <si>
    <t xml:space="preserve">Maroof </t>
  </si>
  <si>
    <t>Sumair</t>
  </si>
  <si>
    <t xml:space="preserve"> Oct salary</t>
  </si>
  <si>
    <t>Huzaifa WS</t>
  </si>
  <si>
    <t>Asif-5390</t>
  </si>
  <si>
    <t>Faheem Traders</t>
  </si>
  <si>
    <t>Ahmed Mart</t>
  </si>
  <si>
    <t>Dattari GS</t>
  </si>
  <si>
    <t>Baqala mart</t>
  </si>
  <si>
    <t>Umair n Abid-37190</t>
  </si>
  <si>
    <t>Dastageer conf-2460</t>
  </si>
  <si>
    <t>MB-A16623417</t>
  </si>
  <si>
    <t>BAH-10221882</t>
  </si>
  <si>
    <t>BAH-10302020</t>
  </si>
  <si>
    <t>MB-A19464353</t>
  </si>
  <si>
    <t>BI-00201682</t>
  </si>
  <si>
    <t>BAH-11093736</t>
  </si>
  <si>
    <t>BAH-10302767</t>
  </si>
  <si>
    <t>M. Habib</t>
  </si>
  <si>
    <t>Asif-4560</t>
  </si>
  <si>
    <t xml:space="preserve">Karachi conf  </t>
  </si>
  <si>
    <t>Asif-5050</t>
  </si>
  <si>
    <t>SS conf</t>
  </si>
  <si>
    <t>Asif4720</t>
  </si>
  <si>
    <t>Chq-14-11-25</t>
  </si>
  <si>
    <t>BAH50658005</t>
  </si>
  <si>
    <t>Bill-41960</t>
  </si>
  <si>
    <t>Naimal mart</t>
  </si>
  <si>
    <t>Noor Prosivion</t>
  </si>
  <si>
    <t>BAH-11226309</t>
  </si>
  <si>
    <t>Chq-12-11-25</t>
  </si>
  <si>
    <t>BAH-10305253</t>
  </si>
  <si>
    <t>UBL-82440375</t>
  </si>
  <si>
    <t>MB-A20392695</t>
  </si>
  <si>
    <t>BAH-10420313</t>
  </si>
  <si>
    <t>Bill-41430</t>
  </si>
  <si>
    <t>MS Milk</t>
  </si>
  <si>
    <t>BAH-10418516</t>
  </si>
  <si>
    <t>BAH-10303444</t>
  </si>
  <si>
    <t>MB-A25862321</t>
  </si>
  <si>
    <t>BAH-1048535</t>
  </si>
  <si>
    <t>UBL-84462305</t>
  </si>
  <si>
    <t>MB-A24079064</t>
  </si>
  <si>
    <t>BAH-11647249</t>
  </si>
  <si>
    <t>BAH-11013913</t>
  </si>
  <si>
    <t>MB-A28819788</t>
  </si>
  <si>
    <t>UBL-85063444</t>
  </si>
  <si>
    <t>BAH-10968584</t>
  </si>
  <si>
    <t>BML-97671247</t>
  </si>
  <si>
    <t>Askari-00187196</t>
  </si>
  <si>
    <t>Prime Madical</t>
  </si>
  <si>
    <t>Sajid</t>
  </si>
  <si>
    <t>Zikariya conf-4640</t>
  </si>
  <si>
    <t>Khan conf-4750</t>
  </si>
  <si>
    <t>Rameen cold</t>
  </si>
  <si>
    <t>Famous gs</t>
  </si>
  <si>
    <t>Tariq Brother</t>
  </si>
  <si>
    <t>Al noor</t>
  </si>
  <si>
    <t xml:space="preserve">Mid Way </t>
  </si>
  <si>
    <t>Saad Medical</t>
  </si>
  <si>
    <t>Panjwani-5060</t>
  </si>
  <si>
    <t>A.Wahab-4660</t>
  </si>
  <si>
    <t>Shazad conf</t>
  </si>
  <si>
    <t>Asif-5360</t>
  </si>
  <si>
    <t>Younus conf</t>
  </si>
  <si>
    <t>Asif-4940</t>
  </si>
  <si>
    <t>Dattari</t>
  </si>
  <si>
    <t>Panjwani</t>
  </si>
  <si>
    <t>Asif-5060</t>
  </si>
  <si>
    <t>KE Bill</t>
  </si>
  <si>
    <t>Bike Maintenance</t>
  </si>
  <si>
    <t>Online BC</t>
  </si>
  <si>
    <t>Mehmood Kashif</t>
  </si>
  <si>
    <t>Asif-5240</t>
  </si>
  <si>
    <t>MB-A23710803</t>
  </si>
  <si>
    <t>FB-CA0000453</t>
  </si>
  <si>
    <t>FB-CA0000451</t>
  </si>
  <si>
    <t>FB-CA0000454</t>
  </si>
  <si>
    <t>Today sheet</t>
  </si>
  <si>
    <t>MCB-00203476</t>
  </si>
  <si>
    <t>The mart</t>
  </si>
  <si>
    <t>Hadid-9790</t>
  </si>
  <si>
    <t>Chq-16-11-25</t>
  </si>
  <si>
    <t>UBL-84462318</t>
  </si>
  <si>
    <t>UBL-82440366</t>
  </si>
  <si>
    <t>BI-0020692</t>
  </si>
  <si>
    <t>FB-CA0001753</t>
  </si>
  <si>
    <t>BAH-11449599</t>
  </si>
  <si>
    <t>HM-186469441</t>
  </si>
  <si>
    <t>Prime Gs</t>
  </si>
  <si>
    <t>Shahdi &amp; Bilal</t>
  </si>
  <si>
    <t>Fahad store</t>
  </si>
  <si>
    <t>MB-A24079069</t>
  </si>
  <si>
    <t>BAH-11647303</t>
  </si>
  <si>
    <t>NAME: Maroof</t>
  </si>
  <si>
    <t>DD</t>
  </si>
  <si>
    <t>Zunaisha</t>
  </si>
  <si>
    <t>Asif-4730</t>
  </si>
  <si>
    <t>Self Mart</t>
  </si>
  <si>
    <t>AB-2505970794</t>
  </si>
  <si>
    <t>Huzaifa</t>
  </si>
  <si>
    <t>Asif-4390</t>
  </si>
  <si>
    <t>FM Marketing</t>
  </si>
  <si>
    <t>Salaies</t>
  </si>
  <si>
    <t>MB-A19464360</t>
  </si>
  <si>
    <t>Chq-18-11-25</t>
  </si>
  <si>
    <t>BAH-10221893</t>
  </si>
  <si>
    <t>Chq-21-11-25</t>
  </si>
  <si>
    <t>BML-97668419</t>
  </si>
  <si>
    <t>Chq-19-11-25</t>
  </si>
  <si>
    <t>HBL-0000165</t>
  </si>
  <si>
    <t>Chq-13-11-25</t>
  </si>
  <si>
    <t>HBL-0000179</t>
  </si>
  <si>
    <t>HBL-0000180</t>
  </si>
  <si>
    <t>Bill-5570</t>
  </si>
  <si>
    <t>M Habib</t>
  </si>
  <si>
    <t>Bill-5600</t>
  </si>
  <si>
    <t>Mehmood kashif</t>
  </si>
  <si>
    <t>Bill-5610</t>
  </si>
  <si>
    <t>Nasir n sons</t>
  </si>
  <si>
    <t>Bill-5550</t>
  </si>
  <si>
    <t>Agha conf</t>
  </si>
  <si>
    <t>SB-05602075</t>
  </si>
  <si>
    <t>Bill-2090</t>
  </si>
  <si>
    <t>ZA Mart</t>
  </si>
  <si>
    <t>FB-CA00001783</t>
  </si>
  <si>
    <t>BI-00201713</t>
  </si>
  <si>
    <t>MB-A28543926</t>
  </si>
  <si>
    <t>BAH-11647259</t>
  </si>
  <si>
    <t>MB-A28819794</t>
  </si>
  <si>
    <t>BAH-10968585</t>
  </si>
  <si>
    <t>MB-D56746087</t>
  </si>
  <si>
    <t>Hadid-39730</t>
  </si>
  <si>
    <t>Asif-5200</t>
  </si>
  <si>
    <t>Extra wark</t>
  </si>
  <si>
    <t>M.Pan</t>
  </si>
  <si>
    <t>naimal mart</t>
  </si>
  <si>
    <t>BAH-11960183</t>
  </si>
  <si>
    <t>Bill-43200</t>
  </si>
  <si>
    <t>Popular</t>
  </si>
  <si>
    <t>Bill-5640</t>
  </si>
  <si>
    <t>Ismail</t>
  </si>
  <si>
    <t>Bill-5630</t>
  </si>
  <si>
    <t>Zikeria</t>
  </si>
  <si>
    <t>Bill-5650</t>
  </si>
  <si>
    <t>Shahid conf</t>
  </si>
  <si>
    <t>Cd</t>
  </si>
  <si>
    <t>MB-A30191250</t>
  </si>
  <si>
    <t>Bill-2290</t>
  </si>
  <si>
    <t xml:space="preserve">Naimal </t>
  </si>
  <si>
    <t>Bill-4280</t>
  </si>
  <si>
    <t>VIP golden</t>
  </si>
  <si>
    <t>Van</t>
  </si>
  <si>
    <t>MCB-2002663315</t>
  </si>
  <si>
    <t>RY</t>
  </si>
  <si>
    <t>P/C to sheet</t>
  </si>
  <si>
    <t>BAH-10151947</t>
  </si>
  <si>
    <t>HM-185933603</t>
  </si>
  <si>
    <t>BAF-26615307</t>
  </si>
  <si>
    <t>BI-00042607</t>
  </si>
  <si>
    <t>MB-A99949650</t>
  </si>
  <si>
    <t>BI-85461823</t>
  </si>
  <si>
    <t>FB-CA0000456</t>
  </si>
  <si>
    <t>A.Wahab-4360</t>
  </si>
  <si>
    <t>Samiullah B</t>
  </si>
  <si>
    <t xml:space="preserve">Ahmed mart </t>
  </si>
  <si>
    <t>Prime Super st</t>
  </si>
  <si>
    <t xml:space="preserve">Saleem </t>
  </si>
  <si>
    <t>office rent</t>
  </si>
  <si>
    <t>MH</t>
  </si>
  <si>
    <t>MB-A23710807</t>
  </si>
  <si>
    <t>Adv Asger</t>
  </si>
  <si>
    <t>BAF-26615301</t>
  </si>
  <si>
    <t>Bill-43230</t>
  </si>
  <si>
    <t>Umair st</t>
  </si>
  <si>
    <t>BAH-11647316</t>
  </si>
  <si>
    <t>BAH-11449615</t>
  </si>
  <si>
    <t>MB-A28819808</t>
  </si>
  <si>
    <t>Bill-5730</t>
  </si>
  <si>
    <t>PMJ Siraj</t>
  </si>
  <si>
    <t>Asif-5420</t>
  </si>
  <si>
    <t>King Store</t>
  </si>
  <si>
    <t>MB-A23710796</t>
  </si>
  <si>
    <t>Bill-5710</t>
  </si>
  <si>
    <t>Bill-5680</t>
  </si>
  <si>
    <t>Huzaifa conf</t>
  </si>
  <si>
    <t>Bill-5690</t>
  </si>
  <si>
    <t>Bill-5700</t>
  </si>
  <si>
    <t>Adv Ubaida</t>
  </si>
  <si>
    <t>Chq-17-11-25</t>
  </si>
  <si>
    <t>BI00042620</t>
  </si>
  <si>
    <t>MCB-2063022312</t>
  </si>
  <si>
    <t>Bill-44150</t>
  </si>
  <si>
    <t>B.Cold</t>
  </si>
  <si>
    <t>Faizan-41650</t>
  </si>
  <si>
    <t>MB-A13619470</t>
  </si>
  <si>
    <t>AB-2506702779</t>
  </si>
  <si>
    <t>BI-000201719</t>
  </si>
  <si>
    <t>MB-A27489382</t>
  </si>
  <si>
    <t>MB-A30506137</t>
  </si>
  <si>
    <t>Bill-5760</t>
  </si>
  <si>
    <t>Bill-5800</t>
  </si>
  <si>
    <t>New Hassan</t>
  </si>
  <si>
    <t>Bill-5810</t>
  </si>
  <si>
    <t>BAH-11013927</t>
  </si>
  <si>
    <t>BAH-10304288</t>
  </si>
  <si>
    <t>HBL-00000446</t>
  </si>
  <si>
    <t>BAF-48241662</t>
  </si>
  <si>
    <t>MB-A28398631</t>
  </si>
  <si>
    <t>Amir saleem</t>
  </si>
  <si>
    <t>Qadeer Store</t>
  </si>
  <si>
    <t>Daniyal gs</t>
  </si>
  <si>
    <t>Fayyaz-43230</t>
  </si>
  <si>
    <t>Sajid-2090</t>
  </si>
  <si>
    <t>Mid way/Noor Harbal</t>
  </si>
  <si>
    <t>3210/3240</t>
  </si>
  <si>
    <t>HM-185933604</t>
  </si>
  <si>
    <t>Adv Sumair</t>
  </si>
  <si>
    <t xml:space="preserve">White smoke </t>
  </si>
  <si>
    <t>Asif-4700</t>
  </si>
  <si>
    <t>A.wahab conf</t>
  </si>
  <si>
    <t>Asif-2710</t>
  </si>
  <si>
    <t>Dastageer gs</t>
  </si>
  <si>
    <t>Asif-2460</t>
  </si>
  <si>
    <t>BAF-50658016</t>
  </si>
  <si>
    <t>Chq-23-11-25</t>
  </si>
  <si>
    <t>UBL-82440377</t>
  </si>
  <si>
    <t>Bill-44610</t>
  </si>
  <si>
    <t>UBL-8254880</t>
  </si>
  <si>
    <t>BAH-10151948</t>
  </si>
  <si>
    <t>Bill-43690</t>
  </si>
  <si>
    <t>BAL-10420378</t>
  </si>
  <si>
    <t>Fayyaz-41430</t>
  </si>
  <si>
    <t>GT Will Pay</t>
  </si>
  <si>
    <t>BM food</t>
  </si>
  <si>
    <t>Luck Pan</t>
  </si>
  <si>
    <t>Family Mart</t>
  </si>
  <si>
    <t>Prime gs</t>
  </si>
  <si>
    <t>Abdullah cold</t>
  </si>
  <si>
    <t>Faizan/Hadid</t>
  </si>
  <si>
    <t>Ahmed mini mart</t>
  </si>
  <si>
    <t>FM Marketing-5220</t>
  </si>
  <si>
    <t>Amir Saleem gs</t>
  </si>
  <si>
    <t>Ahmed mart</t>
  </si>
  <si>
    <t>Stander B</t>
  </si>
  <si>
    <t>Saleem GS</t>
  </si>
  <si>
    <t>BAF-47250962</t>
  </si>
  <si>
    <t>UBL-84462308</t>
  </si>
  <si>
    <t>UBL-84462309</t>
  </si>
  <si>
    <t>MB-A28543915</t>
  </si>
  <si>
    <t>MB-A27489348</t>
  </si>
  <si>
    <t>UBL-82440372</t>
  </si>
  <si>
    <t>BAH-10418267</t>
  </si>
  <si>
    <t>BAH-10694727</t>
  </si>
  <si>
    <t>MB-A24079065</t>
  </si>
  <si>
    <t>UBL-84462314</t>
  </si>
  <si>
    <t>BI-00042609</t>
  </si>
  <si>
    <t>HBL-000000178</t>
  </si>
  <si>
    <t>BAH-10304295</t>
  </si>
  <si>
    <t>HBL-00000451</t>
  </si>
  <si>
    <t>BAH-10305252</t>
  </si>
  <si>
    <t>UBL-78209052</t>
  </si>
  <si>
    <t>BAH-10887594</t>
  </si>
  <si>
    <t>This Amount uesed Yesterday</t>
  </si>
  <si>
    <t>A.wahab</t>
  </si>
  <si>
    <t>Asif-4660</t>
  </si>
  <si>
    <t>Asif-4770</t>
  </si>
  <si>
    <t>BAF-48241666</t>
  </si>
  <si>
    <t>Chq-22-11-25</t>
  </si>
  <si>
    <t>MB-A24079071</t>
  </si>
  <si>
    <t>MB-A80668926</t>
  </si>
  <si>
    <t>Bill-45160</t>
  </si>
  <si>
    <t>M-pan</t>
  </si>
  <si>
    <t>Bill-45180</t>
  </si>
  <si>
    <t>CL Adjust</t>
  </si>
  <si>
    <t>Bill-43970</t>
  </si>
  <si>
    <t>King GS</t>
  </si>
  <si>
    <t>Asif-5400</t>
  </si>
  <si>
    <t>Star conf</t>
  </si>
  <si>
    <t>Asif-5140</t>
  </si>
  <si>
    <t>Chq-20-11-25</t>
  </si>
  <si>
    <t>MB-A28819820</t>
  </si>
  <si>
    <t>BAH-11449618</t>
  </si>
  <si>
    <t>MB-A28413531</t>
  </si>
  <si>
    <t>BAF-50658008</t>
  </si>
  <si>
    <t>Pak dry gs-39750</t>
  </si>
  <si>
    <t>Asif-5230</t>
  </si>
  <si>
    <t>Nasir&amp;Sons</t>
  </si>
  <si>
    <t>Asif-5410</t>
  </si>
  <si>
    <t>HM-185933605</t>
  </si>
  <si>
    <t>Asif-4720</t>
  </si>
  <si>
    <t>Luck Pioneer gs</t>
  </si>
  <si>
    <t>HM-186184476</t>
  </si>
  <si>
    <t xml:space="preserve">Biocare  HBL to Sheet </t>
  </si>
  <si>
    <t>13-11-25</t>
  </si>
  <si>
    <t>MB-A19464364</t>
  </si>
  <si>
    <t>BI-00042626</t>
  </si>
  <si>
    <t>SB-05602076</t>
  </si>
  <si>
    <t>MB-A30506165</t>
  </si>
  <si>
    <t>Asif-5630</t>
  </si>
  <si>
    <t>Asif-5760</t>
  </si>
  <si>
    <t>Asif-5290</t>
  </si>
  <si>
    <t>BI-00201725</t>
  </si>
  <si>
    <t>MB-A28398638</t>
  </si>
  <si>
    <t>MB-A28962920</t>
  </si>
  <si>
    <t>BAH-10418291</t>
  </si>
  <si>
    <t>BAH-10221892</t>
  </si>
  <si>
    <t>HM-186724307</t>
  </si>
  <si>
    <t>BAH-11406797</t>
  </si>
  <si>
    <t>Khan conf-5080</t>
  </si>
  <si>
    <t>Saeed Super store</t>
  </si>
  <si>
    <t>Ahmed store</t>
  </si>
  <si>
    <t>Salman Store</t>
  </si>
  <si>
    <t>Hasnain-4680</t>
  </si>
  <si>
    <t>Asif-5570</t>
  </si>
  <si>
    <t>Asif-5550</t>
  </si>
  <si>
    <t>Chq-28-11-25</t>
  </si>
  <si>
    <t>BML-97669184</t>
  </si>
  <si>
    <t>Bill-5850</t>
  </si>
  <si>
    <t>Sinan conf</t>
  </si>
  <si>
    <t>Bill-5880</t>
  </si>
  <si>
    <t>Bill-5890</t>
  </si>
  <si>
    <t>Farhaj to Biocare</t>
  </si>
  <si>
    <t>14-11-25</t>
  </si>
  <si>
    <t>Bill-5980</t>
  </si>
  <si>
    <t>Ismail conf</t>
  </si>
  <si>
    <t>Bill-9570</t>
  </si>
  <si>
    <t>Bill-5960</t>
  </si>
  <si>
    <t>Hasnain conf</t>
  </si>
  <si>
    <t>Bill-5950</t>
  </si>
  <si>
    <t>Bill-6000</t>
  </si>
  <si>
    <t>New selani</t>
  </si>
  <si>
    <t>Asif-6000</t>
  </si>
  <si>
    <t>BAH-11960189</t>
  </si>
  <si>
    <t>Bill-45850</t>
  </si>
  <si>
    <t>Datari GS</t>
  </si>
  <si>
    <t>BAH-10304307</t>
  </si>
  <si>
    <t>Chq-24-11-25</t>
  </si>
  <si>
    <t>BAF-50658021</t>
  </si>
  <si>
    <t>Asif-5600</t>
  </si>
  <si>
    <t>FM Marketing-5590</t>
  </si>
  <si>
    <t>MB-E43483508</t>
  </si>
  <si>
    <t>MB-A99949581</t>
  </si>
  <si>
    <t>Chq-26-11-25</t>
  </si>
  <si>
    <t>BAH-1042395</t>
  </si>
  <si>
    <t>HM-185933606</t>
  </si>
  <si>
    <t>Hadid/Asif</t>
  </si>
  <si>
    <t>Asif-4360</t>
  </si>
  <si>
    <t>Asif-4190</t>
  </si>
  <si>
    <t>Adv Hamid</t>
  </si>
  <si>
    <t>MB-A31003119</t>
  </si>
  <si>
    <t>Bill-6060</t>
  </si>
  <si>
    <t>Bill-6050</t>
  </si>
  <si>
    <t>MH Pan</t>
  </si>
  <si>
    <t>Bill-6070</t>
  </si>
  <si>
    <t>Umair</t>
  </si>
  <si>
    <t>Chq-30-11-25</t>
  </si>
  <si>
    <t>MB-A28543932</t>
  </si>
  <si>
    <t>MB-A25543931</t>
  </si>
  <si>
    <t>Bill-45610</t>
  </si>
  <si>
    <t>MB-A28819825</t>
  </si>
  <si>
    <t>BAH-11449625</t>
  </si>
  <si>
    <t>UBL-84462321</t>
  </si>
  <si>
    <t>Sajid-38580</t>
  </si>
  <si>
    <t>Al Shams</t>
  </si>
  <si>
    <t>Faizan-44610</t>
  </si>
  <si>
    <t>Namal</t>
  </si>
  <si>
    <t>Asif-5810</t>
  </si>
  <si>
    <t>BA-48241668</t>
  </si>
  <si>
    <t>Asif-6070</t>
  </si>
  <si>
    <t>biocare to farhaj</t>
  </si>
  <si>
    <t xml:space="preserve">This sheet has been merged with tomorrow sheet and deposit on monady  </t>
  </si>
  <si>
    <t xml:space="preserve">yesterday sheet  is merged with today sheet and deposit on moday </t>
  </si>
  <si>
    <t>17-11-25</t>
  </si>
  <si>
    <t>BI-00042634</t>
  </si>
  <si>
    <t>Bill-46690</t>
  </si>
  <si>
    <t>Golden vip</t>
  </si>
  <si>
    <t>Bill-46640</t>
  </si>
  <si>
    <t xml:space="preserve">Hadid </t>
  </si>
  <si>
    <t>UBL-86826388</t>
  </si>
  <si>
    <t>MB-A30617176</t>
  </si>
  <si>
    <t>Chq-25-11-25</t>
  </si>
  <si>
    <t>MB-A28398640</t>
  </si>
  <si>
    <t>Bill-6140</t>
  </si>
  <si>
    <t>Chq-27-11-25</t>
  </si>
  <si>
    <t>BAF-47250974</t>
  </si>
  <si>
    <t>HM-186724314</t>
  </si>
  <si>
    <t>MB-A30506164</t>
  </si>
  <si>
    <t>BML-97668406</t>
  </si>
  <si>
    <t>BAH-10303474</t>
  </si>
  <si>
    <t>BAH-10083209</t>
  </si>
  <si>
    <t>Hasnain Conf-4040</t>
  </si>
  <si>
    <t>Faheem Traders-5270</t>
  </si>
  <si>
    <t>Zikariya conf-5340</t>
  </si>
  <si>
    <t>Pak dry gs</t>
  </si>
  <si>
    <t>Premier GS</t>
  </si>
  <si>
    <t>Parim store</t>
  </si>
  <si>
    <t>RY Traders-</t>
  </si>
  <si>
    <t>MB-A30506197</t>
  </si>
  <si>
    <t>Bill-46110</t>
  </si>
  <si>
    <t>M.Store</t>
  </si>
  <si>
    <t>Umair gs</t>
  </si>
  <si>
    <t>Fayyaz-45610</t>
  </si>
  <si>
    <t>Asif-5090</t>
  </si>
  <si>
    <t>MB-A30911546</t>
  </si>
  <si>
    <t>Bill-6120</t>
  </si>
  <si>
    <t>New hassan</t>
  </si>
  <si>
    <t>Bill-6100</t>
  </si>
  <si>
    <t>BS Shahzad</t>
  </si>
  <si>
    <t>Bill-6130</t>
  </si>
  <si>
    <t>Adv Naqeeb</t>
  </si>
  <si>
    <t>18-11-25</t>
  </si>
  <si>
    <t>BAF-50658026</t>
  </si>
  <si>
    <t>BAH-1030312</t>
  </si>
  <si>
    <t>Bill-47310</t>
  </si>
  <si>
    <t>Asger GS</t>
  </si>
  <si>
    <t>Asif-5850</t>
  </si>
  <si>
    <t>UBL-82543881</t>
  </si>
  <si>
    <t>HM-185933607</t>
  </si>
  <si>
    <t>HM-187029115</t>
  </si>
  <si>
    <t>Bill-46200</t>
  </si>
  <si>
    <t xml:space="preserve">Al Makkah </t>
  </si>
  <si>
    <t>Bill-46250</t>
  </si>
  <si>
    <t>Munna bhai</t>
  </si>
  <si>
    <t>Tawakal trader GT</t>
  </si>
  <si>
    <t>Ismail conf-4960</t>
  </si>
  <si>
    <t>Javid &amp; sons-5250</t>
  </si>
  <si>
    <t>Tawakal-4950</t>
  </si>
  <si>
    <t>FM Marketing-3220</t>
  </si>
  <si>
    <t>Irfan conf-5500</t>
  </si>
  <si>
    <t>Noor store</t>
  </si>
  <si>
    <t>Adil GS</t>
  </si>
  <si>
    <t>Panjwani Conf-6070</t>
  </si>
  <si>
    <t>BAF-50658018</t>
  </si>
  <si>
    <t>BAH-10303143</t>
  </si>
  <si>
    <t>BAH-11198025</t>
  </si>
  <si>
    <t>BML-97671254</t>
  </si>
  <si>
    <t>UBL-86824267</t>
  </si>
  <si>
    <t>BAH-10887599</t>
  </si>
  <si>
    <t>UBL-82543880</t>
  </si>
  <si>
    <t>MB-D65205053</t>
  </si>
  <si>
    <t>Asif-5800</t>
  </si>
  <si>
    <t>19-11-25</t>
  </si>
  <si>
    <t>Adv Maroof</t>
  </si>
  <si>
    <t>MB-A31003124</t>
  </si>
  <si>
    <t>SalamAllha</t>
  </si>
  <si>
    <t>Ahmed $ sons</t>
  </si>
  <si>
    <t>Famliy mart</t>
  </si>
  <si>
    <t>Abdul-Rehman</t>
  </si>
  <si>
    <t>BML-97671255</t>
  </si>
  <si>
    <t>MB-A31003118</t>
  </si>
  <si>
    <t>HM-186469445</t>
  </si>
  <si>
    <t>Todaysheet</t>
  </si>
  <si>
    <t>BAH-11450368</t>
  </si>
  <si>
    <t>UBL-84462324</t>
  </si>
  <si>
    <t>MB-A28819833</t>
  </si>
  <si>
    <t>Faizan-45850</t>
  </si>
  <si>
    <t>Fayyaz-46200</t>
  </si>
  <si>
    <t>Fayyaz-39830</t>
  </si>
  <si>
    <t>Fayyaz-46250</t>
  </si>
  <si>
    <t>Muna bhai</t>
  </si>
  <si>
    <t>Today Sheet</t>
  </si>
  <si>
    <t>20-11-25</t>
  </si>
  <si>
    <t>MB-A19464365</t>
  </si>
  <si>
    <t>BML-97662930</t>
  </si>
  <si>
    <t>Siraj bhai</t>
  </si>
  <si>
    <t>Asif-4530</t>
  </si>
  <si>
    <t>HM-186814017</t>
  </si>
  <si>
    <t>Populer mart</t>
  </si>
  <si>
    <t>Bill-46910</t>
  </si>
  <si>
    <t>AB-2506702818</t>
  </si>
  <si>
    <t>Chq-29-11-25</t>
  </si>
  <si>
    <t>MB-A30617179</t>
  </si>
  <si>
    <t>CA-000001810</t>
  </si>
  <si>
    <t>BI-00204426</t>
  </si>
  <si>
    <t>MB-A28398641</t>
  </si>
  <si>
    <t>MB-A30998666</t>
  </si>
  <si>
    <t>MB-A30506209</t>
  </si>
  <si>
    <t>MB-A23202198</t>
  </si>
  <si>
    <t>Asif-5710</t>
  </si>
  <si>
    <t>Asif-5880</t>
  </si>
  <si>
    <t>Asif-5890</t>
  </si>
  <si>
    <t>A.Wahab-5350</t>
  </si>
  <si>
    <t>HM-185933659</t>
  </si>
  <si>
    <t>Asif-5950</t>
  </si>
  <si>
    <t>Bill-6230</t>
  </si>
  <si>
    <t>Bill-6210</t>
  </si>
  <si>
    <t>Bill-6180</t>
  </si>
  <si>
    <t>RY Trader</t>
  </si>
  <si>
    <t>Bill-6160</t>
  </si>
  <si>
    <t>Yameen up</t>
  </si>
  <si>
    <t>Chq-6-12-25</t>
  </si>
  <si>
    <t>Chq-5-12-25</t>
  </si>
  <si>
    <t>Chq-7-12-25</t>
  </si>
  <si>
    <t>BI-00254703</t>
  </si>
  <si>
    <t>HM-178717789</t>
  </si>
  <si>
    <t>HBL-0000187</t>
  </si>
  <si>
    <t>HBL-0000188</t>
  </si>
  <si>
    <t>BML-97669205</t>
  </si>
  <si>
    <t xml:space="preserve">Lucky pan </t>
  </si>
  <si>
    <t>MB-A28543941</t>
  </si>
  <si>
    <t>HBL-0000462</t>
  </si>
  <si>
    <t>Asif-5700</t>
  </si>
  <si>
    <t>sumair adv</t>
  </si>
  <si>
    <t>MH Pan-4900</t>
  </si>
  <si>
    <t>HM-186607756</t>
  </si>
  <si>
    <t>21-11-25</t>
  </si>
  <si>
    <t>Tawwakl Con</t>
  </si>
  <si>
    <t>Bill-6300</t>
  </si>
  <si>
    <t>Zikeria con</t>
  </si>
  <si>
    <t>Bill-6310</t>
  </si>
  <si>
    <t>Younus store</t>
  </si>
  <si>
    <t>Bill-6280</t>
  </si>
  <si>
    <t>Shahid con</t>
  </si>
  <si>
    <t>Bill-6270</t>
  </si>
  <si>
    <t>Bill-6290</t>
  </si>
  <si>
    <t>Hasnain Conf</t>
  </si>
  <si>
    <t>Ismail Conf</t>
  </si>
  <si>
    <t>Bill-6320</t>
  </si>
  <si>
    <t>UBL-82440381</t>
  </si>
  <si>
    <t>Chq-3-12-24</t>
  </si>
  <si>
    <t>Naimal Family</t>
  </si>
  <si>
    <t>Bill-47150</t>
  </si>
  <si>
    <t>MB-A99949587</t>
  </si>
  <si>
    <t>Noor Provision</t>
  </si>
  <si>
    <t>HBL-0000474</t>
  </si>
  <si>
    <t>HM-185933660</t>
  </si>
  <si>
    <t>Ismail conf-4670</t>
  </si>
  <si>
    <t>Khan conf</t>
  </si>
  <si>
    <t>Hasnain-4990</t>
  </si>
  <si>
    <t>BAH-10303145</t>
  </si>
  <si>
    <t>MB-A30911548</t>
  </si>
  <si>
    <t>HM-186724308</t>
  </si>
  <si>
    <t>HM-186469446</t>
  </si>
  <si>
    <t>22-11-25</t>
  </si>
  <si>
    <t>MB-A31003129</t>
  </si>
  <si>
    <t>Chq-2-12-25</t>
  </si>
  <si>
    <t>MB-A28819838</t>
  </si>
  <si>
    <t>UBL-84462325</t>
  </si>
  <si>
    <t>Bill-47670</t>
  </si>
  <si>
    <t>Fahad GS</t>
  </si>
  <si>
    <t>MB-A24079075</t>
  </si>
  <si>
    <t>Chq-1-12-25</t>
  </si>
  <si>
    <t>BAH-1164562</t>
  </si>
  <si>
    <t>BAF-26615311</t>
  </si>
  <si>
    <t>Bill-6370</t>
  </si>
  <si>
    <t>Bill-6340</t>
  </si>
  <si>
    <t>Bill-6360</t>
  </si>
  <si>
    <t>Zunaisha conf</t>
  </si>
  <si>
    <t>Asif-5970</t>
  </si>
  <si>
    <t>Adv sattar</t>
  </si>
  <si>
    <t>Adv asgher</t>
  </si>
  <si>
    <t>farhaj to biocare 125,000</t>
  </si>
  <si>
    <t>Chq-04-12-25</t>
  </si>
  <si>
    <t>MCB-00204155</t>
  </si>
  <si>
    <t>Chq-3-12-25</t>
  </si>
  <si>
    <t>MCB-2063022333</t>
  </si>
  <si>
    <t>Bill-49220</t>
  </si>
  <si>
    <t>Bill-49060</t>
  </si>
  <si>
    <t>BAH-10303490</t>
  </si>
  <si>
    <t>Bill-6380</t>
  </si>
  <si>
    <t>Bill-6400</t>
  </si>
  <si>
    <t>BS Shazad</t>
  </si>
  <si>
    <t>Bill-6410</t>
  </si>
  <si>
    <t>M. Majid</t>
  </si>
  <si>
    <t>Bill-6420</t>
  </si>
  <si>
    <t>Imran store</t>
  </si>
  <si>
    <t>Bill-6430</t>
  </si>
  <si>
    <t>New karachi</t>
  </si>
  <si>
    <t>Bill-6440</t>
  </si>
  <si>
    <t>New shop</t>
  </si>
  <si>
    <t>Bill-6450</t>
  </si>
  <si>
    <t>Bill-6460</t>
  </si>
  <si>
    <t>Bill-49100</t>
  </si>
  <si>
    <t>Imran</t>
  </si>
  <si>
    <t>BI-00204434</t>
  </si>
  <si>
    <t>FB-CA00001815</t>
  </si>
  <si>
    <t>UBL-86826411</t>
  </si>
  <si>
    <t>SB-05602077</t>
  </si>
  <si>
    <t>MB-A30506225</t>
  </si>
  <si>
    <t>BAH-10302780</t>
  </si>
  <si>
    <t>BAH-10302775</t>
  </si>
  <si>
    <t xml:space="preserve">Pak dry </t>
  </si>
  <si>
    <t>Al raheman store</t>
  </si>
  <si>
    <t>Hamad Noor</t>
  </si>
  <si>
    <t>Asif-6160</t>
  </si>
  <si>
    <t>25-11-2025</t>
  </si>
  <si>
    <t>Asif-6380</t>
  </si>
  <si>
    <t>Asif-6410</t>
  </si>
  <si>
    <t>MCB-2002663317</t>
  </si>
  <si>
    <t>Chq-5-11-25</t>
  </si>
  <si>
    <t>BAF-50568031</t>
  </si>
  <si>
    <t>Bill-49470</t>
  </si>
  <si>
    <t>imran sweets</t>
  </si>
  <si>
    <t>UBL-82543883</t>
  </si>
  <si>
    <t>BAH-10423124</t>
  </si>
  <si>
    <t>MB-A99949590</t>
  </si>
  <si>
    <t>MB-A23202199</t>
  </si>
  <si>
    <t>Bill48650</t>
  </si>
  <si>
    <t>Qadeer medical</t>
  </si>
  <si>
    <t>BAH-11198026</t>
  </si>
  <si>
    <t>BML-97671256</t>
  </si>
  <si>
    <t>BAH-10303151</t>
  </si>
  <si>
    <t>BAH-10305263</t>
  </si>
  <si>
    <t>BAH-10083218</t>
  </si>
  <si>
    <t>Ismail conf-5370/5640</t>
  </si>
  <si>
    <t>Ahemd mini mart</t>
  </si>
  <si>
    <t>Amir Saleem</t>
  </si>
  <si>
    <t>Umair &amp; Abid</t>
  </si>
  <si>
    <t>RY taaders</t>
  </si>
  <si>
    <t>Asif-6060</t>
  </si>
  <si>
    <t>Asif-06400</t>
  </si>
  <si>
    <t>25-11-25</t>
  </si>
  <si>
    <t>Water tanker</t>
  </si>
  <si>
    <t>&amp; water bill</t>
  </si>
  <si>
    <t>farhaj to biocare 10,.000</t>
  </si>
  <si>
    <t xml:space="preserve"> for CPR</t>
  </si>
  <si>
    <t>26-11-25</t>
  </si>
  <si>
    <t>Bill50080</t>
  </si>
  <si>
    <t>BAF-48241670</t>
  </si>
  <si>
    <t>BAF-51700230</t>
  </si>
  <si>
    <t>BAH-11649914</t>
  </si>
  <si>
    <t>Bill-48860</t>
  </si>
  <si>
    <t>Dattri gs</t>
  </si>
  <si>
    <t>Bill-48850</t>
  </si>
  <si>
    <t>Bill-48940</t>
  </si>
  <si>
    <t>Noor GS</t>
  </si>
  <si>
    <t>Sarim conf</t>
  </si>
  <si>
    <t>Asif-1750</t>
  </si>
  <si>
    <t>Asif-5350</t>
  </si>
  <si>
    <t>HM-185933661</t>
  </si>
  <si>
    <t>BAH-10303508</t>
  </si>
  <si>
    <t>BAH-10303512</t>
  </si>
  <si>
    <t>Zikariya Conf-5630</t>
  </si>
  <si>
    <t>BAH-11452812</t>
  </si>
  <si>
    <t>MB-A28819843</t>
  </si>
  <si>
    <t>Chq-4-12-25</t>
  </si>
  <si>
    <t>UBL-88451504</t>
  </si>
  <si>
    <t>27-11-25</t>
  </si>
  <si>
    <t>MB-A13619479</t>
  </si>
  <si>
    <t>golden Vip</t>
  </si>
  <si>
    <t>Asif-6470</t>
  </si>
  <si>
    <t>Asif-1500</t>
  </si>
  <si>
    <t>This amount used yesterday</t>
  </si>
  <si>
    <t>MB-A30506235</t>
  </si>
  <si>
    <t>UBL-88770283</t>
  </si>
  <si>
    <t>BI-00204445</t>
  </si>
  <si>
    <t>MB-A30617184</t>
  </si>
  <si>
    <t>Asif-6370</t>
  </si>
  <si>
    <t>BML-97669212</t>
  </si>
  <si>
    <t>MB-A30506224</t>
  </si>
  <si>
    <t>Faheem trader-5580</t>
  </si>
  <si>
    <t>Prime Madicos</t>
  </si>
  <si>
    <t>Asif-6230</t>
  </si>
  <si>
    <t>Bill-6540</t>
  </si>
  <si>
    <t>Nasir &amp; sons</t>
  </si>
  <si>
    <t>Bill-6480</t>
  </si>
  <si>
    <t>M.Habib</t>
  </si>
  <si>
    <t>Bill-6520</t>
  </si>
  <si>
    <t>Bill-6490</t>
  </si>
  <si>
    <t>B.Amir shaikh</t>
  </si>
  <si>
    <t>Bill-6560</t>
  </si>
  <si>
    <t>Chq-13-12-25</t>
  </si>
  <si>
    <t>HBL-000190</t>
  </si>
  <si>
    <t>Chq-12-12-25</t>
  </si>
  <si>
    <t>HBL-000189</t>
  </si>
  <si>
    <t>BML-97669218</t>
  </si>
  <si>
    <t>Sajid-47670</t>
  </si>
  <si>
    <t xml:space="preserve">P/C to Bank </t>
  </si>
  <si>
    <t>Asif-5120</t>
  </si>
  <si>
    <t>Mashahallah store</t>
  </si>
  <si>
    <t>28-11-25</t>
  </si>
  <si>
    <t>BAH-10306701</t>
  </si>
  <si>
    <t>Chq-10-12-25</t>
  </si>
  <si>
    <t>BAH-11960200</t>
  </si>
  <si>
    <t>BAH-10305256</t>
  </si>
  <si>
    <t>HM-185933662</t>
  </si>
  <si>
    <t>Bill-9410</t>
  </si>
  <si>
    <t>Naimal Mart</t>
  </si>
  <si>
    <t>Bill-6610</t>
  </si>
  <si>
    <t>Bill-6580</t>
  </si>
  <si>
    <t>Bill-6630</t>
  </si>
  <si>
    <t>Shahzad</t>
  </si>
  <si>
    <t>Bill-6570</t>
  </si>
  <si>
    <t>Bill-6600</t>
  </si>
  <si>
    <t>MB-A20392702</t>
  </si>
  <si>
    <t>BAH-10423146</t>
  </si>
  <si>
    <t>MB-A23202200</t>
  </si>
  <si>
    <t>BI-00244026</t>
  </si>
  <si>
    <t>Asif-6430</t>
  </si>
  <si>
    <t>Asif-6280</t>
  </si>
  <si>
    <t>29-11-25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</si>
</sst>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164" fontId="0" fillId="0" borderId="0" xfId="1" applyNumberFormat="1" applyFont="1"/>
    <xf numFmtId="164" fontId="3" fillId="4" borderId="5" xfId="1" applyNumberFormat="1" applyFont="1" applyFill="1" applyBorder="1" applyAlignment="1">
      <alignment horizontal="center"/>
    </xf>
    <xf numFmtId="164" fontId="5" fillId="0" borderId="1" xfId="1" applyNumberFormat="1" applyFont="1" applyBorder="1"/>
    <xf numFmtId="164" fontId="3" fillId="3" borderId="2" xfId="1" applyNumberFormat="1" applyFont="1" applyFill="1" applyBorder="1" applyAlignment="1">
      <alignment vertical="center"/>
    </xf>
    <xf numFmtId="164" fontId="3" fillId="2" borderId="4" xfId="1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2" fillId="5" borderId="0" xfId="0" applyFont="1" applyFill="1" applyBorder="1" applyAlignment="1">
      <alignment horizontal="center" vertical="center"/>
    </xf>
    <xf numFmtId="164" fontId="0" fillId="0" borderId="0" xfId="1" applyNumberFormat="1" applyFont="1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Fill="1" applyBorder="1"/>
    <xf numFmtId="164" fontId="0" fillId="0" borderId="9" xfId="1" applyNumberFormat="1" applyFont="1" applyBorder="1"/>
    <xf numFmtId="164" fontId="0" fillId="0" borderId="11" xfId="1" applyNumberFormat="1" applyFont="1" applyBorder="1"/>
    <xf numFmtId="0" fontId="3" fillId="6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164" fontId="3" fillId="6" borderId="14" xfId="1" applyNumberFormat="1" applyFont="1" applyFill="1" applyBorder="1" applyAlignment="1">
      <alignment vertical="center"/>
    </xf>
    <xf numFmtId="0" fontId="4" fillId="0" borderId="0" xfId="0" applyFont="1" applyFill="1"/>
    <xf numFmtId="0" fontId="4" fillId="0" borderId="10" xfId="0" applyFont="1" applyFill="1" applyBorder="1"/>
    <xf numFmtId="0" fontId="4" fillId="0" borderId="11" xfId="0" applyFont="1" applyFill="1" applyBorder="1"/>
    <xf numFmtId="0" fontId="4" fillId="0" borderId="0" xfId="0" applyFont="1" applyFill="1" applyAlignment="1">
      <alignment horizontal="center" vertical="center"/>
    </xf>
    <xf numFmtId="0" fontId="3" fillId="0" borderId="0" xfId="0" applyFont="1"/>
    <xf numFmtId="0" fontId="3" fillId="0" borderId="10" xfId="0" applyFont="1" applyBorder="1"/>
    <xf numFmtId="0" fontId="3" fillId="0" borderId="11" xfId="0" applyFont="1" applyBorder="1"/>
    <xf numFmtId="0" fontId="3" fillId="7" borderId="10" xfId="0" applyFont="1" applyFill="1" applyBorder="1"/>
    <xf numFmtId="0" fontId="3" fillId="7" borderId="0" xfId="0" applyFont="1" applyFill="1" applyBorder="1"/>
    <xf numFmtId="164" fontId="3" fillId="7" borderId="11" xfId="1" applyNumberFormat="1" applyFont="1" applyFill="1" applyBorder="1"/>
    <xf numFmtId="164" fontId="0" fillId="8" borderId="0" xfId="1" applyNumberFormat="1" applyFont="1" applyFill="1"/>
    <xf numFmtId="164" fontId="0" fillId="8" borderId="0" xfId="1" applyNumberFormat="1" applyFont="1" applyFill="1" applyBorder="1"/>
    <xf numFmtId="0" fontId="4" fillId="8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164" fontId="5" fillId="8" borderId="1" xfId="1" applyNumberFormat="1" applyFont="1" applyFill="1" applyBorder="1"/>
    <xf numFmtId="0" fontId="0" fillId="8" borderId="7" xfId="0" applyFill="1" applyBorder="1"/>
    <xf numFmtId="0" fontId="0" fillId="8" borderId="8" xfId="0" applyFill="1" applyBorder="1"/>
    <xf numFmtId="164" fontId="0" fillId="8" borderId="9" xfId="1" applyNumberFormat="1" applyFont="1" applyFill="1" applyBorder="1"/>
    <xf numFmtId="0" fontId="0" fillId="8" borderId="10" xfId="0" applyFill="1" applyBorder="1"/>
    <xf numFmtId="164" fontId="0" fillId="8" borderId="11" xfId="1" applyNumberFormat="1" applyFont="1" applyFill="1" applyBorder="1"/>
    <xf numFmtId="0" fontId="3" fillId="11" borderId="0" xfId="0" applyFont="1" applyFill="1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/>
    <xf numFmtId="0" fontId="2" fillId="10" borderId="0" xfId="0" applyFont="1" applyFill="1"/>
    <xf numFmtId="164" fontId="2" fillId="10" borderId="0" xfId="1" applyNumberFormat="1" applyFont="1" applyFill="1"/>
    <xf numFmtId="14" fontId="0" fillId="0" borderId="0" xfId="0" applyNumberFormat="1"/>
    <xf numFmtId="0" fontId="0" fillId="9" borderId="0" xfId="0" applyFill="1"/>
    <xf numFmtId="0" fontId="3" fillId="9" borderId="0" xfId="0" applyFont="1" applyFill="1"/>
    <xf numFmtId="0" fontId="3" fillId="11" borderId="1" xfId="0" applyFont="1" applyFill="1" applyBorder="1"/>
    <xf numFmtId="0" fontId="2" fillId="10" borderId="0" xfId="0" applyFont="1" applyFill="1" applyBorder="1" applyAlignment="1">
      <alignment vertical="center"/>
    </xf>
    <xf numFmtId="164" fontId="2" fillId="10" borderId="0" xfId="0" applyNumberFormat="1" applyFont="1" applyFill="1" applyBorder="1" applyAlignment="1">
      <alignment vertical="center"/>
    </xf>
    <xf numFmtId="0" fontId="3" fillId="12" borderId="5" xfId="0" applyFont="1" applyFill="1" applyBorder="1"/>
    <xf numFmtId="164" fontId="3" fillId="12" borderId="5" xfId="0" applyNumberFormat="1" applyFont="1" applyFill="1" applyBorder="1"/>
    <xf numFmtId="0" fontId="3" fillId="11" borderId="1" xfId="0" applyFont="1" applyFill="1" applyBorder="1" applyAlignment="1"/>
    <xf numFmtId="0" fontId="3" fillId="9" borderId="0" xfId="0" applyFont="1" applyFill="1" applyBorder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3" fillId="9" borderId="1" xfId="0" applyFont="1" applyFill="1" applyBorder="1" applyAlignment="1">
      <alignment horizontal="center"/>
    </xf>
    <xf numFmtId="0" fontId="0" fillId="0" borderId="9" xfId="0" applyBorder="1"/>
    <xf numFmtId="0" fontId="3" fillId="9" borderId="1" xfId="0" applyFont="1" applyFill="1" applyBorder="1" applyAlignment="1"/>
    <xf numFmtId="3" fontId="3" fillId="11" borderId="1" xfId="0" applyNumberFormat="1" applyFont="1" applyFill="1" applyBorder="1"/>
    <xf numFmtId="0" fontId="3" fillId="13" borderId="0" xfId="0" applyFont="1" applyFill="1" applyAlignment="1">
      <alignment horizontal="center"/>
    </xf>
    <xf numFmtId="3" fontId="0" fillId="0" borderId="0" xfId="0" applyNumberFormat="1" applyBorder="1"/>
    <xf numFmtId="0" fontId="0" fillId="13" borderId="0" xfId="0" applyFill="1" applyBorder="1"/>
    <xf numFmtId="15" fontId="0" fillId="0" borderId="0" xfId="0" applyNumberFormat="1" applyBorder="1"/>
    <xf numFmtId="0" fontId="3" fillId="11" borderId="0" xfId="0" applyFont="1" applyFill="1" applyAlignment="1">
      <alignment horizontal="left"/>
    </xf>
    <xf numFmtId="164" fontId="0" fillId="14" borderId="0" xfId="1" applyNumberFormat="1" applyFont="1" applyFill="1"/>
    <xf numFmtId="15" fontId="0" fillId="13" borderId="0" xfId="0" applyNumberFormat="1" applyFill="1" applyBorder="1" applyAlignment="1">
      <alignment horizontal="right"/>
    </xf>
    <xf numFmtId="164" fontId="0" fillId="13" borderId="0" xfId="1" applyNumberFormat="1" applyFont="1" applyFill="1" applyBorder="1"/>
    <xf numFmtId="3" fontId="0" fillId="13" borderId="0" xfId="0" applyNumberFormat="1" applyFill="1" applyBorder="1"/>
    <xf numFmtId="3" fontId="0" fillId="13" borderId="0" xfId="0" applyNumberFormat="1" applyFill="1" applyBorder="1" applyAlignment="1">
      <alignment horizontal="right"/>
    </xf>
    <xf numFmtId="0" fontId="3" fillId="14" borderId="0" xfId="0" applyFont="1" applyFill="1"/>
    <xf numFmtId="0" fontId="3" fillId="14" borderId="0" xfId="0" applyFont="1" applyFill="1" applyBorder="1"/>
    <xf numFmtId="0" fontId="3" fillId="11" borderId="15" xfId="0" applyFont="1" applyFill="1" applyBorder="1" applyAlignment="1"/>
    <xf numFmtId="3" fontId="3" fillId="11" borderId="15" xfId="0" applyNumberFormat="1" applyFont="1" applyFill="1" applyBorder="1"/>
    <xf numFmtId="164" fontId="0" fillId="13" borderId="0" xfId="1" applyNumberFormat="1" applyFont="1" applyFill="1" applyBorder="1" applyAlignment="1">
      <alignment horizontal="right"/>
    </xf>
    <xf numFmtId="15" fontId="0" fillId="13" borderId="0" xfId="0" applyNumberFormat="1" applyFill="1" applyBorder="1" applyAlignment="1">
      <alignment horizontal="center"/>
    </xf>
    <xf numFmtId="15" fontId="0" fillId="13" borderId="0" xfId="0" applyNumberFormat="1" applyFill="1" applyBorder="1"/>
    <xf numFmtId="15" fontId="0" fillId="13" borderId="0" xfId="0" applyNumberFormat="1" applyFill="1" applyBorder="1" applyAlignment="1">
      <alignment horizontal="left"/>
    </xf>
    <xf numFmtId="0" fontId="0" fillId="13" borderId="0" xfId="0" applyFill="1" applyBorder="1" applyAlignment="1">
      <alignment horizontal="left"/>
    </xf>
    <xf numFmtId="15" fontId="0" fillId="0" borderId="0" xfId="0" applyNumberFormat="1" applyBorder="1" applyAlignment="1">
      <alignment horizontal="center"/>
    </xf>
    <xf numFmtId="15" fontId="0" fillId="0" borderId="0" xfId="0" applyNumberFormat="1" applyBorder="1" applyAlignment="1">
      <alignment horizontal="right"/>
    </xf>
    <xf numFmtId="15" fontId="0" fillId="0" borderId="0" xfId="0" applyNumberFormat="1" applyFill="1" applyBorder="1" applyAlignment="1">
      <alignment horizontal="center"/>
    </xf>
    <xf numFmtId="0" fontId="0" fillId="0" borderId="7" xfId="0" applyFill="1" applyBorder="1"/>
    <xf numFmtId="0" fontId="0" fillId="0" borderId="8" xfId="0" applyFill="1" applyBorder="1"/>
    <xf numFmtId="164" fontId="0" fillId="0" borderId="9" xfId="1" applyNumberFormat="1" applyFont="1" applyFill="1" applyBorder="1"/>
    <xf numFmtId="0" fontId="0" fillId="0" borderId="10" xfId="0" applyFill="1" applyBorder="1"/>
    <xf numFmtId="164" fontId="0" fillId="0" borderId="11" xfId="1" applyNumberFormat="1" applyFont="1" applyFill="1" applyBorder="1"/>
    <xf numFmtId="0" fontId="0" fillId="15" borderId="0" xfId="0" applyFill="1"/>
    <xf numFmtId="3" fontId="0" fillId="0" borderId="0" xfId="0" applyNumberFormat="1" applyFill="1" applyBorder="1"/>
    <xf numFmtId="164" fontId="0" fillId="0" borderId="0" xfId="1" applyNumberFormat="1" applyFont="1" applyFill="1" applyBorder="1"/>
    <xf numFmtId="49" fontId="0" fillId="13" borderId="0" xfId="0" applyNumberFormat="1" applyFill="1" applyBorder="1" applyAlignment="1">
      <alignment horizontal="left"/>
    </xf>
    <xf numFmtId="3" fontId="3" fillId="0" borderId="0" xfId="0" applyNumberFormat="1" applyFont="1" applyFill="1" applyBorder="1"/>
    <xf numFmtId="164" fontId="0" fillId="4" borderId="0" xfId="1" applyNumberFormat="1" applyFont="1" applyFill="1"/>
    <xf numFmtId="0" fontId="0" fillId="13" borderId="0" xfId="0" applyFill="1" applyAlignment="1"/>
    <xf numFmtId="164" fontId="0" fillId="13" borderId="0" xfId="1" applyNumberFormat="1" applyFont="1" applyFill="1"/>
    <xf numFmtId="0" fontId="0" fillId="13" borderId="17" xfId="0" applyFill="1" applyBorder="1" applyAlignment="1"/>
    <xf numFmtId="0" fontId="0" fillId="13" borderId="16" xfId="0" applyFill="1" applyBorder="1" applyAlignment="1"/>
    <xf numFmtId="14" fontId="0" fillId="13" borderId="16" xfId="0" applyNumberFormat="1" applyFill="1" applyBorder="1" applyAlignment="1"/>
    <xf numFmtId="0" fontId="3" fillId="11" borderId="0" xfId="0" applyFont="1" applyFill="1" applyAlignment="1"/>
    <xf numFmtId="0" fontId="0" fillId="0" borderId="18" xfId="0" applyFill="1" applyBorder="1"/>
    <xf numFmtId="0" fontId="0" fillId="7" borderId="0" xfId="0" applyFill="1"/>
    <xf numFmtId="164" fontId="0" fillId="7" borderId="0" xfId="1" applyNumberFormat="1" applyFont="1" applyFill="1"/>
    <xf numFmtId="15" fontId="0" fillId="15" borderId="0" xfId="0" applyNumberFormat="1" applyFill="1" applyBorder="1" applyAlignment="1">
      <alignment horizontal="center"/>
    </xf>
    <xf numFmtId="0" fontId="0" fillId="15" borderId="0" xfId="0" applyFill="1" applyBorder="1"/>
    <xf numFmtId="164" fontId="0" fillId="15" borderId="0" xfId="1" applyNumberFormat="1" applyFont="1" applyFill="1"/>
    <xf numFmtId="15" fontId="0" fillId="0" borderId="0" xfId="0" applyNumberFormat="1" applyFill="1" applyBorder="1" applyAlignment="1">
      <alignment horizontal="right"/>
    </xf>
    <xf numFmtId="164" fontId="0" fillId="14" borderId="11" xfId="1" applyNumberFormat="1" applyFont="1" applyFill="1" applyBorder="1"/>
    <xf numFmtId="15" fontId="0" fillId="0" borderId="0" xfId="0" applyNumberFormat="1" applyFill="1" applyBorder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0" xfId="1" applyNumberFormat="1" applyFont="1" applyFill="1" applyBorder="1" applyAlignment="1">
      <alignment horizontal="left"/>
    </xf>
    <xf numFmtId="0" fontId="0" fillId="13" borderId="0" xfId="0" applyFill="1"/>
    <xf numFmtId="15" fontId="0" fillId="0" borderId="0" xfId="0" applyNumberFormat="1" applyFill="1" applyBorder="1" applyAlignment="1">
      <alignment horizontal="left"/>
    </xf>
    <xf numFmtId="0" fontId="0" fillId="0" borderId="0" xfId="0" applyFill="1"/>
    <xf numFmtId="3" fontId="0" fillId="0" borderId="0" xfId="0" applyNumberFormat="1" applyFill="1"/>
    <xf numFmtId="3" fontId="0" fillId="15" borderId="0" xfId="0" applyNumberFormat="1" applyFill="1"/>
    <xf numFmtId="0" fontId="5" fillId="8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L39"/>
  <sheetViews>
    <sheetView topLeftCell="E13" zoomScale="90" zoomScaleNormal="90" workbookViewId="0">
      <selection activeCell="L32" sqref="L32"/>
    </sheetView>
  </sheetViews>
  <sheetFormatPr defaultRowHeight="15"/>
  <cols>
    <col min="3" max="3" width="14.7109375" bestFit="1" customWidth="1"/>
    <col min="5" max="5" width="0.28515625" customWidth="1"/>
    <col min="7" max="7" width="14.7109375" bestFit="1" customWidth="1"/>
    <col min="8" max="8" width="9.5703125" customWidth="1"/>
    <col min="9" max="9" width="0.7109375" customWidth="1"/>
    <col min="13" max="13" width="0.5703125" customWidth="1"/>
    <col min="17" max="17" width="0.5703125" customWidth="1"/>
    <col min="19" max="19" width="13.5703125" bestFit="1" customWidth="1"/>
    <col min="20" max="20" width="9.5703125" bestFit="1" customWidth="1"/>
    <col min="21" max="22" width="0.5703125" customWidth="1"/>
    <col min="26" max="26" width="0.7109375" customWidth="1"/>
    <col min="27" max="27" width="0.5703125" customWidth="1"/>
    <col min="29" max="29" width="10.140625" bestFit="1" customWidth="1"/>
    <col min="31" max="31" width="10.42578125" bestFit="1" customWidth="1"/>
    <col min="33" max="33" width="1.28515625" customWidth="1"/>
    <col min="34" max="34" width="9.140625" hidden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>
        <v>5</v>
      </c>
      <c r="L5" s="36">
        <f>+K5*J5</f>
        <v>5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5</v>
      </c>
      <c r="Y5" s="37">
        <f>+D5+H5+L5+P5+T5</f>
        <v>5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147</v>
      </c>
      <c r="D6" s="36">
        <f>+C6*B6</f>
        <v>1470</v>
      </c>
      <c r="E6" s="1"/>
      <c r="F6" s="2">
        <v>10</v>
      </c>
      <c r="G6" s="2">
        <v>28</v>
      </c>
      <c r="H6" s="36">
        <f>+G6*F6</f>
        <v>280</v>
      </c>
      <c r="I6" s="1"/>
      <c r="J6" s="2">
        <v>10</v>
      </c>
      <c r="K6" s="2">
        <v>56</v>
      </c>
      <c r="L6" s="36">
        <f>+K6*J6</f>
        <v>560</v>
      </c>
      <c r="M6" s="1"/>
      <c r="N6" s="2">
        <v>10</v>
      </c>
      <c r="O6" s="2">
        <v>259</v>
      </c>
      <c r="P6" s="36">
        <f>+O6*N6</f>
        <v>2590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490</v>
      </c>
      <c r="Y6" s="37">
        <f>+D6+H6+L6+P6+T6</f>
        <v>4900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8</v>
      </c>
      <c r="AK6" s="36">
        <f t="shared" ref="AK6:AK13" si="0">+AJ6*AI6</f>
        <v>8</v>
      </c>
      <c r="AL6" s="26"/>
    </row>
    <row r="7" spans="2:38">
      <c r="B7" s="2">
        <v>20</v>
      </c>
      <c r="C7" s="2">
        <v>18</v>
      </c>
      <c r="D7" s="36">
        <f t="shared" ref="D7:D12" si="1">+C7*B7</f>
        <v>360</v>
      </c>
      <c r="E7" s="1"/>
      <c r="F7" s="2">
        <v>20</v>
      </c>
      <c r="G7" s="2">
        <v>12</v>
      </c>
      <c r="H7" s="36">
        <f t="shared" ref="H7:H12" si="2">+G7*F7</f>
        <v>240</v>
      </c>
      <c r="I7" s="1"/>
      <c r="J7" s="2">
        <v>20</v>
      </c>
      <c r="K7" s="2">
        <v>14</v>
      </c>
      <c r="L7" s="36">
        <f t="shared" ref="L7:L12" si="3">+K7*J7</f>
        <v>280</v>
      </c>
      <c r="M7" s="1"/>
      <c r="N7" s="2">
        <v>20</v>
      </c>
      <c r="O7" s="2">
        <v>36</v>
      </c>
      <c r="P7" s="36">
        <f t="shared" ref="P7:P12" si="4">+O7*N7</f>
        <v>720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80</v>
      </c>
      <c r="Y7" s="37">
        <f t="shared" ref="Y7:Y12" si="6">+D7+H7+L7+P7+T7</f>
        <v>1600</v>
      </c>
      <c r="Z7" s="13"/>
      <c r="AA7" s="1"/>
      <c r="AB7" s="56" t="s">
        <v>9</v>
      </c>
      <c r="AC7" s="57">
        <f>Y13</f>
        <v>204455</v>
      </c>
      <c r="AD7" s="26"/>
      <c r="AE7" s="26"/>
      <c r="AF7" s="26"/>
      <c r="AG7" s="26"/>
      <c r="AH7" s="1"/>
      <c r="AI7" s="2">
        <v>10</v>
      </c>
      <c r="AJ7" s="2">
        <v>491</v>
      </c>
      <c r="AK7" s="36">
        <f t="shared" si="0"/>
        <v>4910</v>
      </c>
      <c r="AL7" s="1"/>
    </row>
    <row r="8" spans="2:38">
      <c r="B8" s="2">
        <v>50</v>
      </c>
      <c r="C8" s="2">
        <v>38</v>
      </c>
      <c r="D8" s="36">
        <f t="shared" si="1"/>
        <v>1900</v>
      </c>
      <c r="E8" s="1"/>
      <c r="F8" s="2">
        <v>50</v>
      </c>
      <c r="G8" s="2">
        <v>42</v>
      </c>
      <c r="H8" s="36">
        <f t="shared" si="2"/>
        <v>2100</v>
      </c>
      <c r="I8" s="1"/>
      <c r="J8" s="2">
        <v>50</v>
      </c>
      <c r="K8" s="2">
        <v>17</v>
      </c>
      <c r="L8" s="36">
        <f t="shared" si="3"/>
        <v>850</v>
      </c>
      <c r="M8" s="1"/>
      <c r="N8" s="2">
        <v>50</v>
      </c>
      <c r="O8" s="2">
        <v>28</v>
      </c>
      <c r="P8" s="36">
        <f t="shared" si="4"/>
        <v>1400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125</v>
      </c>
      <c r="Y8" s="37">
        <f t="shared" si="6"/>
        <v>6250</v>
      </c>
      <c r="Z8" s="13"/>
      <c r="AA8" s="1"/>
      <c r="AB8" s="53" t="s">
        <v>10</v>
      </c>
      <c r="AC8" s="53">
        <f>+AF37</f>
        <v>15263</v>
      </c>
      <c r="AD8" s="1"/>
      <c r="AE8" s="1"/>
      <c r="AF8" s="1"/>
      <c r="AG8" s="1"/>
      <c r="AH8" s="1"/>
      <c r="AI8" s="2">
        <v>20</v>
      </c>
      <c r="AJ8" s="2">
        <v>80</v>
      </c>
      <c r="AK8" s="36">
        <f t="shared" si="0"/>
        <v>1600</v>
      </c>
      <c r="AL8" s="1"/>
    </row>
    <row r="9" spans="2:38" ht="15.75" thickBot="1">
      <c r="B9" s="2">
        <v>100</v>
      </c>
      <c r="C9" s="2">
        <v>34</v>
      </c>
      <c r="D9" s="36">
        <f t="shared" si="1"/>
        <v>3400</v>
      </c>
      <c r="E9" s="1"/>
      <c r="F9" s="2">
        <v>100</v>
      </c>
      <c r="G9" s="2">
        <v>57</v>
      </c>
      <c r="H9" s="36">
        <f t="shared" si="2"/>
        <v>5700</v>
      </c>
      <c r="I9" s="1"/>
      <c r="J9" s="2">
        <v>100</v>
      </c>
      <c r="K9" s="2">
        <v>32</v>
      </c>
      <c r="L9" s="36">
        <f t="shared" si="3"/>
        <v>3200</v>
      </c>
      <c r="M9" s="1"/>
      <c r="N9" s="2">
        <v>100</v>
      </c>
      <c r="O9" s="2">
        <v>44</v>
      </c>
      <c r="P9" s="36">
        <f t="shared" si="4"/>
        <v>4400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167</v>
      </c>
      <c r="Y9" s="37">
        <f t="shared" si="6"/>
        <v>16700</v>
      </c>
      <c r="Z9" s="13"/>
      <c r="AA9" s="1"/>
      <c r="AB9" s="58" t="s">
        <v>11</v>
      </c>
      <c r="AC9" s="59">
        <f>SUM(AC7:AC8)</f>
        <v>219718</v>
      </c>
      <c r="AD9" s="1"/>
      <c r="AE9" s="1"/>
      <c r="AF9" s="1"/>
      <c r="AG9" s="1"/>
      <c r="AH9" s="1"/>
      <c r="AI9" s="2">
        <v>50</v>
      </c>
      <c r="AJ9" s="2">
        <v>126</v>
      </c>
      <c r="AK9" s="36">
        <f t="shared" si="0"/>
        <v>6300</v>
      </c>
      <c r="AL9" s="1"/>
    </row>
    <row r="10" spans="2:38">
      <c r="B10" s="2">
        <v>500</v>
      </c>
      <c r="C10" s="2">
        <v>38</v>
      </c>
      <c r="D10" s="36">
        <f t="shared" si="1"/>
        <v>19000</v>
      </c>
      <c r="E10" s="1"/>
      <c r="F10" s="2">
        <v>500</v>
      </c>
      <c r="G10" s="2">
        <v>38</v>
      </c>
      <c r="H10" s="36">
        <f t="shared" si="2"/>
        <v>19000</v>
      </c>
      <c r="I10" s="1"/>
      <c r="J10" s="2">
        <v>500</v>
      </c>
      <c r="K10" s="2">
        <v>35</v>
      </c>
      <c r="L10" s="36">
        <f t="shared" si="3"/>
        <v>17500</v>
      </c>
      <c r="M10" s="1"/>
      <c r="N10" s="2">
        <v>500</v>
      </c>
      <c r="O10" s="2">
        <v>25</v>
      </c>
      <c r="P10" s="36">
        <f t="shared" si="4"/>
        <v>12500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136</v>
      </c>
      <c r="Y10" s="37">
        <f t="shared" si="6"/>
        <v>68000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169</v>
      </c>
      <c r="AK10" s="36">
        <f t="shared" si="0"/>
        <v>16900</v>
      </c>
      <c r="AL10" s="1"/>
    </row>
    <row r="11" spans="2:38">
      <c r="B11" s="2">
        <v>1000</v>
      </c>
      <c r="C11" s="2">
        <v>18</v>
      </c>
      <c r="D11" s="36">
        <f t="shared" si="1"/>
        <v>18000</v>
      </c>
      <c r="E11" s="1"/>
      <c r="F11" s="2">
        <v>1000</v>
      </c>
      <c r="G11" s="2">
        <v>21</v>
      </c>
      <c r="H11" s="36">
        <f t="shared" si="2"/>
        <v>21000</v>
      </c>
      <c r="I11" s="1"/>
      <c r="J11" s="2">
        <v>1000</v>
      </c>
      <c r="K11" s="2">
        <v>31</v>
      </c>
      <c r="L11" s="36">
        <f t="shared" si="3"/>
        <v>31000</v>
      </c>
      <c r="M11" s="1"/>
      <c r="N11" s="2">
        <v>1000</v>
      </c>
      <c r="O11" s="2">
        <v>17</v>
      </c>
      <c r="P11" s="36">
        <f t="shared" si="4"/>
        <v>17000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87</v>
      </c>
      <c r="Y11" s="37">
        <f t="shared" si="6"/>
        <v>87000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152</v>
      </c>
      <c r="AK11" s="36">
        <f t="shared" si="0"/>
        <v>76000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2</v>
      </c>
      <c r="P12" s="36">
        <f t="shared" si="4"/>
        <v>10000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4</v>
      </c>
      <c r="Y12" s="37">
        <f t="shared" si="6"/>
        <v>20000</v>
      </c>
      <c r="Z12" s="13"/>
      <c r="AA12" s="1"/>
      <c r="AB12" s="1" t="s">
        <v>16</v>
      </c>
      <c r="AC12" s="5">
        <v>219710</v>
      </c>
      <c r="AD12" s="1">
        <v>979415</v>
      </c>
      <c r="AE12" s="52">
        <v>45727</v>
      </c>
      <c r="AF12" s="1" t="s">
        <v>69</v>
      </c>
      <c r="AG12" s="1"/>
      <c r="AH12" s="1"/>
      <c r="AI12" s="2">
        <v>1000</v>
      </c>
      <c r="AJ12" s="2">
        <v>94</v>
      </c>
      <c r="AK12" s="36">
        <f t="shared" si="0"/>
        <v>94000</v>
      </c>
      <c r="AL12" s="1"/>
    </row>
    <row r="13" spans="2:38" ht="15.75" thickBot="1">
      <c r="B13" s="3" t="s">
        <v>17</v>
      </c>
      <c r="C13" s="3"/>
      <c r="D13" s="6">
        <f>+SUM(D5:D12)</f>
        <v>44130</v>
      </c>
      <c r="E13" s="1"/>
      <c r="F13" s="3" t="s">
        <v>17</v>
      </c>
      <c r="G13" s="3"/>
      <c r="H13" s="6">
        <f>+SUM(H5:H12)</f>
        <v>53320</v>
      </c>
      <c r="I13" s="1"/>
      <c r="J13" s="3" t="s">
        <v>17</v>
      </c>
      <c r="K13" s="3"/>
      <c r="L13" s="6">
        <f>+SUM(L5:L12)</f>
        <v>58395</v>
      </c>
      <c r="M13" s="1"/>
      <c r="N13" s="3" t="s">
        <v>17</v>
      </c>
      <c r="O13" s="3"/>
      <c r="P13" s="6">
        <f>+SUM(P5:P12)</f>
        <v>48610</v>
      </c>
      <c r="Q13" s="1"/>
      <c r="R13" s="3" t="s">
        <v>17</v>
      </c>
      <c r="S13" s="3"/>
      <c r="T13" s="6">
        <f>+SUM(T5:T12)</f>
        <v>0</v>
      </c>
      <c r="U13" s="1"/>
      <c r="V13" s="12"/>
      <c r="W13" s="3" t="s">
        <v>17</v>
      </c>
      <c r="X13" s="3"/>
      <c r="Y13" s="6">
        <f>+SUM(Y5:Y12)</f>
        <v>204455</v>
      </c>
      <c r="Z13" s="13"/>
      <c r="AA13" s="1"/>
      <c r="AB13" s="1" t="s">
        <v>18</v>
      </c>
      <c r="AC13" s="5">
        <v>8</v>
      </c>
      <c r="AD13" s="1"/>
      <c r="AE13" s="1"/>
      <c r="AF13" s="1"/>
      <c r="AG13" s="1"/>
      <c r="AH13" s="1"/>
      <c r="AI13" s="2">
        <v>5000</v>
      </c>
      <c r="AJ13" s="2">
        <v>4</v>
      </c>
      <c r="AK13" s="36">
        <f t="shared" si="0"/>
        <v>20000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219718</v>
      </c>
      <c r="AL14" s="1"/>
    </row>
    <row r="15" spans="2:38" ht="15.75" thickBot="1">
      <c r="B15" s="128" t="s">
        <v>20</v>
      </c>
      <c r="C15" s="129"/>
      <c r="D15" s="8">
        <v>50886</v>
      </c>
      <c r="E15" s="30"/>
      <c r="F15" s="128" t="s">
        <v>20</v>
      </c>
      <c r="G15" s="129"/>
      <c r="H15" s="8">
        <v>69332</v>
      </c>
      <c r="I15" s="30"/>
      <c r="J15" s="128" t="s">
        <v>20</v>
      </c>
      <c r="K15" s="129"/>
      <c r="L15" s="8">
        <v>58513</v>
      </c>
      <c r="M15" s="30"/>
      <c r="N15" s="128" t="s">
        <v>20</v>
      </c>
      <c r="O15" s="129"/>
      <c r="P15" s="8">
        <v>49948</v>
      </c>
      <c r="Q15" s="30"/>
      <c r="R15" s="128" t="s">
        <v>20</v>
      </c>
      <c r="S15" s="129"/>
      <c r="T15" s="8">
        <v>579203</v>
      </c>
      <c r="U15" s="30"/>
      <c r="V15" s="31"/>
      <c r="W15" s="128" t="s">
        <v>20</v>
      </c>
      <c r="X15" s="129"/>
      <c r="Y15" s="8">
        <f>+D15+H15+L15+P15+T15</f>
        <v>807882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44130</v>
      </c>
      <c r="E16" s="1"/>
      <c r="F16" s="1" t="s">
        <v>9</v>
      </c>
      <c r="G16" s="1"/>
      <c r="H16" s="5">
        <f>+H13</f>
        <v>53320</v>
      </c>
      <c r="I16" s="1"/>
      <c r="J16" s="1" t="s">
        <v>9</v>
      </c>
      <c r="K16" s="1"/>
      <c r="L16" s="5">
        <f>+L13</f>
        <v>58395</v>
      </c>
      <c r="M16" s="1"/>
      <c r="N16" s="1" t="s">
        <v>9</v>
      </c>
      <c r="O16" s="1"/>
      <c r="P16" s="5">
        <f>+P13</f>
        <v>48610</v>
      </c>
      <c r="Q16" s="1"/>
      <c r="R16" s="1" t="s">
        <v>9</v>
      </c>
      <c r="S16" s="1"/>
      <c r="T16" s="5">
        <f>+T13</f>
        <v>0</v>
      </c>
      <c r="U16" s="1"/>
      <c r="V16" s="12"/>
      <c r="W16" s="40" t="s">
        <v>9</v>
      </c>
      <c r="X16" s="40"/>
      <c r="Y16" s="37">
        <f>+D16+H16+L16+P16+T16</f>
        <v>204455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>
        <v>3084</v>
      </c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3084</v>
      </c>
      <c r="Z17" s="13"/>
      <c r="AA17" s="1"/>
      <c r="AB17" s="48" t="s">
        <v>11</v>
      </c>
      <c r="AC17" s="49">
        <f>+SUM(AC12:AC16)</f>
        <v>219718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59</v>
      </c>
      <c r="C18" s="1" t="s">
        <v>60</v>
      </c>
      <c r="D18" s="5">
        <v>3920</v>
      </c>
      <c r="E18" s="1"/>
      <c r="F18" s="1" t="s">
        <v>53</v>
      </c>
      <c r="G18" s="1" t="s">
        <v>54</v>
      </c>
      <c r="H18" s="5">
        <v>5962</v>
      </c>
      <c r="I18" s="1"/>
      <c r="J18" s="1" t="s">
        <v>23</v>
      </c>
      <c r="K18" s="1"/>
      <c r="L18" s="5"/>
      <c r="M18" s="1"/>
      <c r="N18" s="1" t="s">
        <v>23</v>
      </c>
      <c r="O18" s="1"/>
      <c r="P18" s="5"/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9882</v>
      </c>
      <c r="Z18" s="13"/>
      <c r="AA18" s="1"/>
      <c r="AB18" s="50" t="s">
        <v>24</v>
      </c>
      <c r="AC18" s="51">
        <f>+AC17-AC9</f>
        <v>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55</v>
      </c>
      <c r="G19" s="1" t="s">
        <v>56</v>
      </c>
      <c r="H19" s="5">
        <v>5500</v>
      </c>
      <c r="I19" s="1"/>
      <c r="J19" s="1" t="s">
        <v>26</v>
      </c>
      <c r="K19" s="1"/>
      <c r="L19" s="5"/>
      <c r="M19" s="1"/>
      <c r="N19" s="1" t="s">
        <v>26</v>
      </c>
      <c r="O19" s="1"/>
      <c r="P19" s="5"/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5500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57</v>
      </c>
      <c r="G20" s="1" t="s">
        <v>58</v>
      </c>
      <c r="H20" s="5">
        <v>2230</v>
      </c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2230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32</v>
      </c>
      <c r="AC22" s="47" t="s">
        <v>30</v>
      </c>
      <c r="AD22" s="47" t="s">
        <v>33</v>
      </c>
      <c r="AE22" s="47" t="s">
        <v>31</v>
      </c>
      <c r="AF22" s="47" t="s">
        <v>7</v>
      </c>
      <c r="AG22" s="1"/>
      <c r="AH22" s="1"/>
      <c r="AI22" s="47" t="s">
        <v>30</v>
      </c>
      <c r="AJ22" s="47" t="s">
        <v>32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 t="s">
        <v>61</v>
      </c>
      <c r="H23" s="5">
        <v>2500</v>
      </c>
      <c r="I23" s="1"/>
      <c r="J23" s="1" t="s">
        <v>35</v>
      </c>
      <c r="K23" s="1"/>
      <c r="L23" s="5"/>
      <c r="M23" s="1"/>
      <c r="N23" s="1" t="s">
        <v>46</v>
      </c>
      <c r="O23" s="1"/>
      <c r="P23" s="5"/>
      <c r="Q23" s="1"/>
      <c r="R23" s="1" t="s">
        <v>48</v>
      </c>
      <c r="S23" s="1" t="s">
        <v>49</v>
      </c>
      <c r="T23" s="5">
        <v>476016</v>
      </c>
      <c r="U23" s="1"/>
      <c r="V23" s="12"/>
      <c r="W23" s="40" t="s">
        <v>35</v>
      </c>
      <c r="X23" s="40"/>
      <c r="Y23" s="37">
        <f t="shared" si="8"/>
        <v>478516</v>
      </c>
      <c r="Z23" s="13"/>
      <c r="AA23" s="1"/>
      <c r="AB23" s="16" t="s">
        <v>51</v>
      </c>
      <c r="AC23" s="70" t="s">
        <v>66</v>
      </c>
      <c r="AD23" s="16"/>
      <c r="AE23" s="71">
        <v>45948</v>
      </c>
      <c r="AF23" s="16">
        <v>5263</v>
      </c>
      <c r="AG23" s="1"/>
      <c r="AH23" s="1"/>
      <c r="AI23" s="16" t="s">
        <v>63</v>
      </c>
      <c r="AJ23" s="16" t="s">
        <v>64</v>
      </c>
      <c r="AK23" s="16"/>
      <c r="AL23" s="69">
        <v>3084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50</v>
      </c>
      <c r="S24" s="1" t="s">
        <v>51</v>
      </c>
      <c r="T24" s="5">
        <v>10747</v>
      </c>
      <c r="U24" s="1"/>
      <c r="V24" s="12"/>
      <c r="W24" s="40" t="s">
        <v>36</v>
      </c>
      <c r="X24" s="40"/>
      <c r="Y24" s="37">
        <f t="shared" si="8"/>
        <v>10747</v>
      </c>
      <c r="Z24" s="13"/>
      <c r="AA24" s="1"/>
      <c r="AB24" s="70" t="s">
        <v>67</v>
      </c>
      <c r="AC24" s="70" t="s">
        <v>65</v>
      </c>
      <c r="AD24" s="70" t="s">
        <v>68</v>
      </c>
      <c r="AE24" s="1"/>
      <c r="AF24" s="69">
        <v>10000</v>
      </c>
      <c r="AG24" s="1"/>
      <c r="AH24" s="1"/>
      <c r="AI24" s="70"/>
      <c r="AK24" s="70"/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62</v>
      </c>
      <c r="S25" s="1" t="s">
        <v>52</v>
      </c>
      <c r="T25" s="5">
        <v>92440</v>
      </c>
      <c r="U25" s="1"/>
      <c r="V25" s="12"/>
      <c r="W25" s="40" t="s">
        <v>37</v>
      </c>
      <c r="X25" s="40"/>
      <c r="Y25" s="37">
        <f t="shared" si="8"/>
        <v>92440</v>
      </c>
      <c r="Z25" s="13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62"/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20"/>
      <c r="AG26" s="1"/>
      <c r="AH26" s="1"/>
      <c r="AI26" s="1"/>
      <c r="AJ26" s="1"/>
      <c r="AK26" s="1"/>
      <c r="AL26" s="62"/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62"/>
    </row>
    <row r="28" spans="2:38" ht="15.75" thickBot="1">
      <c r="B28" s="125" t="s">
        <v>11</v>
      </c>
      <c r="C28" s="126"/>
      <c r="D28" s="9">
        <f>+SUM(D16:D27)</f>
        <v>51134</v>
      </c>
      <c r="E28" s="1"/>
      <c r="F28" s="125" t="s">
        <v>11</v>
      </c>
      <c r="G28" s="126"/>
      <c r="H28" s="9">
        <f>+SUM(H16:H27)</f>
        <v>69512</v>
      </c>
      <c r="I28" s="1"/>
      <c r="J28" s="125" t="s">
        <v>11</v>
      </c>
      <c r="K28" s="126"/>
      <c r="L28" s="9">
        <f>+SUM(L16:L27)</f>
        <v>58395</v>
      </c>
      <c r="M28" s="1"/>
      <c r="N28" s="125" t="s">
        <v>11</v>
      </c>
      <c r="O28" s="126"/>
      <c r="P28" s="9">
        <f>+SUM(P16:P27)</f>
        <v>48610</v>
      </c>
      <c r="Q28" s="1"/>
      <c r="R28" s="125" t="s">
        <v>11</v>
      </c>
      <c r="S28" s="126"/>
      <c r="T28" s="9">
        <f>+SUM(T16:T27)</f>
        <v>579203</v>
      </c>
      <c r="U28" s="1"/>
      <c r="V28" s="12"/>
      <c r="W28" s="125" t="s">
        <v>11</v>
      </c>
      <c r="X28" s="126"/>
      <c r="Y28" s="9">
        <f>+SUM(Y16:Y27)</f>
        <v>806854</v>
      </c>
      <c r="Z28" s="1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62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>
      <c r="B30" s="127" t="s">
        <v>39</v>
      </c>
      <c r="C30" s="127"/>
      <c r="D30" s="7">
        <f>+D28-D15</f>
        <v>248</v>
      </c>
      <c r="E30" s="1"/>
      <c r="F30" s="127" t="s">
        <v>39</v>
      </c>
      <c r="G30" s="127"/>
      <c r="H30" s="7">
        <f>+H28-H15</f>
        <v>180</v>
      </c>
      <c r="I30" s="1"/>
      <c r="J30" s="127" t="s">
        <v>39</v>
      </c>
      <c r="K30" s="127"/>
      <c r="L30" s="7">
        <f>+L28-L15</f>
        <v>-118</v>
      </c>
      <c r="M30" s="1"/>
      <c r="N30" s="127" t="s">
        <v>39</v>
      </c>
      <c r="O30" s="127"/>
      <c r="P30" s="7">
        <f>+P28-P15</f>
        <v>-1338</v>
      </c>
      <c r="Q30" s="1"/>
      <c r="R30" s="127" t="s">
        <v>39</v>
      </c>
      <c r="S30" s="127"/>
      <c r="T30" s="7">
        <f>+T28-T15</f>
        <v>0</v>
      </c>
      <c r="U30" s="1"/>
      <c r="V30" s="12"/>
      <c r="W30" s="124" t="s">
        <v>39</v>
      </c>
      <c r="X30" s="124"/>
      <c r="Y30" s="41">
        <f>+Y28-Y15</f>
        <v>-1028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>
        <v>118</v>
      </c>
      <c r="M34" s="1"/>
      <c r="N34" s="10" t="s">
        <v>40</v>
      </c>
      <c r="O34" s="11"/>
      <c r="P34" s="21">
        <v>1338</v>
      </c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1456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41</v>
      </c>
      <c r="S35" s="16"/>
      <c r="T35" s="22"/>
      <c r="U35" s="1"/>
      <c r="V35" s="1"/>
      <c r="W35" s="45" t="s">
        <v>41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-248</v>
      </c>
      <c r="E36" s="1"/>
      <c r="F36" s="12" t="s">
        <v>43</v>
      </c>
      <c r="G36" s="16"/>
      <c r="H36" s="22">
        <v>-180</v>
      </c>
      <c r="I36" s="1"/>
      <c r="J36" s="12" t="s">
        <v>43</v>
      </c>
      <c r="K36" s="16"/>
      <c r="L36" s="22"/>
      <c r="M36" s="1"/>
      <c r="N36" s="12" t="s">
        <v>43</v>
      </c>
      <c r="O36" s="16"/>
      <c r="P36" s="22"/>
      <c r="Q36" s="1"/>
      <c r="R36" s="12" t="s">
        <v>45</v>
      </c>
      <c r="S36" s="16"/>
      <c r="T36" s="22"/>
      <c r="U36" s="1"/>
      <c r="V36" s="1"/>
      <c r="W36" s="45" t="s">
        <v>42</v>
      </c>
      <c r="X36" s="40"/>
      <c r="Y36" s="46">
        <f t="shared" si="9"/>
        <v>-428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-248</v>
      </c>
      <c r="E37" s="1"/>
      <c r="F37" s="12" t="s">
        <v>17</v>
      </c>
      <c r="G37" s="16"/>
      <c r="H37" s="22">
        <f>+SUM(H34:H36)</f>
        <v>-180</v>
      </c>
      <c r="I37" s="1"/>
      <c r="J37" s="12" t="s">
        <v>17</v>
      </c>
      <c r="K37" s="16"/>
      <c r="L37" s="22">
        <f>+SUM(L34:L36)</f>
        <v>118</v>
      </c>
      <c r="M37" s="1"/>
      <c r="N37" s="12" t="s">
        <v>17</v>
      </c>
      <c r="O37" s="16"/>
      <c r="P37" s="22">
        <f>+SUM(P34:P36)</f>
        <v>1338</v>
      </c>
      <c r="Q37" s="1"/>
      <c r="R37" s="12" t="s">
        <v>17</v>
      </c>
      <c r="S37" s="16"/>
      <c r="T37" s="22">
        <f>+SUM(T34:T36)</f>
        <v>0</v>
      </c>
      <c r="U37" s="1"/>
      <c r="V37" s="1"/>
      <c r="W37" s="33" t="s">
        <v>17</v>
      </c>
      <c r="X37" s="34"/>
      <c r="Y37" s="35">
        <f>+SUM(Y34:Y36)</f>
        <v>1028</v>
      </c>
      <c r="Z37" s="1"/>
      <c r="AA37" s="1"/>
      <c r="AB37" s="60" t="s">
        <v>38</v>
      </c>
      <c r="AC37" s="60"/>
      <c r="AD37" s="60"/>
      <c r="AE37" s="60"/>
      <c r="AF37" s="55">
        <f>+SUM(AF23:AF36)</f>
        <v>15263</v>
      </c>
      <c r="AG37" s="1"/>
      <c r="AH37" s="1"/>
      <c r="AI37" s="60" t="s">
        <v>38</v>
      </c>
      <c r="AJ37" s="60"/>
      <c r="AK37" s="60"/>
      <c r="AL37" s="67">
        <f>+SUM(AL23:AL36)</f>
        <v>3084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AL39"/>
  <sheetViews>
    <sheetView topLeftCell="G13" zoomScale="90" zoomScaleNormal="90" workbookViewId="0">
      <selection activeCell="L43" sqref="L43"/>
    </sheetView>
  </sheetViews>
  <sheetFormatPr defaultRowHeight="15"/>
  <cols>
    <col min="5" max="5" width="0.7109375" customWidth="1"/>
    <col min="7" max="7" width="14.7109375" bestFit="1" customWidth="1"/>
    <col min="9" max="9" width="0.140625" customWidth="1"/>
    <col min="12" max="12" width="9.140625" customWidth="1"/>
    <col min="13" max="13" width="0.5703125" customWidth="1"/>
    <col min="15" max="15" width="13.85546875" bestFit="1" customWidth="1"/>
    <col min="16" max="16" width="9.5703125" bestFit="1" customWidth="1"/>
    <col min="17" max="17" width="0.28515625" customWidth="1"/>
    <col min="20" max="20" width="9.5703125" bestFit="1" customWidth="1"/>
    <col min="21" max="21" width="0.28515625" customWidth="1"/>
    <col min="22" max="22" width="0.5703125" customWidth="1"/>
    <col min="26" max="26" width="0.140625" customWidth="1"/>
    <col min="27" max="27" width="0.42578125" customWidth="1"/>
    <col min="28" max="28" width="15" bestFit="1" customWidth="1"/>
    <col min="29" max="29" width="13.7109375" bestFit="1" customWidth="1"/>
    <col min="30" max="30" width="15.5703125" bestFit="1" customWidth="1"/>
    <col min="31" max="31" width="10.42578125" bestFit="1" customWidth="1"/>
    <col min="32" max="32" width="9.140625" customWidth="1"/>
    <col min="33" max="33" width="0.140625" customWidth="1"/>
    <col min="34" max="34" width="2.85546875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>
        <v>17</v>
      </c>
      <c r="D5" s="36">
        <f>+C5*B5</f>
        <v>17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17</v>
      </c>
      <c r="Y5" s="37">
        <f>+D5+H5+L5+P5+T5</f>
        <v>17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113</v>
      </c>
      <c r="D6" s="36">
        <f>+C6*B6</f>
        <v>1130</v>
      </c>
      <c r="E6" s="1"/>
      <c r="F6" s="2">
        <v>10</v>
      </c>
      <c r="G6" s="2">
        <v>133</v>
      </c>
      <c r="H6" s="36">
        <f>+G6*F6</f>
        <v>1330</v>
      </c>
      <c r="I6" s="1"/>
      <c r="J6" s="2">
        <v>10</v>
      </c>
      <c r="K6" s="2">
        <v>11</v>
      </c>
      <c r="L6" s="36">
        <f>+K6*J6</f>
        <v>110</v>
      </c>
      <c r="M6" s="1"/>
      <c r="N6" s="2">
        <v>10</v>
      </c>
      <c r="O6" s="2"/>
      <c r="P6" s="36">
        <f>+O6*N6</f>
        <v>0</v>
      </c>
      <c r="Q6" s="1"/>
      <c r="R6" s="2">
        <v>10</v>
      </c>
      <c r="S6" s="2">
        <v>16</v>
      </c>
      <c r="T6" s="36">
        <f>+S6*R6</f>
        <v>160</v>
      </c>
      <c r="U6" s="1"/>
      <c r="V6" s="12"/>
      <c r="W6" s="39">
        <v>10</v>
      </c>
      <c r="X6" s="39">
        <f>+C6+G6+K6+O6+S6</f>
        <v>273</v>
      </c>
      <c r="Y6" s="37">
        <f>+D6+H6+L6+P6+T6</f>
        <v>2730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14</v>
      </c>
      <c r="AK6" s="36">
        <f t="shared" ref="AK6:AK13" si="0">+AJ6*AI6</f>
        <v>14</v>
      </c>
      <c r="AL6" s="26"/>
    </row>
    <row r="7" spans="2:38">
      <c r="B7" s="2">
        <v>20</v>
      </c>
      <c r="C7" s="2">
        <v>32</v>
      </c>
      <c r="D7" s="36">
        <f t="shared" ref="D7:D12" si="1">+C7*B7</f>
        <v>640</v>
      </c>
      <c r="E7" s="1"/>
      <c r="F7" s="2">
        <v>20</v>
      </c>
      <c r="G7" s="2">
        <v>27</v>
      </c>
      <c r="H7" s="36">
        <f t="shared" ref="H7:H12" si="2">+G7*F7</f>
        <v>540</v>
      </c>
      <c r="I7" s="1"/>
      <c r="J7" s="2">
        <v>20</v>
      </c>
      <c r="K7" s="2">
        <v>9</v>
      </c>
      <c r="L7" s="36">
        <f t="shared" ref="L7:L12" si="3">+K7*J7</f>
        <v>180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>
        <v>2</v>
      </c>
      <c r="T7" s="36">
        <f t="shared" ref="T7:T12" si="5">+S7*R7</f>
        <v>40</v>
      </c>
      <c r="U7" s="1"/>
      <c r="V7" s="12"/>
      <c r="W7" s="39">
        <v>20</v>
      </c>
      <c r="X7" s="39">
        <f>+C7+G7+K7+O7+S7</f>
        <v>70</v>
      </c>
      <c r="Y7" s="37">
        <f t="shared" ref="Y7:Y12" si="6">+D7+H7+L7+P7+T7</f>
        <v>1400</v>
      </c>
      <c r="Z7" s="13"/>
      <c r="AA7" s="1"/>
      <c r="AB7" s="56" t="s">
        <v>9</v>
      </c>
      <c r="AC7" s="57">
        <f>Y13</f>
        <v>330997</v>
      </c>
      <c r="AD7" s="26"/>
      <c r="AE7" s="26"/>
      <c r="AF7" s="26"/>
      <c r="AG7" s="26"/>
      <c r="AH7" s="1"/>
      <c r="AI7" s="2">
        <v>10</v>
      </c>
      <c r="AJ7" s="2">
        <v>379</v>
      </c>
      <c r="AK7" s="36">
        <f t="shared" si="0"/>
        <v>3790</v>
      </c>
      <c r="AL7" s="1"/>
    </row>
    <row r="8" spans="2:38">
      <c r="B8" s="2">
        <v>50</v>
      </c>
      <c r="C8" s="2">
        <v>64</v>
      </c>
      <c r="D8" s="36">
        <f t="shared" si="1"/>
        <v>3200</v>
      </c>
      <c r="E8" s="1"/>
      <c r="F8" s="2">
        <v>50</v>
      </c>
      <c r="G8" s="2">
        <v>23</v>
      </c>
      <c r="H8" s="36">
        <f t="shared" si="2"/>
        <v>1150</v>
      </c>
      <c r="I8" s="1"/>
      <c r="J8" s="2">
        <v>50</v>
      </c>
      <c r="K8" s="2">
        <v>61</v>
      </c>
      <c r="L8" s="36">
        <f t="shared" si="3"/>
        <v>3050</v>
      </c>
      <c r="M8" s="1"/>
      <c r="N8" s="2">
        <v>50</v>
      </c>
      <c r="O8" s="2">
        <v>35</v>
      </c>
      <c r="P8" s="36">
        <f t="shared" si="4"/>
        <v>1750</v>
      </c>
      <c r="Q8" s="1"/>
      <c r="R8" s="2">
        <v>50</v>
      </c>
      <c r="S8" s="2">
        <v>128</v>
      </c>
      <c r="T8" s="36">
        <f t="shared" si="5"/>
        <v>6400</v>
      </c>
      <c r="U8" s="1"/>
      <c r="V8" s="12"/>
      <c r="W8" s="39">
        <v>50</v>
      </c>
      <c r="X8" s="39">
        <f t="shared" ref="X8:X12" si="7">+C8+G8+K8+O8+S8</f>
        <v>311</v>
      </c>
      <c r="Y8" s="37">
        <f t="shared" si="6"/>
        <v>15550</v>
      </c>
      <c r="Z8" s="13"/>
      <c r="AA8" s="1"/>
      <c r="AB8" s="53" t="s">
        <v>10</v>
      </c>
      <c r="AC8" s="53">
        <f>+AF37</f>
        <v>135297</v>
      </c>
      <c r="AD8" s="1"/>
      <c r="AE8" s="1"/>
      <c r="AF8" s="1"/>
      <c r="AG8" s="1"/>
      <c r="AH8" s="1"/>
      <c r="AI8" s="2">
        <v>20</v>
      </c>
      <c r="AJ8" s="2">
        <v>70</v>
      </c>
      <c r="AK8" s="36">
        <f t="shared" si="0"/>
        <v>1400</v>
      </c>
      <c r="AL8" s="1"/>
    </row>
    <row r="9" spans="2:38" ht="15.75" thickBot="1">
      <c r="B9" s="2">
        <v>100</v>
      </c>
      <c r="C9" s="2">
        <v>73</v>
      </c>
      <c r="D9" s="36">
        <f t="shared" si="1"/>
        <v>7300</v>
      </c>
      <c r="E9" s="1"/>
      <c r="F9" s="2">
        <v>100</v>
      </c>
      <c r="G9" s="2">
        <v>35</v>
      </c>
      <c r="H9" s="36">
        <f t="shared" si="2"/>
        <v>3500</v>
      </c>
      <c r="I9" s="1"/>
      <c r="J9" s="2">
        <v>100</v>
      </c>
      <c r="K9" s="2">
        <v>39</v>
      </c>
      <c r="L9" s="36">
        <f t="shared" si="3"/>
        <v>3900</v>
      </c>
      <c r="M9" s="1"/>
      <c r="N9" s="2">
        <v>100</v>
      </c>
      <c r="O9" s="2">
        <v>0</v>
      </c>
      <c r="P9" s="36">
        <f t="shared" si="4"/>
        <v>0</v>
      </c>
      <c r="Q9" s="1"/>
      <c r="R9" s="2">
        <v>100</v>
      </c>
      <c r="S9" s="2">
        <v>36</v>
      </c>
      <c r="T9" s="36">
        <f t="shared" si="5"/>
        <v>3600</v>
      </c>
      <c r="U9" s="1"/>
      <c r="V9" s="12"/>
      <c r="W9" s="39">
        <v>100</v>
      </c>
      <c r="X9" s="39">
        <f t="shared" si="7"/>
        <v>183</v>
      </c>
      <c r="Y9" s="37">
        <f t="shared" si="6"/>
        <v>18300</v>
      </c>
      <c r="Z9" s="13"/>
      <c r="AA9" s="1"/>
      <c r="AB9" s="58" t="s">
        <v>11</v>
      </c>
      <c r="AC9" s="59">
        <f>SUM(AC7:AC8)</f>
        <v>466294</v>
      </c>
      <c r="AD9" s="1"/>
      <c r="AE9" s="1"/>
      <c r="AF9" s="1"/>
      <c r="AG9" s="1"/>
      <c r="AH9" s="1"/>
      <c r="AI9" s="2">
        <v>50</v>
      </c>
      <c r="AJ9" s="2">
        <v>347</v>
      </c>
      <c r="AK9" s="36">
        <f t="shared" si="0"/>
        <v>17350</v>
      </c>
      <c r="AL9" s="1"/>
    </row>
    <row r="10" spans="2:38">
      <c r="B10" s="2">
        <v>500</v>
      </c>
      <c r="C10" s="2">
        <v>24</v>
      </c>
      <c r="D10" s="36">
        <f t="shared" si="1"/>
        <v>12000</v>
      </c>
      <c r="E10" s="1"/>
      <c r="F10" s="2">
        <v>500</v>
      </c>
      <c r="G10" s="2">
        <v>31</v>
      </c>
      <c r="H10" s="36">
        <f t="shared" si="2"/>
        <v>15500</v>
      </c>
      <c r="I10" s="1"/>
      <c r="J10" s="2">
        <v>500</v>
      </c>
      <c r="K10" s="2">
        <v>35</v>
      </c>
      <c r="L10" s="36">
        <f t="shared" si="3"/>
        <v>17500</v>
      </c>
      <c r="M10" s="1"/>
      <c r="N10" s="2">
        <v>500</v>
      </c>
      <c r="O10" s="2">
        <v>28</v>
      </c>
      <c r="P10" s="36">
        <f t="shared" si="4"/>
        <v>14000</v>
      </c>
      <c r="Q10" s="1"/>
      <c r="R10" s="2">
        <v>500</v>
      </c>
      <c r="S10" s="2">
        <v>24</v>
      </c>
      <c r="T10" s="36">
        <f t="shared" si="5"/>
        <v>12000</v>
      </c>
      <c r="U10" s="1"/>
      <c r="V10" s="12"/>
      <c r="W10" s="39">
        <v>500</v>
      </c>
      <c r="X10" s="39">
        <f t="shared" si="7"/>
        <v>142</v>
      </c>
      <c r="Y10" s="37">
        <f t="shared" si="6"/>
        <v>71000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316</v>
      </c>
      <c r="AK10" s="36">
        <f t="shared" si="0"/>
        <v>31600</v>
      </c>
      <c r="AL10" s="1"/>
    </row>
    <row r="11" spans="2:38">
      <c r="B11" s="2">
        <v>1000</v>
      </c>
      <c r="C11" s="2">
        <v>41</v>
      </c>
      <c r="D11" s="36">
        <f t="shared" si="1"/>
        <v>41000</v>
      </c>
      <c r="E11" s="1"/>
      <c r="F11" s="2">
        <v>1000</v>
      </c>
      <c r="G11" s="2">
        <v>38</v>
      </c>
      <c r="H11" s="36">
        <f t="shared" si="2"/>
        <v>38000</v>
      </c>
      <c r="I11" s="1"/>
      <c r="J11" s="2">
        <v>1000</v>
      </c>
      <c r="K11" s="2">
        <v>31</v>
      </c>
      <c r="L11" s="36">
        <f t="shared" si="3"/>
        <v>31000</v>
      </c>
      <c r="M11" s="1"/>
      <c r="N11" s="2">
        <v>1000</v>
      </c>
      <c r="O11" s="2">
        <v>25</v>
      </c>
      <c r="P11" s="36">
        <f t="shared" si="4"/>
        <v>25000</v>
      </c>
      <c r="Q11" s="1"/>
      <c r="R11" s="2">
        <v>1000</v>
      </c>
      <c r="S11" s="2">
        <v>37</v>
      </c>
      <c r="T11" s="36">
        <f t="shared" si="5"/>
        <v>37000</v>
      </c>
      <c r="U11" s="1"/>
      <c r="V11" s="12"/>
      <c r="W11" s="39">
        <v>1000</v>
      </c>
      <c r="X11" s="39">
        <f t="shared" si="7"/>
        <v>172</v>
      </c>
      <c r="Y11" s="37">
        <f t="shared" si="6"/>
        <v>172000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231</v>
      </c>
      <c r="AK11" s="36">
        <f t="shared" si="0"/>
        <v>115500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7</v>
      </c>
      <c r="P12" s="36">
        <f t="shared" si="4"/>
        <v>35000</v>
      </c>
      <c r="Q12" s="1"/>
      <c r="R12" s="2">
        <v>5000</v>
      </c>
      <c r="S12" s="2">
        <v>1</v>
      </c>
      <c r="T12" s="36">
        <f t="shared" si="5"/>
        <v>5000</v>
      </c>
      <c r="U12" s="1"/>
      <c r="V12" s="12"/>
      <c r="W12" s="39">
        <v>5000</v>
      </c>
      <c r="X12" s="39">
        <f t="shared" si="7"/>
        <v>10</v>
      </c>
      <c r="Y12" s="37">
        <f t="shared" si="6"/>
        <v>50000</v>
      </c>
      <c r="Z12" s="13"/>
      <c r="AA12" s="1"/>
      <c r="AB12" s="1" t="s">
        <v>16</v>
      </c>
      <c r="AC12" s="5">
        <v>444640</v>
      </c>
      <c r="AD12" s="1">
        <v>5879</v>
      </c>
      <c r="AE12" s="52">
        <v>45727</v>
      </c>
      <c r="AF12" s="1" t="s">
        <v>69</v>
      </c>
      <c r="AG12" s="1"/>
      <c r="AH12" s="1"/>
      <c r="AI12" s="2">
        <v>1000</v>
      </c>
      <c r="AJ12" s="2">
        <v>208</v>
      </c>
      <c r="AK12" s="36">
        <f t="shared" si="0"/>
        <v>208000</v>
      </c>
      <c r="AL12" s="1"/>
    </row>
    <row r="13" spans="2:38" ht="15.75" thickBot="1">
      <c r="B13" s="3" t="s">
        <v>17</v>
      </c>
      <c r="C13" s="3"/>
      <c r="D13" s="6">
        <f>+SUM(D5:D12)</f>
        <v>65287</v>
      </c>
      <c r="E13" s="1"/>
      <c r="F13" s="3" t="s">
        <v>17</v>
      </c>
      <c r="G13" s="3"/>
      <c r="H13" s="6">
        <f>+SUM(H5:H12)</f>
        <v>65020</v>
      </c>
      <c r="I13" s="1"/>
      <c r="J13" s="3" t="s">
        <v>17</v>
      </c>
      <c r="K13" s="3"/>
      <c r="L13" s="6">
        <f>+SUM(L5:L12)</f>
        <v>60740</v>
      </c>
      <c r="M13" s="1"/>
      <c r="N13" s="3" t="s">
        <v>17</v>
      </c>
      <c r="O13" s="3"/>
      <c r="P13" s="6">
        <f>+SUM(P5:P12)</f>
        <v>75750</v>
      </c>
      <c r="Q13" s="1"/>
      <c r="R13" s="3" t="s">
        <v>17</v>
      </c>
      <c r="S13" s="3"/>
      <c r="T13" s="6">
        <f>+SUM(T5:T12)</f>
        <v>64200</v>
      </c>
      <c r="U13" s="1"/>
      <c r="V13" s="12"/>
      <c r="W13" s="3" t="s">
        <v>17</v>
      </c>
      <c r="X13" s="3"/>
      <c r="Y13" s="6">
        <f>+SUM(Y5:Y12)</f>
        <v>330997</v>
      </c>
      <c r="Z13" s="13"/>
      <c r="AA13" s="1"/>
      <c r="AB13" s="1" t="s">
        <v>18</v>
      </c>
      <c r="AC13" s="5">
        <v>3014</v>
      </c>
      <c r="AD13" s="1"/>
      <c r="AE13" s="1"/>
      <c r="AF13" s="1"/>
      <c r="AG13" s="1"/>
      <c r="AH13" s="1"/>
      <c r="AI13" s="2">
        <v>5000</v>
      </c>
      <c r="AJ13" s="2">
        <v>14</v>
      </c>
      <c r="AK13" s="36">
        <f t="shared" si="0"/>
        <v>70000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E14" s="1"/>
      <c r="AF14" s="1"/>
      <c r="AG14" s="1"/>
      <c r="AH14" s="1"/>
      <c r="AI14" s="3" t="s">
        <v>17</v>
      </c>
      <c r="AJ14" s="3"/>
      <c r="AK14" s="6">
        <f>+SUM(AK6:AK13)</f>
        <v>447654</v>
      </c>
      <c r="AL14" s="1"/>
    </row>
    <row r="15" spans="2:38" ht="15.75" thickBot="1">
      <c r="B15" s="128" t="s">
        <v>20</v>
      </c>
      <c r="C15" s="129"/>
      <c r="D15" s="8">
        <v>65287</v>
      </c>
      <c r="E15" s="30"/>
      <c r="F15" s="128" t="s">
        <v>20</v>
      </c>
      <c r="G15" s="129"/>
      <c r="H15" s="8">
        <v>77108</v>
      </c>
      <c r="I15" s="30"/>
      <c r="J15" s="128" t="s">
        <v>20</v>
      </c>
      <c r="K15" s="129"/>
      <c r="L15" s="8">
        <v>70818</v>
      </c>
      <c r="M15" s="30"/>
      <c r="N15" s="128" t="s">
        <v>20</v>
      </c>
      <c r="O15" s="129"/>
      <c r="P15" s="8">
        <v>104755</v>
      </c>
      <c r="Q15" s="30"/>
      <c r="R15" s="128" t="s">
        <v>20</v>
      </c>
      <c r="S15" s="129"/>
      <c r="T15" s="8">
        <v>216653</v>
      </c>
      <c r="U15" s="30"/>
      <c r="V15" s="31"/>
      <c r="W15" s="128" t="s">
        <v>20</v>
      </c>
      <c r="X15" s="129"/>
      <c r="Y15" s="8">
        <f>+D15+H15+L15+P15+T15</f>
        <v>534621</v>
      </c>
      <c r="Z15" s="32"/>
      <c r="AA15" s="30"/>
      <c r="AB15" s="1" t="s">
        <v>97</v>
      </c>
      <c r="AC15" s="5">
        <v>3646</v>
      </c>
      <c r="AD15" s="1" t="s">
        <v>96</v>
      </c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65287</v>
      </c>
      <c r="E16" s="1"/>
      <c r="F16" s="1" t="s">
        <v>9</v>
      </c>
      <c r="G16" s="1"/>
      <c r="H16" s="5">
        <f>+H13</f>
        <v>65020</v>
      </c>
      <c r="I16" s="1"/>
      <c r="J16" s="1" t="s">
        <v>9</v>
      </c>
      <c r="K16" s="1"/>
      <c r="L16" s="5">
        <f>+L13</f>
        <v>60740</v>
      </c>
      <c r="M16" s="1"/>
      <c r="N16" s="1" t="s">
        <v>9</v>
      </c>
      <c r="O16" s="1"/>
      <c r="P16" s="5">
        <f>+P13</f>
        <v>75750</v>
      </c>
      <c r="Q16" s="1"/>
      <c r="R16" s="1" t="s">
        <v>9</v>
      </c>
      <c r="S16" s="1"/>
      <c r="T16" s="5">
        <f>+T13</f>
        <v>64200</v>
      </c>
      <c r="U16" s="1"/>
      <c r="V16" s="12"/>
      <c r="W16" s="40" t="s">
        <v>9</v>
      </c>
      <c r="X16" s="40"/>
      <c r="Y16" s="37">
        <f>+D16+H16+L16+P16+T16</f>
        <v>330997</v>
      </c>
      <c r="Z16" s="13"/>
      <c r="AA16" s="1"/>
      <c r="AB16" s="1" t="s">
        <v>79</v>
      </c>
      <c r="AC16" s="73">
        <v>15000</v>
      </c>
      <c r="AD16" s="1" t="s">
        <v>95</v>
      </c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0</v>
      </c>
      <c r="Z17" s="13"/>
      <c r="AA17" s="1"/>
      <c r="AB17" s="48" t="s">
        <v>11</v>
      </c>
      <c r="AC17" s="49">
        <f>+SUM(AC12:AC16)</f>
        <v>466300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23</v>
      </c>
      <c r="C18" s="1"/>
      <c r="D18" s="5"/>
      <c r="E18" s="1"/>
      <c r="F18" s="1" t="s">
        <v>59</v>
      </c>
      <c r="G18" s="1" t="s">
        <v>86</v>
      </c>
      <c r="H18" s="5">
        <v>9000</v>
      </c>
      <c r="I18" s="1"/>
      <c r="J18" s="1" t="s">
        <v>23</v>
      </c>
      <c r="K18" s="1"/>
      <c r="L18" s="5">
        <v>9970</v>
      </c>
      <c r="M18" s="1"/>
      <c r="N18" s="1" t="s">
        <v>73</v>
      </c>
      <c r="O18" s="1" t="s">
        <v>74</v>
      </c>
      <c r="P18" s="5">
        <v>5866</v>
      </c>
      <c r="Q18" s="1"/>
      <c r="R18" s="1" t="s">
        <v>82</v>
      </c>
      <c r="S18" s="1" t="s">
        <v>83</v>
      </c>
      <c r="T18" s="5">
        <v>29051</v>
      </c>
      <c r="U18" s="1"/>
      <c r="V18" s="12"/>
      <c r="W18" s="40" t="s">
        <v>23</v>
      </c>
      <c r="X18" s="40"/>
      <c r="Y18" s="37">
        <f t="shared" si="8"/>
        <v>53887</v>
      </c>
      <c r="Z18" s="13"/>
      <c r="AA18" s="1"/>
      <c r="AB18" s="50" t="s">
        <v>24</v>
      </c>
      <c r="AC18" s="51">
        <f>+AC17-AC9</f>
        <v>6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73</v>
      </c>
      <c r="G19" s="1" t="s">
        <v>87</v>
      </c>
      <c r="H19" s="5">
        <v>3169</v>
      </c>
      <c r="I19" s="1"/>
      <c r="J19" s="1" t="s">
        <v>26</v>
      </c>
      <c r="K19" s="1"/>
      <c r="L19" s="5"/>
      <c r="M19" s="1"/>
      <c r="N19" s="1" t="s">
        <v>26</v>
      </c>
      <c r="O19" s="1"/>
      <c r="P19" s="5"/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3169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72" t="s">
        <v>32</v>
      </c>
      <c r="AC22" s="47" t="s">
        <v>30</v>
      </c>
      <c r="AD22" s="47" t="s">
        <v>33</v>
      </c>
      <c r="AE22" s="47" t="s">
        <v>31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35</v>
      </c>
      <c r="K23" s="1"/>
      <c r="L23" s="5"/>
      <c r="M23" s="1"/>
      <c r="N23" s="1" t="s">
        <v>75</v>
      </c>
      <c r="O23" s="1" t="s">
        <v>76</v>
      </c>
      <c r="P23" s="5">
        <v>5666</v>
      </c>
      <c r="Q23" s="1"/>
      <c r="R23" s="1" t="s">
        <v>80</v>
      </c>
      <c r="S23" s="1" t="s">
        <v>81</v>
      </c>
      <c r="T23" s="5">
        <v>36243</v>
      </c>
      <c r="U23" s="1"/>
      <c r="V23" s="12"/>
      <c r="W23" s="40" t="s">
        <v>35</v>
      </c>
      <c r="X23" s="40"/>
      <c r="Y23" s="37">
        <f t="shared" si="8"/>
        <v>41909</v>
      </c>
      <c r="Z23" s="13"/>
      <c r="AA23" s="1"/>
      <c r="AB23" s="70" t="s">
        <v>70</v>
      </c>
      <c r="AC23" s="70" t="s">
        <v>71</v>
      </c>
      <c r="AD23" s="70"/>
      <c r="AE23" s="74">
        <v>45957</v>
      </c>
      <c r="AF23" s="75">
        <v>14729</v>
      </c>
      <c r="AG23" s="1"/>
      <c r="AH23" s="1"/>
      <c r="AI23" s="70" t="s">
        <v>100</v>
      </c>
      <c r="AJ23" s="70" t="s">
        <v>65</v>
      </c>
      <c r="AK23" s="70" t="s">
        <v>106</v>
      </c>
      <c r="AL23" s="76">
        <v>25081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77</v>
      </c>
      <c r="O24" s="1" t="s">
        <v>78</v>
      </c>
      <c r="P24" s="5">
        <v>17480</v>
      </c>
      <c r="Q24" s="1"/>
      <c r="R24" s="1" t="s">
        <v>84</v>
      </c>
      <c r="S24" s="1" t="s">
        <v>85</v>
      </c>
      <c r="T24" s="5">
        <v>80607</v>
      </c>
      <c r="U24" s="1"/>
      <c r="V24" s="12"/>
      <c r="W24" s="40" t="s">
        <v>36</v>
      </c>
      <c r="X24" s="40"/>
      <c r="Y24" s="37">
        <f t="shared" si="8"/>
        <v>98087</v>
      </c>
      <c r="Z24" s="13"/>
      <c r="AA24" s="1"/>
      <c r="AB24" s="70" t="s">
        <v>76</v>
      </c>
      <c r="AC24" s="70" t="s">
        <v>71</v>
      </c>
      <c r="AD24" s="70"/>
      <c r="AE24" s="74">
        <v>45957</v>
      </c>
      <c r="AF24" s="75">
        <v>7451</v>
      </c>
      <c r="AG24" s="1"/>
      <c r="AH24" s="1"/>
      <c r="AI24" s="70" t="s">
        <v>101</v>
      </c>
      <c r="AJ24" s="70" t="s">
        <v>71</v>
      </c>
      <c r="AK24" s="70" t="s">
        <v>107</v>
      </c>
      <c r="AL24" s="75">
        <v>10148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37</v>
      </c>
      <c r="S25" s="1"/>
      <c r="T25" s="5"/>
      <c r="U25" s="1"/>
      <c r="V25" s="12"/>
      <c r="W25" s="40" t="s">
        <v>37</v>
      </c>
      <c r="X25" s="40"/>
      <c r="Y25" s="37">
        <f t="shared" si="8"/>
        <v>0</v>
      </c>
      <c r="Z25" s="13"/>
      <c r="AA25" s="1"/>
      <c r="AB25" s="70" t="s">
        <v>89</v>
      </c>
      <c r="AC25" s="70" t="s">
        <v>90</v>
      </c>
      <c r="AD25" s="70"/>
      <c r="AE25" s="70"/>
      <c r="AF25" s="70">
        <v>3300</v>
      </c>
      <c r="AG25" s="1"/>
      <c r="AH25" s="1"/>
      <c r="AI25" s="70" t="s">
        <v>102</v>
      </c>
      <c r="AJ25" s="70" t="s">
        <v>63</v>
      </c>
      <c r="AK25" s="70" t="s">
        <v>108</v>
      </c>
      <c r="AL25" s="76">
        <v>9000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93</v>
      </c>
      <c r="AC26" s="70" t="s">
        <v>94</v>
      </c>
      <c r="AD26" s="70"/>
      <c r="AE26" s="74">
        <v>45957</v>
      </c>
      <c r="AF26" s="70">
        <v>42287</v>
      </c>
      <c r="AG26" s="1"/>
      <c r="AH26" s="1"/>
      <c r="AI26" s="70" t="s">
        <v>91</v>
      </c>
      <c r="AJ26" s="70" t="s">
        <v>71</v>
      </c>
      <c r="AK26" s="70" t="s">
        <v>109</v>
      </c>
      <c r="AL26" s="77">
        <v>5000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91</v>
      </c>
      <c r="AC27" s="70" t="s">
        <v>71</v>
      </c>
      <c r="AD27" s="70" t="s">
        <v>92</v>
      </c>
      <c r="AE27" s="76"/>
      <c r="AF27" s="70">
        <v>5050</v>
      </c>
      <c r="AG27" s="1"/>
      <c r="AH27" s="1"/>
      <c r="AI27" s="70" t="s">
        <v>103</v>
      </c>
      <c r="AJ27" s="70" t="s">
        <v>90</v>
      </c>
      <c r="AK27" s="70" t="s">
        <v>110</v>
      </c>
      <c r="AL27" s="77">
        <v>8729</v>
      </c>
    </row>
    <row r="28" spans="2:38" ht="15.75" thickBot="1">
      <c r="B28" s="125" t="s">
        <v>11</v>
      </c>
      <c r="C28" s="126"/>
      <c r="D28" s="9">
        <f>+SUM(D16:D27)</f>
        <v>65287</v>
      </c>
      <c r="E28" s="1"/>
      <c r="F28" s="125" t="s">
        <v>11</v>
      </c>
      <c r="G28" s="126"/>
      <c r="H28" s="9">
        <f>+SUM(H16:H27)</f>
        <v>77189</v>
      </c>
      <c r="I28" s="1"/>
      <c r="J28" s="125" t="s">
        <v>11</v>
      </c>
      <c r="K28" s="126"/>
      <c r="L28" s="9">
        <f>+SUM(L16:L27)</f>
        <v>70710</v>
      </c>
      <c r="M28" s="1"/>
      <c r="N28" s="125" t="s">
        <v>11</v>
      </c>
      <c r="O28" s="126"/>
      <c r="P28" s="9">
        <f>+SUM(P16:P27)</f>
        <v>104762</v>
      </c>
      <c r="Q28" s="1"/>
      <c r="R28" s="125" t="s">
        <v>11</v>
      </c>
      <c r="S28" s="126"/>
      <c r="T28" s="9">
        <f>+SUM(T16:T27)</f>
        <v>210101</v>
      </c>
      <c r="U28" s="1"/>
      <c r="V28" s="12"/>
      <c r="W28" s="125" t="s">
        <v>11</v>
      </c>
      <c r="X28" s="126"/>
      <c r="Y28" s="9">
        <f>+SUM(Y16:Y27)</f>
        <v>528049</v>
      </c>
      <c r="Z28" s="13"/>
      <c r="AA28" s="1"/>
      <c r="AB28" s="16" t="s">
        <v>98</v>
      </c>
      <c r="AC28" s="70" t="s">
        <v>99</v>
      </c>
      <c r="AD28" s="70"/>
      <c r="AE28" s="70"/>
      <c r="AF28" s="70">
        <v>50480</v>
      </c>
      <c r="AG28" s="1"/>
      <c r="AH28" s="1"/>
      <c r="AI28" s="70" t="s">
        <v>104</v>
      </c>
      <c r="AJ28" s="70" t="s">
        <v>90</v>
      </c>
      <c r="AK28" s="70" t="s">
        <v>111</v>
      </c>
      <c r="AL28" s="76">
        <v>5000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/>
      <c r="AC29" s="78" t="s">
        <v>72</v>
      </c>
      <c r="AD29" s="5"/>
      <c r="AE29" s="62"/>
      <c r="AF29" s="79">
        <v>12000</v>
      </c>
      <c r="AG29" s="1"/>
      <c r="AH29" s="1"/>
      <c r="AI29" s="70" t="s">
        <v>105</v>
      </c>
      <c r="AJ29" s="70" t="s">
        <v>65</v>
      </c>
      <c r="AK29" s="70" t="s">
        <v>112</v>
      </c>
      <c r="AL29" s="76">
        <v>47000</v>
      </c>
    </row>
    <row r="30" spans="2:38" ht="15.75" thickBot="1">
      <c r="B30" s="127" t="s">
        <v>39</v>
      </c>
      <c r="C30" s="127"/>
      <c r="D30" s="7">
        <f>+D28-D15</f>
        <v>0</v>
      </c>
      <c r="E30" s="1"/>
      <c r="F30" s="127" t="s">
        <v>39</v>
      </c>
      <c r="G30" s="127"/>
      <c r="H30" s="7">
        <f>+H28-H15</f>
        <v>81</v>
      </c>
      <c r="I30" s="1"/>
      <c r="J30" s="127" t="s">
        <v>39</v>
      </c>
      <c r="K30" s="127"/>
      <c r="L30" s="7">
        <f>+L28-L15</f>
        <v>-108</v>
      </c>
      <c r="M30" s="1"/>
      <c r="N30" s="127" t="s">
        <v>39</v>
      </c>
      <c r="O30" s="127"/>
      <c r="P30" s="7">
        <f>+P28-P15</f>
        <v>7</v>
      </c>
      <c r="Q30" s="1"/>
      <c r="R30" s="127" t="s">
        <v>39</v>
      </c>
      <c r="S30" s="127"/>
      <c r="T30" s="7">
        <f>+T28-T15</f>
        <v>-6552</v>
      </c>
      <c r="U30" s="1"/>
      <c r="V30" s="12"/>
      <c r="W30" s="124" t="s">
        <v>39</v>
      </c>
      <c r="X30" s="124"/>
      <c r="Y30" s="41">
        <f>+Y28-Y15</f>
        <v>-6572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>
        <v>108</v>
      </c>
      <c r="M34" s="1"/>
      <c r="N34" s="10" t="s">
        <v>40</v>
      </c>
      <c r="O34" s="11"/>
      <c r="P34" s="21"/>
      <c r="Q34" s="1"/>
      <c r="R34" s="10" t="s">
        <v>40</v>
      </c>
      <c r="S34" s="11"/>
      <c r="T34" s="21">
        <v>3792</v>
      </c>
      <c r="U34" s="1"/>
      <c r="V34" s="1"/>
      <c r="W34" s="42" t="s">
        <v>40</v>
      </c>
      <c r="X34" s="43"/>
      <c r="Y34" s="44">
        <f>+D34+H34+L34+P34+T34</f>
        <v>3900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88</v>
      </c>
      <c r="S35" s="16"/>
      <c r="T35" s="22">
        <v>2760</v>
      </c>
      <c r="U35" s="1"/>
      <c r="V35" s="1"/>
      <c r="W35" s="45" t="s">
        <v>41</v>
      </c>
      <c r="X35" s="40"/>
      <c r="Y35" s="46">
        <f t="shared" ref="Y35:Y36" si="9">+D35+H35+L35+P35+T35</f>
        <v>2760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/>
      <c r="E36" s="1"/>
      <c r="F36" s="12" t="s">
        <v>43</v>
      </c>
      <c r="G36" s="16"/>
      <c r="H36" s="22">
        <v>-81</v>
      </c>
      <c r="I36" s="1"/>
      <c r="J36" s="12" t="s">
        <v>43</v>
      </c>
      <c r="K36" s="16"/>
      <c r="L36" s="22"/>
      <c r="M36" s="1"/>
      <c r="N36" s="12" t="s">
        <v>43</v>
      </c>
      <c r="O36" s="16"/>
      <c r="P36" s="22">
        <v>-7</v>
      </c>
      <c r="Q36" s="1"/>
      <c r="R36" s="12" t="s">
        <v>45</v>
      </c>
      <c r="S36" s="16"/>
      <c r="T36" s="22"/>
      <c r="U36" s="1"/>
      <c r="V36" s="1"/>
      <c r="W36" s="45" t="s">
        <v>42</v>
      </c>
      <c r="X36" s="40"/>
      <c r="Y36" s="46">
        <f t="shared" si="9"/>
        <v>-88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0</v>
      </c>
      <c r="E37" s="1"/>
      <c r="F37" s="12" t="s">
        <v>17</v>
      </c>
      <c r="G37" s="16"/>
      <c r="H37" s="22">
        <f>+SUM(H34:H36)</f>
        <v>-81</v>
      </c>
      <c r="I37" s="1"/>
      <c r="J37" s="12" t="s">
        <v>17</v>
      </c>
      <c r="K37" s="16"/>
      <c r="L37" s="22">
        <f>+SUM(L34:L36)</f>
        <v>108</v>
      </c>
      <c r="M37" s="1"/>
      <c r="N37" s="12" t="s">
        <v>17</v>
      </c>
      <c r="O37" s="16"/>
      <c r="P37" s="22">
        <f>+SUM(P34:P36)</f>
        <v>-7</v>
      </c>
      <c r="Q37" s="1"/>
      <c r="R37" s="12" t="s">
        <v>17</v>
      </c>
      <c r="S37" s="16"/>
      <c r="T37" s="22">
        <f>+SUM(T34:T36)</f>
        <v>6552</v>
      </c>
      <c r="U37" s="1"/>
      <c r="V37" s="1"/>
      <c r="W37" s="33" t="s">
        <v>17</v>
      </c>
      <c r="X37" s="34"/>
      <c r="Y37" s="35">
        <f>+SUM(Y34:Y36)</f>
        <v>6572</v>
      </c>
      <c r="Z37" s="1"/>
      <c r="AA37" s="1"/>
      <c r="AB37" s="60" t="s">
        <v>38</v>
      </c>
      <c r="AC37" s="60"/>
      <c r="AD37" s="60"/>
      <c r="AE37" s="60"/>
      <c r="AF37" s="55">
        <f>+SUM(AF23:AF36)</f>
        <v>135297</v>
      </c>
      <c r="AG37" s="1"/>
      <c r="AH37" s="1"/>
      <c r="AI37" s="60" t="s">
        <v>38</v>
      </c>
      <c r="AJ37" s="60"/>
      <c r="AK37" s="60"/>
      <c r="AL37" s="67">
        <f>+SUM(AL23:AL36)</f>
        <v>109958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AL39"/>
  <sheetViews>
    <sheetView topLeftCell="E10" zoomScale="90" zoomScaleNormal="90" workbookViewId="0">
      <selection activeCell="AB25" sqref="AB25:AF25"/>
    </sheetView>
  </sheetViews>
  <sheetFormatPr defaultRowHeight="15"/>
  <cols>
    <col min="3" max="3" width="14.140625" bestFit="1" customWidth="1"/>
    <col min="4" max="4" width="9.140625" customWidth="1"/>
    <col min="5" max="5" width="0.28515625" customWidth="1"/>
    <col min="7" max="7" width="13.85546875" customWidth="1"/>
    <col min="9" max="9" width="0.42578125" customWidth="1"/>
    <col min="11" max="11" width="14.7109375" bestFit="1" customWidth="1"/>
    <col min="13" max="13" width="0.42578125" customWidth="1"/>
    <col min="15" max="15" width="13.42578125" bestFit="1" customWidth="1"/>
    <col min="17" max="17" width="0.28515625" customWidth="1"/>
    <col min="21" max="21" width="0.5703125" customWidth="1"/>
    <col min="22" max="22" width="0.28515625" customWidth="1"/>
    <col min="25" max="25" width="9.140625" customWidth="1"/>
    <col min="26" max="26" width="0.42578125" customWidth="1"/>
    <col min="27" max="27" width="1" customWidth="1"/>
    <col min="29" max="29" width="10.42578125" customWidth="1"/>
    <col min="31" max="31" width="10.42578125" bestFit="1" customWidth="1"/>
    <col min="33" max="33" width="3.5703125" customWidth="1"/>
    <col min="34" max="34" width="9.140625" hidden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253</v>
      </c>
      <c r="D6" s="36">
        <f>+C6*B6</f>
        <v>2530</v>
      </c>
      <c r="E6" s="1"/>
      <c r="F6" s="2">
        <v>10</v>
      </c>
      <c r="G6" s="2">
        <v>117</v>
      </c>
      <c r="H6" s="36">
        <f>+G6*F6</f>
        <v>1170</v>
      </c>
      <c r="I6" s="1"/>
      <c r="J6" s="2">
        <v>10</v>
      </c>
      <c r="K6" s="2">
        <v>50</v>
      </c>
      <c r="L6" s="36">
        <f>+K6*J6</f>
        <v>500</v>
      </c>
      <c r="M6" s="1"/>
      <c r="N6" s="2">
        <v>10</v>
      </c>
      <c r="O6" s="2">
        <v>130</v>
      </c>
      <c r="P6" s="36">
        <f>+O6*N6</f>
        <v>1300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550</v>
      </c>
      <c r="Y6" s="37">
        <f>+D6+H6+L6+P6+T6</f>
        <v>5500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7</v>
      </c>
      <c r="AK6" s="36">
        <f t="shared" ref="AK6:AK13" si="0">+AJ6*AI6</f>
        <v>7</v>
      </c>
      <c r="AL6" s="26"/>
    </row>
    <row r="7" spans="2:38">
      <c r="B7" s="2">
        <v>20</v>
      </c>
      <c r="C7" s="2">
        <v>48</v>
      </c>
      <c r="D7" s="36">
        <f t="shared" ref="D7:D12" si="1">+C7*B7</f>
        <v>960</v>
      </c>
      <c r="E7" s="1"/>
      <c r="F7" s="2">
        <v>20</v>
      </c>
      <c r="G7" s="2">
        <v>8</v>
      </c>
      <c r="H7" s="36">
        <f t="shared" ref="H7:H12" si="2">+G7*F7</f>
        <v>160</v>
      </c>
      <c r="I7" s="1"/>
      <c r="J7" s="2">
        <v>20</v>
      </c>
      <c r="K7" s="2">
        <v>6</v>
      </c>
      <c r="L7" s="36">
        <f t="shared" ref="L7:L12" si="3">+K7*J7</f>
        <v>120</v>
      </c>
      <c r="M7" s="1"/>
      <c r="N7" s="2">
        <v>20</v>
      </c>
      <c r="O7" s="2">
        <v>21</v>
      </c>
      <c r="P7" s="36">
        <f t="shared" ref="P7:P12" si="4">+O7*N7</f>
        <v>420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83</v>
      </c>
      <c r="Y7" s="37">
        <f t="shared" ref="Y7:Y12" si="6">+D7+H7+L7+P7+T7</f>
        <v>1660</v>
      </c>
      <c r="Z7" s="13"/>
      <c r="AA7" s="1"/>
      <c r="AB7" s="56" t="s">
        <v>9</v>
      </c>
      <c r="AC7" s="57">
        <f>Y13</f>
        <v>282760</v>
      </c>
      <c r="AD7" s="26"/>
      <c r="AE7" s="26"/>
      <c r="AF7" s="26"/>
      <c r="AG7" s="26"/>
      <c r="AH7" s="1"/>
      <c r="AI7" s="2">
        <v>10</v>
      </c>
      <c r="AJ7" s="2">
        <v>1048</v>
      </c>
      <c r="AK7" s="36">
        <f t="shared" si="0"/>
        <v>10480</v>
      </c>
      <c r="AL7" s="1"/>
    </row>
    <row r="8" spans="2:38">
      <c r="B8" s="2">
        <v>50</v>
      </c>
      <c r="C8" s="2">
        <v>32</v>
      </c>
      <c r="D8" s="36">
        <f t="shared" si="1"/>
        <v>1600</v>
      </c>
      <c r="E8" s="1"/>
      <c r="F8" s="2">
        <v>50</v>
      </c>
      <c r="G8" s="2">
        <v>110</v>
      </c>
      <c r="H8" s="36">
        <f t="shared" si="2"/>
        <v>5500</v>
      </c>
      <c r="I8" s="1"/>
      <c r="J8" s="2">
        <v>50</v>
      </c>
      <c r="K8" s="2">
        <v>22</v>
      </c>
      <c r="L8" s="36">
        <f t="shared" si="3"/>
        <v>1100</v>
      </c>
      <c r="M8" s="1"/>
      <c r="N8" s="2">
        <v>50</v>
      </c>
      <c r="O8" s="2">
        <v>60</v>
      </c>
      <c r="P8" s="36">
        <f t="shared" si="4"/>
        <v>3000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224</v>
      </c>
      <c r="Y8" s="37">
        <f t="shared" si="6"/>
        <v>11200</v>
      </c>
      <c r="Z8" s="13"/>
      <c r="AA8" s="1"/>
      <c r="AB8" s="53" t="s">
        <v>10</v>
      </c>
      <c r="AC8" s="53">
        <f>+AF37</f>
        <v>418171</v>
      </c>
      <c r="AD8" s="1"/>
      <c r="AE8" s="1"/>
      <c r="AF8" s="1"/>
      <c r="AG8" s="1"/>
      <c r="AH8" s="1"/>
      <c r="AI8" s="2">
        <v>20</v>
      </c>
      <c r="AJ8" s="2">
        <v>153</v>
      </c>
      <c r="AK8" s="36">
        <f t="shared" si="0"/>
        <v>3060</v>
      </c>
      <c r="AL8" s="1"/>
    </row>
    <row r="9" spans="2:38" ht="15.75" thickBot="1">
      <c r="B9" s="2">
        <v>100</v>
      </c>
      <c r="C9" s="2">
        <v>44</v>
      </c>
      <c r="D9" s="36">
        <f t="shared" si="1"/>
        <v>4400</v>
      </c>
      <c r="E9" s="1"/>
      <c r="F9" s="2">
        <v>100</v>
      </c>
      <c r="G9" s="2">
        <v>67</v>
      </c>
      <c r="H9" s="36">
        <f t="shared" si="2"/>
        <v>6700</v>
      </c>
      <c r="I9" s="1"/>
      <c r="J9" s="2">
        <v>100</v>
      </c>
      <c r="K9" s="2">
        <v>33</v>
      </c>
      <c r="L9" s="36">
        <f t="shared" si="3"/>
        <v>3300</v>
      </c>
      <c r="M9" s="1"/>
      <c r="N9" s="2">
        <v>100</v>
      </c>
      <c r="O9" s="2">
        <v>25</v>
      </c>
      <c r="P9" s="36">
        <f t="shared" si="4"/>
        <v>2500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169</v>
      </c>
      <c r="Y9" s="37">
        <f t="shared" si="6"/>
        <v>16900</v>
      </c>
      <c r="Z9" s="13"/>
      <c r="AA9" s="1"/>
      <c r="AB9" s="58" t="s">
        <v>11</v>
      </c>
      <c r="AC9" s="59">
        <f>SUM(AC7:AC8)</f>
        <v>700931</v>
      </c>
      <c r="AD9" s="1"/>
      <c r="AE9" s="1"/>
      <c r="AF9" s="1"/>
      <c r="AG9" s="1"/>
      <c r="AH9" s="1"/>
      <c r="AI9" s="2">
        <v>50</v>
      </c>
      <c r="AJ9" s="2">
        <v>394</v>
      </c>
      <c r="AK9" s="36">
        <f t="shared" si="0"/>
        <v>19700</v>
      </c>
      <c r="AL9" s="1"/>
    </row>
    <row r="10" spans="2:38">
      <c r="B10" s="2">
        <v>500</v>
      </c>
      <c r="C10" s="2">
        <v>32</v>
      </c>
      <c r="D10" s="36">
        <f t="shared" si="1"/>
        <v>16000</v>
      </c>
      <c r="E10" s="1"/>
      <c r="F10" s="2">
        <v>500</v>
      </c>
      <c r="G10" s="2">
        <v>37</v>
      </c>
      <c r="H10" s="36">
        <f t="shared" si="2"/>
        <v>18500</v>
      </c>
      <c r="I10" s="1"/>
      <c r="J10" s="2">
        <v>500</v>
      </c>
      <c r="K10" s="2">
        <v>30</v>
      </c>
      <c r="L10" s="36">
        <f t="shared" si="3"/>
        <v>15000</v>
      </c>
      <c r="M10" s="1"/>
      <c r="N10" s="2">
        <v>500</v>
      </c>
      <c r="O10" s="2">
        <v>18</v>
      </c>
      <c r="P10" s="36">
        <f t="shared" si="4"/>
        <v>9000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117</v>
      </c>
      <c r="Y10" s="37">
        <f t="shared" si="6"/>
        <v>58500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317</v>
      </c>
      <c r="AK10" s="36">
        <f t="shared" si="0"/>
        <v>31700</v>
      </c>
      <c r="AL10" s="1"/>
    </row>
    <row r="11" spans="2:38">
      <c r="B11" s="2">
        <v>1000</v>
      </c>
      <c r="C11" s="2">
        <v>24</v>
      </c>
      <c r="D11" s="36">
        <f t="shared" si="1"/>
        <v>24000</v>
      </c>
      <c r="E11" s="1"/>
      <c r="F11" s="2">
        <v>1000</v>
      </c>
      <c r="G11" s="2">
        <v>32</v>
      </c>
      <c r="H11" s="36">
        <f t="shared" si="2"/>
        <v>32000</v>
      </c>
      <c r="I11" s="1"/>
      <c r="J11" s="2">
        <v>1000</v>
      </c>
      <c r="K11" s="2">
        <v>32</v>
      </c>
      <c r="L11" s="36">
        <f t="shared" si="3"/>
        <v>32000</v>
      </c>
      <c r="M11" s="1"/>
      <c r="N11" s="2">
        <v>1000</v>
      </c>
      <c r="O11" s="2">
        <v>41</v>
      </c>
      <c r="P11" s="36">
        <f t="shared" si="4"/>
        <v>41000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129</v>
      </c>
      <c r="Y11" s="37">
        <f t="shared" si="6"/>
        <v>129000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351</v>
      </c>
      <c r="AK11" s="36">
        <f t="shared" si="0"/>
        <v>175500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5</v>
      </c>
      <c r="L12" s="36">
        <f t="shared" si="3"/>
        <v>25000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12</v>
      </c>
      <c r="Y12" s="37">
        <f t="shared" si="6"/>
        <v>60000</v>
      </c>
      <c r="Z12" s="13"/>
      <c r="AA12" s="1"/>
      <c r="AB12" s="1" t="s">
        <v>16</v>
      </c>
      <c r="AC12" s="5">
        <v>687440</v>
      </c>
      <c r="AD12" s="1">
        <v>85994</v>
      </c>
      <c r="AE12" s="52">
        <v>45788</v>
      </c>
      <c r="AF12" s="1" t="s">
        <v>69</v>
      </c>
      <c r="AG12" s="1"/>
      <c r="AH12" s="1"/>
      <c r="AI12" s="2">
        <v>1000</v>
      </c>
      <c r="AJ12" s="2">
        <v>302</v>
      </c>
      <c r="AK12" s="36">
        <f t="shared" si="0"/>
        <v>302000</v>
      </c>
      <c r="AL12" s="1"/>
    </row>
    <row r="13" spans="2:38" ht="15.75" thickBot="1">
      <c r="B13" s="3" t="s">
        <v>17</v>
      </c>
      <c r="C13" s="3"/>
      <c r="D13" s="6">
        <f>+SUM(D5:D12)</f>
        <v>54490</v>
      </c>
      <c r="E13" s="1"/>
      <c r="F13" s="3" t="s">
        <v>17</v>
      </c>
      <c r="G13" s="3"/>
      <c r="H13" s="6">
        <f>+SUM(H5:H12)</f>
        <v>79030</v>
      </c>
      <c r="I13" s="1"/>
      <c r="J13" s="3" t="s">
        <v>17</v>
      </c>
      <c r="K13" s="3"/>
      <c r="L13" s="6">
        <f>+SUM(L5:L12)</f>
        <v>77020</v>
      </c>
      <c r="M13" s="1"/>
      <c r="N13" s="3" t="s">
        <v>17</v>
      </c>
      <c r="O13" s="3"/>
      <c r="P13" s="6">
        <f>+SUM(P5:P12)</f>
        <v>72220</v>
      </c>
      <c r="Q13" s="1"/>
      <c r="R13" s="3" t="s">
        <v>17</v>
      </c>
      <c r="S13" s="3"/>
      <c r="T13" s="6">
        <f>+SUM(T5:T12)</f>
        <v>0</v>
      </c>
      <c r="U13" s="1"/>
      <c r="V13" s="12"/>
      <c r="W13" s="3" t="s">
        <v>17</v>
      </c>
      <c r="X13" s="3"/>
      <c r="Y13" s="6">
        <f>+SUM(Y5:Y12)</f>
        <v>282760</v>
      </c>
      <c r="Z13" s="13"/>
      <c r="AA13" s="1"/>
      <c r="AB13" s="1" t="s">
        <v>18</v>
      </c>
      <c r="AC13" s="5">
        <v>10007</v>
      </c>
      <c r="AD13" s="1"/>
      <c r="AE13" s="1"/>
      <c r="AF13" s="1"/>
      <c r="AG13" s="1"/>
      <c r="AH13" s="1"/>
      <c r="AI13" s="2">
        <v>5000</v>
      </c>
      <c r="AJ13" s="2">
        <v>31</v>
      </c>
      <c r="AK13" s="36">
        <f t="shared" si="0"/>
        <v>155000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164</v>
      </c>
      <c r="AC14" s="5"/>
      <c r="AD14" s="1">
        <v>18451</v>
      </c>
      <c r="AE14" s="52">
        <v>45758</v>
      </c>
      <c r="AF14" s="1" t="s">
        <v>166</v>
      </c>
      <c r="AG14" s="1"/>
      <c r="AH14" s="1"/>
      <c r="AI14" s="3" t="s">
        <v>17</v>
      </c>
      <c r="AJ14" s="3"/>
      <c r="AK14" s="6">
        <f>+SUM(AK6:AK13)</f>
        <v>697447</v>
      </c>
      <c r="AL14" s="1"/>
    </row>
    <row r="15" spans="2:38" ht="15.75" thickBot="1">
      <c r="B15" s="128" t="s">
        <v>20</v>
      </c>
      <c r="C15" s="129"/>
      <c r="D15" s="8">
        <v>64750</v>
      </c>
      <c r="E15" s="30"/>
      <c r="F15" s="128" t="s">
        <v>20</v>
      </c>
      <c r="G15" s="129"/>
      <c r="H15" s="8">
        <v>86515</v>
      </c>
      <c r="I15" s="30"/>
      <c r="J15" s="128" t="s">
        <v>20</v>
      </c>
      <c r="K15" s="129"/>
      <c r="L15" s="8">
        <v>90089</v>
      </c>
      <c r="M15" s="30"/>
      <c r="N15" s="128" t="s">
        <v>20</v>
      </c>
      <c r="O15" s="129"/>
      <c r="P15" s="8">
        <v>92322</v>
      </c>
      <c r="Q15" s="30"/>
      <c r="R15" s="128" t="s">
        <v>20</v>
      </c>
      <c r="S15" s="129"/>
      <c r="T15" s="8"/>
      <c r="U15" s="30"/>
      <c r="V15" s="31"/>
      <c r="W15" s="128" t="s">
        <v>20</v>
      </c>
      <c r="X15" s="129"/>
      <c r="Y15" s="8">
        <f>+D15+H15+L15+P15+T15</f>
        <v>333676</v>
      </c>
      <c r="Z15" s="32"/>
      <c r="AA15" s="30"/>
      <c r="AB15" s="1" t="s">
        <v>165</v>
      </c>
      <c r="AC15" s="5">
        <v>3500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54490</v>
      </c>
      <c r="E16" s="1"/>
      <c r="F16" s="1" t="s">
        <v>9</v>
      </c>
      <c r="G16" s="1"/>
      <c r="H16" s="5">
        <f>+H13</f>
        <v>79030</v>
      </c>
      <c r="I16" s="1"/>
      <c r="J16" s="1" t="s">
        <v>9</v>
      </c>
      <c r="K16" s="1"/>
      <c r="L16" s="5">
        <f>+L13</f>
        <v>77020</v>
      </c>
      <c r="M16" s="1"/>
      <c r="N16" s="1" t="s">
        <v>9</v>
      </c>
      <c r="O16" s="1"/>
      <c r="P16" s="5">
        <f>+P13</f>
        <v>72220</v>
      </c>
      <c r="Q16" s="1"/>
      <c r="R16" s="1" t="s">
        <v>9</v>
      </c>
      <c r="S16" s="1"/>
      <c r="T16" s="5">
        <f>+T13</f>
        <v>0</v>
      </c>
      <c r="U16" s="1"/>
      <c r="V16" s="12"/>
      <c r="W16" s="40" t="s">
        <v>9</v>
      </c>
      <c r="X16" s="40"/>
      <c r="Y16" s="37">
        <f>+D16+H16+L16+P16+T16</f>
        <v>282760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0</v>
      </c>
      <c r="Z17" s="13"/>
      <c r="AA17" s="1"/>
      <c r="AB17" s="48" t="s">
        <v>11</v>
      </c>
      <c r="AC17" s="49">
        <f>+SUM(AC12:AC16)</f>
        <v>700947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125</v>
      </c>
      <c r="C18" s="1" t="s">
        <v>126</v>
      </c>
      <c r="D18" s="5">
        <v>10000</v>
      </c>
      <c r="E18" s="1"/>
      <c r="F18" s="1" t="s">
        <v>57</v>
      </c>
      <c r="G18" s="1" t="s">
        <v>124</v>
      </c>
      <c r="H18" s="5">
        <v>7500</v>
      </c>
      <c r="I18" s="1"/>
      <c r="J18" s="1" t="s">
        <v>73</v>
      </c>
      <c r="K18" s="1" t="s">
        <v>128</v>
      </c>
      <c r="L18" s="5">
        <v>3200</v>
      </c>
      <c r="M18" s="1"/>
      <c r="N18" s="1" t="s">
        <v>119</v>
      </c>
      <c r="O18" s="1" t="s">
        <v>120</v>
      </c>
      <c r="P18" s="5">
        <v>11220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31920</v>
      </c>
      <c r="Z18" s="13"/>
      <c r="AA18" s="1"/>
      <c r="AB18" s="50" t="s">
        <v>24</v>
      </c>
      <c r="AC18" s="51">
        <f>+AC17-AC9</f>
        <v>16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26</v>
      </c>
      <c r="G19" s="1"/>
      <c r="H19" s="5"/>
      <c r="I19" s="1"/>
      <c r="J19" s="1" t="s">
        <v>119</v>
      </c>
      <c r="K19" s="1" t="s">
        <v>129</v>
      </c>
      <c r="L19" s="5">
        <v>7000</v>
      </c>
      <c r="M19" s="1"/>
      <c r="N19" s="1" t="s">
        <v>119</v>
      </c>
      <c r="O19" s="1" t="s">
        <v>127</v>
      </c>
      <c r="P19" s="5">
        <v>5137</v>
      </c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12137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130</v>
      </c>
      <c r="K23" s="1" t="s">
        <v>131</v>
      </c>
      <c r="L23" s="5">
        <v>2559</v>
      </c>
      <c r="M23" s="1"/>
      <c r="N23" s="1" t="s">
        <v>121</v>
      </c>
      <c r="O23" s="1" t="s">
        <v>122</v>
      </c>
      <c r="P23" s="5">
        <v>3461</v>
      </c>
      <c r="Q23" s="1"/>
      <c r="R23" s="1" t="s">
        <v>35</v>
      </c>
      <c r="S23" s="1"/>
      <c r="T23" s="5"/>
      <c r="U23" s="1"/>
      <c r="V23" s="12"/>
      <c r="W23" s="40" t="s">
        <v>35</v>
      </c>
      <c r="X23" s="40"/>
      <c r="Y23" s="37">
        <f t="shared" si="8"/>
        <v>6020</v>
      </c>
      <c r="Z23" s="13"/>
      <c r="AA23" s="1"/>
      <c r="AB23" s="70" t="s">
        <v>114</v>
      </c>
      <c r="AC23" s="74">
        <v>45946</v>
      </c>
      <c r="AD23" s="70" t="s">
        <v>113</v>
      </c>
      <c r="AE23" s="70"/>
      <c r="AF23" s="70">
        <v>8860</v>
      </c>
      <c r="AG23" s="1"/>
      <c r="AH23" s="1"/>
      <c r="AI23" s="70" t="s">
        <v>145</v>
      </c>
      <c r="AJ23" s="70" t="s">
        <v>146</v>
      </c>
      <c r="AK23" s="70" t="s">
        <v>132</v>
      </c>
      <c r="AL23" s="76">
        <v>3847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36</v>
      </c>
      <c r="S24" s="1"/>
      <c r="T24" s="5"/>
      <c r="U24" s="1"/>
      <c r="V24" s="12"/>
      <c r="W24" s="40" t="s">
        <v>36</v>
      </c>
      <c r="X24" s="40"/>
      <c r="Y24" s="37">
        <f t="shared" si="8"/>
        <v>0</v>
      </c>
      <c r="Z24" s="13"/>
      <c r="AA24" s="1"/>
      <c r="AB24" s="70" t="s">
        <v>116</v>
      </c>
      <c r="AC24" s="83">
        <v>45955</v>
      </c>
      <c r="AD24" s="70" t="s">
        <v>115</v>
      </c>
      <c r="AE24" s="70"/>
      <c r="AF24" s="70">
        <v>100110</v>
      </c>
      <c r="AG24" s="1"/>
      <c r="AH24" s="1"/>
      <c r="AI24" s="70" t="s">
        <v>147</v>
      </c>
      <c r="AJ24" s="70" t="s">
        <v>65</v>
      </c>
      <c r="AK24" s="70" t="s">
        <v>133</v>
      </c>
      <c r="AL24" s="76">
        <v>84000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37</v>
      </c>
      <c r="S25" s="1"/>
      <c r="T25" s="5"/>
      <c r="U25" s="1"/>
      <c r="V25" s="12"/>
      <c r="W25" s="40" t="s">
        <v>37</v>
      </c>
      <c r="X25" s="40"/>
      <c r="Y25" s="37">
        <f t="shared" si="8"/>
        <v>0</v>
      </c>
      <c r="Z25" s="13"/>
      <c r="AA25" s="1"/>
      <c r="AB25" s="70" t="s">
        <v>118</v>
      </c>
      <c r="AC25" s="84">
        <v>45948</v>
      </c>
      <c r="AD25" s="70" t="s">
        <v>117</v>
      </c>
      <c r="AE25" s="70"/>
      <c r="AF25" s="70">
        <v>20000</v>
      </c>
      <c r="AG25" s="1"/>
      <c r="AH25" s="1"/>
      <c r="AI25" s="70" t="s">
        <v>148</v>
      </c>
      <c r="AJ25" s="70" t="s">
        <v>65</v>
      </c>
      <c r="AK25" s="70" t="s">
        <v>134</v>
      </c>
      <c r="AL25" s="76">
        <v>33554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/>
      <c r="AC26" s="70"/>
      <c r="AD26" s="70" t="s">
        <v>161</v>
      </c>
      <c r="AE26" s="70"/>
      <c r="AF26" s="70">
        <v>27</v>
      </c>
      <c r="AG26" s="1"/>
      <c r="AH26" s="1"/>
      <c r="AI26" s="70" t="s">
        <v>145</v>
      </c>
      <c r="AJ26" s="70" t="s">
        <v>90</v>
      </c>
      <c r="AK26" s="70" t="s">
        <v>135</v>
      </c>
      <c r="AL26" s="75">
        <v>4479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158</v>
      </c>
      <c r="AC27" s="85">
        <v>45961</v>
      </c>
      <c r="AD27" s="86" t="s">
        <v>157</v>
      </c>
      <c r="AE27" s="70"/>
      <c r="AF27" s="70">
        <v>88270</v>
      </c>
      <c r="AG27" s="1"/>
      <c r="AH27" s="1"/>
      <c r="AI27" s="70" t="s">
        <v>149</v>
      </c>
      <c r="AJ27" s="70" t="s">
        <v>90</v>
      </c>
      <c r="AK27" s="70" t="s">
        <v>136</v>
      </c>
      <c r="AL27" s="76">
        <v>20300</v>
      </c>
    </row>
    <row r="28" spans="2:38" ht="15.75" thickBot="1">
      <c r="B28" s="125" t="s">
        <v>11</v>
      </c>
      <c r="C28" s="126"/>
      <c r="D28" s="9">
        <f>+SUM(D16:D27)</f>
        <v>64490</v>
      </c>
      <c r="E28" s="1"/>
      <c r="F28" s="125" t="s">
        <v>11</v>
      </c>
      <c r="G28" s="126"/>
      <c r="H28" s="9">
        <f>+SUM(H16:H27)</f>
        <v>86530</v>
      </c>
      <c r="I28" s="1"/>
      <c r="J28" s="125" t="s">
        <v>11</v>
      </c>
      <c r="K28" s="126"/>
      <c r="L28" s="9">
        <f>+SUM(L16:L27)</f>
        <v>89779</v>
      </c>
      <c r="M28" s="1"/>
      <c r="N28" s="125" t="s">
        <v>11</v>
      </c>
      <c r="O28" s="126"/>
      <c r="P28" s="9">
        <f>+SUM(P16:P27)</f>
        <v>92038</v>
      </c>
      <c r="Q28" s="1"/>
      <c r="R28" s="125" t="s">
        <v>11</v>
      </c>
      <c r="S28" s="126"/>
      <c r="T28" s="9">
        <f>+SUM(T16:T27)</f>
        <v>0</v>
      </c>
      <c r="U28" s="1"/>
      <c r="V28" s="12"/>
      <c r="W28" s="125" t="s">
        <v>11</v>
      </c>
      <c r="X28" s="126"/>
      <c r="Y28" s="9">
        <f>+SUM(Y16:Y27)</f>
        <v>332837</v>
      </c>
      <c r="Z28" s="13"/>
      <c r="AA28" s="1"/>
      <c r="AB28" s="70" t="s">
        <v>160</v>
      </c>
      <c r="AC28" s="83">
        <v>45954</v>
      </c>
      <c r="AD28" s="70" t="s">
        <v>159</v>
      </c>
      <c r="AE28" s="70"/>
      <c r="AF28" s="70">
        <v>34524</v>
      </c>
      <c r="AG28" s="1"/>
      <c r="AH28" s="1"/>
      <c r="AI28" s="70" t="s">
        <v>150</v>
      </c>
      <c r="AJ28" s="70" t="s">
        <v>71</v>
      </c>
      <c r="AK28" s="70" t="s">
        <v>137</v>
      </c>
      <c r="AL28" s="75">
        <v>6590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163</v>
      </c>
      <c r="AC29" s="83">
        <v>45955</v>
      </c>
      <c r="AD29" s="70" t="s">
        <v>162</v>
      </c>
      <c r="AE29" s="70"/>
      <c r="AF29" s="70">
        <v>166380</v>
      </c>
      <c r="AG29" s="1"/>
      <c r="AH29" s="1"/>
      <c r="AI29" s="70" t="s">
        <v>151</v>
      </c>
      <c r="AJ29" s="70" t="s">
        <v>71</v>
      </c>
      <c r="AK29" s="70" t="s">
        <v>138</v>
      </c>
      <c r="AL29" s="82">
        <v>13857</v>
      </c>
    </row>
    <row r="30" spans="2:38" ht="15.75" thickBot="1">
      <c r="B30" s="127" t="s">
        <v>39</v>
      </c>
      <c r="C30" s="127"/>
      <c r="D30" s="7">
        <f>+D28-D15</f>
        <v>-260</v>
      </c>
      <c r="E30" s="1"/>
      <c r="F30" s="127" t="s">
        <v>39</v>
      </c>
      <c r="G30" s="127"/>
      <c r="H30" s="7">
        <f>+H28-H15</f>
        <v>15</v>
      </c>
      <c r="I30" s="1"/>
      <c r="J30" s="127" t="s">
        <v>39</v>
      </c>
      <c r="K30" s="127"/>
      <c r="L30" s="7">
        <f>+L28-L15</f>
        <v>-310</v>
      </c>
      <c r="M30" s="1"/>
      <c r="N30" s="127" t="s">
        <v>39</v>
      </c>
      <c r="O30" s="127"/>
      <c r="P30" s="7">
        <f>+P28-P15</f>
        <v>-284</v>
      </c>
      <c r="Q30" s="1"/>
      <c r="R30" s="127" t="s">
        <v>39</v>
      </c>
      <c r="S30" s="127"/>
      <c r="T30" s="7">
        <f>+T28-T15</f>
        <v>0</v>
      </c>
      <c r="U30" s="1"/>
      <c r="V30" s="12"/>
      <c r="W30" s="124" t="s">
        <v>39</v>
      </c>
      <c r="X30" s="124"/>
      <c r="Y30" s="41">
        <f>+Y28-Y15</f>
        <v>-839</v>
      </c>
      <c r="Z30" s="13"/>
      <c r="AA30" s="1"/>
      <c r="AB30" s="70"/>
      <c r="AC30" s="70"/>
      <c r="AD30" s="70"/>
      <c r="AE30" s="70"/>
      <c r="AF30" s="70"/>
      <c r="AG30" s="1"/>
      <c r="AH30" s="1"/>
      <c r="AI30" s="70" t="s">
        <v>152</v>
      </c>
      <c r="AJ30" s="70" t="s">
        <v>90</v>
      </c>
      <c r="AK30" s="70" t="s">
        <v>139</v>
      </c>
      <c r="AL30" s="76">
        <v>15221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70"/>
      <c r="AC31" s="70"/>
      <c r="AD31" s="70"/>
      <c r="AE31" s="70"/>
      <c r="AF31" s="70"/>
      <c r="AG31" s="1"/>
      <c r="AH31" s="1"/>
      <c r="AI31" s="70" t="s">
        <v>153</v>
      </c>
      <c r="AJ31" s="70" t="s">
        <v>146</v>
      </c>
      <c r="AK31" s="70" t="s">
        <v>140</v>
      </c>
      <c r="AL31" s="76">
        <v>9160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 t="s">
        <v>154</v>
      </c>
      <c r="AJ32" s="70" t="s">
        <v>146</v>
      </c>
      <c r="AK32" s="70" t="s">
        <v>141</v>
      </c>
      <c r="AL32" s="75">
        <v>3916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70" t="s">
        <v>155</v>
      </c>
      <c r="AJ33" s="70" t="s">
        <v>65</v>
      </c>
      <c r="AK33" s="70" t="s">
        <v>142</v>
      </c>
      <c r="AL33" s="76">
        <v>64370</v>
      </c>
    </row>
    <row r="34" spans="2:38">
      <c r="B34" s="10" t="s">
        <v>40</v>
      </c>
      <c r="C34" s="11"/>
      <c r="D34" s="21">
        <v>260</v>
      </c>
      <c r="E34" s="1"/>
      <c r="F34" s="10" t="s">
        <v>40</v>
      </c>
      <c r="G34" s="11"/>
      <c r="H34" s="21"/>
      <c r="I34" s="1"/>
      <c r="J34" s="10" t="s">
        <v>40</v>
      </c>
      <c r="K34" s="11"/>
      <c r="L34" s="21">
        <v>310</v>
      </c>
      <c r="M34" s="1"/>
      <c r="N34" s="10" t="s">
        <v>40</v>
      </c>
      <c r="O34" s="11"/>
      <c r="P34" s="21"/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570</v>
      </c>
      <c r="Z34" s="1"/>
      <c r="AA34" s="1"/>
      <c r="AB34" s="1"/>
      <c r="AC34" s="1"/>
      <c r="AD34" s="1"/>
      <c r="AE34" s="1"/>
      <c r="AF34" s="1"/>
      <c r="AG34" s="1"/>
      <c r="AH34" s="1"/>
      <c r="AI34" s="70" t="s">
        <v>156</v>
      </c>
      <c r="AJ34" s="70" t="s">
        <v>65</v>
      </c>
      <c r="AK34" s="70" t="s">
        <v>143</v>
      </c>
      <c r="AL34" s="76">
        <v>32000</v>
      </c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123</v>
      </c>
      <c r="O35" s="16"/>
      <c r="P35" s="22">
        <v>286</v>
      </c>
      <c r="Q35" s="1"/>
      <c r="R35" s="12" t="s">
        <v>41</v>
      </c>
      <c r="S35" s="16"/>
      <c r="T35" s="22"/>
      <c r="U35" s="1"/>
      <c r="V35" s="1"/>
      <c r="W35" s="45" t="s">
        <v>41</v>
      </c>
      <c r="X35" s="40"/>
      <c r="Y35" s="46">
        <f t="shared" ref="Y35:Y36" si="9">+D35+H35+L35+P35+T35</f>
        <v>286</v>
      </c>
      <c r="Z35" s="1"/>
      <c r="AA35" s="1"/>
      <c r="AB35" s="1"/>
      <c r="AC35" s="1"/>
      <c r="AD35" s="1"/>
      <c r="AE35" s="1"/>
      <c r="AF35" s="1"/>
      <c r="AG35" s="1"/>
      <c r="AH35" s="1"/>
      <c r="AI35" s="70" t="s">
        <v>156</v>
      </c>
      <c r="AJ35" s="70" t="s">
        <v>65</v>
      </c>
      <c r="AK35" s="70" t="s">
        <v>144</v>
      </c>
      <c r="AL35" s="76">
        <v>74000</v>
      </c>
    </row>
    <row r="36" spans="2:38">
      <c r="B36" s="12" t="s">
        <v>43</v>
      </c>
      <c r="C36" s="16"/>
      <c r="D36" s="22"/>
      <c r="E36" s="1"/>
      <c r="F36" s="12" t="s">
        <v>43</v>
      </c>
      <c r="G36" s="16"/>
      <c r="H36" s="22">
        <v>-15</v>
      </c>
      <c r="I36" s="1"/>
      <c r="J36" s="12" t="s">
        <v>43</v>
      </c>
      <c r="K36" s="16"/>
      <c r="L36" s="22"/>
      <c r="M36" s="1"/>
      <c r="N36" s="12" t="s">
        <v>43</v>
      </c>
      <c r="O36" s="16"/>
      <c r="P36" s="22">
        <v>-2</v>
      </c>
      <c r="Q36" s="1"/>
      <c r="R36" s="12" t="s">
        <v>45</v>
      </c>
      <c r="S36" s="16"/>
      <c r="T36" s="22"/>
      <c r="U36" s="1"/>
      <c r="V36" s="1"/>
      <c r="W36" s="45" t="s">
        <v>42</v>
      </c>
      <c r="X36" s="40"/>
      <c r="Y36" s="46">
        <f t="shared" si="9"/>
        <v>-17</v>
      </c>
      <c r="Z36" s="1"/>
      <c r="AA36" s="1"/>
      <c r="AB36" s="1"/>
      <c r="AC36" s="1"/>
      <c r="AD36" s="1"/>
      <c r="AE36" s="1"/>
      <c r="AF36" s="1"/>
      <c r="AG36" s="1"/>
      <c r="AH36" s="1"/>
      <c r="AI36" s="70"/>
      <c r="AJ36" s="70"/>
      <c r="AK36" s="70"/>
      <c r="AL36" s="70"/>
    </row>
    <row r="37" spans="2:38" ht="15.75" thickBot="1">
      <c r="B37" s="12" t="s">
        <v>17</v>
      </c>
      <c r="C37" s="16"/>
      <c r="D37" s="22">
        <f>+SUM(D34:D36)</f>
        <v>260</v>
      </c>
      <c r="E37" s="1"/>
      <c r="F37" s="12" t="s">
        <v>17</v>
      </c>
      <c r="G37" s="16"/>
      <c r="H37" s="22">
        <f>+SUM(H34:H36)</f>
        <v>-15</v>
      </c>
      <c r="I37" s="1"/>
      <c r="J37" s="12" t="s">
        <v>17</v>
      </c>
      <c r="K37" s="16"/>
      <c r="L37" s="22">
        <f>+SUM(L34:L36)</f>
        <v>310</v>
      </c>
      <c r="M37" s="1"/>
      <c r="N37" s="12" t="s">
        <v>17</v>
      </c>
      <c r="O37" s="16"/>
      <c r="P37" s="22">
        <f>+SUM(P34:P36)</f>
        <v>284</v>
      </c>
      <c r="Q37" s="1"/>
      <c r="R37" s="12" t="s">
        <v>17</v>
      </c>
      <c r="S37" s="16"/>
      <c r="T37" s="22">
        <f>+SUM(T34:T36)</f>
        <v>0</v>
      </c>
      <c r="U37" s="1"/>
      <c r="V37" s="1"/>
      <c r="W37" s="33" t="s">
        <v>17</v>
      </c>
      <c r="X37" s="34"/>
      <c r="Y37" s="35">
        <f>+SUM(Y34:Y36)</f>
        <v>839</v>
      </c>
      <c r="Z37" s="1"/>
      <c r="AA37" s="1"/>
      <c r="AB37" s="60" t="s">
        <v>38</v>
      </c>
      <c r="AC37" s="60"/>
      <c r="AD37" s="60"/>
      <c r="AE37" s="60"/>
      <c r="AF37" s="55">
        <f>+SUM(AF23:AF36)</f>
        <v>418171</v>
      </c>
      <c r="AG37" s="1"/>
      <c r="AH37" s="1"/>
      <c r="AI37" s="80" t="s">
        <v>38</v>
      </c>
      <c r="AJ37" s="80"/>
      <c r="AK37" s="80"/>
      <c r="AL37" s="81">
        <f>+SUM(AL23:AL36)</f>
        <v>365294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39"/>
  <sheetViews>
    <sheetView topLeftCell="A7" zoomScale="90" zoomScaleNormal="90" workbookViewId="0">
      <selection activeCell="AA24" sqref="AA24:AF24"/>
    </sheetView>
  </sheetViews>
  <sheetFormatPr defaultRowHeight="15"/>
  <cols>
    <col min="3" max="3" width="14.7109375" bestFit="1" customWidth="1"/>
    <col min="5" max="5" width="0.28515625" customWidth="1"/>
    <col min="9" max="9" width="0.28515625" customWidth="1"/>
    <col min="11" max="11" width="13.85546875" bestFit="1" customWidth="1"/>
    <col min="13" max="13" width="0.85546875" customWidth="1"/>
    <col min="15" max="15" width="14.7109375" bestFit="1" customWidth="1"/>
    <col min="16" max="16" width="9.5703125" bestFit="1" customWidth="1"/>
    <col min="17" max="17" width="0.7109375" customWidth="1"/>
    <col min="21" max="21" width="0.42578125" customWidth="1"/>
    <col min="22" max="22" width="0.7109375" customWidth="1"/>
    <col min="26" max="26" width="0.5703125" customWidth="1"/>
    <col min="27" max="27" width="0.28515625" customWidth="1"/>
    <col min="29" max="29" width="11.140625" bestFit="1" customWidth="1"/>
    <col min="30" max="30" width="11.42578125" customWidth="1"/>
    <col min="31" max="31" width="10.42578125" bestFit="1" customWidth="1"/>
    <col min="32" max="32" width="9.140625" customWidth="1"/>
    <col min="33" max="33" width="1.140625" customWidth="1"/>
    <col min="34" max="34" width="0.28515625" customWidth="1"/>
    <col min="37" max="37" width="13.85546875" bestFit="1" customWidth="1"/>
    <col min="38" max="38" width="10" bestFit="1" customWidth="1"/>
  </cols>
  <sheetData>
    <row r="1" spans="1:38">
      <c r="A1" s="52"/>
    </row>
    <row r="2" spans="1:38" ht="15.75" thickBot="1"/>
    <row r="3" spans="1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189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1:38" ht="15.75" thickTop="1">
      <c r="B6" s="2">
        <v>10</v>
      </c>
      <c r="C6" s="2"/>
      <c r="D6" s="36">
        <f>+C6*B6</f>
        <v>0</v>
      </c>
      <c r="E6" s="1"/>
      <c r="F6" s="2">
        <v>10</v>
      </c>
      <c r="G6" s="2">
        <v>91</v>
      </c>
      <c r="H6" s="36">
        <f>+G6*F6</f>
        <v>910</v>
      </c>
      <c r="I6" s="1"/>
      <c r="J6" s="2">
        <v>10</v>
      </c>
      <c r="K6" s="2">
        <v>37</v>
      </c>
      <c r="L6" s="36">
        <f>+K6*J6</f>
        <v>370</v>
      </c>
      <c r="M6" s="1"/>
      <c r="N6" s="2">
        <v>10</v>
      </c>
      <c r="O6" s="2">
        <v>254</v>
      </c>
      <c r="P6" s="36">
        <f>+O6*N6</f>
        <v>2540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382</v>
      </c>
      <c r="Y6" s="37">
        <f>+D6+H6+L6+P6+T6</f>
        <v>3820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1:38">
      <c r="B7" s="2">
        <v>20</v>
      </c>
      <c r="C7" s="2"/>
      <c r="D7" s="36">
        <f t="shared" ref="D7:D12" si="1">+C7*B7</f>
        <v>0</v>
      </c>
      <c r="E7" s="1"/>
      <c r="F7" s="2">
        <v>20</v>
      </c>
      <c r="G7" s="2">
        <v>5</v>
      </c>
      <c r="H7" s="36">
        <f t="shared" ref="H7:H12" si="2">+G7*F7</f>
        <v>100</v>
      </c>
      <c r="I7" s="1"/>
      <c r="J7" s="2">
        <v>20</v>
      </c>
      <c r="K7" s="2">
        <v>7</v>
      </c>
      <c r="L7" s="36">
        <f t="shared" ref="L7:L12" si="3">+K7*J7</f>
        <v>140</v>
      </c>
      <c r="M7" s="1"/>
      <c r="N7" s="2">
        <v>20</v>
      </c>
      <c r="O7" s="2">
        <v>98</v>
      </c>
      <c r="P7" s="36">
        <f t="shared" ref="P7:P12" si="4">+O7*N7</f>
        <v>1960</v>
      </c>
      <c r="Q7" s="1"/>
      <c r="R7" s="2">
        <v>20</v>
      </c>
      <c r="S7" s="2">
        <v>2</v>
      </c>
      <c r="T7" s="36">
        <f t="shared" ref="T7:T12" si="5">+S7*R7</f>
        <v>40</v>
      </c>
      <c r="U7" s="1"/>
      <c r="V7" s="12"/>
      <c r="W7" s="39">
        <v>20</v>
      </c>
      <c r="X7" s="39">
        <f>+C7+G7+K7+O7+S7</f>
        <v>112</v>
      </c>
      <c r="Y7" s="37">
        <f t="shared" ref="Y7:Y12" si="6">+D7+H7+L7+P7+T7</f>
        <v>2240</v>
      </c>
      <c r="Z7" s="13"/>
      <c r="AA7" s="1"/>
      <c r="AB7" s="56" t="s">
        <v>9</v>
      </c>
      <c r="AC7" s="57">
        <f>Y13</f>
        <v>333710</v>
      </c>
      <c r="AD7" s="26"/>
      <c r="AE7" s="26"/>
      <c r="AF7" s="26"/>
      <c r="AG7" s="26"/>
      <c r="AH7" s="1"/>
      <c r="AI7" s="2">
        <v>10</v>
      </c>
      <c r="AJ7" s="2">
        <v>262</v>
      </c>
      <c r="AK7" s="36">
        <f t="shared" si="0"/>
        <v>2620</v>
      </c>
      <c r="AL7" s="1"/>
    </row>
    <row r="8" spans="1:38">
      <c r="B8" s="2">
        <v>50</v>
      </c>
      <c r="C8" s="2">
        <v>24</v>
      </c>
      <c r="D8" s="36">
        <f t="shared" si="1"/>
        <v>1200</v>
      </c>
      <c r="E8" s="1"/>
      <c r="F8" s="2">
        <v>50</v>
      </c>
      <c r="G8" s="2">
        <v>26</v>
      </c>
      <c r="H8" s="36">
        <f t="shared" si="2"/>
        <v>1300</v>
      </c>
      <c r="I8" s="1"/>
      <c r="J8" s="2">
        <v>50</v>
      </c>
      <c r="K8" s="2">
        <v>27</v>
      </c>
      <c r="L8" s="36">
        <f t="shared" si="3"/>
        <v>1350</v>
      </c>
      <c r="M8" s="1"/>
      <c r="N8" s="2">
        <v>50</v>
      </c>
      <c r="O8" s="2">
        <v>77</v>
      </c>
      <c r="P8" s="36">
        <f t="shared" si="4"/>
        <v>3850</v>
      </c>
      <c r="Q8" s="1"/>
      <c r="R8" s="2">
        <v>50</v>
      </c>
      <c r="S8" s="2">
        <v>1</v>
      </c>
      <c r="T8" s="36">
        <f t="shared" si="5"/>
        <v>50</v>
      </c>
      <c r="U8" s="1"/>
      <c r="V8" s="12"/>
      <c r="W8" s="39">
        <v>50</v>
      </c>
      <c r="X8" s="39">
        <f t="shared" ref="X8:X12" si="7">+C8+G8+K8+O8+S8</f>
        <v>155</v>
      </c>
      <c r="Y8" s="37">
        <f t="shared" si="6"/>
        <v>7750</v>
      </c>
      <c r="Z8" s="13"/>
      <c r="AA8" s="1"/>
      <c r="AB8" s="53" t="s">
        <v>10</v>
      </c>
      <c r="AC8" s="53">
        <f>+AF37</f>
        <v>540026</v>
      </c>
      <c r="AD8" s="1"/>
      <c r="AE8" s="1"/>
      <c r="AF8" s="1"/>
      <c r="AG8" s="1"/>
      <c r="AH8" s="1"/>
      <c r="AI8" s="2">
        <v>20</v>
      </c>
      <c r="AJ8" s="2">
        <v>102</v>
      </c>
      <c r="AK8" s="36">
        <f t="shared" si="0"/>
        <v>2040</v>
      </c>
      <c r="AL8" s="1"/>
    </row>
    <row r="9" spans="1:38" ht="15.75" thickBot="1">
      <c r="B9" s="2">
        <v>100</v>
      </c>
      <c r="C9" s="2">
        <v>2</v>
      </c>
      <c r="D9" s="36">
        <f t="shared" si="1"/>
        <v>200</v>
      </c>
      <c r="E9" s="1"/>
      <c r="F9" s="2">
        <v>100</v>
      </c>
      <c r="G9" s="2">
        <v>6</v>
      </c>
      <c r="H9" s="36">
        <f t="shared" si="2"/>
        <v>600</v>
      </c>
      <c r="I9" s="1"/>
      <c r="J9" s="2">
        <v>100</v>
      </c>
      <c r="K9" s="2">
        <v>11</v>
      </c>
      <c r="L9" s="36">
        <f t="shared" si="3"/>
        <v>1100</v>
      </c>
      <c r="M9" s="1"/>
      <c r="N9" s="2">
        <v>100</v>
      </c>
      <c r="O9" s="2">
        <v>7</v>
      </c>
      <c r="P9" s="36">
        <f t="shared" si="4"/>
        <v>700</v>
      </c>
      <c r="Q9" s="1"/>
      <c r="R9" s="2">
        <v>100</v>
      </c>
      <c r="S9" s="2">
        <v>3</v>
      </c>
      <c r="T9" s="36">
        <f t="shared" si="5"/>
        <v>300</v>
      </c>
      <c r="U9" s="1"/>
      <c r="V9" s="12"/>
      <c r="W9" s="39">
        <v>100</v>
      </c>
      <c r="X9" s="39">
        <f t="shared" si="7"/>
        <v>29</v>
      </c>
      <c r="Y9" s="37">
        <f t="shared" si="6"/>
        <v>2900</v>
      </c>
      <c r="Z9" s="13"/>
      <c r="AA9" s="1"/>
      <c r="AB9" s="58" t="s">
        <v>11</v>
      </c>
      <c r="AC9" s="59">
        <f>SUM(AC7:AC8)</f>
        <v>873736</v>
      </c>
      <c r="AD9" s="1"/>
      <c r="AE9" s="1"/>
      <c r="AF9" s="1"/>
      <c r="AG9" s="1"/>
      <c r="AH9" s="1"/>
      <c r="AI9" s="2">
        <v>50</v>
      </c>
      <c r="AJ9" s="2">
        <v>100</v>
      </c>
      <c r="AK9" s="36">
        <f t="shared" si="0"/>
        <v>5000</v>
      </c>
      <c r="AL9" s="1"/>
    </row>
    <row r="10" spans="1:38">
      <c r="B10" s="2">
        <v>500</v>
      </c>
      <c r="C10" s="2">
        <v>25</v>
      </c>
      <c r="D10" s="36">
        <f t="shared" si="1"/>
        <v>12500</v>
      </c>
      <c r="E10" s="1"/>
      <c r="F10" s="2">
        <v>500</v>
      </c>
      <c r="G10" s="2">
        <v>22</v>
      </c>
      <c r="H10" s="36">
        <f t="shared" si="2"/>
        <v>11000</v>
      </c>
      <c r="I10" s="1"/>
      <c r="J10" s="2">
        <v>500</v>
      </c>
      <c r="K10" s="2">
        <v>44</v>
      </c>
      <c r="L10" s="36">
        <f t="shared" si="3"/>
        <v>22000</v>
      </c>
      <c r="M10" s="1"/>
      <c r="N10" s="2">
        <v>500</v>
      </c>
      <c r="O10" s="2">
        <v>53</v>
      </c>
      <c r="P10" s="36">
        <f t="shared" si="4"/>
        <v>26500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144</v>
      </c>
      <c r="Y10" s="37">
        <f t="shared" si="6"/>
        <v>72000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13</v>
      </c>
      <c r="AK10" s="36">
        <f t="shared" si="0"/>
        <v>1300</v>
      </c>
      <c r="AL10" s="1"/>
    </row>
    <row r="11" spans="1:38">
      <c r="B11" s="2">
        <v>1000</v>
      </c>
      <c r="C11" s="2">
        <v>29</v>
      </c>
      <c r="D11" s="36">
        <f t="shared" si="1"/>
        <v>29000</v>
      </c>
      <c r="E11" s="1"/>
      <c r="F11" s="2">
        <v>1000</v>
      </c>
      <c r="G11" s="2">
        <v>56</v>
      </c>
      <c r="H11" s="36">
        <f t="shared" si="2"/>
        <v>56000</v>
      </c>
      <c r="I11" s="1"/>
      <c r="J11" s="2">
        <v>1000</v>
      </c>
      <c r="K11" s="2">
        <v>40</v>
      </c>
      <c r="L11" s="36">
        <f t="shared" si="3"/>
        <v>40000</v>
      </c>
      <c r="M11" s="1"/>
      <c r="N11" s="2">
        <v>1000</v>
      </c>
      <c r="O11" s="2">
        <v>36</v>
      </c>
      <c r="P11" s="36">
        <f t="shared" si="4"/>
        <v>36000</v>
      </c>
      <c r="Q11" s="1"/>
      <c r="R11" s="2">
        <v>1000</v>
      </c>
      <c r="S11" s="2">
        <v>4</v>
      </c>
      <c r="T11" s="36">
        <f t="shared" si="5"/>
        <v>4000</v>
      </c>
      <c r="U11" s="1"/>
      <c r="V11" s="12"/>
      <c r="W11" s="39">
        <v>1000</v>
      </c>
      <c r="X11" s="39">
        <f t="shared" si="7"/>
        <v>165</v>
      </c>
      <c r="Y11" s="37">
        <f t="shared" si="6"/>
        <v>165000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/>
      <c r="AK11" s="36">
        <f t="shared" si="0"/>
        <v>0</v>
      </c>
      <c r="AL11" s="1"/>
    </row>
    <row r="12" spans="1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5</v>
      </c>
      <c r="H12" s="36">
        <f t="shared" si="2"/>
        <v>25000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5</v>
      </c>
      <c r="P12" s="36">
        <f t="shared" si="4"/>
        <v>25000</v>
      </c>
      <c r="Q12" s="1"/>
      <c r="R12" s="2">
        <v>5000</v>
      </c>
      <c r="S12" s="2">
        <v>4</v>
      </c>
      <c r="T12" s="36">
        <f t="shared" si="5"/>
        <v>20000</v>
      </c>
      <c r="U12" s="1"/>
      <c r="V12" s="12"/>
      <c r="W12" s="39">
        <v>5000</v>
      </c>
      <c r="X12" s="39">
        <f t="shared" si="7"/>
        <v>16</v>
      </c>
      <c r="Y12" s="37">
        <f t="shared" si="6"/>
        <v>80000</v>
      </c>
      <c r="Z12" s="13"/>
      <c r="AA12" s="1"/>
      <c r="AB12" s="1" t="s">
        <v>16</v>
      </c>
      <c r="AC12" s="5">
        <v>516960</v>
      </c>
      <c r="AD12" s="1">
        <v>385916</v>
      </c>
      <c r="AE12" s="52">
        <v>45819</v>
      </c>
      <c r="AF12" s="1" t="s">
        <v>69</v>
      </c>
      <c r="AG12" s="1"/>
      <c r="AH12" s="1"/>
      <c r="AI12" s="2">
        <v>1000</v>
      </c>
      <c r="AJ12" s="2">
        <v>21</v>
      </c>
      <c r="AK12" s="36">
        <f t="shared" si="0"/>
        <v>21000</v>
      </c>
      <c r="AL12" s="1"/>
    </row>
    <row r="13" spans="1:38" ht="15.75" thickBot="1">
      <c r="B13" s="3" t="s">
        <v>17</v>
      </c>
      <c r="C13" s="3"/>
      <c r="D13" s="6">
        <f>+SUM(D5:D12)</f>
        <v>47900</v>
      </c>
      <c r="E13" s="1"/>
      <c r="F13" s="3" t="s">
        <v>17</v>
      </c>
      <c r="G13" s="3"/>
      <c r="H13" s="6">
        <f>+SUM(H5:H12)</f>
        <v>94910</v>
      </c>
      <c r="I13" s="1"/>
      <c r="J13" s="3" t="s">
        <v>17</v>
      </c>
      <c r="K13" s="3"/>
      <c r="L13" s="6">
        <f>+SUM(L5:L12)</f>
        <v>69960</v>
      </c>
      <c r="M13" s="1"/>
      <c r="N13" s="3" t="s">
        <v>17</v>
      </c>
      <c r="O13" s="3"/>
      <c r="P13" s="6">
        <f>+SUM(P5:P12)</f>
        <v>96550</v>
      </c>
      <c r="Q13" s="1"/>
      <c r="R13" s="3" t="s">
        <v>17</v>
      </c>
      <c r="S13" s="3"/>
      <c r="T13" s="6">
        <f>+SUM(T5:T12)</f>
        <v>24390</v>
      </c>
      <c r="U13" s="1"/>
      <c r="V13" s="12"/>
      <c r="W13" s="3" t="s">
        <v>17</v>
      </c>
      <c r="X13" s="3"/>
      <c r="Y13" s="6">
        <f>+SUM(Y5:Y12)</f>
        <v>333710</v>
      </c>
      <c r="Z13" s="13"/>
      <c r="AA13" s="1"/>
      <c r="AB13" s="1" t="s">
        <v>18</v>
      </c>
      <c r="AC13" s="5"/>
      <c r="AD13" s="1"/>
      <c r="AE13" s="1"/>
      <c r="AF13" s="1"/>
      <c r="AG13" s="1"/>
      <c r="AH13" s="1"/>
      <c r="AI13" s="2">
        <v>5000</v>
      </c>
      <c r="AJ13" s="2">
        <v>97</v>
      </c>
      <c r="AK13" s="36">
        <f t="shared" si="0"/>
        <v>485000</v>
      </c>
      <c r="AL13" s="1"/>
    </row>
    <row r="14" spans="1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516960</v>
      </c>
      <c r="AL14" s="1"/>
    </row>
    <row r="15" spans="1:38" ht="15.75" thickBot="1">
      <c r="B15" s="128" t="s">
        <v>20</v>
      </c>
      <c r="C15" s="129"/>
      <c r="D15" s="8">
        <v>51230</v>
      </c>
      <c r="E15" s="30"/>
      <c r="F15" s="128" t="s">
        <v>20</v>
      </c>
      <c r="G15" s="129"/>
      <c r="H15" s="8">
        <v>94620</v>
      </c>
      <c r="I15" s="30"/>
      <c r="J15" s="128" t="s">
        <v>20</v>
      </c>
      <c r="K15" s="129"/>
      <c r="L15" s="8">
        <v>99819</v>
      </c>
      <c r="M15" s="30"/>
      <c r="N15" s="128" t="s">
        <v>20</v>
      </c>
      <c r="O15" s="129"/>
      <c r="P15" s="8">
        <v>120278</v>
      </c>
      <c r="Q15" s="30"/>
      <c r="R15" s="128" t="s">
        <v>20</v>
      </c>
      <c r="S15" s="129"/>
      <c r="T15" s="8">
        <f>12458+12787</f>
        <v>25245</v>
      </c>
      <c r="U15" s="30"/>
      <c r="V15" s="31"/>
      <c r="W15" s="128" t="s">
        <v>20</v>
      </c>
      <c r="X15" s="129"/>
      <c r="Y15" s="8">
        <f>+D15+H15+L15+P15+T15</f>
        <v>391192</v>
      </c>
      <c r="Z15" s="32"/>
      <c r="AA15" s="30"/>
      <c r="AB15" s="1" t="s">
        <v>198</v>
      </c>
      <c r="AC15" s="5">
        <v>356786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1:38">
      <c r="B16" s="1" t="s">
        <v>9</v>
      </c>
      <c r="C16" s="1"/>
      <c r="D16" s="5">
        <f>+D13</f>
        <v>47900</v>
      </c>
      <c r="E16" s="1"/>
      <c r="F16" s="1" t="s">
        <v>9</v>
      </c>
      <c r="G16" s="1"/>
      <c r="H16" s="5">
        <f>+H13</f>
        <v>94910</v>
      </c>
      <c r="I16" s="1"/>
      <c r="J16" s="1" t="s">
        <v>9</v>
      </c>
      <c r="K16" s="1"/>
      <c r="L16" s="5">
        <f>+L13</f>
        <v>69960</v>
      </c>
      <c r="M16" s="1"/>
      <c r="N16" s="1" t="s">
        <v>9</v>
      </c>
      <c r="O16" s="1"/>
      <c r="P16" s="5">
        <f>+P13</f>
        <v>96550</v>
      </c>
      <c r="Q16" s="1"/>
      <c r="R16" s="1" t="s">
        <v>9</v>
      </c>
      <c r="S16" s="1"/>
      <c r="T16" s="5">
        <f>+T13</f>
        <v>24390</v>
      </c>
      <c r="U16" s="1"/>
      <c r="V16" s="12"/>
      <c r="W16" s="40" t="s">
        <v>9</v>
      </c>
      <c r="X16" s="40"/>
      <c r="Y16" s="37">
        <f>+D16+H16+L16+P16+T16</f>
        <v>333710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>
        <v>15279</v>
      </c>
      <c r="M17" s="1"/>
      <c r="N17" s="1" t="s">
        <v>16</v>
      </c>
      <c r="O17" s="1"/>
      <c r="P17" s="5">
        <v>5000</v>
      </c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20279</v>
      </c>
      <c r="Z17" s="13"/>
      <c r="AA17" s="1"/>
      <c r="AB17" s="48" t="s">
        <v>11</v>
      </c>
      <c r="AC17" s="49">
        <f>+SUM(AC12:AC16)</f>
        <v>873746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125</v>
      </c>
      <c r="C18" s="1" t="s">
        <v>169</v>
      </c>
      <c r="D18" s="5">
        <v>3365</v>
      </c>
      <c r="E18" s="1"/>
      <c r="F18" s="1" t="s">
        <v>23</v>
      </c>
      <c r="G18" s="1"/>
      <c r="H18" s="5"/>
      <c r="I18" s="1"/>
      <c r="J18" s="1" t="s">
        <v>177</v>
      </c>
      <c r="K18" s="1" t="s">
        <v>178</v>
      </c>
      <c r="L18" s="5">
        <v>14314</v>
      </c>
      <c r="M18" s="1"/>
      <c r="N18" s="1" t="s">
        <v>82</v>
      </c>
      <c r="O18" s="16" t="s">
        <v>187</v>
      </c>
      <c r="P18" s="69">
        <v>7220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24899</v>
      </c>
      <c r="Z18" s="13"/>
      <c r="AA18" s="1"/>
      <c r="AB18" s="50" t="s">
        <v>24</v>
      </c>
      <c r="AC18" s="51">
        <f>+AC17-AC9</f>
        <v>10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26</v>
      </c>
      <c r="G19" s="1"/>
      <c r="H19" s="5"/>
      <c r="I19" s="1"/>
      <c r="J19" s="1" t="s">
        <v>26</v>
      </c>
      <c r="K19" s="1"/>
      <c r="L19" s="5"/>
      <c r="M19" s="1"/>
      <c r="N19" s="1" t="s">
        <v>82</v>
      </c>
      <c r="O19" s="16" t="s">
        <v>188</v>
      </c>
      <c r="P19" s="69">
        <v>11514</v>
      </c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11514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35</v>
      </c>
      <c r="K23" s="1"/>
      <c r="L23" s="5"/>
      <c r="M23" s="1"/>
      <c r="N23" s="1" t="s">
        <v>46</v>
      </c>
      <c r="O23" s="1"/>
      <c r="P23" s="5"/>
      <c r="Q23" s="1"/>
      <c r="R23" s="1" t="s">
        <v>35</v>
      </c>
      <c r="S23" s="1"/>
      <c r="T23" s="5"/>
      <c r="U23" s="1"/>
      <c r="V23" s="12"/>
      <c r="W23" s="40" t="s">
        <v>35</v>
      </c>
      <c r="X23" s="40"/>
      <c r="Y23" s="37">
        <f t="shared" si="8"/>
        <v>0</v>
      </c>
      <c r="Z23" s="13"/>
      <c r="AA23" s="1"/>
      <c r="AB23" s="70" t="s">
        <v>168</v>
      </c>
      <c r="AC23" s="74">
        <v>45960</v>
      </c>
      <c r="AD23" s="70" t="s">
        <v>167</v>
      </c>
      <c r="AE23" s="70"/>
      <c r="AF23" s="70">
        <v>32000</v>
      </c>
      <c r="AG23" s="1"/>
      <c r="AH23" s="1"/>
      <c r="AI23" s="70" t="s">
        <v>155</v>
      </c>
      <c r="AJ23" s="70" t="s">
        <v>65</v>
      </c>
      <c r="AK23" s="70" t="s">
        <v>170</v>
      </c>
      <c r="AL23" s="76">
        <v>50000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36</v>
      </c>
      <c r="S24" s="1"/>
      <c r="T24" s="5"/>
      <c r="U24" s="1"/>
      <c r="V24" s="12"/>
      <c r="W24" s="40" t="s">
        <v>36</v>
      </c>
      <c r="X24" s="40"/>
      <c r="Y24" s="37">
        <f t="shared" si="8"/>
        <v>0</v>
      </c>
      <c r="Z24" s="13"/>
      <c r="AA24" s="1"/>
      <c r="AB24" s="70" t="s">
        <v>114</v>
      </c>
      <c r="AC24" s="74">
        <v>45946</v>
      </c>
      <c r="AD24" s="70" t="s">
        <v>113</v>
      </c>
      <c r="AE24" s="70"/>
      <c r="AF24" s="70">
        <v>10000</v>
      </c>
      <c r="AG24" s="1"/>
      <c r="AH24" s="1"/>
      <c r="AI24" s="70" t="s">
        <v>155</v>
      </c>
      <c r="AJ24" s="70" t="s">
        <v>65</v>
      </c>
      <c r="AK24" s="70" t="s">
        <v>171</v>
      </c>
      <c r="AL24" s="76">
        <v>50000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37</v>
      </c>
      <c r="S25" s="1"/>
      <c r="T25" s="5"/>
      <c r="U25" s="1"/>
      <c r="V25" s="12"/>
      <c r="W25" s="40" t="s">
        <v>37</v>
      </c>
      <c r="X25" s="40"/>
      <c r="Y25" s="37">
        <f t="shared" si="8"/>
        <v>0</v>
      </c>
      <c r="Z25" s="13"/>
      <c r="AA25" s="1"/>
      <c r="AB25" s="70" t="s">
        <v>65</v>
      </c>
      <c r="AC25" s="74">
        <v>45960</v>
      </c>
      <c r="AD25" s="70" t="s">
        <v>197</v>
      </c>
      <c r="AE25" s="70"/>
      <c r="AF25" s="75">
        <v>22262</v>
      </c>
      <c r="AG25" s="1"/>
      <c r="AH25" s="1"/>
      <c r="AI25" s="70" t="s">
        <v>155</v>
      </c>
      <c r="AJ25" s="70" t="s">
        <v>65</v>
      </c>
      <c r="AK25" s="70" t="s">
        <v>172</v>
      </c>
      <c r="AL25" s="76">
        <v>10000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176</v>
      </c>
      <c r="AC26" s="74">
        <v>45961</v>
      </c>
      <c r="AD26" s="70" t="s">
        <v>175</v>
      </c>
      <c r="AE26" s="70"/>
      <c r="AF26" s="70">
        <v>2000</v>
      </c>
      <c r="AG26" s="1"/>
      <c r="AH26" s="1"/>
      <c r="AI26" s="70" t="s">
        <v>90</v>
      </c>
      <c r="AJ26" s="70" t="s">
        <v>173</v>
      </c>
      <c r="AK26" s="70"/>
      <c r="AL26" s="76">
        <v>15278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192</v>
      </c>
      <c r="AC27" s="84">
        <v>45948</v>
      </c>
      <c r="AD27" s="70" t="s">
        <v>191</v>
      </c>
      <c r="AE27" s="70"/>
      <c r="AF27" s="76">
        <v>100000</v>
      </c>
      <c r="AG27" s="1"/>
      <c r="AH27" s="1"/>
    </row>
    <row r="28" spans="2:38" ht="15.75" thickBot="1">
      <c r="B28" s="125" t="s">
        <v>11</v>
      </c>
      <c r="C28" s="126"/>
      <c r="D28" s="9">
        <f>+SUM(D16:D27)</f>
        <v>51265</v>
      </c>
      <c r="E28" s="1"/>
      <c r="F28" s="125" t="s">
        <v>11</v>
      </c>
      <c r="G28" s="126"/>
      <c r="H28" s="9">
        <f>+SUM(H16:H27)</f>
        <v>94910</v>
      </c>
      <c r="I28" s="1"/>
      <c r="J28" s="125" t="s">
        <v>11</v>
      </c>
      <c r="K28" s="126"/>
      <c r="L28" s="9">
        <f>+SUM(L16:L27)</f>
        <v>99553</v>
      </c>
      <c r="M28" s="1"/>
      <c r="N28" s="125" t="s">
        <v>11</v>
      </c>
      <c r="O28" s="126"/>
      <c r="P28" s="9">
        <f>+SUM(P16:P27)</f>
        <v>120284</v>
      </c>
      <c r="Q28" s="1"/>
      <c r="R28" s="125" t="s">
        <v>11</v>
      </c>
      <c r="S28" s="126"/>
      <c r="T28" s="9">
        <f>+SUM(T16:T27)</f>
        <v>24390</v>
      </c>
      <c r="U28" s="1"/>
      <c r="V28" s="12"/>
      <c r="W28" s="125" t="s">
        <v>11</v>
      </c>
      <c r="X28" s="126"/>
      <c r="Y28" s="9">
        <f>+SUM(Y16:Y27)</f>
        <v>390402</v>
      </c>
      <c r="Z28" s="13"/>
      <c r="AA28" s="1"/>
      <c r="AB28" s="70" t="s">
        <v>163</v>
      </c>
      <c r="AC28" s="83">
        <v>45955</v>
      </c>
      <c r="AD28" s="70" t="s">
        <v>49</v>
      </c>
      <c r="AE28" s="70"/>
      <c r="AF28" s="76">
        <v>250000</v>
      </c>
      <c r="AG28" s="1"/>
      <c r="AH28" s="1"/>
      <c r="AI28" s="70" t="s">
        <v>184</v>
      </c>
      <c r="AJ28" s="70" t="s">
        <v>71</v>
      </c>
      <c r="AK28" s="70" t="s">
        <v>179</v>
      </c>
      <c r="AL28" s="76">
        <v>8800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146</v>
      </c>
      <c r="AC29" s="84">
        <v>45950</v>
      </c>
      <c r="AD29" s="70" t="s">
        <v>193</v>
      </c>
      <c r="AE29" s="70" t="s">
        <v>194</v>
      </c>
      <c r="AF29" s="75">
        <v>13850</v>
      </c>
      <c r="AG29" s="1"/>
      <c r="AH29" s="1"/>
      <c r="AI29" s="70" t="s">
        <v>103</v>
      </c>
      <c r="AJ29" s="70" t="s">
        <v>146</v>
      </c>
      <c r="AK29" s="70" t="s">
        <v>180</v>
      </c>
      <c r="AL29" s="75">
        <v>5543</v>
      </c>
    </row>
    <row r="30" spans="2:38" ht="15.75" thickBot="1">
      <c r="B30" s="127" t="s">
        <v>39</v>
      </c>
      <c r="C30" s="127"/>
      <c r="D30" s="7">
        <f>+D28-D15</f>
        <v>35</v>
      </c>
      <c r="E30" s="1"/>
      <c r="F30" s="127" t="s">
        <v>39</v>
      </c>
      <c r="G30" s="127"/>
      <c r="H30" s="7">
        <f>+H28-H15</f>
        <v>290</v>
      </c>
      <c r="I30" s="1"/>
      <c r="J30" s="127" t="s">
        <v>39</v>
      </c>
      <c r="K30" s="127"/>
      <c r="L30" s="7">
        <f>+L28-L15</f>
        <v>-266</v>
      </c>
      <c r="M30" s="1"/>
      <c r="N30" s="127" t="s">
        <v>39</v>
      </c>
      <c r="O30" s="127"/>
      <c r="P30" s="7">
        <f>+P28-P15</f>
        <v>6</v>
      </c>
      <c r="Q30" s="1"/>
      <c r="R30" s="127" t="s">
        <v>39</v>
      </c>
      <c r="S30" s="127"/>
      <c r="T30" s="7">
        <f>+T28-T15</f>
        <v>-855</v>
      </c>
      <c r="U30" s="1"/>
      <c r="V30" s="12"/>
      <c r="W30" s="124" t="s">
        <v>39</v>
      </c>
      <c r="X30" s="124"/>
      <c r="Y30" s="41">
        <f>+Y28-Y15</f>
        <v>-790</v>
      </c>
      <c r="Z30" s="13"/>
      <c r="AA30" s="1"/>
      <c r="AB30" s="70" t="s">
        <v>196</v>
      </c>
      <c r="AC30" s="74">
        <v>45941</v>
      </c>
      <c r="AD30" s="70" t="s">
        <v>195</v>
      </c>
      <c r="AE30" s="70"/>
      <c r="AF30" s="70">
        <v>92147</v>
      </c>
      <c r="AG30" s="1"/>
      <c r="AH30" s="1"/>
      <c r="AI30" s="70" t="s">
        <v>185</v>
      </c>
      <c r="AJ30" s="70" t="s">
        <v>146</v>
      </c>
      <c r="AK30" s="70" t="s">
        <v>181</v>
      </c>
      <c r="AL30" s="75">
        <v>7627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70" t="s">
        <v>71</v>
      </c>
      <c r="AC31" s="70"/>
      <c r="AD31" s="70" t="s">
        <v>152</v>
      </c>
      <c r="AE31" s="70" t="s">
        <v>174</v>
      </c>
      <c r="AF31" s="76">
        <v>17767</v>
      </c>
      <c r="AG31" s="1"/>
      <c r="AH31" s="1"/>
      <c r="AI31" s="70" t="s">
        <v>186</v>
      </c>
      <c r="AJ31" s="70" t="s">
        <v>90</v>
      </c>
      <c r="AK31" s="70" t="s">
        <v>182</v>
      </c>
      <c r="AL31" s="75">
        <v>4300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70"/>
      <c r="AC32" s="70"/>
      <c r="AD32" s="70"/>
      <c r="AE32" s="70"/>
      <c r="AF32" s="70"/>
      <c r="AG32" s="1"/>
      <c r="AH32" s="1"/>
      <c r="AI32" s="70" t="s">
        <v>155</v>
      </c>
      <c r="AJ32" s="70" t="s">
        <v>65</v>
      </c>
      <c r="AK32" s="70" t="s">
        <v>183</v>
      </c>
      <c r="AL32" s="76">
        <v>50000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70"/>
      <c r="AC33" s="70"/>
      <c r="AD33" s="70"/>
      <c r="AE33" s="70"/>
      <c r="AF33" s="70"/>
      <c r="AG33" s="1"/>
      <c r="AH33" s="1"/>
      <c r="AI33" s="70" t="s">
        <v>71</v>
      </c>
      <c r="AJ33" s="70" t="s">
        <v>173</v>
      </c>
      <c r="AK33" s="70"/>
      <c r="AL33" s="75">
        <v>5000</v>
      </c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>
        <v>266</v>
      </c>
      <c r="M34" s="1"/>
      <c r="N34" s="10" t="s">
        <v>40</v>
      </c>
      <c r="O34" s="11"/>
      <c r="P34" s="21"/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266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190</v>
      </c>
      <c r="S35" s="16"/>
      <c r="T35" s="22">
        <v>855</v>
      </c>
      <c r="U35" s="1"/>
      <c r="V35" s="1"/>
      <c r="W35" s="45" t="s">
        <v>41</v>
      </c>
      <c r="X35" s="40"/>
      <c r="Y35" s="46">
        <f t="shared" ref="Y35:Y36" si="9">+D35+H35+L35+P35+T35</f>
        <v>855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-35</v>
      </c>
      <c r="E36" s="1"/>
      <c r="F36" s="12" t="s">
        <v>43</v>
      </c>
      <c r="G36" s="16"/>
      <c r="H36" s="22">
        <v>-290</v>
      </c>
      <c r="I36" s="1"/>
      <c r="J36" s="12" t="s">
        <v>43</v>
      </c>
      <c r="K36" s="16"/>
      <c r="L36" s="22"/>
      <c r="M36" s="1"/>
      <c r="N36" s="12" t="s">
        <v>43</v>
      </c>
      <c r="O36" s="16"/>
      <c r="P36" s="22">
        <v>-6</v>
      </c>
      <c r="Q36" s="1"/>
      <c r="R36" s="12" t="s">
        <v>45</v>
      </c>
      <c r="S36" s="16"/>
      <c r="T36" s="22"/>
      <c r="U36" s="1"/>
      <c r="V36" s="1"/>
      <c r="W36" s="45" t="s">
        <v>42</v>
      </c>
      <c r="X36" s="40"/>
      <c r="Y36" s="46">
        <f t="shared" si="9"/>
        <v>-331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-35</v>
      </c>
      <c r="E37" s="1"/>
      <c r="F37" s="12" t="s">
        <v>17</v>
      </c>
      <c r="G37" s="16"/>
      <c r="H37" s="22">
        <f>+SUM(H34:H36)</f>
        <v>-290</v>
      </c>
      <c r="I37" s="1"/>
      <c r="J37" s="12" t="s">
        <v>17</v>
      </c>
      <c r="K37" s="16"/>
      <c r="L37" s="22">
        <f>+SUM(L34:L36)</f>
        <v>266</v>
      </c>
      <c r="M37" s="1"/>
      <c r="N37" s="12" t="s">
        <v>17</v>
      </c>
      <c r="O37" s="16"/>
      <c r="P37" s="22">
        <f>+SUM(P34:P36)</f>
        <v>-6</v>
      </c>
      <c r="Q37" s="1"/>
      <c r="R37" s="12" t="s">
        <v>17</v>
      </c>
      <c r="S37" s="16"/>
      <c r="T37" s="22">
        <f>+SUM(T34:T36)</f>
        <v>855</v>
      </c>
      <c r="U37" s="1"/>
      <c r="V37" s="1"/>
      <c r="W37" s="33" t="s">
        <v>17</v>
      </c>
      <c r="X37" s="34"/>
      <c r="Y37" s="35">
        <f>+SUM(Y34:Y36)</f>
        <v>790</v>
      </c>
      <c r="Z37" s="1"/>
      <c r="AA37" s="1"/>
      <c r="AB37" s="60" t="s">
        <v>38</v>
      </c>
      <c r="AC37" s="60"/>
      <c r="AD37" s="60"/>
      <c r="AE37" s="60"/>
      <c r="AF37" s="55">
        <f>+SUM(AF23:AF36)</f>
        <v>540026</v>
      </c>
      <c r="AG37" s="1"/>
      <c r="AH37" s="1"/>
      <c r="AI37" s="60" t="s">
        <v>38</v>
      </c>
      <c r="AJ37" s="60"/>
      <c r="AK37" s="60"/>
      <c r="AL37" s="67">
        <f>+SUM(AL23:AL36)</f>
        <v>206548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AL39"/>
  <sheetViews>
    <sheetView topLeftCell="A10" zoomScale="90" zoomScaleNormal="90" workbookViewId="0">
      <selection activeCell="AD25" sqref="AD25"/>
    </sheetView>
  </sheetViews>
  <sheetFormatPr defaultRowHeight="15"/>
  <cols>
    <col min="5" max="5" width="0.5703125" customWidth="1"/>
    <col min="7" max="7" width="14.7109375" bestFit="1" customWidth="1"/>
    <col min="8" max="8" width="9.5703125" bestFit="1" customWidth="1"/>
    <col min="9" max="9" width="0.42578125" customWidth="1"/>
    <col min="11" max="11" width="14.85546875" customWidth="1"/>
    <col min="13" max="13" width="0.7109375" customWidth="1"/>
    <col min="15" max="15" width="14.140625" customWidth="1"/>
    <col min="16" max="16" width="9.5703125" bestFit="1" customWidth="1"/>
    <col min="17" max="17" width="0.42578125" customWidth="1"/>
    <col min="19" max="19" width="15.42578125" customWidth="1"/>
    <col min="20" max="20" width="11.140625" bestFit="1" customWidth="1"/>
    <col min="21" max="22" width="0.28515625" customWidth="1"/>
    <col min="25" max="25" width="9.5703125" bestFit="1" customWidth="1"/>
    <col min="26" max="26" width="0.5703125" customWidth="1"/>
    <col min="27" max="27" width="0.42578125" customWidth="1"/>
    <col min="29" max="29" width="10.140625" bestFit="1" customWidth="1"/>
    <col min="30" max="30" width="9.42578125" customWidth="1"/>
    <col min="31" max="31" width="10.42578125" bestFit="1" customWidth="1"/>
    <col min="33" max="33" width="2.140625" customWidth="1"/>
    <col min="34" max="34" width="9.140625" hidden="1" customWidth="1"/>
    <col min="37" max="37" width="14.85546875" bestFit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1</v>
      </c>
      <c r="D6" s="36">
        <f>+C6*B6</f>
        <v>10</v>
      </c>
      <c r="E6" s="1"/>
      <c r="F6" s="2">
        <v>10</v>
      </c>
      <c r="G6" s="2">
        <v>78</v>
      </c>
      <c r="H6" s="36">
        <f>+G6*F6</f>
        <v>780</v>
      </c>
      <c r="I6" s="1"/>
      <c r="J6" s="2">
        <v>10</v>
      </c>
      <c r="K6" s="2">
        <v>24</v>
      </c>
      <c r="L6" s="36">
        <f>+K6*J6</f>
        <v>240</v>
      </c>
      <c r="M6" s="1"/>
      <c r="N6" s="2">
        <v>10</v>
      </c>
      <c r="O6" s="2">
        <v>21</v>
      </c>
      <c r="P6" s="36">
        <f>+O6*N6</f>
        <v>210</v>
      </c>
      <c r="Q6" s="1"/>
      <c r="R6" s="2">
        <v>10</v>
      </c>
      <c r="S6" s="2">
        <v>4</v>
      </c>
      <c r="T6" s="36">
        <f>+S6*R6</f>
        <v>40</v>
      </c>
      <c r="U6" s="1"/>
      <c r="V6" s="12"/>
      <c r="W6" s="39">
        <v>10</v>
      </c>
      <c r="X6" s="39">
        <f>+C6+G6+K6+O6+S6</f>
        <v>128</v>
      </c>
      <c r="Y6" s="37">
        <f>+D6+H6+L6+P6+T6</f>
        <v>1280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2</v>
      </c>
      <c r="D7" s="36">
        <f t="shared" ref="D7:D12" si="1">+C7*B7</f>
        <v>40</v>
      </c>
      <c r="E7" s="1"/>
      <c r="F7" s="2">
        <v>20</v>
      </c>
      <c r="G7" s="2">
        <v>18</v>
      </c>
      <c r="H7" s="36">
        <f t="shared" ref="H7:H12" si="2">+G7*F7</f>
        <v>360</v>
      </c>
      <c r="I7" s="1"/>
      <c r="J7" s="2">
        <v>20</v>
      </c>
      <c r="K7" s="2">
        <v>6</v>
      </c>
      <c r="L7" s="36">
        <f t="shared" ref="L7:L12" si="3">+K7*J7</f>
        <v>120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26</v>
      </c>
      <c r="Y7" s="37">
        <f t="shared" ref="Y7:Y12" si="6">+D7+H7+L7+P7+T7</f>
        <v>520</v>
      </c>
      <c r="Z7" s="13"/>
      <c r="AA7" s="1"/>
      <c r="AB7" s="56" t="s">
        <v>9</v>
      </c>
      <c r="AC7" s="57">
        <f>Y13</f>
        <v>282650</v>
      </c>
      <c r="AD7" s="26"/>
      <c r="AE7" s="26"/>
      <c r="AF7" s="26"/>
      <c r="AG7" s="26"/>
      <c r="AH7" s="1"/>
      <c r="AI7" s="2">
        <v>10</v>
      </c>
      <c r="AJ7" s="2">
        <v>712</v>
      </c>
      <c r="AK7" s="36">
        <f t="shared" si="0"/>
        <v>7120</v>
      </c>
      <c r="AL7" s="1"/>
    </row>
    <row r="8" spans="2:38">
      <c r="B8" s="2">
        <v>50</v>
      </c>
      <c r="C8" s="2">
        <v>55</v>
      </c>
      <c r="D8" s="36">
        <f t="shared" si="1"/>
        <v>2750</v>
      </c>
      <c r="E8" s="1"/>
      <c r="F8" s="2">
        <v>50</v>
      </c>
      <c r="G8" s="2">
        <v>22</v>
      </c>
      <c r="H8" s="36">
        <f t="shared" si="2"/>
        <v>1100</v>
      </c>
      <c r="I8" s="1"/>
      <c r="J8" s="2">
        <v>50</v>
      </c>
      <c r="K8" s="2">
        <v>30</v>
      </c>
      <c r="L8" s="36">
        <f t="shared" si="3"/>
        <v>1500</v>
      </c>
      <c r="M8" s="1"/>
      <c r="N8" s="2">
        <v>50</v>
      </c>
      <c r="O8" s="2">
        <v>129</v>
      </c>
      <c r="P8" s="36">
        <f t="shared" si="4"/>
        <v>6450</v>
      </c>
      <c r="Q8" s="1"/>
      <c r="R8" s="2">
        <v>50</v>
      </c>
      <c r="S8" s="2">
        <v>1</v>
      </c>
      <c r="T8" s="36">
        <f t="shared" si="5"/>
        <v>50</v>
      </c>
      <c r="U8" s="1"/>
      <c r="V8" s="12"/>
      <c r="W8" s="39">
        <v>50</v>
      </c>
      <c r="X8" s="39">
        <f t="shared" ref="X8:X12" si="7">+C8+G8+K8+O8+S8</f>
        <v>237</v>
      </c>
      <c r="Y8" s="37">
        <f t="shared" si="6"/>
        <v>11850</v>
      </c>
      <c r="Z8" s="13"/>
      <c r="AA8" s="1"/>
      <c r="AB8" s="53" t="s">
        <v>10</v>
      </c>
      <c r="AC8" s="53">
        <f>+AF37</f>
        <v>209699</v>
      </c>
      <c r="AD8" s="1"/>
      <c r="AE8" s="1"/>
      <c r="AF8" s="1"/>
      <c r="AG8" s="1"/>
      <c r="AH8" s="1"/>
      <c r="AI8" s="2">
        <v>20</v>
      </c>
      <c r="AJ8" s="2">
        <v>209</v>
      </c>
      <c r="AK8" s="36">
        <f t="shared" si="0"/>
        <v>4180</v>
      </c>
      <c r="AL8" s="1"/>
    </row>
    <row r="9" spans="2:38" ht="15.75" thickBot="1">
      <c r="B9" s="2">
        <v>100</v>
      </c>
      <c r="C9" s="2">
        <v>22</v>
      </c>
      <c r="D9" s="36">
        <f t="shared" si="1"/>
        <v>2200</v>
      </c>
      <c r="E9" s="1"/>
      <c r="F9" s="2">
        <v>100</v>
      </c>
      <c r="G9" s="2">
        <v>24</v>
      </c>
      <c r="H9" s="36">
        <f t="shared" si="2"/>
        <v>2400</v>
      </c>
      <c r="I9" s="1"/>
      <c r="J9" s="2">
        <v>100</v>
      </c>
      <c r="K9" s="2">
        <v>82</v>
      </c>
      <c r="L9" s="36">
        <f t="shared" si="3"/>
        <v>8200</v>
      </c>
      <c r="M9" s="1"/>
      <c r="N9" s="2">
        <v>100</v>
      </c>
      <c r="O9" s="2">
        <v>43</v>
      </c>
      <c r="P9" s="36">
        <f t="shared" si="4"/>
        <v>4300</v>
      </c>
      <c r="Q9" s="1"/>
      <c r="R9" s="2">
        <v>100</v>
      </c>
      <c r="S9" s="2">
        <v>4</v>
      </c>
      <c r="T9" s="36">
        <f t="shared" si="5"/>
        <v>400</v>
      </c>
      <c r="U9" s="1"/>
      <c r="V9" s="12"/>
      <c r="W9" s="39">
        <v>100</v>
      </c>
      <c r="X9" s="39">
        <f t="shared" si="7"/>
        <v>175</v>
      </c>
      <c r="Y9" s="37">
        <f t="shared" si="6"/>
        <v>17500</v>
      </c>
      <c r="Z9" s="13"/>
      <c r="AA9" s="1"/>
      <c r="AB9" s="58" t="s">
        <v>11</v>
      </c>
      <c r="AC9" s="59">
        <f>SUM(AC7:AC8)</f>
        <v>492349</v>
      </c>
      <c r="AD9" s="1"/>
      <c r="AE9" s="1"/>
      <c r="AF9" s="1"/>
      <c r="AG9" s="1"/>
      <c r="AH9" s="1"/>
      <c r="AI9" s="2">
        <v>50</v>
      </c>
      <c r="AJ9" s="2">
        <v>543</v>
      </c>
      <c r="AK9" s="36">
        <f t="shared" si="0"/>
        <v>27150</v>
      </c>
      <c r="AL9" s="1"/>
    </row>
    <row r="10" spans="2:38">
      <c r="B10" s="2">
        <v>500</v>
      </c>
      <c r="C10" s="2">
        <v>21</v>
      </c>
      <c r="D10" s="36">
        <f t="shared" si="1"/>
        <v>10500</v>
      </c>
      <c r="E10" s="1"/>
      <c r="F10" s="2">
        <v>500</v>
      </c>
      <c r="G10" s="2">
        <v>18</v>
      </c>
      <c r="H10" s="36">
        <f t="shared" si="2"/>
        <v>9000</v>
      </c>
      <c r="I10" s="1"/>
      <c r="J10" s="2">
        <v>500</v>
      </c>
      <c r="K10" s="2">
        <v>13</v>
      </c>
      <c r="L10" s="36">
        <f t="shared" si="3"/>
        <v>6500</v>
      </c>
      <c r="M10" s="1"/>
      <c r="N10" s="2">
        <v>500</v>
      </c>
      <c r="O10" s="2">
        <v>57</v>
      </c>
      <c r="P10" s="36">
        <f t="shared" si="4"/>
        <v>28500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109</v>
      </c>
      <c r="Y10" s="37">
        <f t="shared" si="6"/>
        <v>54500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414</v>
      </c>
      <c r="AK10" s="36">
        <f t="shared" si="0"/>
        <v>41400</v>
      </c>
      <c r="AL10" s="1"/>
    </row>
    <row r="11" spans="2:38">
      <c r="B11" s="2">
        <v>1000</v>
      </c>
      <c r="C11" s="2">
        <v>25</v>
      </c>
      <c r="D11" s="36">
        <f t="shared" si="1"/>
        <v>25000</v>
      </c>
      <c r="E11" s="1"/>
      <c r="F11" s="2">
        <v>1000</v>
      </c>
      <c r="G11" s="2">
        <v>36</v>
      </c>
      <c r="H11" s="36">
        <f t="shared" si="2"/>
        <v>36000</v>
      </c>
      <c r="I11" s="1"/>
      <c r="J11" s="2">
        <v>1000</v>
      </c>
      <c r="K11" s="2">
        <v>42</v>
      </c>
      <c r="L11" s="36">
        <f t="shared" si="3"/>
        <v>42000</v>
      </c>
      <c r="M11" s="1"/>
      <c r="N11" s="2">
        <v>1000</v>
      </c>
      <c r="O11" s="2">
        <v>36</v>
      </c>
      <c r="P11" s="36">
        <f t="shared" si="4"/>
        <v>36000</v>
      </c>
      <c r="Q11" s="1"/>
      <c r="R11" s="2">
        <v>1000</v>
      </c>
      <c r="S11" s="2">
        <v>23</v>
      </c>
      <c r="T11" s="36">
        <f t="shared" si="5"/>
        <v>23000</v>
      </c>
      <c r="U11" s="1"/>
      <c r="V11" s="12"/>
      <c r="W11" s="39">
        <v>1000</v>
      </c>
      <c r="X11" s="39">
        <f t="shared" si="7"/>
        <v>162</v>
      </c>
      <c r="Y11" s="37">
        <f t="shared" si="6"/>
        <v>162000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209</v>
      </c>
      <c r="AK11" s="36">
        <f t="shared" si="0"/>
        <v>104500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5</v>
      </c>
      <c r="H12" s="36">
        <f t="shared" si="2"/>
        <v>25000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>
        <v>1</v>
      </c>
      <c r="T12" s="36">
        <f t="shared" si="5"/>
        <v>5000</v>
      </c>
      <c r="U12" s="1"/>
      <c r="V12" s="12"/>
      <c r="W12" s="39">
        <v>5000</v>
      </c>
      <c r="X12" s="39">
        <f t="shared" si="7"/>
        <v>7</v>
      </c>
      <c r="Y12" s="37">
        <f t="shared" si="6"/>
        <v>35000</v>
      </c>
      <c r="Z12" s="13"/>
      <c r="AA12" s="1"/>
      <c r="AB12" s="1" t="s">
        <v>16</v>
      </c>
      <c r="AC12" s="5">
        <v>479350</v>
      </c>
      <c r="AD12" s="1">
        <v>796725</v>
      </c>
      <c r="AE12" s="52">
        <v>45849</v>
      </c>
      <c r="AF12" s="1" t="s">
        <v>69</v>
      </c>
      <c r="AG12" s="1"/>
      <c r="AH12" s="1"/>
      <c r="AI12" s="2">
        <v>1000</v>
      </c>
      <c r="AJ12" s="2">
        <v>240</v>
      </c>
      <c r="AK12" s="36">
        <f t="shared" si="0"/>
        <v>240000</v>
      </c>
      <c r="AL12" s="1"/>
    </row>
    <row r="13" spans="2:38" ht="15.75" thickBot="1">
      <c r="B13" s="3" t="s">
        <v>17</v>
      </c>
      <c r="C13" s="3"/>
      <c r="D13" s="6">
        <f>+SUM(D5:D12)</f>
        <v>45500</v>
      </c>
      <c r="E13" s="1"/>
      <c r="F13" s="3" t="s">
        <v>17</v>
      </c>
      <c r="G13" s="3"/>
      <c r="H13" s="6">
        <f>+SUM(H5:H12)</f>
        <v>74640</v>
      </c>
      <c r="I13" s="1"/>
      <c r="J13" s="3" t="s">
        <v>17</v>
      </c>
      <c r="K13" s="3"/>
      <c r="L13" s="6">
        <f>+SUM(L5:L12)</f>
        <v>58560</v>
      </c>
      <c r="M13" s="1"/>
      <c r="N13" s="3" t="s">
        <v>17</v>
      </c>
      <c r="O13" s="3"/>
      <c r="P13" s="6">
        <f>+SUM(P5:P12)</f>
        <v>75460</v>
      </c>
      <c r="Q13" s="1"/>
      <c r="R13" s="3" t="s">
        <v>17</v>
      </c>
      <c r="S13" s="3"/>
      <c r="T13" s="6">
        <f>+SUM(T5:T12)</f>
        <v>28490</v>
      </c>
      <c r="U13" s="1"/>
      <c r="V13" s="12"/>
      <c r="W13" s="3" t="s">
        <v>17</v>
      </c>
      <c r="X13" s="3"/>
      <c r="Y13" s="6">
        <f>+SUM(Y5:Y12)</f>
        <v>282650</v>
      </c>
      <c r="Z13" s="13"/>
      <c r="AA13" s="1"/>
      <c r="AB13" s="1" t="s">
        <v>18</v>
      </c>
      <c r="AC13" s="5">
        <f>5000+7000</f>
        <v>12000</v>
      </c>
      <c r="AD13" s="1"/>
      <c r="AE13" s="1"/>
      <c r="AF13" s="1"/>
      <c r="AG13" s="1"/>
      <c r="AH13" s="1"/>
      <c r="AI13" s="2">
        <v>5000</v>
      </c>
      <c r="AJ13" s="2">
        <v>12</v>
      </c>
      <c r="AK13" s="36">
        <f t="shared" si="0"/>
        <v>60000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484350</v>
      </c>
      <c r="AL14" s="1"/>
    </row>
    <row r="15" spans="2:38" ht="15.75" thickBot="1">
      <c r="B15" s="128" t="s">
        <v>20</v>
      </c>
      <c r="C15" s="129"/>
      <c r="D15" s="8">
        <v>45495</v>
      </c>
      <c r="E15" s="30"/>
      <c r="F15" s="128" t="s">
        <v>20</v>
      </c>
      <c r="G15" s="129"/>
      <c r="H15" s="8">
        <v>113955</v>
      </c>
      <c r="I15" s="30"/>
      <c r="J15" s="128" t="s">
        <v>20</v>
      </c>
      <c r="K15" s="129"/>
      <c r="L15" s="8">
        <v>74614</v>
      </c>
      <c r="M15" s="30"/>
      <c r="N15" s="128" t="s">
        <v>20</v>
      </c>
      <c r="O15" s="129"/>
      <c r="P15" s="8">
        <v>100541</v>
      </c>
      <c r="Q15" s="30"/>
      <c r="R15" s="128" t="s">
        <v>20</v>
      </c>
      <c r="S15" s="129"/>
      <c r="T15" s="8">
        <v>239392</v>
      </c>
      <c r="U15" s="30"/>
      <c r="V15" s="31"/>
      <c r="W15" s="128" t="s">
        <v>20</v>
      </c>
      <c r="X15" s="129"/>
      <c r="Y15" s="8">
        <f>+D15+H15+L15+P15+T15</f>
        <v>573997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45500</v>
      </c>
      <c r="E16" s="1"/>
      <c r="F16" s="1" t="s">
        <v>9</v>
      </c>
      <c r="G16" s="1"/>
      <c r="H16" s="5">
        <f>+H13</f>
        <v>74640</v>
      </c>
      <c r="I16" s="1"/>
      <c r="J16" s="1" t="s">
        <v>9</v>
      </c>
      <c r="K16" s="1"/>
      <c r="L16" s="5">
        <f>+L13</f>
        <v>58560</v>
      </c>
      <c r="M16" s="1"/>
      <c r="N16" s="1" t="s">
        <v>9</v>
      </c>
      <c r="O16" s="1"/>
      <c r="P16" s="5">
        <f>+P13</f>
        <v>75460</v>
      </c>
      <c r="Q16" s="1"/>
      <c r="R16" s="1" t="s">
        <v>9</v>
      </c>
      <c r="S16" s="1"/>
      <c r="T16" s="5">
        <f>+T13</f>
        <v>28490</v>
      </c>
      <c r="U16" s="1"/>
      <c r="V16" s="12"/>
      <c r="W16" s="40" t="s">
        <v>9</v>
      </c>
      <c r="X16" s="40"/>
      <c r="Y16" s="37">
        <f>+D16+H16+L16+P16+T16</f>
        <v>282650</v>
      </c>
      <c r="Z16" s="13"/>
      <c r="AA16" s="1"/>
      <c r="AB16" s="1" t="s">
        <v>229</v>
      </c>
      <c r="AC16" s="5">
        <v>1000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0</v>
      </c>
      <c r="Z17" s="13"/>
      <c r="AA17" s="1"/>
      <c r="AB17" s="48" t="s">
        <v>11</v>
      </c>
      <c r="AC17" s="49">
        <f>+SUM(AC12:AC16)</f>
        <v>492350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23</v>
      </c>
      <c r="C18" s="1"/>
      <c r="D18" s="5"/>
      <c r="E18" s="1"/>
      <c r="F18" s="1" t="s">
        <v>125</v>
      </c>
      <c r="G18" s="1" t="s">
        <v>217</v>
      </c>
      <c r="H18" s="5">
        <v>7000</v>
      </c>
      <c r="I18" s="1"/>
      <c r="J18" s="1" t="s">
        <v>119</v>
      </c>
      <c r="K18" s="1" t="s">
        <v>220</v>
      </c>
      <c r="L18" s="5">
        <v>5091</v>
      </c>
      <c r="M18" s="1"/>
      <c r="N18" s="1" t="s">
        <v>119</v>
      </c>
      <c r="O18" s="1" t="s">
        <v>199</v>
      </c>
      <c r="P18" s="5">
        <v>6178</v>
      </c>
      <c r="Q18" s="1"/>
      <c r="R18" s="1" t="s">
        <v>202</v>
      </c>
      <c r="S18" s="1" t="s">
        <v>203</v>
      </c>
      <c r="T18" s="5">
        <v>25921</v>
      </c>
      <c r="U18" s="1"/>
      <c r="V18" s="12"/>
      <c r="W18" s="40" t="s">
        <v>23</v>
      </c>
      <c r="X18" s="40"/>
      <c r="Y18" s="37">
        <f t="shared" si="8"/>
        <v>44190</v>
      </c>
      <c r="Z18" s="13"/>
      <c r="AA18" s="1"/>
      <c r="AB18" s="50" t="s">
        <v>24</v>
      </c>
      <c r="AC18" s="51">
        <f>+AC17-AC9</f>
        <v>1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204</v>
      </c>
      <c r="G19" s="1" t="s">
        <v>222</v>
      </c>
      <c r="H19" s="5">
        <v>15753</v>
      </c>
      <c r="I19" s="1"/>
      <c r="J19" s="1" t="s">
        <v>119</v>
      </c>
      <c r="K19" s="1" t="s">
        <v>221</v>
      </c>
      <c r="L19" s="5">
        <v>11058</v>
      </c>
      <c r="M19" s="1"/>
      <c r="N19" s="1" t="s">
        <v>200</v>
      </c>
      <c r="O19" s="1" t="s">
        <v>201</v>
      </c>
      <c r="P19" s="5">
        <v>18900</v>
      </c>
      <c r="Q19" s="1"/>
      <c r="R19" s="1" t="s">
        <v>204</v>
      </c>
      <c r="S19" s="1" t="s">
        <v>205</v>
      </c>
      <c r="T19" s="5">
        <v>15000</v>
      </c>
      <c r="U19" s="1"/>
      <c r="V19" s="12"/>
      <c r="W19" s="40" t="s">
        <v>26</v>
      </c>
      <c r="X19" s="40"/>
      <c r="Y19" s="37">
        <f t="shared" si="8"/>
        <v>60711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206</v>
      </c>
      <c r="S20" s="1" t="s">
        <v>207</v>
      </c>
      <c r="T20" s="5">
        <v>20691</v>
      </c>
      <c r="U20" s="1"/>
      <c r="V20" s="12"/>
      <c r="W20" s="40" t="s">
        <v>27</v>
      </c>
      <c r="X20" s="40"/>
      <c r="Y20" s="37">
        <f t="shared" si="8"/>
        <v>20691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 t="s">
        <v>119</v>
      </c>
      <c r="S21" s="1" t="s">
        <v>208</v>
      </c>
      <c r="T21" s="5">
        <v>15000</v>
      </c>
      <c r="U21" s="1"/>
      <c r="V21" s="12"/>
      <c r="W21" s="40"/>
      <c r="X21" s="40"/>
      <c r="Y21" s="37">
        <f t="shared" si="8"/>
        <v>15000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218</v>
      </c>
      <c r="G23" s="1" t="s">
        <v>219</v>
      </c>
      <c r="H23" s="5">
        <v>16596</v>
      </c>
      <c r="I23" s="1"/>
      <c r="J23" s="1" t="s">
        <v>35</v>
      </c>
      <c r="K23" s="1"/>
      <c r="L23" s="5"/>
      <c r="M23" s="1"/>
      <c r="N23" s="1" t="s">
        <v>46</v>
      </c>
      <c r="O23" s="1"/>
      <c r="P23" s="5"/>
      <c r="Q23" s="1"/>
      <c r="R23" s="1" t="s">
        <v>209</v>
      </c>
      <c r="S23" s="1" t="s">
        <v>210</v>
      </c>
      <c r="T23" s="5">
        <v>40983</v>
      </c>
      <c r="U23" s="1"/>
      <c r="V23" s="12"/>
      <c r="W23" s="40" t="s">
        <v>35</v>
      </c>
      <c r="X23" s="40"/>
      <c r="Y23" s="37">
        <f t="shared" si="8"/>
        <v>57579</v>
      </c>
      <c r="Z23" s="13"/>
      <c r="AA23" s="1"/>
      <c r="AB23" s="70" t="s">
        <v>227</v>
      </c>
      <c r="AC23" s="85">
        <v>45961</v>
      </c>
      <c r="AD23" s="86" t="s">
        <v>122</v>
      </c>
      <c r="AE23" s="70"/>
      <c r="AF23" s="70">
        <v>4808</v>
      </c>
      <c r="AG23" s="1"/>
      <c r="AH23" s="1"/>
      <c r="AI23" s="70" t="s">
        <v>155</v>
      </c>
      <c r="AJ23" s="70" t="s">
        <v>65</v>
      </c>
      <c r="AK23" s="70" t="s">
        <v>172</v>
      </c>
      <c r="AL23" s="76">
        <v>40000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211</v>
      </c>
      <c r="S24" s="1" t="s">
        <v>212</v>
      </c>
      <c r="T24" s="5">
        <v>37595</v>
      </c>
      <c r="U24" s="1"/>
      <c r="V24" s="12"/>
      <c r="W24" s="40" t="s">
        <v>36</v>
      </c>
      <c r="X24" s="40"/>
      <c r="Y24" s="37">
        <f t="shared" si="8"/>
        <v>37595</v>
      </c>
      <c r="Z24" s="13"/>
      <c r="AA24" s="1"/>
      <c r="AB24" s="70" t="s">
        <v>176</v>
      </c>
      <c r="AC24" s="74">
        <v>45961</v>
      </c>
      <c r="AD24" s="70" t="s">
        <v>175</v>
      </c>
      <c r="AE24" s="70"/>
      <c r="AF24" s="70">
        <v>2221</v>
      </c>
      <c r="AG24" s="1"/>
      <c r="AH24" s="1"/>
      <c r="AI24" s="70" t="s">
        <v>151</v>
      </c>
      <c r="AJ24" s="70" t="s">
        <v>63</v>
      </c>
      <c r="AK24" s="70" t="s">
        <v>223</v>
      </c>
      <c r="AL24" s="76">
        <v>9279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213</v>
      </c>
      <c r="S25" s="1" t="s">
        <v>214</v>
      </c>
      <c r="T25" s="5">
        <v>31771</v>
      </c>
      <c r="U25" s="1"/>
      <c r="V25" s="12"/>
      <c r="W25" s="40" t="s">
        <v>37</v>
      </c>
      <c r="X25" s="40"/>
      <c r="Y25" s="37">
        <f t="shared" si="8"/>
        <v>31771</v>
      </c>
      <c r="Z25" s="13"/>
      <c r="AA25" s="1"/>
      <c r="AB25" s="70" t="s">
        <v>118</v>
      </c>
      <c r="AC25" s="84">
        <v>45948</v>
      </c>
      <c r="AD25" s="70" t="s">
        <v>117</v>
      </c>
      <c r="AE25" s="70"/>
      <c r="AF25" s="70">
        <v>20000</v>
      </c>
      <c r="AG25" s="1"/>
      <c r="AH25" s="1"/>
      <c r="AI25" s="70" t="s">
        <v>153</v>
      </c>
      <c r="AJ25" s="70" t="s">
        <v>90</v>
      </c>
      <c r="AK25" s="70" t="s">
        <v>224</v>
      </c>
      <c r="AL25" s="75">
        <v>12450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215</v>
      </c>
      <c r="S26" s="1" t="s">
        <v>216</v>
      </c>
      <c r="T26" s="5">
        <v>25162</v>
      </c>
      <c r="U26" s="1"/>
      <c r="V26" s="12"/>
      <c r="W26" s="40"/>
      <c r="X26" s="40"/>
      <c r="Y26" s="37">
        <f t="shared" si="8"/>
        <v>25162</v>
      </c>
      <c r="Z26" s="13"/>
      <c r="AA26" s="1"/>
      <c r="AB26" s="70" t="s">
        <v>228</v>
      </c>
      <c r="AC26" s="74">
        <v>45960</v>
      </c>
      <c r="AD26" s="70" t="s">
        <v>216</v>
      </c>
      <c r="AE26" s="70"/>
      <c r="AF26" s="70">
        <v>14870</v>
      </c>
      <c r="AG26" s="1"/>
      <c r="AH26" s="1"/>
      <c r="AI26" s="70" t="s">
        <v>155</v>
      </c>
      <c r="AJ26" s="70" t="s">
        <v>65</v>
      </c>
      <c r="AK26" s="70" t="s">
        <v>225</v>
      </c>
      <c r="AL26" s="76">
        <v>138610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168</v>
      </c>
      <c r="AC27" s="74">
        <v>45960</v>
      </c>
      <c r="AD27" s="70" t="s">
        <v>167</v>
      </c>
      <c r="AE27" s="70"/>
      <c r="AF27" s="70">
        <v>34300</v>
      </c>
      <c r="AH27" s="1"/>
      <c r="AI27" s="70" t="s">
        <v>155</v>
      </c>
      <c r="AJ27" s="70" t="s">
        <v>65</v>
      </c>
      <c r="AK27" s="70" t="s">
        <v>226</v>
      </c>
      <c r="AL27" s="76">
        <v>130000</v>
      </c>
    </row>
    <row r="28" spans="2:38" ht="15.75" thickBot="1">
      <c r="B28" s="125" t="s">
        <v>11</v>
      </c>
      <c r="C28" s="126"/>
      <c r="D28" s="9">
        <f>+SUM(D16:D27)</f>
        <v>45500</v>
      </c>
      <c r="E28" s="1"/>
      <c r="F28" s="125" t="s">
        <v>11</v>
      </c>
      <c r="G28" s="126"/>
      <c r="H28" s="9">
        <f>+SUM(H16:H27)</f>
        <v>113989</v>
      </c>
      <c r="I28" s="1"/>
      <c r="J28" s="125" t="s">
        <v>11</v>
      </c>
      <c r="K28" s="126"/>
      <c r="L28" s="9">
        <f>+SUM(L16:L27)</f>
        <v>74709</v>
      </c>
      <c r="M28" s="1"/>
      <c r="N28" s="125" t="s">
        <v>11</v>
      </c>
      <c r="O28" s="126"/>
      <c r="P28" s="9">
        <f>+SUM(P16:P27)</f>
        <v>100538</v>
      </c>
      <c r="Q28" s="1"/>
      <c r="R28" s="125" t="s">
        <v>11</v>
      </c>
      <c r="S28" s="126"/>
      <c r="T28" s="9">
        <f>+SUM(T16:T27)</f>
        <v>240613</v>
      </c>
      <c r="U28" s="1"/>
      <c r="V28" s="12"/>
      <c r="W28" s="125" t="s">
        <v>11</v>
      </c>
      <c r="X28" s="126"/>
      <c r="Y28" s="9">
        <f>+SUM(Y16:Y27)</f>
        <v>575349</v>
      </c>
      <c r="Z28" s="13"/>
      <c r="AA28" s="1"/>
      <c r="AB28" s="70" t="s">
        <v>114</v>
      </c>
      <c r="AC28" s="74">
        <v>45946</v>
      </c>
      <c r="AD28" s="70" t="s">
        <v>113</v>
      </c>
      <c r="AE28" s="70"/>
      <c r="AF28" s="70">
        <v>18800</v>
      </c>
      <c r="AG28" s="70"/>
      <c r="AH28" s="1"/>
      <c r="AI28" s="1"/>
      <c r="AJ28" s="1"/>
      <c r="AK28" s="1"/>
      <c r="AL28" s="62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163</v>
      </c>
      <c r="AC29" s="87">
        <v>45955</v>
      </c>
      <c r="AD29" s="70" t="s">
        <v>49</v>
      </c>
      <c r="AE29" s="16"/>
      <c r="AF29" s="70">
        <v>39750</v>
      </c>
      <c r="AG29" s="1"/>
      <c r="AH29" s="1"/>
      <c r="AI29" s="1"/>
      <c r="AJ29" s="1"/>
      <c r="AK29" s="1"/>
      <c r="AL29" s="62"/>
    </row>
    <row r="30" spans="2:38" ht="15.75" thickBot="1">
      <c r="B30" s="127" t="s">
        <v>39</v>
      </c>
      <c r="C30" s="127"/>
      <c r="D30" s="7">
        <f>+D28-D15</f>
        <v>5</v>
      </c>
      <c r="E30" s="1"/>
      <c r="F30" s="127" t="s">
        <v>39</v>
      </c>
      <c r="G30" s="127"/>
      <c r="H30" s="7">
        <f>+H28-H15</f>
        <v>34</v>
      </c>
      <c r="I30" s="1"/>
      <c r="J30" s="127" t="s">
        <v>39</v>
      </c>
      <c r="K30" s="127"/>
      <c r="L30" s="7">
        <f>+L28-L15</f>
        <v>95</v>
      </c>
      <c r="M30" s="1"/>
      <c r="N30" s="127" t="s">
        <v>39</v>
      </c>
      <c r="O30" s="127"/>
      <c r="P30" s="7">
        <f>+P28-P15</f>
        <v>-3</v>
      </c>
      <c r="Q30" s="1"/>
      <c r="R30" s="127" t="s">
        <v>39</v>
      </c>
      <c r="S30" s="127"/>
      <c r="T30" s="7">
        <f>+T28-T15</f>
        <v>1221</v>
      </c>
      <c r="U30" s="1"/>
      <c r="V30" s="12"/>
      <c r="W30" s="124" t="s">
        <v>39</v>
      </c>
      <c r="X30" s="124"/>
      <c r="Y30" s="41">
        <f>+Y28-Y15</f>
        <v>1352</v>
      </c>
      <c r="Z30" s="13"/>
      <c r="AA30" s="1"/>
      <c r="AB30" s="70" t="s">
        <v>192</v>
      </c>
      <c r="AC30" s="71">
        <v>45948</v>
      </c>
      <c r="AD30" s="16" t="s">
        <v>191</v>
      </c>
      <c r="AE30" s="16"/>
      <c r="AF30" s="70">
        <v>74950</v>
      </c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/>
      <c r="M34" s="1"/>
      <c r="N34" s="10" t="s">
        <v>40</v>
      </c>
      <c r="O34" s="11"/>
      <c r="P34" s="21">
        <v>3</v>
      </c>
      <c r="Q34" s="1"/>
      <c r="R34" s="90" t="s">
        <v>40</v>
      </c>
      <c r="S34" s="91"/>
      <c r="T34" s="92"/>
      <c r="U34" s="1"/>
      <c r="V34" s="1"/>
      <c r="W34" s="42" t="s">
        <v>40</v>
      </c>
      <c r="X34" s="43"/>
      <c r="Y34" s="44">
        <f>+D34+H34+L34+P34+T34</f>
        <v>3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93" t="s">
        <v>88</v>
      </c>
      <c r="S35" s="20"/>
      <c r="T35" s="94">
        <v>2076</v>
      </c>
      <c r="U35" s="1"/>
      <c r="V35" s="1"/>
      <c r="W35" s="45" t="s">
        <v>41</v>
      </c>
      <c r="X35" s="40"/>
      <c r="Y35" s="46">
        <f t="shared" ref="Y35:Y36" si="9">+D35+H35+L35+P35+T35</f>
        <v>2076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-5</v>
      </c>
      <c r="E36" s="1"/>
      <c r="F36" s="12" t="s">
        <v>43</v>
      </c>
      <c r="G36" s="16"/>
      <c r="H36" s="22">
        <v>-34</v>
      </c>
      <c r="I36" s="1"/>
      <c r="J36" s="12" t="s">
        <v>43</v>
      </c>
      <c r="K36" s="16"/>
      <c r="L36" s="22">
        <v>-95</v>
      </c>
      <c r="M36" s="1"/>
      <c r="N36" s="12" t="s">
        <v>43</v>
      </c>
      <c r="O36" s="16"/>
      <c r="P36" s="22"/>
      <c r="Q36" s="1"/>
      <c r="R36" s="93" t="s">
        <v>43</v>
      </c>
      <c r="S36" s="20"/>
      <c r="T36" s="94">
        <v>-3297</v>
      </c>
      <c r="U36" s="1"/>
      <c r="V36" s="1"/>
      <c r="W36" s="45" t="s">
        <v>42</v>
      </c>
      <c r="X36" s="40"/>
      <c r="Y36" s="46">
        <f t="shared" si="9"/>
        <v>-3431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-5</v>
      </c>
      <c r="E37" s="1"/>
      <c r="F37" s="12" t="s">
        <v>17</v>
      </c>
      <c r="G37" s="16"/>
      <c r="H37" s="22">
        <f>+SUM(H34:H36)</f>
        <v>-34</v>
      </c>
      <c r="I37" s="1"/>
      <c r="J37" s="12" t="s">
        <v>17</v>
      </c>
      <c r="K37" s="16"/>
      <c r="L37" s="22">
        <f>+SUM(L34:L36)</f>
        <v>-95</v>
      </c>
      <c r="M37" s="1"/>
      <c r="N37" s="12" t="s">
        <v>17</v>
      </c>
      <c r="O37" s="16"/>
      <c r="P37" s="22">
        <f>+SUM(P34:P36)</f>
        <v>3</v>
      </c>
      <c r="Q37" s="1"/>
      <c r="R37" s="93" t="s">
        <v>17</v>
      </c>
      <c r="S37" s="20"/>
      <c r="T37" s="94">
        <f>+SUM(T34:T36)</f>
        <v>-1221</v>
      </c>
      <c r="U37" s="1"/>
      <c r="V37" s="1"/>
      <c r="W37" s="33" t="s">
        <v>17</v>
      </c>
      <c r="X37" s="34"/>
      <c r="Y37" s="35">
        <f>+SUM(Y34:Y36)</f>
        <v>-1352</v>
      </c>
      <c r="Z37" s="1"/>
      <c r="AA37" s="1"/>
      <c r="AB37" s="60" t="s">
        <v>38</v>
      </c>
      <c r="AC37" s="60"/>
      <c r="AD37" s="60"/>
      <c r="AE37" s="60"/>
      <c r="AF37" s="55">
        <f>+SUM(AF23:AF36)</f>
        <v>209699</v>
      </c>
      <c r="AG37" s="1"/>
      <c r="AH37" s="1"/>
      <c r="AI37" s="60" t="s">
        <v>38</v>
      </c>
      <c r="AJ37" s="60"/>
      <c r="AK37" s="60"/>
      <c r="AL37" s="67">
        <f>+SUM(AL23:AL36)</f>
        <v>330339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AL39"/>
  <sheetViews>
    <sheetView topLeftCell="A7" zoomScale="90" zoomScaleNormal="90" workbookViewId="0">
      <selection activeCell="AB23" sqref="AB23:AE23"/>
    </sheetView>
  </sheetViews>
  <sheetFormatPr defaultRowHeight="15"/>
  <cols>
    <col min="3" max="3" width="12.85546875" customWidth="1"/>
    <col min="5" max="5" width="0.42578125" customWidth="1"/>
    <col min="7" max="7" width="14.5703125" customWidth="1"/>
    <col min="8" max="8" width="9.5703125" bestFit="1" customWidth="1"/>
    <col min="9" max="9" width="0.7109375" customWidth="1"/>
    <col min="13" max="13" width="0.5703125" customWidth="1"/>
    <col min="15" max="15" width="14.140625" bestFit="1" customWidth="1"/>
    <col min="17" max="17" width="0.28515625" customWidth="1"/>
    <col min="19" max="19" width="11.42578125" bestFit="1" customWidth="1"/>
    <col min="20" max="20" width="9.5703125" bestFit="1" customWidth="1"/>
    <col min="21" max="22" width="0.42578125" customWidth="1"/>
    <col min="25" max="25" width="9.140625" customWidth="1"/>
    <col min="26" max="26" width="0.42578125" customWidth="1"/>
    <col min="27" max="27" width="0.140625" customWidth="1"/>
    <col min="29" max="29" width="11.85546875" bestFit="1" customWidth="1"/>
    <col min="30" max="30" width="10" bestFit="1" customWidth="1"/>
    <col min="31" max="31" width="10.42578125" bestFit="1" customWidth="1"/>
    <col min="33" max="33" width="1" customWidth="1"/>
    <col min="34" max="34" width="9.140625" hidden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100</v>
      </c>
      <c r="D6" s="36">
        <f>+C6*B6</f>
        <v>1000</v>
      </c>
      <c r="E6" s="1"/>
      <c r="F6" s="2">
        <v>10</v>
      </c>
      <c r="G6" s="2">
        <v>10</v>
      </c>
      <c r="H6" s="36">
        <f>+G6*F6</f>
        <v>100</v>
      </c>
      <c r="I6" s="1"/>
      <c r="J6" s="2">
        <v>10</v>
      </c>
      <c r="K6" s="2">
        <v>186</v>
      </c>
      <c r="L6" s="36">
        <f>+K6*J6</f>
        <v>1860</v>
      </c>
      <c r="M6" s="1"/>
      <c r="N6" s="2">
        <v>10</v>
      </c>
      <c r="O6" s="2">
        <v>70</v>
      </c>
      <c r="P6" s="36">
        <f>+O6*N6</f>
        <v>700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366</v>
      </c>
      <c r="Y6" s="37">
        <f>+D6+H6+L6+P6+T6</f>
        <v>3660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38</v>
      </c>
      <c r="D7" s="36">
        <f t="shared" ref="D7:D12" si="1">+C7*B7</f>
        <v>760</v>
      </c>
      <c r="E7" s="1"/>
      <c r="F7" s="2">
        <v>20</v>
      </c>
      <c r="G7" s="2">
        <v>7</v>
      </c>
      <c r="H7" s="36">
        <f t="shared" ref="H7:H12" si="2">+G7*F7</f>
        <v>140</v>
      </c>
      <c r="I7" s="1"/>
      <c r="J7" s="2">
        <v>20</v>
      </c>
      <c r="K7" s="2">
        <v>7</v>
      </c>
      <c r="L7" s="36">
        <f t="shared" ref="L7:L12" si="3">+K7*J7</f>
        <v>140</v>
      </c>
      <c r="M7" s="1"/>
      <c r="N7" s="2">
        <v>20</v>
      </c>
      <c r="O7" s="2">
        <v>1</v>
      </c>
      <c r="P7" s="36">
        <f t="shared" ref="P7:P12" si="4">+O7*N7</f>
        <v>20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53</v>
      </c>
      <c r="Y7" s="37">
        <f t="shared" ref="Y7:Y12" si="6">+D7+H7+L7+P7+T7</f>
        <v>1060</v>
      </c>
      <c r="Z7" s="13"/>
      <c r="AA7" s="1"/>
      <c r="AB7" s="56" t="s">
        <v>9</v>
      </c>
      <c r="AC7" s="57">
        <f>Y13</f>
        <v>379720</v>
      </c>
      <c r="AD7" s="26"/>
      <c r="AE7" s="26"/>
      <c r="AF7" s="26"/>
      <c r="AG7" s="26"/>
      <c r="AH7" s="1"/>
      <c r="AI7" s="2">
        <v>10</v>
      </c>
      <c r="AJ7" s="2">
        <v>369</v>
      </c>
      <c r="AK7" s="36">
        <f>+AJ7*AI7</f>
        <v>3690</v>
      </c>
      <c r="AL7" s="2"/>
    </row>
    <row r="8" spans="2:38">
      <c r="B8" s="2">
        <v>50</v>
      </c>
      <c r="C8" s="2">
        <v>16</v>
      </c>
      <c r="D8" s="36">
        <f t="shared" si="1"/>
        <v>800</v>
      </c>
      <c r="E8" s="1"/>
      <c r="F8" s="2">
        <v>50</v>
      </c>
      <c r="G8" s="2">
        <v>22</v>
      </c>
      <c r="H8" s="36">
        <f t="shared" si="2"/>
        <v>1100</v>
      </c>
      <c r="I8" s="1"/>
      <c r="J8" s="2">
        <v>50</v>
      </c>
      <c r="K8" s="2">
        <v>37</v>
      </c>
      <c r="L8" s="36">
        <f t="shared" si="3"/>
        <v>1850</v>
      </c>
      <c r="M8" s="1"/>
      <c r="N8" s="2">
        <v>50</v>
      </c>
      <c r="O8" s="2">
        <v>61</v>
      </c>
      <c r="P8" s="36">
        <f t="shared" si="4"/>
        <v>3050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136</v>
      </c>
      <c r="Y8" s="37">
        <f t="shared" si="6"/>
        <v>6800</v>
      </c>
      <c r="Z8" s="13"/>
      <c r="AA8" s="1"/>
      <c r="AB8" s="53" t="s">
        <v>10</v>
      </c>
      <c r="AC8" s="53">
        <f>+AF37</f>
        <v>20680</v>
      </c>
      <c r="AD8" s="1"/>
      <c r="AE8" s="1"/>
      <c r="AF8" s="1"/>
      <c r="AG8" s="1"/>
      <c r="AH8" s="1"/>
      <c r="AI8" s="2">
        <v>20</v>
      </c>
      <c r="AJ8" s="2">
        <v>53</v>
      </c>
      <c r="AK8" s="36">
        <f>+AJ8*AI8</f>
        <v>1060</v>
      </c>
      <c r="AL8" s="2"/>
    </row>
    <row r="9" spans="2:38" ht="15.75" thickBot="1">
      <c r="B9" s="2">
        <v>100</v>
      </c>
      <c r="C9" s="2">
        <v>35</v>
      </c>
      <c r="D9" s="36">
        <f t="shared" si="1"/>
        <v>3500</v>
      </c>
      <c r="E9" s="1"/>
      <c r="F9" s="2">
        <v>100</v>
      </c>
      <c r="G9" s="2">
        <v>32</v>
      </c>
      <c r="H9" s="36">
        <f t="shared" si="2"/>
        <v>3200</v>
      </c>
      <c r="I9" s="1"/>
      <c r="J9" s="2">
        <v>100</v>
      </c>
      <c r="K9" s="2">
        <v>50</v>
      </c>
      <c r="L9" s="36">
        <f t="shared" si="3"/>
        <v>5000</v>
      </c>
      <c r="M9" s="1"/>
      <c r="N9" s="2">
        <v>100</v>
      </c>
      <c r="O9" s="2">
        <v>11</v>
      </c>
      <c r="P9" s="36">
        <f t="shared" si="4"/>
        <v>1100</v>
      </c>
      <c r="Q9" s="1"/>
      <c r="R9" s="2">
        <v>100</v>
      </c>
      <c r="S9" s="2">
        <v>104</v>
      </c>
      <c r="T9" s="36">
        <f t="shared" si="5"/>
        <v>10400</v>
      </c>
      <c r="U9" s="1"/>
      <c r="V9" s="12"/>
      <c r="W9" s="39">
        <v>100</v>
      </c>
      <c r="X9" s="39">
        <f t="shared" si="7"/>
        <v>232</v>
      </c>
      <c r="Y9" s="37">
        <f t="shared" si="6"/>
        <v>23200</v>
      </c>
      <c r="Z9" s="13"/>
      <c r="AA9" s="1"/>
      <c r="AB9" s="58" t="s">
        <v>11</v>
      </c>
      <c r="AC9" s="59">
        <f>SUM(AC7:AC8)</f>
        <v>400400</v>
      </c>
      <c r="AD9" s="1"/>
      <c r="AE9" s="1"/>
      <c r="AF9" s="1"/>
      <c r="AG9" s="1"/>
      <c r="AH9" s="1"/>
      <c r="AI9" s="2">
        <v>50</v>
      </c>
      <c r="AJ9" s="2">
        <v>143</v>
      </c>
      <c r="AK9" s="36">
        <f>+AJ9*AI9</f>
        <v>7150</v>
      </c>
      <c r="AL9" s="2"/>
    </row>
    <row r="10" spans="2:38">
      <c r="B10" s="2">
        <v>500</v>
      </c>
      <c r="C10" s="2">
        <v>20</v>
      </c>
      <c r="D10" s="36">
        <f t="shared" si="1"/>
        <v>10000</v>
      </c>
      <c r="E10" s="1"/>
      <c r="F10" s="2">
        <v>500</v>
      </c>
      <c r="G10" s="2">
        <v>70</v>
      </c>
      <c r="H10" s="36">
        <f t="shared" si="2"/>
        <v>35000</v>
      </c>
      <c r="I10" s="1"/>
      <c r="J10" s="2">
        <v>500</v>
      </c>
      <c r="K10" s="2">
        <v>31</v>
      </c>
      <c r="L10" s="36">
        <f t="shared" si="3"/>
        <v>15500</v>
      </c>
      <c r="M10" s="1"/>
      <c r="N10" s="2">
        <v>500</v>
      </c>
      <c r="O10" s="2">
        <v>39</v>
      </c>
      <c r="P10" s="36">
        <f t="shared" si="4"/>
        <v>19500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160</v>
      </c>
      <c r="Y10" s="37">
        <f t="shared" si="6"/>
        <v>80000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235</v>
      </c>
      <c r="AK10" s="36">
        <f t="shared" si="0"/>
        <v>23500</v>
      </c>
      <c r="AL10" s="1"/>
    </row>
    <row r="11" spans="2:38">
      <c r="B11" s="2">
        <v>1000</v>
      </c>
      <c r="C11" s="2">
        <v>14</v>
      </c>
      <c r="D11" s="36">
        <f t="shared" si="1"/>
        <v>14000</v>
      </c>
      <c r="E11" s="1"/>
      <c r="F11" s="2">
        <v>1000</v>
      </c>
      <c r="G11" s="2">
        <v>73</v>
      </c>
      <c r="H11" s="36">
        <f t="shared" si="2"/>
        <v>73000</v>
      </c>
      <c r="I11" s="1"/>
      <c r="J11" s="2">
        <v>1000</v>
      </c>
      <c r="K11" s="2">
        <v>37</v>
      </c>
      <c r="L11" s="36">
        <f t="shared" si="3"/>
        <v>37000</v>
      </c>
      <c r="M11" s="1"/>
      <c r="N11" s="2">
        <v>1000</v>
      </c>
      <c r="O11" s="2">
        <v>37</v>
      </c>
      <c r="P11" s="36">
        <f t="shared" si="4"/>
        <v>37000</v>
      </c>
      <c r="Q11" s="1"/>
      <c r="R11" s="2">
        <v>1000</v>
      </c>
      <c r="S11" s="2">
        <v>24</v>
      </c>
      <c r="T11" s="36">
        <f t="shared" si="5"/>
        <v>24000</v>
      </c>
      <c r="U11" s="1"/>
      <c r="V11" s="12"/>
      <c r="W11" s="39">
        <v>1000</v>
      </c>
      <c r="X11" s="39">
        <f t="shared" si="7"/>
        <v>185</v>
      </c>
      <c r="Y11" s="37">
        <f t="shared" si="6"/>
        <v>185000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166</v>
      </c>
      <c r="AK11" s="36">
        <f t="shared" si="0"/>
        <v>83000</v>
      </c>
      <c r="AL11" s="1"/>
    </row>
    <row r="12" spans="2:38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2</v>
      </c>
      <c r="P12" s="36">
        <f t="shared" si="4"/>
        <v>10000</v>
      </c>
      <c r="Q12" s="1"/>
      <c r="R12" s="2">
        <v>5000</v>
      </c>
      <c r="S12" s="2">
        <v>8</v>
      </c>
      <c r="T12" s="36">
        <f t="shared" si="5"/>
        <v>40000</v>
      </c>
      <c r="U12" s="1"/>
      <c r="V12" s="12"/>
      <c r="W12" s="39">
        <v>5000</v>
      </c>
      <c r="X12" s="39">
        <f t="shared" si="7"/>
        <v>16</v>
      </c>
      <c r="Y12" s="37">
        <f t="shared" si="6"/>
        <v>80000</v>
      </c>
      <c r="Z12" s="13"/>
      <c r="AA12" s="1"/>
      <c r="AB12" s="1" t="s">
        <v>16</v>
      </c>
      <c r="AC12" s="5">
        <v>317400</v>
      </c>
      <c r="AD12" s="1">
        <v>41521181</v>
      </c>
      <c r="AE12" s="52">
        <v>45880</v>
      </c>
      <c r="AF12" s="1" t="s">
        <v>264</v>
      </c>
      <c r="AG12" s="1"/>
      <c r="AH12" s="1"/>
      <c r="AI12" s="2">
        <v>1000</v>
      </c>
      <c r="AJ12" s="2">
        <v>187</v>
      </c>
      <c r="AK12" s="36">
        <f t="shared" si="0"/>
        <v>187000</v>
      </c>
      <c r="AL12" s="1"/>
    </row>
    <row r="13" spans="2:38" ht="15.75" thickBot="1">
      <c r="B13" s="3" t="s">
        <v>17</v>
      </c>
      <c r="C13" s="3"/>
      <c r="D13" s="6">
        <f>+SUM(D5:D12)</f>
        <v>40060</v>
      </c>
      <c r="E13" s="1"/>
      <c r="F13" s="3" t="s">
        <v>17</v>
      </c>
      <c r="G13" s="3"/>
      <c r="H13" s="6">
        <f>+SUM(H5:H12)</f>
        <v>122540</v>
      </c>
      <c r="I13" s="1"/>
      <c r="J13" s="3" t="s">
        <v>17</v>
      </c>
      <c r="K13" s="3"/>
      <c r="L13" s="6">
        <f>+SUM(L5:L12)</f>
        <v>71350</v>
      </c>
      <c r="M13" s="1"/>
      <c r="N13" s="3" t="s">
        <v>17</v>
      </c>
      <c r="O13" s="3"/>
      <c r="P13" s="6">
        <f>+SUM(P5:P12)</f>
        <v>71370</v>
      </c>
      <c r="Q13" s="1"/>
      <c r="R13" s="3" t="s">
        <v>17</v>
      </c>
      <c r="S13" s="3"/>
      <c r="T13" s="6">
        <f>+SUM(T5:T12)</f>
        <v>74400</v>
      </c>
      <c r="U13" s="1"/>
      <c r="V13" s="12"/>
      <c r="W13" s="3" t="s">
        <v>17</v>
      </c>
      <c r="X13" s="3"/>
      <c r="Y13" s="6">
        <f>+SUM(Y5:Y12)</f>
        <v>379720</v>
      </c>
      <c r="Z13" s="13"/>
      <c r="AA13" s="1"/>
      <c r="AB13" s="1" t="s">
        <v>18</v>
      </c>
      <c r="AC13" s="5">
        <v>3000</v>
      </c>
      <c r="AD13" s="1"/>
      <c r="AE13" s="1"/>
      <c r="AF13" s="1"/>
      <c r="AG13" s="1"/>
      <c r="AH13" s="1"/>
      <c r="AI13" s="2">
        <v>5000</v>
      </c>
      <c r="AJ13" s="2">
        <v>3</v>
      </c>
      <c r="AK13" s="36">
        <f t="shared" si="0"/>
        <v>15000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320400</v>
      </c>
      <c r="AL14" s="1"/>
    </row>
    <row r="15" spans="2:38" ht="15.75" thickBot="1">
      <c r="B15" s="128" t="s">
        <v>20</v>
      </c>
      <c r="C15" s="129"/>
      <c r="D15" s="8">
        <v>79413</v>
      </c>
      <c r="E15" s="30"/>
      <c r="F15" s="128" t="s">
        <v>20</v>
      </c>
      <c r="G15" s="129"/>
      <c r="H15" s="8">
        <v>132746</v>
      </c>
      <c r="I15" s="30"/>
      <c r="J15" s="128" t="s">
        <v>20</v>
      </c>
      <c r="K15" s="129"/>
      <c r="L15" s="8">
        <v>71349</v>
      </c>
      <c r="M15" s="30"/>
      <c r="N15" s="128" t="s">
        <v>20</v>
      </c>
      <c r="O15" s="129"/>
      <c r="P15" s="8">
        <v>98232</v>
      </c>
      <c r="Q15" s="30"/>
      <c r="R15" s="128" t="s">
        <v>20</v>
      </c>
      <c r="S15" s="129"/>
      <c r="T15" s="8">
        <v>313276</v>
      </c>
      <c r="U15" s="30"/>
      <c r="V15" s="31"/>
      <c r="W15" s="128" t="s">
        <v>20</v>
      </c>
      <c r="X15" s="129"/>
      <c r="Y15" s="8">
        <f>+D15+H15+L15+P15+T15</f>
        <v>695016</v>
      </c>
      <c r="Z15" s="32"/>
      <c r="AA15" s="30"/>
      <c r="AB15" s="1" t="s">
        <v>263</v>
      </c>
      <c r="AC15" s="5">
        <v>80000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40060</v>
      </c>
      <c r="E16" s="1"/>
      <c r="F16" s="1" t="s">
        <v>9</v>
      </c>
      <c r="G16" s="1"/>
      <c r="H16" s="5">
        <f>+H13</f>
        <v>122540</v>
      </c>
      <c r="I16" s="1"/>
      <c r="J16" s="1" t="s">
        <v>9</v>
      </c>
      <c r="K16" s="1"/>
      <c r="L16" s="5">
        <f>+L13</f>
        <v>71350</v>
      </c>
      <c r="M16" s="1"/>
      <c r="N16" s="1" t="s">
        <v>9</v>
      </c>
      <c r="O16" s="1"/>
      <c r="P16" s="5">
        <f>+P13</f>
        <v>71370</v>
      </c>
      <c r="Q16" s="1"/>
      <c r="R16" s="1" t="s">
        <v>9</v>
      </c>
      <c r="S16" s="1"/>
      <c r="T16" s="5">
        <f>+T13</f>
        <v>74400</v>
      </c>
      <c r="U16" s="1"/>
      <c r="V16" s="12"/>
      <c r="W16" s="40" t="s">
        <v>9</v>
      </c>
      <c r="X16" s="40"/>
      <c r="Y16" s="37">
        <f>+D16+H16+L16+P16+T16</f>
        <v>379720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0</v>
      </c>
      <c r="Z17" s="13"/>
      <c r="AA17" s="1"/>
      <c r="AB17" s="48" t="s">
        <v>11</v>
      </c>
      <c r="AC17" s="49">
        <f>+SUM(AC12:AC16)</f>
        <v>400400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82</v>
      </c>
      <c r="C18" s="1" t="s">
        <v>248</v>
      </c>
      <c r="D18" s="5">
        <v>10349</v>
      </c>
      <c r="E18" s="1"/>
      <c r="F18" s="1" t="s">
        <v>206</v>
      </c>
      <c r="G18" s="1" t="s">
        <v>242</v>
      </c>
      <c r="H18" s="5">
        <v>8260</v>
      </c>
      <c r="I18" s="1"/>
      <c r="J18" s="1" t="s">
        <v>23</v>
      </c>
      <c r="K18" s="1"/>
      <c r="L18" s="5"/>
      <c r="M18" s="1"/>
      <c r="N18" s="1" t="s">
        <v>82</v>
      </c>
      <c r="O18" s="1" t="s">
        <v>232</v>
      </c>
      <c r="P18" s="5">
        <v>5103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23712</v>
      </c>
      <c r="Z18" s="13"/>
      <c r="AA18" s="1"/>
      <c r="AB18" s="50" t="s">
        <v>24</v>
      </c>
      <c r="AC18" s="51">
        <f>+AC17-AC9</f>
        <v>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26</v>
      </c>
      <c r="G19" s="1"/>
      <c r="H19" s="5"/>
      <c r="I19" s="1"/>
      <c r="J19" s="1" t="s">
        <v>26</v>
      </c>
      <c r="K19" s="1"/>
      <c r="L19" s="5"/>
      <c r="M19" s="1"/>
      <c r="N19" s="1" t="s">
        <v>119</v>
      </c>
      <c r="O19" s="1" t="s">
        <v>251</v>
      </c>
      <c r="P19" s="76">
        <v>10590</v>
      </c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10590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243</v>
      </c>
      <c r="C23" s="1" t="s">
        <v>244</v>
      </c>
      <c r="D23" s="5">
        <v>5683</v>
      </c>
      <c r="E23" s="1"/>
      <c r="F23" s="1" t="s">
        <v>35</v>
      </c>
      <c r="G23" s="1" t="s">
        <v>247</v>
      </c>
      <c r="H23" s="5">
        <v>2000</v>
      </c>
      <c r="I23" s="1"/>
      <c r="J23" s="1" t="s">
        <v>35</v>
      </c>
      <c r="K23" s="1"/>
      <c r="L23" s="5"/>
      <c r="M23" s="1"/>
      <c r="N23" s="1" t="s">
        <v>233</v>
      </c>
      <c r="O23" s="1" t="s">
        <v>234</v>
      </c>
      <c r="P23" s="5">
        <v>10578</v>
      </c>
      <c r="Q23" s="1"/>
      <c r="R23" s="1" t="s">
        <v>235</v>
      </c>
      <c r="S23" s="1" t="s">
        <v>236</v>
      </c>
      <c r="T23" s="5">
        <v>50332</v>
      </c>
      <c r="U23" s="1"/>
      <c r="V23" s="12"/>
      <c r="W23" s="40" t="s">
        <v>35</v>
      </c>
      <c r="X23" s="40"/>
      <c r="Y23" s="37">
        <f t="shared" si="8"/>
        <v>68593</v>
      </c>
      <c r="Z23" s="13"/>
      <c r="AA23" s="1"/>
      <c r="AB23" s="16" t="s">
        <v>71</v>
      </c>
      <c r="AC23" s="88">
        <v>45959</v>
      </c>
      <c r="AD23" s="16" t="s">
        <v>230</v>
      </c>
      <c r="AE23" s="16"/>
      <c r="AF23" s="16">
        <v>10000</v>
      </c>
      <c r="AG23" s="1"/>
      <c r="AH23" s="1"/>
      <c r="AI23" s="70" t="s">
        <v>258</v>
      </c>
      <c r="AJ23" s="70" t="s">
        <v>65</v>
      </c>
      <c r="AK23" s="70" t="s">
        <v>252</v>
      </c>
      <c r="AL23" s="76">
        <v>33000</v>
      </c>
    </row>
    <row r="24" spans="2:38">
      <c r="B24" s="1" t="s">
        <v>245</v>
      </c>
      <c r="C24" s="1" t="s">
        <v>246</v>
      </c>
      <c r="D24" s="5">
        <v>23351</v>
      </c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237</v>
      </c>
      <c r="S24" s="1" t="s">
        <v>238</v>
      </c>
      <c r="T24" s="5">
        <v>135597</v>
      </c>
      <c r="U24" s="1"/>
      <c r="V24" s="12"/>
      <c r="W24" s="40" t="s">
        <v>36</v>
      </c>
      <c r="X24" s="40"/>
      <c r="Y24" s="37">
        <f t="shared" si="8"/>
        <v>158948</v>
      </c>
      <c r="Z24" s="13"/>
      <c r="AA24" s="1"/>
      <c r="AB24" s="16" t="s">
        <v>71</v>
      </c>
      <c r="AC24" s="89">
        <v>45965</v>
      </c>
      <c r="AD24" s="16" t="s">
        <v>231</v>
      </c>
      <c r="AE24" s="16"/>
      <c r="AF24" s="16">
        <v>3460</v>
      </c>
      <c r="AG24" s="1"/>
      <c r="AH24" s="1"/>
      <c r="AI24" s="70" t="s">
        <v>259</v>
      </c>
      <c r="AJ24" s="70" t="s">
        <v>90</v>
      </c>
      <c r="AK24" s="70" t="s">
        <v>253</v>
      </c>
      <c r="AL24" s="76">
        <v>19580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239</v>
      </c>
      <c r="S25" s="1" t="s">
        <v>240</v>
      </c>
      <c r="T25" s="5">
        <v>50870</v>
      </c>
      <c r="U25" s="1"/>
      <c r="V25" s="12"/>
      <c r="W25" s="40" t="s">
        <v>37</v>
      </c>
      <c r="X25" s="40"/>
      <c r="Y25" s="37">
        <f t="shared" si="8"/>
        <v>50870</v>
      </c>
      <c r="Z25" s="13"/>
      <c r="AA25" s="1"/>
      <c r="AB25" s="16"/>
      <c r="AC25" s="16"/>
      <c r="AD25" s="20" t="s">
        <v>249</v>
      </c>
      <c r="AE25" s="16"/>
      <c r="AF25" s="16">
        <v>220</v>
      </c>
      <c r="AG25" s="1"/>
      <c r="AH25" s="1"/>
      <c r="AI25" s="70" t="s">
        <v>260</v>
      </c>
      <c r="AJ25" s="70" t="s">
        <v>71</v>
      </c>
      <c r="AK25" s="70" t="s">
        <v>254</v>
      </c>
      <c r="AL25" s="76">
        <v>5530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20"/>
      <c r="AG26" s="1"/>
      <c r="AH26" s="1"/>
      <c r="AI26" s="70" t="s">
        <v>261</v>
      </c>
      <c r="AJ26" s="70" t="s">
        <v>146</v>
      </c>
      <c r="AK26" s="70" t="s">
        <v>255</v>
      </c>
      <c r="AL26" s="75">
        <v>6239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95" t="s">
        <v>250</v>
      </c>
      <c r="AD27" s="1"/>
      <c r="AE27" s="1"/>
      <c r="AF27" s="20">
        <v>7000</v>
      </c>
      <c r="AG27" s="1"/>
      <c r="AH27" s="1"/>
      <c r="AI27" s="70" t="s">
        <v>262</v>
      </c>
      <c r="AJ27" s="70" t="s">
        <v>65</v>
      </c>
      <c r="AK27" s="70" t="s">
        <v>256</v>
      </c>
      <c r="AL27" s="76">
        <v>6000</v>
      </c>
    </row>
    <row r="28" spans="2:38" ht="15.75" thickBot="1">
      <c r="B28" s="125" t="s">
        <v>11</v>
      </c>
      <c r="C28" s="126"/>
      <c r="D28" s="9">
        <f>+SUM(D16:D27)</f>
        <v>79443</v>
      </c>
      <c r="E28" s="1"/>
      <c r="F28" s="125" t="s">
        <v>11</v>
      </c>
      <c r="G28" s="126"/>
      <c r="H28" s="9">
        <f>+SUM(H16:H27)</f>
        <v>132800</v>
      </c>
      <c r="I28" s="1"/>
      <c r="J28" s="125" t="s">
        <v>11</v>
      </c>
      <c r="K28" s="126"/>
      <c r="L28" s="9">
        <f>+SUM(L16:L27)</f>
        <v>71350</v>
      </c>
      <c r="M28" s="1"/>
      <c r="N28" s="125" t="s">
        <v>11</v>
      </c>
      <c r="O28" s="126"/>
      <c r="P28" s="9">
        <f>+SUM(P16:P27)</f>
        <v>97641</v>
      </c>
      <c r="Q28" s="1"/>
      <c r="R28" s="125" t="s">
        <v>11</v>
      </c>
      <c r="S28" s="126"/>
      <c r="T28" s="9">
        <f>+SUM(T16:T27)</f>
        <v>311199</v>
      </c>
      <c r="U28" s="1"/>
      <c r="V28" s="12"/>
      <c r="W28" s="125" t="s">
        <v>11</v>
      </c>
      <c r="X28" s="126"/>
      <c r="Y28" s="9">
        <f>+SUM(Y16:Y27)</f>
        <v>692433</v>
      </c>
      <c r="Z28" s="13"/>
      <c r="AA28" s="1"/>
      <c r="AB28" s="1"/>
      <c r="AC28" s="1"/>
      <c r="AD28" s="1"/>
      <c r="AE28" s="1"/>
      <c r="AF28" s="1"/>
      <c r="AG28" s="1"/>
      <c r="AH28" s="1"/>
      <c r="AI28" s="70" t="s">
        <v>186</v>
      </c>
      <c r="AJ28" s="70" t="s">
        <v>146</v>
      </c>
      <c r="AK28" s="70" t="s">
        <v>56</v>
      </c>
      <c r="AL28" s="76">
        <v>5500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70" t="s">
        <v>155</v>
      </c>
      <c r="AJ29" s="70" t="s">
        <v>65</v>
      </c>
      <c r="AK29" s="70" t="s">
        <v>257</v>
      </c>
      <c r="AL29" s="76">
        <v>40000</v>
      </c>
    </row>
    <row r="30" spans="2:38" ht="15.75" thickBot="1">
      <c r="B30" s="127" t="s">
        <v>39</v>
      </c>
      <c r="C30" s="127"/>
      <c r="D30" s="7">
        <f>+D28-D15</f>
        <v>30</v>
      </c>
      <c r="E30" s="1"/>
      <c r="F30" s="127" t="s">
        <v>39</v>
      </c>
      <c r="G30" s="127"/>
      <c r="H30" s="7">
        <f>+H28-H15</f>
        <v>54</v>
      </c>
      <c r="I30" s="1"/>
      <c r="J30" s="127" t="s">
        <v>39</v>
      </c>
      <c r="K30" s="127"/>
      <c r="L30" s="7">
        <f>+L28-L15</f>
        <v>1</v>
      </c>
      <c r="M30" s="1"/>
      <c r="N30" s="127" t="s">
        <v>39</v>
      </c>
      <c r="O30" s="127"/>
      <c r="P30" s="7">
        <f>+P28-P15</f>
        <v>-591</v>
      </c>
      <c r="Q30" s="1"/>
      <c r="R30" s="127" t="s">
        <v>39</v>
      </c>
      <c r="S30" s="127"/>
      <c r="T30" s="7">
        <f>+T28-T15</f>
        <v>-2077</v>
      </c>
      <c r="U30" s="1"/>
      <c r="V30" s="12"/>
      <c r="W30" s="124" t="s">
        <v>39</v>
      </c>
      <c r="X30" s="124"/>
      <c r="Y30" s="41">
        <f>+Y28-Y15</f>
        <v>-2583</v>
      </c>
      <c r="Z30" s="13"/>
      <c r="AA30" s="1"/>
      <c r="AB30" s="1"/>
      <c r="AC30" s="1"/>
      <c r="AD30" s="1"/>
      <c r="AE30" s="1"/>
      <c r="AF30" s="1"/>
      <c r="AG30" s="1"/>
      <c r="AH30" s="1"/>
      <c r="AI30" s="16"/>
      <c r="AJ30" s="16"/>
      <c r="AK30" s="16"/>
      <c r="AL30" s="69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/>
      <c r="M34" s="1"/>
      <c r="N34" s="10" t="s">
        <v>40</v>
      </c>
      <c r="O34" s="11"/>
      <c r="P34" s="21">
        <v>591</v>
      </c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591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241</v>
      </c>
      <c r="S35" s="16"/>
      <c r="T35" s="22">
        <v>2300</v>
      </c>
      <c r="U35" s="1"/>
      <c r="V35" s="1"/>
      <c r="W35" s="45" t="s">
        <v>41</v>
      </c>
      <c r="X35" s="40"/>
      <c r="Y35" s="46">
        <f t="shared" ref="Y35:Y36" si="9">+D35+H35+L35+P35+T35</f>
        <v>2300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-30</v>
      </c>
      <c r="E36" s="1"/>
      <c r="F36" s="12" t="s">
        <v>43</v>
      </c>
      <c r="G36" s="16"/>
      <c r="H36" s="22">
        <v>-54</v>
      </c>
      <c r="I36" s="1"/>
      <c r="J36" s="12" t="s">
        <v>43</v>
      </c>
      <c r="K36" s="16"/>
      <c r="L36" s="22">
        <v>-1</v>
      </c>
      <c r="M36" s="1"/>
      <c r="N36" s="12" t="s">
        <v>43</v>
      </c>
      <c r="O36" s="16"/>
      <c r="P36" s="22"/>
      <c r="Q36" s="1"/>
      <c r="R36" s="12" t="s">
        <v>43</v>
      </c>
      <c r="S36" s="16"/>
      <c r="T36" s="22">
        <v>-223</v>
      </c>
      <c r="U36" s="1"/>
      <c r="V36" s="1"/>
      <c r="W36" s="45" t="s">
        <v>42</v>
      </c>
      <c r="X36" s="40"/>
      <c r="Y36" s="46">
        <f t="shared" si="9"/>
        <v>-308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-30</v>
      </c>
      <c r="E37" s="1"/>
      <c r="F37" s="12" t="s">
        <v>17</v>
      </c>
      <c r="G37" s="16"/>
      <c r="H37" s="22">
        <f>+SUM(H34:H36)</f>
        <v>-54</v>
      </c>
      <c r="I37" s="1"/>
      <c r="J37" s="12" t="s">
        <v>17</v>
      </c>
      <c r="K37" s="16"/>
      <c r="L37" s="22">
        <f>+SUM(L34:L36)</f>
        <v>-1</v>
      </c>
      <c r="M37" s="1"/>
      <c r="N37" s="12" t="s">
        <v>17</v>
      </c>
      <c r="O37" s="16"/>
      <c r="P37" s="22">
        <f>+SUM(P34:P36)</f>
        <v>591</v>
      </c>
      <c r="Q37" s="1"/>
      <c r="R37" s="12" t="s">
        <v>17</v>
      </c>
      <c r="S37" s="16"/>
      <c r="T37" s="22">
        <f>+SUM(T34:T36)</f>
        <v>2077</v>
      </c>
      <c r="U37" s="1"/>
      <c r="V37" s="1"/>
      <c r="W37" s="33" t="s">
        <v>17</v>
      </c>
      <c r="X37" s="34"/>
      <c r="Y37" s="35">
        <f>+SUM(Y34:Y36)</f>
        <v>2583</v>
      </c>
      <c r="Z37" s="1"/>
      <c r="AA37" s="1"/>
      <c r="AB37" s="60" t="s">
        <v>38</v>
      </c>
      <c r="AC37" s="60"/>
      <c r="AD37" s="60"/>
      <c r="AE37" s="60"/>
      <c r="AF37" s="55">
        <f>+SUM(AF23:AF36)</f>
        <v>20680</v>
      </c>
      <c r="AG37" s="1"/>
      <c r="AH37" s="1"/>
      <c r="AI37" s="60" t="s">
        <v>38</v>
      </c>
      <c r="AJ37" s="60"/>
      <c r="AK37" s="60"/>
      <c r="AL37" s="67">
        <f>+SUM(AL23:AL36)</f>
        <v>115849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AL38"/>
  <sheetViews>
    <sheetView topLeftCell="A7" zoomScale="90" zoomScaleNormal="90" workbookViewId="0">
      <selection activeCell="AD15" sqref="AD15"/>
    </sheetView>
  </sheetViews>
  <sheetFormatPr defaultRowHeight="15"/>
  <cols>
    <col min="3" max="3" width="14.5703125" customWidth="1"/>
    <col min="5" max="5" width="0.28515625" customWidth="1"/>
    <col min="7" max="7" width="15.28515625" customWidth="1"/>
    <col min="9" max="9" width="0.42578125" customWidth="1"/>
    <col min="11" max="11" width="14" customWidth="1"/>
    <col min="13" max="13" width="0.42578125" customWidth="1"/>
    <col min="15" max="15" width="14.7109375" bestFit="1" customWidth="1"/>
    <col min="17" max="17" width="0.42578125" customWidth="1"/>
    <col min="19" max="19" width="12.140625" customWidth="1"/>
    <col min="20" max="20" width="12.140625" bestFit="1" customWidth="1"/>
    <col min="21" max="21" width="0.5703125" customWidth="1"/>
    <col min="22" max="22" width="9.140625" hidden="1" customWidth="1"/>
    <col min="25" max="25" width="11.140625" bestFit="1" customWidth="1"/>
    <col min="26" max="26" width="0.42578125" customWidth="1"/>
    <col min="27" max="27" width="0.5703125" customWidth="1"/>
    <col min="29" max="29" width="9.85546875" bestFit="1" customWidth="1"/>
    <col min="31" max="31" width="11.5703125" bestFit="1" customWidth="1"/>
    <col min="33" max="33" width="1.140625" customWidth="1"/>
    <col min="34" max="34" width="9.140625" hidden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>
        <v>7</v>
      </c>
      <c r="L5" s="36">
        <f>+K5*J5</f>
        <v>7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7</v>
      </c>
      <c r="Y5" s="37">
        <f>+D5+H5+L5+P5+T5</f>
        <v>7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17</v>
      </c>
      <c r="D6" s="36">
        <f>+C6*B6</f>
        <v>170</v>
      </c>
      <c r="E6" s="1"/>
      <c r="F6" s="2">
        <v>10</v>
      </c>
      <c r="G6" s="2">
        <v>88</v>
      </c>
      <c r="H6" s="36">
        <f>+G6*F6</f>
        <v>880</v>
      </c>
      <c r="I6" s="1"/>
      <c r="J6" s="2">
        <v>10</v>
      </c>
      <c r="K6" s="2">
        <v>34</v>
      </c>
      <c r="L6" s="36">
        <f>+K6*J6</f>
        <v>340</v>
      </c>
      <c r="M6" s="1"/>
      <c r="N6" s="2">
        <v>10</v>
      </c>
      <c r="O6" s="2">
        <v>170</v>
      </c>
      <c r="P6" s="36">
        <f>+O6*N6</f>
        <v>1700</v>
      </c>
      <c r="Q6" s="1"/>
      <c r="R6" s="2">
        <v>10</v>
      </c>
      <c r="S6" s="2">
        <v>542</v>
      </c>
      <c r="T6" s="36">
        <f>+S6*R6</f>
        <v>5420</v>
      </c>
      <c r="U6" s="1"/>
      <c r="V6" s="12"/>
      <c r="W6" s="39">
        <v>10</v>
      </c>
      <c r="X6" s="39">
        <f>+C6+G6+K6+O6+S6</f>
        <v>851</v>
      </c>
      <c r="Y6" s="37">
        <f>+D6+H6+L6+P6+T6</f>
        <v>8510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15</v>
      </c>
      <c r="AK6" s="36">
        <f t="shared" ref="AK6:AK13" si="0">+AJ6*AI6</f>
        <v>15</v>
      </c>
      <c r="AL6" s="26"/>
    </row>
    <row r="7" spans="2:38">
      <c r="B7" s="2">
        <v>20</v>
      </c>
      <c r="C7" s="2">
        <v>14</v>
      </c>
      <c r="D7" s="36">
        <f t="shared" ref="D7:D12" si="1">+C7*B7</f>
        <v>280</v>
      </c>
      <c r="E7" s="1"/>
      <c r="F7" s="2">
        <v>20</v>
      </c>
      <c r="G7" s="2">
        <v>13</v>
      </c>
      <c r="H7" s="36">
        <f t="shared" ref="H7:H12" si="2">+G7*F7</f>
        <v>260</v>
      </c>
      <c r="I7" s="1"/>
      <c r="J7" s="2">
        <v>20</v>
      </c>
      <c r="K7" s="2">
        <v>11</v>
      </c>
      <c r="L7" s="36">
        <f t="shared" ref="L7:L12" si="3">+K7*J7</f>
        <v>220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>
        <v>79</v>
      </c>
      <c r="T7" s="36">
        <f t="shared" ref="T7:T12" si="5">+S7*R7</f>
        <v>1580</v>
      </c>
      <c r="U7" s="1"/>
      <c r="V7" s="12"/>
      <c r="W7" s="39">
        <v>20</v>
      </c>
      <c r="X7" s="39">
        <f>+C7+G7+K7+O7+S7</f>
        <v>117</v>
      </c>
      <c r="Y7" s="37">
        <f t="shared" ref="Y7:Y12" si="6">+D7+H7+L7+P7+T7</f>
        <v>2340</v>
      </c>
      <c r="Z7" s="13"/>
      <c r="AA7" s="1"/>
      <c r="AB7" s="56" t="s">
        <v>9</v>
      </c>
      <c r="AC7" s="57">
        <f>Y13</f>
        <v>370157</v>
      </c>
      <c r="AD7" s="26"/>
      <c r="AE7" s="26"/>
      <c r="AF7" s="26"/>
      <c r="AG7" s="26"/>
      <c r="AH7" s="1"/>
      <c r="AI7" s="2">
        <v>10</v>
      </c>
      <c r="AJ7" s="2">
        <v>854</v>
      </c>
      <c r="AK7" s="36">
        <f t="shared" si="0"/>
        <v>8540</v>
      </c>
      <c r="AL7" s="1"/>
    </row>
    <row r="8" spans="2:38">
      <c r="B8" s="2">
        <v>50</v>
      </c>
      <c r="C8" s="2">
        <v>22</v>
      </c>
      <c r="D8" s="36">
        <f t="shared" si="1"/>
        <v>1100</v>
      </c>
      <c r="E8" s="1"/>
      <c r="F8" s="2">
        <v>50</v>
      </c>
      <c r="G8" s="2">
        <v>5</v>
      </c>
      <c r="H8" s="36">
        <f t="shared" si="2"/>
        <v>250</v>
      </c>
      <c r="I8" s="1"/>
      <c r="J8" s="2">
        <v>50</v>
      </c>
      <c r="K8" s="2">
        <v>34</v>
      </c>
      <c r="L8" s="36">
        <f t="shared" si="3"/>
        <v>1700</v>
      </c>
      <c r="M8" s="1"/>
      <c r="N8" s="2">
        <v>50</v>
      </c>
      <c r="O8" s="2">
        <v>23</v>
      </c>
      <c r="P8" s="36">
        <f t="shared" si="4"/>
        <v>1150</v>
      </c>
      <c r="Q8" s="1"/>
      <c r="R8" s="2">
        <v>50</v>
      </c>
      <c r="S8" s="2">
        <v>126</v>
      </c>
      <c r="T8" s="36">
        <f t="shared" si="5"/>
        <v>6300</v>
      </c>
      <c r="U8" s="1"/>
      <c r="V8" s="12"/>
      <c r="W8" s="39">
        <v>50</v>
      </c>
      <c r="X8" s="39">
        <f t="shared" ref="X8:X12" si="7">+C8+G8+K8+O8+S8</f>
        <v>210</v>
      </c>
      <c r="Y8" s="37">
        <f t="shared" si="6"/>
        <v>10500</v>
      </c>
      <c r="Z8" s="13"/>
      <c r="AA8" s="1"/>
      <c r="AB8" s="53" t="s">
        <v>10</v>
      </c>
      <c r="AC8" s="53">
        <f>+AF37</f>
        <v>194604</v>
      </c>
      <c r="AD8" s="1"/>
      <c r="AE8" s="1"/>
      <c r="AF8" s="1"/>
      <c r="AG8" s="1"/>
      <c r="AH8" s="1"/>
      <c r="AI8" s="2">
        <v>20</v>
      </c>
      <c r="AJ8" s="2">
        <v>118</v>
      </c>
      <c r="AK8" s="36">
        <f t="shared" si="0"/>
        <v>2360</v>
      </c>
      <c r="AL8" s="1"/>
    </row>
    <row r="9" spans="2:38" ht="15.75" thickBot="1">
      <c r="B9" s="2">
        <v>100</v>
      </c>
      <c r="C9" s="2">
        <v>24</v>
      </c>
      <c r="D9" s="36">
        <f t="shared" si="1"/>
        <v>2400</v>
      </c>
      <c r="E9" s="1"/>
      <c r="F9" s="2">
        <v>100</v>
      </c>
      <c r="G9" s="2">
        <v>3</v>
      </c>
      <c r="H9" s="36">
        <f t="shared" si="2"/>
        <v>300</v>
      </c>
      <c r="I9" s="1"/>
      <c r="J9" s="2">
        <v>100</v>
      </c>
      <c r="K9" s="2">
        <v>25</v>
      </c>
      <c r="L9" s="36">
        <f t="shared" si="3"/>
        <v>2500</v>
      </c>
      <c r="M9" s="1"/>
      <c r="N9" s="2">
        <v>100</v>
      </c>
      <c r="O9" s="2">
        <v>39</v>
      </c>
      <c r="P9" s="36">
        <f t="shared" si="4"/>
        <v>3900</v>
      </c>
      <c r="Q9" s="1"/>
      <c r="R9" s="2">
        <v>100</v>
      </c>
      <c r="S9" s="2">
        <v>37</v>
      </c>
      <c r="T9" s="36">
        <f t="shared" si="5"/>
        <v>3700</v>
      </c>
      <c r="U9" s="1"/>
      <c r="V9" s="12"/>
      <c r="W9" s="39">
        <v>100</v>
      </c>
      <c r="X9" s="39">
        <f t="shared" si="7"/>
        <v>128</v>
      </c>
      <c r="Y9" s="37">
        <f t="shared" si="6"/>
        <v>12800</v>
      </c>
      <c r="Z9" s="13"/>
      <c r="AA9" s="1"/>
      <c r="AB9" s="58" t="s">
        <v>11</v>
      </c>
      <c r="AC9" s="59">
        <f>SUM(AC7:AC8)</f>
        <v>564761</v>
      </c>
      <c r="AD9" s="1"/>
      <c r="AE9" s="1"/>
      <c r="AF9" s="1"/>
      <c r="AG9" s="1"/>
      <c r="AH9" s="1"/>
      <c r="AI9" s="2">
        <v>50</v>
      </c>
      <c r="AJ9" s="2">
        <v>217</v>
      </c>
      <c r="AK9" s="36">
        <f t="shared" si="0"/>
        <v>10850</v>
      </c>
      <c r="AL9" s="1"/>
    </row>
    <row r="10" spans="2:38">
      <c r="B10" s="2">
        <v>500</v>
      </c>
      <c r="C10" s="2">
        <v>12</v>
      </c>
      <c r="D10" s="36">
        <f t="shared" si="1"/>
        <v>6000</v>
      </c>
      <c r="E10" s="1"/>
      <c r="F10" s="2">
        <v>500</v>
      </c>
      <c r="G10" s="2">
        <v>21</v>
      </c>
      <c r="H10" s="36">
        <f t="shared" si="2"/>
        <v>10500</v>
      </c>
      <c r="I10" s="1"/>
      <c r="J10" s="2">
        <v>500</v>
      </c>
      <c r="K10" s="2">
        <v>11</v>
      </c>
      <c r="L10" s="36">
        <f t="shared" si="3"/>
        <v>5500</v>
      </c>
      <c r="M10" s="1"/>
      <c r="N10" s="2">
        <v>500</v>
      </c>
      <c r="O10" s="2">
        <v>30</v>
      </c>
      <c r="P10" s="36">
        <f t="shared" si="4"/>
        <v>15000</v>
      </c>
      <c r="Q10" s="1"/>
      <c r="R10" s="2">
        <v>500</v>
      </c>
      <c r="S10" s="2">
        <v>10</v>
      </c>
      <c r="T10" s="36">
        <f t="shared" si="5"/>
        <v>5000</v>
      </c>
      <c r="U10" s="1"/>
      <c r="V10" s="12"/>
      <c r="W10" s="39">
        <v>500</v>
      </c>
      <c r="X10" s="39">
        <f t="shared" si="7"/>
        <v>84</v>
      </c>
      <c r="Y10" s="37">
        <f t="shared" si="6"/>
        <v>42000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135</v>
      </c>
      <c r="AK10" s="36">
        <f t="shared" si="0"/>
        <v>13500</v>
      </c>
      <c r="AL10" s="1"/>
    </row>
    <row r="11" spans="2:38">
      <c r="B11" s="2">
        <v>1000</v>
      </c>
      <c r="C11" s="2">
        <v>30</v>
      </c>
      <c r="D11" s="36">
        <f t="shared" si="1"/>
        <v>30000</v>
      </c>
      <c r="E11" s="1"/>
      <c r="F11" s="2">
        <v>1000</v>
      </c>
      <c r="G11" s="2">
        <v>49</v>
      </c>
      <c r="H11" s="36">
        <f t="shared" si="2"/>
        <v>49000</v>
      </c>
      <c r="I11" s="1"/>
      <c r="J11" s="2">
        <v>1000</v>
      </c>
      <c r="K11" s="2">
        <v>31</v>
      </c>
      <c r="L11" s="36">
        <f t="shared" si="3"/>
        <v>31000</v>
      </c>
      <c r="M11" s="1"/>
      <c r="N11" s="2">
        <v>1000</v>
      </c>
      <c r="O11" s="2">
        <v>34</v>
      </c>
      <c r="P11" s="36">
        <f t="shared" si="4"/>
        <v>34000</v>
      </c>
      <c r="Q11" s="1"/>
      <c r="R11" s="2">
        <v>1000</v>
      </c>
      <c r="S11" s="2">
        <v>75</v>
      </c>
      <c r="T11" s="36">
        <f t="shared" si="5"/>
        <v>75000</v>
      </c>
      <c r="U11" s="1"/>
      <c r="V11" s="12"/>
      <c r="W11" s="39">
        <v>1000</v>
      </c>
      <c r="X11" s="39">
        <f t="shared" si="7"/>
        <v>219</v>
      </c>
      <c r="Y11" s="37">
        <f t="shared" si="6"/>
        <v>219000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99</v>
      </c>
      <c r="AK11" s="36">
        <f t="shared" si="0"/>
        <v>49500</v>
      </c>
      <c r="AL11" s="1"/>
    </row>
    <row r="12" spans="2:38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>
        <v>3</v>
      </c>
      <c r="L12" s="36">
        <f t="shared" si="3"/>
        <v>15000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>
        <v>8</v>
      </c>
      <c r="T12" s="36">
        <f t="shared" si="5"/>
        <v>40000</v>
      </c>
      <c r="U12" s="1"/>
      <c r="V12" s="12"/>
      <c r="W12" s="39">
        <v>5000</v>
      </c>
      <c r="X12" s="39">
        <f t="shared" si="7"/>
        <v>15</v>
      </c>
      <c r="Y12" s="37">
        <f t="shared" si="6"/>
        <v>75000</v>
      </c>
      <c r="Z12" s="13"/>
      <c r="AA12" s="1"/>
      <c r="AB12" s="1" t="s">
        <v>16</v>
      </c>
      <c r="AC12" s="5">
        <v>541750</v>
      </c>
      <c r="AD12" s="1">
        <v>796796</v>
      </c>
      <c r="AE12" s="52">
        <v>45941</v>
      </c>
      <c r="AF12" s="1" t="s">
        <v>69</v>
      </c>
      <c r="AG12" s="1"/>
      <c r="AH12" s="1"/>
      <c r="AI12" s="2">
        <v>1000</v>
      </c>
      <c r="AJ12" s="2">
        <v>285</v>
      </c>
      <c r="AK12" s="36">
        <f t="shared" si="0"/>
        <v>285000</v>
      </c>
      <c r="AL12" s="1"/>
    </row>
    <row r="13" spans="2:38" ht="15.75" thickBot="1">
      <c r="B13" s="3" t="s">
        <v>17</v>
      </c>
      <c r="C13" s="3"/>
      <c r="D13" s="6">
        <f>+SUM(D5:D12)</f>
        <v>49950</v>
      </c>
      <c r="E13" s="1"/>
      <c r="F13" s="3" t="s">
        <v>17</v>
      </c>
      <c r="G13" s="3"/>
      <c r="H13" s="6">
        <f>+SUM(H5:H12)</f>
        <v>71190</v>
      </c>
      <c r="I13" s="1"/>
      <c r="J13" s="3" t="s">
        <v>17</v>
      </c>
      <c r="K13" s="3"/>
      <c r="L13" s="6">
        <f>+SUM(L5:L12)</f>
        <v>56267</v>
      </c>
      <c r="M13" s="1"/>
      <c r="N13" s="3" t="s">
        <v>17</v>
      </c>
      <c r="O13" s="3"/>
      <c r="P13" s="6">
        <f>+SUM(P5:P12)</f>
        <v>55750</v>
      </c>
      <c r="Q13" s="1"/>
      <c r="R13" s="3" t="s">
        <v>17</v>
      </c>
      <c r="S13" s="3"/>
      <c r="T13" s="6">
        <f>+SUM(T5:T12)</f>
        <v>137000</v>
      </c>
      <c r="U13" s="1"/>
      <c r="V13" s="12"/>
      <c r="W13" s="3" t="s">
        <v>17</v>
      </c>
      <c r="X13" s="3"/>
      <c r="Y13" s="6">
        <f>+SUM(Y5:Y12)</f>
        <v>370157</v>
      </c>
      <c r="Z13" s="13"/>
      <c r="AA13" s="1"/>
      <c r="AB13" s="1" t="s">
        <v>18</v>
      </c>
      <c r="AC13" s="5">
        <v>3015</v>
      </c>
      <c r="AD13" s="1"/>
      <c r="AE13" s="1"/>
      <c r="AF13" s="1"/>
      <c r="AG13" s="1"/>
      <c r="AH13" s="1"/>
      <c r="AI13" s="2">
        <v>5000</v>
      </c>
      <c r="AJ13" s="2">
        <v>35</v>
      </c>
      <c r="AK13" s="36">
        <f t="shared" si="0"/>
        <v>175000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544765</v>
      </c>
      <c r="AL14" s="1"/>
    </row>
    <row r="15" spans="2:38" ht="15.75" thickBot="1">
      <c r="B15" s="128" t="s">
        <v>20</v>
      </c>
      <c r="C15" s="129"/>
      <c r="D15" s="8">
        <v>60087</v>
      </c>
      <c r="E15" s="30"/>
      <c r="F15" s="128" t="s">
        <v>20</v>
      </c>
      <c r="G15" s="129"/>
      <c r="H15" s="8">
        <v>89731</v>
      </c>
      <c r="I15" s="30"/>
      <c r="J15" s="128" t="s">
        <v>20</v>
      </c>
      <c r="K15" s="129"/>
      <c r="L15" s="8">
        <v>71957</v>
      </c>
      <c r="M15" s="30"/>
      <c r="N15" s="128" t="s">
        <v>20</v>
      </c>
      <c r="O15" s="129"/>
      <c r="P15" s="8">
        <v>60938</v>
      </c>
      <c r="Q15" s="30"/>
      <c r="R15" s="128" t="s">
        <v>20</v>
      </c>
      <c r="S15" s="129"/>
      <c r="T15" s="8">
        <v>815695</v>
      </c>
      <c r="U15" s="30"/>
      <c r="V15" s="31"/>
      <c r="W15" s="128" t="s">
        <v>20</v>
      </c>
      <c r="X15" s="129"/>
      <c r="Y15" s="8">
        <f>+D15+H15+L15+P15+T15</f>
        <v>1098408</v>
      </c>
      <c r="Z15" s="32"/>
      <c r="AA15" s="30"/>
      <c r="AB15" s="1" t="s">
        <v>283</v>
      </c>
      <c r="AC15" s="73">
        <v>5000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49950</v>
      </c>
      <c r="E16" s="1"/>
      <c r="F16" s="1" t="s">
        <v>9</v>
      </c>
      <c r="G16" s="1"/>
      <c r="H16" s="5">
        <f>+H13</f>
        <v>71190</v>
      </c>
      <c r="I16" s="1"/>
      <c r="J16" s="1" t="s">
        <v>9</v>
      </c>
      <c r="K16" s="1"/>
      <c r="L16" s="5">
        <f>+L13</f>
        <v>56267</v>
      </c>
      <c r="M16" s="1"/>
      <c r="N16" s="1" t="s">
        <v>9</v>
      </c>
      <c r="O16" s="1"/>
      <c r="P16" s="5">
        <f>+P13</f>
        <v>55750</v>
      </c>
      <c r="Q16" s="1"/>
      <c r="R16" s="1" t="s">
        <v>9</v>
      </c>
      <c r="S16" s="1"/>
      <c r="T16" s="5">
        <f>+T13</f>
        <v>137000</v>
      </c>
      <c r="U16" s="1"/>
      <c r="V16" s="12"/>
      <c r="W16" s="40" t="s">
        <v>9</v>
      </c>
      <c r="X16" s="40"/>
      <c r="Y16" s="37">
        <f>+D16+H16+L16+P16+T16</f>
        <v>370157</v>
      </c>
      <c r="Z16" s="13"/>
      <c r="AA16" s="1"/>
      <c r="AB16" s="1" t="s">
        <v>266</v>
      </c>
      <c r="AC16" s="73">
        <v>15000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0</v>
      </c>
      <c r="Z17" s="13"/>
      <c r="AA17" s="1"/>
      <c r="AB17" s="48" t="s">
        <v>11</v>
      </c>
      <c r="AC17" s="49">
        <f>+SUM(AC12:AC16)</f>
        <v>564765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82</v>
      </c>
      <c r="C18" s="1" t="s">
        <v>270</v>
      </c>
      <c r="D18" s="5">
        <v>10180</v>
      </c>
      <c r="E18" s="1"/>
      <c r="F18" s="1" t="s">
        <v>125</v>
      </c>
      <c r="G18" s="1" t="s">
        <v>271</v>
      </c>
      <c r="H18" s="5">
        <v>6900</v>
      </c>
      <c r="I18" s="1"/>
      <c r="J18" s="1" t="s">
        <v>200</v>
      </c>
      <c r="K18" s="1" t="s">
        <v>267</v>
      </c>
      <c r="L18" s="5">
        <v>9200</v>
      </c>
      <c r="M18" s="1"/>
      <c r="N18" s="1" t="s">
        <v>82</v>
      </c>
      <c r="O18" s="16" t="s">
        <v>265</v>
      </c>
      <c r="P18" s="5">
        <v>5200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31480</v>
      </c>
      <c r="Z18" s="13"/>
      <c r="AA18" s="1"/>
      <c r="AB18" s="50" t="s">
        <v>24</v>
      </c>
      <c r="AC18" s="51">
        <f>+AC17-AC9</f>
        <v>4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82</v>
      </c>
      <c r="G19" s="1" t="s">
        <v>272</v>
      </c>
      <c r="H19" s="5">
        <v>10150</v>
      </c>
      <c r="I19" s="1"/>
      <c r="J19" s="1" t="s">
        <v>26</v>
      </c>
      <c r="K19" s="1"/>
      <c r="L19" s="5"/>
      <c r="M19" s="1"/>
      <c r="N19" s="1" t="s">
        <v>26</v>
      </c>
      <c r="O19" s="1"/>
      <c r="P19" s="5"/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10150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268</v>
      </c>
      <c r="K23" s="1" t="s">
        <v>269</v>
      </c>
      <c r="L23" s="5">
        <v>6490</v>
      </c>
      <c r="M23" s="1"/>
      <c r="N23" s="1" t="s">
        <v>46</v>
      </c>
      <c r="O23" s="1"/>
      <c r="P23" s="5"/>
      <c r="Q23" s="1"/>
      <c r="R23" s="1" t="s">
        <v>278</v>
      </c>
      <c r="S23" s="1" t="s">
        <v>52</v>
      </c>
      <c r="T23" s="5">
        <v>60850</v>
      </c>
      <c r="U23" s="1"/>
      <c r="V23" s="12"/>
      <c r="W23" s="40" t="s">
        <v>35</v>
      </c>
      <c r="X23" s="40"/>
      <c r="Y23" s="37">
        <f t="shared" si="8"/>
        <v>67340</v>
      </c>
      <c r="Z23" s="13"/>
      <c r="AA23" s="1"/>
      <c r="AB23" s="16" t="s">
        <v>71</v>
      </c>
      <c r="AC23" s="88">
        <v>45959</v>
      </c>
      <c r="AD23" s="16" t="s">
        <v>230</v>
      </c>
      <c r="AE23" s="16"/>
      <c r="AF23" s="16">
        <v>5000</v>
      </c>
      <c r="AG23" s="1"/>
      <c r="AH23" s="1"/>
      <c r="AI23" s="16"/>
      <c r="AJ23" s="16"/>
      <c r="AK23" s="16"/>
      <c r="AL23" s="62"/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279</v>
      </c>
      <c r="S24" s="1" t="s">
        <v>280</v>
      </c>
      <c r="T24" s="5">
        <v>33461</v>
      </c>
      <c r="U24" s="1"/>
      <c r="V24" s="12"/>
      <c r="W24" s="40" t="s">
        <v>36</v>
      </c>
      <c r="X24" s="40"/>
      <c r="Y24" s="37">
        <f t="shared" si="8"/>
        <v>33461</v>
      </c>
      <c r="Z24" s="13"/>
      <c r="AA24" s="1"/>
      <c r="AB24" s="20" t="s">
        <v>275</v>
      </c>
      <c r="AC24" s="89">
        <v>45962</v>
      </c>
      <c r="AD24" s="16" t="s">
        <v>51</v>
      </c>
      <c r="AE24" s="16"/>
      <c r="AF24" s="16">
        <v>10530</v>
      </c>
      <c r="AG24" s="1"/>
      <c r="AH24" s="1"/>
      <c r="AI24" s="1"/>
      <c r="AJ24" s="1"/>
      <c r="AK24" s="1"/>
      <c r="AL24" s="62"/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281</v>
      </c>
      <c r="S25" s="1" t="s">
        <v>51</v>
      </c>
      <c r="T25" s="5">
        <v>10293</v>
      </c>
      <c r="U25" s="1"/>
      <c r="V25" s="12"/>
      <c r="W25" s="40" t="s">
        <v>37</v>
      </c>
      <c r="X25" s="40"/>
      <c r="Y25" s="37">
        <f t="shared" si="8"/>
        <v>10293</v>
      </c>
      <c r="Z25" s="13"/>
      <c r="AA25" s="1"/>
      <c r="AB25" s="16" t="s">
        <v>71</v>
      </c>
      <c r="AC25" s="71">
        <v>45948</v>
      </c>
      <c r="AD25" s="16" t="s">
        <v>276</v>
      </c>
      <c r="AE25" s="16" t="s">
        <v>277</v>
      </c>
      <c r="AF25" s="16">
        <v>3174</v>
      </c>
      <c r="AG25" s="1"/>
      <c r="AH25" s="1"/>
      <c r="AI25" s="1"/>
      <c r="AJ25" s="1"/>
      <c r="AK25" s="1"/>
      <c r="AL25" s="62"/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282</v>
      </c>
      <c r="S26" s="1" t="s">
        <v>191</v>
      </c>
      <c r="T26" s="5">
        <v>566893</v>
      </c>
      <c r="U26" s="1"/>
      <c r="V26" s="12"/>
      <c r="W26" s="40"/>
      <c r="X26" s="40"/>
      <c r="Y26" s="37">
        <f t="shared" si="8"/>
        <v>566893</v>
      </c>
      <c r="Z26" s="13"/>
      <c r="AA26" s="1"/>
      <c r="AB26" s="70" t="s">
        <v>192</v>
      </c>
      <c r="AC26" s="71">
        <v>45948</v>
      </c>
      <c r="AD26" s="16" t="s">
        <v>191</v>
      </c>
      <c r="AE26" s="16"/>
      <c r="AF26" s="20">
        <v>175900</v>
      </c>
      <c r="AG26" s="1"/>
      <c r="AH26" s="1"/>
      <c r="AI26" s="1"/>
      <c r="AJ26" s="1"/>
      <c r="AK26" s="1"/>
      <c r="AL26" s="62"/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62"/>
    </row>
    <row r="28" spans="2:38" ht="15.75" thickBot="1">
      <c r="B28" s="125" t="s">
        <v>11</v>
      </c>
      <c r="C28" s="126"/>
      <c r="D28" s="9">
        <f>+SUM(D16:D27)</f>
        <v>60130</v>
      </c>
      <c r="E28" s="1"/>
      <c r="F28" s="125" t="s">
        <v>11</v>
      </c>
      <c r="G28" s="126"/>
      <c r="H28" s="9">
        <f>+SUM(H16:H27)</f>
        <v>88240</v>
      </c>
      <c r="I28" s="1"/>
      <c r="J28" s="125" t="s">
        <v>11</v>
      </c>
      <c r="K28" s="126"/>
      <c r="L28" s="9">
        <f>+SUM(L16:L27)</f>
        <v>71957</v>
      </c>
      <c r="M28" s="1"/>
      <c r="N28" s="125" t="s">
        <v>11</v>
      </c>
      <c r="O28" s="126"/>
      <c r="P28" s="9">
        <f>+SUM(P16:P27)</f>
        <v>60950</v>
      </c>
      <c r="Q28" s="1"/>
      <c r="R28" s="125" t="s">
        <v>11</v>
      </c>
      <c r="S28" s="126"/>
      <c r="T28" s="9">
        <f>+SUM(T16:T27)</f>
        <v>808497</v>
      </c>
      <c r="U28" s="1"/>
      <c r="V28" s="12"/>
      <c r="W28" s="125" t="s">
        <v>11</v>
      </c>
      <c r="X28" s="126"/>
      <c r="Y28" s="9">
        <f>+SUM(Y16:Y27)</f>
        <v>1089774</v>
      </c>
      <c r="Z28" s="1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62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>
      <c r="B30" s="127" t="s">
        <v>39</v>
      </c>
      <c r="C30" s="127"/>
      <c r="D30" s="7">
        <f>+D28-D15</f>
        <v>43</v>
      </c>
      <c r="E30" s="1"/>
      <c r="F30" s="127" t="s">
        <v>39</v>
      </c>
      <c r="G30" s="127"/>
      <c r="H30" s="7">
        <f>+H28-H15</f>
        <v>-1491</v>
      </c>
      <c r="I30" s="1"/>
      <c r="J30" s="127" t="s">
        <v>39</v>
      </c>
      <c r="K30" s="127"/>
      <c r="L30" s="7">
        <f>+L28-L15</f>
        <v>0</v>
      </c>
      <c r="M30" s="1"/>
      <c r="N30" s="127" t="s">
        <v>39</v>
      </c>
      <c r="O30" s="127"/>
      <c r="P30" s="7">
        <f>+P28-P15</f>
        <v>12</v>
      </c>
      <c r="Q30" s="1"/>
      <c r="R30" s="127" t="s">
        <v>39</v>
      </c>
      <c r="S30" s="127"/>
      <c r="T30" s="7">
        <f>+T28-T15</f>
        <v>-7198</v>
      </c>
      <c r="U30" s="1"/>
      <c r="V30" s="12"/>
      <c r="W30" s="124" t="s">
        <v>39</v>
      </c>
      <c r="X30" s="124"/>
      <c r="Y30" s="41">
        <f>+Y28-Y15</f>
        <v>-8634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>
        <v>1491</v>
      </c>
      <c r="I34" s="1"/>
      <c r="J34" s="10" t="s">
        <v>40</v>
      </c>
      <c r="K34" s="11"/>
      <c r="L34" s="21"/>
      <c r="M34" s="1"/>
      <c r="N34" s="10" t="s">
        <v>40</v>
      </c>
      <c r="O34" s="11"/>
      <c r="P34" s="21"/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1491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88</v>
      </c>
      <c r="S35" s="16"/>
      <c r="T35" s="22">
        <v>7209.85</v>
      </c>
      <c r="U35" s="1"/>
      <c r="V35" s="1"/>
      <c r="W35" s="45" t="s">
        <v>41</v>
      </c>
      <c r="X35" s="40"/>
      <c r="Y35" s="46">
        <f t="shared" ref="Y35:Y36" si="9">+D35+H35+L35+P35+T35</f>
        <v>7209.85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-43</v>
      </c>
      <c r="E36" s="1"/>
      <c r="F36" s="12" t="s">
        <v>43</v>
      </c>
      <c r="G36" s="16"/>
      <c r="H36" s="22"/>
      <c r="I36" s="1"/>
      <c r="J36" s="12" t="s">
        <v>43</v>
      </c>
      <c r="K36" s="16"/>
      <c r="L36" s="22"/>
      <c r="M36" s="1"/>
      <c r="N36" s="12" t="s">
        <v>43</v>
      </c>
      <c r="O36" s="16"/>
      <c r="P36" s="22">
        <v>-12</v>
      </c>
      <c r="Q36" s="1"/>
      <c r="R36" s="12" t="s">
        <v>43</v>
      </c>
      <c r="S36" s="16"/>
      <c r="T36" s="22">
        <v>-12</v>
      </c>
      <c r="U36" s="1"/>
      <c r="V36" s="1"/>
      <c r="W36" s="45" t="s">
        <v>42</v>
      </c>
      <c r="X36" s="40"/>
      <c r="Y36" s="46">
        <f t="shared" si="9"/>
        <v>-67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-43</v>
      </c>
      <c r="E37" s="1"/>
      <c r="F37" s="12" t="s">
        <v>17</v>
      </c>
      <c r="G37" s="16"/>
      <c r="H37" s="22">
        <f>+SUM(H34:H36)</f>
        <v>1491</v>
      </c>
      <c r="I37" s="1"/>
      <c r="J37" s="12" t="s">
        <v>17</v>
      </c>
      <c r="K37" s="16"/>
      <c r="L37" s="22">
        <f>+SUM(L34:L36)</f>
        <v>0</v>
      </c>
      <c r="M37" s="1"/>
      <c r="N37" s="12" t="s">
        <v>17</v>
      </c>
      <c r="O37" s="16"/>
      <c r="P37" s="22">
        <f>+SUM(P34:P36)</f>
        <v>-12</v>
      </c>
      <c r="Q37" s="1"/>
      <c r="R37" s="12" t="s">
        <v>17</v>
      </c>
      <c r="S37" s="16"/>
      <c r="T37" s="22">
        <f>+SUM(T34:T36)</f>
        <v>7197.85</v>
      </c>
      <c r="U37" s="1"/>
      <c r="V37" s="1"/>
      <c r="W37" s="33" t="s">
        <v>17</v>
      </c>
      <c r="X37" s="34"/>
      <c r="Y37" s="35">
        <f>+SUM(Y34:Y36)</f>
        <v>8633.85</v>
      </c>
      <c r="Z37" s="1"/>
      <c r="AA37" s="1"/>
      <c r="AB37" s="60" t="s">
        <v>38</v>
      </c>
      <c r="AC37" s="60"/>
      <c r="AD37" s="60"/>
      <c r="AE37" s="60"/>
      <c r="AF37" s="55">
        <f>+SUM(AF23:AF36)</f>
        <v>194604</v>
      </c>
      <c r="AG37" s="1"/>
      <c r="AH37" s="1"/>
      <c r="AI37" s="60" t="s">
        <v>38</v>
      </c>
      <c r="AJ37" s="60"/>
      <c r="AK37" s="60"/>
      <c r="AL37" s="67">
        <f>+SUM(AL23:AL36)</f>
        <v>0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-0.1499999999996362</v>
      </c>
      <c r="U38" s="1"/>
      <c r="V38" s="1"/>
      <c r="W38" s="23" t="s">
        <v>44</v>
      </c>
      <c r="X38" s="24"/>
      <c r="Y38" s="25">
        <f>+Y30+Y37</f>
        <v>-0.1499999999996362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AL38"/>
  <sheetViews>
    <sheetView topLeftCell="A7" zoomScale="90" zoomScaleNormal="90" workbookViewId="0">
      <selection activeCell="AE33" sqref="AE33"/>
    </sheetView>
  </sheetViews>
  <sheetFormatPr defaultRowHeight="15"/>
  <cols>
    <col min="5" max="5" width="0.42578125" customWidth="1"/>
    <col min="7" max="7" width="14.7109375" customWidth="1"/>
    <col min="9" max="9" width="0.42578125" customWidth="1"/>
    <col min="10" max="10" width="10.5703125" customWidth="1"/>
    <col min="11" max="11" width="16" customWidth="1"/>
    <col min="13" max="13" width="0.28515625" customWidth="1"/>
    <col min="15" max="15" width="14.7109375" customWidth="1"/>
    <col min="17" max="17" width="0.42578125" customWidth="1"/>
    <col min="19" max="19" width="11.42578125" customWidth="1"/>
    <col min="20" max="20" width="12.5703125" customWidth="1"/>
    <col min="21" max="21" width="0.42578125" customWidth="1"/>
    <col min="22" max="22" width="0.5703125" customWidth="1"/>
    <col min="25" max="25" width="10.140625" bestFit="1" customWidth="1"/>
    <col min="26" max="26" width="0.5703125" customWidth="1"/>
    <col min="27" max="27" width="0.42578125" customWidth="1"/>
    <col min="29" max="29" width="13.85546875" bestFit="1" customWidth="1"/>
    <col min="31" max="31" width="11.5703125" bestFit="1" customWidth="1"/>
    <col min="33" max="33" width="0.85546875" customWidth="1"/>
    <col min="34" max="34" width="0.42578125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2</v>
      </c>
      <c r="K3" s="130"/>
      <c r="L3" s="130"/>
      <c r="M3" s="1"/>
      <c r="N3" s="130" t="s">
        <v>1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>
        <v>3</v>
      </c>
      <c r="L5" s="36">
        <f>+K5*J5</f>
        <v>3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3</v>
      </c>
      <c r="Y5" s="37">
        <f>+D5+H5+L5+P5+T5</f>
        <v>3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206</v>
      </c>
      <c r="D6" s="36">
        <f>+C6*B6</f>
        <v>2060</v>
      </c>
      <c r="E6" s="1"/>
      <c r="F6" s="2">
        <v>10</v>
      </c>
      <c r="G6" s="2">
        <v>309</v>
      </c>
      <c r="H6" s="36">
        <f>+G6*F6</f>
        <v>3090</v>
      </c>
      <c r="I6" s="1"/>
      <c r="J6" s="2">
        <v>10</v>
      </c>
      <c r="K6" s="2">
        <v>27</v>
      </c>
      <c r="L6" s="36">
        <f>+K6*J6</f>
        <v>270</v>
      </c>
      <c r="M6" s="1"/>
      <c r="N6" s="2">
        <v>10</v>
      </c>
      <c r="O6" s="2">
        <v>24</v>
      </c>
      <c r="P6" s="36">
        <f>+O6*N6</f>
        <v>240</v>
      </c>
      <c r="Q6" s="1"/>
      <c r="R6" s="2">
        <v>10</v>
      </c>
      <c r="S6" s="2">
        <v>535</v>
      </c>
      <c r="T6" s="36">
        <f>+S6*R6</f>
        <v>5350</v>
      </c>
      <c r="U6" s="1"/>
      <c r="V6" s="12"/>
      <c r="W6" s="39">
        <v>10</v>
      </c>
      <c r="X6" s="39">
        <f>+C6+G6+K6+O6+S6</f>
        <v>1101</v>
      </c>
      <c r="Y6" s="37">
        <f>+D6+H6+L6+P6+T6</f>
        <v>11010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4</v>
      </c>
      <c r="AK6" s="36">
        <f t="shared" ref="AK6:AK13" si="0">+AJ6*AI6</f>
        <v>4</v>
      </c>
      <c r="AL6" s="26"/>
    </row>
    <row r="7" spans="2:38">
      <c r="B7" s="2">
        <v>20</v>
      </c>
      <c r="C7" s="2">
        <v>34</v>
      </c>
      <c r="D7" s="36">
        <f t="shared" ref="D7:D12" si="1">+C7*B7</f>
        <v>680</v>
      </c>
      <c r="E7" s="1"/>
      <c r="F7" s="2">
        <v>20</v>
      </c>
      <c r="G7" s="2">
        <v>8</v>
      </c>
      <c r="H7" s="36">
        <f t="shared" ref="H7:H12" si="2">+G7*F7</f>
        <v>160</v>
      </c>
      <c r="I7" s="1"/>
      <c r="J7" s="2">
        <v>20</v>
      </c>
      <c r="K7" s="2"/>
      <c r="L7" s="36">
        <f t="shared" ref="L7:L12" si="3">+K7*J7</f>
        <v>0</v>
      </c>
      <c r="M7" s="1"/>
      <c r="N7" s="2">
        <v>20</v>
      </c>
      <c r="O7" s="2">
        <v>31</v>
      </c>
      <c r="P7" s="36">
        <f t="shared" ref="P7:P12" si="4">+O7*N7</f>
        <v>620</v>
      </c>
      <c r="Q7" s="1"/>
      <c r="R7" s="2">
        <v>20</v>
      </c>
      <c r="S7" s="2">
        <v>58</v>
      </c>
      <c r="T7" s="36">
        <f t="shared" ref="T7:T12" si="5">+S7*R7</f>
        <v>1160</v>
      </c>
      <c r="U7" s="1"/>
      <c r="V7" s="12"/>
      <c r="W7" s="39">
        <v>20</v>
      </c>
      <c r="X7" s="39">
        <f>+C7+G7+K7+O7+S7</f>
        <v>131</v>
      </c>
      <c r="Y7" s="37">
        <f t="shared" ref="Y7:Y12" si="6">+D7+H7+L7+P7+T7</f>
        <v>2620</v>
      </c>
      <c r="Z7" s="13"/>
      <c r="AA7" s="1"/>
      <c r="AB7" s="56" t="s">
        <v>9</v>
      </c>
      <c r="AC7" s="57">
        <f>Y13</f>
        <v>379483</v>
      </c>
      <c r="AD7" s="26"/>
      <c r="AE7" s="26"/>
      <c r="AF7" s="26"/>
      <c r="AG7" s="26"/>
      <c r="AH7" s="1"/>
      <c r="AI7" s="2">
        <v>10</v>
      </c>
      <c r="AJ7" s="2">
        <v>808</v>
      </c>
      <c r="AK7" s="36">
        <f t="shared" si="0"/>
        <v>8080</v>
      </c>
      <c r="AL7" s="1"/>
    </row>
    <row r="8" spans="2:38">
      <c r="B8" s="2">
        <v>50</v>
      </c>
      <c r="C8" s="2">
        <v>17</v>
      </c>
      <c r="D8" s="36">
        <f t="shared" si="1"/>
        <v>850</v>
      </c>
      <c r="E8" s="1"/>
      <c r="F8" s="2">
        <v>50</v>
      </c>
      <c r="G8" s="2">
        <v>54</v>
      </c>
      <c r="H8" s="36">
        <f t="shared" si="2"/>
        <v>2700</v>
      </c>
      <c r="I8" s="1"/>
      <c r="J8" s="2">
        <v>50</v>
      </c>
      <c r="K8" s="2">
        <v>13</v>
      </c>
      <c r="L8" s="36">
        <f t="shared" si="3"/>
        <v>650</v>
      </c>
      <c r="M8" s="1"/>
      <c r="N8" s="2">
        <v>50</v>
      </c>
      <c r="O8" s="2">
        <v>86</v>
      </c>
      <c r="P8" s="36">
        <f t="shared" si="4"/>
        <v>4300</v>
      </c>
      <c r="Q8" s="1"/>
      <c r="R8" s="2">
        <v>50</v>
      </c>
      <c r="S8" s="2">
        <v>249</v>
      </c>
      <c r="T8" s="36">
        <f t="shared" si="5"/>
        <v>12450</v>
      </c>
      <c r="U8" s="1"/>
      <c r="V8" s="12"/>
      <c r="W8" s="39">
        <v>50</v>
      </c>
      <c r="X8" s="39">
        <f t="shared" ref="X8:X12" si="7">+C8+G8+K8+O8+S8</f>
        <v>419</v>
      </c>
      <c r="Y8" s="37">
        <f t="shared" si="6"/>
        <v>20950</v>
      </c>
      <c r="Z8" s="13"/>
      <c r="AA8" s="1"/>
      <c r="AB8" s="53" t="s">
        <v>10</v>
      </c>
      <c r="AC8" s="53">
        <f>+AF37</f>
        <v>256531</v>
      </c>
      <c r="AD8" s="1"/>
      <c r="AE8" s="1"/>
      <c r="AF8" s="1"/>
      <c r="AG8" s="1"/>
      <c r="AH8" s="1"/>
      <c r="AI8" s="2">
        <v>20</v>
      </c>
      <c r="AJ8" s="2">
        <v>134</v>
      </c>
      <c r="AK8" s="36">
        <f t="shared" si="0"/>
        <v>2680</v>
      </c>
      <c r="AL8" s="1"/>
    </row>
    <row r="9" spans="2:38" ht="15.75" thickBot="1">
      <c r="B9" s="2">
        <v>100</v>
      </c>
      <c r="C9" s="2">
        <v>30</v>
      </c>
      <c r="D9" s="36">
        <f t="shared" si="1"/>
        <v>3000</v>
      </c>
      <c r="E9" s="1"/>
      <c r="F9" s="2">
        <v>100</v>
      </c>
      <c r="G9" s="2">
        <v>35</v>
      </c>
      <c r="H9" s="36">
        <f t="shared" si="2"/>
        <v>3500</v>
      </c>
      <c r="I9" s="1"/>
      <c r="J9" s="2">
        <v>100</v>
      </c>
      <c r="K9" s="2">
        <v>17</v>
      </c>
      <c r="L9" s="36">
        <f t="shared" si="3"/>
        <v>1700</v>
      </c>
      <c r="M9" s="1"/>
      <c r="N9" s="2">
        <v>100</v>
      </c>
      <c r="O9" s="2">
        <v>30</v>
      </c>
      <c r="P9" s="36">
        <f t="shared" si="4"/>
        <v>3000</v>
      </c>
      <c r="Q9" s="1"/>
      <c r="R9" s="2">
        <v>100</v>
      </c>
      <c r="S9" s="2">
        <v>152</v>
      </c>
      <c r="T9" s="36">
        <f t="shared" si="5"/>
        <v>15200</v>
      </c>
      <c r="U9" s="1"/>
      <c r="V9" s="12"/>
      <c r="W9" s="39">
        <v>100</v>
      </c>
      <c r="X9" s="39">
        <f t="shared" si="7"/>
        <v>264</v>
      </c>
      <c r="Y9" s="37">
        <f t="shared" si="6"/>
        <v>26400</v>
      </c>
      <c r="Z9" s="13"/>
      <c r="AA9" s="1"/>
      <c r="AB9" s="58" t="s">
        <v>11</v>
      </c>
      <c r="AC9" s="59">
        <f>SUM(AC7:AC8)</f>
        <v>636014</v>
      </c>
      <c r="AD9" s="1"/>
      <c r="AE9" s="1"/>
      <c r="AF9" s="1"/>
      <c r="AG9" s="1"/>
      <c r="AH9" s="1"/>
      <c r="AI9" s="2">
        <v>50</v>
      </c>
      <c r="AJ9" s="2">
        <v>425</v>
      </c>
      <c r="AK9" s="36">
        <f t="shared" si="0"/>
        <v>21250</v>
      </c>
      <c r="AL9" s="1"/>
    </row>
    <row r="10" spans="2:38">
      <c r="B10" s="2">
        <v>500</v>
      </c>
      <c r="C10" s="2">
        <v>30</v>
      </c>
      <c r="D10" s="36">
        <f t="shared" si="1"/>
        <v>15000</v>
      </c>
      <c r="E10" s="1"/>
      <c r="F10" s="2">
        <v>500</v>
      </c>
      <c r="G10" s="2">
        <v>37</v>
      </c>
      <c r="H10" s="36">
        <f t="shared" si="2"/>
        <v>18500</v>
      </c>
      <c r="I10" s="1"/>
      <c r="J10" s="2">
        <v>500</v>
      </c>
      <c r="K10" s="2">
        <v>9</v>
      </c>
      <c r="L10" s="36">
        <f t="shared" si="3"/>
        <v>4500</v>
      </c>
      <c r="M10" s="1"/>
      <c r="N10" s="2">
        <v>500</v>
      </c>
      <c r="O10" s="2">
        <v>39</v>
      </c>
      <c r="P10" s="36">
        <f t="shared" si="4"/>
        <v>19500</v>
      </c>
      <c r="Q10" s="1"/>
      <c r="R10" s="2">
        <v>500</v>
      </c>
      <c r="S10" s="2">
        <v>74</v>
      </c>
      <c r="T10" s="36">
        <f t="shared" si="5"/>
        <v>37000</v>
      </c>
      <c r="U10" s="1"/>
      <c r="V10" s="12"/>
      <c r="W10" s="39">
        <v>500</v>
      </c>
      <c r="X10" s="39">
        <f t="shared" si="7"/>
        <v>189</v>
      </c>
      <c r="Y10" s="37">
        <f t="shared" si="6"/>
        <v>94500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275</v>
      </c>
      <c r="AK10" s="36">
        <f t="shared" si="0"/>
        <v>27500</v>
      </c>
      <c r="AL10" s="1"/>
    </row>
    <row r="11" spans="2:38">
      <c r="B11" s="2">
        <v>1000</v>
      </c>
      <c r="C11" s="2">
        <v>25</v>
      </c>
      <c r="D11" s="36">
        <f t="shared" si="1"/>
        <v>25000</v>
      </c>
      <c r="E11" s="1"/>
      <c r="F11" s="2">
        <v>1000</v>
      </c>
      <c r="G11" s="2">
        <v>33</v>
      </c>
      <c r="H11" s="36">
        <f t="shared" si="2"/>
        <v>33000</v>
      </c>
      <c r="I11" s="1"/>
      <c r="J11" s="2">
        <v>1000</v>
      </c>
      <c r="K11" s="2">
        <v>52</v>
      </c>
      <c r="L11" s="36">
        <f t="shared" si="3"/>
        <v>52000</v>
      </c>
      <c r="M11" s="1"/>
      <c r="N11" s="2">
        <v>1000</v>
      </c>
      <c r="O11" s="2">
        <v>21</v>
      </c>
      <c r="P11" s="36">
        <f t="shared" si="4"/>
        <v>21000</v>
      </c>
      <c r="Q11" s="1"/>
      <c r="R11" s="2">
        <v>1000</v>
      </c>
      <c r="S11" s="2">
        <v>58</v>
      </c>
      <c r="T11" s="36">
        <f t="shared" si="5"/>
        <v>58000</v>
      </c>
      <c r="U11" s="1"/>
      <c r="V11" s="12"/>
      <c r="W11" s="39">
        <v>1000</v>
      </c>
      <c r="X11" s="39">
        <f t="shared" si="7"/>
        <v>189</v>
      </c>
      <c r="Y11" s="37">
        <f t="shared" si="6"/>
        <v>189000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221</v>
      </c>
      <c r="AK11" s="36">
        <f t="shared" si="0"/>
        <v>110500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>
        <v>3</v>
      </c>
      <c r="L12" s="36">
        <f t="shared" si="3"/>
        <v>15000</v>
      </c>
      <c r="M12" s="1"/>
      <c r="N12" s="2">
        <v>5000</v>
      </c>
      <c r="O12" s="2">
        <v>2</v>
      </c>
      <c r="P12" s="36">
        <f t="shared" si="4"/>
        <v>10000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7</v>
      </c>
      <c r="Y12" s="37">
        <f t="shared" si="6"/>
        <v>35000</v>
      </c>
      <c r="Z12" s="13"/>
      <c r="AA12" s="1"/>
      <c r="AB12" s="1" t="s">
        <v>16</v>
      </c>
      <c r="AC12" s="5">
        <v>609010</v>
      </c>
      <c r="AD12" s="1">
        <v>385588</v>
      </c>
      <c r="AE12" s="52">
        <v>45972</v>
      </c>
      <c r="AF12" s="1" t="s">
        <v>69</v>
      </c>
      <c r="AG12" s="1"/>
      <c r="AH12" s="1"/>
      <c r="AI12" s="2">
        <v>1000</v>
      </c>
      <c r="AJ12" s="2">
        <v>276</v>
      </c>
      <c r="AK12" s="36">
        <f t="shared" si="0"/>
        <v>276000</v>
      </c>
      <c r="AL12" s="1"/>
    </row>
    <row r="13" spans="2:38" ht="15.75" thickBot="1">
      <c r="B13" s="3" t="s">
        <v>17</v>
      </c>
      <c r="C13" s="3"/>
      <c r="D13" s="6">
        <f>+SUM(D5:D12)</f>
        <v>46590</v>
      </c>
      <c r="E13" s="1"/>
      <c r="F13" s="3" t="s">
        <v>17</v>
      </c>
      <c r="G13" s="3"/>
      <c r="H13" s="6">
        <f>+SUM(H5:H12)</f>
        <v>70950</v>
      </c>
      <c r="I13" s="1"/>
      <c r="J13" s="3" t="s">
        <v>17</v>
      </c>
      <c r="K13" s="3"/>
      <c r="L13" s="6">
        <f>+SUM(L5:L12)</f>
        <v>74123</v>
      </c>
      <c r="M13" s="1"/>
      <c r="N13" s="3" t="s">
        <v>17</v>
      </c>
      <c r="O13" s="3"/>
      <c r="P13" s="6">
        <f>+SUM(P5:P12)</f>
        <v>58660</v>
      </c>
      <c r="Q13" s="1"/>
      <c r="R13" s="3" t="s">
        <v>17</v>
      </c>
      <c r="S13" s="3"/>
      <c r="T13" s="6">
        <f>+SUM(T5:T12)</f>
        <v>129160</v>
      </c>
      <c r="U13" s="1"/>
      <c r="V13" s="12"/>
      <c r="W13" s="3" t="s">
        <v>17</v>
      </c>
      <c r="X13" s="3"/>
      <c r="Y13" s="6">
        <f>+SUM(Y5:Y12)</f>
        <v>379483</v>
      </c>
      <c r="Z13" s="13"/>
      <c r="AA13" s="1"/>
      <c r="AB13" s="1" t="s">
        <v>18</v>
      </c>
      <c r="AC13" s="5">
        <v>2004</v>
      </c>
      <c r="AD13" s="1"/>
      <c r="AE13" s="1"/>
      <c r="AF13" s="1"/>
      <c r="AG13" s="1"/>
      <c r="AH13" s="1"/>
      <c r="AI13" s="2">
        <v>5000</v>
      </c>
      <c r="AJ13" s="2">
        <v>33</v>
      </c>
      <c r="AK13" s="36">
        <f t="shared" si="0"/>
        <v>165000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611014</v>
      </c>
      <c r="AL14" s="1"/>
    </row>
    <row r="15" spans="2:38" ht="15.75" thickBot="1">
      <c r="B15" s="128" t="s">
        <v>20</v>
      </c>
      <c r="C15" s="129"/>
      <c r="D15" s="8">
        <v>46724</v>
      </c>
      <c r="E15" s="30"/>
      <c r="F15" s="128" t="s">
        <v>20</v>
      </c>
      <c r="G15" s="129"/>
      <c r="H15" s="8">
        <v>94512</v>
      </c>
      <c r="I15" s="30"/>
      <c r="J15" s="128" t="s">
        <v>20</v>
      </c>
      <c r="K15" s="129"/>
      <c r="L15" s="8">
        <v>111864</v>
      </c>
      <c r="M15" s="30"/>
      <c r="N15" s="128" t="s">
        <v>20</v>
      </c>
      <c r="O15" s="129"/>
      <c r="P15" s="8">
        <v>95442</v>
      </c>
      <c r="Q15" s="30"/>
      <c r="R15" s="128" t="s">
        <v>20</v>
      </c>
      <c r="S15" s="129"/>
      <c r="T15" s="8">
        <v>350749</v>
      </c>
      <c r="U15" s="30"/>
      <c r="V15" s="31"/>
      <c r="W15" s="128" t="s">
        <v>20</v>
      </c>
      <c r="X15" s="129"/>
      <c r="Y15" s="8">
        <f>+D15+H15+L15+P15+T15</f>
        <v>699291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46590</v>
      </c>
      <c r="E16" s="1"/>
      <c r="F16" s="1" t="s">
        <v>9</v>
      </c>
      <c r="G16" s="1"/>
      <c r="H16" s="5">
        <f>+H13</f>
        <v>70950</v>
      </c>
      <c r="I16" s="1"/>
      <c r="J16" s="1" t="s">
        <v>9</v>
      </c>
      <c r="K16" s="1"/>
      <c r="L16" s="5">
        <f>+L13</f>
        <v>74123</v>
      </c>
      <c r="M16" s="1"/>
      <c r="N16" s="1" t="s">
        <v>9</v>
      </c>
      <c r="O16" s="1"/>
      <c r="P16" s="5">
        <f>+P13</f>
        <v>58660</v>
      </c>
      <c r="Q16" s="1"/>
      <c r="R16" s="1" t="s">
        <v>9</v>
      </c>
      <c r="S16" s="1"/>
      <c r="T16" s="5">
        <f>+T13</f>
        <v>129160</v>
      </c>
      <c r="U16" s="1"/>
      <c r="V16" s="12"/>
      <c r="W16" s="40" t="s">
        <v>9</v>
      </c>
      <c r="X16" s="40"/>
      <c r="Y16" s="37">
        <f>+D16+H16+L16+P16+T16</f>
        <v>379483</v>
      </c>
      <c r="Z16" s="13"/>
      <c r="AA16" s="1"/>
      <c r="AB16" s="1" t="s">
        <v>312</v>
      </c>
      <c r="AC16" s="5">
        <v>25000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>
        <v>4500</v>
      </c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4500</v>
      </c>
      <c r="Z17" s="13"/>
      <c r="AA17" s="1"/>
      <c r="AB17" s="48" t="s">
        <v>11</v>
      </c>
      <c r="AC17" s="49">
        <f>+SUM(AC12:AC16)</f>
        <v>636014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23</v>
      </c>
      <c r="C18" s="1"/>
      <c r="D18" s="5"/>
      <c r="E18" s="1"/>
      <c r="F18" s="1" t="s">
        <v>200</v>
      </c>
      <c r="G18" s="1" t="s">
        <v>291</v>
      </c>
      <c r="H18" s="5">
        <v>8620</v>
      </c>
      <c r="I18" s="1"/>
      <c r="J18" s="1" t="s">
        <v>284</v>
      </c>
      <c r="K18" s="1" t="s">
        <v>285</v>
      </c>
      <c r="L18" s="5">
        <v>12101</v>
      </c>
      <c r="M18" s="1"/>
      <c r="N18" s="1" t="s">
        <v>200</v>
      </c>
      <c r="O18" s="1" t="s">
        <v>293</v>
      </c>
      <c r="P18" s="5">
        <v>7648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28369</v>
      </c>
      <c r="Z18" s="13"/>
      <c r="AA18" s="1"/>
      <c r="AB18" s="50" t="s">
        <v>24</v>
      </c>
      <c r="AC18" s="51">
        <f>+AC17-AC9</f>
        <v>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177</v>
      </c>
      <c r="G19" s="1" t="s">
        <v>292</v>
      </c>
      <c r="H19" s="5">
        <v>14378</v>
      </c>
      <c r="I19" s="1"/>
      <c r="J19" s="1" t="s">
        <v>284</v>
      </c>
      <c r="K19" s="1" t="s">
        <v>286</v>
      </c>
      <c r="L19" s="5">
        <v>11310</v>
      </c>
      <c r="M19" s="1"/>
      <c r="N19" s="1" t="s">
        <v>204</v>
      </c>
      <c r="O19" s="1" t="s">
        <v>294</v>
      </c>
      <c r="P19" s="5">
        <v>29000</v>
      </c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54688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200</v>
      </c>
      <c r="K20" s="1" t="s">
        <v>290</v>
      </c>
      <c r="L20" s="5">
        <v>4700</v>
      </c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4700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287</v>
      </c>
      <c r="K23" s="1" t="s">
        <v>288</v>
      </c>
      <c r="L23" s="5">
        <v>5133</v>
      </c>
      <c r="M23" s="1"/>
      <c r="N23" s="1" t="s">
        <v>46</v>
      </c>
      <c r="O23" s="1"/>
      <c r="P23" s="5"/>
      <c r="Q23" s="1"/>
      <c r="R23" s="1" t="s">
        <v>273</v>
      </c>
      <c r="S23" s="1" t="s">
        <v>274</v>
      </c>
      <c r="T23" s="5">
        <v>151072</v>
      </c>
      <c r="U23" s="1"/>
      <c r="V23" s="12"/>
      <c r="W23" s="40" t="s">
        <v>35</v>
      </c>
      <c r="X23" s="40"/>
      <c r="Y23" s="37">
        <f t="shared" si="8"/>
        <v>156205</v>
      </c>
      <c r="Z23" s="13"/>
      <c r="AA23" s="1"/>
      <c r="AB23" s="16" t="s">
        <v>289</v>
      </c>
      <c r="AC23" s="89">
        <v>45964</v>
      </c>
      <c r="AD23" s="16" t="s">
        <v>76</v>
      </c>
      <c r="AE23" s="16"/>
      <c r="AF23" s="16">
        <v>5666</v>
      </c>
      <c r="AG23" s="1"/>
      <c r="AH23" s="1"/>
      <c r="AI23" s="20" t="s">
        <v>152</v>
      </c>
      <c r="AJ23" s="20" t="s">
        <v>71</v>
      </c>
      <c r="AK23" s="20" t="s">
        <v>299</v>
      </c>
      <c r="AL23" s="96">
        <v>22911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295</v>
      </c>
      <c r="S24" s="1" t="s">
        <v>240</v>
      </c>
      <c r="T24" s="5">
        <v>24793</v>
      </c>
      <c r="U24" s="1"/>
      <c r="V24" s="12"/>
      <c r="W24" s="40" t="s">
        <v>36</v>
      </c>
      <c r="X24" s="40"/>
      <c r="Y24" s="37">
        <f t="shared" si="8"/>
        <v>24793</v>
      </c>
      <c r="Z24" s="13"/>
      <c r="AA24" s="1"/>
      <c r="AB24" s="20" t="s">
        <v>308</v>
      </c>
      <c r="AC24" s="89">
        <v>45967</v>
      </c>
      <c r="AD24" s="16" t="s">
        <v>219</v>
      </c>
      <c r="AE24" s="16"/>
      <c r="AF24" s="16">
        <v>16595</v>
      </c>
      <c r="AG24" s="1"/>
      <c r="AH24" s="1"/>
      <c r="AI24" s="20" t="s">
        <v>304</v>
      </c>
      <c r="AJ24" s="20" t="s">
        <v>71</v>
      </c>
      <c r="AK24" s="20" t="s">
        <v>300</v>
      </c>
      <c r="AL24" s="97">
        <v>11580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296</v>
      </c>
      <c r="S25" s="1" t="s">
        <v>297</v>
      </c>
      <c r="T25" s="5">
        <v>27772</v>
      </c>
      <c r="U25" s="1"/>
      <c r="V25" s="12"/>
      <c r="W25" s="40" t="s">
        <v>37</v>
      </c>
      <c r="X25" s="40"/>
      <c r="Y25" s="37">
        <f t="shared" si="8"/>
        <v>27772</v>
      </c>
      <c r="Z25" s="13"/>
      <c r="AA25" s="1"/>
      <c r="AB25" s="20" t="s">
        <v>307</v>
      </c>
      <c r="AC25" s="89">
        <v>45969</v>
      </c>
      <c r="AD25" s="16" t="s">
        <v>269</v>
      </c>
      <c r="AE25" s="16"/>
      <c r="AF25" s="16">
        <v>6490</v>
      </c>
      <c r="AG25" s="1"/>
      <c r="AH25" s="1"/>
      <c r="AI25" s="20" t="s">
        <v>305</v>
      </c>
      <c r="AJ25" s="20" t="s">
        <v>90</v>
      </c>
      <c r="AK25" s="20" t="s">
        <v>301</v>
      </c>
      <c r="AL25" s="97">
        <v>6140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298</v>
      </c>
      <c r="S26" s="1" t="s">
        <v>81</v>
      </c>
      <c r="T26" s="5">
        <v>13712</v>
      </c>
      <c r="U26" s="1"/>
      <c r="V26" s="12"/>
      <c r="W26" s="40"/>
      <c r="X26" s="40"/>
      <c r="Y26" s="37">
        <f t="shared" si="8"/>
        <v>13712</v>
      </c>
      <c r="Z26" s="13"/>
      <c r="AA26" s="1"/>
      <c r="AB26" s="20" t="s">
        <v>65</v>
      </c>
      <c r="AC26" s="98" t="s">
        <v>310</v>
      </c>
      <c r="AD26" s="70" t="s">
        <v>309</v>
      </c>
      <c r="AE26" s="16"/>
      <c r="AF26" s="20">
        <v>214300</v>
      </c>
      <c r="AG26" s="1"/>
      <c r="AH26" s="1"/>
      <c r="AI26" s="20" t="s">
        <v>91</v>
      </c>
      <c r="AJ26" s="20" t="s">
        <v>71</v>
      </c>
      <c r="AK26" s="20" t="s">
        <v>302</v>
      </c>
      <c r="AL26" s="97">
        <v>6130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20" t="s">
        <v>314</v>
      </c>
      <c r="AC27" s="71">
        <v>45948</v>
      </c>
      <c r="AD27" s="16" t="s">
        <v>313</v>
      </c>
      <c r="AE27" s="16"/>
      <c r="AF27" s="20">
        <v>5130</v>
      </c>
      <c r="AG27" s="1"/>
      <c r="AH27" s="1"/>
      <c r="AI27" s="20" t="s">
        <v>306</v>
      </c>
      <c r="AJ27" s="20" t="s">
        <v>90</v>
      </c>
      <c r="AK27" s="20" t="s">
        <v>303</v>
      </c>
      <c r="AL27" s="96">
        <v>6500</v>
      </c>
    </row>
    <row r="28" spans="2:38" ht="15.75" thickBot="1">
      <c r="B28" s="125" t="s">
        <v>11</v>
      </c>
      <c r="C28" s="126"/>
      <c r="D28" s="9">
        <f>+SUM(D16:D27)</f>
        <v>46590</v>
      </c>
      <c r="E28" s="1"/>
      <c r="F28" s="125" t="s">
        <v>11</v>
      </c>
      <c r="G28" s="126"/>
      <c r="H28" s="9">
        <f>+SUM(H16:H27)</f>
        <v>93948</v>
      </c>
      <c r="I28" s="1"/>
      <c r="J28" s="125" t="s">
        <v>11</v>
      </c>
      <c r="K28" s="126"/>
      <c r="L28" s="9">
        <f>+SUM(L16:L27)</f>
        <v>111867</v>
      </c>
      <c r="M28" s="1"/>
      <c r="N28" s="125" t="s">
        <v>11</v>
      </c>
      <c r="O28" s="126"/>
      <c r="P28" s="9">
        <f>+SUM(P16:P27)</f>
        <v>95308</v>
      </c>
      <c r="Q28" s="1"/>
      <c r="R28" s="125" t="s">
        <v>11</v>
      </c>
      <c r="S28" s="126"/>
      <c r="T28" s="9">
        <f>+SUM(T16:T27)</f>
        <v>346509</v>
      </c>
      <c r="U28" s="1"/>
      <c r="V28" s="12"/>
      <c r="W28" s="125" t="s">
        <v>11</v>
      </c>
      <c r="X28" s="126"/>
      <c r="Y28" s="9">
        <f>+SUM(Y16:Y27)</f>
        <v>694222</v>
      </c>
      <c r="Z28" s="13"/>
      <c r="AA28" s="1"/>
      <c r="AB28" s="20" t="s">
        <v>316</v>
      </c>
      <c r="AC28" s="88">
        <v>45905</v>
      </c>
      <c r="AD28" s="16" t="s">
        <v>315</v>
      </c>
      <c r="AE28" s="16"/>
      <c r="AF28" s="20">
        <v>4150</v>
      </c>
      <c r="AG28" s="1"/>
      <c r="AH28" s="1"/>
      <c r="AI28" s="16" t="s">
        <v>258</v>
      </c>
      <c r="AJ28" s="20" t="s">
        <v>65</v>
      </c>
      <c r="AK28" s="16" t="s">
        <v>311</v>
      </c>
      <c r="AL28" s="69">
        <v>25100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20" t="s">
        <v>318</v>
      </c>
      <c r="AC29" s="88">
        <v>45901</v>
      </c>
      <c r="AD29" s="16" t="s">
        <v>317</v>
      </c>
      <c r="AE29" s="16"/>
      <c r="AF29" s="20">
        <v>4200</v>
      </c>
      <c r="AG29" s="1"/>
      <c r="AH29" s="1"/>
      <c r="AI29" s="1"/>
      <c r="AJ29" s="1"/>
      <c r="AK29" s="1"/>
      <c r="AL29" s="62"/>
    </row>
    <row r="30" spans="2:38" ht="15.75" thickBot="1">
      <c r="B30" s="127" t="s">
        <v>39</v>
      </c>
      <c r="C30" s="127"/>
      <c r="D30" s="7">
        <f>+D28-D15</f>
        <v>-134</v>
      </c>
      <c r="E30" s="1"/>
      <c r="F30" s="127" t="s">
        <v>39</v>
      </c>
      <c r="G30" s="127"/>
      <c r="H30" s="7">
        <f>+H28-H15</f>
        <v>-564</v>
      </c>
      <c r="I30" s="1"/>
      <c r="J30" s="127" t="s">
        <v>39</v>
      </c>
      <c r="K30" s="127"/>
      <c r="L30" s="7">
        <f>+L28-L15</f>
        <v>3</v>
      </c>
      <c r="M30" s="1"/>
      <c r="N30" s="127" t="s">
        <v>39</v>
      </c>
      <c r="O30" s="127"/>
      <c r="P30" s="7">
        <f>+P28-P15</f>
        <v>-134</v>
      </c>
      <c r="Q30" s="1"/>
      <c r="R30" s="127" t="s">
        <v>39</v>
      </c>
      <c r="S30" s="127"/>
      <c r="T30" s="7">
        <f>+T28-T15</f>
        <v>-4240</v>
      </c>
      <c r="U30" s="1"/>
      <c r="V30" s="12"/>
      <c r="W30" s="124" t="s">
        <v>39</v>
      </c>
      <c r="X30" s="124"/>
      <c r="Y30" s="41">
        <f>+Y28-Y15</f>
        <v>-5069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>
        <v>134</v>
      </c>
      <c r="E34" s="1"/>
      <c r="F34" s="10" t="s">
        <v>40</v>
      </c>
      <c r="G34" s="11"/>
      <c r="H34" s="21">
        <v>564</v>
      </c>
      <c r="I34" s="1"/>
      <c r="J34" s="10" t="s">
        <v>40</v>
      </c>
      <c r="K34" s="11"/>
      <c r="L34" s="21"/>
      <c r="M34" s="1"/>
      <c r="N34" s="10" t="s">
        <v>40</v>
      </c>
      <c r="O34" s="11"/>
      <c r="P34" s="21">
        <v>134</v>
      </c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832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88</v>
      </c>
      <c r="S35" s="16"/>
      <c r="T35" s="22">
        <f>3998+333+336</f>
        <v>4667</v>
      </c>
      <c r="U35" s="1"/>
      <c r="V35" s="1"/>
      <c r="W35" s="45" t="s">
        <v>41</v>
      </c>
      <c r="X35" s="40"/>
      <c r="Y35" s="46">
        <f t="shared" ref="Y35:Y36" si="9">+D35+H35+L35+P35+T35</f>
        <v>4667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/>
      <c r="E36" s="1"/>
      <c r="F36" s="12" t="s">
        <v>43</v>
      </c>
      <c r="G36" s="16"/>
      <c r="H36" s="22"/>
      <c r="I36" s="1"/>
      <c r="J36" s="12" t="s">
        <v>43</v>
      </c>
      <c r="K36" s="16"/>
      <c r="L36" s="22">
        <v>-3</v>
      </c>
      <c r="M36" s="1"/>
      <c r="N36" s="12" t="s">
        <v>43</v>
      </c>
      <c r="O36" s="16"/>
      <c r="P36" s="22"/>
      <c r="Q36" s="1"/>
      <c r="R36" s="12" t="s">
        <v>43</v>
      </c>
      <c r="S36" s="16"/>
      <c r="T36" s="22">
        <v>-427</v>
      </c>
      <c r="U36" s="1"/>
      <c r="V36" s="1"/>
      <c r="W36" s="45" t="s">
        <v>42</v>
      </c>
      <c r="X36" s="40"/>
      <c r="Y36" s="46">
        <f t="shared" si="9"/>
        <v>-430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134</v>
      </c>
      <c r="E37" s="1"/>
      <c r="F37" s="12" t="s">
        <v>17</v>
      </c>
      <c r="G37" s="16"/>
      <c r="H37" s="22">
        <f>+SUM(H34:H36)</f>
        <v>564</v>
      </c>
      <c r="I37" s="1"/>
      <c r="J37" s="12" t="s">
        <v>17</v>
      </c>
      <c r="K37" s="16"/>
      <c r="L37" s="22">
        <f>+SUM(L34:L36)</f>
        <v>-3</v>
      </c>
      <c r="M37" s="1"/>
      <c r="N37" s="12" t="s">
        <v>17</v>
      </c>
      <c r="O37" s="16"/>
      <c r="P37" s="22">
        <f>+SUM(P34:P36)</f>
        <v>134</v>
      </c>
      <c r="Q37" s="1"/>
      <c r="R37" s="12" t="s">
        <v>17</v>
      </c>
      <c r="S37" s="16"/>
      <c r="T37" s="22">
        <f>+SUM(T34:T36)</f>
        <v>4240</v>
      </c>
      <c r="U37" s="1"/>
      <c r="V37" s="1"/>
      <c r="W37" s="33" t="s">
        <v>17</v>
      </c>
      <c r="X37" s="34"/>
      <c r="Y37" s="35">
        <f>+SUM(Y34:Y36)</f>
        <v>5069</v>
      </c>
      <c r="Z37" s="1"/>
      <c r="AA37" s="1"/>
      <c r="AB37" s="60" t="s">
        <v>38</v>
      </c>
      <c r="AC37" s="60"/>
      <c r="AD37" s="60"/>
      <c r="AE37" s="60"/>
      <c r="AF37" s="55">
        <f>+SUM(AF23:AF36)</f>
        <v>256531</v>
      </c>
      <c r="AG37" s="1"/>
      <c r="AH37" s="1"/>
      <c r="AI37" s="60" t="s">
        <v>38</v>
      </c>
      <c r="AJ37" s="60"/>
      <c r="AK37" s="60"/>
      <c r="AL37" s="67">
        <f>+SUM(AL23:AL36)</f>
        <v>78361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AM49"/>
  <sheetViews>
    <sheetView topLeftCell="E10" zoomScale="90" zoomScaleNormal="90" workbookViewId="0">
      <selection activeCell="T34" sqref="T34"/>
    </sheetView>
  </sheetViews>
  <sheetFormatPr defaultColWidth="9.140625" defaultRowHeight="15"/>
  <cols>
    <col min="1" max="2" width="9.140625" style="1"/>
    <col min="3" max="3" width="15.140625" style="1" customWidth="1"/>
    <col min="4" max="4" width="9.140625" style="1"/>
    <col min="5" max="5" width="1.7109375" style="1" customWidth="1"/>
    <col min="6" max="6" width="9.140625" style="1"/>
    <col min="7" max="7" width="13.140625" style="1" customWidth="1"/>
    <col min="8" max="8" width="9.140625" style="1"/>
    <col min="9" max="9" width="1.7109375" style="1" customWidth="1"/>
    <col min="10" max="10" width="12.42578125" style="1" customWidth="1"/>
    <col min="11" max="11" width="14.5703125" style="1" customWidth="1"/>
    <col min="12" max="12" width="9.5703125" style="1" bestFit="1" customWidth="1"/>
    <col min="13" max="13" width="1" style="1" customWidth="1"/>
    <col min="14" max="14" width="11.140625" style="1" customWidth="1"/>
    <col min="15" max="15" width="14.140625" style="1" customWidth="1"/>
    <col min="16" max="16" width="9.140625" style="1"/>
    <col min="17" max="17" width="1.7109375" style="1" customWidth="1"/>
    <col min="18" max="18" width="9.140625" style="1"/>
    <col min="19" max="19" width="6.5703125" style="1" customWidth="1"/>
    <col min="20" max="20" width="11.7109375" style="1" customWidth="1"/>
    <col min="21" max="21" width="1.7109375" style="1" customWidth="1"/>
    <col min="22" max="22" width="2" style="1" customWidth="1"/>
    <col min="23" max="24" width="9.140625" style="1"/>
    <col min="25" max="25" width="10.28515625" style="1" customWidth="1"/>
    <col min="26" max="26" width="2" style="1" customWidth="1"/>
    <col min="27" max="27" width="1" style="1" customWidth="1"/>
    <col min="28" max="28" width="15.28515625" style="1" bestFit="1" customWidth="1"/>
    <col min="29" max="29" width="11" style="1" customWidth="1"/>
    <col min="30" max="30" width="12.5703125" style="1" customWidth="1"/>
    <col min="31" max="31" width="13.5703125" style="1" bestFit="1" customWidth="1"/>
    <col min="32" max="32" width="12.42578125" style="1" customWidth="1"/>
    <col min="33" max="33" width="1.28515625" style="1" customWidth="1"/>
    <col min="34" max="34" width="0.140625" style="1" customWidth="1"/>
    <col min="35" max="35" width="14.28515625" style="1" customWidth="1"/>
    <col min="36" max="36" width="13" style="1" customWidth="1"/>
    <col min="37" max="37" width="9.42578125" style="1" customWidth="1"/>
    <col min="38" max="38" width="8.5703125" style="1" customWidth="1"/>
    <col min="39" max="39" width="11" style="1" customWidth="1"/>
    <col min="40" max="16384" width="9.140625" style="1"/>
  </cols>
  <sheetData>
    <row r="2" spans="2:39" ht="15.75" thickBot="1"/>
    <row r="3" spans="2:39">
      <c r="B3" s="130" t="s">
        <v>47</v>
      </c>
      <c r="C3" s="130"/>
      <c r="D3" s="130"/>
      <c r="F3" s="130" t="s">
        <v>0</v>
      </c>
      <c r="G3" s="130"/>
      <c r="H3" s="130"/>
      <c r="J3" s="130" t="s">
        <v>1</v>
      </c>
      <c r="K3" s="130"/>
      <c r="L3" s="130"/>
      <c r="N3" s="130" t="s">
        <v>189</v>
      </c>
      <c r="O3" s="130"/>
      <c r="P3" s="130"/>
      <c r="R3" s="130" t="s">
        <v>3</v>
      </c>
      <c r="S3" s="130"/>
      <c r="T3" s="130"/>
      <c r="V3" s="10"/>
      <c r="W3" s="131" t="s">
        <v>4</v>
      </c>
      <c r="X3" s="131"/>
      <c r="Y3" s="131"/>
      <c r="Z3" s="65"/>
    </row>
    <row r="4" spans="2:39">
      <c r="B4" s="4" t="s">
        <v>5</v>
      </c>
      <c r="C4" s="4" t="s">
        <v>6</v>
      </c>
      <c r="D4" s="4" t="s">
        <v>7</v>
      </c>
      <c r="F4" s="4" t="s">
        <v>5</v>
      </c>
      <c r="G4" s="4" t="s">
        <v>6</v>
      </c>
      <c r="H4" s="4" t="s">
        <v>7</v>
      </c>
      <c r="J4" s="4" t="s">
        <v>5</v>
      </c>
      <c r="K4" s="4" t="s">
        <v>6</v>
      </c>
      <c r="L4" s="4" t="s">
        <v>7</v>
      </c>
      <c r="N4" s="4" t="s">
        <v>5</v>
      </c>
      <c r="O4" s="4" t="s">
        <v>6</v>
      </c>
      <c r="P4" s="4" t="s">
        <v>7</v>
      </c>
      <c r="R4" s="4" t="s">
        <v>5</v>
      </c>
      <c r="S4" s="4" t="s">
        <v>6</v>
      </c>
      <c r="T4" s="4" t="s">
        <v>7</v>
      </c>
      <c r="V4" s="12"/>
      <c r="W4" s="14" t="s">
        <v>5</v>
      </c>
      <c r="X4" s="14" t="s">
        <v>6</v>
      </c>
      <c r="Y4" s="14" t="s">
        <v>7</v>
      </c>
      <c r="Z4" s="13"/>
    </row>
    <row r="5" spans="2:39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I5" s="4" t="s">
        <v>5</v>
      </c>
      <c r="AJ5" s="4" t="s">
        <v>6</v>
      </c>
      <c r="AK5" s="4" t="s">
        <v>7</v>
      </c>
    </row>
    <row r="6" spans="2:39" ht="15.75" thickTop="1">
      <c r="B6" s="2">
        <v>10</v>
      </c>
      <c r="C6" s="2">
        <v>80</v>
      </c>
      <c r="D6" s="36">
        <f>+C6*B6</f>
        <v>800</v>
      </c>
      <c r="F6" s="2">
        <v>10</v>
      </c>
      <c r="G6" s="2">
        <v>24</v>
      </c>
      <c r="H6" s="36">
        <f>+G6*F6</f>
        <v>240</v>
      </c>
      <c r="J6" s="2">
        <v>10</v>
      </c>
      <c r="K6" s="2">
        <v>56</v>
      </c>
      <c r="L6" s="36">
        <f>+K6*J6</f>
        <v>560</v>
      </c>
      <c r="N6" s="2">
        <v>10</v>
      </c>
      <c r="O6" s="2">
        <v>61</v>
      </c>
      <c r="P6" s="36">
        <f>+O6*N6</f>
        <v>610</v>
      </c>
      <c r="R6" s="2">
        <v>10</v>
      </c>
      <c r="S6" s="2"/>
      <c r="T6" s="36">
        <f>+S6*R6</f>
        <v>0</v>
      </c>
      <c r="V6" s="12"/>
      <c r="W6" s="39">
        <v>10</v>
      </c>
      <c r="X6" s="39">
        <f>+C6+G6+K6+O6+S6</f>
        <v>221</v>
      </c>
      <c r="Y6" s="37">
        <f>+D6+H6+L6+P6+T6</f>
        <v>2210</v>
      </c>
      <c r="Z6" s="13"/>
      <c r="AI6" s="29">
        <v>1</v>
      </c>
      <c r="AJ6" s="29"/>
      <c r="AK6" s="36">
        <f t="shared" ref="AK6:AK13" si="0">+AJ6*AI6</f>
        <v>0</v>
      </c>
      <c r="AL6" s="26"/>
      <c r="AM6" s="26"/>
    </row>
    <row r="7" spans="2:39">
      <c r="B7" s="2">
        <v>20</v>
      </c>
      <c r="C7" s="2">
        <v>14</v>
      </c>
      <c r="D7" s="36">
        <f t="shared" ref="D7:D12" si="1">+C7*B7</f>
        <v>280</v>
      </c>
      <c r="F7" s="2">
        <v>20</v>
      </c>
      <c r="G7" s="2">
        <v>6</v>
      </c>
      <c r="H7" s="36">
        <f t="shared" ref="H7:H12" si="2">+G7*F7</f>
        <v>120</v>
      </c>
      <c r="J7" s="2">
        <v>20</v>
      </c>
      <c r="K7" s="2">
        <v>12</v>
      </c>
      <c r="L7" s="36">
        <f t="shared" ref="L7:L12" si="3">+K7*J7</f>
        <v>240</v>
      </c>
      <c r="N7" s="2">
        <v>20</v>
      </c>
      <c r="O7" s="2">
        <v>3</v>
      </c>
      <c r="P7" s="36">
        <f t="shared" ref="P7:P12" si="4">+O7*N7</f>
        <v>60</v>
      </c>
      <c r="R7" s="2">
        <v>20</v>
      </c>
      <c r="S7" s="2"/>
      <c r="T7" s="36">
        <f t="shared" ref="T7:T12" si="5">+S7*R7</f>
        <v>0</v>
      </c>
      <c r="V7" s="12"/>
      <c r="W7" s="39">
        <v>20</v>
      </c>
      <c r="X7" s="39">
        <f>+C7+G7+K7+O7+S7</f>
        <v>35</v>
      </c>
      <c r="Y7" s="37">
        <f t="shared" ref="Y7:Y12" si="6">+D7+H7+L7+P7+T7</f>
        <v>700</v>
      </c>
      <c r="Z7" s="13"/>
      <c r="AB7" s="56" t="s">
        <v>9</v>
      </c>
      <c r="AC7" s="57">
        <f>Y13</f>
        <v>508010</v>
      </c>
      <c r="AD7" s="26"/>
      <c r="AE7" s="26"/>
      <c r="AF7" s="26"/>
      <c r="AG7" s="26"/>
      <c r="AI7" s="2">
        <v>10</v>
      </c>
      <c r="AJ7" s="2">
        <v>222</v>
      </c>
      <c r="AK7" s="36">
        <f t="shared" si="0"/>
        <v>2220</v>
      </c>
    </row>
    <row r="8" spans="2:39">
      <c r="B8" s="2">
        <v>50</v>
      </c>
      <c r="C8" s="2">
        <v>27</v>
      </c>
      <c r="D8" s="36">
        <f t="shared" si="1"/>
        <v>1350</v>
      </c>
      <c r="F8" s="2">
        <v>50</v>
      </c>
      <c r="G8" s="2">
        <v>27</v>
      </c>
      <c r="H8" s="36">
        <f t="shared" si="2"/>
        <v>1350</v>
      </c>
      <c r="J8" s="2">
        <v>50</v>
      </c>
      <c r="K8" s="2">
        <v>19</v>
      </c>
      <c r="L8" s="36">
        <f t="shared" si="3"/>
        <v>950</v>
      </c>
      <c r="N8" s="2">
        <v>50</v>
      </c>
      <c r="O8" s="2">
        <v>27</v>
      </c>
      <c r="P8" s="36">
        <f t="shared" si="4"/>
        <v>1350</v>
      </c>
      <c r="R8" s="2">
        <v>50</v>
      </c>
      <c r="S8" s="2"/>
      <c r="T8" s="36">
        <f t="shared" si="5"/>
        <v>0</v>
      </c>
      <c r="V8" s="12"/>
      <c r="W8" s="39">
        <v>50</v>
      </c>
      <c r="X8" s="39">
        <f t="shared" ref="X8:X12" si="7">+C8+G8+K8+O8+S8</f>
        <v>100</v>
      </c>
      <c r="Y8" s="37">
        <f t="shared" si="6"/>
        <v>5000</v>
      </c>
      <c r="Z8" s="13"/>
      <c r="AB8" s="53" t="s">
        <v>10</v>
      </c>
      <c r="AC8" s="53">
        <f>+AF37</f>
        <v>2559</v>
      </c>
      <c r="AI8" s="2">
        <v>20</v>
      </c>
      <c r="AJ8" s="2">
        <v>35</v>
      </c>
      <c r="AK8" s="36">
        <f t="shared" si="0"/>
        <v>700</v>
      </c>
    </row>
    <row r="9" spans="2:39" ht="15.75" thickBot="1">
      <c r="B9" s="2">
        <v>100</v>
      </c>
      <c r="C9" s="2">
        <v>103</v>
      </c>
      <c r="D9" s="36">
        <f t="shared" si="1"/>
        <v>10300</v>
      </c>
      <c r="F9" s="2">
        <v>100</v>
      </c>
      <c r="G9" s="2">
        <v>1</v>
      </c>
      <c r="H9" s="36">
        <f t="shared" si="2"/>
        <v>100</v>
      </c>
      <c r="J9" s="2">
        <v>100</v>
      </c>
      <c r="K9" s="2">
        <v>31</v>
      </c>
      <c r="L9" s="36">
        <f t="shared" si="3"/>
        <v>3100</v>
      </c>
      <c r="N9" s="2">
        <v>100</v>
      </c>
      <c r="O9" s="2">
        <v>13</v>
      </c>
      <c r="P9" s="36">
        <f t="shared" si="4"/>
        <v>1300</v>
      </c>
      <c r="R9" s="2">
        <v>100</v>
      </c>
      <c r="S9" s="2">
        <v>3</v>
      </c>
      <c r="T9" s="36">
        <f t="shared" si="5"/>
        <v>300</v>
      </c>
      <c r="V9" s="12"/>
      <c r="W9" s="39">
        <v>100</v>
      </c>
      <c r="X9" s="39">
        <f t="shared" si="7"/>
        <v>151</v>
      </c>
      <c r="Y9" s="37">
        <f t="shared" si="6"/>
        <v>15100</v>
      </c>
      <c r="Z9" s="13"/>
      <c r="AB9" s="58" t="s">
        <v>11</v>
      </c>
      <c r="AC9" s="59">
        <f>SUM(AC7:AC8)</f>
        <v>510569</v>
      </c>
      <c r="AI9" s="2">
        <v>50</v>
      </c>
      <c r="AJ9" s="2">
        <v>101</v>
      </c>
      <c r="AK9" s="36">
        <f t="shared" si="0"/>
        <v>5050</v>
      </c>
    </row>
    <row r="10" spans="2:39">
      <c r="B10" s="2">
        <v>500</v>
      </c>
      <c r="C10" s="2">
        <v>49</v>
      </c>
      <c r="D10" s="36">
        <f t="shared" si="1"/>
        <v>24500</v>
      </c>
      <c r="F10" s="2">
        <v>500</v>
      </c>
      <c r="G10" s="2">
        <v>48</v>
      </c>
      <c r="H10" s="36">
        <f t="shared" si="2"/>
        <v>24000</v>
      </c>
      <c r="J10" s="2">
        <v>500</v>
      </c>
      <c r="K10" s="2">
        <v>47</v>
      </c>
      <c r="L10" s="36">
        <f t="shared" si="3"/>
        <v>23500</v>
      </c>
      <c r="N10" s="2">
        <v>500</v>
      </c>
      <c r="O10" s="2">
        <v>30</v>
      </c>
      <c r="P10" s="36">
        <f t="shared" si="4"/>
        <v>15000</v>
      </c>
      <c r="R10" s="2">
        <v>500</v>
      </c>
      <c r="S10" s="2">
        <v>30</v>
      </c>
      <c r="T10" s="36">
        <f t="shared" si="5"/>
        <v>15000</v>
      </c>
      <c r="V10" s="12"/>
      <c r="W10" s="39">
        <v>500</v>
      </c>
      <c r="X10" s="39">
        <f t="shared" si="7"/>
        <v>204</v>
      </c>
      <c r="Y10" s="37">
        <f t="shared" si="6"/>
        <v>102000</v>
      </c>
      <c r="Z10" s="13"/>
      <c r="AI10" s="2">
        <v>100</v>
      </c>
      <c r="AJ10" s="2">
        <v>148</v>
      </c>
      <c r="AK10" s="36">
        <f t="shared" si="0"/>
        <v>14800</v>
      </c>
    </row>
    <row r="11" spans="2:39">
      <c r="B11" s="2">
        <v>1000</v>
      </c>
      <c r="C11" s="2">
        <v>15</v>
      </c>
      <c r="D11" s="36">
        <f t="shared" si="1"/>
        <v>15000</v>
      </c>
      <c r="F11" s="2">
        <v>1000</v>
      </c>
      <c r="G11" s="2">
        <v>53</v>
      </c>
      <c r="H11" s="36">
        <f t="shared" si="2"/>
        <v>53000</v>
      </c>
      <c r="J11" s="2">
        <v>1000</v>
      </c>
      <c r="K11" s="2">
        <v>60</v>
      </c>
      <c r="L11" s="36">
        <f t="shared" si="3"/>
        <v>60000</v>
      </c>
      <c r="N11" s="2">
        <v>1000</v>
      </c>
      <c r="O11" s="2">
        <v>26</v>
      </c>
      <c r="P11" s="36">
        <f t="shared" si="4"/>
        <v>26000</v>
      </c>
      <c r="R11" s="2">
        <v>1000</v>
      </c>
      <c r="S11" s="2">
        <v>79</v>
      </c>
      <c r="T11" s="36">
        <f t="shared" si="5"/>
        <v>79000</v>
      </c>
      <c r="V11" s="12"/>
      <c r="W11" s="39">
        <v>1000</v>
      </c>
      <c r="X11" s="39">
        <f t="shared" si="7"/>
        <v>233</v>
      </c>
      <c r="Y11" s="37">
        <f t="shared" si="6"/>
        <v>233000</v>
      </c>
      <c r="Z11" s="13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I11" s="2">
        <v>500</v>
      </c>
      <c r="AJ11" s="2">
        <v>175</v>
      </c>
      <c r="AK11" s="36">
        <f t="shared" si="0"/>
        <v>87500</v>
      </c>
    </row>
    <row r="12" spans="2:39">
      <c r="B12" s="2">
        <v>5000</v>
      </c>
      <c r="C12" s="2"/>
      <c r="D12" s="36">
        <f t="shared" si="1"/>
        <v>0</v>
      </c>
      <c r="F12" s="2">
        <v>5000</v>
      </c>
      <c r="G12" s="2">
        <v>2</v>
      </c>
      <c r="H12" s="36">
        <f t="shared" si="2"/>
        <v>10000</v>
      </c>
      <c r="J12" s="2">
        <v>5000</v>
      </c>
      <c r="K12" s="2">
        <v>2</v>
      </c>
      <c r="L12" s="36">
        <f t="shared" si="3"/>
        <v>10000</v>
      </c>
      <c r="N12" s="2">
        <v>5000</v>
      </c>
      <c r="O12" s="2">
        <v>2</v>
      </c>
      <c r="P12" s="36">
        <f t="shared" si="4"/>
        <v>10000</v>
      </c>
      <c r="R12" s="2">
        <v>5000</v>
      </c>
      <c r="S12" s="2">
        <v>24</v>
      </c>
      <c r="T12" s="36">
        <f t="shared" si="5"/>
        <v>120000</v>
      </c>
      <c r="V12" s="12"/>
      <c r="W12" s="39">
        <v>5000</v>
      </c>
      <c r="X12" s="39">
        <f t="shared" si="7"/>
        <v>30</v>
      </c>
      <c r="Y12" s="37">
        <f t="shared" si="6"/>
        <v>150000</v>
      </c>
      <c r="Z12" s="13"/>
      <c r="AB12" s="1" t="s">
        <v>16</v>
      </c>
      <c r="AC12" s="102">
        <v>296270</v>
      </c>
      <c r="AD12" s="104">
        <v>796521</v>
      </c>
      <c r="AE12" s="105">
        <v>46002</v>
      </c>
      <c r="AF12" s="103" t="s">
        <v>69</v>
      </c>
      <c r="AG12" s="101"/>
      <c r="AI12" s="2">
        <v>1000</v>
      </c>
      <c r="AJ12" s="2">
        <v>156</v>
      </c>
      <c r="AK12" s="36">
        <f t="shared" si="0"/>
        <v>156000</v>
      </c>
    </row>
    <row r="13" spans="2:39" ht="15.75" thickBot="1">
      <c r="B13" s="3" t="s">
        <v>17</v>
      </c>
      <c r="C13" s="3"/>
      <c r="D13" s="6">
        <f>+SUM(D5:D12)</f>
        <v>52230</v>
      </c>
      <c r="F13" s="3" t="s">
        <v>17</v>
      </c>
      <c r="G13" s="3"/>
      <c r="H13" s="6">
        <f>+SUM(H5:H12)</f>
        <v>88810</v>
      </c>
      <c r="J13" s="3" t="s">
        <v>17</v>
      </c>
      <c r="K13" s="3"/>
      <c r="L13" s="6">
        <f>+SUM(L5:L12)</f>
        <v>98350</v>
      </c>
      <c r="N13" s="3" t="s">
        <v>17</v>
      </c>
      <c r="O13" s="3"/>
      <c r="P13" s="6">
        <f>+SUM(P5:P12)</f>
        <v>54320</v>
      </c>
      <c r="R13" s="3" t="s">
        <v>17</v>
      </c>
      <c r="S13" s="3"/>
      <c r="T13" s="6">
        <f>+SUM(T5:T12)</f>
        <v>214300</v>
      </c>
      <c r="V13" s="12"/>
      <c r="W13" s="3" t="s">
        <v>17</v>
      </c>
      <c r="X13" s="3"/>
      <c r="Y13" s="6">
        <f>+SUM(Y5:Y12)</f>
        <v>508010</v>
      </c>
      <c r="Z13" s="13"/>
      <c r="AB13" s="1" t="s">
        <v>18</v>
      </c>
      <c r="AC13" s="5"/>
      <c r="AI13" s="2">
        <v>5000</v>
      </c>
      <c r="AJ13" s="2">
        <v>6</v>
      </c>
      <c r="AK13" s="36">
        <f t="shared" si="0"/>
        <v>30000</v>
      </c>
    </row>
    <row r="14" spans="2:39" ht="15.75" thickBot="1">
      <c r="V14" s="12"/>
      <c r="W14" s="16"/>
      <c r="X14" s="16"/>
      <c r="Y14" s="16"/>
      <c r="Z14" s="13"/>
      <c r="AB14" s="1" t="s">
        <v>19</v>
      </c>
      <c r="AC14" s="100">
        <v>214300</v>
      </c>
      <c r="AD14" s="132" t="s">
        <v>358</v>
      </c>
      <c r="AE14" s="132"/>
      <c r="AF14" s="132"/>
      <c r="AG14" s="132"/>
      <c r="AI14" s="3" t="s">
        <v>17</v>
      </c>
      <c r="AJ14" s="3"/>
      <c r="AK14" s="6">
        <f>+SUM(AK6:AK13)</f>
        <v>296270</v>
      </c>
    </row>
    <row r="15" spans="2:39" ht="15.75" thickBot="1">
      <c r="B15" s="128" t="s">
        <v>20</v>
      </c>
      <c r="C15" s="129"/>
      <c r="D15" s="8">
        <v>56853</v>
      </c>
      <c r="E15" s="30"/>
      <c r="F15" s="128" t="s">
        <v>20</v>
      </c>
      <c r="G15" s="129"/>
      <c r="H15" s="8">
        <v>92372</v>
      </c>
      <c r="I15" s="30"/>
      <c r="J15" s="128" t="s">
        <v>20</v>
      </c>
      <c r="K15" s="129"/>
      <c r="L15" s="8">
        <v>110600</v>
      </c>
      <c r="M15" s="30"/>
      <c r="N15" s="128" t="s">
        <v>20</v>
      </c>
      <c r="O15" s="129"/>
      <c r="P15" s="8">
        <v>89683</v>
      </c>
      <c r="Q15" s="30"/>
      <c r="R15" s="128" t="s">
        <v>20</v>
      </c>
      <c r="S15" s="129"/>
      <c r="T15" s="8">
        <f>118577+117498-3534</f>
        <v>232541</v>
      </c>
      <c r="U15" s="30"/>
      <c r="V15" s="31"/>
      <c r="W15" s="128" t="s">
        <v>20</v>
      </c>
      <c r="X15" s="129"/>
      <c r="Y15" s="8">
        <f>+D15+H15+L15+P15+T15</f>
        <v>582049</v>
      </c>
      <c r="Z15" s="32"/>
      <c r="AA15" s="30"/>
      <c r="AB15" s="1" t="s">
        <v>21</v>
      </c>
      <c r="AC15" s="5"/>
    </row>
    <row r="16" spans="2:39">
      <c r="B16" s="1" t="s">
        <v>9</v>
      </c>
      <c r="D16" s="5">
        <f>+D13</f>
        <v>52230</v>
      </c>
      <c r="F16" s="1" t="s">
        <v>9</v>
      </c>
      <c r="H16" s="5">
        <f>+H13</f>
        <v>88810</v>
      </c>
      <c r="J16" s="1" t="s">
        <v>9</v>
      </c>
      <c r="L16" s="5">
        <f>+L13</f>
        <v>98350</v>
      </c>
      <c r="N16" s="1" t="s">
        <v>9</v>
      </c>
      <c r="P16" s="5">
        <f>+P13</f>
        <v>54320</v>
      </c>
      <c r="R16" s="1" t="s">
        <v>9</v>
      </c>
      <c r="T16" s="5">
        <f>+T13</f>
        <v>214300</v>
      </c>
      <c r="V16" s="12"/>
      <c r="W16" s="40" t="s">
        <v>9</v>
      </c>
      <c r="X16" s="40"/>
      <c r="Y16" s="37">
        <f>+D16+H16+L16+P16+T16</f>
        <v>508010</v>
      </c>
      <c r="Z16" s="13"/>
      <c r="AB16" s="1" t="s">
        <v>22</v>
      </c>
      <c r="AC16" s="5"/>
    </row>
    <row r="17" spans="2:38">
      <c r="B17" s="1" t="s">
        <v>16</v>
      </c>
      <c r="D17" s="5"/>
      <c r="F17" s="1" t="s">
        <v>16</v>
      </c>
      <c r="H17" s="5"/>
      <c r="J17" s="1" t="s">
        <v>16</v>
      </c>
      <c r="L17" s="5">
        <v>1500</v>
      </c>
      <c r="N17" s="1" t="s">
        <v>16</v>
      </c>
      <c r="P17" s="5"/>
      <c r="R17" s="1" t="s">
        <v>16</v>
      </c>
      <c r="T17" s="5"/>
      <c r="V17" s="12"/>
      <c r="W17" s="40" t="s">
        <v>16</v>
      </c>
      <c r="X17" s="40"/>
      <c r="Y17" s="37">
        <f t="shared" ref="Y17:Y27" si="8">+D17+H17+L17+P17+T17</f>
        <v>1500</v>
      </c>
      <c r="Z17" s="13"/>
      <c r="AB17" s="48" t="s">
        <v>11</v>
      </c>
      <c r="AC17" s="49">
        <f>+SUM(AC12:AC16)</f>
        <v>510570</v>
      </c>
      <c r="AD17" s="63"/>
    </row>
    <row r="18" spans="2:38">
      <c r="B18" s="1" t="s">
        <v>200</v>
      </c>
      <c r="C18" s="16" t="s">
        <v>324</v>
      </c>
      <c r="D18" s="5">
        <v>4397</v>
      </c>
      <c r="F18" s="1" t="s">
        <v>284</v>
      </c>
      <c r="G18" s="1" t="s">
        <v>323</v>
      </c>
      <c r="H18" s="5">
        <v>3610</v>
      </c>
      <c r="J18" s="1" t="s">
        <v>204</v>
      </c>
      <c r="K18" s="1" t="s">
        <v>326</v>
      </c>
      <c r="L18" s="5">
        <v>3000</v>
      </c>
      <c r="N18" s="1" t="s">
        <v>202</v>
      </c>
      <c r="O18" s="1" t="s">
        <v>319</v>
      </c>
      <c r="P18" s="5">
        <v>13312</v>
      </c>
      <c r="R18" s="1" t="s">
        <v>23</v>
      </c>
      <c r="T18" s="5"/>
      <c r="V18" s="12"/>
      <c r="W18" s="40" t="s">
        <v>23</v>
      </c>
      <c r="X18" s="40"/>
      <c r="Y18" s="37">
        <f t="shared" si="8"/>
        <v>24319</v>
      </c>
      <c r="Z18" s="13"/>
      <c r="AB18" s="50" t="s">
        <v>24</v>
      </c>
      <c r="AC18" s="51">
        <f>+AC17-AC9</f>
        <v>1</v>
      </c>
      <c r="AD18" s="1" t="s">
        <v>25</v>
      </c>
    </row>
    <row r="19" spans="2:38">
      <c r="B19" s="1" t="s">
        <v>26</v>
      </c>
      <c r="D19" s="5"/>
      <c r="F19" s="1" t="s">
        <v>26</v>
      </c>
      <c r="H19" s="5"/>
      <c r="J19" s="1" t="s">
        <v>26</v>
      </c>
      <c r="L19" s="5"/>
      <c r="N19" s="1" t="s">
        <v>320</v>
      </c>
      <c r="O19" s="1" t="s">
        <v>321</v>
      </c>
      <c r="P19" s="5">
        <v>10980</v>
      </c>
      <c r="R19" s="1" t="s">
        <v>26</v>
      </c>
      <c r="T19" s="5"/>
      <c r="V19" s="12"/>
      <c r="W19" s="40" t="s">
        <v>26</v>
      </c>
      <c r="X19" s="40"/>
      <c r="Y19" s="37">
        <f t="shared" si="8"/>
        <v>10980</v>
      </c>
      <c r="Z19" s="13"/>
    </row>
    <row r="20" spans="2:38">
      <c r="B20" s="1" t="s">
        <v>27</v>
      </c>
      <c r="D20" s="5"/>
      <c r="F20" s="1" t="s">
        <v>27</v>
      </c>
      <c r="H20" s="5"/>
      <c r="J20" s="1" t="s">
        <v>27</v>
      </c>
      <c r="L20" s="5"/>
      <c r="N20" s="1" t="s">
        <v>27</v>
      </c>
      <c r="P20" s="5"/>
      <c r="R20" s="1" t="s">
        <v>27</v>
      </c>
      <c r="T20" s="5"/>
      <c r="V20" s="12"/>
      <c r="W20" s="40" t="s">
        <v>27</v>
      </c>
      <c r="X20" s="40"/>
      <c r="Y20" s="37">
        <f t="shared" si="8"/>
        <v>0</v>
      </c>
      <c r="Z20" s="13"/>
    </row>
    <row r="21" spans="2:38">
      <c r="D21" s="5"/>
      <c r="H21" s="5"/>
      <c r="L21" s="5"/>
      <c r="P21" s="5"/>
      <c r="T21" s="5"/>
      <c r="V21" s="12"/>
      <c r="W21" s="40"/>
      <c r="X21" s="40"/>
      <c r="Y21" s="37">
        <f t="shared" si="8"/>
        <v>0</v>
      </c>
      <c r="Z21" s="13"/>
      <c r="AB21" s="54" t="s">
        <v>28</v>
      </c>
      <c r="AC21" s="54"/>
      <c r="AD21" s="54"/>
      <c r="AE21" s="30"/>
      <c r="AI21" s="54" t="s">
        <v>29</v>
      </c>
      <c r="AJ21" s="54"/>
      <c r="AK21" s="54"/>
      <c r="AL21" s="62"/>
    </row>
    <row r="22" spans="2:38">
      <c r="D22" s="5"/>
      <c r="H22" s="5"/>
      <c r="L22" s="5"/>
      <c r="P22" s="5"/>
      <c r="T22" s="5"/>
      <c r="V22" s="12"/>
      <c r="W22" s="40"/>
      <c r="X22" s="40"/>
      <c r="Y22" s="37">
        <f t="shared" si="8"/>
        <v>0</v>
      </c>
      <c r="Z22" s="13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I22" s="47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D23" s="5"/>
      <c r="F23" s="1" t="s">
        <v>35</v>
      </c>
      <c r="H23" s="5"/>
      <c r="J23" s="1" t="s">
        <v>325</v>
      </c>
      <c r="K23" s="1" t="s">
        <v>305</v>
      </c>
      <c r="L23" s="5">
        <v>7251</v>
      </c>
      <c r="N23" s="1" t="s">
        <v>322</v>
      </c>
      <c r="O23" s="1" t="s">
        <v>122</v>
      </c>
      <c r="P23" s="5">
        <v>11073</v>
      </c>
      <c r="R23" s="1" t="s">
        <v>35</v>
      </c>
      <c r="T23" s="5"/>
      <c r="V23" s="12"/>
      <c r="W23" s="40" t="s">
        <v>35</v>
      </c>
      <c r="X23" s="40"/>
      <c r="Y23" s="37">
        <f t="shared" si="8"/>
        <v>18324</v>
      </c>
      <c r="Z23" s="13"/>
      <c r="AB23" s="20" t="s">
        <v>327</v>
      </c>
      <c r="AC23" s="89">
        <v>45965</v>
      </c>
      <c r="AD23" s="20" t="s">
        <v>131</v>
      </c>
      <c r="AE23" s="20"/>
      <c r="AF23" s="99">
        <v>2559</v>
      </c>
      <c r="AI23" s="20" t="s">
        <v>90</v>
      </c>
      <c r="AJ23" s="20" t="s">
        <v>173</v>
      </c>
      <c r="AK23" s="20"/>
      <c r="AL23" s="96">
        <v>1500</v>
      </c>
    </row>
    <row r="24" spans="2:38">
      <c r="B24" s="1" t="s">
        <v>36</v>
      </c>
      <c r="D24" s="5"/>
      <c r="F24" s="1" t="s">
        <v>36</v>
      </c>
      <c r="H24" s="5"/>
      <c r="J24" s="1" t="s">
        <v>36</v>
      </c>
      <c r="L24" s="5"/>
      <c r="N24" s="1" t="s">
        <v>46</v>
      </c>
      <c r="P24" s="5"/>
      <c r="R24" s="1" t="s">
        <v>36</v>
      </c>
      <c r="T24" s="5"/>
      <c r="V24" s="12"/>
      <c r="W24" s="40" t="s">
        <v>36</v>
      </c>
      <c r="X24" s="40"/>
      <c r="Y24" s="37">
        <f t="shared" si="8"/>
        <v>0</v>
      </c>
      <c r="Z24" s="13"/>
      <c r="AI24" s="20" t="s">
        <v>329</v>
      </c>
      <c r="AJ24" s="20" t="s">
        <v>63</v>
      </c>
      <c r="AK24" s="20" t="s">
        <v>341</v>
      </c>
      <c r="AL24" s="97">
        <v>4950</v>
      </c>
    </row>
    <row r="25" spans="2:38">
      <c r="B25" s="1" t="s">
        <v>37</v>
      </c>
      <c r="D25" s="5"/>
      <c r="F25" s="1" t="s">
        <v>37</v>
      </c>
      <c r="H25" s="5"/>
      <c r="J25" s="1" t="s">
        <v>37</v>
      </c>
      <c r="L25" s="5"/>
      <c r="N25" s="1" t="s">
        <v>46</v>
      </c>
      <c r="P25" s="5"/>
      <c r="R25" s="1" t="s">
        <v>37</v>
      </c>
      <c r="T25" s="5"/>
      <c r="V25" s="12"/>
      <c r="W25" s="40" t="s">
        <v>37</v>
      </c>
      <c r="X25" s="40"/>
      <c r="Y25" s="37">
        <f t="shared" si="8"/>
        <v>0</v>
      </c>
      <c r="Z25" s="13"/>
      <c r="AI25" s="20" t="s">
        <v>149</v>
      </c>
      <c r="AJ25" s="20" t="s">
        <v>146</v>
      </c>
      <c r="AK25" s="20" t="s">
        <v>342</v>
      </c>
      <c r="AL25" s="97">
        <v>10000</v>
      </c>
    </row>
    <row r="26" spans="2:38">
      <c r="D26" s="5"/>
      <c r="H26" s="5"/>
      <c r="L26" s="5"/>
      <c r="P26" s="5"/>
      <c r="V26" s="12"/>
      <c r="W26" s="40"/>
      <c r="X26" s="40"/>
      <c r="Y26" s="37">
        <f t="shared" si="8"/>
        <v>0</v>
      </c>
      <c r="Z26" s="13"/>
      <c r="AF26" s="20"/>
      <c r="AI26" s="20" t="s">
        <v>149</v>
      </c>
      <c r="AJ26" s="20" t="s">
        <v>146</v>
      </c>
      <c r="AK26" s="20" t="s">
        <v>343</v>
      </c>
      <c r="AL26" s="97">
        <v>10000</v>
      </c>
    </row>
    <row r="27" spans="2:38" ht="15.75" thickBot="1">
      <c r="D27" s="5"/>
      <c r="H27" s="5"/>
      <c r="L27" s="5"/>
      <c r="P27" s="5"/>
      <c r="T27" s="5"/>
      <c r="V27" s="12"/>
      <c r="W27" s="40"/>
      <c r="X27" s="40"/>
      <c r="Y27" s="37">
        <f t="shared" si="8"/>
        <v>0</v>
      </c>
      <c r="Z27" s="13"/>
      <c r="AI27" s="20" t="s">
        <v>330</v>
      </c>
      <c r="AJ27" s="20" t="s">
        <v>90</v>
      </c>
      <c r="AK27" s="20" t="s">
        <v>344</v>
      </c>
      <c r="AL27" s="96">
        <v>13900</v>
      </c>
    </row>
    <row r="28" spans="2:38" ht="15.75" thickBot="1">
      <c r="B28" s="125" t="s">
        <v>11</v>
      </c>
      <c r="C28" s="126"/>
      <c r="D28" s="9">
        <f>+SUM(D16:D27)</f>
        <v>56627</v>
      </c>
      <c r="F28" s="125" t="s">
        <v>11</v>
      </c>
      <c r="G28" s="126"/>
      <c r="H28" s="9">
        <f>+SUM(H16:H27)</f>
        <v>92420</v>
      </c>
      <c r="J28" s="125" t="s">
        <v>11</v>
      </c>
      <c r="K28" s="126"/>
      <c r="L28" s="9">
        <f>+SUM(L16:L27)</f>
        <v>110101</v>
      </c>
      <c r="N28" s="125" t="s">
        <v>11</v>
      </c>
      <c r="O28" s="126"/>
      <c r="P28" s="9">
        <f>+SUM(P16:P27)</f>
        <v>89685</v>
      </c>
      <c r="R28" s="125" t="s">
        <v>11</v>
      </c>
      <c r="S28" s="126"/>
      <c r="T28" s="9">
        <f>+SUM(T16:T27)</f>
        <v>214300</v>
      </c>
      <c r="V28" s="12"/>
      <c r="W28" s="125" t="s">
        <v>11</v>
      </c>
      <c r="X28" s="126"/>
      <c r="Y28" s="9">
        <f>+SUM(Y16:Y27)</f>
        <v>563133</v>
      </c>
      <c r="Z28" s="13"/>
      <c r="AI28" s="20" t="s">
        <v>331</v>
      </c>
      <c r="AJ28" s="20" t="s">
        <v>90</v>
      </c>
      <c r="AK28" s="20" t="s">
        <v>345</v>
      </c>
      <c r="AL28" s="96">
        <v>5880</v>
      </c>
    </row>
    <row r="29" spans="2:38">
      <c r="D29" s="5"/>
      <c r="H29" s="5"/>
      <c r="L29" s="5"/>
      <c r="P29" s="5"/>
      <c r="T29" s="5"/>
      <c r="V29" s="12"/>
      <c r="W29" s="16"/>
      <c r="X29" s="16"/>
      <c r="Y29" s="15"/>
      <c r="Z29" s="13"/>
      <c r="AI29" s="20" t="s">
        <v>332</v>
      </c>
      <c r="AJ29" s="20" t="s">
        <v>71</v>
      </c>
      <c r="AK29" s="20" t="s">
        <v>346</v>
      </c>
      <c r="AL29" s="97">
        <v>6900</v>
      </c>
    </row>
    <row r="30" spans="2:38" ht="15.75" thickBot="1">
      <c r="B30" s="127" t="s">
        <v>39</v>
      </c>
      <c r="C30" s="127"/>
      <c r="D30" s="7">
        <f>+D28-D15</f>
        <v>-226</v>
      </c>
      <c r="F30" s="127" t="s">
        <v>39</v>
      </c>
      <c r="G30" s="127"/>
      <c r="H30" s="7">
        <f>+H28-H15</f>
        <v>48</v>
      </c>
      <c r="J30" s="127" t="s">
        <v>39</v>
      </c>
      <c r="K30" s="127"/>
      <c r="L30" s="7">
        <f>+L28-L15</f>
        <v>-499</v>
      </c>
      <c r="N30" s="127" t="s">
        <v>39</v>
      </c>
      <c r="O30" s="127"/>
      <c r="P30" s="7">
        <f>+P28-P15</f>
        <v>2</v>
      </c>
      <c r="R30" s="127" t="s">
        <v>39</v>
      </c>
      <c r="S30" s="127"/>
      <c r="T30" s="7">
        <f>+T28-T15</f>
        <v>-18241</v>
      </c>
      <c r="V30" s="12"/>
      <c r="W30" s="124" t="s">
        <v>39</v>
      </c>
      <c r="X30" s="124"/>
      <c r="Y30" s="41">
        <f>+Y28-Y15</f>
        <v>-18916</v>
      </c>
      <c r="Z30" s="13"/>
      <c r="AI30" s="20" t="s">
        <v>145</v>
      </c>
      <c r="AJ30" s="20" t="s">
        <v>90</v>
      </c>
      <c r="AK30" s="20" t="s">
        <v>347</v>
      </c>
      <c r="AL30" s="97">
        <v>3700</v>
      </c>
    </row>
    <row r="31" spans="2:38" ht="16.5" thickTop="1" thickBot="1">
      <c r="V31" s="17"/>
      <c r="W31" s="18"/>
      <c r="X31" s="18"/>
      <c r="Y31" s="18"/>
      <c r="Z31" s="19"/>
      <c r="AI31" s="20" t="s">
        <v>333</v>
      </c>
      <c r="AJ31" s="20" t="s">
        <v>334</v>
      </c>
      <c r="AK31" s="20" t="s">
        <v>348</v>
      </c>
      <c r="AL31" s="96">
        <v>12863</v>
      </c>
    </row>
    <row r="32" spans="2:38">
      <c r="AI32" s="20" t="s">
        <v>150</v>
      </c>
      <c r="AJ32" s="20" t="s">
        <v>71</v>
      </c>
      <c r="AK32" s="20" t="s">
        <v>349</v>
      </c>
      <c r="AL32" s="97">
        <v>3760</v>
      </c>
    </row>
    <row r="33" spans="2:38" ht="15.75" thickBot="1">
      <c r="AI33" s="20" t="s">
        <v>149</v>
      </c>
      <c r="AJ33" s="20" t="s">
        <v>90</v>
      </c>
      <c r="AK33" s="20" t="s">
        <v>350</v>
      </c>
      <c r="AL33" s="97">
        <v>14110</v>
      </c>
    </row>
    <row r="34" spans="2:38">
      <c r="B34" s="10" t="s">
        <v>40</v>
      </c>
      <c r="C34" s="11"/>
      <c r="D34" s="21">
        <v>226</v>
      </c>
      <c r="F34" s="10" t="s">
        <v>40</v>
      </c>
      <c r="G34" s="11"/>
      <c r="H34" s="21"/>
      <c r="J34" s="10" t="s">
        <v>40</v>
      </c>
      <c r="K34" s="11"/>
      <c r="L34" s="21">
        <v>499</v>
      </c>
      <c r="N34" s="10" t="s">
        <v>40</v>
      </c>
      <c r="O34" s="11"/>
      <c r="P34" s="21"/>
      <c r="R34" s="10" t="s">
        <v>328</v>
      </c>
      <c r="S34" s="11"/>
      <c r="T34" s="21">
        <v>15881</v>
      </c>
      <c r="W34" s="42" t="s">
        <v>40</v>
      </c>
      <c r="X34" s="43"/>
      <c r="Y34" s="44">
        <f>+D34+H34+L34+P34+T34</f>
        <v>16606</v>
      </c>
      <c r="AI34" s="20" t="s">
        <v>335</v>
      </c>
      <c r="AJ34" s="20" t="s">
        <v>63</v>
      </c>
      <c r="AK34" s="20" t="s">
        <v>351</v>
      </c>
      <c r="AL34" s="96">
        <v>9830</v>
      </c>
    </row>
    <row r="35" spans="2:38">
      <c r="B35" s="12" t="s">
        <v>41</v>
      </c>
      <c r="C35" s="16"/>
      <c r="D35" s="22"/>
      <c r="F35" s="12" t="s">
        <v>41</v>
      </c>
      <c r="G35" s="16"/>
      <c r="H35" s="22"/>
      <c r="J35" s="12" t="s">
        <v>41</v>
      </c>
      <c r="K35" s="16"/>
      <c r="L35" s="22"/>
      <c r="N35" s="12" t="s">
        <v>41</v>
      </c>
      <c r="O35" s="16"/>
      <c r="P35" s="22"/>
      <c r="R35" s="12" t="s">
        <v>88</v>
      </c>
      <c r="S35" s="16"/>
      <c r="T35" s="22"/>
      <c r="W35" s="45" t="s">
        <v>41</v>
      </c>
      <c r="X35" s="40"/>
      <c r="Y35" s="46">
        <f t="shared" ref="Y35:Y36" si="9">+D35+H35+L35+P35+T35</f>
        <v>0</v>
      </c>
      <c r="AI35" s="20" t="s">
        <v>336</v>
      </c>
      <c r="AJ35" s="20" t="s">
        <v>65</v>
      </c>
      <c r="AK35" s="20" t="s">
        <v>352</v>
      </c>
      <c r="AL35" s="97">
        <v>22263</v>
      </c>
    </row>
    <row r="36" spans="2:38">
      <c r="B36" s="12" t="s">
        <v>43</v>
      </c>
      <c r="C36" s="16"/>
      <c r="D36" s="22"/>
      <c r="F36" s="12" t="s">
        <v>43</v>
      </c>
      <c r="G36" s="16"/>
      <c r="H36" s="22">
        <v>-48</v>
      </c>
      <c r="J36" s="12" t="s">
        <v>43</v>
      </c>
      <c r="K36" s="16"/>
      <c r="L36" s="22"/>
      <c r="N36" s="12" t="s">
        <v>43</v>
      </c>
      <c r="O36" s="16"/>
      <c r="P36" s="22">
        <v>-2</v>
      </c>
      <c r="R36" s="12" t="s">
        <v>190</v>
      </c>
      <c r="S36" s="16"/>
      <c r="T36" s="22">
        <v>2360</v>
      </c>
      <c r="W36" s="45" t="s">
        <v>42</v>
      </c>
      <c r="X36" s="40"/>
      <c r="Y36" s="46">
        <f t="shared" si="9"/>
        <v>2310</v>
      </c>
      <c r="AI36" s="20" t="s">
        <v>337</v>
      </c>
      <c r="AJ36" s="20" t="s">
        <v>63</v>
      </c>
      <c r="AK36" s="20" t="s">
        <v>353</v>
      </c>
      <c r="AL36" s="96">
        <v>4228</v>
      </c>
    </row>
    <row r="37" spans="2:38" ht="15.75" thickBot="1">
      <c r="B37" s="12" t="s">
        <v>17</v>
      </c>
      <c r="C37" s="16"/>
      <c r="D37" s="22">
        <f>+SUM(D34:D36)</f>
        <v>226</v>
      </c>
      <c r="F37" s="12" t="s">
        <v>17</v>
      </c>
      <c r="G37" s="16"/>
      <c r="H37" s="22">
        <f>+SUM(H34:H36)</f>
        <v>-48</v>
      </c>
      <c r="J37" s="12" t="s">
        <v>17</v>
      </c>
      <c r="K37" s="16"/>
      <c r="L37" s="22">
        <f>+SUM(L34:L36)</f>
        <v>499</v>
      </c>
      <c r="N37" s="12" t="s">
        <v>17</v>
      </c>
      <c r="O37" s="16"/>
      <c r="P37" s="22">
        <f>+SUM(P34:P36)</f>
        <v>-2</v>
      </c>
      <c r="R37" s="12" t="s">
        <v>17</v>
      </c>
      <c r="S37" s="16"/>
      <c r="T37" s="22">
        <f>+SUM(T34:T36)</f>
        <v>18241</v>
      </c>
      <c r="W37" s="33" t="s">
        <v>17</v>
      </c>
      <c r="X37" s="34"/>
      <c r="Y37" s="35">
        <f>+SUM(Y34:Y36)</f>
        <v>18916</v>
      </c>
      <c r="AB37" s="60" t="s">
        <v>38</v>
      </c>
      <c r="AC37" s="60"/>
      <c r="AD37" s="60"/>
      <c r="AE37" s="60"/>
      <c r="AF37" s="55">
        <f>+SUM(AF23:AF36)</f>
        <v>2559</v>
      </c>
      <c r="AI37" s="20" t="s">
        <v>149</v>
      </c>
      <c r="AJ37" s="20" t="s">
        <v>146</v>
      </c>
      <c r="AK37" s="20" t="s">
        <v>54</v>
      </c>
      <c r="AL37" s="96">
        <v>5962</v>
      </c>
    </row>
    <row r="38" spans="2:38" ht="16.5" thickTop="1" thickBot="1">
      <c r="B38" s="23" t="s">
        <v>44</v>
      </c>
      <c r="C38" s="24"/>
      <c r="D38" s="25">
        <f>+D30+D37</f>
        <v>0</v>
      </c>
      <c r="F38" s="23" t="s">
        <v>44</v>
      </c>
      <c r="G38" s="24"/>
      <c r="H38" s="25">
        <f>+H30+H37</f>
        <v>0</v>
      </c>
      <c r="J38" s="23" t="s">
        <v>44</v>
      </c>
      <c r="K38" s="24"/>
      <c r="L38" s="25">
        <f>+L30+L37</f>
        <v>0</v>
      </c>
      <c r="N38" s="23" t="s">
        <v>44</v>
      </c>
      <c r="O38" s="24"/>
      <c r="P38" s="25">
        <f>+P30+P37</f>
        <v>0</v>
      </c>
      <c r="R38" s="23" t="s">
        <v>44</v>
      </c>
      <c r="S38" s="24"/>
      <c r="T38" s="25">
        <f>+T30+T37</f>
        <v>0</v>
      </c>
      <c r="W38" s="23" t="s">
        <v>44</v>
      </c>
      <c r="X38" s="24"/>
      <c r="Y38" s="25">
        <f>+Y30+Y37</f>
        <v>0</v>
      </c>
      <c r="AI38" s="20" t="s">
        <v>153</v>
      </c>
      <c r="AJ38" s="20" t="s">
        <v>146</v>
      </c>
      <c r="AK38" s="20" t="s">
        <v>58</v>
      </c>
      <c r="AL38" s="96">
        <v>2230</v>
      </c>
    </row>
    <row r="39" spans="2:38">
      <c r="AI39" s="20" t="s">
        <v>338</v>
      </c>
      <c r="AJ39" s="20" t="s">
        <v>71</v>
      </c>
      <c r="AK39" s="20" t="s">
        <v>74</v>
      </c>
      <c r="AL39" s="96">
        <v>5866</v>
      </c>
    </row>
    <row r="40" spans="2:38">
      <c r="AI40" s="20" t="s">
        <v>305</v>
      </c>
      <c r="AJ40" s="20" t="s">
        <v>146</v>
      </c>
      <c r="AK40" s="20" t="s">
        <v>354</v>
      </c>
      <c r="AL40" s="96">
        <v>7590</v>
      </c>
    </row>
    <row r="41" spans="2:38">
      <c r="AI41" s="20" t="s">
        <v>154</v>
      </c>
      <c r="AJ41" s="20" t="s">
        <v>146</v>
      </c>
      <c r="AK41" s="20" t="s">
        <v>87</v>
      </c>
      <c r="AL41" s="96">
        <v>3169</v>
      </c>
    </row>
    <row r="42" spans="2:38">
      <c r="AI42" s="20" t="s">
        <v>339</v>
      </c>
      <c r="AJ42" s="20" t="s">
        <v>146</v>
      </c>
      <c r="AK42" s="20" t="s">
        <v>124</v>
      </c>
      <c r="AL42" s="96">
        <v>7500</v>
      </c>
    </row>
    <row r="43" spans="2:38">
      <c r="AI43" s="20" t="s">
        <v>340</v>
      </c>
      <c r="AJ43" s="20" t="s">
        <v>90</v>
      </c>
      <c r="AK43" s="20" t="s">
        <v>128</v>
      </c>
      <c r="AL43" s="97">
        <v>3200</v>
      </c>
    </row>
    <row r="44" spans="2:38">
      <c r="AD44" s="68"/>
      <c r="AE44" s="68"/>
      <c r="AF44" s="68"/>
      <c r="AG44" s="68"/>
      <c r="AH44" s="68"/>
      <c r="AI44" s="20" t="s">
        <v>102</v>
      </c>
      <c r="AJ44" s="20" t="s">
        <v>71</v>
      </c>
      <c r="AK44" s="20" t="s">
        <v>355</v>
      </c>
      <c r="AL44" s="96">
        <v>15000</v>
      </c>
    </row>
    <row r="45" spans="2:38">
      <c r="AI45" s="20" t="s">
        <v>155</v>
      </c>
      <c r="AJ45" s="20" t="s">
        <v>65</v>
      </c>
      <c r="AK45" s="20" t="s">
        <v>356</v>
      </c>
      <c r="AL45" s="96">
        <v>25500</v>
      </c>
    </row>
    <row r="46" spans="2:38">
      <c r="AI46" s="20" t="s">
        <v>81</v>
      </c>
      <c r="AJ46" s="20" t="s">
        <v>65</v>
      </c>
      <c r="AK46" s="20" t="s">
        <v>357</v>
      </c>
      <c r="AL46" s="96">
        <v>43602</v>
      </c>
    </row>
    <row r="47" spans="2:38">
      <c r="AI47" s="16" t="s">
        <v>258</v>
      </c>
      <c r="AJ47" s="20" t="s">
        <v>65</v>
      </c>
      <c r="AK47" s="16" t="s">
        <v>311</v>
      </c>
      <c r="AL47" s="69">
        <v>8000</v>
      </c>
    </row>
    <row r="48" spans="2:38" ht="15.75" thickBot="1">
      <c r="AI48" s="80" t="s">
        <v>38</v>
      </c>
      <c r="AJ48" s="80"/>
      <c r="AK48" s="80"/>
      <c r="AL48" s="81">
        <f>SUM(AL23:AL47)</f>
        <v>251503</v>
      </c>
    </row>
    <row r="49" ht="15.75" thickTop="1"/>
  </sheetData>
  <mergeCells count="25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AD14:AG14"/>
    <mergeCell ref="W3:Y3"/>
    <mergeCell ref="B15:C15"/>
    <mergeCell ref="F15:G15"/>
    <mergeCell ref="J15:K15"/>
    <mergeCell ref="N15:O15"/>
    <mergeCell ref="R15:S15"/>
    <mergeCell ref="B3:D3"/>
    <mergeCell ref="F3:H3"/>
    <mergeCell ref="J3:L3"/>
    <mergeCell ref="N3:P3"/>
    <mergeCell ref="R3:T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AL39"/>
  <sheetViews>
    <sheetView topLeftCell="E10" zoomScale="90" zoomScaleNormal="90" workbookViewId="0">
      <selection activeCell="AB25" sqref="AB25:AF25"/>
    </sheetView>
  </sheetViews>
  <sheetFormatPr defaultRowHeight="15"/>
  <cols>
    <col min="5" max="5" width="0.42578125" customWidth="1"/>
    <col min="8" max="8" width="9.5703125" bestFit="1" customWidth="1"/>
    <col min="9" max="9" width="0.5703125" customWidth="1"/>
    <col min="10" max="10" width="10" customWidth="1"/>
    <col min="11" max="11" width="14.42578125" customWidth="1"/>
    <col min="13" max="13" width="0.28515625" customWidth="1"/>
    <col min="15" max="15" width="14.140625" customWidth="1"/>
    <col min="17" max="17" width="0.5703125" customWidth="1"/>
    <col min="21" max="21" width="0.7109375" customWidth="1"/>
    <col min="22" max="22" width="0.5703125" customWidth="1"/>
    <col min="26" max="26" width="0.5703125" customWidth="1"/>
    <col min="27" max="27" width="0.42578125" customWidth="1"/>
    <col min="29" max="29" width="9.85546875" bestFit="1" customWidth="1"/>
    <col min="33" max="34" width="0.5703125" customWidth="1"/>
    <col min="37" max="37" width="9.85546875" bestFit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>
        <v>20</v>
      </c>
      <c r="H5" s="36">
        <f>+G5*F5</f>
        <v>20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20</v>
      </c>
      <c r="Y5" s="37">
        <f>+D5+H5+L5+P5+T5</f>
        <v>20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8</v>
      </c>
      <c r="D6" s="36">
        <f>+C6*B6</f>
        <v>80</v>
      </c>
      <c r="E6" s="1"/>
      <c r="F6" s="2">
        <v>10</v>
      </c>
      <c r="G6" s="2">
        <v>151</v>
      </c>
      <c r="H6" s="36">
        <f>+G6*F6</f>
        <v>1510</v>
      </c>
      <c r="I6" s="1"/>
      <c r="J6" s="2">
        <v>10</v>
      </c>
      <c r="K6" s="2">
        <v>131</v>
      </c>
      <c r="L6" s="36">
        <f>+K6*J6</f>
        <v>1310</v>
      </c>
      <c r="M6" s="1"/>
      <c r="N6" s="2">
        <v>10</v>
      </c>
      <c r="O6" s="2">
        <v>43</v>
      </c>
      <c r="P6" s="36">
        <f>+O6*N6</f>
        <v>430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333</v>
      </c>
      <c r="Y6" s="37">
        <f>+D6+H6+L6+P6+T6</f>
        <v>3330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20</v>
      </c>
      <c r="AK6" s="36">
        <f t="shared" ref="AK6:AK13" si="0">+AJ6*AI6</f>
        <v>20</v>
      </c>
      <c r="AL6" s="26"/>
    </row>
    <row r="7" spans="2:38">
      <c r="B7" s="2">
        <v>20</v>
      </c>
      <c r="C7" s="2">
        <v>3</v>
      </c>
      <c r="D7" s="36">
        <f t="shared" ref="D7:D12" si="1">+C7*B7</f>
        <v>60</v>
      </c>
      <c r="E7" s="1"/>
      <c r="F7" s="2">
        <v>20</v>
      </c>
      <c r="G7" s="2">
        <v>25</v>
      </c>
      <c r="H7" s="36">
        <f t="shared" ref="H7:H12" si="2">+G7*F7</f>
        <v>500</v>
      </c>
      <c r="I7" s="1"/>
      <c r="J7" s="2">
        <v>20</v>
      </c>
      <c r="K7" s="2">
        <v>19</v>
      </c>
      <c r="L7" s="36">
        <f t="shared" ref="L7:L12" si="3">+K7*J7</f>
        <v>380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47</v>
      </c>
      <c r="Y7" s="37">
        <f t="shared" ref="Y7:Y12" si="6">+D7+H7+L7+P7+T7</f>
        <v>940</v>
      </c>
      <c r="Z7" s="13"/>
      <c r="AA7" s="1"/>
      <c r="AB7" s="56" t="s">
        <v>9</v>
      </c>
      <c r="AC7" s="57">
        <f>Y13</f>
        <v>281090</v>
      </c>
      <c r="AD7" s="26"/>
      <c r="AE7" s="26"/>
      <c r="AF7" s="26"/>
      <c r="AG7" s="26"/>
      <c r="AH7" s="1"/>
      <c r="AI7" s="2">
        <v>10</v>
      </c>
      <c r="AJ7" s="2">
        <v>390</v>
      </c>
      <c r="AK7" s="36">
        <f t="shared" si="0"/>
        <v>3900</v>
      </c>
      <c r="AL7" s="1"/>
    </row>
    <row r="8" spans="2:38">
      <c r="B8" s="2">
        <v>50</v>
      </c>
      <c r="C8" s="2">
        <v>6</v>
      </c>
      <c r="D8" s="36">
        <f t="shared" si="1"/>
        <v>300</v>
      </c>
      <c r="E8" s="1"/>
      <c r="F8" s="2">
        <v>50</v>
      </c>
      <c r="G8" s="2">
        <v>1</v>
      </c>
      <c r="H8" s="36">
        <f t="shared" si="2"/>
        <v>50</v>
      </c>
      <c r="I8" s="1"/>
      <c r="J8" s="2">
        <v>50</v>
      </c>
      <c r="K8" s="2">
        <v>46</v>
      </c>
      <c r="L8" s="36">
        <f t="shared" si="3"/>
        <v>2300</v>
      </c>
      <c r="M8" s="1"/>
      <c r="N8" s="2">
        <v>50</v>
      </c>
      <c r="O8" s="2">
        <v>3</v>
      </c>
      <c r="P8" s="36">
        <f t="shared" si="4"/>
        <v>150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56</v>
      </c>
      <c r="Y8" s="37">
        <f t="shared" si="6"/>
        <v>2800</v>
      </c>
      <c r="Z8" s="13"/>
      <c r="AA8" s="1"/>
      <c r="AB8" s="53" t="s">
        <v>10</v>
      </c>
      <c r="AC8" s="53">
        <f>+AF37</f>
        <v>367823</v>
      </c>
      <c r="AD8" s="1"/>
      <c r="AE8" s="1"/>
      <c r="AF8" s="1"/>
      <c r="AG8" s="1"/>
      <c r="AH8" s="1"/>
      <c r="AI8" s="2">
        <v>20</v>
      </c>
      <c r="AJ8" s="2">
        <v>126</v>
      </c>
      <c r="AK8" s="36">
        <f t="shared" si="0"/>
        <v>2520</v>
      </c>
      <c r="AL8" s="1"/>
    </row>
    <row r="9" spans="2:38" ht="15.75" thickBot="1">
      <c r="B9" s="2">
        <v>100</v>
      </c>
      <c r="C9" s="2"/>
      <c r="D9" s="36">
        <f t="shared" si="1"/>
        <v>0</v>
      </c>
      <c r="E9" s="1"/>
      <c r="F9" s="2">
        <v>100</v>
      </c>
      <c r="G9" s="2">
        <v>4</v>
      </c>
      <c r="H9" s="36">
        <f t="shared" si="2"/>
        <v>400</v>
      </c>
      <c r="I9" s="1"/>
      <c r="J9" s="2">
        <v>100</v>
      </c>
      <c r="K9" s="2">
        <v>28</v>
      </c>
      <c r="L9" s="36">
        <f t="shared" si="3"/>
        <v>2800</v>
      </c>
      <c r="M9" s="1"/>
      <c r="N9" s="2">
        <v>100</v>
      </c>
      <c r="O9" s="2">
        <v>23</v>
      </c>
      <c r="P9" s="36">
        <f t="shared" si="4"/>
        <v>2300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55</v>
      </c>
      <c r="Y9" s="37">
        <f t="shared" si="6"/>
        <v>5500</v>
      </c>
      <c r="Z9" s="13"/>
      <c r="AA9" s="1"/>
      <c r="AB9" s="58" t="s">
        <v>11</v>
      </c>
      <c r="AC9" s="59">
        <f>SUM(AC7:AC8)</f>
        <v>648913</v>
      </c>
      <c r="AD9" s="1"/>
      <c r="AE9" s="1"/>
      <c r="AF9" s="1"/>
      <c r="AG9" s="1"/>
      <c r="AH9" s="1"/>
      <c r="AI9" s="2">
        <v>50</v>
      </c>
      <c r="AJ9" s="2">
        <v>56</v>
      </c>
      <c r="AK9" s="36">
        <f t="shared" si="0"/>
        <v>2800</v>
      </c>
      <c r="AL9" s="1"/>
    </row>
    <row r="10" spans="2:38">
      <c r="B10" s="2">
        <v>500</v>
      </c>
      <c r="C10" s="2">
        <v>26</v>
      </c>
      <c r="D10" s="36">
        <f t="shared" si="1"/>
        <v>13000</v>
      </c>
      <c r="E10" s="1"/>
      <c r="F10" s="2">
        <v>500</v>
      </c>
      <c r="G10" s="2">
        <v>32</v>
      </c>
      <c r="H10" s="36">
        <f t="shared" si="2"/>
        <v>16000</v>
      </c>
      <c r="I10" s="1"/>
      <c r="J10" s="2">
        <v>500</v>
      </c>
      <c r="K10" s="2">
        <v>47</v>
      </c>
      <c r="L10" s="36">
        <f t="shared" si="3"/>
        <v>23500</v>
      </c>
      <c r="M10" s="1"/>
      <c r="N10" s="2">
        <v>500</v>
      </c>
      <c r="O10" s="2">
        <v>34</v>
      </c>
      <c r="P10" s="36">
        <f t="shared" si="4"/>
        <v>17000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139</v>
      </c>
      <c r="Y10" s="37">
        <f t="shared" si="6"/>
        <v>69500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73</v>
      </c>
      <c r="AK10" s="36">
        <f t="shared" si="0"/>
        <v>7300</v>
      </c>
      <c r="AL10" s="1"/>
    </row>
    <row r="11" spans="2:38">
      <c r="B11" s="2">
        <v>1000</v>
      </c>
      <c r="C11" s="2">
        <v>17</v>
      </c>
      <c r="D11" s="36">
        <f t="shared" si="1"/>
        <v>17000</v>
      </c>
      <c r="E11" s="1"/>
      <c r="F11" s="2">
        <v>1000</v>
      </c>
      <c r="G11" s="2">
        <v>57</v>
      </c>
      <c r="H11" s="36">
        <f t="shared" si="2"/>
        <v>57000</v>
      </c>
      <c r="I11" s="1"/>
      <c r="J11" s="2">
        <v>1000</v>
      </c>
      <c r="K11" s="2">
        <v>28</v>
      </c>
      <c r="L11" s="36">
        <f t="shared" si="3"/>
        <v>28000</v>
      </c>
      <c r="M11" s="1"/>
      <c r="N11" s="2">
        <v>1000</v>
      </c>
      <c r="O11" s="2">
        <v>27</v>
      </c>
      <c r="P11" s="36">
        <f t="shared" si="4"/>
        <v>27000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129</v>
      </c>
      <c r="Y11" s="37">
        <f t="shared" si="6"/>
        <v>129000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317</v>
      </c>
      <c r="AK11" s="36">
        <f t="shared" si="0"/>
        <v>158500</v>
      </c>
      <c r="AL11" s="1"/>
    </row>
    <row r="12" spans="2:38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5</v>
      </c>
      <c r="H12" s="36">
        <f t="shared" si="2"/>
        <v>25000</v>
      </c>
      <c r="I12" s="1"/>
      <c r="J12" s="2">
        <v>5000</v>
      </c>
      <c r="K12" s="2">
        <v>4</v>
      </c>
      <c r="L12" s="36">
        <f t="shared" si="3"/>
        <v>20000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14</v>
      </c>
      <c r="Y12" s="37">
        <f t="shared" si="6"/>
        <v>70000</v>
      </c>
      <c r="Z12" s="13"/>
      <c r="AA12" s="1"/>
      <c r="AB12" s="1" t="s">
        <v>16</v>
      </c>
      <c r="AC12" s="5">
        <v>648020</v>
      </c>
      <c r="AD12" s="1">
        <v>385688</v>
      </c>
      <c r="AE12" s="52" t="s">
        <v>389</v>
      </c>
      <c r="AF12" s="1" t="s">
        <v>69</v>
      </c>
      <c r="AG12" s="1"/>
      <c r="AH12" s="1"/>
      <c r="AI12" s="2">
        <v>1000</v>
      </c>
      <c r="AJ12" s="2">
        <v>269</v>
      </c>
      <c r="AK12" s="36">
        <f t="shared" si="0"/>
        <v>269000</v>
      </c>
      <c r="AL12" s="1"/>
    </row>
    <row r="13" spans="2:38" ht="15.75" thickBot="1">
      <c r="B13" s="3" t="s">
        <v>17</v>
      </c>
      <c r="C13" s="3"/>
      <c r="D13" s="6">
        <f>+SUM(D5:D12)</f>
        <v>40440</v>
      </c>
      <c r="E13" s="1"/>
      <c r="F13" s="3" t="s">
        <v>17</v>
      </c>
      <c r="G13" s="3"/>
      <c r="H13" s="6">
        <f>+SUM(H5:H12)</f>
        <v>100480</v>
      </c>
      <c r="I13" s="1"/>
      <c r="J13" s="3" t="s">
        <v>17</v>
      </c>
      <c r="K13" s="3"/>
      <c r="L13" s="6">
        <f>+SUM(L5:L12)</f>
        <v>78290</v>
      </c>
      <c r="M13" s="1"/>
      <c r="N13" s="3" t="s">
        <v>17</v>
      </c>
      <c r="O13" s="3"/>
      <c r="P13" s="6">
        <f>+SUM(P5:P12)</f>
        <v>61880</v>
      </c>
      <c r="Q13" s="1"/>
      <c r="R13" s="3" t="s">
        <v>17</v>
      </c>
      <c r="S13" s="3"/>
      <c r="T13" s="6">
        <f>+SUM(T5:T12)</f>
        <v>0</v>
      </c>
      <c r="U13" s="1"/>
      <c r="V13" s="12"/>
      <c r="W13" s="3" t="s">
        <v>17</v>
      </c>
      <c r="X13" s="3"/>
      <c r="Y13" s="6">
        <f>+SUM(Y5:Y12)</f>
        <v>281090</v>
      </c>
      <c r="Z13" s="13"/>
      <c r="AA13" s="1"/>
      <c r="AB13" s="1" t="s">
        <v>18</v>
      </c>
      <c r="AC13" s="5">
        <v>1020</v>
      </c>
      <c r="AD13" s="1"/>
      <c r="AE13" s="1"/>
      <c r="AF13" s="1"/>
      <c r="AG13" s="1"/>
      <c r="AH13" s="1"/>
      <c r="AI13" s="2">
        <v>5000</v>
      </c>
      <c r="AJ13" s="2">
        <v>41</v>
      </c>
      <c r="AK13" s="36">
        <f t="shared" si="0"/>
        <v>205000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649040</v>
      </c>
      <c r="AL14" s="1"/>
    </row>
    <row r="15" spans="2:38" ht="15.75" thickBot="1">
      <c r="B15" s="128" t="s">
        <v>20</v>
      </c>
      <c r="C15" s="129"/>
      <c r="D15" s="8">
        <v>46880</v>
      </c>
      <c r="E15" s="30"/>
      <c r="F15" s="128" t="s">
        <v>20</v>
      </c>
      <c r="G15" s="129"/>
      <c r="H15" s="8">
        <v>100478</v>
      </c>
      <c r="I15" s="30"/>
      <c r="J15" s="128" t="s">
        <v>20</v>
      </c>
      <c r="K15" s="129"/>
      <c r="L15" s="8">
        <v>97320</v>
      </c>
      <c r="M15" s="30"/>
      <c r="N15" s="128" t="s">
        <v>20</v>
      </c>
      <c r="O15" s="129"/>
      <c r="P15" s="8">
        <v>99410</v>
      </c>
      <c r="Q15" s="30"/>
      <c r="R15" s="128" t="s">
        <v>20</v>
      </c>
      <c r="S15" s="129"/>
      <c r="T15" s="8"/>
      <c r="U15" s="30"/>
      <c r="V15" s="31"/>
      <c r="W15" s="128" t="s">
        <v>20</v>
      </c>
      <c r="X15" s="129"/>
      <c r="Y15" s="8">
        <f>+D15+H15+L15+P15+T15</f>
        <v>344088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40440</v>
      </c>
      <c r="E16" s="1"/>
      <c r="F16" s="1" t="s">
        <v>9</v>
      </c>
      <c r="G16" s="1"/>
      <c r="H16" s="5">
        <f>+H13</f>
        <v>100480</v>
      </c>
      <c r="I16" s="1"/>
      <c r="J16" s="1" t="s">
        <v>9</v>
      </c>
      <c r="K16" s="1"/>
      <c r="L16" s="5">
        <f>+L13</f>
        <v>78290</v>
      </c>
      <c r="M16" s="1"/>
      <c r="N16" s="1" t="s">
        <v>9</v>
      </c>
      <c r="O16" s="1"/>
      <c r="P16" s="5">
        <f>+P13</f>
        <v>61880</v>
      </c>
      <c r="Q16" s="1"/>
      <c r="R16" s="1" t="s">
        <v>9</v>
      </c>
      <c r="S16" s="1"/>
      <c r="T16" s="5">
        <f>+T13</f>
        <v>0</v>
      </c>
      <c r="U16" s="1"/>
      <c r="V16" s="12"/>
      <c r="W16" s="40" t="s">
        <v>9</v>
      </c>
      <c r="X16" s="40"/>
      <c r="Y16" s="37">
        <f>+D16+H16+L16+P16+T16</f>
        <v>281090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0</v>
      </c>
      <c r="Z17" s="13"/>
      <c r="AA17" s="1"/>
      <c r="AB17" s="48" t="s">
        <v>11</v>
      </c>
      <c r="AC17" s="49">
        <f>+SUM(AC12:AC16)</f>
        <v>649040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23</v>
      </c>
      <c r="C18" s="1"/>
      <c r="D18" s="5"/>
      <c r="E18" s="1"/>
      <c r="F18" s="1" t="s">
        <v>23</v>
      </c>
      <c r="G18" s="1"/>
      <c r="H18" s="5"/>
      <c r="I18" s="1"/>
      <c r="J18" s="1" t="s">
        <v>375</v>
      </c>
      <c r="K18" s="1" t="s">
        <v>376</v>
      </c>
      <c r="L18" s="5">
        <v>8615</v>
      </c>
      <c r="M18" s="1"/>
      <c r="N18" s="1" t="s">
        <v>202</v>
      </c>
      <c r="O18" s="1" t="s">
        <v>362</v>
      </c>
      <c r="P18" s="5">
        <v>11836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20451</v>
      </c>
      <c r="Z18" s="13"/>
      <c r="AA18" s="1"/>
      <c r="AB18" s="50" t="s">
        <v>24</v>
      </c>
      <c r="AC18" s="51">
        <f>+AC17-AC9</f>
        <v>127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26</v>
      </c>
      <c r="G19" s="1"/>
      <c r="H19" s="5"/>
      <c r="I19" s="1"/>
      <c r="J19" s="1" t="s">
        <v>200</v>
      </c>
      <c r="K19" s="1" t="s">
        <v>377</v>
      </c>
      <c r="L19" s="5">
        <v>4000</v>
      </c>
      <c r="M19" s="1"/>
      <c r="N19" s="1" t="s">
        <v>363</v>
      </c>
      <c r="O19" s="1" t="s">
        <v>364</v>
      </c>
      <c r="P19" s="5">
        <v>6811</v>
      </c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10811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200</v>
      </c>
      <c r="O20" s="1" t="s">
        <v>365</v>
      </c>
      <c r="P20" s="5">
        <v>3912</v>
      </c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3912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370</v>
      </c>
      <c r="C23" s="2" t="s">
        <v>371</v>
      </c>
      <c r="D23" s="5">
        <v>3394</v>
      </c>
      <c r="E23" s="1"/>
      <c r="F23" s="1" t="s">
        <v>35</v>
      </c>
      <c r="G23" s="1"/>
      <c r="H23" s="5"/>
      <c r="I23" s="1"/>
      <c r="J23" s="1" t="s">
        <v>35</v>
      </c>
      <c r="K23" s="2"/>
      <c r="L23" s="5"/>
      <c r="M23" s="1"/>
      <c r="N23" s="1" t="s">
        <v>366</v>
      </c>
      <c r="O23" s="1" t="s">
        <v>151</v>
      </c>
      <c r="P23" s="5">
        <v>4869</v>
      </c>
      <c r="Q23" s="1"/>
      <c r="R23" s="1" t="s">
        <v>35</v>
      </c>
      <c r="S23" s="1"/>
      <c r="T23" s="5"/>
      <c r="U23" s="1"/>
      <c r="V23" s="12"/>
      <c r="W23" s="40" t="s">
        <v>35</v>
      </c>
      <c r="X23" s="40"/>
      <c r="Y23" s="37">
        <f t="shared" si="8"/>
        <v>8263</v>
      </c>
      <c r="Z23" s="13"/>
      <c r="AA23" s="1"/>
      <c r="AB23" s="70" t="s">
        <v>361</v>
      </c>
      <c r="AC23" s="84">
        <v>45950</v>
      </c>
      <c r="AD23" s="70" t="s">
        <v>297</v>
      </c>
      <c r="AE23" s="70"/>
      <c r="AF23" s="70">
        <v>870</v>
      </c>
      <c r="AG23" s="1"/>
      <c r="AH23" s="1"/>
      <c r="AI23" s="16" t="s">
        <v>359</v>
      </c>
      <c r="AJ23" s="16" t="s">
        <v>360</v>
      </c>
      <c r="AK23" s="88">
        <v>45947</v>
      </c>
      <c r="AL23" s="69">
        <v>13290</v>
      </c>
    </row>
    <row r="24" spans="2:38">
      <c r="B24" s="1" t="s">
        <v>36</v>
      </c>
      <c r="C24" s="1" t="s">
        <v>247</v>
      </c>
      <c r="D24" s="5">
        <v>1000</v>
      </c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368</v>
      </c>
      <c r="O24" s="1" t="s">
        <v>367</v>
      </c>
      <c r="P24" s="5">
        <v>7502</v>
      </c>
      <c r="Q24" s="1"/>
      <c r="R24" s="1" t="s">
        <v>36</v>
      </c>
      <c r="S24" s="1"/>
      <c r="T24" s="5"/>
      <c r="U24" s="1"/>
      <c r="V24" s="12"/>
      <c r="W24" s="40" t="s">
        <v>36</v>
      </c>
      <c r="X24" s="40"/>
      <c r="Y24" s="37">
        <f t="shared" si="8"/>
        <v>8502</v>
      </c>
      <c r="Z24" s="13"/>
      <c r="AA24" s="1"/>
      <c r="AB24" s="70" t="s">
        <v>372</v>
      </c>
      <c r="AC24" s="83">
        <v>45962</v>
      </c>
      <c r="AD24" s="70" t="s">
        <v>52</v>
      </c>
      <c r="AE24" s="70"/>
      <c r="AF24" s="70">
        <v>53000</v>
      </c>
      <c r="AG24" s="1"/>
      <c r="AH24" s="1"/>
      <c r="AI24" s="16" t="s">
        <v>297</v>
      </c>
      <c r="AJ24" s="70" t="s">
        <v>361</v>
      </c>
      <c r="AK24" s="71">
        <v>45950</v>
      </c>
      <c r="AL24" s="69">
        <v>4710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37</v>
      </c>
      <c r="S25" s="1"/>
      <c r="T25" s="5"/>
      <c r="U25" s="1"/>
      <c r="V25" s="12"/>
      <c r="W25" s="40" t="s">
        <v>37</v>
      </c>
      <c r="X25" s="40"/>
      <c r="Y25" s="37">
        <f t="shared" si="8"/>
        <v>0</v>
      </c>
      <c r="Z25" s="13"/>
      <c r="AA25" s="1"/>
      <c r="AB25" s="70" t="s">
        <v>374</v>
      </c>
      <c r="AC25" s="74">
        <v>45957</v>
      </c>
      <c r="AD25" s="70" t="s">
        <v>373</v>
      </c>
      <c r="AE25" s="70"/>
      <c r="AF25" s="76">
        <v>100000</v>
      </c>
      <c r="AG25" s="1"/>
      <c r="AH25" s="1"/>
      <c r="AI25" s="16" t="s">
        <v>306</v>
      </c>
      <c r="AJ25" s="16" t="s">
        <v>146</v>
      </c>
      <c r="AK25" s="70" t="s">
        <v>86</v>
      </c>
      <c r="AL25" s="69">
        <v>9000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381</v>
      </c>
      <c r="AC26" s="74">
        <v>45960</v>
      </c>
      <c r="AD26" s="70" t="s">
        <v>382</v>
      </c>
      <c r="AE26" s="70"/>
      <c r="AF26" s="70">
        <v>29600</v>
      </c>
      <c r="AG26" s="1"/>
      <c r="AH26" s="1"/>
      <c r="AI26" s="16" t="s">
        <v>219</v>
      </c>
      <c r="AJ26" s="16" t="s">
        <v>90</v>
      </c>
      <c r="AK26" s="70" t="s">
        <v>378</v>
      </c>
      <c r="AL26" s="69">
        <v>9970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71</v>
      </c>
      <c r="AC27" s="74">
        <v>45959</v>
      </c>
      <c r="AD27" s="70" t="s">
        <v>230</v>
      </c>
      <c r="AE27" s="70"/>
      <c r="AF27" s="70">
        <v>3819</v>
      </c>
      <c r="AG27" s="1"/>
      <c r="AH27" s="1"/>
      <c r="AI27" s="16" t="s">
        <v>380</v>
      </c>
      <c r="AJ27" s="16" t="s">
        <v>63</v>
      </c>
      <c r="AK27" s="70" t="s">
        <v>379</v>
      </c>
      <c r="AL27" s="69">
        <v>6011</v>
      </c>
    </row>
    <row r="28" spans="2:38" ht="15.75" thickBot="1">
      <c r="B28" s="125" t="s">
        <v>11</v>
      </c>
      <c r="C28" s="126"/>
      <c r="D28" s="9">
        <f>+SUM(D16:D27)</f>
        <v>44834</v>
      </c>
      <c r="E28" s="1"/>
      <c r="F28" s="125" t="s">
        <v>11</v>
      </c>
      <c r="G28" s="126"/>
      <c r="H28" s="9">
        <f>+SUM(H16:H27)</f>
        <v>100480</v>
      </c>
      <c r="I28" s="1"/>
      <c r="J28" s="125" t="s">
        <v>11</v>
      </c>
      <c r="K28" s="126"/>
      <c r="L28" s="9">
        <f>+SUM(L16:L27)</f>
        <v>90905</v>
      </c>
      <c r="M28" s="1"/>
      <c r="N28" s="125" t="s">
        <v>11</v>
      </c>
      <c r="O28" s="126"/>
      <c r="P28" s="9">
        <f>+SUM(P16:P27)</f>
        <v>96810</v>
      </c>
      <c r="Q28" s="1"/>
      <c r="R28" s="125" t="s">
        <v>11</v>
      </c>
      <c r="S28" s="126"/>
      <c r="T28" s="9">
        <f>+SUM(T16:T27)</f>
        <v>0</v>
      </c>
      <c r="U28" s="1"/>
      <c r="V28" s="12"/>
      <c r="W28" s="125" t="s">
        <v>11</v>
      </c>
      <c r="X28" s="126"/>
      <c r="Y28" s="9">
        <f>+SUM(Y16:Y27)</f>
        <v>333029</v>
      </c>
      <c r="Z28" s="13"/>
      <c r="AA28" s="1"/>
      <c r="AB28" s="70" t="s">
        <v>383</v>
      </c>
      <c r="AC28" s="83">
        <v>45962</v>
      </c>
      <c r="AD28" s="70" t="s">
        <v>49</v>
      </c>
      <c r="AE28" s="70"/>
      <c r="AF28" s="76">
        <v>177000</v>
      </c>
      <c r="AG28" s="1"/>
      <c r="AH28" s="1"/>
      <c r="AI28" s="16" t="s">
        <v>258</v>
      </c>
      <c r="AJ28" s="20" t="s">
        <v>65</v>
      </c>
      <c r="AK28" s="16" t="s">
        <v>384</v>
      </c>
      <c r="AL28" s="69">
        <v>20200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65</v>
      </c>
      <c r="AC29" s="89">
        <v>45971</v>
      </c>
      <c r="AD29" s="70" t="s">
        <v>309</v>
      </c>
      <c r="AE29" s="16"/>
      <c r="AF29" s="70">
        <v>3534</v>
      </c>
      <c r="AG29" s="1"/>
      <c r="AH29" s="1"/>
      <c r="AI29" s="70" t="s">
        <v>49</v>
      </c>
      <c r="AJ29" s="70" t="s">
        <v>383</v>
      </c>
      <c r="AK29" s="83">
        <v>45962</v>
      </c>
      <c r="AL29" s="69">
        <v>23000</v>
      </c>
    </row>
    <row r="30" spans="2:38" ht="15.75" thickBot="1">
      <c r="B30" s="127" t="s">
        <v>39</v>
      </c>
      <c r="C30" s="127"/>
      <c r="D30" s="7">
        <f>+D28-D15</f>
        <v>-2046</v>
      </c>
      <c r="E30" s="1"/>
      <c r="F30" s="127" t="s">
        <v>39</v>
      </c>
      <c r="G30" s="127"/>
      <c r="H30" s="7">
        <f>+H28-H15</f>
        <v>2</v>
      </c>
      <c r="I30" s="1"/>
      <c r="J30" s="127" t="s">
        <v>39</v>
      </c>
      <c r="K30" s="127"/>
      <c r="L30" s="7">
        <f>+L28-L15</f>
        <v>-6415</v>
      </c>
      <c r="M30" s="1"/>
      <c r="N30" s="127" t="s">
        <v>39</v>
      </c>
      <c r="O30" s="127"/>
      <c r="P30" s="7">
        <f>+P28-P15</f>
        <v>-2600</v>
      </c>
      <c r="Q30" s="1"/>
      <c r="R30" s="127" t="s">
        <v>39</v>
      </c>
      <c r="S30" s="127"/>
      <c r="T30" s="7">
        <f>+T28-T15</f>
        <v>0</v>
      </c>
      <c r="U30" s="1"/>
      <c r="V30" s="12"/>
      <c r="W30" s="124" t="s">
        <v>39</v>
      </c>
      <c r="X30" s="124"/>
      <c r="Y30" s="41">
        <f>+Y28-Y15</f>
        <v>-11059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>
        <v>6415</v>
      </c>
      <c r="M34" s="1"/>
      <c r="N34" s="10" t="s">
        <v>40</v>
      </c>
      <c r="O34" s="11"/>
      <c r="P34" s="21"/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6415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369</v>
      </c>
      <c r="C35" s="16"/>
      <c r="D35" s="22">
        <v>2080</v>
      </c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369</v>
      </c>
      <c r="O35" s="16"/>
      <c r="P35" s="22">
        <v>2600</v>
      </c>
      <c r="Q35" s="1"/>
      <c r="R35" s="12" t="s">
        <v>41</v>
      </c>
      <c r="S35" s="16"/>
      <c r="T35" s="22"/>
      <c r="U35" s="1"/>
      <c r="V35" s="1"/>
      <c r="W35" s="45" t="s">
        <v>41</v>
      </c>
      <c r="X35" s="40"/>
      <c r="Y35" s="46">
        <f t="shared" ref="Y35:Y36" si="9">+D35+H35+L35+P35+T35</f>
        <v>4680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-34</v>
      </c>
      <c r="E36" s="1"/>
      <c r="F36" s="12" t="s">
        <v>43</v>
      </c>
      <c r="G36" s="16"/>
      <c r="H36" s="22">
        <v>-2</v>
      </c>
      <c r="I36" s="1"/>
      <c r="J36" s="12" t="s">
        <v>43</v>
      </c>
      <c r="K36" s="16"/>
      <c r="L36" s="22"/>
      <c r="M36" s="1"/>
      <c r="N36" s="12" t="s">
        <v>43</v>
      </c>
      <c r="O36" s="16"/>
      <c r="P36" s="22"/>
      <c r="Q36" s="1"/>
      <c r="R36" s="12" t="s">
        <v>45</v>
      </c>
      <c r="S36" s="16"/>
      <c r="T36" s="22"/>
      <c r="U36" s="1"/>
      <c r="V36" s="1"/>
      <c r="W36" s="45" t="s">
        <v>42</v>
      </c>
      <c r="X36" s="40"/>
      <c r="Y36" s="46">
        <f t="shared" si="9"/>
        <v>-36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2046</v>
      </c>
      <c r="E37" s="1"/>
      <c r="F37" s="12" t="s">
        <v>17</v>
      </c>
      <c r="G37" s="16"/>
      <c r="H37" s="22">
        <f>+SUM(H34:H36)</f>
        <v>-2</v>
      </c>
      <c r="I37" s="1"/>
      <c r="J37" s="12" t="s">
        <v>17</v>
      </c>
      <c r="K37" s="16"/>
      <c r="L37" s="22">
        <f>+SUM(L34:L36)</f>
        <v>6415</v>
      </c>
      <c r="M37" s="1"/>
      <c r="N37" s="12" t="s">
        <v>17</v>
      </c>
      <c r="O37" s="16"/>
      <c r="P37" s="22">
        <f>+SUM(P34:P36)</f>
        <v>2600</v>
      </c>
      <c r="Q37" s="1"/>
      <c r="R37" s="12" t="s">
        <v>17</v>
      </c>
      <c r="S37" s="16"/>
      <c r="T37" s="22">
        <f>+SUM(T34:T36)</f>
        <v>0</v>
      </c>
      <c r="U37" s="1"/>
      <c r="V37" s="1"/>
      <c r="W37" s="33" t="s">
        <v>17</v>
      </c>
      <c r="X37" s="34"/>
      <c r="Y37" s="35">
        <f>+SUM(Y34:Y36)</f>
        <v>11059</v>
      </c>
      <c r="Z37" s="1"/>
      <c r="AA37" s="1"/>
      <c r="AB37" s="60" t="s">
        <v>38</v>
      </c>
      <c r="AC37" s="60"/>
      <c r="AD37" s="60"/>
      <c r="AE37" s="60"/>
      <c r="AF37" s="55">
        <f>+SUM(AF23:AF36)</f>
        <v>367823</v>
      </c>
      <c r="AG37" s="1"/>
      <c r="AH37" s="1"/>
      <c r="AI37" s="60" t="s">
        <v>38</v>
      </c>
      <c r="AJ37" s="60"/>
      <c r="AK37" s="60"/>
      <c r="AL37" s="67">
        <f>+SUM(AL23:AL36)</f>
        <v>86181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2:AL39"/>
  <sheetViews>
    <sheetView topLeftCell="A10" zoomScale="90" zoomScaleNormal="90" workbookViewId="0">
      <selection activeCell="AB14" sqref="AB14"/>
    </sheetView>
  </sheetViews>
  <sheetFormatPr defaultRowHeight="15"/>
  <cols>
    <col min="3" max="3" width="12.140625" customWidth="1"/>
    <col min="5" max="5" width="0.42578125" customWidth="1"/>
    <col min="7" max="7" width="13" customWidth="1"/>
    <col min="9" max="9" width="0.42578125" customWidth="1"/>
    <col min="11" max="11" width="14.28515625" customWidth="1"/>
    <col min="13" max="13" width="0.5703125" customWidth="1"/>
    <col min="15" max="15" width="14.28515625" customWidth="1"/>
    <col min="16" max="16" width="9.5703125" bestFit="1" customWidth="1"/>
    <col min="17" max="17" width="0.5703125" customWidth="1"/>
    <col min="19" max="19" width="15.42578125" customWidth="1"/>
    <col min="20" max="20" width="9.140625" customWidth="1"/>
    <col min="21" max="21" width="0.42578125" customWidth="1"/>
    <col min="22" max="22" width="0.28515625" customWidth="1"/>
    <col min="26" max="27" width="0.42578125" customWidth="1"/>
    <col min="29" max="29" width="10.140625" customWidth="1"/>
    <col min="30" max="30" width="11.42578125" customWidth="1"/>
    <col min="33" max="33" width="0.85546875" customWidth="1"/>
    <col min="34" max="34" width="9.140625" hidden="1" customWidth="1"/>
    <col min="37" max="37" width="14.85546875" bestFit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72</v>
      </c>
      <c r="D6" s="36">
        <f>+C6*B6</f>
        <v>720</v>
      </c>
      <c r="E6" s="1"/>
      <c r="F6" s="2">
        <v>10</v>
      </c>
      <c r="G6" s="2">
        <v>327</v>
      </c>
      <c r="H6" s="36">
        <f>+G6*F6</f>
        <v>3270</v>
      </c>
      <c r="I6" s="1"/>
      <c r="J6" s="2">
        <v>10</v>
      </c>
      <c r="K6" s="2">
        <v>1</v>
      </c>
      <c r="L6" s="36">
        <f>+K6*J6</f>
        <v>10</v>
      </c>
      <c r="M6" s="1"/>
      <c r="N6" s="2">
        <v>10</v>
      </c>
      <c r="O6" s="2">
        <v>35</v>
      </c>
      <c r="P6" s="36">
        <f>+O6*N6</f>
        <v>350</v>
      </c>
      <c r="Q6" s="1"/>
      <c r="R6" s="2">
        <v>10</v>
      </c>
      <c r="S6" s="2">
        <v>1031</v>
      </c>
      <c r="T6" s="36">
        <f>+S6*R6</f>
        <v>10310</v>
      </c>
      <c r="U6" s="1"/>
      <c r="V6" s="12"/>
      <c r="W6" s="39">
        <v>10</v>
      </c>
      <c r="X6" s="39">
        <f>+C6+G6+K6+O6+S6</f>
        <v>1466</v>
      </c>
      <c r="Y6" s="37">
        <f>+D6+H6+L6+P6+T6</f>
        <v>14660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18</v>
      </c>
      <c r="D7" s="36">
        <f t="shared" ref="D7:D12" si="1">+C7*B7</f>
        <v>360</v>
      </c>
      <c r="E7" s="1"/>
      <c r="F7" s="2">
        <v>20</v>
      </c>
      <c r="G7" s="2">
        <v>74</v>
      </c>
      <c r="H7" s="36">
        <f t="shared" ref="H7:H12" si="2">+G7*F7</f>
        <v>1480</v>
      </c>
      <c r="I7" s="1"/>
      <c r="J7" s="2">
        <v>20</v>
      </c>
      <c r="K7" s="2">
        <v>1</v>
      </c>
      <c r="L7" s="36">
        <f t="shared" ref="L7:L12" si="3">+K7*J7</f>
        <v>20</v>
      </c>
      <c r="M7" s="1"/>
      <c r="N7" s="2">
        <v>20</v>
      </c>
      <c r="O7" s="2">
        <v>1</v>
      </c>
      <c r="P7" s="36">
        <f t="shared" ref="P7:P12" si="4">+O7*N7</f>
        <v>20</v>
      </c>
      <c r="Q7" s="1"/>
      <c r="R7" s="2">
        <v>20</v>
      </c>
      <c r="S7" s="2">
        <v>221</v>
      </c>
      <c r="T7" s="36">
        <f t="shared" ref="T7:T12" si="5">+S7*R7</f>
        <v>4420</v>
      </c>
      <c r="U7" s="1"/>
      <c r="V7" s="12"/>
      <c r="W7" s="39">
        <v>20</v>
      </c>
      <c r="X7" s="39">
        <f>+C7+G7+K7+O7+S7</f>
        <v>315</v>
      </c>
      <c r="Y7" s="37">
        <f t="shared" ref="Y7:Y12" si="6">+D7+H7+L7+P7+T7</f>
        <v>6300</v>
      </c>
      <c r="Z7" s="13"/>
      <c r="AA7" s="1"/>
      <c r="AB7" s="56" t="s">
        <v>9</v>
      </c>
      <c r="AC7" s="57">
        <f>Y13</f>
        <v>515210</v>
      </c>
      <c r="AD7" s="26"/>
      <c r="AE7" s="26"/>
      <c r="AF7" s="26"/>
      <c r="AG7" s="26"/>
      <c r="AH7" s="1"/>
      <c r="AI7" s="2">
        <v>10</v>
      </c>
      <c r="AJ7" s="2">
        <v>1470</v>
      </c>
      <c r="AK7" s="36">
        <f t="shared" si="0"/>
        <v>14700</v>
      </c>
      <c r="AL7" s="1"/>
    </row>
    <row r="8" spans="2:38">
      <c r="B8" s="2">
        <v>50</v>
      </c>
      <c r="C8" s="2">
        <v>19</v>
      </c>
      <c r="D8" s="36">
        <f t="shared" si="1"/>
        <v>950</v>
      </c>
      <c r="E8" s="1"/>
      <c r="F8" s="2">
        <v>50</v>
      </c>
      <c r="G8" s="2">
        <v>39</v>
      </c>
      <c r="H8" s="36">
        <f t="shared" si="2"/>
        <v>1950</v>
      </c>
      <c r="I8" s="1"/>
      <c r="J8" s="2">
        <v>50</v>
      </c>
      <c r="K8" s="2">
        <v>34</v>
      </c>
      <c r="L8" s="36">
        <f t="shared" si="3"/>
        <v>1700</v>
      </c>
      <c r="M8" s="1"/>
      <c r="N8" s="2">
        <v>50</v>
      </c>
      <c r="O8" s="2">
        <v>66</v>
      </c>
      <c r="P8" s="36">
        <f t="shared" si="4"/>
        <v>3300</v>
      </c>
      <c r="Q8" s="1"/>
      <c r="R8" s="2">
        <v>50</v>
      </c>
      <c r="S8" s="2">
        <v>181</v>
      </c>
      <c r="T8" s="36">
        <f t="shared" si="5"/>
        <v>9050</v>
      </c>
      <c r="U8" s="1"/>
      <c r="V8" s="12"/>
      <c r="W8" s="39">
        <v>50</v>
      </c>
      <c r="X8" s="39">
        <f t="shared" ref="X8:X12" si="7">+C8+G8+K8+O8+S8</f>
        <v>339</v>
      </c>
      <c r="Y8" s="37">
        <f t="shared" si="6"/>
        <v>16950</v>
      </c>
      <c r="Z8" s="13"/>
      <c r="AA8" s="1"/>
      <c r="AB8" s="53" t="s">
        <v>10</v>
      </c>
      <c r="AC8" s="53">
        <f>+AF37</f>
        <v>292403</v>
      </c>
      <c r="AD8" s="1"/>
      <c r="AE8" s="1"/>
      <c r="AF8" s="1"/>
      <c r="AG8" s="1"/>
      <c r="AH8" s="1"/>
      <c r="AI8" s="2">
        <v>20</v>
      </c>
      <c r="AJ8" s="2">
        <v>316</v>
      </c>
      <c r="AK8" s="36">
        <f t="shared" si="0"/>
        <v>6320</v>
      </c>
      <c r="AL8" s="1"/>
    </row>
    <row r="9" spans="2:38" ht="15.75" thickBot="1">
      <c r="B9" s="2">
        <v>100</v>
      </c>
      <c r="C9" s="2">
        <v>17</v>
      </c>
      <c r="D9" s="36">
        <f t="shared" si="1"/>
        <v>1700</v>
      </c>
      <c r="E9" s="1"/>
      <c r="F9" s="2">
        <v>100</v>
      </c>
      <c r="G9" s="2">
        <v>28</v>
      </c>
      <c r="H9" s="36">
        <f t="shared" si="2"/>
        <v>2800</v>
      </c>
      <c r="I9" s="1"/>
      <c r="J9" s="2">
        <v>100</v>
      </c>
      <c r="K9" s="2">
        <v>29</v>
      </c>
      <c r="L9" s="36">
        <f t="shared" si="3"/>
        <v>2900</v>
      </c>
      <c r="M9" s="1"/>
      <c r="N9" s="2">
        <v>100</v>
      </c>
      <c r="O9" s="2">
        <v>41</v>
      </c>
      <c r="P9" s="36">
        <f t="shared" si="4"/>
        <v>4100</v>
      </c>
      <c r="Q9" s="1"/>
      <c r="R9" s="2">
        <v>100</v>
      </c>
      <c r="S9" s="2">
        <v>73</v>
      </c>
      <c r="T9" s="36">
        <f t="shared" si="5"/>
        <v>7300</v>
      </c>
      <c r="U9" s="1"/>
      <c r="V9" s="12"/>
      <c r="W9" s="39">
        <v>100</v>
      </c>
      <c r="X9" s="39">
        <f t="shared" si="7"/>
        <v>188</v>
      </c>
      <c r="Y9" s="37">
        <f t="shared" si="6"/>
        <v>18800</v>
      </c>
      <c r="Z9" s="13"/>
      <c r="AA9" s="1"/>
      <c r="AB9" s="58" t="s">
        <v>11</v>
      </c>
      <c r="AC9" s="59">
        <f>SUM(AC7:AC8)</f>
        <v>807613</v>
      </c>
      <c r="AD9" s="1"/>
      <c r="AE9" s="1"/>
      <c r="AF9" s="1"/>
      <c r="AG9" s="1"/>
      <c r="AH9" s="1"/>
      <c r="AI9" s="2">
        <v>50</v>
      </c>
      <c r="AJ9" s="2">
        <v>458</v>
      </c>
      <c r="AK9" s="36">
        <f t="shared" si="0"/>
        <v>22900</v>
      </c>
      <c r="AL9" s="1"/>
    </row>
    <row r="10" spans="2:38">
      <c r="B10" s="2">
        <v>500</v>
      </c>
      <c r="C10" s="2">
        <v>23</v>
      </c>
      <c r="D10" s="36">
        <f t="shared" si="1"/>
        <v>11500</v>
      </c>
      <c r="E10" s="1"/>
      <c r="F10" s="2">
        <v>500</v>
      </c>
      <c r="G10" s="2">
        <v>42</v>
      </c>
      <c r="H10" s="36">
        <f t="shared" si="2"/>
        <v>21000</v>
      </c>
      <c r="I10" s="1"/>
      <c r="J10" s="2">
        <v>500</v>
      </c>
      <c r="K10" s="2">
        <v>36</v>
      </c>
      <c r="L10" s="36">
        <f t="shared" si="3"/>
        <v>18000</v>
      </c>
      <c r="M10" s="1"/>
      <c r="N10" s="2">
        <v>500</v>
      </c>
      <c r="O10" s="2">
        <v>62</v>
      </c>
      <c r="P10" s="36">
        <f t="shared" si="4"/>
        <v>31000</v>
      </c>
      <c r="Q10" s="1"/>
      <c r="R10" s="2">
        <v>500</v>
      </c>
      <c r="S10" s="2">
        <v>62</v>
      </c>
      <c r="T10" s="36">
        <f t="shared" si="5"/>
        <v>31000</v>
      </c>
      <c r="U10" s="1"/>
      <c r="V10" s="12"/>
      <c r="W10" s="39">
        <v>500</v>
      </c>
      <c r="X10" s="39">
        <f t="shared" si="7"/>
        <v>225</v>
      </c>
      <c r="Y10" s="37">
        <f t="shared" si="6"/>
        <v>112500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297</v>
      </c>
      <c r="AK10" s="36">
        <f t="shared" si="0"/>
        <v>29700</v>
      </c>
      <c r="AL10" s="1"/>
    </row>
    <row r="11" spans="2:38">
      <c r="B11" s="2">
        <v>1000</v>
      </c>
      <c r="C11" s="2">
        <v>34</v>
      </c>
      <c r="D11" s="36">
        <f t="shared" si="1"/>
        <v>34000</v>
      </c>
      <c r="E11" s="1"/>
      <c r="F11" s="2">
        <v>1000</v>
      </c>
      <c r="G11" s="2">
        <v>39</v>
      </c>
      <c r="H11" s="36">
        <f t="shared" si="2"/>
        <v>39000</v>
      </c>
      <c r="I11" s="1"/>
      <c r="J11" s="2">
        <v>1000</v>
      </c>
      <c r="K11" s="2">
        <v>27</v>
      </c>
      <c r="L11" s="36">
        <f t="shared" si="3"/>
        <v>27000</v>
      </c>
      <c r="M11" s="1"/>
      <c r="N11" s="2">
        <v>1000</v>
      </c>
      <c r="O11" s="2">
        <v>46</v>
      </c>
      <c r="P11" s="36">
        <f t="shared" si="4"/>
        <v>46000</v>
      </c>
      <c r="Q11" s="1"/>
      <c r="R11" s="2">
        <v>1000</v>
      </c>
      <c r="S11" s="2">
        <v>85</v>
      </c>
      <c r="T11" s="36">
        <f t="shared" si="5"/>
        <v>85000</v>
      </c>
      <c r="U11" s="1"/>
      <c r="V11" s="12"/>
      <c r="W11" s="39">
        <v>1000</v>
      </c>
      <c r="X11" s="39">
        <f t="shared" si="7"/>
        <v>231</v>
      </c>
      <c r="Y11" s="37">
        <f t="shared" si="6"/>
        <v>231000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294</v>
      </c>
      <c r="AK11" s="36">
        <f t="shared" si="0"/>
        <v>147000</v>
      </c>
      <c r="AL11" s="1"/>
    </row>
    <row r="12" spans="2:38">
      <c r="B12" s="2">
        <v>5000</v>
      </c>
      <c r="C12" s="2">
        <v>3</v>
      </c>
      <c r="D12" s="36">
        <f t="shared" si="1"/>
        <v>15000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>
        <v>15</v>
      </c>
      <c r="T12" s="36">
        <f t="shared" si="5"/>
        <v>75000</v>
      </c>
      <c r="U12" s="1"/>
      <c r="V12" s="12"/>
      <c r="W12" s="39">
        <v>5000</v>
      </c>
      <c r="X12" s="39">
        <f t="shared" si="7"/>
        <v>23</v>
      </c>
      <c r="Y12" s="37">
        <f t="shared" si="6"/>
        <v>115000</v>
      </c>
      <c r="Z12" s="13"/>
      <c r="AA12" s="1"/>
      <c r="AB12" s="1" t="s">
        <v>16</v>
      </c>
      <c r="AC12" s="5">
        <v>797620</v>
      </c>
      <c r="AD12" s="1">
        <v>796536</v>
      </c>
      <c r="AE12" s="52" t="s">
        <v>418</v>
      </c>
      <c r="AF12" s="1" t="s">
        <v>69</v>
      </c>
      <c r="AG12" s="1"/>
      <c r="AH12" s="1"/>
      <c r="AI12" s="2">
        <v>1000</v>
      </c>
      <c r="AJ12" s="2">
        <v>371</v>
      </c>
      <c r="AK12" s="36">
        <f t="shared" si="0"/>
        <v>371000</v>
      </c>
      <c r="AL12" s="1"/>
    </row>
    <row r="13" spans="2:38" ht="15.75" thickBot="1">
      <c r="B13" s="3" t="s">
        <v>17</v>
      </c>
      <c r="C13" s="3"/>
      <c r="D13" s="6">
        <f>+SUM(D5:D12)</f>
        <v>64230</v>
      </c>
      <c r="E13" s="1"/>
      <c r="F13" s="3" t="s">
        <v>17</v>
      </c>
      <c r="G13" s="3"/>
      <c r="H13" s="6">
        <f>+SUM(H5:H12)</f>
        <v>74500</v>
      </c>
      <c r="I13" s="1"/>
      <c r="J13" s="3" t="s">
        <v>17</v>
      </c>
      <c r="K13" s="3"/>
      <c r="L13" s="6">
        <f>+SUM(L5:L12)</f>
        <v>54630</v>
      </c>
      <c r="M13" s="1"/>
      <c r="N13" s="3" t="s">
        <v>17</v>
      </c>
      <c r="O13" s="3"/>
      <c r="P13" s="6">
        <f>+SUM(P5:P12)</f>
        <v>99770</v>
      </c>
      <c r="Q13" s="1"/>
      <c r="R13" s="3" t="s">
        <v>17</v>
      </c>
      <c r="S13" s="3"/>
      <c r="T13" s="6">
        <f>+SUM(T5:T12)</f>
        <v>222080</v>
      </c>
      <c r="U13" s="1"/>
      <c r="V13" s="12"/>
      <c r="W13" s="3" t="s">
        <v>17</v>
      </c>
      <c r="X13" s="3"/>
      <c r="Y13" s="6">
        <f>+SUM(Y5:Y12)</f>
        <v>515210</v>
      </c>
      <c r="Z13" s="13"/>
      <c r="AA13" s="1"/>
      <c r="AB13" s="1" t="s">
        <v>18</v>
      </c>
      <c r="AC13" s="5">
        <v>9000</v>
      </c>
      <c r="AD13" s="1"/>
      <c r="AE13" s="1"/>
      <c r="AF13" s="1"/>
      <c r="AG13" s="1"/>
      <c r="AH13" s="1"/>
      <c r="AI13" s="2">
        <v>5000</v>
      </c>
      <c r="AJ13" s="2">
        <v>43</v>
      </c>
      <c r="AK13" s="36">
        <f t="shared" si="0"/>
        <v>215000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417</v>
      </c>
      <c r="AC14" s="5"/>
      <c r="AD14" s="62">
        <v>380000</v>
      </c>
      <c r="AE14" s="1"/>
      <c r="AF14" s="1"/>
      <c r="AG14" s="1"/>
      <c r="AH14" s="1"/>
      <c r="AI14" s="3" t="s">
        <v>17</v>
      </c>
      <c r="AJ14" s="3"/>
      <c r="AK14" s="6">
        <f>+SUM(AK6:AK13)</f>
        <v>806620</v>
      </c>
      <c r="AL14" s="1"/>
    </row>
    <row r="15" spans="2:38" ht="15.75" thickBot="1">
      <c r="B15" s="128" t="s">
        <v>20</v>
      </c>
      <c r="C15" s="129"/>
      <c r="D15" s="8">
        <v>71566</v>
      </c>
      <c r="E15" s="30"/>
      <c r="F15" s="128" t="s">
        <v>20</v>
      </c>
      <c r="G15" s="129"/>
      <c r="H15" s="8">
        <v>93444</v>
      </c>
      <c r="I15" s="30"/>
      <c r="J15" s="128" t="s">
        <v>20</v>
      </c>
      <c r="K15" s="129"/>
      <c r="L15" s="8">
        <v>73068</v>
      </c>
      <c r="M15" s="30"/>
      <c r="N15" s="128" t="s">
        <v>20</v>
      </c>
      <c r="O15" s="129"/>
      <c r="P15" s="8">
        <v>103212</v>
      </c>
      <c r="Q15" s="30"/>
      <c r="R15" s="128" t="s">
        <v>20</v>
      </c>
      <c r="S15" s="129"/>
      <c r="T15" s="8">
        <v>410330</v>
      </c>
      <c r="U15" s="30"/>
      <c r="V15" s="31"/>
      <c r="W15" s="128" t="s">
        <v>20</v>
      </c>
      <c r="X15" s="129"/>
      <c r="Y15" s="8">
        <f>+D15+H15+L15+P15+T15</f>
        <v>751620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64230</v>
      </c>
      <c r="E16" s="1"/>
      <c r="F16" s="1" t="s">
        <v>9</v>
      </c>
      <c r="G16" s="1"/>
      <c r="H16" s="5">
        <f>+H13</f>
        <v>74500</v>
      </c>
      <c r="I16" s="1"/>
      <c r="J16" s="1" t="s">
        <v>9</v>
      </c>
      <c r="K16" s="1"/>
      <c r="L16" s="5">
        <f>+L13</f>
        <v>54630</v>
      </c>
      <c r="M16" s="1"/>
      <c r="N16" s="1" t="s">
        <v>9</v>
      </c>
      <c r="O16" s="1"/>
      <c r="P16" s="5">
        <f>+P13</f>
        <v>99770</v>
      </c>
      <c r="Q16" s="1"/>
      <c r="R16" s="1" t="s">
        <v>9</v>
      </c>
      <c r="S16" s="1"/>
      <c r="T16" s="5">
        <f>+T13</f>
        <v>222080</v>
      </c>
      <c r="U16" s="1"/>
      <c r="V16" s="12"/>
      <c r="W16" s="40" t="s">
        <v>9</v>
      </c>
      <c r="X16" s="40"/>
      <c r="Y16" s="37">
        <f>+D16+H16+L16+P16+T16</f>
        <v>515210</v>
      </c>
      <c r="Z16" s="13"/>
      <c r="AA16" s="1"/>
      <c r="AB16" s="1" t="s">
        <v>96</v>
      </c>
      <c r="AC16" s="5">
        <v>1000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>
        <v>850</v>
      </c>
      <c r="E17" s="1"/>
      <c r="F17" s="1" t="s">
        <v>16</v>
      </c>
      <c r="G17" s="1"/>
      <c r="H17" s="5"/>
      <c r="I17" s="1"/>
      <c r="J17" s="1" t="s">
        <v>16</v>
      </c>
      <c r="K17" s="1"/>
      <c r="L17" s="5">
        <v>3600</v>
      </c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4450</v>
      </c>
      <c r="Z17" s="13"/>
      <c r="AA17" s="1"/>
      <c r="AB17" s="48" t="s">
        <v>11</v>
      </c>
      <c r="AC17" s="49">
        <f>+SUM(AC12:AC16)</f>
        <v>807620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363</v>
      </c>
      <c r="C18" s="1" t="s">
        <v>391</v>
      </c>
      <c r="D18" s="5">
        <v>6487</v>
      </c>
      <c r="E18" s="1"/>
      <c r="F18" s="1" t="s">
        <v>204</v>
      </c>
      <c r="G18" s="1" t="s">
        <v>392</v>
      </c>
      <c r="H18" s="5">
        <v>7000</v>
      </c>
      <c r="I18" s="1"/>
      <c r="J18" s="1" t="s">
        <v>202</v>
      </c>
      <c r="K18" s="1" t="s">
        <v>397</v>
      </c>
      <c r="L18" s="5">
        <v>10620</v>
      </c>
      <c r="M18" s="1"/>
      <c r="N18" s="1" t="s">
        <v>202</v>
      </c>
      <c r="O18" s="1" t="s">
        <v>390</v>
      </c>
      <c r="P18" s="5">
        <v>3451</v>
      </c>
      <c r="Q18" s="1"/>
      <c r="R18" s="1" t="s">
        <v>411</v>
      </c>
      <c r="S18" s="1" t="s">
        <v>412</v>
      </c>
      <c r="T18" s="5">
        <v>37863</v>
      </c>
      <c r="U18" s="1"/>
      <c r="V18" s="12"/>
      <c r="W18" s="40" t="s">
        <v>23</v>
      </c>
      <c r="X18" s="40"/>
      <c r="Y18" s="37">
        <f t="shared" si="8"/>
        <v>65421</v>
      </c>
      <c r="Z18" s="13"/>
      <c r="AA18" s="1"/>
      <c r="AB18" s="50" t="s">
        <v>24</v>
      </c>
      <c r="AC18" s="51">
        <f>+AC17-AC9</f>
        <v>7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375</v>
      </c>
      <c r="G19" s="1" t="s">
        <v>393</v>
      </c>
      <c r="H19" s="5">
        <v>11952</v>
      </c>
      <c r="I19" s="1"/>
      <c r="J19" s="1" t="s">
        <v>200</v>
      </c>
      <c r="K19" s="1" t="s">
        <v>398</v>
      </c>
      <c r="L19" s="5">
        <v>6000</v>
      </c>
      <c r="M19" s="1"/>
      <c r="N19" s="1" t="s">
        <v>26</v>
      </c>
      <c r="O19" s="1"/>
      <c r="P19" s="5"/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17952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35</v>
      </c>
      <c r="K23" s="1"/>
      <c r="L23" s="5"/>
      <c r="M23" s="1"/>
      <c r="N23" s="1" t="s">
        <v>46</v>
      </c>
      <c r="O23" s="1"/>
      <c r="P23" s="5"/>
      <c r="Q23" s="1"/>
      <c r="R23" s="1" t="s">
        <v>413</v>
      </c>
      <c r="S23" s="1" t="s">
        <v>414</v>
      </c>
      <c r="T23" s="5">
        <v>37566</v>
      </c>
      <c r="U23" s="1"/>
      <c r="V23" s="12"/>
      <c r="W23" s="40" t="s">
        <v>35</v>
      </c>
      <c r="X23" s="40"/>
      <c r="Y23" s="37">
        <f t="shared" si="8"/>
        <v>37566</v>
      </c>
      <c r="Z23" s="13"/>
      <c r="AA23" s="1"/>
      <c r="AB23" s="70" t="s">
        <v>388</v>
      </c>
      <c r="AC23" s="70"/>
      <c r="AD23" s="70"/>
      <c r="AE23" s="70"/>
      <c r="AF23" s="76">
        <v>93</v>
      </c>
      <c r="AG23" s="1"/>
      <c r="AH23" s="1"/>
      <c r="AI23" s="70" t="s">
        <v>117</v>
      </c>
      <c r="AJ23" s="70" t="s">
        <v>385</v>
      </c>
      <c r="AK23" s="84">
        <v>45948</v>
      </c>
      <c r="AL23" s="76">
        <v>20000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415</v>
      </c>
      <c r="S24" s="1" t="s">
        <v>216</v>
      </c>
      <c r="T24" s="5">
        <v>50172</v>
      </c>
      <c r="U24" s="1"/>
      <c r="V24" s="12"/>
      <c r="W24" s="40" t="s">
        <v>36</v>
      </c>
      <c r="X24" s="40"/>
      <c r="Y24" s="37">
        <f t="shared" si="8"/>
        <v>50172</v>
      </c>
      <c r="Z24" s="13"/>
      <c r="AA24" s="1"/>
      <c r="AB24" s="70" t="s">
        <v>71</v>
      </c>
      <c r="AC24" s="70" t="s">
        <v>386</v>
      </c>
      <c r="AD24" s="74">
        <v>45960</v>
      </c>
      <c r="AE24" s="70" t="s">
        <v>387</v>
      </c>
      <c r="AF24" s="76">
        <v>69407</v>
      </c>
      <c r="AG24" s="1"/>
      <c r="AH24" s="1"/>
      <c r="AI24" s="70" t="s">
        <v>90</v>
      </c>
      <c r="AJ24" s="70" t="s">
        <v>173</v>
      </c>
      <c r="AK24" s="70"/>
      <c r="AL24" s="70">
        <v>3600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416</v>
      </c>
      <c r="S25" s="1" t="s">
        <v>212</v>
      </c>
      <c r="T25" s="5">
        <v>49099</v>
      </c>
      <c r="U25" s="1"/>
      <c r="V25" s="12"/>
      <c r="W25" s="40" t="s">
        <v>37</v>
      </c>
      <c r="X25" s="40"/>
      <c r="Y25" s="37">
        <f t="shared" si="8"/>
        <v>49099</v>
      </c>
      <c r="Z25" s="13"/>
      <c r="AA25" s="1"/>
      <c r="AB25" s="70" t="s">
        <v>65</v>
      </c>
      <c r="AC25" s="70" t="s">
        <v>258</v>
      </c>
      <c r="AD25" s="74">
        <v>45945</v>
      </c>
      <c r="AE25" s="70" t="s">
        <v>384</v>
      </c>
      <c r="AF25" s="76">
        <v>13000</v>
      </c>
      <c r="AG25" s="1"/>
      <c r="AH25" s="1"/>
      <c r="AI25" s="70" t="s">
        <v>63</v>
      </c>
      <c r="AJ25" s="70" t="s">
        <v>173</v>
      </c>
      <c r="AK25" s="70"/>
      <c r="AL25" s="76">
        <v>850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65</v>
      </c>
      <c r="AC26" s="70" t="s">
        <v>167</v>
      </c>
      <c r="AD26" s="74">
        <v>45960</v>
      </c>
      <c r="AE26" s="70"/>
      <c r="AF26" s="76">
        <v>860</v>
      </c>
      <c r="AG26" s="1"/>
      <c r="AH26" s="1"/>
      <c r="AI26" s="70" t="s">
        <v>404</v>
      </c>
      <c r="AJ26" s="70" t="s">
        <v>65</v>
      </c>
      <c r="AK26" s="70" t="s">
        <v>399</v>
      </c>
      <c r="AL26" s="76">
        <v>20048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394</v>
      </c>
      <c r="AC27" s="70" t="s">
        <v>240</v>
      </c>
      <c r="AD27" s="83">
        <v>45968</v>
      </c>
      <c r="AE27" s="70"/>
      <c r="AF27" s="76">
        <v>49344</v>
      </c>
      <c r="AG27" s="1"/>
      <c r="AH27" s="1"/>
      <c r="AI27" s="70" t="s">
        <v>405</v>
      </c>
      <c r="AJ27" s="70" t="s">
        <v>146</v>
      </c>
      <c r="AK27" s="70" t="s">
        <v>400</v>
      </c>
      <c r="AL27" s="75">
        <v>8549</v>
      </c>
    </row>
    <row r="28" spans="2:38" ht="15.75" thickBot="1">
      <c r="B28" s="125" t="s">
        <v>11</v>
      </c>
      <c r="C28" s="126"/>
      <c r="D28" s="9">
        <f>+SUM(D16:D27)</f>
        <v>71567</v>
      </c>
      <c r="E28" s="1"/>
      <c r="F28" s="125" t="s">
        <v>11</v>
      </c>
      <c r="G28" s="126"/>
      <c r="H28" s="9">
        <f>+SUM(H16:H27)</f>
        <v>93452</v>
      </c>
      <c r="I28" s="1"/>
      <c r="J28" s="125" t="s">
        <v>11</v>
      </c>
      <c r="K28" s="126"/>
      <c r="L28" s="9">
        <f>+SUM(L16:L27)</f>
        <v>74850</v>
      </c>
      <c r="M28" s="1"/>
      <c r="N28" s="125" t="s">
        <v>11</v>
      </c>
      <c r="O28" s="126"/>
      <c r="P28" s="9">
        <f>+SUM(P16:P27)</f>
        <v>103221</v>
      </c>
      <c r="Q28" s="1"/>
      <c r="R28" s="125" t="s">
        <v>11</v>
      </c>
      <c r="S28" s="126"/>
      <c r="T28" s="9">
        <f>+SUM(T16:T27)</f>
        <v>396780</v>
      </c>
      <c r="U28" s="1"/>
      <c r="V28" s="12"/>
      <c r="W28" s="125" t="s">
        <v>11</v>
      </c>
      <c r="X28" s="126"/>
      <c r="Y28" s="9">
        <f>+SUM(Y16:Y27)</f>
        <v>739870</v>
      </c>
      <c r="Z28" s="13"/>
      <c r="AA28" s="1"/>
      <c r="AB28" s="70" t="s">
        <v>395</v>
      </c>
      <c r="AC28" s="70" t="s">
        <v>240</v>
      </c>
      <c r="AD28" s="83">
        <v>45971</v>
      </c>
      <c r="AE28" s="70"/>
      <c r="AF28" s="76">
        <v>24049</v>
      </c>
      <c r="AG28" s="1"/>
      <c r="AH28" s="1"/>
      <c r="AI28" s="70" t="s">
        <v>406</v>
      </c>
      <c r="AJ28" s="70" t="s">
        <v>63</v>
      </c>
      <c r="AK28" s="70" t="s">
        <v>401</v>
      </c>
      <c r="AL28" s="76">
        <v>11640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396</v>
      </c>
      <c r="AC29" s="86" t="s">
        <v>157</v>
      </c>
      <c r="AD29" s="85">
        <v>45961</v>
      </c>
      <c r="AE29" s="70"/>
      <c r="AF29" s="76">
        <v>101000</v>
      </c>
      <c r="AG29" s="1"/>
      <c r="AH29" s="1"/>
      <c r="AI29" s="70" t="s">
        <v>102</v>
      </c>
      <c r="AJ29" s="70" t="s">
        <v>63</v>
      </c>
      <c r="AK29" s="70" t="s">
        <v>126</v>
      </c>
      <c r="AL29" s="76">
        <v>10000</v>
      </c>
    </row>
    <row r="30" spans="2:38" ht="15.75" thickBot="1">
      <c r="B30" s="127" t="s">
        <v>39</v>
      </c>
      <c r="C30" s="127"/>
      <c r="D30" s="7">
        <f>+D28-D15</f>
        <v>1</v>
      </c>
      <c r="E30" s="1"/>
      <c r="F30" s="127" t="s">
        <v>39</v>
      </c>
      <c r="G30" s="127"/>
      <c r="H30" s="7">
        <f>+H28-H15</f>
        <v>8</v>
      </c>
      <c r="I30" s="1"/>
      <c r="J30" s="127" t="s">
        <v>39</v>
      </c>
      <c r="K30" s="127"/>
      <c r="L30" s="7">
        <f>+L28-L15</f>
        <v>1782</v>
      </c>
      <c r="M30" s="1"/>
      <c r="N30" s="127" t="s">
        <v>39</v>
      </c>
      <c r="O30" s="127"/>
      <c r="P30" s="7">
        <f>+P28-P15</f>
        <v>9</v>
      </c>
      <c r="Q30" s="1"/>
      <c r="R30" s="127" t="s">
        <v>39</v>
      </c>
      <c r="S30" s="127"/>
      <c r="T30" s="7">
        <f>+T28-T15</f>
        <v>-13550</v>
      </c>
      <c r="U30" s="1"/>
      <c r="V30" s="12"/>
      <c r="W30" s="124" t="s">
        <v>39</v>
      </c>
      <c r="X30" s="124"/>
      <c r="Y30" s="41">
        <f>+Y28-Y15</f>
        <v>-11750</v>
      </c>
      <c r="Z30" s="13"/>
      <c r="AA30" s="1"/>
      <c r="AB30" s="70" t="s">
        <v>409</v>
      </c>
      <c r="AC30" s="16" t="s">
        <v>210</v>
      </c>
      <c r="AD30" s="89">
        <v>45967</v>
      </c>
      <c r="AE30" s="16"/>
      <c r="AF30" s="69">
        <v>10000</v>
      </c>
      <c r="AG30" s="1"/>
      <c r="AH30" s="1"/>
      <c r="AI30" s="70" t="s">
        <v>407</v>
      </c>
      <c r="AJ30" s="70" t="s">
        <v>146</v>
      </c>
      <c r="AK30" s="70" t="s">
        <v>217</v>
      </c>
      <c r="AL30" s="76">
        <v>7000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70" t="s">
        <v>410</v>
      </c>
      <c r="AC31" s="16" t="s">
        <v>216</v>
      </c>
      <c r="AD31" s="89">
        <v>45967</v>
      </c>
      <c r="AE31" s="16"/>
      <c r="AF31" s="69">
        <v>24650</v>
      </c>
      <c r="AG31" s="1"/>
      <c r="AH31" s="1"/>
      <c r="AI31" s="70" t="s">
        <v>408</v>
      </c>
      <c r="AJ31" s="70" t="s">
        <v>65</v>
      </c>
      <c r="AK31" s="70" t="s">
        <v>402</v>
      </c>
      <c r="AL31" s="76">
        <v>47445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"/>
      <c r="AI32" s="70" t="s">
        <v>155</v>
      </c>
      <c r="AJ32" s="70" t="s">
        <v>65</v>
      </c>
      <c r="AK32" s="70" t="s">
        <v>403</v>
      </c>
      <c r="AL32" s="76">
        <v>14500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70" t="s">
        <v>186</v>
      </c>
      <c r="AJ33" s="70" t="s">
        <v>146</v>
      </c>
      <c r="AK33" s="70" t="s">
        <v>271</v>
      </c>
      <c r="AL33" s="75">
        <v>6900</v>
      </c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/>
      <c r="M34" s="1"/>
      <c r="N34" s="10" t="s">
        <v>40</v>
      </c>
      <c r="O34" s="11"/>
      <c r="P34" s="21"/>
      <c r="Q34" s="1"/>
      <c r="R34" s="10" t="s">
        <v>40</v>
      </c>
      <c r="S34" s="11"/>
      <c r="T34" s="21">
        <v>2235</v>
      </c>
      <c r="U34" s="1"/>
      <c r="V34" s="1"/>
      <c r="W34" s="42" t="s">
        <v>40</v>
      </c>
      <c r="X34" s="43"/>
      <c r="Y34" s="44">
        <f>+D34+H34+L34+P34+T34</f>
        <v>2235</v>
      </c>
      <c r="Z34" s="1"/>
      <c r="AA34" s="1"/>
      <c r="AB34" s="1"/>
      <c r="AC34" s="1"/>
      <c r="AD34" s="1"/>
      <c r="AE34" s="1"/>
      <c r="AF34" s="62"/>
      <c r="AG34" s="1"/>
      <c r="AH34" s="1"/>
      <c r="AI34" s="70" t="s">
        <v>276</v>
      </c>
      <c r="AJ34" s="70" t="s">
        <v>63</v>
      </c>
      <c r="AK34" s="70" t="s">
        <v>169</v>
      </c>
      <c r="AL34" s="76">
        <v>3365</v>
      </c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88</v>
      </c>
      <c r="S35" s="16"/>
      <c r="T35" s="22">
        <v>9597</v>
      </c>
      <c r="U35" s="1"/>
      <c r="V35" s="1"/>
      <c r="W35" s="45" t="s">
        <v>41</v>
      </c>
      <c r="X35" s="40"/>
      <c r="Y35" s="46">
        <f t="shared" ref="Y35:Y36" si="9">+D35+H35+L35+P35+T35</f>
        <v>9597</v>
      </c>
      <c r="Z35" s="1"/>
      <c r="AA35" s="1"/>
      <c r="AB35" s="1"/>
      <c r="AC35" s="1"/>
      <c r="AD35" s="1"/>
      <c r="AE35" s="1"/>
      <c r="AF35" s="62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-1</v>
      </c>
      <c r="E36" s="1"/>
      <c r="F36" s="12" t="s">
        <v>43</v>
      </c>
      <c r="G36" s="16"/>
      <c r="H36" s="22">
        <v>-8</v>
      </c>
      <c r="I36" s="1"/>
      <c r="J36" s="12" t="s">
        <v>43</v>
      </c>
      <c r="K36" s="16"/>
      <c r="L36" s="22">
        <v>-1782</v>
      </c>
      <c r="M36" s="1"/>
      <c r="N36" s="12" t="s">
        <v>43</v>
      </c>
      <c r="O36" s="16"/>
      <c r="P36" s="22">
        <v>-9</v>
      </c>
      <c r="Q36" s="1"/>
      <c r="R36" s="12" t="s">
        <v>190</v>
      </c>
      <c r="S36" s="16"/>
      <c r="T36" s="22">
        <v>1718</v>
      </c>
      <c r="U36" s="1"/>
      <c r="V36" s="1"/>
      <c r="W36" s="45" t="s">
        <v>42</v>
      </c>
      <c r="X36" s="40"/>
      <c r="Y36" s="46">
        <f t="shared" si="9"/>
        <v>-82</v>
      </c>
      <c r="Z36" s="1"/>
      <c r="AA36" s="1"/>
      <c r="AB36" s="1"/>
      <c r="AC36" s="1"/>
      <c r="AD36" s="1"/>
      <c r="AE36" s="1"/>
      <c r="AF36" s="62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-1</v>
      </c>
      <c r="E37" s="1"/>
      <c r="F37" s="12" t="s">
        <v>17</v>
      </c>
      <c r="G37" s="16"/>
      <c r="H37" s="22">
        <f>+SUM(H34:H36)</f>
        <v>-8</v>
      </c>
      <c r="I37" s="1"/>
      <c r="J37" s="12" t="s">
        <v>17</v>
      </c>
      <c r="K37" s="16"/>
      <c r="L37" s="22">
        <f>+SUM(L34:L36)</f>
        <v>-1782</v>
      </c>
      <c r="M37" s="1"/>
      <c r="N37" s="12" t="s">
        <v>17</v>
      </c>
      <c r="O37" s="16"/>
      <c r="P37" s="22">
        <f>+SUM(P34:P36)</f>
        <v>-9</v>
      </c>
      <c r="Q37" s="1"/>
      <c r="R37" s="12" t="s">
        <v>17</v>
      </c>
      <c r="S37" s="16"/>
      <c r="T37" s="22">
        <f>+SUM(T34:T36)</f>
        <v>13550</v>
      </c>
      <c r="U37" s="1"/>
      <c r="V37" s="1"/>
      <c r="W37" s="33" t="s">
        <v>17</v>
      </c>
      <c r="X37" s="34"/>
      <c r="Y37" s="35">
        <f>+SUM(Y34:Y36)</f>
        <v>11750</v>
      </c>
      <c r="Z37" s="1"/>
      <c r="AA37" s="1"/>
      <c r="AB37" s="60" t="s">
        <v>38</v>
      </c>
      <c r="AC37" s="60"/>
      <c r="AD37" s="60"/>
      <c r="AE37" s="60"/>
      <c r="AF37" s="55">
        <f>+SUM(AF23:AF36)</f>
        <v>292403</v>
      </c>
      <c r="AG37" s="1"/>
      <c r="AH37" s="1"/>
      <c r="AI37" s="60" t="s">
        <v>38</v>
      </c>
      <c r="AJ37" s="60"/>
      <c r="AK37" s="60"/>
      <c r="AL37" s="67">
        <f>+SUM(AL23:AL36)</f>
        <v>153897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2:AL39"/>
  <sheetViews>
    <sheetView topLeftCell="E13" zoomScale="90" zoomScaleNormal="90" workbookViewId="0">
      <selection activeCell="AL29" sqref="AL29"/>
    </sheetView>
  </sheetViews>
  <sheetFormatPr defaultRowHeight="15"/>
  <cols>
    <col min="3" max="3" width="13.85546875" customWidth="1"/>
    <col min="5" max="5" width="0.28515625" customWidth="1"/>
    <col min="7" max="7" width="14.140625" customWidth="1"/>
    <col min="8" max="8" width="9.5703125" bestFit="1" customWidth="1"/>
    <col min="9" max="9" width="0.140625" customWidth="1"/>
    <col min="12" max="12" width="9.140625" customWidth="1"/>
    <col min="13" max="13" width="0.28515625" customWidth="1"/>
    <col min="15" max="15" width="14" customWidth="1"/>
    <col min="17" max="17" width="0.5703125" customWidth="1"/>
    <col min="19" max="19" width="10.28515625" customWidth="1"/>
    <col min="20" max="20" width="10.5703125" bestFit="1" customWidth="1"/>
    <col min="21" max="22" width="0.28515625" customWidth="1"/>
    <col min="26" max="26" width="0.7109375" customWidth="1"/>
    <col min="27" max="27" width="0.28515625" customWidth="1"/>
    <col min="29" max="29" width="10.140625" bestFit="1" customWidth="1"/>
    <col min="32" max="32" width="9.140625" customWidth="1"/>
    <col min="33" max="33" width="0.5703125" customWidth="1"/>
    <col min="34" max="34" width="0.42578125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56</v>
      </c>
      <c r="D6" s="36">
        <f>+C6*B6</f>
        <v>560</v>
      </c>
      <c r="E6" s="1"/>
      <c r="F6" s="2">
        <v>10</v>
      </c>
      <c r="G6" s="2">
        <v>105</v>
      </c>
      <c r="H6" s="36">
        <f>+G6*F6</f>
        <v>1050</v>
      </c>
      <c r="I6" s="1"/>
      <c r="J6" s="2">
        <v>10</v>
      </c>
      <c r="K6" s="2">
        <v>28</v>
      </c>
      <c r="L6" s="36">
        <f>+K6*J6</f>
        <v>280</v>
      </c>
      <c r="M6" s="1"/>
      <c r="N6" s="2">
        <v>10</v>
      </c>
      <c r="O6" s="2">
        <v>181</v>
      </c>
      <c r="P6" s="36">
        <f>+O6*N6</f>
        <v>1810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370</v>
      </c>
      <c r="Y6" s="37">
        <f>+D6+H6+L6+P6+T6</f>
        <v>3700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0</v>
      </c>
      <c r="D7" s="36">
        <f t="shared" ref="D7:D12" si="1">+C7*B7</f>
        <v>0</v>
      </c>
      <c r="E7" s="1"/>
      <c r="F7" s="2">
        <v>20</v>
      </c>
      <c r="G7" s="2">
        <v>2</v>
      </c>
      <c r="H7" s="36">
        <f t="shared" ref="H7:H12" si="2">+G7*F7</f>
        <v>40</v>
      </c>
      <c r="I7" s="1"/>
      <c r="J7" s="2">
        <v>20</v>
      </c>
      <c r="K7" s="2">
        <v>8</v>
      </c>
      <c r="L7" s="36">
        <f t="shared" ref="L7:L12" si="3">+K7*J7</f>
        <v>160</v>
      </c>
      <c r="M7" s="1"/>
      <c r="N7" s="2">
        <v>20</v>
      </c>
      <c r="O7" s="2">
        <v>20</v>
      </c>
      <c r="P7" s="36">
        <f t="shared" ref="P7:P12" si="4">+O7*N7</f>
        <v>400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30</v>
      </c>
      <c r="Y7" s="37">
        <f t="shared" ref="Y7:Y12" si="6">+D7+H7+L7+P7+T7</f>
        <v>600</v>
      </c>
      <c r="Z7" s="13"/>
      <c r="AA7" s="1"/>
      <c r="AB7" s="56" t="s">
        <v>9</v>
      </c>
      <c r="AC7" s="57">
        <f>Y13</f>
        <v>237250</v>
      </c>
      <c r="AD7" s="26"/>
      <c r="AE7" s="26"/>
      <c r="AF7" s="26"/>
      <c r="AG7" s="26"/>
      <c r="AH7" s="1"/>
      <c r="AI7" s="2">
        <v>10</v>
      </c>
      <c r="AJ7" s="2">
        <v>1219</v>
      </c>
      <c r="AK7" s="36">
        <f t="shared" si="0"/>
        <v>12190</v>
      </c>
      <c r="AL7" s="1"/>
    </row>
    <row r="8" spans="2:38">
      <c r="B8" s="2">
        <v>50</v>
      </c>
      <c r="C8" s="2">
        <v>7</v>
      </c>
      <c r="D8" s="36">
        <f t="shared" si="1"/>
        <v>350</v>
      </c>
      <c r="E8" s="1"/>
      <c r="F8" s="2">
        <v>50</v>
      </c>
      <c r="G8" s="2">
        <v>16</v>
      </c>
      <c r="H8" s="36">
        <f t="shared" si="2"/>
        <v>800</v>
      </c>
      <c r="I8" s="1"/>
      <c r="J8" s="2">
        <v>50</v>
      </c>
      <c r="K8" s="2">
        <v>27</v>
      </c>
      <c r="L8" s="36">
        <f t="shared" si="3"/>
        <v>1350</v>
      </c>
      <c r="M8" s="1"/>
      <c r="N8" s="2">
        <v>50</v>
      </c>
      <c r="O8" s="2">
        <v>81</v>
      </c>
      <c r="P8" s="36">
        <f t="shared" si="4"/>
        <v>4050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131</v>
      </c>
      <c r="Y8" s="37">
        <f t="shared" si="6"/>
        <v>6550</v>
      </c>
      <c r="Z8" s="13"/>
      <c r="AA8" s="1"/>
      <c r="AB8" s="53" t="s">
        <v>10</v>
      </c>
      <c r="AC8" s="53">
        <f>+AF37</f>
        <v>281509</v>
      </c>
      <c r="AD8" s="1"/>
      <c r="AE8" s="1"/>
      <c r="AF8" s="1"/>
      <c r="AG8" s="1"/>
      <c r="AH8" s="1"/>
      <c r="AI8" s="2">
        <v>20</v>
      </c>
      <c r="AJ8" s="2">
        <v>146</v>
      </c>
      <c r="AK8" s="36">
        <f t="shared" si="0"/>
        <v>2920</v>
      </c>
      <c r="AL8" s="1"/>
    </row>
    <row r="9" spans="2:38" ht="15.75" thickBot="1">
      <c r="B9" s="2">
        <v>100</v>
      </c>
      <c r="C9" s="2">
        <v>4</v>
      </c>
      <c r="D9" s="36">
        <f t="shared" si="1"/>
        <v>400</v>
      </c>
      <c r="E9" s="1"/>
      <c r="F9" s="2">
        <v>100</v>
      </c>
      <c r="G9" s="2">
        <v>15</v>
      </c>
      <c r="H9" s="36">
        <f t="shared" si="2"/>
        <v>1500</v>
      </c>
      <c r="I9" s="1"/>
      <c r="J9" s="2">
        <v>100</v>
      </c>
      <c r="K9" s="2">
        <v>36</v>
      </c>
      <c r="L9" s="36">
        <f t="shared" si="3"/>
        <v>3600</v>
      </c>
      <c r="M9" s="1"/>
      <c r="N9" s="2">
        <v>100</v>
      </c>
      <c r="O9" s="2">
        <v>74</v>
      </c>
      <c r="P9" s="36">
        <f t="shared" si="4"/>
        <v>7400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129</v>
      </c>
      <c r="Y9" s="37">
        <f t="shared" si="6"/>
        <v>12900</v>
      </c>
      <c r="Z9" s="13"/>
      <c r="AA9" s="1"/>
      <c r="AB9" s="58" t="s">
        <v>11</v>
      </c>
      <c r="AC9" s="59">
        <f>SUM(AC7:AC8)</f>
        <v>518759</v>
      </c>
      <c r="AD9" s="1"/>
      <c r="AE9" s="1"/>
      <c r="AF9" s="1"/>
      <c r="AG9" s="1"/>
      <c r="AH9" s="1"/>
      <c r="AI9" s="2">
        <v>50</v>
      </c>
      <c r="AJ9" s="2">
        <v>356</v>
      </c>
      <c r="AK9" s="36">
        <f t="shared" si="0"/>
        <v>17800</v>
      </c>
      <c r="AL9" s="1"/>
    </row>
    <row r="10" spans="2:38">
      <c r="B10" s="2">
        <v>500</v>
      </c>
      <c r="C10" s="2">
        <v>24</v>
      </c>
      <c r="D10" s="36">
        <f t="shared" si="1"/>
        <v>12000</v>
      </c>
      <c r="E10" s="1"/>
      <c r="F10" s="2">
        <v>500</v>
      </c>
      <c r="G10" s="2">
        <v>22</v>
      </c>
      <c r="H10" s="36">
        <f t="shared" si="2"/>
        <v>11000</v>
      </c>
      <c r="I10" s="1"/>
      <c r="J10" s="2">
        <v>500</v>
      </c>
      <c r="K10" s="2">
        <v>30</v>
      </c>
      <c r="L10" s="36">
        <f t="shared" si="3"/>
        <v>15000</v>
      </c>
      <c r="M10" s="1"/>
      <c r="N10" s="2">
        <v>500</v>
      </c>
      <c r="O10" s="2">
        <v>31</v>
      </c>
      <c r="P10" s="36">
        <f t="shared" si="4"/>
        <v>15500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107</v>
      </c>
      <c r="Y10" s="37">
        <f t="shared" si="6"/>
        <v>53500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269</v>
      </c>
      <c r="AK10" s="36">
        <f t="shared" si="0"/>
        <v>26900</v>
      </c>
      <c r="AL10" s="1"/>
    </row>
    <row r="11" spans="2:38">
      <c r="B11" s="2">
        <v>1000</v>
      </c>
      <c r="C11" s="2">
        <v>21</v>
      </c>
      <c r="D11" s="36">
        <f t="shared" si="1"/>
        <v>21000</v>
      </c>
      <c r="E11" s="1"/>
      <c r="F11" s="2">
        <v>1000</v>
      </c>
      <c r="G11" s="2">
        <v>58</v>
      </c>
      <c r="H11" s="36">
        <f t="shared" si="2"/>
        <v>58000</v>
      </c>
      <c r="I11" s="1"/>
      <c r="J11" s="2">
        <v>1000</v>
      </c>
      <c r="K11" s="2">
        <v>32</v>
      </c>
      <c r="L11" s="36">
        <f t="shared" si="3"/>
        <v>32000</v>
      </c>
      <c r="M11" s="1"/>
      <c r="N11" s="2">
        <v>1000</v>
      </c>
      <c r="O11" s="2">
        <v>24</v>
      </c>
      <c r="P11" s="36">
        <f t="shared" si="4"/>
        <v>24000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135</v>
      </c>
      <c r="Y11" s="37">
        <f t="shared" si="6"/>
        <v>135000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190</v>
      </c>
      <c r="AK11" s="36">
        <f t="shared" si="0"/>
        <v>95000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5</v>
      </c>
      <c r="Y12" s="37">
        <f t="shared" si="6"/>
        <v>25000</v>
      </c>
      <c r="Z12" s="13"/>
      <c r="AA12" s="1"/>
      <c r="AB12" s="1" t="s">
        <v>16</v>
      </c>
      <c r="AC12" s="5">
        <v>468810</v>
      </c>
      <c r="AD12" s="1"/>
      <c r="AE12" s="52"/>
      <c r="AF12" s="1"/>
      <c r="AG12" s="1"/>
      <c r="AH12" s="1"/>
      <c r="AI12" s="2">
        <v>1000</v>
      </c>
      <c r="AJ12" s="2">
        <v>219</v>
      </c>
      <c r="AK12" s="36">
        <f t="shared" si="0"/>
        <v>219000</v>
      </c>
      <c r="AL12" s="1"/>
    </row>
    <row r="13" spans="2:38" ht="15.75" thickBot="1">
      <c r="B13" s="3" t="s">
        <v>17</v>
      </c>
      <c r="C13" s="3"/>
      <c r="D13" s="6">
        <f>+SUM(D5:D12)</f>
        <v>34310</v>
      </c>
      <c r="E13" s="1"/>
      <c r="F13" s="3" t="s">
        <v>17</v>
      </c>
      <c r="G13" s="3"/>
      <c r="H13" s="6">
        <f>+SUM(H5:H12)</f>
        <v>87390</v>
      </c>
      <c r="I13" s="1"/>
      <c r="J13" s="3" t="s">
        <v>17</v>
      </c>
      <c r="K13" s="3"/>
      <c r="L13" s="6">
        <f>+SUM(L5:L12)</f>
        <v>62390</v>
      </c>
      <c r="M13" s="1"/>
      <c r="N13" s="3" t="s">
        <v>17</v>
      </c>
      <c r="O13" s="3"/>
      <c r="P13" s="6">
        <f>+SUM(P5:P12)</f>
        <v>53160</v>
      </c>
      <c r="Q13" s="1"/>
      <c r="R13" s="3" t="s">
        <v>17</v>
      </c>
      <c r="S13" s="3"/>
      <c r="T13" s="6">
        <f>+SUM(T5:T12)</f>
        <v>0</v>
      </c>
      <c r="U13" s="1"/>
      <c r="V13" s="12"/>
      <c r="W13" s="3" t="s">
        <v>17</v>
      </c>
      <c r="X13" s="3"/>
      <c r="Y13" s="6">
        <f>+SUM(Y5:Y12)</f>
        <v>237250</v>
      </c>
      <c r="Z13" s="13"/>
      <c r="AA13" s="1"/>
      <c r="AB13" s="1" t="s">
        <v>18</v>
      </c>
      <c r="AC13" s="5"/>
      <c r="AD13" s="1"/>
      <c r="AE13" s="1"/>
      <c r="AF13" s="1"/>
      <c r="AG13" s="1"/>
      <c r="AH13" s="1"/>
      <c r="AI13" s="2">
        <v>5000</v>
      </c>
      <c r="AJ13" s="2">
        <v>19</v>
      </c>
      <c r="AK13" s="36">
        <f t="shared" si="0"/>
        <v>95000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109" t="s">
        <v>466</v>
      </c>
      <c r="AD14" s="108"/>
      <c r="AE14" s="108"/>
      <c r="AF14" s="108"/>
      <c r="AG14" s="108"/>
      <c r="AH14" s="1"/>
      <c r="AI14" s="3" t="s">
        <v>17</v>
      </c>
      <c r="AJ14" s="3"/>
      <c r="AK14" s="6">
        <f>+SUM(AK6:AK13)</f>
        <v>468810</v>
      </c>
      <c r="AL14" s="1"/>
    </row>
    <row r="15" spans="2:38" ht="15.75" thickBot="1">
      <c r="B15" s="128" t="s">
        <v>20</v>
      </c>
      <c r="C15" s="129"/>
      <c r="D15" s="8">
        <v>42396</v>
      </c>
      <c r="E15" s="30"/>
      <c r="F15" s="128" t="s">
        <v>20</v>
      </c>
      <c r="G15" s="129"/>
      <c r="H15" s="8">
        <v>105911</v>
      </c>
      <c r="I15" s="30"/>
      <c r="J15" s="128" t="s">
        <v>20</v>
      </c>
      <c r="K15" s="129"/>
      <c r="L15" s="8">
        <v>62143</v>
      </c>
      <c r="M15" s="30"/>
      <c r="N15" s="128" t="s">
        <v>20</v>
      </c>
      <c r="O15" s="129"/>
      <c r="P15" s="8">
        <v>74494</v>
      </c>
      <c r="Q15" s="30"/>
      <c r="R15" s="128" t="s">
        <v>20</v>
      </c>
      <c r="S15" s="129"/>
      <c r="T15" s="8">
        <v>359733</v>
      </c>
      <c r="U15" s="30"/>
      <c r="V15" s="31"/>
      <c r="W15" s="128" t="s">
        <v>20</v>
      </c>
      <c r="X15" s="129"/>
      <c r="Y15" s="8">
        <f>+D15+H15+L15+P15+T15</f>
        <v>644677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34310</v>
      </c>
      <c r="E16" s="1"/>
      <c r="F16" s="1" t="s">
        <v>9</v>
      </c>
      <c r="G16" s="1"/>
      <c r="H16" s="5">
        <f>+H13</f>
        <v>87390</v>
      </c>
      <c r="I16" s="1"/>
      <c r="J16" s="1" t="s">
        <v>9</v>
      </c>
      <c r="K16" s="1"/>
      <c r="L16" s="5">
        <f>+L13</f>
        <v>62390</v>
      </c>
      <c r="M16" s="1"/>
      <c r="N16" s="1" t="s">
        <v>9</v>
      </c>
      <c r="O16" s="1"/>
      <c r="P16" s="5">
        <f>+P13</f>
        <v>53160</v>
      </c>
      <c r="Q16" s="1"/>
      <c r="R16" s="1" t="s">
        <v>9</v>
      </c>
      <c r="S16" s="1"/>
      <c r="T16" s="5">
        <f>+T13</f>
        <v>0</v>
      </c>
      <c r="U16" s="1"/>
      <c r="V16" s="12"/>
      <c r="W16" s="40" t="s">
        <v>9</v>
      </c>
      <c r="X16" s="40"/>
      <c r="Y16" s="37">
        <f>+D16+H16+L16+P16+T16</f>
        <v>237250</v>
      </c>
      <c r="Z16" s="13"/>
      <c r="AA16" s="1"/>
      <c r="AB16" s="1" t="s">
        <v>444</v>
      </c>
      <c r="AC16" s="73">
        <v>50000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0</v>
      </c>
      <c r="Z17" s="13"/>
      <c r="AA17" s="1"/>
      <c r="AB17" s="48" t="s">
        <v>11</v>
      </c>
      <c r="AC17" s="49">
        <f>+SUM(AC12:AC16)</f>
        <v>518810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363</v>
      </c>
      <c r="C18" s="1" t="s">
        <v>431</v>
      </c>
      <c r="D18" s="5">
        <v>3291</v>
      </c>
      <c r="E18" s="1"/>
      <c r="F18" s="1" t="s">
        <v>204</v>
      </c>
      <c r="G18" s="1" t="s">
        <v>436</v>
      </c>
      <c r="H18" s="5">
        <v>5000</v>
      </c>
      <c r="I18" s="1"/>
      <c r="J18" s="1" t="s">
        <v>23</v>
      </c>
      <c r="K18" s="1"/>
      <c r="L18" s="5"/>
      <c r="M18" s="1"/>
      <c r="N18" s="1" t="s">
        <v>363</v>
      </c>
      <c r="O18" s="1" t="s">
        <v>428</v>
      </c>
      <c r="P18" s="5">
        <v>10732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19023</v>
      </c>
      <c r="Z18" s="13"/>
      <c r="AA18" s="1"/>
      <c r="AB18" s="50" t="s">
        <v>24</v>
      </c>
      <c r="AC18" s="51">
        <f>+AC17-AC9</f>
        <v>51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432</v>
      </c>
      <c r="C19" s="1" t="s">
        <v>433</v>
      </c>
      <c r="D19" s="5">
        <v>4965</v>
      </c>
      <c r="E19" s="1"/>
      <c r="F19" s="1" t="s">
        <v>375</v>
      </c>
      <c r="G19" s="1" t="s">
        <v>437</v>
      </c>
      <c r="H19" s="5">
        <v>4651</v>
      </c>
      <c r="I19" s="1"/>
      <c r="J19" s="1" t="s">
        <v>26</v>
      </c>
      <c r="K19" s="1"/>
      <c r="L19" s="5"/>
      <c r="M19" s="1"/>
      <c r="N19" s="1" t="s">
        <v>26</v>
      </c>
      <c r="O19" s="1"/>
      <c r="P19" s="5"/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9616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438</v>
      </c>
      <c r="G20" s="1" t="s">
        <v>439</v>
      </c>
      <c r="H20" s="5">
        <v>8900</v>
      </c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8900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425</v>
      </c>
      <c r="S22" s="1" t="s">
        <v>426</v>
      </c>
      <c r="T22" s="5">
        <v>6972</v>
      </c>
      <c r="U22" s="1"/>
      <c r="V22" s="12"/>
      <c r="W22" s="40"/>
      <c r="X22" s="40"/>
      <c r="Y22" s="37">
        <f t="shared" si="8"/>
        <v>6972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106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35</v>
      </c>
      <c r="K23" s="1"/>
      <c r="L23" s="5"/>
      <c r="M23" s="1"/>
      <c r="N23" s="1" t="s">
        <v>429</v>
      </c>
      <c r="O23" s="2" t="s">
        <v>430</v>
      </c>
      <c r="P23" s="5">
        <v>10607</v>
      </c>
      <c r="Q23" s="1"/>
      <c r="R23" s="1" t="s">
        <v>419</v>
      </c>
      <c r="S23" s="1" t="s">
        <v>420</v>
      </c>
      <c r="T23" s="5">
        <v>88363</v>
      </c>
      <c r="U23" s="1"/>
      <c r="V23" s="12"/>
      <c r="W23" s="40" t="s">
        <v>35</v>
      </c>
      <c r="X23" s="40"/>
      <c r="Y23" s="37">
        <f t="shared" si="8"/>
        <v>98970</v>
      </c>
      <c r="Z23" s="13"/>
      <c r="AA23" s="1"/>
      <c r="AB23" s="16" t="s">
        <v>427</v>
      </c>
      <c r="AC23" s="71">
        <v>45975</v>
      </c>
      <c r="AD23" s="16" t="s">
        <v>426</v>
      </c>
      <c r="AE23" s="16"/>
      <c r="AF23" s="69">
        <v>6972</v>
      </c>
      <c r="AG23" s="1"/>
      <c r="AH23" s="1"/>
      <c r="AI23" s="20" t="s">
        <v>435</v>
      </c>
      <c r="AJ23" s="20" t="s">
        <v>65</v>
      </c>
      <c r="AK23" s="20" t="s">
        <v>207</v>
      </c>
      <c r="AL23" s="96">
        <v>20691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421</v>
      </c>
      <c r="S24" s="1" t="s">
        <v>157</v>
      </c>
      <c r="T24" s="5">
        <v>108025</v>
      </c>
      <c r="U24" s="1"/>
      <c r="V24" s="12"/>
      <c r="W24" s="40" t="s">
        <v>36</v>
      </c>
      <c r="X24" s="40"/>
      <c r="Y24" s="37">
        <f t="shared" si="8"/>
        <v>108025</v>
      </c>
      <c r="Z24" s="13"/>
      <c r="AA24" s="1"/>
      <c r="AB24" s="20" t="s">
        <v>434</v>
      </c>
      <c r="AC24" s="89">
        <v>45967</v>
      </c>
      <c r="AD24" s="16" t="s">
        <v>212</v>
      </c>
      <c r="AE24" s="16"/>
      <c r="AF24" s="69">
        <v>36470</v>
      </c>
      <c r="AG24" s="1"/>
      <c r="AH24" s="1"/>
      <c r="AI24" s="20" t="s">
        <v>405</v>
      </c>
      <c r="AJ24" s="20" t="s">
        <v>146</v>
      </c>
      <c r="AK24" s="20" t="s">
        <v>242</v>
      </c>
      <c r="AL24" s="96">
        <v>8260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422</v>
      </c>
      <c r="S25" s="1" t="s">
        <v>423</v>
      </c>
      <c r="T25" s="5">
        <v>98428</v>
      </c>
      <c r="U25" s="1"/>
      <c r="V25" s="12"/>
      <c r="W25" s="40" t="s">
        <v>37</v>
      </c>
      <c r="X25" s="40"/>
      <c r="Y25" s="37">
        <f t="shared" si="8"/>
        <v>98428</v>
      </c>
      <c r="Z25" s="13"/>
      <c r="AA25" s="1"/>
      <c r="AB25" s="16" t="s">
        <v>442</v>
      </c>
      <c r="AC25" s="88">
        <v>45945</v>
      </c>
      <c r="AD25" s="16" t="s">
        <v>67</v>
      </c>
      <c r="AE25" s="16" t="s">
        <v>440</v>
      </c>
      <c r="AF25" s="69">
        <v>27300</v>
      </c>
      <c r="AG25" s="1"/>
      <c r="AH25" s="1"/>
      <c r="AI25" s="20" t="s">
        <v>258</v>
      </c>
      <c r="AJ25" s="20" t="s">
        <v>65</v>
      </c>
      <c r="AK25" s="20" t="s">
        <v>440</v>
      </c>
      <c r="AL25" s="96">
        <v>6000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424</v>
      </c>
      <c r="S26" s="1" t="s">
        <v>240</v>
      </c>
      <c r="T26" s="5">
        <v>57652</v>
      </c>
      <c r="U26" s="1"/>
      <c r="V26" s="12"/>
      <c r="W26" s="40"/>
      <c r="X26" s="40"/>
      <c r="Y26" s="37">
        <f t="shared" si="8"/>
        <v>57652</v>
      </c>
      <c r="Z26" s="13"/>
      <c r="AA26" s="1"/>
      <c r="AB26" s="70" t="s">
        <v>441</v>
      </c>
      <c r="AC26" s="88">
        <v>45976</v>
      </c>
      <c r="AD26" s="70" t="s">
        <v>151</v>
      </c>
      <c r="AE26" s="16"/>
      <c r="AF26" s="96">
        <v>48000</v>
      </c>
      <c r="AG26" s="1"/>
      <c r="AH26" s="1"/>
      <c r="AI26" s="1"/>
      <c r="AJ26" s="1"/>
      <c r="AK26" s="1"/>
      <c r="AL26" s="62"/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372</v>
      </c>
      <c r="AC27" s="83">
        <v>45962</v>
      </c>
      <c r="AD27" s="70" t="s">
        <v>52</v>
      </c>
      <c r="AE27" s="70"/>
      <c r="AF27" s="69">
        <v>36667</v>
      </c>
      <c r="AG27" s="1"/>
      <c r="AH27" s="1"/>
      <c r="AI27" s="1"/>
      <c r="AJ27" s="1"/>
      <c r="AK27" s="1"/>
      <c r="AL27" s="62"/>
    </row>
    <row r="28" spans="2:38" ht="15.75" thickBot="1">
      <c r="B28" s="125" t="s">
        <v>11</v>
      </c>
      <c r="C28" s="126"/>
      <c r="D28" s="9">
        <f>+SUM(D16:D27)</f>
        <v>42566</v>
      </c>
      <c r="E28" s="1"/>
      <c r="F28" s="125" t="s">
        <v>11</v>
      </c>
      <c r="G28" s="126"/>
      <c r="H28" s="9">
        <f>+SUM(H16:H27)</f>
        <v>105941</v>
      </c>
      <c r="I28" s="1"/>
      <c r="J28" s="125" t="s">
        <v>11</v>
      </c>
      <c r="K28" s="126"/>
      <c r="L28" s="9">
        <f>+SUM(L16:L27)</f>
        <v>62390</v>
      </c>
      <c r="M28" s="1"/>
      <c r="N28" s="125" t="s">
        <v>11</v>
      </c>
      <c r="O28" s="126"/>
      <c r="P28" s="9">
        <f>+SUM(P16:P27)</f>
        <v>74499</v>
      </c>
      <c r="Q28" s="1"/>
      <c r="R28" s="125" t="s">
        <v>11</v>
      </c>
      <c r="S28" s="126"/>
      <c r="T28" s="9">
        <f>+SUM(T16:T27)</f>
        <v>359440</v>
      </c>
      <c r="U28" s="1"/>
      <c r="V28" s="12"/>
      <c r="W28" s="125" t="s">
        <v>11</v>
      </c>
      <c r="X28" s="126"/>
      <c r="Y28" s="9">
        <f>+SUM(Y16:Y27)</f>
        <v>644836</v>
      </c>
      <c r="Z28" s="13"/>
      <c r="AA28" s="1"/>
      <c r="AB28" s="20" t="s">
        <v>385</v>
      </c>
      <c r="AC28" s="71">
        <v>45948</v>
      </c>
      <c r="AD28" s="20" t="s">
        <v>117</v>
      </c>
      <c r="AE28" s="16"/>
      <c r="AF28" s="69">
        <v>26100</v>
      </c>
      <c r="AG28" s="1"/>
      <c r="AH28" s="1"/>
      <c r="AI28" s="1"/>
      <c r="AJ28" s="1"/>
      <c r="AK28" s="1"/>
      <c r="AL28" s="62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374</v>
      </c>
      <c r="AC29" s="74">
        <v>45957</v>
      </c>
      <c r="AD29" s="70" t="s">
        <v>373</v>
      </c>
      <c r="AE29" s="70"/>
      <c r="AF29" s="76">
        <v>100000</v>
      </c>
      <c r="AG29" s="1"/>
      <c r="AH29" s="1"/>
      <c r="AI29" s="1"/>
      <c r="AJ29" s="1"/>
      <c r="AK29" s="1"/>
      <c r="AL29" s="62"/>
    </row>
    <row r="30" spans="2:38" ht="15.75" thickBot="1">
      <c r="B30" s="127" t="s">
        <v>39</v>
      </c>
      <c r="C30" s="127"/>
      <c r="D30" s="7">
        <f>+D28-D15</f>
        <v>170</v>
      </c>
      <c r="E30" s="1"/>
      <c r="F30" s="127" t="s">
        <v>39</v>
      </c>
      <c r="G30" s="127"/>
      <c r="H30" s="7">
        <f>+H28-H15</f>
        <v>30</v>
      </c>
      <c r="I30" s="1"/>
      <c r="J30" s="127" t="s">
        <v>39</v>
      </c>
      <c r="K30" s="127"/>
      <c r="L30" s="7">
        <f>+L28-L15</f>
        <v>247</v>
      </c>
      <c r="M30" s="1"/>
      <c r="N30" s="127" t="s">
        <v>39</v>
      </c>
      <c r="O30" s="127"/>
      <c r="P30" s="7">
        <f>+P28-P15</f>
        <v>5</v>
      </c>
      <c r="Q30" s="1"/>
      <c r="R30" s="127" t="s">
        <v>39</v>
      </c>
      <c r="S30" s="127"/>
      <c r="T30" s="7">
        <f>+T28-T15</f>
        <v>-293</v>
      </c>
      <c r="U30" s="1"/>
      <c r="V30" s="12"/>
      <c r="W30" s="124" t="s">
        <v>39</v>
      </c>
      <c r="X30" s="124"/>
      <c r="Y30" s="41">
        <f>+Y28-Y15</f>
        <v>159</v>
      </c>
      <c r="Z30" s="13"/>
      <c r="AA30" s="1"/>
      <c r="AB30" s="1"/>
      <c r="AC30" s="1"/>
      <c r="AD30" s="1"/>
      <c r="AE30" s="1"/>
      <c r="AF30" s="62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62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/>
      <c r="M34" s="1"/>
      <c r="N34" s="10" t="s">
        <v>40</v>
      </c>
      <c r="O34" s="11"/>
      <c r="P34" s="21"/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0</v>
      </c>
      <c r="Z34" s="1"/>
      <c r="AA34" s="1"/>
      <c r="AB34" s="1"/>
      <c r="AC34" s="1"/>
      <c r="AD34" s="1"/>
      <c r="AE34" s="1"/>
      <c r="AF34" s="62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88</v>
      </c>
      <c r="S35" s="16"/>
      <c r="T35" s="22">
        <v>220</v>
      </c>
      <c r="U35" s="1"/>
      <c r="V35" s="1"/>
      <c r="W35" s="45" t="s">
        <v>41</v>
      </c>
      <c r="X35" s="40"/>
      <c r="Y35" s="46">
        <f t="shared" ref="Y35:Y36" si="9">+D35+H35+L35+P35+T35</f>
        <v>220</v>
      </c>
      <c r="Z35" s="1"/>
      <c r="AA35" s="1"/>
      <c r="AB35" s="1"/>
      <c r="AC35" s="1"/>
      <c r="AD35" s="1"/>
      <c r="AE35" s="1"/>
      <c r="AF35" s="62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-170</v>
      </c>
      <c r="E36" s="1"/>
      <c r="F36" s="12" t="s">
        <v>43</v>
      </c>
      <c r="G36" s="16"/>
      <c r="H36" s="22">
        <v>-30</v>
      </c>
      <c r="I36" s="1"/>
      <c r="J36" s="12" t="s">
        <v>43</v>
      </c>
      <c r="K36" s="16"/>
      <c r="L36" s="22">
        <v>-247</v>
      </c>
      <c r="M36" s="1"/>
      <c r="N36" s="12" t="s">
        <v>43</v>
      </c>
      <c r="O36" s="16"/>
      <c r="P36" s="22">
        <v>-5</v>
      </c>
      <c r="Q36" s="1"/>
      <c r="R36" s="12" t="s">
        <v>190</v>
      </c>
      <c r="S36" s="16"/>
      <c r="T36" s="22">
        <v>73</v>
      </c>
      <c r="U36" s="1"/>
      <c r="V36" s="1"/>
      <c r="W36" s="45" t="s">
        <v>42</v>
      </c>
      <c r="X36" s="40"/>
      <c r="Y36" s="46">
        <f t="shared" si="9"/>
        <v>-379</v>
      </c>
      <c r="Z36" s="1"/>
      <c r="AA36" s="1"/>
      <c r="AB36" s="1"/>
      <c r="AC36" s="1"/>
      <c r="AD36" s="1"/>
      <c r="AE36" s="1"/>
      <c r="AF36" s="62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-170</v>
      </c>
      <c r="E37" s="1"/>
      <c r="F37" s="12" t="s">
        <v>17</v>
      </c>
      <c r="G37" s="16"/>
      <c r="H37" s="22">
        <f>+SUM(H34:H36)</f>
        <v>-30</v>
      </c>
      <c r="I37" s="1"/>
      <c r="J37" s="12" t="s">
        <v>17</v>
      </c>
      <c r="K37" s="16"/>
      <c r="L37" s="22">
        <f>+SUM(L34:L36)</f>
        <v>-247</v>
      </c>
      <c r="M37" s="1"/>
      <c r="N37" s="12" t="s">
        <v>17</v>
      </c>
      <c r="O37" s="16"/>
      <c r="P37" s="22">
        <f>+SUM(P34:P36)</f>
        <v>-5</v>
      </c>
      <c r="Q37" s="1"/>
      <c r="R37" s="12" t="s">
        <v>17</v>
      </c>
      <c r="S37" s="16"/>
      <c r="T37" s="22">
        <f>+SUM(T34:T36)</f>
        <v>293</v>
      </c>
      <c r="U37" s="1"/>
      <c r="V37" s="1"/>
      <c r="W37" s="33" t="s">
        <v>17</v>
      </c>
      <c r="X37" s="34"/>
      <c r="Y37" s="35">
        <f>+SUM(Y34:Y36)</f>
        <v>-159</v>
      </c>
      <c r="Z37" s="1"/>
      <c r="AA37" s="1"/>
      <c r="AB37" s="60" t="s">
        <v>38</v>
      </c>
      <c r="AC37" s="60"/>
      <c r="AD37" s="60"/>
      <c r="AE37" s="60"/>
      <c r="AF37" s="55">
        <f>+SUM(AF23:AF36)</f>
        <v>281509</v>
      </c>
      <c r="AG37" s="1"/>
      <c r="AH37" s="1"/>
      <c r="AI37" s="60" t="s">
        <v>38</v>
      </c>
      <c r="AJ37" s="60"/>
      <c r="AK37" s="60"/>
      <c r="AL37" s="67">
        <f>+SUM(AL23:AL36)</f>
        <v>34951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2:AL39"/>
  <sheetViews>
    <sheetView zoomScale="80" zoomScaleNormal="80" workbookViewId="0">
      <selection activeCell="AG32" sqref="AG32"/>
    </sheetView>
  </sheetViews>
  <sheetFormatPr defaultRowHeight="15"/>
  <cols>
    <col min="5" max="5" width="0.28515625" customWidth="1"/>
    <col min="7" max="7" width="14.28515625" customWidth="1"/>
    <col min="9" max="9" width="0.42578125" customWidth="1"/>
    <col min="11" max="11" width="14.28515625" customWidth="1"/>
    <col min="13" max="13" width="0.42578125" customWidth="1"/>
    <col min="15" max="15" width="14.5703125" customWidth="1"/>
    <col min="17" max="17" width="0.28515625" customWidth="1"/>
    <col min="19" max="19" width="14.42578125" customWidth="1"/>
    <col min="20" max="20" width="12.28515625" bestFit="1" customWidth="1"/>
    <col min="21" max="21" width="0.42578125" customWidth="1"/>
    <col min="22" max="22" width="0.5703125" customWidth="1"/>
    <col min="25" max="25" width="11.140625" bestFit="1" customWidth="1"/>
    <col min="26" max="27" width="0.85546875" customWidth="1"/>
    <col min="29" max="29" width="12" customWidth="1"/>
    <col min="30" max="30" width="17.140625" bestFit="1" customWidth="1"/>
    <col min="31" max="31" width="13.85546875" bestFit="1" customWidth="1"/>
    <col min="32" max="32" width="9.5703125" bestFit="1" customWidth="1"/>
    <col min="37" max="37" width="9.5703125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80</v>
      </c>
      <c r="D6" s="36">
        <f>+C6*B6</f>
        <v>800</v>
      </c>
      <c r="E6" s="1"/>
      <c r="F6" s="2">
        <v>10</v>
      </c>
      <c r="G6" s="2">
        <v>19</v>
      </c>
      <c r="H6" s="36">
        <f>+G6*F6</f>
        <v>190</v>
      </c>
      <c r="I6" s="1"/>
      <c r="J6" s="2">
        <v>10</v>
      </c>
      <c r="K6" s="2">
        <v>21</v>
      </c>
      <c r="L6" s="36">
        <f>+K6*J6</f>
        <v>210</v>
      </c>
      <c r="M6" s="1"/>
      <c r="N6" s="2">
        <v>10</v>
      </c>
      <c r="O6" s="2">
        <v>116</v>
      </c>
      <c r="P6" s="36">
        <f>+O6*N6</f>
        <v>1160</v>
      </c>
      <c r="Q6" s="1"/>
      <c r="R6" s="2">
        <v>10</v>
      </c>
      <c r="S6" s="2">
        <v>2</v>
      </c>
      <c r="T6" s="36">
        <f>+S6*R6</f>
        <v>20</v>
      </c>
      <c r="U6" s="1"/>
      <c r="V6" s="12"/>
      <c r="W6" s="39">
        <v>10</v>
      </c>
      <c r="X6" s="39">
        <f>+C6+G6+K6+O6+S6</f>
        <v>238</v>
      </c>
      <c r="Y6" s="37">
        <f>+D6+H6+L6+P6+T6</f>
        <v>2380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11</v>
      </c>
      <c r="D7" s="36">
        <f t="shared" ref="D7:D12" si="1">+C7*B7</f>
        <v>220</v>
      </c>
      <c r="E7" s="1"/>
      <c r="F7" s="2">
        <v>20</v>
      </c>
      <c r="G7" s="2">
        <v>4</v>
      </c>
      <c r="H7" s="36">
        <f t="shared" ref="H7:H12" si="2">+G7*F7</f>
        <v>80</v>
      </c>
      <c r="I7" s="1"/>
      <c r="J7" s="2">
        <v>20</v>
      </c>
      <c r="K7" s="2">
        <v>4</v>
      </c>
      <c r="L7" s="36">
        <f t="shared" ref="L7:L12" si="3">+K7*J7</f>
        <v>80</v>
      </c>
      <c r="M7" s="1"/>
      <c r="N7" s="2">
        <v>20</v>
      </c>
      <c r="O7" s="2">
        <v>13</v>
      </c>
      <c r="P7" s="36">
        <f t="shared" ref="P7:P12" si="4">+O7*N7</f>
        <v>260</v>
      </c>
      <c r="Q7" s="1"/>
      <c r="R7" s="2">
        <v>20</v>
      </c>
      <c r="S7" s="2">
        <v>2</v>
      </c>
      <c r="T7" s="36">
        <f t="shared" ref="T7:T12" si="5">+S7*R7</f>
        <v>40</v>
      </c>
      <c r="U7" s="1"/>
      <c r="V7" s="12"/>
      <c r="W7" s="39">
        <v>20</v>
      </c>
      <c r="X7" s="39">
        <f>+C7+G7+K7+O7+S7</f>
        <v>34</v>
      </c>
      <c r="Y7" s="37">
        <f t="shared" ref="Y7:Y12" si="6">+D7+H7+L7+P7+T7</f>
        <v>680</v>
      </c>
      <c r="Z7" s="13"/>
      <c r="AA7" s="1"/>
      <c r="AB7" s="56" t="s">
        <v>9</v>
      </c>
      <c r="AC7" s="57">
        <f>Y13</f>
        <v>250360</v>
      </c>
      <c r="AD7" s="26"/>
      <c r="AE7" s="26"/>
      <c r="AF7" s="26"/>
      <c r="AG7" s="26"/>
      <c r="AH7" s="1"/>
      <c r="AI7" s="2">
        <v>10</v>
      </c>
      <c r="AJ7" s="2">
        <v>1743</v>
      </c>
      <c r="AK7" s="36">
        <f t="shared" si="0"/>
        <v>17430</v>
      </c>
      <c r="AL7" s="2">
        <v>524</v>
      </c>
    </row>
    <row r="8" spans="2:38">
      <c r="B8" s="2">
        <v>50</v>
      </c>
      <c r="C8" s="2">
        <v>71</v>
      </c>
      <c r="D8" s="36">
        <f t="shared" si="1"/>
        <v>3550</v>
      </c>
      <c r="E8" s="1"/>
      <c r="F8" s="2">
        <v>50</v>
      </c>
      <c r="G8" s="2">
        <v>7</v>
      </c>
      <c r="H8" s="36">
        <f t="shared" si="2"/>
        <v>350</v>
      </c>
      <c r="I8" s="1"/>
      <c r="J8" s="2">
        <v>50</v>
      </c>
      <c r="K8" s="2">
        <v>23</v>
      </c>
      <c r="L8" s="36">
        <f t="shared" si="3"/>
        <v>1150</v>
      </c>
      <c r="M8" s="1"/>
      <c r="N8" s="2">
        <v>50</v>
      </c>
      <c r="O8" s="2">
        <v>26</v>
      </c>
      <c r="P8" s="36">
        <f t="shared" si="4"/>
        <v>1300</v>
      </c>
      <c r="Q8" s="1"/>
      <c r="R8" s="2">
        <v>50</v>
      </c>
      <c r="S8" s="2">
        <v>1</v>
      </c>
      <c r="T8" s="36">
        <f t="shared" si="5"/>
        <v>50</v>
      </c>
      <c r="U8" s="1"/>
      <c r="V8" s="12"/>
      <c r="W8" s="39">
        <v>50</v>
      </c>
      <c r="X8" s="39">
        <f t="shared" ref="X8:X12" si="7">+C8+G8+K8+O8+S8</f>
        <v>128</v>
      </c>
      <c r="Y8" s="37">
        <f t="shared" si="6"/>
        <v>6400</v>
      </c>
      <c r="Z8" s="13"/>
      <c r="AA8" s="1"/>
      <c r="AB8" s="53" t="s">
        <v>10</v>
      </c>
      <c r="AC8" s="53">
        <f>+AF37</f>
        <v>761560</v>
      </c>
      <c r="AD8" s="1"/>
      <c r="AE8" s="1"/>
      <c r="AF8" s="1"/>
      <c r="AG8" s="1"/>
      <c r="AH8" s="1"/>
      <c r="AI8" s="2">
        <v>20</v>
      </c>
      <c r="AJ8" s="2">
        <v>182</v>
      </c>
      <c r="AK8" s="36">
        <f t="shared" si="0"/>
        <v>3640</v>
      </c>
      <c r="AL8" s="2">
        <v>36</v>
      </c>
    </row>
    <row r="9" spans="2:38" ht="15.75" thickBot="1">
      <c r="B9" s="2">
        <v>100</v>
      </c>
      <c r="C9" s="2">
        <v>36</v>
      </c>
      <c r="D9" s="36">
        <f t="shared" si="1"/>
        <v>3600</v>
      </c>
      <c r="E9" s="1"/>
      <c r="F9" s="2">
        <v>100</v>
      </c>
      <c r="G9" s="2">
        <v>38</v>
      </c>
      <c r="H9" s="36">
        <f t="shared" si="2"/>
        <v>3800</v>
      </c>
      <c r="I9" s="1"/>
      <c r="J9" s="2">
        <v>100</v>
      </c>
      <c r="K9" s="2">
        <v>26</v>
      </c>
      <c r="L9" s="36">
        <f t="shared" si="3"/>
        <v>2600</v>
      </c>
      <c r="M9" s="1"/>
      <c r="N9" s="2">
        <v>100</v>
      </c>
      <c r="O9" s="2">
        <v>7</v>
      </c>
      <c r="P9" s="36">
        <f t="shared" si="4"/>
        <v>700</v>
      </c>
      <c r="Q9" s="1"/>
      <c r="R9" s="2">
        <v>100</v>
      </c>
      <c r="S9" s="2">
        <v>7</v>
      </c>
      <c r="T9" s="36">
        <f t="shared" si="5"/>
        <v>700</v>
      </c>
      <c r="U9" s="1"/>
      <c r="V9" s="12"/>
      <c r="W9" s="39">
        <v>100</v>
      </c>
      <c r="X9" s="39">
        <f t="shared" si="7"/>
        <v>114</v>
      </c>
      <c r="Y9" s="37">
        <f t="shared" si="6"/>
        <v>11400</v>
      </c>
      <c r="Z9" s="13"/>
      <c r="AA9" s="1"/>
      <c r="AB9" s="58" t="s">
        <v>11</v>
      </c>
      <c r="AC9" s="59">
        <f>SUM(AC7:AC8)</f>
        <v>1011920</v>
      </c>
      <c r="AD9" s="1"/>
      <c r="AE9" s="1"/>
      <c r="AF9" s="1"/>
      <c r="AG9" s="1"/>
      <c r="AH9" s="1"/>
      <c r="AI9" s="2">
        <v>50</v>
      </c>
      <c r="AJ9" s="2">
        <v>493</v>
      </c>
      <c r="AK9" s="36">
        <f t="shared" si="0"/>
        <v>24650</v>
      </c>
      <c r="AL9" s="2">
        <v>137</v>
      </c>
    </row>
    <row r="10" spans="2:38">
      <c r="B10" s="2">
        <v>500</v>
      </c>
      <c r="C10" s="2">
        <v>33</v>
      </c>
      <c r="D10" s="36">
        <f t="shared" si="1"/>
        <v>16500</v>
      </c>
      <c r="E10" s="1"/>
      <c r="F10" s="2">
        <v>500</v>
      </c>
      <c r="G10" s="2">
        <v>37</v>
      </c>
      <c r="H10" s="36">
        <f t="shared" si="2"/>
        <v>18500</v>
      </c>
      <c r="I10" s="1"/>
      <c r="J10" s="2">
        <v>500</v>
      </c>
      <c r="K10" s="2">
        <v>28</v>
      </c>
      <c r="L10" s="36">
        <f t="shared" si="3"/>
        <v>14000</v>
      </c>
      <c r="M10" s="1"/>
      <c r="N10" s="2">
        <v>500</v>
      </c>
      <c r="O10" s="2">
        <v>30</v>
      </c>
      <c r="P10" s="36">
        <f t="shared" si="4"/>
        <v>15000</v>
      </c>
      <c r="Q10" s="1"/>
      <c r="R10" s="2">
        <v>500</v>
      </c>
      <c r="S10" s="2">
        <v>15</v>
      </c>
      <c r="T10" s="36">
        <f t="shared" si="5"/>
        <v>7500</v>
      </c>
      <c r="U10" s="1"/>
      <c r="V10" s="12"/>
      <c r="W10" s="39">
        <v>500</v>
      </c>
      <c r="X10" s="39">
        <f t="shared" si="7"/>
        <v>143</v>
      </c>
      <c r="Y10" s="37">
        <f t="shared" si="6"/>
        <v>71500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292</v>
      </c>
      <c r="AK10" s="36">
        <f t="shared" si="0"/>
        <v>29200</v>
      </c>
      <c r="AL10" s="2">
        <v>23</v>
      </c>
    </row>
    <row r="11" spans="2:38">
      <c r="B11" s="2">
        <v>1000</v>
      </c>
      <c r="C11" s="2">
        <v>32</v>
      </c>
      <c r="D11" s="36">
        <f t="shared" si="1"/>
        <v>32000</v>
      </c>
      <c r="E11" s="1"/>
      <c r="F11" s="2">
        <v>1000</v>
      </c>
      <c r="G11" s="2">
        <v>34</v>
      </c>
      <c r="H11" s="36">
        <f t="shared" si="2"/>
        <v>34000</v>
      </c>
      <c r="I11" s="1"/>
      <c r="J11" s="2">
        <v>1000</v>
      </c>
      <c r="K11" s="2">
        <v>27</v>
      </c>
      <c r="L11" s="36">
        <f t="shared" si="3"/>
        <v>27000</v>
      </c>
      <c r="M11" s="1"/>
      <c r="N11" s="2">
        <v>1000</v>
      </c>
      <c r="O11" s="2">
        <v>40</v>
      </c>
      <c r="P11" s="36">
        <f t="shared" si="4"/>
        <v>40000</v>
      </c>
      <c r="Q11" s="1"/>
      <c r="R11" s="2">
        <v>1000</v>
      </c>
      <c r="S11" s="2">
        <v>15</v>
      </c>
      <c r="T11" s="36">
        <f t="shared" si="5"/>
        <v>15000</v>
      </c>
      <c r="U11" s="1"/>
      <c r="V11" s="12"/>
      <c r="W11" s="39">
        <v>1000</v>
      </c>
      <c r="X11" s="39">
        <f t="shared" si="7"/>
        <v>148</v>
      </c>
      <c r="Y11" s="37">
        <f t="shared" si="6"/>
        <v>148000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566</v>
      </c>
      <c r="AK11" s="36">
        <f t="shared" si="0"/>
        <v>283000</v>
      </c>
      <c r="AL11" s="2">
        <v>376</v>
      </c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2</v>
      </c>
      <c r="Y12" s="37">
        <f t="shared" si="6"/>
        <v>10000</v>
      </c>
      <c r="Z12" s="13"/>
      <c r="AA12" s="1"/>
      <c r="AB12" s="1" t="s">
        <v>16</v>
      </c>
      <c r="AC12" s="5">
        <v>732920</v>
      </c>
      <c r="AD12" s="1">
        <v>826799</v>
      </c>
      <c r="AE12" s="52" t="s">
        <v>468</v>
      </c>
      <c r="AF12" s="1" t="s">
        <v>69</v>
      </c>
      <c r="AG12" s="1"/>
      <c r="AH12" s="1"/>
      <c r="AI12" s="2">
        <v>1000</v>
      </c>
      <c r="AJ12" s="2">
        <v>276</v>
      </c>
      <c r="AK12" s="36">
        <f t="shared" si="0"/>
        <v>276000</v>
      </c>
      <c r="AL12" s="2">
        <v>57</v>
      </c>
    </row>
    <row r="13" spans="2:38" ht="15.75" thickBot="1">
      <c r="B13" s="3" t="s">
        <v>17</v>
      </c>
      <c r="C13" s="3"/>
      <c r="D13" s="6">
        <f>+SUM(D5:D12)</f>
        <v>61670</v>
      </c>
      <c r="E13" s="1"/>
      <c r="F13" s="3" t="s">
        <v>17</v>
      </c>
      <c r="G13" s="3"/>
      <c r="H13" s="6">
        <f>+SUM(H5:H12)</f>
        <v>61920</v>
      </c>
      <c r="I13" s="1"/>
      <c r="J13" s="3" t="s">
        <v>17</v>
      </c>
      <c r="K13" s="3"/>
      <c r="L13" s="6">
        <f>+SUM(L5:L12)</f>
        <v>45040</v>
      </c>
      <c r="M13" s="1"/>
      <c r="N13" s="3" t="s">
        <v>17</v>
      </c>
      <c r="O13" s="3"/>
      <c r="P13" s="6">
        <f>+SUM(P5:P12)</f>
        <v>58420</v>
      </c>
      <c r="Q13" s="1"/>
      <c r="R13" s="3" t="s">
        <v>17</v>
      </c>
      <c r="S13" s="3"/>
      <c r="T13" s="6">
        <f>+SUM(T5:T12)</f>
        <v>23310</v>
      </c>
      <c r="U13" s="1"/>
      <c r="V13" s="12"/>
      <c r="W13" s="3" t="s">
        <v>17</v>
      </c>
      <c r="X13" s="3"/>
      <c r="Y13" s="6">
        <f>+SUM(Y5:Y12)</f>
        <v>250360</v>
      </c>
      <c r="Z13" s="13"/>
      <c r="AA13" s="1"/>
      <c r="AB13" s="1" t="s">
        <v>18</v>
      </c>
      <c r="AC13" s="5">
        <v>11000</v>
      </c>
      <c r="AD13" s="1"/>
      <c r="AE13" s="5"/>
      <c r="AF13" s="1"/>
      <c r="AG13" s="1"/>
      <c r="AH13" s="1"/>
      <c r="AI13" s="2">
        <v>5000</v>
      </c>
      <c r="AJ13" s="2">
        <v>22</v>
      </c>
      <c r="AK13" s="36">
        <f t="shared" si="0"/>
        <v>110000</v>
      </c>
      <c r="AL13" s="2">
        <v>3</v>
      </c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465</v>
      </c>
      <c r="AC14" s="5">
        <v>268000</v>
      </c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743920</v>
      </c>
      <c r="AL14" s="1"/>
    </row>
    <row r="15" spans="2:38" ht="15.75" thickBot="1">
      <c r="B15" s="128" t="s">
        <v>20</v>
      </c>
      <c r="C15" s="129"/>
      <c r="D15" s="8">
        <v>70068</v>
      </c>
      <c r="E15" s="30"/>
      <c r="F15" s="128" t="s">
        <v>20</v>
      </c>
      <c r="G15" s="129"/>
      <c r="H15" s="8">
        <v>87100</v>
      </c>
      <c r="I15" s="30"/>
      <c r="J15" s="128" t="s">
        <v>20</v>
      </c>
      <c r="K15" s="129"/>
      <c r="L15" s="8">
        <v>88797</v>
      </c>
      <c r="M15" s="30"/>
      <c r="N15" s="128" t="s">
        <v>20</v>
      </c>
      <c r="O15" s="129"/>
      <c r="P15" s="8">
        <v>63434</v>
      </c>
      <c r="Q15" s="30"/>
      <c r="R15" s="128" t="s">
        <v>20</v>
      </c>
      <c r="S15" s="129"/>
      <c r="T15" s="8">
        <f>1599810+16721</f>
        <v>1616531</v>
      </c>
      <c r="U15" s="30"/>
      <c r="V15" s="31"/>
      <c r="W15" s="128" t="s">
        <v>20</v>
      </c>
      <c r="X15" s="129"/>
      <c r="Y15" s="8">
        <f>+D15+H15+L15+P15+T15</f>
        <v>1925930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61670</v>
      </c>
      <c r="E16" s="1"/>
      <c r="F16" s="1" t="s">
        <v>9</v>
      </c>
      <c r="G16" s="1"/>
      <c r="H16" s="5">
        <f>+H13</f>
        <v>61920</v>
      </c>
      <c r="I16" s="1"/>
      <c r="J16" s="1" t="s">
        <v>9</v>
      </c>
      <c r="K16" s="1"/>
      <c r="L16" s="5">
        <f>+L13</f>
        <v>45040</v>
      </c>
      <c r="M16" s="1"/>
      <c r="N16" s="1" t="s">
        <v>9</v>
      </c>
      <c r="O16" s="1"/>
      <c r="P16" s="5">
        <f>+P13</f>
        <v>58420</v>
      </c>
      <c r="Q16" s="1"/>
      <c r="R16" s="1" t="s">
        <v>9</v>
      </c>
      <c r="S16" s="1"/>
      <c r="T16" s="5">
        <f>+T13</f>
        <v>23310</v>
      </c>
      <c r="U16" s="1"/>
      <c r="V16" s="12"/>
      <c r="W16" s="40" t="s">
        <v>9</v>
      </c>
      <c r="X16" s="40"/>
      <c r="Y16" s="37">
        <f>+D16+H16+L16+P16+T16</f>
        <v>250360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>
        <v>1850</v>
      </c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1850</v>
      </c>
      <c r="Z17" s="13"/>
      <c r="AA17" s="1"/>
      <c r="AB17" s="48" t="s">
        <v>11</v>
      </c>
      <c r="AC17" s="49">
        <f>+SUM(AC12:AC16)</f>
        <v>1011920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363</v>
      </c>
      <c r="C18" s="107" t="s">
        <v>463</v>
      </c>
      <c r="D18" s="5">
        <v>7620</v>
      </c>
      <c r="E18" s="1"/>
      <c r="F18" s="1" t="s">
        <v>320</v>
      </c>
      <c r="G18" s="1" t="s">
        <v>455</v>
      </c>
      <c r="H18" s="5">
        <v>11270</v>
      </c>
      <c r="I18" s="1"/>
      <c r="J18" s="1" t="s">
        <v>451</v>
      </c>
      <c r="K18" s="1" t="s">
        <v>452</v>
      </c>
      <c r="L18" s="5">
        <v>17000</v>
      </c>
      <c r="M18" s="1"/>
      <c r="N18" s="1" t="s">
        <v>432</v>
      </c>
      <c r="O18" s="1" t="s">
        <v>445</v>
      </c>
      <c r="P18" s="5">
        <v>5026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40916</v>
      </c>
      <c r="Z18" s="13"/>
      <c r="AA18" s="1"/>
      <c r="AB18" s="50" t="s">
        <v>24</v>
      </c>
      <c r="AC18" s="51">
        <f>+AC17-AC9</f>
        <v>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204</v>
      </c>
      <c r="G19" s="1" t="s">
        <v>456</v>
      </c>
      <c r="H19" s="5">
        <v>4800</v>
      </c>
      <c r="I19" s="1"/>
      <c r="J19" s="1" t="s">
        <v>411</v>
      </c>
      <c r="K19" s="1" t="s">
        <v>453</v>
      </c>
      <c r="L19" s="5">
        <v>18000</v>
      </c>
      <c r="M19" s="1"/>
      <c r="N19" s="1" t="s">
        <v>26</v>
      </c>
      <c r="O19" s="1"/>
      <c r="P19" s="5"/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22800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363</v>
      </c>
      <c r="G20" s="1" t="s">
        <v>457</v>
      </c>
      <c r="H20" s="5">
        <v>9252</v>
      </c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9252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454</v>
      </c>
      <c r="K23" s="1" t="s">
        <v>450</v>
      </c>
      <c r="L23" s="5">
        <v>6641</v>
      </c>
      <c r="M23" s="1"/>
      <c r="N23" s="1" t="s">
        <v>46</v>
      </c>
      <c r="O23" s="1"/>
      <c r="P23" s="5"/>
      <c r="Q23" s="1"/>
      <c r="R23" s="1" t="s">
        <v>446</v>
      </c>
      <c r="S23" s="1" t="s">
        <v>52</v>
      </c>
      <c r="T23" s="5">
        <v>66280</v>
      </c>
      <c r="U23" s="1"/>
      <c r="V23" s="12"/>
      <c r="W23" s="40" t="s">
        <v>35</v>
      </c>
      <c r="X23" s="40"/>
      <c r="Y23" s="37">
        <f t="shared" si="8"/>
        <v>72921</v>
      </c>
      <c r="Z23" s="13"/>
      <c r="AA23" s="1"/>
      <c r="AB23" s="16" t="s">
        <v>383</v>
      </c>
      <c r="AC23" s="89">
        <v>45962</v>
      </c>
      <c r="AD23" s="16" t="s">
        <v>49</v>
      </c>
      <c r="AE23" s="16"/>
      <c r="AF23" s="69">
        <v>252200</v>
      </c>
      <c r="AG23" s="1"/>
      <c r="AH23" s="1"/>
      <c r="AI23" s="16" t="s">
        <v>297</v>
      </c>
      <c r="AJ23" s="16" t="s">
        <v>443</v>
      </c>
      <c r="AK23" s="87">
        <v>45936</v>
      </c>
      <c r="AL23" s="69">
        <v>30000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447</v>
      </c>
      <c r="S24" s="1" t="s">
        <v>448</v>
      </c>
      <c r="T24" s="5">
        <v>82987</v>
      </c>
      <c r="U24" s="1"/>
      <c r="V24" s="12"/>
      <c r="W24" s="40" t="s">
        <v>36</v>
      </c>
      <c r="X24" s="40"/>
      <c r="Y24" s="37">
        <f t="shared" si="8"/>
        <v>82987</v>
      </c>
      <c r="Z24" s="13"/>
      <c r="AA24" s="1"/>
      <c r="AB24" s="20" t="s">
        <v>458</v>
      </c>
      <c r="AC24" s="88">
        <v>45957</v>
      </c>
      <c r="AD24" s="16" t="s">
        <v>459</v>
      </c>
      <c r="AE24" s="16"/>
      <c r="AF24" s="69">
        <v>18740</v>
      </c>
      <c r="AG24" s="1"/>
      <c r="AH24" s="1"/>
      <c r="AI24" s="1"/>
      <c r="AJ24" s="1"/>
      <c r="AK24" s="1"/>
      <c r="AL24" s="62"/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449</v>
      </c>
      <c r="S25" s="1" t="s">
        <v>49</v>
      </c>
      <c r="T25" s="5">
        <v>1443670</v>
      </c>
      <c r="U25" s="1"/>
      <c r="V25" s="12"/>
      <c r="W25" s="40" t="s">
        <v>37</v>
      </c>
      <c r="X25" s="40"/>
      <c r="Y25" s="37">
        <f t="shared" si="8"/>
        <v>1443670</v>
      </c>
      <c r="Z25" s="13"/>
      <c r="AA25" s="1"/>
      <c r="AB25" s="20" t="s">
        <v>460</v>
      </c>
      <c r="AC25" s="89">
        <v>45972</v>
      </c>
      <c r="AD25" s="20" t="s">
        <v>461</v>
      </c>
      <c r="AE25" s="16"/>
      <c r="AF25" s="69">
        <v>5570</v>
      </c>
      <c r="AG25" s="1"/>
      <c r="AH25" s="1"/>
      <c r="AI25" s="1"/>
      <c r="AJ25" s="1"/>
      <c r="AK25" s="1"/>
      <c r="AL25" s="62"/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20" t="s">
        <v>462</v>
      </c>
      <c r="AC26" s="89">
        <v>45971</v>
      </c>
      <c r="AD26" s="20" t="s">
        <v>81</v>
      </c>
      <c r="AE26" s="16"/>
      <c r="AF26" s="96">
        <v>13440</v>
      </c>
      <c r="AG26" s="1"/>
      <c r="AH26" s="1"/>
      <c r="AI26" s="1"/>
      <c r="AJ26" s="1"/>
      <c r="AK26" s="1"/>
      <c r="AL26" s="62"/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20" t="s">
        <v>464</v>
      </c>
      <c r="AC27" s="89">
        <v>45976</v>
      </c>
      <c r="AD27" s="20" t="s">
        <v>49</v>
      </c>
      <c r="AE27" s="1"/>
      <c r="AF27" s="62">
        <v>2800</v>
      </c>
      <c r="AG27" s="1"/>
      <c r="AH27" s="1"/>
      <c r="AI27" s="1"/>
      <c r="AJ27" s="1"/>
      <c r="AK27" s="1"/>
      <c r="AL27" s="62"/>
    </row>
    <row r="28" spans="2:38" ht="15.75" thickBot="1">
      <c r="B28" s="125" t="s">
        <v>11</v>
      </c>
      <c r="C28" s="126"/>
      <c r="D28" s="9">
        <f>+SUM(D16:D27)</f>
        <v>69290</v>
      </c>
      <c r="E28" s="1"/>
      <c r="F28" s="125" t="s">
        <v>11</v>
      </c>
      <c r="G28" s="126"/>
      <c r="H28" s="9">
        <f>+SUM(H16:H27)</f>
        <v>87242</v>
      </c>
      <c r="I28" s="1"/>
      <c r="J28" s="125" t="s">
        <v>11</v>
      </c>
      <c r="K28" s="126"/>
      <c r="L28" s="9">
        <f>+SUM(L16:L27)</f>
        <v>88531</v>
      </c>
      <c r="M28" s="1"/>
      <c r="N28" s="125" t="s">
        <v>11</v>
      </c>
      <c r="O28" s="126"/>
      <c r="P28" s="9">
        <f>+SUM(P16:P27)</f>
        <v>63446</v>
      </c>
      <c r="Q28" s="1"/>
      <c r="R28" s="125" t="s">
        <v>11</v>
      </c>
      <c r="S28" s="126"/>
      <c r="T28" s="9">
        <f>+SUM(T16:T27)</f>
        <v>1616247</v>
      </c>
      <c r="U28" s="1"/>
      <c r="V28" s="12"/>
      <c r="W28" s="125" t="s">
        <v>11</v>
      </c>
      <c r="X28" s="126"/>
      <c r="Y28" s="9">
        <f>+SUM(Y16:Y27)</f>
        <v>1924756</v>
      </c>
      <c r="Z28" s="13"/>
      <c r="AA28" s="1"/>
      <c r="AB28" s="1"/>
      <c r="AC28" s="110">
        <v>45975</v>
      </c>
      <c r="AD28" s="111" t="s">
        <v>467</v>
      </c>
      <c r="AE28" s="95"/>
      <c r="AF28" s="112">
        <v>468810</v>
      </c>
      <c r="AG28" s="1"/>
      <c r="AH28" s="1"/>
      <c r="AI28" s="1"/>
      <c r="AJ28" s="1"/>
      <c r="AK28" s="1"/>
      <c r="AL28" s="62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62"/>
      <c r="AG29" s="1"/>
      <c r="AH29" s="1"/>
      <c r="AI29" s="1"/>
      <c r="AJ29" s="1"/>
      <c r="AK29" s="1"/>
      <c r="AL29" s="62"/>
    </row>
    <row r="30" spans="2:38" ht="15.75" thickBot="1">
      <c r="B30" s="127" t="s">
        <v>39</v>
      </c>
      <c r="C30" s="127"/>
      <c r="D30" s="7">
        <f>+D28-D15</f>
        <v>-778</v>
      </c>
      <c r="E30" s="1"/>
      <c r="F30" s="127" t="s">
        <v>39</v>
      </c>
      <c r="G30" s="127"/>
      <c r="H30" s="7">
        <f>+H28-H15</f>
        <v>142</v>
      </c>
      <c r="I30" s="1"/>
      <c r="J30" s="127" t="s">
        <v>39</v>
      </c>
      <c r="K30" s="127"/>
      <c r="L30" s="7">
        <f>+L28-L15</f>
        <v>-266</v>
      </c>
      <c r="M30" s="1"/>
      <c r="N30" s="127" t="s">
        <v>39</v>
      </c>
      <c r="O30" s="127"/>
      <c r="P30" s="7">
        <f>+P28-P15</f>
        <v>12</v>
      </c>
      <c r="Q30" s="1"/>
      <c r="R30" s="127" t="s">
        <v>39</v>
      </c>
      <c r="S30" s="127"/>
      <c r="T30" s="7">
        <f>+T28-T15</f>
        <v>-284</v>
      </c>
      <c r="U30" s="1"/>
      <c r="V30" s="12"/>
      <c r="W30" s="124" t="s">
        <v>39</v>
      </c>
      <c r="X30" s="124"/>
      <c r="Y30" s="41">
        <f>+Y28-Y15</f>
        <v>-1174</v>
      </c>
      <c r="Z30" s="13"/>
      <c r="AA30" s="1"/>
      <c r="AB30" s="1"/>
      <c r="AC30" s="1"/>
      <c r="AD30" s="1"/>
      <c r="AE30" s="1"/>
      <c r="AF30" s="62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62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>
        <v>778</v>
      </c>
      <c r="E34" s="1"/>
      <c r="F34" s="10" t="s">
        <v>40</v>
      </c>
      <c r="G34" s="11"/>
      <c r="H34" s="21"/>
      <c r="I34" s="1"/>
      <c r="J34" s="10" t="s">
        <v>40</v>
      </c>
      <c r="K34" s="11"/>
      <c r="L34" s="21">
        <v>266</v>
      </c>
      <c r="M34" s="1"/>
      <c r="N34" s="10" t="s">
        <v>40</v>
      </c>
      <c r="O34" s="11"/>
      <c r="P34" s="21"/>
      <c r="Q34" s="1"/>
      <c r="R34" s="10" t="s">
        <v>40</v>
      </c>
      <c r="S34" s="11"/>
      <c r="T34" s="21">
        <v>3</v>
      </c>
      <c r="U34" s="1"/>
      <c r="V34" s="1"/>
      <c r="W34" s="42" t="s">
        <v>40</v>
      </c>
      <c r="X34" s="43"/>
      <c r="Y34" s="44">
        <f>+D34+H34+L34+P34+T34</f>
        <v>1047</v>
      </c>
      <c r="Z34" s="1"/>
      <c r="AA34" s="1"/>
      <c r="AB34" s="1"/>
      <c r="AC34" s="1"/>
      <c r="AD34" s="1"/>
      <c r="AE34" s="1"/>
      <c r="AF34" s="62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190</v>
      </c>
      <c r="S35" s="16"/>
      <c r="T35" s="22">
        <v>281</v>
      </c>
      <c r="U35" s="1"/>
      <c r="V35" s="1"/>
      <c r="W35" s="45" t="s">
        <v>41</v>
      </c>
      <c r="X35" s="40"/>
      <c r="Y35" s="46">
        <f t="shared" ref="Y35:Y36" si="9">+D35+H35+L35+P35+T35</f>
        <v>281</v>
      </c>
      <c r="Z35" s="1"/>
      <c r="AA35" s="1"/>
      <c r="AB35" s="1"/>
      <c r="AC35" s="1"/>
      <c r="AD35" s="1"/>
      <c r="AE35" s="1"/>
      <c r="AF35" s="62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/>
      <c r="E36" s="1"/>
      <c r="F36" s="12" t="s">
        <v>43</v>
      </c>
      <c r="G36" s="16"/>
      <c r="H36" s="22">
        <v>-142</v>
      </c>
      <c r="I36" s="1"/>
      <c r="J36" s="12" t="s">
        <v>43</v>
      </c>
      <c r="K36" s="16"/>
      <c r="L36" s="22"/>
      <c r="M36" s="1"/>
      <c r="N36" s="12" t="s">
        <v>43</v>
      </c>
      <c r="O36" s="16"/>
      <c r="P36" s="22">
        <v>-12</v>
      </c>
      <c r="Q36" s="1"/>
      <c r="R36" s="12" t="s">
        <v>45</v>
      </c>
      <c r="S36" s="16"/>
      <c r="T36" s="22"/>
      <c r="U36" s="1"/>
      <c r="V36" s="1"/>
      <c r="W36" s="45" t="s">
        <v>42</v>
      </c>
      <c r="X36" s="40"/>
      <c r="Y36" s="46">
        <f t="shared" si="9"/>
        <v>-154</v>
      </c>
      <c r="Z36" s="1"/>
      <c r="AA36" s="1"/>
      <c r="AB36" s="1"/>
      <c r="AC36" s="1"/>
      <c r="AD36" s="1"/>
      <c r="AE36" s="1"/>
      <c r="AF36" s="62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778</v>
      </c>
      <c r="E37" s="1"/>
      <c r="F37" s="12" t="s">
        <v>17</v>
      </c>
      <c r="G37" s="16"/>
      <c r="H37" s="22">
        <f>+SUM(H34:H36)</f>
        <v>-142</v>
      </c>
      <c r="I37" s="1"/>
      <c r="J37" s="12" t="s">
        <v>17</v>
      </c>
      <c r="K37" s="16"/>
      <c r="L37" s="22">
        <f>+SUM(L34:L36)</f>
        <v>266</v>
      </c>
      <c r="M37" s="1"/>
      <c r="N37" s="12" t="s">
        <v>17</v>
      </c>
      <c r="O37" s="16"/>
      <c r="P37" s="22">
        <f>+SUM(P34:P36)</f>
        <v>-12</v>
      </c>
      <c r="Q37" s="1"/>
      <c r="R37" s="12" t="s">
        <v>17</v>
      </c>
      <c r="S37" s="16"/>
      <c r="T37" s="22">
        <f>+SUM(T34:T36)</f>
        <v>284</v>
      </c>
      <c r="U37" s="1"/>
      <c r="V37" s="1"/>
      <c r="W37" s="33" t="s">
        <v>17</v>
      </c>
      <c r="X37" s="34"/>
      <c r="Y37" s="35">
        <f>+SUM(Y34:Y36)</f>
        <v>1174</v>
      </c>
      <c r="Z37" s="1"/>
      <c r="AA37" s="1"/>
      <c r="AB37" s="60" t="s">
        <v>38</v>
      </c>
      <c r="AC37" s="60"/>
      <c r="AD37" s="60"/>
      <c r="AE37" s="60"/>
      <c r="AF37" s="55">
        <f>+SUM(AF23:AF36)</f>
        <v>761560</v>
      </c>
      <c r="AG37" s="1"/>
      <c r="AH37" s="1"/>
      <c r="AI37" s="60" t="s">
        <v>38</v>
      </c>
      <c r="AJ37" s="60"/>
      <c r="AK37" s="60"/>
      <c r="AL37" s="67">
        <f>+SUM(AL23:AL36)</f>
        <v>30000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2:AL44"/>
  <sheetViews>
    <sheetView topLeftCell="A7" zoomScale="90" zoomScaleNormal="90" workbookViewId="0">
      <selection activeCell="S21" sqref="S21"/>
    </sheetView>
  </sheetViews>
  <sheetFormatPr defaultRowHeight="15"/>
  <cols>
    <col min="3" max="3" width="14" customWidth="1"/>
    <col min="5" max="5" width="0.28515625" customWidth="1"/>
    <col min="7" max="7" width="14.7109375" customWidth="1"/>
    <col min="9" max="9" width="0.28515625" customWidth="1"/>
    <col min="13" max="13" width="0.28515625" customWidth="1"/>
    <col min="15" max="15" width="13.5703125" customWidth="1"/>
    <col min="16" max="16" width="9.5703125" bestFit="1" customWidth="1"/>
    <col min="17" max="17" width="0.28515625" customWidth="1"/>
    <col min="19" max="19" width="15.140625" customWidth="1"/>
    <col min="20" max="20" width="10" bestFit="1" customWidth="1"/>
    <col min="21" max="21" width="0.42578125" customWidth="1"/>
    <col min="22" max="22" width="0.5703125" customWidth="1"/>
    <col min="25" max="25" width="11.7109375" customWidth="1"/>
    <col min="26" max="26" width="0.28515625" customWidth="1"/>
    <col min="27" max="27" width="0.5703125" customWidth="1"/>
    <col min="29" max="29" width="10.140625" bestFit="1" customWidth="1"/>
    <col min="33" max="33" width="0.5703125" customWidth="1"/>
    <col min="34" max="34" width="0.140625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286</v>
      </c>
      <c r="D6" s="36">
        <f>+C6*B6</f>
        <v>2860</v>
      </c>
      <c r="E6" s="1"/>
      <c r="F6" s="2">
        <v>10</v>
      </c>
      <c r="G6" s="2">
        <v>42</v>
      </c>
      <c r="H6" s="36">
        <f>+G6*F6</f>
        <v>420</v>
      </c>
      <c r="I6" s="1"/>
      <c r="J6" s="2">
        <v>10</v>
      </c>
      <c r="K6" s="2">
        <v>57</v>
      </c>
      <c r="L6" s="36">
        <f>+K6*J6</f>
        <v>570</v>
      </c>
      <c r="M6" s="1"/>
      <c r="N6" s="2">
        <v>10</v>
      </c>
      <c r="O6" s="2">
        <v>31</v>
      </c>
      <c r="P6" s="36">
        <f>+O6*N6</f>
        <v>310</v>
      </c>
      <c r="Q6" s="1"/>
      <c r="R6" s="2">
        <v>10</v>
      </c>
      <c r="S6" s="2">
        <v>66</v>
      </c>
      <c r="T6" s="36">
        <f>+S6*R6</f>
        <v>660</v>
      </c>
      <c r="U6" s="1"/>
      <c r="V6" s="12"/>
      <c r="W6" s="39">
        <v>10</v>
      </c>
      <c r="X6" s="39">
        <f>+C6+G6+K6+O6+S6</f>
        <v>482</v>
      </c>
      <c r="Y6" s="37">
        <f>+D6+H6+L6+P6+T6</f>
        <v>4820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55</v>
      </c>
      <c r="D7" s="36">
        <f t="shared" ref="D7:D12" si="1">+C7*B7</f>
        <v>1100</v>
      </c>
      <c r="E7" s="1"/>
      <c r="F7" s="2">
        <v>20</v>
      </c>
      <c r="G7" s="2">
        <v>13</v>
      </c>
      <c r="H7" s="36">
        <f t="shared" ref="H7:H12" si="2">+G7*F7</f>
        <v>260</v>
      </c>
      <c r="I7" s="1"/>
      <c r="J7" s="2">
        <v>20</v>
      </c>
      <c r="K7" s="2">
        <v>10</v>
      </c>
      <c r="L7" s="36">
        <f t="shared" ref="L7:L12" si="3">+K7*J7</f>
        <v>200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>
        <v>17</v>
      </c>
      <c r="T7" s="36">
        <f t="shared" ref="T7:T12" si="5">+S7*R7</f>
        <v>340</v>
      </c>
      <c r="U7" s="1"/>
      <c r="V7" s="12"/>
      <c r="W7" s="39">
        <v>20</v>
      </c>
      <c r="X7" s="39">
        <f>+C7+G7+K7+O7+S7</f>
        <v>95</v>
      </c>
      <c r="Y7" s="37">
        <f t="shared" ref="Y7:Y12" si="6">+D7+H7+L7+P7+T7</f>
        <v>1900</v>
      </c>
      <c r="Z7" s="13"/>
      <c r="AA7" s="1"/>
      <c r="AB7" s="56" t="s">
        <v>9</v>
      </c>
      <c r="AC7" s="57">
        <f>Y13</f>
        <v>337370</v>
      </c>
      <c r="AD7" s="26"/>
      <c r="AE7" s="26"/>
      <c r="AF7" s="26"/>
      <c r="AG7" s="26"/>
      <c r="AH7" s="1"/>
      <c r="AI7" s="2">
        <v>10</v>
      </c>
      <c r="AJ7" s="2">
        <v>80</v>
      </c>
      <c r="AK7" s="36">
        <f t="shared" si="0"/>
        <v>800</v>
      </c>
      <c r="AL7" s="1"/>
    </row>
    <row r="8" spans="2:38">
      <c r="B8" s="2">
        <v>50</v>
      </c>
      <c r="C8" s="2">
        <v>29</v>
      </c>
      <c r="D8" s="36">
        <f t="shared" si="1"/>
        <v>1450</v>
      </c>
      <c r="E8" s="1"/>
      <c r="F8" s="2">
        <v>50</v>
      </c>
      <c r="G8" s="2">
        <v>8</v>
      </c>
      <c r="H8" s="36">
        <f t="shared" si="2"/>
        <v>400</v>
      </c>
      <c r="I8" s="1"/>
      <c r="J8" s="2">
        <v>50</v>
      </c>
      <c r="K8" s="2">
        <v>37</v>
      </c>
      <c r="L8" s="36">
        <f t="shared" si="3"/>
        <v>1850</v>
      </c>
      <c r="M8" s="1"/>
      <c r="N8" s="2">
        <v>50</v>
      </c>
      <c r="O8" s="2">
        <v>30</v>
      </c>
      <c r="P8" s="36">
        <f t="shared" si="4"/>
        <v>1500</v>
      </c>
      <c r="Q8" s="1"/>
      <c r="R8" s="2">
        <v>50</v>
      </c>
      <c r="S8" s="2">
        <v>1</v>
      </c>
      <c r="T8" s="36">
        <f t="shared" si="5"/>
        <v>50</v>
      </c>
      <c r="U8" s="1"/>
      <c r="V8" s="12"/>
      <c r="W8" s="39">
        <v>50</v>
      </c>
      <c r="X8" s="39">
        <f t="shared" ref="X8:X12" si="7">+C8+G8+K8+O8+S8</f>
        <v>105</v>
      </c>
      <c r="Y8" s="37">
        <f t="shared" si="6"/>
        <v>5250</v>
      </c>
      <c r="Z8" s="13"/>
      <c r="AA8" s="1"/>
      <c r="AB8" s="53" t="s">
        <v>10</v>
      </c>
      <c r="AC8" s="53">
        <f>+AF37</f>
        <v>273020</v>
      </c>
      <c r="AD8" s="1"/>
      <c r="AE8" s="1"/>
      <c r="AF8" s="1"/>
      <c r="AG8" s="1"/>
      <c r="AH8" s="1"/>
      <c r="AI8" s="2">
        <v>20</v>
      </c>
      <c r="AJ8" s="2">
        <v>252</v>
      </c>
      <c r="AK8" s="36">
        <f t="shared" si="0"/>
        <v>5040</v>
      </c>
      <c r="AL8" s="1"/>
    </row>
    <row r="9" spans="2:38" ht="15.75" thickBot="1">
      <c r="B9" s="2">
        <v>100</v>
      </c>
      <c r="C9" s="2">
        <v>53</v>
      </c>
      <c r="D9" s="36">
        <f t="shared" si="1"/>
        <v>5300</v>
      </c>
      <c r="E9" s="1"/>
      <c r="F9" s="2">
        <v>100</v>
      </c>
      <c r="G9" s="2">
        <v>26</v>
      </c>
      <c r="H9" s="36">
        <f t="shared" si="2"/>
        <v>2600</v>
      </c>
      <c r="I9" s="1"/>
      <c r="J9" s="2">
        <v>100</v>
      </c>
      <c r="K9" s="2">
        <v>33</v>
      </c>
      <c r="L9" s="36">
        <f t="shared" si="3"/>
        <v>3300</v>
      </c>
      <c r="M9" s="1"/>
      <c r="N9" s="2">
        <v>100</v>
      </c>
      <c r="O9" s="2">
        <v>24</v>
      </c>
      <c r="P9" s="36">
        <f t="shared" si="4"/>
        <v>2400</v>
      </c>
      <c r="Q9" s="1"/>
      <c r="R9" s="2">
        <v>100</v>
      </c>
      <c r="S9" s="2">
        <v>3</v>
      </c>
      <c r="T9" s="36">
        <f t="shared" si="5"/>
        <v>300</v>
      </c>
      <c r="U9" s="1"/>
      <c r="V9" s="12"/>
      <c r="W9" s="39">
        <v>100</v>
      </c>
      <c r="X9" s="39">
        <f t="shared" si="7"/>
        <v>139</v>
      </c>
      <c r="Y9" s="37">
        <f t="shared" si="6"/>
        <v>13900</v>
      </c>
      <c r="Z9" s="13"/>
      <c r="AA9" s="1"/>
      <c r="AB9" s="58" t="s">
        <v>11</v>
      </c>
      <c r="AC9" s="59">
        <f>SUM(AC7:AC8)</f>
        <v>610390</v>
      </c>
      <c r="AD9" s="1"/>
      <c r="AE9" s="1"/>
      <c r="AF9" s="1"/>
      <c r="AG9" s="1"/>
      <c r="AH9" s="1"/>
      <c r="AI9" s="2">
        <v>50</v>
      </c>
      <c r="AJ9" s="2">
        <v>125</v>
      </c>
      <c r="AK9" s="36">
        <f t="shared" si="0"/>
        <v>6250</v>
      </c>
      <c r="AL9" s="1"/>
    </row>
    <row r="10" spans="2:38">
      <c r="B10" s="2">
        <v>500</v>
      </c>
      <c r="C10" s="2">
        <v>21</v>
      </c>
      <c r="D10" s="36">
        <f t="shared" si="1"/>
        <v>10500</v>
      </c>
      <c r="E10" s="1"/>
      <c r="F10" s="2">
        <v>500</v>
      </c>
      <c r="G10" s="2">
        <v>24</v>
      </c>
      <c r="H10" s="36">
        <f t="shared" si="2"/>
        <v>12000</v>
      </c>
      <c r="I10" s="1"/>
      <c r="J10" s="2">
        <v>500</v>
      </c>
      <c r="K10" s="2">
        <v>34</v>
      </c>
      <c r="L10" s="36">
        <f t="shared" si="3"/>
        <v>17000</v>
      </c>
      <c r="M10" s="1"/>
      <c r="N10" s="2">
        <v>500</v>
      </c>
      <c r="O10" s="2"/>
      <c r="P10" s="36">
        <f t="shared" si="4"/>
        <v>0</v>
      </c>
      <c r="Q10" s="1"/>
      <c r="R10" s="2">
        <v>500</v>
      </c>
      <c r="S10" s="2">
        <v>24</v>
      </c>
      <c r="T10" s="36">
        <f t="shared" si="5"/>
        <v>12000</v>
      </c>
      <c r="U10" s="1"/>
      <c r="V10" s="12"/>
      <c r="W10" s="39">
        <v>500</v>
      </c>
      <c r="X10" s="39">
        <f t="shared" si="7"/>
        <v>103</v>
      </c>
      <c r="Y10" s="37">
        <f t="shared" si="6"/>
        <v>51500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183</v>
      </c>
      <c r="AK10" s="36">
        <f t="shared" si="0"/>
        <v>18300</v>
      </c>
      <c r="AL10" s="1"/>
    </row>
    <row r="11" spans="2:38">
      <c r="B11" s="2">
        <v>1000</v>
      </c>
      <c r="C11" s="2">
        <v>44</v>
      </c>
      <c r="D11" s="36">
        <f t="shared" si="1"/>
        <v>44000</v>
      </c>
      <c r="E11" s="1"/>
      <c r="F11" s="2">
        <v>1000</v>
      </c>
      <c r="G11" s="2">
        <v>28</v>
      </c>
      <c r="H11" s="36">
        <f t="shared" si="2"/>
        <v>28000</v>
      </c>
      <c r="I11" s="1"/>
      <c r="J11" s="2">
        <v>1000</v>
      </c>
      <c r="K11" s="2">
        <v>33</v>
      </c>
      <c r="L11" s="36">
        <f t="shared" si="3"/>
        <v>33000</v>
      </c>
      <c r="M11" s="1"/>
      <c r="N11" s="2">
        <v>1000</v>
      </c>
      <c r="O11" s="2">
        <v>62</v>
      </c>
      <c r="P11" s="36">
        <f t="shared" si="4"/>
        <v>62000</v>
      </c>
      <c r="Q11" s="1"/>
      <c r="R11" s="2">
        <v>1000</v>
      </c>
      <c r="S11" s="2">
        <v>48</v>
      </c>
      <c r="T11" s="36">
        <f t="shared" si="5"/>
        <v>48000</v>
      </c>
      <c r="U11" s="1"/>
      <c r="V11" s="12"/>
      <c r="W11" s="39">
        <v>1000</v>
      </c>
      <c r="X11" s="39">
        <f t="shared" si="7"/>
        <v>215</v>
      </c>
      <c r="Y11" s="37">
        <f t="shared" si="6"/>
        <v>215000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272</v>
      </c>
      <c r="AK11" s="36">
        <f t="shared" si="0"/>
        <v>136000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>
        <v>5</v>
      </c>
      <c r="T12" s="36">
        <f t="shared" si="5"/>
        <v>25000</v>
      </c>
      <c r="U12" s="1"/>
      <c r="V12" s="12"/>
      <c r="W12" s="39">
        <v>5000</v>
      </c>
      <c r="X12" s="39">
        <f t="shared" si="7"/>
        <v>9</v>
      </c>
      <c r="Y12" s="37">
        <f t="shared" si="6"/>
        <v>45000</v>
      </c>
      <c r="Z12" s="13"/>
      <c r="AA12" s="1"/>
      <c r="AB12" s="1" t="s">
        <v>16</v>
      </c>
      <c r="AC12" s="5">
        <v>610390</v>
      </c>
      <c r="AD12" s="1">
        <v>375125</v>
      </c>
      <c r="AE12" s="52" t="s">
        <v>506</v>
      </c>
      <c r="AF12" s="1" t="s">
        <v>69</v>
      </c>
      <c r="AG12" s="1"/>
      <c r="AH12" s="1"/>
      <c r="AI12" s="2">
        <v>1000</v>
      </c>
      <c r="AJ12" s="2">
        <v>364</v>
      </c>
      <c r="AK12" s="36">
        <f t="shared" si="0"/>
        <v>364000</v>
      </c>
      <c r="AL12" s="1"/>
    </row>
    <row r="13" spans="2:38" ht="15.75" thickBot="1">
      <c r="B13" s="3" t="s">
        <v>17</v>
      </c>
      <c r="C13" s="3"/>
      <c r="D13" s="6">
        <f>+SUM(D5:D12)</f>
        <v>70210</v>
      </c>
      <c r="E13" s="1"/>
      <c r="F13" s="3" t="s">
        <v>17</v>
      </c>
      <c r="G13" s="3"/>
      <c r="H13" s="6">
        <f>+SUM(H5:H12)</f>
        <v>53680</v>
      </c>
      <c r="I13" s="1"/>
      <c r="J13" s="3" t="s">
        <v>17</v>
      </c>
      <c r="K13" s="3"/>
      <c r="L13" s="6">
        <f>+SUM(L5:L12)</f>
        <v>60920</v>
      </c>
      <c r="M13" s="1"/>
      <c r="N13" s="3" t="s">
        <v>17</v>
      </c>
      <c r="O13" s="3"/>
      <c r="P13" s="6">
        <f>+SUM(P5:P12)</f>
        <v>66210</v>
      </c>
      <c r="Q13" s="1"/>
      <c r="R13" s="3" t="s">
        <v>17</v>
      </c>
      <c r="S13" s="3"/>
      <c r="T13" s="6">
        <f>+SUM(T5:T12)</f>
        <v>86350</v>
      </c>
      <c r="U13" s="1"/>
      <c r="V13" s="12"/>
      <c r="W13" s="3" t="s">
        <v>17</v>
      </c>
      <c r="X13" s="3"/>
      <c r="Y13" s="6">
        <f>+SUM(Y5:Y12)</f>
        <v>337370</v>
      </c>
      <c r="Z13" s="13"/>
      <c r="AA13" s="1"/>
      <c r="AB13" s="1" t="s">
        <v>18</v>
      </c>
      <c r="AC13" s="5"/>
      <c r="AD13" s="1"/>
      <c r="AE13" s="1"/>
      <c r="AF13" s="1"/>
      <c r="AG13" s="1"/>
      <c r="AH13" s="1"/>
      <c r="AI13" s="2">
        <v>5000</v>
      </c>
      <c r="AJ13" s="2">
        <v>16</v>
      </c>
      <c r="AK13" s="36">
        <f t="shared" si="0"/>
        <v>80000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610390</v>
      </c>
      <c r="AL14" s="1"/>
    </row>
    <row r="15" spans="2:38" ht="15.75" thickBot="1">
      <c r="B15" s="128" t="s">
        <v>20</v>
      </c>
      <c r="C15" s="129"/>
      <c r="D15" s="8">
        <v>74801</v>
      </c>
      <c r="E15" s="30"/>
      <c r="F15" s="128" t="s">
        <v>20</v>
      </c>
      <c r="G15" s="129"/>
      <c r="H15" s="8">
        <v>73588</v>
      </c>
      <c r="I15" s="30"/>
      <c r="J15" s="128" t="s">
        <v>20</v>
      </c>
      <c r="K15" s="129"/>
      <c r="L15" s="8">
        <v>82040</v>
      </c>
      <c r="M15" s="30"/>
      <c r="N15" s="128" t="s">
        <v>20</v>
      </c>
      <c r="O15" s="129"/>
      <c r="P15" s="8">
        <v>109707</v>
      </c>
      <c r="Q15" s="30"/>
      <c r="R15" s="128" t="s">
        <v>20</v>
      </c>
      <c r="S15" s="129"/>
      <c r="T15" s="8">
        <v>669699</v>
      </c>
      <c r="U15" s="30"/>
      <c r="V15" s="31"/>
      <c r="W15" s="128" t="s">
        <v>20</v>
      </c>
      <c r="X15" s="129"/>
      <c r="Y15" s="8">
        <f>+D15+H15+L15+P15+T15</f>
        <v>1009835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70210</v>
      </c>
      <c r="E16" s="1"/>
      <c r="F16" s="1" t="s">
        <v>9</v>
      </c>
      <c r="G16" s="1"/>
      <c r="H16" s="5">
        <f>+H13</f>
        <v>53680</v>
      </c>
      <c r="I16" s="1"/>
      <c r="J16" s="1" t="s">
        <v>9</v>
      </c>
      <c r="K16" s="1"/>
      <c r="L16" s="5">
        <f>+L13</f>
        <v>60920</v>
      </c>
      <c r="M16" s="1"/>
      <c r="N16" s="1" t="s">
        <v>9</v>
      </c>
      <c r="O16" s="1"/>
      <c r="P16" s="5">
        <f>+P13</f>
        <v>66210</v>
      </c>
      <c r="Q16" s="1"/>
      <c r="R16" s="1" t="s">
        <v>9</v>
      </c>
      <c r="S16" s="1"/>
      <c r="T16" s="5">
        <f>+T13</f>
        <v>86350</v>
      </c>
      <c r="U16" s="1"/>
      <c r="V16" s="12"/>
      <c r="W16" s="40" t="s">
        <v>9</v>
      </c>
      <c r="X16" s="40"/>
      <c r="Y16" s="37">
        <f>+D16+H16+L16+P16+T16</f>
        <v>337370</v>
      </c>
      <c r="Z16" s="13"/>
      <c r="AA16" s="1"/>
      <c r="AB16" s="1" t="s">
        <v>505</v>
      </c>
      <c r="AC16" s="5"/>
      <c r="AD16" s="73">
        <v>3675</v>
      </c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>
        <v>800</v>
      </c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>
        <v>4650</v>
      </c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5450</v>
      </c>
      <c r="Z17" s="13"/>
      <c r="AA17" s="1"/>
      <c r="AB17" s="48" t="s">
        <v>11</v>
      </c>
      <c r="AC17" s="49">
        <f>+SUM(AC12:AC16)</f>
        <v>610390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479</v>
      </c>
      <c r="C18" s="1" t="s">
        <v>480</v>
      </c>
      <c r="D18" s="5">
        <v>4320</v>
      </c>
      <c r="E18" s="1"/>
      <c r="F18" s="1" t="s">
        <v>432</v>
      </c>
      <c r="G18" s="1" t="s">
        <v>474</v>
      </c>
      <c r="H18" s="5">
        <v>4637</v>
      </c>
      <c r="I18" s="1"/>
      <c r="J18" s="1" t="s">
        <v>432</v>
      </c>
      <c r="K18" s="1" t="s">
        <v>493</v>
      </c>
      <c r="L18" s="5">
        <v>12170</v>
      </c>
      <c r="M18" s="1"/>
      <c r="N18" s="1" t="s">
        <v>438</v>
      </c>
      <c r="O18" s="1" t="s">
        <v>469</v>
      </c>
      <c r="P18" s="5">
        <v>12503</v>
      </c>
      <c r="Q18" s="1"/>
      <c r="R18" s="1" t="s">
        <v>451</v>
      </c>
      <c r="S18" s="1" t="s">
        <v>499</v>
      </c>
      <c r="T18" s="5">
        <v>51780</v>
      </c>
      <c r="U18" s="1"/>
      <c r="V18" s="12"/>
      <c r="W18" s="40" t="s">
        <v>23</v>
      </c>
      <c r="X18" s="40"/>
      <c r="Y18" s="37">
        <f t="shared" si="8"/>
        <v>85410</v>
      </c>
      <c r="Z18" s="13"/>
      <c r="AA18" s="1"/>
      <c r="AB18" s="50" t="s">
        <v>24</v>
      </c>
      <c r="AC18" s="51">
        <f>+AC17-AC9</f>
        <v>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320</v>
      </c>
      <c r="G19" s="1" t="s">
        <v>475</v>
      </c>
      <c r="H19" s="5">
        <v>6475</v>
      </c>
      <c r="I19" s="1"/>
      <c r="J19" s="1" t="s">
        <v>26</v>
      </c>
      <c r="K19" s="1"/>
      <c r="L19" s="5"/>
      <c r="M19" s="1"/>
      <c r="N19" s="1" t="s">
        <v>26</v>
      </c>
      <c r="O19" s="1"/>
      <c r="P19" s="5"/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6475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476</v>
      </c>
      <c r="G20" s="1" t="s">
        <v>477</v>
      </c>
      <c r="H20" s="5">
        <v>8800</v>
      </c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8800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494</v>
      </c>
      <c r="K23" s="1" t="s">
        <v>495</v>
      </c>
      <c r="L23" s="5">
        <v>10440</v>
      </c>
      <c r="M23" s="1"/>
      <c r="N23" s="1" t="s">
        <v>470</v>
      </c>
      <c r="O23" s="1" t="s">
        <v>471</v>
      </c>
      <c r="P23" s="5">
        <v>20520</v>
      </c>
      <c r="Q23" s="1"/>
      <c r="R23" s="1" t="s">
        <v>478</v>
      </c>
      <c r="S23" s="1" t="s">
        <v>373</v>
      </c>
      <c r="T23" s="5">
        <v>405298</v>
      </c>
      <c r="U23" s="1"/>
      <c r="V23" s="12"/>
      <c r="W23" s="40" t="s">
        <v>35</v>
      </c>
      <c r="X23" s="40"/>
      <c r="Y23" s="37">
        <f t="shared" si="8"/>
        <v>436258</v>
      </c>
      <c r="Z23" s="13"/>
      <c r="AA23" s="1"/>
      <c r="AB23" s="20" t="s">
        <v>374</v>
      </c>
      <c r="AC23" s="113">
        <v>45957</v>
      </c>
      <c r="AD23" s="20" t="s">
        <v>373</v>
      </c>
      <c r="AE23" s="20"/>
      <c r="AF23" s="96">
        <v>204270</v>
      </c>
      <c r="AG23" s="1"/>
      <c r="AH23" s="1"/>
      <c r="AI23" s="20" t="s">
        <v>297</v>
      </c>
      <c r="AJ23" s="20" t="s">
        <v>443</v>
      </c>
      <c r="AK23" s="89">
        <v>45936</v>
      </c>
      <c r="AL23" s="96">
        <v>35275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472</v>
      </c>
      <c r="O24" s="1" t="s">
        <v>76</v>
      </c>
      <c r="P24" s="5">
        <v>5828</v>
      </c>
      <c r="Q24" s="1"/>
      <c r="R24" s="1" t="s">
        <v>500</v>
      </c>
      <c r="S24" s="1" t="s">
        <v>501</v>
      </c>
      <c r="T24" s="5">
        <v>20788</v>
      </c>
      <c r="U24" s="1"/>
      <c r="V24" s="12"/>
      <c r="W24" s="40" t="s">
        <v>36</v>
      </c>
      <c r="X24" s="40"/>
      <c r="Y24" s="37">
        <f t="shared" si="8"/>
        <v>26616</v>
      </c>
      <c r="Z24" s="13"/>
      <c r="AA24" s="1"/>
      <c r="AB24" s="20" t="s">
        <v>71</v>
      </c>
      <c r="AC24" s="89">
        <v>45971</v>
      </c>
      <c r="AD24" s="20" t="s">
        <v>76</v>
      </c>
      <c r="AE24" s="20"/>
      <c r="AF24" s="96">
        <v>5130</v>
      </c>
      <c r="AG24" s="1"/>
      <c r="AH24" s="1"/>
      <c r="AI24" s="20" t="s">
        <v>71</v>
      </c>
      <c r="AJ24" s="20" t="s">
        <v>64</v>
      </c>
      <c r="AK24" s="20"/>
      <c r="AL24" s="96">
        <v>4650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502</v>
      </c>
      <c r="S25" s="1" t="s">
        <v>503</v>
      </c>
      <c r="T25" s="5">
        <v>30957</v>
      </c>
      <c r="U25" s="1"/>
      <c r="V25" s="12"/>
      <c r="W25" s="40" t="s">
        <v>37</v>
      </c>
      <c r="X25" s="40"/>
      <c r="Y25" s="37">
        <f t="shared" si="8"/>
        <v>30957</v>
      </c>
      <c r="Z25" s="13"/>
      <c r="AA25" s="1"/>
      <c r="AB25" s="20" t="s">
        <v>71</v>
      </c>
      <c r="AC25" s="89">
        <v>45964</v>
      </c>
      <c r="AD25" s="20" t="s">
        <v>70</v>
      </c>
      <c r="AE25" s="20"/>
      <c r="AF25" s="96">
        <v>17480</v>
      </c>
      <c r="AG25" s="1"/>
      <c r="AH25" s="1"/>
      <c r="AI25" s="20" t="s">
        <v>473</v>
      </c>
      <c r="AJ25" s="20" t="s">
        <v>64</v>
      </c>
      <c r="AK25" s="20"/>
      <c r="AL25" s="96">
        <v>800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504</v>
      </c>
      <c r="S26" s="1" t="s">
        <v>81</v>
      </c>
      <c r="T26" s="5">
        <v>68179</v>
      </c>
      <c r="U26" s="1"/>
      <c r="V26" s="12"/>
      <c r="W26" s="40"/>
      <c r="X26" s="40"/>
      <c r="Y26" s="37">
        <f t="shared" si="8"/>
        <v>68179</v>
      </c>
      <c r="Z26" s="13"/>
      <c r="AA26" s="1"/>
      <c r="AB26" s="20" t="s">
        <v>497</v>
      </c>
      <c r="AC26" s="89">
        <v>45976</v>
      </c>
      <c r="AD26" s="16" t="s">
        <v>496</v>
      </c>
      <c r="AE26" s="16"/>
      <c r="AF26" s="96">
        <v>6640</v>
      </c>
      <c r="AG26" s="1"/>
      <c r="AH26" s="1"/>
      <c r="AI26" s="20" t="s">
        <v>486</v>
      </c>
      <c r="AJ26" s="20" t="s">
        <v>65</v>
      </c>
      <c r="AK26" s="20" t="s">
        <v>481</v>
      </c>
      <c r="AL26" s="96">
        <v>58349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20" t="s">
        <v>498</v>
      </c>
      <c r="AC27" s="88">
        <v>45957</v>
      </c>
      <c r="AD27" s="20" t="s">
        <v>503</v>
      </c>
      <c r="AE27" s="16"/>
      <c r="AF27" s="69">
        <v>39500</v>
      </c>
      <c r="AG27" s="1"/>
      <c r="AH27" s="1"/>
      <c r="AI27" s="20" t="s">
        <v>219</v>
      </c>
      <c r="AJ27" s="20" t="s">
        <v>146</v>
      </c>
      <c r="AK27" s="20" t="s">
        <v>482</v>
      </c>
      <c r="AL27" s="96">
        <v>25910</v>
      </c>
    </row>
    <row r="28" spans="2:38" ht="15.75" thickBot="1">
      <c r="B28" s="125" t="s">
        <v>11</v>
      </c>
      <c r="C28" s="126"/>
      <c r="D28" s="9">
        <f>+SUM(D16:D27)</f>
        <v>75330</v>
      </c>
      <c r="E28" s="1"/>
      <c r="F28" s="125" t="s">
        <v>11</v>
      </c>
      <c r="G28" s="126"/>
      <c r="H28" s="9">
        <f>+SUM(H16:H27)</f>
        <v>73592</v>
      </c>
      <c r="I28" s="1"/>
      <c r="J28" s="125" t="s">
        <v>11</v>
      </c>
      <c r="K28" s="126"/>
      <c r="L28" s="9">
        <f>+SUM(L16:L27)</f>
        <v>83530</v>
      </c>
      <c r="M28" s="1"/>
      <c r="N28" s="125" t="s">
        <v>11</v>
      </c>
      <c r="O28" s="126"/>
      <c r="P28" s="9">
        <f>+SUM(P16:P27)</f>
        <v>109711</v>
      </c>
      <c r="Q28" s="1"/>
      <c r="R28" s="125" t="s">
        <v>11</v>
      </c>
      <c r="S28" s="126"/>
      <c r="T28" s="9">
        <f>+SUM(T16:T27)</f>
        <v>663352</v>
      </c>
      <c r="U28" s="1"/>
      <c r="V28" s="12"/>
      <c r="W28" s="125" t="s">
        <v>11</v>
      </c>
      <c r="X28" s="126"/>
      <c r="Y28" s="9">
        <f>+SUM(Y16:Y27)</f>
        <v>1005515</v>
      </c>
      <c r="Z28" s="13"/>
      <c r="AA28" s="1"/>
      <c r="AB28" s="16"/>
      <c r="AC28" s="16"/>
      <c r="AD28" s="16"/>
      <c r="AE28" s="16"/>
      <c r="AF28" s="69"/>
      <c r="AG28" s="1"/>
      <c r="AH28" s="1"/>
      <c r="AI28" s="20" t="s">
        <v>487</v>
      </c>
      <c r="AJ28" s="20" t="s">
        <v>65</v>
      </c>
      <c r="AK28" s="20" t="s">
        <v>483</v>
      </c>
      <c r="AL28" s="97">
        <v>38677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62"/>
      <c r="AG29" s="1"/>
      <c r="AH29" s="1"/>
      <c r="AI29" s="20" t="s">
        <v>488</v>
      </c>
      <c r="AJ29" s="20" t="s">
        <v>65</v>
      </c>
      <c r="AK29" s="20" t="s">
        <v>484</v>
      </c>
      <c r="AL29" s="96">
        <v>53065</v>
      </c>
    </row>
    <row r="30" spans="2:38" ht="15.75" thickBot="1">
      <c r="B30" s="127" t="s">
        <v>39</v>
      </c>
      <c r="C30" s="127"/>
      <c r="D30" s="7">
        <f>+D28-D15</f>
        <v>529</v>
      </c>
      <c r="E30" s="1"/>
      <c r="F30" s="127" t="s">
        <v>39</v>
      </c>
      <c r="G30" s="127"/>
      <c r="H30" s="7">
        <f>+H28-H15</f>
        <v>4</v>
      </c>
      <c r="I30" s="1"/>
      <c r="J30" s="127" t="s">
        <v>39</v>
      </c>
      <c r="K30" s="127"/>
      <c r="L30" s="7">
        <f>+L28-L15</f>
        <v>1490</v>
      </c>
      <c r="M30" s="1"/>
      <c r="N30" s="127" t="s">
        <v>39</v>
      </c>
      <c r="O30" s="127"/>
      <c r="P30" s="7">
        <f>+P28-P15</f>
        <v>4</v>
      </c>
      <c r="Q30" s="1"/>
      <c r="R30" s="127" t="s">
        <v>39</v>
      </c>
      <c r="S30" s="127"/>
      <c r="T30" s="7">
        <f>+T28-T15</f>
        <v>-6347</v>
      </c>
      <c r="U30" s="1"/>
      <c r="V30" s="12"/>
      <c r="W30" s="124" t="s">
        <v>39</v>
      </c>
      <c r="X30" s="124"/>
      <c r="Y30" s="41">
        <f>+Y28-Y15</f>
        <v>-4320</v>
      </c>
      <c r="Z30" s="13"/>
      <c r="AA30" s="1"/>
      <c r="AB30" s="1"/>
      <c r="AC30" s="1"/>
      <c r="AD30" s="1"/>
      <c r="AE30" s="1"/>
      <c r="AF30" s="62"/>
      <c r="AG30" s="1"/>
      <c r="AH30" s="1"/>
      <c r="AI30" s="20" t="s">
        <v>489</v>
      </c>
      <c r="AJ30" s="20" t="s">
        <v>71</v>
      </c>
      <c r="AK30" s="20" t="s">
        <v>120</v>
      </c>
      <c r="AL30" s="96">
        <v>11220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62"/>
      <c r="AG31" s="1"/>
      <c r="AH31" s="1"/>
      <c r="AI31" s="20" t="s">
        <v>490</v>
      </c>
      <c r="AJ31" s="20" t="s">
        <v>71</v>
      </c>
      <c r="AK31" s="20" t="s">
        <v>127</v>
      </c>
      <c r="AL31" s="96">
        <v>5128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"/>
      <c r="AI32" s="20" t="s">
        <v>491</v>
      </c>
      <c r="AJ32" s="20" t="s">
        <v>90</v>
      </c>
      <c r="AK32" s="20" t="s">
        <v>129</v>
      </c>
      <c r="AL32" s="97">
        <v>7000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20" t="s">
        <v>91</v>
      </c>
      <c r="AJ33" s="20" t="s">
        <v>71</v>
      </c>
      <c r="AK33" s="20" t="s">
        <v>199</v>
      </c>
      <c r="AL33" s="96">
        <v>6178</v>
      </c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/>
      <c r="M34" s="1"/>
      <c r="N34" s="10" t="s">
        <v>40</v>
      </c>
      <c r="O34" s="11"/>
      <c r="P34" s="21"/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0</v>
      </c>
      <c r="Z34" s="1"/>
      <c r="AA34" s="1"/>
      <c r="AB34" s="1"/>
      <c r="AC34" s="1"/>
      <c r="AD34" s="1"/>
      <c r="AE34" s="1"/>
      <c r="AF34" s="62"/>
      <c r="AG34" s="1"/>
      <c r="AH34" s="1"/>
      <c r="AI34" s="20" t="s">
        <v>185</v>
      </c>
      <c r="AJ34" s="20" t="s">
        <v>90</v>
      </c>
      <c r="AK34" s="20" t="s">
        <v>220</v>
      </c>
      <c r="AL34" s="96">
        <v>5091</v>
      </c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88</v>
      </c>
      <c r="S35" s="16"/>
      <c r="T35" s="22">
        <v>2671</v>
      </c>
      <c r="U35" s="1"/>
      <c r="V35" s="1"/>
      <c r="W35" s="45" t="s">
        <v>41</v>
      </c>
      <c r="X35" s="40"/>
      <c r="Y35" s="46">
        <f t="shared" ref="Y35:Y36" si="9">+D35+H35+L35+P35+T35</f>
        <v>2671</v>
      </c>
      <c r="Z35" s="1"/>
      <c r="AA35" s="1"/>
      <c r="AB35" s="1"/>
      <c r="AC35" s="1"/>
      <c r="AD35" s="1"/>
      <c r="AE35" s="1"/>
      <c r="AF35" s="62"/>
      <c r="AG35" s="1"/>
      <c r="AH35" s="1"/>
      <c r="AI35" s="20" t="s">
        <v>103</v>
      </c>
      <c r="AJ35" s="20" t="s">
        <v>90</v>
      </c>
      <c r="AK35" s="20" t="s">
        <v>221</v>
      </c>
      <c r="AL35" s="96">
        <v>11058</v>
      </c>
    </row>
    <row r="36" spans="2:38">
      <c r="B36" s="12" t="s">
        <v>43</v>
      </c>
      <c r="C36" s="16"/>
      <c r="D36" s="22">
        <v>-529</v>
      </c>
      <c r="E36" s="1"/>
      <c r="F36" s="12" t="s">
        <v>43</v>
      </c>
      <c r="G36" s="16"/>
      <c r="H36" s="22">
        <v>-4</v>
      </c>
      <c r="I36" s="1"/>
      <c r="J36" s="12" t="s">
        <v>43</v>
      </c>
      <c r="K36" s="16"/>
      <c r="L36" s="22">
        <v>-1490</v>
      </c>
      <c r="M36" s="1"/>
      <c r="N36" s="12" t="s">
        <v>43</v>
      </c>
      <c r="O36" s="16"/>
      <c r="P36" s="22">
        <v>-4</v>
      </c>
      <c r="Q36" s="1"/>
      <c r="R36" s="12" t="s">
        <v>45</v>
      </c>
      <c r="S36" s="16"/>
      <c r="T36" s="114">
        <v>3676</v>
      </c>
      <c r="U36" s="1"/>
      <c r="V36" s="1"/>
      <c r="W36" s="45" t="s">
        <v>42</v>
      </c>
      <c r="X36" s="40"/>
      <c r="Y36" s="46">
        <f t="shared" si="9"/>
        <v>1649</v>
      </c>
      <c r="Z36" s="1"/>
      <c r="AA36" s="1"/>
      <c r="AB36" s="1"/>
      <c r="AC36" s="1"/>
      <c r="AD36" s="1"/>
      <c r="AE36" s="1"/>
      <c r="AF36" s="62"/>
      <c r="AG36" s="1"/>
      <c r="AH36" s="1"/>
      <c r="AI36" s="20" t="s">
        <v>435</v>
      </c>
      <c r="AJ36" s="20" t="s">
        <v>65</v>
      </c>
      <c r="AK36" s="20" t="s">
        <v>208</v>
      </c>
      <c r="AL36" s="96">
        <v>15000</v>
      </c>
    </row>
    <row r="37" spans="2:38" ht="15.75" thickBot="1">
      <c r="B37" s="12" t="s">
        <v>17</v>
      </c>
      <c r="C37" s="16"/>
      <c r="D37" s="22">
        <f>+SUM(D34:D36)</f>
        <v>-529</v>
      </c>
      <c r="E37" s="1"/>
      <c r="F37" s="12" t="s">
        <v>17</v>
      </c>
      <c r="G37" s="16"/>
      <c r="H37" s="22">
        <f>+SUM(H34:H36)</f>
        <v>-4</v>
      </c>
      <c r="I37" s="1"/>
      <c r="J37" s="12" t="s">
        <v>17</v>
      </c>
      <c r="K37" s="16"/>
      <c r="L37" s="22">
        <f>+SUM(L34:L36)</f>
        <v>-1490</v>
      </c>
      <c r="M37" s="1"/>
      <c r="N37" s="12" t="s">
        <v>17</v>
      </c>
      <c r="O37" s="16"/>
      <c r="P37" s="22">
        <f>+SUM(P34:P36)</f>
        <v>-4</v>
      </c>
      <c r="Q37" s="1"/>
      <c r="R37" s="12" t="s">
        <v>17</v>
      </c>
      <c r="S37" s="16"/>
      <c r="T37" s="22">
        <f>+SUM(T34:T36)</f>
        <v>6347</v>
      </c>
      <c r="U37" s="1"/>
      <c r="V37" s="1"/>
      <c r="W37" s="33" t="s">
        <v>17</v>
      </c>
      <c r="X37" s="34"/>
      <c r="Y37" s="35">
        <f>+SUM(Y34:Y36)</f>
        <v>4320</v>
      </c>
      <c r="Z37" s="1"/>
      <c r="AA37" s="1"/>
      <c r="AB37" s="60" t="s">
        <v>38</v>
      </c>
      <c r="AC37" s="60"/>
      <c r="AD37" s="60"/>
      <c r="AE37" s="60"/>
      <c r="AF37" s="55">
        <f>+SUM(AF23:AF36)</f>
        <v>273020</v>
      </c>
      <c r="AG37" s="1"/>
      <c r="AH37" s="1"/>
      <c r="AI37" s="20" t="s">
        <v>492</v>
      </c>
      <c r="AJ37" s="20" t="s">
        <v>65</v>
      </c>
      <c r="AK37" s="20" t="s">
        <v>485</v>
      </c>
      <c r="AL37" s="96">
        <v>105000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20" t="s">
        <v>91</v>
      </c>
      <c r="AJ38" s="20" t="s">
        <v>71</v>
      </c>
      <c r="AK38" s="20" t="s">
        <v>251</v>
      </c>
      <c r="AL38" s="96">
        <v>5103</v>
      </c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3" spans="2:38" ht="15.75" thickBot="1">
      <c r="AI43" s="60" t="s">
        <v>38</v>
      </c>
      <c r="AJ43" s="60"/>
      <c r="AK43" s="60"/>
      <c r="AL43" s="67">
        <f>+SUM(AL23:AL42)</f>
        <v>387504</v>
      </c>
    </row>
    <row r="44" spans="2:38" ht="15.75" thickTop="1"/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B2:AL43"/>
  <sheetViews>
    <sheetView topLeftCell="A7" zoomScale="90" zoomScaleNormal="90" workbookViewId="0">
      <selection activeCell="AG12" sqref="AG12"/>
    </sheetView>
  </sheetViews>
  <sheetFormatPr defaultRowHeight="15"/>
  <cols>
    <col min="5" max="5" width="1.42578125" customWidth="1"/>
    <col min="9" max="9" width="1.85546875" customWidth="1"/>
    <col min="12" max="12" width="9.140625" customWidth="1"/>
    <col min="13" max="13" width="1.7109375" customWidth="1"/>
    <col min="15" max="15" width="13.7109375" customWidth="1"/>
    <col min="17" max="17" width="1.42578125" customWidth="1"/>
    <col min="21" max="21" width="1.5703125" customWidth="1"/>
    <col min="27" max="27" width="3.5703125" customWidth="1"/>
    <col min="29" max="29" width="10.140625" bestFit="1" customWidth="1"/>
    <col min="34" max="34" width="3.28515625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149</v>
      </c>
      <c r="D6" s="36">
        <f>+C6*B6</f>
        <v>1490</v>
      </c>
      <c r="E6" s="1"/>
      <c r="F6" s="2">
        <v>10</v>
      </c>
      <c r="G6" s="2">
        <v>151</v>
      </c>
      <c r="H6" s="36">
        <f>+G6*F6</f>
        <v>1510</v>
      </c>
      <c r="I6" s="1"/>
      <c r="J6" s="2">
        <v>10</v>
      </c>
      <c r="K6" s="2">
        <v>22</v>
      </c>
      <c r="L6" s="36">
        <f>+K6*J6</f>
        <v>220</v>
      </c>
      <c r="M6" s="1"/>
      <c r="N6" s="2">
        <v>10</v>
      </c>
      <c r="O6" s="2">
        <v>221</v>
      </c>
      <c r="P6" s="36">
        <f>+O6*N6</f>
        <v>2210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543</v>
      </c>
      <c r="Y6" s="37">
        <f>+D6+H6+L6+P6+T6</f>
        <v>5430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12</v>
      </c>
      <c r="D7" s="36">
        <f t="shared" ref="D7:D12" si="1">+C7*B7</f>
        <v>240</v>
      </c>
      <c r="E7" s="1"/>
      <c r="F7" s="2">
        <v>20</v>
      </c>
      <c r="G7" s="2">
        <v>36</v>
      </c>
      <c r="H7" s="36">
        <f t="shared" ref="H7:H12" si="2">+G7*F7</f>
        <v>720</v>
      </c>
      <c r="I7" s="1"/>
      <c r="J7" s="2">
        <v>20</v>
      </c>
      <c r="K7" s="2">
        <v>13</v>
      </c>
      <c r="L7" s="36">
        <f t="shared" ref="L7:L12" si="3">+K7*J7</f>
        <v>260</v>
      </c>
      <c r="M7" s="1"/>
      <c r="N7" s="2">
        <v>20</v>
      </c>
      <c r="O7" s="2">
        <v>38</v>
      </c>
      <c r="P7" s="36">
        <f t="shared" ref="P7:P12" si="4">+O7*N7</f>
        <v>760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99</v>
      </c>
      <c r="Y7" s="37">
        <f t="shared" ref="Y7:Y12" si="6">+D7+H7+L7+P7+T7</f>
        <v>1980</v>
      </c>
      <c r="Z7" s="13"/>
      <c r="AA7" s="1"/>
      <c r="AB7" s="56" t="s">
        <v>9</v>
      </c>
      <c r="AC7" s="57">
        <f>Y13</f>
        <v>265260</v>
      </c>
      <c r="AD7" s="26"/>
      <c r="AE7" s="26"/>
      <c r="AF7" s="26"/>
      <c r="AG7" s="26"/>
      <c r="AH7" s="1"/>
      <c r="AI7" s="2">
        <v>10</v>
      </c>
      <c r="AJ7" s="2">
        <v>557</v>
      </c>
      <c r="AK7" s="36">
        <f t="shared" si="0"/>
        <v>5570</v>
      </c>
      <c r="AL7" s="1"/>
    </row>
    <row r="8" spans="2:38">
      <c r="B8" s="2">
        <v>50</v>
      </c>
      <c r="C8" s="2">
        <v>64</v>
      </c>
      <c r="D8" s="36">
        <f t="shared" si="1"/>
        <v>3200</v>
      </c>
      <c r="E8" s="1"/>
      <c r="F8" s="2">
        <v>50</v>
      </c>
      <c r="G8" s="2">
        <v>1</v>
      </c>
      <c r="H8" s="36">
        <f t="shared" si="2"/>
        <v>50</v>
      </c>
      <c r="I8" s="1"/>
      <c r="J8" s="2">
        <v>50</v>
      </c>
      <c r="K8" s="2">
        <v>23</v>
      </c>
      <c r="L8" s="36">
        <f t="shared" si="3"/>
        <v>1150</v>
      </c>
      <c r="M8" s="1"/>
      <c r="N8" s="2">
        <v>50</v>
      </c>
      <c r="O8" s="2">
        <v>27</v>
      </c>
      <c r="P8" s="36">
        <f t="shared" si="4"/>
        <v>1350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115</v>
      </c>
      <c r="Y8" s="37">
        <f t="shared" si="6"/>
        <v>5750</v>
      </c>
      <c r="Z8" s="13"/>
      <c r="AA8" s="1"/>
      <c r="AB8" s="53" t="s">
        <v>10</v>
      </c>
      <c r="AC8" s="53">
        <f>+AF37</f>
        <v>82540</v>
      </c>
      <c r="AD8" s="1"/>
      <c r="AE8" s="1"/>
      <c r="AF8" s="1"/>
      <c r="AG8" s="1"/>
      <c r="AH8" s="1"/>
      <c r="AI8" s="2">
        <v>20</v>
      </c>
      <c r="AJ8" s="2">
        <v>99</v>
      </c>
      <c r="AK8" s="36">
        <f t="shared" si="0"/>
        <v>1980</v>
      </c>
      <c r="AL8" s="1"/>
    </row>
    <row r="9" spans="2:38" ht="15.75" thickBot="1">
      <c r="B9" s="2">
        <v>100</v>
      </c>
      <c r="C9" s="2">
        <v>67</v>
      </c>
      <c r="D9" s="36">
        <f t="shared" si="1"/>
        <v>6700</v>
      </c>
      <c r="E9" s="1"/>
      <c r="F9" s="2">
        <v>100</v>
      </c>
      <c r="G9" s="2">
        <v>2</v>
      </c>
      <c r="H9" s="36">
        <f t="shared" si="2"/>
        <v>200</v>
      </c>
      <c r="I9" s="1"/>
      <c r="J9" s="2">
        <v>100</v>
      </c>
      <c r="K9" s="2">
        <v>59</v>
      </c>
      <c r="L9" s="36">
        <f t="shared" si="3"/>
        <v>5900</v>
      </c>
      <c r="M9" s="1"/>
      <c r="N9" s="2">
        <v>100</v>
      </c>
      <c r="O9" s="2">
        <v>13</v>
      </c>
      <c r="P9" s="36">
        <f t="shared" si="4"/>
        <v>1300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141</v>
      </c>
      <c r="Y9" s="37">
        <f t="shared" si="6"/>
        <v>14100</v>
      </c>
      <c r="Z9" s="13"/>
      <c r="AA9" s="1"/>
      <c r="AB9" s="58" t="s">
        <v>11</v>
      </c>
      <c r="AC9" s="59">
        <f>SUM(AC7:AC8)</f>
        <v>347800</v>
      </c>
      <c r="AD9" s="1"/>
      <c r="AE9" s="1"/>
      <c r="AF9" s="1"/>
      <c r="AG9" s="1"/>
      <c r="AH9" s="1"/>
      <c r="AI9" s="2">
        <v>50</v>
      </c>
      <c r="AJ9" s="2">
        <v>199</v>
      </c>
      <c r="AK9" s="36">
        <f t="shared" si="0"/>
        <v>9950</v>
      </c>
      <c r="AL9" s="1"/>
    </row>
    <row r="10" spans="2:38">
      <c r="B10" s="2">
        <v>500</v>
      </c>
      <c r="C10" s="2">
        <v>26</v>
      </c>
      <c r="D10" s="36">
        <f t="shared" si="1"/>
        <v>13000</v>
      </c>
      <c r="E10" s="1"/>
      <c r="F10" s="2">
        <v>500</v>
      </c>
      <c r="G10" s="2">
        <v>43</v>
      </c>
      <c r="H10" s="36">
        <f t="shared" si="2"/>
        <v>21500</v>
      </c>
      <c r="I10" s="1"/>
      <c r="J10" s="2">
        <v>500</v>
      </c>
      <c r="K10" s="2">
        <v>58</v>
      </c>
      <c r="L10" s="36">
        <f t="shared" si="3"/>
        <v>29000</v>
      </c>
      <c r="M10" s="1"/>
      <c r="N10" s="2">
        <v>500</v>
      </c>
      <c r="O10" s="2">
        <v>23</v>
      </c>
      <c r="P10" s="36">
        <f t="shared" si="4"/>
        <v>11500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150</v>
      </c>
      <c r="Y10" s="37">
        <f t="shared" si="6"/>
        <v>75000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198</v>
      </c>
      <c r="AK10" s="36">
        <f t="shared" si="0"/>
        <v>19800</v>
      </c>
      <c r="AL10" s="1"/>
    </row>
    <row r="11" spans="2:38">
      <c r="B11" s="2">
        <v>1000</v>
      </c>
      <c r="C11" s="2">
        <v>38</v>
      </c>
      <c r="D11" s="36">
        <f t="shared" si="1"/>
        <v>38000</v>
      </c>
      <c r="E11" s="1"/>
      <c r="F11" s="2">
        <v>1000</v>
      </c>
      <c r="G11" s="2">
        <v>43</v>
      </c>
      <c r="H11" s="36">
        <f t="shared" si="2"/>
        <v>43000</v>
      </c>
      <c r="I11" s="1"/>
      <c r="J11" s="2">
        <v>1000</v>
      </c>
      <c r="K11" s="2">
        <v>44</v>
      </c>
      <c r="L11" s="36">
        <f t="shared" si="3"/>
        <v>44000</v>
      </c>
      <c r="M11" s="1"/>
      <c r="N11" s="2">
        <v>1000</v>
      </c>
      <c r="O11" s="2">
        <v>23</v>
      </c>
      <c r="P11" s="36">
        <f t="shared" si="4"/>
        <v>23000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148</v>
      </c>
      <c r="Y11" s="37">
        <f t="shared" si="6"/>
        <v>148000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178</v>
      </c>
      <c r="AK11" s="36">
        <f t="shared" si="0"/>
        <v>89000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/>
      <c r="H12" s="36">
        <f t="shared" si="2"/>
        <v>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2</v>
      </c>
      <c r="P12" s="36">
        <f t="shared" si="4"/>
        <v>10000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3</v>
      </c>
      <c r="Y12" s="37">
        <f t="shared" si="6"/>
        <v>15000</v>
      </c>
      <c r="Z12" s="13"/>
      <c r="AA12" s="1"/>
      <c r="AB12" s="1" t="s">
        <v>16</v>
      </c>
      <c r="AC12" s="5">
        <v>341300</v>
      </c>
      <c r="AD12" s="1">
        <v>65221</v>
      </c>
      <c r="AE12" s="52" t="s">
        <v>537</v>
      </c>
      <c r="AF12" s="1" t="s">
        <v>69</v>
      </c>
      <c r="AG12" s="1"/>
      <c r="AH12" s="1"/>
      <c r="AI12" s="2">
        <v>1000</v>
      </c>
      <c r="AJ12" s="2">
        <v>180</v>
      </c>
      <c r="AK12" s="36">
        <f t="shared" si="0"/>
        <v>180000</v>
      </c>
      <c r="AL12" s="1"/>
    </row>
    <row r="13" spans="2:38" ht="15.75" thickBot="1">
      <c r="B13" s="3" t="s">
        <v>17</v>
      </c>
      <c r="C13" s="3"/>
      <c r="D13" s="6">
        <f>+SUM(D5:D12)</f>
        <v>62630</v>
      </c>
      <c r="E13" s="1"/>
      <c r="F13" s="3" t="s">
        <v>17</v>
      </c>
      <c r="G13" s="3"/>
      <c r="H13" s="6">
        <f>+SUM(H5:H12)</f>
        <v>66980</v>
      </c>
      <c r="I13" s="1"/>
      <c r="J13" s="3" t="s">
        <v>17</v>
      </c>
      <c r="K13" s="3"/>
      <c r="L13" s="6">
        <f>+SUM(L5:L12)</f>
        <v>85530</v>
      </c>
      <c r="M13" s="1"/>
      <c r="N13" s="3" t="s">
        <v>17</v>
      </c>
      <c r="O13" s="3"/>
      <c r="P13" s="6">
        <f>+SUM(P5:P12)</f>
        <v>50120</v>
      </c>
      <c r="Q13" s="1"/>
      <c r="R13" s="3" t="s">
        <v>17</v>
      </c>
      <c r="S13" s="3"/>
      <c r="T13" s="6">
        <f>+SUM(T5:T12)</f>
        <v>0</v>
      </c>
      <c r="U13" s="1"/>
      <c r="V13" s="12"/>
      <c r="W13" s="3" t="s">
        <v>17</v>
      </c>
      <c r="X13" s="3"/>
      <c r="Y13" s="6">
        <f>+SUM(Y5:Y12)</f>
        <v>265260</v>
      </c>
      <c r="Z13" s="13"/>
      <c r="AA13" s="1"/>
      <c r="AB13" s="1" t="s">
        <v>18</v>
      </c>
      <c r="AC13" s="5">
        <v>6500</v>
      </c>
      <c r="AD13" s="1"/>
      <c r="AE13" s="1"/>
      <c r="AF13" s="1"/>
      <c r="AG13" s="1"/>
      <c r="AH13" s="1"/>
      <c r="AI13" s="2">
        <v>5000</v>
      </c>
      <c r="AJ13" s="2">
        <v>8</v>
      </c>
      <c r="AK13" s="36">
        <f t="shared" si="0"/>
        <v>40000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346300</v>
      </c>
      <c r="AL14" s="1"/>
    </row>
    <row r="15" spans="2:38" ht="15.75" thickBot="1">
      <c r="B15" s="128" t="s">
        <v>20</v>
      </c>
      <c r="C15" s="129"/>
      <c r="D15" s="8">
        <v>75408</v>
      </c>
      <c r="E15" s="30"/>
      <c r="F15" s="128" t="s">
        <v>20</v>
      </c>
      <c r="G15" s="129"/>
      <c r="H15" s="8">
        <v>71603</v>
      </c>
      <c r="I15" s="30"/>
      <c r="J15" s="128" t="s">
        <v>20</v>
      </c>
      <c r="K15" s="129"/>
      <c r="L15" s="8">
        <v>97863</v>
      </c>
      <c r="M15" s="30"/>
      <c r="N15" s="128" t="s">
        <v>20</v>
      </c>
      <c r="O15" s="129"/>
      <c r="P15" s="8">
        <v>72822</v>
      </c>
      <c r="Q15" s="30"/>
      <c r="R15" s="128" t="s">
        <v>20</v>
      </c>
      <c r="S15" s="129"/>
      <c r="T15" s="8"/>
      <c r="U15" s="30"/>
      <c r="V15" s="31"/>
      <c r="W15" s="128" t="s">
        <v>20</v>
      </c>
      <c r="X15" s="129"/>
      <c r="Y15" s="8">
        <f t="shared" ref="Y15:Y27" si="8">+D15+H15+L15+P15+T15</f>
        <v>317696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62630</v>
      </c>
      <c r="E16" s="1"/>
      <c r="F16" s="1" t="s">
        <v>9</v>
      </c>
      <c r="G16" s="1"/>
      <c r="H16" s="5">
        <f>+H13</f>
        <v>66980</v>
      </c>
      <c r="I16" s="1"/>
      <c r="J16" s="1" t="s">
        <v>9</v>
      </c>
      <c r="K16" s="1"/>
      <c r="L16" s="5">
        <f>+L13</f>
        <v>85530</v>
      </c>
      <c r="M16" s="1"/>
      <c r="N16" s="1" t="s">
        <v>9</v>
      </c>
      <c r="O16" s="1"/>
      <c r="P16" s="5">
        <f>+P13</f>
        <v>50120</v>
      </c>
      <c r="Q16" s="1"/>
      <c r="R16" s="1" t="s">
        <v>9</v>
      </c>
      <c r="S16" s="1"/>
      <c r="T16" s="5">
        <f>+T13</f>
        <v>0</v>
      </c>
      <c r="U16" s="1"/>
      <c r="V16" s="12"/>
      <c r="W16" s="40" t="s">
        <v>9</v>
      </c>
      <c r="X16" s="40"/>
      <c r="Y16" s="37">
        <f t="shared" si="8"/>
        <v>265260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si="8"/>
        <v>0</v>
      </c>
      <c r="Z17" s="13"/>
      <c r="AA17" s="1"/>
      <c r="AB17" s="48" t="s">
        <v>11</v>
      </c>
      <c r="AC17" s="49">
        <f>+SUM(AC12:AC16)</f>
        <v>347800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451</v>
      </c>
      <c r="C18" s="1" t="s">
        <v>514</v>
      </c>
      <c r="D18" s="5">
        <v>11899</v>
      </c>
      <c r="E18" s="1"/>
      <c r="F18" s="1" t="s">
        <v>432</v>
      </c>
      <c r="G18" s="1" t="s">
        <v>512</v>
      </c>
      <c r="H18" s="5">
        <v>4643</v>
      </c>
      <c r="I18" s="1"/>
      <c r="J18" s="1" t="s">
        <v>23</v>
      </c>
      <c r="K18" s="1"/>
      <c r="L18" s="5"/>
      <c r="M18" s="1"/>
      <c r="N18" s="1" t="s">
        <v>411</v>
      </c>
      <c r="O18" s="1" t="s">
        <v>507</v>
      </c>
      <c r="P18" s="5">
        <v>10000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26542</v>
      </c>
      <c r="Z18" s="13"/>
      <c r="AA18" s="1"/>
      <c r="AB18" s="50" t="s">
        <v>24</v>
      </c>
      <c r="AC18" s="51">
        <f>+AC17-AC9</f>
        <v>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26</v>
      </c>
      <c r="G19" s="1"/>
      <c r="H19" s="5"/>
      <c r="I19" s="1"/>
      <c r="J19" s="1" t="s">
        <v>26</v>
      </c>
      <c r="K19" s="1"/>
      <c r="L19" s="5"/>
      <c r="M19" s="1"/>
      <c r="N19" s="1" t="s">
        <v>411</v>
      </c>
      <c r="O19" s="1" t="s">
        <v>508</v>
      </c>
      <c r="P19" s="5">
        <v>10133</v>
      </c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10133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515</v>
      </c>
      <c r="K23" s="1" t="s">
        <v>516</v>
      </c>
      <c r="L23" s="5">
        <v>5832</v>
      </c>
      <c r="M23" s="1"/>
      <c r="N23" s="1" t="s">
        <v>509</v>
      </c>
      <c r="O23" s="1" t="s">
        <v>510</v>
      </c>
      <c r="P23" s="5">
        <v>2574</v>
      </c>
      <c r="Q23" s="1"/>
      <c r="R23" s="1" t="s">
        <v>35</v>
      </c>
      <c r="S23" s="1"/>
      <c r="T23" s="5"/>
      <c r="U23" s="1"/>
      <c r="V23" s="12"/>
      <c r="W23" s="40" t="s">
        <v>35</v>
      </c>
      <c r="X23" s="40"/>
      <c r="Y23" s="37">
        <f t="shared" si="8"/>
        <v>8406</v>
      </c>
      <c r="Z23" s="13"/>
      <c r="AA23" s="1"/>
      <c r="AB23" s="1" t="s">
        <v>511</v>
      </c>
      <c r="AC23" s="71">
        <v>45974</v>
      </c>
      <c r="AD23" s="16" t="s">
        <v>414</v>
      </c>
      <c r="AE23" s="16"/>
      <c r="AF23" s="69">
        <v>36800</v>
      </c>
      <c r="AG23" s="1"/>
      <c r="AH23" s="1"/>
      <c r="AI23" s="20" t="s">
        <v>442</v>
      </c>
      <c r="AJ23" s="20" t="s">
        <v>258</v>
      </c>
      <c r="AK23" s="20" t="s">
        <v>513</v>
      </c>
      <c r="AL23" s="96">
        <v>10000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517</v>
      </c>
      <c r="K24" s="1" t="s">
        <v>518</v>
      </c>
      <c r="L24" s="5">
        <v>2300</v>
      </c>
      <c r="M24" s="1"/>
      <c r="N24" s="1" t="s">
        <v>46</v>
      </c>
      <c r="O24" s="1"/>
      <c r="P24" s="5"/>
      <c r="Q24" s="1"/>
      <c r="R24" s="1" t="s">
        <v>36</v>
      </c>
      <c r="S24" s="1"/>
      <c r="T24" s="5"/>
      <c r="U24" s="1"/>
      <c r="V24" s="12"/>
      <c r="W24" s="40" t="s">
        <v>36</v>
      </c>
      <c r="X24" s="40"/>
      <c r="Y24" s="37">
        <f t="shared" si="8"/>
        <v>2300</v>
      </c>
      <c r="Z24" s="13"/>
      <c r="AA24" s="1"/>
      <c r="AB24" s="20" t="s">
        <v>442</v>
      </c>
      <c r="AC24" s="88">
        <v>45945</v>
      </c>
      <c r="AD24" s="16" t="s">
        <v>258</v>
      </c>
      <c r="AE24" s="16" t="s">
        <v>513</v>
      </c>
      <c r="AF24" s="69">
        <v>23900</v>
      </c>
      <c r="AG24" s="1"/>
      <c r="AH24" s="1"/>
      <c r="AI24" s="20" t="s">
        <v>519</v>
      </c>
      <c r="AJ24" s="20" t="s">
        <v>71</v>
      </c>
      <c r="AK24" s="20" t="s">
        <v>528</v>
      </c>
      <c r="AL24" s="97">
        <v>10409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37</v>
      </c>
      <c r="S25" s="1"/>
      <c r="T25" s="5"/>
      <c r="U25" s="1"/>
      <c r="V25" s="12"/>
      <c r="W25" s="40" t="s">
        <v>37</v>
      </c>
      <c r="X25" s="40"/>
      <c r="Y25" s="37">
        <f t="shared" si="8"/>
        <v>0</v>
      </c>
      <c r="Z25" s="13"/>
      <c r="AA25" s="1"/>
      <c r="AB25" s="20" t="s">
        <v>536</v>
      </c>
      <c r="AC25" s="89">
        <v>45971</v>
      </c>
      <c r="AD25" s="16" t="s">
        <v>297</v>
      </c>
      <c r="AE25" s="16"/>
      <c r="AF25" s="69">
        <v>21840</v>
      </c>
      <c r="AG25" s="1"/>
      <c r="AH25" s="1"/>
      <c r="AI25" s="20" t="s">
        <v>520</v>
      </c>
      <c r="AJ25" s="20" t="s">
        <v>65</v>
      </c>
      <c r="AK25" s="20" t="s">
        <v>529</v>
      </c>
      <c r="AL25" s="96">
        <v>56180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96"/>
      <c r="AG26" s="1"/>
      <c r="AH26" s="1"/>
      <c r="AI26" s="20" t="s">
        <v>521</v>
      </c>
      <c r="AJ26" s="20" t="s">
        <v>65</v>
      </c>
      <c r="AK26" s="20" t="s">
        <v>530</v>
      </c>
      <c r="AL26" s="97">
        <v>20000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62"/>
      <c r="AG27" s="1"/>
      <c r="AH27" s="1"/>
      <c r="AI27" s="20" t="s">
        <v>150</v>
      </c>
      <c r="AJ27" s="20" t="s">
        <v>63</v>
      </c>
      <c r="AK27" s="20" t="s">
        <v>60</v>
      </c>
      <c r="AL27" s="96">
        <v>3920</v>
      </c>
    </row>
    <row r="28" spans="2:38" ht="15.75" thickBot="1">
      <c r="B28" s="125" t="s">
        <v>11</v>
      </c>
      <c r="C28" s="126"/>
      <c r="D28" s="9">
        <f>+SUM(D16:D27)</f>
        <v>74529</v>
      </c>
      <c r="E28" s="1"/>
      <c r="F28" s="125" t="s">
        <v>11</v>
      </c>
      <c r="G28" s="126"/>
      <c r="H28" s="9">
        <f>+SUM(H16:H27)</f>
        <v>71623</v>
      </c>
      <c r="I28" s="1"/>
      <c r="J28" s="125" t="s">
        <v>11</v>
      </c>
      <c r="K28" s="126"/>
      <c r="L28" s="9">
        <f>+SUM(L16:L27)</f>
        <v>93662</v>
      </c>
      <c r="M28" s="1"/>
      <c r="N28" s="125" t="s">
        <v>11</v>
      </c>
      <c r="O28" s="126"/>
      <c r="P28" s="9">
        <f>+SUM(P16:P27)</f>
        <v>72827</v>
      </c>
      <c r="Q28" s="1"/>
      <c r="R28" s="125" t="s">
        <v>11</v>
      </c>
      <c r="S28" s="126"/>
      <c r="T28" s="9">
        <f>+SUM(T16:T27)</f>
        <v>0</v>
      </c>
      <c r="U28" s="1"/>
      <c r="V28" s="12"/>
      <c r="W28" s="125" t="s">
        <v>11</v>
      </c>
      <c r="X28" s="126"/>
      <c r="Y28" s="9">
        <f>+SUM(Y16:Y27)</f>
        <v>312641</v>
      </c>
      <c r="Z28" s="13"/>
      <c r="AA28" s="1"/>
      <c r="AB28" s="1"/>
      <c r="AC28" s="1"/>
      <c r="AD28" s="1"/>
      <c r="AE28" s="1"/>
      <c r="AF28" s="62"/>
      <c r="AG28" s="1"/>
      <c r="AH28" s="1"/>
      <c r="AI28" s="20" t="s">
        <v>149</v>
      </c>
      <c r="AJ28" s="20" t="s">
        <v>90</v>
      </c>
      <c r="AK28" s="20" t="s">
        <v>178</v>
      </c>
      <c r="AL28" s="96">
        <v>14314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62"/>
      <c r="AG29" s="1"/>
      <c r="AH29" s="1"/>
      <c r="AI29" s="20" t="s">
        <v>151</v>
      </c>
      <c r="AJ29" s="20" t="s">
        <v>71</v>
      </c>
      <c r="AK29" s="20" t="s">
        <v>188</v>
      </c>
      <c r="AL29" s="96">
        <v>11514</v>
      </c>
    </row>
    <row r="30" spans="2:38" ht="15.75" thickBot="1">
      <c r="B30" s="127" t="s">
        <v>39</v>
      </c>
      <c r="C30" s="127"/>
      <c r="D30" s="7">
        <f>+D28-D15</f>
        <v>-879</v>
      </c>
      <c r="E30" s="1"/>
      <c r="F30" s="127" t="s">
        <v>39</v>
      </c>
      <c r="G30" s="127"/>
      <c r="H30" s="7">
        <f>+H28-H15</f>
        <v>20</v>
      </c>
      <c r="I30" s="1"/>
      <c r="J30" s="127" t="s">
        <v>39</v>
      </c>
      <c r="K30" s="127"/>
      <c r="L30" s="7">
        <f>+L28-L15</f>
        <v>-4201</v>
      </c>
      <c r="M30" s="1"/>
      <c r="N30" s="127" t="s">
        <v>39</v>
      </c>
      <c r="O30" s="127"/>
      <c r="P30" s="7">
        <f>+P28-P15</f>
        <v>5</v>
      </c>
      <c r="Q30" s="1"/>
      <c r="R30" s="127" t="s">
        <v>39</v>
      </c>
      <c r="S30" s="127"/>
      <c r="T30" s="7">
        <f>+T28-T15</f>
        <v>0</v>
      </c>
      <c r="U30" s="1"/>
      <c r="V30" s="12"/>
      <c r="W30" s="124" t="s">
        <v>39</v>
      </c>
      <c r="X30" s="124"/>
      <c r="Y30" s="41">
        <f>+Y28-Y15</f>
        <v>-5055</v>
      </c>
      <c r="Z30" s="13"/>
      <c r="AA30" s="1"/>
      <c r="AB30" s="1"/>
      <c r="AC30" s="1"/>
      <c r="AD30" s="1"/>
      <c r="AE30" s="1"/>
      <c r="AF30" s="62"/>
      <c r="AG30" s="1"/>
      <c r="AH30" s="1"/>
      <c r="AI30" s="20" t="s">
        <v>522</v>
      </c>
      <c r="AJ30" s="20" t="s">
        <v>65</v>
      </c>
      <c r="AK30" s="20" t="s">
        <v>531</v>
      </c>
      <c r="AL30" s="96">
        <v>30000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62"/>
      <c r="AG31" s="1"/>
      <c r="AH31" s="1"/>
      <c r="AI31" s="20" t="s">
        <v>490</v>
      </c>
      <c r="AJ31" s="20" t="s">
        <v>63</v>
      </c>
      <c r="AK31" s="20" t="s">
        <v>248</v>
      </c>
      <c r="AL31" s="96">
        <v>10349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"/>
      <c r="AI32" s="20" t="s">
        <v>523</v>
      </c>
      <c r="AJ32" s="20" t="s">
        <v>65</v>
      </c>
      <c r="AK32" s="20" t="s">
        <v>532</v>
      </c>
      <c r="AL32" s="96">
        <v>15000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20" t="s">
        <v>91</v>
      </c>
      <c r="AJ33" s="20" t="s">
        <v>71</v>
      </c>
      <c r="AK33" s="20" t="s">
        <v>232</v>
      </c>
      <c r="AL33" s="96">
        <v>5103</v>
      </c>
    </row>
    <row r="34" spans="2:38">
      <c r="B34" s="10" t="s">
        <v>40</v>
      </c>
      <c r="C34" s="11"/>
      <c r="D34" s="21">
        <v>879</v>
      </c>
      <c r="E34" s="1"/>
      <c r="F34" s="10" t="s">
        <v>40</v>
      </c>
      <c r="G34" s="11"/>
      <c r="H34" s="21"/>
      <c r="I34" s="1"/>
      <c r="J34" s="10" t="s">
        <v>40</v>
      </c>
      <c r="K34" s="11"/>
      <c r="L34" s="21">
        <v>4201</v>
      </c>
      <c r="M34" s="1"/>
      <c r="N34" s="10" t="s">
        <v>40</v>
      </c>
      <c r="O34" s="11"/>
      <c r="P34" s="21"/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5080</v>
      </c>
      <c r="Z34" s="1"/>
      <c r="AA34" s="1"/>
      <c r="AB34" s="1"/>
      <c r="AC34" s="1"/>
      <c r="AD34" s="1"/>
      <c r="AE34" s="1"/>
      <c r="AF34" s="62"/>
      <c r="AG34" s="1"/>
      <c r="AH34" s="1"/>
      <c r="AI34" s="20" t="s">
        <v>524</v>
      </c>
      <c r="AJ34" s="20" t="s">
        <v>65</v>
      </c>
      <c r="AK34" s="20" t="s">
        <v>533</v>
      </c>
      <c r="AL34" s="96">
        <v>35629</v>
      </c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41</v>
      </c>
      <c r="S35" s="16"/>
      <c r="T35" s="22"/>
      <c r="U35" s="1"/>
      <c r="V35" s="1"/>
      <c r="W35" s="45" t="s">
        <v>41</v>
      </c>
      <c r="X35" s="40"/>
      <c r="Y35" s="46">
        <f>+D35+H35+L35+P35+T35</f>
        <v>0</v>
      </c>
      <c r="Z35" s="1"/>
      <c r="AA35" s="1"/>
      <c r="AB35" s="1"/>
      <c r="AC35" s="1"/>
      <c r="AD35" s="1"/>
      <c r="AE35" s="1"/>
      <c r="AF35" s="62"/>
      <c r="AG35" s="1"/>
      <c r="AH35" s="1"/>
      <c r="AI35" s="20" t="s">
        <v>153</v>
      </c>
      <c r="AJ35" s="20" t="s">
        <v>146</v>
      </c>
      <c r="AK35" s="20" t="s">
        <v>272</v>
      </c>
      <c r="AL35" s="97">
        <v>10150</v>
      </c>
    </row>
    <row r="36" spans="2:38">
      <c r="B36" s="12" t="s">
        <v>43</v>
      </c>
      <c r="C36" s="16"/>
      <c r="D36" s="22"/>
      <c r="E36" s="1"/>
      <c r="F36" s="12" t="s">
        <v>43</v>
      </c>
      <c r="G36" s="16"/>
      <c r="H36" s="22">
        <v>-20</v>
      </c>
      <c r="I36" s="1"/>
      <c r="J36" s="12" t="s">
        <v>43</v>
      </c>
      <c r="K36" s="16"/>
      <c r="L36" s="22"/>
      <c r="M36" s="1"/>
      <c r="N36" s="12" t="s">
        <v>43</v>
      </c>
      <c r="O36" s="16"/>
      <c r="P36" s="22">
        <v>-5</v>
      </c>
      <c r="Q36" s="1"/>
      <c r="R36" s="12" t="s">
        <v>45</v>
      </c>
      <c r="S36" s="16"/>
      <c r="T36" s="22"/>
      <c r="U36" s="1"/>
      <c r="V36" s="1"/>
      <c r="W36" s="45" t="s">
        <v>42</v>
      </c>
      <c r="X36" s="40"/>
      <c r="Y36" s="46">
        <f>+D36+H36+L36+P36+T36</f>
        <v>-25</v>
      </c>
      <c r="Z36" s="1"/>
      <c r="AA36" s="1"/>
      <c r="AB36" s="1"/>
      <c r="AC36" s="1"/>
      <c r="AD36" s="1"/>
      <c r="AE36" s="1"/>
      <c r="AF36" s="62"/>
      <c r="AG36" s="1"/>
      <c r="AH36" s="1"/>
      <c r="AI36" s="20" t="s">
        <v>151</v>
      </c>
      <c r="AJ36" s="20" t="s">
        <v>63</v>
      </c>
      <c r="AK36" s="20" t="s">
        <v>270</v>
      </c>
      <c r="AL36" s="96">
        <v>10180</v>
      </c>
    </row>
    <row r="37" spans="2:38" ht="15.75" thickBot="1">
      <c r="B37" s="12" t="s">
        <v>17</v>
      </c>
      <c r="C37" s="16"/>
      <c r="D37" s="22">
        <f>+SUM(D34:D36)</f>
        <v>879</v>
      </c>
      <c r="E37" s="1"/>
      <c r="F37" s="12" t="s">
        <v>17</v>
      </c>
      <c r="G37" s="16"/>
      <c r="H37" s="22">
        <f>+SUM(H34:H36)</f>
        <v>-20</v>
      </c>
      <c r="I37" s="1"/>
      <c r="J37" s="12" t="s">
        <v>17</v>
      </c>
      <c r="K37" s="16"/>
      <c r="L37" s="22">
        <f>+SUM(L34:L36)</f>
        <v>4201</v>
      </c>
      <c r="M37" s="1"/>
      <c r="N37" s="12" t="s">
        <v>17</v>
      </c>
      <c r="O37" s="16"/>
      <c r="P37" s="22">
        <f>+SUM(P34:P36)</f>
        <v>-5</v>
      </c>
      <c r="Q37" s="1"/>
      <c r="R37" s="12" t="s">
        <v>17</v>
      </c>
      <c r="S37" s="16"/>
      <c r="T37" s="22">
        <f>+SUM(T34:T36)</f>
        <v>0</v>
      </c>
      <c r="U37" s="1"/>
      <c r="V37" s="1"/>
      <c r="W37" s="33" t="s">
        <v>17</v>
      </c>
      <c r="X37" s="34"/>
      <c r="Y37" s="35">
        <f>+SUM(Y34:Y36)</f>
        <v>5055</v>
      </c>
      <c r="Z37" s="1"/>
      <c r="AA37" s="1"/>
      <c r="AB37" s="60" t="s">
        <v>38</v>
      </c>
      <c r="AC37" s="60"/>
      <c r="AD37" s="60"/>
      <c r="AE37" s="60"/>
      <c r="AF37" s="55">
        <f>+SUM(AF23:AF36)</f>
        <v>82540</v>
      </c>
      <c r="AG37" s="1"/>
      <c r="AH37" s="1"/>
      <c r="AI37" s="20" t="s">
        <v>338</v>
      </c>
      <c r="AJ37" s="20" t="s">
        <v>71</v>
      </c>
      <c r="AK37" s="20" t="s">
        <v>285</v>
      </c>
      <c r="AL37" s="97">
        <v>12101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20" t="s">
        <v>525</v>
      </c>
      <c r="AJ38" s="20" t="s">
        <v>71</v>
      </c>
      <c r="AK38" s="20" t="s">
        <v>286</v>
      </c>
      <c r="AL38" s="97">
        <v>11310</v>
      </c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0" t="s">
        <v>103</v>
      </c>
      <c r="AJ39" s="20" t="s">
        <v>146</v>
      </c>
      <c r="AK39" s="20" t="s">
        <v>292</v>
      </c>
      <c r="AL39" s="97">
        <v>14378</v>
      </c>
    </row>
    <row r="40" spans="2:38">
      <c r="AI40" s="20" t="s">
        <v>526</v>
      </c>
      <c r="AJ40" s="20" t="s">
        <v>146</v>
      </c>
      <c r="AK40" s="20" t="s">
        <v>534</v>
      </c>
      <c r="AL40" s="96">
        <v>3610</v>
      </c>
    </row>
    <row r="41" spans="2:38">
      <c r="AI41" s="20" t="s">
        <v>527</v>
      </c>
      <c r="AJ41" s="20" t="s">
        <v>65</v>
      </c>
      <c r="AK41" s="20" t="s">
        <v>535</v>
      </c>
      <c r="AL41" s="96">
        <v>177600</v>
      </c>
    </row>
    <row r="42" spans="2:38" ht="15.75" thickBot="1">
      <c r="AI42" s="80" t="s">
        <v>38</v>
      </c>
      <c r="AJ42" s="80"/>
      <c r="AK42" s="80"/>
      <c r="AL42" s="81">
        <f>+SUM(AL23:AL41)</f>
        <v>461747</v>
      </c>
    </row>
    <row r="43" spans="2:38" ht="15.75" thickTop="1"/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2:AM44"/>
  <sheetViews>
    <sheetView zoomScale="70" zoomScaleNormal="70" workbookViewId="0">
      <selection activeCell="B3" sqref="B3:AL39"/>
    </sheetView>
  </sheetViews>
  <sheetFormatPr defaultColWidth="9.140625" defaultRowHeight="15"/>
  <cols>
    <col min="1" max="2" width="9.140625" style="1"/>
    <col min="3" max="3" width="17.5703125" style="1" customWidth="1"/>
    <col min="4" max="4" width="9.140625" style="1"/>
    <col min="5" max="5" width="1.7109375" style="1" customWidth="1"/>
    <col min="6" max="6" width="9.140625" style="1"/>
    <col min="7" max="7" width="15" style="1" customWidth="1"/>
    <col min="8" max="8" width="9.140625" style="1"/>
    <col min="9" max="9" width="1.7109375" style="1" customWidth="1"/>
    <col min="10" max="10" width="12.42578125" style="1" customWidth="1"/>
    <col min="11" max="11" width="17.42578125" style="1" customWidth="1"/>
    <col min="12" max="12" width="9.140625" style="1"/>
    <col min="13" max="13" width="1" style="1" customWidth="1"/>
    <col min="14" max="14" width="14.140625" style="1" customWidth="1"/>
    <col min="15" max="15" width="18.140625" style="1" customWidth="1"/>
    <col min="16" max="16" width="9.140625" style="1"/>
    <col min="17" max="17" width="1.7109375" style="1" customWidth="1"/>
    <col min="18" max="18" width="9.140625" style="1"/>
    <col min="19" max="19" width="17.28515625" style="1" customWidth="1"/>
    <col min="20" max="20" width="9.140625" style="1"/>
    <col min="21" max="21" width="1.7109375" style="1" customWidth="1"/>
    <col min="22" max="22" width="2" style="1" customWidth="1"/>
    <col min="23" max="24" width="9.140625" style="1"/>
    <col min="25" max="25" width="10.28515625" style="1" customWidth="1"/>
    <col min="26" max="26" width="2" style="1" customWidth="1"/>
    <col min="27" max="27" width="9.140625" style="1"/>
    <col min="28" max="28" width="15.28515625" style="1" bestFit="1" customWidth="1"/>
    <col min="29" max="29" width="13.5703125" style="1" bestFit="1" customWidth="1"/>
    <col min="30" max="30" width="16.42578125" style="1" customWidth="1"/>
    <col min="31" max="31" width="12" style="1" customWidth="1"/>
    <col min="32" max="32" width="17.7109375" style="1" customWidth="1"/>
    <col min="33" max="33" width="5.140625" style="1" customWidth="1"/>
    <col min="34" max="34" width="9.140625" style="1"/>
    <col min="35" max="35" width="20.28515625" style="1" bestFit="1" customWidth="1"/>
    <col min="36" max="36" width="13" style="1" customWidth="1"/>
    <col min="37" max="37" width="16.85546875" style="1" customWidth="1"/>
    <col min="38" max="38" width="13.85546875" style="1" customWidth="1"/>
    <col min="39" max="39" width="11" style="1" customWidth="1"/>
    <col min="40" max="16384" width="9.140625" style="1"/>
  </cols>
  <sheetData>
    <row r="2" spans="2:39" ht="15.75" thickBot="1"/>
    <row r="3" spans="2:39">
      <c r="B3" s="130" t="s">
        <v>47</v>
      </c>
      <c r="C3" s="130"/>
      <c r="D3" s="130"/>
      <c r="F3" s="130" t="s">
        <v>0</v>
      </c>
      <c r="G3" s="130"/>
      <c r="H3" s="130"/>
      <c r="J3" s="130" t="s">
        <v>1</v>
      </c>
      <c r="K3" s="130"/>
      <c r="L3" s="130"/>
      <c r="N3" s="130" t="s">
        <v>2</v>
      </c>
      <c r="O3" s="130"/>
      <c r="P3" s="130"/>
      <c r="R3" s="130" t="s">
        <v>3</v>
      </c>
      <c r="S3" s="130"/>
      <c r="T3" s="130"/>
      <c r="V3" s="10"/>
      <c r="W3" s="131" t="s">
        <v>4</v>
      </c>
      <c r="X3" s="131"/>
      <c r="Y3" s="131"/>
      <c r="Z3" s="65"/>
    </row>
    <row r="4" spans="2:39">
      <c r="B4" s="4" t="s">
        <v>5</v>
      </c>
      <c r="C4" s="4" t="s">
        <v>6</v>
      </c>
      <c r="D4" s="4" t="s">
        <v>7</v>
      </c>
      <c r="F4" s="4" t="s">
        <v>5</v>
      </c>
      <c r="G4" s="4" t="s">
        <v>6</v>
      </c>
      <c r="H4" s="4" t="s">
        <v>7</v>
      </c>
      <c r="J4" s="4" t="s">
        <v>5</v>
      </c>
      <c r="K4" s="4" t="s">
        <v>6</v>
      </c>
      <c r="L4" s="4" t="s">
        <v>7</v>
      </c>
      <c r="N4" s="4" t="s">
        <v>5</v>
      </c>
      <c r="O4" s="4" t="s">
        <v>6</v>
      </c>
      <c r="P4" s="4" t="s">
        <v>7</v>
      </c>
      <c r="R4" s="4" t="s">
        <v>5</v>
      </c>
      <c r="S4" s="4" t="s">
        <v>6</v>
      </c>
      <c r="T4" s="4" t="s">
        <v>7</v>
      </c>
      <c r="V4" s="12"/>
      <c r="W4" s="14" t="s">
        <v>5</v>
      </c>
      <c r="X4" s="14" t="s">
        <v>6</v>
      </c>
      <c r="Y4" s="14" t="s">
        <v>7</v>
      </c>
      <c r="Z4" s="13"/>
    </row>
    <row r="5" spans="2:39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I5" s="4" t="s">
        <v>5</v>
      </c>
      <c r="AJ5" s="4" t="s">
        <v>6</v>
      </c>
      <c r="AK5" s="4" t="s">
        <v>7</v>
      </c>
    </row>
    <row r="6" spans="2:39" ht="15.75" thickTop="1">
      <c r="B6" s="2">
        <v>10</v>
      </c>
      <c r="C6" s="2"/>
      <c r="D6" s="36">
        <f>+C6*B6</f>
        <v>0</v>
      </c>
      <c r="F6" s="2">
        <v>10</v>
      </c>
      <c r="G6" s="2"/>
      <c r="H6" s="36">
        <f>+G6*F6</f>
        <v>0</v>
      </c>
      <c r="J6" s="2">
        <v>10</v>
      </c>
      <c r="K6" s="2"/>
      <c r="L6" s="36">
        <f>+K6*J6</f>
        <v>0</v>
      </c>
      <c r="N6" s="2">
        <v>10</v>
      </c>
      <c r="O6" s="2"/>
      <c r="P6" s="36">
        <f>+O6*N6</f>
        <v>0</v>
      </c>
      <c r="R6" s="2">
        <v>10</v>
      </c>
      <c r="S6" s="2"/>
      <c r="T6" s="36">
        <f>+S6*R6</f>
        <v>0</v>
      </c>
      <c r="V6" s="12"/>
      <c r="W6" s="39">
        <v>10</v>
      </c>
      <c r="X6" s="39">
        <f>+C6+G6+K6+O6+S6</f>
        <v>0</v>
      </c>
      <c r="Y6" s="37">
        <f>+D6+H6+L6+P6+T6</f>
        <v>0</v>
      </c>
      <c r="Z6" s="13"/>
      <c r="AI6" s="29">
        <v>1</v>
      </c>
      <c r="AJ6" s="29"/>
      <c r="AK6" s="36">
        <f t="shared" ref="AK6:AK13" si="0">+AJ6*AI6</f>
        <v>0</v>
      </c>
      <c r="AL6" s="26"/>
      <c r="AM6" s="26"/>
    </row>
    <row r="7" spans="2:39">
      <c r="B7" s="2">
        <v>20</v>
      </c>
      <c r="C7" s="2"/>
      <c r="D7" s="36">
        <f t="shared" ref="D7:D12" si="1">+C7*B7</f>
        <v>0</v>
      </c>
      <c r="F7" s="2">
        <v>20</v>
      </c>
      <c r="G7" s="2"/>
      <c r="H7" s="36">
        <f t="shared" ref="H7:H12" si="2">+G7*F7</f>
        <v>0</v>
      </c>
      <c r="J7" s="2">
        <v>20</v>
      </c>
      <c r="K7" s="2"/>
      <c r="L7" s="36">
        <f t="shared" ref="L7:L12" si="3">+K7*J7</f>
        <v>0</v>
      </c>
      <c r="N7" s="2">
        <v>20</v>
      </c>
      <c r="O7" s="2"/>
      <c r="P7" s="36">
        <f t="shared" ref="P7:P12" si="4">+O7*N7</f>
        <v>0</v>
      </c>
      <c r="R7" s="2">
        <v>20</v>
      </c>
      <c r="S7" s="2"/>
      <c r="T7" s="36">
        <f t="shared" ref="T7:T12" si="5">+S7*R7</f>
        <v>0</v>
      </c>
      <c r="V7" s="12"/>
      <c r="W7" s="39">
        <v>20</v>
      </c>
      <c r="X7" s="39">
        <f>+C7+G7+K7+O7+S7</f>
        <v>0</v>
      </c>
      <c r="Y7" s="37">
        <f t="shared" ref="Y7:Y12" si="6">+D7+H7+L7+P7+T7</f>
        <v>0</v>
      </c>
      <c r="Z7" s="13"/>
      <c r="AB7" s="56" t="s">
        <v>9</v>
      </c>
      <c r="AC7" s="57">
        <f>Y13</f>
        <v>0</v>
      </c>
      <c r="AD7" s="26"/>
      <c r="AE7" s="26"/>
      <c r="AF7" s="26"/>
      <c r="AG7" s="26"/>
      <c r="AI7" s="2">
        <v>10</v>
      </c>
      <c r="AJ7" s="2"/>
      <c r="AK7" s="36">
        <f t="shared" si="0"/>
        <v>0</v>
      </c>
    </row>
    <row r="8" spans="2:39">
      <c r="B8" s="2">
        <v>50</v>
      </c>
      <c r="C8" s="2"/>
      <c r="D8" s="36">
        <f t="shared" si="1"/>
        <v>0</v>
      </c>
      <c r="F8" s="2">
        <v>50</v>
      </c>
      <c r="G8" s="2"/>
      <c r="H8" s="36">
        <f t="shared" si="2"/>
        <v>0</v>
      </c>
      <c r="J8" s="2">
        <v>50</v>
      </c>
      <c r="K8" s="2"/>
      <c r="L8" s="36">
        <f t="shared" si="3"/>
        <v>0</v>
      </c>
      <c r="N8" s="2">
        <v>50</v>
      </c>
      <c r="O8" s="2"/>
      <c r="P8" s="36">
        <f t="shared" si="4"/>
        <v>0</v>
      </c>
      <c r="R8" s="2">
        <v>50</v>
      </c>
      <c r="S8" s="2"/>
      <c r="T8" s="36">
        <f t="shared" si="5"/>
        <v>0</v>
      </c>
      <c r="V8" s="12"/>
      <c r="W8" s="39">
        <v>50</v>
      </c>
      <c r="X8" s="39">
        <f t="shared" ref="X8:X12" si="7">+C8+G8+K8+O8+S8</f>
        <v>0</v>
      </c>
      <c r="Y8" s="37">
        <f t="shared" si="6"/>
        <v>0</v>
      </c>
      <c r="Z8" s="13"/>
      <c r="AB8" s="53" t="s">
        <v>10</v>
      </c>
      <c r="AC8" s="53">
        <f>+AF37</f>
        <v>0</v>
      </c>
      <c r="AI8" s="2">
        <v>20</v>
      </c>
      <c r="AJ8" s="2"/>
      <c r="AK8" s="36">
        <f t="shared" si="0"/>
        <v>0</v>
      </c>
    </row>
    <row r="9" spans="2:39" ht="15.75" thickBot="1">
      <c r="B9" s="2">
        <v>100</v>
      </c>
      <c r="C9" s="2"/>
      <c r="D9" s="36">
        <f t="shared" si="1"/>
        <v>0</v>
      </c>
      <c r="F9" s="2">
        <v>100</v>
      </c>
      <c r="G9" s="2"/>
      <c r="H9" s="36">
        <f t="shared" si="2"/>
        <v>0</v>
      </c>
      <c r="J9" s="2">
        <v>100</v>
      </c>
      <c r="K9" s="2"/>
      <c r="L9" s="36">
        <f t="shared" si="3"/>
        <v>0</v>
      </c>
      <c r="N9" s="2">
        <v>100</v>
      </c>
      <c r="O9" s="2"/>
      <c r="P9" s="36">
        <f t="shared" si="4"/>
        <v>0</v>
      </c>
      <c r="R9" s="2">
        <v>100</v>
      </c>
      <c r="S9" s="2"/>
      <c r="T9" s="36">
        <f t="shared" si="5"/>
        <v>0</v>
      </c>
      <c r="V9" s="12"/>
      <c r="W9" s="39">
        <v>100</v>
      </c>
      <c r="X9" s="39">
        <f t="shared" si="7"/>
        <v>0</v>
      </c>
      <c r="Y9" s="37">
        <f t="shared" si="6"/>
        <v>0</v>
      </c>
      <c r="Z9" s="13"/>
      <c r="AB9" s="58" t="s">
        <v>11</v>
      </c>
      <c r="AC9" s="59">
        <f>SUM(AC7:AC8)</f>
        <v>0</v>
      </c>
      <c r="AI9" s="2">
        <v>50</v>
      </c>
      <c r="AJ9" s="2"/>
      <c r="AK9" s="36">
        <f t="shared" si="0"/>
        <v>0</v>
      </c>
    </row>
    <row r="10" spans="2:39">
      <c r="B10" s="2">
        <v>500</v>
      </c>
      <c r="C10" s="2"/>
      <c r="D10" s="36">
        <f t="shared" si="1"/>
        <v>0</v>
      </c>
      <c r="F10" s="2">
        <v>500</v>
      </c>
      <c r="G10" s="2"/>
      <c r="H10" s="36">
        <f t="shared" si="2"/>
        <v>0</v>
      </c>
      <c r="J10" s="2">
        <v>500</v>
      </c>
      <c r="K10" s="2"/>
      <c r="L10" s="36">
        <f t="shared" si="3"/>
        <v>0</v>
      </c>
      <c r="N10" s="2">
        <v>500</v>
      </c>
      <c r="O10" s="2"/>
      <c r="P10" s="36">
        <f t="shared" si="4"/>
        <v>0</v>
      </c>
      <c r="R10" s="2">
        <v>500</v>
      </c>
      <c r="S10" s="2"/>
      <c r="T10" s="36">
        <f t="shared" si="5"/>
        <v>0</v>
      </c>
      <c r="V10" s="12"/>
      <c r="W10" s="39">
        <v>500</v>
      </c>
      <c r="X10" s="39">
        <f t="shared" si="7"/>
        <v>0</v>
      </c>
      <c r="Y10" s="37">
        <f t="shared" si="6"/>
        <v>0</v>
      </c>
      <c r="Z10" s="13"/>
      <c r="AI10" s="2">
        <v>100</v>
      </c>
      <c r="AJ10" s="2"/>
      <c r="AK10" s="36">
        <f t="shared" si="0"/>
        <v>0</v>
      </c>
    </row>
    <row r="11" spans="2:39">
      <c r="B11" s="2">
        <v>1000</v>
      </c>
      <c r="C11" s="2"/>
      <c r="D11" s="36">
        <f t="shared" si="1"/>
        <v>0</v>
      </c>
      <c r="F11" s="2">
        <v>1000</v>
      </c>
      <c r="G11" s="2"/>
      <c r="H11" s="36">
        <f t="shared" si="2"/>
        <v>0</v>
      </c>
      <c r="J11" s="2">
        <v>1000</v>
      </c>
      <c r="K11" s="2"/>
      <c r="L11" s="36">
        <f t="shared" si="3"/>
        <v>0</v>
      </c>
      <c r="N11" s="2">
        <v>1000</v>
      </c>
      <c r="O11" s="2"/>
      <c r="P11" s="36">
        <f t="shared" si="4"/>
        <v>0</v>
      </c>
      <c r="R11" s="2">
        <v>1000</v>
      </c>
      <c r="S11" s="2"/>
      <c r="T11" s="36">
        <f t="shared" si="5"/>
        <v>0</v>
      </c>
      <c r="V11" s="12"/>
      <c r="W11" s="39">
        <v>1000</v>
      </c>
      <c r="X11" s="39">
        <f t="shared" si="7"/>
        <v>0</v>
      </c>
      <c r="Y11" s="37">
        <f t="shared" si="6"/>
        <v>0</v>
      </c>
      <c r="Z11" s="13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I11" s="2">
        <v>500</v>
      </c>
      <c r="AJ11" s="2"/>
      <c r="AK11" s="36">
        <f t="shared" si="0"/>
        <v>0</v>
      </c>
    </row>
    <row r="12" spans="2:39">
      <c r="B12" s="2">
        <v>5000</v>
      </c>
      <c r="C12" s="2"/>
      <c r="D12" s="36">
        <f t="shared" si="1"/>
        <v>0</v>
      </c>
      <c r="F12" s="2">
        <v>5000</v>
      </c>
      <c r="G12" s="2"/>
      <c r="H12" s="36">
        <f t="shared" si="2"/>
        <v>0</v>
      </c>
      <c r="J12" s="2">
        <v>5000</v>
      </c>
      <c r="K12" s="2"/>
      <c r="L12" s="36">
        <f t="shared" si="3"/>
        <v>0</v>
      </c>
      <c r="N12" s="2">
        <v>5000</v>
      </c>
      <c r="O12" s="2"/>
      <c r="P12" s="36">
        <f t="shared" si="4"/>
        <v>0</v>
      </c>
      <c r="R12" s="2">
        <v>5000</v>
      </c>
      <c r="S12" s="2"/>
      <c r="T12" s="36">
        <f t="shared" si="5"/>
        <v>0</v>
      </c>
      <c r="V12" s="12"/>
      <c r="W12" s="39">
        <v>5000</v>
      </c>
      <c r="X12" s="39">
        <f t="shared" si="7"/>
        <v>0</v>
      </c>
      <c r="Y12" s="37">
        <f t="shared" si="6"/>
        <v>0</v>
      </c>
      <c r="Z12" s="13"/>
      <c r="AB12" s="1" t="s">
        <v>16</v>
      </c>
      <c r="AC12" s="5"/>
      <c r="AE12" s="52"/>
      <c r="AI12" s="2">
        <v>1000</v>
      </c>
      <c r="AJ12" s="2"/>
      <c r="AK12" s="36">
        <f t="shared" si="0"/>
        <v>0</v>
      </c>
    </row>
    <row r="13" spans="2:39" ht="15.75" thickBot="1">
      <c r="B13" s="3" t="s">
        <v>17</v>
      </c>
      <c r="C13" s="3"/>
      <c r="D13" s="6">
        <f>+SUM(D5:D12)</f>
        <v>0</v>
      </c>
      <c r="F13" s="3" t="s">
        <v>17</v>
      </c>
      <c r="G13" s="3"/>
      <c r="H13" s="6">
        <f>+SUM(H5:H12)</f>
        <v>0</v>
      </c>
      <c r="J13" s="3" t="s">
        <v>17</v>
      </c>
      <c r="K13" s="3"/>
      <c r="L13" s="6">
        <f>+SUM(L5:L12)</f>
        <v>0</v>
      </c>
      <c r="N13" s="3" t="s">
        <v>17</v>
      </c>
      <c r="O13" s="3"/>
      <c r="P13" s="6">
        <f>+SUM(P5:P12)</f>
        <v>0</v>
      </c>
      <c r="R13" s="3" t="s">
        <v>17</v>
      </c>
      <c r="S13" s="3"/>
      <c r="T13" s="6">
        <f>+SUM(T5:T12)</f>
        <v>0</v>
      </c>
      <c r="V13" s="12"/>
      <c r="W13" s="3" t="s">
        <v>17</v>
      </c>
      <c r="X13" s="3"/>
      <c r="Y13" s="6">
        <f>+SUM(Y5:Y12)</f>
        <v>0</v>
      </c>
      <c r="Z13" s="13"/>
      <c r="AB13" s="1" t="s">
        <v>18</v>
      </c>
      <c r="AC13" s="5"/>
      <c r="AI13" s="2">
        <v>5000</v>
      </c>
      <c r="AJ13" s="2"/>
      <c r="AK13" s="36">
        <f t="shared" si="0"/>
        <v>0</v>
      </c>
    </row>
    <row r="14" spans="2:39" ht="15.75" thickBot="1">
      <c r="V14" s="12"/>
      <c r="W14" s="16"/>
      <c r="X14" s="16"/>
      <c r="Y14" s="16"/>
      <c r="Z14" s="13"/>
      <c r="AB14" s="1" t="s">
        <v>19</v>
      </c>
      <c r="AC14" s="5"/>
      <c r="AI14" s="3" t="s">
        <v>17</v>
      </c>
      <c r="AJ14" s="3"/>
      <c r="AK14" s="6">
        <f>+SUM(AK6:AK13)</f>
        <v>0</v>
      </c>
    </row>
    <row r="15" spans="2:39" ht="15.75" thickBot="1">
      <c r="B15" s="128" t="s">
        <v>20</v>
      </c>
      <c r="C15" s="129"/>
      <c r="D15" s="8"/>
      <c r="E15" s="30"/>
      <c r="F15" s="128" t="s">
        <v>20</v>
      </c>
      <c r="G15" s="129"/>
      <c r="H15" s="8"/>
      <c r="I15" s="30"/>
      <c r="J15" s="128" t="s">
        <v>20</v>
      </c>
      <c r="K15" s="129"/>
      <c r="L15" s="8"/>
      <c r="M15" s="30"/>
      <c r="N15" s="128" t="s">
        <v>20</v>
      </c>
      <c r="O15" s="129"/>
      <c r="P15" s="8"/>
      <c r="Q15" s="30"/>
      <c r="R15" s="128" t="s">
        <v>20</v>
      </c>
      <c r="S15" s="129"/>
      <c r="T15" s="8"/>
      <c r="U15" s="30"/>
      <c r="V15" s="31"/>
      <c r="W15" s="128" t="s">
        <v>20</v>
      </c>
      <c r="X15" s="129"/>
      <c r="Y15" s="8">
        <f>+D15+H15+L15+P15+T15</f>
        <v>0</v>
      </c>
      <c r="Z15" s="32"/>
      <c r="AA15" s="30"/>
      <c r="AB15" s="1" t="s">
        <v>21</v>
      </c>
      <c r="AC15" s="5"/>
    </row>
    <row r="16" spans="2:39">
      <c r="B16" s="1" t="s">
        <v>9</v>
      </c>
      <c r="D16" s="5">
        <f>+D13</f>
        <v>0</v>
      </c>
      <c r="F16" s="1" t="s">
        <v>9</v>
      </c>
      <c r="H16" s="5">
        <f>+H13</f>
        <v>0</v>
      </c>
      <c r="J16" s="1" t="s">
        <v>9</v>
      </c>
      <c r="L16" s="5">
        <f>+L13</f>
        <v>0</v>
      </c>
      <c r="N16" s="1" t="s">
        <v>9</v>
      </c>
      <c r="P16" s="5">
        <f>+P13</f>
        <v>0</v>
      </c>
      <c r="R16" s="1" t="s">
        <v>9</v>
      </c>
      <c r="T16" s="5">
        <f>+T13</f>
        <v>0</v>
      </c>
      <c r="V16" s="12"/>
      <c r="W16" s="40" t="s">
        <v>9</v>
      </c>
      <c r="X16" s="40"/>
      <c r="Y16" s="37">
        <f>+D16+H16+L16+P16+T16</f>
        <v>0</v>
      </c>
      <c r="Z16" s="13"/>
      <c r="AB16" s="1" t="s">
        <v>22</v>
      </c>
      <c r="AC16" s="5"/>
    </row>
    <row r="17" spans="2:38">
      <c r="B17" s="1" t="s">
        <v>16</v>
      </c>
      <c r="D17" s="5"/>
      <c r="F17" s="1" t="s">
        <v>16</v>
      </c>
      <c r="H17" s="5"/>
      <c r="J17" s="1" t="s">
        <v>16</v>
      </c>
      <c r="L17" s="5"/>
      <c r="N17" s="1" t="s">
        <v>16</v>
      </c>
      <c r="P17" s="5"/>
      <c r="R17" s="1" t="s">
        <v>16</v>
      </c>
      <c r="T17" s="5"/>
      <c r="V17" s="12"/>
      <c r="W17" s="40" t="s">
        <v>16</v>
      </c>
      <c r="X17" s="40"/>
      <c r="Y17" s="37">
        <f t="shared" ref="Y17:Y27" si="8">+D17+H17+L17+P17+T17</f>
        <v>0</v>
      </c>
      <c r="Z17" s="13"/>
      <c r="AB17" s="48" t="s">
        <v>11</v>
      </c>
      <c r="AC17" s="49">
        <f>+SUM(AC12:AC16)</f>
        <v>0</v>
      </c>
      <c r="AD17" s="63"/>
    </row>
    <row r="18" spans="2:38">
      <c r="B18" s="1" t="s">
        <v>23</v>
      </c>
      <c r="D18" s="5"/>
      <c r="F18" s="1" t="s">
        <v>23</v>
      </c>
      <c r="H18" s="5"/>
      <c r="J18" s="1" t="s">
        <v>23</v>
      </c>
      <c r="L18" s="5"/>
      <c r="N18" s="1" t="s">
        <v>23</v>
      </c>
      <c r="P18" s="5"/>
      <c r="R18" s="1" t="s">
        <v>23</v>
      </c>
      <c r="T18" s="5"/>
      <c r="V18" s="12"/>
      <c r="W18" s="40" t="s">
        <v>23</v>
      </c>
      <c r="X18" s="40"/>
      <c r="Y18" s="37">
        <f t="shared" si="8"/>
        <v>0</v>
      </c>
      <c r="Z18" s="13"/>
      <c r="AB18" s="50" t="s">
        <v>24</v>
      </c>
      <c r="AC18" s="51">
        <f>+AC17-AC9</f>
        <v>0</v>
      </c>
      <c r="AD18" s="1" t="s">
        <v>25</v>
      </c>
    </row>
    <row r="19" spans="2:38">
      <c r="B19" s="1" t="s">
        <v>26</v>
      </c>
      <c r="D19" s="5"/>
      <c r="F19" s="1" t="s">
        <v>26</v>
      </c>
      <c r="H19" s="5"/>
      <c r="J19" s="1" t="s">
        <v>26</v>
      </c>
      <c r="L19" s="5"/>
      <c r="N19" s="1" t="s">
        <v>26</v>
      </c>
      <c r="P19" s="5"/>
      <c r="R19" s="1" t="s">
        <v>26</v>
      </c>
      <c r="T19" s="5"/>
      <c r="V19" s="12"/>
      <c r="W19" s="40" t="s">
        <v>26</v>
      </c>
      <c r="X19" s="40"/>
      <c r="Y19" s="37">
        <f t="shared" si="8"/>
        <v>0</v>
      </c>
      <c r="Z19" s="13"/>
    </row>
    <row r="20" spans="2:38">
      <c r="B20" s="1" t="s">
        <v>27</v>
      </c>
      <c r="D20" s="5"/>
      <c r="F20" s="1" t="s">
        <v>27</v>
      </c>
      <c r="H20" s="5"/>
      <c r="J20" s="1" t="s">
        <v>27</v>
      </c>
      <c r="L20" s="5"/>
      <c r="N20" s="1" t="s">
        <v>27</v>
      </c>
      <c r="P20" s="5"/>
      <c r="R20" s="1" t="s">
        <v>27</v>
      </c>
      <c r="T20" s="5"/>
      <c r="V20" s="12"/>
      <c r="W20" s="40" t="s">
        <v>27</v>
      </c>
      <c r="X20" s="40"/>
      <c r="Y20" s="37">
        <f t="shared" si="8"/>
        <v>0</v>
      </c>
      <c r="Z20" s="13"/>
    </row>
    <row r="21" spans="2:38">
      <c r="D21" s="5"/>
      <c r="H21" s="5"/>
      <c r="L21" s="5"/>
      <c r="P21" s="5"/>
      <c r="T21" s="5"/>
      <c r="V21" s="12"/>
      <c r="W21" s="40"/>
      <c r="X21" s="40"/>
      <c r="Y21" s="37">
        <f t="shared" si="8"/>
        <v>0</v>
      </c>
      <c r="Z21" s="13"/>
      <c r="AB21" s="54" t="s">
        <v>28</v>
      </c>
      <c r="AC21" s="54"/>
      <c r="AD21" s="54"/>
      <c r="AE21" s="30"/>
      <c r="AI21" s="54" t="s">
        <v>29</v>
      </c>
      <c r="AJ21" s="54"/>
      <c r="AK21" s="54"/>
      <c r="AL21" s="62"/>
    </row>
    <row r="22" spans="2:38">
      <c r="D22" s="5"/>
      <c r="H22" s="5"/>
      <c r="L22" s="5"/>
      <c r="P22" s="5"/>
      <c r="T22" s="5"/>
      <c r="V22" s="12"/>
      <c r="W22" s="40"/>
      <c r="X22" s="40"/>
      <c r="Y22" s="37">
        <f t="shared" si="8"/>
        <v>0</v>
      </c>
      <c r="Z22" s="13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I22" s="47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D23" s="5"/>
      <c r="F23" s="1" t="s">
        <v>35</v>
      </c>
      <c r="H23" s="5"/>
      <c r="J23" s="1" t="s">
        <v>35</v>
      </c>
      <c r="L23" s="5"/>
      <c r="N23" s="1" t="s">
        <v>46</v>
      </c>
      <c r="P23" s="5"/>
      <c r="R23" s="1" t="s">
        <v>35</v>
      </c>
      <c r="T23" s="5"/>
      <c r="V23" s="12"/>
      <c r="W23" s="40" t="s">
        <v>35</v>
      </c>
      <c r="X23" s="40"/>
      <c r="Y23" s="37">
        <f t="shared" si="8"/>
        <v>0</v>
      </c>
      <c r="Z23" s="13"/>
      <c r="AF23" s="62"/>
      <c r="AL23" s="62"/>
    </row>
    <row r="24" spans="2:38">
      <c r="B24" s="1" t="s">
        <v>36</v>
      </c>
      <c r="D24" s="5"/>
      <c r="F24" s="1" t="s">
        <v>36</v>
      </c>
      <c r="H24" s="5"/>
      <c r="J24" s="1" t="s">
        <v>36</v>
      </c>
      <c r="L24" s="5"/>
      <c r="N24" s="1" t="s">
        <v>46</v>
      </c>
      <c r="P24" s="5"/>
      <c r="R24" s="1" t="s">
        <v>36</v>
      </c>
      <c r="T24" s="5"/>
      <c r="V24" s="12"/>
      <c r="W24" s="40" t="s">
        <v>36</v>
      </c>
      <c r="X24" s="40"/>
      <c r="Y24" s="37">
        <f t="shared" si="8"/>
        <v>0</v>
      </c>
      <c r="Z24" s="13"/>
      <c r="AF24" s="62"/>
      <c r="AL24" s="62"/>
    </row>
    <row r="25" spans="2:38">
      <c r="B25" s="1" t="s">
        <v>37</v>
      </c>
      <c r="D25" s="5"/>
      <c r="F25" s="1" t="s">
        <v>37</v>
      </c>
      <c r="H25" s="5"/>
      <c r="J25" s="1" t="s">
        <v>37</v>
      </c>
      <c r="L25" s="5"/>
      <c r="N25" s="1" t="s">
        <v>46</v>
      </c>
      <c r="P25" s="5"/>
      <c r="R25" s="1" t="s">
        <v>37</v>
      </c>
      <c r="T25" s="5"/>
      <c r="V25" s="12"/>
      <c r="W25" s="40" t="s">
        <v>37</v>
      </c>
      <c r="X25" s="40"/>
      <c r="Y25" s="37">
        <f t="shared" si="8"/>
        <v>0</v>
      </c>
      <c r="Z25" s="13"/>
      <c r="AF25" s="62"/>
      <c r="AL25" s="62"/>
    </row>
    <row r="26" spans="2:38">
      <c r="D26" s="5"/>
      <c r="H26" s="5"/>
      <c r="L26" s="5"/>
      <c r="P26" s="5"/>
      <c r="V26" s="12"/>
      <c r="W26" s="40"/>
      <c r="X26" s="40"/>
      <c r="Y26" s="37">
        <f t="shared" si="8"/>
        <v>0</v>
      </c>
      <c r="Z26" s="13"/>
      <c r="AF26" s="96"/>
      <c r="AL26" s="62"/>
    </row>
    <row r="27" spans="2:38" ht="15.75" thickBot="1">
      <c r="D27" s="5"/>
      <c r="H27" s="5"/>
      <c r="L27" s="5"/>
      <c r="P27" s="5"/>
      <c r="T27" s="5"/>
      <c r="V27" s="12"/>
      <c r="W27" s="40"/>
      <c r="X27" s="40"/>
      <c r="Y27" s="37">
        <f t="shared" si="8"/>
        <v>0</v>
      </c>
      <c r="Z27" s="13"/>
      <c r="AF27" s="62"/>
      <c r="AL27" s="62"/>
    </row>
    <row r="28" spans="2:38" ht="15.75" thickBot="1">
      <c r="B28" s="125" t="s">
        <v>11</v>
      </c>
      <c r="C28" s="126"/>
      <c r="D28" s="9">
        <f>+SUM(D16:D27)</f>
        <v>0</v>
      </c>
      <c r="F28" s="125" t="s">
        <v>11</v>
      </c>
      <c r="G28" s="126"/>
      <c r="H28" s="9">
        <f>+SUM(H16:H27)</f>
        <v>0</v>
      </c>
      <c r="J28" s="125" t="s">
        <v>11</v>
      </c>
      <c r="K28" s="126"/>
      <c r="L28" s="9">
        <f>+SUM(L16:L27)</f>
        <v>0</v>
      </c>
      <c r="N28" s="125" t="s">
        <v>11</v>
      </c>
      <c r="O28" s="126"/>
      <c r="P28" s="9">
        <f>+SUM(P16:P27)</f>
        <v>0</v>
      </c>
      <c r="R28" s="125" t="s">
        <v>11</v>
      </c>
      <c r="S28" s="126"/>
      <c r="T28" s="9">
        <f>+SUM(T16:T27)</f>
        <v>0</v>
      </c>
      <c r="V28" s="12"/>
      <c r="W28" s="125" t="s">
        <v>11</v>
      </c>
      <c r="X28" s="126"/>
      <c r="Y28" s="9">
        <f>+SUM(Y16:Y27)</f>
        <v>0</v>
      </c>
      <c r="Z28" s="13"/>
      <c r="AF28" s="62"/>
      <c r="AL28" s="62"/>
    </row>
    <row r="29" spans="2:38">
      <c r="D29" s="5"/>
      <c r="H29" s="5"/>
      <c r="L29" s="5"/>
      <c r="P29" s="5"/>
      <c r="T29" s="5"/>
      <c r="V29" s="12"/>
      <c r="W29" s="16"/>
      <c r="X29" s="16"/>
      <c r="Y29" s="15"/>
      <c r="Z29" s="13"/>
      <c r="AF29" s="62"/>
      <c r="AL29" s="62"/>
    </row>
    <row r="30" spans="2:38" ht="15.75" thickBot="1">
      <c r="B30" s="127" t="s">
        <v>39</v>
      </c>
      <c r="C30" s="127"/>
      <c r="D30" s="7">
        <f>+D28-D15</f>
        <v>0</v>
      </c>
      <c r="F30" s="127" t="s">
        <v>39</v>
      </c>
      <c r="G30" s="127"/>
      <c r="H30" s="7">
        <f>+H28-H15</f>
        <v>0</v>
      </c>
      <c r="J30" s="127" t="s">
        <v>39</v>
      </c>
      <c r="K30" s="127"/>
      <c r="L30" s="7">
        <f>+L28-L15</f>
        <v>0</v>
      </c>
      <c r="N30" s="127" t="s">
        <v>39</v>
      </c>
      <c r="O30" s="127"/>
      <c r="P30" s="7">
        <f>+P28-P15</f>
        <v>0</v>
      </c>
      <c r="R30" s="127" t="s">
        <v>39</v>
      </c>
      <c r="S30" s="127"/>
      <c r="T30" s="7">
        <f>+T28-T15</f>
        <v>0</v>
      </c>
      <c r="V30" s="12"/>
      <c r="W30" s="124" t="s">
        <v>39</v>
      </c>
      <c r="X30" s="124"/>
      <c r="Y30" s="41">
        <f>+Y28-Y15</f>
        <v>0</v>
      </c>
      <c r="Z30" s="13"/>
      <c r="AF30" s="62"/>
      <c r="AL30" s="62"/>
    </row>
    <row r="31" spans="2:38" ht="16.5" thickTop="1" thickBot="1">
      <c r="V31" s="17"/>
      <c r="W31" s="18"/>
      <c r="X31" s="18"/>
      <c r="Y31" s="18"/>
      <c r="Z31" s="19"/>
      <c r="AF31" s="62"/>
    </row>
    <row r="32" spans="2:38">
      <c r="AF32" s="62"/>
    </row>
    <row r="33" spans="2:38" ht="15.75" thickBot="1">
      <c r="AF33" s="62"/>
    </row>
    <row r="34" spans="2:38">
      <c r="B34" s="10" t="s">
        <v>40</v>
      </c>
      <c r="C34" s="11"/>
      <c r="D34" s="21"/>
      <c r="F34" s="10" t="s">
        <v>40</v>
      </c>
      <c r="G34" s="11"/>
      <c r="H34" s="21"/>
      <c r="J34" s="10" t="s">
        <v>40</v>
      </c>
      <c r="K34" s="11"/>
      <c r="L34" s="21"/>
      <c r="N34" s="10" t="s">
        <v>40</v>
      </c>
      <c r="O34" s="11"/>
      <c r="P34" s="21"/>
      <c r="R34" s="10" t="s">
        <v>40</v>
      </c>
      <c r="S34" s="11"/>
      <c r="T34" s="21"/>
      <c r="W34" s="42" t="s">
        <v>40</v>
      </c>
      <c r="X34" s="43"/>
      <c r="Y34" s="44">
        <f>+D34+H34+L34+P34+T34</f>
        <v>0</v>
      </c>
      <c r="AF34" s="62"/>
    </row>
    <row r="35" spans="2:38">
      <c r="B35" s="12" t="s">
        <v>41</v>
      </c>
      <c r="C35" s="16"/>
      <c r="D35" s="22"/>
      <c r="F35" s="12" t="s">
        <v>41</v>
      </c>
      <c r="G35" s="16"/>
      <c r="H35" s="22"/>
      <c r="J35" s="12" t="s">
        <v>41</v>
      </c>
      <c r="K35" s="16"/>
      <c r="L35" s="22"/>
      <c r="N35" s="12" t="s">
        <v>41</v>
      </c>
      <c r="O35" s="16"/>
      <c r="P35" s="22"/>
      <c r="R35" s="12" t="s">
        <v>41</v>
      </c>
      <c r="S35" s="16"/>
      <c r="T35" s="22"/>
      <c r="W35" s="45" t="s">
        <v>41</v>
      </c>
      <c r="X35" s="40"/>
      <c r="Y35" s="46">
        <f t="shared" ref="Y35:Y36" si="9">+D35+H35+L35+P35+T35</f>
        <v>0</v>
      </c>
      <c r="AF35" s="62"/>
    </row>
    <row r="36" spans="2:38">
      <c r="B36" s="12" t="s">
        <v>43</v>
      </c>
      <c r="C36" s="16"/>
      <c r="D36" s="22"/>
      <c r="F36" s="12" t="s">
        <v>43</v>
      </c>
      <c r="G36" s="16"/>
      <c r="H36" s="22"/>
      <c r="J36" s="12" t="s">
        <v>43</v>
      </c>
      <c r="K36" s="16"/>
      <c r="L36" s="22"/>
      <c r="N36" s="12" t="s">
        <v>43</v>
      </c>
      <c r="O36" s="16"/>
      <c r="P36" s="22"/>
      <c r="R36" s="12" t="s">
        <v>45</v>
      </c>
      <c r="S36" s="16"/>
      <c r="T36" s="22"/>
      <c r="W36" s="45" t="s">
        <v>42</v>
      </c>
      <c r="X36" s="40"/>
      <c r="Y36" s="46">
        <f t="shared" si="9"/>
        <v>0</v>
      </c>
      <c r="AF36" s="62"/>
    </row>
    <row r="37" spans="2:38" ht="15.75" thickBot="1">
      <c r="B37" s="12" t="s">
        <v>17</v>
      </c>
      <c r="C37" s="16"/>
      <c r="D37" s="22">
        <f>+SUM(D34:D36)</f>
        <v>0</v>
      </c>
      <c r="F37" s="12" t="s">
        <v>17</v>
      </c>
      <c r="G37" s="16"/>
      <c r="H37" s="22">
        <f>+SUM(H34:H36)</f>
        <v>0</v>
      </c>
      <c r="J37" s="12" t="s">
        <v>17</v>
      </c>
      <c r="K37" s="16"/>
      <c r="L37" s="22">
        <f>+SUM(L34:L36)</f>
        <v>0</v>
      </c>
      <c r="N37" s="12" t="s">
        <v>17</v>
      </c>
      <c r="O37" s="16"/>
      <c r="P37" s="22">
        <f>+SUM(P34:P36)</f>
        <v>0</v>
      </c>
      <c r="R37" s="12" t="s">
        <v>17</v>
      </c>
      <c r="S37" s="16"/>
      <c r="T37" s="22">
        <f>+SUM(T34:T36)</f>
        <v>0</v>
      </c>
      <c r="W37" s="33" t="s">
        <v>17</v>
      </c>
      <c r="X37" s="34"/>
      <c r="Y37" s="35">
        <f>+SUM(Y34:Y36)</f>
        <v>0</v>
      </c>
      <c r="AB37" s="60" t="s">
        <v>38</v>
      </c>
      <c r="AC37" s="60"/>
      <c r="AD37" s="60"/>
      <c r="AE37" s="60"/>
      <c r="AF37" s="55">
        <f>+SUM(AF23:AF36)</f>
        <v>0</v>
      </c>
      <c r="AI37" s="60" t="s">
        <v>38</v>
      </c>
      <c r="AJ37" s="60"/>
      <c r="AK37" s="60"/>
      <c r="AL37" s="67">
        <f>+SUM(AL23:AL36)</f>
        <v>0</v>
      </c>
    </row>
    <row r="38" spans="2:38" ht="16.5" thickTop="1" thickBot="1">
      <c r="B38" s="23" t="s">
        <v>44</v>
      </c>
      <c r="C38" s="24"/>
      <c r="D38" s="25">
        <f>+D30+D37</f>
        <v>0</v>
      </c>
      <c r="F38" s="23" t="s">
        <v>44</v>
      </c>
      <c r="G38" s="24"/>
      <c r="H38" s="25">
        <f>+H30+H37</f>
        <v>0</v>
      </c>
      <c r="J38" s="23" t="s">
        <v>44</v>
      </c>
      <c r="K38" s="24"/>
      <c r="L38" s="25">
        <f>+L30+L37</f>
        <v>0</v>
      </c>
      <c r="N38" s="23" t="s">
        <v>44</v>
      </c>
      <c r="O38" s="24"/>
      <c r="P38" s="25">
        <f>+P30+P37</f>
        <v>0</v>
      </c>
      <c r="R38" s="23" t="s">
        <v>44</v>
      </c>
      <c r="S38" s="24"/>
      <c r="T38" s="25">
        <f>+T30+T37</f>
        <v>0</v>
      </c>
      <c r="W38" s="23" t="s">
        <v>44</v>
      </c>
      <c r="X38" s="24"/>
      <c r="Y38" s="25">
        <f>+Y30+Y37</f>
        <v>0</v>
      </c>
    </row>
    <row r="44" spans="2:38">
      <c r="AD44" s="68"/>
      <c r="AE44" s="68"/>
      <c r="AF44" s="68"/>
      <c r="AG44" s="68"/>
      <c r="AH44" s="68"/>
      <c r="AI44" s="68"/>
      <c r="AJ44" s="68"/>
      <c r="AK44" s="68"/>
    </row>
  </sheetData>
  <mergeCells count="24">
    <mergeCell ref="W15:X15"/>
    <mergeCell ref="W3:Y3"/>
    <mergeCell ref="B3:D3"/>
    <mergeCell ref="F3:H3"/>
    <mergeCell ref="J3:L3"/>
    <mergeCell ref="N3:P3"/>
    <mergeCell ref="R3:T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B2:AL39"/>
  <sheetViews>
    <sheetView topLeftCell="E13" zoomScale="85" zoomScaleNormal="85" workbookViewId="0">
      <selection activeCell="AD16" sqref="AD16"/>
    </sheetView>
  </sheetViews>
  <sheetFormatPr defaultRowHeight="15"/>
  <cols>
    <col min="5" max="5" width="0.5703125" customWidth="1"/>
    <col min="9" max="9" width="0.5703125" customWidth="1"/>
    <col min="13" max="13" width="0.5703125" customWidth="1"/>
    <col min="16" max="16" width="9.140625" customWidth="1"/>
    <col min="17" max="17" width="0.85546875" customWidth="1"/>
    <col min="21" max="21" width="1.7109375" customWidth="1"/>
    <col min="27" max="27" width="0.85546875" customWidth="1"/>
    <col min="29" max="29" width="11.140625" customWidth="1"/>
    <col min="34" max="34" width="1.7109375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337</v>
      </c>
      <c r="D6" s="36">
        <f>+C6*B6</f>
        <v>3370</v>
      </c>
      <c r="E6" s="1"/>
      <c r="F6" s="2">
        <v>10</v>
      </c>
      <c r="G6" s="2">
        <v>18</v>
      </c>
      <c r="H6" s="36">
        <f>+G6*F6</f>
        <v>180</v>
      </c>
      <c r="I6" s="1"/>
      <c r="J6" s="2">
        <v>10</v>
      </c>
      <c r="K6" s="2">
        <v>44</v>
      </c>
      <c r="L6" s="36">
        <f>+K6*J6</f>
        <v>440</v>
      </c>
      <c r="M6" s="1"/>
      <c r="N6" s="2">
        <v>10</v>
      </c>
      <c r="O6" s="2">
        <v>14</v>
      </c>
      <c r="P6" s="36">
        <f>+O6*N6</f>
        <v>140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413</v>
      </c>
      <c r="Y6" s="37">
        <f>+D6+H6+L6+P6+T6</f>
        <v>4130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9</v>
      </c>
      <c r="AK6" s="36">
        <f t="shared" ref="AK6:AK13" si="0">+AJ6*AI6</f>
        <v>9</v>
      </c>
      <c r="AL6" s="26"/>
    </row>
    <row r="7" spans="2:38">
      <c r="B7" s="2">
        <v>20</v>
      </c>
      <c r="C7" s="2">
        <v>67</v>
      </c>
      <c r="D7" s="36">
        <f t="shared" ref="D7:D12" si="1">+C7*B7</f>
        <v>1340</v>
      </c>
      <c r="E7" s="1"/>
      <c r="F7" s="2">
        <v>20</v>
      </c>
      <c r="G7" s="2">
        <v>4</v>
      </c>
      <c r="H7" s="36">
        <f t="shared" ref="H7:H12" si="2">+G7*F7</f>
        <v>80</v>
      </c>
      <c r="I7" s="1"/>
      <c r="J7" s="2">
        <v>20</v>
      </c>
      <c r="K7" s="2">
        <v>7</v>
      </c>
      <c r="L7" s="36">
        <f t="shared" ref="L7:L12" si="3">+K7*J7</f>
        <v>140</v>
      </c>
      <c r="M7" s="1"/>
      <c r="N7" s="2">
        <v>20</v>
      </c>
      <c r="O7" s="2">
        <v>0</v>
      </c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78</v>
      </c>
      <c r="Y7" s="37">
        <f t="shared" ref="Y7:Y12" si="6">+D7+H7+L7+P7+T7</f>
        <v>1560</v>
      </c>
      <c r="Z7" s="13"/>
      <c r="AA7" s="1"/>
      <c r="AB7" s="56" t="s">
        <v>9</v>
      </c>
      <c r="AC7" s="57">
        <f>Y13</f>
        <v>271890</v>
      </c>
      <c r="AD7" s="26"/>
      <c r="AE7" s="26"/>
      <c r="AF7" s="26"/>
      <c r="AG7" s="26"/>
      <c r="AH7" s="1"/>
      <c r="AI7" s="2">
        <v>10</v>
      </c>
      <c r="AJ7" s="2">
        <v>415</v>
      </c>
      <c r="AK7" s="36">
        <f t="shared" si="0"/>
        <v>4150</v>
      </c>
      <c r="AL7" s="1"/>
    </row>
    <row r="8" spans="2:38">
      <c r="B8" s="2">
        <v>50</v>
      </c>
      <c r="C8" s="2">
        <v>37</v>
      </c>
      <c r="D8" s="36">
        <f t="shared" si="1"/>
        <v>1850</v>
      </c>
      <c r="E8" s="1"/>
      <c r="F8" s="2">
        <v>50</v>
      </c>
      <c r="G8" s="2">
        <v>8</v>
      </c>
      <c r="H8" s="36">
        <f t="shared" si="2"/>
        <v>400</v>
      </c>
      <c r="I8" s="1"/>
      <c r="J8" s="2">
        <v>50</v>
      </c>
      <c r="K8" s="2">
        <v>42</v>
      </c>
      <c r="L8" s="36">
        <f t="shared" si="3"/>
        <v>2100</v>
      </c>
      <c r="M8" s="1"/>
      <c r="N8" s="2">
        <v>50</v>
      </c>
      <c r="O8" s="2">
        <v>111</v>
      </c>
      <c r="P8" s="36">
        <f t="shared" si="4"/>
        <v>5550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198</v>
      </c>
      <c r="Y8" s="37">
        <f t="shared" si="6"/>
        <v>9900</v>
      </c>
      <c r="Z8" s="13"/>
      <c r="AA8" s="1"/>
      <c r="AB8" s="53" t="s">
        <v>10</v>
      </c>
      <c r="AC8" s="53">
        <f>+AF37</f>
        <v>31569</v>
      </c>
      <c r="AD8" s="1"/>
      <c r="AE8" s="1"/>
      <c r="AF8" s="1"/>
      <c r="AG8" s="1"/>
      <c r="AH8" s="1"/>
      <c r="AI8" s="2">
        <v>20</v>
      </c>
      <c r="AJ8" s="2">
        <v>80</v>
      </c>
      <c r="AK8" s="36">
        <f t="shared" si="0"/>
        <v>1600</v>
      </c>
      <c r="AL8" s="1"/>
    </row>
    <row r="9" spans="2:38" ht="15.75" thickBot="1">
      <c r="B9" s="2">
        <v>100</v>
      </c>
      <c r="C9" s="2">
        <v>45</v>
      </c>
      <c r="D9" s="36">
        <f t="shared" si="1"/>
        <v>4500</v>
      </c>
      <c r="E9" s="1"/>
      <c r="F9" s="2">
        <v>100</v>
      </c>
      <c r="G9" s="2">
        <v>3</v>
      </c>
      <c r="H9" s="36">
        <f t="shared" si="2"/>
        <v>300</v>
      </c>
      <c r="I9" s="1"/>
      <c r="J9" s="2">
        <v>100</v>
      </c>
      <c r="K9" s="2">
        <v>41</v>
      </c>
      <c r="L9" s="36">
        <f t="shared" si="3"/>
        <v>4100</v>
      </c>
      <c r="M9" s="1"/>
      <c r="N9" s="2">
        <v>100</v>
      </c>
      <c r="O9" s="2">
        <v>59</v>
      </c>
      <c r="P9" s="36">
        <f t="shared" si="4"/>
        <v>5900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148</v>
      </c>
      <c r="Y9" s="37">
        <f t="shared" si="6"/>
        <v>14800</v>
      </c>
      <c r="Z9" s="13"/>
      <c r="AA9" s="1"/>
      <c r="AB9" s="58" t="s">
        <v>11</v>
      </c>
      <c r="AC9" s="59">
        <f>SUM(AC7:AC8)</f>
        <v>303459</v>
      </c>
      <c r="AD9" s="1"/>
      <c r="AE9" s="1"/>
      <c r="AF9" s="1"/>
      <c r="AG9" s="1"/>
      <c r="AH9" s="1"/>
      <c r="AI9" s="2">
        <v>50</v>
      </c>
      <c r="AJ9" s="2">
        <v>100</v>
      </c>
      <c r="AK9" s="36">
        <f t="shared" si="0"/>
        <v>5000</v>
      </c>
      <c r="AL9" s="1"/>
    </row>
    <row r="10" spans="2:38">
      <c r="B10" s="2">
        <v>500</v>
      </c>
      <c r="C10" s="2">
        <v>31</v>
      </c>
      <c r="D10" s="36">
        <f t="shared" si="1"/>
        <v>15500</v>
      </c>
      <c r="E10" s="1"/>
      <c r="F10" s="2">
        <v>500</v>
      </c>
      <c r="G10" s="2">
        <v>26</v>
      </c>
      <c r="H10" s="36">
        <f t="shared" si="2"/>
        <v>13000</v>
      </c>
      <c r="I10" s="1"/>
      <c r="J10" s="2">
        <v>500</v>
      </c>
      <c r="K10" s="2">
        <v>25</v>
      </c>
      <c r="L10" s="36">
        <f t="shared" si="3"/>
        <v>12500</v>
      </c>
      <c r="M10" s="1"/>
      <c r="N10" s="2">
        <v>500</v>
      </c>
      <c r="O10" s="2">
        <v>11</v>
      </c>
      <c r="P10" s="36">
        <f t="shared" si="4"/>
        <v>5500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93</v>
      </c>
      <c r="Y10" s="37">
        <f t="shared" si="6"/>
        <v>46500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152</v>
      </c>
      <c r="AK10" s="36">
        <f t="shared" si="0"/>
        <v>15200</v>
      </c>
      <c r="AL10" s="1"/>
    </row>
    <row r="11" spans="2:38">
      <c r="B11" s="2">
        <v>1000</v>
      </c>
      <c r="C11" s="2">
        <v>27</v>
      </c>
      <c r="D11" s="36">
        <f t="shared" si="1"/>
        <v>27000</v>
      </c>
      <c r="E11" s="1"/>
      <c r="F11" s="2">
        <v>1000</v>
      </c>
      <c r="G11" s="2">
        <v>58</v>
      </c>
      <c r="H11" s="36">
        <f t="shared" si="2"/>
        <v>58000</v>
      </c>
      <c r="I11" s="1"/>
      <c r="J11" s="2">
        <v>1000</v>
      </c>
      <c r="K11" s="2">
        <v>43</v>
      </c>
      <c r="L11" s="36">
        <f t="shared" si="3"/>
        <v>43000</v>
      </c>
      <c r="M11" s="1"/>
      <c r="N11" s="2">
        <v>1000</v>
      </c>
      <c r="O11" s="2">
        <v>32</v>
      </c>
      <c r="P11" s="36">
        <f t="shared" si="4"/>
        <v>32000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160</v>
      </c>
      <c r="Y11" s="37">
        <f t="shared" si="6"/>
        <v>160000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133</v>
      </c>
      <c r="AK11" s="36">
        <f t="shared" si="0"/>
        <v>66500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2</v>
      </c>
      <c r="P12" s="36">
        <f t="shared" si="4"/>
        <v>10000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7</v>
      </c>
      <c r="Y12" s="37">
        <f t="shared" si="6"/>
        <v>35000</v>
      </c>
      <c r="Z12" s="13"/>
      <c r="AA12" s="1"/>
      <c r="AB12" s="1" t="s">
        <v>16</v>
      </c>
      <c r="AC12" s="5">
        <v>281450</v>
      </c>
      <c r="AD12" s="1">
        <v>65228</v>
      </c>
      <c r="AE12" s="52" t="s">
        <v>557</v>
      </c>
      <c r="AF12" s="1" t="s">
        <v>69</v>
      </c>
      <c r="AG12" s="1"/>
      <c r="AH12" s="1"/>
      <c r="AI12" s="2">
        <v>1000</v>
      </c>
      <c r="AJ12" s="2">
        <v>151</v>
      </c>
      <c r="AK12" s="36">
        <f t="shared" si="0"/>
        <v>151000</v>
      </c>
      <c r="AL12" s="1"/>
    </row>
    <row r="13" spans="2:38" ht="15.75" thickBot="1">
      <c r="B13" s="3" t="s">
        <v>17</v>
      </c>
      <c r="C13" s="3"/>
      <c r="D13" s="6">
        <f>+SUM(D5:D12)</f>
        <v>53560</v>
      </c>
      <c r="E13" s="1"/>
      <c r="F13" s="3" t="s">
        <v>17</v>
      </c>
      <c r="G13" s="3"/>
      <c r="H13" s="6">
        <f>+SUM(H5:H12)</f>
        <v>86960</v>
      </c>
      <c r="I13" s="1"/>
      <c r="J13" s="3" t="s">
        <v>17</v>
      </c>
      <c r="K13" s="3"/>
      <c r="L13" s="6">
        <f>+SUM(L5:L12)</f>
        <v>72280</v>
      </c>
      <c r="M13" s="1"/>
      <c r="N13" s="3" t="s">
        <v>17</v>
      </c>
      <c r="O13" s="3"/>
      <c r="P13" s="6">
        <f>+SUM(P5:P12)</f>
        <v>59090</v>
      </c>
      <c r="Q13" s="1"/>
      <c r="R13" s="3" t="s">
        <v>17</v>
      </c>
      <c r="S13" s="3"/>
      <c r="T13" s="6">
        <f>+SUM(T5:T12)</f>
        <v>0</v>
      </c>
      <c r="U13" s="1"/>
      <c r="V13" s="12"/>
      <c r="W13" s="3" t="s">
        <v>17</v>
      </c>
      <c r="X13" s="3"/>
      <c r="Y13" s="6">
        <f>+SUM(Y5:Y12)</f>
        <v>271890</v>
      </c>
      <c r="Z13" s="13"/>
      <c r="AA13" s="1"/>
      <c r="AB13" s="1" t="s">
        <v>18</v>
      </c>
      <c r="AC13" s="5">
        <v>2009</v>
      </c>
      <c r="AD13" s="1"/>
      <c r="AE13" s="1"/>
      <c r="AF13" s="1"/>
      <c r="AG13" s="1"/>
      <c r="AH13" s="1"/>
      <c r="AI13" s="2">
        <v>5000</v>
      </c>
      <c r="AJ13" s="2">
        <v>8</v>
      </c>
      <c r="AK13" s="36">
        <f t="shared" si="0"/>
        <v>40000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283459</v>
      </c>
      <c r="AL14" s="1"/>
    </row>
    <row r="15" spans="2:38" ht="15.75" thickBot="1">
      <c r="B15" s="128" t="s">
        <v>20</v>
      </c>
      <c r="C15" s="129"/>
      <c r="D15" s="8">
        <v>56129</v>
      </c>
      <c r="E15" s="30"/>
      <c r="F15" s="128" t="s">
        <v>20</v>
      </c>
      <c r="G15" s="129"/>
      <c r="H15" s="8">
        <v>89524</v>
      </c>
      <c r="I15" s="30"/>
      <c r="J15" s="128" t="s">
        <v>20</v>
      </c>
      <c r="K15" s="129"/>
      <c r="L15" s="8">
        <v>97510</v>
      </c>
      <c r="M15" s="30"/>
      <c r="N15" s="128" t="s">
        <v>20</v>
      </c>
      <c r="O15" s="129"/>
      <c r="P15" s="8">
        <v>59335</v>
      </c>
      <c r="Q15" s="30"/>
      <c r="R15" s="128" t="s">
        <v>20</v>
      </c>
      <c r="S15" s="129"/>
      <c r="T15" s="8"/>
      <c r="U15" s="30"/>
      <c r="V15" s="31"/>
      <c r="W15" s="128" t="s">
        <v>20</v>
      </c>
      <c r="X15" s="129"/>
      <c r="Y15" s="8">
        <f>+D15+H15+L15+P15+T15</f>
        <v>302498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53560</v>
      </c>
      <c r="E16" s="1"/>
      <c r="F16" s="1" t="s">
        <v>9</v>
      </c>
      <c r="G16" s="1"/>
      <c r="H16" s="5">
        <f>+H13</f>
        <v>86960</v>
      </c>
      <c r="I16" s="1"/>
      <c r="J16" s="1" t="s">
        <v>9</v>
      </c>
      <c r="K16" s="1"/>
      <c r="L16" s="5">
        <f>+L13</f>
        <v>72280</v>
      </c>
      <c r="M16" s="1"/>
      <c r="N16" s="1" t="s">
        <v>9</v>
      </c>
      <c r="O16" s="1"/>
      <c r="P16" s="5">
        <f>+P13</f>
        <v>59090</v>
      </c>
      <c r="Q16" s="1"/>
      <c r="R16" s="1" t="s">
        <v>9</v>
      </c>
      <c r="S16" s="1"/>
      <c r="T16" s="5">
        <f>+T13</f>
        <v>0</v>
      </c>
      <c r="U16" s="1"/>
      <c r="V16" s="12"/>
      <c r="W16" s="40" t="s">
        <v>9</v>
      </c>
      <c r="X16" s="40"/>
      <c r="Y16" s="37">
        <f>+D16+H16+L16+P16+T16</f>
        <v>271890</v>
      </c>
      <c r="Z16" s="13"/>
      <c r="AA16" s="1"/>
      <c r="AB16" s="1" t="s">
        <v>538</v>
      </c>
      <c r="AC16" s="5">
        <v>20000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>
        <v>2110</v>
      </c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2110</v>
      </c>
      <c r="Z17" s="13"/>
      <c r="AA17" s="1"/>
      <c r="AB17" s="48" t="s">
        <v>11</v>
      </c>
      <c r="AC17" s="49">
        <f>+SUM(AC12:AC16)</f>
        <v>303459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438</v>
      </c>
      <c r="C18" s="1" t="s">
        <v>539</v>
      </c>
      <c r="D18" s="5">
        <v>3447</v>
      </c>
      <c r="E18" s="1"/>
      <c r="F18" s="1" t="s">
        <v>23</v>
      </c>
      <c r="G18" s="1"/>
      <c r="H18" s="5"/>
      <c r="I18" s="1"/>
      <c r="J18" s="1" t="s">
        <v>375</v>
      </c>
      <c r="K18" s="1" t="s">
        <v>548</v>
      </c>
      <c r="L18" s="5">
        <v>3000</v>
      </c>
      <c r="M18" s="1"/>
      <c r="N18" s="1" t="s">
        <v>23</v>
      </c>
      <c r="O18" s="1"/>
      <c r="P18" s="5"/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6447</v>
      </c>
      <c r="Z18" s="13"/>
      <c r="AA18" s="1"/>
      <c r="AB18" s="50" t="s">
        <v>24</v>
      </c>
      <c r="AC18" s="51">
        <f>+AC17-AC9</f>
        <v>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26</v>
      </c>
      <c r="G19" s="1"/>
      <c r="H19" s="5"/>
      <c r="I19" s="1"/>
      <c r="J19" s="1" t="s">
        <v>479</v>
      </c>
      <c r="K19" s="1" t="s">
        <v>549</v>
      </c>
      <c r="L19" s="5">
        <v>6550</v>
      </c>
      <c r="M19" s="1"/>
      <c r="N19" s="1" t="s">
        <v>26</v>
      </c>
      <c r="O19" s="1"/>
      <c r="P19" s="5"/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6550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438</v>
      </c>
      <c r="K20" s="1" t="s">
        <v>550</v>
      </c>
      <c r="L20" s="5">
        <v>7320</v>
      </c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7320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35</v>
      </c>
      <c r="K23" s="1"/>
      <c r="L23" s="5"/>
      <c r="M23" s="1"/>
      <c r="N23" s="1" t="s">
        <v>46</v>
      </c>
      <c r="O23" s="1"/>
      <c r="P23" s="5"/>
      <c r="Q23" s="1"/>
      <c r="R23" s="1" t="s">
        <v>35</v>
      </c>
      <c r="S23" s="1"/>
      <c r="T23" s="5"/>
      <c r="U23" s="1"/>
      <c r="V23" s="12"/>
      <c r="W23" s="40" t="s">
        <v>35</v>
      </c>
      <c r="X23" s="40"/>
      <c r="Y23" s="37">
        <f t="shared" si="8"/>
        <v>0</v>
      </c>
      <c r="Z23" s="13"/>
      <c r="AA23" s="1"/>
      <c r="AB23" s="1" t="s">
        <v>71</v>
      </c>
      <c r="AC23" s="89">
        <v>45972</v>
      </c>
      <c r="AD23" s="86" t="s">
        <v>122</v>
      </c>
      <c r="AE23" s="16"/>
      <c r="AF23" s="62">
        <v>5500</v>
      </c>
      <c r="AG23" s="1"/>
      <c r="AH23" s="1"/>
      <c r="AI23" s="1" t="s">
        <v>146</v>
      </c>
      <c r="AJ23" s="1" t="s">
        <v>547</v>
      </c>
      <c r="AK23" s="1"/>
      <c r="AL23" s="62">
        <v>2110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36</v>
      </c>
      <c r="S24" s="1"/>
      <c r="T24" s="5"/>
      <c r="U24" s="1"/>
      <c r="V24" s="12"/>
      <c r="W24" s="40" t="s">
        <v>36</v>
      </c>
      <c r="X24" s="40"/>
      <c r="Y24" s="37">
        <f t="shared" si="8"/>
        <v>0</v>
      </c>
      <c r="Z24" s="13"/>
      <c r="AA24" s="1"/>
      <c r="AB24" s="20" t="s">
        <v>551</v>
      </c>
      <c r="AC24" s="71">
        <v>45975</v>
      </c>
      <c r="AD24" s="70" t="s">
        <v>430</v>
      </c>
      <c r="AE24" s="16"/>
      <c r="AF24" s="62">
        <v>107</v>
      </c>
      <c r="AG24" s="1"/>
      <c r="AH24" s="1"/>
      <c r="AI24" s="70" t="s">
        <v>406</v>
      </c>
      <c r="AJ24" s="70" t="s">
        <v>71</v>
      </c>
      <c r="AK24" s="70" t="s">
        <v>201</v>
      </c>
      <c r="AL24" s="76">
        <v>18900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37</v>
      </c>
      <c r="S25" s="1"/>
      <c r="T25" s="5"/>
      <c r="U25" s="1"/>
      <c r="V25" s="12"/>
      <c r="W25" s="40" t="s">
        <v>37</v>
      </c>
      <c r="X25" s="40"/>
      <c r="Y25" s="37">
        <f t="shared" si="8"/>
        <v>0</v>
      </c>
      <c r="Z25" s="13"/>
      <c r="AA25" s="1"/>
      <c r="AB25" s="20" t="s">
        <v>552</v>
      </c>
      <c r="AC25" s="89">
        <v>45979</v>
      </c>
      <c r="AD25" s="16" t="s">
        <v>516</v>
      </c>
      <c r="AE25" s="16"/>
      <c r="AF25" s="62">
        <v>5832</v>
      </c>
      <c r="AG25" s="1"/>
      <c r="AH25" s="1"/>
      <c r="AI25" s="70" t="s">
        <v>522</v>
      </c>
      <c r="AJ25" s="70" t="s">
        <v>65</v>
      </c>
      <c r="AK25" s="70" t="s">
        <v>544</v>
      </c>
      <c r="AL25" s="76">
        <v>30000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20" t="s">
        <v>553</v>
      </c>
      <c r="AC26" s="88">
        <v>45960</v>
      </c>
      <c r="AD26" s="70" t="s">
        <v>459</v>
      </c>
      <c r="AE26" s="16"/>
      <c r="AF26" s="96">
        <v>17830</v>
      </c>
      <c r="AG26" s="1"/>
      <c r="AH26" s="1"/>
      <c r="AI26" s="70" t="s">
        <v>540</v>
      </c>
      <c r="AJ26" s="70" t="s">
        <v>90</v>
      </c>
      <c r="AK26" s="70" t="s">
        <v>267</v>
      </c>
      <c r="AL26" s="76">
        <v>9200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20" t="s">
        <v>554</v>
      </c>
      <c r="AC27" s="89">
        <v>45979</v>
      </c>
      <c r="AD27" s="16" t="s">
        <v>555</v>
      </c>
      <c r="AE27" s="16"/>
      <c r="AF27" s="62">
        <v>2300</v>
      </c>
      <c r="AG27" s="1"/>
      <c r="AH27" s="1"/>
      <c r="AI27" s="70" t="s">
        <v>541</v>
      </c>
      <c r="AJ27" s="70" t="s">
        <v>71</v>
      </c>
      <c r="AK27" s="70" t="s">
        <v>290</v>
      </c>
      <c r="AL27" s="75">
        <v>4700</v>
      </c>
    </row>
    <row r="28" spans="2:38" ht="15.75" thickBot="1">
      <c r="B28" s="125" t="s">
        <v>11</v>
      </c>
      <c r="C28" s="126"/>
      <c r="D28" s="9">
        <f>+SUM(D16:D27)</f>
        <v>57007</v>
      </c>
      <c r="E28" s="1"/>
      <c r="F28" s="125" t="s">
        <v>11</v>
      </c>
      <c r="G28" s="126"/>
      <c r="H28" s="9">
        <f>+SUM(H16:H27)</f>
        <v>89070</v>
      </c>
      <c r="I28" s="1"/>
      <c r="J28" s="125" t="s">
        <v>11</v>
      </c>
      <c r="K28" s="126"/>
      <c r="L28" s="9">
        <f>+SUM(L16:L27)</f>
        <v>89150</v>
      </c>
      <c r="M28" s="1"/>
      <c r="N28" s="125" t="s">
        <v>11</v>
      </c>
      <c r="O28" s="126"/>
      <c r="P28" s="9">
        <f>+SUM(P16:P27)</f>
        <v>59090</v>
      </c>
      <c r="Q28" s="1"/>
      <c r="R28" s="125" t="s">
        <v>11</v>
      </c>
      <c r="S28" s="126"/>
      <c r="T28" s="9">
        <f>+SUM(T16:T27)</f>
        <v>0</v>
      </c>
      <c r="U28" s="1"/>
      <c r="V28" s="12"/>
      <c r="W28" s="125" t="s">
        <v>11</v>
      </c>
      <c r="X28" s="126"/>
      <c r="Y28" s="9">
        <f>+SUM(Y16:Y27)</f>
        <v>294317</v>
      </c>
      <c r="Z28" s="13"/>
      <c r="AA28" s="1"/>
      <c r="AB28" s="1"/>
      <c r="AC28" s="1"/>
      <c r="AD28" s="1"/>
      <c r="AE28" s="1"/>
      <c r="AF28" s="62"/>
      <c r="AG28" s="1"/>
      <c r="AH28" s="1"/>
      <c r="AI28" s="70" t="s">
        <v>542</v>
      </c>
      <c r="AJ28" s="70" t="s">
        <v>90</v>
      </c>
      <c r="AK28" s="70" t="s">
        <v>293</v>
      </c>
      <c r="AL28" s="75">
        <v>7648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62"/>
      <c r="AG29" s="1"/>
      <c r="AH29" s="1"/>
      <c r="AI29" s="70" t="s">
        <v>193</v>
      </c>
      <c r="AJ29" s="70" t="s">
        <v>146</v>
      </c>
      <c r="AK29" s="70" t="s">
        <v>291</v>
      </c>
      <c r="AL29" s="75">
        <v>8620</v>
      </c>
    </row>
    <row r="30" spans="2:38" ht="15.75" thickBot="1">
      <c r="B30" s="127" t="s">
        <v>39</v>
      </c>
      <c r="C30" s="127"/>
      <c r="D30" s="7">
        <f>+D28-D15</f>
        <v>878</v>
      </c>
      <c r="E30" s="1"/>
      <c r="F30" s="127" t="s">
        <v>39</v>
      </c>
      <c r="G30" s="127"/>
      <c r="H30" s="7">
        <f>+H28-H15</f>
        <v>-454</v>
      </c>
      <c r="I30" s="1"/>
      <c r="J30" s="127" t="s">
        <v>39</v>
      </c>
      <c r="K30" s="127"/>
      <c r="L30" s="7">
        <f>+L28-L15</f>
        <v>-8360</v>
      </c>
      <c r="M30" s="1"/>
      <c r="N30" s="127" t="s">
        <v>39</v>
      </c>
      <c r="O30" s="127"/>
      <c r="P30" s="7">
        <f>+P28-P15</f>
        <v>-245</v>
      </c>
      <c r="Q30" s="1"/>
      <c r="R30" s="127" t="s">
        <v>39</v>
      </c>
      <c r="S30" s="127"/>
      <c r="T30" s="7">
        <f>+T28-T15</f>
        <v>0</v>
      </c>
      <c r="U30" s="1"/>
      <c r="V30" s="12"/>
      <c r="W30" s="124" t="s">
        <v>39</v>
      </c>
      <c r="X30" s="124"/>
      <c r="Y30" s="41">
        <f>+Y28-Y15</f>
        <v>-8181</v>
      </c>
      <c r="Z30" s="13"/>
      <c r="AA30" s="1"/>
      <c r="AB30" s="1"/>
      <c r="AC30" s="1"/>
      <c r="AD30" s="1"/>
      <c r="AE30" s="1"/>
      <c r="AF30" s="62"/>
      <c r="AG30" s="1"/>
      <c r="AH30" s="1"/>
      <c r="AI30" s="70" t="s">
        <v>543</v>
      </c>
      <c r="AJ30" s="70" t="s">
        <v>63</v>
      </c>
      <c r="AK30" s="70" t="s">
        <v>324</v>
      </c>
      <c r="AL30" s="76">
        <v>4397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62"/>
      <c r="AG31" s="1"/>
      <c r="AH31" s="1"/>
      <c r="AI31" s="70" t="s">
        <v>186</v>
      </c>
      <c r="AJ31" s="70" t="s">
        <v>90</v>
      </c>
      <c r="AK31" s="70" t="s">
        <v>377</v>
      </c>
      <c r="AL31" s="75">
        <v>4000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"/>
      <c r="AI32" s="70" t="s">
        <v>306</v>
      </c>
      <c r="AJ32" s="70" t="s">
        <v>90</v>
      </c>
      <c r="AK32" s="70" t="s">
        <v>398</v>
      </c>
      <c r="AL32" s="75">
        <v>6000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70" t="s">
        <v>276</v>
      </c>
      <c r="AJ33" s="70" t="s">
        <v>63</v>
      </c>
      <c r="AK33" s="70" t="s">
        <v>545</v>
      </c>
      <c r="AL33" s="76">
        <v>3394</v>
      </c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>
        <v>454</v>
      </c>
      <c r="I34" s="1"/>
      <c r="J34" s="10" t="s">
        <v>40</v>
      </c>
      <c r="K34" s="11"/>
      <c r="L34" s="21">
        <v>8360</v>
      </c>
      <c r="M34" s="1"/>
      <c r="N34" s="10" t="s">
        <v>40</v>
      </c>
      <c r="O34" s="11"/>
      <c r="P34" s="21">
        <v>245</v>
      </c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9059</v>
      </c>
      <c r="Z34" s="1"/>
      <c r="AA34" s="1"/>
      <c r="AB34" s="1"/>
      <c r="AC34" s="1"/>
      <c r="AD34" s="1"/>
      <c r="AE34" s="1"/>
      <c r="AF34" s="62"/>
      <c r="AG34" s="1"/>
      <c r="AH34" s="1"/>
      <c r="AI34" s="70" t="s">
        <v>527</v>
      </c>
      <c r="AJ34" s="70" t="s">
        <v>65</v>
      </c>
      <c r="AK34" s="70" t="s">
        <v>546</v>
      </c>
      <c r="AL34" s="76">
        <v>50000</v>
      </c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41</v>
      </c>
      <c r="S35" s="16"/>
      <c r="T35" s="22"/>
      <c r="U35" s="1"/>
      <c r="V35" s="1"/>
      <c r="W35" s="45" t="s">
        <v>41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62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-878</v>
      </c>
      <c r="E36" s="1"/>
      <c r="F36" s="12" t="s">
        <v>43</v>
      </c>
      <c r="G36" s="16"/>
      <c r="H36" s="22"/>
      <c r="I36" s="1"/>
      <c r="J36" s="12" t="s">
        <v>43</v>
      </c>
      <c r="K36" s="16"/>
      <c r="L36" s="22"/>
      <c r="M36" s="1"/>
      <c r="N36" s="12" t="s">
        <v>43</v>
      </c>
      <c r="O36" s="16"/>
      <c r="P36" s="22"/>
      <c r="Q36" s="1"/>
      <c r="R36" s="12" t="s">
        <v>45</v>
      </c>
      <c r="S36" s="16"/>
      <c r="T36" s="22"/>
      <c r="U36" s="1"/>
      <c r="V36" s="1"/>
      <c r="W36" s="45" t="s">
        <v>42</v>
      </c>
      <c r="X36" s="40"/>
      <c r="Y36" s="46">
        <f t="shared" si="9"/>
        <v>-878</v>
      </c>
      <c r="Z36" s="1"/>
      <c r="AA36" s="1"/>
      <c r="AB36" s="1"/>
      <c r="AC36" s="1"/>
      <c r="AD36" s="1"/>
      <c r="AE36" s="1"/>
      <c r="AF36" s="62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-878</v>
      </c>
      <c r="E37" s="1"/>
      <c r="F37" s="12" t="s">
        <v>17</v>
      </c>
      <c r="G37" s="16"/>
      <c r="H37" s="22">
        <f>+SUM(H34:H36)</f>
        <v>454</v>
      </c>
      <c r="I37" s="1"/>
      <c r="J37" s="12" t="s">
        <v>17</v>
      </c>
      <c r="K37" s="16"/>
      <c r="L37" s="22">
        <f>+SUM(L34:L36)</f>
        <v>8360</v>
      </c>
      <c r="M37" s="1"/>
      <c r="N37" s="12" t="s">
        <v>17</v>
      </c>
      <c r="O37" s="16"/>
      <c r="P37" s="22">
        <f>+SUM(P34:P36)</f>
        <v>245</v>
      </c>
      <c r="Q37" s="1"/>
      <c r="R37" s="12" t="s">
        <v>17</v>
      </c>
      <c r="S37" s="16"/>
      <c r="T37" s="22">
        <f>+SUM(T34:T36)</f>
        <v>0</v>
      </c>
      <c r="U37" s="1"/>
      <c r="V37" s="1"/>
      <c r="W37" s="33" t="s">
        <v>17</v>
      </c>
      <c r="X37" s="34"/>
      <c r="Y37" s="35">
        <f>+SUM(Y34:Y36)</f>
        <v>8181</v>
      </c>
      <c r="Z37" s="1"/>
      <c r="AA37" s="1"/>
      <c r="AB37" s="60" t="s">
        <v>38</v>
      </c>
      <c r="AC37" s="60"/>
      <c r="AD37" s="60"/>
      <c r="AE37" s="60"/>
      <c r="AF37" s="55">
        <f>+SUM(AF23:AF36)</f>
        <v>31569</v>
      </c>
      <c r="AG37" s="1"/>
      <c r="AH37" s="1"/>
      <c r="AI37" s="60" t="s">
        <v>38</v>
      </c>
      <c r="AJ37" s="60"/>
      <c r="AK37" s="60"/>
      <c r="AL37" s="67">
        <f>+SUM(AL23:AL36)</f>
        <v>148969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2:AL39"/>
  <sheetViews>
    <sheetView topLeftCell="A13" zoomScale="90" zoomScaleNormal="90" workbookViewId="0">
      <selection activeCell="AG24" sqref="AG24"/>
    </sheetView>
  </sheetViews>
  <sheetFormatPr defaultRowHeight="15"/>
  <cols>
    <col min="4" max="4" width="9.140625" customWidth="1"/>
    <col min="5" max="5" width="0.85546875" customWidth="1"/>
    <col min="8" max="8" width="9.5703125" bestFit="1" customWidth="1"/>
    <col min="9" max="9" width="0.85546875" customWidth="1"/>
    <col min="13" max="13" width="0.7109375" customWidth="1"/>
    <col min="17" max="17" width="0.5703125" customWidth="1"/>
    <col min="20" max="20" width="11.140625" bestFit="1" customWidth="1"/>
    <col min="21" max="21" width="0.5703125" customWidth="1"/>
    <col min="27" max="27" width="1.140625" customWidth="1"/>
    <col min="29" max="29" width="11" customWidth="1"/>
    <col min="38" max="38" width="11.140625" bestFit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>
        <v>1</v>
      </c>
      <c r="D5" s="36">
        <f>+C5*B5</f>
        <v>1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1</v>
      </c>
      <c r="Y5" s="37">
        <f>+D5+H5+L5+P5+T5</f>
        <v>1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117</v>
      </c>
      <c r="D6" s="36">
        <f>+C6*B6</f>
        <v>1170</v>
      </c>
      <c r="E6" s="1"/>
      <c r="F6" s="2">
        <v>10</v>
      </c>
      <c r="G6" s="2">
        <v>68</v>
      </c>
      <c r="H6" s="36">
        <f>+G6*F6</f>
        <v>680</v>
      </c>
      <c r="I6" s="1"/>
      <c r="J6" s="2">
        <v>10</v>
      </c>
      <c r="K6" s="2">
        <v>105</v>
      </c>
      <c r="L6" s="36">
        <f>+K6*J6</f>
        <v>1050</v>
      </c>
      <c r="M6" s="1"/>
      <c r="N6" s="2">
        <v>10</v>
      </c>
      <c r="O6" s="2">
        <v>123</v>
      </c>
      <c r="P6" s="36">
        <f>+O6*N6</f>
        <v>1230</v>
      </c>
      <c r="Q6" s="1"/>
      <c r="R6" s="2">
        <v>10</v>
      </c>
      <c r="S6" s="2">
        <f>1278+3</f>
        <v>1281</v>
      </c>
      <c r="T6" s="36">
        <f>+S6*R6</f>
        <v>12810</v>
      </c>
      <c r="U6" s="1"/>
      <c r="V6" s="12"/>
      <c r="W6" s="39">
        <v>10</v>
      </c>
      <c r="X6" s="39">
        <f>+C6+G6+K6+O6+S6</f>
        <v>1694</v>
      </c>
      <c r="Y6" s="37">
        <f>+D6+H6+L6+P6+T6</f>
        <v>16940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1</v>
      </c>
      <c r="AK6" s="36">
        <f t="shared" ref="AK6:AK13" si="0">+AJ6*AI6</f>
        <v>1</v>
      </c>
      <c r="AL6" s="26"/>
    </row>
    <row r="7" spans="2:38">
      <c r="B7" s="2">
        <v>20</v>
      </c>
      <c r="C7" s="2">
        <v>23</v>
      </c>
      <c r="D7" s="36">
        <f t="shared" ref="D7:D12" si="1">+C7*B7</f>
        <v>460</v>
      </c>
      <c r="E7" s="1"/>
      <c r="F7" s="2">
        <v>20</v>
      </c>
      <c r="G7" s="2">
        <v>3</v>
      </c>
      <c r="H7" s="36">
        <f t="shared" ref="H7:H12" si="2">+G7*F7</f>
        <v>60</v>
      </c>
      <c r="I7" s="1"/>
      <c r="J7" s="2">
        <v>20</v>
      </c>
      <c r="K7" s="2">
        <v>12</v>
      </c>
      <c r="L7" s="36">
        <f t="shared" ref="L7:L12" si="3">+K7*J7</f>
        <v>240</v>
      </c>
      <c r="M7" s="1"/>
      <c r="N7" s="2">
        <v>20</v>
      </c>
      <c r="O7" s="2">
        <v>2</v>
      </c>
      <c r="P7" s="36">
        <f t="shared" ref="P7:P12" si="4">+O7*N7</f>
        <v>40</v>
      </c>
      <c r="Q7" s="1"/>
      <c r="R7" s="2">
        <v>20</v>
      </c>
      <c r="S7" s="2">
        <f>151+1</f>
        <v>152</v>
      </c>
      <c r="T7" s="36">
        <f t="shared" ref="T7:T12" si="5">+S7*R7</f>
        <v>3040</v>
      </c>
      <c r="U7" s="1"/>
      <c r="V7" s="12"/>
      <c r="W7" s="39">
        <v>20</v>
      </c>
      <c r="X7" s="39">
        <f>+C7+G7+K7+O7+S7</f>
        <v>192</v>
      </c>
      <c r="Y7" s="37">
        <f t="shared" ref="Y7:Y12" si="6">+D7+H7+L7+P7+T7</f>
        <v>3840</v>
      </c>
      <c r="Z7" s="13"/>
      <c r="AA7" s="1"/>
      <c r="AB7" s="56" t="s">
        <v>9</v>
      </c>
      <c r="AC7" s="57">
        <f>Y13</f>
        <v>431631</v>
      </c>
      <c r="AD7" s="26"/>
      <c r="AE7" s="26"/>
      <c r="AF7" s="26"/>
      <c r="AG7" s="26"/>
      <c r="AH7" s="1"/>
      <c r="AI7" s="2">
        <v>10</v>
      </c>
      <c r="AJ7" s="2">
        <v>2119</v>
      </c>
      <c r="AK7" s="36">
        <f t="shared" si="0"/>
        <v>21190</v>
      </c>
      <c r="AL7" s="1"/>
    </row>
    <row r="8" spans="2:38">
      <c r="B8" s="2">
        <v>50</v>
      </c>
      <c r="C8" s="2">
        <v>26</v>
      </c>
      <c r="D8" s="36">
        <f t="shared" si="1"/>
        <v>1300</v>
      </c>
      <c r="E8" s="1"/>
      <c r="F8" s="2">
        <v>50</v>
      </c>
      <c r="G8" s="2">
        <v>13</v>
      </c>
      <c r="H8" s="36">
        <f t="shared" si="2"/>
        <v>650</v>
      </c>
      <c r="I8" s="1"/>
      <c r="J8" s="2">
        <v>50</v>
      </c>
      <c r="K8" s="2">
        <v>42</v>
      </c>
      <c r="L8" s="36">
        <f t="shared" si="3"/>
        <v>2100</v>
      </c>
      <c r="M8" s="1"/>
      <c r="N8" s="2">
        <v>50</v>
      </c>
      <c r="O8" s="2">
        <v>34</v>
      </c>
      <c r="P8" s="36">
        <f t="shared" si="4"/>
        <v>1700</v>
      </c>
      <c r="Q8" s="1"/>
      <c r="R8" s="2">
        <v>50</v>
      </c>
      <c r="S8" s="2">
        <f>34+2</f>
        <v>36</v>
      </c>
      <c r="T8" s="36">
        <f t="shared" si="5"/>
        <v>1800</v>
      </c>
      <c r="U8" s="1"/>
      <c r="V8" s="12"/>
      <c r="W8" s="39">
        <v>50</v>
      </c>
      <c r="X8" s="39">
        <f t="shared" ref="X8:X12" si="7">+C8+G8+K8+O8+S8</f>
        <v>151</v>
      </c>
      <c r="Y8" s="37">
        <f t="shared" si="6"/>
        <v>7550</v>
      </c>
      <c r="Z8" s="13"/>
      <c r="AA8" s="1"/>
      <c r="AB8" s="53" t="s">
        <v>10</v>
      </c>
      <c r="AC8" s="53">
        <f>+AF37</f>
        <v>362140</v>
      </c>
      <c r="AD8" s="1"/>
      <c r="AE8" s="1"/>
      <c r="AF8" s="1"/>
      <c r="AG8" s="1"/>
      <c r="AH8" s="1"/>
      <c r="AI8" s="2">
        <v>20</v>
      </c>
      <c r="AJ8" s="2">
        <v>225</v>
      </c>
      <c r="AK8" s="36">
        <f t="shared" si="0"/>
        <v>4500</v>
      </c>
      <c r="AL8" s="1"/>
    </row>
    <row r="9" spans="2:38" ht="15.75" thickBot="1">
      <c r="B9" s="2">
        <v>100</v>
      </c>
      <c r="C9" s="2">
        <v>28</v>
      </c>
      <c r="D9" s="36">
        <f t="shared" si="1"/>
        <v>2800</v>
      </c>
      <c r="E9" s="1"/>
      <c r="F9" s="2">
        <v>100</v>
      </c>
      <c r="G9" s="2">
        <v>33</v>
      </c>
      <c r="H9" s="36">
        <f t="shared" si="2"/>
        <v>3300</v>
      </c>
      <c r="I9" s="1"/>
      <c r="J9" s="2">
        <v>100</v>
      </c>
      <c r="K9" s="2">
        <v>32</v>
      </c>
      <c r="L9" s="36">
        <f t="shared" si="3"/>
        <v>3200</v>
      </c>
      <c r="M9" s="1"/>
      <c r="N9" s="2">
        <v>100</v>
      </c>
      <c r="O9" s="2">
        <v>22</v>
      </c>
      <c r="P9" s="36">
        <f t="shared" si="4"/>
        <v>2200</v>
      </c>
      <c r="Q9" s="1"/>
      <c r="R9" s="2">
        <v>100</v>
      </c>
      <c r="S9" s="2">
        <f>25+3</f>
        <v>28</v>
      </c>
      <c r="T9" s="36">
        <f t="shared" si="5"/>
        <v>2800</v>
      </c>
      <c r="U9" s="1"/>
      <c r="V9" s="12"/>
      <c r="W9" s="39">
        <v>100</v>
      </c>
      <c r="X9" s="39">
        <f t="shared" si="7"/>
        <v>143</v>
      </c>
      <c r="Y9" s="37">
        <f t="shared" si="6"/>
        <v>14300</v>
      </c>
      <c r="Z9" s="13"/>
      <c r="AA9" s="1"/>
      <c r="AB9" s="58" t="s">
        <v>11</v>
      </c>
      <c r="AC9" s="59">
        <f>SUM(AC7:AC8)</f>
        <v>793771</v>
      </c>
      <c r="AD9" s="1"/>
      <c r="AE9" s="1"/>
      <c r="AF9" s="1"/>
      <c r="AG9" s="1"/>
      <c r="AH9" s="1"/>
      <c r="AI9" s="2">
        <v>50</v>
      </c>
      <c r="AJ9" s="2">
        <v>312</v>
      </c>
      <c r="AK9" s="36">
        <f t="shared" si="0"/>
        <v>15600</v>
      </c>
      <c r="AL9" s="1"/>
    </row>
    <row r="10" spans="2:38">
      <c r="B10" s="2">
        <v>500</v>
      </c>
      <c r="C10" s="2">
        <v>28</v>
      </c>
      <c r="D10" s="36">
        <f t="shared" si="1"/>
        <v>14000</v>
      </c>
      <c r="E10" s="1"/>
      <c r="F10" s="2">
        <v>500</v>
      </c>
      <c r="G10" s="2">
        <v>32</v>
      </c>
      <c r="H10" s="36">
        <f t="shared" si="2"/>
        <v>16000</v>
      </c>
      <c r="I10" s="1"/>
      <c r="J10" s="2">
        <v>500</v>
      </c>
      <c r="K10" s="2">
        <v>21</v>
      </c>
      <c r="L10" s="36">
        <f t="shared" si="3"/>
        <v>10500</v>
      </c>
      <c r="M10" s="1"/>
      <c r="N10" s="2">
        <v>500</v>
      </c>
      <c r="O10" s="2">
        <v>27</v>
      </c>
      <c r="P10" s="36">
        <f t="shared" si="4"/>
        <v>13500</v>
      </c>
      <c r="Q10" s="1"/>
      <c r="R10" s="2">
        <v>500</v>
      </c>
      <c r="S10" s="2">
        <f>78+12</f>
        <v>90</v>
      </c>
      <c r="T10" s="36">
        <f t="shared" si="5"/>
        <v>45000</v>
      </c>
      <c r="U10" s="1"/>
      <c r="V10" s="12"/>
      <c r="W10" s="39">
        <v>500</v>
      </c>
      <c r="X10" s="39">
        <f t="shared" si="7"/>
        <v>198</v>
      </c>
      <c r="Y10" s="37">
        <f t="shared" si="6"/>
        <v>99000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525</v>
      </c>
      <c r="AK10" s="36">
        <f t="shared" si="0"/>
        <v>52500</v>
      </c>
      <c r="AL10" s="1"/>
    </row>
    <row r="11" spans="2:38">
      <c r="B11" s="2">
        <v>1000</v>
      </c>
      <c r="C11" s="2">
        <v>30</v>
      </c>
      <c r="D11" s="36">
        <f t="shared" si="1"/>
        <v>30000</v>
      </c>
      <c r="E11" s="1"/>
      <c r="F11" s="2">
        <v>1000</v>
      </c>
      <c r="G11" s="2">
        <v>54</v>
      </c>
      <c r="H11" s="36">
        <f t="shared" si="2"/>
        <v>54000</v>
      </c>
      <c r="I11" s="1"/>
      <c r="J11" s="2">
        <v>1000</v>
      </c>
      <c r="K11" s="2">
        <v>36</v>
      </c>
      <c r="L11" s="36">
        <f t="shared" si="3"/>
        <v>36000</v>
      </c>
      <c r="M11" s="1"/>
      <c r="N11" s="2">
        <v>1000</v>
      </c>
      <c r="O11" s="2">
        <v>40</v>
      </c>
      <c r="P11" s="36">
        <f t="shared" si="4"/>
        <v>40000</v>
      </c>
      <c r="Q11" s="1"/>
      <c r="R11" s="2">
        <v>1000</v>
      </c>
      <c r="S11" s="2">
        <f>61+34</f>
        <v>95</v>
      </c>
      <c r="T11" s="36">
        <f t="shared" si="5"/>
        <v>95000</v>
      </c>
      <c r="U11" s="1"/>
      <c r="V11" s="12"/>
      <c r="W11" s="39">
        <v>1000</v>
      </c>
      <c r="X11" s="39">
        <f t="shared" si="7"/>
        <v>255</v>
      </c>
      <c r="Y11" s="37">
        <f t="shared" si="6"/>
        <v>255000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358</v>
      </c>
      <c r="AK11" s="36">
        <f t="shared" si="0"/>
        <v>179000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>
        <v>4</v>
      </c>
      <c r="T12" s="36">
        <f t="shared" si="5"/>
        <v>20000</v>
      </c>
      <c r="U12" s="1"/>
      <c r="V12" s="12"/>
      <c r="W12" s="39">
        <v>5000</v>
      </c>
      <c r="X12" s="39">
        <f t="shared" si="7"/>
        <v>7</v>
      </c>
      <c r="Y12" s="37">
        <f t="shared" si="6"/>
        <v>35000</v>
      </c>
      <c r="Z12" s="13"/>
      <c r="AA12" s="1"/>
      <c r="AB12" s="1" t="s">
        <v>16</v>
      </c>
      <c r="AC12" s="5">
        <v>776600</v>
      </c>
      <c r="AD12" s="1">
        <v>65183</v>
      </c>
      <c r="AE12" s="52" t="s">
        <v>601</v>
      </c>
      <c r="AF12" s="1" t="s">
        <v>69</v>
      </c>
      <c r="AG12" s="1"/>
      <c r="AH12" s="1"/>
      <c r="AI12" s="2">
        <v>1000</v>
      </c>
      <c r="AJ12" s="2">
        <v>370</v>
      </c>
      <c r="AK12" s="36">
        <f t="shared" si="0"/>
        <v>370000</v>
      </c>
      <c r="AL12" s="1"/>
    </row>
    <row r="13" spans="2:38" ht="15.75" thickBot="1">
      <c r="B13" s="3" t="s">
        <v>17</v>
      </c>
      <c r="C13" s="3"/>
      <c r="D13" s="6">
        <f>+SUM(D5:D12)</f>
        <v>54731</v>
      </c>
      <c r="E13" s="1"/>
      <c r="F13" s="3" t="s">
        <v>17</v>
      </c>
      <c r="G13" s="3"/>
      <c r="H13" s="6">
        <f>+SUM(H5:H12)</f>
        <v>79690</v>
      </c>
      <c r="I13" s="1"/>
      <c r="J13" s="3" t="s">
        <v>17</v>
      </c>
      <c r="K13" s="3"/>
      <c r="L13" s="6">
        <f>+SUM(L5:L12)</f>
        <v>53090</v>
      </c>
      <c r="M13" s="1"/>
      <c r="N13" s="3" t="s">
        <v>17</v>
      </c>
      <c r="O13" s="3"/>
      <c r="P13" s="6">
        <f>+SUM(P5:P12)</f>
        <v>63670</v>
      </c>
      <c r="Q13" s="1"/>
      <c r="R13" s="3" t="s">
        <v>17</v>
      </c>
      <c r="S13" s="3"/>
      <c r="T13" s="6">
        <f>+SUM(T5:T12)</f>
        <v>180450</v>
      </c>
      <c r="U13" s="1"/>
      <c r="V13" s="12"/>
      <c r="W13" s="3" t="s">
        <v>17</v>
      </c>
      <c r="X13" s="3"/>
      <c r="Y13" s="6">
        <f>+SUM(Y5:Y12)</f>
        <v>431631</v>
      </c>
      <c r="Z13" s="13"/>
      <c r="AA13" s="1"/>
      <c r="AB13" s="1" t="s">
        <v>18</v>
      </c>
      <c r="AC13" s="5">
        <v>16191</v>
      </c>
      <c r="AD13" s="1"/>
      <c r="AE13" s="1"/>
      <c r="AF13" s="1"/>
      <c r="AG13" s="1"/>
      <c r="AH13" s="1"/>
      <c r="AI13" s="2">
        <v>5000</v>
      </c>
      <c r="AJ13" s="2">
        <v>30</v>
      </c>
      <c r="AK13" s="36">
        <f t="shared" si="0"/>
        <v>150000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598</v>
      </c>
      <c r="AC14" s="5">
        <v>1000</v>
      </c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792791</v>
      </c>
      <c r="AL14" s="1"/>
    </row>
    <row r="15" spans="2:38" ht="15.75" thickBot="1">
      <c r="B15" s="128" t="s">
        <v>20</v>
      </c>
      <c r="C15" s="129"/>
      <c r="D15" s="8">
        <v>65002</v>
      </c>
      <c r="E15" s="30"/>
      <c r="F15" s="128" t="s">
        <v>20</v>
      </c>
      <c r="G15" s="129"/>
      <c r="H15" s="8">
        <v>104630</v>
      </c>
      <c r="I15" s="30"/>
      <c r="J15" s="128" t="s">
        <v>20</v>
      </c>
      <c r="K15" s="129"/>
      <c r="L15" s="8">
        <v>86017</v>
      </c>
      <c r="M15" s="30"/>
      <c r="N15" s="128" t="s">
        <v>20</v>
      </c>
      <c r="O15" s="129"/>
      <c r="P15" s="8">
        <v>68478</v>
      </c>
      <c r="Q15" s="30"/>
      <c r="R15" s="128" t="s">
        <v>20</v>
      </c>
      <c r="S15" s="129"/>
      <c r="T15" s="8">
        <v>500915</v>
      </c>
      <c r="U15" s="30"/>
      <c r="V15" s="31"/>
      <c r="W15" s="128" t="s">
        <v>20</v>
      </c>
      <c r="X15" s="129"/>
      <c r="Y15" s="8">
        <f>+D15+H15+L15+P15+T15</f>
        <v>825042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54731</v>
      </c>
      <c r="E16" s="1"/>
      <c r="F16" s="1" t="s">
        <v>9</v>
      </c>
      <c r="G16" s="1"/>
      <c r="H16" s="5">
        <f>+H13</f>
        <v>79690</v>
      </c>
      <c r="I16" s="1"/>
      <c r="J16" s="1" t="s">
        <v>9</v>
      </c>
      <c r="K16" s="1"/>
      <c r="L16" s="5">
        <f>+L13</f>
        <v>53090</v>
      </c>
      <c r="M16" s="1"/>
      <c r="N16" s="1" t="s">
        <v>9</v>
      </c>
      <c r="O16" s="1"/>
      <c r="P16" s="5">
        <f>+P13</f>
        <v>63670</v>
      </c>
      <c r="Q16" s="1"/>
      <c r="R16" s="1" t="s">
        <v>9</v>
      </c>
      <c r="S16" s="1"/>
      <c r="T16" s="5">
        <f>+T13</f>
        <v>180450</v>
      </c>
      <c r="U16" s="1"/>
      <c r="V16" s="12"/>
      <c r="W16" s="40" t="s">
        <v>9</v>
      </c>
      <c r="X16" s="40"/>
      <c r="Y16" s="37">
        <f>+D16+H16+L16+P16+T16</f>
        <v>431631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>
        <v>8235</v>
      </c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8235</v>
      </c>
      <c r="Z17" s="13"/>
      <c r="AA17" s="1"/>
      <c r="AB17" s="48" t="s">
        <v>11</v>
      </c>
      <c r="AC17" s="49">
        <f>+SUM(AC12:AC16)</f>
        <v>793791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23</v>
      </c>
      <c r="C18" s="1"/>
      <c r="D18" s="5"/>
      <c r="E18" s="1"/>
      <c r="F18" s="1" t="s">
        <v>438</v>
      </c>
      <c r="G18" s="1" t="s">
        <v>571</v>
      </c>
      <c r="H18" s="5">
        <v>10700</v>
      </c>
      <c r="I18" s="1"/>
      <c r="J18" s="1" t="s">
        <v>566</v>
      </c>
      <c r="K18" s="1" t="s">
        <v>565</v>
      </c>
      <c r="L18" s="5">
        <v>8002</v>
      </c>
      <c r="M18" s="1"/>
      <c r="N18" s="1" t="s">
        <v>411</v>
      </c>
      <c r="O18" s="1" t="s">
        <v>558</v>
      </c>
      <c r="P18" s="5">
        <v>4806</v>
      </c>
      <c r="Q18" s="1"/>
      <c r="R18" s="1" t="s">
        <v>411</v>
      </c>
      <c r="S18" s="1" t="s">
        <v>589</v>
      </c>
      <c r="T18" s="5">
        <v>13500</v>
      </c>
      <c r="U18" s="1"/>
      <c r="V18" s="12"/>
      <c r="W18" s="40" t="s">
        <v>23</v>
      </c>
      <c r="X18" s="40"/>
      <c r="Y18" s="37">
        <f t="shared" si="8"/>
        <v>37008</v>
      </c>
      <c r="Z18" s="13"/>
      <c r="AA18" s="1"/>
      <c r="AB18" s="50" t="s">
        <v>24</v>
      </c>
      <c r="AC18" s="51">
        <f>+AC17-AC9</f>
        <v>20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479</v>
      </c>
      <c r="G19" s="1" t="s">
        <v>572</v>
      </c>
      <c r="H19" s="5">
        <v>14740</v>
      </c>
      <c r="I19" s="1"/>
      <c r="J19" s="1" t="s">
        <v>411</v>
      </c>
      <c r="K19" s="1" t="s">
        <v>567</v>
      </c>
      <c r="L19" s="5">
        <v>4000</v>
      </c>
      <c r="M19" s="1"/>
      <c r="N19" s="1" t="s">
        <v>26</v>
      </c>
      <c r="O19" s="1"/>
      <c r="P19" s="5"/>
      <c r="Q19" s="1"/>
      <c r="R19" s="1" t="s">
        <v>586</v>
      </c>
      <c r="S19" s="1" t="s">
        <v>590</v>
      </c>
      <c r="T19" s="5">
        <v>20000</v>
      </c>
      <c r="U19" s="1"/>
      <c r="V19" s="12"/>
      <c r="W19" s="40" t="s">
        <v>26</v>
      </c>
      <c r="X19" s="40"/>
      <c r="Y19" s="37">
        <f t="shared" si="8"/>
        <v>38740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479</v>
      </c>
      <c r="K20" s="1" t="s">
        <v>568</v>
      </c>
      <c r="L20" s="5">
        <v>4607</v>
      </c>
      <c r="M20" s="1"/>
      <c r="N20" s="1" t="s">
        <v>27</v>
      </c>
      <c r="O20" s="1"/>
      <c r="P20" s="5"/>
      <c r="Q20" s="1"/>
      <c r="R20" s="1" t="s">
        <v>587</v>
      </c>
      <c r="S20" s="1" t="s">
        <v>591</v>
      </c>
      <c r="T20" s="5">
        <v>26500</v>
      </c>
      <c r="U20" s="1"/>
      <c r="V20" s="12"/>
      <c r="W20" s="40" t="s">
        <v>27</v>
      </c>
      <c r="X20" s="40"/>
      <c r="Y20" s="37">
        <f t="shared" si="8"/>
        <v>31107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 t="s">
        <v>479</v>
      </c>
      <c r="K21" s="1" t="s">
        <v>569</v>
      </c>
      <c r="L21" s="5">
        <v>9758</v>
      </c>
      <c r="M21" s="1"/>
      <c r="N21" s="1"/>
      <c r="O21" s="1"/>
      <c r="P21" s="5"/>
      <c r="Q21" s="1"/>
      <c r="R21" s="1" t="s">
        <v>588</v>
      </c>
      <c r="S21" s="1" t="s">
        <v>592</v>
      </c>
      <c r="T21" s="5">
        <v>26500</v>
      </c>
      <c r="U21" s="1"/>
      <c r="V21" s="12"/>
      <c r="W21" s="40"/>
      <c r="X21" s="40"/>
      <c r="Y21" s="37">
        <f t="shared" si="8"/>
        <v>36258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 t="s">
        <v>438</v>
      </c>
      <c r="K22" s="1" t="s">
        <v>570</v>
      </c>
      <c r="L22" s="5">
        <v>6000</v>
      </c>
      <c r="M22" s="1"/>
      <c r="N22" s="1"/>
      <c r="O22" s="1"/>
      <c r="P22" s="5"/>
      <c r="Q22" s="1"/>
      <c r="R22" s="1" t="s">
        <v>587</v>
      </c>
      <c r="S22" s="1" t="s">
        <v>593</v>
      </c>
      <c r="T22" s="5">
        <v>27205</v>
      </c>
      <c r="U22" s="1"/>
      <c r="V22" s="12"/>
      <c r="W22" s="40"/>
      <c r="X22" s="40"/>
      <c r="Y22" s="37">
        <f t="shared" si="8"/>
        <v>33205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564</v>
      </c>
      <c r="C23" s="70" t="s">
        <v>260</v>
      </c>
      <c r="D23" s="5">
        <v>10271</v>
      </c>
      <c r="E23" s="1"/>
      <c r="F23" s="1" t="s">
        <v>35</v>
      </c>
      <c r="G23" s="1"/>
      <c r="H23" s="5"/>
      <c r="I23" s="1"/>
      <c r="J23" s="1" t="s">
        <v>438</v>
      </c>
      <c r="K23" s="16" t="s">
        <v>573</v>
      </c>
      <c r="L23" s="5">
        <v>3900</v>
      </c>
      <c r="M23" s="1"/>
      <c r="N23" s="1" t="s">
        <v>46</v>
      </c>
      <c r="O23" s="1"/>
      <c r="P23" s="5"/>
      <c r="Q23" s="1"/>
      <c r="R23" s="1" t="s">
        <v>580</v>
      </c>
      <c r="S23" s="1" t="s">
        <v>167</v>
      </c>
      <c r="T23" s="5">
        <v>54082</v>
      </c>
      <c r="U23" s="1"/>
      <c r="V23" s="12"/>
      <c r="W23" s="40" t="s">
        <v>35</v>
      </c>
      <c r="X23" s="40"/>
      <c r="Y23" s="37">
        <f t="shared" si="8"/>
        <v>68253</v>
      </c>
      <c r="Z23" s="13"/>
      <c r="AA23" s="1"/>
      <c r="AB23" s="20" t="s">
        <v>561</v>
      </c>
      <c r="AC23" s="115">
        <v>45973</v>
      </c>
      <c r="AD23" s="20" t="s">
        <v>560</v>
      </c>
      <c r="AE23" s="20" t="s">
        <v>559</v>
      </c>
      <c r="AF23" s="96">
        <v>24920</v>
      </c>
      <c r="AG23" s="1"/>
      <c r="AH23" s="1"/>
      <c r="AI23" s="1" t="s">
        <v>90</v>
      </c>
      <c r="AJ23" s="1" t="s">
        <v>556</v>
      </c>
      <c r="AK23" s="1"/>
      <c r="AL23" s="62">
        <v>8235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581</v>
      </c>
      <c r="S24" s="1" t="s">
        <v>216</v>
      </c>
      <c r="T24" s="5">
        <v>25303</v>
      </c>
      <c r="U24" s="1"/>
      <c r="V24" s="12"/>
      <c r="W24" s="40" t="s">
        <v>36</v>
      </c>
      <c r="X24" s="40"/>
      <c r="Y24" s="37">
        <f t="shared" si="8"/>
        <v>25303</v>
      </c>
      <c r="Z24" s="13"/>
      <c r="AA24" s="1"/>
      <c r="AB24" s="20" t="s">
        <v>71</v>
      </c>
      <c r="AC24" s="115">
        <v>45969</v>
      </c>
      <c r="AD24" s="20" t="s">
        <v>563</v>
      </c>
      <c r="AE24" s="20" t="s">
        <v>562</v>
      </c>
      <c r="AF24" s="96">
        <v>10500</v>
      </c>
      <c r="AG24" s="1"/>
      <c r="AH24" s="1"/>
      <c r="AI24" s="20" t="s">
        <v>65</v>
      </c>
      <c r="AJ24" s="116" t="s">
        <v>577</v>
      </c>
      <c r="AK24" s="20" t="s">
        <v>578</v>
      </c>
      <c r="AL24" s="96">
        <v>28200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582</v>
      </c>
      <c r="S25" s="1" t="s">
        <v>583</v>
      </c>
      <c r="T25" s="5">
        <v>85491</v>
      </c>
      <c r="U25" s="1"/>
      <c r="V25" s="12"/>
      <c r="W25" s="40" t="s">
        <v>37</v>
      </c>
      <c r="X25" s="40"/>
      <c r="Y25" s="37">
        <f t="shared" si="8"/>
        <v>85491</v>
      </c>
      <c r="Z25" s="13"/>
      <c r="AA25" s="1"/>
      <c r="AB25" s="20" t="s">
        <v>473</v>
      </c>
      <c r="AC25" s="89">
        <v>45968</v>
      </c>
      <c r="AD25" s="20" t="s">
        <v>244</v>
      </c>
      <c r="AE25" s="20"/>
      <c r="AF25" s="96">
        <v>5680</v>
      </c>
      <c r="AG25" s="1"/>
      <c r="AH25" s="1"/>
      <c r="AI25" s="20" t="s">
        <v>594</v>
      </c>
      <c r="AJ25" s="20" t="s">
        <v>146</v>
      </c>
      <c r="AK25" s="20" t="s">
        <v>595</v>
      </c>
      <c r="AL25" s="96">
        <v>15753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584</v>
      </c>
      <c r="S26" s="1" t="s">
        <v>585</v>
      </c>
      <c r="T26" s="5">
        <v>29350</v>
      </c>
      <c r="U26" s="1"/>
      <c r="V26" s="12"/>
      <c r="W26" s="40"/>
      <c r="X26" s="40"/>
      <c r="Y26" s="37">
        <f t="shared" si="8"/>
        <v>29350</v>
      </c>
      <c r="Z26" s="13"/>
      <c r="AA26" s="1"/>
      <c r="AB26" s="20" t="s">
        <v>574</v>
      </c>
      <c r="AC26" s="89">
        <v>45969</v>
      </c>
      <c r="AD26" s="20" t="s">
        <v>52</v>
      </c>
      <c r="AE26" s="20"/>
      <c r="AF26" s="96">
        <v>59030</v>
      </c>
      <c r="AG26" s="1"/>
      <c r="AH26" s="1"/>
      <c r="AI26" s="20" t="s">
        <v>435</v>
      </c>
      <c r="AJ26" s="20" t="s">
        <v>65</v>
      </c>
      <c r="AK26" s="20" t="s">
        <v>205</v>
      </c>
      <c r="AL26" s="96">
        <v>15000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20" t="s">
        <v>575</v>
      </c>
      <c r="AC27" s="115">
        <v>45974</v>
      </c>
      <c r="AD27" s="20" t="s">
        <v>216</v>
      </c>
      <c r="AE27" s="20"/>
      <c r="AF27" s="96">
        <v>48140</v>
      </c>
      <c r="AG27" s="1"/>
      <c r="AH27" s="1"/>
      <c r="AI27" s="20" t="s">
        <v>219</v>
      </c>
      <c r="AJ27" s="20" t="s">
        <v>90</v>
      </c>
      <c r="AK27" s="20" t="s">
        <v>294</v>
      </c>
      <c r="AL27" s="97">
        <v>29000</v>
      </c>
    </row>
    <row r="28" spans="2:38" ht="15.75" thickBot="1">
      <c r="B28" s="125" t="s">
        <v>11</v>
      </c>
      <c r="C28" s="126"/>
      <c r="D28" s="9">
        <f>+SUM(D16:D27)</f>
        <v>65002</v>
      </c>
      <c r="E28" s="1"/>
      <c r="F28" s="125" t="s">
        <v>11</v>
      </c>
      <c r="G28" s="126"/>
      <c r="H28" s="9">
        <f>+SUM(H16:H27)</f>
        <v>105130</v>
      </c>
      <c r="I28" s="1"/>
      <c r="J28" s="125" t="s">
        <v>11</v>
      </c>
      <c r="K28" s="126"/>
      <c r="L28" s="9">
        <f>+SUM(L16:L27)</f>
        <v>97592</v>
      </c>
      <c r="M28" s="1"/>
      <c r="N28" s="125" t="s">
        <v>11</v>
      </c>
      <c r="O28" s="126"/>
      <c r="P28" s="9">
        <f>+SUM(P16:P27)</f>
        <v>68476</v>
      </c>
      <c r="Q28" s="1"/>
      <c r="R28" s="125" t="s">
        <v>11</v>
      </c>
      <c r="S28" s="126"/>
      <c r="T28" s="9">
        <f>+SUM(T16:T27)</f>
        <v>488381</v>
      </c>
      <c r="U28" s="1"/>
      <c r="V28" s="12"/>
      <c r="W28" s="125" t="s">
        <v>11</v>
      </c>
      <c r="X28" s="126"/>
      <c r="Y28" s="9">
        <f>+SUM(Y16:Y27)</f>
        <v>824581</v>
      </c>
      <c r="Z28" s="13"/>
      <c r="AA28" s="1"/>
      <c r="AB28" s="20" t="s">
        <v>576</v>
      </c>
      <c r="AC28" s="115">
        <v>45974</v>
      </c>
      <c r="AD28" s="20" t="s">
        <v>212</v>
      </c>
      <c r="AE28" s="20"/>
      <c r="AF28" s="96">
        <v>47620</v>
      </c>
      <c r="AG28" s="1"/>
      <c r="AH28" s="1"/>
      <c r="AI28" s="20" t="s">
        <v>145</v>
      </c>
      <c r="AJ28" s="20" t="s">
        <v>90</v>
      </c>
      <c r="AK28" s="20" t="s">
        <v>326</v>
      </c>
      <c r="AL28" s="96">
        <v>3000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20" t="s">
        <v>65</v>
      </c>
      <c r="AC29" s="115">
        <v>45967</v>
      </c>
      <c r="AD29" s="116" t="s">
        <v>577</v>
      </c>
      <c r="AE29" s="20" t="s">
        <v>578</v>
      </c>
      <c r="AF29" s="96">
        <v>5000</v>
      </c>
      <c r="AG29" s="1"/>
      <c r="AH29" s="1"/>
      <c r="AI29" s="20" t="s">
        <v>407</v>
      </c>
      <c r="AJ29" s="20" t="s">
        <v>146</v>
      </c>
      <c r="AK29" s="20" t="s">
        <v>392</v>
      </c>
      <c r="AL29" s="97">
        <v>7000</v>
      </c>
    </row>
    <row r="30" spans="2:38" ht="15.75" thickBot="1">
      <c r="B30" s="127" t="s">
        <v>39</v>
      </c>
      <c r="C30" s="127"/>
      <c r="D30" s="7">
        <f>+D28-D15</f>
        <v>0</v>
      </c>
      <c r="E30" s="1"/>
      <c r="F30" s="127" t="s">
        <v>39</v>
      </c>
      <c r="G30" s="127"/>
      <c r="H30" s="7">
        <f>+H28-H15</f>
        <v>500</v>
      </c>
      <c r="I30" s="1"/>
      <c r="J30" s="127" t="s">
        <v>39</v>
      </c>
      <c r="K30" s="127"/>
      <c r="L30" s="7">
        <f>+L28-L15</f>
        <v>11575</v>
      </c>
      <c r="M30" s="1"/>
      <c r="N30" s="127" t="s">
        <v>39</v>
      </c>
      <c r="O30" s="127"/>
      <c r="P30" s="7">
        <f>+P28-P15</f>
        <v>-2</v>
      </c>
      <c r="Q30" s="1"/>
      <c r="R30" s="127" t="s">
        <v>39</v>
      </c>
      <c r="S30" s="127"/>
      <c r="T30" s="7">
        <f>+T28-T15</f>
        <v>-12534</v>
      </c>
      <c r="U30" s="1"/>
      <c r="V30" s="12"/>
      <c r="W30" s="124" t="s">
        <v>39</v>
      </c>
      <c r="X30" s="124"/>
      <c r="Y30" s="41">
        <f>+Y28-Y15</f>
        <v>-461</v>
      </c>
      <c r="Z30" s="13"/>
      <c r="AA30" s="1"/>
      <c r="AB30" s="20" t="s">
        <v>579</v>
      </c>
      <c r="AC30" s="115">
        <v>45975</v>
      </c>
      <c r="AD30" s="20" t="s">
        <v>240</v>
      </c>
      <c r="AE30" s="20"/>
      <c r="AF30" s="96">
        <v>56150</v>
      </c>
      <c r="AG30" s="1"/>
      <c r="AH30" s="1"/>
      <c r="AI30" s="20" t="s">
        <v>339</v>
      </c>
      <c r="AJ30" s="20" t="s">
        <v>146</v>
      </c>
      <c r="AK30" s="20" t="s">
        <v>436</v>
      </c>
      <c r="AL30" s="97">
        <v>5000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20" t="s">
        <v>536</v>
      </c>
      <c r="AC31" s="89">
        <v>45971</v>
      </c>
      <c r="AD31" s="20" t="s">
        <v>297</v>
      </c>
      <c r="AE31" s="20"/>
      <c r="AF31" s="96">
        <v>5100</v>
      </c>
      <c r="AG31" s="1"/>
      <c r="AH31" s="1"/>
      <c r="AI31" s="20" t="s">
        <v>186</v>
      </c>
      <c r="AJ31" s="20" t="s">
        <v>146</v>
      </c>
      <c r="AK31" s="20" t="s">
        <v>456</v>
      </c>
      <c r="AL31" s="97">
        <v>4800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20" t="s">
        <v>597</v>
      </c>
      <c r="AC32" s="89">
        <v>45969</v>
      </c>
      <c r="AD32" s="1" t="s">
        <v>191</v>
      </c>
      <c r="AE32" s="1"/>
      <c r="AF32" s="62">
        <v>100000</v>
      </c>
      <c r="AG32" s="1"/>
      <c r="AH32" s="1"/>
      <c r="AI32" s="20" t="s">
        <v>305</v>
      </c>
      <c r="AJ32" s="20" t="s">
        <v>90</v>
      </c>
      <c r="AK32" s="20" t="s">
        <v>596</v>
      </c>
      <c r="AL32" s="96">
        <v>7251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16" t="s">
        <v>599</v>
      </c>
      <c r="AJ33" s="16" t="s">
        <v>65</v>
      </c>
      <c r="AK33" s="16" t="s">
        <v>600</v>
      </c>
      <c r="AL33" s="97">
        <v>93160</v>
      </c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/>
      <c r="M34" s="1"/>
      <c r="N34" s="10" t="s">
        <v>40</v>
      </c>
      <c r="O34" s="11"/>
      <c r="P34" s="21">
        <v>2</v>
      </c>
      <c r="Q34" s="1"/>
      <c r="R34" s="10" t="s">
        <v>40</v>
      </c>
      <c r="S34" s="11"/>
      <c r="T34" s="21">
        <v>469</v>
      </c>
      <c r="U34" s="1"/>
      <c r="V34" s="1"/>
      <c r="W34" s="42" t="s">
        <v>40</v>
      </c>
      <c r="X34" s="43"/>
      <c r="Y34" s="44">
        <f>+D34+H34+L34+P34+T34</f>
        <v>471</v>
      </c>
      <c r="Z34" s="1"/>
      <c r="AA34" s="1"/>
      <c r="AB34" s="1"/>
      <c r="AC34" s="1"/>
      <c r="AD34" s="1"/>
      <c r="AE34" s="1"/>
      <c r="AF34" s="62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88</v>
      </c>
      <c r="S35" s="16"/>
      <c r="T35" s="22">
        <v>10283</v>
      </c>
      <c r="U35" s="1"/>
      <c r="V35" s="1"/>
      <c r="W35" s="45" t="s">
        <v>41</v>
      </c>
      <c r="X35" s="40"/>
      <c r="Y35" s="46">
        <f t="shared" ref="Y35:Y36" si="9">+D35+H35+L35+P35+T35</f>
        <v>10283</v>
      </c>
      <c r="Z35" s="1"/>
      <c r="AA35" s="1"/>
      <c r="AB35" s="1"/>
      <c r="AC35" s="1"/>
      <c r="AD35" s="1"/>
      <c r="AE35" s="1"/>
      <c r="AF35" s="62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/>
      <c r="E36" s="1"/>
      <c r="F36" s="12" t="s">
        <v>43</v>
      </c>
      <c r="G36" s="16"/>
      <c r="H36" s="22">
        <v>-500</v>
      </c>
      <c r="I36" s="1"/>
      <c r="J36" s="12" t="s">
        <v>43</v>
      </c>
      <c r="K36" s="16"/>
      <c r="L36" s="22">
        <v>-11575</v>
      </c>
      <c r="M36" s="1"/>
      <c r="N36" s="12" t="s">
        <v>43</v>
      </c>
      <c r="O36" s="16"/>
      <c r="P36" s="22"/>
      <c r="Q36" s="1"/>
      <c r="R36" s="12" t="s">
        <v>190</v>
      </c>
      <c r="S36" s="16"/>
      <c r="T36" s="22">
        <v>1782</v>
      </c>
      <c r="U36" s="1"/>
      <c r="V36" s="1"/>
      <c r="W36" s="45" t="s">
        <v>42</v>
      </c>
      <c r="X36" s="40"/>
      <c r="Y36" s="46">
        <f t="shared" si="9"/>
        <v>-10293</v>
      </c>
      <c r="Z36" s="1"/>
      <c r="AA36" s="1"/>
      <c r="AB36" s="1"/>
      <c r="AC36" s="1"/>
      <c r="AD36" s="1"/>
      <c r="AE36" s="1"/>
      <c r="AF36" s="62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0</v>
      </c>
      <c r="E37" s="1"/>
      <c r="F37" s="12" t="s">
        <v>17</v>
      </c>
      <c r="G37" s="16"/>
      <c r="H37" s="22">
        <f>+SUM(H34:H36)</f>
        <v>-500</v>
      </c>
      <c r="I37" s="1"/>
      <c r="J37" s="12" t="s">
        <v>17</v>
      </c>
      <c r="K37" s="16"/>
      <c r="L37" s="22">
        <f>+SUM(L34:L36)</f>
        <v>-11575</v>
      </c>
      <c r="M37" s="1"/>
      <c r="N37" s="12" t="s">
        <v>17</v>
      </c>
      <c r="O37" s="16"/>
      <c r="P37" s="22">
        <f>+SUM(P34:P36)</f>
        <v>2</v>
      </c>
      <c r="Q37" s="1"/>
      <c r="R37" s="12" t="s">
        <v>17</v>
      </c>
      <c r="S37" s="16"/>
      <c r="T37" s="22">
        <f>+SUM(T34:T36)</f>
        <v>12534</v>
      </c>
      <c r="U37" s="1"/>
      <c r="V37" s="1"/>
      <c r="W37" s="33" t="s">
        <v>17</v>
      </c>
      <c r="X37" s="34"/>
      <c r="Y37" s="35">
        <f>+SUM(Y34:Y36)</f>
        <v>461</v>
      </c>
      <c r="Z37" s="1"/>
      <c r="AA37" s="1"/>
      <c r="AB37" s="60" t="s">
        <v>38</v>
      </c>
      <c r="AC37" s="60"/>
      <c r="AD37" s="60"/>
      <c r="AE37" s="60"/>
      <c r="AF37" s="55">
        <f>+SUM(AF23:AF36)</f>
        <v>362140</v>
      </c>
      <c r="AG37" s="1"/>
      <c r="AH37" s="1"/>
      <c r="AI37" s="60" t="s">
        <v>38</v>
      </c>
      <c r="AJ37" s="60"/>
      <c r="AK37" s="60"/>
      <c r="AL37" s="67">
        <f>+SUM(AL23:AL36)</f>
        <v>216399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B2:AL39"/>
  <sheetViews>
    <sheetView topLeftCell="A10" zoomScale="90" zoomScaleNormal="90" workbookViewId="0">
      <selection activeCell="AC13" sqref="AC13"/>
    </sheetView>
  </sheetViews>
  <sheetFormatPr defaultRowHeight="15"/>
  <cols>
    <col min="2" max="2" width="8.28515625" customWidth="1"/>
    <col min="3" max="3" width="13.5703125" customWidth="1"/>
    <col min="4" max="4" width="9.5703125" bestFit="1" customWidth="1"/>
    <col min="5" max="5" width="0.7109375" customWidth="1"/>
    <col min="7" max="7" width="13.85546875" customWidth="1"/>
    <col min="8" max="8" width="9.140625" customWidth="1"/>
    <col min="9" max="9" width="0.28515625" customWidth="1"/>
    <col min="13" max="13" width="0.5703125" customWidth="1"/>
    <col min="17" max="17" width="0.42578125" customWidth="1"/>
    <col min="19" max="19" width="13.85546875" customWidth="1"/>
    <col min="20" max="20" width="10.5703125" bestFit="1" customWidth="1"/>
    <col min="21" max="21" width="1.7109375" customWidth="1"/>
    <col min="22" max="22" width="0.7109375" customWidth="1"/>
    <col min="25" max="25" width="9.7109375" bestFit="1" customWidth="1"/>
    <col min="26" max="26" width="0.42578125" customWidth="1"/>
    <col min="27" max="27" width="0.28515625" customWidth="1"/>
    <col min="29" max="29" width="10.140625" bestFit="1" customWidth="1"/>
    <col min="31" max="31" width="14.7109375" bestFit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16</v>
      </c>
      <c r="D6" s="36">
        <f>+C6*B6</f>
        <v>160</v>
      </c>
      <c r="E6" s="1"/>
      <c r="F6" s="2">
        <v>10</v>
      </c>
      <c r="G6" s="2">
        <v>48</v>
      </c>
      <c r="H6" s="36">
        <f>+G6*F6</f>
        <v>480</v>
      </c>
      <c r="I6" s="1"/>
      <c r="J6" s="2">
        <v>10</v>
      </c>
      <c r="K6" s="2">
        <v>4</v>
      </c>
      <c r="L6" s="36">
        <f>+K6*J6</f>
        <v>40</v>
      </c>
      <c r="M6" s="1"/>
      <c r="N6" s="2">
        <v>10</v>
      </c>
      <c r="O6" s="2">
        <v>111</v>
      </c>
      <c r="P6" s="36">
        <f>+O6*N6</f>
        <v>1110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179</v>
      </c>
      <c r="Y6" s="37">
        <f>+D6+H6+L6+P6+T6</f>
        <v>1790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6</v>
      </c>
      <c r="D7" s="36">
        <f t="shared" ref="D7:D12" si="1">+C7*B7</f>
        <v>120</v>
      </c>
      <c r="E7" s="1"/>
      <c r="F7" s="2">
        <v>20</v>
      </c>
      <c r="G7" s="2">
        <v>9</v>
      </c>
      <c r="H7" s="36">
        <f t="shared" ref="H7:H12" si="2">+G7*F7</f>
        <v>180</v>
      </c>
      <c r="I7" s="1"/>
      <c r="J7" s="2">
        <v>20</v>
      </c>
      <c r="K7" s="2">
        <v>1</v>
      </c>
      <c r="L7" s="36">
        <f t="shared" ref="L7:L12" si="3">+K7*J7</f>
        <v>20</v>
      </c>
      <c r="M7" s="1"/>
      <c r="N7" s="2">
        <v>20</v>
      </c>
      <c r="O7" s="2">
        <v>9</v>
      </c>
      <c r="P7" s="36">
        <f t="shared" ref="P7:P12" si="4">+O7*N7</f>
        <v>180</v>
      </c>
      <c r="Q7" s="1"/>
      <c r="R7" s="2">
        <v>20</v>
      </c>
      <c r="S7" s="2">
        <v>1</v>
      </c>
      <c r="T7" s="36">
        <f t="shared" ref="T7:T12" si="5">+S7*R7</f>
        <v>20</v>
      </c>
      <c r="U7" s="1"/>
      <c r="V7" s="12"/>
      <c r="W7" s="39">
        <v>20</v>
      </c>
      <c r="X7" s="39">
        <f>+C7+G7+K7+O7+S7</f>
        <v>26</v>
      </c>
      <c r="Y7" s="37">
        <f t="shared" ref="Y7:Y12" si="6">+D7+H7+L7+P7+T7</f>
        <v>520</v>
      </c>
      <c r="Z7" s="13"/>
      <c r="AA7" s="1"/>
      <c r="AB7" s="56" t="s">
        <v>9</v>
      </c>
      <c r="AC7" s="57">
        <f>Y13</f>
        <v>290610</v>
      </c>
      <c r="AD7" s="26"/>
      <c r="AE7" s="26"/>
      <c r="AF7" s="26"/>
      <c r="AG7" s="26"/>
      <c r="AH7" s="1"/>
      <c r="AI7" s="2">
        <v>10</v>
      </c>
      <c r="AJ7" s="2">
        <v>179</v>
      </c>
      <c r="AK7" s="36">
        <f t="shared" si="0"/>
        <v>1790</v>
      </c>
      <c r="AL7" s="2"/>
    </row>
    <row r="8" spans="2:38">
      <c r="B8" s="2">
        <v>50</v>
      </c>
      <c r="C8" s="2">
        <v>15</v>
      </c>
      <c r="D8" s="36">
        <f t="shared" si="1"/>
        <v>750</v>
      </c>
      <c r="E8" s="1"/>
      <c r="F8" s="2">
        <v>50</v>
      </c>
      <c r="G8" s="2">
        <v>0</v>
      </c>
      <c r="H8" s="36">
        <f t="shared" si="2"/>
        <v>0</v>
      </c>
      <c r="I8" s="1"/>
      <c r="J8" s="2">
        <v>50</v>
      </c>
      <c r="K8" s="2">
        <v>14</v>
      </c>
      <c r="L8" s="36">
        <f t="shared" si="3"/>
        <v>700</v>
      </c>
      <c r="M8" s="1"/>
      <c r="N8" s="2">
        <v>50</v>
      </c>
      <c r="O8" s="2">
        <f>62+1</f>
        <v>63</v>
      </c>
      <c r="P8" s="36">
        <f t="shared" si="4"/>
        <v>3150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92</v>
      </c>
      <c r="Y8" s="37">
        <f t="shared" si="6"/>
        <v>4600</v>
      </c>
      <c r="Z8" s="13"/>
      <c r="AA8" s="1"/>
      <c r="AB8" s="53" t="s">
        <v>10</v>
      </c>
      <c r="AC8" s="53">
        <f>+AF37</f>
        <v>28200</v>
      </c>
      <c r="AD8" s="1"/>
      <c r="AE8" s="1"/>
      <c r="AF8" s="1"/>
      <c r="AG8" s="1"/>
      <c r="AH8" s="1"/>
      <c r="AI8" s="2">
        <v>20</v>
      </c>
      <c r="AJ8" s="2">
        <v>26</v>
      </c>
      <c r="AK8" s="36">
        <f t="shared" si="0"/>
        <v>520</v>
      </c>
      <c r="AL8" s="2"/>
    </row>
    <row r="9" spans="2:38" ht="15.75" thickBot="1">
      <c r="B9" s="2">
        <v>100</v>
      </c>
      <c r="C9" s="2">
        <v>21</v>
      </c>
      <c r="D9" s="36">
        <f t="shared" si="1"/>
        <v>2100</v>
      </c>
      <c r="E9" s="1"/>
      <c r="F9" s="2">
        <v>100</v>
      </c>
      <c r="G9" s="2">
        <v>3</v>
      </c>
      <c r="H9" s="36">
        <f t="shared" si="2"/>
        <v>300</v>
      </c>
      <c r="I9" s="1"/>
      <c r="J9" s="2">
        <v>100</v>
      </c>
      <c r="K9" s="2">
        <v>16</v>
      </c>
      <c r="L9" s="36">
        <f t="shared" si="3"/>
        <v>1600</v>
      </c>
      <c r="M9" s="1"/>
      <c r="N9" s="2">
        <v>100</v>
      </c>
      <c r="O9" s="2">
        <f>55+3</f>
        <v>58</v>
      </c>
      <c r="P9" s="36">
        <f t="shared" si="4"/>
        <v>5800</v>
      </c>
      <c r="Q9" s="1"/>
      <c r="R9" s="2">
        <v>100</v>
      </c>
      <c r="S9" s="2">
        <v>4</v>
      </c>
      <c r="T9" s="36">
        <f t="shared" si="5"/>
        <v>400</v>
      </c>
      <c r="U9" s="1"/>
      <c r="V9" s="12"/>
      <c r="W9" s="39">
        <v>100</v>
      </c>
      <c r="X9" s="39">
        <f t="shared" si="7"/>
        <v>102</v>
      </c>
      <c r="Y9" s="37">
        <f t="shared" si="6"/>
        <v>10200</v>
      </c>
      <c r="Z9" s="13"/>
      <c r="AA9" s="1"/>
      <c r="AB9" s="58" t="s">
        <v>11</v>
      </c>
      <c r="AC9" s="59">
        <f>SUM(AC7:AC8)</f>
        <v>318810</v>
      </c>
      <c r="AD9" s="1"/>
      <c r="AE9" s="1"/>
      <c r="AF9" s="1"/>
      <c r="AG9" s="1"/>
      <c r="AH9" s="1"/>
      <c r="AI9" s="2">
        <v>50</v>
      </c>
      <c r="AJ9" s="2">
        <v>92</v>
      </c>
      <c r="AK9" s="36">
        <f t="shared" si="0"/>
        <v>4600</v>
      </c>
      <c r="AL9" s="1"/>
    </row>
    <row r="10" spans="2:38">
      <c r="B10" s="2">
        <v>500</v>
      </c>
      <c r="C10" s="2">
        <v>29</v>
      </c>
      <c r="D10" s="36">
        <f t="shared" si="1"/>
        <v>14500</v>
      </c>
      <c r="E10" s="1"/>
      <c r="F10" s="2">
        <v>500</v>
      </c>
      <c r="G10" s="2">
        <v>45</v>
      </c>
      <c r="H10" s="36">
        <f t="shared" si="2"/>
        <v>22500</v>
      </c>
      <c r="I10" s="1"/>
      <c r="J10" s="2">
        <v>500</v>
      </c>
      <c r="K10" s="2">
        <v>28</v>
      </c>
      <c r="L10" s="36">
        <f t="shared" si="3"/>
        <v>14000</v>
      </c>
      <c r="M10" s="1"/>
      <c r="N10" s="2">
        <v>500</v>
      </c>
      <c r="O10" s="2">
        <f>34+3</f>
        <v>37</v>
      </c>
      <c r="P10" s="36">
        <f t="shared" si="4"/>
        <v>18500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139</v>
      </c>
      <c r="Y10" s="37">
        <f t="shared" si="6"/>
        <v>69500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104</v>
      </c>
      <c r="AK10" s="36">
        <f t="shared" si="0"/>
        <v>10400</v>
      </c>
      <c r="AL10" s="1"/>
    </row>
    <row r="11" spans="2:38">
      <c r="B11" s="2">
        <v>1000</v>
      </c>
      <c r="C11" s="2">
        <v>25</v>
      </c>
      <c r="D11" s="36">
        <f t="shared" si="1"/>
        <v>25000</v>
      </c>
      <c r="E11" s="1"/>
      <c r="F11" s="2">
        <v>1000</v>
      </c>
      <c r="G11" s="2">
        <v>61</v>
      </c>
      <c r="H11" s="36">
        <f t="shared" si="2"/>
        <v>61000</v>
      </c>
      <c r="I11" s="1"/>
      <c r="J11" s="2">
        <v>1000</v>
      </c>
      <c r="K11" s="2">
        <v>45</v>
      </c>
      <c r="L11" s="36">
        <f t="shared" si="3"/>
        <v>45000</v>
      </c>
      <c r="M11" s="1"/>
      <c r="N11" s="2">
        <v>1000</v>
      </c>
      <c r="O11" s="2">
        <f>41+2</f>
        <v>43</v>
      </c>
      <c r="P11" s="36">
        <f t="shared" si="4"/>
        <v>43000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174</v>
      </c>
      <c r="Y11" s="37">
        <f t="shared" si="6"/>
        <v>174000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139</v>
      </c>
      <c r="AK11" s="36">
        <f t="shared" si="0"/>
        <v>69500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>
        <v>2</v>
      </c>
      <c r="P12" s="36">
        <f t="shared" si="4"/>
        <v>10000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6</v>
      </c>
      <c r="Y12" s="37">
        <f t="shared" si="6"/>
        <v>30000</v>
      </c>
      <c r="Z12" s="13"/>
      <c r="AA12" s="1"/>
      <c r="AB12" s="1" t="s">
        <v>16</v>
      </c>
      <c r="AC12" s="5">
        <v>316500</v>
      </c>
      <c r="AD12" s="1">
        <v>65185</v>
      </c>
      <c r="AE12" s="52" t="s">
        <v>629</v>
      </c>
      <c r="AF12" s="1" t="s">
        <v>69</v>
      </c>
      <c r="AG12" s="1"/>
      <c r="AH12" s="1"/>
      <c r="AI12" s="2">
        <v>1000</v>
      </c>
      <c r="AJ12" s="2">
        <f>174+8</f>
        <v>182</v>
      </c>
      <c r="AK12" s="36">
        <f t="shared" si="0"/>
        <v>182000</v>
      </c>
      <c r="AL12" s="1"/>
    </row>
    <row r="13" spans="2:38" ht="15.75" thickBot="1">
      <c r="B13" s="3" t="s">
        <v>17</v>
      </c>
      <c r="C13" s="3"/>
      <c r="D13" s="6">
        <f>+SUM(D5:D12)</f>
        <v>47630</v>
      </c>
      <c r="E13" s="1"/>
      <c r="F13" s="3" t="s">
        <v>17</v>
      </c>
      <c r="G13" s="3"/>
      <c r="H13" s="6">
        <f>+SUM(H5:H12)</f>
        <v>99460</v>
      </c>
      <c r="I13" s="1"/>
      <c r="J13" s="3" t="s">
        <v>17</v>
      </c>
      <c r="K13" s="3"/>
      <c r="L13" s="6">
        <f>+SUM(L5:L12)</f>
        <v>61360</v>
      </c>
      <c r="M13" s="1"/>
      <c r="N13" s="3" t="s">
        <v>17</v>
      </c>
      <c r="O13" s="3"/>
      <c r="P13" s="6">
        <f>+SUM(P5:P12)</f>
        <v>81740</v>
      </c>
      <c r="Q13" s="1"/>
      <c r="R13" s="3" t="s">
        <v>17</v>
      </c>
      <c r="S13" s="3"/>
      <c r="T13" s="6">
        <f>+SUM(T5:T12)</f>
        <v>420</v>
      </c>
      <c r="U13" s="1"/>
      <c r="V13" s="12"/>
      <c r="W13" s="3" t="s">
        <v>17</v>
      </c>
      <c r="X13" s="3"/>
      <c r="Y13" s="6">
        <f>+SUM(Y5:Y12)</f>
        <v>290610</v>
      </c>
      <c r="Z13" s="13"/>
      <c r="AA13" s="1"/>
      <c r="AB13" s="1" t="s">
        <v>18</v>
      </c>
      <c r="AC13" s="5">
        <v>2310</v>
      </c>
      <c r="AD13" s="1"/>
      <c r="AE13" s="1"/>
      <c r="AF13" s="1"/>
      <c r="AG13" s="1"/>
      <c r="AH13" s="1"/>
      <c r="AI13" s="2">
        <v>5000</v>
      </c>
      <c r="AJ13" s="2">
        <f>7+3</f>
        <v>10</v>
      </c>
      <c r="AK13" s="36">
        <f t="shared" si="0"/>
        <v>50000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318810</v>
      </c>
      <c r="AL14" s="1"/>
    </row>
    <row r="15" spans="2:38" ht="15.75" thickBot="1">
      <c r="B15" s="128" t="s">
        <v>20</v>
      </c>
      <c r="C15" s="129"/>
      <c r="D15" s="8">
        <v>63356</v>
      </c>
      <c r="E15" s="30"/>
      <c r="F15" s="128" t="s">
        <v>20</v>
      </c>
      <c r="G15" s="129"/>
      <c r="H15" s="8">
        <v>111687</v>
      </c>
      <c r="I15" s="30"/>
      <c r="J15" s="128" t="s">
        <v>20</v>
      </c>
      <c r="K15" s="129"/>
      <c r="L15" s="8">
        <v>64433</v>
      </c>
      <c r="M15" s="30"/>
      <c r="N15" s="128" t="s">
        <v>20</v>
      </c>
      <c r="O15" s="129"/>
      <c r="P15" s="8">
        <v>82943</v>
      </c>
      <c r="Q15" s="30"/>
      <c r="R15" s="128" t="s">
        <v>20</v>
      </c>
      <c r="S15" s="129"/>
      <c r="T15" s="8">
        <v>606544</v>
      </c>
      <c r="U15" s="30"/>
      <c r="V15" s="31"/>
      <c r="W15" s="128" t="s">
        <v>20</v>
      </c>
      <c r="X15" s="129"/>
      <c r="Y15" s="8">
        <f>+D15+H15+L15+P15+T15</f>
        <v>928963</v>
      </c>
      <c r="Z15" s="32"/>
      <c r="AA15" s="30"/>
      <c r="AB15" s="1" t="s">
        <v>417</v>
      </c>
      <c r="AC15" s="5"/>
      <c r="AD15" s="62">
        <v>305000</v>
      </c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47630</v>
      </c>
      <c r="E16" s="1"/>
      <c r="F16" s="1" t="s">
        <v>9</v>
      </c>
      <c r="G16" s="1"/>
      <c r="H16" s="5">
        <f>+H13</f>
        <v>99460</v>
      </c>
      <c r="I16" s="1"/>
      <c r="J16" s="1" t="s">
        <v>9</v>
      </c>
      <c r="K16" s="1"/>
      <c r="L16" s="5">
        <f>+L13</f>
        <v>61360</v>
      </c>
      <c r="M16" s="1"/>
      <c r="N16" s="1" t="s">
        <v>9</v>
      </c>
      <c r="O16" s="1"/>
      <c r="P16" s="5">
        <f>+P13</f>
        <v>81740</v>
      </c>
      <c r="Q16" s="1"/>
      <c r="R16" s="1" t="s">
        <v>9</v>
      </c>
      <c r="S16" s="1"/>
      <c r="T16" s="5">
        <f>+T13</f>
        <v>420</v>
      </c>
      <c r="U16" s="1"/>
      <c r="V16" s="12"/>
      <c r="W16" s="40" t="s">
        <v>9</v>
      </c>
      <c r="X16" s="40"/>
      <c r="Y16" s="37">
        <f>+D16+H16+L16+P16+T16</f>
        <v>290610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0</v>
      </c>
      <c r="Z17" s="13"/>
      <c r="AA17" s="1"/>
      <c r="AB17" s="48" t="s">
        <v>11</v>
      </c>
      <c r="AC17" s="49">
        <f>+SUM(AC12:AC16)</f>
        <v>318810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615</v>
      </c>
      <c r="C18" s="1" t="s">
        <v>614</v>
      </c>
      <c r="D18" s="5">
        <v>10000</v>
      </c>
      <c r="E18" s="1"/>
      <c r="F18" s="1" t="s">
        <v>479</v>
      </c>
      <c r="G18" s="1" t="s">
        <v>618</v>
      </c>
      <c r="H18" s="5">
        <v>7864</v>
      </c>
      <c r="I18" s="1"/>
      <c r="J18" s="1" t="s">
        <v>23</v>
      </c>
      <c r="K18" s="1"/>
      <c r="L18" s="5">
        <v>3000</v>
      </c>
      <c r="M18" s="1"/>
      <c r="N18" s="1" t="s">
        <v>23</v>
      </c>
      <c r="O18" s="1"/>
      <c r="P18" s="5"/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20864</v>
      </c>
      <c r="Z18" s="13"/>
      <c r="AA18" s="1"/>
      <c r="AB18" s="50" t="s">
        <v>24</v>
      </c>
      <c r="AC18" s="51">
        <f>+AC17-AC9</f>
        <v>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411</v>
      </c>
      <c r="G19" s="1" t="s">
        <v>620</v>
      </c>
      <c r="H19" s="5">
        <v>4366</v>
      </c>
      <c r="I19" s="1"/>
      <c r="J19" s="1" t="s">
        <v>26</v>
      </c>
      <c r="K19" s="1"/>
      <c r="L19" s="5"/>
      <c r="M19" s="1"/>
      <c r="N19" s="1" t="s">
        <v>26</v>
      </c>
      <c r="O19" s="1"/>
      <c r="P19" s="5"/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4366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/>
      <c r="S20" s="1"/>
      <c r="T20" s="5"/>
      <c r="U20" s="1"/>
      <c r="V20" s="12"/>
      <c r="W20" s="40" t="s">
        <v>27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 t="s">
        <v>613</v>
      </c>
      <c r="S21" s="1" t="s">
        <v>612</v>
      </c>
      <c r="T21" s="5">
        <v>148030</v>
      </c>
      <c r="U21" s="1"/>
      <c r="V21" s="12"/>
      <c r="W21" s="40"/>
      <c r="X21" s="40"/>
      <c r="Y21" s="37">
        <f t="shared" si="8"/>
        <v>148030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610</v>
      </c>
      <c r="S22" s="1" t="s">
        <v>611</v>
      </c>
      <c r="T22" s="5">
        <v>57457</v>
      </c>
      <c r="U22" s="1"/>
      <c r="V22" s="12"/>
      <c r="W22" s="40"/>
      <c r="X22" s="40"/>
      <c r="Y22" s="37">
        <f t="shared" si="8"/>
        <v>57457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617</v>
      </c>
      <c r="C23" s="1" t="s">
        <v>616</v>
      </c>
      <c r="D23" s="5">
        <v>5588</v>
      </c>
      <c r="E23" s="1"/>
      <c r="F23" s="1" t="s">
        <v>35</v>
      </c>
      <c r="G23" s="1"/>
      <c r="H23" s="5"/>
      <c r="I23" s="1"/>
      <c r="J23" s="1" t="s">
        <v>35</v>
      </c>
      <c r="K23" s="1"/>
      <c r="L23" s="5"/>
      <c r="M23" s="1"/>
      <c r="N23" s="1" t="s">
        <v>46</v>
      </c>
      <c r="O23" s="1"/>
      <c r="P23" s="5"/>
      <c r="Q23" s="1"/>
      <c r="R23" s="1" t="s">
        <v>603</v>
      </c>
      <c r="S23" s="1" t="s">
        <v>602</v>
      </c>
      <c r="T23" s="5">
        <v>240623</v>
      </c>
      <c r="U23" s="1"/>
      <c r="V23" s="12"/>
      <c r="W23" s="40" t="s">
        <v>35</v>
      </c>
      <c r="X23" s="40"/>
      <c r="Y23" s="37">
        <f t="shared" si="8"/>
        <v>246211</v>
      </c>
      <c r="Z23" s="13"/>
      <c r="AA23" s="1"/>
      <c r="AB23" s="16" t="s">
        <v>71</v>
      </c>
      <c r="AC23" s="71">
        <v>45969</v>
      </c>
      <c r="AD23" s="16" t="s">
        <v>276</v>
      </c>
      <c r="AE23" s="16" t="s">
        <v>265</v>
      </c>
      <c r="AF23" s="69">
        <v>5200</v>
      </c>
      <c r="AG23" s="1"/>
      <c r="AH23" s="16"/>
      <c r="AI23" s="16" t="s">
        <v>90</v>
      </c>
      <c r="AJ23" s="16" t="s">
        <v>556</v>
      </c>
      <c r="AK23" s="16"/>
      <c r="AL23" s="69">
        <v>3000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605</v>
      </c>
      <c r="S24" s="1" t="s">
        <v>604</v>
      </c>
      <c r="T24" s="5">
        <v>90731</v>
      </c>
      <c r="U24" s="1"/>
      <c r="V24" s="12"/>
      <c r="W24" s="40" t="s">
        <v>36</v>
      </c>
      <c r="X24" s="40"/>
      <c r="Y24" s="37">
        <f t="shared" si="8"/>
        <v>90731</v>
      </c>
      <c r="Z24" s="13"/>
      <c r="AA24" s="1"/>
      <c r="AB24" s="70" t="s">
        <v>65</v>
      </c>
      <c r="AC24" s="85">
        <v>45981</v>
      </c>
      <c r="AD24" s="16" t="s">
        <v>585</v>
      </c>
      <c r="AE24" s="117">
        <v>6160</v>
      </c>
      <c r="AF24" s="69">
        <v>23000</v>
      </c>
      <c r="AG24" s="1"/>
      <c r="AH24" s="16"/>
      <c r="AI24" s="16" t="s">
        <v>65</v>
      </c>
      <c r="AJ24" s="117" t="s">
        <v>577</v>
      </c>
      <c r="AK24" s="20" t="s">
        <v>621</v>
      </c>
      <c r="AL24" s="69">
        <v>13000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607</v>
      </c>
      <c r="S25" s="1" t="s">
        <v>606</v>
      </c>
      <c r="T25" s="5">
        <v>17671</v>
      </c>
      <c r="U25" s="1"/>
      <c r="V25" s="12"/>
      <c r="W25" s="40" t="s">
        <v>37</v>
      </c>
      <c r="X25" s="40"/>
      <c r="Y25" s="37">
        <f t="shared" si="8"/>
        <v>17671</v>
      </c>
      <c r="Z25" s="13"/>
      <c r="AA25" s="1"/>
      <c r="AB25" s="1"/>
      <c r="AC25" s="1"/>
      <c r="AD25" s="1"/>
      <c r="AE25" s="1"/>
      <c r="AF25" s="62"/>
      <c r="AG25" s="1"/>
      <c r="AH25" s="16"/>
      <c r="AI25" s="16" t="s">
        <v>622</v>
      </c>
      <c r="AJ25" s="16" t="s">
        <v>65</v>
      </c>
      <c r="AK25" s="20" t="s">
        <v>625</v>
      </c>
      <c r="AL25" s="69">
        <v>80480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609</v>
      </c>
      <c r="S26" s="1" t="s">
        <v>608</v>
      </c>
      <c r="T26" s="5">
        <v>51622</v>
      </c>
      <c r="U26" s="1"/>
      <c r="V26" s="12"/>
      <c r="W26" s="40"/>
      <c r="X26" s="40"/>
      <c r="Y26" s="37">
        <f t="shared" si="8"/>
        <v>51622</v>
      </c>
      <c r="Z26" s="13"/>
      <c r="AA26" s="1"/>
      <c r="AB26" s="1"/>
      <c r="AC26" s="1"/>
      <c r="AD26" s="1"/>
      <c r="AE26" s="1"/>
      <c r="AF26" s="96"/>
      <c r="AG26" s="1"/>
      <c r="AH26" s="16"/>
      <c r="AI26" s="16" t="s">
        <v>623</v>
      </c>
      <c r="AJ26" s="16" t="s">
        <v>65</v>
      </c>
      <c r="AK26" s="20" t="s">
        <v>626</v>
      </c>
      <c r="AL26" s="69">
        <v>29051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62"/>
      <c r="AG27" s="1"/>
      <c r="AH27" s="16"/>
      <c r="AI27" s="20" t="s">
        <v>624</v>
      </c>
      <c r="AJ27" s="16" t="s">
        <v>65</v>
      </c>
      <c r="AK27" s="20" t="s">
        <v>627</v>
      </c>
      <c r="AL27" s="69">
        <v>28529</v>
      </c>
    </row>
    <row r="28" spans="2:38" ht="15.75" thickBot="1">
      <c r="B28" s="125" t="s">
        <v>11</v>
      </c>
      <c r="C28" s="126"/>
      <c r="D28" s="9">
        <f>+SUM(D16:D27)</f>
        <v>63218</v>
      </c>
      <c r="E28" s="1"/>
      <c r="F28" s="125" t="s">
        <v>11</v>
      </c>
      <c r="G28" s="126"/>
      <c r="H28" s="9">
        <f>+SUM(H16:H27)</f>
        <v>111690</v>
      </c>
      <c r="I28" s="1"/>
      <c r="J28" s="125" t="s">
        <v>11</v>
      </c>
      <c r="K28" s="126"/>
      <c r="L28" s="9">
        <f>+SUM(L16:L27)</f>
        <v>64360</v>
      </c>
      <c r="M28" s="1"/>
      <c r="N28" s="125" t="s">
        <v>11</v>
      </c>
      <c r="O28" s="126"/>
      <c r="P28" s="9">
        <f>+SUM(P16:P27)</f>
        <v>81740</v>
      </c>
      <c r="Q28" s="1"/>
      <c r="R28" s="125" t="s">
        <v>11</v>
      </c>
      <c r="S28" s="126"/>
      <c r="T28" s="9">
        <f>+SUM(T16:T27)</f>
        <v>606554</v>
      </c>
      <c r="U28" s="1"/>
      <c r="V28" s="12"/>
      <c r="W28" s="125" t="s">
        <v>11</v>
      </c>
      <c r="X28" s="126"/>
      <c r="Y28" s="9">
        <f>+SUM(Y16:Y27)</f>
        <v>927562</v>
      </c>
      <c r="Z28" s="13"/>
      <c r="AA28" s="1"/>
      <c r="AB28" s="1"/>
      <c r="AC28" s="1"/>
      <c r="AD28" s="1"/>
      <c r="AE28" s="1"/>
      <c r="AF28" s="62"/>
      <c r="AG28" s="1"/>
      <c r="AH28" s="16"/>
      <c r="AI28" s="16" t="s">
        <v>153</v>
      </c>
      <c r="AJ28" s="16" t="s">
        <v>90</v>
      </c>
      <c r="AK28" s="20" t="s">
        <v>376</v>
      </c>
      <c r="AL28" s="15">
        <v>8615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62"/>
      <c r="AG29" s="1"/>
      <c r="AH29" s="16"/>
      <c r="AI29" s="16" t="s">
        <v>405</v>
      </c>
      <c r="AJ29" s="16" t="s">
        <v>146</v>
      </c>
      <c r="AK29" s="20" t="s">
        <v>437</v>
      </c>
      <c r="AL29" s="15">
        <v>4651</v>
      </c>
    </row>
    <row r="30" spans="2:38" ht="15.75" thickBot="1">
      <c r="B30" s="127" t="s">
        <v>39</v>
      </c>
      <c r="C30" s="127"/>
      <c r="D30" s="7">
        <f>+D28-D15</f>
        <v>-138</v>
      </c>
      <c r="E30" s="1"/>
      <c r="F30" s="127" t="s">
        <v>39</v>
      </c>
      <c r="G30" s="127"/>
      <c r="H30" s="7">
        <f>+H28-H15</f>
        <v>3</v>
      </c>
      <c r="I30" s="1"/>
      <c r="J30" s="127" t="s">
        <v>39</v>
      </c>
      <c r="K30" s="127"/>
      <c r="L30" s="7">
        <f>+L28-L15</f>
        <v>-73</v>
      </c>
      <c r="M30" s="1"/>
      <c r="N30" s="127" t="s">
        <v>39</v>
      </c>
      <c r="O30" s="127"/>
      <c r="P30" s="7">
        <f>+P28-P15</f>
        <v>-1203</v>
      </c>
      <c r="Q30" s="1"/>
      <c r="R30" s="127" t="s">
        <v>39</v>
      </c>
      <c r="S30" s="127"/>
      <c r="T30" s="7">
        <f>+T28-T15</f>
        <v>10</v>
      </c>
      <c r="U30" s="1"/>
      <c r="V30" s="12"/>
      <c r="W30" s="124" t="s">
        <v>39</v>
      </c>
      <c r="X30" s="124"/>
      <c r="Y30" s="41">
        <f>+Y28-Y15</f>
        <v>-1401</v>
      </c>
      <c r="Z30" s="13"/>
      <c r="AA30" s="1"/>
      <c r="AB30" s="1"/>
      <c r="AC30" s="1"/>
      <c r="AD30" s="1"/>
      <c r="AE30" s="1"/>
      <c r="AF30" s="62"/>
      <c r="AG30" s="1"/>
      <c r="AH30" s="16"/>
      <c r="AI30" s="16" t="s">
        <v>527</v>
      </c>
      <c r="AJ30" s="16" t="s">
        <v>65</v>
      </c>
      <c r="AK30" s="20" t="s">
        <v>628</v>
      </c>
      <c r="AL30" s="69">
        <v>40000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62"/>
      <c r="AG31" s="1"/>
      <c r="AH31" s="16"/>
      <c r="AI31" s="16"/>
      <c r="AJ31" s="16"/>
      <c r="AK31" s="16"/>
      <c r="AL31" s="16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6"/>
      <c r="AI32" s="16"/>
      <c r="AJ32" s="16"/>
      <c r="AK32" s="16"/>
      <c r="AL32" s="16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6"/>
      <c r="AI33" s="16"/>
      <c r="AJ33" s="16"/>
      <c r="AK33" s="16"/>
      <c r="AL33" s="16"/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>
        <v>73</v>
      </c>
      <c r="M34" s="1"/>
      <c r="N34" s="10" t="s">
        <v>40</v>
      </c>
      <c r="O34" s="11"/>
      <c r="P34" s="21">
        <v>1203</v>
      </c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1276</v>
      </c>
      <c r="Z34" s="1"/>
      <c r="AA34" s="1"/>
      <c r="AB34" s="1"/>
      <c r="AC34" s="1"/>
      <c r="AD34" s="1"/>
      <c r="AE34" s="1"/>
      <c r="AF34" s="62"/>
      <c r="AG34" s="1"/>
      <c r="AH34" s="1"/>
      <c r="AI34" s="1"/>
      <c r="AJ34" s="1"/>
      <c r="AK34" s="1"/>
      <c r="AL34" s="1"/>
    </row>
    <row r="35" spans="2:38">
      <c r="B35" s="12" t="s">
        <v>619</v>
      </c>
      <c r="C35" s="16"/>
      <c r="D35" s="22">
        <v>146</v>
      </c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41</v>
      </c>
      <c r="S35" s="16"/>
      <c r="T35" s="22"/>
      <c r="U35" s="1"/>
      <c r="V35" s="1"/>
      <c r="W35" s="45" t="s">
        <v>41</v>
      </c>
      <c r="X35" s="40"/>
      <c r="Y35" s="46">
        <f t="shared" ref="Y35:Y36" si="9">+D35+H35+L35+P35+T35</f>
        <v>146</v>
      </c>
      <c r="Z35" s="1"/>
      <c r="AA35" s="1"/>
      <c r="AB35" s="1"/>
      <c r="AC35" s="1"/>
      <c r="AD35" s="1"/>
      <c r="AE35" s="1"/>
      <c r="AF35" s="62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-8</v>
      </c>
      <c r="E36" s="1"/>
      <c r="F36" s="12" t="s">
        <v>43</v>
      </c>
      <c r="G36" s="16"/>
      <c r="H36" s="22">
        <v>-3</v>
      </c>
      <c r="I36" s="1"/>
      <c r="J36" s="12" t="s">
        <v>43</v>
      </c>
      <c r="K36" s="16"/>
      <c r="L36" s="22"/>
      <c r="M36" s="1"/>
      <c r="N36" s="12" t="s">
        <v>43</v>
      </c>
      <c r="O36" s="16"/>
      <c r="P36" s="22"/>
      <c r="Q36" s="1"/>
      <c r="R36" s="12" t="s">
        <v>43</v>
      </c>
      <c r="S36" s="16"/>
      <c r="T36" s="22">
        <v>-10</v>
      </c>
      <c r="U36" s="1"/>
      <c r="V36" s="1"/>
      <c r="W36" s="45" t="s">
        <v>42</v>
      </c>
      <c r="X36" s="40"/>
      <c r="Y36" s="46">
        <f t="shared" si="9"/>
        <v>-21</v>
      </c>
      <c r="Z36" s="1"/>
      <c r="AA36" s="1"/>
      <c r="AB36" s="1"/>
      <c r="AC36" s="1"/>
      <c r="AD36" s="1"/>
      <c r="AE36" s="1"/>
      <c r="AF36" s="62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138</v>
      </c>
      <c r="E37" s="1"/>
      <c r="F37" s="12" t="s">
        <v>17</v>
      </c>
      <c r="G37" s="16"/>
      <c r="H37" s="22">
        <f>+SUM(H34:H36)</f>
        <v>-3</v>
      </c>
      <c r="I37" s="1"/>
      <c r="J37" s="12" t="s">
        <v>17</v>
      </c>
      <c r="K37" s="16"/>
      <c r="L37" s="22">
        <f>+SUM(L34:L36)</f>
        <v>73</v>
      </c>
      <c r="M37" s="1"/>
      <c r="N37" s="12" t="s">
        <v>17</v>
      </c>
      <c r="O37" s="16"/>
      <c r="P37" s="22">
        <f>+SUM(P34:P36)</f>
        <v>1203</v>
      </c>
      <c r="Q37" s="1"/>
      <c r="R37" s="12" t="s">
        <v>17</v>
      </c>
      <c r="S37" s="16"/>
      <c r="T37" s="22">
        <f>+SUM(T34:T36)</f>
        <v>-10</v>
      </c>
      <c r="U37" s="1"/>
      <c r="V37" s="1"/>
      <c r="W37" s="33" t="s">
        <v>17</v>
      </c>
      <c r="X37" s="34"/>
      <c r="Y37" s="35">
        <f>+SUM(Y34:Y36)</f>
        <v>1401</v>
      </c>
      <c r="Z37" s="1"/>
      <c r="AA37" s="1"/>
      <c r="AB37" s="60" t="s">
        <v>38</v>
      </c>
      <c r="AC37" s="60"/>
      <c r="AD37" s="60"/>
      <c r="AE37" s="60"/>
      <c r="AF37" s="55">
        <f>+SUM(AF23:AF36)</f>
        <v>28200</v>
      </c>
      <c r="AG37" s="1"/>
      <c r="AH37" s="1"/>
      <c r="AI37" s="60" t="s">
        <v>38</v>
      </c>
      <c r="AJ37" s="60"/>
      <c r="AK37" s="60"/>
      <c r="AL37" s="67">
        <f>+SUM(AL23:AL36)</f>
        <v>207326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2:AL39"/>
  <sheetViews>
    <sheetView topLeftCell="A13" zoomScale="90" zoomScaleNormal="90" workbookViewId="0">
      <selection activeCell="AB23" sqref="AB23:AF23"/>
    </sheetView>
  </sheetViews>
  <sheetFormatPr defaultRowHeight="15"/>
  <cols>
    <col min="3" max="3" width="14.85546875" customWidth="1"/>
    <col min="5" max="5" width="0.42578125" customWidth="1"/>
    <col min="7" max="7" width="14.140625" customWidth="1"/>
    <col min="9" max="9" width="0.7109375" customWidth="1"/>
    <col min="11" max="11" width="13.140625" customWidth="1"/>
    <col min="13" max="13" width="0.42578125" customWidth="1"/>
    <col min="15" max="15" width="12.7109375" customWidth="1"/>
    <col min="17" max="17" width="0.5703125" customWidth="1"/>
    <col min="20" max="20" width="10.7109375" customWidth="1"/>
    <col min="21" max="22" width="0.42578125" customWidth="1"/>
    <col min="25" max="25" width="11.140625" customWidth="1"/>
    <col min="26" max="26" width="0.5703125" customWidth="1"/>
    <col min="27" max="27" width="0.7109375" customWidth="1"/>
    <col min="29" max="29" width="10.140625" bestFit="1" customWidth="1"/>
    <col min="33" max="33" width="2" customWidth="1"/>
    <col min="34" max="34" width="9.140625" hidden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6</v>
      </c>
      <c r="D6" s="36">
        <f>+C6*B6</f>
        <v>60</v>
      </c>
      <c r="E6" s="1"/>
      <c r="F6" s="2">
        <v>10</v>
      </c>
      <c r="G6" s="2">
        <v>66</v>
      </c>
      <c r="H6" s="36">
        <f>+G6*F6</f>
        <v>660</v>
      </c>
      <c r="I6" s="1"/>
      <c r="J6" s="2">
        <v>10</v>
      </c>
      <c r="K6" s="2">
        <v>25</v>
      </c>
      <c r="L6" s="36">
        <f>+K6*J6</f>
        <v>250</v>
      </c>
      <c r="M6" s="1"/>
      <c r="N6" s="2">
        <v>10</v>
      </c>
      <c r="O6" s="2">
        <v>140</v>
      </c>
      <c r="P6" s="36">
        <f>+O6*N6</f>
        <v>1400</v>
      </c>
      <c r="Q6" s="1"/>
      <c r="R6" s="2">
        <v>10</v>
      </c>
      <c r="S6" s="2">
        <v>108</v>
      </c>
      <c r="T6" s="36">
        <f>+S6*R6</f>
        <v>1080</v>
      </c>
      <c r="U6" s="1"/>
      <c r="V6" s="12"/>
      <c r="W6" s="39">
        <v>10</v>
      </c>
      <c r="X6" s="39">
        <f>+C6+G6+K6+O6+S6</f>
        <v>345</v>
      </c>
      <c r="Y6" s="37">
        <f>+D6+H6+L6+P6+T6</f>
        <v>3450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1</v>
      </c>
      <c r="D7" s="36">
        <f t="shared" ref="D7:D12" si="1">+C7*B7</f>
        <v>20</v>
      </c>
      <c r="E7" s="1"/>
      <c r="F7" s="2">
        <v>20</v>
      </c>
      <c r="G7" s="2">
        <v>4</v>
      </c>
      <c r="H7" s="36">
        <f t="shared" ref="H7:H12" si="2">+G7*F7</f>
        <v>80</v>
      </c>
      <c r="I7" s="1"/>
      <c r="J7" s="2">
        <v>20</v>
      </c>
      <c r="K7" s="2">
        <v>8</v>
      </c>
      <c r="L7" s="36">
        <f t="shared" ref="L7:L12" si="3">+K7*J7</f>
        <v>160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>
        <v>1</v>
      </c>
      <c r="T7" s="36">
        <f t="shared" ref="T7:T12" si="5">+S7*R7</f>
        <v>20</v>
      </c>
      <c r="U7" s="1"/>
      <c r="V7" s="12"/>
      <c r="W7" s="39">
        <v>20</v>
      </c>
      <c r="X7" s="39">
        <f>+C7+G7+K7+O7+S7</f>
        <v>14</v>
      </c>
      <c r="Y7" s="37">
        <f t="shared" ref="Y7:Y12" si="6">+D7+H7+L7+P7+T7</f>
        <v>280</v>
      </c>
      <c r="Z7" s="13"/>
      <c r="AA7" s="1"/>
      <c r="AB7" s="56" t="s">
        <v>9</v>
      </c>
      <c r="AC7" s="57">
        <f>Y13</f>
        <v>237480</v>
      </c>
      <c r="AD7" s="26"/>
      <c r="AE7" s="26"/>
      <c r="AF7" s="26"/>
      <c r="AG7" s="26"/>
      <c r="AH7" s="1"/>
      <c r="AI7" s="2">
        <v>10</v>
      </c>
      <c r="AJ7" s="2">
        <v>419</v>
      </c>
      <c r="AK7" s="36">
        <f t="shared" si="0"/>
        <v>4190</v>
      </c>
      <c r="AL7" s="1"/>
    </row>
    <row r="8" spans="2:38">
      <c r="B8" s="2">
        <v>50</v>
      </c>
      <c r="C8" s="2">
        <v>79</v>
      </c>
      <c r="D8" s="36">
        <f t="shared" si="1"/>
        <v>3950</v>
      </c>
      <c r="E8" s="1"/>
      <c r="F8" s="2">
        <v>50</v>
      </c>
      <c r="G8" s="2">
        <v>24</v>
      </c>
      <c r="H8" s="36">
        <f t="shared" si="2"/>
        <v>1200</v>
      </c>
      <c r="I8" s="1"/>
      <c r="J8" s="2">
        <v>50</v>
      </c>
      <c r="K8" s="2">
        <v>41</v>
      </c>
      <c r="L8" s="36">
        <f t="shared" si="3"/>
        <v>2050</v>
      </c>
      <c r="M8" s="1"/>
      <c r="N8" s="2">
        <v>50</v>
      </c>
      <c r="O8" s="2"/>
      <c r="P8" s="36">
        <f t="shared" si="4"/>
        <v>0</v>
      </c>
      <c r="Q8" s="1"/>
      <c r="R8" s="2">
        <v>50</v>
      </c>
      <c r="S8" s="2">
        <v>3</v>
      </c>
      <c r="T8" s="36">
        <f t="shared" si="5"/>
        <v>150</v>
      </c>
      <c r="U8" s="1"/>
      <c r="V8" s="12"/>
      <c r="W8" s="39">
        <v>50</v>
      </c>
      <c r="X8" s="39">
        <f t="shared" ref="X8:X12" si="7">+C8+G8+K8+O8+S8</f>
        <v>147</v>
      </c>
      <c r="Y8" s="37">
        <f t="shared" si="6"/>
        <v>7350</v>
      </c>
      <c r="Z8" s="13"/>
      <c r="AA8" s="1"/>
      <c r="AB8" s="53" t="s">
        <v>10</v>
      </c>
      <c r="AC8" s="53">
        <f>+AF37</f>
        <v>593240</v>
      </c>
      <c r="AD8" s="1"/>
      <c r="AE8" s="1"/>
      <c r="AF8" s="1"/>
      <c r="AG8" s="1"/>
      <c r="AH8" s="1"/>
      <c r="AI8" s="2">
        <v>20</v>
      </c>
      <c r="AJ8" s="2">
        <v>29</v>
      </c>
      <c r="AK8" s="36">
        <f t="shared" si="0"/>
        <v>580</v>
      </c>
      <c r="AL8" s="1"/>
    </row>
    <row r="9" spans="2:38" ht="15.75" thickBot="1">
      <c r="B9" s="2">
        <v>100</v>
      </c>
      <c r="C9" s="2">
        <v>27</v>
      </c>
      <c r="D9" s="36">
        <f t="shared" si="1"/>
        <v>2700</v>
      </c>
      <c r="E9" s="1"/>
      <c r="F9" s="2">
        <v>100</v>
      </c>
      <c r="G9" s="2">
        <v>3</v>
      </c>
      <c r="H9" s="36">
        <f t="shared" si="2"/>
        <v>300</v>
      </c>
      <c r="I9" s="1"/>
      <c r="J9" s="2">
        <v>100</v>
      </c>
      <c r="K9" s="2">
        <v>53</v>
      </c>
      <c r="L9" s="36">
        <f t="shared" si="3"/>
        <v>5300</v>
      </c>
      <c r="M9" s="1"/>
      <c r="N9" s="2">
        <v>100</v>
      </c>
      <c r="O9" s="2">
        <v>5</v>
      </c>
      <c r="P9" s="36">
        <f t="shared" si="4"/>
        <v>500</v>
      </c>
      <c r="Q9" s="1"/>
      <c r="R9" s="2">
        <v>100</v>
      </c>
      <c r="S9" s="2">
        <v>1</v>
      </c>
      <c r="T9" s="36">
        <f t="shared" si="5"/>
        <v>100</v>
      </c>
      <c r="U9" s="1"/>
      <c r="V9" s="12"/>
      <c r="W9" s="39">
        <v>100</v>
      </c>
      <c r="X9" s="39">
        <f t="shared" si="7"/>
        <v>89</v>
      </c>
      <c r="Y9" s="37">
        <f t="shared" si="6"/>
        <v>8900</v>
      </c>
      <c r="Z9" s="13"/>
      <c r="AA9" s="1"/>
      <c r="AB9" s="58" t="s">
        <v>11</v>
      </c>
      <c r="AC9" s="59">
        <f>SUM(AC7:AC8)</f>
        <v>830720</v>
      </c>
      <c r="AD9" s="1"/>
      <c r="AE9" s="1"/>
      <c r="AF9" s="1"/>
      <c r="AG9" s="1"/>
      <c r="AH9" s="1"/>
      <c r="AI9" s="2">
        <v>50</v>
      </c>
      <c r="AJ9" s="2">
        <v>219</v>
      </c>
      <c r="AK9" s="36">
        <f t="shared" si="0"/>
        <v>10950</v>
      </c>
      <c r="AL9" s="1"/>
    </row>
    <row r="10" spans="2:38">
      <c r="B10" s="2">
        <v>500</v>
      </c>
      <c r="C10" s="2">
        <v>20</v>
      </c>
      <c r="D10" s="36">
        <f t="shared" si="1"/>
        <v>10000</v>
      </c>
      <c r="E10" s="1"/>
      <c r="F10" s="2">
        <v>500</v>
      </c>
      <c r="G10" s="2">
        <v>18</v>
      </c>
      <c r="H10" s="36">
        <f t="shared" si="2"/>
        <v>9000</v>
      </c>
      <c r="I10" s="1"/>
      <c r="J10" s="2">
        <v>500</v>
      </c>
      <c r="K10" s="2">
        <v>15</v>
      </c>
      <c r="L10" s="36">
        <f t="shared" si="3"/>
        <v>7500</v>
      </c>
      <c r="M10" s="1"/>
      <c r="N10" s="2">
        <v>500</v>
      </c>
      <c r="O10" s="2">
        <v>19</v>
      </c>
      <c r="P10" s="36">
        <f t="shared" si="4"/>
        <v>9500</v>
      </c>
      <c r="Q10" s="1"/>
      <c r="R10" s="2">
        <v>500</v>
      </c>
      <c r="S10" s="2">
        <v>1</v>
      </c>
      <c r="T10" s="36">
        <f t="shared" si="5"/>
        <v>500</v>
      </c>
      <c r="U10" s="1"/>
      <c r="V10" s="12"/>
      <c r="W10" s="39">
        <v>500</v>
      </c>
      <c r="X10" s="39">
        <f t="shared" si="7"/>
        <v>73</v>
      </c>
      <c r="Y10" s="37">
        <f t="shared" si="6"/>
        <v>36500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150</v>
      </c>
      <c r="AK10" s="36">
        <f t="shared" si="0"/>
        <v>15000</v>
      </c>
      <c r="AL10" s="1"/>
    </row>
    <row r="11" spans="2:38">
      <c r="B11" s="2">
        <v>1000</v>
      </c>
      <c r="C11" s="2">
        <v>29</v>
      </c>
      <c r="D11" s="36">
        <f t="shared" si="1"/>
        <v>29000</v>
      </c>
      <c r="E11" s="1"/>
      <c r="F11" s="2">
        <v>1000</v>
      </c>
      <c r="G11" s="2">
        <v>46</v>
      </c>
      <c r="H11" s="36">
        <f t="shared" si="2"/>
        <v>46000</v>
      </c>
      <c r="I11" s="1"/>
      <c r="J11" s="2">
        <v>1000</v>
      </c>
      <c r="K11" s="2">
        <v>39</v>
      </c>
      <c r="L11" s="36">
        <f t="shared" si="3"/>
        <v>39000</v>
      </c>
      <c r="M11" s="1"/>
      <c r="N11" s="2">
        <v>1000</v>
      </c>
      <c r="O11" s="2">
        <v>20</v>
      </c>
      <c r="P11" s="36">
        <f t="shared" si="4"/>
        <v>20000</v>
      </c>
      <c r="Q11" s="1"/>
      <c r="R11" s="2">
        <v>1000</v>
      </c>
      <c r="S11" s="2">
        <v>2</v>
      </c>
      <c r="T11" s="36">
        <f t="shared" si="5"/>
        <v>2000</v>
      </c>
      <c r="U11" s="1"/>
      <c r="V11" s="12"/>
      <c r="W11" s="39">
        <v>1000</v>
      </c>
      <c r="X11" s="39">
        <f t="shared" si="7"/>
        <v>136</v>
      </c>
      <c r="Y11" s="37">
        <f t="shared" si="6"/>
        <v>136000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271</v>
      </c>
      <c r="AK11" s="36">
        <f t="shared" si="0"/>
        <v>135500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5</v>
      </c>
      <c r="H12" s="36">
        <f t="shared" si="2"/>
        <v>25000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>
        <v>4</v>
      </c>
      <c r="P12" s="36">
        <f t="shared" si="4"/>
        <v>20000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9</v>
      </c>
      <c r="Y12" s="37">
        <f t="shared" si="6"/>
        <v>45000</v>
      </c>
      <c r="Z12" s="13"/>
      <c r="AA12" s="1"/>
      <c r="AB12" s="1" t="s">
        <v>16</v>
      </c>
      <c r="AC12" s="5">
        <v>812220</v>
      </c>
      <c r="AD12" s="1"/>
      <c r="AE12" s="52"/>
      <c r="AF12" s="1"/>
      <c r="AG12" s="1"/>
      <c r="AH12" s="1"/>
      <c r="AI12" s="2">
        <v>1000</v>
      </c>
      <c r="AJ12" s="2">
        <v>471</v>
      </c>
      <c r="AK12" s="36">
        <f t="shared" si="0"/>
        <v>471000</v>
      </c>
      <c r="AL12" s="1"/>
    </row>
    <row r="13" spans="2:38" ht="15.75" thickBot="1">
      <c r="B13" s="3" t="s">
        <v>17</v>
      </c>
      <c r="C13" s="3"/>
      <c r="D13" s="6">
        <f>+SUM(D5:D12)</f>
        <v>45730</v>
      </c>
      <c r="E13" s="1"/>
      <c r="F13" s="3" t="s">
        <v>17</v>
      </c>
      <c r="G13" s="3"/>
      <c r="H13" s="6">
        <f>+SUM(H5:H12)</f>
        <v>82240</v>
      </c>
      <c r="I13" s="1"/>
      <c r="J13" s="3" t="s">
        <v>17</v>
      </c>
      <c r="K13" s="3"/>
      <c r="L13" s="6">
        <f>+SUM(L5:L12)</f>
        <v>54260</v>
      </c>
      <c r="M13" s="1"/>
      <c r="N13" s="3" t="s">
        <v>17</v>
      </c>
      <c r="O13" s="3"/>
      <c r="P13" s="6">
        <f>+SUM(P5:P12)</f>
        <v>51400</v>
      </c>
      <c r="Q13" s="1"/>
      <c r="R13" s="3" t="s">
        <v>17</v>
      </c>
      <c r="S13" s="3"/>
      <c r="T13" s="6">
        <f>+SUM(T5:T12)</f>
        <v>3850</v>
      </c>
      <c r="U13" s="1"/>
      <c r="V13" s="12"/>
      <c r="W13" s="3" t="s">
        <v>17</v>
      </c>
      <c r="X13" s="3"/>
      <c r="Y13" s="6">
        <f>+SUM(Y5:Y12)</f>
        <v>237480</v>
      </c>
      <c r="Z13" s="13"/>
      <c r="AA13" s="1"/>
      <c r="AB13" s="1" t="s">
        <v>18</v>
      </c>
      <c r="AC13" s="5"/>
      <c r="AD13" s="1"/>
      <c r="AE13" s="1"/>
      <c r="AF13" s="1"/>
      <c r="AG13" s="1"/>
      <c r="AH13" s="1"/>
      <c r="AI13" s="2">
        <v>5000</v>
      </c>
      <c r="AJ13" s="2">
        <v>35</v>
      </c>
      <c r="AK13" s="36">
        <f t="shared" si="0"/>
        <v>175000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645</v>
      </c>
      <c r="AC14" s="5">
        <v>1000</v>
      </c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812220</v>
      </c>
      <c r="AL14" s="1"/>
    </row>
    <row r="15" spans="2:38" ht="15.75" thickBot="1">
      <c r="B15" s="128" t="s">
        <v>20</v>
      </c>
      <c r="C15" s="129"/>
      <c r="D15" s="8">
        <v>60610</v>
      </c>
      <c r="E15" s="30"/>
      <c r="F15" s="128" t="s">
        <v>20</v>
      </c>
      <c r="G15" s="129"/>
      <c r="H15" s="8">
        <v>98961</v>
      </c>
      <c r="I15" s="30"/>
      <c r="J15" s="128" t="s">
        <v>20</v>
      </c>
      <c r="K15" s="129"/>
      <c r="L15" s="8">
        <v>67967</v>
      </c>
      <c r="M15" s="30"/>
      <c r="N15" s="128" t="s">
        <v>20</v>
      </c>
      <c r="O15" s="129"/>
      <c r="P15" s="8">
        <v>55113</v>
      </c>
      <c r="Q15" s="30"/>
      <c r="R15" s="128" t="s">
        <v>20</v>
      </c>
      <c r="S15" s="129"/>
      <c r="T15" s="8">
        <v>1287985</v>
      </c>
      <c r="U15" s="30"/>
      <c r="V15" s="31"/>
      <c r="W15" s="128" t="s">
        <v>20</v>
      </c>
      <c r="X15" s="129"/>
      <c r="Y15" s="8">
        <f>+D15+H15+L15+P15+T15</f>
        <v>1570636</v>
      </c>
      <c r="Z15" s="32"/>
      <c r="AA15" s="30"/>
      <c r="AB15" s="1" t="s">
        <v>646</v>
      </c>
      <c r="AC15" s="5">
        <v>5000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45730</v>
      </c>
      <c r="E16" s="1"/>
      <c r="F16" s="1" t="s">
        <v>9</v>
      </c>
      <c r="G16" s="1"/>
      <c r="H16" s="5">
        <f>+H13</f>
        <v>82240</v>
      </c>
      <c r="I16" s="1"/>
      <c r="J16" s="1" t="s">
        <v>9</v>
      </c>
      <c r="K16" s="1"/>
      <c r="L16" s="5">
        <f>+L13</f>
        <v>54260</v>
      </c>
      <c r="M16" s="1"/>
      <c r="N16" s="1" t="s">
        <v>9</v>
      </c>
      <c r="O16" s="1"/>
      <c r="P16" s="5">
        <f>+P13</f>
        <v>51400</v>
      </c>
      <c r="Q16" s="1"/>
      <c r="R16" s="1" t="s">
        <v>9</v>
      </c>
      <c r="S16" s="1"/>
      <c r="T16" s="5">
        <f>+T13</f>
        <v>3850</v>
      </c>
      <c r="U16" s="1"/>
      <c r="V16" s="12"/>
      <c r="W16" s="40" t="s">
        <v>9</v>
      </c>
      <c r="X16" s="40"/>
      <c r="Y16" s="37">
        <f>+D16+H16+L16+P16+T16</f>
        <v>237480</v>
      </c>
      <c r="Z16" s="13"/>
      <c r="AA16" s="1"/>
      <c r="AB16" s="1" t="s">
        <v>22</v>
      </c>
      <c r="AC16" s="5">
        <f>5000+5000+2500</f>
        <v>12500</v>
      </c>
      <c r="AD16" s="26"/>
      <c r="AE16" s="26"/>
      <c r="AF16" s="26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>
        <v>1000</v>
      </c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1000</v>
      </c>
      <c r="Z17" s="13"/>
      <c r="AA17" s="1"/>
      <c r="AB17" s="48" t="s">
        <v>11</v>
      </c>
      <c r="AC17" s="49">
        <f>+SUM(AC12:AC16)</f>
        <v>830720</v>
      </c>
      <c r="AD17" s="95" t="s">
        <v>647</v>
      </c>
      <c r="AE17" s="95"/>
      <c r="AF17" s="95"/>
      <c r="AG17" s="1"/>
      <c r="AH17" s="1"/>
      <c r="AI17" s="1"/>
      <c r="AJ17" s="1"/>
      <c r="AK17" s="1"/>
      <c r="AL17" s="1"/>
    </row>
    <row r="18" spans="2:38">
      <c r="B18" s="1" t="s">
        <v>631</v>
      </c>
      <c r="C18" s="1" t="s">
        <v>636</v>
      </c>
      <c r="D18" s="5">
        <v>5877</v>
      </c>
      <c r="E18" s="1"/>
      <c r="F18" s="1" t="s">
        <v>566</v>
      </c>
      <c r="G18" s="1" t="s">
        <v>632</v>
      </c>
      <c r="H18" s="5">
        <v>8000</v>
      </c>
      <c r="I18" s="1"/>
      <c r="J18" s="1" t="s">
        <v>631</v>
      </c>
      <c r="K18" s="1" t="s">
        <v>639</v>
      </c>
      <c r="L18" s="5">
        <v>12000</v>
      </c>
      <c r="M18" s="1"/>
      <c r="N18" s="1" t="s">
        <v>566</v>
      </c>
      <c r="O18" s="1" t="s">
        <v>630</v>
      </c>
      <c r="P18" s="5">
        <v>3728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29605</v>
      </c>
      <c r="Z18" s="13"/>
      <c r="AA18" s="1"/>
      <c r="AB18" s="50" t="s">
        <v>24</v>
      </c>
      <c r="AC18" s="51">
        <f>+AC17-AC9</f>
        <v>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637</v>
      </c>
      <c r="C19" s="1" t="s">
        <v>638</v>
      </c>
      <c r="D19" s="5">
        <v>8600</v>
      </c>
      <c r="E19" s="1"/>
      <c r="F19" s="1" t="s">
        <v>451</v>
      </c>
      <c r="G19" s="1" t="s">
        <v>633</v>
      </c>
      <c r="H19" s="5">
        <v>5955</v>
      </c>
      <c r="I19" s="1"/>
      <c r="J19" s="1" t="s">
        <v>26</v>
      </c>
      <c r="K19" s="1"/>
      <c r="L19" s="5"/>
      <c r="M19" s="1"/>
      <c r="N19" s="1" t="s">
        <v>26</v>
      </c>
      <c r="O19" s="1"/>
      <c r="P19" s="5"/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14555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106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634</v>
      </c>
      <c r="G23" s="1" t="s">
        <v>635</v>
      </c>
      <c r="H23" s="5">
        <v>2916</v>
      </c>
      <c r="I23" s="1"/>
      <c r="J23" s="1" t="s">
        <v>35</v>
      </c>
      <c r="K23" s="1"/>
      <c r="L23" s="5"/>
      <c r="M23" s="1"/>
      <c r="N23" s="1" t="s">
        <v>46</v>
      </c>
      <c r="O23" s="1"/>
      <c r="P23" s="5"/>
      <c r="Q23" s="1"/>
      <c r="R23" s="1" t="s">
        <v>640</v>
      </c>
      <c r="S23" s="1" t="s">
        <v>49</v>
      </c>
      <c r="T23" s="5">
        <v>764099</v>
      </c>
      <c r="U23" s="1"/>
      <c r="V23" s="12"/>
      <c r="W23" s="40" t="s">
        <v>35</v>
      </c>
      <c r="X23" s="40"/>
      <c r="Y23" s="37">
        <f t="shared" si="8"/>
        <v>767015</v>
      </c>
      <c r="Z23" s="13"/>
      <c r="AA23" s="1"/>
      <c r="AB23" s="16" t="s">
        <v>644</v>
      </c>
      <c r="AC23" s="71">
        <v>45975</v>
      </c>
      <c r="AD23" s="16" t="s">
        <v>157</v>
      </c>
      <c r="AE23" s="16"/>
      <c r="AF23" s="69">
        <v>104500</v>
      </c>
      <c r="AG23" s="1"/>
      <c r="AH23" s="1"/>
      <c r="AI23" s="16" t="s">
        <v>49</v>
      </c>
      <c r="AJ23" s="20" t="s">
        <v>464</v>
      </c>
      <c r="AK23" s="1"/>
      <c r="AL23" s="62">
        <v>100000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641</v>
      </c>
      <c r="S24" s="1" t="s">
        <v>52</v>
      </c>
      <c r="T24" s="5">
        <v>102979</v>
      </c>
      <c r="U24" s="1"/>
      <c r="V24" s="12"/>
      <c r="W24" s="40" t="s">
        <v>36</v>
      </c>
      <c r="X24" s="40"/>
      <c r="Y24" s="37">
        <f t="shared" si="8"/>
        <v>102979</v>
      </c>
      <c r="Z24" s="13"/>
      <c r="AA24" s="1"/>
      <c r="AB24" s="20" t="s">
        <v>464</v>
      </c>
      <c r="AC24" s="89">
        <v>45976</v>
      </c>
      <c r="AD24" s="16" t="s">
        <v>49</v>
      </c>
      <c r="AE24" s="16"/>
      <c r="AF24" s="69">
        <v>338740</v>
      </c>
      <c r="AG24" s="1"/>
      <c r="AH24" s="1"/>
      <c r="AI24" s="20" t="s">
        <v>90</v>
      </c>
      <c r="AJ24" s="1" t="s">
        <v>64</v>
      </c>
      <c r="AK24" s="1"/>
      <c r="AL24" s="62">
        <v>1000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642</v>
      </c>
      <c r="S25" s="1" t="s">
        <v>643</v>
      </c>
      <c r="T25" s="5">
        <v>416979</v>
      </c>
      <c r="U25" s="1"/>
      <c r="V25" s="12"/>
      <c r="W25" s="40" t="s">
        <v>37</v>
      </c>
      <c r="X25" s="40"/>
      <c r="Y25" s="37">
        <f t="shared" si="8"/>
        <v>416979</v>
      </c>
      <c r="Z25" s="13"/>
      <c r="AA25" s="1"/>
      <c r="AB25" s="20" t="s">
        <v>597</v>
      </c>
      <c r="AC25" s="89">
        <v>45969</v>
      </c>
      <c r="AD25" s="1" t="s">
        <v>191</v>
      </c>
      <c r="AE25" s="1"/>
      <c r="AF25" s="62">
        <v>150000</v>
      </c>
      <c r="AG25" s="1"/>
      <c r="AH25" s="1"/>
      <c r="AI25" s="1"/>
      <c r="AJ25" s="1"/>
      <c r="AK25" s="1"/>
      <c r="AL25" s="62"/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96"/>
      <c r="AG26" s="1"/>
      <c r="AH26" s="1"/>
      <c r="AI26" s="1"/>
      <c r="AJ26" s="1"/>
      <c r="AK26" s="1"/>
      <c r="AL26" s="62"/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62"/>
      <c r="AG27" s="1"/>
      <c r="AH27" s="1"/>
      <c r="AI27" s="1"/>
      <c r="AJ27" s="1"/>
      <c r="AK27" s="1"/>
      <c r="AL27" s="62"/>
    </row>
    <row r="28" spans="2:38" ht="15.75" thickBot="1">
      <c r="B28" s="125" t="s">
        <v>11</v>
      </c>
      <c r="C28" s="126"/>
      <c r="D28" s="9">
        <f>+SUM(D16:D27)</f>
        <v>60207</v>
      </c>
      <c r="E28" s="1"/>
      <c r="F28" s="125" t="s">
        <v>11</v>
      </c>
      <c r="G28" s="126"/>
      <c r="H28" s="9">
        <f>+SUM(H16:H27)</f>
        <v>99111</v>
      </c>
      <c r="I28" s="1"/>
      <c r="J28" s="125" t="s">
        <v>11</v>
      </c>
      <c r="K28" s="126"/>
      <c r="L28" s="9">
        <f>+SUM(L16:L27)</f>
        <v>67260</v>
      </c>
      <c r="M28" s="1"/>
      <c r="N28" s="125" t="s">
        <v>11</v>
      </c>
      <c r="O28" s="126"/>
      <c r="P28" s="9">
        <f>+SUM(P16:P27)</f>
        <v>55128</v>
      </c>
      <c r="Q28" s="1"/>
      <c r="R28" s="125" t="s">
        <v>11</v>
      </c>
      <c r="S28" s="126"/>
      <c r="T28" s="9">
        <f>+SUM(T16:T27)</f>
        <v>1287907</v>
      </c>
      <c r="U28" s="1"/>
      <c r="V28" s="12"/>
      <c r="W28" s="125" t="s">
        <v>11</v>
      </c>
      <c r="X28" s="126"/>
      <c r="Y28" s="9">
        <f>+SUM(Y16:Y27)</f>
        <v>1569613</v>
      </c>
      <c r="Z28" s="13"/>
      <c r="AA28" s="1"/>
      <c r="AB28" s="1"/>
      <c r="AC28" s="1"/>
      <c r="AD28" s="1"/>
      <c r="AE28" s="1"/>
      <c r="AF28" s="62"/>
      <c r="AG28" s="1"/>
      <c r="AH28" s="1"/>
      <c r="AI28" s="1"/>
      <c r="AJ28" s="1"/>
      <c r="AK28" s="1"/>
      <c r="AL28" s="62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62"/>
      <c r="AG29" s="1"/>
      <c r="AH29" s="1"/>
      <c r="AI29" s="1"/>
      <c r="AJ29" s="1"/>
      <c r="AK29" s="1"/>
      <c r="AL29" s="62"/>
    </row>
    <row r="30" spans="2:38" ht="15.75" thickBot="1">
      <c r="B30" s="127" t="s">
        <v>39</v>
      </c>
      <c r="C30" s="127"/>
      <c r="D30" s="7">
        <f>+D28-D15</f>
        <v>-403</v>
      </c>
      <c r="E30" s="1"/>
      <c r="F30" s="127" t="s">
        <v>39</v>
      </c>
      <c r="G30" s="127"/>
      <c r="H30" s="7">
        <f>+H28-H15</f>
        <v>150</v>
      </c>
      <c r="I30" s="1"/>
      <c r="J30" s="127" t="s">
        <v>39</v>
      </c>
      <c r="K30" s="127"/>
      <c r="L30" s="7">
        <f>+L28-L15</f>
        <v>-707</v>
      </c>
      <c r="M30" s="1"/>
      <c r="N30" s="127" t="s">
        <v>39</v>
      </c>
      <c r="O30" s="127"/>
      <c r="P30" s="7">
        <f>+P28-P15</f>
        <v>15</v>
      </c>
      <c r="Q30" s="1"/>
      <c r="R30" s="127" t="s">
        <v>39</v>
      </c>
      <c r="S30" s="127"/>
      <c r="T30" s="7">
        <f>+T28-T15</f>
        <v>-78</v>
      </c>
      <c r="U30" s="1"/>
      <c r="V30" s="12"/>
      <c r="W30" s="124" t="s">
        <v>39</v>
      </c>
      <c r="X30" s="124"/>
      <c r="Y30" s="41">
        <f>+Y28-Y15</f>
        <v>-1023</v>
      </c>
      <c r="Z30" s="13"/>
      <c r="AA30" s="1"/>
      <c r="AB30" s="1"/>
      <c r="AC30" s="1"/>
      <c r="AD30" s="1"/>
      <c r="AE30" s="1"/>
      <c r="AF30" s="62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62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>
        <v>403</v>
      </c>
      <c r="E34" s="1"/>
      <c r="F34" s="10" t="s">
        <v>40</v>
      </c>
      <c r="G34" s="11"/>
      <c r="H34" s="21"/>
      <c r="I34" s="1"/>
      <c r="J34" s="10" t="s">
        <v>40</v>
      </c>
      <c r="K34" s="11"/>
      <c r="L34" s="21">
        <v>707</v>
      </c>
      <c r="M34" s="1"/>
      <c r="N34" s="10" t="s">
        <v>40</v>
      </c>
      <c r="O34" s="11"/>
      <c r="P34" s="21"/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1110</v>
      </c>
      <c r="Z34" s="1"/>
      <c r="AA34" s="1"/>
      <c r="AB34" s="1"/>
      <c r="AC34" s="1"/>
      <c r="AD34" s="1"/>
      <c r="AE34" s="1"/>
      <c r="AF34" s="62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88</v>
      </c>
      <c r="S35" s="16"/>
      <c r="T35" s="22">
        <v>78</v>
      </c>
      <c r="U35" s="1"/>
      <c r="V35" s="1"/>
      <c r="W35" s="45" t="s">
        <v>41</v>
      </c>
      <c r="X35" s="40"/>
      <c r="Y35" s="46">
        <f t="shared" ref="Y35:Y36" si="9">+D35+H35+L35+P35+T35</f>
        <v>78</v>
      </c>
      <c r="Z35" s="1"/>
      <c r="AA35" s="1"/>
      <c r="AB35" s="1"/>
      <c r="AC35" s="1"/>
      <c r="AD35" s="1"/>
      <c r="AE35" s="1"/>
      <c r="AF35" s="62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/>
      <c r="E36" s="1"/>
      <c r="F36" s="12" t="s">
        <v>43</v>
      </c>
      <c r="G36" s="16"/>
      <c r="H36" s="22">
        <v>-150</v>
      </c>
      <c r="I36" s="1"/>
      <c r="J36" s="12" t="s">
        <v>43</v>
      </c>
      <c r="K36" s="16"/>
      <c r="L36" s="22"/>
      <c r="M36" s="1"/>
      <c r="N36" s="12" t="s">
        <v>43</v>
      </c>
      <c r="O36" s="16"/>
      <c r="P36" s="22">
        <v>-15</v>
      </c>
      <c r="Q36" s="1"/>
      <c r="R36" s="12" t="s">
        <v>45</v>
      </c>
      <c r="S36" s="16"/>
      <c r="T36" s="22"/>
      <c r="U36" s="1"/>
      <c r="V36" s="1"/>
      <c r="W36" s="45" t="s">
        <v>42</v>
      </c>
      <c r="X36" s="40"/>
      <c r="Y36" s="46">
        <f t="shared" si="9"/>
        <v>-165</v>
      </c>
      <c r="Z36" s="1"/>
      <c r="AA36" s="1"/>
      <c r="AB36" s="1"/>
      <c r="AC36" s="1"/>
      <c r="AD36" s="1"/>
      <c r="AE36" s="1"/>
      <c r="AF36" s="62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403</v>
      </c>
      <c r="E37" s="1"/>
      <c r="F37" s="12" t="s">
        <v>17</v>
      </c>
      <c r="G37" s="16"/>
      <c r="H37" s="22">
        <f>+SUM(H34:H36)</f>
        <v>-150</v>
      </c>
      <c r="I37" s="1"/>
      <c r="J37" s="12" t="s">
        <v>17</v>
      </c>
      <c r="K37" s="16"/>
      <c r="L37" s="22">
        <f>+SUM(L34:L36)</f>
        <v>707</v>
      </c>
      <c r="M37" s="1"/>
      <c r="N37" s="12" t="s">
        <v>17</v>
      </c>
      <c r="O37" s="16"/>
      <c r="P37" s="22">
        <f>+SUM(P34:P36)</f>
        <v>-15</v>
      </c>
      <c r="Q37" s="1"/>
      <c r="R37" s="12" t="s">
        <v>17</v>
      </c>
      <c r="S37" s="16"/>
      <c r="T37" s="22">
        <f>+SUM(T34:T36)</f>
        <v>78</v>
      </c>
      <c r="U37" s="1"/>
      <c r="V37" s="1"/>
      <c r="W37" s="33" t="s">
        <v>17</v>
      </c>
      <c r="X37" s="34"/>
      <c r="Y37" s="35">
        <f>+SUM(Y34:Y36)</f>
        <v>1023</v>
      </c>
      <c r="Z37" s="1"/>
      <c r="AA37" s="1"/>
      <c r="AB37" s="60" t="s">
        <v>38</v>
      </c>
      <c r="AC37" s="60"/>
      <c r="AD37" s="60"/>
      <c r="AE37" s="60"/>
      <c r="AF37" s="55">
        <f>+SUM(AF23:AF36)</f>
        <v>593240</v>
      </c>
      <c r="AG37" s="1"/>
      <c r="AH37" s="1"/>
      <c r="AI37" s="60" t="s">
        <v>38</v>
      </c>
      <c r="AJ37" s="60"/>
      <c r="AK37" s="60"/>
      <c r="AL37" s="67">
        <f>+SUM(AL23:AL36)</f>
        <v>101000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B2:AL39"/>
  <sheetViews>
    <sheetView topLeftCell="A7" zoomScale="90" zoomScaleNormal="90" workbookViewId="0">
      <selection activeCell="AD40" sqref="AD40"/>
    </sheetView>
  </sheetViews>
  <sheetFormatPr defaultRowHeight="15"/>
  <cols>
    <col min="5" max="5" width="0.28515625" customWidth="1"/>
    <col min="7" max="7" width="14.28515625" customWidth="1"/>
    <col min="9" max="9" width="0.7109375" customWidth="1"/>
    <col min="11" max="11" width="14.28515625" customWidth="1"/>
    <col min="13" max="13" width="0.5703125" customWidth="1"/>
    <col min="15" max="15" width="14.85546875" customWidth="1"/>
    <col min="16" max="16" width="9.5703125" bestFit="1" customWidth="1"/>
    <col min="17" max="17" width="0.140625" customWidth="1"/>
    <col min="20" max="20" width="11.140625" customWidth="1"/>
    <col min="21" max="21" width="0.140625" customWidth="1"/>
    <col min="22" max="22" width="0.5703125" customWidth="1"/>
    <col min="26" max="26" width="0.42578125" customWidth="1"/>
    <col min="27" max="27" width="0.28515625" customWidth="1"/>
    <col min="29" max="29" width="10.140625" bestFit="1" customWidth="1"/>
    <col min="33" max="33" width="1.140625" customWidth="1"/>
    <col min="34" max="34" width="9.140625" hidden="1" customWidth="1"/>
    <col min="36" max="36" width="10.140625" bestFit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>
        <v>2</v>
      </c>
      <c r="H5" s="36">
        <f>+G5*F5</f>
        <v>2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2</v>
      </c>
      <c r="Y5" s="37">
        <f>+D5+H5+L5+P5+T5</f>
        <v>2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81</v>
      </c>
      <c r="D6" s="36">
        <f>+C6*B6</f>
        <v>810</v>
      </c>
      <c r="E6" s="1"/>
      <c r="F6" s="2">
        <v>10</v>
      </c>
      <c r="G6" s="2">
        <v>106</v>
      </c>
      <c r="H6" s="36">
        <f>+G6*F6</f>
        <v>1060</v>
      </c>
      <c r="I6" s="1"/>
      <c r="J6" s="2">
        <v>10</v>
      </c>
      <c r="K6" s="2">
        <v>13</v>
      </c>
      <c r="L6" s="36">
        <f>+K6*J6</f>
        <v>130</v>
      </c>
      <c r="M6" s="1"/>
      <c r="N6" s="2">
        <v>10</v>
      </c>
      <c r="O6" s="2">
        <f>26+3</f>
        <v>29</v>
      </c>
      <c r="P6" s="36">
        <f>+O6*N6</f>
        <v>290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229</v>
      </c>
      <c r="Y6" s="37">
        <f>+D6+H6+L6+P6+T6</f>
        <v>2290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2</v>
      </c>
      <c r="AK6" s="36">
        <f t="shared" ref="AK6:AK13" si="0">+AJ6*AI6</f>
        <v>2</v>
      </c>
      <c r="AL6" s="26"/>
    </row>
    <row r="7" spans="2:38">
      <c r="B7" s="2">
        <v>20</v>
      </c>
      <c r="C7" s="2">
        <v>23</v>
      </c>
      <c r="D7" s="36">
        <f t="shared" ref="D7:D12" si="1">+C7*B7</f>
        <v>460</v>
      </c>
      <c r="E7" s="1"/>
      <c r="F7" s="2">
        <v>20</v>
      </c>
      <c r="G7" s="2">
        <v>13</v>
      </c>
      <c r="H7" s="36">
        <f t="shared" ref="H7:H12" si="2">+G7*F7</f>
        <v>260</v>
      </c>
      <c r="I7" s="1"/>
      <c r="J7" s="2">
        <v>20</v>
      </c>
      <c r="K7" s="2">
        <v>4</v>
      </c>
      <c r="L7" s="36">
        <f t="shared" ref="L7:L12" si="3">+K7*J7</f>
        <v>80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40</v>
      </c>
      <c r="Y7" s="37">
        <f t="shared" ref="Y7:Y12" si="6">+D7+H7+L7+P7+T7</f>
        <v>800</v>
      </c>
      <c r="Z7" s="13"/>
      <c r="AA7" s="1"/>
      <c r="AB7" s="56" t="s">
        <v>9</v>
      </c>
      <c r="AC7" s="57">
        <f>Y13</f>
        <v>244342</v>
      </c>
      <c r="AD7" s="26"/>
      <c r="AE7" s="26"/>
      <c r="AF7" s="26"/>
      <c r="AG7" s="26"/>
      <c r="AH7" s="1"/>
      <c r="AI7" s="2">
        <v>10</v>
      </c>
      <c r="AJ7" s="2">
        <v>233</v>
      </c>
      <c r="AK7" s="36">
        <f t="shared" si="0"/>
        <v>2330</v>
      </c>
      <c r="AL7" s="1"/>
    </row>
    <row r="8" spans="2:38">
      <c r="B8" s="2">
        <v>50</v>
      </c>
      <c r="C8" s="2">
        <v>59</v>
      </c>
      <c r="D8" s="36">
        <f t="shared" si="1"/>
        <v>2950</v>
      </c>
      <c r="E8" s="1"/>
      <c r="F8" s="2">
        <v>50</v>
      </c>
      <c r="G8" s="2">
        <v>10</v>
      </c>
      <c r="H8" s="36">
        <f t="shared" si="2"/>
        <v>500</v>
      </c>
      <c r="I8" s="1"/>
      <c r="J8" s="2">
        <v>50</v>
      </c>
      <c r="K8" s="2">
        <v>50</v>
      </c>
      <c r="L8" s="36">
        <f t="shared" si="3"/>
        <v>2500</v>
      </c>
      <c r="M8" s="1"/>
      <c r="N8" s="2">
        <v>50</v>
      </c>
      <c r="O8" s="2">
        <v>4</v>
      </c>
      <c r="P8" s="36">
        <f t="shared" si="4"/>
        <v>200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123</v>
      </c>
      <c r="Y8" s="37">
        <f t="shared" si="6"/>
        <v>6150</v>
      </c>
      <c r="Z8" s="13"/>
      <c r="AA8" s="1"/>
      <c r="AB8" s="53" t="s">
        <v>10</v>
      </c>
      <c r="AC8" s="53">
        <f>+AF37</f>
        <v>529810</v>
      </c>
      <c r="AD8" s="1"/>
      <c r="AE8" s="1"/>
      <c r="AF8" s="1"/>
      <c r="AG8" s="1"/>
      <c r="AH8" s="1"/>
      <c r="AI8" s="2">
        <v>20</v>
      </c>
      <c r="AJ8" s="2">
        <v>41</v>
      </c>
      <c r="AK8" s="36">
        <f t="shared" si="0"/>
        <v>820</v>
      </c>
      <c r="AL8" s="1"/>
    </row>
    <row r="9" spans="2:38" ht="15.75" thickBot="1">
      <c r="B9" s="2">
        <v>100</v>
      </c>
      <c r="C9" s="2">
        <v>31</v>
      </c>
      <c r="D9" s="36">
        <f t="shared" si="1"/>
        <v>3100</v>
      </c>
      <c r="E9" s="1"/>
      <c r="F9" s="2">
        <v>100</v>
      </c>
      <c r="G9" s="2">
        <v>6</v>
      </c>
      <c r="H9" s="36">
        <f t="shared" si="2"/>
        <v>600</v>
      </c>
      <c r="I9" s="1"/>
      <c r="J9" s="2">
        <v>100</v>
      </c>
      <c r="K9" s="2">
        <v>57</v>
      </c>
      <c r="L9" s="36">
        <f t="shared" si="3"/>
        <v>5700</v>
      </c>
      <c r="M9" s="1"/>
      <c r="N9" s="2">
        <v>100</v>
      </c>
      <c r="O9" s="2">
        <f>30+2</f>
        <v>32</v>
      </c>
      <c r="P9" s="36">
        <f t="shared" si="4"/>
        <v>3200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126</v>
      </c>
      <c r="Y9" s="37">
        <f t="shared" si="6"/>
        <v>12600</v>
      </c>
      <c r="Z9" s="13"/>
      <c r="AA9" s="1"/>
      <c r="AB9" s="58" t="s">
        <v>11</v>
      </c>
      <c r="AC9" s="59">
        <f>SUM(AC7:AC8)</f>
        <v>774152</v>
      </c>
      <c r="AD9" s="1"/>
      <c r="AE9" s="1"/>
      <c r="AF9" s="1"/>
      <c r="AG9" s="1"/>
      <c r="AH9" s="1"/>
      <c r="AI9" s="2">
        <v>50</v>
      </c>
      <c r="AJ9" s="2">
        <v>148</v>
      </c>
      <c r="AK9" s="36">
        <f t="shared" si="0"/>
        <v>7400</v>
      </c>
      <c r="AL9" s="1"/>
    </row>
    <row r="10" spans="2:38">
      <c r="B10" s="2">
        <v>500</v>
      </c>
      <c r="C10" s="2">
        <v>20</v>
      </c>
      <c r="D10" s="36">
        <f t="shared" si="1"/>
        <v>10000</v>
      </c>
      <c r="E10" s="1"/>
      <c r="F10" s="2">
        <v>500</v>
      </c>
      <c r="G10" s="2">
        <v>22</v>
      </c>
      <c r="H10" s="36">
        <f t="shared" si="2"/>
        <v>11000</v>
      </c>
      <c r="I10" s="1"/>
      <c r="J10" s="2">
        <v>500</v>
      </c>
      <c r="K10" s="2">
        <v>50</v>
      </c>
      <c r="L10" s="36">
        <f t="shared" si="3"/>
        <v>25000</v>
      </c>
      <c r="M10" s="1"/>
      <c r="N10" s="2">
        <v>500</v>
      </c>
      <c r="O10" s="2">
        <v>35</v>
      </c>
      <c r="P10" s="36">
        <f t="shared" si="4"/>
        <v>17500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127</v>
      </c>
      <c r="Y10" s="37">
        <f t="shared" si="6"/>
        <v>63500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171</v>
      </c>
      <c r="AK10" s="36">
        <f t="shared" si="0"/>
        <v>17100</v>
      </c>
      <c r="AL10" s="1"/>
    </row>
    <row r="11" spans="2:38">
      <c r="B11" s="2">
        <v>1000</v>
      </c>
      <c r="C11" s="2">
        <v>31</v>
      </c>
      <c r="D11" s="36">
        <f t="shared" si="1"/>
        <v>31000</v>
      </c>
      <c r="E11" s="1"/>
      <c r="F11" s="2">
        <v>1000</v>
      </c>
      <c r="G11" s="2">
        <v>45</v>
      </c>
      <c r="H11" s="36">
        <f t="shared" si="2"/>
        <v>45000</v>
      </c>
      <c r="I11" s="1"/>
      <c r="J11" s="2">
        <v>1000</v>
      </c>
      <c r="K11" s="2">
        <v>37</v>
      </c>
      <c r="L11" s="36">
        <f t="shared" si="3"/>
        <v>37000</v>
      </c>
      <c r="M11" s="1"/>
      <c r="N11" s="2">
        <v>1000</v>
      </c>
      <c r="O11" s="2">
        <f>34+2</f>
        <v>36</v>
      </c>
      <c r="P11" s="36">
        <f t="shared" si="4"/>
        <v>36000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149</v>
      </c>
      <c r="Y11" s="37">
        <f t="shared" si="6"/>
        <v>149000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271</v>
      </c>
      <c r="AK11" s="36">
        <f t="shared" si="0"/>
        <v>135500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2</v>
      </c>
      <c r="Y12" s="37">
        <f t="shared" si="6"/>
        <v>10000</v>
      </c>
      <c r="Z12" s="13"/>
      <c r="AA12" s="1"/>
      <c r="AB12" s="1" t="s">
        <v>16</v>
      </c>
      <c r="AC12" s="5">
        <v>774150</v>
      </c>
      <c r="AD12" s="1">
        <v>365194</v>
      </c>
      <c r="AE12" s="52" t="s">
        <v>681</v>
      </c>
      <c r="AF12" s="1"/>
      <c r="AG12" s="1"/>
      <c r="AH12" s="1"/>
      <c r="AI12" s="2">
        <v>1000</v>
      </c>
      <c r="AJ12" s="2">
        <v>491</v>
      </c>
      <c r="AK12" s="36">
        <f t="shared" si="0"/>
        <v>491000</v>
      </c>
      <c r="AL12" s="1"/>
    </row>
    <row r="13" spans="2:38" ht="15.75" thickBot="1">
      <c r="B13" s="3" t="s">
        <v>17</v>
      </c>
      <c r="C13" s="3"/>
      <c r="D13" s="6">
        <f>+SUM(D5:D12)</f>
        <v>53320</v>
      </c>
      <c r="E13" s="1"/>
      <c r="F13" s="3" t="s">
        <v>17</v>
      </c>
      <c r="G13" s="3"/>
      <c r="H13" s="6">
        <f>+SUM(H5:H12)</f>
        <v>63422</v>
      </c>
      <c r="I13" s="1"/>
      <c r="J13" s="3" t="s">
        <v>17</v>
      </c>
      <c r="K13" s="3"/>
      <c r="L13" s="6">
        <f>+SUM(L5:L12)</f>
        <v>70410</v>
      </c>
      <c r="M13" s="1"/>
      <c r="N13" s="3" t="s">
        <v>17</v>
      </c>
      <c r="O13" s="3"/>
      <c r="P13" s="6">
        <f>+SUM(P5:P12)</f>
        <v>57190</v>
      </c>
      <c r="Q13" s="1"/>
      <c r="R13" s="3" t="s">
        <v>17</v>
      </c>
      <c r="S13" s="3"/>
      <c r="T13" s="6">
        <f>+SUM(T5:T12)</f>
        <v>0</v>
      </c>
      <c r="U13" s="1"/>
      <c r="V13" s="12"/>
      <c r="W13" s="3" t="s">
        <v>17</v>
      </c>
      <c r="X13" s="3"/>
      <c r="Y13" s="6">
        <f>+SUM(Y5:Y12)</f>
        <v>244342</v>
      </c>
      <c r="Z13" s="13"/>
      <c r="AA13" s="1"/>
      <c r="AB13" s="1" t="s">
        <v>18</v>
      </c>
      <c r="AC13" s="5">
        <v>2</v>
      </c>
      <c r="AD13" s="1"/>
      <c r="AE13" s="1"/>
      <c r="AF13" s="1"/>
      <c r="AG13" s="1"/>
      <c r="AH13" s="1"/>
      <c r="AI13" s="2">
        <v>5000</v>
      </c>
      <c r="AJ13" s="2">
        <v>24</v>
      </c>
      <c r="AK13" s="36">
        <f t="shared" si="0"/>
        <v>120000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774152</v>
      </c>
      <c r="AL14" s="1"/>
    </row>
    <row r="15" spans="2:38" ht="15.75" thickBot="1">
      <c r="B15" s="128" t="s">
        <v>20</v>
      </c>
      <c r="C15" s="129"/>
      <c r="D15" s="8">
        <v>53311</v>
      </c>
      <c r="E15" s="30"/>
      <c r="F15" s="128" t="s">
        <v>20</v>
      </c>
      <c r="G15" s="129"/>
      <c r="H15" s="8">
        <v>82678</v>
      </c>
      <c r="I15" s="30"/>
      <c r="J15" s="128" t="s">
        <v>20</v>
      </c>
      <c r="K15" s="129"/>
      <c r="L15" s="8">
        <v>91157</v>
      </c>
      <c r="M15" s="30"/>
      <c r="N15" s="128" t="s">
        <v>20</v>
      </c>
      <c r="O15" s="129"/>
      <c r="P15" s="8">
        <v>118106</v>
      </c>
      <c r="Q15" s="30"/>
      <c r="R15" s="128" t="s">
        <v>20</v>
      </c>
      <c r="S15" s="129"/>
      <c r="T15" s="8">
        <v>171816</v>
      </c>
      <c r="U15" s="30"/>
      <c r="V15" s="31"/>
      <c r="W15" s="128" t="s">
        <v>20</v>
      </c>
      <c r="X15" s="129"/>
      <c r="Y15" s="8">
        <f>+D15+H15+L15+P15+T15</f>
        <v>517068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53320</v>
      </c>
      <c r="E16" s="1"/>
      <c r="F16" s="1" t="s">
        <v>9</v>
      </c>
      <c r="G16" s="1"/>
      <c r="H16" s="5">
        <f>+H13</f>
        <v>63422</v>
      </c>
      <c r="I16" s="1"/>
      <c r="J16" s="1" t="s">
        <v>9</v>
      </c>
      <c r="K16" s="1"/>
      <c r="L16" s="5">
        <f>+L13</f>
        <v>70410</v>
      </c>
      <c r="M16" s="1"/>
      <c r="N16" s="1" t="s">
        <v>9</v>
      </c>
      <c r="O16" s="1"/>
      <c r="P16" s="5">
        <f>+P13</f>
        <v>57190</v>
      </c>
      <c r="Q16" s="1"/>
      <c r="R16" s="1" t="s">
        <v>9</v>
      </c>
      <c r="S16" s="1"/>
      <c r="T16" s="5">
        <f>+T13</f>
        <v>0</v>
      </c>
      <c r="U16" s="1"/>
      <c r="V16" s="12"/>
      <c r="W16" s="40" t="s">
        <v>9</v>
      </c>
      <c r="X16" s="40"/>
      <c r="Y16" s="37">
        <f>+D16+H16+L16+P16+T16</f>
        <v>244342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>
        <v>1500</v>
      </c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1500</v>
      </c>
      <c r="Z17" s="13"/>
      <c r="AA17" s="1"/>
      <c r="AB17" s="48" t="s">
        <v>11</v>
      </c>
      <c r="AC17" s="49">
        <f>+SUM(AC12:AC16)</f>
        <v>774152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23</v>
      </c>
      <c r="C18" s="1"/>
      <c r="D18" s="5"/>
      <c r="E18" s="1"/>
      <c r="F18" s="1" t="s">
        <v>566</v>
      </c>
      <c r="G18" s="1" t="s">
        <v>670</v>
      </c>
      <c r="H18" s="5">
        <v>12380</v>
      </c>
      <c r="I18" s="1"/>
      <c r="J18" s="1" t="s">
        <v>631</v>
      </c>
      <c r="K18" s="1" t="s">
        <v>673</v>
      </c>
      <c r="L18" s="5">
        <v>7000</v>
      </c>
      <c r="M18" s="1"/>
      <c r="N18" s="1" t="s">
        <v>648</v>
      </c>
      <c r="O18" s="1" t="s">
        <v>649</v>
      </c>
      <c r="P18" s="5">
        <v>23766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43146</v>
      </c>
      <c r="Z18" s="13"/>
      <c r="AA18" s="1"/>
      <c r="AB18" s="50" t="s">
        <v>24</v>
      </c>
      <c r="AC18" s="51">
        <f>+AC17-AC9</f>
        <v>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631</v>
      </c>
      <c r="G19" s="1" t="s">
        <v>671</v>
      </c>
      <c r="H19" s="5">
        <v>3700</v>
      </c>
      <c r="I19" s="1"/>
      <c r="J19" s="1" t="s">
        <v>631</v>
      </c>
      <c r="K19" s="1" t="s">
        <v>674</v>
      </c>
      <c r="L19" s="5">
        <v>14060</v>
      </c>
      <c r="M19" s="1"/>
      <c r="N19" s="1" t="s">
        <v>650</v>
      </c>
      <c r="O19" s="1" t="s">
        <v>651</v>
      </c>
      <c r="P19" s="5">
        <v>14222</v>
      </c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31982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637</v>
      </c>
      <c r="G20" s="1" t="s">
        <v>672</v>
      </c>
      <c r="H20" s="5">
        <v>3176</v>
      </c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667</v>
      </c>
      <c r="S20" s="1" t="s">
        <v>373</v>
      </c>
      <c r="T20" s="5">
        <v>36317</v>
      </c>
      <c r="U20" s="1"/>
      <c r="V20" s="12"/>
      <c r="W20" s="40" t="s">
        <v>27</v>
      </c>
      <c r="X20" s="40"/>
      <c r="Y20" s="37">
        <f t="shared" si="8"/>
        <v>39493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 t="s">
        <v>655</v>
      </c>
      <c r="S21" s="1" t="s">
        <v>623</v>
      </c>
      <c r="T21" s="5">
        <v>3111</v>
      </c>
      <c r="U21" s="1"/>
      <c r="V21" s="12"/>
      <c r="W21" s="40"/>
      <c r="X21" s="40"/>
      <c r="Y21" s="37">
        <f t="shared" si="8"/>
        <v>3111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656</v>
      </c>
      <c r="S22" s="1" t="s">
        <v>657</v>
      </c>
      <c r="T22" s="5">
        <v>14550</v>
      </c>
      <c r="U22" s="1"/>
      <c r="V22" s="12"/>
      <c r="W22" s="40"/>
      <c r="X22" s="40"/>
      <c r="Y22" s="37">
        <f t="shared" si="8"/>
        <v>14550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106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35</v>
      </c>
      <c r="K23" s="1"/>
      <c r="L23" s="5"/>
      <c r="M23" s="1"/>
      <c r="N23" s="1" t="s">
        <v>652</v>
      </c>
      <c r="O23" s="1" t="s">
        <v>471</v>
      </c>
      <c r="P23" s="5">
        <v>15234</v>
      </c>
      <c r="Q23" s="1"/>
      <c r="R23" s="1" t="s">
        <v>658</v>
      </c>
      <c r="S23" s="1" t="s">
        <v>659</v>
      </c>
      <c r="T23" s="5">
        <v>40975</v>
      </c>
      <c r="U23" s="1"/>
      <c r="V23" s="12"/>
      <c r="W23" s="40" t="s">
        <v>35</v>
      </c>
      <c r="X23" s="40"/>
      <c r="Y23" s="37">
        <f t="shared" si="8"/>
        <v>56209</v>
      </c>
      <c r="Z23" s="13"/>
      <c r="AA23" s="1"/>
      <c r="AB23" s="20" t="s">
        <v>71</v>
      </c>
      <c r="AC23" s="89">
        <v>45978</v>
      </c>
      <c r="AD23" s="20" t="s">
        <v>471</v>
      </c>
      <c r="AE23" s="20"/>
      <c r="AF23" s="96">
        <v>20520</v>
      </c>
      <c r="AG23" s="1"/>
      <c r="AH23" s="1"/>
      <c r="AI23" s="1" t="s">
        <v>71</v>
      </c>
      <c r="AJ23" s="1"/>
      <c r="AK23" s="1"/>
      <c r="AL23" s="62">
        <v>1500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653</v>
      </c>
      <c r="O24" s="1" t="s">
        <v>76</v>
      </c>
      <c r="P24" s="5">
        <v>4191</v>
      </c>
      <c r="Q24" s="1"/>
      <c r="R24" s="1" t="s">
        <v>660</v>
      </c>
      <c r="S24" s="1" t="s">
        <v>661</v>
      </c>
      <c r="T24" s="5">
        <v>20917</v>
      </c>
      <c r="U24" s="1"/>
      <c r="V24" s="12"/>
      <c r="W24" s="40" t="s">
        <v>36</v>
      </c>
      <c r="X24" s="40"/>
      <c r="Y24" s="37">
        <f t="shared" si="8"/>
        <v>25108</v>
      </c>
      <c r="Z24" s="13"/>
      <c r="AA24" s="1"/>
      <c r="AB24" s="20" t="s">
        <v>71</v>
      </c>
      <c r="AC24" s="89">
        <v>45978</v>
      </c>
      <c r="AD24" s="20" t="s">
        <v>76</v>
      </c>
      <c r="AE24" s="20"/>
      <c r="AF24" s="96">
        <v>5826</v>
      </c>
      <c r="AG24" s="1"/>
      <c r="AH24" s="1"/>
      <c r="AI24" s="20" t="s">
        <v>150</v>
      </c>
      <c r="AJ24" s="20" t="s">
        <v>71</v>
      </c>
      <c r="AK24" s="20" t="s">
        <v>187</v>
      </c>
      <c r="AL24" s="96">
        <v>7220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668</v>
      </c>
      <c r="O25" s="1" t="s">
        <v>669</v>
      </c>
      <c r="P25" s="5">
        <v>2000</v>
      </c>
      <c r="Q25" s="1"/>
      <c r="R25" s="1" t="s">
        <v>662</v>
      </c>
      <c r="S25" s="1" t="s">
        <v>663</v>
      </c>
      <c r="T25" s="5">
        <v>8803</v>
      </c>
      <c r="U25" s="1"/>
      <c r="V25" s="12"/>
      <c r="W25" s="40" t="s">
        <v>37</v>
      </c>
      <c r="X25" s="40"/>
      <c r="Y25" s="37">
        <f t="shared" si="8"/>
        <v>10803</v>
      </c>
      <c r="Z25" s="13"/>
      <c r="AA25" s="1"/>
      <c r="AB25" s="20" t="s">
        <v>71</v>
      </c>
      <c r="AC25" s="89">
        <v>45979</v>
      </c>
      <c r="AD25" s="20" t="s">
        <v>510</v>
      </c>
      <c r="AE25" s="20"/>
      <c r="AF25" s="96">
        <v>2574</v>
      </c>
      <c r="AG25" s="1"/>
      <c r="AH25" s="1"/>
      <c r="AI25" s="20" t="s">
        <v>677</v>
      </c>
      <c r="AJ25" s="20" t="s">
        <v>71</v>
      </c>
      <c r="AK25" s="20" t="s">
        <v>319</v>
      </c>
      <c r="AL25" s="96">
        <v>13312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664</v>
      </c>
      <c r="S26" s="1" t="s">
        <v>665</v>
      </c>
      <c r="T26" s="5">
        <v>26861</v>
      </c>
      <c r="U26" s="1"/>
      <c r="V26" s="12"/>
      <c r="W26" s="40"/>
      <c r="X26" s="40"/>
      <c r="Y26" s="37">
        <f t="shared" si="8"/>
        <v>26861</v>
      </c>
      <c r="Z26" s="13"/>
      <c r="AA26" s="1"/>
      <c r="AB26" s="20" t="s">
        <v>65</v>
      </c>
      <c r="AC26" s="115">
        <v>45976</v>
      </c>
      <c r="AD26" s="20" t="s">
        <v>527</v>
      </c>
      <c r="AE26" s="20" t="s">
        <v>654</v>
      </c>
      <c r="AF26" s="96">
        <v>176700</v>
      </c>
      <c r="AG26" s="1"/>
      <c r="AH26" s="1"/>
      <c r="AI26" s="20" t="s">
        <v>91</v>
      </c>
      <c r="AJ26" s="20" t="s">
        <v>71</v>
      </c>
      <c r="AK26" s="20" t="s">
        <v>390</v>
      </c>
      <c r="AL26" s="96">
        <v>3451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666</v>
      </c>
      <c r="S27" s="1" t="s">
        <v>81</v>
      </c>
      <c r="T27" s="5">
        <v>20281</v>
      </c>
      <c r="U27" s="1"/>
      <c r="V27" s="12"/>
      <c r="W27" s="40"/>
      <c r="X27" s="40"/>
      <c r="Y27" s="37">
        <f t="shared" si="8"/>
        <v>20281</v>
      </c>
      <c r="Z27" s="13"/>
      <c r="AA27" s="1"/>
      <c r="AB27" s="20" t="s">
        <v>71</v>
      </c>
      <c r="AC27" s="115">
        <v>45973</v>
      </c>
      <c r="AD27" s="20" t="s">
        <v>679</v>
      </c>
      <c r="AE27" s="20" t="s">
        <v>365</v>
      </c>
      <c r="AF27" s="96">
        <v>3910</v>
      </c>
      <c r="AG27" s="1"/>
      <c r="AH27" s="1"/>
      <c r="AI27" s="20" t="s">
        <v>522</v>
      </c>
      <c r="AJ27" s="20" t="s">
        <v>65</v>
      </c>
      <c r="AK27" s="20" t="s">
        <v>675</v>
      </c>
      <c r="AL27" s="96">
        <v>30000</v>
      </c>
    </row>
    <row r="28" spans="2:38" ht="15.75" thickBot="1">
      <c r="B28" s="125" t="s">
        <v>11</v>
      </c>
      <c r="C28" s="126"/>
      <c r="D28" s="9">
        <f>+SUM(D16:D27)</f>
        <v>53320</v>
      </c>
      <c r="E28" s="1"/>
      <c r="F28" s="125" t="s">
        <v>11</v>
      </c>
      <c r="G28" s="126"/>
      <c r="H28" s="9">
        <f>+SUM(H16:H27)</f>
        <v>82678</v>
      </c>
      <c r="I28" s="1"/>
      <c r="J28" s="125" t="s">
        <v>11</v>
      </c>
      <c r="K28" s="126"/>
      <c r="L28" s="9">
        <f>+SUM(L16:L27)</f>
        <v>91470</v>
      </c>
      <c r="M28" s="1"/>
      <c r="N28" s="125" t="s">
        <v>11</v>
      </c>
      <c r="O28" s="126"/>
      <c r="P28" s="9">
        <f>+SUM(P16:P27)</f>
        <v>118103</v>
      </c>
      <c r="Q28" s="1"/>
      <c r="R28" s="125" t="s">
        <v>11</v>
      </c>
      <c r="S28" s="126"/>
      <c r="T28" s="9">
        <f>+SUM(T16:T27)</f>
        <v>171815</v>
      </c>
      <c r="U28" s="1"/>
      <c r="V28" s="12"/>
      <c r="W28" s="125" t="s">
        <v>11</v>
      </c>
      <c r="X28" s="126"/>
      <c r="Y28" s="9">
        <f>+SUM(Y16:Y27)</f>
        <v>517386</v>
      </c>
      <c r="Z28" s="13"/>
      <c r="AA28" s="1"/>
      <c r="AB28" s="20" t="s">
        <v>464</v>
      </c>
      <c r="AC28" s="89">
        <v>45976</v>
      </c>
      <c r="AD28" s="20" t="s">
        <v>49</v>
      </c>
      <c r="AE28" s="20"/>
      <c r="AF28" s="96">
        <v>300000</v>
      </c>
      <c r="AG28" s="1"/>
      <c r="AH28" s="1"/>
      <c r="AI28" s="20" t="s">
        <v>522</v>
      </c>
      <c r="AJ28" s="20" t="s">
        <v>65</v>
      </c>
      <c r="AK28" s="20" t="s">
        <v>676</v>
      </c>
      <c r="AL28" s="96">
        <v>20000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20" t="s">
        <v>65</v>
      </c>
      <c r="AC29" s="71">
        <v>45967</v>
      </c>
      <c r="AD29" s="117" t="s">
        <v>577</v>
      </c>
      <c r="AE29" s="16" t="s">
        <v>621</v>
      </c>
      <c r="AF29" s="96">
        <v>20000</v>
      </c>
      <c r="AG29" s="1"/>
      <c r="AH29" s="1"/>
      <c r="AI29" s="20" t="s">
        <v>103</v>
      </c>
      <c r="AJ29" s="20" t="s">
        <v>90</v>
      </c>
      <c r="AK29" s="20" t="s">
        <v>397</v>
      </c>
      <c r="AL29" s="97">
        <v>10620</v>
      </c>
    </row>
    <row r="30" spans="2:38" ht="15.75" thickBot="1">
      <c r="B30" s="127" t="s">
        <v>39</v>
      </c>
      <c r="C30" s="127"/>
      <c r="D30" s="7">
        <f>+D28-D15</f>
        <v>9</v>
      </c>
      <c r="E30" s="1"/>
      <c r="F30" s="127" t="s">
        <v>39</v>
      </c>
      <c r="G30" s="127"/>
      <c r="H30" s="7">
        <f>+H28-H15</f>
        <v>0</v>
      </c>
      <c r="I30" s="1"/>
      <c r="J30" s="127" t="s">
        <v>39</v>
      </c>
      <c r="K30" s="127"/>
      <c r="L30" s="7">
        <f>+L28-L15</f>
        <v>313</v>
      </c>
      <c r="M30" s="1"/>
      <c r="N30" s="127" t="s">
        <v>39</v>
      </c>
      <c r="O30" s="127"/>
      <c r="P30" s="7">
        <f>+P28-P15</f>
        <v>-3</v>
      </c>
      <c r="Q30" s="1"/>
      <c r="R30" s="127" t="s">
        <v>39</v>
      </c>
      <c r="S30" s="127"/>
      <c r="T30" s="7">
        <f>+T28-T15</f>
        <v>-1</v>
      </c>
      <c r="U30" s="1"/>
      <c r="V30" s="12"/>
      <c r="W30" s="124" t="s">
        <v>39</v>
      </c>
      <c r="X30" s="124"/>
      <c r="Y30" s="41">
        <f>+Y28-Y15</f>
        <v>318</v>
      </c>
      <c r="Z30" s="13"/>
      <c r="AA30" s="1"/>
      <c r="AB30" s="16" t="s">
        <v>644</v>
      </c>
      <c r="AC30" s="71">
        <v>45975</v>
      </c>
      <c r="AD30" s="16" t="s">
        <v>157</v>
      </c>
      <c r="AE30" s="16"/>
      <c r="AF30" s="69">
        <v>280</v>
      </c>
      <c r="AG30" s="1"/>
      <c r="AH30" s="1"/>
      <c r="AI30" s="20" t="s">
        <v>678</v>
      </c>
      <c r="AJ30" s="20" t="s">
        <v>90</v>
      </c>
      <c r="AK30" s="20" t="s">
        <v>548</v>
      </c>
      <c r="AL30" s="97">
        <v>3000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62"/>
      <c r="AG31" s="1"/>
      <c r="AH31" s="1"/>
      <c r="AI31" s="20" t="s">
        <v>680</v>
      </c>
      <c r="AJ31" s="16" t="s">
        <v>585</v>
      </c>
      <c r="AK31" s="20"/>
      <c r="AL31" s="96">
        <v>5000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"/>
      <c r="AI32" s="20"/>
      <c r="AJ32" s="117"/>
      <c r="AK32" s="16"/>
      <c r="AL32" s="96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/>
      <c r="M34" s="1"/>
      <c r="N34" s="10" t="s">
        <v>40</v>
      </c>
      <c r="O34" s="11"/>
      <c r="P34" s="21">
        <v>3</v>
      </c>
      <c r="Q34" s="1"/>
      <c r="R34" s="10" t="s">
        <v>40</v>
      </c>
      <c r="S34" s="11"/>
      <c r="T34" s="21">
        <v>1</v>
      </c>
      <c r="U34" s="1"/>
      <c r="V34" s="1"/>
      <c r="W34" s="42" t="s">
        <v>40</v>
      </c>
      <c r="X34" s="43"/>
      <c r="Y34" s="44">
        <f>+D34+H34+L34+P34+T34</f>
        <v>4</v>
      </c>
      <c r="Z34" s="1"/>
      <c r="AA34" s="1"/>
      <c r="AB34" s="1"/>
      <c r="AC34" s="1"/>
      <c r="AD34" s="1"/>
      <c r="AE34" s="1"/>
      <c r="AF34" s="62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41</v>
      </c>
      <c r="S35" s="16"/>
      <c r="T35" s="22"/>
      <c r="U35" s="1"/>
      <c r="V35" s="1"/>
      <c r="W35" s="45" t="s">
        <v>41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62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-9</v>
      </c>
      <c r="E36" s="1"/>
      <c r="F36" s="12" t="s">
        <v>43</v>
      </c>
      <c r="G36" s="16"/>
      <c r="H36" s="22"/>
      <c r="I36" s="1"/>
      <c r="J36" s="12" t="s">
        <v>43</v>
      </c>
      <c r="K36" s="16"/>
      <c r="L36" s="22">
        <v>-313</v>
      </c>
      <c r="M36" s="1"/>
      <c r="N36" s="12" t="s">
        <v>43</v>
      </c>
      <c r="O36" s="16"/>
      <c r="P36" s="22"/>
      <c r="Q36" s="1"/>
      <c r="R36" s="12" t="s">
        <v>45</v>
      </c>
      <c r="S36" s="16"/>
      <c r="T36" s="22"/>
      <c r="U36" s="1"/>
      <c r="V36" s="1"/>
      <c r="W36" s="45" t="s">
        <v>42</v>
      </c>
      <c r="X36" s="40"/>
      <c r="Y36" s="46">
        <f t="shared" si="9"/>
        <v>-322</v>
      </c>
      <c r="Z36" s="1"/>
      <c r="AA36" s="1"/>
      <c r="AB36" s="1"/>
      <c r="AC36" s="1"/>
      <c r="AD36" s="1"/>
      <c r="AE36" s="1"/>
      <c r="AF36" s="62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-9</v>
      </c>
      <c r="E37" s="1"/>
      <c r="F37" s="12" t="s">
        <v>17</v>
      </c>
      <c r="G37" s="16"/>
      <c r="H37" s="22">
        <f>+SUM(H34:H36)</f>
        <v>0</v>
      </c>
      <c r="I37" s="1"/>
      <c r="J37" s="12" t="s">
        <v>17</v>
      </c>
      <c r="K37" s="16"/>
      <c r="L37" s="22">
        <f>+SUM(L34:L36)</f>
        <v>-313</v>
      </c>
      <c r="M37" s="1"/>
      <c r="N37" s="12" t="s">
        <v>17</v>
      </c>
      <c r="O37" s="16"/>
      <c r="P37" s="22">
        <f>+SUM(P34:P36)</f>
        <v>3</v>
      </c>
      <c r="Q37" s="1"/>
      <c r="R37" s="12" t="s">
        <v>17</v>
      </c>
      <c r="S37" s="16"/>
      <c r="T37" s="22">
        <f>+SUM(T34:T36)</f>
        <v>1</v>
      </c>
      <c r="U37" s="1"/>
      <c r="V37" s="1"/>
      <c r="W37" s="33" t="s">
        <v>17</v>
      </c>
      <c r="X37" s="34"/>
      <c r="Y37" s="35">
        <f>+SUM(Y34:Y36)</f>
        <v>-318</v>
      </c>
      <c r="Z37" s="1"/>
      <c r="AA37" s="1"/>
      <c r="AB37" s="60" t="s">
        <v>38</v>
      </c>
      <c r="AC37" s="60"/>
      <c r="AD37" s="60"/>
      <c r="AE37" s="60"/>
      <c r="AF37" s="55">
        <f>+SUM(AF23:AF36)</f>
        <v>529810</v>
      </c>
      <c r="AG37" s="1"/>
      <c r="AH37" s="1"/>
      <c r="AI37" s="60" t="s">
        <v>38</v>
      </c>
      <c r="AJ37" s="60"/>
      <c r="AK37" s="60"/>
      <c r="AL37" s="67">
        <f>+SUM(AL23:AL36)</f>
        <v>94103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B2:AL43"/>
  <sheetViews>
    <sheetView topLeftCell="A4" zoomScale="80" zoomScaleNormal="80" workbookViewId="0">
      <selection activeCell="AB28" sqref="AB28:AD28"/>
    </sheetView>
  </sheetViews>
  <sheetFormatPr defaultRowHeight="15"/>
  <cols>
    <col min="5" max="5" width="0.5703125" customWidth="1"/>
    <col min="7" max="7" width="13.7109375" customWidth="1"/>
    <col min="9" max="9" width="0.7109375" customWidth="1"/>
    <col min="11" max="11" width="16.7109375" customWidth="1"/>
    <col min="13" max="13" width="0.7109375" customWidth="1"/>
    <col min="15" max="15" width="14.85546875" customWidth="1"/>
    <col min="16" max="16" width="9.5703125" bestFit="1" customWidth="1"/>
    <col min="17" max="17" width="0.7109375" customWidth="1"/>
    <col min="21" max="21" width="0.5703125" customWidth="1"/>
    <col min="22" max="22" width="0.7109375" customWidth="1"/>
    <col min="25" max="25" width="9.5703125" bestFit="1" customWidth="1"/>
    <col min="26" max="26" width="0.5703125" customWidth="1"/>
    <col min="27" max="27" width="0.85546875" customWidth="1"/>
    <col min="29" max="29" width="10.5703125" bestFit="1" customWidth="1"/>
    <col min="30" max="30" width="13.85546875" customWidth="1"/>
    <col min="33" max="33" width="8.28515625" customWidth="1"/>
    <col min="34" max="34" width="0.7109375" customWidth="1"/>
    <col min="37" max="37" width="15" bestFit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2</v>
      </c>
      <c r="K3" s="130"/>
      <c r="L3" s="130"/>
      <c r="M3" s="1"/>
      <c r="N3" s="130" t="s">
        <v>1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>
        <v>5</v>
      </c>
      <c r="L5" s="36">
        <f>+K5*J5</f>
        <v>5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5</v>
      </c>
      <c r="Y5" s="37">
        <f>+D5+H5+L5+P5+T5</f>
        <v>5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440</v>
      </c>
      <c r="D6" s="36">
        <f>+C6*B6</f>
        <v>4400</v>
      </c>
      <c r="E6" s="1"/>
      <c r="F6" s="2">
        <v>10</v>
      </c>
      <c r="G6" s="2">
        <v>29</v>
      </c>
      <c r="H6" s="36">
        <f>+G6*F6</f>
        <v>290</v>
      </c>
      <c r="I6" s="1"/>
      <c r="J6" s="2">
        <v>10</v>
      </c>
      <c r="K6" s="2">
        <v>104</v>
      </c>
      <c r="L6" s="36">
        <f>+K6*J6</f>
        <v>1040</v>
      </c>
      <c r="M6" s="1"/>
      <c r="N6" s="2">
        <v>10</v>
      </c>
      <c r="O6" s="2">
        <v>29</v>
      </c>
      <c r="P6" s="36">
        <f>+O6*N6</f>
        <v>290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602</v>
      </c>
      <c r="Y6" s="37">
        <f>+D6+H6+L6+P6+T6</f>
        <v>6020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5</v>
      </c>
      <c r="AK6" s="36">
        <f t="shared" ref="AK6:AK13" si="0">+AJ6*AI6</f>
        <v>5</v>
      </c>
      <c r="AL6" s="26"/>
    </row>
    <row r="7" spans="2:38">
      <c r="B7" s="2">
        <v>20</v>
      </c>
      <c r="C7" s="2">
        <v>45</v>
      </c>
      <c r="D7" s="36">
        <f t="shared" ref="D7:D12" si="1">+C7*B7</f>
        <v>900</v>
      </c>
      <c r="E7" s="1"/>
      <c r="F7" s="2">
        <v>20</v>
      </c>
      <c r="G7" s="2">
        <v>10</v>
      </c>
      <c r="H7" s="36">
        <f t="shared" ref="H7:H12" si="2">+G7*F7</f>
        <v>200</v>
      </c>
      <c r="I7" s="1"/>
      <c r="J7" s="2">
        <v>20</v>
      </c>
      <c r="K7" s="2">
        <v>13</v>
      </c>
      <c r="L7" s="36">
        <f t="shared" ref="L7:L12" si="3">+K7*J7</f>
        <v>260</v>
      </c>
      <c r="M7" s="1"/>
      <c r="N7" s="2">
        <v>20</v>
      </c>
      <c r="O7" s="2">
        <v>11</v>
      </c>
      <c r="P7" s="36">
        <f t="shared" ref="P7:P12" si="4">+O7*N7</f>
        <v>220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79</v>
      </c>
      <c r="Y7" s="37">
        <f t="shared" ref="Y7:Y12" si="6">+D7+H7+L7+P7+T7</f>
        <v>1580</v>
      </c>
      <c r="Z7" s="13"/>
      <c r="AA7" s="1"/>
      <c r="AB7" s="56" t="s">
        <v>9</v>
      </c>
      <c r="AC7" s="57">
        <f>Y13</f>
        <v>266705</v>
      </c>
      <c r="AD7" s="26"/>
      <c r="AE7" s="26"/>
      <c r="AF7" s="26"/>
      <c r="AG7" s="26"/>
      <c r="AH7" s="1"/>
      <c r="AI7" s="2">
        <v>10</v>
      </c>
      <c r="AJ7" s="2">
        <v>2262</v>
      </c>
      <c r="AK7" s="36">
        <f t="shared" si="0"/>
        <v>22620</v>
      </c>
      <c r="AL7" s="1"/>
    </row>
    <row r="8" spans="2:38">
      <c r="B8" s="2">
        <v>50</v>
      </c>
      <c r="C8" s="2">
        <v>111</v>
      </c>
      <c r="D8" s="36">
        <f t="shared" si="1"/>
        <v>5550</v>
      </c>
      <c r="E8" s="1"/>
      <c r="F8" s="2">
        <v>50</v>
      </c>
      <c r="G8" s="2">
        <v>87</v>
      </c>
      <c r="H8" s="36">
        <f t="shared" si="2"/>
        <v>4350</v>
      </c>
      <c r="I8" s="1"/>
      <c r="J8" s="2">
        <v>50</v>
      </c>
      <c r="K8" s="2">
        <v>8</v>
      </c>
      <c r="L8" s="36">
        <f t="shared" si="3"/>
        <v>400</v>
      </c>
      <c r="M8" s="1"/>
      <c r="N8" s="2">
        <v>50</v>
      </c>
      <c r="O8" s="2">
        <v>18</v>
      </c>
      <c r="P8" s="36">
        <f t="shared" si="4"/>
        <v>900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224</v>
      </c>
      <c r="Y8" s="37">
        <f t="shared" si="6"/>
        <v>11200</v>
      </c>
      <c r="Z8" s="13"/>
      <c r="AA8" s="1"/>
      <c r="AB8" s="53" t="s">
        <v>10</v>
      </c>
      <c r="AC8" s="53">
        <f>+AF37</f>
        <v>173550</v>
      </c>
      <c r="AD8" s="1"/>
      <c r="AE8" s="1"/>
      <c r="AF8" s="1"/>
      <c r="AG8" s="1"/>
      <c r="AH8" s="1"/>
      <c r="AI8" s="2">
        <v>20</v>
      </c>
      <c r="AJ8" s="2">
        <v>362</v>
      </c>
      <c r="AK8" s="36">
        <f t="shared" si="0"/>
        <v>7240</v>
      </c>
      <c r="AL8" s="1"/>
    </row>
    <row r="9" spans="2:38" ht="15.75" thickBot="1">
      <c r="B9" s="2">
        <v>100</v>
      </c>
      <c r="C9" s="2">
        <v>102</v>
      </c>
      <c r="D9" s="36">
        <f t="shared" si="1"/>
        <v>10200</v>
      </c>
      <c r="E9" s="1"/>
      <c r="F9" s="2">
        <v>100</v>
      </c>
      <c r="G9" s="2">
        <v>20</v>
      </c>
      <c r="H9" s="36">
        <f t="shared" si="2"/>
        <v>2000</v>
      </c>
      <c r="I9" s="1"/>
      <c r="J9" s="2">
        <v>100</v>
      </c>
      <c r="K9" s="2">
        <v>55</v>
      </c>
      <c r="L9" s="36">
        <f t="shared" si="3"/>
        <v>5500</v>
      </c>
      <c r="M9" s="1"/>
      <c r="N9" s="2">
        <v>100</v>
      </c>
      <c r="O9" s="2">
        <v>27</v>
      </c>
      <c r="P9" s="36">
        <f t="shared" si="4"/>
        <v>2700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204</v>
      </c>
      <c r="Y9" s="37">
        <f t="shared" si="6"/>
        <v>20400</v>
      </c>
      <c r="Z9" s="13"/>
      <c r="AA9" s="1"/>
      <c r="AB9" s="58" t="s">
        <v>11</v>
      </c>
      <c r="AC9" s="59">
        <f>SUM(AC7:AC8)</f>
        <v>440255</v>
      </c>
      <c r="AD9" s="1"/>
      <c r="AE9" s="1"/>
      <c r="AF9" s="1"/>
      <c r="AG9" s="1"/>
      <c r="AH9" s="1"/>
      <c r="AI9" s="2">
        <v>50</v>
      </c>
      <c r="AJ9" s="2">
        <v>374</v>
      </c>
      <c r="AK9" s="36">
        <f t="shared" si="0"/>
        <v>18700</v>
      </c>
      <c r="AL9" s="1"/>
    </row>
    <row r="10" spans="2:38">
      <c r="B10" s="2">
        <v>500</v>
      </c>
      <c r="C10" s="2">
        <v>32</v>
      </c>
      <c r="D10" s="36">
        <f t="shared" si="1"/>
        <v>16000</v>
      </c>
      <c r="E10" s="1"/>
      <c r="F10" s="2">
        <v>500</v>
      </c>
      <c r="G10" s="2">
        <v>27</v>
      </c>
      <c r="H10" s="36">
        <f t="shared" si="2"/>
        <v>13500</v>
      </c>
      <c r="I10" s="1"/>
      <c r="J10" s="2">
        <v>500</v>
      </c>
      <c r="K10" s="2">
        <v>30</v>
      </c>
      <c r="L10" s="36">
        <f t="shared" si="3"/>
        <v>15000</v>
      </c>
      <c r="M10" s="1"/>
      <c r="N10" s="2">
        <v>500</v>
      </c>
      <c r="O10" s="2">
        <v>34</v>
      </c>
      <c r="P10" s="36">
        <f t="shared" si="4"/>
        <v>17000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123</v>
      </c>
      <c r="Y10" s="37">
        <f t="shared" si="6"/>
        <v>61500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379</v>
      </c>
      <c r="AK10" s="36">
        <f t="shared" si="0"/>
        <v>37900</v>
      </c>
      <c r="AL10" s="1"/>
    </row>
    <row r="11" spans="2:38">
      <c r="B11" s="2">
        <v>1000</v>
      </c>
      <c r="C11" s="2">
        <v>22</v>
      </c>
      <c r="D11" s="36">
        <f t="shared" si="1"/>
        <v>22000</v>
      </c>
      <c r="E11" s="1"/>
      <c r="F11" s="2">
        <v>1000</v>
      </c>
      <c r="G11" s="2">
        <v>39</v>
      </c>
      <c r="H11" s="36">
        <f t="shared" si="2"/>
        <v>39000</v>
      </c>
      <c r="I11" s="1"/>
      <c r="J11" s="2">
        <v>1000</v>
      </c>
      <c r="K11" s="2">
        <v>13</v>
      </c>
      <c r="L11" s="36">
        <f t="shared" si="3"/>
        <v>13000</v>
      </c>
      <c r="M11" s="1"/>
      <c r="N11" s="2">
        <v>1000</v>
      </c>
      <c r="O11" s="2">
        <v>52</v>
      </c>
      <c r="P11" s="36">
        <f t="shared" si="4"/>
        <v>52000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126</v>
      </c>
      <c r="Y11" s="37">
        <f t="shared" si="6"/>
        <v>126000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175</v>
      </c>
      <c r="AK11" s="36">
        <f t="shared" si="0"/>
        <v>87500</v>
      </c>
      <c r="AL11" s="1"/>
    </row>
    <row r="12" spans="2:38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8</v>
      </c>
      <c r="Y12" s="37">
        <f t="shared" si="6"/>
        <v>40000</v>
      </c>
      <c r="Z12" s="13"/>
      <c r="AA12" s="1"/>
      <c r="AB12" s="1" t="s">
        <v>16</v>
      </c>
      <c r="AC12" s="5">
        <v>376960</v>
      </c>
      <c r="AD12" s="1">
        <v>365201</v>
      </c>
      <c r="AE12" s="52" t="s">
        <v>712</v>
      </c>
      <c r="AF12" s="1" t="s">
        <v>69</v>
      </c>
      <c r="AG12" s="1"/>
      <c r="AH12" s="1"/>
      <c r="AI12" s="2">
        <v>1000</v>
      </c>
      <c r="AJ12" s="2">
        <v>160</v>
      </c>
      <c r="AK12" s="36">
        <f t="shared" si="0"/>
        <v>160000</v>
      </c>
      <c r="AL12" s="1"/>
    </row>
    <row r="13" spans="2:38" ht="15.75" thickBot="1">
      <c r="B13" s="3" t="s">
        <v>17</v>
      </c>
      <c r="C13" s="3"/>
      <c r="D13" s="6">
        <f>+SUM(D5:D12)</f>
        <v>69050</v>
      </c>
      <c r="E13" s="1"/>
      <c r="F13" s="3" t="s">
        <v>17</v>
      </c>
      <c r="G13" s="3"/>
      <c r="H13" s="6">
        <f>+SUM(H5:H12)</f>
        <v>69340</v>
      </c>
      <c r="I13" s="1"/>
      <c r="J13" s="3" t="s">
        <v>17</v>
      </c>
      <c r="K13" s="3"/>
      <c r="L13" s="6">
        <f>+SUM(L5:L12)</f>
        <v>40205</v>
      </c>
      <c r="M13" s="1"/>
      <c r="N13" s="3" t="s">
        <v>17</v>
      </c>
      <c r="O13" s="3"/>
      <c r="P13" s="6">
        <f>+SUM(P5:P12)</f>
        <v>88110</v>
      </c>
      <c r="Q13" s="1"/>
      <c r="R13" s="3" t="s">
        <v>17</v>
      </c>
      <c r="S13" s="3"/>
      <c r="T13" s="6">
        <f>+SUM(T5:T12)</f>
        <v>0</v>
      </c>
      <c r="U13" s="1"/>
      <c r="V13" s="12"/>
      <c r="W13" s="3" t="s">
        <v>17</v>
      </c>
      <c r="X13" s="3"/>
      <c r="Y13" s="6">
        <f>+SUM(Y5:Y12)</f>
        <v>266705</v>
      </c>
      <c r="Z13" s="13"/>
      <c r="AA13" s="1"/>
      <c r="AB13" s="1" t="s">
        <v>18</v>
      </c>
      <c r="AC13" s="5">
        <v>17005</v>
      </c>
      <c r="AD13" s="95" t="s">
        <v>710</v>
      </c>
      <c r="AE13" s="95"/>
      <c r="AF13" s="95" t="s">
        <v>711</v>
      </c>
      <c r="AG13" s="1"/>
      <c r="AH13" s="1"/>
      <c r="AI13" s="2">
        <v>5000</v>
      </c>
      <c r="AJ13" s="2">
        <v>12</v>
      </c>
      <c r="AK13" s="36">
        <f t="shared" si="0"/>
        <v>60000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>
        <v>1430</v>
      </c>
      <c r="AD14" s="111" t="s">
        <v>708</v>
      </c>
      <c r="AE14" s="111" t="s">
        <v>709</v>
      </c>
      <c r="AF14" s="111"/>
      <c r="AG14" s="1"/>
      <c r="AH14" s="1"/>
      <c r="AI14" s="3" t="s">
        <v>17</v>
      </c>
      <c r="AJ14" s="3"/>
      <c r="AK14" s="6">
        <f>+SUM(AK6:AK13)</f>
        <v>393965</v>
      </c>
      <c r="AL14" s="1"/>
    </row>
    <row r="15" spans="2:38" ht="15.75" thickBot="1">
      <c r="B15" s="128" t="s">
        <v>20</v>
      </c>
      <c r="C15" s="129"/>
      <c r="D15" s="8">
        <v>69210</v>
      </c>
      <c r="E15" s="30"/>
      <c r="F15" s="128" t="s">
        <v>20</v>
      </c>
      <c r="G15" s="129"/>
      <c r="H15" s="8">
        <v>73970</v>
      </c>
      <c r="I15" s="30"/>
      <c r="J15" s="128" t="s">
        <v>20</v>
      </c>
      <c r="K15" s="129"/>
      <c r="L15" s="8">
        <v>77024</v>
      </c>
      <c r="M15" s="30"/>
      <c r="N15" s="128" t="s">
        <v>20</v>
      </c>
      <c r="O15" s="129"/>
      <c r="P15" s="8">
        <v>117260</v>
      </c>
      <c r="Q15" s="30"/>
      <c r="R15" s="128" t="s">
        <v>20</v>
      </c>
      <c r="S15" s="129"/>
      <c r="T15" s="8"/>
      <c r="U15" s="30"/>
      <c r="V15" s="31"/>
      <c r="W15" s="128" t="s">
        <v>20</v>
      </c>
      <c r="X15" s="129"/>
      <c r="Y15" s="8">
        <f>+D15+H15+L15+P15+T15</f>
        <v>337464</v>
      </c>
      <c r="Z15" s="32"/>
      <c r="AA15" s="30"/>
      <c r="AB15" s="1" t="s">
        <v>21</v>
      </c>
      <c r="AC15" s="5">
        <v>44860</v>
      </c>
      <c r="AD15" s="95">
        <v>365195</v>
      </c>
      <c r="AE15" s="95" t="s">
        <v>707</v>
      </c>
      <c r="AF15" s="95" t="s">
        <v>69</v>
      </c>
      <c r="AG15" s="119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69050</v>
      </c>
      <c r="E16" s="1"/>
      <c r="F16" s="1" t="s">
        <v>9</v>
      </c>
      <c r="G16" s="1"/>
      <c r="H16" s="5">
        <f>+H13</f>
        <v>69340</v>
      </c>
      <c r="I16" s="1"/>
      <c r="J16" s="1" t="s">
        <v>9</v>
      </c>
      <c r="K16" s="1"/>
      <c r="L16" s="5">
        <f>+L13</f>
        <v>40205</v>
      </c>
      <c r="M16" s="1"/>
      <c r="N16" s="1" t="s">
        <v>9</v>
      </c>
      <c r="O16" s="1"/>
      <c r="P16" s="5">
        <f>+P13</f>
        <v>88110</v>
      </c>
      <c r="Q16" s="1"/>
      <c r="R16" s="1" t="s">
        <v>9</v>
      </c>
      <c r="S16" s="1"/>
      <c r="T16" s="5">
        <f>+T13</f>
        <v>0</v>
      </c>
      <c r="U16" s="1"/>
      <c r="V16" s="12"/>
      <c r="W16" s="40" t="s">
        <v>9</v>
      </c>
      <c r="X16" s="40"/>
      <c r="Y16" s="37">
        <f>+D16+H16+L16+P16+T16</f>
        <v>266705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0</v>
      </c>
      <c r="Z17" s="13"/>
      <c r="AA17" s="1"/>
      <c r="AB17" s="48" t="s">
        <v>11</v>
      </c>
      <c r="AC17" s="49">
        <f>+SUM(AC12:AC16)</f>
        <v>440255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23</v>
      </c>
      <c r="C18" s="1"/>
      <c r="D18" s="5"/>
      <c r="E18" s="1"/>
      <c r="F18" s="1" t="s">
        <v>637</v>
      </c>
      <c r="G18" s="1" t="s">
        <v>689</v>
      </c>
      <c r="H18" s="5">
        <v>4823</v>
      </c>
      <c r="I18" s="1"/>
      <c r="J18" s="1" t="s">
        <v>685</v>
      </c>
      <c r="K18" s="1" t="s">
        <v>684</v>
      </c>
      <c r="L18" s="5">
        <v>12058</v>
      </c>
      <c r="M18" s="1"/>
      <c r="N18" s="1" t="s">
        <v>650</v>
      </c>
      <c r="O18" s="1" t="s">
        <v>690</v>
      </c>
      <c r="P18" s="5">
        <v>3100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19981</v>
      </c>
      <c r="Z18" s="13"/>
      <c r="AA18" s="1"/>
      <c r="AB18" s="50" t="s">
        <v>24</v>
      </c>
      <c r="AC18" s="51">
        <f>+AC17-AC9</f>
        <v>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26</v>
      </c>
      <c r="G19" s="1"/>
      <c r="H19" s="5"/>
      <c r="I19" s="1"/>
      <c r="J19" s="1" t="s">
        <v>685</v>
      </c>
      <c r="K19" s="1" t="s">
        <v>686</v>
      </c>
      <c r="L19" s="5">
        <v>6800</v>
      </c>
      <c r="M19" s="1"/>
      <c r="N19" s="1" t="s">
        <v>637</v>
      </c>
      <c r="O19" s="1" t="s">
        <v>691</v>
      </c>
      <c r="P19" s="5">
        <v>5666</v>
      </c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12466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451</v>
      </c>
      <c r="O20" s="1" t="s">
        <v>692</v>
      </c>
      <c r="P20" s="5">
        <v>2500</v>
      </c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2500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47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687</v>
      </c>
      <c r="K23" s="1" t="s">
        <v>122</v>
      </c>
      <c r="L23" s="5">
        <v>17963</v>
      </c>
      <c r="M23" s="1"/>
      <c r="N23" s="1" t="s">
        <v>693</v>
      </c>
      <c r="O23" s="1" t="s">
        <v>694</v>
      </c>
      <c r="P23" s="5">
        <v>9852</v>
      </c>
      <c r="Q23" s="1"/>
      <c r="R23" s="1" t="s">
        <v>35</v>
      </c>
      <c r="S23" s="1"/>
      <c r="T23" s="5"/>
      <c r="U23" s="1"/>
      <c r="V23" s="12"/>
      <c r="W23" s="40" t="s">
        <v>35</v>
      </c>
      <c r="X23" s="40"/>
      <c r="Y23" s="37">
        <f t="shared" si="8"/>
        <v>27815</v>
      </c>
      <c r="Z23" s="13"/>
      <c r="AA23" s="1"/>
      <c r="AB23" s="20" t="s">
        <v>682</v>
      </c>
      <c r="AC23" s="89">
        <v>45985</v>
      </c>
      <c r="AD23" s="20" t="s">
        <v>623</v>
      </c>
      <c r="AE23" s="20"/>
      <c r="AF23" s="96">
        <v>3110</v>
      </c>
      <c r="AG23" s="1"/>
      <c r="AH23" s="1"/>
      <c r="AI23" s="20" t="s">
        <v>521</v>
      </c>
      <c r="AJ23" s="20" t="s">
        <v>65</v>
      </c>
      <c r="AK23" s="20" t="s">
        <v>695</v>
      </c>
      <c r="AL23" s="97">
        <v>25000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36</v>
      </c>
      <c r="S24" s="1"/>
      <c r="T24" s="5"/>
      <c r="U24" s="1"/>
      <c r="V24" s="12"/>
      <c r="W24" s="40" t="s">
        <v>36</v>
      </c>
      <c r="X24" s="40"/>
      <c r="Y24" s="37">
        <f t="shared" si="8"/>
        <v>0</v>
      </c>
      <c r="Z24" s="13"/>
      <c r="AA24" s="1"/>
      <c r="AB24" s="20" t="s">
        <v>683</v>
      </c>
      <c r="AC24" s="89">
        <v>45985</v>
      </c>
      <c r="AD24" s="20" t="s">
        <v>659</v>
      </c>
      <c r="AE24" s="20"/>
      <c r="AF24" s="96">
        <v>39750</v>
      </c>
      <c r="AG24" s="1"/>
      <c r="AH24" s="1"/>
      <c r="AI24" s="20" t="s">
        <v>522</v>
      </c>
      <c r="AJ24" s="20" t="s">
        <v>65</v>
      </c>
      <c r="AK24" s="20" t="s">
        <v>696</v>
      </c>
      <c r="AL24" s="96">
        <v>32380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37</v>
      </c>
      <c r="S25" s="1"/>
      <c r="T25" s="5"/>
      <c r="U25" s="1"/>
      <c r="V25" s="12"/>
      <c r="W25" s="40" t="s">
        <v>37</v>
      </c>
      <c r="X25" s="40"/>
      <c r="Y25" s="37">
        <f t="shared" si="8"/>
        <v>0</v>
      </c>
      <c r="Z25" s="13"/>
      <c r="AA25" s="1"/>
      <c r="AB25" s="20" t="s">
        <v>71</v>
      </c>
      <c r="AC25" s="89">
        <v>45985</v>
      </c>
      <c r="AD25" s="118" t="s">
        <v>688</v>
      </c>
      <c r="AE25" s="20"/>
      <c r="AF25" s="96">
        <v>2000</v>
      </c>
      <c r="AG25" s="1"/>
      <c r="AH25" s="1"/>
      <c r="AI25" s="20" t="s">
        <v>490</v>
      </c>
      <c r="AJ25" s="20" t="s">
        <v>71</v>
      </c>
      <c r="AK25" s="20" t="s">
        <v>321</v>
      </c>
      <c r="AL25" s="96">
        <v>10980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20" t="s">
        <v>705</v>
      </c>
      <c r="AC26" s="89">
        <v>45976</v>
      </c>
      <c r="AD26" s="20" t="s">
        <v>52</v>
      </c>
      <c r="AE26" s="20"/>
      <c r="AF26" s="96">
        <v>64280</v>
      </c>
      <c r="AG26" s="1"/>
      <c r="AH26" s="1"/>
      <c r="AI26" s="20" t="s">
        <v>150</v>
      </c>
      <c r="AJ26" s="20" t="s">
        <v>71</v>
      </c>
      <c r="AK26" s="20" t="s">
        <v>364</v>
      </c>
      <c r="AL26" s="96">
        <v>6811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20" t="s">
        <v>706</v>
      </c>
      <c r="AC27" s="89">
        <v>45976</v>
      </c>
      <c r="AD27" s="20" t="s">
        <v>657</v>
      </c>
      <c r="AE27" s="20"/>
      <c r="AF27" s="96">
        <v>14550</v>
      </c>
      <c r="AG27" s="1"/>
      <c r="AH27" s="1"/>
      <c r="AI27" s="20" t="s">
        <v>700</v>
      </c>
      <c r="AJ27" s="20" t="s">
        <v>65</v>
      </c>
      <c r="AK27" s="20" t="s">
        <v>697</v>
      </c>
      <c r="AL27" s="96">
        <v>100000</v>
      </c>
    </row>
    <row r="28" spans="2:38" ht="15.75" thickBot="1">
      <c r="B28" s="125" t="s">
        <v>11</v>
      </c>
      <c r="C28" s="126"/>
      <c r="D28" s="9">
        <f>+SUM(D16:D27)</f>
        <v>69050</v>
      </c>
      <c r="E28" s="1"/>
      <c r="F28" s="125" t="s">
        <v>11</v>
      </c>
      <c r="G28" s="126"/>
      <c r="H28" s="9">
        <f>+SUM(H16:H27)</f>
        <v>74163</v>
      </c>
      <c r="I28" s="1"/>
      <c r="J28" s="125" t="s">
        <v>11</v>
      </c>
      <c r="K28" s="126"/>
      <c r="L28" s="9">
        <f>+SUM(L16:L27)</f>
        <v>77026</v>
      </c>
      <c r="M28" s="1"/>
      <c r="N28" s="125" t="s">
        <v>11</v>
      </c>
      <c r="O28" s="126"/>
      <c r="P28" s="9">
        <f>+SUM(P16:P27)</f>
        <v>109228</v>
      </c>
      <c r="Q28" s="1"/>
      <c r="R28" s="125" t="s">
        <v>11</v>
      </c>
      <c r="S28" s="126"/>
      <c r="T28" s="9">
        <f>+SUM(T16:T27)</f>
        <v>0</v>
      </c>
      <c r="U28" s="1"/>
      <c r="V28" s="12"/>
      <c r="W28" s="125" t="s">
        <v>11</v>
      </c>
      <c r="X28" s="126"/>
      <c r="Y28" s="9">
        <f>+SUM(Y16:Y27)</f>
        <v>329467</v>
      </c>
      <c r="Z28" s="13"/>
      <c r="AA28" s="1"/>
      <c r="AB28" s="20" t="s">
        <v>597</v>
      </c>
      <c r="AC28" s="89">
        <v>45969</v>
      </c>
      <c r="AD28" s="20" t="s">
        <v>191</v>
      </c>
      <c r="AE28" s="20"/>
      <c r="AF28" s="96">
        <v>49860</v>
      </c>
      <c r="AG28" s="1"/>
      <c r="AH28" s="1"/>
      <c r="AI28" s="20" t="s">
        <v>701</v>
      </c>
      <c r="AJ28" s="20" t="s">
        <v>63</v>
      </c>
      <c r="AK28" s="20" t="s">
        <v>391</v>
      </c>
      <c r="AL28" s="97">
        <v>6487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20"/>
      <c r="AC29" s="20"/>
      <c r="AD29" s="20"/>
      <c r="AE29" s="20"/>
      <c r="AF29" s="96"/>
      <c r="AG29" s="1"/>
      <c r="AH29" s="1"/>
      <c r="AI29" s="20" t="s">
        <v>702</v>
      </c>
      <c r="AJ29" s="20" t="s">
        <v>63</v>
      </c>
      <c r="AK29" s="20" t="s">
        <v>431</v>
      </c>
      <c r="AL29" s="97">
        <v>3291</v>
      </c>
    </row>
    <row r="30" spans="2:38" ht="15.75" thickBot="1">
      <c r="B30" s="127" t="s">
        <v>39</v>
      </c>
      <c r="C30" s="127"/>
      <c r="D30" s="7">
        <f>+D28-D15</f>
        <v>-160</v>
      </c>
      <c r="E30" s="1"/>
      <c r="F30" s="127" t="s">
        <v>39</v>
      </c>
      <c r="G30" s="127"/>
      <c r="H30" s="7">
        <f>+H28-H15</f>
        <v>193</v>
      </c>
      <c r="I30" s="1"/>
      <c r="J30" s="127" t="s">
        <v>39</v>
      </c>
      <c r="K30" s="127"/>
      <c r="L30" s="7">
        <f>+L28-L15</f>
        <v>2</v>
      </c>
      <c r="M30" s="1"/>
      <c r="N30" s="127" t="s">
        <v>39</v>
      </c>
      <c r="O30" s="127"/>
      <c r="P30" s="7">
        <f>+P28-P15</f>
        <v>-8032</v>
      </c>
      <c r="Q30" s="1"/>
      <c r="R30" s="127" t="s">
        <v>39</v>
      </c>
      <c r="S30" s="127"/>
      <c r="T30" s="7">
        <f>+T28-T15</f>
        <v>0</v>
      </c>
      <c r="U30" s="1"/>
      <c r="V30" s="12"/>
      <c r="W30" s="124" t="s">
        <v>39</v>
      </c>
      <c r="X30" s="124"/>
      <c r="Y30" s="41">
        <f>+Y28-Y15</f>
        <v>-7997</v>
      </c>
      <c r="Z30" s="13"/>
      <c r="AA30" s="1"/>
      <c r="AB30" s="20"/>
      <c r="AC30" s="20"/>
      <c r="AD30" s="20"/>
      <c r="AE30" s="20"/>
      <c r="AF30" s="96"/>
      <c r="AG30" s="1"/>
      <c r="AH30" s="1"/>
      <c r="AI30" s="20" t="s">
        <v>91</v>
      </c>
      <c r="AJ30" s="20" t="s">
        <v>71</v>
      </c>
      <c r="AK30" s="20" t="s">
        <v>428</v>
      </c>
      <c r="AL30" s="96">
        <v>10732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62"/>
      <c r="AG31" s="1"/>
      <c r="AH31" s="1"/>
      <c r="AI31" s="20" t="s">
        <v>276</v>
      </c>
      <c r="AJ31" s="20" t="s">
        <v>71</v>
      </c>
      <c r="AK31" s="20" t="s">
        <v>445</v>
      </c>
      <c r="AL31" s="96">
        <v>5026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"/>
      <c r="AI32" s="20" t="s">
        <v>153</v>
      </c>
      <c r="AJ32" s="20" t="s">
        <v>146</v>
      </c>
      <c r="AK32" s="20" t="s">
        <v>455</v>
      </c>
      <c r="AL32" s="97">
        <v>11270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20" t="s">
        <v>149</v>
      </c>
      <c r="AJ33" s="20" t="s">
        <v>146</v>
      </c>
      <c r="AK33" s="20" t="s">
        <v>457</v>
      </c>
      <c r="AL33" s="97">
        <v>9252</v>
      </c>
    </row>
    <row r="34" spans="2:38">
      <c r="B34" s="10" t="s">
        <v>40</v>
      </c>
      <c r="C34" s="11"/>
      <c r="D34" s="21">
        <v>160</v>
      </c>
      <c r="E34" s="1"/>
      <c r="F34" s="10" t="s">
        <v>40</v>
      </c>
      <c r="G34" s="11"/>
      <c r="H34" s="21"/>
      <c r="I34" s="1"/>
      <c r="J34" s="10" t="s">
        <v>40</v>
      </c>
      <c r="K34" s="11"/>
      <c r="L34" s="21"/>
      <c r="M34" s="1"/>
      <c r="N34" s="10" t="s">
        <v>40</v>
      </c>
      <c r="O34" s="11"/>
      <c r="P34" s="21">
        <v>8032</v>
      </c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8192</v>
      </c>
      <c r="Z34" s="1"/>
      <c r="AA34" s="1"/>
      <c r="AB34" s="1"/>
      <c r="AC34" s="1"/>
      <c r="AD34" s="1"/>
      <c r="AE34" s="1"/>
      <c r="AF34" s="62"/>
      <c r="AG34" s="1"/>
      <c r="AH34" s="1"/>
      <c r="AI34" s="20" t="s">
        <v>91</v>
      </c>
      <c r="AJ34" s="20" t="s">
        <v>63</v>
      </c>
      <c r="AK34" s="20" t="s">
        <v>463</v>
      </c>
      <c r="AL34" s="96">
        <v>7620</v>
      </c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41</v>
      </c>
      <c r="S35" s="16"/>
      <c r="T35" s="22"/>
      <c r="U35" s="1"/>
      <c r="V35" s="1"/>
      <c r="W35" s="45" t="s">
        <v>41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62"/>
      <c r="AG35" s="1"/>
      <c r="AH35" s="1"/>
      <c r="AI35" s="20" t="s">
        <v>154</v>
      </c>
      <c r="AJ35" s="20" t="s">
        <v>146</v>
      </c>
      <c r="AK35" s="20" t="s">
        <v>474</v>
      </c>
      <c r="AL35" s="97">
        <v>4637</v>
      </c>
    </row>
    <row r="36" spans="2:38">
      <c r="B36" s="12" t="s">
        <v>43</v>
      </c>
      <c r="C36" s="16"/>
      <c r="D36" s="22"/>
      <c r="E36" s="1"/>
      <c r="F36" s="12" t="s">
        <v>43</v>
      </c>
      <c r="G36" s="16"/>
      <c r="H36" s="22">
        <v>-193</v>
      </c>
      <c r="I36" s="1"/>
      <c r="J36" s="12" t="s">
        <v>43</v>
      </c>
      <c r="K36" s="16"/>
      <c r="L36" s="22">
        <v>-2</v>
      </c>
      <c r="M36" s="1"/>
      <c r="N36" s="12" t="s">
        <v>43</v>
      </c>
      <c r="O36" s="16"/>
      <c r="P36" s="22"/>
      <c r="Q36" s="1"/>
      <c r="R36" s="12" t="s">
        <v>45</v>
      </c>
      <c r="S36" s="16"/>
      <c r="T36" s="22"/>
      <c r="U36" s="1"/>
      <c r="V36" s="1"/>
      <c r="W36" s="45" t="s">
        <v>42</v>
      </c>
      <c r="X36" s="40"/>
      <c r="Y36" s="46">
        <f t="shared" si="9"/>
        <v>-195</v>
      </c>
      <c r="Z36" s="1"/>
      <c r="AA36" s="1"/>
      <c r="AB36" s="1"/>
      <c r="AC36" s="1"/>
      <c r="AD36" s="1"/>
      <c r="AE36" s="1"/>
      <c r="AF36" s="62"/>
      <c r="AG36" s="1"/>
      <c r="AH36" s="1"/>
      <c r="AI36" s="20" t="s">
        <v>703</v>
      </c>
      <c r="AJ36" s="20" t="s">
        <v>146</v>
      </c>
      <c r="AK36" s="20" t="s">
        <v>475</v>
      </c>
      <c r="AL36" s="97">
        <v>6475</v>
      </c>
    </row>
    <row r="37" spans="2:38" ht="15.75" thickBot="1">
      <c r="B37" s="12" t="s">
        <v>17</v>
      </c>
      <c r="C37" s="16"/>
      <c r="D37" s="22">
        <f>+SUM(D34:D36)</f>
        <v>160</v>
      </c>
      <c r="E37" s="1"/>
      <c r="F37" s="12" t="s">
        <v>17</v>
      </c>
      <c r="G37" s="16"/>
      <c r="H37" s="22">
        <f>+SUM(H34:H36)</f>
        <v>-193</v>
      </c>
      <c r="I37" s="1"/>
      <c r="J37" s="12" t="s">
        <v>17</v>
      </c>
      <c r="K37" s="16"/>
      <c r="L37" s="22">
        <f>+SUM(L34:L36)</f>
        <v>-2</v>
      </c>
      <c r="M37" s="1"/>
      <c r="N37" s="12" t="s">
        <v>17</v>
      </c>
      <c r="O37" s="16"/>
      <c r="P37" s="22">
        <f>+SUM(P34:P36)</f>
        <v>8032</v>
      </c>
      <c r="Q37" s="1"/>
      <c r="R37" s="12" t="s">
        <v>17</v>
      </c>
      <c r="S37" s="16"/>
      <c r="T37" s="22">
        <f>+SUM(T34:T36)</f>
        <v>0</v>
      </c>
      <c r="U37" s="1"/>
      <c r="V37" s="1"/>
      <c r="W37" s="33" t="s">
        <v>17</v>
      </c>
      <c r="X37" s="34"/>
      <c r="Y37" s="35">
        <f>+SUM(Y34:Y36)</f>
        <v>7997</v>
      </c>
      <c r="Z37" s="1"/>
      <c r="AA37" s="1"/>
      <c r="AB37" s="60" t="s">
        <v>38</v>
      </c>
      <c r="AC37" s="60"/>
      <c r="AD37" s="60"/>
      <c r="AE37" s="60"/>
      <c r="AF37" s="55">
        <f>+SUM(AF23:AF36)</f>
        <v>173550</v>
      </c>
      <c r="AG37" s="1"/>
      <c r="AH37" s="1"/>
      <c r="AI37" s="20" t="s">
        <v>219</v>
      </c>
      <c r="AJ37" s="20" t="s">
        <v>90</v>
      </c>
      <c r="AK37" s="20" t="s">
        <v>493</v>
      </c>
      <c r="AL37" s="96">
        <v>12170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20" t="s">
        <v>526</v>
      </c>
      <c r="AJ38" s="20" t="s">
        <v>146</v>
      </c>
      <c r="AK38" s="20" t="s">
        <v>512</v>
      </c>
      <c r="AL38" s="96">
        <v>4643</v>
      </c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0" t="s">
        <v>102</v>
      </c>
      <c r="AJ39" s="20" t="s">
        <v>71</v>
      </c>
      <c r="AK39" s="20" t="s">
        <v>698</v>
      </c>
      <c r="AL39" s="96">
        <v>10000</v>
      </c>
    </row>
    <row r="40" spans="2:38">
      <c r="AI40" s="20" t="s">
        <v>704</v>
      </c>
      <c r="AJ40" s="20" t="s">
        <v>65</v>
      </c>
      <c r="AK40" s="20" t="s">
        <v>699</v>
      </c>
      <c r="AL40" s="96">
        <v>28460</v>
      </c>
    </row>
    <row r="41" spans="2:38">
      <c r="AI41" s="1" t="s">
        <v>191</v>
      </c>
      <c r="AJ41" s="70" t="s">
        <v>597</v>
      </c>
      <c r="AL41" s="96">
        <v>100000</v>
      </c>
    </row>
    <row r="42" spans="2:38" ht="15.75" thickBot="1">
      <c r="AI42" s="60" t="s">
        <v>38</v>
      </c>
      <c r="AJ42" s="60"/>
      <c r="AK42" s="60"/>
      <c r="AL42" s="67">
        <f>+SUM(AL23:AL41)</f>
        <v>395234</v>
      </c>
    </row>
    <row r="43" spans="2:38" ht="15.75" thickTop="1"/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B2:AL39"/>
  <sheetViews>
    <sheetView topLeftCell="E10" zoomScale="90" zoomScaleNormal="90" workbookViewId="0">
      <selection activeCell="AF40" sqref="AF40"/>
    </sheetView>
  </sheetViews>
  <sheetFormatPr defaultRowHeight="15"/>
  <cols>
    <col min="3" max="3" width="10" customWidth="1"/>
    <col min="5" max="5" width="0.5703125" customWidth="1"/>
    <col min="9" max="9" width="0.5703125" customWidth="1"/>
    <col min="11" max="11" width="14.7109375" customWidth="1"/>
    <col min="12" max="12" width="9.5703125" bestFit="1" customWidth="1"/>
    <col min="13" max="13" width="0.42578125" customWidth="1"/>
    <col min="14" max="14" width="11.28515625" customWidth="1"/>
    <col min="15" max="15" width="14.28515625" customWidth="1"/>
    <col min="17" max="17" width="0.28515625" customWidth="1"/>
    <col min="20" max="20" width="9.5703125" bestFit="1" customWidth="1"/>
    <col min="21" max="22" width="0.28515625" customWidth="1"/>
    <col min="26" max="26" width="0.5703125" customWidth="1"/>
    <col min="27" max="27" width="0.42578125" customWidth="1"/>
    <col min="28" max="28" width="15.7109375" customWidth="1"/>
    <col min="29" max="29" width="11.28515625" customWidth="1"/>
    <col min="30" max="30" width="10.28515625" customWidth="1"/>
    <col min="31" max="31" width="7.5703125" customWidth="1"/>
    <col min="32" max="32" width="8.140625" customWidth="1"/>
    <col min="33" max="33" width="1.28515625" customWidth="1"/>
    <col min="34" max="34" width="9.140625" hidden="1" customWidth="1"/>
    <col min="37" max="37" width="9.140625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65</v>
      </c>
      <c r="D6" s="36">
        <f>+C6*B6</f>
        <v>650</v>
      </c>
      <c r="E6" s="1"/>
      <c r="F6" s="2">
        <v>10</v>
      </c>
      <c r="G6" s="2">
        <f>14+1</f>
        <v>15</v>
      </c>
      <c r="H6" s="36">
        <f>+G6*F6</f>
        <v>150</v>
      </c>
      <c r="I6" s="1"/>
      <c r="J6" s="2">
        <v>10</v>
      </c>
      <c r="K6" s="2">
        <v>95</v>
      </c>
      <c r="L6" s="36">
        <f>+K6*J6</f>
        <v>950</v>
      </c>
      <c r="M6" s="1"/>
      <c r="N6" s="2">
        <v>10</v>
      </c>
      <c r="O6" s="2">
        <v>29</v>
      </c>
      <c r="P6" s="36">
        <f>+O6*N6</f>
        <v>290</v>
      </c>
      <c r="Q6" s="1"/>
      <c r="R6" s="2">
        <v>10</v>
      </c>
      <c r="S6" s="2">
        <v>600</v>
      </c>
      <c r="T6" s="36">
        <f>+S6*R6</f>
        <v>6000</v>
      </c>
      <c r="U6" s="1"/>
      <c r="V6" s="12"/>
      <c r="W6" s="39">
        <v>10</v>
      </c>
      <c r="X6" s="39">
        <f>+C6+G6+K6+O6+S6</f>
        <v>804</v>
      </c>
      <c r="Y6" s="37">
        <f>+D6+H6+L6+P6+T6</f>
        <v>8040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22</v>
      </c>
      <c r="D7" s="36">
        <f t="shared" ref="D7:D12" si="1">+C7*B7</f>
        <v>440</v>
      </c>
      <c r="E7" s="1"/>
      <c r="F7" s="2">
        <v>20</v>
      </c>
      <c r="G7" s="2">
        <v>4</v>
      </c>
      <c r="H7" s="36">
        <f t="shared" ref="H7:H12" si="2">+G7*F7</f>
        <v>80</v>
      </c>
      <c r="I7" s="1"/>
      <c r="J7" s="2">
        <v>20</v>
      </c>
      <c r="K7" s="2">
        <v>15</v>
      </c>
      <c r="L7" s="36">
        <f t="shared" ref="L7:L12" si="3">+K7*J7</f>
        <v>300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>
        <v>48</v>
      </c>
      <c r="T7" s="36">
        <f t="shared" ref="T7:T12" si="5">+S7*R7</f>
        <v>960</v>
      </c>
      <c r="U7" s="1"/>
      <c r="V7" s="12"/>
      <c r="W7" s="39">
        <v>20</v>
      </c>
      <c r="X7" s="39">
        <f>+C7+G7+K7+O7+S7</f>
        <v>89</v>
      </c>
      <c r="Y7" s="37">
        <f t="shared" ref="Y7:Y12" si="6">+D7+H7+L7+P7+T7</f>
        <v>1780</v>
      </c>
      <c r="Z7" s="13"/>
      <c r="AA7" s="1"/>
      <c r="AB7" s="56" t="s">
        <v>9</v>
      </c>
      <c r="AC7" s="57">
        <f>Y13</f>
        <v>401870</v>
      </c>
      <c r="AD7" s="26"/>
      <c r="AE7" s="26"/>
      <c r="AF7" s="26"/>
      <c r="AG7" s="26"/>
      <c r="AH7" s="1"/>
      <c r="AI7" s="2">
        <v>10</v>
      </c>
      <c r="AJ7" s="2">
        <v>960</v>
      </c>
      <c r="AK7" s="36">
        <f t="shared" si="0"/>
        <v>9600</v>
      </c>
      <c r="AL7" s="1"/>
    </row>
    <row r="8" spans="2:38">
      <c r="B8" s="2">
        <v>50</v>
      </c>
      <c r="C8" s="2">
        <v>13</v>
      </c>
      <c r="D8" s="36">
        <f t="shared" si="1"/>
        <v>650</v>
      </c>
      <c r="E8" s="1"/>
      <c r="F8" s="2">
        <v>50</v>
      </c>
      <c r="G8" s="2">
        <v>19</v>
      </c>
      <c r="H8" s="36">
        <f t="shared" si="2"/>
        <v>950</v>
      </c>
      <c r="I8" s="1"/>
      <c r="J8" s="2">
        <v>50</v>
      </c>
      <c r="K8" s="2">
        <v>70</v>
      </c>
      <c r="L8" s="36">
        <f t="shared" si="3"/>
        <v>3500</v>
      </c>
      <c r="M8" s="1"/>
      <c r="N8" s="2">
        <v>50</v>
      </c>
      <c r="O8" s="2">
        <v>5</v>
      </c>
      <c r="P8" s="36">
        <f t="shared" si="4"/>
        <v>250</v>
      </c>
      <c r="Q8" s="1"/>
      <c r="R8" s="2">
        <v>50</v>
      </c>
      <c r="S8" s="2">
        <v>124</v>
      </c>
      <c r="T8" s="36">
        <f t="shared" si="5"/>
        <v>6200</v>
      </c>
      <c r="U8" s="1"/>
      <c r="V8" s="12"/>
      <c r="W8" s="39">
        <v>50</v>
      </c>
      <c r="X8" s="39">
        <f t="shared" ref="X8:X12" si="7">+C8+G8+K8+O8+S8</f>
        <v>231</v>
      </c>
      <c r="Y8" s="37">
        <f t="shared" si="6"/>
        <v>11550</v>
      </c>
      <c r="Z8" s="13"/>
      <c r="AA8" s="1"/>
      <c r="AB8" s="53" t="s">
        <v>10</v>
      </c>
      <c r="AC8" s="53">
        <f>+AF37</f>
        <v>59400</v>
      </c>
      <c r="AD8" s="1"/>
      <c r="AE8" s="1"/>
      <c r="AF8" s="1"/>
      <c r="AG8" s="1"/>
      <c r="AH8" s="1"/>
      <c r="AI8" s="2">
        <v>20</v>
      </c>
      <c r="AJ8" s="2">
        <v>111</v>
      </c>
      <c r="AK8" s="36">
        <f t="shared" si="0"/>
        <v>2220</v>
      </c>
      <c r="AL8" s="1"/>
    </row>
    <row r="9" spans="2:38" ht="15.75" thickBot="1">
      <c r="B9" s="2">
        <v>100</v>
      </c>
      <c r="C9" s="2">
        <v>40</v>
      </c>
      <c r="D9" s="36">
        <f t="shared" si="1"/>
        <v>4000</v>
      </c>
      <c r="E9" s="1"/>
      <c r="F9" s="2">
        <v>100</v>
      </c>
      <c r="G9" s="2">
        <f>15+12</f>
        <v>27</v>
      </c>
      <c r="H9" s="36">
        <f t="shared" si="2"/>
        <v>2700</v>
      </c>
      <c r="I9" s="1"/>
      <c r="J9" s="2">
        <v>100</v>
      </c>
      <c r="K9" s="2">
        <v>52</v>
      </c>
      <c r="L9" s="36">
        <f t="shared" si="3"/>
        <v>5200</v>
      </c>
      <c r="M9" s="1"/>
      <c r="N9" s="2">
        <v>100</v>
      </c>
      <c r="O9" s="2"/>
      <c r="P9" s="36">
        <f t="shared" si="4"/>
        <v>0</v>
      </c>
      <c r="Q9" s="1"/>
      <c r="R9" s="2">
        <v>100</v>
      </c>
      <c r="S9" s="2">
        <v>221</v>
      </c>
      <c r="T9" s="36">
        <f t="shared" si="5"/>
        <v>22100</v>
      </c>
      <c r="U9" s="1"/>
      <c r="V9" s="12"/>
      <c r="W9" s="39">
        <v>100</v>
      </c>
      <c r="X9" s="39">
        <f t="shared" si="7"/>
        <v>340</v>
      </c>
      <c r="Y9" s="37">
        <f t="shared" si="6"/>
        <v>34000</v>
      </c>
      <c r="Z9" s="13"/>
      <c r="AA9" s="1"/>
      <c r="AB9" s="58" t="s">
        <v>11</v>
      </c>
      <c r="AC9" s="59">
        <f>SUM(AC7:AC8)</f>
        <v>461270</v>
      </c>
      <c r="AD9" s="1"/>
      <c r="AE9" s="1"/>
      <c r="AF9" s="1"/>
      <c r="AG9" s="1"/>
      <c r="AH9" s="1"/>
      <c r="AI9" s="2">
        <v>50</v>
      </c>
      <c r="AJ9" s="2">
        <v>253</v>
      </c>
      <c r="AK9" s="36">
        <f t="shared" si="0"/>
        <v>12650</v>
      </c>
      <c r="AL9" s="1"/>
    </row>
    <row r="10" spans="2:38">
      <c r="B10" s="2">
        <v>500</v>
      </c>
      <c r="C10" s="2">
        <v>25</v>
      </c>
      <c r="D10" s="36">
        <f t="shared" si="1"/>
        <v>12500</v>
      </c>
      <c r="E10" s="1"/>
      <c r="F10" s="2">
        <v>500</v>
      </c>
      <c r="G10" s="2">
        <v>35</v>
      </c>
      <c r="H10" s="36">
        <f t="shared" si="2"/>
        <v>17500</v>
      </c>
      <c r="I10" s="1"/>
      <c r="J10" s="2">
        <v>500</v>
      </c>
      <c r="K10" s="2">
        <v>39</v>
      </c>
      <c r="L10" s="36">
        <f t="shared" si="3"/>
        <v>19500</v>
      </c>
      <c r="M10" s="1"/>
      <c r="N10" s="2">
        <v>500</v>
      </c>
      <c r="O10" s="2">
        <v>25</v>
      </c>
      <c r="P10" s="36">
        <f t="shared" si="4"/>
        <v>12500</v>
      </c>
      <c r="Q10" s="1"/>
      <c r="R10" s="2">
        <v>500</v>
      </c>
      <c r="S10" s="2">
        <v>95</v>
      </c>
      <c r="T10" s="36">
        <f t="shared" si="5"/>
        <v>47500</v>
      </c>
      <c r="U10" s="1"/>
      <c r="V10" s="12"/>
      <c r="W10" s="39">
        <v>500</v>
      </c>
      <c r="X10" s="39">
        <f t="shared" si="7"/>
        <v>219</v>
      </c>
      <c r="Y10" s="37">
        <f t="shared" si="6"/>
        <v>109500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393</v>
      </c>
      <c r="AK10" s="36">
        <f t="shared" si="0"/>
        <v>39300</v>
      </c>
      <c r="AL10" s="1"/>
    </row>
    <row r="11" spans="2:38">
      <c r="B11" s="2">
        <v>1000</v>
      </c>
      <c r="C11" s="2">
        <v>22</v>
      </c>
      <c r="D11" s="36">
        <f t="shared" si="1"/>
        <v>22000</v>
      </c>
      <c r="E11" s="1"/>
      <c r="F11" s="2">
        <v>1000</v>
      </c>
      <c r="G11" s="2">
        <v>54</v>
      </c>
      <c r="H11" s="36">
        <f t="shared" si="2"/>
        <v>54000</v>
      </c>
      <c r="I11" s="1"/>
      <c r="J11" s="2">
        <v>1000</v>
      </c>
      <c r="K11" s="2">
        <v>41</v>
      </c>
      <c r="L11" s="36">
        <f t="shared" si="3"/>
        <v>41000</v>
      </c>
      <c r="M11" s="1"/>
      <c r="N11" s="2">
        <v>1000</v>
      </c>
      <c r="O11" s="2">
        <v>40</v>
      </c>
      <c r="P11" s="36">
        <f t="shared" si="4"/>
        <v>40000</v>
      </c>
      <c r="Q11" s="1"/>
      <c r="R11" s="2">
        <v>1000</v>
      </c>
      <c r="S11" s="2">
        <v>50</v>
      </c>
      <c r="T11" s="36">
        <f t="shared" si="5"/>
        <v>50000</v>
      </c>
      <c r="U11" s="1"/>
      <c r="V11" s="12"/>
      <c r="W11" s="39">
        <v>1000</v>
      </c>
      <c r="X11" s="39">
        <f t="shared" si="7"/>
        <v>207</v>
      </c>
      <c r="Y11" s="37">
        <f t="shared" si="6"/>
        <v>207000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225</v>
      </c>
      <c r="AK11" s="36">
        <f t="shared" si="0"/>
        <v>112500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f>2+1</f>
        <v>3</v>
      </c>
      <c r="H12" s="36">
        <f t="shared" si="2"/>
        <v>15000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>
        <v>1</v>
      </c>
      <c r="T12" s="36">
        <f t="shared" si="5"/>
        <v>5000</v>
      </c>
      <c r="U12" s="1"/>
      <c r="V12" s="12"/>
      <c r="W12" s="39">
        <v>5000</v>
      </c>
      <c r="X12" s="39">
        <f t="shared" si="7"/>
        <v>6</v>
      </c>
      <c r="Y12" s="37">
        <f t="shared" si="6"/>
        <v>30000</v>
      </c>
      <c r="Z12" s="13"/>
      <c r="AA12" s="1"/>
      <c r="AB12" s="1" t="s">
        <v>16</v>
      </c>
      <c r="AC12" s="5">
        <v>451670</v>
      </c>
      <c r="AD12" s="1">
        <v>365205</v>
      </c>
      <c r="AE12" s="52" t="s">
        <v>733</v>
      </c>
      <c r="AF12" s="1" t="s">
        <v>69</v>
      </c>
      <c r="AG12" s="1"/>
      <c r="AH12" s="1"/>
      <c r="AI12" s="2">
        <v>1000</v>
      </c>
      <c r="AJ12" s="2">
        <v>225</v>
      </c>
      <c r="AK12" s="36">
        <f t="shared" si="0"/>
        <v>225000</v>
      </c>
      <c r="AL12" s="1"/>
    </row>
    <row r="13" spans="2:38" ht="15.75" thickBot="1">
      <c r="B13" s="3" t="s">
        <v>17</v>
      </c>
      <c r="C13" s="3"/>
      <c r="D13" s="6">
        <f>+SUM(D5:D12)</f>
        <v>40240</v>
      </c>
      <c r="E13" s="1"/>
      <c r="F13" s="3" t="s">
        <v>17</v>
      </c>
      <c r="G13" s="3"/>
      <c r="H13" s="6">
        <f>+SUM(H5:H12)</f>
        <v>90380</v>
      </c>
      <c r="I13" s="1"/>
      <c r="J13" s="3" t="s">
        <v>17</v>
      </c>
      <c r="K13" s="3"/>
      <c r="L13" s="6">
        <f>+SUM(L5:L12)</f>
        <v>75450</v>
      </c>
      <c r="M13" s="1"/>
      <c r="N13" s="3" t="s">
        <v>17</v>
      </c>
      <c r="O13" s="3"/>
      <c r="P13" s="6">
        <f>+SUM(P5:P12)</f>
        <v>58040</v>
      </c>
      <c r="Q13" s="1"/>
      <c r="R13" s="3" t="s">
        <v>17</v>
      </c>
      <c r="S13" s="3"/>
      <c r="T13" s="6">
        <f>+SUM(T5:T12)</f>
        <v>137760</v>
      </c>
      <c r="U13" s="1"/>
      <c r="V13" s="12"/>
      <c r="W13" s="3" t="s">
        <v>17</v>
      </c>
      <c r="X13" s="3"/>
      <c r="Y13" s="6">
        <f>+SUM(Y5:Y12)</f>
        <v>401870</v>
      </c>
      <c r="Z13" s="13"/>
      <c r="AA13" s="1"/>
      <c r="AB13" s="1" t="s">
        <v>18</v>
      </c>
      <c r="AC13" s="5">
        <v>9600</v>
      </c>
      <c r="AD13" s="1"/>
      <c r="AE13" s="1"/>
      <c r="AF13" s="1"/>
      <c r="AG13" s="1"/>
      <c r="AH13" s="1"/>
      <c r="AI13" s="2">
        <v>5000</v>
      </c>
      <c r="AJ13" s="2">
        <v>12</v>
      </c>
      <c r="AK13" s="36">
        <f t="shared" si="0"/>
        <v>60000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461270</v>
      </c>
      <c r="AL14" s="1"/>
    </row>
    <row r="15" spans="2:38" ht="15.75" thickBot="1">
      <c r="B15" s="128" t="s">
        <v>20</v>
      </c>
      <c r="C15" s="129"/>
      <c r="D15" s="8">
        <v>70779</v>
      </c>
      <c r="E15" s="30"/>
      <c r="F15" s="128" t="s">
        <v>20</v>
      </c>
      <c r="G15" s="129"/>
      <c r="H15" s="8">
        <v>99606</v>
      </c>
      <c r="I15" s="30"/>
      <c r="J15" s="128" t="s">
        <v>20</v>
      </c>
      <c r="K15" s="129"/>
      <c r="L15" s="8">
        <v>110284</v>
      </c>
      <c r="M15" s="30"/>
      <c r="N15" s="128" t="s">
        <v>20</v>
      </c>
      <c r="O15" s="129"/>
      <c r="P15" s="8">
        <v>93510</v>
      </c>
      <c r="Q15" s="30"/>
      <c r="R15" s="128" t="s">
        <v>20</v>
      </c>
      <c r="S15" s="129"/>
      <c r="T15" s="8">
        <v>145135</v>
      </c>
      <c r="U15" s="30"/>
      <c r="V15" s="31"/>
      <c r="W15" s="128" t="s">
        <v>20</v>
      </c>
      <c r="X15" s="129"/>
      <c r="Y15" s="8">
        <f>+D15+H15+L15+P15+T15</f>
        <v>519314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40240</v>
      </c>
      <c r="E16" s="1"/>
      <c r="F16" s="1" t="s">
        <v>9</v>
      </c>
      <c r="G16" s="1"/>
      <c r="H16" s="5">
        <f>+H13</f>
        <v>90380</v>
      </c>
      <c r="I16" s="1"/>
      <c r="J16" s="1" t="s">
        <v>9</v>
      </c>
      <c r="K16" s="1"/>
      <c r="L16" s="5">
        <f>+L13</f>
        <v>75450</v>
      </c>
      <c r="M16" s="1"/>
      <c r="N16" s="1" t="s">
        <v>9</v>
      </c>
      <c r="O16" s="1"/>
      <c r="P16" s="5">
        <f>+P13</f>
        <v>58040</v>
      </c>
      <c r="Q16" s="1"/>
      <c r="R16" s="1" t="s">
        <v>9</v>
      </c>
      <c r="S16" s="1"/>
      <c r="T16" s="5">
        <f>+T13</f>
        <v>137760</v>
      </c>
      <c r="U16" s="1"/>
      <c r="V16" s="12"/>
      <c r="W16" s="40" t="s">
        <v>9</v>
      </c>
      <c r="X16" s="40"/>
      <c r="Y16" s="37">
        <f>+D16+H16+L16+P16+T16</f>
        <v>401870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>
        <v>2219</v>
      </c>
      <c r="I17" s="1"/>
      <c r="J17" s="1" t="s">
        <v>16</v>
      </c>
      <c r="K17" s="1"/>
      <c r="L17" s="5">
        <v>11428</v>
      </c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13647</v>
      </c>
      <c r="Z17" s="13"/>
      <c r="AA17" s="1"/>
      <c r="AB17" s="48" t="s">
        <v>11</v>
      </c>
      <c r="AC17" s="49">
        <f>+SUM(AC12:AC16)</f>
        <v>461270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23</v>
      </c>
      <c r="C18" s="1"/>
      <c r="D18" s="5"/>
      <c r="E18" s="1"/>
      <c r="F18" s="1" t="s">
        <v>23</v>
      </c>
      <c r="G18" s="1"/>
      <c r="H18" s="5"/>
      <c r="I18" s="1"/>
      <c r="J18" s="1" t="s">
        <v>637</v>
      </c>
      <c r="K18" s="1" t="s">
        <v>729</v>
      </c>
      <c r="L18" s="5">
        <v>5000</v>
      </c>
      <c r="M18" s="1"/>
      <c r="N18" s="1" t="s">
        <v>588</v>
      </c>
      <c r="O18" s="1" t="s">
        <v>714</v>
      </c>
      <c r="P18" s="5">
        <v>7000</v>
      </c>
      <c r="Q18" s="1"/>
      <c r="R18" s="1" t="s">
        <v>23</v>
      </c>
      <c r="S18" s="1"/>
      <c r="T18" s="5"/>
      <c r="U18" s="1"/>
      <c r="V18" s="12"/>
      <c r="W18" s="40" t="s">
        <v>23</v>
      </c>
      <c r="X18" s="40"/>
      <c r="Y18" s="37">
        <f t="shared" si="8"/>
        <v>12000</v>
      </c>
      <c r="Z18" s="13"/>
      <c r="AA18" s="1"/>
      <c r="AB18" s="50" t="s">
        <v>24</v>
      </c>
      <c r="AC18" s="51">
        <f>+AC17-AC9</f>
        <v>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26</v>
      </c>
      <c r="G19" s="1"/>
      <c r="H19" s="5"/>
      <c r="I19" s="1"/>
      <c r="J19" s="1" t="s">
        <v>650</v>
      </c>
      <c r="K19" s="1" t="s">
        <v>730</v>
      </c>
      <c r="L19" s="5">
        <v>11000</v>
      </c>
      <c r="M19" s="1"/>
      <c r="N19" s="1" t="s">
        <v>586</v>
      </c>
      <c r="O19" s="1" t="s">
        <v>715</v>
      </c>
      <c r="P19" s="5">
        <v>4270</v>
      </c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15270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731</v>
      </c>
      <c r="K20" s="1" t="s">
        <v>732</v>
      </c>
      <c r="L20" s="5">
        <v>7000</v>
      </c>
      <c r="M20" s="1"/>
      <c r="N20" s="1" t="s">
        <v>650</v>
      </c>
      <c r="O20" s="1" t="s">
        <v>716</v>
      </c>
      <c r="P20" s="5">
        <v>15000</v>
      </c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22000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717</v>
      </c>
      <c r="C23" s="1" t="s">
        <v>718</v>
      </c>
      <c r="D23" s="5">
        <v>9644</v>
      </c>
      <c r="E23" s="1"/>
      <c r="F23" s="1" t="s">
        <v>720</v>
      </c>
      <c r="G23" s="1" t="s">
        <v>721</v>
      </c>
      <c r="H23" s="5">
        <v>7197</v>
      </c>
      <c r="I23" s="1"/>
      <c r="J23" s="1" t="s">
        <v>35</v>
      </c>
      <c r="K23" s="1"/>
      <c r="L23" s="5"/>
      <c r="M23" s="1"/>
      <c r="N23" s="1" t="s">
        <v>713</v>
      </c>
      <c r="O23" s="1" t="s">
        <v>150</v>
      </c>
      <c r="P23" s="5">
        <v>9208</v>
      </c>
      <c r="Q23" s="1"/>
      <c r="R23" s="1" t="s">
        <v>35</v>
      </c>
      <c r="S23" s="1"/>
      <c r="T23" s="5"/>
      <c r="U23" s="1"/>
      <c r="V23" s="12"/>
      <c r="W23" s="40" t="s">
        <v>35</v>
      </c>
      <c r="X23" s="40"/>
      <c r="Y23" s="37">
        <f t="shared" si="8"/>
        <v>26049</v>
      </c>
      <c r="Z23" s="13"/>
      <c r="AA23" s="1"/>
      <c r="AB23" s="120" t="s">
        <v>723</v>
      </c>
      <c r="AC23" s="120">
        <v>45885</v>
      </c>
      <c r="AD23" s="20" t="s">
        <v>722</v>
      </c>
      <c r="AE23" s="20"/>
      <c r="AF23" s="96">
        <v>24000</v>
      </c>
      <c r="AG23" s="1"/>
      <c r="AH23" s="1"/>
      <c r="AI23" s="1" t="s">
        <v>146</v>
      </c>
      <c r="AJ23" s="1" t="s">
        <v>64</v>
      </c>
      <c r="AK23" s="1"/>
      <c r="AL23" s="62">
        <v>2219</v>
      </c>
    </row>
    <row r="24" spans="2:38">
      <c r="B24" s="1" t="s">
        <v>719</v>
      </c>
      <c r="C24" s="1" t="s">
        <v>471</v>
      </c>
      <c r="D24" s="5">
        <v>20910</v>
      </c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36</v>
      </c>
      <c r="S24" s="1"/>
      <c r="T24" s="5"/>
      <c r="U24" s="1"/>
      <c r="V24" s="12"/>
      <c r="W24" s="40" t="s">
        <v>36</v>
      </c>
      <c r="X24" s="40"/>
      <c r="Y24" s="37">
        <f t="shared" si="8"/>
        <v>20910</v>
      </c>
      <c r="Z24" s="13"/>
      <c r="AA24" s="1"/>
      <c r="AB24" s="20" t="s">
        <v>724</v>
      </c>
      <c r="AC24" s="115">
        <v>45967</v>
      </c>
      <c r="AD24" s="116" t="s">
        <v>67</v>
      </c>
      <c r="AE24" s="20" t="s">
        <v>725</v>
      </c>
      <c r="AF24" s="96">
        <v>20400</v>
      </c>
      <c r="AG24" s="1"/>
      <c r="AH24" s="1"/>
      <c r="AI24" s="20" t="s">
        <v>90</v>
      </c>
      <c r="AJ24" s="20" t="s">
        <v>64</v>
      </c>
      <c r="AK24" s="20"/>
      <c r="AL24" s="96">
        <v>11428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37</v>
      </c>
      <c r="S25" s="1"/>
      <c r="T25" s="5"/>
      <c r="U25" s="1"/>
      <c r="V25" s="12"/>
      <c r="W25" s="40" t="s">
        <v>37</v>
      </c>
      <c r="X25" s="40"/>
      <c r="Y25" s="37">
        <f t="shared" si="8"/>
        <v>0</v>
      </c>
      <c r="Z25" s="13"/>
      <c r="AA25" s="1"/>
      <c r="AB25" s="20" t="s">
        <v>409</v>
      </c>
      <c r="AC25" s="89">
        <v>45967</v>
      </c>
      <c r="AD25" s="20" t="s">
        <v>210</v>
      </c>
      <c r="AE25" s="20"/>
      <c r="AF25" s="96">
        <v>15000</v>
      </c>
      <c r="AG25" s="1"/>
      <c r="AH25" s="1"/>
      <c r="AI25" s="20" t="s">
        <v>91</v>
      </c>
      <c r="AJ25" s="20" t="s">
        <v>71</v>
      </c>
      <c r="AK25" s="20" t="s">
        <v>362</v>
      </c>
      <c r="AL25" s="96">
        <v>11836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20"/>
      <c r="AC26" s="20"/>
      <c r="AD26" s="20"/>
      <c r="AE26" s="20"/>
      <c r="AF26" s="96"/>
      <c r="AG26" s="1"/>
      <c r="AH26" s="1"/>
      <c r="AI26" s="20" t="s">
        <v>527</v>
      </c>
      <c r="AJ26" s="20" t="s">
        <v>65</v>
      </c>
      <c r="AK26" s="20" t="s">
        <v>726</v>
      </c>
      <c r="AL26" s="96">
        <v>185640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62"/>
      <c r="AG27" s="1"/>
      <c r="AH27" s="1"/>
      <c r="AI27" s="20" t="s">
        <v>728</v>
      </c>
      <c r="AJ27" s="20" t="s">
        <v>65</v>
      </c>
      <c r="AK27" s="20" t="s">
        <v>727</v>
      </c>
      <c r="AL27" s="96">
        <v>131329</v>
      </c>
    </row>
    <row r="28" spans="2:38" ht="15.75" thickBot="1">
      <c r="B28" s="125" t="s">
        <v>11</v>
      </c>
      <c r="C28" s="126"/>
      <c r="D28" s="9">
        <f>+SUM(D16:D27)</f>
        <v>70794</v>
      </c>
      <c r="E28" s="1"/>
      <c r="F28" s="125" t="s">
        <v>11</v>
      </c>
      <c r="G28" s="126"/>
      <c r="H28" s="9">
        <f>+SUM(H16:H27)</f>
        <v>99796</v>
      </c>
      <c r="I28" s="1"/>
      <c r="J28" s="125" t="s">
        <v>11</v>
      </c>
      <c r="K28" s="126"/>
      <c r="L28" s="9">
        <f>+SUM(L16:L27)</f>
        <v>109878</v>
      </c>
      <c r="M28" s="1"/>
      <c r="N28" s="125" t="s">
        <v>11</v>
      </c>
      <c r="O28" s="126"/>
      <c r="P28" s="9">
        <f>+SUM(P16:P27)</f>
        <v>93518</v>
      </c>
      <c r="Q28" s="1"/>
      <c r="R28" s="125" t="s">
        <v>11</v>
      </c>
      <c r="S28" s="126"/>
      <c r="T28" s="9">
        <f>+SUM(T16:T27)</f>
        <v>137760</v>
      </c>
      <c r="U28" s="1"/>
      <c r="V28" s="12"/>
      <c r="W28" s="125" t="s">
        <v>11</v>
      </c>
      <c r="X28" s="126"/>
      <c r="Y28" s="9">
        <f>+SUM(Y16:Y27)</f>
        <v>511746</v>
      </c>
      <c r="Z28" s="13"/>
      <c r="AA28" s="1"/>
      <c r="AB28" s="1"/>
      <c r="AC28" s="1"/>
      <c r="AD28" s="1"/>
      <c r="AE28" s="1"/>
      <c r="AF28" s="62"/>
      <c r="AG28" s="1"/>
      <c r="AH28" s="1"/>
      <c r="AI28" s="20" t="s">
        <v>306</v>
      </c>
      <c r="AJ28" s="20" t="s">
        <v>146</v>
      </c>
      <c r="AK28" s="20" t="s">
        <v>477</v>
      </c>
      <c r="AL28" s="97">
        <v>8800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62"/>
      <c r="AG29" s="1"/>
      <c r="AH29" s="1"/>
      <c r="AI29" s="20"/>
      <c r="AJ29" s="20"/>
      <c r="AK29" s="20"/>
      <c r="AL29" s="96"/>
    </row>
    <row r="30" spans="2:38" ht="15.75" thickBot="1">
      <c r="B30" s="127" t="s">
        <v>39</v>
      </c>
      <c r="C30" s="127"/>
      <c r="D30" s="7">
        <f>+D28-D15</f>
        <v>15</v>
      </c>
      <c r="E30" s="1"/>
      <c r="F30" s="127" t="s">
        <v>39</v>
      </c>
      <c r="G30" s="127"/>
      <c r="H30" s="7">
        <f>+H28-H15</f>
        <v>190</v>
      </c>
      <c r="I30" s="1"/>
      <c r="J30" s="127" t="s">
        <v>39</v>
      </c>
      <c r="K30" s="127"/>
      <c r="L30" s="7">
        <f>+L28-L15</f>
        <v>-406</v>
      </c>
      <c r="M30" s="1"/>
      <c r="N30" s="127" t="s">
        <v>39</v>
      </c>
      <c r="O30" s="127"/>
      <c r="P30" s="7">
        <f>+P28-P15</f>
        <v>8</v>
      </c>
      <c r="Q30" s="1"/>
      <c r="R30" s="127" t="s">
        <v>39</v>
      </c>
      <c r="S30" s="127"/>
      <c r="T30" s="7">
        <f>+T28-T15</f>
        <v>-7375</v>
      </c>
      <c r="U30" s="1"/>
      <c r="V30" s="12"/>
      <c r="W30" s="124" t="s">
        <v>39</v>
      </c>
      <c r="X30" s="124"/>
      <c r="Y30" s="41">
        <f>+Y28-Y15</f>
        <v>-7568</v>
      </c>
      <c r="Z30" s="13"/>
      <c r="AA30" s="1"/>
      <c r="AB30" s="1"/>
      <c r="AC30" s="1"/>
      <c r="AD30" s="1"/>
      <c r="AE30" s="1"/>
      <c r="AF30" s="62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62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>
        <v>406</v>
      </c>
      <c r="M34" s="1"/>
      <c r="N34" s="10" t="s">
        <v>40</v>
      </c>
      <c r="O34" s="11"/>
      <c r="P34" s="21"/>
      <c r="Q34" s="1"/>
      <c r="R34" s="10" t="s">
        <v>40</v>
      </c>
      <c r="S34" s="11"/>
      <c r="T34" s="21">
        <v>120</v>
      </c>
      <c r="U34" s="1"/>
      <c r="V34" s="1"/>
      <c r="W34" s="42" t="s">
        <v>40</v>
      </c>
      <c r="X34" s="43"/>
      <c r="Y34" s="44">
        <f>+D34+H34+L34+P34+T34</f>
        <v>526</v>
      </c>
      <c r="Z34" s="1"/>
      <c r="AA34" s="1"/>
      <c r="AB34" s="1"/>
      <c r="AC34" s="1"/>
      <c r="AD34" s="1"/>
      <c r="AE34" s="1"/>
      <c r="AF34" s="62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88</v>
      </c>
      <c r="S35" s="16"/>
      <c r="T35" s="22">
        <v>5805</v>
      </c>
      <c r="U35" s="1"/>
      <c r="V35" s="1"/>
      <c r="W35" s="45" t="s">
        <v>41</v>
      </c>
      <c r="X35" s="40"/>
      <c r="Y35" s="46">
        <f t="shared" ref="Y35:Y36" si="9">+D35+H35+L35+P35+T35</f>
        <v>5805</v>
      </c>
      <c r="Z35" s="1"/>
      <c r="AA35" s="1"/>
      <c r="AB35" s="1"/>
      <c r="AC35" s="1"/>
      <c r="AD35" s="1"/>
      <c r="AE35" s="1"/>
      <c r="AF35" s="62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-15</v>
      </c>
      <c r="E36" s="1"/>
      <c r="F36" s="12" t="s">
        <v>43</v>
      </c>
      <c r="G36" s="16"/>
      <c r="H36" s="22">
        <v>-190</v>
      </c>
      <c r="I36" s="1"/>
      <c r="J36" s="12" t="s">
        <v>43</v>
      </c>
      <c r="K36" s="16"/>
      <c r="L36" s="22"/>
      <c r="M36" s="1"/>
      <c r="N36" s="12" t="s">
        <v>43</v>
      </c>
      <c r="O36" s="16"/>
      <c r="P36" s="22">
        <v>-8</v>
      </c>
      <c r="Q36" s="1"/>
      <c r="R36" s="12" t="s">
        <v>190</v>
      </c>
      <c r="S36" s="16"/>
      <c r="T36" s="22">
        <v>1451</v>
      </c>
      <c r="U36" s="1"/>
      <c r="V36" s="1"/>
      <c r="W36" s="45" t="s">
        <v>42</v>
      </c>
      <c r="X36" s="40"/>
      <c r="Y36" s="46">
        <f t="shared" si="9"/>
        <v>1238</v>
      </c>
      <c r="Z36" s="1"/>
      <c r="AA36" s="1"/>
      <c r="AB36" s="1"/>
      <c r="AC36" s="1"/>
      <c r="AD36" s="1"/>
      <c r="AE36" s="1"/>
      <c r="AF36" s="62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-15</v>
      </c>
      <c r="E37" s="1"/>
      <c r="F37" s="12" t="s">
        <v>17</v>
      </c>
      <c r="G37" s="16"/>
      <c r="H37" s="22">
        <f>+SUM(H34:H36)</f>
        <v>-190</v>
      </c>
      <c r="I37" s="1"/>
      <c r="J37" s="12" t="s">
        <v>17</v>
      </c>
      <c r="K37" s="16"/>
      <c r="L37" s="22">
        <f>+SUM(L34:L36)</f>
        <v>406</v>
      </c>
      <c r="M37" s="1"/>
      <c r="N37" s="12" t="s">
        <v>17</v>
      </c>
      <c r="O37" s="16"/>
      <c r="P37" s="22">
        <f>+SUM(P34:P36)</f>
        <v>-8</v>
      </c>
      <c r="Q37" s="1"/>
      <c r="R37" s="12" t="s">
        <v>17</v>
      </c>
      <c r="S37" s="16"/>
      <c r="T37" s="22">
        <f>+SUM(T34:T36)</f>
        <v>7376</v>
      </c>
      <c r="U37" s="1"/>
      <c r="V37" s="1"/>
      <c r="W37" s="33" t="s">
        <v>17</v>
      </c>
      <c r="X37" s="34"/>
      <c r="Y37" s="35">
        <f>+SUM(Y34:Y36)</f>
        <v>7569</v>
      </c>
      <c r="Z37" s="1"/>
      <c r="AA37" s="1"/>
      <c r="AB37" s="60" t="s">
        <v>38</v>
      </c>
      <c r="AC37" s="60"/>
      <c r="AD37" s="60"/>
      <c r="AE37" s="60"/>
      <c r="AF37" s="55">
        <f>+SUM(AF23:AF36)</f>
        <v>59400</v>
      </c>
      <c r="AG37" s="1"/>
      <c r="AH37" s="1"/>
      <c r="AI37" s="60" t="s">
        <v>38</v>
      </c>
      <c r="AJ37" s="60"/>
      <c r="AK37" s="60"/>
      <c r="AL37" s="67">
        <f>+SUM(AL23:AL36)</f>
        <v>351252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1</v>
      </c>
      <c r="U38" s="1"/>
      <c r="V38" s="1"/>
      <c r="W38" s="23" t="s">
        <v>44</v>
      </c>
      <c r="X38" s="24"/>
      <c r="Y38" s="25">
        <f>+Y30+Y37</f>
        <v>1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B2:AL39"/>
  <sheetViews>
    <sheetView topLeftCell="H7" zoomScale="90" zoomScaleNormal="90" workbookViewId="0">
      <selection activeCell="AB26" sqref="AB26:AF26"/>
    </sheetView>
  </sheetViews>
  <sheetFormatPr defaultRowHeight="15"/>
  <cols>
    <col min="5" max="5" width="0.7109375" customWidth="1"/>
    <col min="7" max="7" width="14.7109375" customWidth="1"/>
    <col min="8" max="8" width="9.5703125" bestFit="1" customWidth="1"/>
    <col min="9" max="9" width="0.7109375" customWidth="1"/>
    <col min="11" max="11" width="12.85546875" customWidth="1"/>
    <col min="12" max="12" width="9.7109375" customWidth="1"/>
    <col min="13" max="13" width="0.5703125" customWidth="1"/>
    <col min="16" max="16" width="9.140625" customWidth="1"/>
    <col min="17" max="17" width="0.7109375" customWidth="1"/>
    <col min="19" max="19" width="12.85546875" customWidth="1"/>
    <col min="20" max="20" width="11.140625" bestFit="1" customWidth="1"/>
    <col min="21" max="21" width="0.140625" customWidth="1"/>
    <col min="22" max="22" width="0.7109375" customWidth="1"/>
    <col min="26" max="26" width="0.7109375" customWidth="1"/>
    <col min="27" max="27" width="0.42578125" customWidth="1"/>
    <col min="29" max="29" width="10.140625" bestFit="1" customWidth="1"/>
    <col min="33" max="33" width="0.7109375" customWidth="1"/>
    <col min="34" max="34" width="9.140625" hidden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>
        <v>2</v>
      </c>
      <c r="H5" s="36">
        <f>+G5*F5</f>
        <v>2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>
        <v>3</v>
      </c>
      <c r="P5" s="36">
        <f>+O5*N5</f>
        <v>3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5</v>
      </c>
      <c r="Y5" s="37">
        <f>+D5+H5+L5+P5+T5</f>
        <v>5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/>
      <c r="D6" s="36">
        <f>+C6*B6</f>
        <v>0</v>
      </c>
      <c r="E6" s="1"/>
      <c r="F6" s="2">
        <v>10</v>
      </c>
      <c r="G6" s="2">
        <v>15</v>
      </c>
      <c r="H6" s="36">
        <f>+G6*F6</f>
        <v>150</v>
      </c>
      <c r="I6" s="1"/>
      <c r="J6" s="2">
        <v>10</v>
      </c>
      <c r="K6" s="2">
        <v>35</v>
      </c>
      <c r="L6" s="36">
        <f>+K6*J6</f>
        <v>350</v>
      </c>
      <c r="M6" s="1"/>
      <c r="N6" s="2">
        <v>10</v>
      </c>
      <c r="O6" s="2">
        <v>234</v>
      </c>
      <c r="P6" s="36">
        <f>+O6*N6</f>
        <v>2340</v>
      </c>
      <c r="Q6" s="1"/>
      <c r="R6" s="2">
        <v>10</v>
      </c>
      <c r="S6" s="2">
        <f>600+2+1</f>
        <v>603</v>
      </c>
      <c r="T6" s="36">
        <f>+S6*R6</f>
        <v>6030</v>
      </c>
      <c r="U6" s="1"/>
      <c r="V6" s="12"/>
      <c r="W6" s="39">
        <v>10</v>
      </c>
      <c r="X6" s="39">
        <f>+C6+G6+K6+O6+S6</f>
        <v>887</v>
      </c>
      <c r="Y6" s="37">
        <f>+D6+H6+L6+P6+T6</f>
        <v>8870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5</v>
      </c>
      <c r="AK6" s="36">
        <f t="shared" ref="AK6:AK13" si="0">+AJ6*AI6</f>
        <v>5</v>
      </c>
      <c r="AL6" s="26"/>
    </row>
    <row r="7" spans="2:38">
      <c r="B7" s="2">
        <v>20</v>
      </c>
      <c r="C7" s="2"/>
      <c r="D7" s="36">
        <f t="shared" ref="D7:D12" si="1">+C7*B7</f>
        <v>0</v>
      </c>
      <c r="E7" s="1"/>
      <c r="F7" s="2">
        <v>20</v>
      </c>
      <c r="G7" s="2">
        <v>3</v>
      </c>
      <c r="H7" s="36">
        <f t="shared" ref="H7:H12" si="2">+G7*F7</f>
        <v>60</v>
      </c>
      <c r="I7" s="1"/>
      <c r="J7" s="2">
        <v>20</v>
      </c>
      <c r="K7" s="2">
        <v>12</v>
      </c>
      <c r="L7" s="36">
        <f t="shared" ref="L7:L12" si="3">+K7*J7</f>
        <v>240</v>
      </c>
      <c r="M7" s="1"/>
      <c r="N7" s="2">
        <v>20</v>
      </c>
      <c r="O7" s="2">
        <v>0</v>
      </c>
      <c r="P7" s="36">
        <f t="shared" ref="P7:P12" si="4">+O7*N7</f>
        <v>0</v>
      </c>
      <c r="Q7" s="1"/>
      <c r="R7" s="2">
        <v>20</v>
      </c>
      <c r="S7" s="2">
        <f>48+1</f>
        <v>49</v>
      </c>
      <c r="T7" s="36">
        <f t="shared" ref="T7:T12" si="5">+S7*R7</f>
        <v>980</v>
      </c>
      <c r="U7" s="1"/>
      <c r="V7" s="12"/>
      <c r="W7" s="39">
        <v>20</v>
      </c>
      <c r="X7" s="39">
        <f>+C7+G7+K7+O7+S7</f>
        <v>64</v>
      </c>
      <c r="Y7" s="37">
        <f t="shared" ref="Y7:Y12" si="6">+D7+H7+L7+P7+T7</f>
        <v>1280</v>
      </c>
      <c r="Z7" s="13"/>
      <c r="AA7" s="1"/>
      <c r="AB7" s="56" t="s">
        <v>9</v>
      </c>
      <c r="AC7" s="57">
        <f>Y13</f>
        <v>466655</v>
      </c>
      <c r="AD7" s="26"/>
      <c r="AE7" s="26"/>
      <c r="AF7" s="26"/>
      <c r="AG7" s="26"/>
      <c r="AH7" s="1"/>
      <c r="AI7" s="2">
        <v>10</v>
      </c>
      <c r="AJ7" s="2">
        <v>470</v>
      </c>
      <c r="AK7" s="36">
        <f t="shared" si="0"/>
        <v>4700</v>
      </c>
      <c r="AL7" s="1"/>
    </row>
    <row r="8" spans="2:38">
      <c r="B8" s="2">
        <v>50</v>
      </c>
      <c r="C8" s="2">
        <v>32</v>
      </c>
      <c r="D8" s="36">
        <f t="shared" si="1"/>
        <v>1600</v>
      </c>
      <c r="E8" s="1"/>
      <c r="F8" s="2">
        <v>50</v>
      </c>
      <c r="G8" s="2">
        <v>15</v>
      </c>
      <c r="H8" s="36">
        <f t="shared" si="2"/>
        <v>750</v>
      </c>
      <c r="I8" s="1"/>
      <c r="J8" s="2">
        <v>50</v>
      </c>
      <c r="K8" s="2">
        <v>17</v>
      </c>
      <c r="L8" s="36">
        <f t="shared" si="3"/>
        <v>850</v>
      </c>
      <c r="M8" s="1"/>
      <c r="N8" s="2">
        <v>50</v>
      </c>
      <c r="O8" s="2">
        <v>40</v>
      </c>
      <c r="P8" s="36">
        <f t="shared" si="4"/>
        <v>2000</v>
      </c>
      <c r="Q8" s="1"/>
      <c r="R8" s="2">
        <v>50</v>
      </c>
      <c r="S8" s="2">
        <v>124</v>
      </c>
      <c r="T8" s="36">
        <f t="shared" si="5"/>
        <v>6200</v>
      </c>
      <c r="U8" s="1"/>
      <c r="V8" s="12"/>
      <c r="W8" s="39">
        <v>50</v>
      </c>
      <c r="X8" s="39">
        <f t="shared" ref="X8:X12" si="7">+C8+G8+K8+O8+S8</f>
        <v>228</v>
      </c>
      <c r="Y8" s="37">
        <f t="shared" si="6"/>
        <v>11400</v>
      </c>
      <c r="Z8" s="13"/>
      <c r="AA8" s="1"/>
      <c r="AB8" s="53" t="s">
        <v>10</v>
      </c>
      <c r="AC8" s="53">
        <f>+AF37</f>
        <v>511050</v>
      </c>
      <c r="AD8" s="1"/>
      <c r="AE8" s="1"/>
      <c r="AF8" s="1"/>
      <c r="AG8" s="1"/>
      <c r="AH8" s="1"/>
      <c r="AI8" s="2">
        <v>20</v>
      </c>
      <c r="AJ8" s="2">
        <v>57</v>
      </c>
      <c r="AK8" s="36">
        <f t="shared" si="0"/>
        <v>1140</v>
      </c>
      <c r="AL8" s="1"/>
    </row>
    <row r="9" spans="2:38" ht="15.75" thickBot="1">
      <c r="B9" s="2">
        <v>100</v>
      </c>
      <c r="C9" s="2">
        <v>58</v>
      </c>
      <c r="D9" s="36">
        <f t="shared" si="1"/>
        <v>5800</v>
      </c>
      <c r="E9" s="1"/>
      <c r="F9" s="2">
        <v>100</v>
      </c>
      <c r="G9" s="2">
        <v>26</v>
      </c>
      <c r="H9" s="36">
        <f t="shared" si="2"/>
        <v>2600</v>
      </c>
      <c r="I9" s="1"/>
      <c r="J9" s="2">
        <v>100</v>
      </c>
      <c r="K9" s="2">
        <v>64</v>
      </c>
      <c r="L9" s="36">
        <f t="shared" si="3"/>
        <v>6400</v>
      </c>
      <c r="M9" s="1"/>
      <c r="N9" s="2">
        <v>100</v>
      </c>
      <c r="O9" s="2">
        <v>53</v>
      </c>
      <c r="P9" s="36">
        <f t="shared" si="4"/>
        <v>5300</v>
      </c>
      <c r="Q9" s="1"/>
      <c r="R9" s="2">
        <v>100</v>
      </c>
      <c r="S9" s="2">
        <f>221+1+3</f>
        <v>225</v>
      </c>
      <c r="T9" s="36">
        <f t="shared" si="5"/>
        <v>22500</v>
      </c>
      <c r="U9" s="1"/>
      <c r="V9" s="12"/>
      <c r="W9" s="39">
        <v>100</v>
      </c>
      <c r="X9" s="39">
        <f t="shared" si="7"/>
        <v>426</v>
      </c>
      <c r="Y9" s="37">
        <f t="shared" si="6"/>
        <v>42600</v>
      </c>
      <c r="Z9" s="13"/>
      <c r="AA9" s="1"/>
      <c r="AB9" s="58" t="s">
        <v>11</v>
      </c>
      <c r="AC9" s="59">
        <f>SUM(AC7:AC8)</f>
        <v>977705</v>
      </c>
      <c r="AD9" s="1"/>
      <c r="AE9" s="1"/>
      <c r="AF9" s="1"/>
      <c r="AG9" s="1"/>
      <c r="AH9" s="1"/>
      <c r="AI9" s="2">
        <v>50</v>
      </c>
      <c r="AJ9" s="2">
        <v>400</v>
      </c>
      <c r="AK9" s="36">
        <f t="shared" si="0"/>
        <v>20000</v>
      </c>
      <c r="AL9" s="1"/>
    </row>
    <row r="10" spans="2:38">
      <c r="B10" s="2">
        <v>500</v>
      </c>
      <c r="C10" s="2">
        <v>32</v>
      </c>
      <c r="D10" s="36">
        <f t="shared" si="1"/>
        <v>16000</v>
      </c>
      <c r="E10" s="1"/>
      <c r="F10" s="2">
        <v>500</v>
      </c>
      <c r="G10" s="2">
        <v>14</v>
      </c>
      <c r="H10" s="36">
        <f t="shared" si="2"/>
        <v>7000</v>
      </c>
      <c r="I10" s="1"/>
      <c r="J10" s="2">
        <v>500</v>
      </c>
      <c r="K10" s="2">
        <v>38</v>
      </c>
      <c r="L10" s="36">
        <f t="shared" si="3"/>
        <v>19000</v>
      </c>
      <c r="M10" s="1"/>
      <c r="N10" s="2">
        <v>500</v>
      </c>
      <c r="O10" s="2">
        <v>37</v>
      </c>
      <c r="P10" s="36">
        <f t="shared" si="4"/>
        <v>18500</v>
      </c>
      <c r="Q10" s="1"/>
      <c r="R10" s="2">
        <v>500</v>
      </c>
      <c r="S10" s="2">
        <f>95+13</f>
        <v>108</v>
      </c>
      <c r="T10" s="36">
        <f t="shared" si="5"/>
        <v>54000</v>
      </c>
      <c r="U10" s="1"/>
      <c r="V10" s="12"/>
      <c r="W10" s="39">
        <v>500</v>
      </c>
      <c r="X10" s="39">
        <f t="shared" si="7"/>
        <v>229</v>
      </c>
      <c r="Y10" s="37">
        <f t="shared" si="6"/>
        <v>114500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496</v>
      </c>
      <c r="AK10" s="36">
        <f t="shared" si="0"/>
        <v>49600</v>
      </c>
      <c r="AL10" s="1"/>
    </row>
    <row r="11" spans="2:38">
      <c r="B11" s="2">
        <v>1000</v>
      </c>
      <c r="C11" s="2">
        <v>46</v>
      </c>
      <c r="D11" s="36">
        <f t="shared" si="1"/>
        <v>46000</v>
      </c>
      <c r="E11" s="1"/>
      <c r="F11" s="2">
        <v>1000</v>
      </c>
      <c r="G11" s="2">
        <v>47</v>
      </c>
      <c r="H11" s="36">
        <f t="shared" si="2"/>
        <v>47000</v>
      </c>
      <c r="I11" s="1"/>
      <c r="J11" s="2">
        <v>1000</v>
      </c>
      <c r="K11" s="2">
        <v>35</v>
      </c>
      <c r="L11" s="36">
        <f t="shared" si="3"/>
        <v>35000</v>
      </c>
      <c r="M11" s="1"/>
      <c r="N11" s="2">
        <v>1000</v>
      </c>
      <c r="O11" s="2">
        <v>35</v>
      </c>
      <c r="P11" s="36">
        <f t="shared" si="4"/>
        <v>35000</v>
      </c>
      <c r="Q11" s="1"/>
      <c r="R11" s="2">
        <v>1000</v>
      </c>
      <c r="S11" s="2">
        <f>50+10</f>
        <v>60</v>
      </c>
      <c r="T11" s="36">
        <f t="shared" si="5"/>
        <v>60000</v>
      </c>
      <c r="U11" s="1"/>
      <c r="V11" s="12"/>
      <c r="W11" s="39">
        <v>1000</v>
      </c>
      <c r="X11" s="39">
        <f t="shared" si="7"/>
        <v>223</v>
      </c>
      <c r="Y11" s="37">
        <f t="shared" si="6"/>
        <v>223000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277</v>
      </c>
      <c r="AK11" s="36">
        <f t="shared" si="0"/>
        <v>138500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>
        <f>1+6</f>
        <v>7</v>
      </c>
      <c r="T12" s="36">
        <f t="shared" si="5"/>
        <v>35000</v>
      </c>
      <c r="U12" s="1"/>
      <c r="V12" s="12"/>
      <c r="W12" s="39">
        <v>5000</v>
      </c>
      <c r="X12" s="39">
        <f t="shared" si="7"/>
        <v>13</v>
      </c>
      <c r="Y12" s="37">
        <f t="shared" si="6"/>
        <v>65000</v>
      </c>
      <c r="Z12" s="13"/>
      <c r="AA12" s="1"/>
      <c r="AB12" s="1" t="s">
        <v>16</v>
      </c>
      <c r="AC12" s="5">
        <v>839940</v>
      </c>
      <c r="AD12" s="1">
        <v>365236</v>
      </c>
      <c r="AE12" s="52" t="s">
        <v>766</v>
      </c>
      <c r="AF12" s="1" t="s">
        <v>69</v>
      </c>
      <c r="AG12" s="1"/>
      <c r="AH12" s="1"/>
      <c r="AI12" s="2">
        <v>1000</v>
      </c>
      <c r="AJ12" s="2">
        <f>429+2</f>
        <v>431</v>
      </c>
      <c r="AK12" s="36">
        <f t="shared" si="0"/>
        <v>431000</v>
      </c>
      <c r="AL12" s="1"/>
    </row>
    <row r="13" spans="2:38" ht="15.75" thickBot="1">
      <c r="B13" s="3" t="s">
        <v>17</v>
      </c>
      <c r="C13" s="3"/>
      <c r="D13" s="6">
        <f>+SUM(D5:D12)</f>
        <v>74400</v>
      </c>
      <c r="E13" s="1"/>
      <c r="F13" s="3" t="s">
        <v>17</v>
      </c>
      <c r="G13" s="3"/>
      <c r="H13" s="6">
        <f>+SUM(H5:H12)</f>
        <v>72562</v>
      </c>
      <c r="I13" s="1"/>
      <c r="J13" s="3" t="s">
        <v>17</v>
      </c>
      <c r="K13" s="3"/>
      <c r="L13" s="6">
        <f>+SUM(L5:L12)</f>
        <v>66840</v>
      </c>
      <c r="M13" s="1"/>
      <c r="N13" s="3" t="s">
        <v>17</v>
      </c>
      <c r="O13" s="3"/>
      <c r="P13" s="6">
        <f>+SUM(P5:P12)</f>
        <v>68143</v>
      </c>
      <c r="Q13" s="1"/>
      <c r="R13" s="3" t="s">
        <v>17</v>
      </c>
      <c r="S13" s="3"/>
      <c r="T13" s="6">
        <f>+SUM(T5:T12)</f>
        <v>184710</v>
      </c>
      <c r="U13" s="1"/>
      <c r="V13" s="12"/>
      <c r="W13" s="3" t="s">
        <v>17</v>
      </c>
      <c r="X13" s="3"/>
      <c r="Y13" s="6">
        <f>+SUM(Y5:Y12)</f>
        <v>466655</v>
      </c>
      <c r="Z13" s="13"/>
      <c r="AA13" s="1"/>
      <c r="AB13" s="1" t="s">
        <v>18</v>
      </c>
      <c r="AC13" s="5">
        <v>5</v>
      </c>
      <c r="AD13" s="1"/>
      <c r="AE13" s="1"/>
      <c r="AF13" s="1"/>
      <c r="AG13" s="1"/>
      <c r="AH13" s="1"/>
      <c r="AI13" s="2">
        <v>5000</v>
      </c>
      <c r="AJ13" s="2">
        <f>37+2</f>
        <v>39</v>
      </c>
      <c r="AK13" s="36">
        <f t="shared" si="0"/>
        <v>195000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95" t="s">
        <v>19</v>
      </c>
      <c r="AC14" s="112">
        <v>137880</v>
      </c>
      <c r="AD14" s="95" t="s">
        <v>738</v>
      </c>
      <c r="AE14" s="95"/>
      <c r="AF14" s="95"/>
      <c r="AG14" s="1"/>
      <c r="AH14" s="1"/>
      <c r="AI14" s="3" t="s">
        <v>17</v>
      </c>
      <c r="AJ14" s="3"/>
      <c r="AK14" s="6">
        <f>+SUM(AK6:AK13)</f>
        <v>839945</v>
      </c>
      <c r="AL14" s="1"/>
    </row>
    <row r="15" spans="2:38" ht="15.75" thickBot="1">
      <c r="B15" s="128" t="s">
        <v>20</v>
      </c>
      <c r="C15" s="129"/>
      <c r="D15" s="8">
        <v>81812</v>
      </c>
      <c r="E15" s="30"/>
      <c r="F15" s="128" t="s">
        <v>20</v>
      </c>
      <c r="G15" s="129"/>
      <c r="H15" s="8">
        <v>100656</v>
      </c>
      <c r="I15" s="30"/>
      <c r="J15" s="128" t="s">
        <v>20</v>
      </c>
      <c r="K15" s="129"/>
      <c r="L15" s="8">
        <v>81221</v>
      </c>
      <c r="M15" s="30"/>
      <c r="N15" s="128" t="s">
        <v>20</v>
      </c>
      <c r="O15" s="129"/>
      <c r="P15" s="8">
        <v>68143</v>
      </c>
      <c r="Q15" s="30"/>
      <c r="R15" s="128" t="s">
        <v>20</v>
      </c>
      <c r="S15" s="129"/>
      <c r="T15" s="8">
        <v>516843</v>
      </c>
      <c r="U15" s="30"/>
      <c r="V15" s="31"/>
      <c r="W15" s="128" t="s">
        <v>20</v>
      </c>
      <c r="X15" s="129"/>
      <c r="Y15" s="8">
        <f>+D15+H15+L15+P15+T15</f>
        <v>848675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74400</v>
      </c>
      <c r="E16" s="1"/>
      <c r="F16" s="1" t="s">
        <v>9</v>
      </c>
      <c r="G16" s="1"/>
      <c r="H16" s="5">
        <f>+H13</f>
        <v>72562</v>
      </c>
      <c r="I16" s="1"/>
      <c r="J16" s="1" t="s">
        <v>9</v>
      </c>
      <c r="K16" s="1"/>
      <c r="L16" s="5">
        <f>+L13</f>
        <v>66840</v>
      </c>
      <c r="M16" s="1"/>
      <c r="N16" s="1" t="s">
        <v>9</v>
      </c>
      <c r="O16" s="1"/>
      <c r="P16" s="5">
        <f>+P13</f>
        <v>68143</v>
      </c>
      <c r="Q16" s="1"/>
      <c r="R16" s="1" t="s">
        <v>9</v>
      </c>
      <c r="S16" s="1"/>
      <c r="T16" s="5">
        <f>+T13</f>
        <v>184710</v>
      </c>
      <c r="U16" s="1"/>
      <c r="V16" s="12"/>
      <c r="W16" s="40" t="s">
        <v>9</v>
      </c>
      <c r="X16" s="40"/>
      <c r="Y16" s="37">
        <f>+D16+H16+L16+P16+T16</f>
        <v>466655</v>
      </c>
      <c r="Z16" s="13"/>
      <c r="AA16" s="1"/>
      <c r="AB16" s="1" t="s">
        <v>22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0</v>
      </c>
      <c r="Z17" s="13"/>
      <c r="AA17" s="1"/>
      <c r="AB17" s="48" t="s">
        <v>11</v>
      </c>
      <c r="AC17" s="49">
        <f>+SUM(AC12:AC16)</f>
        <v>977825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586</v>
      </c>
      <c r="C18" s="1" t="s">
        <v>734</v>
      </c>
      <c r="D18" s="5">
        <v>5500</v>
      </c>
      <c r="E18" s="1"/>
      <c r="F18" s="1" t="s">
        <v>586</v>
      </c>
      <c r="G18" s="1" t="s">
        <v>739</v>
      </c>
      <c r="H18" s="5">
        <v>19191</v>
      </c>
      <c r="I18" s="1"/>
      <c r="J18" s="1" t="s">
        <v>731</v>
      </c>
      <c r="K18" s="1" t="s">
        <v>741</v>
      </c>
      <c r="L18" s="5">
        <v>7687</v>
      </c>
      <c r="M18" s="1"/>
      <c r="N18" s="1" t="s">
        <v>23</v>
      </c>
      <c r="O18" s="1"/>
      <c r="P18" s="5"/>
      <c r="Q18" s="1"/>
      <c r="R18" s="1" t="s">
        <v>757</v>
      </c>
      <c r="S18" s="1" t="s">
        <v>758</v>
      </c>
      <c r="T18" s="5">
        <v>15000</v>
      </c>
      <c r="U18" s="1"/>
      <c r="V18" s="12"/>
      <c r="W18" s="40" t="s">
        <v>23</v>
      </c>
      <c r="X18" s="40"/>
      <c r="Y18" s="37">
        <f t="shared" si="8"/>
        <v>47378</v>
      </c>
      <c r="Z18" s="13"/>
      <c r="AA18" s="1"/>
      <c r="AB18" s="50" t="s">
        <v>24</v>
      </c>
      <c r="AC18" s="51">
        <f>+AC17-AC9</f>
        <v>120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650</v>
      </c>
      <c r="G19" s="1" t="s">
        <v>740</v>
      </c>
      <c r="H19" s="5">
        <v>8903</v>
      </c>
      <c r="I19" s="1"/>
      <c r="J19" s="1" t="s">
        <v>587</v>
      </c>
      <c r="K19" s="1" t="s">
        <v>742</v>
      </c>
      <c r="L19" s="5">
        <v>5600</v>
      </c>
      <c r="M19" s="1"/>
      <c r="N19" s="1" t="s">
        <v>26</v>
      </c>
      <c r="O19" s="1"/>
      <c r="P19" s="5"/>
      <c r="Q19" s="1"/>
      <c r="R19" s="1" t="s">
        <v>759</v>
      </c>
      <c r="S19" s="1" t="s">
        <v>760</v>
      </c>
      <c r="T19" s="5">
        <v>15651</v>
      </c>
      <c r="U19" s="1"/>
      <c r="V19" s="12"/>
      <c r="W19" s="40" t="s">
        <v>26</v>
      </c>
      <c r="X19" s="40"/>
      <c r="Y19" s="37">
        <f t="shared" si="8"/>
        <v>30154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27</v>
      </c>
      <c r="G20" s="1"/>
      <c r="H20" s="5"/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759</v>
      </c>
      <c r="S20" s="1" t="s">
        <v>761</v>
      </c>
      <c r="T20" s="5">
        <v>15108</v>
      </c>
      <c r="U20" s="1"/>
      <c r="V20" s="12"/>
      <c r="W20" s="40" t="s">
        <v>27</v>
      </c>
      <c r="X20" s="40"/>
      <c r="Y20" s="37">
        <f t="shared" si="8"/>
        <v>15108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756</v>
      </c>
      <c r="S22" s="1" t="s">
        <v>212</v>
      </c>
      <c r="T22" s="5">
        <v>62780</v>
      </c>
      <c r="U22" s="1"/>
      <c r="V22" s="12"/>
      <c r="W22" s="40"/>
      <c r="X22" s="40"/>
      <c r="Y22" s="37">
        <f t="shared" si="8"/>
        <v>62780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35</v>
      </c>
      <c r="C23" s="1"/>
      <c r="D23" s="5"/>
      <c r="E23" s="1"/>
      <c r="F23" s="1" t="s">
        <v>35</v>
      </c>
      <c r="G23" s="1"/>
      <c r="H23" s="5"/>
      <c r="I23" s="1"/>
      <c r="J23" s="1" t="s">
        <v>35</v>
      </c>
      <c r="K23" s="1"/>
      <c r="L23" s="5"/>
      <c r="M23" s="1"/>
      <c r="N23" s="1" t="s">
        <v>46</v>
      </c>
      <c r="O23" s="1"/>
      <c r="P23" s="5"/>
      <c r="Q23" s="1"/>
      <c r="R23" s="1" t="s">
        <v>749</v>
      </c>
      <c r="S23" s="1" t="s">
        <v>750</v>
      </c>
      <c r="T23" s="5">
        <v>26668</v>
      </c>
      <c r="U23" s="1"/>
      <c r="V23" s="12"/>
      <c r="W23" s="40" t="s">
        <v>35</v>
      </c>
      <c r="X23" s="40"/>
      <c r="Y23" s="37">
        <f t="shared" si="8"/>
        <v>26668</v>
      </c>
      <c r="Z23" s="13"/>
      <c r="AA23" s="1"/>
      <c r="AB23" s="20" t="s">
        <v>146</v>
      </c>
      <c r="AC23" s="89">
        <v>45968</v>
      </c>
      <c r="AD23" s="20" t="s">
        <v>735</v>
      </c>
      <c r="AE23" s="20"/>
      <c r="AF23" s="96">
        <v>23350</v>
      </c>
      <c r="AG23" s="1"/>
      <c r="AH23" s="1"/>
      <c r="AI23" s="70" t="s">
        <v>746</v>
      </c>
      <c r="AJ23" s="70" t="s">
        <v>65</v>
      </c>
      <c r="AK23" s="70" t="s">
        <v>744</v>
      </c>
      <c r="AL23" s="76">
        <v>25921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751</v>
      </c>
      <c r="S24" s="1" t="s">
        <v>752</v>
      </c>
      <c r="T24" s="5">
        <v>44087</v>
      </c>
      <c r="U24" s="1"/>
      <c r="V24" s="12"/>
      <c r="W24" s="40" t="s">
        <v>36</v>
      </c>
      <c r="X24" s="40"/>
      <c r="Y24" s="37">
        <f t="shared" si="8"/>
        <v>44087</v>
      </c>
      <c r="Z24" s="13"/>
      <c r="AA24" s="1"/>
      <c r="AB24" s="20" t="s">
        <v>736</v>
      </c>
      <c r="AC24" s="115">
        <v>45987</v>
      </c>
      <c r="AD24" s="20" t="s">
        <v>585</v>
      </c>
      <c r="AE24" s="20"/>
      <c r="AF24" s="96">
        <v>120</v>
      </c>
      <c r="AG24" s="1"/>
      <c r="AH24" s="1"/>
      <c r="AI24" s="70" t="s">
        <v>219</v>
      </c>
      <c r="AJ24" s="70" t="s">
        <v>146</v>
      </c>
      <c r="AK24" s="70" t="s">
        <v>745</v>
      </c>
      <c r="AL24" s="75">
        <v>11952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753</v>
      </c>
      <c r="S25" s="1" t="s">
        <v>216</v>
      </c>
      <c r="T25" s="5">
        <v>97236</v>
      </c>
      <c r="U25" s="1"/>
      <c r="V25" s="12"/>
      <c r="W25" s="40" t="s">
        <v>37</v>
      </c>
      <c r="X25" s="40"/>
      <c r="Y25" s="37">
        <f t="shared" si="8"/>
        <v>97236</v>
      </c>
      <c r="Z25" s="13"/>
      <c r="AA25" s="1"/>
      <c r="AB25" s="20" t="s">
        <v>737</v>
      </c>
      <c r="AC25" s="120">
        <v>45878</v>
      </c>
      <c r="AD25" s="20" t="s">
        <v>643</v>
      </c>
      <c r="AE25" s="20"/>
      <c r="AF25" s="96">
        <v>114</v>
      </c>
      <c r="AG25" s="1"/>
      <c r="AH25" s="1"/>
      <c r="AI25" s="70" t="s">
        <v>747</v>
      </c>
      <c r="AJ25" s="70" t="s">
        <v>146</v>
      </c>
      <c r="AK25" s="70" t="s">
        <v>439</v>
      </c>
      <c r="AL25" s="75">
        <v>8900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754</v>
      </c>
      <c r="S26" s="1" t="s">
        <v>755</v>
      </c>
      <c r="T26" s="5">
        <v>41702</v>
      </c>
      <c r="U26" s="1"/>
      <c r="V26" s="12"/>
      <c r="W26" s="40"/>
      <c r="X26" s="40"/>
      <c r="Y26" s="37">
        <f t="shared" si="8"/>
        <v>41702</v>
      </c>
      <c r="Z26" s="13"/>
      <c r="AA26" s="1"/>
      <c r="AB26" s="20" t="s">
        <v>743</v>
      </c>
      <c r="AC26" s="89">
        <v>45983</v>
      </c>
      <c r="AD26" s="20" t="s">
        <v>49</v>
      </c>
      <c r="AE26" s="20"/>
      <c r="AF26" s="96">
        <v>275890</v>
      </c>
      <c r="AG26" s="1"/>
      <c r="AH26" s="1"/>
      <c r="AI26" s="70" t="s">
        <v>153</v>
      </c>
      <c r="AJ26" s="70" t="s">
        <v>90</v>
      </c>
      <c r="AK26" s="70" t="s">
        <v>550</v>
      </c>
      <c r="AL26" s="75">
        <v>7320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20" t="s">
        <v>748</v>
      </c>
      <c r="AC27" s="120">
        <v>45981</v>
      </c>
      <c r="AD27" s="20" t="s">
        <v>167</v>
      </c>
      <c r="AE27" s="20"/>
      <c r="AF27" s="96">
        <v>52460</v>
      </c>
      <c r="AG27" s="1"/>
      <c r="AH27" s="1"/>
      <c r="AI27" s="70" t="s">
        <v>306</v>
      </c>
      <c r="AJ27" s="70" t="s">
        <v>90</v>
      </c>
      <c r="AK27" s="70" t="s">
        <v>570</v>
      </c>
      <c r="AL27" s="75">
        <v>6000</v>
      </c>
    </row>
    <row r="28" spans="2:38" ht="15.75" thickBot="1">
      <c r="B28" s="125" t="s">
        <v>11</v>
      </c>
      <c r="C28" s="126"/>
      <c r="D28" s="9">
        <f>+SUM(D16:D27)</f>
        <v>79900</v>
      </c>
      <c r="E28" s="1"/>
      <c r="F28" s="125" t="s">
        <v>11</v>
      </c>
      <c r="G28" s="126"/>
      <c r="H28" s="9">
        <f>+SUM(H16:H27)</f>
        <v>100656</v>
      </c>
      <c r="I28" s="1"/>
      <c r="J28" s="125" t="s">
        <v>11</v>
      </c>
      <c r="K28" s="126"/>
      <c r="L28" s="9">
        <f>+SUM(L16:L27)</f>
        <v>80127</v>
      </c>
      <c r="M28" s="1"/>
      <c r="N28" s="125" t="s">
        <v>11</v>
      </c>
      <c r="O28" s="126"/>
      <c r="P28" s="9">
        <f>+SUM(P16:P27)</f>
        <v>68143</v>
      </c>
      <c r="Q28" s="1"/>
      <c r="R28" s="125" t="s">
        <v>11</v>
      </c>
      <c r="S28" s="126"/>
      <c r="T28" s="9">
        <f>+SUM(T16:T27)</f>
        <v>502942</v>
      </c>
      <c r="U28" s="1"/>
      <c r="V28" s="12"/>
      <c r="W28" s="125" t="s">
        <v>11</v>
      </c>
      <c r="X28" s="126"/>
      <c r="Y28" s="9">
        <f>+SUM(Y16:Y27)</f>
        <v>831768</v>
      </c>
      <c r="Z28" s="13"/>
      <c r="AA28" s="1"/>
      <c r="AB28" s="20" t="s">
        <v>597</v>
      </c>
      <c r="AC28" s="89">
        <v>45969</v>
      </c>
      <c r="AD28" s="20" t="s">
        <v>191</v>
      </c>
      <c r="AE28" s="20"/>
      <c r="AF28" s="96">
        <v>144200</v>
      </c>
      <c r="AG28" s="1"/>
      <c r="AH28" s="1"/>
      <c r="AI28" s="16" t="s">
        <v>297</v>
      </c>
      <c r="AJ28" s="70" t="s">
        <v>764</v>
      </c>
      <c r="AK28" s="70"/>
      <c r="AL28" s="76">
        <v>6970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20" t="s">
        <v>762</v>
      </c>
      <c r="AC29" s="89">
        <v>45983</v>
      </c>
      <c r="AD29" s="20" t="s">
        <v>186</v>
      </c>
      <c r="AE29" s="121"/>
      <c r="AF29" s="122">
        <v>2916</v>
      </c>
      <c r="AG29" s="1"/>
      <c r="AH29" s="1"/>
      <c r="AI29" s="16" t="s">
        <v>765</v>
      </c>
      <c r="AJ29" s="70" t="s">
        <v>90</v>
      </c>
      <c r="AK29" s="16" t="s">
        <v>573</v>
      </c>
      <c r="AL29" s="69">
        <v>3000</v>
      </c>
    </row>
    <row r="30" spans="2:38" ht="15.75" thickBot="1">
      <c r="B30" s="127" t="s">
        <v>39</v>
      </c>
      <c r="C30" s="127"/>
      <c r="D30" s="7">
        <f>+D28-D15</f>
        <v>-1912</v>
      </c>
      <c r="E30" s="1"/>
      <c r="F30" s="127" t="s">
        <v>39</v>
      </c>
      <c r="G30" s="127"/>
      <c r="H30" s="7">
        <f>+H28-H15</f>
        <v>0</v>
      </c>
      <c r="I30" s="1"/>
      <c r="J30" s="127" t="s">
        <v>39</v>
      </c>
      <c r="K30" s="127"/>
      <c r="L30" s="7">
        <f>+L28-L15</f>
        <v>-1094</v>
      </c>
      <c r="M30" s="1"/>
      <c r="N30" s="127" t="s">
        <v>39</v>
      </c>
      <c r="O30" s="127"/>
      <c r="P30" s="7">
        <f>+P28-P15</f>
        <v>0</v>
      </c>
      <c r="Q30" s="1"/>
      <c r="R30" s="127" t="s">
        <v>39</v>
      </c>
      <c r="S30" s="127"/>
      <c r="T30" s="7">
        <f>+T28-T15</f>
        <v>-13901</v>
      </c>
      <c r="U30" s="1"/>
      <c r="V30" s="12"/>
      <c r="W30" s="124" t="s">
        <v>39</v>
      </c>
      <c r="X30" s="124"/>
      <c r="Y30" s="41">
        <f>+Y28-Y15</f>
        <v>-16907</v>
      </c>
      <c r="Z30" s="13"/>
      <c r="AA30" s="1"/>
      <c r="AB30" s="95"/>
      <c r="AC30" s="95" t="s">
        <v>763</v>
      </c>
      <c r="AD30" s="95"/>
      <c r="AE30" s="95"/>
      <c r="AF30" s="123">
        <v>12000</v>
      </c>
      <c r="AG30" s="1"/>
      <c r="AH30" s="1"/>
      <c r="AI30" s="16"/>
      <c r="AJ30" s="16"/>
      <c r="AK30" s="16"/>
      <c r="AL30" s="69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62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>
        <v>1912</v>
      </c>
      <c r="E34" s="1"/>
      <c r="F34" s="10" t="s">
        <v>40</v>
      </c>
      <c r="G34" s="11"/>
      <c r="H34" s="21"/>
      <c r="I34" s="1"/>
      <c r="J34" s="10" t="s">
        <v>40</v>
      </c>
      <c r="K34" s="11"/>
      <c r="L34" s="21">
        <v>1094</v>
      </c>
      <c r="M34" s="1"/>
      <c r="N34" s="10" t="s">
        <v>40</v>
      </c>
      <c r="O34" s="11"/>
      <c r="P34" s="21"/>
      <c r="Q34" s="1"/>
      <c r="R34" s="10" t="s">
        <v>40</v>
      </c>
      <c r="S34" s="11"/>
      <c r="T34" s="21"/>
      <c r="U34" s="1"/>
      <c r="V34" s="1"/>
      <c r="W34" s="42" t="s">
        <v>40</v>
      </c>
      <c r="X34" s="43"/>
      <c r="Y34" s="44">
        <f>+D34+H34+L34+P34+T34</f>
        <v>3006</v>
      </c>
      <c r="Z34" s="1"/>
      <c r="AA34" s="1"/>
      <c r="AB34" s="1"/>
      <c r="AC34" s="1"/>
      <c r="AD34" s="1"/>
      <c r="AE34" s="1"/>
      <c r="AF34" s="62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88</v>
      </c>
      <c r="S35" s="16"/>
      <c r="T35" s="22">
        <f>5805+1263</f>
        <v>7068</v>
      </c>
      <c r="U35" s="1"/>
      <c r="V35" s="1"/>
      <c r="W35" s="45" t="s">
        <v>41</v>
      </c>
      <c r="X35" s="40"/>
      <c r="Y35" s="46">
        <f t="shared" ref="Y35:Y36" si="9">+D35+H35+L35+P35+T35</f>
        <v>7068</v>
      </c>
      <c r="Z35" s="1"/>
      <c r="AA35" s="1"/>
      <c r="AB35" s="1"/>
      <c r="AC35" s="1"/>
      <c r="AD35" s="1"/>
      <c r="AE35" s="1"/>
      <c r="AF35" s="62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/>
      <c r="E36" s="1"/>
      <c r="F36" s="12" t="s">
        <v>43</v>
      </c>
      <c r="G36" s="16"/>
      <c r="H36" s="22"/>
      <c r="I36" s="1"/>
      <c r="J36" s="12" t="s">
        <v>43</v>
      </c>
      <c r="K36" s="16"/>
      <c r="L36" s="22"/>
      <c r="M36" s="1"/>
      <c r="N36" s="12" t="s">
        <v>43</v>
      </c>
      <c r="O36" s="16"/>
      <c r="P36" s="22"/>
      <c r="Q36" s="1"/>
      <c r="R36" s="12" t="s">
        <v>190</v>
      </c>
      <c r="S36" s="16"/>
      <c r="T36" s="22">
        <v>1451</v>
      </c>
      <c r="U36" s="1"/>
      <c r="V36" s="1"/>
      <c r="W36" s="45" t="s">
        <v>42</v>
      </c>
      <c r="X36" s="40"/>
      <c r="Y36" s="46">
        <f t="shared" si="9"/>
        <v>1451</v>
      </c>
      <c r="Z36" s="1"/>
      <c r="AA36" s="1"/>
      <c r="AB36" s="1"/>
      <c r="AC36" s="1"/>
      <c r="AD36" s="1"/>
      <c r="AE36" s="1"/>
      <c r="AF36" s="62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1912</v>
      </c>
      <c r="E37" s="1"/>
      <c r="F37" s="12" t="s">
        <v>17</v>
      </c>
      <c r="G37" s="16"/>
      <c r="H37" s="22">
        <f>+SUM(H34:H36)</f>
        <v>0</v>
      </c>
      <c r="I37" s="1"/>
      <c r="J37" s="12" t="s">
        <v>17</v>
      </c>
      <c r="K37" s="16"/>
      <c r="L37" s="22">
        <f>+SUM(L34:L36)</f>
        <v>1094</v>
      </c>
      <c r="M37" s="1"/>
      <c r="N37" s="12" t="s">
        <v>17</v>
      </c>
      <c r="O37" s="16"/>
      <c r="P37" s="22">
        <f>+SUM(P34:P36)</f>
        <v>0</v>
      </c>
      <c r="Q37" s="1"/>
      <c r="R37" s="12" t="s">
        <v>17</v>
      </c>
      <c r="S37" s="16"/>
      <c r="T37" s="22">
        <f>+SUM(T34:T36)</f>
        <v>8519</v>
      </c>
      <c r="U37" s="1"/>
      <c r="V37" s="1"/>
      <c r="W37" s="33" t="s">
        <v>17</v>
      </c>
      <c r="X37" s="34"/>
      <c r="Y37" s="35">
        <f>+SUM(Y34:Y36)</f>
        <v>11525</v>
      </c>
      <c r="Z37" s="1"/>
      <c r="AA37" s="1"/>
      <c r="AB37" s="60" t="s">
        <v>38</v>
      </c>
      <c r="AC37" s="60"/>
      <c r="AD37" s="60"/>
      <c r="AE37" s="60"/>
      <c r="AF37" s="55">
        <f>+SUM(AF23:AF36)</f>
        <v>511050</v>
      </c>
      <c r="AG37" s="1"/>
      <c r="AH37" s="1"/>
      <c r="AI37" s="60" t="s">
        <v>38</v>
      </c>
      <c r="AJ37" s="60"/>
      <c r="AK37" s="60"/>
      <c r="AL37" s="67">
        <f>+SUM(AL23:AL36)</f>
        <v>70063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-5382</v>
      </c>
      <c r="U38" s="1"/>
      <c r="V38" s="1"/>
      <c r="W38" s="23" t="s">
        <v>44</v>
      </c>
      <c r="X38" s="24"/>
      <c r="Y38" s="25">
        <f>+Y30+Y37</f>
        <v>-5382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B2:AL39"/>
  <sheetViews>
    <sheetView tabSelected="1" topLeftCell="E1" zoomScale="90" zoomScaleNormal="90" workbookViewId="0">
      <selection activeCell="AJ31" sqref="AJ31"/>
    </sheetView>
  </sheetViews>
  <sheetFormatPr defaultRowHeight="15"/>
  <cols>
    <col min="5" max="5" width="0.85546875" customWidth="1"/>
    <col min="7" max="7" width="14.7109375" customWidth="1"/>
    <col min="8" max="8" width="9.5703125" bestFit="1" customWidth="1"/>
    <col min="9" max="9" width="0.140625" customWidth="1"/>
    <col min="11" max="11" width="5.140625" customWidth="1"/>
    <col min="12" max="12" width="9.140625" customWidth="1"/>
    <col min="13" max="13" width="0.42578125" customWidth="1"/>
    <col min="15" max="15" width="14.28515625" customWidth="1"/>
    <col min="17" max="17" width="0.5703125" customWidth="1"/>
    <col min="19" max="19" width="11.7109375" customWidth="1"/>
    <col min="20" max="20" width="10" bestFit="1" customWidth="1"/>
    <col min="21" max="21" width="0.5703125" customWidth="1"/>
    <col min="22" max="22" width="0.7109375" customWidth="1"/>
    <col min="25" max="25" width="11.140625" bestFit="1" customWidth="1"/>
    <col min="26" max="26" width="0.28515625" customWidth="1"/>
    <col min="27" max="27" width="0.5703125" customWidth="1"/>
    <col min="29" max="29" width="10.140625" bestFit="1" customWidth="1"/>
    <col min="30" max="30" width="10" bestFit="1" customWidth="1"/>
    <col min="33" max="33" width="1" customWidth="1"/>
    <col min="34" max="34" width="9.140625" hidden="1" customWidth="1"/>
  </cols>
  <sheetData>
    <row r="2" spans="2:38" ht="15.75" thickBot="1"/>
    <row r="3" spans="2:38">
      <c r="B3" s="130" t="s">
        <v>47</v>
      </c>
      <c r="C3" s="130"/>
      <c r="D3" s="130"/>
      <c r="E3" s="1"/>
      <c r="F3" s="130" t="s">
        <v>0</v>
      </c>
      <c r="G3" s="130"/>
      <c r="H3" s="130"/>
      <c r="I3" s="1"/>
      <c r="J3" s="130" t="s">
        <v>1</v>
      </c>
      <c r="K3" s="130"/>
      <c r="L3" s="130"/>
      <c r="M3" s="1"/>
      <c r="N3" s="130" t="s">
        <v>2</v>
      </c>
      <c r="O3" s="130"/>
      <c r="P3" s="130"/>
      <c r="Q3" s="1"/>
      <c r="R3" s="130" t="s">
        <v>3</v>
      </c>
      <c r="S3" s="130"/>
      <c r="T3" s="130"/>
      <c r="U3" s="1"/>
      <c r="V3" s="10"/>
      <c r="W3" s="131" t="s">
        <v>4</v>
      </c>
      <c r="X3" s="131"/>
      <c r="Y3" s="131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5</v>
      </c>
      <c r="C4" s="4" t="s">
        <v>6</v>
      </c>
      <c r="D4" s="4" t="s">
        <v>7</v>
      </c>
      <c r="E4" s="1"/>
      <c r="F4" s="4" t="s">
        <v>5</v>
      </c>
      <c r="G4" s="4" t="s">
        <v>6</v>
      </c>
      <c r="H4" s="4" t="s">
        <v>7</v>
      </c>
      <c r="I4" s="1"/>
      <c r="J4" s="4" t="s">
        <v>5</v>
      </c>
      <c r="K4" s="4" t="s">
        <v>6</v>
      </c>
      <c r="L4" s="4" t="s">
        <v>7</v>
      </c>
      <c r="M4" s="1"/>
      <c r="N4" s="4" t="s">
        <v>5</v>
      </c>
      <c r="O4" s="4" t="s">
        <v>6</v>
      </c>
      <c r="P4" s="4" t="s">
        <v>7</v>
      </c>
      <c r="Q4" s="1"/>
      <c r="R4" s="4" t="s">
        <v>5</v>
      </c>
      <c r="S4" s="4" t="s">
        <v>6</v>
      </c>
      <c r="T4" s="4" t="s">
        <v>7</v>
      </c>
      <c r="U4" s="1"/>
      <c r="V4" s="12"/>
      <c r="W4" s="14" t="s">
        <v>5</v>
      </c>
      <c r="X4" s="14" t="s">
        <v>6</v>
      </c>
      <c r="Y4" s="14" t="s">
        <v>7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6" t="s">
        <v>8</v>
      </c>
      <c r="AC5" s="64"/>
      <c r="AD5" s="64"/>
      <c r="AE5" s="64"/>
      <c r="AF5" s="64"/>
      <c r="AG5" s="61"/>
      <c r="AH5" s="1"/>
      <c r="AI5" s="4" t="s">
        <v>5</v>
      </c>
      <c r="AJ5" s="4" t="s">
        <v>6</v>
      </c>
      <c r="AK5" s="4" t="s">
        <v>7</v>
      </c>
      <c r="AL5" s="1"/>
    </row>
    <row r="6" spans="2:38" ht="15.75" thickTop="1">
      <c r="B6" s="2">
        <v>10</v>
      </c>
      <c r="C6" s="2">
        <v>40</v>
      </c>
      <c r="D6" s="36">
        <f>+C6*B6</f>
        <v>400</v>
      </c>
      <c r="E6" s="1"/>
      <c r="F6" s="2">
        <v>10</v>
      </c>
      <c r="G6" s="2">
        <v>15</v>
      </c>
      <c r="H6" s="36">
        <f>+G6*F6</f>
        <v>150</v>
      </c>
      <c r="I6" s="1"/>
      <c r="J6" s="2">
        <v>10</v>
      </c>
      <c r="K6" s="2">
        <v>59</v>
      </c>
      <c r="L6" s="36">
        <f>+K6*J6</f>
        <v>590</v>
      </c>
      <c r="M6" s="1"/>
      <c r="N6" s="2">
        <v>10</v>
      </c>
      <c r="O6" s="2">
        <f>5+2</f>
        <v>7</v>
      </c>
      <c r="P6" s="36">
        <f>+O6*N6</f>
        <v>70</v>
      </c>
      <c r="Q6" s="1"/>
      <c r="R6" s="2">
        <v>10</v>
      </c>
      <c r="S6" s="2">
        <v>118</v>
      </c>
      <c r="T6" s="36">
        <f>+S6*R6</f>
        <v>1180</v>
      </c>
      <c r="U6" s="1"/>
      <c r="V6" s="12"/>
      <c r="W6" s="39">
        <v>10</v>
      </c>
      <c r="X6" s="39">
        <f>+C6+G6+K6+O6+S6</f>
        <v>239</v>
      </c>
      <c r="Y6" s="37">
        <f>+D6+H6+L6+P6+T6</f>
        <v>2390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17</v>
      </c>
      <c r="D7" s="36">
        <f t="shared" ref="D7:D12" si="1">+C7*B7</f>
        <v>340</v>
      </c>
      <c r="E7" s="1"/>
      <c r="F7" s="2">
        <v>20</v>
      </c>
      <c r="G7" s="2">
        <v>3</v>
      </c>
      <c r="H7" s="36">
        <f t="shared" ref="H7:H12" si="2">+G7*F7</f>
        <v>60</v>
      </c>
      <c r="I7" s="1"/>
      <c r="J7" s="2">
        <v>20</v>
      </c>
      <c r="K7" s="2">
        <v>10</v>
      </c>
      <c r="L7" s="36">
        <f t="shared" ref="L7:L12" si="3">+K7*J7</f>
        <v>200</v>
      </c>
      <c r="M7" s="1"/>
      <c r="N7" s="2">
        <v>20</v>
      </c>
      <c r="O7" s="2">
        <f>5+1</f>
        <v>6</v>
      </c>
      <c r="P7" s="36">
        <f t="shared" ref="P7:P12" si="4">+O7*N7</f>
        <v>120</v>
      </c>
      <c r="Q7" s="1"/>
      <c r="R7" s="2">
        <v>20</v>
      </c>
      <c r="S7" s="2">
        <v>42</v>
      </c>
      <c r="T7" s="36">
        <f t="shared" ref="T7:T12" si="5">+S7*R7</f>
        <v>840</v>
      </c>
      <c r="U7" s="1"/>
      <c r="V7" s="12"/>
      <c r="W7" s="39">
        <v>20</v>
      </c>
      <c r="X7" s="39">
        <f>+C7+G7+K7+O7+S7</f>
        <v>78</v>
      </c>
      <c r="Y7" s="37">
        <f t="shared" ref="Y7:Y12" si="6">+D7+H7+L7+P7+T7</f>
        <v>1560</v>
      </c>
      <c r="Z7" s="13"/>
      <c r="AA7" s="1"/>
      <c r="AB7" s="56" t="s">
        <v>9</v>
      </c>
      <c r="AC7" s="57">
        <f>Y13</f>
        <v>354300</v>
      </c>
      <c r="AD7" s="26"/>
      <c r="AE7" s="26"/>
      <c r="AF7" s="26"/>
      <c r="AG7" s="26"/>
      <c r="AH7" s="1"/>
      <c r="AI7" s="2">
        <v>10</v>
      </c>
      <c r="AJ7" s="2">
        <v>251</v>
      </c>
      <c r="AK7" s="36">
        <f t="shared" si="0"/>
        <v>2510</v>
      </c>
      <c r="AL7" s="2"/>
    </row>
    <row r="8" spans="2:38">
      <c r="B8" s="2">
        <v>50</v>
      </c>
      <c r="C8" s="2">
        <v>6</v>
      </c>
      <c r="D8" s="36">
        <f t="shared" si="1"/>
        <v>300</v>
      </c>
      <c r="E8" s="1"/>
      <c r="F8" s="2">
        <v>50</v>
      </c>
      <c r="G8" s="2">
        <v>69</v>
      </c>
      <c r="H8" s="36">
        <f t="shared" si="2"/>
        <v>3450</v>
      </c>
      <c r="I8" s="1"/>
      <c r="J8" s="2">
        <v>50</v>
      </c>
      <c r="K8" s="2">
        <f>11+2</f>
        <v>13</v>
      </c>
      <c r="L8" s="36">
        <f t="shared" si="3"/>
        <v>650</v>
      </c>
      <c r="M8" s="1"/>
      <c r="N8" s="2">
        <v>50</v>
      </c>
      <c r="O8" s="2">
        <v>25</v>
      </c>
      <c r="P8" s="36">
        <f t="shared" si="4"/>
        <v>1250</v>
      </c>
      <c r="Q8" s="1"/>
      <c r="R8" s="2">
        <v>50</v>
      </c>
      <c r="S8" s="2">
        <v>574</v>
      </c>
      <c r="T8" s="36">
        <f t="shared" si="5"/>
        <v>28700</v>
      </c>
      <c r="U8" s="1"/>
      <c r="V8" s="12"/>
      <c r="W8" s="39">
        <v>50</v>
      </c>
      <c r="X8" s="39">
        <f t="shared" ref="X8:X12" si="7">+C8+G8+K8+O8+S8</f>
        <v>687</v>
      </c>
      <c r="Y8" s="37">
        <f t="shared" si="6"/>
        <v>34350</v>
      </c>
      <c r="Z8" s="13"/>
      <c r="AA8" s="1"/>
      <c r="AB8" s="53" t="s">
        <v>10</v>
      </c>
      <c r="AC8" s="53">
        <f>+AF37</f>
        <v>255895</v>
      </c>
      <c r="AD8" s="1"/>
      <c r="AE8" s="1"/>
      <c r="AF8" s="1"/>
      <c r="AG8" s="1"/>
      <c r="AH8" s="1"/>
      <c r="AI8" s="2">
        <v>20</v>
      </c>
      <c r="AJ8" s="2">
        <v>80</v>
      </c>
      <c r="AK8" s="36">
        <f t="shared" si="0"/>
        <v>1600</v>
      </c>
      <c r="AL8" s="2"/>
    </row>
    <row r="9" spans="2:38" ht="15.75" thickBot="1">
      <c r="B9" s="2">
        <v>100</v>
      </c>
      <c r="C9" s="2">
        <v>3</v>
      </c>
      <c r="D9" s="36">
        <f t="shared" si="1"/>
        <v>300</v>
      </c>
      <c r="E9" s="1"/>
      <c r="F9" s="2">
        <v>100</v>
      </c>
      <c r="G9" s="2">
        <f>35+1</f>
        <v>36</v>
      </c>
      <c r="H9" s="36">
        <f t="shared" si="2"/>
        <v>3600</v>
      </c>
      <c r="I9" s="1"/>
      <c r="J9" s="2">
        <v>100</v>
      </c>
      <c r="K9" s="2">
        <f>35+2</f>
        <v>37</v>
      </c>
      <c r="L9" s="36">
        <f t="shared" si="3"/>
        <v>3700</v>
      </c>
      <c r="M9" s="1"/>
      <c r="N9" s="2">
        <v>100</v>
      </c>
      <c r="O9" s="2">
        <v>51</v>
      </c>
      <c r="P9" s="36">
        <f t="shared" si="4"/>
        <v>5100</v>
      </c>
      <c r="Q9" s="1"/>
      <c r="R9" s="2">
        <v>100</v>
      </c>
      <c r="S9" s="2">
        <v>313</v>
      </c>
      <c r="T9" s="36">
        <f t="shared" si="5"/>
        <v>31300</v>
      </c>
      <c r="U9" s="1"/>
      <c r="V9" s="12"/>
      <c r="W9" s="39">
        <v>100</v>
      </c>
      <c r="X9" s="39">
        <f t="shared" si="7"/>
        <v>440</v>
      </c>
      <c r="Y9" s="37">
        <f t="shared" si="6"/>
        <v>44000</v>
      </c>
      <c r="Z9" s="13"/>
      <c r="AA9" s="1"/>
      <c r="AB9" s="58" t="s">
        <v>11</v>
      </c>
      <c r="AC9" s="59">
        <f>SUM(AC7:AC8)</f>
        <v>610195</v>
      </c>
      <c r="AD9" s="1"/>
      <c r="AE9" s="1"/>
      <c r="AF9" s="1"/>
      <c r="AG9" s="1"/>
      <c r="AH9" s="1"/>
      <c r="AI9" s="2">
        <v>50</v>
      </c>
      <c r="AJ9" s="2">
        <f>690-100</f>
        <v>590</v>
      </c>
      <c r="AK9" s="36">
        <f t="shared" si="0"/>
        <v>29500</v>
      </c>
      <c r="AL9" s="1"/>
    </row>
    <row r="10" spans="2:38">
      <c r="B10" s="2">
        <v>500</v>
      </c>
      <c r="C10" s="2">
        <f>40+3</f>
        <v>43</v>
      </c>
      <c r="D10" s="36">
        <f t="shared" si="1"/>
        <v>21500</v>
      </c>
      <c r="E10" s="1"/>
      <c r="F10" s="2">
        <v>500</v>
      </c>
      <c r="G10" s="2">
        <v>24</v>
      </c>
      <c r="H10" s="36">
        <f t="shared" si="2"/>
        <v>12000</v>
      </c>
      <c r="I10" s="1"/>
      <c r="J10" s="2">
        <v>500</v>
      </c>
      <c r="K10" s="2">
        <f>29+2</f>
        <v>31</v>
      </c>
      <c r="L10" s="36">
        <f t="shared" si="3"/>
        <v>15500</v>
      </c>
      <c r="M10" s="1"/>
      <c r="N10" s="2">
        <v>500</v>
      </c>
      <c r="O10" s="2">
        <f>44+4</f>
        <v>48</v>
      </c>
      <c r="P10" s="36">
        <f t="shared" si="4"/>
        <v>24000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146</v>
      </c>
      <c r="Y10" s="37">
        <f t="shared" si="6"/>
        <v>73000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f>446-200</f>
        <v>246</v>
      </c>
      <c r="AK10" s="36">
        <f t="shared" si="0"/>
        <v>24600</v>
      </c>
      <c r="AL10" s="1"/>
    </row>
    <row r="11" spans="2:38">
      <c r="B11" s="2">
        <v>1000</v>
      </c>
      <c r="C11" s="2">
        <v>34</v>
      </c>
      <c r="D11" s="36">
        <f t="shared" si="1"/>
        <v>34000</v>
      </c>
      <c r="E11" s="1"/>
      <c r="F11" s="2">
        <v>1000</v>
      </c>
      <c r="G11" s="2">
        <v>66</v>
      </c>
      <c r="H11" s="36">
        <f t="shared" si="2"/>
        <v>66000</v>
      </c>
      <c r="I11" s="1"/>
      <c r="J11" s="2">
        <v>1000</v>
      </c>
      <c r="K11" s="2">
        <f>32+7</f>
        <v>39</v>
      </c>
      <c r="L11" s="36">
        <f t="shared" si="3"/>
        <v>39000</v>
      </c>
      <c r="M11" s="1"/>
      <c r="N11" s="2">
        <v>1000</v>
      </c>
      <c r="O11" s="2">
        <v>24</v>
      </c>
      <c r="P11" s="36">
        <f t="shared" si="4"/>
        <v>24000</v>
      </c>
      <c r="Q11" s="1"/>
      <c r="R11" s="2">
        <v>1000</v>
      </c>
      <c r="S11" s="2">
        <v>1</v>
      </c>
      <c r="T11" s="36">
        <f t="shared" si="5"/>
        <v>1000</v>
      </c>
      <c r="U11" s="1"/>
      <c r="V11" s="12"/>
      <c r="W11" s="39">
        <v>1000</v>
      </c>
      <c r="X11" s="39">
        <f t="shared" si="7"/>
        <v>164</v>
      </c>
      <c r="Y11" s="37">
        <f t="shared" si="6"/>
        <v>164000</v>
      </c>
      <c r="Z11" s="13"/>
      <c r="AA11" s="1"/>
      <c r="AB11" s="47" t="s">
        <v>12</v>
      </c>
      <c r="AC11" s="47" t="s">
        <v>7</v>
      </c>
      <c r="AD11" s="47" t="s">
        <v>13</v>
      </c>
      <c r="AE11" s="47" t="s">
        <v>14</v>
      </c>
      <c r="AF11" s="47" t="s">
        <v>15</v>
      </c>
      <c r="AG11" s="47"/>
      <c r="AH11" s="1"/>
      <c r="AI11" s="2">
        <v>500</v>
      </c>
      <c r="AJ11" s="2">
        <v>242</v>
      </c>
      <c r="AK11" s="36">
        <f t="shared" si="0"/>
        <v>121000</v>
      </c>
      <c r="AL11" s="1"/>
    </row>
    <row r="12" spans="2:38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7</v>
      </c>
      <c r="Y12" s="37">
        <f t="shared" si="6"/>
        <v>35000</v>
      </c>
      <c r="Z12" s="13"/>
      <c r="AA12" s="1"/>
      <c r="AB12" s="1" t="s">
        <v>16</v>
      </c>
      <c r="AC12" s="5">
        <v>581610</v>
      </c>
      <c r="AD12" s="1">
        <v>41719921</v>
      </c>
      <c r="AE12" s="52" t="s">
        <v>786</v>
      </c>
      <c r="AF12" s="1" t="s">
        <v>69</v>
      </c>
      <c r="AG12" s="1"/>
      <c r="AH12" s="1"/>
      <c r="AI12" s="2">
        <v>1000</v>
      </c>
      <c r="AJ12" s="2">
        <v>341</v>
      </c>
      <c r="AK12" s="36">
        <f t="shared" si="0"/>
        <v>341000</v>
      </c>
      <c r="AL12" s="1"/>
    </row>
    <row r="13" spans="2:38" ht="15.75" thickBot="1">
      <c r="B13" s="3" t="s">
        <v>17</v>
      </c>
      <c r="C13" s="3"/>
      <c r="D13" s="6">
        <f>+SUM(D5:D12)</f>
        <v>66840</v>
      </c>
      <c r="E13" s="1"/>
      <c r="F13" s="3" t="s">
        <v>17</v>
      </c>
      <c r="G13" s="3"/>
      <c r="H13" s="6">
        <f>+SUM(H5:H12)</f>
        <v>95260</v>
      </c>
      <c r="I13" s="1"/>
      <c r="J13" s="3" t="s">
        <v>17</v>
      </c>
      <c r="K13" s="3"/>
      <c r="L13" s="6">
        <f>+SUM(L5:L12)</f>
        <v>69640</v>
      </c>
      <c r="M13" s="1"/>
      <c r="N13" s="3" t="s">
        <v>17</v>
      </c>
      <c r="O13" s="3"/>
      <c r="P13" s="6">
        <f>+SUM(P5:P12)</f>
        <v>59540</v>
      </c>
      <c r="Q13" s="1"/>
      <c r="R13" s="3" t="s">
        <v>17</v>
      </c>
      <c r="S13" s="3"/>
      <c r="T13" s="6">
        <f>+SUM(T5:T12)</f>
        <v>63020</v>
      </c>
      <c r="U13" s="1"/>
      <c r="V13" s="12"/>
      <c r="W13" s="3" t="s">
        <v>17</v>
      </c>
      <c r="X13" s="3"/>
      <c r="Y13" s="6">
        <f>+SUM(Y5:Y12)</f>
        <v>354300</v>
      </c>
      <c r="Z13" s="13"/>
      <c r="AA13" s="1"/>
      <c r="AB13" s="1" t="s">
        <v>18</v>
      </c>
      <c r="AC13" s="5">
        <v>3600</v>
      </c>
      <c r="AD13" s="1"/>
      <c r="AE13" s="1"/>
      <c r="AF13" s="1"/>
      <c r="AG13" s="1"/>
      <c r="AH13" s="1"/>
      <c r="AI13" s="2">
        <v>5000</v>
      </c>
      <c r="AJ13" s="2">
        <v>13</v>
      </c>
      <c r="AK13" s="36">
        <f t="shared" si="0"/>
        <v>65000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19</v>
      </c>
      <c r="AC14" s="5"/>
      <c r="AD14" s="1"/>
      <c r="AE14" s="1"/>
      <c r="AF14" s="1"/>
      <c r="AG14" s="1"/>
      <c r="AH14" s="1"/>
      <c r="AI14" s="3" t="s">
        <v>17</v>
      </c>
      <c r="AJ14" s="3"/>
      <c r="AK14" s="6">
        <f>+SUM(AK6:AK13)</f>
        <v>585210</v>
      </c>
      <c r="AL14" s="1"/>
    </row>
    <row r="15" spans="2:38" ht="15.75" thickBot="1">
      <c r="B15" s="128" t="s">
        <v>20</v>
      </c>
      <c r="C15" s="129"/>
      <c r="D15" s="8">
        <v>85553</v>
      </c>
      <c r="E15" s="30"/>
      <c r="F15" s="128" t="s">
        <v>20</v>
      </c>
      <c r="G15" s="129"/>
      <c r="H15" s="8">
        <v>109203</v>
      </c>
      <c r="I15" s="30"/>
      <c r="J15" s="128" t="s">
        <v>20</v>
      </c>
      <c r="K15" s="129"/>
      <c r="L15" s="8">
        <v>61506</v>
      </c>
      <c r="M15" s="30"/>
      <c r="N15" s="128" t="s">
        <v>20</v>
      </c>
      <c r="O15" s="129"/>
      <c r="P15" s="8">
        <v>87281</v>
      </c>
      <c r="Q15" s="30"/>
      <c r="R15" s="128" t="s">
        <v>20</v>
      </c>
      <c r="S15" s="129"/>
      <c r="T15" s="8">
        <v>960539</v>
      </c>
      <c r="U15" s="30"/>
      <c r="V15" s="31"/>
      <c r="W15" s="128" t="s">
        <v>20</v>
      </c>
      <c r="X15" s="129"/>
      <c r="Y15" s="8">
        <f>+D15+H15+L15+P15+T15</f>
        <v>1304082</v>
      </c>
      <c r="Z15" s="32"/>
      <c r="AA15" s="30"/>
      <c r="AB15" s="1" t="s">
        <v>21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9</v>
      </c>
      <c r="C16" s="1"/>
      <c r="D16" s="5">
        <f>+D13</f>
        <v>66840</v>
      </c>
      <c r="E16" s="1"/>
      <c r="F16" s="1" t="s">
        <v>9</v>
      </c>
      <c r="G16" s="1"/>
      <c r="H16" s="5">
        <f>+H13</f>
        <v>95260</v>
      </c>
      <c r="I16" s="1"/>
      <c r="J16" s="1" t="s">
        <v>9</v>
      </c>
      <c r="K16" s="1"/>
      <c r="L16" s="5">
        <f>+L13</f>
        <v>69640</v>
      </c>
      <c r="M16" s="1"/>
      <c r="N16" s="1" t="s">
        <v>9</v>
      </c>
      <c r="O16" s="1"/>
      <c r="P16" s="5">
        <f>+P13</f>
        <v>59540</v>
      </c>
      <c r="Q16" s="1"/>
      <c r="R16" s="1" t="s">
        <v>9</v>
      </c>
      <c r="S16" s="1"/>
      <c r="T16" s="5">
        <f>+T13</f>
        <v>63020</v>
      </c>
      <c r="U16" s="1"/>
      <c r="V16" s="12"/>
      <c r="W16" s="40" t="s">
        <v>9</v>
      </c>
      <c r="X16" s="40"/>
      <c r="Y16" s="37">
        <f>+D16+H16+L16+P16+T16</f>
        <v>354300</v>
      </c>
      <c r="Z16" s="13"/>
      <c r="AA16" s="1"/>
      <c r="AB16" s="1" t="s">
        <v>444</v>
      </c>
      <c r="AC16" s="5">
        <v>25000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16</v>
      </c>
      <c r="C17" s="1"/>
      <c r="D17" s="5"/>
      <c r="E17" s="1"/>
      <c r="F17" s="1" t="s">
        <v>16</v>
      </c>
      <c r="G17" s="1"/>
      <c r="H17" s="5"/>
      <c r="I17" s="1"/>
      <c r="J17" s="1" t="s">
        <v>16</v>
      </c>
      <c r="K17" s="1"/>
      <c r="L17" s="5"/>
      <c r="M17" s="1"/>
      <c r="N17" s="1" t="s">
        <v>16</v>
      </c>
      <c r="O17" s="1"/>
      <c r="P17" s="5"/>
      <c r="Q17" s="1"/>
      <c r="R17" s="1" t="s">
        <v>16</v>
      </c>
      <c r="S17" s="1"/>
      <c r="T17" s="5"/>
      <c r="U17" s="1"/>
      <c r="V17" s="12"/>
      <c r="W17" s="40" t="s">
        <v>16</v>
      </c>
      <c r="X17" s="40"/>
      <c r="Y17" s="37">
        <f t="shared" ref="Y17:Y27" si="8">+D17+H17+L17+P17+T17</f>
        <v>0</v>
      </c>
      <c r="Z17" s="13"/>
      <c r="AA17" s="1"/>
      <c r="AB17" s="48" t="s">
        <v>11</v>
      </c>
      <c r="AC17" s="49">
        <f>+SUM(AC12:AC16)</f>
        <v>610210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23</v>
      </c>
      <c r="C18" s="1"/>
      <c r="D18" s="5"/>
      <c r="E18" s="1"/>
      <c r="F18" s="1" t="s">
        <v>731</v>
      </c>
      <c r="G18" s="1" t="s">
        <v>780</v>
      </c>
      <c r="H18" s="5">
        <v>4851</v>
      </c>
      <c r="I18" s="1"/>
      <c r="J18" s="1" t="s">
        <v>23</v>
      </c>
      <c r="K18" s="1"/>
      <c r="L18" s="5"/>
      <c r="M18" s="1"/>
      <c r="N18" s="1" t="s">
        <v>768</v>
      </c>
      <c r="O18" s="1" t="s">
        <v>769</v>
      </c>
      <c r="P18" s="5">
        <v>12740</v>
      </c>
      <c r="Q18" s="1"/>
      <c r="R18" s="1" t="s">
        <v>757</v>
      </c>
      <c r="S18" s="1" t="s">
        <v>767</v>
      </c>
      <c r="T18" s="5">
        <v>19650</v>
      </c>
      <c r="U18" s="1"/>
      <c r="V18" s="12"/>
      <c r="W18" s="40" t="s">
        <v>23</v>
      </c>
      <c r="X18" s="40"/>
      <c r="Y18" s="37">
        <f t="shared" si="8"/>
        <v>37241</v>
      </c>
      <c r="Z18" s="13"/>
      <c r="AA18" s="1"/>
      <c r="AB18" s="50" t="s">
        <v>24</v>
      </c>
      <c r="AC18" s="51">
        <f>+AC17-AC9</f>
        <v>15</v>
      </c>
      <c r="AD18" s="1" t="s">
        <v>25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26</v>
      </c>
      <c r="C19" s="1"/>
      <c r="D19" s="5"/>
      <c r="E19" s="1"/>
      <c r="F19" s="1" t="s">
        <v>586</v>
      </c>
      <c r="G19" s="1" t="s">
        <v>781</v>
      </c>
      <c r="H19" s="5">
        <v>7100</v>
      </c>
      <c r="I19" s="1"/>
      <c r="J19" s="1" t="s">
        <v>26</v>
      </c>
      <c r="K19" s="1"/>
      <c r="L19" s="5"/>
      <c r="M19" s="1"/>
      <c r="N19" s="1" t="s">
        <v>586</v>
      </c>
      <c r="O19" s="1" t="s">
        <v>770</v>
      </c>
      <c r="P19" s="5">
        <v>15000</v>
      </c>
      <c r="Q19" s="1"/>
      <c r="R19" s="1" t="s">
        <v>26</v>
      </c>
      <c r="S19" s="1"/>
      <c r="T19" s="5"/>
      <c r="U19" s="1"/>
      <c r="V19" s="12"/>
      <c r="W19" s="40" t="s">
        <v>26</v>
      </c>
      <c r="X19" s="40"/>
      <c r="Y19" s="37">
        <f t="shared" si="8"/>
        <v>22100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27</v>
      </c>
      <c r="C20" s="1"/>
      <c r="D20" s="5"/>
      <c r="E20" s="1"/>
      <c r="F20" s="1" t="s">
        <v>650</v>
      </c>
      <c r="G20" s="1" t="s">
        <v>782</v>
      </c>
      <c r="H20" s="5">
        <v>2000</v>
      </c>
      <c r="I20" s="1"/>
      <c r="J20" s="1" t="s">
        <v>27</v>
      </c>
      <c r="K20" s="1"/>
      <c r="L20" s="5"/>
      <c r="M20" s="1"/>
      <c r="N20" s="1" t="s">
        <v>27</v>
      </c>
      <c r="O20" s="1"/>
      <c r="P20" s="5"/>
      <c r="Q20" s="1"/>
      <c r="R20" s="1" t="s">
        <v>27</v>
      </c>
      <c r="S20" s="1"/>
      <c r="T20" s="5"/>
      <c r="U20" s="1"/>
      <c r="V20" s="12"/>
      <c r="W20" s="40" t="s">
        <v>27</v>
      </c>
      <c r="X20" s="40"/>
      <c r="Y20" s="37">
        <f t="shared" si="8"/>
        <v>2000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28</v>
      </c>
      <c r="AC21" s="54"/>
      <c r="AD21" s="54"/>
      <c r="AE21" s="30"/>
      <c r="AF21" s="1"/>
      <c r="AG21" s="1"/>
      <c r="AH21" s="1"/>
      <c r="AI21" s="54" t="s">
        <v>29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778</v>
      </c>
      <c r="S22" s="1" t="s">
        <v>159</v>
      </c>
      <c r="T22" s="5">
        <v>29561</v>
      </c>
      <c r="U22" s="1"/>
      <c r="V22" s="12"/>
      <c r="W22" s="40"/>
      <c r="X22" s="40"/>
      <c r="Y22" s="37">
        <f t="shared" si="8"/>
        <v>29561</v>
      </c>
      <c r="Z22" s="13"/>
      <c r="AA22" s="1"/>
      <c r="AB22" s="47" t="s">
        <v>30</v>
      </c>
      <c r="AC22" s="47" t="s">
        <v>31</v>
      </c>
      <c r="AD22" s="47" t="s">
        <v>32</v>
      </c>
      <c r="AE22" s="47" t="s">
        <v>33</v>
      </c>
      <c r="AF22" s="47" t="s">
        <v>7</v>
      </c>
      <c r="AG22" s="1"/>
      <c r="AH22" s="1"/>
      <c r="AI22" s="72" t="s">
        <v>32</v>
      </c>
      <c r="AJ22" s="47" t="s">
        <v>30</v>
      </c>
      <c r="AK22" s="47" t="s">
        <v>34</v>
      </c>
      <c r="AL22" s="47" t="s">
        <v>7</v>
      </c>
    </row>
    <row r="23" spans="2:38">
      <c r="B23" s="1" t="s">
        <v>772</v>
      </c>
      <c r="C23" s="1" t="s">
        <v>773</v>
      </c>
      <c r="D23" s="5">
        <v>20436</v>
      </c>
      <c r="E23" s="1"/>
      <c r="F23" s="1" t="s">
        <v>35</v>
      </c>
      <c r="G23" s="1"/>
      <c r="H23" s="5"/>
      <c r="I23" s="1"/>
      <c r="J23" s="1" t="s">
        <v>35</v>
      </c>
      <c r="K23" s="1"/>
      <c r="L23" s="5"/>
      <c r="M23" s="1"/>
      <c r="N23" s="1" t="s">
        <v>46</v>
      </c>
      <c r="O23" s="1"/>
      <c r="P23" s="5"/>
      <c r="Q23" s="1"/>
      <c r="R23" s="1" t="s">
        <v>774</v>
      </c>
      <c r="S23" s="1" t="s">
        <v>420</v>
      </c>
      <c r="T23" s="5">
        <v>160891</v>
      </c>
      <c r="U23" s="1"/>
      <c r="V23" s="12"/>
      <c r="W23" s="40" t="s">
        <v>35</v>
      </c>
      <c r="X23" s="40"/>
      <c r="Y23" s="37">
        <f t="shared" si="8"/>
        <v>181327</v>
      </c>
      <c r="Z23" s="13"/>
      <c r="AA23" s="1"/>
      <c r="AB23" s="70" t="s">
        <v>90</v>
      </c>
      <c r="AC23" s="115">
        <v>45981</v>
      </c>
      <c r="AD23" s="16" t="s">
        <v>765</v>
      </c>
      <c r="AE23" s="16"/>
      <c r="AF23" s="69">
        <v>900</v>
      </c>
      <c r="AG23" s="1"/>
      <c r="AH23" s="1"/>
      <c r="AI23" s="116" t="s">
        <v>577</v>
      </c>
      <c r="AJ23" s="20" t="s">
        <v>65</v>
      </c>
      <c r="AK23" s="20" t="s">
        <v>771</v>
      </c>
      <c r="AL23" s="96">
        <v>10000</v>
      </c>
    </row>
    <row r="24" spans="2:38">
      <c r="B24" s="1" t="s">
        <v>36</v>
      </c>
      <c r="C24" s="1"/>
      <c r="D24" s="5"/>
      <c r="E24" s="1"/>
      <c r="F24" s="1" t="s">
        <v>36</v>
      </c>
      <c r="G24" s="1"/>
      <c r="H24" s="5"/>
      <c r="I24" s="1"/>
      <c r="J24" s="1" t="s">
        <v>36</v>
      </c>
      <c r="K24" s="1"/>
      <c r="L24" s="5"/>
      <c r="M24" s="1"/>
      <c r="N24" s="1" t="s">
        <v>46</v>
      </c>
      <c r="O24" s="1"/>
      <c r="P24" s="5"/>
      <c r="Q24" s="1"/>
      <c r="R24" s="1" t="s">
        <v>775</v>
      </c>
      <c r="S24" s="1" t="s">
        <v>67</v>
      </c>
      <c r="T24" s="5">
        <v>429194</v>
      </c>
      <c r="U24" s="1"/>
      <c r="V24" s="12"/>
      <c r="W24" s="40" t="s">
        <v>36</v>
      </c>
      <c r="X24" s="40"/>
      <c r="Y24" s="37">
        <f t="shared" si="8"/>
        <v>429194</v>
      </c>
      <c r="Z24" s="13"/>
      <c r="AA24" s="1"/>
      <c r="AB24" s="71" t="s">
        <v>65</v>
      </c>
      <c r="AC24" s="71">
        <v>45988</v>
      </c>
      <c r="AD24" s="117" t="s">
        <v>577</v>
      </c>
      <c r="AE24" s="16" t="s">
        <v>771</v>
      </c>
      <c r="AF24" s="69">
        <v>23500</v>
      </c>
      <c r="AG24" s="1"/>
      <c r="AH24" s="1"/>
      <c r="AI24" s="20" t="s">
        <v>329</v>
      </c>
      <c r="AJ24" s="20" t="s">
        <v>63</v>
      </c>
      <c r="AK24" s="20" t="s">
        <v>480</v>
      </c>
      <c r="AL24" s="96">
        <v>4320</v>
      </c>
    </row>
    <row r="25" spans="2:38">
      <c r="B25" s="1" t="s">
        <v>37</v>
      </c>
      <c r="C25" s="1"/>
      <c r="D25" s="5"/>
      <c r="E25" s="1"/>
      <c r="F25" s="1" t="s">
        <v>37</v>
      </c>
      <c r="G25" s="1"/>
      <c r="H25" s="5"/>
      <c r="I25" s="1"/>
      <c r="J25" s="1" t="s">
        <v>37</v>
      </c>
      <c r="K25" s="1"/>
      <c r="L25" s="5"/>
      <c r="M25" s="1"/>
      <c r="N25" s="1" t="s">
        <v>46</v>
      </c>
      <c r="O25" s="1"/>
      <c r="P25" s="5"/>
      <c r="Q25" s="1"/>
      <c r="R25" s="1" t="s">
        <v>776</v>
      </c>
      <c r="S25" s="1" t="s">
        <v>777</v>
      </c>
      <c r="T25" s="5">
        <v>252549</v>
      </c>
      <c r="U25" s="1"/>
      <c r="V25" s="12"/>
      <c r="W25" s="40" t="s">
        <v>37</v>
      </c>
      <c r="X25" s="40"/>
      <c r="Y25" s="37">
        <f t="shared" si="8"/>
        <v>252549</v>
      </c>
      <c r="Z25" s="13"/>
      <c r="AA25" s="1"/>
      <c r="AB25" s="20" t="s">
        <v>743</v>
      </c>
      <c r="AC25" s="89">
        <v>45983</v>
      </c>
      <c r="AD25" s="20" t="s">
        <v>49</v>
      </c>
      <c r="AE25" s="20"/>
      <c r="AF25" s="96">
        <v>200000</v>
      </c>
      <c r="AG25" s="1"/>
      <c r="AH25" s="1"/>
      <c r="AI25" s="20" t="s">
        <v>149</v>
      </c>
      <c r="AJ25" s="20" t="s">
        <v>90</v>
      </c>
      <c r="AK25" s="20" t="s">
        <v>549</v>
      </c>
      <c r="AL25" s="97">
        <v>6550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779</v>
      </c>
      <c r="S26" s="1" t="s">
        <v>426</v>
      </c>
      <c r="T26" s="5">
        <v>3111</v>
      </c>
      <c r="U26" s="1"/>
      <c r="V26" s="12"/>
      <c r="W26" s="40"/>
      <c r="X26" s="40"/>
      <c r="Y26" s="37">
        <f t="shared" si="8"/>
        <v>3111</v>
      </c>
      <c r="Z26" s="13"/>
      <c r="AA26" s="1"/>
      <c r="AB26" s="16" t="s">
        <v>63</v>
      </c>
      <c r="AC26" s="16"/>
      <c r="AD26" s="16" t="s">
        <v>122</v>
      </c>
      <c r="AE26" s="16"/>
      <c r="AF26" s="96">
        <v>5588</v>
      </c>
      <c r="AG26" s="1"/>
      <c r="AH26" s="1"/>
      <c r="AI26" s="20" t="s">
        <v>185</v>
      </c>
      <c r="AJ26" s="20" t="s">
        <v>90</v>
      </c>
      <c r="AK26" s="20" t="s">
        <v>568</v>
      </c>
      <c r="AL26" s="97">
        <v>4607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6" t="s">
        <v>784</v>
      </c>
      <c r="AC27" s="89">
        <v>45985</v>
      </c>
      <c r="AD27" s="16" t="s">
        <v>663</v>
      </c>
      <c r="AE27" s="16"/>
      <c r="AF27" s="69">
        <v>8627</v>
      </c>
      <c r="AG27" s="1"/>
      <c r="AH27" s="1"/>
      <c r="AI27" s="20" t="s">
        <v>103</v>
      </c>
      <c r="AJ27" s="20" t="s">
        <v>90</v>
      </c>
      <c r="AK27" s="20" t="s">
        <v>783</v>
      </c>
      <c r="AL27" s="97">
        <v>9758</v>
      </c>
    </row>
    <row r="28" spans="2:38" ht="15.75" thickBot="1">
      <c r="B28" s="125" t="s">
        <v>11</v>
      </c>
      <c r="C28" s="126"/>
      <c r="D28" s="9">
        <f>+SUM(D16:D27)</f>
        <v>87276</v>
      </c>
      <c r="E28" s="1"/>
      <c r="F28" s="125" t="s">
        <v>11</v>
      </c>
      <c r="G28" s="126"/>
      <c r="H28" s="9">
        <f>+SUM(H16:H27)</f>
        <v>109211</v>
      </c>
      <c r="I28" s="1"/>
      <c r="J28" s="125" t="s">
        <v>11</v>
      </c>
      <c r="K28" s="126"/>
      <c r="L28" s="9">
        <f>+SUM(L16:L27)</f>
        <v>69640</v>
      </c>
      <c r="M28" s="1"/>
      <c r="N28" s="125" t="s">
        <v>11</v>
      </c>
      <c r="O28" s="126"/>
      <c r="P28" s="9">
        <f>+SUM(P16:P27)</f>
        <v>87280</v>
      </c>
      <c r="Q28" s="1"/>
      <c r="R28" s="125" t="s">
        <v>11</v>
      </c>
      <c r="S28" s="126"/>
      <c r="T28" s="9">
        <f>+SUM(T16:T27)</f>
        <v>957976</v>
      </c>
      <c r="U28" s="1"/>
      <c r="V28" s="12"/>
      <c r="W28" s="125" t="s">
        <v>11</v>
      </c>
      <c r="X28" s="126"/>
      <c r="Y28" s="9">
        <f>+SUM(Y16:Y27)</f>
        <v>1311383</v>
      </c>
      <c r="Z28" s="13"/>
      <c r="AA28" s="1"/>
      <c r="AB28" s="20" t="s">
        <v>785</v>
      </c>
      <c r="AC28" s="89">
        <v>45982</v>
      </c>
      <c r="AD28" s="16" t="s">
        <v>606</v>
      </c>
      <c r="AE28" s="16"/>
      <c r="AF28" s="69">
        <v>17280</v>
      </c>
      <c r="AG28" s="1"/>
      <c r="AH28" s="1"/>
      <c r="AI28" s="16" t="s">
        <v>405</v>
      </c>
      <c r="AJ28" s="16" t="s">
        <v>146</v>
      </c>
      <c r="AK28" s="16" t="s">
        <v>618</v>
      </c>
      <c r="AL28" s="69">
        <v>7864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6"/>
      <c r="AC29" s="16"/>
      <c r="AD29" s="16"/>
      <c r="AE29" s="16"/>
      <c r="AF29" s="69"/>
      <c r="AG29" s="1"/>
      <c r="AH29" s="1"/>
      <c r="AI29" s="1"/>
      <c r="AJ29" s="1"/>
      <c r="AK29" s="1"/>
      <c r="AL29" s="62"/>
    </row>
    <row r="30" spans="2:38" ht="15.75" thickBot="1">
      <c r="B30" s="127" t="s">
        <v>39</v>
      </c>
      <c r="C30" s="127"/>
      <c r="D30" s="7">
        <f>+D28-D15</f>
        <v>1723</v>
      </c>
      <c r="E30" s="1"/>
      <c r="F30" s="127" t="s">
        <v>39</v>
      </c>
      <c r="G30" s="127"/>
      <c r="H30" s="7">
        <f>+H28-H15</f>
        <v>8</v>
      </c>
      <c r="I30" s="1"/>
      <c r="J30" s="127" t="s">
        <v>39</v>
      </c>
      <c r="K30" s="127"/>
      <c r="L30" s="7">
        <f>+L28-L15</f>
        <v>8134</v>
      </c>
      <c r="M30" s="1"/>
      <c r="N30" s="127" t="s">
        <v>39</v>
      </c>
      <c r="O30" s="127"/>
      <c r="P30" s="7">
        <f>+P28-P15</f>
        <v>-1</v>
      </c>
      <c r="Q30" s="1"/>
      <c r="R30" s="127" t="s">
        <v>39</v>
      </c>
      <c r="S30" s="127"/>
      <c r="T30" s="7">
        <f>+T28-T15</f>
        <v>-2563</v>
      </c>
      <c r="U30" s="1"/>
      <c r="V30" s="12"/>
      <c r="W30" s="124" t="s">
        <v>39</v>
      </c>
      <c r="X30" s="124"/>
      <c r="Y30" s="41">
        <f>+Y28-Y15</f>
        <v>7301</v>
      </c>
      <c r="Z30" s="13"/>
      <c r="AA30" s="1"/>
      <c r="AB30" s="1"/>
      <c r="AC30" s="1"/>
      <c r="AD30" s="1"/>
      <c r="AE30" s="1"/>
      <c r="AF30" s="62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62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62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1"/>
      <c r="AJ33" s="1"/>
      <c r="AK33" s="1"/>
      <c r="AL33" s="1"/>
    </row>
    <row r="34" spans="2:38">
      <c r="B34" s="10" t="s">
        <v>40</v>
      </c>
      <c r="C34" s="11"/>
      <c r="D34" s="21"/>
      <c r="E34" s="1"/>
      <c r="F34" s="10" t="s">
        <v>40</v>
      </c>
      <c r="G34" s="11"/>
      <c r="H34" s="21"/>
      <c r="I34" s="1"/>
      <c r="J34" s="10" t="s">
        <v>40</v>
      </c>
      <c r="K34" s="11"/>
      <c r="L34" s="21"/>
      <c r="M34" s="1"/>
      <c r="N34" s="10" t="s">
        <v>40</v>
      </c>
      <c r="O34" s="11"/>
      <c r="P34" s="21">
        <v>1</v>
      </c>
      <c r="Q34" s="1"/>
      <c r="R34" s="10" t="s">
        <v>40</v>
      </c>
      <c r="S34" s="11"/>
      <c r="T34" s="21">
        <v>306</v>
      </c>
      <c r="U34" s="1"/>
      <c r="V34" s="1"/>
      <c r="W34" s="42" t="s">
        <v>40</v>
      </c>
      <c r="X34" s="43"/>
      <c r="Y34" s="44">
        <f>+D34+H34+L34+P34+T34</f>
        <v>307</v>
      </c>
      <c r="Z34" s="1"/>
      <c r="AA34" s="1"/>
      <c r="AB34" s="1"/>
      <c r="AC34" s="1"/>
      <c r="AD34" s="1"/>
      <c r="AE34" s="1"/>
      <c r="AF34" s="62"/>
      <c r="AG34" s="1"/>
      <c r="AH34" s="1"/>
      <c r="AI34" s="1"/>
      <c r="AJ34" s="1"/>
      <c r="AK34" s="1"/>
      <c r="AL34" s="1"/>
    </row>
    <row r="35" spans="2:38">
      <c r="B35" s="12" t="s">
        <v>41</v>
      </c>
      <c r="C35" s="16"/>
      <c r="D35" s="22"/>
      <c r="E35" s="1"/>
      <c r="F35" s="12" t="s">
        <v>41</v>
      </c>
      <c r="G35" s="16"/>
      <c r="H35" s="22"/>
      <c r="I35" s="1"/>
      <c r="J35" s="12" t="s">
        <v>41</v>
      </c>
      <c r="K35" s="16"/>
      <c r="L35" s="22"/>
      <c r="M35" s="1"/>
      <c r="N35" s="12" t="s">
        <v>41</v>
      </c>
      <c r="O35" s="16"/>
      <c r="P35" s="22"/>
      <c r="Q35" s="1"/>
      <c r="R35" s="12" t="s">
        <v>88</v>
      </c>
      <c r="S35" s="16"/>
      <c r="T35" s="22">
        <v>2257</v>
      </c>
      <c r="U35" s="1"/>
      <c r="V35" s="1"/>
      <c r="W35" s="45" t="s">
        <v>41</v>
      </c>
      <c r="X35" s="40"/>
      <c r="Y35" s="46">
        <f t="shared" ref="Y35:Y36" si="9">+D35+H35+L35+P35+T35</f>
        <v>2257</v>
      </c>
      <c r="Z35" s="1"/>
      <c r="AA35" s="1"/>
      <c r="AB35" s="1"/>
      <c r="AC35" s="1"/>
      <c r="AD35" s="1"/>
      <c r="AE35" s="1"/>
      <c r="AF35" s="62"/>
      <c r="AG35" s="1"/>
      <c r="AH35" s="1"/>
      <c r="AI35" s="1"/>
      <c r="AJ35" s="1"/>
      <c r="AK35" s="1"/>
      <c r="AL35" s="1"/>
    </row>
    <row r="36" spans="2:38">
      <c r="B36" s="12" t="s">
        <v>43</v>
      </c>
      <c r="C36" s="16"/>
      <c r="D36" s="22">
        <v>-1723</v>
      </c>
      <c r="E36" s="1"/>
      <c r="F36" s="12" t="s">
        <v>43</v>
      </c>
      <c r="G36" s="16"/>
      <c r="H36" s="22">
        <v>-8</v>
      </c>
      <c r="I36" s="1"/>
      <c r="J36" s="12" t="s">
        <v>43</v>
      </c>
      <c r="K36" s="16"/>
      <c r="L36" s="22">
        <v>-8134</v>
      </c>
      <c r="M36" s="1"/>
      <c r="N36" s="12" t="s">
        <v>43</v>
      </c>
      <c r="O36" s="16"/>
      <c r="P36" s="22"/>
      <c r="Q36" s="1"/>
      <c r="R36" s="12" t="s">
        <v>45</v>
      </c>
      <c r="S36" s="16"/>
      <c r="T36" s="22"/>
      <c r="U36" s="1"/>
      <c r="V36" s="1"/>
      <c r="W36" s="45" t="s">
        <v>42</v>
      </c>
      <c r="X36" s="40"/>
      <c r="Y36" s="46">
        <f t="shared" si="9"/>
        <v>-9865</v>
      </c>
      <c r="Z36" s="1"/>
      <c r="AA36" s="1"/>
      <c r="AB36" s="1"/>
      <c r="AC36" s="1"/>
      <c r="AD36" s="1"/>
      <c r="AE36" s="1"/>
      <c r="AF36" s="62"/>
      <c r="AG36" s="1"/>
      <c r="AH36" s="1"/>
      <c r="AI36" s="1"/>
      <c r="AJ36" s="1"/>
      <c r="AK36" s="1"/>
      <c r="AL36" s="1"/>
    </row>
    <row r="37" spans="2:38" ht="15.75" thickBot="1">
      <c r="B37" s="12" t="s">
        <v>17</v>
      </c>
      <c r="C37" s="16"/>
      <c r="D37" s="22">
        <f>+SUM(D34:D36)</f>
        <v>-1723</v>
      </c>
      <c r="E37" s="1"/>
      <c r="F37" s="12" t="s">
        <v>17</v>
      </c>
      <c r="G37" s="16"/>
      <c r="H37" s="22">
        <f>+SUM(H34:H36)</f>
        <v>-8</v>
      </c>
      <c r="I37" s="1"/>
      <c r="J37" s="12" t="s">
        <v>17</v>
      </c>
      <c r="K37" s="16"/>
      <c r="L37" s="22">
        <f>+SUM(L34:L36)</f>
        <v>-8134</v>
      </c>
      <c r="M37" s="1"/>
      <c r="N37" s="12" t="s">
        <v>17</v>
      </c>
      <c r="O37" s="16"/>
      <c r="P37" s="22">
        <f>+SUM(P34:P36)</f>
        <v>1</v>
      </c>
      <c r="Q37" s="1"/>
      <c r="R37" s="12" t="s">
        <v>17</v>
      </c>
      <c r="S37" s="16"/>
      <c r="T37" s="22">
        <f>+SUM(T34:T36)</f>
        <v>2563</v>
      </c>
      <c r="U37" s="1"/>
      <c r="V37" s="1"/>
      <c r="W37" s="33" t="s">
        <v>17</v>
      </c>
      <c r="X37" s="34"/>
      <c r="Y37" s="35">
        <f>+SUM(Y34:Y36)</f>
        <v>-7301</v>
      </c>
      <c r="Z37" s="1"/>
      <c r="AA37" s="1"/>
      <c r="AB37" s="60" t="s">
        <v>38</v>
      </c>
      <c r="AC37" s="60"/>
      <c r="AD37" s="60"/>
      <c r="AE37" s="60"/>
      <c r="AF37" s="55">
        <f>+SUM(AF23:AF36)</f>
        <v>255895</v>
      </c>
      <c r="AG37" s="1"/>
      <c r="AH37" s="1"/>
      <c r="AI37" s="60" t="s">
        <v>38</v>
      </c>
      <c r="AJ37" s="60"/>
      <c r="AK37" s="60"/>
      <c r="AL37" s="67">
        <f>+SUM(AL23:AL36)</f>
        <v>43099</v>
      </c>
    </row>
    <row r="38" spans="2:38" ht="16.5" thickTop="1" thickBot="1">
      <c r="B38" s="23" t="s">
        <v>44</v>
      </c>
      <c r="C38" s="24"/>
      <c r="D38" s="25">
        <f>+D30+D37</f>
        <v>0</v>
      </c>
      <c r="E38" s="1"/>
      <c r="F38" s="23" t="s">
        <v>44</v>
      </c>
      <c r="G38" s="24"/>
      <c r="H38" s="25">
        <f>+H30+H37</f>
        <v>0</v>
      </c>
      <c r="I38" s="1"/>
      <c r="J38" s="23" t="s">
        <v>44</v>
      </c>
      <c r="K38" s="24"/>
      <c r="L38" s="25">
        <f>+L30+L37</f>
        <v>0</v>
      </c>
      <c r="M38" s="1"/>
      <c r="N38" s="23" t="s">
        <v>44</v>
      </c>
      <c r="O38" s="24"/>
      <c r="P38" s="25">
        <f>+P30+P37</f>
        <v>0</v>
      </c>
      <c r="Q38" s="1"/>
      <c r="R38" s="23" t="s">
        <v>44</v>
      </c>
      <c r="S38" s="24"/>
      <c r="T38" s="25">
        <f>+T30+T37</f>
        <v>0</v>
      </c>
      <c r="U38" s="1"/>
      <c r="V38" s="1"/>
      <c r="W38" s="23" t="s">
        <v>44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01-11-25</vt:lpstr>
      <vt:lpstr>03-11-25</vt:lpstr>
      <vt:lpstr>04-11-25</vt:lpstr>
      <vt:lpstr>05-11-25</vt:lpstr>
      <vt:lpstr>06-11-25</vt:lpstr>
      <vt:lpstr>07-11-25</vt:lpstr>
      <vt:lpstr>08-11-25</vt:lpstr>
      <vt:lpstr>10-11-25</vt:lpstr>
      <vt:lpstr>11-11-25</vt:lpstr>
      <vt:lpstr>12-11-25</vt:lpstr>
      <vt:lpstr>13-11-25</vt:lpstr>
      <vt:lpstr>14-11-25</vt:lpstr>
      <vt:lpstr>15-11-25</vt:lpstr>
      <vt:lpstr>17-11-25</vt:lpstr>
      <vt:lpstr>18-11-25</vt:lpstr>
      <vt:lpstr>MASTER</vt:lpstr>
      <vt:lpstr>19-11-25</vt:lpstr>
      <vt:lpstr>20-11-25</vt:lpstr>
      <vt:lpstr>21-11-25</vt:lpstr>
      <vt:lpstr>22-11-25</vt:lpstr>
      <vt:lpstr>24-11-25</vt:lpstr>
      <vt:lpstr>25-11-25</vt:lpstr>
      <vt:lpstr>26-11-25</vt:lpstr>
      <vt:lpstr>27-11-25</vt:lpstr>
      <vt:lpstr>28-11-25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ADMIN</cp:lastModifiedBy>
  <dcterms:created xsi:type="dcterms:W3CDTF">2025-08-01T16:06:19Z</dcterms:created>
  <dcterms:modified xsi:type="dcterms:W3CDTF">2025-11-29T07:29:35Z</dcterms:modified>
</cp:coreProperties>
</file>