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6465" windowWidth="15600" windowHeight="2160" firstSheet="17" activeTab="23"/>
  </bookViews>
  <sheets>
    <sheet name="01-10-25" sheetId="58" r:id="rId1"/>
    <sheet name="02-10-25" sheetId="59" r:id="rId2"/>
    <sheet name="03-10-25" sheetId="60" r:id="rId3"/>
    <sheet name="04-10-25" sheetId="61" r:id="rId4"/>
    <sheet name="06-10-25" sheetId="62" r:id="rId5"/>
    <sheet name="07-10-25" sheetId="63" r:id="rId6"/>
    <sheet name="08-10-25" sheetId="64" r:id="rId7"/>
    <sheet name="09-10-25" sheetId="65" r:id="rId8"/>
    <sheet name="10-10-25" sheetId="66" r:id="rId9"/>
    <sheet name="11-10-25" sheetId="67" r:id="rId10"/>
    <sheet name="13-10-25" sheetId="68" r:id="rId11"/>
    <sheet name="14-10-25" sheetId="69" r:id="rId12"/>
    <sheet name="15-10-25" sheetId="70" r:id="rId13"/>
    <sheet name="16-10-25" sheetId="71" r:id="rId14"/>
    <sheet name="17-10-25" sheetId="72" r:id="rId15"/>
    <sheet name="18-10-25" sheetId="73" r:id="rId16"/>
    <sheet name="20-10-25" sheetId="74" r:id="rId17"/>
    <sheet name="21-10-25" sheetId="75" r:id="rId18"/>
    <sheet name="22-10-25" sheetId="76" r:id="rId19"/>
    <sheet name="MASTER" sheetId="16" r:id="rId20"/>
    <sheet name="23-10-25" sheetId="77" r:id="rId21"/>
    <sheet name="24-10-25" sheetId="78" r:id="rId22"/>
    <sheet name="25-10-25" sheetId="79" r:id="rId23"/>
    <sheet name="27-10-25" sheetId="80" r:id="rId24"/>
    <sheet name="28-10-25" sheetId="81" r:id="rId25"/>
    <sheet name="29-10-25" sheetId="82" r:id="rId26"/>
    <sheet name="30-10-25" sheetId="83" r:id="rId27"/>
    <sheet name="31-10-25" sheetId="84" r:id="rId28"/>
  </sheets>
  <calcPr calcId="124519"/>
</workbook>
</file>

<file path=xl/calcChain.xml><?xml version="1.0" encoding="utf-8"?>
<calcChain xmlns="http://schemas.openxmlformats.org/spreadsheetml/2006/main">
  <c r="AE41" i="84"/>
  <c r="AB46"/>
  <c r="AB44"/>
  <c r="L8" l="1"/>
  <c r="AL37" l="1"/>
  <c r="AF37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AK14" l="1"/>
  <c r="Y37"/>
  <c r="D13"/>
  <c r="D16" s="1"/>
  <c r="D28" s="1"/>
  <c r="D30" s="1"/>
  <c r="D38" s="1"/>
  <c r="L13"/>
  <c r="L16" s="1"/>
  <c r="L28" s="1"/>
  <c r="L30" s="1"/>
  <c r="L38" s="1"/>
  <c r="Y7"/>
  <c r="T13"/>
  <c r="T16" s="1"/>
  <c r="T28" s="1"/>
  <c r="T30" s="1"/>
  <c r="T38" s="1"/>
  <c r="Y9"/>
  <c r="Y8"/>
  <c r="H13"/>
  <c r="H16" s="1"/>
  <c r="H28" s="1"/>
  <c r="H30" s="1"/>
  <c r="H38" s="1"/>
  <c r="Y10"/>
  <c r="Y11"/>
  <c r="Y12"/>
  <c r="P13"/>
  <c r="P16" s="1"/>
  <c r="P28" s="1"/>
  <c r="P30" s="1"/>
  <c r="P38" s="1"/>
  <c r="Y6"/>
  <c r="Y5"/>
  <c r="Y16" l="1"/>
  <c r="Y28" s="1"/>
  <c r="Y30" s="1"/>
  <c r="Y38" s="1"/>
  <c r="Y13"/>
  <c r="AC7" s="1"/>
  <c r="AC9" s="1"/>
  <c r="AC18" s="1"/>
  <c r="AK11" i="83" l="1"/>
  <c r="AF44"/>
  <c r="AL37" l="1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AL37" i="82"/>
  <c r="AF37"/>
  <c r="AC8" s="1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Y10" s="1"/>
  <c r="D10"/>
  <c r="AK9"/>
  <c r="X9"/>
  <c r="T9"/>
  <c r="P9"/>
  <c r="L9"/>
  <c r="H9"/>
  <c r="D9"/>
  <c r="AK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T13" s="1"/>
  <c r="T16" s="1"/>
  <c r="T28" s="1"/>
  <c r="T30" s="1"/>
  <c r="T38" s="1"/>
  <c r="P5"/>
  <c r="L5"/>
  <c r="H5"/>
  <c r="D5"/>
  <c r="D13" s="1"/>
  <c r="D16" s="1"/>
  <c r="T13" i="83" l="1"/>
  <c r="T16" s="1"/>
  <c r="T28" s="1"/>
  <c r="T30" s="1"/>
  <c r="T38" s="1"/>
  <c r="AK14"/>
  <c r="L13"/>
  <c r="L16" s="1"/>
  <c r="L28" s="1"/>
  <c r="L30" s="1"/>
  <c r="L38" s="1"/>
  <c r="Y9"/>
  <c r="Y8"/>
  <c r="H13"/>
  <c r="H16" s="1"/>
  <c r="H28" s="1"/>
  <c r="H30" s="1"/>
  <c r="H38" s="1"/>
  <c r="D13"/>
  <c r="D16" s="1"/>
  <c r="Y12"/>
  <c r="Y11"/>
  <c r="Y10"/>
  <c r="P13"/>
  <c r="P16" s="1"/>
  <c r="P28" s="1"/>
  <c r="P30" s="1"/>
  <c r="P38" s="1"/>
  <c r="Y7"/>
  <c r="Y37"/>
  <c r="D28"/>
  <c r="D30" s="1"/>
  <c r="D38" s="1"/>
  <c r="Y6"/>
  <c r="Y5"/>
  <c r="L13" i="82"/>
  <c r="L16" s="1"/>
  <c r="L28" s="1"/>
  <c r="L30" s="1"/>
  <c r="L38" s="1"/>
  <c r="Y6"/>
  <c r="Y8"/>
  <c r="Y37"/>
  <c r="Y7"/>
  <c r="Y11"/>
  <c r="Y12"/>
  <c r="P13"/>
  <c r="P16" s="1"/>
  <c r="P28" s="1"/>
  <c r="P30" s="1"/>
  <c r="P38" s="1"/>
  <c r="AK14"/>
  <c r="D28"/>
  <c r="D30" s="1"/>
  <c r="D38" s="1"/>
  <c r="Y9"/>
  <c r="H13"/>
  <c r="H16" s="1"/>
  <c r="H28" s="1"/>
  <c r="H30" s="1"/>
  <c r="H38" s="1"/>
  <c r="Y5"/>
  <c r="AL42" i="81"/>
  <c r="Y16" i="83" l="1"/>
  <c r="Y28" s="1"/>
  <c r="Y30" s="1"/>
  <c r="Y38" s="1"/>
  <c r="Y13"/>
  <c r="AC7" s="1"/>
  <c r="AC9" s="1"/>
  <c r="AC18" s="1"/>
  <c r="Y16" i="82"/>
  <c r="Y28" s="1"/>
  <c r="Y30" s="1"/>
  <c r="Y38" s="1"/>
  <c r="Y13"/>
  <c r="AC7" s="1"/>
  <c r="AC9" s="1"/>
  <c r="AC18" s="1"/>
  <c r="AF37" i="81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Y8" s="1"/>
  <c r="AK7"/>
  <c r="X7"/>
  <c r="T7"/>
  <c r="P7"/>
  <c r="L7"/>
  <c r="H7"/>
  <c r="D7"/>
  <c r="AK6"/>
  <c r="X6"/>
  <c r="T6"/>
  <c r="P6"/>
  <c r="L6"/>
  <c r="H6"/>
  <c r="D6"/>
  <c r="X5"/>
  <c r="T5"/>
  <c r="T13" s="1"/>
  <c r="T16" s="1"/>
  <c r="T28" s="1"/>
  <c r="T30" s="1"/>
  <c r="T38" s="1"/>
  <c r="P5"/>
  <c r="L5"/>
  <c r="H5"/>
  <c r="D5"/>
  <c r="AL37" i="80"/>
  <c r="AF37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T13" s="1"/>
  <c r="T16" s="1"/>
  <c r="T28" s="1"/>
  <c r="T30" s="1"/>
  <c r="T38" s="1"/>
  <c r="P5"/>
  <c r="L5"/>
  <c r="H5"/>
  <c r="D5"/>
  <c r="AK14" i="81" l="1"/>
  <c r="D13"/>
  <c r="D16" s="1"/>
  <c r="D28" s="1"/>
  <c r="D30" s="1"/>
  <c r="D38" s="1"/>
  <c r="Y10"/>
  <c r="Y37"/>
  <c r="L13"/>
  <c r="L16" s="1"/>
  <c r="L28" s="1"/>
  <c r="L30" s="1"/>
  <c r="L38" s="1"/>
  <c r="Y6"/>
  <c r="Y7"/>
  <c r="Y11"/>
  <c r="Y12"/>
  <c r="P13"/>
  <c r="P16" s="1"/>
  <c r="P28" s="1"/>
  <c r="P30" s="1"/>
  <c r="P38" s="1"/>
  <c r="Y37" i="80"/>
  <c r="Y9" i="81"/>
  <c r="H13"/>
  <c r="H16" s="1"/>
  <c r="H28" s="1"/>
  <c r="H30" s="1"/>
  <c r="H38" s="1"/>
  <c r="Y5"/>
  <c r="Y6" i="80"/>
  <c r="P13"/>
  <c r="P16" s="1"/>
  <c r="P28" s="1"/>
  <c r="P30" s="1"/>
  <c r="P38" s="1"/>
  <c r="Y12"/>
  <c r="Y8"/>
  <c r="Y7"/>
  <c r="L13"/>
  <c r="L16" s="1"/>
  <c r="L28" s="1"/>
  <c r="L30" s="1"/>
  <c r="L38" s="1"/>
  <c r="Y11"/>
  <c r="Y10"/>
  <c r="D13"/>
  <c r="D16" s="1"/>
  <c r="D28" s="1"/>
  <c r="D30" s="1"/>
  <c r="D38" s="1"/>
  <c r="AK14"/>
  <c r="Y9"/>
  <c r="H13"/>
  <c r="H16" s="1"/>
  <c r="H28" s="1"/>
  <c r="H30" s="1"/>
  <c r="H38" s="1"/>
  <c r="Y5"/>
  <c r="AL37" i="79"/>
  <c r="AF37"/>
  <c r="AC8" s="1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Y16" i="81" l="1"/>
  <c r="Y28" s="1"/>
  <c r="Y30" s="1"/>
  <c r="Y38" s="1"/>
  <c r="Y13"/>
  <c r="AC7" s="1"/>
  <c r="AC9" s="1"/>
  <c r="AC18" s="1"/>
  <c r="Y16" i="80"/>
  <c r="Y28" s="1"/>
  <c r="Y30" s="1"/>
  <c r="Y38" s="1"/>
  <c r="Y13"/>
  <c r="AC7" s="1"/>
  <c r="AC9" s="1"/>
  <c r="AC18" s="1"/>
  <c r="AK14" i="79"/>
  <c r="L13"/>
  <c r="L16" s="1"/>
  <c r="L28" s="1"/>
  <c r="L30" s="1"/>
  <c r="L38" s="1"/>
  <c r="Y6"/>
  <c r="H13"/>
  <c r="H16" s="1"/>
  <c r="H28" s="1"/>
  <c r="H30" s="1"/>
  <c r="H38" s="1"/>
  <c r="Y37"/>
  <c r="Y12"/>
  <c r="Y11"/>
  <c r="Y10"/>
  <c r="Y9"/>
  <c r="Y8"/>
  <c r="P13"/>
  <c r="P16" s="1"/>
  <c r="P28" s="1"/>
  <c r="P30" s="1"/>
  <c r="P38" s="1"/>
  <c r="Y7"/>
  <c r="T13"/>
  <c r="T16" s="1"/>
  <c r="T28" s="1"/>
  <c r="T30" s="1"/>
  <c r="T38" s="1"/>
  <c r="Y5"/>
  <c r="D13"/>
  <c r="D16" s="1"/>
  <c r="AL37" i="78"/>
  <c r="AF37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T13" s="1"/>
  <c r="T16" s="1"/>
  <c r="T28" s="1"/>
  <c r="T30" s="1"/>
  <c r="T38" s="1"/>
  <c r="P5"/>
  <c r="L5"/>
  <c r="H5"/>
  <c r="D5"/>
  <c r="D13" s="1"/>
  <c r="D16" s="1"/>
  <c r="Y13" i="79" l="1"/>
  <c r="AC7" s="1"/>
  <c r="AC9" s="1"/>
  <c r="AC18" s="1"/>
  <c r="Y16"/>
  <c r="Y28" s="1"/>
  <c r="Y30" s="1"/>
  <c r="Y38" s="1"/>
  <c r="D28"/>
  <c r="D30" s="1"/>
  <c r="D38" s="1"/>
  <c r="AK14" i="78"/>
  <c r="Y10"/>
  <c r="L13"/>
  <c r="L16" s="1"/>
  <c r="L28" s="1"/>
  <c r="L30" s="1"/>
  <c r="L38" s="1"/>
  <c r="Y8"/>
  <c r="Y37"/>
  <c r="Y6"/>
  <c r="Y7"/>
  <c r="Y12"/>
  <c r="P13"/>
  <c r="P16" s="1"/>
  <c r="P28" s="1"/>
  <c r="P30" s="1"/>
  <c r="P38" s="1"/>
  <c r="Y11"/>
  <c r="D28"/>
  <c r="D30" s="1"/>
  <c r="D38" s="1"/>
  <c r="Y9"/>
  <c r="H13"/>
  <c r="H16" s="1"/>
  <c r="H28" s="1"/>
  <c r="H30" s="1"/>
  <c r="H38" s="1"/>
  <c r="Y5"/>
  <c r="AL37" i="77"/>
  <c r="AF37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Y10" s="1"/>
  <c r="D10"/>
  <c r="AK9"/>
  <c r="X9"/>
  <c r="T9"/>
  <c r="P9"/>
  <c r="L9"/>
  <c r="H9"/>
  <c r="D9"/>
  <c r="AK8"/>
  <c r="AC8"/>
  <c r="X8"/>
  <c r="T8"/>
  <c r="P8"/>
  <c r="L8"/>
  <c r="H8"/>
  <c r="D8"/>
  <c r="AK7"/>
  <c r="X7"/>
  <c r="T7"/>
  <c r="P7"/>
  <c r="L7"/>
  <c r="H7"/>
  <c r="D7"/>
  <c r="Y7" s="1"/>
  <c r="AK6"/>
  <c r="X6"/>
  <c r="T6"/>
  <c r="P6"/>
  <c r="L6"/>
  <c r="H6"/>
  <c r="D6"/>
  <c r="X5"/>
  <c r="T5"/>
  <c r="P5"/>
  <c r="L5"/>
  <c r="H5"/>
  <c r="D5"/>
  <c r="D13" s="1"/>
  <c r="D16" s="1"/>
  <c r="Y16" i="78" l="1"/>
  <c r="Y28" s="1"/>
  <c r="Y30" s="1"/>
  <c r="Y38" s="1"/>
  <c r="Y13"/>
  <c r="AC7" s="1"/>
  <c r="AC9" s="1"/>
  <c r="AC18" s="1"/>
  <c r="AK14" i="77"/>
  <c r="Y9"/>
  <c r="L13"/>
  <c r="L16" s="1"/>
  <c r="L28" s="1"/>
  <c r="L30" s="1"/>
  <c r="L38" s="1"/>
  <c r="Y37"/>
  <c r="T13"/>
  <c r="T16" s="1"/>
  <c r="T28" s="1"/>
  <c r="T30" s="1"/>
  <c r="T38" s="1"/>
  <c r="Y12"/>
  <c r="Y11"/>
  <c r="Y8"/>
  <c r="Y6"/>
  <c r="P13"/>
  <c r="P16" s="1"/>
  <c r="P28" s="1"/>
  <c r="P30" s="1"/>
  <c r="P38" s="1"/>
  <c r="D28"/>
  <c r="D30" s="1"/>
  <c r="D38" s="1"/>
  <c r="H13"/>
  <c r="H16" s="1"/>
  <c r="H28" s="1"/>
  <c r="H30" s="1"/>
  <c r="H38" s="1"/>
  <c r="Y5"/>
  <c r="AL37" i="76"/>
  <c r="AF37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Y8" s="1"/>
  <c r="AK7"/>
  <c r="X7"/>
  <c r="T7"/>
  <c r="P7"/>
  <c r="L7"/>
  <c r="H7"/>
  <c r="D7"/>
  <c r="AK6"/>
  <c r="X6"/>
  <c r="T6"/>
  <c r="P6"/>
  <c r="L6"/>
  <c r="H6"/>
  <c r="D6"/>
  <c r="X5"/>
  <c r="T5"/>
  <c r="T13" s="1"/>
  <c r="T16" s="1"/>
  <c r="T28" s="1"/>
  <c r="T30" s="1"/>
  <c r="T38" s="1"/>
  <c r="P5"/>
  <c r="L5"/>
  <c r="H5"/>
  <c r="D5"/>
  <c r="Y13" i="77" l="1"/>
  <c r="AC7" s="1"/>
  <c r="AC9" s="1"/>
  <c r="AC18" s="1"/>
  <c r="Y16"/>
  <c r="Y28" s="1"/>
  <c r="Y30" s="1"/>
  <c r="Y38" s="1"/>
  <c r="AK14" i="76"/>
  <c r="Y7"/>
  <c r="P13"/>
  <c r="P16" s="1"/>
  <c r="P28" s="1"/>
  <c r="P30" s="1"/>
  <c r="P38" s="1"/>
  <c r="D13"/>
  <c r="D16" s="1"/>
  <c r="D28" s="1"/>
  <c r="D30" s="1"/>
  <c r="D38" s="1"/>
  <c r="Y10"/>
  <c r="Y37"/>
  <c r="Y12"/>
  <c r="Y11"/>
  <c r="L13"/>
  <c r="L16" s="1"/>
  <c r="L28" s="1"/>
  <c r="L30" s="1"/>
  <c r="L38" s="1"/>
  <c r="Y6"/>
  <c r="Y9"/>
  <c r="H13"/>
  <c r="H16" s="1"/>
  <c r="H28" s="1"/>
  <c r="H30" s="1"/>
  <c r="H38" s="1"/>
  <c r="Y5"/>
  <c r="AL43" i="75"/>
  <c r="Y13" i="76" l="1"/>
  <c r="AC7" s="1"/>
  <c r="AC9" s="1"/>
  <c r="AC18" s="1"/>
  <c r="Y16"/>
  <c r="Y28" s="1"/>
  <c r="Y30" s="1"/>
  <c r="Y38" s="1"/>
  <c r="AF37" i="75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Y10" l="1"/>
  <c r="Y7"/>
  <c r="Y6"/>
  <c r="Y9"/>
  <c r="T13"/>
  <c r="T16" s="1"/>
  <c r="T28" s="1"/>
  <c r="T30" s="1"/>
  <c r="T38" s="1"/>
  <c r="H13"/>
  <c r="H16" s="1"/>
  <c r="H28" s="1"/>
  <c r="H30" s="1"/>
  <c r="H38" s="1"/>
  <c r="Y8"/>
  <c r="Y12"/>
  <c r="L13"/>
  <c r="L16" s="1"/>
  <c r="L28" s="1"/>
  <c r="L30" s="1"/>
  <c r="L38" s="1"/>
  <c r="AK14"/>
  <c r="P13"/>
  <c r="P16" s="1"/>
  <c r="P28" s="1"/>
  <c r="P30" s="1"/>
  <c r="P38" s="1"/>
  <c r="Y11"/>
  <c r="Y37"/>
  <c r="Y5"/>
  <c r="D13"/>
  <c r="D16" s="1"/>
  <c r="Y13" l="1"/>
  <c r="AC7" s="1"/>
  <c r="AC9" s="1"/>
  <c r="AC18" s="1"/>
  <c r="Y16"/>
  <c r="Y28" s="1"/>
  <c r="Y30" s="1"/>
  <c r="Y38" s="1"/>
  <c r="D28"/>
  <c r="D30" s="1"/>
  <c r="D38" s="1"/>
  <c r="AL37" i="74" l="1"/>
  <c r="AF37"/>
  <c r="AC8" s="1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AL37" i="73"/>
  <c r="AF37"/>
  <c r="AC8" s="1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X8"/>
  <c r="T8"/>
  <c r="P8"/>
  <c r="L8"/>
  <c r="H8"/>
  <c r="D8"/>
  <c r="AK7"/>
  <c r="X7"/>
  <c r="T7"/>
  <c r="P7"/>
  <c r="L7"/>
  <c r="H7"/>
  <c r="D7"/>
  <c r="AK6"/>
  <c r="X6"/>
  <c r="T6"/>
  <c r="T13" s="1"/>
  <c r="T16" s="1"/>
  <c r="T28" s="1"/>
  <c r="T30" s="1"/>
  <c r="T38" s="1"/>
  <c r="P6"/>
  <c r="L6"/>
  <c r="H6"/>
  <c r="D6"/>
  <c r="X5"/>
  <c r="T5"/>
  <c r="P5"/>
  <c r="L5"/>
  <c r="H5"/>
  <c r="D5"/>
  <c r="AL37" i="72"/>
  <c r="AF37"/>
  <c r="T37"/>
  <c r="P37"/>
  <c r="L37"/>
  <c r="H37"/>
  <c r="D37"/>
  <c r="Y36"/>
  <c r="Y35"/>
  <c r="Y34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AF37" i="16"/>
  <c r="AL37"/>
  <c r="T37" i="71"/>
  <c r="P37"/>
  <c r="L37"/>
  <c r="H37"/>
  <c r="D37"/>
  <c r="Y36"/>
  <c r="Y35"/>
  <c r="Y34"/>
  <c r="AL31"/>
  <c r="AF31"/>
  <c r="AC8" s="1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Y37" i="74" l="1"/>
  <c r="Y5" i="71"/>
  <c r="Y8"/>
  <c r="T13" i="72"/>
  <c r="T16" s="1"/>
  <c r="T28" s="1"/>
  <c r="T30" s="1"/>
  <c r="T38" s="1"/>
  <c r="Y5" i="74"/>
  <c r="Y8"/>
  <c r="AK14"/>
  <c r="Y12"/>
  <c r="Y11"/>
  <c r="Y9"/>
  <c r="H13"/>
  <c r="H16" s="1"/>
  <c r="H28" s="1"/>
  <c r="H30" s="1"/>
  <c r="H38" s="1"/>
  <c r="P13"/>
  <c r="P16" s="1"/>
  <c r="P28" s="1"/>
  <c r="P30" s="1"/>
  <c r="P38" s="1"/>
  <c r="Y7"/>
  <c r="D13"/>
  <c r="D16" s="1"/>
  <c r="D28" s="1"/>
  <c r="D30" s="1"/>
  <c r="D38" s="1"/>
  <c r="Y6"/>
  <c r="T13"/>
  <c r="T16" s="1"/>
  <c r="T28" s="1"/>
  <c r="T30" s="1"/>
  <c r="T38" s="1"/>
  <c r="Y10"/>
  <c r="L13"/>
  <c r="L16" s="1"/>
  <c r="L28" s="1"/>
  <c r="L30" s="1"/>
  <c r="L38" s="1"/>
  <c r="AK14" i="73"/>
  <c r="L13"/>
  <c r="L16" s="1"/>
  <c r="L28" s="1"/>
  <c r="L30" s="1"/>
  <c r="L38" s="1"/>
  <c r="Y11"/>
  <c r="H13"/>
  <c r="H16" s="1"/>
  <c r="H28" s="1"/>
  <c r="H30" s="1"/>
  <c r="H38" s="1"/>
  <c r="Y37"/>
  <c r="Y8"/>
  <c r="Y12"/>
  <c r="P13"/>
  <c r="P16" s="1"/>
  <c r="P28" s="1"/>
  <c r="P30" s="1"/>
  <c r="P38" s="1"/>
  <c r="Y10"/>
  <c r="Y9"/>
  <c r="Y7"/>
  <c r="Y6"/>
  <c r="Y5"/>
  <c r="D13"/>
  <c r="D16" s="1"/>
  <c r="AK14" i="72"/>
  <c r="P13"/>
  <c r="P16" s="1"/>
  <c r="P28" s="1"/>
  <c r="P30" s="1"/>
  <c r="P38" s="1"/>
  <c r="Y9"/>
  <c r="Y8"/>
  <c r="Y37"/>
  <c r="H13"/>
  <c r="H16" s="1"/>
  <c r="H28" s="1"/>
  <c r="H30" s="1"/>
  <c r="H38" s="1"/>
  <c r="Y12"/>
  <c r="Y11"/>
  <c r="Y10"/>
  <c r="Y7"/>
  <c r="D13"/>
  <c r="D16" s="1"/>
  <c r="D28" s="1"/>
  <c r="D30" s="1"/>
  <c r="D38" s="1"/>
  <c r="Y6"/>
  <c r="L13"/>
  <c r="L16" s="1"/>
  <c r="L28" s="1"/>
  <c r="L30" s="1"/>
  <c r="L38" s="1"/>
  <c r="Y5"/>
  <c r="AK14" i="71"/>
  <c r="H13"/>
  <c r="H16" s="1"/>
  <c r="H28" s="1"/>
  <c r="H30" s="1"/>
  <c r="H38" s="1"/>
  <c r="Y7"/>
  <c r="Y6"/>
  <c r="Y12"/>
  <c r="Y10"/>
  <c r="Y9"/>
  <c r="P13"/>
  <c r="P16" s="1"/>
  <c r="P28" s="1"/>
  <c r="P30" s="1"/>
  <c r="P38" s="1"/>
  <c r="Y37"/>
  <c r="Y11"/>
  <c r="T13"/>
  <c r="T16" s="1"/>
  <c r="T28" s="1"/>
  <c r="T30" s="1"/>
  <c r="T38" s="1"/>
  <c r="L13"/>
  <c r="L16" s="1"/>
  <c r="L28" s="1"/>
  <c r="L30" s="1"/>
  <c r="L38" s="1"/>
  <c r="D13"/>
  <c r="D16" s="1"/>
  <c r="AL33" i="70"/>
  <c r="Y13" i="74" l="1"/>
  <c r="AC7" s="1"/>
  <c r="AC9" s="1"/>
  <c r="AC18" s="1"/>
  <c r="Y16"/>
  <c r="Y28" s="1"/>
  <c r="Y30" s="1"/>
  <c r="Y38" s="1"/>
  <c r="Y13" i="73"/>
  <c r="AC7" s="1"/>
  <c r="AC9" s="1"/>
  <c r="AC18" s="1"/>
  <c r="Y16"/>
  <c r="Y28" s="1"/>
  <c r="Y30" s="1"/>
  <c r="Y38" s="1"/>
  <c r="D28"/>
  <c r="D30" s="1"/>
  <c r="D38" s="1"/>
  <c r="Y13" i="72"/>
  <c r="AC7" s="1"/>
  <c r="AC9" s="1"/>
  <c r="AC18" s="1"/>
  <c r="Y16"/>
  <c r="Y28" s="1"/>
  <c r="Y30" s="1"/>
  <c r="Y38" s="1"/>
  <c r="Y13" i="71"/>
  <c r="AC7" s="1"/>
  <c r="AC9" s="1"/>
  <c r="AC18" s="1"/>
  <c r="Y16"/>
  <c r="Y28" s="1"/>
  <c r="Y30" s="1"/>
  <c r="Y38" s="1"/>
  <c r="D28"/>
  <c r="D30" s="1"/>
  <c r="D38" s="1"/>
  <c r="T37" i="70"/>
  <c r="P37"/>
  <c r="L37"/>
  <c r="H37"/>
  <c r="D37"/>
  <c r="Y36"/>
  <c r="Y35"/>
  <c r="Y34"/>
  <c r="AF31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Y5" l="1"/>
  <c r="T13"/>
  <c r="T16" s="1"/>
  <c r="T28" s="1"/>
  <c r="T30" s="1"/>
  <c r="T38" s="1"/>
  <c r="AK14"/>
  <c r="Y7"/>
  <c r="Y37"/>
  <c r="Y11"/>
  <c r="D13"/>
  <c r="D16" s="1"/>
  <c r="Y12"/>
  <c r="Y10"/>
  <c r="H13"/>
  <c r="H16" s="1"/>
  <c r="H28" s="1"/>
  <c r="H30" s="1"/>
  <c r="H38" s="1"/>
  <c r="Y6"/>
  <c r="Y8"/>
  <c r="P13"/>
  <c r="P16" s="1"/>
  <c r="P28" s="1"/>
  <c r="P30" s="1"/>
  <c r="P38" s="1"/>
  <c r="Y9"/>
  <c r="D28"/>
  <c r="D30" s="1"/>
  <c r="D38" s="1"/>
  <c r="L13"/>
  <c r="L16" s="1"/>
  <c r="L28" s="1"/>
  <c r="L30" s="1"/>
  <c r="L38" s="1"/>
  <c r="AL42" i="69"/>
  <c r="Y13" i="70" l="1"/>
  <c r="AC7" s="1"/>
  <c r="AC9" s="1"/>
  <c r="AC18" s="1"/>
  <c r="Y16"/>
  <c r="Y28" s="1"/>
  <c r="Y30" s="1"/>
  <c r="Y38" s="1"/>
  <c r="T36" i="69"/>
  <c r="P36"/>
  <c r="L36"/>
  <c r="H36"/>
  <c r="D36"/>
  <c r="Y35"/>
  <c r="Y34"/>
  <c r="Y33"/>
  <c r="AF30"/>
  <c r="AC7" s="1"/>
  <c r="Y26"/>
  <c r="Y25"/>
  <c r="Y24"/>
  <c r="Y23"/>
  <c r="Y22"/>
  <c r="Y21"/>
  <c r="Y20"/>
  <c r="Y19"/>
  <c r="Y18"/>
  <c r="Y17"/>
  <c r="AC16"/>
  <c r="Y16"/>
  <c r="Y14"/>
  <c r="AK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AK5"/>
  <c r="X5"/>
  <c r="T5"/>
  <c r="P5"/>
  <c r="L5"/>
  <c r="H5"/>
  <c r="D5"/>
  <c r="X4"/>
  <c r="T4"/>
  <c r="T12" s="1"/>
  <c r="T15" s="1"/>
  <c r="T27" s="1"/>
  <c r="T29" s="1"/>
  <c r="T37" s="1"/>
  <c r="P4"/>
  <c r="L4"/>
  <c r="H4"/>
  <c r="D4"/>
  <c r="Y9" l="1"/>
  <c r="Y10"/>
  <c r="Y4"/>
  <c r="AK13"/>
  <c r="Y6"/>
  <c r="Y36"/>
  <c r="Y7"/>
  <c r="D12"/>
  <c r="D15" s="1"/>
  <c r="D27" s="1"/>
  <c r="D29" s="1"/>
  <c r="D37" s="1"/>
  <c r="Y11"/>
  <c r="Y8"/>
  <c r="H12"/>
  <c r="H15" s="1"/>
  <c r="H27" s="1"/>
  <c r="H29" s="1"/>
  <c r="H37" s="1"/>
  <c r="Y5"/>
  <c r="L12"/>
  <c r="L15" s="1"/>
  <c r="L27" s="1"/>
  <c r="L29" s="1"/>
  <c r="L37" s="1"/>
  <c r="P12"/>
  <c r="P15" s="1"/>
  <c r="P27" s="1"/>
  <c r="P29" s="1"/>
  <c r="P37" s="1"/>
  <c r="AL36" i="68"/>
  <c r="Y12" i="69" l="1"/>
  <c r="AC6" s="1"/>
  <c r="AC8" s="1"/>
  <c r="AC17" s="1"/>
  <c r="Y15"/>
  <c r="Y27" s="1"/>
  <c r="Y29" s="1"/>
  <c r="Y37" s="1"/>
  <c r="T36" i="68"/>
  <c r="P36"/>
  <c r="L36"/>
  <c r="H36"/>
  <c r="D36"/>
  <c r="Y35"/>
  <c r="Y34"/>
  <c r="Y33"/>
  <c r="AF30"/>
  <c r="AC7" s="1"/>
  <c r="Y26"/>
  <c r="Y25"/>
  <c r="Y24"/>
  <c r="Y23"/>
  <c r="Y22"/>
  <c r="Y21"/>
  <c r="Y20"/>
  <c r="Y19"/>
  <c r="Y18"/>
  <c r="Y17"/>
  <c r="AC16"/>
  <c r="Y16"/>
  <c r="Y14"/>
  <c r="AK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AK5"/>
  <c r="X5"/>
  <c r="T5"/>
  <c r="P5"/>
  <c r="L5"/>
  <c r="H5"/>
  <c r="D5"/>
  <c r="X4"/>
  <c r="T4"/>
  <c r="P4"/>
  <c r="L4"/>
  <c r="H4"/>
  <c r="D4"/>
  <c r="Y4" s="1"/>
  <c r="Y10" l="1"/>
  <c r="AK13"/>
  <c r="H12"/>
  <c r="H15" s="1"/>
  <c r="H27" s="1"/>
  <c r="H29" s="1"/>
  <c r="H37" s="1"/>
  <c r="Y6"/>
  <c r="Y9"/>
  <c r="L12"/>
  <c r="L15" s="1"/>
  <c r="L27" s="1"/>
  <c r="L29" s="1"/>
  <c r="L37" s="1"/>
  <c r="P12"/>
  <c r="P15" s="1"/>
  <c r="P27" s="1"/>
  <c r="P29" s="1"/>
  <c r="P37" s="1"/>
  <c r="Y11"/>
  <c r="Y36"/>
  <c r="Y8"/>
  <c r="T12"/>
  <c r="T15" s="1"/>
  <c r="T27" s="1"/>
  <c r="T29" s="1"/>
  <c r="T37" s="1"/>
  <c r="Y7"/>
  <c r="Y5"/>
  <c r="D12"/>
  <c r="D15" s="1"/>
  <c r="X11" i="61"/>
  <c r="Y12" i="68" l="1"/>
  <c r="AC6" s="1"/>
  <c r="AC8" s="1"/>
  <c r="AC17" s="1"/>
  <c r="Y15"/>
  <c r="Y27" s="1"/>
  <c r="Y29" s="1"/>
  <c r="Y37" s="1"/>
  <c r="D27"/>
  <c r="D29" s="1"/>
  <c r="D37" s="1"/>
  <c r="AL34" i="65"/>
  <c r="AK13"/>
  <c r="AK12"/>
  <c r="AK11"/>
  <c r="AK10"/>
  <c r="AK9"/>
  <c r="AK8"/>
  <c r="AK7"/>
  <c r="AK6"/>
  <c r="AK14" l="1"/>
  <c r="AL42" i="63" l="1"/>
  <c r="AL39" i="62" l="1"/>
  <c r="T37" i="67" l="1"/>
  <c r="P37"/>
  <c r="L37"/>
  <c r="H37"/>
  <c r="D37"/>
  <c r="Y36"/>
  <c r="Y35"/>
  <c r="Y34"/>
  <c r="AL31"/>
  <c r="AF31"/>
  <c r="AC8" s="1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T37" i="66"/>
  <c r="P37"/>
  <c r="L37"/>
  <c r="H37"/>
  <c r="D37"/>
  <c r="Y36"/>
  <c r="Y35"/>
  <c r="Y34"/>
  <c r="AL31"/>
  <c r="AF31"/>
  <c r="AC8" s="1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T37" i="65"/>
  <c r="P37"/>
  <c r="L37"/>
  <c r="H37"/>
  <c r="D37"/>
  <c r="Y36"/>
  <c r="Y35"/>
  <c r="Y34"/>
  <c r="AF31"/>
  <c r="AC8" s="1"/>
  <c r="Y27"/>
  <c r="Y26"/>
  <c r="Y25"/>
  <c r="Y24"/>
  <c r="Y23"/>
  <c r="Y22"/>
  <c r="Y21"/>
  <c r="Y20"/>
  <c r="Y19"/>
  <c r="Y18"/>
  <c r="AC17"/>
  <c r="Y17"/>
  <c r="Y15"/>
  <c r="X12"/>
  <c r="T12"/>
  <c r="P12"/>
  <c r="L12"/>
  <c r="H12"/>
  <c r="D12"/>
  <c r="X11"/>
  <c r="T11"/>
  <c r="P11"/>
  <c r="L11"/>
  <c r="H11"/>
  <c r="D11"/>
  <c r="X10"/>
  <c r="T10"/>
  <c r="P10"/>
  <c r="L10"/>
  <c r="H10"/>
  <c r="D10"/>
  <c r="X9"/>
  <c r="T9"/>
  <c r="P9"/>
  <c r="L9"/>
  <c r="H9"/>
  <c r="D9"/>
  <c r="X8"/>
  <c r="T8"/>
  <c r="P8"/>
  <c r="L8"/>
  <c r="H8"/>
  <c r="D8"/>
  <c r="X7"/>
  <c r="T7"/>
  <c r="P7"/>
  <c r="L7"/>
  <c r="H7"/>
  <c r="D7"/>
  <c r="X6"/>
  <c r="T6"/>
  <c r="P6"/>
  <c r="L6"/>
  <c r="H6"/>
  <c r="D6"/>
  <c r="X5"/>
  <c r="T5"/>
  <c r="P5"/>
  <c r="L5"/>
  <c r="H5"/>
  <c r="D5"/>
  <c r="T37" i="64"/>
  <c r="P37"/>
  <c r="L37"/>
  <c r="H37"/>
  <c r="D37"/>
  <c r="Y36"/>
  <c r="Y35"/>
  <c r="Y34"/>
  <c r="AL31"/>
  <c r="AF31"/>
  <c r="AC8" s="1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T37" i="63"/>
  <c r="P37"/>
  <c r="L37"/>
  <c r="H37"/>
  <c r="D37"/>
  <c r="Y36"/>
  <c r="Y35"/>
  <c r="Y34"/>
  <c r="AF31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Y37" i="64" l="1"/>
  <c r="Y37" i="63"/>
  <c r="Y11" i="67"/>
  <c r="Y9"/>
  <c r="P13"/>
  <c r="P16" s="1"/>
  <c r="P28" s="1"/>
  <c r="P30" s="1"/>
  <c r="P38" s="1"/>
  <c r="Y6"/>
  <c r="Y6" i="66"/>
  <c r="T13" i="64"/>
  <c r="T16" s="1"/>
  <c r="T28" s="1"/>
  <c r="T30" s="1"/>
  <c r="T38" s="1"/>
  <c r="D13" i="67"/>
  <c r="D16" s="1"/>
  <c r="D28" s="1"/>
  <c r="D30" s="1"/>
  <c r="D38" s="1"/>
  <c r="Y37"/>
  <c r="Y12" i="66"/>
  <c r="L13" i="67"/>
  <c r="L16" s="1"/>
  <c r="L28" s="1"/>
  <c r="L30" s="1"/>
  <c r="L38" s="1"/>
  <c r="Y12"/>
  <c r="T13"/>
  <c r="T16" s="1"/>
  <c r="T28" s="1"/>
  <c r="T30" s="1"/>
  <c r="T38" s="1"/>
  <c r="AK14"/>
  <c r="Y8"/>
  <c r="H13"/>
  <c r="H16" s="1"/>
  <c r="H28" s="1"/>
  <c r="H30" s="1"/>
  <c r="H38" s="1"/>
  <c r="L13" i="66"/>
  <c r="L16" s="1"/>
  <c r="L28" s="1"/>
  <c r="L30" s="1"/>
  <c r="L38" s="1"/>
  <c r="Y12" i="64"/>
  <c r="Y5" i="65"/>
  <c r="Y7" i="67"/>
  <c r="D13" i="64"/>
  <c r="D16" s="1"/>
  <c r="L13"/>
  <c r="L16" s="1"/>
  <c r="L28" s="1"/>
  <c r="L30" s="1"/>
  <c r="L38" s="1"/>
  <c r="AK14" i="66"/>
  <c r="T13"/>
  <c r="T16" s="1"/>
  <c r="T28" s="1"/>
  <c r="T30" s="1"/>
  <c r="T38" s="1"/>
  <c r="Y37"/>
  <c r="P13"/>
  <c r="P16" s="1"/>
  <c r="P28" s="1"/>
  <c r="P30" s="1"/>
  <c r="P38" s="1"/>
  <c r="Y8"/>
  <c r="Y11"/>
  <c r="Y7"/>
  <c r="Y9"/>
  <c r="D13"/>
  <c r="D16" s="1"/>
  <c r="D28" s="1"/>
  <c r="D30" s="1"/>
  <c r="D38" s="1"/>
  <c r="Y10"/>
  <c r="T13" i="65"/>
  <c r="T16" s="1"/>
  <c r="T28" s="1"/>
  <c r="T30" s="1"/>
  <c r="T38" s="1"/>
  <c r="Y7"/>
  <c r="Y12"/>
  <c r="Y37"/>
  <c r="H13"/>
  <c r="H16" s="1"/>
  <c r="H28" s="1"/>
  <c r="H30" s="1"/>
  <c r="H38" s="1"/>
  <c r="Y11"/>
  <c r="P13"/>
  <c r="P16" s="1"/>
  <c r="P28" s="1"/>
  <c r="P30" s="1"/>
  <c r="P38" s="1"/>
  <c r="Y6"/>
  <c r="Y10"/>
  <c r="D13"/>
  <c r="D16" s="1"/>
  <c r="Y8"/>
  <c r="Y9"/>
  <c r="Y8" i="64"/>
  <c r="Y7"/>
  <c r="Y10"/>
  <c r="Y11"/>
  <c r="P13"/>
  <c r="P16" s="1"/>
  <c r="P28" s="1"/>
  <c r="P30" s="1"/>
  <c r="P38" s="1"/>
  <c r="Y6"/>
  <c r="H13"/>
  <c r="H16" s="1"/>
  <c r="H28" s="1"/>
  <c r="H30" s="1"/>
  <c r="H38" s="1"/>
  <c r="Y9"/>
  <c r="AK14"/>
  <c r="AK14" i="63"/>
  <c r="Y12"/>
  <c r="Y5"/>
  <c r="D13"/>
  <c r="D16" s="1"/>
  <c r="D28" s="1"/>
  <c r="D30" s="1"/>
  <c r="D38" s="1"/>
  <c r="T13"/>
  <c r="T16" s="1"/>
  <c r="T28" s="1"/>
  <c r="T30" s="1"/>
  <c r="T38" s="1"/>
  <c r="Y9"/>
  <c r="Y11"/>
  <c r="P13"/>
  <c r="P16" s="1"/>
  <c r="P28" s="1"/>
  <c r="P30" s="1"/>
  <c r="P38" s="1"/>
  <c r="Y10"/>
  <c r="Y8"/>
  <c r="Y7"/>
  <c r="H13"/>
  <c r="H16" s="1"/>
  <c r="H28" s="1"/>
  <c r="H30" s="1"/>
  <c r="H38" s="1"/>
  <c r="Y10" i="67"/>
  <c r="Y5"/>
  <c r="H13" i="66"/>
  <c r="H16" s="1"/>
  <c r="H28" s="1"/>
  <c r="H30" s="1"/>
  <c r="H38" s="1"/>
  <c r="Y5"/>
  <c r="D28" i="65"/>
  <c r="D30" s="1"/>
  <c r="D38" s="1"/>
  <c r="L13"/>
  <c r="L16" s="1"/>
  <c r="L28" s="1"/>
  <c r="L30" s="1"/>
  <c r="L38" s="1"/>
  <c r="D28" i="64"/>
  <c r="D30" s="1"/>
  <c r="D38" s="1"/>
  <c r="Y5"/>
  <c r="L13" i="63"/>
  <c r="L16" s="1"/>
  <c r="L28" s="1"/>
  <c r="L30" s="1"/>
  <c r="L38" s="1"/>
  <c r="Y6"/>
  <c r="Y16" i="67" l="1"/>
  <c r="Y28" s="1"/>
  <c r="Y30" s="1"/>
  <c r="Y38" s="1"/>
  <c r="Y13"/>
  <c r="AC7" s="1"/>
  <c r="AC9" s="1"/>
  <c r="AC18" s="1"/>
  <c r="Y13" i="66"/>
  <c r="AC7" s="1"/>
  <c r="AC9" s="1"/>
  <c r="AC18" s="1"/>
  <c r="Y13" i="65"/>
  <c r="AC7" s="1"/>
  <c r="AC9" s="1"/>
  <c r="AC18" s="1"/>
  <c r="Y16" i="64"/>
  <c r="Y28" s="1"/>
  <c r="Y30" s="1"/>
  <c r="Y38" s="1"/>
  <c r="Y13"/>
  <c r="AC7" s="1"/>
  <c r="AC9" s="1"/>
  <c r="AC18" s="1"/>
  <c r="Y13" i="63"/>
  <c r="AC7" s="1"/>
  <c r="AC9" s="1"/>
  <c r="AC18" s="1"/>
  <c r="Y16" i="66"/>
  <c r="Y28" s="1"/>
  <c r="Y30" s="1"/>
  <c r="Y38" s="1"/>
  <c r="Y16" i="65"/>
  <c r="Y28" s="1"/>
  <c r="Y30" s="1"/>
  <c r="Y38" s="1"/>
  <c r="Y16" i="63"/>
  <c r="Y28" s="1"/>
  <c r="Y30" s="1"/>
  <c r="Y38" s="1"/>
  <c r="AL35" i="60"/>
  <c r="T37" i="62" l="1"/>
  <c r="P37"/>
  <c r="L37"/>
  <c r="H37"/>
  <c r="D37"/>
  <c r="Y36"/>
  <c r="Y35"/>
  <c r="Y34"/>
  <c r="AF31"/>
  <c r="AC8" s="1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T37" i="61"/>
  <c r="P37"/>
  <c r="L37"/>
  <c r="H37"/>
  <c r="D37"/>
  <c r="Y36"/>
  <c r="Y35"/>
  <c r="Y34"/>
  <c r="AL31"/>
  <c r="AF31"/>
  <c r="AC8" s="1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AK14" i="62" l="1"/>
  <c r="Y8"/>
  <c r="L13"/>
  <c r="L16" s="1"/>
  <c r="L28" s="1"/>
  <c r="L30" s="1"/>
  <c r="L38" s="1"/>
  <c r="H13"/>
  <c r="H16" s="1"/>
  <c r="H28" s="1"/>
  <c r="H30" s="1"/>
  <c r="H38" s="1"/>
  <c r="T13"/>
  <c r="T16" s="1"/>
  <c r="T28" s="1"/>
  <c r="T30" s="1"/>
  <c r="T38" s="1"/>
  <c r="Y12"/>
  <c r="Y6"/>
  <c r="D13"/>
  <c r="D16" s="1"/>
  <c r="D28" s="1"/>
  <c r="D30" s="1"/>
  <c r="D38" s="1"/>
  <c r="Y37"/>
  <c r="Y7"/>
  <c r="Y9"/>
  <c r="P13"/>
  <c r="P16" s="1"/>
  <c r="P28" s="1"/>
  <c r="P30" s="1"/>
  <c r="P38" s="1"/>
  <c r="Y11"/>
  <c r="AK14" i="61"/>
  <c r="D13"/>
  <c r="D16" s="1"/>
  <c r="Y11"/>
  <c r="Y12"/>
  <c r="H13"/>
  <c r="H16" s="1"/>
  <c r="H28" s="1"/>
  <c r="H30" s="1"/>
  <c r="H38" s="1"/>
  <c r="Y6"/>
  <c r="Y10"/>
  <c r="T13"/>
  <c r="T16" s="1"/>
  <c r="T28" s="1"/>
  <c r="T30" s="1"/>
  <c r="T38" s="1"/>
  <c r="Y37"/>
  <c r="Y7"/>
  <c r="Y9"/>
  <c r="P13"/>
  <c r="P16" s="1"/>
  <c r="P28" s="1"/>
  <c r="P30" s="1"/>
  <c r="P38" s="1"/>
  <c r="Y8"/>
  <c r="Y10" i="62"/>
  <c r="Y5"/>
  <c r="D28" i="61"/>
  <c r="D30" s="1"/>
  <c r="D38" s="1"/>
  <c r="L13"/>
  <c r="L16" s="1"/>
  <c r="L28" s="1"/>
  <c r="L30" s="1"/>
  <c r="L38" s="1"/>
  <c r="Y5"/>
  <c r="AF40" i="59"/>
  <c r="Y16" i="62" l="1"/>
  <c r="Y28" s="1"/>
  <c r="Y30" s="1"/>
  <c r="Y38" s="1"/>
  <c r="Y13"/>
  <c r="AC7" s="1"/>
  <c r="AC9" s="1"/>
  <c r="AC18" s="1"/>
  <c r="Y13" i="61"/>
  <c r="AC7" s="1"/>
  <c r="AC9" s="1"/>
  <c r="AC18" s="1"/>
  <c r="Y16"/>
  <c r="Y28" s="1"/>
  <c r="Y30" s="1"/>
  <c r="Y38" s="1"/>
  <c r="AL41" i="58"/>
  <c r="T37" i="60" l="1"/>
  <c r="P37"/>
  <c r="L37"/>
  <c r="H37"/>
  <c r="D37"/>
  <c r="Y36"/>
  <c r="Y35"/>
  <c r="Y34"/>
  <c r="AF31"/>
  <c r="AC8" s="1"/>
  <c r="Y27"/>
  <c r="Y26"/>
  <c r="Y25"/>
  <c r="Y24"/>
  <c r="Y23"/>
  <c r="Y22"/>
  <c r="Y21"/>
  <c r="Y20"/>
  <c r="Y19"/>
  <c r="Y18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T37" i="59"/>
  <c r="P37"/>
  <c r="L37"/>
  <c r="H37"/>
  <c r="D37"/>
  <c r="Y36"/>
  <c r="Y35"/>
  <c r="Y34"/>
  <c r="AL31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AC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T37" i="58"/>
  <c r="P37"/>
  <c r="L37"/>
  <c r="H37"/>
  <c r="D37"/>
  <c r="Y36"/>
  <c r="Y35"/>
  <c r="Y34"/>
  <c r="AF31"/>
  <c r="AC8" s="1"/>
  <c r="Y27"/>
  <c r="Y26"/>
  <c r="Y25"/>
  <c r="Y24"/>
  <c r="Y23"/>
  <c r="Y22"/>
  <c r="Y21"/>
  <c r="Y20"/>
  <c r="Y19"/>
  <c r="Y18"/>
  <c r="AC17"/>
  <c r="Y17"/>
  <c r="Y15"/>
  <c r="AK13"/>
  <c r="AK12"/>
  <c r="X12"/>
  <c r="T12"/>
  <c r="P12"/>
  <c r="L12"/>
  <c r="H12"/>
  <c r="D12"/>
  <c r="AK11"/>
  <c r="X11"/>
  <c r="T11"/>
  <c r="P11"/>
  <c r="L11"/>
  <c r="H11"/>
  <c r="D11"/>
  <c r="AK10"/>
  <c r="X10"/>
  <c r="T10"/>
  <c r="P10"/>
  <c r="L10"/>
  <c r="H10"/>
  <c r="D10"/>
  <c r="AK9"/>
  <c r="X9"/>
  <c r="T9"/>
  <c r="P9"/>
  <c r="L9"/>
  <c r="H9"/>
  <c r="D9"/>
  <c r="AK8"/>
  <c r="X8"/>
  <c r="T8"/>
  <c r="P8"/>
  <c r="L8"/>
  <c r="H8"/>
  <c r="D8"/>
  <c r="AK7"/>
  <c r="X7"/>
  <c r="T7"/>
  <c r="P7"/>
  <c r="L7"/>
  <c r="H7"/>
  <c r="D7"/>
  <c r="AK6"/>
  <c r="X6"/>
  <c r="T6"/>
  <c r="P6"/>
  <c r="L6"/>
  <c r="H6"/>
  <c r="D6"/>
  <c r="X5"/>
  <c r="T5"/>
  <c r="P5"/>
  <c r="L5"/>
  <c r="H5"/>
  <c r="D5"/>
  <c r="T13" l="1"/>
  <c r="T16" s="1"/>
  <c r="T28" s="1"/>
  <c r="T30" s="1"/>
  <c r="T38" s="1"/>
  <c r="T13" i="60"/>
  <c r="T16" s="1"/>
  <c r="T28" s="1"/>
  <c r="T30" s="1"/>
  <c r="T38" s="1"/>
  <c r="AK14"/>
  <c r="Y5"/>
  <c r="Y9"/>
  <c r="H13"/>
  <c r="H16" s="1"/>
  <c r="H28" s="1"/>
  <c r="H30" s="1"/>
  <c r="H38" s="1"/>
  <c r="Y37"/>
  <c r="P13"/>
  <c r="P16" s="1"/>
  <c r="P28" s="1"/>
  <c r="P30" s="1"/>
  <c r="P38" s="1"/>
  <c r="Y10"/>
  <c r="D13"/>
  <c r="D16" s="1"/>
  <c r="D28" s="1"/>
  <c r="D30" s="1"/>
  <c r="D38" s="1"/>
  <c r="Y6"/>
  <c r="Y7"/>
  <c r="Y8"/>
  <c r="Y11"/>
  <c r="Y12"/>
  <c r="AK14" i="59"/>
  <c r="Y37"/>
  <c r="Y5"/>
  <c r="T13"/>
  <c r="T16" s="1"/>
  <c r="T28" s="1"/>
  <c r="T30" s="1"/>
  <c r="T38" s="1"/>
  <c r="Y8"/>
  <c r="D13"/>
  <c r="D16" s="1"/>
  <c r="D28" s="1"/>
  <c r="D30" s="1"/>
  <c r="D38" s="1"/>
  <c r="H13"/>
  <c r="H16" s="1"/>
  <c r="H28" s="1"/>
  <c r="H30" s="1"/>
  <c r="H38" s="1"/>
  <c r="Y10"/>
  <c r="Y7"/>
  <c r="Y9"/>
  <c r="Y11"/>
  <c r="P13"/>
  <c r="P16" s="1"/>
  <c r="P28" s="1"/>
  <c r="P30" s="1"/>
  <c r="P38" s="1"/>
  <c r="Y12"/>
  <c r="AK14" i="58"/>
  <c r="D13"/>
  <c r="D16" s="1"/>
  <c r="D28" s="1"/>
  <c r="D30" s="1"/>
  <c r="D38" s="1"/>
  <c r="Y37"/>
  <c r="Y11"/>
  <c r="Y12"/>
  <c r="H13"/>
  <c r="H16" s="1"/>
  <c r="H28" s="1"/>
  <c r="H30" s="1"/>
  <c r="H38" s="1"/>
  <c r="P13"/>
  <c r="P16" s="1"/>
  <c r="P28" s="1"/>
  <c r="P30" s="1"/>
  <c r="P38" s="1"/>
  <c r="Y8"/>
  <c r="Y6"/>
  <c r="Y7"/>
  <c r="Y9"/>
  <c r="L13"/>
  <c r="L16" s="1"/>
  <c r="L28" s="1"/>
  <c r="L30" s="1"/>
  <c r="L38" s="1"/>
  <c r="L13" i="60"/>
  <c r="L16" s="1"/>
  <c r="L28" s="1"/>
  <c r="L30" s="1"/>
  <c r="L38" s="1"/>
  <c r="L13" i="59"/>
  <c r="L16" s="1"/>
  <c r="L28" s="1"/>
  <c r="L30" s="1"/>
  <c r="L38" s="1"/>
  <c r="Y6"/>
  <c r="Y10" i="58"/>
  <c r="Y5"/>
  <c r="Y13" i="60" l="1"/>
  <c r="AC7" s="1"/>
  <c r="AC9" s="1"/>
  <c r="Y16" i="59"/>
  <c r="Y28" s="1"/>
  <c r="Y30" s="1"/>
  <c r="Y38" s="1"/>
  <c r="Y13"/>
  <c r="AC7" s="1"/>
  <c r="AC9" s="1"/>
  <c r="AC18" s="1"/>
  <c r="Y13" i="58"/>
  <c r="AC7" s="1"/>
  <c r="AC9" s="1"/>
  <c r="AC18" s="1"/>
  <c r="Y16"/>
  <c r="Y28" s="1"/>
  <c r="Y30" s="1"/>
  <c r="Y38" s="1"/>
  <c r="Y16" i="60"/>
  <c r="Y28" s="1"/>
  <c r="Y30" s="1"/>
  <c r="Y38" s="1"/>
  <c r="T37" i="16"/>
  <c r="P37"/>
  <c r="L37"/>
  <c r="H37"/>
  <c r="D37"/>
  <c r="Y36"/>
  <c r="Y35"/>
  <c r="Y34"/>
  <c r="AC8"/>
  <c r="Y27"/>
  <c r="Y26"/>
  <c r="Y25"/>
  <c r="Y24"/>
  <c r="Y23"/>
  <c r="Y22"/>
  <c r="Y21"/>
  <c r="Y20"/>
  <c r="Y19"/>
  <c r="Y18"/>
  <c r="AC17"/>
  <c r="Y17"/>
  <c r="AK13"/>
  <c r="AK12"/>
  <c r="Y15"/>
  <c r="AK11"/>
  <c r="AK10"/>
  <c r="AK9"/>
  <c r="X12"/>
  <c r="T12"/>
  <c r="P12"/>
  <c r="L12"/>
  <c r="H12"/>
  <c r="D12"/>
  <c r="AK8"/>
  <c r="X11"/>
  <c r="T11"/>
  <c r="P11"/>
  <c r="L11"/>
  <c r="H11"/>
  <c r="D11"/>
  <c r="AK7"/>
  <c r="X10"/>
  <c r="T10"/>
  <c r="P10"/>
  <c r="L10"/>
  <c r="H10"/>
  <c r="D10"/>
  <c r="AK6"/>
  <c r="X9"/>
  <c r="T9"/>
  <c r="P9"/>
  <c r="L9"/>
  <c r="H9"/>
  <c r="D9"/>
  <c r="X8"/>
  <c r="T8"/>
  <c r="P8"/>
  <c r="L8"/>
  <c r="H8"/>
  <c r="D8"/>
  <c r="X7"/>
  <c r="T7"/>
  <c r="P7"/>
  <c r="L7"/>
  <c r="H7"/>
  <c r="D7"/>
  <c r="X6"/>
  <c r="T6"/>
  <c r="P6"/>
  <c r="L6"/>
  <c r="H6"/>
  <c r="D6"/>
  <c r="X5"/>
  <c r="T5"/>
  <c r="P5"/>
  <c r="L5"/>
  <c r="H5"/>
  <c r="D5"/>
  <c r="AC17" i="60" l="1"/>
  <c r="AC18" s="1"/>
  <c r="Y37" i="16"/>
  <c r="T13"/>
  <c r="T16" s="1"/>
  <c r="T28" s="1"/>
  <c r="T30" s="1"/>
  <c r="T38" s="1"/>
  <c r="AK14"/>
  <c r="Y12"/>
  <c r="P13"/>
  <c r="P16" s="1"/>
  <c r="P28" s="1"/>
  <c r="P30" s="1"/>
  <c r="P38" s="1"/>
  <c r="Y11"/>
  <c r="H13"/>
  <c r="H16" s="1"/>
  <c r="H28" s="1"/>
  <c r="H30" s="1"/>
  <c r="H38" s="1"/>
  <c r="Y7"/>
  <c r="Y10"/>
  <c r="Y5"/>
  <c r="D13"/>
  <c r="D16" s="1"/>
  <c r="D28" s="1"/>
  <c r="D30" s="1"/>
  <c r="D38" s="1"/>
  <c r="Y9"/>
  <c r="Y8"/>
  <c r="L13"/>
  <c r="L16" s="1"/>
  <c r="L28" s="1"/>
  <c r="L30" s="1"/>
  <c r="L38" s="1"/>
  <c r="Y6"/>
  <c r="Y16" l="1"/>
  <c r="Y28" s="1"/>
  <c r="Y30" s="1"/>
  <c r="Y38" s="1"/>
  <c r="Y13"/>
  <c r="AC7" s="1"/>
  <c r="AC9" s="1"/>
  <c r="AC18" s="1"/>
</calcChain>
</file>

<file path=xl/comments1.xml><?xml version="1.0" encoding="utf-8"?>
<comments xmlns="http://schemas.openxmlformats.org/spreadsheetml/2006/main">
  <authors>
    <author>ADMIN</author>
  </authors>
  <commentList>
    <comment ref="T18" authorId="0">
      <text>
        <r>
          <rPr>
            <sz val="9"/>
            <color indexed="81"/>
            <rFont val="Tahoma"/>
            <family val="2"/>
          </rPr>
          <t xml:space="preserve">BAH-10303474(53065)
</t>
        </r>
      </text>
    </comment>
  </commentList>
</comments>
</file>

<file path=xl/sharedStrings.xml><?xml version="1.0" encoding="utf-8"?>
<sst xmlns="http://schemas.openxmlformats.org/spreadsheetml/2006/main" count="5988" uniqueCount="944">
  <si>
    <t>NAME: Maroof</t>
  </si>
  <si>
    <t>NAME: Fahad</t>
  </si>
  <si>
    <t>NAME: Asif</t>
  </si>
  <si>
    <t>NAME: Asghar</t>
  </si>
  <si>
    <t>NAME: Sumair</t>
  </si>
  <si>
    <t>DEPOT TOTAL</t>
  </si>
  <si>
    <t>Rs</t>
  </si>
  <si>
    <t>Qty</t>
  </si>
  <si>
    <t>Amount</t>
  </si>
  <si>
    <t>Cash Treatment</t>
  </si>
  <si>
    <t>Cash</t>
  </si>
  <si>
    <t>Recovories</t>
  </si>
  <si>
    <t>TOTAL</t>
  </si>
  <si>
    <t>Head</t>
  </si>
  <si>
    <t>Slip Number</t>
  </si>
  <si>
    <t>Date</t>
  </si>
  <si>
    <t>Slip #</t>
  </si>
  <si>
    <t>Bank</t>
  </si>
  <si>
    <t>Total</t>
  </si>
  <si>
    <t>Cash Office</t>
  </si>
  <si>
    <t>Ent</t>
  </si>
  <si>
    <t>Summary</t>
  </si>
  <si>
    <t>Misc</t>
  </si>
  <si>
    <t>Adv Van</t>
  </si>
  <si>
    <t>Chq-1</t>
  </si>
  <si>
    <t>Diff (+/-)</t>
  </si>
  <si>
    <t>Excess/Shortage</t>
  </si>
  <si>
    <t>Chq-2</t>
  </si>
  <si>
    <t>Chq-3</t>
  </si>
  <si>
    <t>RECOVRIES</t>
  </si>
  <si>
    <t>RECOVRIES-- ONLINE</t>
  </si>
  <si>
    <t>DSR Name</t>
  </si>
  <si>
    <t>Bill Date</t>
  </si>
  <si>
    <t>Shop Name</t>
  </si>
  <si>
    <t>Shortage Date</t>
  </si>
  <si>
    <t>Chq no</t>
  </si>
  <si>
    <t>Bill-1</t>
  </si>
  <si>
    <t>Bill-2</t>
  </si>
  <si>
    <t>Bill-3</t>
  </si>
  <si>
    <t>Recoveries</t>
  </si>
  <si>
    <t>Shortage (+/-)</t>
  </si>
  <si>
    <t>Cash Shortage</t>
  </si>
  <si>
    <t xml:space="preserve"> Tax Adj</t>
  </si>
  <si>
    <t>etc</t>
  </si>
  <si>
    <t>Cash Excess</t>
  </si>
  <si>
    <t>Balance</t>
  </si>
  <si>
    <t>Ctn Shortage</t>
  </si>
  <si>
    <t>Bill-</t>
  </si>
  <si>
    <t>Zunaisha conf</t>
  </si>
  <si>
    <t>Asif-2380</t>
  </si>
  <si>
    <t>BAH-11644709</t>
  </si>
  <si>
    <t>MB-A80668924</t>
  </si>
  <si>
    <t>Chq-9-10-25</t>
  </si>
  <si>
    <t>Ss conf</t>
  </si>
  <si>
    <t>Asif-3390</t>
  </si>
  <si>
    <t>NAME: Shezzy</t>
  </si>
  <si>
    <t>Chq-7-10-25</t>
  </si>
  <si>
    <t>MB-A23710778</t>
  </si>
  <si>
    <t>SB-00458707</t>
  </si>
  <si>
    <t>Chq-6-10-25</t>
  </si>
  <si>
    <t>BAH-11446654</t>
  </si>
  <si>
    <t>Chq-8-10-25</t>
  </si>
  <si>
    <t>MB-E43683191</t>
  </si>
  <si>
    <t>UBL-84462344</t>
  </si>
  <si>
    <t>Chq-</t>
  </si>
  <si>
    <t>Fayyaz</t>
  </si>
  <si>
    <t>Today sheet</t>
  </si>
  <si>
    <t>Hadid</t>
  </si>
  <si>
    <t>BAH-11947039</t>
  </si>
  <si>
    <t>BI-00041329</t>
  </si>
  <si>
    <t>BAH-10410898</t>
  </si>
  <si>
    <t>BAH-10300268</t>
  </si>
  <si>
    <t>BAH-11951586</t>
  </si>
  <si>
    <t>BAH-10221864</t>
  </si>
  <si>
    <t>BAF-47250937</t>
  </si>
  <si>
    <t>BAH-10968564</t>
  </si>
  <si>
    <t>BI-00041344</t>
  </si>
  <si>
    <t>MB-A24015975</t>
  </si>
  <si>
    <t>MB-A21702001</t>
  </si>
  <si>
    <t>BAH-11199046</t>
  </si>
  <si>
    <t>UBL-82440340</t>
  </si>
  <si>
    <t>HBL-00000411</t>
  </si>
  <si>
    <t>UBL-84462338</t>
  </si>
  <si>
    <t>Attari</t>
  </si>
  <si>
    <t>Ahmed mart</t>
  </si>
  <si>
    <t>Prime Madical</t>
  </si>
  <si>
    <t>Zikariya store</t>
  </si>
  <si>
    <t>Hasnain Conf</t>
  </si>
  <si>
    <t>BM food</t>
  </si>
  <si>
    <t>Ahmed store</t>
  </si>
  <si>
    <t>Panjwani conf</t>
  </si>
  <si>
    <t>Khan conf</t>
  </si>
  <si>
    <t>Daniyal gs</t>
  </si>
  <si>
    <t xml:space="preserve">Al shmas </t>
  </si>
  <si>
    <t>Premier GS</t>
  </si>
  <si>
    <t>Qadeer med</t>
  </si>
  <si>
    <t>Rameen cold</t>
  </si>
  <si>
    <t>Faizan</t>
  </si>
  <si>
    <t>Sajid</t>
  </si>
  <si>
    <t>Asif-3330</t>
  </si>
  <si>
    <t>Asif</t>
  </si>
  <si>
    <t>Asif-3450</t>
  </si>
  <si>
    <t>Karachi  conf</t>
  </si>
  <si>
    <t>Asif-3430</t>
  </si>
  <si>
    <t>BS Shazad</t>
  </si>
  <si>
    <t>Asif-3490</t>
  </si>
  <si>
    <t>Owais khan</t>
  </si>
  <si>
    <t>20010</t>
  </si>
  <si>
    <t>9980</t>
  </si>
  <si>
    <t>Fake</t>
  </si>
  <si>
    <t>HM</t>
  </si>
  <si>
    <t>MB-A19464345</t>
  </si>
  <si>
    <t>Chq-10-10-25</t>
  </si>
  <si>
    <t>Bill-3970</t>
  </si>
  <si>
    <t>Saeed Citrate</t>
  </si>
  <si>
    <t>Ashraf conf</t>
  </si>
  <si>
    <t>Asif-3760</t>
  </si>
  <si>
    <t>AJ Conf</t>
  </si>
  <si>
    <t>Asif-2360</t>
  </si>
  <si>
    <t>Baqala mini mart</t>
  </si>
  <si>
    <t>Shahid &amp; Bilal gs</t>
  </si>
  <si>
    <t>Bill-29790</t>
  </si>
  <si>
    <t>Bill-29580</t>
  </si>
  <si>
    <t>BAH-11199049</t>
  </si>
  <si>
    <t>Chq-12-10-25</t>
  </si>
  <si>
    <t>Chq-13-10-25</t>
  </si>
  <si>
    <t>MB-A26649904</t>
  </si>
  <si>
    <t>NAME: Shazy</t>
  </si>
  <si>
    <t>MCB-2052416785</t>
  </si>
  <si>
    <t>Shoaib Store</t>
  </si>
  <si>
    <t>BI-00041370</t>
  </si>
  <si>
    <t>Chq-11-10-25</t>
  </si>
  <si>
    <t>Bill-3930</t>
  </si>
  <si>
    <t>BML-97666926</t>
  </si>
  <si>
    <t>Mehmood Kashif</t>
  </si>
  <si>
    <t>Bill-3960</t>
  </si>
  <si>
    <t>RY trader</t>
  </si>
  <si>
    <t>Chq-3-10-25</t>
  </si>
  <si>
    <t>Chq-18-10-25</t>
  </si>
  <si>
    <t>BI-00254016</t>
  </si>
  <si>
    <t>CD%</t>
  </si>
  <si>
    <t>BAH-11007133</t>
  </si>
  <si>
    <t>MB-A24462482</t>
  </si>
  <si>
    <t>BAH-10295653</t>
  </si>
  <si>
    <t>BAH-10120450</t>
  </si>
  <si>
    <t>MB-E43683180</t>
  </si>
  <si>
    <t>BAH-11446649</t>
  </si>
  <si>
    <t xml:space="preserve">Al Noor </t>
  </si>
  <si>
    <t>Famliy mart</t>
  </si>
  <si>
    <t>Amir saleem</t>
  </si>
  <si>
    <t>Nimal mart</t>
  </si>
  <si>
    <t>Midway Food</t>
  </si>
  <si>
    <t>Fahad store</t>
  </si>
  <si>
    <t>Abid conf(ss conf)</t>
  </si>
  <si>
    <t>Asif-2110</t>
  </si>
  <si>
    <t>Tawakal conf</t>
  </si>
  <si>
    <t>Asif-3660</t>
  </si>
  <si>
    <t>Shazad conf</t>
  </si>
  <si>
    <t>Asif-3650</t>
  </si>
  <si>
    <t>Shahid conf</t>
  </si>
  <si>
    <t>Asif-3630</t>
  </si>
  <si>
    <t>Mashahallha (Habib)</t>
  </si>
  <si>
    <t>Asif-3560</t>
  </si>
  <si>
    <t>Asif-3240</t>
  </si>
  <si>
    <t>Nasir n sons</t>
  </si>
  <si>
    <t>Asif-2930</t>
  </si>
  <si>
    <t>Asif-3600</t>
  </si>
  <si>
    <t>Agha conf</t>
  </si>
  <si>
    <t>today sheet</t>
  </si>
  <si>
    <t>Younus</t>
  </si>
  <si>
    <t>Asif-2960</t>
  </si>
  <si>
    <t>Agha conf(RY)</t>
  </si>
  <si>
    <t>Chq-15-10-25</t>
  </si>
  <si>
    <t>HM-185912281</t>
  </si>
  <si>
    <t>BAH-10302010</t>
  </si>
  <si>
    <t>BAF-47601581</t>
  </si>
  <si>
    <t>BAH-10295660</t>
  </si>
  <si>
    <t>Chq-14-10-25</t>
  </si>
  <si>
    <t>BAH-10416558</t>
  </si>
  <si>
    <t>Chq-09-10-25</t>
  </si>
  <si>
    <t>MB-A076677380</t>
  </si>
  <si>
    <t>BAH-10300305</t>
  </si>
  <si>
    <t>Chq-16-10-25</t>
  </si>
  <si>
    <t>MB-A24897849</t>
  </si>
  <si>
    <t>BAF-47250940</t>
  </si>
  <si>
    <t>BI-00201640</t>
  </si>
  <si>
    <t>MB-A19508965</t>
  </si>
  <si>
    <t>BAH-10120451</t>
  </si>
  <si>
    <t>BML-97662916</t>
  </si>
  <si>
    <t>ZA Mart</t>
  </si>
  <si>
    <t>Baqala mart</t>
  </si>
  <si>
    <t>Saeed Super store</t>
  </si>
  <si>
    <t>Star Conf-2880</t>
  </si>
  <si>
    <t>Hajan maizi</t>
  </si>
  <si>
    <t>MS Mashallah miik</t>
  </si>
  <si>
    <t>MB-A94122113</t>
  </si>
  <si>
    <t>MB-A23202189</t>
  </si>
  <si>
    <t>Bill-4040</t>
  </si>
  <si>
    <t>Hasnain conf</t>
  </si>
  <si>
    <t>Bill-4020</t>
  </si>
  <si>
    <t>Bill-4000</t>
  </si>
  <si>
    <t>Bill-3990</t>
  </si>
  <si>
    <t>Bill-3980</t>
  </si>
  <si>
    <t>Younus conf</t>
  </si>
  <si>
    <t>Bill-4010</t>
  </si>
  <si>
    <t>Ismail conf</t>
  </si>
  <si>
    <t>Younus store</t>
  </si>
  <si>
    <t>Asif-3720</t>
  </si>
  <si>
    <t>Imran sweet</t>
  </si>
  <si>
    <t>FB-CA0000000273</t>
  </si>
  <si>
    <t>Imran Oli</t>
  </si>
  <si>
    <t>BI-00200975</t>
  </si>
  <si>
    <t>Refill</t>
  </si>
  <si>
    <t>Adeel GS</t>
  </si>
  <si>
    <t>Fayyaz-7260</t>
  </si>
  <si>
    <t>New Hassan</t>
  </si>
  <si>
    <t>Asif-2870</t>
  </si>
  <si>
    <t>Asif-3970</t>
  </si>
  <si>
    <t>MB-A23710781</t>
  </si>
  <si>
    <t>Bill-4100</t>
  </si>
  <si>
    <t>Zunasha conf</t>
  </si>
  <si>
    <t>Bill-4110</t>
  </si>
  <si>
    <t>MH pan</t>
  </si>
  <si>
    <t>UBL-84462345</t>
  </si>
  <si>
    <t>MB-E43683194</t>
  </si>
  <si>
    <t>Bill-4090</t>
  </si>
  <si>
    <t>BAH-11644727</t>
  </si>
  <si>
    <t>Asif-3800</t>
  </si>
  <si>
    <t>Panjwani</t>
  </si>
  <si>
    <t>Owais-30760</t>
  </si>
  <si>
    <t>Salary</t>
  </si>
  <si>
    <t>Bismillah cold</t>
  </si>
  <si>
    <t>Faizan-8830</t>
  </si>
  <si>
    <t>BI-00041351</t>
  </si>
  <si>
    <t>Bill-1370</t>
  </si>
  <si>
    <t>MB-A22534771</t>
  </si>
  <si>
    <t>Bill-4170</t>
  </si>
  <si>
    <t>Bill-4190</t>
  </si>
  <si>
    <t>Chq-20-10-25</t>
  </si>
  <si>
    <t>BAH-10859248</t>
  </si>
  <si>
    <t>MB-A25862292</t>
  </si>
  <si>
    <t>BAH-11093729</t>
  </si>
  <si>
    <t>UBL-85063376</t>
  </si>
  <si>
    <t>MB-A21702007</t>
  </si>
  <si>
    <t>BAH11199051</t>
  </si>
  <si>
    <t>Fayyaz-29790</t>
  </si>
  <si>
    <t>Family Mart</t>
  </si>
  <si>
    <t>Bill-31080</t>
  </si>
  <si>
    <t>Asif-3860</t>
  </si>
  <si>
    <t>BML-97665082</t>
  </si>
  <si>
    <t>MB-A26649925</t>
  </si>
  <si>
    <t>BML-97665626</t>
  </si>
  <si>
    <t>BAF-47601566</t>
  </si>
  <si>
    <t>BML-97671234</t>
  </si>
  <si>
    <t>BAH-11641645</t>
  </si>
  <si>
    <t>BAH-11009384</t>
  </si>
  <si>
    <t>MB-A19464341</t>
  </si>
  <si>
    <t>BML-97666906</t>
  </si>
  <si>
    <t>MB-A21702005</t>
  </si>
  <si>
    <t>SB-CA82028021</t>
  </si>
  <si>
    <t>Askari-00184755</t>
  </si>
  <si>
    <t>Faheem Traders</t>
  </si>
  <si>
    <t>Tawakal Traders</t>
  </si>
  <si>
    <t>Tawakal-3360</t>
  </si>
  <si>
    <t>Tariq Brother</t>
  </si>
  <si>
    <t>Al Noor b</t>
  </si>
  <si>
    <t>Atif Store</t>
  </si>
  <si>
    <t>Asif-3250</t>
  </si>
  <si>
    <t>Aslam supplier</t>
  </si>
  <si>
    <t>Asif-2980</t>
  </si>
  <si>
    <t>NAME: Daniyal</t>
  </si>
  <si>
    <t>BAF-47601585</t>
  </si>
  <si>
    <t>UBL-82440352</t>
  </si>
  <si>
    <t>Chq-17-10-25</t>
  </si>
  <si>
    <t>AB-2500151645</t>
  </si>
  <si>
    <t>Aimr shaikh</t>
  </si>
  <si>
    <t>The King Store</t>
  </si>
  <si>
    <t>MB-A-23710770</t>
  </si>
  <si>
    <t>Noor Store</t>
  </si>
  <si>
    <t>BAH-10151936</t>
  </si>
  <si>
    <t>MB-A23202192</t>
  </si>
  <si>
    <t>BAH-10416577</t>
  </si>
  <si>
    <t>HBL-000000428</t>
  </si>
  <si>
    <t>MB-A07667383</t>
  </si>
  <si>
    <t>HM-184997933</t>
  </si>
  <si>
    <t>BAH-10410913</t>
  </si>
  <si>
    <t>MB-A24079053</t>
  </si>
  <si>
    <t>BAH-11009391</t>
  </si>
  <si>
    <t>BML-97665079</t>
  </si>
  <si>
    <t>MB-A24897864</t>
  </si>
  <si>
    <t>BAH-10297560</t>
  </si>
  <si>
    <t>BAH-10687607</t>
  </si>
  <si>
    <t>BML-97662917</t>
  </si>
  <si>
    <t>UBL-84462339</t>
  </si>
  <si>
    <t>MB-E43683186</t>
  </si>
  <si>
    <t>MB-A24079054</t>
  </si>
  <si>
    <t>MB-A23710775</t>
  </si>
  <si>
    <t>BI-00201651</t>
  </si>
  <si>
    <t>FB-CA00001711</t>
  </si>
  <si>
    <t>MB-A25766039</t>
  </si>
  <si>
    <t>Askari-00094382</t>
  </si>
  <si>
    <t>A.wahab conf-3040</t>
  </si>
  <si>
    <t>Parim Store</t>
  </si>
  <si>
    <t>Famous</t>
  </si>
  <si>
    <t>Al noor</t>
  </si>
  <si>
    <t>Salman Store</t>
  </si>
  <si>
    <t>ZM mart</t>
  </si>
  <si>
    <t>Ismail conf-3060-3350</t>
  </si>
  <si>
    <t>Abdullah cold</t>
  </si>
  <si>
    <t>Famous st</t>
  </si>
  <si>
    <t>King Store</t>
  </si>
  <si>
    <t>Shahid n bilal</t>
  </si>
  <si>
    <t>Abdullha cold</t>
  </si>
  <si>
    <t>Bill-031080</t>
  </si>
  <si>
    <t>Asif-4100</t>
  </si>
  <si>
    <t>Irfan conf</t>
  </si>
  <si>
    <t>BLH-10882636</t>
  </si>
  <si>
    <t>Huzaifa</t>
  </si>
  <si>
    <t>Asif-3070</t>
  </si>
  <si>
    <t>M.Majid</t>
  </si>
  <si>
    <t>Asif-3850</t>
  </si>
  <si>
    <t>Muhammadi pan</t>
  </si>
  <si>
    <t>Bill-32270</t>
  </si>
  <si>
    <t>BAF-48241656</t>
  </si>
  <si>
    <t>BAF-47250946</t>
  </si>
  <si>
    <t>BAH-11644744</t>
  </si>
  <si>
    <t>MB-A23710785</t>
  </si>
  <si>
    <t>Fahad GS</t>
  </si>
  <si>
    <t>Bill-31600</t>
  </si>
  <si>
    <t>SB-00458711</t>
  </si>
  <si>
    <t>MB-E43683205</t>
  </si>
  <si>
    <t>UBL-84462349</t>
  </si>
  <si>
    <t>Imran oil</t>
  </si>
  <si>
    <t>BI-00200981</t>
  </si>
  <si>
    <t>BI-00200972</t>
  </si>
  <si>
    <t xml:space="preserve">Panjwani </t>
  </si>
  <si>
    <t>Popler mart</t>
  </si>
  <si>
    <t>Bill-30860</t>
  </si>
  <si>
    <t>Samiullah B</t>
  </si>
  <si>
    <t>Standard B</t>
  </si>
  <si>
    <t>BML-97671235</t>
  </si>
  <si>
    <t>BAH-26615302</t>
  </si>
  <si>
    <t>BML-97665080</t>
  </si>
  <si>
    <t>Farhaj to Bio</t>
  </si>
  <si>
    <t>Bio to farhaj</t>
  </si>
  <si>
    <t>online</t>
  </si>
  <si>
    <t>BI-00041357</t>
  </si>
  <si>
    <t>MB-A13619457</t>
  </si>
  <si>
    <t>MB-A19464347</t>
  </si>
  <si>
    <t>MB-A26649955</t>
  </si>
  <si>
    <t>MB-A27166112</t>
  </si>
  <si>
    <t>Ahmed &amp; sons</t>
  </si>
  <si>
    <t>Zikeria conf-3680</t>
  </si>
  <si>
    <t>BAH-11951590</t>
  </si>
  <si>
    <t>MB-A13619451</t>
  </si>
  <si>
    <t>BAH-10300293</t>
  </si>
  <si>
    <t>MB-A24462503</t>
  </si>
  <si>
    <t>MB-A23202190</t>
  </si>
  <si>
    <t>HBL-00000168</t>
  </si>
  <si>
    <t>Chq-19-10-25</t>
  </si>
  <si>
    <t>UBL-8637267</t>
  </si>
  <si>
    <t>AB-2504826602</t>
  </si>
  <si>
    <t>MB-A21702010</t>
  </si>
  <si>
    <t>Asif-4020</t>
  </si>
  <si>
    <t>Asif-4000</t>
  </si>
  <si>
    <t>Bill-4260</t>
  </si>
  <si>
    <t>Meh khashif</t>
  </si>
  <si>
    <t>Bill-4280</t>
  </si>
  <si>
    <t>Bill-4270</t>
  </si>
  <si>
    <t>Saeed citrate</t>
  </si>
  <si>
    <t>Bill-4220</t>
  </si>
  <si>
    <t>Chq-26-10-25</t>
  </si>
  <si>
    <t>Chq-23-10-25</t>
  </si>
  <si>
    <t>HBL-00000174</t>
  </si>
  <si>
    <t>HBL-00000173</t>
  </si>
  <si>
    <t>HBL-00000172</t>
  </si>
  <si>
    <t>Chq-21-10-25</t>
  </si>
  <si>
    <t>HBL-00000171</t>
  </si>
  <si>
    <t>Chq-24-10-25</t>
  </si>
  <si>
    <t>BML-97666942</t>
  </si>
  <si>
    <t>Asif-3290</t>
  </si>
  <si>
    <t>Star conf</t>
  </si>
  <si>
    <t>CD</t>
  </si>
  <si>
    <t>Asif-3930</t>
  </si>
  <si>
    <t>Mahmood kashif</t>
  </si>
  <si>
    <t>FB-AC000000049</t>
  </si>
  <si>
    <t>Rent</t>
  </si>
  <si>
    <t>Hahid van</t>
  </si>
  <si>
    <t>Premier gs</t>
  </si>
  <si>
    <t>Provison</t>
  </si>
  <si>
    <t>BAH-10303422</t>
  </si>
  <si>
    <t>BAH-10301398</t>
  </si>
  <si>
    <t>Chq-25-10-25</t>
  </si>
  <si>
    <t>Chq-30-10-25</t>
  </si>
  <si>
    <t>BAH-10410939</t>
  </si>
  <si>
    <t>MB-A25766048</t>
  </si>
  <si>
    <t>Bill-4300</t>
  </si>
  <si>
    <t>Bill-4330</t>
  </si>
  <si>
    <t>Bill-4340</t>
  </si>
  <si>
    <t>Bill-4290</t>
  </si>
  <si>
    <t>Bill-4360</t>
  </si>
  <si>
    <t>A.wahab</t>
  </si>
  <si>
    <t>Bill-4370</t>
  </si>
  <si>
    <t>Fayyaz conf</t>
  </si>
  <si>
    <t>BAH-10295659</t>
  </si>
  <si>
    <t>BAH-10120457</t>
  </si>
  <si>
    <t>UBL-82440346</t>
  </si>
  <si>
    <t>Naimal Mart</t>
  </si>
  <si>
    <t>Asif-4270</t>
  </si>
  <si>
    <t>Online</t>
  </si>
  <si>
    <t>Star Talha</t>
  </si>
  <si>
    <t>P/C</t>
  </si>
  <si>
    <t>Sand to bank Online</t>
  </si>
  <si>
    <t>Asif-3990</t>
  </si>
  <si>
    <t>Asif-32270</t>
  </si>
  <si>
    <t>MB-A24079056</t>
  </si>
  <si>
    <t>BAF-26615305</t>
  </si>
  <si>
    <t>MB-E43683208</t>
  </si>
  <si>
    <t>UBL-84462350</t>
  </si>
  <si>
    <t>Bill-4450</t>
  </si>
  <si>
    <t>Zunaisha</t>
  </si>
  <si>
    <t>Bill-4440</t>
  </si>
  <si>
    <t>Karachi conf</t>
  </si>
  <si>
    <t>Bill-4390</t>
  </si>
  <si>
    <t>Chq-22-10-25</t>
  </si>
  <si>
    <t>BAF-47250948</t>
  </si>
  <si>
    <t>MB-A24079057</t>
  </si>
  <si>
    <t>Adv satter</t>
  </si>
  <si>
    <t>Adv Daniyal</t>
  </si>
  <si>
    <t>Adv Ubaidh</t>
  </si>
  <si>
    <t>Sumair</t>
  </si>
  <si>
    <t>Asif-3440</t>
  </si>
  <si>
    <t xml:space="preserve">farhaj to biocare send 20k </t>
  </si>
  <si>
    <t>13-10-25</t>
  </si>
  <si>
    <t>Bill-4500</t>
  </si>
  <si>
    <t>irfan conf</t>
  </si>
  <si>
    <t>Bill-4490</t>
  </si>
  <si>
    <t>M.majid</t>
  </si>
  <si>
    <t>MB-A25862303</t>
  </si>
  <si>
    <t>MCB-00203467</t>
  </si>
  <si>
    <t>MCB-2051448512</t>
  </si>
  <si>
    <t>Bill-33970</t>
  </si>
  <si>
    <t>Bill-33960</t>
  </si>
  <si>
    <t>Golden vip</t>
  </si>
  <si>
    <t>Faizan-31370</t>
  </si>
  <si>
    <t>van</t>
  </si>
  <si>
    <t>MB-A27166122</t>
  </si>
  <si>
    <t>MB-A26649968</t>
  </si>
  <si>
    <t>BML-97665084</t>
  </si>
  <si>
    <t>HM-184997934</t>
  </si>
  <si>
    <t>HM-184997935</t>
  </si>
  <si>
    <t>HM-184997936</t>
  </si>
  <si>
    <t>BAH-11199047</t>
  </si>
  <si>
    <t>BAH-10297561</t>
  </si>
  <si>
    <t>MB-A26649897</t>
  </si>
  <si>
    <t>BAH-11199050</t>
  </si>
  <si>
    <t>BML-97671236</t>
  </si>
  <si>
    <t>BAH-10079310</t>
  </si>
  <si>
    <t>Tawakal conf-3660</t>
  </si>
  <si>
    <t>The Mart</t>
  </si>
  <si>
    <t>Tattari</t>
  </si>
  <si>
    <t>King GS</t>
  </si>
  <si>
    <t>Imran GS</t>
  </si>
  <si>
    <t>UBL-85063403</t>
  </si>
  <si>
    <t>FB-CA000001735</t>
  </si>
  <si>
    <t>Faizan-2490</t>
  </si>
  <si>
    <t>Faizan-12590</t>
  </si>
  <si>
    <t>FB-CA00000001625</t>
  </si>
  <si>
    <t>UBL-82543876</t>
  </si>
  <si>
    <t>Van</t>
  </si>
  <si>
    <t>BAH-10418473</t>
  </si>
  <si>
    <t>MB-A25766049</t>
  </si>
  <si>
    <t>Asif-4110</t>
  </si>
  <si>
    <t>Hammad noor</t>
  </si>
  <si>
    <t>BAH-10410928</t>
  </si>
  <si>
    <t>MCB-2051448494</t>
  </si>
  <si>
    <t>MB-A25862276</t>
  </si>
  <si>
    <t>Askari-00094383</t>
  </si>
  <si>
    <t>BAH-10302761</t>
  </si>
  <si>
    <t>BAH-11951601</t>
  </si>
  <si>
    <t>HBL-000000169</t>
  </si>
  <si>
    <t>BAH-10887582</t>
  </si>
  <si>
    <t>Noor store</t>
  </si>
  <si>
    <t>Khan conf-3870</t>
  </si>
  <si>
    <t>Ahmed mini mart</t>
  </si>
  <si>
    <t>Hussnain-3690</t>
  </si>
  <si>
    <t>Saeed Citrate-3970</t>
  </si>
  <si>
    <t>Irfan store-3840</t>
  </si>
  <si>
    <t>Umair n Abid</t>
  </si>
  <si>
    <t>Saad Medical</t>
  </si>
  <si>
    <t>Adil GS</t>
  </si>
  <si>
    <t>UBL-82440362</t>
  </si>
  <si>
    <t>BAF-47601594</t>
  </si>
  <si>
    <t>Bill-34270</t>
  </si>
  <si>
    <t>Naimal mart</t>
  </si>
  <si>
    <t>FB-CA0000025</t>
  </si>
  <si>
    <t>Adv KH Ali</t>
  </si>
  <si>
    <t>panjwani</t>
  </si>
  <si>
    <t>Adv  Ha,mid van</t>
  </si>
  <si>
    <t>15-10-25</t>
  </si>
  <si>
    <t>BAH-11644773</t>
  </si>
  <si>
    <t>MB-A80668925</t>
  </si>
  <si>
    <t>MB-A24079060</t>
  </si>
  <si>
    <t>Aslam Suplair(star)</t>
  </si>
  <si>
    <t>Asif-2490</t>
  </si>
  <si>
    <t>Noor Harbal</t>
  </si>
  <si>
    <t>Ahmad mart</t>
  </si>
  <si>
    <t>Pupler Mart</t>
  </si>
  <si>
    <t>Qadeer Store</t>
  </si>
  <si>
    <t>BI-00041349</t>
  </si>
  <si>
    <t>MB-A27166102</t>
  </si>
  <si>
    <t>Bill-4630</t>
  </si>
  <si>
    <t>Mid way</t>
  </si>
  <si>
    <t>Bill-34510</t>
  </si>
  <si>
    <t>BAH-11442024</t>
  </si>
  <si>
    <t>BAH-11449581</t>
  </si>
  <si>
    <t>Asif-3780</t>
  </si>
  <si>
    <t>Fayyaz-31600</t>
  </si>
  <si>
    <t>karachi conf</t>
  </si>
  <si>
    <t>16-10-25</t>
  </si>
  <si>
    <t>Bill-4540</t>
  </si>
  <si>
    <t>Sinan conf</t>
  </si>
  <si>
    <t>Bill-4560</t>
  </si>
  <si>
    <t>M. Habib</t>
  </si>
  <si>
    <t>Bill-4580</t>
  </si>
  <si>
    <t>Abid Conf</t>
  </si>
  <si>
    <t>Bill-4530</t>
  </si>
  <si>
    <t>Siraj bhai</t>
  </si>
  <si>
    <t>Bill-4610</t>
  </si>
  <si>
    <t>RY Traders</t>
  </si>
  <si>
    <t>Chq-31-10-25</t>
  </si>
  <si>
    <t>MB-A16623417</t>
  </si>
  <si>
    <t>Chq-27-10-25</t>
  </si>
  <si>
    <t>MB-A26649985</t>
  </si>
  <si>
    <t>BAH-10221877</t>
  </si>
  <si>
    <t>BI-00041388</t>
  </si>
  <si>
    <t>BI-00201666</t>
  </si>
  <si>
    <t>MB-A21702015</t>
  </si>
  <si>
    <t>Bill-34590</t>
  </si>
  <si>
    <t>Al Shams</t>
  </si>
  <si>
    <t>Bill-34920</t>
  </si>
  <si>
    <t>BAH-10151942</t>
  </si>
  <si>
    <t>Asif-4280</t>
  </si>
  <si>
    <t>Asif-3960</t>
  </si>
  <si>
    <t>Sajid-4330</t>
  </si>
  <si>
    <t>Fayyaz-9790</t>
  </si>
  <si>
    <t>Asif-3790</t>
  </si>
  <si>
    <t>HM-185933572</t>
  </si>
  <si>
    <t>DIB-32058324</t>
  </si>
  <si>
    <t>BLH-10300296</t>
  </si>
  <si>
    <t>A.Wahab</t>
  </si>
  <si>
    <t>Standard Store</t>
  </si>
  <si>
    <t>Panjwani-4110</t>
  </si>
  <si>
    <t>17-10-25</t>
  </si>
  <si>
    <t>Asif-4620</t>
  </si>
  <si>
    <t>Bill-4650</t>
  </si>
  <si>
    <t>Shazad</t>
  </si>
  <si>
    <t>Bill-4640</t>
  </si>
  <si>
    <t>Zikeria</t>
  </si>
  <si>
    <t>Bill-4680</t>
  </si>
  <si>
    <t>Hasnain</t>
  </si>
  <si>
    <t>Bill-4670</t>
  </si>
  <si>
    <t>Ismail</t>
  </si>
  <si>
    <t>Bill-4660</t>
  </si>
  <si>
    <t>BAF-47601596</t>
  </si>
  <si>
    <t>Chq-1-11-25</t>
  </si>
  <si>
    <t>BAH-10418516</t>
  </si>
  <si>
    <t>MB-A25766055</t>
  </si>
  <si>
    <t>BAH-10694720</t>
  </si>
  <si>
    <t>BAH-10302017</t>
  </si>
  <si>
    <t>MH Pan</t>
  </si>
  <si>
    <t>HM-185566147</t>
  </si>
  <si>
    <t xml:space="preserve">Fayyaz </t>
  </si>
  <si>
    <t>HM-185933573</t>
  </si>
  <si>
    <t>BAH-10046571</t>
  </si>
  <si>
    <t>HM-185520929</t>
  </si>
  <si>
    <t>FM marketing-3220</t>
  </si>
  <si>
    <t>Panjwani-4620</t>
  </si>
  <si>
    <t>Fahad</t>
  </si>
  <si>
    <t>Daniyal</t>
  </si>
  <si>
    <t>18-10-25</t>
  </si>
  <si>
    <t>MB-A23710796</t>
  </si>
  <si>
    <t>Bill-35170</t>
  </si>
  <si>
    <t>Tariq brother</t>
  </si>
  <si>
    <t>BAF-48241660</t>
  </si>
  <si>
    <t>MB-E43683221</t>
  </si>
  <si>
    <t>BAH-11449588</t>
  </si>
  <si>
    <t>Bill-4720</t>
  </si>
  <si>
    <t>SS conf</t>
  </si>
  <si>
    <t>Bill-4710</t>
  </si>
  <si>
    <t>Mavia conf</t>
  </si>
  <si>
    <t>Bill-4700</t>
  </si>
  <si>
    <t xml:space="preserve">White smoke </t>
  </si>
  <si>
    <t>Bill-4690</t>
  </si>
  <si>
    <t>Bill-4730</t>
  </si>
  <si>
    <t>Bill-4620</t>
  </si>
  <si>
    <t>Adv Maroof</t>
  </si>
  <si>
    <t>Adv Fahad</t>
  </si>
  <si>
    <t>BI-00200984</t>
  </si>
  <si>
    <t>Ja conf</t>
  </si>
  <si>
    <t>Asif-4370</t>
  </si>
  <si>
    <t>Adil Gs</t>
  </si>
  <si>
    <t>Fayyaz-34920</t>
  </si>
  <si>
    <t>Adv</t>
  </si>
  <si>
    <t>Dastageer</t>
  </si>
  <si>
    <t>Asif-3480</t>
  </si>
  <si>
    <t xml:space="preserve">New Karachi </t>
  </si>
  <si>
    <t>Asif-3500</t>
  </si>
  <si>
    <t>faizan-34270</t>
  </si>
  <si>
    <t>Imran store</t>
  </si>
  <si>
    <t>faizan</t>
  </si>
  <si>
    <t>MB-A22534767</t>
  </si>
  <si>
    <t>20-10-25</t>
  </si>
  <si>
    <t>BAF-47601576</t>
  </si>
  <si>
    <t>BAH-10151938</t>
  </si>
  <si>
    <t>MB-A-13619457</t>
  </si>
  <si>
    <t>BAH-10302763</t>
  </si>
  <si>
    <t>BAH-10968576</t>
  </si>
  <si>
    <t>BAH-10968580</t>
  </si>
  <si>
    <t>Pak dry gs</t>
  </si>
  <si>
    <t>Zikriya</t>
  </si>
  <si>
    <t>Abdul Rahman</t>
  </si>
  <si>
    <t>Ahmed n sons</t>
  </si>
  <si>
    <t>Salf mart</t>
  </si>
  <si>
    <t>FM marketing</t>
  </si>
  <si>
    <t>Tawakal conf-4020</t>
  </si>
  <si>
    <t>Bill-4780</t>
  </si>
  <si>
    <t>Bill-4800</t>
  </si>
  <si>
    <t>Bill-4770</t>
  </si>
  <si>
    <t>Bill-4790</t>
  </si>
  <si>
    <t>Chq-3-11-25</t>
  </si>
  <si>
    <t>MB-A25862321</t>
  </si>
  <si>
    <t>UBL-84462304</t>
  </si>
  <si>
    <t>Chq-26-25-25</t>
  </si>
  <si>
    <t>BI-00201673</t>
  </si>
  <si>
    <t>BAH-11093734</t>
  </si>
  <si>
    <t>Chq-28-10-25</t>
  </si>
  <si>
    <t>MB-A28398626</t>
  </si>
  <si>
    <t>AB-2505970794</t>
  </si>
  <si>
    <t>UBL-86373278</t>
  </si>
  <si>
    <t>MCB-2051448519</t>
  </si>
  <si>
    <t>BI-00041408</t>
  </si>
  <si>
    <t>BAH-10221882</t>
  </si>
  <si>
    <t>Chq-29-10-25</t>
  </si>
  <si>
    <t>MCB-05094432</t>
  </si>
  <si>
    <t>MB-A28413462</t>
  </si>
  <si>
    <t>Asif-4490</t>
  </si>
  <si>
    <t>Faizan-33970</t>
  </si>
  <si>
    <t>21-10-25</t>
  </si>
  <si>
    <t>BAH-1048535</t>
  </si>
  <si>
    <t>HBL-0000441</t>
  </si>
  <si>
    <t>MB-A25766058</t>
  </si>
  <si>
    <t>BAH-10302020</t>
  </si>
  <si>
    <t>UBL-82440366</t>
  </si>
  <si>
    <t>UBL-82543877</t>
  </si>
  <si>
    <t>Bill-6530</t>
  </si>
  <si>
    <t>Bill-6470</t>
  </si>
  <si>
    <t>Adv Asgher</t>
  </si>
  <si>
    <t>System</t>
  </si>
  <si>
    <t>Faizan-33960</t>
  </si>
  <si>
    <t>Asif-4300</t>
  </si>
  <si>
    <t>Asif4440</t>
  </si>
  <si>
    <t>Asif-4540</t>
  </si>
  <si>
    <t>Asif-3980</t>
  </si>
  <si>
    <t>Asif-4290</t>
  </si>
  <si>
    <t>Asif-4170</t>
  </si>
  <si>
    <t>2 box returned</t>
  </si>
  <si>
    <t>Ismail conf-3670</t>
  </si>
  <si>
    <t>Baqalaconf</t>
  </si>
  <si>
    <t>Parim store</t>
  </si>
  <si>
    <t>Famous gs</t>
  </si>
  <si>
    <t>Cool Kiryana</t>
  </si>
  <si>
    <t>Aslam suplair</t>
  </si>
  <si>
    <t>HM-185933574</t>
  </si>
  <si>
    <t>BAH-10297570</t>
  </si>
  <si>
    <t>UBL-86373267</t>
  </si>
  <si>
    <t>UBL-82440359</t>
  </si>
  <si>
    <t>BAH-10694713</t>
  </si>
  <si>
    <t>BAH-10046572</t>
  </si>
  <si>
    <t>SB-CA82028039</t>
  </si>
  <si>
    <t>BAH-10300318</t>
  </si>
  <si>
    <t>22-10-25</t>
  </si>
  <si>
    <t>Asif-4220</t>
  </si>
  <si>
    <t>Asif-4340</t>
  </si>
  <si>
    <t>Chq-2-11-25</t>
  </si>
  <si>
    <t>UBL-84462305</t>
  </si>
  <si>
    <t>MB-E43683231</t>
  </si>
  <si>
    <t>Amman GS</t>
  </si>
  <si>
    <t>Bill-37030</t>
  </si>
  <si>
    <t>MB-A24079064</t>
  </si>
  <si>
    <t>BAH-11647249</t>
  </si>
  <si>
    <t>Bill-37450</t>
  </si>
  <si>
    <t>M.Pan</t>
  </si>
  <si>
    <t>Asif-4440</t>
  </si>
  <si>
    <t>Shazy &amp; Asger sheets are merged</t>
  </si>
  <si>
    <t>maroof shortage received</t>
  </si>
  <si>
    <t>MB-A19464353</t>
  </si>
  <si>
    <t>Asif-4260</t>
  </si>
  <si>
    <t>Bill-4890</t>
  </si>
  <si>
    <t>Mehmood kashif</t>
  </si>
  <si>
    <t>Bill-4910</t>
  </si>
  <si>
    <t>M.Rahim</t>
  </si>
  <si>
    <t>Bill-4850</t>
  </si>
  <si>
    <t>Bill-4900</t>
  </si>
  <si>
    <t>MH.Pan</t>
  </si>
  <si>
    <t>Bill-4920</t>
  </si>
  <si>
    <t>Nasir &amp; sons</t>
  </si>
  <si>
    <t>MB-A26471065</t>
  </si>
  <si>
    <t>BML-97668393</t>
  </si>
  <si>
    <t>BI-00201682</t>
  </si>
  <si>
    <t>MB-A28413489</t>
  </si>
  <si>
    <t>Bill-7190</t>
  </si>
  <si>
    <t>Umair&amp;Abid</t>
  </si>
  <si>
    <t>Bill-7390</t>
  </si>
  <si>
    <t>Fsyyaz</t>
  </si>
  <si>
    <t>MCB-2045687492</t>
  </si>
  <si>
    <t>MB-E43683218</t>
  </si>
  <si>
    <t>BLH-10079325</t>
  </si>
  <si>
    <t>HM-185520930</t>
  </si>
  <si>
    <t>Shahdi &amp; Bilal</t>
  </si>
  <si>
    <t>Stantder</t>
  </si>
  <si>
    <t>Midway Food-4630</t>
  </si>
  <si>
    <t>RY Traders-3960</t>
  </si>
  <si>
    <t>Panjwani-4800</t>
  </si>
  <si>
    <t>Asif-4650</t>
  </si>
  <si>
    <t>Asif-4330</t>
  </si>
  <si>
    <t>Fayyaz-34590</t>
  </si>
  <si>
    <t>Asif-4450</t>
  </si>
  <si>
    <t>Asif-4800</t>
  </si>
  <si>
    <t>24-10-25</t>
  </si>
  <si>
    <t>BAH-11013913</t>
  </si>
  <si>
    <t>Fayyaz-37190</t>
  </si>
  <si>
    <t>Bill-38350</t>
  </si>
  <si>
    <t>Ghanchi General</t>
  </si>
  <si>
    <t>MB-A22195539</t>
  </si>
  <si>
    <t xml:space="preserve">Siraj-3540 </t>
  </si>
  <si>
    <t>BML-97662923</t>
  </si>
  <si>
    <t>Bill-4960</t>
  </si>
  <si>
    <t>Bill-4950</t>
  </si>
  <si>
    <t>Bill-4980</t>
  </si>
  <si>
    <t>Zikeria conf</t>
  </si>
  <si>
    <t>Bill-4970</t>
  </si>
  <si>
    <t>Bill-4930</t>
  </si>
  <si>
    <t>Bill-4940</t>
  </si>
  <si>
    <t>Bill-4990</t>
  </si>
  <si>
    <t>25-10-25</t>
  </si>
  <si>
    <t>shezy</t>
  </si>
  <si>
    <t>Bill-5050</t>
  </si>
  <si>
    <t xml:space="preserve">Karachi conf  </t>
  </si>
  <si>
    <t>Bill-5010</t>
  </si>
  <si>
    <t>Bill-5060</t>
  </si>
  <si>
    <t>BAH-11449597</t>
  </si>
  <si>
    <t>Chq-5-11-25</t>
  </si>
  <si>
    <t>BAF-47250962</t>
  </si>
  <si>
    <t xml:space="preserve"> </t>
  </si>
  <si>
    <t>Chq-6-11-25</t>
  </si>
  <si>
    <t>BAF-26615307</t>
  </si>
  <si>
    <t>Bill-38170</t>
  </si>
  <si>
    <t>Umair GS</t>
  </si>
  <si>
    <t>Bill-38250</t>
  </si>
  <si>
    <t>Owais khna</t>
  </si>
  <si>
    <t>UBL-84462308</t>
  </si>
  <si>
    <t>UBL-84462309</t>
  </si>
  <si>
    <t>Bill-38190</t>
  </si>
  <si>
    <t>Mid Way B</t>
  </si>
  <si>
    <t>Today Sheet</t>
  </si>
  <si>
    <t>Sajid-37030</t>
  </si>
  <si>
    <t>Faizan-8350</t>
  </si>
  <si>
    <t>Ubaida adv</t>
  </si>
  <si>
    <t>Asif WS</t>
  </si>
  <si>
    <t>Adv Saman</t>
  </si>
  <si>
    <t>27-10-25</t>
  </si>
  <si>
    <t>Faizan-37450</t>
  </si>
  <si>
    <t>Chq-7-11-25</t>
  </si>
  <si>
    <t>BAH-11013927</t>
  </si>
  <si>
    <t>Bill-38990</t>
  </si>
  <si>
    <t>Golden Vip</t>
  </si>
  <si>
    <t>Bill-38950</t>
  </si>
  <si>
    <t xml:space="preserve">Ahmed mart </t>
  </si>
  <si>
    <t>Bill-38930</t>
  </si>
  <si>
    <t>Faizan-6470</t>
  </si>
  <si>
    <t>Faizan-6530</t>
  </si>
  <si>
    <t>Bill-38490</t>
  </si>
  <si>
    <t>ZA.Mart</t>
  </si>
  <si>
    <t>Chq-8-11-25</t>
  </si>
  <si>
    <t>BI-00254699</t>
  </si>
  <si>
    <t>MB-A27489348</t>
  </si>
  <si>
    <t>Chq-1-10-25</t>
  </si>
  <si>
    <t>BI-00201692</t>
  </si>
  <si>
    <t>UBL-85063444</t>
  </si>
  <si>
    <t>Chq-4-10-25</t>
  </si>
  <si>
    <t>FB-CA0001753</t>
  </si>
  <si>
    <t>Bill-38580</t>
  </si>
  <si>
    <t>Al shams</t>
  </si>
  <si>
    <t>HM-185933575</t>
  </si>
  <si>
    <t>BAH-10290095</t>
  </si>
  <si>
    <t>HM-185520931</t>
  </si>
  <si>
    <t>HM-185520932</t>
  </si>
  <si>
    <t>Ismail conf-4010</t>
  </si>
  <si>
    <t>Fayyaz-38170</t>
  </si>
  <si>
    <t>Bill-5140</t>
  </si>
  <si>
    <t>Bill-5110</t>
  </si>
  <si>
    <t>Bill-5080</t>
  </si>
  <si>
    <t>Bill-5070</t>
  </si>
  <si>
    <t>New karachi</t>
  </si>
  <si>
    <t>Bill-5090</t>
  </si>
  <si>
    <t>BS Shahzad</t>
  </si>
  <si>
    <t>Bill-5100</t>
  </si>
  <si>
    <t>Bill-5120</t>
  </si>
  <si>
    <t>MS Farooq</t>
  </si>
  <si>
    <t>Bill-5130</t>
  </si>
  <si>
    <t>Dastageer conf</t>
  </si>
  <si>
    <t>28-10-25</t>
  </si>
  <si>
    <t>UBL-82440372</t>
  </si>
  <si>
    <t>BAH-11924844</t>
  </si>
  <si>
    <t>BAH-10304288</t>
  </si>
  <si>
    <t>Bill-9440</t>
  </si>
  <si>
    <t>Asif-5010</t>
  </si>
  <si>
    <t>Asif-5070</t>
  </si>
  <si>
    <t>Asif-4690</t>
  </si>
  <si>
    <t>Asif-4780</t>
  </si>
  <si>
    <t>HBL-00000446</t>
  </si>
  <si>
    <t>BAH-10418267</t>
  </si>
  <si>
    <t>Bill-8890</t>
  </si>
  <si>
    <t>Ms Milk Shop</t>
  </si>
  <si>
    <t>Al Makkah</t>
  </si>
  <si>
    <t>UBL-85061294</t>
  </si>
  <si>
    <t>MB-E43683219</t>
  </si>
  <si>
    <t>Askari-00184966</t>
  </si>
  <si>
    <t>DIB-32058323</t>
  </si>
  <si>
    <t>MCB-2052171667</t>
  </si>
  <si>
    <t>Zikariya conf</t>
  </si>
  <si>
    <t>Midway Food-4510</t>
  </si>
  <si>
    <t>Ahmad store</t>
  </si>
  <si>
    <t xml:space="preserve">Mid Way </t>
  </si>
  <si>
    <t>BS Amir</t>
  </si>
  <si>
    <t>Shazad conf-4650</t>
  </si>
  <si>
    <t>Zunaisha-4450</t>
  </si>
  <si>
    <t>NAME: Shahzad</t>
  </si>
  <si>
    <t>Asif-5060</t>
  </si>
  <si>
    <t>Adv Sumair</t>
  </si>
  <si>
    <t>Asif-4720</t>
  </si>
  <si>
    <t>Hmmad noor</t>
  </si>
  <si>
    <t>29-10-25</t>
  </si>
  <si>
    <t>Asif-4910</t>
  </si>
  <si>
    <t>BAF-48241662</t>
  </si>
  <si>
    <t>MB-A24079065</t>
  </si>
  <si>
    <t>Bill-9850</t>
  </si>
  <si>
    <t xml:space="preserve">Salman </t>
  </si>
  <si>
    <t>Bill-39960</t>
  </si>
  <si>
    <t>Fayyaz-37360</t>
  </si>
  <si>
    <t>Asif-4940</t>
  </si>
  <si>
    <t>Irfan conf-4500</t>
  </si>
  <si>
    <t>BAH-10887589</t>
  </si>
  <si>
    <t>Chq-4-11-25</t>
  </si>
  <si>
    <t>Chq-9-11-25</t>
  </si>
  <si>
    <t>BAH-11449599</t>
  </si>
  <si>
    <t>Chq-10-11-25</t>
  </si>
  <si>
    <t>UBL-84462314</t>
  </si>
  <si>
    <t>MB-A28819794</t>
  </si>
  <si>
    <t>HM-185566158</t>
  </si>
  <si>
    <t>Bill-9190</t>
  </si>
  <si>
    <t>Hazara gs</t>
  </si>
  <si>
    <t>Amman gs</t>
  </si>
  <si>
    <t>Bill-9300</t>
  </si>
  <si>
    <t>Ibthaj gs</t>
  </si>
  <si>
    <t>Bill-9180</t>
  </si>
  <si>
    <t>Prance st</t>
  </si>
  <si>
    <t>Bill-9430</t>
  </si>
  <si>
    <t>Umair st</t>
  </si>
  <si>
    <t>Bill-9390</t>
  </si>
  <si>
    <t>P\C sand to bank</t>
  </si>
  <si>
    <t>30-10-25</t>
  </si>
  <si>
    <t>HM-185520933</t>
  </si>
  <si>
    <t>Faizan-9440</t>
  </si>
  <si>
    <t>Dattari GS</t>
  </si>
  <si>
    <t>BI-00042609</t>
  </si>
  <si>
    <t>MB-A28398631</t>
  </si>
  <si>
    <t>Bill-39830</t>
  </si>
  <si>
    <t>MB-A28413514</t>
  </si>
  <si>
    <t>because both  sheets were delivered by maroof salesman</t>
  </si>
  <si>
    <t>Fayyaz-38490</t>
  </si>
  <si>
    <t>Asif-4850</t>
  </si>
  <si>
    <t>Asif-4920</t>
  </si>
  <si>
    <t>farhaj to Biocare BT</t>
  </si>
  <si>
    <t>Asif-4930</t>
  </si>
  <si>
    <t>Asif-4970</t>
  </si>
  <si>
    <t>Asif-4890</t>
  </si>
  <si>
    <t>Bill-5200</t>
  </si>
  <si>
    <t>Bill-5260</t>
  </si>
  <si>
    <t>Bill-5240</t>
  </si>
  <si>
    <t>Bill-5230</t>
  </si>
  <si>
    <t>Nasir&amp;Sons</t>
  </si>
  <si>
    <t>Asif-4710</t>
  </si>
  <si>
    <t>Chq-14-11-25</t>
  </si>
  <si>
    <t>BML-97668406</t>
  </si>
  <si>
    <t>Chq-16-11-25</t>
  </si>
  <si>
    <t>BAH-11198025</t>
  </si>
  <si>
    <t>Chq-23-11-25</t>
  </si>
  <si>
    <t>BAH-11198026</t>
  </si>
  <si>
    <t>BAH-11198027</t>
  </si>
  <si>
    <t>Chq-30-11-25</t>
  </si>
  <si>
    <t>HBL-000178</t>
  </si>
  <si>
    <t>HBL-000177</t>
  </si>
  <si>
    <t xml:space="preserve">CD </t>
  </si>
  <si>
    <t>Hamid Adv</t>
  </si>
  <si>
    <t>Huzaifa WS</t>
  </si>
  <si>
    <t>Bill-5390</t>
  </si>
  <si>
    <t>31-10-25</t>
  </si>
  <si>
    <t>Bill-40700</t>
  </si>
  <si>
    <t>Datari GS</t>
  </si>
  <si>
    <t>BI-85461823</t>
  </si>
  <si>
    <t>MB-A99949650</t>
  </si>
  <si>
    <t>Chq-12-11-25</t>
  </si>
  <si>
    <t>BAH-10418291</t>
  </si>
  <si>
    <t>VAN</t>
  </si>
  <si>
    <t>Bill-5330</t>
  </si>
  <si>
    <t>Twakal conf</t>
  </si>
  <si>
    <t>Bill-5290</t>
  </si>
  <si>
    <t>Bill-5360</t>
  </si>
  <si>
    <t>Bill-5350</t>
  </si>
  <si>
    <t>BAH-10303474</t>
  </si>
  <si>
    <t>Bill-39950</t>
  </si>
  <si>
    <t>Qadeer Med</t>
  </si>
  <si>
    <t>Bill-39790</t>
  </si>
  <si>
    <t>The mart</t>
  </si>
  <si>
    <t>Bill-39730</t>
  </si>
  <si>
    <t>Bill-39750</t>
  </si>
  <si>
    <t>Pak Dry</t>
  </si>
  <si>
    <t>Kainat conf</t>
  </si>
  <si>
    <t>Ismail conf-4340</t>
  </si>
  <si>
    <t xml:space="preserve">Al Shmas </t>
  </si>
  <si>
    <t>Ahmed Mart</t>
  </si>
  <si>
    <t>Tawakal conf-4330</t>
  </si>
  <si>
    <t>BAH-10303138</t>
  </si>
  <si>
    <t>BAH-11233702</t>
  </si>
  <si>
    <t>BAH-10221892</t>
  </si>
  <si>
    <t>BAH-10304295</t>
  </si>
  <si>
    <t>Noor provision</t>
  </si>
  <si>
    <t>Cheque-</t>
  </si>
  <si>
    <t>Bank-</t>
  </si>
  <si>
    <t>Company</t>
  </si>
  <si>
    <t>Ali/Owais</t>
  </si>
  <si>
    <t>Adv Naqeeb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</si>
</sst>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5" borderId="0" xfId="0" applyFont="1" applyFill="1" applyAlignment="1">
      <alignment horizontal="center" vertical="center"/>
    </xf>
    <xf numFmtId="164" fontId="0" fillId="0" borderId="0" xfId="1" applyNumberFormat="1" applyFont="1"/>
    <xf numFmtId="164" fontId="3" fillId="4" borderId="5" xfId="1" applyNumberFormat="1" applyFont="1" applyFill="1" applyBorder="1" applyAlignment="1">
      <alignment horizontal="center"/>
    </xf>
    <xf numFmtId="164" fontId="5" fillId="0" borderId="1" xfId="1" applyNumberFormat="1" applyFont="1" applyBorder="1"/>
    <xf numFmtId="164" fontId="3" fillId="3" borderId="2" xfId="1" applyNumberFormat="1" applyFont="1" applyFill="1" applyBorder="1" applyAlignment="1">
      <alignment vertical="center"/>
    </xf>
    <xf numFmtId="164" fontId="3" fillId="2" borderId="4" xfId="1" applyNumberFormat="1" applyFont="1" applyFill="1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2" fillId="5" borderId="0" xfId="0" applyFont="1" applyFill="1" applyBorder="1" applyAlignment="1">
      <alignment horizontal="center" vertical="center"/>
    </xf>
    <xf numFmtId="164" fontId="0" fillId="0" borderId="0" xfId="1" applyNumberFormat="1" applyFont="1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Fill="1" applyBorder="1"/>
    <xf numFmtId="164" fontId="0" fillId="0" borderId="9" xfId="1" applyNumberFormat="1" applyFont="1" applyBorder="1"/>
    <xf numFmtId="164" fontId="0" fillId="0" borderId="11" xfId="1" applyNumberFormat="1" applyFont="1" applyBorder="1"/>
    <xf numFmtId="0" fontId="3" fillId="6" borderId="12" xfId="0" applyFont="1" applyFill="1" applyBorder="1" applyAlignment="1">
      <alignment vertical="center"/>
    </xf>
    <xf numFmtId="0" fontId="3" fillId="6" borderId="13" xfId="0" applyFont="1" applyFill="1" applyBorder="1" applyAlignment="1">
      <alignment vertical="center"/>
    </xf>
    <xf numFmtId="164" fontId="3" fillId="6" borderId="14" xfId="1" applyNumberFormat="1" applyFont="1" applyFill="1" applyBorder="1" applyAlignment="1">
      <alignment vertical="center"/>
    </xf>
    <xf numFmtId="0" fontId="4" fillId="0" borderId="0" xfId="0" applyFont="1" applyFill="1"/>
    <xf numFmtId="0" fontId="4" fillId="0" borderId="10" xfId="0" applyFont="1" applyFill="1" applyBorder="1"/>
    <xf numFmtId="0" fontId="4" fillId="0" borderId="11" xfId="0" applyFont="1" applyFill="1" applyBorder="1"/>
    <xf numFmtId="0" fontId="4" fillId="0" borderId="0" xfId="0" applyFont="1" applyFill="1" applyAlignment="1">
      <alignment horizontal="center" vertical="center"/>
    </xf>
    <xf numFmtId="0" fontId="3" fillId="0" borderId="0" xfId="0" applyFont="1"/>
    <xf numFmtId="0" fontId="3" fillId="0" borderId="10" xfId="0" applyFont="1" applyBorder="1"/>
    <xf numFmtId="0" fontId="3" fillId="0" borderId="11" xfId="0" applyFont="1" applyBorder="1"/>
    <xf numFmtId="0" fontId="3" fillId="7" borderId="10" xfId="0" applyFont="1" applyFill="1" applyBorder="1"/>
    <xf numFmtId="0" fontId="3" fillId="7" borderId="0" xfId="0" applyFont="1" applyFill="1" applyBorder="1"/>
    <xf numFmtId="164" fontId="3" fillId="7" borderId="11" xfId="1" applyNumberFormat="1" applyFont="1" applyFill="1" applyBorder="1"/>
    <xf numFmtId="164" fontId="0" fillId="8" borderId="0" xfId="1" applyNumberFormat="1" applyFont="1" applyFill="1"/>
    <xf numFmtId="164" fontId="0" fillId="8" borderId="0" xfId="1" applyNumberFormat="1" applyFont="1" applyFill="1" applyBorder="1"/>
    <xf numFmtId="0" fontId="4" fillId="8" borderId="0" xfId="0" applyFont="1" applyFill="1" applyBorder="1" applyAlignment="1">
      <alignment horizontal="center" vertical="center"/>
    </xf>
    <xf numFmtId="0" fontId="0" fillId="8" borderId="0" xfId="0" applyFill="1" applyBorder="1" applyAlignment="1">
      <alignment horizontal="center"/>
    </xf>
    <xf numFmtId="0" fontId="0" fillId="8" borderId="0" xfId="0" applyFill="1" applyBorder="1"/>
    <xf numFmtId="164" fontId="5" fillId="8" borderId="1" xfId="1" applyNumberFormat="1" applyFont="1" applyFill="1" applyBorder="1"/>
    <xf numFmtId="0" fontId="0" fillId="8" borderId="7" xfId="0" applyFill="1" applyBorder="1"/>
    <xf numFmtId="0" fontId="0" fillId="8" borderId="8" xfId="0" applyFill="1" applyBorder="1"/>
    <xf numFmtId="164" fontId="0" fillId="8" borderId="9" xfId="1" applyNumberFormat="1" applyFont="1" applyFill="1" applyBorder="1"/>
    <xf numFmtId="0" fontId="0" fillId="8" borderId="10" xfId="0" applyFill="1" applyBorder="1"/>
    <xf numFmtId="164" fontId="0" fillId="8" borderId="11" xfId="1" applyNumberFormat="1" applyFont="1" applyFill="1" applyBorder="1"/>
    <xf numFmtId="0" fontId="3" fillId="11" borderId="0" xfId="0" applyFont="1" applyFill="1" applyAlignment="1">
      <alignment horizontal="center"/>
    </xf>
    <xf numFmtId="0" fontId="3" fillId="4" borderId="0" xfId="0" applyFont="1" applyFill="1"/>
    <xf numFmtId="164" fontId="3" fillId="4" borderId="0" xfId="1" applyNumberFormat="1" applyFont="1" applyFill="1"/>
    <xf numFmtId="0" fontId="2" fillId="10" borderId="0" xfId="0" applyFont="1" applyFill="1"/>
    <xf numFmtId="164" fontId="2" fillId="10" borderId="0" xfId="1" applyNumberFormat="1" applyFont="1" applyFill="1"/>
    <xf numFmtId="14" fontId="0" fillId="0" borderId="0" xfId="0" applyNumberFormat="1"/>
    <xf numFmtId="0" fontId="0" fillId="9" borderId="0" xfId="0" applyFill="1"/>
    <xf numFmtId="0" fontId="3" fillId="9" borderId="0" xfId="0" applyFont="1" applyFill="1"/>
    <xf numFmtId="0" fontId="3" fillId="11" borderId="1" xfId="0" applyFont="1" applyFill="1" applyBorder="1"/>
    <xf numFmtId="0" fontId="2" fillId="10" borderId="0" xfId="0" applyFont="1" applyFill="1" applyBorder="1" applyAlignment="1">
      <alignment vertical="center"/>
    </xf>
    <xf numFmtId="164" fontId="2" fillId="10" borderId="0" xfId="0" applyNumberFormat="1" applyFont="1" applyFill="1" applyBorder="1" applyAlignment="1">
      <alignment vertical="center"/>
    </xf>
    <xf numFmtId="0" fontId="3" fillId="12" borderId="5" xfId="0" applyFont="1" applyFill="1" applyBorder="1"/>
    <xf numFmtId="164" fontId="3" fillId="12" borderId="5" xfId="0" applyNumberFormat="1" applyFont="1" applyFill="1" applyBorder="1"/>
    <xf numFmtId="0" fontId="3" fillId="11" borderId="1" xfId="0" applyFont="1" applyFill="1" applyBorder="1" applyAlignment="1"/>
    <xf numFmtId="0" fontId="3" fillId="9" borderId="0" xfId="0" applyFont="1" applyFill="1" applyBorder="1" applyAlignment="1">
      <alignment horizontal="center"/>
    </xf>
    <xf numFmtId="3" fontId="0" fillId="0" borderId="0" xfId="0" applyNumberFormat="1"/>
    <xf numFmtId="164" fontId="0" fillId="0" borderId="0" xfId="0" applyNumberFormat="1"/>
    <xf numFmtId="0" fontId="3" fillId="9" borderId="1" xfId="0" applyFont="1" applyFill="1" applyBorder="1" applyAlignment="1">
      <alignment horizontal="center"/>
    </xf>
    <xf numFmtId="0" fontId="0" fillId="0" borderId="9" xfId="0" applyBorder="1"/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 applyAlignment="1"/>
    <xf numFmtId="0" fontId="0" fillId="13" borderId="0" xfId="0" applyFill="1"/>
    <xf numFmtId="15" fontId="0" fillId="13" borderId="0" xfId="0" applyNumberFormat="1" applyFill="1" applyBorder="1" applyAlignment="1">
      <alignment horizontal="left"/>
    </xf>
    <xf numFmtId="0" fontId="0" fillId="13" borderId="0" xfId="0" applyFill="1" applyBorder="1"/>
    <xf numFmtId="15" fontId="0" fillId="13" borderId="0" xfId="0" applyNumberFormat="1" applyFill="1" applyBorder="1"/>
    <xf numFmtId="3" fontId="3" fillId="11" borderId="1" xfId="0" applyNumberFormat="1" applyFont="1" applyFill="1" applyBorder="1"/>
    <xf numFmtId="164" fontId="0" fillId="13" borderId="0" xfId="1" applyNumberFormat="1" applyFont="1" applyFill="1" applyBorder="1"/>
    <xf numFmtId="3" fontId="0" fillId="13" borderId="0" xfId="0" applyNumberFormat="1" applyFill="1" applyBorder="1"/>
    <xf numFmtId="3" fontId="0" fillId="13" borderId="0" xfId="1" applyNumberFormat="1" applyFont="1" applyFill="1" applyBorder="1"/>
    <xf numFmtId="0" fontId="0" fillId="13" borderId="0" xfId="0" applyFill="1" applyBorder="1" applyAlignment="1">
      <alignment horizontal="left"/>
    </xf>
    <xf numFmtId="15" fontId="0" fillId="13" borderId="0" xfId="0" applyNumberFormat="1" applyFill="1" applyBorder="1" applyAlignment="1">
      <alignment horizontal="right"/>
    </xf>
    <xf numFmtId="49" fontId="0" fillId="13" borderId="0" xfId="0" applyNumberFormat="1" applyFill="1" applyBorder="1" applyAlignment="1">
      <alignment horizontal="left"/>
    </xf>
    <xf numFmtId="0" fontId="3" fillId="11" borderId="15" xfId="0" applyFont="1" applyFill="1" applyBorder="1" applyAlignment="1"/>
    <xf numFmtId="0" fontId="3" fillId="11" borderId="15" xfId="0" applyFont="1" applyFill="1" applyBorder="1"/>
    <xf numFmtId="0" fontId="0" fillId="0" borderId="16" xfId="0" applyBorder="1"/>
    <xf numFmtId="15" fontId="0" fillId="13" borderId="0" xfId="0" applyNumberFormat="1" applyFill="1" applyBorder="1" applyAlignment="1">
      <alignment horizontal="center"/>
    </xf>
    <xf numFmtId="15" fontId="0" fillId="0" borderId="0" xfId="0" applyNumberFormat="1" applyFill="1" applyBorder="1"/>
    <xf numFmtId="0" fontId="0" fillId="0" borderId="0" xfId="0" applyAlignment="1">
      <alignment horizontal="left"/>
    </xf>
    <xf numFmtId="3" fontId="3" fillId="11" borderId="15" xfId="0" applyNumberFormat="1" applyFont="1" applyFill="1" applyBorder="1"/>
    <xf numFmtId="3" fontId="0" fillId="0" borderId="0" xfId="0" applyNumberFormat="1" applyBorder="1"/>
    <xf numFmtId="0" fontId="3" fillId="11" borderId="0" xfId="0" applyFont="1" applyFill="1" applyAlignment="1"/>
    <xf numFmtId="0" fontId="3" fillId="11" borderId="0" xfId="0" applyFont="1" applyFill="1" applyAlignment="1">
      <alignment horizontal="left"/>
    </xf>
    <xf numFmtId="0" fontId="0" fillId="0" borderId="17" xfId="0" applyBorder="1"/>
    <xf numFmtId="0" fontId="3" fillId="13" borderId="1" xfId="0" applyFont="1" applyFill="1" applyBorder="1" applyAlignment="1"/>
    <xf numFmtId="0" fontId="0" fillId="4" borderId="0" xfId="0" applyFill="1" applyBorder="1"/>
    <xf numFmtId="15" fontId="0" fillId="4" borderId="0" xfId="0" applyNumberFormat="1" applyFill="1" applyBorder="1"/>
    <xf numFmtId="3" fontId="0" fillId="4" borderId="0" xfId="0" applyNumberFormat="1" applyFill="1" applyBorder="1"/>
    <xf numFmtId="15" fontId="0" fillId="4" borderId="0" xfId="0" applyNumberFormat="1" applyFill="1" applyBorder="1" applyAlignment="1">
      <alignment horizontal="right"/>
    </xf>
    <xf numFmtId="15" fontId="0" fillId="0" borderId="0" xfId="0" applyNumberFormat="1" applyBorder="1" applyAlignment="1">
      <alignment horizontal="right"/>
    </xf>
    <xf numFmtId="15" fontId="0" fillId="0" borderId="0" xfId="0" applyNumberFormat="1" applyBorder="1" applyAlignment="1">
      <alignment horizontal="center"/>
    </xf>
    <xf numFmtId="0" fontId="0" fillId="14" borderId="0" xfId="0" applyFill="1"/>
    <xf numFmtId="164" fontId="0" fillId="14" borderId="0" xfId="1" applyNumberFormat="1" applyFont="1" applyFill="1"/>
    <xf numFmtId="15" fontId="0" fillId="0" borderId="0" xfId="0" applyNumberFormat="1" applyBorder="1"/>
    <xf numFmtId="164" fontId="0" fillId="15" borderId="0" xfId="1" applyNumberFormat="1" applyFont="1" applyFill="1"/>
    <xf numFmtId="0" fontId="0" fillId="15" borderId="0" xfId="0" applyFill="1"/>
    <xf numFmtId="164" fontId="0" fillId="13" borderId="0" xfId="1" applyNumberFormat="1" applyFont="1" applyFill="1" applyBorder="1" applyAlignment="1">
      <alignment horizontal="right"/>
    </xf>
    <xf numFmtId="0" fontId="0" fillId="16" borderId="0" xfId="0" applyFill="1"/>
    <xf numFmtId="164" fontId="0" fillId="16" borderId="0" xfId="1" applyNumberFormat="1" applyFont="1" applyFill="1"/>
    <xf numFmtId="0" fontId="0" fillId="7" borderId="16" xfId="0" applyFill="1" applyBorder="1"/>
    <xf numFmtId="164" fontId="0" fillId="0" borderId="0" xfId="1" applyNumberFormat="1" applyFont="1" applyFill="1" applyBorder="1"/>
    <xf numFmtId="0" fontId="0" fillId="0" borderId="0" xfId="0" applyBorder="1" applyAlignment="1">
      <alignment horizontal="left"/>
    </xf>
    <xf numFmtId="3" fontId="0" fillId="13" borderId="0" xfId="0" applyNumberFormat="1" applyFill="1" applyBorder="1" applyAlignment="1">
      <alignment horizontal="right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L42"/>
  <sheetViews>
    <sheetView zoomScale="80" zoomScaleNormal="80" workbookViewId="0">
      <selection activeCell="AC15" sqref="AC15"/>
    </sheetView>
  </sheetViews>
  <sheetFormatPr defaultRowHeight="15"/>
  <cols>
    <col min="3" max="3" width="14" bestFit="1" customWidth="1"/>
    <col min="5" max="5" width="0.7109375" customWidth="1"/>
    <col min="9" max="9" width="0.7109375" customWidth="1"/>
    <col min="11" max="11" width="13.7109375" bestFit="1" customWidth="1"/>
    <col min="13" max="13" width="0.28515625" customWidth="1"/>
    <col min="15" max="15" width="14" bestFit="1" customWidth="1"/>
    <col min="17" max="17" width="0.5703125" customWidth="1"/>
    <col min="21" max="21" width="0.42578125" customWidth="1"/>
    <col min="22" max="22" width="1.28515625" customWidth="1"/>
    <col min="25" max="25" width="9.5703125" bestFit="1" customWidth="1"/>
    <col min="26" max="26" width="1.85546875" customWidth="1"/>
    <col min="27" max="27" width="0.42578125" customWidth="1"/>
    <col min="28" max="28" width="15.28515625" bestFit="1" customWidth="1"/>
    <col min="29" max="29" width="10.5703125" bestFit="1" customWidth="1"/>
    <col min="31" max="31" width="10.42578125" bestFit="1" customWidth="1"/>
    <col min="33" max="33" width="4" customWidth="1"/>
    <col min="34" max="34" width="9.140625" hidden="1" customWidth="1"/>
    <col min="37" max="37" width="15.28515625" bestFit="1" customWidth="1"/>
  </cols>
  <sheetData>
    <row r="2" spans="2:38" ht="15.75" thickBot="1"/>
    <row r="3" spans="2:38">
      <c r="B3" s="111" t="s">
        <v>55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3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230</v>
      </c>
      <c r="D6" s="36">
        <f>+C6*B6</f>
        <v>2300</v>
      </c>
      <c r="E6" s="1"/>
      <c r="F6" s="2">
        <v>10</v>
      </c>
      <c r="G6" s="2">
        <v>4</v>
      </c>
      <c r="H6" s="36">
        <f>+G6*F6</f>
        <v>40</v>
      </c>
      <c r="I6" s="1"/>
      <c r="J6" s="2">
        <v>10</v>
      </c>
      <c r="K6" s="2">
        <v>114</v>
      </c>
      <c r="L6" s="36">
        <f>+K6*J6</f>
        <v>1140</v>
      </c>
      <c r="M6" s="1"/>
      <c r="N6" s="2">
        <v>10</v>
      </c>
      <c r="O6" s="2">
        <v>16</v>
      </c>
      <c r="P6" s="36">
        <f>+O6*N6</f>
        <v>160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364</v>
      </c>
      <c r="Y6" s="37">
        <f>+D6+H6+L6+P6+T6</f>
        <v>3640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19</v>
      </c>
      <c r="D7" s="36">
        <f t="shared" ref="D7:D12" si="1">+C7*B7</f>
        <v>380</v>
      </c>
      <c r="E7" s="1"/>
      <c r="F7" s="2">
        <v>20</v>
      </c>
      <c r="G7" s="2">
        <v>5</v>
      </c>
      <c r="H7" s="36">
        <f t="shared" ref="H7:H12" si="2">+G7*F7</f>
        <v>100</v>
      </c>
      <c r="I7" s="1"/>
      <c r="J7" s="2">
        <v>20</v>
      </c>
      <c r="K7" s="2">
        <v>9</v>
      </c>
      <c r="L7" s="36">
        <f t="shared" ref="L7:L12" si="3">+K7*J7</f>
        <v>180</v>
      </c>
      <c r="M7" s="1"/>
      <c r="N7" s="2">
        <v>20</v>
      </c>
      <c r="O7" s="2">
        <v>2</v>
      </c>
      <c r="P7" s="36">
        <f t="shared" ref="P7:P12" si="4">+O7*N7</f>
        <v>40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35</v>
      </c>
      <c r="Y7" s="37">
        <f t="shared" ref="Y7:Y12" si="6">+D7+H7+L7+P7+T7</f>
        <v>700</v>
      </c>
      <c r="Z7" s="13"/>
      <c r="AA7" s="1"/>
      <c r="AB7" s="56" t="s">
        <v>10</v>
      </c>
      <c r="AC7" s="57">
        <f>Y13</f>
        <v>247640</v>
      </c>
      <c r="AD7" s="26"/>
      <c r="AE7" s="26"/>
      <c r="AF7" s="26"/>
      <c r="AG7" s="26"/>
      <c r="AH7" s="1"/>
      <c r="AI7" s="2">
        <v>10</v>
      </c>
      <c r="AJ7" s="2">
        <v>364</v>
      </c>
      <c r="AK7" s="36">
        <f t="shared" si="0"/>
        <v>3640</v>
      </c>
      <c r="AL7" s="1"/>
    </row>
    <row r="8" spans="2:38">
      <c r="B8" s="2">
        <v>50</v>
      </c>
      <c r="C8" s="2">
        <v>58</v>
      </c>
      <c r="D8" s="36">
        <f t="shared" si="1"/>
        <v>2900</v>
      </c>
      <c r="E8" s="1"/>
      <c r="F8" s="2">
        <v>50</v>
      </c>
      <c r="G8" s="2">
        <v>6</v>
      </c>
      <c r="H8" s="36">
        <f t="shared" si="2"/>
        <v>300</v>
      </c>
      <c r="I8" s="1"/>
      <c r="J8" s="2">
        <v>50</v>
      </c>
      <c r="K8" s="2">
        <v>40</v>
      </c>
      <c r="L8" s="36">
        <f t="shared" si="3"/>
        <v>2000</v>
      </c>
      <c r="M8" s="1"/>
      <c r="N8" s="2">
        <v>50</v>
      </c>
      <c r="O8" s="2">
        <v>18</v>
      </c>
      <c r="P8" s="36">
        <f t="shared" si="4"/>
        <v>900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122</v>
      </c>
      <c r="Y8" s="37">
        <f t="shared" si="6"/>
        <v>6100</v>
      </c>
      <c r="Z8" s="13"/>
      <c r="AA8" s="1"/>
      <c r="AB8" s="53" t="s">
        <v>11</v>
      </c>
      <c r="AC8" s="53">
        <f>+AF31</f>
        <v>227600</v>
      </c>
      <c r="AD8" s="1"/>
      <c r="AE8" s="1"/>
      <c r="AF8" s="1"/>
      <c r="AG8" s="1"/>
      <c r="AH8" s="1"/>
      <c r="AI8" s="2">
        <v>20</v>
      </c>
      <c r="AJ8" s="2">
        <v>35</v>
      </c>
      <c r="AK8" s="36">
        <f t="shared" si="0"/>
        <v>700</v>
      </c>
      <c r="AL8" s="1"/>
    </row>
    <row r="9" spans="2:38" ht="15.75" thickBot="1">
      <c r="B9" s="2">
        <v>100</v>
      </c>
      <c r="C9" s="2">
        <v>70</v>
      </c>
      <c r="D9" s="36">
        <f t="shared" si="1"/>
        <v>7000</v>
      </c>
      <c r="E9" s="1"/>
      <c r="F9" s="2">
        <v>100</v>
      </c>
      <c r="G9" s="2">
        <v>13</v>
      </c>
      <c r="H9" s="36">
        <f t="shared" si="2"/>
        <v>1300</v>
      </c>
      <c r="I9" s="1"/>
      <c r="J9" s="2">
        <v>100</v>
      </c>
      <c r="K9" s="2">
        <v>47</v>
      </c>
      <c r="L9" s="36">
        <f t="shared" si="3"/>
        <v>4700</v>
      </c>
      <c r="M9" s="1"/>
      <c r="N9" s="2">
        <v>100</v>
      </c>
      <c r="O9" s="2">
        <v>2</v>
      </c>
      <c r="P9" s="36">
        <f t="shared" si="4"/>
        <v>200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132</v>
      </c>
      <c r="Y9" s="37">
        <f t="shared" si="6"/>
        <v>13200</v>
      </c>
      <c r="Z9" s="13"/>
      <c r="AA9" s="1"/>
      <c r="AB9" s="58" t="s">
        <v>12</v>
      </c>
      <c r="AC9" s="59">
        <f>SUM(AC7:AC8)</f>
        <v>475240</v>
      </c>
      <c r="AD9" s="1"/>
      <c r="AE9" s="1"/>
      <c r="AF9" s="1"/>
      <c r="AG9" s="1"/>
      <c r="AH9" s="1"/>
      <c r="AI9" s="2">
        <v>50</v>
      </c>
      <c r="AJ9" s="2">
        <v>370</v>
      </c>
      <c r="AK9" s="36">
        <f t="shared" si="0"/>
        <v>18500</v>
      </c>
      <c r="AL9" s="1"/>
    </row>
    <row r="10" spans="2:38">
      <c r="B10" s="2">
        <v>500</v>
      </c>
      <c r="C10" s="2">
        <v>21</v>
      </c>
      <c r="D10" s="36">
        <f t="shared" si="1"/>
        <v>10500</v>
      </c>
      <c r="E10" s="1"/>
      <c r="F10" s="2">
        <v>500</v>
      </c>
      <c r="G10" s="2">
        <v>21</v>
      </c>
      <c r="H10" s="36">
        <f t="shared" si="2"/>
        <v>10500</v>
      </c>
      <c r="I10" s="1"/>
      <c r="J10" s="2">
        <v>500</v>
      </c>
      <c r="K10" s="2">
        <v>22</v>
      </c>
      <c r="L10" s="36">
        <f t="shared" si="3"/>
        <v>11000</v>
      </c>
      <c r="M10" s="1"/>
      <c r="N10" s="2">
        <v>500</v>
      </c>
      <c r="O10" s="2">
        <v>24</v>
      </c>
      <c r="P10" s="36">
        <f t="shared" si="4"/>
        <v>12000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88</v>
      </c>
      <c r="Y10" s="37">
        <f t="shared" si="6"/>
        <v>44000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409</v>
      </c>
      <c r="AK10" s="36">
        <f t="shared" si="0"/>
        <v>40900</v>
      </c>
      <c r="AL10" s="1"/>
    </row>
    <row r="11" spans="2:38">
      <c r="B11" s="2">
        <v>1000</v>
      </c>
      <c r="C11" s="2">
        <v>16</v>
      </c>
      <c r="D11" s="36">
        <f t="shared" si="1"/>
        <v>16000</v>
      </c>
      <c r="E11" s="1"/>
      <c r="F11" s="2">
        <v>1000</v>
      </c>
      <c r="G11" s="2">
        <v>37</v>
      </c>
      <c r="H11" s="36">
        <f t="shared" si="2"/>
        <v>37000</v>
      </c>
      <c r="I11" s="1"/>
      <c r="J11" s="2">
        <v>1000</v>
      </c>
      <c r="K11" s="2">
        <v>45</v>
      </c>
      <c r="L11" s="36">
        <f t="shared" si="3"/>
        <v>45000</v>
      </c>
      <c r="M11" s="1"/>
      <c r="N11" s="2">
        <v>1000</v>
      </c>
      <c r="O11" s="2">
        <v>22</v>
      </c>
      <c r="P11" s="36">
        <f t="shared" si="4"/>
        <v>22000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120</v>
      </c>
      <c r="Y11" s="37">
        <f t="shared" si="6"/>
        <v>120000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203</v>
      </c>
      <c r="AK11" s="36">
        <f t="shared" si="0"/>
        <v>101500</v>
      </c>
      <c r="AL11" s="1"/>
    </row>
    <row r="12" spans="2:38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5</v>
      </c>
      <c r="H12" s="36">
        <f t="shared" si="2"/>
        <v>25000</v>
      </c>
      <c r="I12" s="1"/>
      <c r="J12" s="2">
        <v>5000</v>
      </c>
      <c r="K12" s="2">
        <v>1</v>
      </c>
      <c r="L12" s="36">
        <f t="shared" si="3"/>
        <v>5000</v>
      </c>
      <c r="M12" s="1"/>
      <c r="N12" s="2">
        <v>5000</v>
      </c>
      <c r="O12" s="2">
        <v>5</v>
      </c>
      <c r="P12" s="36">
        <f t="shared" si="4"/>
        <v>25000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12</v>
      </c>
      <c r="Y12" s="37">
        <f t="shared" si="6"/>
        <v>60000</v>
      </c>
      <c r="Z12" s="13"/>
      <c r="AA12" s="1"/>
      <c r="AB12" s="1" t="s">
        <v>17</v>
      </c>
      <c r="AC12" s="5">
        <v>471240</v>
      </c>
      <c r="AD12" s="1">
        <v>974075</v>
      </c>
      <c r="AE12" s="52">
        <v>45698</v>
      </c>
      <c r="AF12" s="1" t="s">
        <v>110</v>
      </c>
      <c r="AG12" s="1"/>
      <c r="AH12" s="1"/>
      <c r="AI12" s="2">
        <v>1000</v>
      </c>
      <c r="AJ12" s="2">
        <v>250</v>
      </c>
      <c r="AK12" s="36">
        <f t="shared" si="0"/>
        <v>250000</v>
      </c>
      <c r="AL12" s="1"/>
    </row>
    <row r="13" spans="2:38" ht="15.75" thickBot="1">
      <c r="B13" s="3" t="s">
        <v>18</v>
      </c>
      <c r="C13" s="3"/>
      <c r="D13" s="6">
        <f>+SUM(D5:D12)</f>
        <v>44080</v>
      </c>
      <c r="E13" s="1"/>
      <c r="F13" s="3" t="s">
        <v>18</v>
      </c>
      <c r="G13" s="3"/>
      <c r="H13" s="6">
        <f>+SUM(H5:H12)</f>
        <v>74240</v>
      </c>
      <c r="I13" s="1"/>
      <c r="J13" s="3" t="s">
        <v>18</v>
      </c>
      <c r="K13" s="3"/>
      <c r="L13" s="6">
        <f>+SUM(L5:L12)</f>
        <v>69020</v>
      </c>
      <c r="M13" s="1"/>
      <c r="N13" s="3" t="s">
        <v>18</v>
      </c>
      <c r="O13" s="3"/>
      <c r="P13" s="6">
        <f>+SUM(P5:P12)</f>
        <v>60300</v>
      </c>
      <c r="Q13" s="1"/>
      <c r="R13" s="3" t="s">
        <v>18</v>
      </c>
      <c r="S13" s="3"/>
      <c r="T13" s="6">
        <f>+SUM(T5:T12)</f>
        <v>0</v>
      </c>
      <c r="U13" s="1"/>
      <c r="V13" s="12"/>
      <c r="W13" s="3" t="s">
        <v>18</v>
      </c>
      <c r="X13" s="3"/>
      <c r="Y13" s="6">
        <f>+SUM(Y5:Y12)</f>
        <v>247640</v>
      </c>
      <c r="Z13" s="13"/>
      <c r="AA13" s="1"/>
      <c r="AB13" s="1" t="s">
        <v>19</v>
      </c>
      <c r="AC13" s="5">
        <v>3000</v>
      </c>
      <c r="AD13" s="1"/>
      <c r="AE13" s="1"/>
      <c r="AF13" s="1"/>
      <c r="AG13" s="1"/>
      <c r="AH13" s="1"/>
      <c r="AI13" s="2">
        <v>5000</v>
      </c>
      <c r="AJ13" s="2">
        <v>12</v>
      </c>
      <c r="AK13" s="36">
        <f t="shared" si="0"/>
        <v>60000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475240</v>
      </c>
      <c r="AL14" s="1"/>
    </row>
    <row r="15" spans="2:38" ht="15.75" thickBot="1">
      <c r="B15" s="109" t="s">
        <v>21</v>
      </c>
      <c r="C15" s="110"/>
      <c r="D15" s="8">
        <v>46378</v>
      </c>
      <c r="E15" s="30"/>
      <c r="F15" s="109" t="s">
        <v>21</v>
      </c>
      <c r="G15" s="110"/>
      <c r="H15" s="8">
        <v>74027</v>
      </c>
      <c r="I15" s="30"/>
      <c r="J15" s="109" t="s">
        <v>21</v>
      </c>
      <c r="K15" s="110"/>
      <c r="L15" s="8">
        <v>98092</v>
      </c>
      <c r="M15" s="30"/>
      <c r="N15" s="109" t="s">
        <v>21</v>
      </c>
      <c r="O15" s="110"/>
      <c r="P15" s="8">
        <v>70241.919999999998</v>
      </c>
      <c r="Q15" s="30"/>
      <c r="R15" s="109" t="s">
        <v>21</v>
      </c>
      <c r="S15" s="110"/>
      <c r="T15" s="8"/>
      <c r="U15" s="30"/>
      <c r="V15" s="31"/>
      <c r="W15" s="109" t="s">
        <v>21</v>
      </c>
      <c r="X15" s="110"/>
      <c r="Y15" s="8">
        <f>+D15+H15+L15+P15+T15</f>
        <v>288738.92</v>
      </c>
      <c r="Z15" s="32"/>
      <c r="AA15" s="30"/>
      <c r="AB15" s="1" t="s">
        <v>109</v>
      </c>
      <c r="AC15" s="100">
        <v>1000</v>
      </c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44080</v>
      </c>
      <c r="E16" s="1"/>
      <c r="F16" s="1" t="s">
        <v>10</v>
      </c>
      <c r="G16" s="1"/>
      <c r="H16" s="5">
        <f>+H13</f>
        <v>74240</v>
      </c>
      <c r="I16" s="1"/>
      <c r="J16" s="1" t="s">
        <v>10</v>
      </c>
      <c r="K16" s="1"/>
      <c r="L16" s="5">
        <f>+L13</f>
        <v>69020</v>
      </c>
      <c r="M16" s="1"/>
      <c r="N16" s="1" t="s">
        <v>10</v>
      </c>
      <c r="O16" s="1"/>
      <c r="P16" s="5">
        <f>+P13</f>
        <v>60300</v>
      </c>
      <c r="Q16" s="1"/>
      <c r="R16" s="1" t="s">
        <v>10</v>
      </c>
      <c r="S16" s="1"/>
      <c r="T16" s="5">
        <f>+T13</f>
        <v>0</v>
      </c>
      <c r="U16" s="1"/>
      <c r="V16" s="12"/>
      <c r="W16" s="40" t="s">
        <v>10</v>
      </c>
      <c r="X16" s="40"/>
      <c r="Y16" s="37">
        <f>+D16+H16+L16+P16+T16</f>
        <v>247640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>
        <v>4648</v>
      </c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4648</v>
      </c>
      <c r="Z17" s="13"/>
      <c r="AA17" s="1"/>
      <c r="AB17" s="48" t="s">
        <v>12</v>
      </c>
      <c r="AC17" s="49">
        <f>+SUM(AC12:AC16)</f>
        <v>475240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56</v>
      </c>
      <c r="C18" s="1" t="s">
        <v>57</v>
      </c>
      <c r="D18" s="5">
        <v>2303</v>
      </c>
      <c r="E18" s="1"/>
      <c r="F18" s="1" t="s">
        <v>64</v>
      </c>
      <c r="G18" s="1"/>
      <c r="H18" s="5"/>
      <c r="I18" s="1"/>
      <c r="J18" s="1" t="s">
        <v>56</v>
      </c>
      <c r="K18" s="1" t="s">
        <v>58</v>
      </c>
      <c r="L18" s="5">
        <v>7000</v>
      </c>
      <c r="M18" s="1"/>
      <c r="N18" s="1" t="s">
        <v>52</v>
      </c>
      <c r="O18" s="16" t="s">
        <v>50</v>
      </c>
      <c r="P18" s="5">
        <v>6693</v>
      </c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15996</v>
      </c>
      <c r="Z18" s="13"/>
      <c r="AA18" s="1"/>
      <c r="AB18" s="50" t="s">
        <v>25</v>
      </c>
      <c r="AC18" s="51">
        <f>+AC17-AC9</f>
        <v>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27</v>
      </c>
      <c r="C19" s="1"/>
      <c r="D19" s="5"/>
      <c r="E19" s="1"/>
      <c r="F19" s="1" t="s">
        <v>64</v>
      </c>
      <c r="G19" s="1"/>
      <c r="H19" s="5"/>
      <c r="I19" s="1"/>
      <c r="J19" s="1" t="s">
        <v>59</v>
      </c>
      <c r="K19" s="1" t="s">
        <v>60</v>
      </c>
      <c r="L19" s="5">
        <v>4500</v>
      </c>
      <c r="M19" s="1"/>
      <c r="N19" s="1" t="s">
        <v>52</v>
      </c>
      <c r="O19" s="16" t="s">
        <v>51</v>
      </c>
      <c r="P19" s="5">
        <v>3253</v>
      </c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7753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64</v>
      </c>
      <c r="G20" s="1"/>
      <c r="H20" s="5"/>
      <c r="I20" s="1"/>
      <c r="J20" s="1" t="s">
        <v>61</v>
      </c>
      <c r="K20" s="1" t="s">
        <v>62</v>
      </c>
      <c r="L20" s="5">
        <v>5620</v>
      </c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5620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 t="s">
        <v>61</v>
      </c>
      <c r="K21" s="1" t="s">
        <v>63</v>
      </c>
      <c r="L21" s="5">
        <v>6480</v>
      </c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6480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47</v>
      </c>
      <c r="O23" s="1"/>
      <c r="P23" s="5"/>
      <c r="Q23" s="1"/>
      <c r="R23" s="1" t="s">
        <v>36</v>
      </c>
      <c r="S23" s="1"/>
      <c r="T23" s="5"/>
      <c r="U23" s="1"/>
      <c r="V23" s="12"/>
      <c r="W23" s="40" t="s">
        <v>36</v>
      </c>
      <c r="X23" s="40"/>
      <c r="Y23" s="37">
        <f t="shared" si="8"/>
        <v>0</v>
      </c>
      <c r="Z23" s="13"/>
      <c r="AA23" s="1"/>
      <c r="AB23" s="70" t="s">
        <v>49</v>
      </c>
      <c r="AC23" s="69">
        <v>45899</v>
      </c>
      <c r="AD23" s="70" t="s">
        <v>48</v>
      </c>
      <c r="AE23" s="70"/>
      <c r="AF23" s="70">
        <v>500</v>
      </c>
      <c r="AG23" s="1"/>
      <c r="AH23" s="1"/>
      <c r="AI23" s="1" t="s">
        <v>65</v>
      </c>
      <c r="AJ23" s="1" t="s">
        <v>66</v>
      </c>
      <c r="AK23" s="1"/>
      <c r="AL23" s="62">
        <v>4648</v>
      </c>
    </row>
    <row r="24" spans="2:38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47</v>
      </c>
      <c r="O24" s="1"/>
      <c r="P24" s="5"/>
      <c r="Q24" s="1"/>
      <c r="R24" s="1" t="s">
        <v>37</v>
      </c>
      <c r="S24" s="1"/>
      <c r="T24" s="5"/>
      <c r="U24" s="1"/>
      <c r="V24" s="12"/>
      <c r="W24" s="40" t="s">
        <v>37</v>
      </c>
      <c r="X24" s="40"/>
      <c r="Y24" s="37">
        <f t="shared" si="8"/>
        <v>0</v>
      </c>
      <c r="Z24" s="13"/>
      <c r="AA24" s="1"/>
      <c r="AB24" s="70" t="s">
        <v>54</v>
      </c>
      <c r="AC24" s="71">
        <v>45920</v>
      </c>
      <c r="AD24" s="70" t="s">
        <v>53</v>
      </c>
      <c r="AE24" s="70"/>
      <c r="AF24" s="70">
        <v>20000</v>
      </c>
      <c r="AG24" s="1"/>
      <c r="AH24" s="1"/>
      <c r="AI24" s="70" t="s">
        <v>97</v>
      </c>
      <c r="AJ24" s="70" t="s">
        <v>68</v>
      </c>
      <c r="AK24" s="70" t="s">
        <v>83</v>
      </c>
      <c r="AL24" s="73">
        <v>16362</v>
      </c>
    </row>
    <row r="25" spans="2:38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47</v>
      </c>
      <c r="O25" s="1"/>
      <c r="P25" s="5"/>
      <c r="Q25" s="1"/>
      <c r="R25" s="1" t="s">
        <v>38</v>
      </c>
      <c r="S25" s="1"/>
      <c r="T25" s="5"/>
      <c r="U25" s="1"/>
      <c r="V25" s="12"/>
      <c r="W25" s="40" t="s">
        <v>38</v>
      </c>
      <c r="X25" s="40"/>
      <c r="Y25" s="37">
        <f t="shared" si="8"/>
        <v>0</v>
      </c>
      <c r="Z25" s="13"/>
      <c r="AA25" s="1"/>
      <c r="AB25" s="70" t="s">
        <v>103</v>
      </c>
      <c r="AC25" s="71">
        <v>45920</v>
      </c>
      <c r="AD25" s="70" t="s">
        <v>102</v>
      </c>
      <c r="AE25" s="70"/>
      <c r="AF25" s="70">
        <v>177100</v>
      </c>
      <c r="AG25" s="1"/>
      <c r="AH25" s="1"/>
      <c r="AI25" s="70" t="s">
        <v>67</v>
      </c>
      <c r="AJ25" s="70" t="s">
        <v>69</v>
      </c>
      <c r="AK25" s="70" t="s">
        <v>84</v>
      </c>
      <c r="AL25" s="74">
        <v>5000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70" t="s">
        <v>105</v>
      </c>
      <c r="AC26" s="71">
        <v>45922</v>
      </c>
      <c r="AD26" s="70" t="s">
        <v>104</v>
      </c>
      <c r="AE26" s="70"/>
      <c r="AF26" s="74">
        <v>30000</v>
      </c>
      <c r="AG26" s="1"/>
      <c r="AH26" s="1"/>
      <c r="AI26" s="70" t="s">
        <v>98</v>
      </c>
      <c r="AJ26" s="70" t="s">
        <v>70</v>
      </c>
      <c r="AK26" s="70" t="s">
        <v>85</v>
      </c>
      <c r="AL26" s="75">
        <v>3000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68"/>
      <c r="AC27" s="68"/>
      <c r="AD27" s="68"/>
      <c r="AE27" s="68"/>
      <c r="AF27" s="68"/>
      <c r="AG27" s="1"/>
      <c r="AH27" s="1"/>
      <c r="AI27" s="70" t="s">
        <v>99</v>
      </c>
      <c r="AJ27" s="70" t="s">
        <v>71</v>
      </c>
      <c r="AK27" s="70" t="s">
        <v>86</v>
      </c>
      <c r="AL27" s="75">
        <v>41915</v>
      </c>
    </row>
    <row r="28" spans="2:38" ht="15.75" thickBot="1">
      <c r="B28" s="114" t="s">
        <v>12</v>
      </c>
      <c r="C28" s="115"/>
      <c r="D28" s="9">
        <f>+SUM(D16:D27)</f>
        <v>46383</v>
      </c>
      <c r="E28" s="1"/>
      <c r="F28" s="114" t="s">
        <v>12</v>
      </c>
      <c r="G28" s="115"/>
      <c r="H28" s="9">
        <f>+SUM(H16:H27)</f>
        <v>74240</v>
      </c>
      <c r="I28" s="1"/>
      <c r="J28" s="114" t="s">
        <v>12</v>
      </c>
      <c r="K28" s="115"/>
      <c r="L28" s="9">
        <f>+SUM(L16:L27)</f>
        <v>97268</v>
      </c>
      <c r="M28" s="1"/>
      <c r="N28" s="114" t="s">
        <v>12</v>
      </c>
      <c r="O28" s="115"/>
      <c r="P28" s="9">
        <f>+SUM(P16:P27)</f>
        <v>70246</v>
      </c>
      <c r="Q28" s="1"/>
      <c r="R28" s="114" t="s">
        <v>12</v>
      </c>
      <c r="S28" s="115"/>
      <c r="T28" s="9">
        <f>+SUM(T16:T27)</f>
        <v>0</v>
      </c>
      <c r="U28" s="1"/>
      <c r="V28" s="12"/>
      <c r="W28" s="114" t="s">
        <v>12</v>
      </c>
      <c r="X28" s="115"/>
      <c r="Y28" s="9">
        <f>+SUM(Y16:Y27)</f>
        <v>288137</v>
      </c>
      <c r="Z28" s="13"/>
      <c r="AA28" s="1"/>
      <c r="AB28" s="1"/>
      <c r="AC28" s="1"/>
      <c r="AD28" s="1"/>
      <c r="AE28" s="1"/>
      <c r="AF28" s="1"/>
      <c r="AG28" s="1"/>
      <c r="AH28" s="1"/>
      <c r="AI28" s="70" t="s">
        <v>100</v>
      </c>
      <c r="AJ28" s="70" t="s">
        <v>72</v>
      </c>
      <c r="AK28" s="70" t="s">
        <v>87</v>
      </c>
      <c r="AL28" s="75">
        <v>12636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70" t="s">
        <v>67</v>
      </c>
      <c r="AJ29" s="70" t="s">
        <v>73</v>
      </c>
      <c r="AK29" s="70" t="s">
        <v>88</v>
      </c>
      <c r="AL29" s="73">
        <v>12820</v>
      </c>
    </row>
    <row r="30" spans="2:38" ht="15.75" thickBot="1">
      <c r="B30" s="116" t="s">
        <v>40</v>
      </c>
      <c r="C30" s="116"/>
      <c r="D30" s="7">
        <f>+D28-D15</f>
        <v>5</v>
      </c>
      <c r="E30" s="1"/>
      <c r="F30" s="116" t="s">
        <v>40</v>
      </c>
      <c r="G30" s="116"/>
      <c r="H30" s="7">
        <f>+H28-H15</f>
        <v>213</v>
      </c>
      <c r="I30" s="1"/>
      <c r="J30" s="116" t="s">
        <v>40</v>
      </c>
      <c r="K30" s="116"/>
      <c r="L30" s="7">
        <f>+L28-L15</f>
        <v>-824</v>
      </c>
      <c r="M30" s="1"/>
      <c r="N30" s="116" t="s">
        <v>40</v>
      </c>
      <c r="O30" s="116"/>
      <c r="P30" s="7">
        <f>+P28-P15</f>
        <v>4.0800000000017462</v>
      </c>
      <c r="Q30" s="1"/>
      <c r="R30" s="116" t="s">
        <v>40</v>
      </c>
      <c r="S30" s="116"/>
      <c r="T30" s="7">
        <f>+T28-T15</f>
        <v>0</v>
      </c>
      <c r="U30" s="1"/>
      <c r="V30" s="12"/>
      <c r="W30" s="113" t="s">
        <v>40</v>
      </c>
      <c r="X30" s="113"/>
      <c r="Y30" s="41">
        <f>+Y28-Y15</f>
        <v>-601.9199999999837</v>
      </c>
      <c r="Z30" s="13"/>
      <c r="AA30" s="1"/>
      <c r="AB30" s="1"/>
      <c r="AC30" s="1"/>
      <c r="AD30" s="1"/>
      <c r="AE30" s="1"/>
      <c r="AF30" s="1"/>
      <c r="AG30" s="1"/>
      <c r="AH30" s="1"/>
      <c r="AI30" s="70" t="s">
        <v>67</v>
      </c>
      <c r="AJ30" s="70" t="s">
        <v>74</v>
      </c>
      <c r="AK30" s="70" t="s">
        <v>89</v>
      </c>
      <c r="AL30" s="73">
        <v>6845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39</v>
      </c>
      <c r="AC31" s="60"/>
      <c r="AD31" s="60"/>
      <c r="AE31" s="60"/>
      <c r="AF31" s="55">
        <f>+SUM(AF23:AF30)</f>
        <v>227600</v>
      </c>
      <c r="AG31" s="1"/>
      <c r="AH31" s="1"/>
      <c r="AI31" s="70" t="s">
        <v>101</v>
      </c>
      <c r="AJ31" s="70" t="s">
        <v>75</v>
      </c>
      <c r="AK31" s="70" t="s">
        <v>90</v>
      </c>
      <c r="AL31" s="74">
        <v>85570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76" t="s">
        <v>97</v>
      </c>
      <c r="AJ32" s="76" t="s">
        <v>76</v>
      </c>
      <c r="AK32" s="70" t="s">
        <v>84</v>
      </c>
      <c r="AL32" s="74">
        <v>7514</v>
      </c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76" t="s">
        <v>100</v>
      </c>
      <c r="AJ33" s="76" t="s">
        <v>77</v>
      </c>
      <c r="AK33" s="70" t="s">
        <v>91</v>
      </c>
      <c r="AL33" s="74">
        <v>3740</v>
      </c>
    </row>
    <row r="34" spans="2:38">
      <c r="B34" s="10" t="s">
        <v>41</v>
      </c>
      <c r="C34" s="11"/>
      <c r="D34" s="21"/>
      <c r="E34" s="1"/>
      <c r="F34" s="10" t="s">
        <v>41</v>
      </c>
      <c r="G34" s="11"/>
      <c r="H34" s="21"/>
      <c r="I34" s="1"/>
      <c r="J34" s="10" t="s">
        <v>41</v>
      </c>
      <c r="K34" s="11"/>
      <c r="L34" s="21">
        <v>824</v>
      </c>
      <c r="M34" s="1"/>
      <c r="N34" s="10" t="s">
        <v>41</v>
      </c>
      <c r="O34" s="11"/>
      <c r="P34" s="21"/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824</v>
      </c>
      <c r="Z34" s="1"/>
      <c r="AA34" s="1"/>
      <c r="AB34" s="1"/>
      <c r="AC34" s="1"/>
      <c r="AD34" s="1"/>
      <c r="AE34" s="1"/>
      <c r="AF34" s="1"/>
      <c r="AG34" s="1"/>
      <c r="AH34" s="1"/>
      <c r="AI34" s="76" t="s">
        <v>98</v>
      </c>
      <c r="AJ34" s="76" t="s">
        <v>78</v>
      </c>
      <c r="AK34" s="70" t="s">
        <v>92</v>
      </c>
      <c r="AL34" s="73">
        <v>9000</v>
      </c>
    </row>
    <row r="35" spans="2:38">
      <c r="B35" s="12" t="s">
        <v>42</v>
      </c>
      <c r="C35" s="16"/>
      <c r="D35" s="22"/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/>
      <c r="Q35" s="1"/>
      <c r="R35" s="12" t="s">
        <v>42</v>
      </c>
      <c r="S35" s="16"/>
      <c r="T35" s="22"/>
      <c r="U35" s="1"/>
      <c r="V35" s="1"/>
      <c r="W35" s="45" t="s">
        <v>42</v>
      </c>
      <c r="X35" s="40"/>
      <c r="Y35" s="46">
        <f t="shared" ref="Y35:Y36" si="9">+D35+H35+L35+P35+T35</f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76" t="s">
        <v>98</v>
      </c>
      <c r="AJ35" s="76" t="s">
        <v>79</v>
      </c>
      <c r="AK35" s="76" t="s">
        <v>93</v>
      </c>
      <c r="AL35" s="73">
        <v>27500</v>
      </c>
    </row>
    <row r="36" spans="2:38">
      <c r="B36" s="12" t="s">
        <v>44</v>
      </c>
      <c r="C36" s="16"/>
      <c r="D36" s="22">
        <v>-5</v>
      </c>
      <c r="E36" s="1"/>
      <c r="F36" s="12" t="s">
        <v>44</v>
      </c>
      <c r="G36" s="16"/>
      <c r="H36" s="22">
        <v>-213</v>
      </c>
      <c r="I36" s="1"/>
      <c r="J36" s="12" t="s">
        <v>44</v>
      </c>
      <c r="K36" s="16"/>
      <c r="L36" s="22"/>
      <c r="M36" s="1"/>
      <c r="N36" s="12" t="s">
        <v>44</v>
      </c>
      <c r="O36" s="16"/>
      <c r="P36" s="22">
        <v>-4</v>
      </c>
      <c r="Q36" s="1"/>
      <c r="R36" s="12" t="s">
        <v>46</v>
      </c>
      <c r="S36" s="16"/>
      <c r="T36" s="22"/>
      <c r="U36" s="1"/>
      <c r="V36" s="1"/>
      <c r="W36" s="45" t="s">
        <v>43</v>
      </c>
      <c r="X36" s="40"/>
      <c r="Y36" s="46">
        <f t="shared" si="9"/>
        <v>-222</v>
      </c>
      <c r="Z36" s="1"/>
      <c r="AA36" s="1"/>
      <c r="AB36" s="1"/>
      <c r="AC36" s="1"/>
      <c r="AD36" s="1"/>
      <c r="AE36" s="1"/>
      <c r="AF36" s="1"/>
      <c r="AG36" s="1"/>
      <c r="AH36" s="1"/>
      <c r="AI36" s="76" t="s">
        <v>97</v>
      </c>
      <c r="AJ36" s="70" t="s">
        <v>80</v>
      </c>
      <c r="AK36" s="70" t="s">
        <v>94</v>
      </c>
      <c r="AL36" s="73">
        <v>7750</v>
      </c>
    </row>
    <row r="37" spans="2:38">
      <c r="B37" s="12" t="s">
        <v>18</v>
      </c>
      <c r="C37" s="16"/>
      <c r="D37" s="22">
        <f>+SUM(D34:D36)</f>
        <v>-5</v>
      </c>
      <c r="E37" s="1"/>
      <c r="F37" s="12" t="s">
        <v>18</v>
      </c>
      <c r="G37" s="16"/>
      <c r="H37" s="22">
        <f>+SUM(H34:H36)</f>
        <v>-213</v>
      </c>
      <c r="I37" s="1"/>
      <c r="J37" s="12" t="s">
        <v>18</v>
      </c>
      <c r="K37" s="16"/>
      <c r="L37" s="22">
        <f>+SUM(L34:L36)</f>
        <v>824</v>
      </c>
      <c r="M37" s="1"/>
      <c r="N37" s="12" t="s">
        <v>18</v>
      </c>
      <c r="O37" s="16"/>
      <c r="P37" s="22">
        <f>+SUM(P34:P36)</f>
        <v>-4</v>
      </c>
      <c r="Q37" s="1"/>
      <c r="R37" s="12" t="s">
        <v>18</v>
      </c>
      <c r="S37" s="16"/>
      <c r="T37" s="22">
        <f>+SUM(T34:T36)</f>
        <v>0</v>
      </c>
      <c r="U37" s="1"/>
      <c r="V37" s="1"/>
      <c r="W37" s="33" t="s">
        <v>18</v>
      </c>
      <c r="X37" s="34"/>
      <c r="Y37" s="35">
        <f>+SUM(Y34:Y36)</f>
        <v>602</v>
      </c>
      <c r="Z37" s="1"/>
      <c r="AA37" s="1"/>
      <c r="AB37" s="1"/>
      <c r="AC37" s="1"/>
      <c r="AD37" s="1"/>
      <c r="AE37" s="1"/>
      <c r="AF37" s="1"/>
      <c r="AG37" s="1"/>
      <c r="AH37" s="1"/>
      <c r="AI37" s="70" t="s">
        <v>65</v>
      </c>
      <c r="AJ37" s="70" t="s">
        <v>81</v>
      </c>
      <c r="AK37" s="70" t="s">
        <v>95</v>
      </c>
      <c r="AL37" s="75">
        <v>9900</v>
      </c>
    </row>
    <row r="38" spans="2:38" ht="15.75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8.000000000174623E-2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>
        <f>+Y30+Y37</f>
        <v>8.0000000016298145E-2</v>
      </c>
      <c r="Z38" s="1"/>
      <c r="AA38" s="1"/>
      <c r="AB38" s="1"/>
      <c r="AC38" s="1"/>
      <c r="AD38" s="1"/>
      <c r="AE38" s="1"/>
      <c r="AF38" s="1"/>
      <c r="AG38" s="1"/>
      <c r="AH38" s="1"/>
      <c r="AI38" s="70" t="s">
        <v>65</v>
      </c>
      <c r="AJ38" s="70" t="s">
        <v>82</v>
      </c>
      <c r="AK38" s="70" t="s">
        <v>96</v>
      </c>
      <c r="AL38" s="73">
        <v>4664</v>
      </c>
    </row>
    <row r="41" spans="2:38" ht="15.75" thickBot="1">
      <c r="AI41" s="60" t="s">
        <v>39</v>
      </c>
      <c r="AJ41" s="60"/>
      <c r="AK41" s="60"/>
      <c r="AL41" s="72">
        <f>+SUM(AL23:AL40)</f>
        <v>258864</v>
      </c>
    </row>
    <row r="42" spans="2:38" ht="15.75" thickTop="1"/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AL41"/>
  <sheetViews>
    <sheetView zoomScale="80" zoomScaleNormal="80" workbookViewId="0">
      <selection activeCell="C32" sqref="C32"/>
    </sheetView>
  </sheetViews>
  <sheetFormatPr defaultRowHeight="15"/>
  <cols>
    <col min="3" max="3" width="11.42578125" bestFit="1" customWidth="1"/>
    <col min="5" max="5" width="0.42578125" customWidth="1"/>
    <col min="7" max="7" width="14" bestFit="1" customWidth="1"/>
    <col min="8" max="8" width="9.5703125" bestFit="1" customWidth="1"/>
    <col min="9" max="9" width="0.42578125" customWidth="1"/>
    <col min="11" max="11" width="16" bestFit="1" customWidth="1"/>
    <col min="13" max="13" width="0.28515625" customWidth="1"/>
    <col min="15" max="15" width="14" bestFit="1" customWidth="1"/>
    <col min="17" max="17" width="0.5703125" customWidth="1"/>
    <col min="19" max="19" width="12.85546875" bestFit="1" customWidth="1"/>
    <col min="20" max="20" width="9.5703125" bestFit="1" customWidth="1"/>
    <col min="21" max="21" width="0.5703125" customWidth="1"/>
    <col min="22" max="22" width="1.140625" customWidth="1"/>
    <col min="25" max="25" width="12.85546875" bestFit="1" customWidth="1"/>
    <col min="26" max="26" width="1.140625" customWidth="1"/>
    <col min="27" max="27" width="0.42578125" customWidth="1"/>
    <col min="28" max="28" width="10.85546875" customWidth="1"/>
    <col min="29" max="29" width="12.85546875" bestFit="1" customWidth="1"/>
    <col min="31" max="31" width="10.42578125" bestFit="1" customWidth="1"/>
    <col min="33" max="33" width="2.140625" customWidth="1"/>
    <col min="34" max="34" width="9.140625" hidden="1" customWidth="1"/>
    <col min="37" max="37" width="14.5703125" bestFit="1" customWidth="1"/>
  </cols>
  <sheetData>
    <row r="2" spans="2:38" ht="15.75" thickBot="1"/>
    <row r="3" spans="2:38">
      <c r="B3" s="111" t="s">
        <v>127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3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60</v>
      </c>
      <c r="D6" s="36">
        <f>+C6*B6</f>
        <v>600</v>
      </c>
      <c r="E6" s="1"/>
      <c r="F6" s="2">
        <v>10</v>
      </c>
      <c r="G6" s="2">
        <v>2</v>
      </c>
      <c r="H6" s="36">
        <f>+G6*F6</f>
        <v>20</v>
      </c>
      <c r="I6" s="1"/>
      <c r="J6" s="2">
        <v>10</v>
      </c>
      <c r="K6" s="2">
        <v>25</v>
      </c>
      <c r="L6" s="36">
        <f>+K6*J6</f>
        <v>250</v>
      </c>
      <c r="M6" s="1"/>
      <c r="N6" s="2">
        <v>10</v>
      </c>
      <c r="O6" s="2">
        <v>317</v>
      </c>
      <c r="P6" s="36">
        <f>+O6*N6</f>
        <v>3170</v>
      </c>
      <c r="Q6" s="1"/>
      <c r="R6" s="2">
        <v>10</v>
      </c>
      <c r="S6" s="2">
        <v>68</v>
      </c>
      <c r="T6" s="36">
        <f>+S6*R6</f>
        <v>680</v>
      </c>
      <c r="U6" s="1"/>
      <c r="V6" s="12"/>
      <c r="W6" s="39">
        <v>10</v>
      </c>
      <c r="X6" s="39">
        <f>+C6+G6+K6+O6+S6</f>
        <v>472</v>
      </c>
      <c r="Y6" s="37">
        <f>+D6+H6+L6+P6+T6</f>
        <v>4720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7</v>
      </c>
      <c r="AK6" s="36">
        <f t="shared" ref="AK6:AK13" si="0">+AJ6*AI6</f>
        <v>7</v>
      </c>
      <c r="AL6" s="26"/>
    </row>
    <row r="7" spans="2:38">
      <c r="B7" s="2">
        <v>20</v>
      </c>
      <c r="C7" s="2">
        <v>7</v>
      </c>
      <c r="D7" s="36">
        <f t="shared" ref="D7:D12" si="1">+C7*B7</f>
        <v>140</v>
      </c>
      <c r="E7" s="1"/>
      <c r="F7" s="2">
        <v>20</v>
      </c>
      <c r="G7" s="2">
        <v>5</v>
      </c>
      <c r="H7" s="36">
        <f t="shared" ref="H7:H12" si="2">+G7*F7</f>
        <v>100</v>
      </c>
      <c r="I7" s="1"/>
      <c r="J7" s="2">
        <v>20</v>
      </c>
      <c r="K7" s="2">
        <v>2</v>
      </c>
      <c r="L7" s="36">
        <f t="shared" ref="L7:L12" si="3">+K7*J7</f>
        <v>40</v>
      </c>
      <c r="M7" s="1"/>
      <c r="N7" s="2">
        <v>20</v>
      </c>
      <c r="O7" s="2">
        <v>5</v>
      </c>
      <c r="P7" s="36">
        <f t="shared" ref="P7:P12" si="4">+O7*N7</f>
        <v>100</v>
      </c>
      <c r="Q7" s="1"/>
      <c r="R7" s="2">
        <v>20</v>
      </c>
      <c r="S7" s="2">
        <v>12</v>
      </c>
      <c r="T7" s="36">
        <f t="shared" ref="T7:T12" si="5">+S7*R7</f>
        <v>240</v>
      </c>
      <c r="U7" s="1"/>
      <c r="V7" s="12"/>
      <c r="W7" s="39">
        <v>20</v>
      </c>
      <c r="X7" s="39">
        <f>+C7+G7+K7+O7+S7</f>
        <v>31</v>
      </c>
      <c r="Y7" s="37">
        <f t="shared" ref="Y7:Y12" si="6">+D7+H7+L7+P7+T7</f>
        <v>620</v>
      </c>
      <c r="Z7" s="13"/>
      <c r="AA7" s="1"/>
      <c r="AB7" s="56" t="s">
        <v>10</v>
      </c>
      <c r="AC7" s="57">
        <f>Y13</f>
        <v>324240</v>
      </c>
      <c r="AD7" s="26"/>
      <c r="AE7" s="26"/>
      <c r="AF7" s="26"/>
      <c r="AG7" s="26"/>
      <c r="AH7" s="1"/>
      <c r="AI7" s="2">
        <v>10</v>
      </c>
      <c r="AJ7" s="2">
        <v>863</v>
      </c>
      <c r="AK7" s="36">
        <f t="shared" si="0"/>
        <v>8630</v>
      </c>
      <c r="AL7" s="1"/>
    </row>
    <row r="8" spans="2:38">
      <c r="B8" s="2">
        <v>50</v>
      </c>
      <c r="C8" s="2">
        <v>33</v>
      </c>
      <c r="D8" s="36">
        <f t="shared" si="1"/>
        <v>1650</v>
      </c>
      <c r="E8" s="1"/>
      <c r="F8" s="2">
        <v>50</v>
      </c>
      <c r="G8" s="2">
        <v>76</v>
      </c>
      <c r="H8" s="36">
        <f t="shared" si="2"/>
        <v>3800</v>
      </c>
      <c r="I8" s="1"/>
      <c r="J8" s="2">
        <v>50</v>
      </c>
      <c r="K8" s="2">
        <v>97</v>
      </c>
      <c r="L8" s="36">
        <f t="shared" si="3"/>
        <v>4850</v>
      </c>
      <c r="M8" s="1"/>
      <c r="N8" s="2">
        <v>50</v>
      </c>
      <c r="O8" s="2">
        <v>146</v>
      </c>
      <c r="P8" s="36">
        <f t="shared" si="4"/>
        <v>7300</v>
      </c>
      <c r="Q8" s="1"/>
      <c r="R8" s="2">
        <v>50</v>
      </c>
      <c r="S8" s="2">
        <v>58</v>
      </c>
      <c r="T8" s="36">
        <f t="shared" si="5"/>
        <v>2900</v>
      </c>
      <c r="U8" s="1"/>
      <c r="V8" s="12"/>
      <c r="W8" s="39">
        <v>50</v>
      </c>
      <c r="X8" s="39">
        <f t="shared" ref="X8:X12" si="7">+C8+G8+K8+O8+S8</f>
        <v>410</v>
      </c>
      <c r="Y8" s="37">
        <f t="shared" si="6"/>
        <v>20500</v>
      </c>
      <c r="Z8" s="13"/>
      <c r="AA8" s="1"/>
      <c r="AB8" s="53" t="s">
        <v>11</v>
      </c>
      <c r="AC8" s="53">
        <f>+AF40</f>
        <v>272037</v>
      </c>
      <c r="AD8" s="1"/>
      <c r="AE8" s="1"/>
      <c r="AF8" s="1"/>
      <c r="AG8" s="1"/>
      <c r="AH8" s="1"/>
      <c r="AI8" s="2">
        <v>20</v>
      </c>
      <c r="AJ8" s="2">
        <v>37</v>
      </c>
      <c r="AK8" s="36">
        <f t="shared" si="0"/>
        <v>740</v>
      </c>
      <c r="AL8" s="1"/>
    </row>
    <row r="9" spans="2:38" ht="15.75" thickBot="1">
      <c r="B9" s="2">
        <v>100</v>
      </c>
      <c r="C9" s="2">
        <v>36</v>
      </c>
      <c r="D9" s="36">
        <f t="shared" si="1"/>
        <v>3600</v>
      </c>
      <c r="E9" s="1"/>
      <c r="F9" s="2">
        <v>100</v>
      </c>
      <c r="G9" s="2">
        <v>28</v>
      </c>
      <c r="H9" s="36">
        <f t="shared" si="2"/>
        <v>2800</v>
      </c>
      <c r="I9" s="1"/>
      <c r="J9" s="2">
        <v>100</v>
      </c>
      <c r="K9" s="2">
        <v>30</v>
      </c>
      <c r="L9" s="36">
        <f t="shared" si="3"/>
        <v>3000</v>
      </c>
      <c r="M9" s="1"/>
      <c r="N9" s="2">
        <v>100</v>
      </c>
      <c r="O9" s="2">
        <v>58</v>
      </c>
      <c r="P9" s="36">
        <f t="shared" si="4"/>
        <v>5800</v>
      </c>
      <c r="Q9" s="1"/>
      <c r="R9" s="2">
        <v>100</v>
      </c>
      <c r="S9" s="2">
        <v>2</v>
      </c>
      <c r="T9" s="36">
        <f t="shared" si="5"/>
        <v>200</v>
      </c>
      <c r="U9" s="1"/>
      <c r="V9" s="12"/>
      <c r="W9" s="39">
        <v>100</v>
      </c>
      <c r="X9" s="39">
        <f t="shared" si="7"/>
        <v>154</v>
      </c>
      <c r="Y9" s="37">
        <f t="shared" si="6"/>
        <v>15400</v>
      </c>
      <c r="Z9" s="13"/>
      <c r="AA9" s="1"/>
      <c r="AB9" s="58" t="s">
        <v>12</v>
      </c>
      <c r="AC9" s="59">
        <f>SUM(AC7:AC8)</f>
        <v>596277</v>
      </c>
      <c r="AD9" s="1"/>
      <c r="AE9" s="1"/>
      <c r="AF9" s="1"/>
      <c r="AG9" s="1"/>
      <c r="AH9" s="1"/>
      <c r="AI9" s="2">
        <v>50</v>
      </c>
      <c r="AJ9" s="2">
        <v>572</v>
      </c>
      <c r="AK9" s="36">
        <f t="shared" si="0"/>
        <v>28600</v>
      </c>
      <c r="AL9" s="1"/>
    </row>
    <row r="10" spans="2:38">
      <c r="B10" s="2">
        <v>500</v>
      </c>
      <c r="C10" s="2">
        <v>26</v>
      </c>
      <c r="D10" s="36">
        <f t="shared" si="1"/>
        <v>13000</v>
      </c>
      <c r="E10" s="1"/>
      <c r="F10" s="2">
        <v>500</v>
      </c>
      <c r="G10" s="2">
        <v>43</v>
      </c>
      <c r="H10" s="36">
        <f t="shared" si="2"/>
        <v>21500</v>
      </c>
      <c r="I10" s="1"/>
      <c r="J10" s="2">
        <v>500</v>
      </c>
      <c r="K10" s="2">
        <v>21</v>
      </c>
      <c r="L10" s="36">
        <f t="shared" si="3"/>
        <v>10500</v>
      </c>
      <c r="M10" s="1"/>
      <c r="N10" s="2">
        <v>500</v>
      </c>
      <c r="O10" s="2">
        <v>12</v>
      </c>
      <c r="P10" s="36">
        <f t="shared" si="4"/>
        <v>6000</v>
      </c>
      <c r="Q10" s="1"/>
      <c r="R10" s="2">
        <v>500</v>
      </c>
      <c r="S10" s="2">
        <v>4</v>
      </c>
      <c r="T10" s="36">
        <f t="shared" si="5"/>
        <v>2000</v>
      </c>
      <c r="U10" s="1"/>
      <c r="V10" s="12"/>
      <c r="W10" s="39">
        <v>500</v>
      </c>
      <c r="X10" s="39">
        <f t="shared" si="7"/>
        <v>106</v>
      </c>
      <c r="Y10" s="37">
        <f t="shared" si="6"/>
        <v>53000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388</v>
      </c>
      <c r="AK10" s="36">
        <f t="shared" si="0"/>
        <v>38800</v>
      </c>
      <c r="AL10" s="1"/>
    </row>
    <row r="11" spans="2:38">
      <c r="B11" s="2">
        <v>1000</v>
      </c>
      <c r="C11" s="2">
        <v>34</v>
      </c>
      <c r="D11" s="36">
        <f t="shared" si="1"/>
        <v>34000</v>
      </c>
      <c r="E11" s="1"/>
      <c r="F11" s="2">
        <v>1000</v>
      </c>
      <c r="G11" s="2">
        <v>39</v>
      </c>
      <c r="H11" s="36">
        <f t="shared" si="2"/>
        <v>39000</v>
      </c>
      <c r="I11" s="1"/>
      <c r="J11" s="2">
        <v>1000</v>
      </c>
      <c r="K11" s="2">
        <v>23</v>
      </c>
      <c r="L11" s="36">
        <f t="shared" si="3"/>
        <v>23000</v>
      </c>
      <c r="M11" s="1"/>
      <c r="N11" s="2">
        <v>1000</v>
      </c>
      <c r="O11" s="2">
        <v>45</v>
      </c>
      <c r="P11" s="36">
        <f t="shared" si="4"/>
        <v>45000</v>
      </c>
      <c r="Q11" s="1"/>
      <c r="R11" s="2">
        <v>1000</v>
      </c>
      <c r="S11" s="2">
        <v>29</v>
      </c>
      <c r="T11" s="36">
        <f t="shared" si="5"/>
        <v>29000</v>
      </c>
      <c r="U11" s="1"/>
      <c r="V11" s="12"/>
      <c r="W11" s="39">
        <v>1000</v>
      </c>
      <c r="X11" s="39">
        <f t="shared" si="7"/>
        <v>170</v>
      </c>
      <c r="Y11" s="37">
        <f t="shared" si="6"/>
        <v>170000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245</v>
      </c>
      <c r="AK11" s="36">
        <f t="shared" si="0"/>
        <v>122500</v>
      </c>
      <c r="AL11" s="1"/>
    </row>
    <row r="12" spans="2:38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6</v>
      </c>
      <c r="H12" s="36">
        <f t="shared" si="2"/>
        <v>30000</v>
      </c>
      <c r="I12" s="1"/>
      <c r="J12" s="2">
        <v>5000</v>
      </c>
      <c r="K12" s="2"/>
      <c r="L12" s="36">
        <f t="shared" si="3"/>
        <v>0</v>
      </c>
      <c r="M12" s="1"/>
      <c r="N12" s="2">
        <v>5000</v>
      </c>
      <c r="O12" s="2">
        <v>4</v>
      </c>
      <c r="P12" s="36">
        <f t="shared" si="4"/>
        <v>20000</v>
      </c>
      <c r="Q12" s="1"/>
      <c r="R12" s="2">
        <v>5000</v>
      </c>
      <c r="S12" s="2">
        <v>1</v>
      </c>
      <c r="T12" s="36">
        <f t="shared" si="5"/>
        <v>5000</v>
      </c>
      <c r="U12" s="1"/>
      <c r="V12" s="12"/>
      <c r="W12" s="39">
        <v>5000</v>
      </c>
      <c r="X12" s="39">
        <f t="shared" si="7"/>
        <v>12</v>
      </c>
      <c r="Y12" s="37">
        <f t="shared" si="6"/>
        <v>60000</v>
      </c>
      <c r="Z12" s="13"/>
      <c r="AA12" s="1"/>
      <c r="AB12" s="1" t="s">
        <v>17</v>
      </c>
      <c r="AC12" s="5">
        <v>590270</v>
      </c>
      <c r="AD12" s="1">
        <v>979143</v>
      </c>
      <c r="AE12" s="52">
        <v>45726</v>
      </c>
      <c r="AF12" s="1" t="s">
        <v>110</v>
      </c>
      <c r="AG12" s="1"/>
      <c r="AH12" s="1"/>
      <c r="AI12" s="2">
        <v>1000</v>
      </c>
      <c r="AJ12" s="2">
        <v>292</v>
      </c>
      <c r="AK12" s="36">
        <f t="shared" si="0"/>
        <v>292000</v>
      </c>
      <c r="AL12" s="1"/>
    </row>
    <row r="13" spans="2:38" ht="15.75" thickBot="1">
      <c r="B13" s="3" t="s">
        <v>18</v>
      </c>
      <c r="C13" s="3"/>
      <c r="D13" s="6">
        <f>+SUM(D5:D12)</f>
        <v>57990</v>
      </c>
      <c r="E13" s="1"/>
      <c r="F13" s="3" t="s">
        <v>18</v>
      </c>
      <c r="G13" s="3"/>
      <c r="H13" s="6">
        <f>+SUM(H5:H12)</f>
        <v>97220</v>
      </c>
      <c r="I13" s="1"/>
      <c r="J13" s="3" t="s">
        <v>18</v>
      </c>
      <c r="K13" s="3"/>
      <c r="L13" s="6">
        <f>+SUM(L5:L12)</f>
        <v>41640</v>
      </c>
      <c r="M13" s="1"/>
      <c r="N13" s="3" t="s">
        <v>18</v>
      </c>
      <c r="O13" s="3"/>
      <c r="P13" s="6">
        <f>+SUM(P5:P12)</f>
        <v>87370</v>
      </c>
      <c r="Q13" s="1"/>
      <c r="R13" s="3" t="s">
        <v>18</v>
      </c>
      <c r="S13" s="3"/>
      <c r="T13" s="6">
        <f>+SUM(T5:T12)</f>
        <v>40020</v>
      </c>
      <c r="U13" s="1"/>
      <c r="V13" s="12"/>
      <c r="W13" s="3" t="s">
        <v>18</v>
      </c>
      <c r="X13" s="3"/>
      <c r="Y13" s="6">
        <f>+SUM(Y5:Y12)</f>
        <v>324240</v>
      </c>
      <c r="Z13" s="13"/>
      <c r="AA13" s="1"/>
      <c r="AB13" s="1" t="s">
        <v>19</v>
      </c>
      <c r="AC13" s="5">
        <v>6007</v>
      </c>
      <c r="AD13" s="1"/>
      <c r="AE13" s="1"/>
      <c r="AF13" s="1"/>
      <c r="AG13" s="1"/>
      <c r="AH13" s="1"/>
      <c r="AI13" s="2">
        <v>5000</v>
      </c>
      <c r="AJ13" s="2">
        <v>21</v>
      </c>
      <c r="AK13" s="36">
        <f t="shared" si="0"/>
        <v>105000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596277</v>
      </c>
      <c r="AL14" s="1"/>
    </row>
    <row r="15" spans="2:38" ht="15.75" thickBot="1">
      <c r="B15" s="109" t="s">
        <v>21</v>
      </c>
      <c r="C15" s="110"/>
      <c r="D15" s="8">
        <v>78557</v>
      </c>
      <c r="E15" s="30"/>
      <c r="F15" s="109" t="s">
        <v>21</v>
      </c>
      <c r="G15" s="110"/>
      <c r="H15" s="8">
        <v>108559</v>
      </c>
      <c r="I15" s="30"/>
      <c r="J15" s="109" t="s">
        <v>21</v>
      </c>
      <c r="K15" s="110"/>
      <c r="L15" s="8">
        <v>73365</v>
      </c>
      <c r="M15" s="30"/>
      <c r="N15" s="109" t="s">
        <v>21</v>
      </c>
      <c r="O15" s="110"/>
      <c r="P15" s="8">
        <v>91505</v>
      </c>
      <c r="Q15" s="30"/>
      <c r="R15" s="109" t="s">
        <v>21</v>
      </c>
      <c r="S15" s="110"/>
      <c r="T15" s="8">
        <v>435528</v>
      </c>
      <c r="U15" s="30"/>
      <c r="V15" s="31"/>
      <c r="W15" s="109" t="s">
        <v>21</v>
      </c>
      <c r="X15" s="110"/>
      <c r="Y15" s="8">
        <f>+D15+H15+L15+P15+T15</f>
        <v>787514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57990</v>
      </c>
      <c r="E16" s="1"/>
      <c r="F16" s="1" t="s">
        <v>10</v>
      </c>
      <c r="G16" s="1"/>
      <c r="H16" s="5">
        <f>+H13</f>
        <v>97220</v>
      </c>
      <c r="I16" s="1"/>
      <c r="J16" s="1" t="s">
        <v>10</v>
      </c>
      <c r="K16" s="1"/>
      <c r="L16" s="5">
        <f>+L13</f>
        <v>41640</v>
      </c>
      <c r="M16" s="1"/>
      <c r="N16" s="1" t="s">
        <v>10</v>
      </c>
      <c r="O16" s="1"/>
      <c r="P16" s="5">
        <f>+P13</f>
        <v>87370</v>
      </c>
      <c r="Q16" s="1"/>
      <c r="R16" s="1" t="s">
        <v>10</v>
      </c>
      <c r="S16" s="1"/>
      <c r="T16" s="5">
        <f>+T13</f>
        <v>40020</v>
      </c>
      <c r="U16" s="1"/>
      <c r="V16" s="12"/>
      <c r="W16" s="40" t="s">
        <v>10</v>
      </c>
      <c r="X16" s="40"/>
      <c r="Y16" s="37">
        <f>+D16+H16+L16+P16+T16</f>
        <v>324240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>
        <v>12235</v>
      </c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12235</v>
      </c>
      <c r="Z17" s="13"/>
      <c r="AA17" s="1"/>
      <c r="AB17" s="48" t="s">
        <v>12</v>
      </c>
      <c r="AC17" s="49">
        <f>+SUM(AC12:AC16)</f>
        <v>596277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131</v>
      </c>
      <c r="C18" s="1" t="s">
        <v>130</v>
      </c>
      <c r="D18" s="5">
        <v>8086</v>
      </c>
      <c r="E18" s="1"/>
      <c r="F18" s="1" t="s">
        <v>125</v>
      </c>
      <c r="G18" s="1" t="s">
        <v>126</v>
      </c>
      <c r="H18" s="5">
        <v>11413</v>
      </c>
      <c r="I18" s="1"/>
      <c r="J18" s="1" t="s">
        <v>124</v>
      </c>
      <c r="K18" s="16" t="s">
        <v>123</v>
      </c>
      <c r="L18" s="5">
        <v>10390</v>
      </c>
      <c r="M18" s="1"/>
      <c r="N18" s="1" t="s">
        <v>112</v>
      </c>
      <c r="O18" s="16" t="s">
        <v>111</v>
      </c>
      <c r="P18" s="5">
        <v>4153</v>
      </c>
      <c r="Q18" s="1"/>
      <c r="R18" s="1" t="s">
        <v>137</v>
      </c>
      <c r="S18" s="1" t="s">
        <v>139</v>
      </c>
      <c r="T18" s="5">
        <v>18000</v>
      </c>
      <c r="U18" s="1"/>
      <c r="V18" s="12"/>
      <c r="W18" s="40" t="s">
        <v>24</v>
      </c>
      <c r="X18" s="40"/>
      <c r="Y18" s="37">
        <f t="shared" si="8"/>
        <v>52042</v>
      </c>
      <c r="Z18" s="13"/>
      <c r="AA18" s="1"/>
      <c r="AB18" s="50" t="s">
        <v>25</v>
      </c>
      <c r="AC18" s="51">
        <f>+AC17-AC9</f>
        <v>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27</v>
      </c>
      <c r="C19" s="1"/>
      <c r="D19" s="5"/>
      <c r="E19" s="1"/>
      <c r="F19" s="1" t="s">
        <v>27</v>
      </c>
      <c r="G19" s="1"/>
      <c r="H19" s="5"/>
      <c r="I19" s="1"/>
      <c r="J19" s="1" t="s">
        <v>27</v>
      </c>
      <c r="K19" s="1"/>
      <c r="L19" s="5"/>
      <c r="M19" s="1"/>
      <c r="N19" s="1" t="s">
        <v>27</v>
      </c>
      <c r="O19" s="1"/>
      <c r="P19" s="5"/>
      <c r="Q19" s="1"/>
      <c r="R19" s="1" t="s">
        <v>138</v>
      </c>
      <c r="S19" s="1" t="s">
        <v>133</v>
      </c>
      <c r="T19" s="5">
        <v>14563</v>
      </c>
      <c r="U19" s="1"/>
      <c r="V19" s="12"/>
      <c r="W19" s="40" t="s">
        <v>27</v>
      </c>
      <c r="X19" s="40"/>
      <c r="Y19" s="37">
        <f t="shared" si="8"/>
        <v>14563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121</v>
      </c>
      <c r="K23" s="20" t="s">
        <v>119</v>
      </c>
      <c r="L23" s="5">
        <v>16203</v>
      </c>
      <c r="M23" s="1"/>
      <c r="N23" s="1" t="s">
        <v>47</v>
      </c>
      <c r="O23" s="1"/>
      <c r="P23" s="5"/>
      <c r="Q23" s="1"/>
      <c r="R23" s="1" t="s">
        <v>113</v>
      </c>
      <c r="S23" s="1" t="s">
        <v>114</v>
      </c>
      <c r="T23" s="5">
        <v>262991</v>
      </c>
      <c r="U23" s="1"/>
      <c r="V23" s="12"/>
      <c r="W23" s="40" t="s">
        <v>36</v>
      </c>
      <c r="X23" s="40"/>
      <c r="Y23" s="37">
        <f t="shared" si="8"/>
        <v>279194</v>
      </c>
      <c r="Z23" s="13"/>
      <c r="AA23" s="1"/>
      <c r="AB23" s="76" t="s">
        <v>106</v>
      </c>
      <c r="AC23" s="77">
        <v>45905</v>
      </c>
      <c r="AD23" s="70"/>
      <c r="AE23" s="78" t="s">
        <v>107</v>
      </c>
      <c r="AF23" s="70">
        <v>243</v>
      </c>
      <c r="AG23" s="1"/>
      <c r="AH23" s="1"/>
      <c r="AI23" s="70" t="s">
        <v>97</v>
      </c>
      <c r="AJ23" s="70" t="s">
        <v>141</v>
      </c>
      <c r="AK23" s="70" t="s">
        <v>147</v>
      </c>
      <c r="AL23" s="73">
        <v>24650</v>
      </c>
    </row>
    <row r="24" spans="2:38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122</v>
      </c>
      <c r="K24" s="16" t="s">
        <v>120</v>
      </c>
      <c r="L24" s="5">
        <v>5142</v>
      </c>
      <c r="M24" s="1"/>
      <c r="N24" s="1" t="s">
        <v>47</v>
      </c>
      <c r="O24" s="1"/>
      <c r="P24" s="5"/>
      <c r="Q24" s="1"/>
      <c r="R24" s="1" t="s">
        <v>132</v>
      </c>
      <c r="S24" s="1" t="s">
        <v>134</v>
      </c>
      <c r="T24" s="5">
        <v>27005</v>
      </c>
      <c r="U24" s="1"/>
      <c r="V24" s="12"/>
      <c r="W24" s="40" t="s">
        <v>37</v>
      </c>
      <c r="X24" s="40"/>
      <c r="Y24" s="37">
        <f t="shared" si="8"/>
        <v>32147</v>
      </c>
      <c r="Z24" s="13"/>
      <c r="AA24" s="1"/>
      <c r="AB24" s="76" t="s">
        <v>106</v>
      </c>
      <c r="AC24" s="77">
        <v>45905</v>
      </c>
      <c r="AD24" s="70"/>
      <c r="AE24" s="78" t="s">
        <v>108</v>
      </c>
      <c r="AF24" s="70">
        <v>2262</v>
      </c>
      <c r="AG24" s="1"/>
      <c r="AH24" s="1"/>
      <c r="AI24" s="76" t="s">
        <v>65</v>
      </c>
      <c r="AJ24" s="70" t="s">
        <v>142</v>
      </c>
      <c r="AK24" s="70" t="s">
        <v>148</v>
      </c>
      <c r="AL24" s="73">
        <v>3860</v>
      </c>
    </row>
    <row r="25" spans="2:38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6"/>
      <c r="L25" s="5"/>
      <c r="M25" s="1"/>
      <c r="N25" s="1" t="s">
        <v>47</v>
      </c>
      <c r="O25" s="1"/>
      <c r="P25" s="5"/>
      <c r="Q25" s="1"/>
      <c r="R25" s="1" t="s">
        <v>135</v>
      </c>
      <c r="S25" s="1" t="s">
        <v>136</v>
      </c>
      <c r="T25" s="5">
        <v>71406</v>
      </c>
      <c r="U25" s="1"/>
      <c r="V25" s="12"/>
      <c r="W25" s="40" t="s">
        <v>38</v>
      </c>
      <c r="X25" s="40"/>
      <c r="Y25" s="37">
        <f t="shared" si="8"/>
        <v>71406</v>
      </c>
      <c r="Z25" s="13"/>
      <c r="AA25" s="1"/>
      <c r="AB25" s="70" t="s">
        <v>116</v>
      </c>
      <c r="AC25" s="71">
        <v>45927</v>
      </c>
      <c r="AD25" s="70" t="s">
        <v>115</v>
      </c>
      <c r="AE25" s="70"/>
      <c r="AF25" s="70">
        <v>7026</v>
      </c>
      <c r="AG25" s="1"/>
      <c r="AH25" s="1"/>
      <c r="AI25" s="76" t="s">
        <v>97</v>
      </c>
      <c r="AJ25" s="70" t="s">
        <v>143</v>
      </c>
      <c r="AK25" s="70" t="s">
        <v>149</v>
      </c>
      <c r="AL25" s="73">
        <v>6645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70" t="s">
        <v>118</v>
      </c>
      <c r="AC26" s="69">
        <v>45898</v>
      </c>
      <c r="AD26" s="70" t="s">
        <v>117</v>
      </c>
      <c r="AE26" s="70"/>
      <c r="AF26" s="70">
        <v>3604</v>
      </c>
      <c r="AG26" s="1"/>
      <c r="AH26" s="1"/>
      <c r="AI26" s="76" t="s">
        <v>97</v>
      </c>
      <c r="AJ26" s="70" t="s">
        <v>144</v>
      </c>
      <c r="AK26" s="70" t="s">
        <v>150</v>
      </c>
      <c r="AL26" s="73">
        <v>10000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70" t="s">
        <v>98</v>
      </c>
      <c r="AC27" s="77">
        <v>45905</v>
      </c>
      <c r="AD27" s="70" t="s">
        <v>128</v>
      </c>
      <c r="AE27" s="70" t="s">
        <v>129</v>
      </c>
      <c r="AF27" s="70">
        <v>3000</v>
      </c>
      <c r="AG27" s="1"/>
      <c r="AH27" s="1"/>
      <c r="AI27" s="70" t="s">
        <v>65</v>
      </c>
      <c r="AJ27" s="70" t="s">
        <v>145</v>
      </c>
      <c r="AK27" s="70" t="s">
        <v>151</v>
      </c>
      <c r="AL27" s="73">
        <v>10840</v>
      </c>
    </row>
    <row r="28" spans="2:38" ht="15.75" thickBot="1">
      <c r="B28" s="114" t="s">
        <v>12</v>
      </c>
      <c r="C28" s="115"/>
      <c r="D28" s="9">
        <f>+SUM(D16:D27)</f>
        <v>78311</v>
      </c>
      <c r="E28" s="1"/>
      <c r="F28" s="114" t="s">
        <v>12</v>
      </c>
      <c r="G28" s="115"/>
      <c r="H28" s="9">
        <f>+SUM(H16:H27)</f>
        <v>108633</v>
      </c>
      <c r="I28" s="1"/>
      <c r="J28" s="114" t="s">
        <v>12</v>
      </c>
      <c r="K28" s="115"/>
      <c r="L28" s="9">
        <f>+SUM(L16:L27)</f>
        <v>73375</v>
      </c>
      <c r="M28" s="1"/>
      <c r="N28" s="114" t="s">
        <v>12</v>
      </c>
      <c r="O28" s="115"/>
      <c r="P28" s="9">
        <f>+SUM(P16:P27)</f>
        <v>91523</v>
      </c>
      <c r="Q28" s="1"/>
      <c r="R28" s="114" t="s">
        <v>12</v>
      </c>
      <c r="S28" s="115"/>
      <c r="T28" s="9">
        <f>+SUM(T16:T27)</f>
        <v>433985</v>
      </c>
      <c r="U28" s="1"/>
      <c r="V28" s="12"/>
      <c r="W28" s="114" t="s">
        <v>12</v>
      </c>
      <c r="X28" s="115"/>
      <c r="Y28" s="9">
        <f>+SUM(Y16:Y27)</f>
        <v>785827</v>
      </c>
      <c r="Z28" s="13"/>
      <c r="AA28" s="1"/>
      <c r="AB28" s="70" t="s">
        <v>154</v>
      </c>
      <c r="AC28" s="69">
        <v>45892</v>
      </c>
      <c r="AD28" s="70" t="s">
        <v>153</v>
      </c>
      <c r="AE28" s="70"/>
      <c r="AF28" s="70">
        <v>36100</v>
      </c>
      <c r="AG28" s="1"/>
      <c r="AH28" s="1"/>
      <c r="AI28" s="70" t="s">
        <v>98</v>
      </c>
      <c r="AJ28" s="70" t="s">
        <v>146</v>
      </c>
      <c r="AK28" s="70" t="s">
        <v>152</v>
      </c>
      <c r="AL28" s="73">
        <v>6900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70" t="s">
        <v>156</v>
      </c>
      <c r="AC29" s="71">
        <v>45926</v>
      </c>
      <c r="AD29" s="70" t="s">
        <v>155</v>
      </c>
      <c r="AE29" s="70"/>
      <c r="AF29" s="70">
        <v>10220</v>
      </c>
      <c r="AG29" s="1"/>
      <c r="AH29" s="1"/>
      <c r="AI29" s="76" t="s">
        <v>67</v>
      </c>
      <c r="AJ29" s="70" t="s">
        <v>168</v>
      </c>
      <c r="AK29" s="1"/>
      <c r="AL29" s="5">
        <v>12235</v>
      </c>
    </row>
    <row r="30" spans="2:38" ht="15.75" thickBot="1">
      <c r="B30" s="116" t="s">
        <v>40</v>
      </c>
      <c r="C30" s="116"/>
      <c r="D30" s="7">
        <f>+D28-D15</f>
        <v>-246</v>
      </c>
      <c r="E30" s="1"/>
      <c r="F30" s="116" t="s">
        <v>40</v>
      </c>
      <c r="G30" s="116"/>
      <c r="H30" s="7">
        <f>+H28-H15</f>
        <v>74</v>
      </c>
      <c r="I30" s="1"/>
      <c r="J30" s="116" t="s">
        <v>40</v>
      </c>
      <c r="K30" s="116"/>
      <c r="L30" s="7">
        <f>+L28-L15</f>
        <v>10</v>
      </c>
      <c r="M30" s="1"/>
      <c r="N30" s="116" t="s">
        <v>40</v>
      </c>
      <c r="O30" s="116"/>
      <c r="P30" s="7">
        <f>+P28-P15</f>
        <v>18</v>
      </c>
      <c r="Q30" s="1"/>
      <c r="R30" s="116" t="s">
        <v>40</v>
      </c>
      <c r="S30" s="116"/>
      <c r="T30" s="7">
        <f>+T28-T15</f>
        <v>-1543</v>
      </c>
      <c r="U30" s="1"/>
      <c r="V30" s="12"/>
      <c r="W30" s="113" t="s">
        <v>40</v>
      </c>
      <c r="X30" s="113"/>
      <c r="Y30" s="41">
        <f>+Y28-Y15</f>
        <v>-1687</v>
      </c>
      <c r="Z30" s="13"/>
      <c r="AA30" s="1"/>
      <c r="AB30" s="70" t="s">
        <v>158</v>
      </c>
      <c r="AC30" s="71">
        <v>45926</v>
      </c>
      <c r="AD30" s="70" t="s">
        <v>157</v>
      </c>
      <c r="AE30" s="70"/>
      <c r="AF30" s="70">
        <v>21150</v>
      </c>
      <c r="AG30" s="1"/>
      <c r="AH30" s="1"/>
      <c r="AI30" s="1"/>
      <c r="AJ30" s="1"/>
      <c r="AK30" s="1"/>
      <c r="AL30" s="62"/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70" t="s">
        <v>160</v>
      </c>
      <c r="AC31" s="71">
        <v>45926</v>
      </c>
      <c r="AD31" s="70" t="s">
        <v>159</v>
      </c>
      <c r="AE31" s="70"/>
      <c r="AF31" s="70">
        <v>48230</v>
      </c>
      <c r="AG31" s="1"/>
      <c r="AH31" s="1"/>
      <c r="AI31" s="60" t="s">
        <v>39</v>
      </c>
      <c r="AJ31" s="60"/>
      <c r="AK31" s="60"/>
      <c r="AL31" s="55">
        <f>+SUM(AL23:AL30)</f>
        <v>75130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70" t="s">
        <v>162</v>
      </c>
      <c r="AC32" s="71">
        <v>45925</v>
      </c>
      <c r="AD32" s="70" t="s">
        <v>161</v>
      </c>
      <c r="AE32" s="70"/>
      <c r="AF32" s="70">
        <v>13314</v>
      </c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70" t="s">
        <v>163</v>
      </c>
      <c r="AC33" s="71">
        <v>45919</v>
      </c>
      <c r="AD33" s="70" t="s">
        <v>164</v>
      </c>
      <c r="AE33" s="70"/>
      <c r="AF33" s="70">
        <v>19270</v>
      </c>
      <c r="AG33" s="1"/>
      <c r="AH33" s="1"/>
      <c r="AI33" s="1"/>
      <c r="AJ33" s="1"/>
      <c r="AK33" s="1"/>
      <c r="AL33" s="1"/>
    </row>
    <row r="34" spans="2:38">
      <c r="B34" s="10" t="s">
        <v>41</v>
      </c>
      <c r="C34" s="11"/>
      <c r="D34" s="21">
        <v>246</v>
      </c>
      <c r="E34" s="1"/>
      <c r="F34" s="10" t="s">
        <v>41</v>
      </c>
      <c r="G34" s="11"/>
      <c r="H34" s="21"/>
      <c r="I34" s="1"/>
      <c r="J34" s="10" t="s">
        <v>41</v>
      </c>
      <c r="K34" s="11"/>
      <c r="L34" s="21"/>
      <c r="M34" s="1"/>
      <c r="N34" s="10" t="s">
        <v>41</v>
      </c>
      <c r="O34" s="11"/>
      <c r="P34" s="21"/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246</v>
      </c>
      <c r="Z34" s="1"/>
      <c r="AA34" s="1"/>
      <c r="AB34" s="70" t="s">
        <v>165</v>
      </c>
      <c r="AC34" s="77">
        <v>45912</v>
      </c>
      <c r="AD34" s="70" t="s">
        <v>134</v>
      </c>
      <c r="AE34" s="70"/>
      <c r="AF34" s="70">
        <v>60800</v>
      </c>
      <c r="AG34" s="1"/>
      <c r="AH34" s="1"/>
      <c r="AI34" s="1"/>
      <c r="AJ34" s="1"/>
      <c r="AK34" s="1"/>
      <c r="AL34" s="1"/>
    </row>
    <row r="35" spans="2:38">
      <c r="B35" s="12" t="s">
        <v>42</v>
      </c>
      <c r="C35" s="16"/>
      <c r="D35" s="22"/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/>
      <c r="Q35" s="1"/>
      <c r="R35" s="12" t="s">
        <v>140</v>
      </c>
      <c r="S35" s="16"/>
      <c r="T35" s="22">
        <v>1555</v>
      </c>
      <c r="U35" s="1"/>
      <c r="V35" s="1"/>
      <c r="W35" s="45" t="s">
        <v>42</v>
      </c>
      <c r="X35" s="40"/>
      <c r="Y35" s="46">
        <f t="shared" ref="Y35:Y36" si="9">+D35+H35+L35+P35+T35</f>
        <v>1555</v>
      </c>
      <c r="Z35" s="1"/>
      <c r="AA35" s="1"/>
      <c r="AB35" s="70" t="s">
        <v>166</v>
      </c>
      <c r="AC35" s="71">
        <v>45925</v>
      </c>
      <c r="AD35" s="70" t="s">
        <v>167</v>
      </c>
      <c r="AE35" s="70"/>
      <c r="AF35" s="70">
        <v>46650</v>
      </c>
      <c r="AG35" s="1"/>
      <c r="AH35" s="1"/>
      <c r="AI35" s="1"/>
      <c r="AJ35" s="1"/>
      <c r="AK35" s="1"/>
      <c r="AL35" s="1"/>
    </row>
    <row r="36" spans="2:38">
      <c r="B36" s="12" t="s">
        <v>44</v>
      </c>
      <c r="C36" s="16"/>
      <c r="D36" s="22"/>
      <c r="E36" s="1"/>
      <c r="F36" s="12" t="s">
        <v>44</v>
      </c>
      <c r="G36" s="16"/>
      <c r="H36" s="22">
        <v>-74</v>
      </c>
      <c r="I36" s="1"/>
      <c r="J36" s="12" t="s">
        <v>44</v>
      </c>
      <c r="K36" s="16"/>
      <c r="L36" s="22">
        <v>-10</v>
      </c>
      <c r="M36" s="1"/>
      <c r="N36" s="12" t="s">
        <v>44</v>
      </c>
      <c r="O36" s="16"/>
      <c r="P36" s="22">
        <v>-18</v>
      </c>
      <c r="Q36" s="1"/>
      <c r="R36" s="12" t="s">
        <v>44</v>
      </c>
      <c r="S36" s="16"/>
      <c r="T36" s="22">
        <v>-12</v>
      </c>
      <c r="U36" s="1"/>
      <c r="V36" s="1"/>
      <c r="W36" s="45" t="s">
        <v>43</v>
      </c>
      <c r="X36" s="40"/>
      <c r="Y36" s="46">
        <f t="shared" si="9"/>
        <v>-114</v>
      </c>
      <c r="Z36" s="1"/>
      <c r="AA36" s="1"/>
      <c r="AB36" s="70" t="s">
        <v>100</v>
      </c>
      <c r="AC36" s="70"/>
      <c r="AD36" s="70" t="s">
        <v>104</v>
      </c>
      <c r="AE36" s="70"/>
      <c r="AF36" s="70">
        <v>49</v>
      </c>
      <c r="AG36" s="1"/>
      <c r="AH36" s="1"/>
      <c r="AI36" s="1"/>
      <c r="AJ36" s="1"/>
      <c r="AK36" s="1"/>
      <c r="AL36" s="1"/>
    </row>
    <row r="37" spans="2:38">
      <c r="B37" s="12" t="s">
        <v>18</v>
      </c>
      <c r="C37" s="16"/>
      <c r="D37" s="22">
        <f>+SUM(D34:D36)</f>
        <v>246</v>
      </c>
      <c r="E37" s="1"/>
      <c r="F37" s="12" t="s">
        <v>18</v>
      </c>
      <c r="G37" s="16"/>
      <c r="H37" s="22">
        <f>+SUM(H34:H36)</f>
        <v>-74</v>
      </c>
      <c r="I37" s="1"/>
      <c r="J37" s="12" t="s">
        <v>18</v>
      </c>
      <c r="K37" s="16"/>
      <c r="L37" s="22">
        <f>+SUM(L34:L36)</f>
        <v>-10</v>
      </c>
      <c r="M37" s="1"/>
      <c r="N37" s="12" t="s">
        <v>18</v>
      </c>
      <c r="O37" s="16"/>
      <c r="P37" s="22">
        <f>+SUM(P34:P36)</f>
        <v>-18</v>
      </c>
      <c r="Q37" s="1"/>
      <c r="R37" s="12" t="s">
        <v>18</v>
      </c>
      <c r="S37" s="16"/>
      <c r="T37" s="22">
        <f>+SUM(T34:T36)</f>
        <v>1543</v>
      </c>
      <c r="U37" s="1"/>
      <c r="V37" s="1"/>
      <c r="W37" s="33" t="s">
        <v>18</v>
      </c>
      <c r="X37" s="34"/>
      <c r="Y37" s="35">
        <f>+SUM(Y34:Y36)</f>
        <v>1687</v>
      </c>
      <c r="Z37" s="1"/>
      <c r="AA37" s="1"/>
      <c r="AB37" s="70" t="s">
        <v>100</v>
      </c>
      <c r="AC37" s="70"/>
      <c r="AD37" s="70" t="s">
        <v>169</v>
      </c>
      <c r="AE37" s="70"/>
      <c r="AF37" s="70">
        <v>55</v>
      </c>
      <c r="AG37" s="1"/>
      <c r="AH37" s="1"/>
      <c r="AI37" s="1"/>
      <c r="AJ37" s="1"/>
      <c r="AK37" s="1"/>
      <c r="AL37" s="1"/>
    </row>
    <row r="38" spans="2:38" ht="15.75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>
        <f>+Y30+Y37</f>
        <v>0</v>
      </c>
      <c r="Z38" s="1"/>
      <c r="AA38" s="1"/>
      <c r="AB38" s="70" t="s">
        <v>170</v>
      </c>
      <c r="AD38" s="16" t="s">
        <v>171</v>
      </c>
      <c r="AF38" s="70">
        <v>64</v>
      </c>
      <c r="AG38" s="1"/>
      <c r="AH38" s="1"/>
      <c r="AI38" s="1"/>
      <c r="AJ38" s="1"/>
      <c r="AK38" s="1"/>
      <c r="AL38" s="1"/>
    </row>
    <row r="40" spans="2:38" ht="15.75" thickBot="1">
      <c r="AB40" s="79" t="s">
        <v>39</v>
      </c>
      <c r="AC40" s="79"/>
      <c r="AD40" s="79"/>
      <c r="AE40" s="79"/>
      <c r="AF40" s="80">
        <f>+SUM(AF23:AF39)</f>
        <v>272037</v>
      </c>
    </row>
    <row r="41" spans="2:38" ht="15.75" thickTop="1"/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AL38"/>
  <sheetViews>
    <sheetView zoomScale="70" zoomScaleNormal="70" workbookViewId="0">
      <selection activeCell="T35" sqref="T35"/>
    </sheetView>
  </sheetViews>
  <sheetFormatPr defaultRowHeight="15"/>
  <cols>
    <col min="3" max="3" width="14.140625" bestFit="1" customWidth="1"/>
    <col min="4" max="4" width="11.42578125" bestFit="1" customWidth="1"/>
    <col min="5" max="5" width="0.85546875" customWidth="1"/>
    <col min="6" max="6" width="13.5703125" bestFit="1" customWidth="1"/>
    <col min="7" max="7" width="16" bestFit="1" customWidth="1"/>
    <col min="8" max="8" width="9.5703125" bestFit="1" customWidth="1"/>
    <col min="9" max="9" width="0.7109375" customWidth="1"/>
    <col min="13" max="13" width="0.7109375" customWidth="1"/>
    <col min="15" max="15" width="15" bestFit="1" customWidth="1"/>
    <col min="16" max="16" width="12.42578125" bestFit="1" customWidth="1"/>
    <col min="17" max="17" width="0.7109375" customWidth="1"/>
    <col min="20" max="20" width="12.85546875" bestFit="1" customWidth="1"/>
    <col min="21" max="21" width="0.42578125" customWidth="1"/>
    <col min="22" max="22" width="2.140625" customWidth="1"/>
    <col min="25" max="25" width="12.85546875" bestFit="1" customWidth="1"/>
    <col min="26" max="26" width="2" customWidth="1"/>
    <col min="27" max="27" width="0.5703125" customWidth="1"/>
    <col min="29" max="29" width="12.85546875" bestFit="1" customWidth="1"/>
    <col min="30" max="30" width="15.5703125" bestFit="1" customWidth="1"/>
    <col min="33" max="33" width="1" customWidth="1"/>
    <col min="34" max="34" width="9.140625" hidden="1" customWidth="1"/>
  </cols>
  <sheetData>
    <row r="2" spans="2:38" ht="15.75" thickBot="1"/>
    <row r="3" spans="2:38">
      <c r="B3" s="111" t="s">
        <v>127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3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>
        <v>2</v>
      </c>
      <c r="H5" s="36">
        <f>+G5*F5</f>
        <v>2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2</v>
      </c>
      <c r="Y5" s="37">
        <f>+D5+H5+L5+P5+T5</f>
        <v>2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85</v>
      </c>
      <c r="D6" s="36">
        <f>+C6*B6</f>
        <v>850</v>
      </c>
      <c r="E6" s="1"/>
      <c r="F6" s="2">
        <v>10</v>
      </c>
      <c r="G6" s="2">
        <v>12</v>
      </c>
      <c r="H6" s="36">
        <f>+G6*F6</f>
        <v>120</v>
      </c>
      <c r="I6" s="1"/>
      <c r="J6" s="2">
        <v>10</v>
      </c>
      <c r="K6" s="2">
        <v>64</v>
      </c>
      <c r="L6" s="36">
        <f>+K6*J6</f>
        <v>640</v>
      </c>
      <c r="M6" s="1"/>
      <c r="N6" s="2">
        <v>10</v>
      </c>
      <c r="O6" s="2">
        <v>44</v>
      </c>
      <c r="P6" s="36">
        <f>+O6*N6</f>
        <v>440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205</v>
      </c>
      <c r="Y6" s="37">
        <f>+D6+H6+L6+P6+T6</f>
        <v>2050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2</v>
      </c>
      <c r="AK6" s="36">
        <f t="shared" ref="AK6:AK13" si="0">+AJ6*AI6</f>
        <v>2</v>
      </c>
      <c r="AL6" s="26"/>
    </row>
    <row r="7" spans="2:38">
      <c r="B7" s="2">
        <v>20</v>
      </c>
      <c r="C7" s="2">
        <v>18</v>
      </c>
      <c r="D7" s="36">
        <f t="shared" ref="D7:D12" si="1">+C7*B7</f>
        <v>360</v>
      </c>
      <c r="E7" s="1"/>
      <c r="F7" s="2">
        <v>20</v>
      </c>
      <c r="G7" s="2">
        <v>4</v>
      </c>
      <c r="H7" s="36">
        <f t="shared" ref="H7:H12" si="2">+G7*F7</f>
        <v>80</v>
      </c>
      <c r="I7" s="1"/>
      <c r="J7" s="2">
        <v>20</v>
      </c>
      <c r="K7" s="2">
        <v>10</v>
      </c>
      <c r="L7" s="36">
        <f t="shared" ref="L7:L12" si="3">+K7*J7</f>
        <v>200</v>
      </c>
      <c r="M7" s="1"/>
      <c r="N7" s="2">
        <v>20</v>
      </c>
      <c r="O7" s="2"/>
      <c r="P7" s="36">
        <f t="shared" ref="P7:P12" si="4">+O7*N7</f>
        <v>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32</v>
      </c>
      <c r="Y7" s="37">
        <f t="shared" ref="Y7:Y12" si="6">+D7+H7+L7+P7+T7</f>
        <v>640</v>
      </c>
      <c r="Z7" s="13"/>
      <c r="AA7" s="1"/>
      <c r="AB7" s="56" t="s">
        <v>10</v>
      </c>
      <c r="AC7" s="57">
        <f>Y13</f>
        <v>293742</v>
      </c>
      <c r="AD7" s="26"/>
      <c r="AE7" s="26"/>
      <c r="AF7" s="26"/>
      <c r="AG7" s="26"/>
      <c r="AH7" s="1"/>
      <c r="AI7" s="2">
        <v>10</v>
      </c>
      <c r="AJ7" s="2">
        <v>206</v>
      </c>
      <c r="AK7" s="36">
        <f t="shared" si="0"/>
        <v>2060</v>
      </c>
      <c r="AL7" s="1"/>
    </row>
    <row r="8" spans="2:38">
      <c r="B8" s="2">
        <v>50</v>
      </c>
      <c r="C8" s="2">
        <v>78</v>
      </c>
      <c r="D8" s="36">
        <f t="shared" si="1"/>
        <v>3900</v>
      </c>
      <c r="E8" s="1"/>
      <c r="F8" s="2">
        <v>50</v>
      </c>
      <c r="G8" s="2">
        <v>8</v>
      </c>
      <c r="H8" s="36">
        <f t="shared" si="2"/>
        <v>400</v>
      </c>
      <c r="I8" s="1"/>
      <c r="J8" s="2">
        <v>50</v>
      </c>
      <c r="K8" s="2">
        <v>50</v>
      </c>
      <c r="L8" s="36">
        <f t="shared" si="3"/>
        <v>2500</v>
      </c>
      <c r="M8" s="1"/>
      <c r="N8" s="2">
        <v>50</v>
      </c>
      <c r="O8" s="2">
        <v>101</v>
      </c>
      <c r="P8" s="36">
        <f t="shared" si="4"/>
        <v>5050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237</v>
      </c>
      <c r="Y8" s="37">
        <f t="shared" si="6"/>
        <v>11850</v>
      </c>
      <c r="Z8" s="13"/>
      <c r="AA8" s="1"/>
      <c r="AB8" s="53" t="s">
        <v>11</v>
      </c>
      <c r="AC8" s="53">
        <f>+AF31</f>
        <v>33080</v>
      </c>
      <c r="AD8" s="1"/>
      <c r="AE8" s="1"/>
      <c r="AF8" s="1"/>
      <c r="AG8" s="1"/>
      <c r="AH8" s="1"/>
      <c r="AI8" s="2">
        <v>20</v>
      </c>
      <c r="AJ8" s="2">
        <v>33</v>
      </c>
      <c r="AK8" s="36">
        <f t="shared" si="0"/>
        <v>660</v>
      </c>
      <c r="AL8" s="1"/>
    </row>
    <row r="9" spans="2:38" ht="15.75" thickBot="1">
      <c r="B9" s="2">
        <v>100</v>
      </c>
      <c r="C9" s="2">
        <v>50</v>
      </c>
      <c r="D9" s="36">
        <f t="shared" si="1"/>
        <v>5000</v>
      </c>
      <c r="E9" s="1"/>
      <c r="F9" s="2">
        <v>100</v>
      </c>
      <c r="G9" s="2">
        <v>8</v>
      </c>
      <c r="H9" s="36">
        <f t="shared" si="2"/>
        <v>800</v>
      </c>
      <c r="I9" s="1"/>
      <c r="J9" s="2">
        <v>100</v>
      </c>
      <c r="K9" s="2">
        <v>42</v>
      </c>
      <c r="L9" s="36">
        <f t="shared" si="3"/>
        <v>4200</v>
      </c>
      <c r="M9" s="1"/>
      <c r="N9" s="2">
        <v>100</v>
      </c>
      <c r="O9" s="2">
        <v>102</v>
      </c>
      <c r="P9" s="36">
        <f t="shared" si="4"/>
        <v>10200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202</v>
      </c>
      <c r="Y9" s="37">
        <f t="shared" si="6"/>
        <v>20200</v>
      </c>
      <c r="Z9" s="13"/>
      <c r="AA9" s="1"/>
      <c r="AB9" s="58" t="s">
        <v>12</v>
      </c>
      <c r="AC9" s="59">
        <f>SUM(AC7:AC8)</f>
        <v>326822</v>
      </c>
      <c r="AD9" s="1"/>
      <c r="AE9" s="1"/>
      <c r="AF9" s="1"/>
      <c r="AG9" s="1"/>
      <c r="AH9" s="1"/>
      <c r="AI9" s="2">
        <v>50</v>
      </c>
      <c r="AJ9" s="2">
        <v>238</v>
      </c>
      <c r="AK9" s="36">
        <f t="shared" si="0"/>
        <v>11900</v>
      </c>
      <c r="AL9" s="1"/>
    </row>
    <row r="10" spans="2:38">
      <c r="B10" s="2">
        <v>500</v>
      </c>
      <c r="C10" s="2">
        <v>26</v>
      </c>
      <c r="D10" s="36">
        <f t="shared" si="1"/>
        <v>13000</v>
      </c>
      <c r="E10" s="1"/>
      <c r="F10" s="2">
        <v>500</v>
      </c>
      <c r="G10" s="2">
        <v>47</v>
      </c>
      <c r="H10" s="36">
        <f t="shared" si="2"/>
        <v>23500</v>
      </c>
      <c r="I10" s="1"/>
      <c r="J10" s="2">
        <v>500</v>
      </c>
      <c r="K10" s="2">
        <v>35</v>
      </c>
      <c r="L10" s="36">
        <f t="shared" si="3"/>
        <v>17500</v>
      </c>
      <c r="M10" s="1"/>
      <c r="N10" s="2">
        <v>500</v>
      </c>
      <c r="O10" s="2">
        <v>52</v>
      </c>
      <c r="P10" s="36">
        <f t="shared" si="4"/>
        <v>26000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160</v>
      </c>
      <c r="Y10" s="37">
        <f t="shared" si="6"/>
        <v>80000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212</v>
      </c>
      <c r="AK10" s="36">
        <f t="shared" si="0"/>
        <v>21200</v>
      </c>
      <c r="AL10" s="1"/>
    </row>
    <row r="11" spans="2:38">
      <c r="B11" s="2">
        <v>1000</v>
      </c>
      <c r="C11" s="2">
        <v>20</v>
      </c>
      <c r="D11" s="36">
        <f t="shared" si="1"/>
        <v>20000</v>
      </c>
      <c r="E11" s="1"/>
      <c r="F11" s="2">
        <v>1000</v>
      </c>
      <c r="G11" s="2">
        <v>61</v>
      </c>
      <c r="H11" s="36">
        <f t="shared" si="2"/>
        <v>61000</v>
      </c>
      <c r="I11" s="1"/>
      <c r="J11" s="2">
        <v>1000</v>
      </c>
      <c r="K11" s="2">
        <v>32</v>
      </c>
      <c r="L11" s="36">
        <f t="shared" si="3"/>
        <v>32000</v>
      </c>
      <c r="M11" s="1"/>
      <c r="N11" s="2">
        <v>1000</v>
      </c>
      <c r="O11" s="2">
        <v>26</v>
      </c>
      <c r="P11" s="36">
        <f t="shared" si="4"/>
        <v>26000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139</v>
      </c>
      <c r="Y11" s="37">
        <f t="shared" si="6"/>
        <v>139000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195</v>
      </c>
      <c r="AK11" s="36">
        <f t="shared" si="0"/>
        <v>97500</v>
      </c>
      <c r="AL11" s="1"/>
    </row>
    <row r="12" spans="2:38">
      <c r="B12" s="2">
        <v>5000</v>
      </c>
      <c r="C12" s="2">
        <v>2</v>
      </c>
      <c r="D12" s="36">
        <f t="shared" si="1"/>
        <v>10000</v>
      </c>
      <c r="E12" s="1"/>
      <c r="F12" s="2">
        <v>5000</v>
      </c>
      <c r="G12" s="2">
        <v>4</v>
      </c>
      <c r="H12" s="36">
        <f t="shared" si="2"/>
        <v>20000</v>
      </c>
      <c r="I12" s="1"/>
      <c r="J12" s="2">
        <v>5000</v>
      </c>
      <c r="K12" s="2">
        <v>1</v>
      </c>
      <c r="L12" s="36">
        <f t="shared" si="3"/>
        <v>5000</v>
      </c>
      <c r="M12" s="1"/>
      <c r="N12" s="2">
        <v>5000</v>
      </c>
      <c r="O12" s="2">
        <v>1</v>
      </c>
      <c r="P12" s="36">
        <f t="shared" si="4"/>
        <v>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8</v>
      </c>
      <c r="Y12" s="37">
        <f t="shared" si="6"/>
        <v>40000</v>
      </c>
      <c r="Z12" s="13"/>
      <c r="AA12" s="1"/>
      <c r="AB12" s="1" t="s">
        <v>17</v>
      </c>
      <c r="AC12" s="5"/>
      <c r="AD12" s="1"/>
      <c r="AE12" s="52"/>
      <c r="AF12" s="1"/>
      <c r="AG12" s="1"/>
      <c r="AH12" s="1"/>
      <c r="AI12" s="2">
        <v>1000</v>
      </c>
      <c r="AJ12" s="2">
        <v>153</v>
      </c>
      <c r="AK12" s="36">
        <f t="shared" si="0"/>
        <v>153000</v>
      </c>
      <c r="AL12" s="1"/>
    </row>
    <row r="13" spans="2:38" ht="15.75" thickBot="1">
      <c r="B13" s="3" t="s">
        <v>18</v>
      </c>
      <c r="C13" s="3"/>
      <c r="D13" s="6">
        <f>+SUM(D5:D12)</f>
        <v>53110</v>
      </c>
      <c r="E13" s="1"/>
      <c r="F13" s="3" t="s">
        <v>18</v>
      </c>
      <c r="G13" s="3"/>
      <c r="H13" s="6">
        <f>+SUM(H5:H12)</f>
        <v>105902</v>
      </c>
      <c r="I13" s="1"/>
      <c r="J13" s="3" t="s">
        <v>18</v>
      </c>
      <c r="K13" s="3"/>
      <c r="L13" s="6">
        <f>+SUM(L5:L12)</f>
        <v>62040</v>
      </c>
      <c r="M13" s="1"/>
      <c r="N13" s="3" t="s">
        <v>18</v>
      </c>
      <c r="O13" s="3"/>
      <c r="P13" s="6">
        <f>+SUM(P5:P12)</f>
        <v>72690</v>
      </c>
      <c r="Q13" s="1"/>
      <c r="R13" s="3" t="s">
        <v>18</v>
      </c>
      <c r="S13" s="3"/>
      <c r="T13" s="6">
        <f>+SUM(T5:T12)</f>
        <v>0</v>
      </c>
      <c r="U13" s="1"/>
      <c r="V13" s="12"/>
      <c r="W13" s="3" t="s">
        <v>18</v>
      </c>
      <c r="X13" s="3"/>
      <c r="Y13" s="6">
        <f>+SUM(Y5:Y12)</f>
        <v>293742</v>
      </c>
      <c r="Z13" s="13"/>
      <c r="AA13" s="1"/>
      <c r="AB13" s="1" t="s">
        <v>19</v>
      </c>
      <c r="AC13" s="6">
        <v>326322</v>
      </c>
      <c r="AD13" s="1"/>
      <c r="AE13" s="1"/>
      <c r="AF13" s="1"/>
      <c r="AG13" s="1"/>
      <c r="AH13" s="1"/>
      <c r="AI13" s="2">
        <v>5000</v>
      </c>
      <c r="AJ13" s="2">
        <v>8</v>
      </c>
      <c r="AK13" s="36">
        <f t="shared" si="0"/>
        <v>40000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326322</v>
      </c>
      <c r="AL14" s="1"/>
    </row>
    <row r="15" spans="2:38" ht="15.75" thickBot="1">
      <c r="B15" s="109" t="s">
        <v>21</v>
      </c>
      <c r="C15" s="110"/>
      <c r="D15" s="8">
        <v>73609</v>
      </c>
      <c r="E15" s="30"/>
      <c r="F15" s="109" t="s">
        <v>21</v>
      </c>
      <c r="G15" s="110"/>
      <c r="H15" s="8">
        <v>115847</v>
      </c>
      <c r="I15" s="30"/>
      <c r="J15" s="109" t="s">
        <v>21</v>
      </c>
      <c r="K15" s="110"/>
      <c r="L15" s="8">
        <v>67026</v>
      </c>
      <c r="M15" s="30"/>
      <c r="N15" s="109" t="s">
        <v>21</v>
      </c>
      <c r="O15" s="110"/>
      <c r="P15" s="8">
        <v>101845</v>
      </c>
      <c r="Q15" s="30"/>
      <c r="R15" s="109" t="s">
        <v>21</v>
      </c>
      <c r="S15" s="110"/>
      <c r="T15" s="8">
        <v>408591</v>
      </c>
      <c r="U15" s="30"/>
      <c r="V15" s="31"/>
      <c r="W15" s="109" t="s">
        <v>21</v>
      </c>
      <c r="X15" s="110"/>
      <c r="Y15" s="8">
        <f>+D15+H15+L15+P15+T15</f>
        <v>766918</v>
      </c>
      <c r="Z15" s="32"/>
      <c r="AA15" s="30"/>
      <c r="AB15" s="5" t="s">
        <v>212</v>
      </c>
      <c r="AC15" s="5">
        <v>500</v>
      </c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53110</v>
      </c>
      <c r="E16" s="1"/>
      <c r="F16" s="1" t="s">
        <v>10</v>
      </c>
      <c r="G16" s="1"/>
      <c r="H16" s="5">
        <f>+H13</f>
        <v>105902</v>
      </c>
      <c r="I16" s="1"/>
      <c r="J16" s="1" t="s">
        <v>10</v>
      </c>
      <c r="K16" s="1"/>
      <c r="L16" s="5">
        <f>+L13</f>
        <v>62040</v>
      </c>
      <c r="M16" s="1"/>
      <c r="N16" s="1" t="s">
        <v>10</v>
      </c>
      <c r="O16" s="1"/>
      <c r="P16" s="5">
        <f>+P13</f>
        <v>72690</v>
      </c>
      <c r="Q16" s="1"/>
      <c r="R16" s="1" t="s">
        <v>10</v>
      </c>
      <c r="S16" s="1"/>
      <c r="T16" s="5">
        <f>+T13</f>
        <v>0</v>
      </c>
      <c r="U16" s="1"/>
      <c r="V16" s="12"/>
      <c r="W16" s="40" t="s">
        <v>10</v>
      </c>
      <c r="X16" s="40"/>
      <c r="Y16" s="37">
        <f>+D16+H16+L16+P16+T16</f>
        <v>293742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 ht="15.75" thickBot="1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>
        <v>5000</v>
      </c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6" si="8">+D17+H17+L17+P17+T17</f>
        <v>5000</v>
      </c>
      <c r="Z17" s="13"/>
      <c r="AA17" s="1"/>
      <c r="AB17" s="48" t="s">
        <v>12</v>
      </c>
      <c r="AC17" s="6">
        <f>+SUM(AC9:AC16)</f>
        <v>653644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131</v>
      </c>
      <c r="C18" s="1" t="s">
        <v>175</v>
      </c>
      <c r="D18" s="5">
        <v>15319</v>
      </c>
      <c r="E18" s="1"/>
      <c r="F18" s="1" t="s">
        <v>177</v>
      </c>
      <c r="G18" s="1" t="s">
        <v>178</v>
      </c>
      <c r="H18" s="5">
        <v>3625</v>
      </c>
      <c r="I18" s="1"/>
      <c r="J18" s="1" t="s">
        <v>24</v>
      </c>
      <c r="K18" s="1"/>
      <c r="L18" s="5"/>
      <c r="M18" s="1"/>
      <c r="N18" s="1" t="s">
        <v>172</v>
      </c>
      <c r="O18" s="1" t="s">
        <v>173</v>
      </c>
      <c r="P18" s="5">
        <v>18164</v>
      </c>
      <c r="Q18" s="1"/>
      <c r="R18" s="1" t="s">
        <v>182</v>
      </c>
      <c r="S18" s="81" t="s">
        <v>181</v>
      </c>
      <c r="T18" s="5">
        <v>71490</v>
      </c>
      <c r="U18" s="1"/>
      <c r="V18" s="12"/>
      <c r="W18" s="40" t="s">
        <v>24</v>
      </c>
      <c r="X18" s="40"/>
      <c r="Y18" s="37">
        <f t="shared" si="8"/>
        <v>108598</v>
      </c>
      <c r="Z18" s="13"/>
      <c r="AA18" s="1"/>
      <c r="AB18" s="50" t="s">
        <v>25</v>
      </c>
      <c r="AC18" s="51">
        <f>+AC17-AC9</f>
        <v>326822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112</v>
      </c>
      <c r="C19" s="1" t="s">
        <v>176</v>
      </c>
      <c r="D19" s="5">
        <v>5456</v>
      </c>
      <c r="E19" s="1"/>
      <c r="F19" s="1" t="s">
        <v>179</v>
      </c>
      <c r="G19" s="1" t="s">
        <v>180</v>
      </c>
      <c r="H19" s="5">
        <v>6420</v>
      </c>
      <c r="I19" s="1"/>
      <c r="J19" s="1" t="s">
        <v>27</v>
      </c>
      <c r="K19" s="1"/>
      <c r="L19" s="5"/>
      <c r="M19" s="1"/>
      <c r="N19" s="1" t="s">
        <v>112</v>
      </c>
      <c r="O19" s="1" t="s">
        <v>174</v>
      </c>
      <c r="P19" s="5">
        <v>10000</v>
      </c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21876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 t="s">
        <v>204</v>
      </c>
      <c r="S22" s="1" t="s">
        <v>205</v>
      </c>
      <c r="T22" s="5">
        <v>36105</v>
      </c>
      <c r="U22" s="1"/>
      <c r="V22" s="12"/>
      <c r="W22" s="40"/>
      <c r="X22" s="40"/>
      <c r="Y22" s="37">
        <f>+D22+H22+L22+P22+T22</f>
        <v>36105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47</v>
      </c>
      <c r="O23" s="1"/>
      <c r="P23" s="5"/>
      <c r="Q23" s="1"/>
      <c r="R23" s="1" t="s">
        <v>197</v>
      </c>
      <c r="S23" s="1" t="s">
        <v>198</v>
      </c>
      <c r="T23" s="5">
        <v>59540</v>
      </c>
      <c r="U23" s="1"/>
      <c r="V23" s="12"/>
      <c r="W23" s="40" t="s">
        <v>36</v>
      </c>
      <c r="X23" s="40"/>
      <c r="Y23" s="37">
        <f t="shared" si="8"/>
        <v>59540</v>
      </c>
      <c r="Z23" s="13"/>
      <c r="AA23" s="1"/>
      <c r="AB23" s="70" t="s">
        <v>207</v>
      </c>
      <c r="AC23" s="71">
        <v>45926</v>
      </c>
      <c r="AD23" s="70" t="s">
        <v>206</v>
      </c>
      <c r="AE23" s="70"/>
      <c r="AF23" s="70">
        <v>15650</v>
      </c>
      <c r="AG23" s="1"/>
      <c r="AH23" s="1"/>
      <c r="AI23" s="1" t="s">
        <v>65</v>
      </c>
      <c r="AJ23" s="1" t="s">
        <v>168</v>
      </c>
      <c r="AK23" s="1"/>
      <c r="AL23" s="62">
        <v>5000</v>
      </c>
    </row>
    <row r="24" spans="2:38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47</v>
      </c>
      <c r="O24" s="1"/>
      <c r="P24" s="5"/>
      <c r="Q24" s="1"/>
      <c r="R24" s="1" t="s">
        <v>199</v>
      </c>
      <c r="S24" s="1" t="s">
        <v>155</v>
      </c>
      <c r="T24" s="5">
        <v>122880</v>
      </c>
      <c r="U24" s="1"/>
      <c r="V24" s="12"/>
      <c r="W24" s="40" t="s">
        <v>37</v>
      </c>
      <c r="X24" s="40"/>
      <c r="Y24" s="37">
        <f t="shared" si="8"/>
        <v>122880</v>
      </c>
      <c r="Z24" s="13"/>
      <c r="AA24" s="1"/>
      <c r="AB24" s="70" t="s">
        <v>97</v>
      </c>
      <c r="AC24" s="77">
        <v>45901</v>
      </c>
      <c r="AD24" s="70" t="s">
        <v>208</v>
      </c>
      <c r="AE24" s="70" t="s">
        <v>209</v>
      </c>
      <c r="AF24" s="70">
        <v>7530</v>
      </c>
      <c r="AG24" s="1"/>
      <c r="AH24" s="1"/>
      <c r="AI24" s="70" t="s">
        <v>65</v>
      </c>
      <c r="AJ24" s="70" t="s">
        <v>195</v>
      </c>
      <c r="AK24" s="70" t="s">
        <v>193</v>
      </c>
      <c r="AL24" s="73">
        <v>5000</v>
      </c>
    </row>
    <row r="25" spans="2:38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47</v>
      </c>
      <c r="O25" s="1"/>
      <c r="P25" s="5"/>
      <c r="Q25" s="1"/>
      <c r="R25" s="1" t="s">
        <v>200</v>
      </c>
      <c r="S25" s="1" t="s">
        <v>157</v>
      </c>
      <c r="T25" s="5">
        <v>55811</v>
      </c>
      <c r="U25" s="1"/>
      <c r="V25" s="12"/>
      <c r="W25" s="40" t="s">
        <v>38</v>
      </c>
      <c r="X25" s="40"/>
      <c r="Y25" s="37">
        <f t="shared" si="8"/>
        <v>55811</v>
      </c>
      <c r="Z25" s="13"/>
      <c r="AA25" s="1"/>
      <c r="AB25" s="70" t="s">
        <v>98</v>
      </c>
      <c r="AC25" s="71">
        <v>45920</v>
      </c>
      <c r="AD25" s="70" t="s">
        <v>210</v>
      </c>
      <c r="AE25" s="70" t="s">
        <v>211</v>
      </c>
      <c r="AF25" s="70">
        <v>9900</v>
      </c>
      <c r="AG25" s="1"/>
      <c r="AH25" s="1"/>
      <c r="AI25" s="76" t="s">
        <v>65</v>
      </c>
      <c r="AJ25" s="70" t="s">
        <v>183</v>
      </c>
      <c r="AK25" s="70" t="s">
        <v>189</v>
      </c>
      <c r="AL25" s="73">
        <v>19000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202</v>
      </c>
      <c r="S26" s="1" t="s">
        <v>203</v>
      </c>
      <c r="T26" s="5">
        <v>16557</v>
      </c>
      <c r="U26" s="1"/>
      <c r="V26" s="12"/>
      <c r="W26" s="40"/>
      <c r="X26" s="40"/>
      <c r="Y26" s="37">
        <f t="shared" si="8"/>
        <v>16557</v>
      </c>
      <c r="Z26" s="13"/>
      <c r="AA26" s="1"/>
      <c r="AB26" s="1"/>
      <c r="AC26" s="1"/>
      <c r="AD26" s="1"/>
      <c r="AE26" s="1"/>
      <c r="AF26" s="20"/>
      <c r="AG26" s="1"/>
      <c r="AH26" s="1"/>
      <c r="AI26" s="70" t="s">
        <v>65</v>
      </c>
      <c r="AJ26" s="70" t="s">
        <v>196</v>
      </c>
      <c r="AK26" s="70" t="s">
        <v>194</v>
      </c>
      <c r="AL26" s="75">
        <v>3500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 t="s">
        <v>201</v>
      </c>
      <c r="S27" s="1" t="s">
        <v>159</v>
      </c>
      <c r="T27" s="5">
        <v>44009</v>
      </c>
      <c r="U27" s="1"/>
      <c r="V27" s="12"/>
      <c r="W27" s="40"/>
      <c r="X27" s="40"/>
      <c r="Y27" s="37">
        <f>+D27+H27+L27+P27+T27</f>
        <v>44009</v>
      </c>
      <c r="Z27" s="13"/>
      <c r="AA27" s="1"/>
      <c r="AB27" s="1"/>
      <c r="AC27" s="1"/>
      <c r="AD27" s="1"/>
      <c r="AE27" s="1"/>
      <c r="AF27" s="1"/>
      <c r="AG27" s="1"/>
      <c r="AH27" s="1"/>
      <c r="AI27" s="70" t="s">
        <v>67</v>
      </c>
      <c r="AJ27" s="70" t="s">
        <v>184</v>
      </c>
      <c r="AK27" s="70" t="s">
        <v>88</v>
      </c>
      <c r="AL27" s="73">
        <v>5800</v>
      </c>
    </row>
    <row r="28" spans="2:38" ht="15.75" thickBot="1">
      <c r="B28" s="114" t="s">
        <v>12</v>
      </c>
      <c r="C28" s="115"/>
      <c r="D28" s="9">
        <f>+SUM(D16:D27)</f>
        <v>73885</v>
      </c>
      <c r="E28" s="1"/>
      <c r="F28" s="114" t="s">
        <v>12</v>
      </c>
      <c r="G28" s="115"/>
      <c r="H28" s="9">
        <f>+SUM(H16:H27)</f>
        <v>115947</v>
      </c>
      <c r="I28" s="1"/>
      <c r="J28" s="114" t="s">
        <v>12</v>
      </c>
      <c r="K28" s="115"/>
      <c r="L28" s="9">
        <f>+SUM(L16:L27)</f>
        <v>67040</v>
      </c>
      <c r="M28" s="1"/>
      <c r="N28" s="114" t="s">
        <v>12</v>
      </c>
      <c r="O28" s="115"/>
      <c r="P28" s="9">
        <f>+SUM(P16:P27)</f>
        <v>100854</v>
      </c>
      <c r="Q28" s="1"/>
      <c r="R28" s="114" t="s">
        <v>12</v>
      </c>
      <c r="S28" s="115"/>
      <c r="T28" s="9">
        <f>+SUM(T16:T27)</f>
        <v>406392</v>
      </c>
      <c r="U28" s="1"/>
      <c r="V28" s="12"/>
      <c r="W28" s="114" t="s">
        <v>12</v>
      </c>
      <c r="X28" s="115"/>
      <c r="Y28" s="9">
        <f>+SUM(Y16:Y27)</f>
        <v>764118</v>
      </c>
      <c r="Z28" s="13"/>
      <c r="AA28" s="1"/>
      <c r="AB28" s="1"/>
      <c r="AC28" s="1"/>
      <c r="AD28" s="1"/>
      <c r="AE28" s="1"/>
      <c r="AF28" s="1"/>
      <c r="AG28" s="1"/>
      <c r="AH28" s="1"/>
      <c r="AI28" s="70" t="s">
        <v>65</v>
      </c>
      <c r="AJ28" s="70" t="s">
        <v>185</v>
      </c>
      <c r="AK28" s="70" t="s">
        <v>190</v>
      </c>
      <c r="AL28" s="75">
        <v>5230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70" t="s">
        <v>98</v>
      </c>
      <c r="AJ29" s="70" t="s">
        <v>186</v>
      </c>
      <c r="AK29" s="70" t="s">
        <v>191</v>
      </c>
      <c r="AL29" s="74">
        <v>6260</v>
      </c>
    </row>
    <row r="30" spans="2:38" ht="15.75" thickBot="1">
      <c r="B30" s="116" t="s">
        <v>40</v>
      </c>
      <c r="C30" s="116"/>
      <c r="D30" s="7">
        <f>+D28-D15</f>
        <v>276</v>
      </c>
      <c r="E30" s="1"/>
      <c r="F30" s="116" t="s">
        <v>40</v>
      </c>
      <c r="G30" s="116"/>
      <c r="H30" s="7">
        <f>+H28-H15</f>
        <v>100</v>
      </c>
      <c r="I30" s="1"/>
      <c r="J30" s="116" t="s">
        <v>40</v>
      </c>
      <c r="K30" s="116"/>
      <c r="L30" s="7">
        <f>+L28-L15</f>
        <v>14</v>
      </c>
      <c r="M30" s="1"/>
      <c r="N30" s="116" t="s">
        <v>40</v>
      </c>
      <c r="O30" s="116"/>
      <c r="P30" s="7">
        <f>+P28-P15</f>
        <v>-991</v>
      </c>
      <c r="Q30" s="1"/>
      <c r="R30" s="116" t="s">
        <v>40</v>
      </c>
      <c r="S30" s="116"/>
      <c r="T30" s="7">
        <f>+T28-T15</f>
        <v>-2199</v>
      </c>
      <c r="U30" s="1"/>
      <c r="V30" s="12"/>
      <c r="W30" s="113" t="s">
        <v>40</v>
      </c>
      <c r="X30" s="113"/>
      <c r="Y30" s="41">
        <f>+Y28-Y15</f>
        <v>-2800</v>
      </c>
      <c r="Z30" s="13"/>
      <c r="AA30" s="1"/>
      <c r="AB30" s="1"/>
      <c r="AC30" s="1"/>
      <c r="AD30" s="1"/>
      <c r="AE30" s="1"/>
      <c r="AF30" s="1"/>
      <c r="AG30" s="1"/>
      <c r="AH30" s="1"/>
      <c r="AI30" s="70" t="s">
        <v>67</v>
      </c>
      <c r="AJ30" s="70" t="s">
        <v>187</v>
      </c>
      <c r="AK30" s="70" t="s">
        <v>150</v>
      </c>
      <c r="AL30" s="74">
        <v>5747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39</v>
      </c>
      <c r="AC31" s="60"/>
      <c r="AD31" s="60"/>
      <c r="AE31" s="60"/>
      <c r="AF31" s="55">
        <f>+SUM(AF23:AF30)</f>
        <v>33080</v>
      </c>
      <c r="AG31" s="1"/>
      <c r="AH31" s="1"/>
      <c r="AI31" s="76" t="s">
        <v>100</v>
      </c>
      <c r="AJ31" s="70" t="s">
        <v>188</v>
      </c>
      <c r="AK31" s="70" t="s">
        <v>192</v>
      </c>
      <c r="AL31" s="74">
        <v>49000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>
      <c r="B34" s="10" t="s">
        <v>41</v>
      </c>
      <c r="C34" s="11"/>
      <c r="D34" s="21"/>
      <c r="E34" s="1"/>
      <c r="F34" s="10" t="s">
        <v>41</v>
      </c>
      <c r="G34" s="11"/>
      <c r="H34" s="21"/>
      <c r="I34" s="1"/>
      <c r="J34" s="10" t="s">
        <v>41</v>
      </c>
      <c r="K34" s="11"/>
      <c r="L34" s="21"/>
      <c r="M34" s="1"/>
      <c r="N34" s="10" t="s">
        <v>41</v>
      </c>
      <c r="O34" s="11"/>
      <c r="P34" s="21">
        <v>991</v>
      </c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991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ht="15.75" thickBot="1">
      <c r="B35" s="12" t="s">
        <v>42</v>
      </c>
      <c r="C35" s="16"/>
      <c r="D35" s="22"/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/>
      <c r="Q35" s="1"/>
      <c r="R35" s="12" t="s">
        <v>382</v>
      </c>
      <c r="S35" s="16"/>
      <c r="T35" s="22">
        <v>2211</v>
      </c>
      <c r="U35" s="1"/>
      <c r="V35" s="1"/>
      <c r="W35" s="45" t="s">
        <v>42</v>
      </c>
      <c r="X35" s="40"/>
      <c r="Y35" s="46">
        <f t="shared" ref="Y35:Y36" si="9">+D35+H35+L35+P35+T35</f>
        <v>2211</v>
      </c>
      <c r="Z35" s="1"/>
      <c r="AA35" s="1"/>
      <c r="AB35" s="1"/>
      <c r="AC35" s="1"/>
      <c r="AD35" s="1"/>
      <c r="AE35" s="1"/>
      <c r="AF35" s="1"/>
      <c r="AG35" s="1"/>
      <c r="AH35" s="1"/>
      <c r="AI35" s="60" t="s">
        <v>39</v>
      </c>
      <c r="AJ35" s="60"/>
      <c r="AK35" s="60"/>
      <c r="AL35" s="72">
        <f>+SUM(AL23:AL34)</f>
        <v>104537</v>
      </c>
    </row>
    <row r="36" spans="2:38" ht="15.75" thickTop="1">
      <c r="B36" s="12" t="s">
        <v>44</v>
      </c>
      <c r="C36" s="16"/>
      <c r="D36" s="22">
        <v>-276</v>
      </c>
      <c r="E36" s="1"/>
      <c r="F36" s="12" t="s">
        <v>44</v>
      </c>
      <c r="G36" s="16"/>
      <c r="H36" s="22">
        <v>-100</v>
      </c>
      <c r="I36" s="1"/>
      <c r="J36" s="12" t="s">
        <v>44</v>
      </c>
      <c r="K36" s="16"/>
      <c r="L36" s="22">
        <v>-14</v>
      </c>
      <c r="M36" s="1"/>
      <c r="N36" s="12" t="s">
        <v>44</v>
      </c>
      <c r="O36" s="16"/>
      <c r="P36" s="22"/>
      <c r="Q36" s="1"/>
      <c r="R36" s="12" t="s">
        <v>44</v>
      </c>
      <c r="S36" s="16"/>
      <c r="T36" s="22">
        <v>-12</v>
      </c>
      <c r="U36" s="1"/>
      <c r="V36" s="1"/>
      <c r="W36" s="45" t="s">
        <v>43</v>
      </c>
      <c r="X36" s="40"/>
      <c r="Y36" s="46">
        <f t="shared" si="9"/>
        <v>-402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>
      <c r="B37" s="12" t="s">
        <v>18</v>
      </c>
      <c r="C37" s="16"/>
      <c r="D37" s="22">
        <f>+SUM(D34:D36)</f>
        <v>-276</v>
      </c>
      <c r="E37" s="1"/>
      <c r="F37" s="12" t="s">
        <v>18</v>
      </c>
      <c r="G37" s="16"/>
      <c r="H37" s="22">
        <f>+SUM(H34:H36)</f>
        <v>-100</v>
      </c>
      <c r="I37" s="1"/>
      <c r="J37" s="12" t="s">
        <v>18</v>
      </c>
      <c r="K37" s="16"/>
      <c r="L37" s="22">
        <f>+SUM(L34:L36)</f>
        <v>-14</v>
      </c>
      <c r="M37" s="1"/>
      <c r="N37" s="12" t="s">
        <v>18</v>
      </c>
      <c r="O37" s="16"/>
      <c r="P37" s="22">
        <f>+SUM(P34:P36)</f>
        <v>991</v>
      </c>
      <c r="Q37" s="1"/>
      <c r="R37" s="12" t="s">
        <v>18</v>
      </c>
      <c r="S37" s="16"/>
      <c r="T37" s="22">
        <f>+SUM(T34:T36)</f>
        <v>2199</v>
      </c>
      <c r="U37" s="1"/>
      <c r="V37" s="1"/>
      <c r="W37" s="33" t="s">
        <v>18</v>
      </c>
      <c r="X37" s="34"/>
      <c r="Y37" s="35">
        <f>+SUM(Y34:Y36)</f>
        <v>2800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AL38"/>
  <sheetViews>
    <sheetView zoomScale="70" zoomScaleNormal="70" workbookViewId="0">
      <selection activeCell="AC14" sqref="AC14"/>
    </sheetView>
  </sheetViews>
  <sheetFormatPr defaultRowHeight="15"/>
  <cols>
    <col min="3" max="3" width="14.140625" bestFit="1" customWidth="1"/>
    <col min="4" max="4" width="11.42578125" bestFit="1" customWidth="1"/>
    <col min="5" max="5" width="0.28515625" customWidth="1"/>
    <col min="7" max="7" width="14.42578125" customWidth="1"/>
    <col min="8" max="8" width="11.42578125" bestFit="1" customWidth="1"/>
    <col min="9" max="9" width="0.5703125" customWidth="1"/>
    <col min="11" max="11" width="13.85546875" bestFit="1" customWidth="1"/>
    <col min="12" max="12" width="11.42578125" bestFit="1" customWidth="1"/>
    <col min="13" max="13" width="0.42578125" customWidth="1"/>
    <col min="15" max="15" width="14.7109375" bestFit="1" customWidth="1"/>
    <col min="16" max="16" width="11.42578125" bestFit="1" customWidth="1"/>
    <col min="17" max="17" width="0.28515625" customWidth="1"/>
    <col min="20" max="20" width="12.85546875" bestFit="1" customWidth="1"/>
    <col min="21" max="21" width="0.28515625" customWidth="1"/>
    <col min="22" max="22" width="2" customWidth="1"/>
    <col min="25" max="25" width="12.85546875" bestFit="1" customWidth="1"/>
    <col min="26" max="26" width="1.42578125" customWidth="1"/>
    <col min="27" max="27" width="0.42578125" customWidth="1"/>
    <col min="28" max="28" width="15.28515625" bestFit="1" customWidth="1"/>
    <col min="29" max="29" width="14.5703125" bestFit="1" customWidth="1"/>
    <col min="31" max="31" width="10.42578125" bestFit="1" customWidth="1"/>
    <col min="32" max="32" width="9.140625" customWidth="1"/>
    <col min="33" max="33" width="1" customWidth="1"/>
    <col min="34" max="34" width="9.140625" hidden="1" customWidth="1"/>
    <col min="37" max="37" width="11.140625" bestFit="1" customWidth="1"/>
  </cols>
  <sheetData>
    <row r="2" spans="2:38" ht="15.75" thickBot="1"/>
    <row r="3" spans="2:38">
      <c r="B3" s="111" t="s">
        <v>127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3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29</v>
      </c>
      <c r="D6" s="36">
        <f>+C6*B6</f>
        <v>290</v>
      </c>
      <c r="E6" s="1"/>
      <c r="F6" s="2">
        <v>10</v>
      </c>
      <c r="G6" s="2">
        <v>289</v>
      </c>
      <c r="H6" s="36">
        <f>+G6*F6</f>
        <v>2890</v>
      </c>
      <c r="I6" s="1"/>
      <c r="J6" s="2">
        <v>10</v>
      </c>
      <c r="K6" s="2">
        <v>6</v>
      </c>
      <c r="L6" s="36">
        <f>+K6*J6</f>
        <v>60</v>
      </c>
      <c r="M6" s="1"/>
      <c r="N6" s="2">
        <v>10</v>
      </c>
      <c r="O6" s="2">
        <v>120</v>
      </c>
      <c r="P6" s="36">
        <f>+O6*N6</f>
        <v>1200</v>
      </c>
      <c r="Q6" s="1"/>
      <c r="R6" s="2">
        <v>10</v>
      </c>
      <c r="S6" s="2">
        <v>7</v>
      </c>
      <c r="T6" s="36">
        <f>+S6*R6</f>
        <v>70</v>
      </c>
      <c r="U6" s="1"/>
      <c r="V6" s="12"/>
      <c r="W6" s="39">
        <v>10</v>
      </c>
      <c r="X6" s="39">
        <f>+C6+G6+K6+O6+S6</f>
        <v>451</v>
      </c>
      <c r="Y6" s="37">
        <f>+D6+H6+L6+P6+T6</f>
        <v>4510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3</v>
      </c>
      <c r="D7" s="36">
        <f t="shared" ref="D7:D12" si="1">+C7*B7</f>
        <v>60</v>
      </c>
      <c r="E7" s="1"/>
      <c r="F7" s="2">
        <v>20</v>
      </c>
      <c r="G7" s="2">
        <v>39</v>
      </c>
      <c r="H7" s="36">
        <f t="shared" ref="H7:H12" si="2">+G7*F7</f>
        <v>780</v>
      </c>
      <c r="I7" s="1"/>
      <c r="J7" s="2">
        <v>20</v>
      </c>
      <c r="K7" s="2">
        <v>1</v>
      </c>
      <c r="L7" s="36">
        <f t="shared" ref="L7:L12" si="3">+K7*J7</f>
        <v>20</v>
      </c>
      <c r="M7" s="1"/>
      <c r="N7" s="2">
        <v>20</v>
      </c>
      <c r="O7" s="2">
        <v>17</v>
      </c>
      <c r="P7" s="36">
        <f t="shared" ref="P7:P12" si="4">+O7*N7</f>
        <v>340</v>
      </c>
      <c r="Q7" s="1"/>
      <c r="R7" s="2">
        <v>20</v>
      </c>
      <c r="S7" s="2">
        <v>2</v>
      </c>
      <c r="T7" s="36">
        <f t="shared" ref="T7:T12" si="5">+S7*R7</f>
        <v>40</v>
      </c>
      <c r="U7" s="1"/>
      <c r="V7" s="12"/>
      <c r="W7" s="39">
        <v>20</v>
      </c>
      <c r="X7" s="39">
        <f>+C7+G7+K7+O7+S7</f>
        <v>62</v>
      </c>
      <c r="Y7" s="37">
        <f t="shared" ref="Y7:Y12" si="6">+D7+H7+L7+P7+T7</f>
        <v>1240</v>
      </c>
      <c r="Z7" s="13"/>
      <c r="AA7" s="1"/>
      <c r="AB7" s="56" t="s">
        <v>10</v>
      </c>
      <c r="AC7" s="57">
        <f>Y13</f>
        <v>254200</v>
      </c>
      <c r="AD7" s="26"/>
      <c r="AE7" s="26"/>
      <c r="AF7" s="26"/>
      <c r="AG7" s="26"/>
      <c r="AH7" s="1"/>
      <c r="AI7" s="2">
        <v>10</v>
      </c>
      <c r="AJ7" s="2">
        <v>453</v>
      </c>
      <c r="AK7" s="36">
        <f t="shared" si="0"/>
        <v>4530</v>
      </c>
      <c r="AL7" s="1"/>
    </row>
    <row r="8" spans="2:38">
      <c r="B8" s="2">
        <v>50</v>
      </c>
      <c r="C8" s="2">
        <v>27</v>
      </c>
      <c r="D8" s="36">
        <f t="shared" si="1"/>
        <v>1350</v>
      </c>
      <c r="E8" s="1"/>
      <c r="F8" s="2">
        <v>50</v>
      </c>
      <c r="G8" s="2">
        <v>16</v>
      </c>
      <c r="H8" s="36">
        <f t="shared" si="2"/>
        <v>800</v>
      </c>
      <c r="I8" s="1"/>
      <c r="J8" s="2">
        <v>50</v>
      </c>
      <c r="K8" s="2">
        <v>5</v>
      </c>
      <c r="L8" s="36">
        <f t="shared" si="3"/>
        <v>250</v>
      </c>
      <c r="M8" s="1"/>
      <c r="N8" s="2">
        <v>50</v>
      </c>
      <c r="O8" s="2">
        <v>52</v>
      </c>
      <c r="P8" s="36">
        <f t="shared" si="4"/>
        <v>2600</v>
      </c>
      <c r="Q8" s="1"/>
      <c r="R8" s="2">
        <v>50</v>
      </c>
      <c r="S8" s="2">
        <v>21</v>
      </c>
      <c r="T8" s="36">
        <f t="shared" si="5"/>
        <v>1050</v>
      </c>
      <c r="U8" s="1"/>
      <c r="V8" s="12"/>
      <c r="W8" s="39">
        <v>50</v>
      </c>
      <c r="X8" s="39">
        <f t="shared" ref="X8:X12" si="7">+C8+G8+K8+O8+S8</f>
        <v>121</v>
      </c>
      <c r="Y8" s="37">
        <f t="shared" si="6"/>
        <v>6050</v>
      </c>
      <c r="Z8" s="13"/>
      <c r="AA8" s="1"/>
      <c r="AB8" s="53" t="s">
        <v>11</v>
      </c>
      <c r="AC8" s="53">
        <f>+AF31</f>
        <v>770040</v>
      </c>
      <c r="AD8" s="1"/>
      <c r="AE8" s="1"/>
      <c r="AF8" s="1"/>
      <c r="AG8" s="1"/>
      <c r="AH8" s="1"/>
      <c r="AI8" s="2">
        <v>20</v>
      </c>
      <c r="AJ8" s="2">
        <v>63</v>
      </c>
      <c r="AK8" s="36">
        <f t="shared" si="0"/>
        <v>1260</v>
      </c>
      <c r="AL8" s="1"/>
    </row>
    <row r="9" spans="2:38" ht="15.75" thickBot="1">
      <c r="B9" s="2">
        <v>100</v>
      </c>
      <c r="C9" s="2">
        <v>27</v>
      </c>
      <c r="D9" s="36">
        <f t="shared" si="1"/>
        <v>2700</v>
      </c>
      <c r="E9" s="1"/>
      <c r="F9" s="2">
        <v>100</v>
      </c>
      <c r="G9" s="2">
        <v>32</v>
      </c>
      <c r="H9" s="36">
        <f t="shared" si="2"/>
        <v>3200</v>
      </c>
      <c r="I9" s="1"/>
      <c r="J9" s="2">
        <v>100</v>
      </c>
      <c r="K9" s="2">
        <v>18</v>
      </c>
      <c r="L9" s="36">
        <f t="shared" si="3"/>
        <v>1800</v>
      </c>
      <c r="M9" s="1"/>
      <c r="N9" s="2">
        <v>100</v>
      </c>
      <c r="O9" s="2">
        <v>32</v>
      </c>
      <c r="P9" s="36">
        <f t="shared" si="4"/>
        <v>3200</v>
      </c>
      <c r="Q9" s="1"/>
      <c r="R9" s="2">
        <v>100</v>
      </c>
      <c r="S9" s="2">
        <v>10</v>
      </c>
      <c r="T9" s="36">
        <f t="shared" si="5"/>
        <v>1000</v>
      </c>
      <c r="U9" s="1"/>
      <c r="V9" s="12"/>
      <c r="W9" s="39">
        <v>100</v>
      </c>
      <c r="X9" s="39">
        <f t="shared" si="7"/>
        <v>119</v>
      </c>
      <c r="Y9" s="37">
        <f t="shared" si="6"/>
        <v>11900</v>
      </c>
      <c r="Z9" s="13"/>
      <c r="AA9" s="1"/>
      <c r="AB9" s="58" t="s">
        <v>12</v>
      </c>
      <c r="AC9" s="59">
        <f>SUM(AC7:AC8)</f>
        <v>1024240</v>
      </c>
      <c r="AD9" s="1"/>
      <c r="AE9" s="1"/>
      <c r="AF9" s="1"/>
      <c r="AG9" s="1"/>
      <c r="AH9" s="1"/>
      <c r="AI9" s="2">
        <v>50</v>
      </c>
      <c r="AJ9" s="2">
        <v>101</v>
      </c>
      <c r="AK9" s="36">
        <f t="shared" si="0"/>
        <v>5050</v>
      </c>
      <c r="AL9" s="1"/>
    </row>
    <row r="10" spans="2:38">
      <c r="B10" s="2">
        <v>500</v>
      </c>
      <c r="C10" s="2">
        <v>15</v>
      </c>
      <c r="D10" s="36">
        <f t="shared" si="1"/>
        <v>7500</v>
      </c>
      <c r="E10" s="1"/>
      <c r="F10" s="2">
        <v>500</v>
      </c>
      <c r="G10" s="2">
        <v>39</v>
      </c>
      <c r="H10" s="36">
        <f t="shared" si="2"/>
        <v>19500</v>
      </c>
      <c r="I10" s="1"/>
      <c r="J10" s="2">
        <v>500</v>
      </c>
      <c r="K10" s="2">
        <v>25</v>
      </c>
      <c r="L10" s="36">
        <f t="shared" si="3"/>
        <v>12500</v>
      </c>
      <c r="M10" s="1"/>
      <c r="N10" s="2">
        <v>500</v>
      </c>
      <c r="O10" s="2">
        <v>30</v>
      </c>
      <c r="P10" s="36">
        <f t="shared" si="4"/>
        <v>15000</v>
      </c>
      <c r="Q10" s="1"/>
      <c r="R10" s="2">
        <v>500</v>
      </c>
      <c r="S10" s="2">
        <v>32</v>
      </c>
      <c r="T10" s="36">
        <f t="shared" si="5"/>
        <v>16000</v>
      </c>
      <c r="U10" s="1"/>
      <c r="V10" s="12"/>
      <c r="W10" s="39">
        <v>500</v>
      </c>
      <c r="X10" s="39">
        <f t="shared" si="7"/>
        <v>141</v>
      </c>
      <c r="Y10" s="37">
        <f t="shared" si="6"/>
        <v>70500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114</v>
      </c>
      <c r="AK10" s="36">
        <f t="shared" si="0"/>
        <v>11400</v>
      </c>
      <c r="AL10" s="1"/>
    </row>
    <row r="11" spans="2:38">
      <c r="B11" s="2">
        <v>1000</v>
      </c>
      <c r="C11" s="2">
        <v>23</v>
      </c>
      <c r="D11" s="36">
        <f t="shared" si="1"/>
        <v>23000</v>
      </c>
      <c r="E11" s="1"/>
      <c r="F11" s="2">
        <v>1000</v>
      </c>
      <c r="G11" s="2">
        <v>39</v>
      </c>
      <c r="H11" s="36">
        <f t="shared" si="2"/>
        <v>39000</v>
      </c>
      <c r="I11" s="1"/>
      <c r="J11" s="2">
        <v>1000</v>
      </c>
      <c r="K11" s="2">
        <v>30</v>
      </c>
      <c r="L11" s="36">
        <f t="shared" si="3"/>
        <v>30000</v>
      </c>
      <c r="M11" s="1"/>
      <c r="N11" s="2">
        <v>1000</v>
      </c>
      <c r="O11" s="2">
        <v>27</v>
      </c>
      <c r="P11" s="36">
        <f t="shared" si="4"/>
        <v>27000</v>
      </c>
      <c r="Q11" s="1"/>
      <c r="R11" s="2">
        <v>1000</v>
      </c>
      <c r="S11" s="2">
        <v>21</v>
      </c>
      <c r="T11" s="36">
        <f t="shared" si="5"/>
        <v>21000</v>
      </c>
      <c r="U11" s="1"/>
      <c r="V11" s="12"/>
      <c r="W11" s="39">
        <v>1000</v>
      </c>
      <c r="X11" s="39">
        <f t="shared" si="7"/>
        <v>140</v>
      </c>
      <c r="Y11" s="37">
        <f t="shared" si="6"/>
        <v>140000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491</v>
      </c>
      <c r="AK11" s="36">
        <f t="shared" si="0"/>
        <v>245500</v>
      </c>
      <c r="AL11" s="1"/>
    </row>
    <row r="12" spans="2:38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1</v>
      </c>
      <c r="H12" s="36">
        <f t="shared" si="2"/>
        <v>5000</v>
      </c>
      <c r="I12" s="1"/>
      <c r="J12" s="2">
        <v>5000</v>
      </c>
      <c r="K12" s="2">
        <v>2</v>
      </c>
      <c r="L12" s="36">
        <f t="shared" si="3"/>
        <v>10000</v>
      </c>
      <c r="M12" s="1"/>
      <c r="N12" s="2">
        <v>5000</v>
      </c>
      <c r="O12" s="2"/>
      <c r="P12" s="36">
        <f t="shared" si="4"/>
        <v>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4</v>
      </c>
      <c r="Y12" s="37">
        <f t="shared" si="6"/>
        <v>20000</v>
      </c>
      <c r="Z12" s="13"/>
      <c r="AA12" s="1"/>
      <c r="AB12" s="1" t="s">
        <v>17</v>
      </c>
      <c r="AC12" s="5">
        <v>947740</v>
      </c>
      <c r="AD12" s="1">
        <v>979444</v>
      </c>
      <c r="AE12" s="52">
        <v>45818</v>
      </c>
      <c r="AF12" s="1" t="s">
        <v>110</v>
      </c>
      <c r="AG12" s="1"/>
      <c r="AH12" s="1"/>
      <c r="AI12" s="2">
        <v>1000</v>
      </c>
      <c r="AJ12" s="2">
        <v>624</v>
      </c>
      <c r="AK12" s="36">
        <f t="shared" si="0"/>
        <v>624000</v>
      </c>
      <c r="AL12" s="1"/>
    </row>
    <row r="13" spans="2:38" ht="15.75" thickBot="1">
      <c r="B13" s="3" t="s">
        <v>18</v>
      </c>
      <c r="C13" s="3"/>
      <c r="D13" s="6">
        <f>+SUM(D5:D12)</f>
        <v>39900</v>
      </c>
      <c r="E13" s="1"/>
      <c r="F13" s="3" t="s">
        <v>18</v>
      </c>
      <c r="G13" s="3"/>
      <c r="H13" s="6">
        <f>+SUM(H5:H12)</f>
        <v>71170</v>
      </c>
      <c r="I13" s="1"/>
      <c r="J13" s="3" t="s">
        <v>18</v>
      </c>
      <c r="K13" s="3"/>
      <c r="L13" s="6">
        <f>+SUM(L5:L12)</f>
        <v>54630</v>
      </c>
      <c r="M13" s="1"/>
      <c r="N13" s="3" t="s">
        <v>18</v>
      </c>
      <c r="O13" s="3"/>
      <c r="P13" s="6">
        <f>+SUM(P5:P12)</f>
        <v>49340</v>
      </c>
      <c r="Q13" s="1"/>
      <c r="R13" s="3" t="s">
        <v>18</v>
      </c>
      <c r="S13" s="3"/>
      <c r="T13" s="6">
        <f>+SUM(T5:T12)</f>
        <v>39160</v>
      </c>
      <c r="U13" s="1"/>
      <c r="V13" s="12"/>
      <c r="W13" s="3" t="s">
        <v>18</v>
      </c>
      <c r="X13" s="3"/>
      <c r="Y13" s="6">
        <f>+SUM(Y5:Y12)</f>
        <v>254200</v>
      </c>
      <c r="Z13" s="13"/>
      <c r="AA13" s="1"/>
      <c r="AB13" s="1" t="s">
        <v>19</v>
      </c>
      <c r="AC13" s="5">
        <v>4000</v>
      </c>
      <c r="AD13" s="1"/>
      <c r="AE13" s="1"/>
      <c r="AF13" s="1"/>
      <c r="AG13" s="1"/>
      <c r="AH13" s="1"/>
      <c r="AI13" s="2">
        <v>5000</v>
      </c>
      <c r="AJ13" s="2">
        <v>12</v>
      </c>
      <c r="AK13" s="36">
        <f t="shared" si="0"/>
        <v>60000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230</v>
      </c>
      <c r="AC14" s="100">
        <v>72500</v>
      </c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951740</v>
      </c>
      <c r="AL14" s="1"/>
    </row>
    <row r="15" spans="2:38" ht="15.75" thickBot="1">
      <c r="B15" s="109" t="s">
        <v>21</v>
      </c>
      <c r="C15" s="110"/>
      <c r="D15" s="8">
        <v>50792</v>
      </c>
      <c r="E15" s="30"/>
      <c r="F15" s="109" t="s">
        <v>21</v>
      </c>
      <c r="G15" s="110"/>
      <c r="H15" s="8">
        <v>89476</v>
      </c>
      <c r="I15" s="30"/>
      <c r="J15" s="109" t="s">
        <v>21</v>
      </c>
      <c r="K15" s="110"/>
      <c r="L15" s="8">
        <v>54516</v>
      </c>
      <c r="M15" s="30"/>
      <c r="N15" s="109" t="s">
        <v>21</v>
      </c>
      <c r="O15" s="110"/>
      <c r="P15" s="8">
        <v>52381</v>
      </c>
      <c r="Q15" s="30"/>
      <c r="R15" s="109" t="s">
        <v>21</v>
      </c>
      <c r="S15" s="110"/>
      <c r="T15" s="8">
        <v>386817</v>
      </c>
      <c r="U15" s="30"/>
      <c r="V15" s="31"/>
      <c r="W15" s="109" t="s">
        <v>21</v>
      </c>
      <c r="X15" s="110"/>
      <c r="Y15" s="8">
        <f>+D15+H15+L15+P15+T15</f>
        <v>633982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39900</v>
      </c>
      <c r="E16" s="1"/>
      <c r="F16" s="1" t="s">
        <v>10</v>
      </c>
      <c r="G16" s="1"/>
      <c r="H16" s="5">
        <f>+H13</f>
        <v>71170</v>
      </c>
      <c r="I16" s="1"/>
      <c r="J16" s="1" t="s">
        <v>10</v>
      </c>
      <c r="K16" s="1"/>
      <c r="L16" s="5">
        <f>+L13</f>
        <v>54630</v>
      </c>
      <c r="M16" s="1"/>
      <c r="N16" s="1" t="s">
        <v>10</v>
      </c>
      <c r="O16" s="1"/>
      <c r="P16" s="5">
        <f>+P13</f>
        <v>49340</v>
      </c>
      <c r="Q16" s="1"/>
      <c r="R16" s="1" t="s">
        <v>10</v>
      </c>
      <c r="S16" s="1"/>
      <c r="T16" s="5">
        <f>+T13</f>
        <v>39160</v>
      </c>
      <c r="U16" s="1"/>
      <c r="V16" s="12"/>
      <c r="W16" s="40" t="s">
        <v>10</v>
      </c>
      <c r="X16" s="40"/>
      <c r="Y16" s="37">
        <f>+D16+H16+L16+P16+T16</f>
        <v>254200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1024240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177</v>
      </c>
      <c r="C18" s="1" t="s">
        <v>226</v>
      </c>
      <c r="D18" s="5">
        <v>10604</v>
      </c>
      <c r="E18" s="1"/>
      <c r="F18" s="1" t="s">
        <v>124</v>
      </c>
      <c r="G18" s="1" t="s">
        <v>223</v>
      </c>
      <c r="H18" s="5">
        <v>12676</v>
      </c>
      <c r="I18" s="1"/>
      <c r="J18" s="1" t="s">
        <v>24</v>
      </c>
      <c r="K18" s="1"/>
      <c r="L18" s="5"/>
      <c r="M18" s="1"/>
      <c r="N18" s="1" t="s">
        <v>112</v>
      </c>
      <c r="O18" s="1" t="s">
        <v>218</v>
      </c>
      <c r="P18" s="5">
        <v>3054</v>
      </c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26334</v>
      </c>
      <c r="Z18" s="13"/>
      <c r="AA18" s="1"/>
      <c r="AB18" s="50" t="s">
        <v>25</v>
      </c>
      <c r="AC18" s="51">
        <f>+AC17-AC9</f>
        <v>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27</v>
      </c>
      <c r="C19" s="1"/>
      <c r="D19" s="5"/>
      <c r="E19" s="1"/>
      <c r="F19" s="1" t="s">
        <v>124</v>
      </c>
      <c r="G19" s="1" t="s">
        <v>224</v>
      </c>
      <c r="H19" s="5">
        <v>5900</v>
      </c>
      <c r="I19" s="1"/>
      <c r="J19" s="1" t="s">
        <v>27</v>
      </c>
      <c r="K19" s="1"/>
      <c r="L19" s="5"/>
      <c r="M19" s="1"/>
      <c r="N19" s="1" t="s">
        <v>27</v>
      </c>
      <c r="O19" s="1"/>
      <c r="P19" s="5"/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5900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47</v>
      </c>
      <c r="O23" s="1"/>
      <c r="P23" s="5"/>
      <c r="Q23" s="1"/>
      <c r="R23" s="1" t="s">
        <v>219</v>
      </c>
      <c r="S23" s="1" t="s">
        <v>220</v>
      </c>
      <c r="T23" s="5">
        <v>27608</v>
      </c>
      <c r="U23" s="1"/>
      <c r="V23" s="12"/>
      <c r="W23" s="40" t="s">
        <v>36</v>
      </c>
      <c r="X23" s="40"/>
      <c r="Y23" s="37">
        <f t="shared" si="8"/>
        <v>27608</v>
      </c>
      <c r="Z23" s="13"/>
      <c r="AA23" s="1"/>
      <c r="AB23" s="70" t="s">
        <v>214</v>
      </c>
      <c r="AC23" s="71">
        <v>45925</v>
      </c>
      <c r="AD23" s="70" t="s">
        <v>213</v>
      </c>
      <c r="AE23" s="70"/>
      <c r="AF23" s="70">
        <v>40</v>
      </c>
      <c r="AG23" s="1"/>
      <c r="AH23" s="1"/>
      <c r="AI23" s="1"/>
      <c r="AJ23" s="1"/>
      <c r="AK23" s="1"/>
      <c r="AL23" s="62"/>
    </row>
    <row r="24" spans="2:38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47</v>
      </c>
      <c r="O24" s="1"/>
      <c r="P24" s="5"/>
      <c r="Q24" s="1"/>
      <c r="R24" s="1" t="s">
        <v>221</v>
      </c>
      <c r="S24" s="1" t="s">
        <v>90</v>
      </c>
      <c r="T24" s="5">
        <v>290302</v>
      </c>
      <c r="U24" s="1"/>
      <c r="V24" s="12"/>
      <c r="W24" s="40" t="s">
        <v>37</v>
      </c>
      <c r="X24" s="40"/>
      <c r="Y24" s="37">
        <f t="shared" si="8"/>
        <v>290302</v>
      </c>
      <c r="Z24" s="13"/>
      <c r="AA24" s="1"/>
      <c r="AB24" s="70" t="s">
        <v>216</v>
      </c>
      <c r="AC24" s="77">
        <v>45908</v>
      </c>
      <c r="AD24" s="70" t="s">
        <v>215</v>
      </c>
      <c r="AE24" s="70"/>
      <c r="AF24" s="70">
        <v>37761</v>
      </c>
      <c r="AG24" s="1"/>
      <c r="AH24" s="1"/>
      <c r="AI24" s="1"/>
      <c r="AJ24" s="1"/>
      <c r="AK24" s="1"/>
      <c r="AL24" s="62"/>
    </row>
    <row r="25" spans="2:38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47</v>
      </c>
      <c r="O25" s="1"/>
      <c r="P25" s="5"/>
      <c r="Q25" s="1"/>
      <c r="R25" s="1" t="s">
        <v>225</v>
      </c>
      <c r="S25" s="1" t="s">
        <v>222</v>
      </c>
      <c r="T25" s="5">
        <v>29523</v>
      </c>
      <c r="U25" s="1"/>
      <c r="V25" s="12"/>
      <c r="W25" s="40" t="s">
        <v>38</v>
      </c>
      <c r="X25" s="40"/>
      <c r="Y25" s="37">
        <f t="shared" si="8"/>
        <v>29523</v>
      </c>
      <c r="Z25" s="13"/>
      <c r="AA25" s="1"/>
      <c r="AB25" s="70" t="s">
        <v>217</v>
      </c>
      <c r="AC25" s="82">
        <v>45932</v>
      </c>
      <c r="AD25" s="70" t="s">
        <v>114</v>
      </c>
      <c r="AE25" s="70"/>
      <c r="AF25" s="70">
        <v>162239</v>
      </c>
      <c r="AG25" s="1"/>
      <c r="AH25" s="1"/>
      <c r="AI25" s="1"/>
      <c r="AJ25" s="1"/>
      <c r="AK25" s="1"/>
      <c r="AL25" s="62"/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70" t="s">
        <v>97</v>
      </c>
      <c r="AC26" s="77">
        <v>45901</v>
      </c>
      <c r="AD26" s="70" t="s">
        <v>208</v>
      </c>
      <c r="AE26" s="70" t="s">
        <v>209</v>
      </c>
      <c r="AF26" s="70">
        <v>13000</v>
      </c>
      <c r="AG26" s="1"/>
      <c r="AH26" s="1"/>
      <c r="AI26" s="1"/>
      <c r="AJ26" s="1"/>
      <c r="AK26" s="1"/>
      <c r="AL26" s="62"/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70" t="s">
        <v>54</v>
      </c>
      <c r="AC27" s="71">
        <v>45920</v>
      </c>
      <c r="AD27" s="70" t="s">
        <v>53</v>
      </c>
      <c r="AE27" s="70"/>
      <c r="AF27" s="70">
        <v>20000</v>
      </c>
      <c r="AG27" s="1"/>
      <c r="AH27" s="1"/>
      <c r="AI27" s="1"/>
      <c r="AJ27" s="1"/>
      <c r="AK27" s="1"/>
      <c r="AL27" s="62"/>
    </row>
    <row r="28" spans="2:38" ht="15.75" thickBot="1">
      <c r="B28" s="114" t="s">
        <v>12</v>
      </c>
      <c r="C28" s="115"/>
      <c r="D28" s="9">
        <f>+SUM(D16:D27)</f>
        <v>50504</v>
      </c>
      <c r="E28" s="1"/>
      <c r="F28" s="114" t="s">
        <v>12</v>
      </c>
      <c r="G28" s="115"/>
      <c r="H28" s="9">
        <f>+SUM(H16:H27)</f>
        <v>89746</v>
      </c>
      <c r="I28" s="1"/>
      <c r="J28" s="114" t="s">
        <v>12</v>
      </c>
      <c r="K28" s="115"/>
      <c r="L28" s="9">
        <f>+SUM(L16:L27)</f>
        <v>54630</v>
      </c>
      <c r="M28" s="1"/>
      <c r="N28" s="114" t="s">
        <v>12</v>
      </c>
      <c r="O28" s="115"/>
      <c r="P28" s="9">
        <f>+SUM(P16:P27)</f>
        <v>52394</v>
      </c>
      <c r="Q28" s="1"/>
      <c r="R28" s="114" t="s">
        <v>12</v>
      </c>
      <c r="S28" s="115"/>
      <c r="T28" s="9">
        <f>+SUM(T16:T27)</f>
        <v>386593</v>
      </c>
      <c r="U28" s="1"/>
      <c r="V28" s="12"/>
      <c r="W28" s="114" t="s">
        <v>12</v>
      </c>
      <c r="X28" s="115"/>
      <c r="Y28" s="9">
        <f>+SUM(Y16:Y27)</f>
        <v>633867</v>
      </c>
      <c r="Z28" s="13"/>
      <c r="AA28" s="1"/>
      <c r="AB28" s="70" t="s">
        <v>227</v>
      </c>
      <c r="AC28" s="71">
        <v>45927</v>
      </c>
      <c r="AD28" s="70" t="s">
        <v>228</v>
      </c>
      <c r="AE28" s="70"/>
      <c r="AF28" s="74">
        <v>500000</v>
      </c>
      <c r="AG28" s="1"/>
      <c r="AH28" s="1"/>
      <c r="AI28" s="1"/>
      <c r="AJ28" s="1"/>
      <c r="AK28" s="1"/>
      <c r="AL28" s="62"/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70" t="s">
        <v>229</v>
      </c>
      <c r="AC29" s="71">
        <v>45757</v>
      </c>
      <c r="AD29" s="70" t="s">
        <v>228</v>
      </c>
      <c r="AE29" s="70"/>
      <c r="AF29" s="70">
        <v>37000</v>
      </c>
      <c r="AG29" s="1"/>
      <c r="AH29" s="1"/>
      <c r="AI29" s="1"/>
      <c r="AJ29" s="1"/>
      <c r="AK29" s="1"/>
      <c r="AL29" s="62"/>
    </row>
    <row r="30" spans="2:38" ht="15.75" thickBot="1">
      <c r="B30" s="116" t="s">
        <v>40</v>
      </c>
      <c r="C30" s="116"/>
      <c r="D30" s="7">
        <f>+D28-D15</f>
        <v>-288</v>
      </c>
      <c r="E30" s="1"/>
      <c r="F30" s="116" t="s">
        <v>40</v>
      </c>
      <c r="G30" s="116"/>
      <c r="H30" s="7">
        <f>+H28-H15</f>
        <v>270</v>
      </c>
      <c r="I30" s="1"/>
      <c r="J30" s="116" t="s">
        <v>40</v>
      </c>
      <c r="K30" s="116"/>
      <c r="L30" s="7">
        <f>+L28-L15</f>
        <v>114</v>
      </c>
      <c r="M30" s="1"/>
      <c r="N30" s="116" t="s">
        <v>40</v>
      </c>
      <c r="O30" s="116"/>
      <c r="P30" s="7">
        <f>+P28-P15</f>
        <v>13</v>
      </c>
      <c r="Q30" s="1"/>
      <c r="R30" s="116" t="s">
        <v>40</v>
      </c>
      <c r="S30" s="116"/>
      <c r="T30" s="7">
        <f>+T28-T15</f>
        <v>-224</v>
      </c>
      <c r="U30" s="1"/>
      <c r="V30" s="12"/>
      <c r="W30" s="113" t="s">
        <v>40</v>
      </c>
      <c r="X30" s="113"/>
      <c r="Y30" s="41">
        <f>+Y28-Y15</f>
        <v>-115</v>
      </c>
      <c r="Z30" s="13"/>
      <c r="AA30" s="1"/>
      <c r="AB30" s="20"/>
      <c r="AC30" s="1"/>
      <c r="AD30" s="1"/>
      <c r="AE30" s="1"/>
      <c r="AF30" s="1"/>
      <c r="AG30" s="1"/>
      <c r="AH30" s="1"/>
      <c r="AI30" s="1"/>
      <c r="AJ30" s="1"/>
      <c r="AK30" s="1"/>
      <c r="AL30" s="62"/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39</v>
      </c>
      <c r="AC31" s="60"/>
      <c r="AD31" s="60"/>
      <c r="AE31" s="60"/>
      <c r="AF31" s="55">
        <f>+SUM(AF23:AF30)</f>
        <v>770040</v>
      </c>
      <c r="AG31" s="1"/>
      <c r="AH31" s="1"/>
      <c r="AI31" s="60" t="s">
        <v>39</v>
      </c>
      <c r="AJ31" s="60"/>
      <c r="AK31" s="60"/>
      <c r="AL31" s="55">
        <f>+SUM(AL23:AL30)</f>
        <v>0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>
      <c r="B34" s="10" t="s">
        <v>41</v>
      </c>
      <c r="C34" s="11"/>
      <c r="D34" s="21">
        <v>288</v>
      </c>
      <c r="E34" s="1"/>
      <c r="F34" s="10" t="s">
        <v>41</v>
      </c>
      <c r="G34" s="11"/>
      <c r="H34" s="21"/>
      <c r="I34" s="1"/>
      <c r="J34" s="10" t="s">
        <v>41</v>
      </c>
      <c r="K34" s="11"/>
      <c r="L34" s="21"/>
      <c r="M34" s="1"/>
      <c r="N34" s="10" t="s">
        <v>41</v>
      </c>
      <c r="O34" s="11"/>
      <c r="P34" s="21"/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288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>
      <c r="B35" s="12" t="s">
        <v>42</v>
      </c>
      <c r="C35" s="16"/>
      <c r="D35" s="22"/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/>
      <c r="Q35" s="1"/>
      <c r="R35" s="12" t="s">
        <v>42</v>
      </c>
      <c r="S35" s="16"/>
      <c r="T35" s="22">
        <v>338</v>
      </c>
      <c r="U35" s="1"/>
      <c r="V35" s="1"/>
      <c r="W35" s="45" t="s">
        <v>42</v>
      </c>
      <c r="X35" s="40"/>
      <c r="Y35" s="46">
        <f t="shared" ref="Y35:Y36" si="9">+D35+H35+L35+P35+T35</f>
        <v>338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44</v>
      </c>
      <c r="C36" s="16"/>
      <c r="D36" s="22"/>
      <c r="E36" s="1"/>
      <c r="F36" s="12" t="s">
        <v>44</v>
      </c>
      <c r="G36" s="16"/>
      <c r="H36" s="22">
        <v>-270</v>
      </c>
      <c r="I36" s="1"/>
      <c r="J36" s="12" t="s">
        <v>44</v>
      </c>
      <c r="K36" s="16"/>
      <c r="L36" s="22">
        <v>-114</v>
      </c>
      <c r="M36" s="1"/>
      <c r="N36" s="12" t="s">
        <v>44</v>
      </c>
      <c r="O36" s="16"/>
      <c r="P36" s="22">
        <v>-13</v>
      </c>
      <c r="Q36" s="1"/>
      <c r="R36" s="12" t="s">
        <v>44</v>
      </c>
      <c r="S36" s="16"/>
      <c r="T36" s="22">
        <v>-114</v>
      </c>
      <c r="U36" s="1"/>
      <c r="V36" s="1"/>
      <c r="W36" s="45" t="s">
        <v>43</v>
      </c>
      <c r="X36" s="40"/>
      <c r="Y36" s="46">
        <f t="shared" si="9"/>
        <v>-511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>
      <c r="B37" s="12" t="s">
        <v>18</v>
      </c>
      <c r="C37" s="16"/>
      <c r="D37" s="22">
        <f>+SUM(D34:D36)</f>
        <v>288</v>
      </c>
      <c r="E37" s="1"/>
      <c r="F37" s="12" t="s">
        <v>18</v>
      </c>
      <c r="G37" s="16"/>
      <c r="H37" s="22">
        <f>+SUM(H34:H36)</f>
        <v>-270</v>
      </c>
      <c r="I37" s="1"/>
      <c r="J37" s="12" t="s">
        <v>18</v>
      </c>
      <c r="K37" s="16"/>
      <c r="L37" s="22">
        <f>+SUM(L34:L36)</f>
        <v>-114</v>
      </c>
      <c r="M37" s="1"/>
      <c r="N37" s="12" t="s">
        <v>18</v>
      </c>
      <c r="O37" s="16"/>
      <c r="P37" s="22">
        <f>+SUM(P34:P36)</f>
        <v>-13</v>
      </c>
      <c r="Q37" s="1"/>
      <c r="R37" s="12" t="s">
        <v>18</v>
      </c>
      <c r="S37" s="16"/>
      <c r="T37" s="22">
        <f>+SUM(T34:T36)</f>
        <v>224</v>
      </c>
      <c r="U37" s="1"/>
      <c r="V37" s="1"/>
      <c r="W37" s="33" t="s">
        <v>18</v>
      </c>
      <c r="X37" s="34"/>
      <c r="Y37" s="35">
        <f>+SUM(Y34:Y36)</f>
        <v>115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AL40"/>
  <sheetViews>
    <sheetView zoomScale="80" zoomScaleNormal="80" workbookViewId="0">
      <selection activeCell="AC14" sqref="AB14:AC14"/>
    </sheetView>
  </sheetViews>
  <sheetFormatPr defaultRowHeight="15"/>
  <cols>
    <col min="3" max="3" width="15" customWidth="1"/>
    <col min="5" max="5" width="0.7109375" customWidth="1"/>
    <col min="7" max="7" width="15.140625" customWidth="1"/>
    <col min="9" max="9" width="0.5703125" customWidth="1"/>
    <col min="10" max="10" width="10.140625" customWidth="1"/>
    <col min="11" max="11" width="15" bestFit="1" customWidth="1"/>
    <col min="13" max="13" width="0.7109375" customWidth="1"/>
    <col min="15" max="15" width="13.140625" customWidth="1"/>
    <col min="17" max="17" width="0.5703125" customWidth="1"/>
    <col min="19" max="19" width="14.28515625" customWidth="1"/>
    <col min="20" max="20" width="13.140625" customWidth="1"/>
    <col min="21" max="21" width="0.42578125" customWidth="1"/>
    <col min="22" max="22" width="1.140625" customWidth="1"/>
    <col min="25" max="25" width="10.5703125" customWidth="1"/>
    <col min="26" max="26" width="0.85546875" customWidth="1"/>
    <col min="27" max="27" width="0.5703125" customWidth="1"/>
    <col min="28" max="28" width="13.85546875" customWidth="1"/>
    <col min="29" max="29" width="10.5703125" bestFit="1" customWidth="1"/>
    <col min="31" max="31" width="13.85546875" bestFit="1" customWidth="1"/>
    <col min="33" max="33" width="1.42578125" customWidth="1"/>
    <col min="34" max="34" width="9.140625" hidden="1" customWidth="1"/>
    <col min="37" max="37" width="17.42578125" bestFit="1" customWidth="1"/>
  </cols>
  <sheetData>
    <row r="2" spans="2:38" ht="15.75" thickBot="1"/>
    <row r="3" spans="2:38">
      <c r="B3" s="111" t="s">
        <v>127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3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>
        <v>6</v>
      </c>
      <c r="H5" s="36">
        <f>+G5*F5</f>
        <v>6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6</v>
      </c>
      <c r="Y5" s="37">
        <f>+D5+H5+L5+P5+T5</f>
        <v>6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147</v>
      </c>
      <c r="D6" s="36">
        <f>+C6*B6</f>
        <v>1470</v>
      </c>
      <c r="E6" s="1"/>
      <c r="F6" s="2">
        <v>10</v>
      </c>
      <c r="G6" s="2">
        <v>59</v>
      </c>
      <c r="H6" s="36">
        <f>+G6*F6</f>
        <v>590</v>
      </c>
      <c r="I6" s="1"/>
      <c r="J6" s="2">
        <v>10</v>
      </c>
      <c r="K6" s="2">
        <v>132</v>
      </c>
      <c r="L6" s="36">
        <f>+K6*J6</f>
        <v>1320</v>
      </c>
      <c r="M6" s="1"/>
      <c r="N6" s="2">
        <v>10</v>
      </c>
      <c r="O6" s="2">
        <v>194</v>
      </c>
      <c r="P6" s="36">
        <f>+O6*N6</f>
        <v>1940</v>
      </c>
      <c r="Q6" s="1"/>
      <c r="R6" s="2">
        <v>10</v>
      </c>
      <c r="S6" s="2">
        <v>151</v>
      </c>
      <c r="T6" s="36">
        <f>+S6*R6</f>
        <v>1510</v>
      </c>
      <c r="U6" s="1"/>
      <c r="V6" s="12"/>
      <c r="W6" s="39">
        <v>10</v>
      </c>
      <c r="X6" s="39">
        <f>+C6+G6+K6+O6+S6</f>
        <v>683</v>
      </c>
      <c r="Y6" s="37">
        <f>+D6+H6+L6+P6+T6</f>
        <v>6830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11</v>
      </c>
      <c r="AK6" s="36">
        <f t="shared" ref="AK6:AK13" si="0">+AJ6*AI6</f>
        <v>11</v>
      </c>
      <c r="AL6" s="26"/>
    </row>
    <row r="7" spans="2:38">
      <c r="B7" s="2">
        <v>20</v>
      </c>
      <c r="C7" s="2">
        <v>85</v>
      </c>
      <c r="D7" s="36">
        <f t="shared" ref="D7:D12" si="1">+C7*B7</f>
        <v>1700</v>
      </c>
      <c r="E7" s="1"/>
      <c r="F7" s="2">
        <v>20</v>
      </c>
      <c r="G7" s="2">
        <v>30</v>
      </c>
      <c r="H7" s="36">
        <f t="shared" ref="H7:H12" si="2">+G7*F7</f>
        <v>600</v>
      </c>
      <c r="I7" s="1"/>
      <c r="J7" s="2">
        <v>20</v>
      </c>
      <c r="K7" s="2">
        <v>20</v>
      </c>
      <c r="L7" s="36">
        <f t="shared" ref="L7:L12" si="3">+K7*J7</f>
        <v>400</v>
      </c>
      <c r="M7" s="1"/>
      <c r="N7" s="2">
        <v>20</v>
      </c>
      <c r="O7" s="2">
        <v>14</v>
      </c>
      <c r="P7" s="36">
        <f t="shared" ref="P7:P12" si="4">+O7*N7</f>
        <v>280</v>
      </c>
      <c r="Q7" s="1"/>
      <c r="R7" s="2">
        <v>20</v>
      </c>
      <c r="S7" s="2">
        <v>201</v>
      </c>
      <c r="T7" s="36">
        <f t="shared" ref="T7:T12" si="5">+S7*R7</f>
        <v>4020</v>
      </c>
      <c r="U7" s="1"/>
      <c r="V7" s="12"/>
      <c r="W7" s="39">
        <v>20</v>
      </c>
      <c r="X7" s="39">
        <f>+C7+G7+K7+O7+S7</f>
        <v>350</v>
      </c>
      <c r="Y7" s="37">
        <f t="shared" ref="Y7:Y12" si="6">+D7+H7+L7+P7+T7</f>
        <v>7000</v>
      </c>
      <c r="Z7" s="13"/>
      <c r="AA7" s="1"/>
      <c r="AB7" s="56" t="s">
        <v>10</v>
      </c>
      <c r="AC7" s="57">
        <f>Y13</f>
        <v>309586</v>
      </c>
      <c r="AD7" s="26"/>
      <c r="AE7" s="26"/>
      <c r="AF7" s="26"/>
      <c r="AG7" s="26"/>
      <c r="AH7" s="1"/>
      <c r="AI7" s="2">
        <v>10</v>
      </c>
      <c r="AJ7" s="2">
        <v>684</v>
      </c>
      <c r="AK7" s="36">
        <f t="shared" si="0"/>
        <v>6840</v>
      </c>
      <c r="AL7" s="1"/>
    </row>
    <row r="8" spans="2:38">
      <c r="B8" s="2">
        <v>50</v>
      </c>
      <c r="C8" s="2">
        <v>30</v>
      </c>
      <c r="D8" s="36">
        <f t="shared" si="1"/>
        <v>1500</v>
      </c>
      <c r="E8" s="1"/>
      <c r="F8" s="2">
        <v>50</v>
      </c>
      <c r="G8" s="2">
        <v>91</v>
      </c>
      <c r="H8" s="36">
        <f t="shared" si="2"/>
        <v>4550</v>
      </c>
      <c r="I8" s="1"/>
      <c r="J8" s="2">
        <v>50</v>
      </c>
      <c r="K8" s="2">
        <v>70</v>
      </c>
      <c r="L8" s="36">
        <f t="shared" si="3"/>
        <v>3500</v>
      </c>
      <c r="M8" s="1"/>
      <c r="N8" s="2">
        <v>50</v>
      </c>
      <c r="O8" s="2">
        <v>12</v>
      </c>
      <c r="P8" s="36">
        <f t="shared" si="4"/>
        <v>600</v>
      </c>
      <c r="Q8" s="1"/>
      <c r="R8" s="2">
        <v>50</v>
      </c>
      <c r="S8" s="2">
        <v>8</v>
      </c>
      <c r="T8" s="36">
        <f t="shared" si="5"/>
        <v>400</v>
      </c>
      <c r="U8" s="1"/>
      <c r="V8" s="12"/>
      <c r="W8" s="39">
        <v>50</v>
      </c>
      <c r="X8" s="39">
        <f t="shared" ref="X8:X12" si="7">+C8+G8+K8+O8+S8</f>
        <v>211</v>
      </c>
      <c r="Y8" s="37">
        <f t="shared" si="6"/>
        <v>10550</v>
      </c>
      <c r="Z8" s="13"/>
      <c r="AA8" s="1"/>
      <c r="AB8" s="53" t="s">
        <v>11</v>
      </c>
      <c r="AC8" s="53">
        <f>+AF31</f>
        <v>56474</v>
      </c>
      <c r="AD8" s="1"/>
      <c r="AE8" s="1"/>
      <c r="AF8" s="1"/>
      <c r="AG8" s="1"/>
      <c r="AH8" s="1"/>
      <c r="AI8" s="2">
        <v>20</v>
      </c>
      <c r="AJ8" s="2">
        <v>361</v>
      </c>
      <c r="AK8" s="36">
        <f t="shared" si="0"/>
        <v>7220</v>
      </c>
      <c r="AL8" s="1"/>
    </row>
    <row r="9" spans="2:38" ht="15.75" thickBot="1">
      <c r="B9" s="2">
        <v>100</v>
      </c>
      <c r="C9" s="2">
        <v>52</v>
      </c>
      <c r="D9" s="36">
        <f t="shared" si="1"/>
        <v>5200</v>
      </c>
      <c r="E9" s="1"/>
      <c r="F9" s="2">
        <v>100</v>
      </c>
      <c r="G9" s="2">
        <v>60</v>
      </c>
      <c r="H9" s="36">
        <f t="shared" si="2"/>
        <v>6000</v>
      </c>
      <c r="I9" s="1"/>
      <c r="J9" s="2">
        <v>100</v>
      </c>
      <c r="K9" s="2">
        <v>67</v>
      </c>
      <c r="L9" s="36">
        <f t="shared" si="3"/>
        <v>6700</v>
      </c>
      <c r="M9" s="1"/>
      <c r="N9" s="2">
        <v>100</v>
      </c>
      <c r="O9" s="2">
        <v>4</v>
      </c>
      <c r="P9" s="36">
        <f t="shared" si="4"/>
        <v>400</v>
      </c>
      <c r="Q9" s="1"/>
      <c r="R9" s="2">
        <v>100</v>
      </c>
      <c r="S9" s="2">
        <v>4</v>
      </c>
      <c r="T9" s="36">
        <f t="shared" si="5"/>
        <v>400</v>
      </c>
      <c r="U9" s="1"/>
      <c r="V9" s="12"/>
      <c r="W9" s="39">
        <v>100</v>
      </c>
      <c r="X9" s="39">
        <f t="shared" si="7"/>
        <v>187</v>
      </c>
      <c r="Y9" s="37">
        <f t="shared" si="6"/>
        <v>18700</v>
      </c>
      <c r="Z9" s="13"/>
      <c r="AA9" s="1"/>
      <c r="AB9" s="58" t="s">
        <v>12</v>
      </c>
      <c r="AC9" s="59">
        <f>SUM(AC7:AC8)</f>
        <v>366060</v>
      </c>
      <c r="AD9" s="1"/>
      <c r="AE9" s="1"/>
      <c r="AF9" s="1"/>
      <c r="AG9" s="1"/>
      <c r="AH9" s="1"/>
      <c r="AI9" s="2">
        <v>50</v>
      </c>
      <c r="AJ9" s="2">
        <v>218</v>
      </c>
      <c r="AK9" s="36">
        <f t="shared" si="0"/>
        <v>10900</v>
      </c>
      <c r="AL9" s="1"/>
    </row>
    <row r="10" spans="2:38">
      <c r="B10" s="2">
        <v>500</v>
      </c>
      <c r="C10" s="2">
        <v>38</v>
      </c>
      <c r="D10" s="36">
        <f t="shared" si="1"/>
        <v>19000</v>
      </c>
      <c r="E10" s="1"/>
      <c r="F10" s="2">
        <v>500</v>
      </c>
      <c r="G10" s="2">
        <v>28</v>
      </c>
      <c r="H10" s="36">
        <f t="shared" si="2"/>
        <v>14000</v>
      </c>
      <c r="I10" s="1"/>
      <c r="J10" s="2">
        <v>500</v>
      </c>
      <c r="K10" s="2">
        <v>41</v>
      </c>
      <c r="L10" s="36">
        <f t="shared" si="3"/>
        <v>20500</v>
      </c>
      <c r="M10" s="1"/>
      <c r="N10" s="2">
        <v>500</v>
      </c>
      <c r="O10" s="2">
        <v>25</v>
      </c>
      <c r="P10" s="36">
        <f t="shared" si="4"/>
        <v>12500</v>
      </c>
      <c r="Q10" s="1"/>
      <c r="R10" s="2">
        <v>500</v>
      </c>
      <c r="S10" s="2">
        <v>7</v>
      </c>
      <c r="T10" s="36">
        <f t="shared" si="5"/>
        <v>3500</v>
      </c>
      <c r="U10" s="1"/>
      <c r="V10" s="12"/>
      <c r="W10" s="39">
        <v>500</v>
      </c>
      <c r="X10" s="39">
        <f t="shared" si="7"/>
        <v>139</v>
      </c>
      <c r="Y10" s="37">
        <f t="shared" si="6"/>
        <v>69500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181</v>
      </c>
      <c r="AK10" s="36">
        <f t="shared" si="0"/>
        <v>18100</v>
      </c>
      <c r="AL10" s="1"/>
    </row>
    <row r="11" spans="2:38">
      <c r="B11" s="2">
        <v>1000</v>
      </c>
      <c r="C11" s="2">
        <v>28</v>
      </c>
      <c r="D11" s="36">
        <f t="shared" si="1"/>
        <v>28000</v>
      </c>
      <c r="E11" s="1"/>
      <c r="F11" s="2">
        <v>1000</v>
      </c>
      <c r="G11" s="2">
        <v>37</v>
      </c>
      <c r="H11" s="36">
        <f t="shared" si="2"/>
        <v>37000</v>
      </c>
      <c r="I11" s="1"/>
      <c r="J11" s="2">
        <v>1000</v>
      </c>
      <c r="K11" s="2">
        <v>33</v>
      </c>
      <c r="L11" s="36">
        <f t="shared" si="3"/>
        <v>33000</v>
      </c>
      <c r="M11" s="1"/>
      <c r="N11" s="2">
        <v>1000</v>
      </c>
      <c r="O11" s="2">
        <v>34</v>
      </c>
      <c r="P11" s="36">
        <f t="shared" si="4"/>
        <v>34000</v>
      </c>
      <c r="Q11" s="1"/>
      <c r="R11" s="2">
        <v>1000</v>
      </c>
      <c r="S11" s="2">
        <v>30</v>
      </c>
      <c r="T11" s="36">
        <f t="shared" si="5"/>
        <v>30000</v>
      </c>
      <c r="U11" s="1"/>
      <c r="V11" s="12"/>
      <c r="W11" s="39">
        <v>1000</v>
      </c>
      <c r="X11" s="39">
        <f t="shared" si="7"/>
        <v>162</v>
      </c>
      <c r="Y11" s="37">
        <f t="shared" si="6"/>
        <v>162000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200</v>
      </c>
      <c r="AK11" s="36">
        <f t="shared" si="0"/>
        <v>100000</v>
      </c>
      <c r="AL11" s="1"/>
    </row>
    <row r="12" spans="2:38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1</v>
      </c>
      <c r="H12" s="36">
        <f t="shared" si="2"/>
        <v>5000</v>
      </c>
      <c r="I12" s="1"/>
      <c r="J12" s="2">
        <v>5000</v>
      </c>
      <c r="K12" s="2">
        <v>1</v>
      </c>
      <c r="L12" s="36">
        <f t="shared" si="3"/>
        <v>5000</v>
      </c>
      <c r="M12" s="1"/>
      <c r="N12" s="2">
        <v>5000</v>
      </c>
      <c r="O12" s="2">
        <v>3</v>
      </c>
      <c r="P12" s="36">
        <f t="shared" si="4"/>
        <v>15000</v>
      </c>
      <c r="Q12" s="1"/>
      <c r="R12" s="2">
        <v>5000</v>
      </c>
      <c r="S12" s="2">
        <v>1</v>
      </c>
      <c r="T12" s="36">
        <f t="shared" si="5"/>
        <v>5000</v>
      </c>
      <c r="U12" s="1"/>
      <c r="V12" s="12"/>
      <c r="W12" s="39">
        <v>5000</v>
      </c>
      <c r="X12" s="39">
        <f t="shared" si="7"/>
        <v>7</v>
      </c>
      <c r="Y12" s="37">
        <f t="shared" si="6"/>
        <v>35000</v>
      </c>
      <c r="Z12" s="13"/>
      <c r="AA12" s="1"/>
      <c r="AB12" s="1" t="s">
        <v>17</v>
      </c>
      <c r="AC12" s="5">
        <v>354060</v>
      </c>
      <c r="AD12" s="1">
        <v>979241</v>
      </c>
      <c r="AE12" s="52">
        <v>45848</v>
      </c>
      <c r="AF12" s="1" t="s">
        <v>110</v>
      </c>
      <c r="AG12" s="1"/>
      <c r="AH12" s="1"/>
      <c r="AI12" s="2">
        <v>1000</v>
      </c>
      <c r="AJ12" s="2">
        <v>183</v>
      </c>
      <c r="AK12" s="36">
        <f t="shared" si="0"/>
        <v>183000</v>
      </c>
      <c r="AL12" s="1"/>
    </row>
    <row r="13" spans="2:38" ht="15.75" thickBot="1">
      <c r="B13" s="3" t="s">
        <v>18</v>
      </c>
      <c r="C13" s="3"/>
      <c r="D13" s="6">
        <f>+SUM(D5:D12)</f>
        <v>61870</v>
      </c>
      <c r="E13" s="1"/>
      <c r="F13" s="3" t="s">
        <v>18</v>
      </c>
      <c r="G13" s="3"/>
      <c r="H13" s="6">
        <f>+SUM(H5:H12)</f>
        <v>67746</v>
      </c>
      <c r="I13" s="1"/>
      <c r="J13" s="3" t="s">
        <v>18</v>
      </c>
      <c r="K13" s="3"/>
      <c r="L13" s="6">
        <f>+SUM(L5:L12)</f>
        <v>70420</v>
      </c>
      <c r="M13" s="1"/>
      <c r="N13" s="3" t="s">
        <v>18</v>
      </c>
      <c r="O13" s="3"/>
      <c r="P13" s="6">
        <f>+SUM(P5:P12)</f>
        <v>64720</v>
      </c>
      <c r="Q13" s="1"/>
      <c r="R13" s="3" t="s">
        <v>18</v>
      </c>
      <c r="S13" s="3"/>
      <c r="T13" s="6">
        <f>+SUM(T5:T12)</f>
        <v>44830</v>
      </c>
      <c r="U13" s="1"/>
      <c r="V13" s="12"/>
      <c r="W13" s="3" t="s">
        <v>18</v>
      </c>
      <c r="X13" s="3"/>
      <c r="Y13" s="6">
        <f>+SUM(Y5:Y12)</f>
        <v>309586</v>
      </c>
      <c r="Z13" s="13"/>
      <c r="AA13" s="1"/>
      <c r="AB13" s="1" t="s">
        <v>19</v>
      </c>
      <c r="AC13" s="5">
        <v>12011</v>
      </c>
      <c r="AD13" s="1"/>
      <c r="AE13" s="1"/>
      <c r="AF13" s="1"/>
      <c r="AG13" s="1"/>
      <c r="AH13" s="1"/>
      <c r="AI13" s="2">
        <v>5000</v>
      </c>
      <c r="AJ13" s="2">
        <v>8</v>
      </c>
      <c r="AK13" s="36">
        <f t="shared" si="0"/>
        <v>40000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01" t="s">
        <v>343</v>
      </c>
      <c r="AC14" s="100">
        <v>206000</v>
      </c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366071</v>
      </c>
      <c r="AL14" s="1"/>
    </row>
    <row r="15" spans="2:38" ht="15.75" thickBot="1">
      <c r="B15" s="109" t="s">
        <v>21</v>
      </c>
      <c r="C15" s="110"/>
      <c r="D15" s="8">
        <v>68928</v>
      </c>
      <c r="E15" s="30"/>
      <c r="F15" s="109" t="s">
        <v>21</v>
      </c>
      <c r="G15" s="110"/>
      <c r="H15" s="8">
        <v>99196</v>
      </c>
      <c r="I15" s="30"/>
      <c r="J15" s="109" t="s">
        <v>21</v>
      </c>
      <c r="K15" s="110"/>
      <c r="L15" s="8">
        <v>87823</v>
      </c>
      <c r="M15" s="30"/>
      <c r="N15" s="109" t="s">
        <v>21</v>
      </c>
      <c r="O15" s="110"/>
      <c r="P15" s="8">
        <v>78521</v>
      </c>
      <c r="Q15" s="30"/>
      <c r="R15" s="109" t="s">
        <v>21</v>
      </c>
      <c r="S15" s="110"/>
      <c r="T15" s="8">
        <v>227436</v>
      </c>
      <c r="U15" s="30"/>
      <c r="V15" s="31"/>
      <c r="W15" s="109" t="s">
        <v>21</v>
      </c>
      <c r="X15" s="110"/>
      <c r="Y15" s="8">
        <f>+D15+H15+L15+P15+T15</f>
        <v>561904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61870</v>
      </c>
      <c r="E16" s="1"/>
      <c r="F16" s="1" t="s">
        <v>10</v>
      </c>
      <c r="G16" s="1"/>
      <c r="H16" s="5">
        <f>+H13</f>
        <v>67746</v>
      </c>
      <c r="I16" s="1"/>
      <c r="J16" s="1" t="s">
        <v>10</v>
      </c>
      <c r="K16" s="1"/>
      <c r="L16" s="5">
        <f>+L13</f>
        <v>70420</v>
      </c>
      <c r="M16" s="1"/>
      <c r="N16" s="1" t="s">
        <v>10</v>
      </c>
      <c r="O16" s="1"/>
      <c r="P16" s="5">
        <f>+P13</f>
        <v>64720</v>
      </c>
      <c r="Q16" s="1"/>
      <c r="R16" s="1" t="s">
        <v>10</v>
      </c>
      <c r="S16" s="1"/>
      <c r="T16" s="5">
        <f>+T13</f>
        <v>44830</v>
      </c>
      <c r="U16" s="1"/>
      <c r="V16" s="12"/>
      <c r="W16" s="40" t="s">
        <v>10</v>
      </c>
      <c r="X16" s="40"/>
      <c r="Y16" s="37">
        <f>+D16+H16+L16+P16+T16</f>
        <v>309586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572071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112</v>
      </c>
      <c r="C18" s="1" t="s">
        <v>235</v>
      </c>
      <c r="D18" s="5">
        <v>6650</v>
      </c>
      <c r="E18" s="1"/>
      <c r="F18" s="1" t="s">
        <v>131</v>
      </c>
      <c r="G18" s="1" t="s">
        <v>241</v>
      </c>
      <c r="H18" s="5">
        <v>5405</v>
      </c>
      <c r="I18" s="1"/>
      <c r="J18" s="1" t="s">
        <v>177</v>
      </c>
      <c r="K18" s="16" t="s">
        <v>249</v>
      </c>
      <c r="L18" s="5">
        <v>5000</v>
      </c>
      <c r="M18" s="1"/>
      <c r="N18" s="1" t="s">
        <v>125</v>
      </c>
      <c r="O18" s="1" t="s">
        <v>233</v>
      </c>
      <c r="P18" s="5">
        <v>6813</v>
      </c>
      <c r="Q18" s="1"/>
      <c r="R18" s="1" t="s">
        <v>238</v>
      </c>
      <c r="S18" s="1" t="s">
        <v>239</v>
      </c>
      <c r="T18" s="5">
        <v>58840</v>
      </c>
      <c r="U18" s="1"/>
      <c r="V18" s="12"/>
      <c r="W18" s="40" t="s">
        <v>24</v>
      </c>
      <c r="X18" s="40"/>
      <c r="Y18" s="37">
        <f t="shared" si="8"/>
        <v>82708</v>
      </c>
      <c r="Z18" s="13"/>
      <c r="AA18" s="1"/>
      <c r="AB18" s="50" t="s">
        <v>25</v>
      </c>
      <c r="AC18" s="51">
        <f>+AC17-AC9</f>
        <v>206011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27</v>
      </c>
      <c r="C19" s="1"/>
      <c r="D19" s="5"/>
      <c r="E19" s="1"/>
      <c r="F19" s="1" t="s">
        <v>125</v>
      </c>
      <c r="G19" s="1" t="s">
        <v>242</v>
      </c>
      <c r="H19" s="5">
        <v>4800</v>
      </c>
      <c r="I19" s="1"/>
      <c r="J19" s="1" t="s">
        <v>177</v>
      </c>
      <c r="K19" s="16" t="s">
        <v>250</v>
      </c>
      <c r="L19" s="5">
        <v>7845</v>
      </c>
      <c r="M19" s="1"/>
      <c r="N19" s="1" t="s">
        <v>27</v>
      </c>
      <c r="O19" s="1"/>
      <c r="P19" s="5"/>
      <c r="Q19" s="1"/>
      <c r="R19" s="1" t="s">
        <v>182</v>
      </c>
      <c r="S19" s="1" t="s">
        <v>240</v>
      </c>
      <c r="T19" s="5">
        <v>12642</v>
      </c>
      <c r="U19" s="1"/>
      <c r="V19" s="12"/>
      <c r="W19" s="40" t="s">
        <v>27</v>
      </c>
      <c r="X19" s="40"/>
      <c r="Y19" s="37">
        <f t="shared" si="8"/>
        <v>25287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177</v>
      </c>
      <c r="G20" s="1" t="s">
        <v>243</v>
      </c>
      <c r="H20" s="5">
        <v>8950</v>
      </c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8950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 t="s">
        <v>182</v>
      </c>
      <c r="G21" s="1" t="s">
        <v>244</v>
      </c>
      <c r="H21" s="5">
        <v>12295</v>
      </c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12295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247</v>
      </c>
      <c r="K23" s="70" t="s">
        <v>246</v>
      </c>
      <c r="L23" s="5">
        <v>4573</v>
      </c>
      <c r="M23" s="1"/>
      <c r="N23" s="1" t="s">
        <v>234</v>
      </c>
      <c r="O23" s="16" t="s">
        <v>231</v>
      </c>
      <c r="P23" s="5">
        <v>6997</v>
      </c>
      <c r="Q23" s="1"/>
      <c r="R23" s="1" t="s">
        <v>236</v>
      </c>
      <c r="S23" s="1" t="s">
        <v>104</v>
      </c>
      <c r="T23" s="5">
        <v>41367</v>
      </c>
      <c r="U23" s="1"/>
      <c r="V23" s="12"/>
      <c r="W23" s="40" t="s">
        <v>36</v>
      </c>
      <c r="X23" s="40"/>
      <c r="Y23" s="37">
        <f t="shared" si="8"/>
        <v>52937</v>
      </c>
      <c r="Z23" s="13"/>
      <c r="AA23" s="1"/>
      <c r="AB23" s="16" t="s">
        <v>232</v>
      </c>
      <c r="AC23" s="83">
        <v>45929</v>
      </c>
      <c r="AD23" s="16" t="s">
        <v>231</v>
      </c>
      <c r="AE23" s="16"/>
      <c r="AF23" s="16">
        <v>7590</v>
      </c>
      <c r="AG23" s="1"/>
      <c r="AH23" s="1"/>
      <c r="AI23" s="70" t="s">
        <v>267</v>
      </c>
      <c r="AJ23" s="70" t="s">
        <v>251</v>
      </c>
      <c r="AK23" s="70" t="s">
        <v>261</v>
      </c>
      <c r="AL23" s="74">
        <v>49136</v>
      </c>
    </row>
    <row r="24" spans="2:38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47</v>
      </c>
      <c r="O24" s="1"/>
      <c r="P24" s="5"/>
      <c r="Q24" s="1"/>
      <c r="R24" s="1" t="s">
        <v>237</v>
      </c>
      <c r="S24" s="1" t="s">
        <v>215</v>
      </c>
      <c r="T24" s="5">
        <v>67294</v>
      </c>
      <c r="U24" s="1"/>
      <c r="V24" s="12"/>
      <c r="W24" s="40" t="s">
        <v>37</v>
      </c>
      <c r="X24" s="40"/>
      <c r="Y24" s="37">
        <f t="shared" si="8"/>
        <v>67294</v>
      </c>
      <c r="Z24" s="13"/>
      <c r="AA24" s="1"/>
      <c r="AB24" s="70" t="s">
        <v>245</v>
      </c>
      <c r="AC24" s="82">
        <v>45932</v>
      </c>
      <c r="AD24" s="70" t="s">
        <v>120</v>
      </c>
      <c r="AE24" s="70"/>
      <c r="AF24" s="70">
        <v>5140</v>
      </c>
      <c r="AG24" s="1"/>
      <c r="AH24" s="1"/>
      <c r="AI24" s="76" t="s">
        <v>97</v>
      </c>
      <c r="AJ24" s="70" t="s">
        <v>252</v>
      </c>
      <c r="AK24" s="70" t="s">
        <v>262</v>
      </c>
      <c r="AL24" s="73">
        <v>10368</v>
      </c>
    </row>
    <row r="25" spans="2:38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47</v>
      </c>
      <c r="O25" s="1"/>
      <c r="P25" s="5"/>
      <c r="Q25" s="1"/>
      <c r="R25" s="1" t="s">
        <v>38</v>
      </c>
      <c r="S25" s="1"/>
      <c r="T25" s="5"/>
      <c r="U25" s="1"/>
      <c r="V25" s="12"/>
      <c r="W25" s="40" t="s">
        <v>38</v>
      </c>
      <c r="X25" s="40"/>
      <c r="Y25" s="37">
        <f t="shared" si="8"/>
        <v>0</v>
      </c>
      <c r="Z25" s="13"/>
      <c r="AA25" s="1"/>
      <c r="AB25" s="70" t="s">
        <v>248</v>
      </c>
      <c r="AC25" s="71">
        <v>45929</v>
      </c>
      <c r="AD25" s="70" t="s">
        <v>104</v>
      </c>
      <c r="AE25" s="70"/>
      <c r="AF25" s="70">
        <v>25840</v>
      </c>
      <c r="AG25" s="1"/>
      <c r="AH25" s="1"/>
      <c r="AI25" s="76" t="s">
        <v>100</v>
      </c>
      <c r="AJ25" s="70" t="s">
        <v>253</v>
      </c>
      <c r="AK25" s="70" t="s">
        <v>263</v>
      </c>
      <c r="AL25" s="74">
        <v>25000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70" t="s">
        <v>54</v>
      </c>
      <c r="AC26" s="71">
        <v>45920</v>
      </c>
      <c r="AD26" s="70" t="s">
        <v>53</v>
      </c>
      <c r="AE26" s="70"/>
      <c r="AF26" s="70">
        <v>17904</v>
      </c>
      <c r="AG26" s="1"/>
      <c r="AH26" s="1"/>
      <c r="AI26" s="70" t="s">
        <v>67</v>
      </c>
      <c r="AJ26" s="70" t="s">
        <v>254</v>
      </c>
      <c r="AK26" s="70" t="s">
        <v>264</v>
      </c>
      <c r="AL26" s="75">
        <v>12616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70"/>
      <c r="AC27" s="70"/>
      <c r="AD27" s="70"/>
      <c r="AE27" s="70"/>
      <c r="AF27" s="70"/>
      <c r="AG27" s="1"/>
      <c r="AH27" s="1"/>
      <c r="AI27" s="70" t="s">
        <v>97</v>
      </c>
      <c r="AJ27" s="70" t="s">
        <v>255</v>
      </c>
      <c r="AK27" s="70" t="s">
        <v>265</v>
      </c>
      <c r="AL27" s="74">
        <v>12549</v>
      </c>
    </row>
    <row r="28" spans="2:38" ht="15.75" thickBot="1">
      <c r="B28" s="114" t="s">
        <v>12</v>
      </c>
      <c r="C28" s="115"/>
      <c r="D28" s="9">
        <f>+SUM(D16:D27)</f>
        <v>68520</v>
      </c>
      <c r="E28" s="1"/>
      <c r="F28" s="114" t="s">
        <v>12</v>
      </c>
      <c r="G28" s="115"/>
      <c r="H28" s="9">
        <f>+SUM(H16:H27)</f>
        <v>99196</v>
      </c>
      <c r="I28" s="1"/>
      <c r="J28" s="114" t="s">
        <v>12</v>
      </c>
      <c r="K28" s="115"/>
      <c r="L28" s="9">
        <f>+SUM(L16:L27)</f>
        <v>87838</v>
      </c>
      <c r="M28" s="1"/>
      <c r="N28" s="114" t="s">
        <v>12</v>
      </c>
      <c r="O28" s="115"/>
      <c r="P28" s="9">
        <f>+SUM(P16:P27)</f>
        <v>78530</v>
      </c>
      <c r="Q28" s="1"/>
      <c r="R28" s="114" t="s">
        <v>12</v>
      </c>
      <c r="S28" s="115"/>
      <c r="T28" s="9">
        <f>+SUM(T16:T27)</f>
        <v>224973</v>
      </c>
      <c r="U28" s="1"/>
      <c r="V28" s="12"/>
      <c r="W28" s="114" t="s">
        <v>12</v>
      </c>
      <c r="X28" s="115"/>
      <c r="Y28" s="9">
        <f>+SUM(Y16:Y27)</f>
        <v>559057</v>
      </c>
      <c r="Z28" s="13"/>
      <c r="AA28" s="1"/>
      <c r="AB28" s="1"/>
      <c r="AC28" s="1"/>
      <c r="AD28" s="1"/>
      <c r="AE28" s="1"/>
      <c r="AF28" s="1"/>
      <c r="AG28" s="1"/>
      <c r="AH28" s="1"/>
      <c r="AI28" s="70" t="s">
        <v>97</v>
      </c>
      <c r="AJ28" s="70" t="s">
        <v>256</v>
      </c>
      <c r="AK28" s="70" t="s">
        <v>266</v>
      </c>
      <c r="AL28" s="75">
        <v>3328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70" t="s">
        <v>100</v>
      </c>
      <c r="AJ29" s="70" t="s">
        <v>257</v>
      </c>
      <c r="AK29" s="70" t="s">
        <v>261</v>
      </c>
      <c r="AL29" s="74">
        <v>4200</v>
      </c>
    </row>
    <row r="30" spans="2:38" ht="15.75" thickBot="1">
      <c r="B30" s="116" t="s">
        <v>40</v>
      </c>
      <c r="C30" s="116"/>
      <c r="D30" s="7">
        <f>+D28-D15</f>
        <v>-408</v>
      </c>
      <c r="E30" s="1"/>
      <c r="F30" s="116" t="s">
        <v>40</v>
      </c>
      <c r="G30" s="116"/>
      <c r="H30" s="7">
        <f>+H28-H15</f>
        <v>0</v>
      </c>
      <c r="I30" s="1"/>
      <c r="J30" s="116" t="s">
        <v>40</v>
      </c>
      <c r="K30" s="116"/>
      <c r="L30" s="7">
        <f>+L28-L15</f>
        <v>15</v>
      </c>
      <c r="M30" s="1"/>
      <c r="N30" s="116" t="s">
        <v>40</v>
      </c>
      <c r="O30" s="116"/>
      <c r="P30" s="7">
        <f>+P28-P15</f>
        <v>9</v>
      </c>
      <c r="Q30" s="1"/>
      <c r="R30" s="116" t="s">
        <v>40</v>
      </c>
      <c r="S30" s="116"/>
      <c r="T30" s="7">
        <f>+T28-T15</f>
        <v>-2463</v>
      </c>
      <c r="U30" s="1"/>
      <c r="V30" s="12"/>
      <c r="W30" s="113" t="s">
        <v>40</v>
      </c>
      <c r="X30" s="113"/>
      <c r="Y30" s="41">
        <f>+Y28-Y15</f>
        <v>-2847</v>
      </c>
      <c r="Z30" s="13"/>
      <c r="AA30" s="1"/>
      <c r="AB30" s="1"/>
      <c r="AC30" s="1"/>
      <c r="AD30" s="1"/>
      <c r="AE30" s="1"/>
      <c r="AF30" s="1"/>
      <c r="AG30" s="1"/>
      <c r="AH30" s="1"/>
      <c r="AI30" s="70" t="s">
        <v>65</v>
      </c>
      <c r="AJ30" s="70" t="s">
        <v>258</v>
      </c>
      <c r="AK30" s="70" t="s">
        <v>92</v>
      </c>
      <c r="AL30" s="75">
        <v>6500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39</v>
      </c>
      <c r="AC31" s="60"/>
      <c r="AD31" s="60"/>
      <c r="AE31" s="60"/>
      <c r="AF31" s="55">
        <f>+SUM(AF23:AF30)</f>
        <v>56474</v>
      </c>
      <c r="AG31" s="1"/>
      <c r="AH31" s="1"/>
      <c r="AI31" s="70" t="s">
        <v>100</v>
      </c>
      <c r="AJ31" s="70" t="s">
        <v>259</v>
      </c>
      <c r="AK31" s="70" t="s">
        <v>114</v>
      </c>
      <c r="AL31" s="74">
        <v>55736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70" t="s">
        <v>100</v>
      </c>
      <c r="AJ32" s="70" t="s">
        <v>260</v>
      </c>
      <c r="AK32" s="70" t="s">
        <v>114</v>
      </c>
      <c r="AL32" s="74">
        <v>50000</v>
      </c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>
      <c r="B34" s="10" t="s">
        <v>41</v>
      </c>
      <c r="C34" s="11"/>
      <c r="D34" s="21">
        <v>408</v>
      </c>
      <c r="E34" s="1"/>
      <c r="F34" s="10" t="s">
        <v>41</v>
      </c>
      <c r="G34" s="11"/>
      <c r="H34" s="21"/>
      <c r="I34" s="1"/>
      <c r="J34" s="10" t="s">
        <v>41</v>
      </c>
      <c r="K34" s="11"/>
      <c r="L34" s="21"/>
      <c r="M34" s="1"/>
      <c r="N34" s="10" t="s">
        <v>41</v>
      </c>
      <c r="O34" s="11"/>
      <c r="P34" s="21"/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408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>
      <c r="B35" s="12" t="s">
        <v>42</v>
      </c>
      <c r="C35" s="16"/>
      <c r="D35" s="22"/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/>
      <c r="Q35" s="1"/>
      <c r="R35" s="12" t="s">
        <v>140</v>
      </c>
      <c r="S35" s="16"/>
      <c r="T35" s="22">
        <v>2547</v>
      </c>
      <c r="U35" s="1"/>
      <c r="V35" s="1"/>
      <c r="W35" s="45" t="s">
        <v>42</v>
      </c>
      <c r="X35" s="40"/>
      <c r="Y35" s="46">
        <f t="shared" ref="Y35:Y36" si="9">+D35+H35+L35+P35+T35</f>
        <v>2547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44</v>
      </c>
      <c r="C36" s="16"/>
      <c r="D36" s="22"/>
      <c r="E36" s="1"/>
      <c r="F36" s="12" t="s">
        <v>44</v>
      </c>
      <c r="G36" s="16"/>
      <c r="H36" s="22"/>
      <c r="I36" s="1"/>
      <c r="J36" s="12" t="s">
        <v>44</v>
      </c>
      <c r="K36" s="16"/>
      <c r="L36" s="22">
        <v>-15</v>
      </c>
      <c r="M36" s="1"/>
      <c r="N36" s="12" t="s">
        <v>44</v>
      </c>
      <c r="O36" s="16"/>
      <c r="P36" s="22">
        <v>-9</v>
      </c>
      <c r="Q36" s="1"/>
      <c r="R36" s="12" t="s">
        <v>44</v>
      </c>
      <c r="S36" s="16"/>
      <c r="T36" s="22">
        <v>-84</v>
      </c>
      <c r="U36" s="1"/>
      <c r="V36" s="1"/>
      <c r="W36" s="45" t="s">
        <v>43</v>
      </c>
      <c r="X36" s="40"/>
      <c r="Y36" s="46">
        <f t="shared" si="9"/>
        <v>-108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>
      <c r="B37" s="12" t="s">
        <v>18</v>
      </c>
      <c r="C37" s="16"/>
      <c r="D37" s="22">
        <f>+SUM(D34:D36)</f>
        <v>408</v>
      </c>
      <c r="E37" s="1"/>
      <c r="F37" s="12" t="s">
        <v>18</v>
      </c>
      <c r="G37" s="16"/>
      <c r="H37" s="22">
        <f>+SUM(H34:H36)</f>
        <v>0</v>
      </c>
      <c r="I37" s="1"/>
      <c r="J37" s="12" t="s">
        <v>18</v>
      </c>
      <c r="K37" s="16"/>
      <c r="L37" s="22">
        <f>+SUM(L34:L36)</f>
        <v>-15</v>
      </c>
      <c r="M37" s="1"/>
      <c r="N37" s="12" t="s">
        <v>18</v>
      </c>
      <c r="O37" s="16"/>
      <c r="P37" s="22">
        <f>+SUM(P34:P36)</f>
        <v>-9</v>
      </c>
      <c r="Q37" s="1"/>
      <c r="R37" s="12" t="s">
        <v>18</v>
      </c>
      <c r="S37" s="16"/>
      <c r="T37" s="22">
        <f>+SUM(T34:T36)</f>
        <v>2463</v>
      </c>
      <c r="U37" s="1"/>
      <c r="V37" s="1"/>
      <c r="W37" s="33" t="s">
        <v>18</v>
      </c>
      <c r="X37" s="34"/>
      <c r="Y37" s="35">
        <f>+SUM(Y34:Y36)</f>
        <v>2847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 ht="15.75" thickBot="1">
      <c r="AI39" s="60" t="s">
        <v>39</v>
      </c>
      <c r="AJ39" s="60"/>
      <c r="AK39" s="60"/>
      <c r="AL39" s="72">
        <f>+SUM(AL23:AL38)</f>
        <v>229433</v>
      </c>
    </row>
    <row r="40" spans="2:38" ht="15.75" thickTop="1"/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AL43"/>
  <sheetViews>
    <sheetView zoomScale="80" zoomScaleNormal="80" workbookViewId="0">
      <selection activeCell="AF16" sqref="AF16"/>
    </sheetView>
  </sheetViews>
  <sheetFormatPr defaultRowHeight="15"/>
  <cols>
    <col min="3" max="3" width="14.5703125" bestFit="1" customWidth="1"/>
    <col min="5" max="5" width="0.85546875" customWidth="1"/>
    <col min="7" max="7" width="15.28515625" bestFit="1" customWidth="1"/>
    <col min="9" max="9" width="0.7109375" customWidth="1"/>
    <col min="11" max="11" width="15.28515625" bestFit="1" customWidth="1"/>
    <col min="12" max="12" width="9.5703125" bestFit="1" customWidth="1"/>
    <col min="13" max="13" width="0.5703125" customWidth="1"/>
    <col min="15" max="15" width="14.85546875" customWidth="1"/>
    <col min="17" max="17" width="0.42578125" customWidth="1"/>
    <col min="20" max="20" width="9.140625" customWidth="1"/>
    <col min="21" max="21" width="0.42578125" customWidth="1"/>
    <col min="22" max="22" width="2" customWidth="1"/>
    <col min="25" max="25" width="9.5703125" bestFit="1" customWidth="1"/>
    <col min="26" max="26" width="2" customWidth="1"/>
    <col min="27" max="27" width="0.5703125" customWidth="1"/>
    <col min="29" max="29" width="11" customWidth="1"/>
    <col min="31" max="31" width="10.5703125" bestFit="1" customWidth="1"/>
    <col min="33" max="33" width="1" customWidth="1"/>
    <col min="34" max="34" width="9.140625" hidden="1" customWidth="1"/>
    <col min="37" max="37" width="22.42578125" bestFit="1" customWidth="1"/>
  </cols>
  <sheetData>
    <row r="2" spans="2:38" ht="15.75" thickBot="1"/>
    <row r="3" spans="2:38">
      <c r="B3" s="111" t="s">
        <v>127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270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>
        <v>14</v>
      </c>
      <c r="P5" s="36">
        <f>+O5*N5</f>
        <v>14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14</v>
      </c>
      <c r="Y5" s="37">
        <f>+D5+H5+L5+P5+T5</f>
        <v>14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177</v>
      </c>
      <c r="D6" s="36">
        <f>+C6*B6</f>
        <v>1770</v>
      </c>
      <c r="E6" s="1"/>
      <c r="F6" s="2">
        <v>10</v>
      </c>
      <c r="G6" s="2">
        <v>34</v>
      </c>
      <c r="H6" s="36">
        <f>+G6*F6</f>
        <v>340</v>
      </c>
      <c r="I6" s="1"/>
      <c r="J6" s="2">
        <v>10</v>
      </c>
      <c r="K6" s="2">
        <v>24</v>
      </c>
      <c r="L6" s="36">
        <f>+K6*J6</f>
        <v>240</v>
      </c>
      <c r="M6" s="1"/>
      <c r="N6" s="2">
        <v>10</v>
      </c>
      <c r="O6" s="2">
        <v>39</v>
      </c>
      <c r="P6" s="36">
        <f>+O6*N6</f>
        <v>390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274</v>
      </c>
      <c r="Y6" s="37">
        <f>+D6+H6+L6+P6+T6</f>
        <v>2740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14</v>
      </c>
      <c r="AK6" s="36">
        <f t="shared" ref="AK6:AK13" si="0">+AJ6*AI6</f>
        <v>14</v>
      </c>
      <c r="AL6" s="26"/>
    </row>
    <row r="7" spans="2:38">
      <c r="B7" s="2">
        <v>20</v>
      </c>
      <c r="C7" s="2">
        <v>20</v>
      </c>
      <c r="D7" s="36">
        <f t="shared" ref="D7:D12" si="1">+C7*B7</f>
        <v>400</v>
      </c>
      <c r="E7" s="1"/>
      <c r="F7" s="2">
        <v>20</v>
      </c>
      <c r="G7" s="2">
        <v>9</v>
      </c>
      <c r="H7" s="36">
        <f t="shared" ref="H7:H12" si="2">+G7*F7</f>
        <v>180</v>
      </c>
      <c r="I7" s="1"/>
      <c r="J7" s="2">
        <v>20</v>
      </c>
      <c r="K7" s="2">
        <v>2</v>
      </c>
      <c r="L7" s="36">
        <f t="shared" ref="L7:L12" si="3">+K7*J7</f>
        <v>40</v>
      </c>
      <c r="M7" s="1"/>
      <c r="N7" s="2">
        <v>20</v>
      </c>
      <c r="O7" s="2">
        <v>11</v>
      </c>
      <c r="P7" s="36">
        <f t="shared" ref="P7:P12" si="4">+O7*N7</f>
        <v>220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42</v>
      </c>
      <c r="Y7" s="37">
        <f t="shared" ref="Y7:Y12" si="6">+D7+H7+L7+P7+T7</f>
        <v>840</v>
      </c>
      <c r="Z7" s="13"/>
      <c r="AA7" s="1"/>
      <c r="AB7" s="56" t="s">
        <v>10</v>
      </c>
      <c r="AC7" s="57">
        <f>Y13</f>
        <v>343544</v>
      </c>
      <c r="AD7" s="26"/>
      <c r="AE7" s="26"/>
      <c r="AF7" s="26"/>
      <c r="AG7" s="26"/>
      <c r="AH7" s="1"/>
      <c r="AI7" s="2">
        <v>10</v>
      </c>
      <c r="AJ7" s="2">
        <v>377</v>
      </c>
      <c r="AK7" s="36">
        <f t="shared" si="0"/>
        <v>3770</v>
      </c>
      <c r="AL7" s="1"/>
    </row>
    <row r="8" spans="2:38">
      <c r="B8" s="2">
        <v>50</v>
      </c>
      <c r="C8" s="2">
        <v>139</v>
      </c>
      <c r="D8" s="36">
        <f t="shared" si="1"/>
        <v>6950</v>
      </c>
      <c r="E8" s="1"/>
      <c r="F8" s="2">
        <v>50</v>
      </c>
      <c r="G8" s="2">
        <v>25</v>
      </c>
      <c r="H8" s="36">
        <f t="shared" si="2"/>
        <v>1250</v>
      </c>
      <c r="I8" s="1"/>
      <c r="J8" s="2">
        <v>50</v>
      </c>
      <c r="K8" s="2">
        <v>27</v>
      </c>
      <c r="L8" s="36">
        <f t="shared" si="3"/>
        <v>1350</v>
      </c>
      <c r="M8" s="1"/>
      <c r="N8" s="2">
        <v>50</v>
      </c>
      <c r="O8" s="2">
        <v>16</v>
      </c>
      <c r="P8" s="36">
        <f t="shared" si="4"/>
        <v>800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207</v>
      </c>
      <c r="Y8" s="37">
        <f t="shared" si="6"/>
        <v>10350</v>
      </c>
      <c r="Z8" s="13"/>
      <c r="AA8" s="1"/>
      <c r="AB8" s="53" t="s">
        <v>11</v>
      </c>
      <c r="AC8" s="53">
        <f>+AF31</f>
        <v>184314</v>
      </c>
      <c r="AD8" s="1"/>
      <c r="AE8" s="1"/>
      <c r="AF8" s="1"/>
      <c r="AG8" s="1"/>
      <c r="AH8" s="1"/>
      <c r="AI8" s="2">
        <v>20</v>
      </c>
      <c r="AJ8" s="2">
        <v>44</v>
      </c>
      <c r="AK8" s="36">
        <f t="shared" si="0"/>
        <v>880</v>
      </c>
      <c r="AL8" s="1"/>
    </row>
    <row r="9" spans="2:38" ht="15.75" thickBot="1">
      <c r="B9" s="2">
        <v>100</v>
      </c>
      <c r="C9" s="2">
        <v>76</v>
      </c>
      <c r="D9" s="36">
        <f t="shared" si="1"/>
        <v>7600</v>
      </c>
      <c r="E9" s="1"/>
      <c r="F9" s="2">
        <v>100</v>
      </c>
      <c r="G9" s="2">
        <v>33</v>
      </c>
      <c r="H9" s="36">
        <f t="shared" si="2"/>
        <v>3300</v>
      </c>
      <c r="I9" s="1"/>
      <c r="J9" s="2">
        <v>100</v>
      </c>
      <c r="K9" s="2">
        <v>47</v>
      </c>
      <c r="L9" s="36">
        <f t="shared" si="3"/>
        <v>4700</v>
      </c>
      <c r="M9" s="1"/>
      <c r="N9" s="2">
        <v>100</v>
      </c>
      <c r="O9" s="2">
        <v>10</v>
      </c>
      <c r="P9" s="36">
        <f t="shared" si="4"/>
        <v>1000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166</v>
      </c>
      <c r="Y9" s="37">
        <f t="shared" si="6"/>
        <v>16600</v>
      </c>
      <c r="Z9" s="13"/>
      <c r="AA9" s="1"/>
      <c r="AB9" s="58" t="s">
        <v>12</v>
      </c>
      <c r="AC9" s="59">
        <f>SUM(AC7:AC8)</f>
        <v>527858</v>
      </c>
      <c r="AD9" s="1"/>
      <c r="AE9" s="1"/>
      <c r="AF9" s="1"/>
      <c r="AG9" s="1"/>
      <c r="AH9" s="1"/>
      <c r="AI9" s="2">
        <v>50</v>
      </c>
      <c r="AJ9" s="2">
        <v>208</v>
      </c>
      <c r="AK9" s="36">
        <f t="shared" si="0"/>
        <v>10400</v>
      </c>
      <c r="AL9" s="1"/>
    </row>
    <row r="10" spans="2:38">
      <c r="B10" s="2">
        <v>500</v>
      </c>
      <c r="C10" s="2">
        <v>39</v>
      </c>
      <c r="D10" s="36">
        <f t="shared" si="1"/>
        <v>19500</v>
      </c>
      <c r="E10" s="1"/>
      <c r="F10" s="2">
        <v>500</v>
      </c>
      <c r="G10" s="2">
        <v>34</v>
      </c>
      <c r="H10" s="36">
        <f t="shared" si="2"/>
        <v>17000</v>
      </c>
      <c r="I10" s="1"/>
      <c r="J10" s="2">
        <v>500</v>
      </c>
      <c r="K10" s="2">
        <v>40</v>
      </c>
      <c r="L10" s="36">
        <f t="shared" si="3"/>
        <v>20000</v>
      </c>
      <c r="M10" s="1"/>
      <c r="N10" s="2">
        <v>500</v>
      </c>
      <c r="O10" s="2">
        <v>37</v>
      </c>
      <c r="P10" s="36">
        <f t="shared" si="4"/>
        <v>18500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150</v>
      </c>
      <c r="Y10" s="37">
        <f t="shared" si="6"/>
        <v>75000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183</v>
      </c>
      <c r="AK10" s="36">
        <f t="shared" si="0"/>
        <v>18300</v>
      </c>
      <c r="AL10" s="1"/>
    </row>
    <row r="11" spans="2:38">
      <c r="B11" s="2">
        <v>1000</v>
      </c>
      <c r="C11" s="2">
        <v>32</v>
      </c>
      <c r="D11" s="36">
        <f t="shared" si="1"/>
        <v>32000</v>
      </c>
      <c r="E11" s="1"/>
      <c r="F11" s="2">
        <v>1000</v>
      </c>
      <c r="G11" s="2">
        <v>53</v>
      </c>
      <c r="H11" s="36">
        <f t="shared" si="2"/>
        <v>53000</v>
      </c>
      <c r="I11" s="1"/>
      <c r="J11" s="2">
        <v>1000</v>
      </c>
      <c r="K11" s="2">
        <v>61</v>
      </c>
      <c r="L11" s="36">
        <f t="shared" si="3"/>
        <v>61000</v>
      </c>
      <c r="M11" s="1"/>
      <c r="N11" s="2">
        <v>1000</v>
      </c>
      <c r="O11" s="2">
        <v>57</v>
      </c>
      <c r="P11" s="36">
        <f t="shared" si="4"/>
        <v>57000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203</v>
      </c>
      <c r="Y11" s="37">
        <f t="shared" si="6"/>
        <v>203000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367</v>
      </c>
      <c r="AK11" s="36">
        <f t="shared" si="0"/>
        <v>183500</v>
      </c>
      <c r="AL11" s="1"/>
    </row>
    <row r="12" spans="2:38">
      <c r="B12" s="2">
        <v>5000</v>
      </c>
      <c r="C12" s="2"/>
      <c r="D12" s="36">
        <f t="shared" si="1"/>
        <v>0</v>
      </c>
      <c r="E12" s="1"/>
      <c r="F12" s="2">
        <v>5000</v>
      </c>
      <c r="G12" s="2">
        <v>3</v>
      </c>
      <c r="H12" s="36">
        <f t="shared" si="2"/>
        <v>15000</v>
      </c>
      <c r="I12" s="1"/>
      <c r="J12" s="2">
        <v>5000</v>
      </c>
      <c r="K12" s="2">
        <v>4</v>
      </c>
      <c r="L12" s="36">
        <f t="shared" si="3"/>
        <v>20000</v>
      </c>
      <c r="M12" s="1"/>
      <c r="N12" s="2">
        <v>5000</v>
      </c>
      <c r="O12" s="2"/>
      <c r="P12" s="36">
        <f t="shared" si="4"/>
        <v>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7</v>
      </c>
      <c r="Y12" s="37">
        <f t="shared" si="6"/>
        <v>35000</v>
      </c>
      <c r="Z12" s="13"/>
      <c r="AA12" s="1"/>
      <c r="AB12" s="1" t="s">
        <v>17</v>
      </c>
      <c r="AC12" s="5">
        <v>527850</v>
      </c>
      <c r="AD12" s="1">
        <v>994494</v>
      </c>
      <c r="AE12" s="52">
        <v>45879</v>
      </c>
      <c r="AF12" s="1" t="s">
        <v>110</v>
      </c>
      <c r="AG12" s="1"/>
      <c r="AH12" s="1"/>
      <c r="AI12" s="2">
        <v>1000</v>
      </c>
      <c r="AJ12" s="2">
        <v>246</v>
      </c>
      <c r="AK12" s="36">
        <f t="shared" si="0"/>
        <v>246000</v>
      </c>
      <c r="AL12" s="1"/>
    </row>
    <row r="13" spans="2:38" ht="15.75" thickBot="1">
      <c r="B13" s="3" t="s">
        <v>18</v>
      </c>
      <c r="C13" s="3"/>
      <c r="D13" s="6">
        <f>+SUM(D5:D12)</f>
        <v>68220</v>
      </c>
      <c r="E13" s="1"/>
      <c r="F13" s="3" t="s">
        <v>18</v>
      </c>
      <c r="G13" s="3"/>
      <c r="H13" s="6">
        <f>+SUM(H5:H12)</f>
        <v>90070</v>
      </c>
      <c r="I13" s="1"/>
      <c r="J13" s="3" t="s">
        <v>18</v>
      </c>
      <c r="K13" s="3"/>
      <c r="L13" s="6">
        <f>+SUM(L5:L12)</f>
        <v>107330</v>
      </c>
      <c r="M13" s="1"/>
      <c r="N13" s="3" t="s">
        <v>18</v>
      </c>
      <c r="O13" s="3"/>
      <c r="P13" s="6">
        <f>+SUM(P5:P12)</f>
        <v>77924</v>
      </c>
      <c r="Q13" s="1"/>
      <c r="R13" s="3" t="s">
        <v>18</v>
      </c>
      <c r="S13" s="3"/>
      <c r="T13" s="6">
        <f>+SUM(T5:T12)</f>
        <v>0</v>
      </c>
      <c r="U13" s="1"/>
      <c r="V13" s="12"/>
      <c r="W13" s="3" t="s">
        <v>18</v>
      </c>
      <c r="X13" s="3"/>
      <c r="Y13" s="6">
        <f>+SUM(Y5:Y12)</f>
        <v>343544</v>
      </c>
      <c r="Z13" s="13"/>
      <c r="AA13" s="1"/>
      <c r="AB13" s="1" t="s">
        <v>19</v>
      </c>
      <c r="AC13" s="5"/>
      <c r="AD13" s="1"/>
      <c r="AE13" s="1"/>
      <c r="AF13" s="1"/>
      <c r="AG13" s="1"/>
      <c r="AH13" s="1"/>
      <c r="AI13" s="2">
        <v>5000</v>
      </c>
      <c r="AJ13" s="2">
        <v>13</v>
      </c>
      <c r="AK13" s="36">
        <f t="shared" si="0"/>
        <v>65000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527864</v>
      </c>
      <c r="AL14" s="1"/>
    </row>
    <row r="15" spans="2:38" ht="15.75" thickBot="1">
      <c r="B15" s="109" t="s">
        <v>21</v>
      </c>
      <c r="C15" s="110"/>
      <c r="D15" s="8">
        <v>85708</v>
      </c>
      <c r="E15" s="30"/>
      <c r="F15" s="109" t="s">
        <v>21</v>
      </c>
      <c r="G15" s="110"/>
      <c r="H15" s="8">
        <v>96448</v>
      </c>
      <c r="I15" s="30"/>
      <c r="J15" s="109" t="s">
        <v>21</v>
      </c>
      <c r="K15" s="110"/>
      <c r="L15" s="8">
        <v>140547</v>
      </c>
      <c r="M15" s="30"/>
      <c r="N15" s="109" t="s">
        <v>21</v>
      </c>
      <c r="O15" s="110"/>
      <c r="P15" s="8">
        <v>92213</v>
      </c>
      <c r="Q15" s="30"/>
      <c r="R15" s="109" t="s">
        <v>21</v>
      </c>
      <c r="S15" s="110"/>
      <c r="T15" s="8"/>
      <c r="U15" s="30"/>
      <c r="V15" s="31"/>
      <c r="W15" s="109" t="s">
        <v>21</v>
      </c>
      <c r="X15" s="110"/>
      <c r="Y15" s="8">
        <f>+D15+H15+L15+P15+T15</f>
        <v>414916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68220</v>
      </c>
      <c r="E16" s="1"/>
      <c r="F16" s="1" t="s">
        <v>10</v>
      </c>
      <c r="G16" s="1"/>
      <c r="H16" s="5">
        <f>+H13</f>
        <v>90070</v>
      </c>
      <c r="I16" s="1"/>
      <c r="J16" s="1" t="s">
        <v>10</v>
      </c>
      <c r="K16" s="1"/>
      <c r="L16" s="5">
        <f>+L13</f>
        <v>107330</v>
      </c>
      <c r="M16" s="1"/>
      <c r="N16" s="1" t="s">
        <v>10</v>
      </c>
      <c r="O16" s="1"/>
      <c r="P16" s="5">
        <f>+P13</f>
        <v>77924</v>
      </c>
      <c r="Q16" s="1"/>
      <c r="R16" s="1" t="s">
        <v>10</v>
      </c>
      <c r="S16" s="1"/>
      <c r="T16" s="5">
        <f>+T13</f>
        <v>0</v>
      </c>
      <c r="U16" s="1"/>
      <c r="V16" s="12"/>
      <c r="W16" s="40" t="s">
        <v>10</v>
      </c>
      <c r="X16" s="40"/>
      <c r="Y16" s="37">
        <f>+D16+H16+L16+P16+T16</f>
        <v>343544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527850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273</v>
      </c>
      <c r="C18" s="16" t="s">
        <v>279</v>
      </c>
      <c r="D18" s="5">
        <v>8344</v>
      </c>
      <c r="E18" s="1"/>
      <c r="F18" s="1" t="s">
        <v>125</v>
      </c>
      <c r="G18" s="1" t="s">
        <v>274</v>
      </c>
      <c r="H18" s="5">
        <v>6505</v>
      </c>
      <c r="I18" s="1"/>
      <c r="J18" s="1" t="s">
        <v>177</v>
      </c>
      <c r="K18" s="1" t="s">
        <v>280</v>
      </c>
      <c r="L18" s="5">
        <v>3483</v>
      </c>
      <c r="M18" s="1"/>
      <c r="N18" s="1" t="s">
        <v>273</v>
      </c>
      <c r="O18" s="16" t="s">
        <v>271</v>
      </c>
      <c r="P18" s="5">
        <v>7250</v>
      </c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25582</v>
      </c>
      <c r="Z18" s="13"/>
      <c r="AA18" s="1"/>
      <c r="AB18" s="50" t="s">
        <v>25</v>
      </c>
      <c r="AC18" s="51">
        <f>+AC17-AC9</f>
        <v>-8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27</v>
      </c>
      <c r="C19" s="1"/>
      <c r="D19" s="5"/>
      <c r="E19" s="1"/>
      <c r="F19" s="1" t="s">
        <v>27</v>
      </c>
      <c r="G19" s="1"/>
      <c r="H19" s="5"/>
      <c r="I19" s="1"/>
      <c r="J19" s="1" t="s">
        <v>138</v>
      </c>
      <c r="K19" s="1" t="s">
        <v>281</v>
      </c>
      <c r="L19" s="5">
        <v>10100</v>
      </c>
      <c r="M19" s="1"/>
      <c r="N19" s="1" t="s">
        <v>273</v>
      </c>
      <c r="O19" s="16" t="s">
        <v>272</v>
      </c>
      <c r="P19" s="5">
        <v>6970</v>
      </c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17070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177</v>
      </c>
      <c r="K20" s="1" t="s">
        <v>282</v>
      </c>
      <c r="L20" s="5">
        <v>11210</v>
      </c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11210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 t="s">
        <v>125</v>
      </c>
      <c r="K21" s="1" t="s">
        <v>283</v>
      </c>
      <c r="L21" s="5">
        <v>6317</v>
      </c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6317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313</v>
      </c>
      <c r="C23" s="70" t="s">
        <v>312</v>
      </c>
      <c r="D23" s="5">
        <v>8644</v>
      </c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47</v>
      </c>
      <c r="O23" s="1"/>
      <c r="P23" s="5"/>
      <c r="Q23" s="1"/>
      <c r="R23" s="1" t="s">
        <v>36</v>
      </c>
      <c r="S23" s="1"/>
      <c r="T23" s="5"/>
      <c r="U23" s="1"/>
      <c r="V23" s="12"/>
      <c r="W23" s="40" t="s">
        <v>36</v>
      </c>
      <c r="X23" s="40"/>
      <c r="Y23" s="37">
        <f t="shared" si="8"/>
        <v>8644</v>
      </c>
      <c r="Z23" s="13"/>
      <c r="AA23" s="1"/>
      <c r="AB23" s="70" t="s">
        <v>248</v>
      </c>
      <c r="AC23" s="71">
        <v>45929</v>
      </c>
      <c r="AD23" s="70" t="s">
        <v>104</v>
      </c>
      <c r="AE23" s="70"/>
      <c r="AF23" s="70">
        <v>500</v>
      </c>
      <c r="AG23" s="1"/>
      <c r="AH23" s="1"/>
      <c r="AI23" s="70" t="s">
        <v>100</v>
      </c>
      <c r="AJ23" s="70" t="s">
        <v>284</v>
      </c>
      <c r="AK23" s="70" t="s">
        <v>301</v>
      </c>
      <c r="AL23" s="74">
        <v>30000</v>
      </c>
    </row>
    <row r="24" spans="2:38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47</v>
      </c>
      <c r="O24" s="1"/>
      <c r="P24" s="5"/>
      <c r="Q24" s="1"/>
      <c r="R24" s="1" t="s">
        <v>37</v>
      </c>
      <c r="S24" s="1"/>
      <c r="T24" s="5"/>
      <c r="U24" s="1"/>
      <c r="V24" s="12"/>
      <c r="W24" s="40" t="s">
        <v>37</v>
      </c>
      <c r="X24" s="40"/>
      <c r="Y24" s="37">
        <f t="shared" si="8"/>
        <v>0</v>
      </c>
      <c r="Z24" s="13"/>
      <c r="AA24" s="1"/>
      <c r="AB24" s="70" t="s">
        <v>162</v>
      </c>
      <c r="AC24" s="69">
        <v>45925</v>
      </c>
      <c r="AD24" s="70" t="s">
        <v>161</v>
      </c>
      <c r="AE24" s="70"/>
      <c r="AF24" s="70">
        <v>10000</v>
      </c>
      <c r="AG24" s="1"/>
      <c r="AH24" s="1"/>
      <c r="AI24" s="70" t="s">
        <v>65</v>
      </c>
      <c r="AJ24" s="70" t="s">
        <v>285</v>
      </c>
      <c r="AK24" s="70" t="s">
        <v>302</v>
      </c>
      <c r="AL24" s="75">
        <v>3100</v>
      </c>
    </row>
    <row r="25" spans="2:38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47</v>
      </c>
      <c r="O25" s="1"/>
      <c r="P25" s="5"/>
      <c r="Q25" s="1"/>
      <c r="R25" s="1" t="s">
        <v>38</v>
      </c>
      <c r="S25" s="1"/>
      <c r="T25" s="5"/>
      <c r="U25" s="1"/>
      <c r="V25" s="12"/>
      <c r="W25" s="40" t="s">
        <v>38</v>
      </c>
      <c r="X25" s="40"/>
      <c r="Y25" s="37">
        <f t="shared" si="8"/>
        <v>0</v>
      </c>
      <c r="Z25" s="13"/>
      <c r="AA25" s="1"/>
      <c r="AB25" s="70" t="s">
        <v>227</v>
      </c>
      <c r="AC25" s="69">
        <v>45927</v>
      </c>
      <c r="AD25" s="70" t="s">
        <v>228</v>
      </c>
      <c r="AE25" s="70"/>
      <c r="AF25" s="70">
        <v>126240</v>
      </c>
      <c r="AG25" s="1"/>
      <c r="AH25" s="1"/>
      <c r="AI25" s="70" t="s">
        <v>67</v>
      </c>
      <c r="AJ25" s="70" t="s">
        <v>286</v>
      </c>
      <c r="AK25" s="70" t="s">
        <v>303</v>
      </c>
      <c r="AL25" s="73">
        <v>11407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70" t="s">
        <v>269</v>
      </c>
      <c r="AC26" s="69">
        <v>45913</v>
      </c>
      <c r="AD26" s="70" t="s">
        <v>268</v>
      </c>
      <c r="AE26" s="70"/>
      <c r="AF26" s="70">
        <v>21200</v>
      </c>
      <c r="AG26" s="1"/>
      <c r="AH26" s="1"/>
      <c r="AI26" s="70" t="s">
        <v>67</v>
      </c>
      <c r="AJ26" s="70" t="s">
        <v>287</v>
      </c>
      <c r="AK26" s="70" t="s">
        <v>304</v>
      </c>
      <c r="AL26" s="74">
        <v>18860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70" t="s">
        <v>100</v>
      </c>
      <c r="AC27" s="69">
        <v>45932</v>
      </c>
      <c r="AD27" s="70" t="s">
        <v>275</v>
      </c>
      <c r="AE27" s="70" t="s">
        <v>139</v>
      </c>
      <c r="AF27" s="70">
        <v>18000</v>
      </c>
      <c r="AG27" s="1"/>
      <c r="AH27" s="1"/>
      <c r="AI27" s="70" t="s">
        <v>98</v>
      </c>
      <c r="AJ27" s="70" t="s">
        <v>288</v>
      </c>
      <c r="AK27" s="70" t="s">
        <v>305</v>
      </c>
      <c r="AL27" s="75">
        <v>15000</v>
      </c>
    </row>
    <row r="28" spans="2:38" ht="15.75" thickBot="1">
      <c r="B28" s="114" t="s">
        <v>12</v>
      </c>
      <c r="C28" s="115"/>
      <c r="D28" s="9">
        <f>+SUM(D16:D27)</f>
        <v>85208</v>
      </c>
      <c r="E28" s="1"/>
      <c r="F28" s="114" t="s">
        <v>12</v>
      </c>
      <c r="G28" s="115"/>
      <c r="H28" s="9">
        <f>+SUM(H16:H27)</f>
        <v>96575</v>
      </c>
      <c r="I28" s="1"/>
      <c r="J28" s="114" t="s">
        <v>12</v>
      </c>
      <c r="K28" s="115"/>
      <c r="L28" s="9">
        <f>+SUM(L16:L27)</f>
        <v>138440</v>
      </c>
      <c r="M28" s="1"/>
      <c r="N28" s="114" t="s">
        <v>12</v>
      </c>
      <c r="O28" s="115"/>
      <c r="P28" s="9">
        <f>+SUM(P16:P27)</f>
        <v>92144</v>
      </c>
      <c r="Q28" s="1"/>
      <c r="R28" s="114" t="s">
        <v>12</v>
      </c>
      <c r="S28" s="115"/>
      <c r="T28" s="9">
        <f>+SUM(T16:T27)</f>
        <v>0</v>
      </c>
      <c r="U28" s="1"/>
      <c r="V28" s="12"/>
      <c r="W28" s="114" t="s">
        <v>12</v>
      </c>
      <c r="X28" s="115"/>
      <c r="Y28" s="9">
        <f>+SUM(Y16:Y27)</f>
        <v>412367</v>
      </c>
      <c r="Z28" s="13"/>
      <c r="AA28" s="1"/>
      <c r="AB28" s="70" t="s">
        <v>67</v>
      </c>
      <c r="AC28" s="69">
        <v>45924</v>
      </c>
      <c r="AD28" s="70" t="s">
        <v>276</v>
      </c>
      <c r="AE28" s="70" t="s">
        <v>277</v>
      </c>
      <c r="AF28" s="74">
        <v>3423</v>
      </c>
      <c r="AG28" s="1"/>
      <c r="AH28" s="1"/>
      <c r="AI28" s="70" t="s">
        <v>98</v>
      </c>
      <c r="AJ28" s="70" t="s">
        <v>289</v>
      </c>
      <c r="AK28" s="70" t="s">
        <v>306</v>
      </c>
      <c r="AL28" s="75">
        <v>17468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70" t="s">
        <v>97</v>
      </c>
      <c r="AC29" s="69">
        <v>45904</v>
      </c>
      <c r="AD29" s="70" t="s">
        <v>278</v>
      </c>
      <c r="AE29" s="70"/>
      <c r="AF29" s="73">
        <v>4951</v>
      </c>
      <c r="AG29" s="1"/>
      <c r="AH29" s="1"/>
      <c r="AI29" s="70" t="s">
        <v>100</v>
      </c>
      <c r="AJ29" s="70" t="s">
        <v>290</v>
      </c>
      <c r="AK29" s="70" t="s">
        <v>307</v>
      </c>
      <c r="AL29" s="74">
        <v>77500</v>
      </c>
    </row>
    <row r="30" spans="2:38" ht="15.75" thickBot="1">
      <c r="B30" s="116" t="s">
        <v>40</v>
      </c>
      <c r="C30" s="116"/>
      <c r="D30" s="7">
        <f>+D28-D15</f>
        <v>-500</v>
      </c>
      <c r="E30" s="1"/>
      <c r="F30" s="116" t="s">
        <v>40</v>
      </c>
      <c r="G30" s="116"/>
      <c r="H30" s="7">
        <f>+H28-H15</f>
        <v>127</v>
      </c>
      <c r="I30" s="1"/>
      <c r="J30" s="116" t="s">
        <v>40</v>
      </c>
      <c r="K30" s="116"/>
      <c r="L30" s="7">
        <f>+L28-L15</f>
        <v>-2107</v>
      </c>
      <c r="M30" s="1"/>
      <c r="N30" s="116" t="s">
        <v>40</v>
      </c>
      <c r="O30" s="116"/>
      <c r="P30" s="7">
        <f>+P28-P15</f>
        <v>-69</v>
      </c>
      <c r="Q30" s="1"/>
      <c r="R30" s="116" t="s">
        <v>40</v>
      </c>
      <c r="S30" s="116"/>
      <c r="T30" s="7">
        <f>+T28-T15</f>
        <v>0</v>
      </c>
      <c r="U30" s="1"/>
      <c r="V30" s="12"/>
      <c r="W30" s="113" t="s">
        <v>40</v>
      </c>
      <c r="X30" s="113"/>
      <c r="Y30" s="41">
        <f>+Y28-Y15</f>
        <v>-2549</v>
      </c>
      <c r="Z30" s="13"/>
      <c r="AA30" s="1"/>
      <c r="AB30" s="1"/>
      <c r="AC30" s="84"/>
      <c r="AD30" s="1"/>
      <c r="AE30" s="1"/>
      <c r="AF30" s="1"/>
      <c r="AG30" s="1"/>
      <c r="AH30" s="1"/>
      <c r="AI30" s="70" t="s">
        <v>97</v>
      </c>
      <c r="AJ30" s="70" t="s">
        <v>291</v>
      </c>
      <c r="AK30" s="70" t="s">
        <v>308</v>
      </c>
      <c r="AL30" s="73">
        <v>5718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39</v>
      </c>
      <c r="AC31" s="60"/>
      <c r="AD31" s="60"/>
      <c r="AE31" s="60"/>
      <c r="AF31" s="55">
        <f>+SUM(AF23:AF30)</f>
        <v>184314</v>
      </c>
      <c r="AG31" s="1"/>
      <c r="AH31" s="1"/>
      <c r="AI31" s="76" t="s">
        <v>100</v>
      </c>
      <c r="AJ31" s="70" t="s">
        <v>292</v>
      </c>
      <c r="AK31" s="70" t="s">
        <v>192</v>
      </c>
      <c r="AL31" s="74">
        <v>49000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70" t="s">
        <v>98</v>
      </c>
      <c r="AJ32" s="70" t="s">
        <v>293</v>
      </c>
      <c r="AK32" s="70" t="s">
        <v>96</v>
      </c>
      <c r="AL32" s="73">
        <v>5380</v>
      </c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70" t="s">
        <v>98</v>
      </c>
      <c r="AJ33" s="70" t="s">
        <v>294</v>
      </c>
      <c r="AK33" s="70" t="s">
        <v>151</v>
      </c>
      <c r="AL33" s="73">
        <v>6910</v>
      </c>
    </row>
    <row r="34" spans="2:38">
      <c r="B34" s="10" t="s">
        <v>41</v>
      </c>
      <c r="C34" s="11"/>
      <c r="D34" s="21">
        <v>500</v>
      </c>
      <c r="E34" s="1"/>
      <c r="F34" s="10" t="s">
        <v>41</v>
      </c>
      <c r="G34" s="11"/>
      <c r="H34" s="21"/>
      <c r="I34" s="1"/>
      <c r="J34" s="10" t="s">
        <v>41</v>
      </c>
      <c r="K34" s="11"/>
      <c r="L34" s="21">
        <v>2107</v>
      </c>
      <c r="M34" s="1"/>
      <c r="N34" s="10" t="s">
        <v>41</v>
      </c>
      <c r="O34" s="11"/>
      <c r="P34" s="21">
        <v>69</v>
      </c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2676</v>
      </c>
      <c r="Z34" s="1"/>
      <c r="AA34" s="1"/>
      <c r="AB34" s="1"/>
      <c r="AC34" s="1"/>
      <c r="AD34" s="1"/>
      <c r="AE34" s="1"/>
      <c r="AF34" s="1"/>
      <c r="AG34" s="1"/>
      <c r="AH34" s="1"/>
      <c r="AI34" s="70" t="s">
        <v>67</v>
      </c>
      <c r="AJ34" s="70" t="s">
        <v>295</v>
      </c>
      <c r="AK34" s="70" t="s">
        <v>309</v>
      </c>
      <c r="AL34" s="74">
        <v>3800</v>
      </c>
    </row>
    <row r="35" spans="2:38">
      <c r="B35" s="12" t="s">
        <v>42</v>
      </c>
      <c r="C35" s="16"/>
      <c r="D35" s="22"/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/>
      <c r="Q35" s="1"/>
      <c r="R35" s="12" t="s">
        <v>42</v>
      </c>
      <c r="S35" s="16"/>
      <c r="T35" s="22"/>
      <c r="U35" s="1"/>
      <c r="V35" s="1"/>
      <c r="W35" s="45" t="s">
        <v>42</v>
      </c>
      <c r="X35" s="40"/>
      <c r="Y35" s="46">
        <f t="shared" ref="Y35:Y36" si="9">+D35+H35+L35+P35+T35</f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70" t="s">
        <v>97</v>
      </c>
      <c r="AJ35" s="70" t="s">
        <v>296</v>
      </c>
      <c r="AK35" s="70" t="s">
        <v>310</v>
      </c>
      <c r="AL35" s="74">
        <v>3240</v>
      </c>
    </row>
    <row r="36" spans="2:38">
      <c r="B36" s="12" t="s">
        <v>44</v>
      </c>
      <c r="C36" s="16"/>
      <c r="D36" s="22"/>
      <c r="E36" s="1"/>
      <c r="F36" s="12" t="s">
        <v>44</v>
      </c>
      <c r="G36" s="16"/>
      <c r="H36" s="22">
        <v>-127</v>
      </c>
      <c r="I36" s="1"/>
      <c r="J36" s="12" t="s">
        <v>44</v>
      </c>
      <c r="K36" s="16"/>
      <c r="L36" s="22"/>
      <c r="M36" s="1"/>
      <c r="N36" s="12" t="s">
        <v>44</v>
      </c>
      <c r="O36" s="16"/>
      <c r="P36" s="22"/>
      <c r="Q36" s="1"/>
      <c r="R36" s="12" t="s">
        <v>46</v>
      </c>
      <c r="S36" s="16"/>
      <c r="T36" s="22"/>
      <c r="U36" s="1"/>
      <c r="V36" s="1"/>
      <c r="W36" s="45" t="s">
        <v>43</v>
      </c>
      <c r="X36" s="40"/>
      <c r="Y36" s="46">
        <f t="shared" si="9"/>
        <v>-127</v>
      </c>
      <c r="Z36" s="1"/>
      <c r="AA36" s="1"/>
      <c r="AB36" s="1"/>
      <c r="AC36" s="1"/>
      <c r="AD36" s="1"/>
      <c r="AE36" s="1"/>
      <c r="AF36" s="1"/>
      <c r="AG36" s="1"/>
      <c r="AH36" s="1"/>
      <c r="AI36" s="70" t="s">
        <v>98</v>
      </c>
      <c r="AJ36" s="70" t="s">
        <v>297</v>
      </c>
      <c r="AK36" s="70" t="s">
        <v>190</v>
      </c>
      <c r="AL36" s="73">
        <v>10663</v>
      </c>
    </row>
    <row r="37" spans="2:38">
      <c r="B37" s="12" t="s">
        <v>18</v>
      </c>
      <c r="C37" s="16"/>
      <c r="D37" s="22">
        <f>+SUM(D34:D36)</f>
        <v>500</v>
      </c>
      <c r="E37" s="1"/>
      <c r="F37" s="12" t="s">
        <v>18</v>
      </c>
      <c r="G37" s="16"/>
      <c r="H37" s="22">
        <f>+SUM(H34:H36)</f>
        <v>-127</v>
      </c>
      <c r="I37" s="1"/>
      <c r="J37" s="12" t="s">
        <v>18</v>
      </c>
      <c r="K37" s="16"/>
      <c r="L37" s="22">
        <f>+SUM(L34:L36)</f>
        <v>2107</v>
      </c>
      <c r="M37" s="1"/>
      <c r="N37" s="12" t="s">
        <v>18</v>
      </c>
      <c r="O37" s="16"/>
      <c r="P37" s="22">
        <f>+SUM(P34:P36)</f>
        <v>69</v>
      </c>
      <c r="Q37" s="1"/>
      <c r="R37" s="12" t="s">
        <v>18</v>
      </c>
      <c r="S37" s="16"/>
      <c r="T37" s="22">
        <f>+SUM(T34:T36)</f>
        <v>0</v>
      </c>
      <c r="U37" s="1"/>
      <c r="V37" s="1"/>
      <c r="W37" s="33" t="s">
        <v>18</v>
      </c>
      <c r="X37" s="34"/>
      <c r="Y37" s="35">
        <f>+SUM(Y34:Y36)</f>
        <v>2549</v>
      </c>
      <c r="Z37" s="1"/>
      <c r="AA37" s="1"/>
      <c r="AB37" s="1"/>
      <c r="AC37" s="1"/>
      <c r="AD37" s="1"/>
      <c r="AE37" s="1"/>
      <c r="AF37" s="1"/>
      <c r="AG37" s="1"/>
      <c r="AH37" s="1"/>
      <c r="AI37" s="70" t="s">
        <v>98</v>
      </c>
      <c r="AJ37" s="70" t="s">
        <v>298</v>
      </c>
      <c r="AK37" s="70" t="s">
        <v>311</v>
      </c>
      <c r="AL37" s="73">
        <v>5516</v>
      </c>
    </row>
    <row r="38" spans="2:38" ht="15.75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70" t="s">
        <v>65</v>
      </c>
      <c r="AJ38" s="70" t="s">
        <v>299</v>
      </c>
      <c r="AK38" s="70" t="s">
        <v>191</v>
      </c>
      <c r="AL38" s="74">
        <v>6226</v>
      </c>
    </row>
    <row r="39" spans="2:38">
      <c r="AI39" s="70" t="s">
        <v>100</v>
      </c>
      <c r="AJ39" s="70" t="s">
        <v>300</v>
      </c>
      <c r="AK39" s="70" t="s">
        <v>114</v>
      </c>
      <c r="AL39" s="74">
        <v>20900</v>
      </c>
    </row>
    <row r="40" spans="2:38">
      <c r="AI40" s="70" t="s">
        <v>65</v>
      </c>
      <c r="AJ40" s="70" t="s">
        <v>60</v>
      </c>
      <c r="AK40" s="70" t="s">
        <v>152</v>
      </c>
      <c r="AL40" s="73">
        <v>4500</v>
      </c>
    </row>
    <row r="42" spans="2:38" ht="15.75" thickBot="1">
      <c r="AI42" s="60" t="s">
        <v>39</v>
      </c>
      <c r="AJ42" s="60"/>
      <c r="AK42" s="60"/>
      <c r="AL42" s="72">
        <f>+SUM(AL23:AL41)</f>
        <v>295188</v>
      </c>
    </row>
    <row r="43" spans="2:38" ht="15.75" thickTop="1"/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AL38"/>
  <sheetViews>
    <sheetView zoomScale="80" zoomScaleNormal="80" workbookViewId="0">
      <selection activeCell="AE14" sqref="AB14:AE14"/>
    </sheetView>
  </sheetViews>
  <sheetFormatPr defaultRowHeight="15"/>
  <cols>
    <col min="2" max="2" width="10.28515625" customWidth="1"/>
    <col min="3" max="3" width="15" bestFit="1" customWidth="1"/>
    <col min="5" max="5" width="0.7109375" customWidth="1"/>
    <col min="8" max="8" width="9.5703125" bestFit="1" customWidth="1"/>
    <col min="9" max="9" width="0.5703125" customWidth="1"/>
    <col min="11" max="11" width="14.85546875" bestFit="1" customWidth="1"/>
    <col min="12" max="12" width="9.5703125" bestFit="1" customWidth="1"/>
    <col min="13" max="13" width="0.7109375" customWidth="1"/>
    <col min="15" max="15" width="18" bestFit="1" customWidth="1"/>
    <col min="16" max="16" width="9.5703125" bestFit="1" customWidth="1"/>
    <col min="17" max="17" width="0.85546875" customWidth="1"/>
    <col min="21" max="21" width="0.5703125" customWidth="1"/>
    <col min="25" max="25" width="9.5703125" bestFit="1" customWidth="1"/>
    <col min="26" max="26" width="9.140625" customWidth="1"/>
    <col min="27" max="27" width="0.7109375" customWidth="1"/>
    <col min="29" max="29" width="10.5703125" bestFit="1" customWidth="1"/>
    <col min="31" max="31" width="10.5703125" bestFit="1" customWidth="1"/>
    <col min="33" max="33" width="1" customWidth="1"/>
    <col min="34" max="34" width="9.140625" hidden="1" customWidth="1"/>
    <col min="37" max="37" width="11.42578125" bestFit="1" customWidth="1"/>
  </cols>
  <sheetData>
    <row r="2" spans="2:38" ht="15.75" thickBot="1"/>
    <row r="3" spans="2:38">
      <c r="B3" s="111" t="s">
        <v>127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270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42</v>
      </c>
      <c r="D6" s="36">
        <f>+C6*B6</f>
        <v>420</v>
      </c>
      <c r="E6" s="1"/>
      <c r="F6" s="2">
        <v>10</v>
      </c>
      <c r="G6" s="2">
        <v>23</v>
      </c>
      <c r="H6" s="36">
        <f>+G6*F6</f>
        <v>230</v>
      </c>
      <c r="I6" s="1"/>
      <c r="J6" s="2">
        <v>10</v>
      </c>
      <c r="K6" s="2">
        <v>162</v>
      </c>
      <c r="L6" s="36">
        <f>+K6*J6</f>
        <v>1620</v>
      </c>
      <c r="M6" s="1"/>
      <c r="N6" s="2">
        <v>10</v>
      </c>
      <c r="O6" s="2">
        <v>145</v>
      </c>
      <c r="P6" s="36">
        <f>+O6*N6</f>
        <v>1450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372</v>
      </c>
      <c r="Y6" s="37">
        <f>+D6+H6+L6+P6+T6</f>
        <v>3720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22</v>
      </c>
      <c r="D7" s="36">
        <f t="shared" ref="D7:D12" si="1">+C7*B7</f>
        <v>440</v>
      </c>
      <c r="E7" s="1"/>
      <c r="F7" s="2">
        <v>20</v>
      </c>
      <c r="G7" s="2">
        <v>5</v>
      </c>
      <c r="H7" s="36">
        <f t="shared" ref="H7:H12" si="2">+G7*F7</f>
        <v>100</v>
      </c>
      <c r="I7" s="1"/>
      <c r="J7" s="2">
        <v>20</v>
      </c>
      <c r="K7" s="2">
        <v>38</v>
      </c>
      <c r="L7" s="36">
        <f t="shared" ref="L7:L12" si="3">+K7*J7</f>
        <v>760</v>
      </c>
      <c r="M7" s="1"/>
      <c r="N7" s="2">
        <v>20</v>
      </c>
      <c r="O7" s="2">
        <v>20</v>
      </c>
      <c r="P7" s="36">
        <f t="shared" ref="P7:P12" si="4">+O7*N7</f>
        <v>400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85</v>
      </c>
      <c r="Y7" s="37">
        <f t="shared" ref="Y7:Y12" si="6">+D7+H7+L7+P7+T7</f>
        <v>1700</v>
      </c>
      <c r="Z7" s="13"/>
      <c r="AA7" s="1"/>
      <c r="AB7" s="56" t="s">
        <v>10</v>
      </c>
      <c r="AC7" s="57">
        <f>Y13</f>
        <v>358520</v>
      </c>
      <c r="AD7" s="26"/>
      <c r="AE7" s="26"/>
      <c r="AF7" s="26"/>
      <c r="AG7" s="26"/>
      <c r="AH7" s="1"/>
      <c r="AI7" s="2">
        <v>10</v>
      </c>
      <c r="AJ7" s="2">
        <v>830</v>
      </c>
      <c r="AK7" s="36">
        <f t="shared" si="0"/>
        <v>8300</v>
      </c>
      <c r="AL7" s="1"/>
    </row>
    <row r="8" spans="2:38">
      <c r="B8" s="2">
        <v>50</v>
      </c>
      <c r="C8" s="2">
        <v>36</v>
      </c>
      <c r="D8" s="36">
        <f t="shared" si="1"/>
        <v>1800</v>
      </c>
      <c r="E8" s="1"/>
      <c r="F8" s="2">
        <v>50</v>
      </c>
      <c r="G8" s="2">
        <v>13</v>
      </c>
      <c r="H8" s="36">
        <f t="shared" si="2"/>
        <v>650</v>
      </c>
      <c r="I8" s="1"/>
      <c r="J8" s="2">
        <v>50</v>
      </c>
      <c r="K8" s="2">
        <v>31</v>
      </c>
      <c r="L8" s="36">
        <f t="shared" si="3"/>
        <v>1550</v>
      </c>
      <c r="M8" s="1"/>
      <c r="N8" s="2">
        <v>50</v>
      </c>
      <c r="O8" s="2">
        <v>20</v>
      </c>
      <c r="P8" s="36">
        <f t="shared" si="4"/>
        <v>1000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100</v>
      </c>
      <c r="Y8" s="37">
        <f t="shared" si="6"/>
        <v>5000</v>
      </c>
      <c r="Z8" s="13"/>
      <c r="AA8" s="1"/>
      <c r="AB8" s="53" t="s">
        <v>11</v>
      </c>
      <c r="AC8" s="53">
        <f>+AF31</f>
        <v>551923</v>
      </c>
      <c r="AD8" s="1"/>
      <c r="AE8" s="1"/>
      <c r="AF8" s="1"/>
      <c r="AG8" s="1"/>
      <c r="AH8" s="1"/>
      <c r="AI8" s="2">
        <v>20</v>
      </c>
      <c r="AJ8" s="2">
        <v>111</v>
      </c>
      <c r="AK8" s="36">
        <f t="shared" si="0"/>
        <v>2220</v>
      </c>
      <c r="AL8" s="1"/>
    </row>
    <row r="9" spans="2:38" ht="15.75" thickBot="1">
      <c r="B9" s="2">
        <v>100</v>
      </c>
      <c r="C9" s="2">
        <v>36</v>
      </c>
      <c r="D9" s="36">
        <f t="shared" si="1"/>
        <v>3600</v>
      </c>
      <c r="E9" s="1"/>
      <c r="F9" s="2">
        <v>100</v>
      </c>
      <c r="G9" s="2">
        <v>16</v>
      </c>
      <c r="H9" s="36">
        <f t="shared" si="2"/>
        <v>1600</v>
      </c>
      <c r="I9" s="1"/>
      <c r="J9" s="2">
        <v>100</v>
      </c>
      <c r="K9" s="2">
        <v>41</v>
      </c>
      <c r="L9" s="36">
        <f t="shared" si="3"/>
        <v>4100</v>
      </c>
      <c r="M9" s="1"/>
      <c r="N9" s="2">
        <v>100</v>
      </c>
      <c r="O9" s="2">
        <v>18</v>
      </c>
      <c r="P9" s="36">
        <f t="shared" si="4"/>
        <v>1800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111</v>
      </c>
      <c r="Y9" s="37">
        <f t="shared" si="6"/>
        <v>11100</v>
      </c>
      <c r="Z9" s="13"/>
      <c r="AA9" s="1"/>
      <c r="AB9" s="58" t="s">
        <v>12</v>
      </c>
      <c r="AC9" s="59">
        <f>SUM(AC7:AC8)</f>
        <v>910443</v>
      </c>
      <c r="AD9" s="1"/>
      <c r="AE9" s="1"/>
      <c r="AF9" s="1"/>
      <c r="AG9" s="1"/>
      <c r="AH9" s="1"/>
      <c r="AI9" s="2">
        <v>50</v>
      </c>
      <c r="AJ9" s="2">
        <v>303</v>
      </c>
      <c r="AK9" s="36">
        <f t="shared" si="0"/>
        <v>15150</v>
      </c>
      <c r="AL9" s="1"/>
    </row>
    <row r="10" spans="2:38">
      <c r="B10" s="2">
        <v>500</v>
      </c>
      <c r="C10" s="2">
        <v>31</v>
      </c>
      <c r="D10" s="36">
        <f t="shared" si="1"/>
        <v>15500</v>
      </c>
      <c r="E10" s="1"/>
      <c r="F10" s="2">
        <v>500</v>
      </c>
      <c r="G10" s="2">
        <v>46</v>
      </c>
      <c r="H10" s="36">
        <f t="shared" si="2"/>
        <v>23000</v>
      </c>
      <c r="I10" s="1"/>
      <c r="J10" s="2">
        <v>500</v>
      </c>
      <c r="K10" s="2">
        <v>48</v>
      </c>
      <c r="L10" s="36">
        <f t="shared" si="3"/>
        <v>24000</v>
      </c>
      <c r="M10" s="1"/>
      <c r="N10" s="2">
        <v>500</v>
      </c>
      <c r="O10" s="2">
        <v>29</v>
      </c>
      <c r="P10" s="36">
        <f t="shared" si="4"/>
        <v>14500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154</v>
      </c>
      <c r="Y10" s="37">
        <f t="shared" si="6"/>
        <v>77000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286</v>
      </c>
      <c r="AK10" s="36">
        <f t="shared" si="0"/>
        <v>28600</v>
      </c>
      <c r="AL10" s="1"/>
    </row>
    <row r="11" spans="2:38">
      <c r="B11" s="2">
        <v>1000</v>
      </c>
      <c r="C11" s="2">
        <v>31</v>
      </c>
      <c r="D11" s="36">
        <f t="shared" si="1"/>
        <v>31000</v>
      </c>
      <c r="E11" s="1"/>
      <c r="F11" s="2">
        <v>1000</v>
      </c>
      <c r="G11" s="2">
        <v>72</v>
      </c>
      <c r="H11" s="36">
        <f t="shared" si="2"/>
        <v>72000</v>
      </c>
      <c r="I11" s="1"/>
      <c r="J11" s="2">
        <v>1000</v>
      </c>
      <c r="K11" s="2">
        <v>71</v>
      </c>
      <c r="L11" s="36">
        <f t="shared" si="3"/>
        <v>71000</v>
      </c>
      <c r="M11" s="1"/>
      <c r="N11" s="2">
        <v>1000</v>
      </c>
      <c r="O11" s="2">
        <v>31</v>
      </c>
      <c r="P11" s="36">
        <f t="shared" si="4"/>
        <v>31000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205</v>
      </c>
      <c r="Y11" s="37">
        <f t="shared" si="6"/>
        <v>205000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287</v>
      </c>
      <c r="AK11" s="36">
        <f t="shared" si="0"/>
        <v>143500</v>
      </c>
      <c r="AL11" s="1"/>
    </row>
    <row r="12" spans="2:38">
      <c r="B12" s="2">
        <v>5000</v>
      </c>
      <c r="C12" s="2"/>
      <c r="D12" s="36">
        <f t="shared" si="1"/>
        <v>0</v>
      </c>
      <c r="E12" s="1"/>
      <c r="F12" s="2">
        <v>5000</v>
      </c>
      <c r="G12" s="2">
        <v>5</v>
      </c>
      <c r="H12" s="36">
        <f t="shared" si="2"/>
        <v>25000</v>
      </c>
      <c r="I12" s="1"/>
      <c r="J12" s="2">
        <v>5000</v>
      </c>
      <c r="K12" s="2"/>
      <c r="L12" s="36">
        <f t="shared" si="3"/>
        <v>0</v>
      </c>
      <c r="M12" s="1"/>
      <c r="N12" s="2">
        <v>5000</v>
      </c>
      <c r="O12" s="2">
        <v>6</v>
      </c>
      <c r="P12" s="36">
        <f t="shared" si="4"/>
        <v>30000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11</v>
      </c>
      <c r="Y12" s="37">
        <f t="shared" si="6"/>
        <v>55000</v>
      </c>
      <c r="Z12" s="13"/>
      <c r="AA12" s="1"/>
      <c r="AB12" s="1" t="s">
        <v>17</v>
      </c>
      <c r="AC12" s="5">
        <v>702770</v>
      </c>
      <c r="AD12" s="1">
        <v>994015</v>
      </c>
      <c r="AE12" s="52">
        <v>45910</v>
      </c>
      <c r="AF12" s="1" t="s">
        <v>110</v>
      </c>
      <c r="AG12" s="1"/>
      <c r="AH12" s="1"/>
      <c r="AI12" s="2">
        <v>1000</v>
      </c>
      <c r="AJ12" s="2">
        <v>333</v>
      </c>
      <c r="AK12" s="36">
        <f t="shared" si="0"/>
        <v>333000</v>
      </c>
      <c r="AL12" s="1"/>
    </row>
    <row r="13" spans="2:38" ht="15.75" thickBot="1">
      <c r="B13" s="3" t="s">
        <v>18</v>
      </c>
      <c r="C13" s="3"/>
      <c r="D13" s="6">
        <f>+SUM(D5:D12)</f>
        <v>52760</v>
      </c>
      <c r="E13" s="1"/>
      <c r="F13" s="3" t="s">
        <v>18</v>
      </c>
      <c r="G13" s="3"/>
      <c r="H13" s="6">
        <f>+SUM(H5:H12)</f>
        <v>122580</v>
      </c>
      <c r="I13" s="1"/>
      <c r="J13" s="3" t="s">
        <v>18</v>
      </c>
      <c r="K13" s="3"/>
      <c r="L13" s="6">
        <f>+SUM(L5:L12)</f>
        <v>103030</v>
      </c>
      <c r="M13" s="1"/>
      <c r="N13" s="3" t="s">
        <v>18</v>
      </c>
      <c r="O13" s="3"/>
      <c r="P13" s="6">
        <f>+SUM(P5:P12)</f>
        <v>80150</v>
      </c>
      <c r="Q13" s="1"/>
      <c r="R13" s="3" t="s">
        <v>18</v>
      </c>
      <c r="S13" s="3"/>
      <c r="T13" s="6">
        <f>+SUM(T5:T12)</f>
        <v>0</v>
      </c>
      <c r="U13" s="1"/>
      <c r="V13" s="12"/>
      <c r="W13" s="3" t="s">
        <v>18</v>
      </c>
      <c r="X13" s="3"/>
      <c r="Y13" s="6">
        <f>+SUM(Y5:Y12)</f>
        <v>358520</v>
      </c>
      <c r="Z13" s="13"/>
      <c r="AA13" s="1"/>
      <c r="AB13" s="1" t="s">
        <v>19</v>
      </c>
      <c r="AC13" s="5">
        <v>8000</v>
      </c>
      <c r="AD13" s="1"/>
      <c r="AE13" s="1"/>
      <c r="AF13" s="1"/>
      <c r="AG13" s="1"/>
      <c r="AH13" s="1"/>
      <c r="AI13" s="2">
        <v>5000</v>
      </c>
      <c r="AJ13" s="2">
        <v>76</v>
      </c>
      <c r="AK13" s="36">
        <f t="shared" si="0"/>
        <v>380000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01" t="s">
        <v>344</v>
      </c>
      <c r="AC14" s="100">
        <v>200000</v>
      </c>
      <c r="AD14" s="101" t="s">
        <v>345</v>
      </c>
      <c r="AE14" s="101">
        <v>6000</v>
      </c>
      <c r="AF14" s="1"/>
      <c r="AG14" s="1"/>
      <c r="AH14" s="1"/>
      <c r="AI14" s="3" t="s">
        <v>18</v>
      </c>
      <c r="AJ14" s="3"/>
      <c r="AK14" s="6">
        <f>+SUM(AK6:AK13)</f>
        <v>910770</v>
      </c>
      <c r="AL14" s="1"/>
    </row>
    <row r="15" spans="2:38" ht="15.75" thickBot="1">
      <c r="B15" s="109" t="s">
        <v>21</v>
      </c>
      <c r="C15" s="110"/>
      <c r="D15" s="8">
        <v>66787</v>
      </c>
      <c r="E15" s="30"/>
      <c r="F15" s="109" t="s">
        <v>21</v>
      </c>
      <c r="G15" s="110"/>
      <c r="H15" s="8">
        <v>122552</v>
      </c>
      <c r="I15" s="30"/>
      <c r="J15" s="109" t="s">
        <v>21</v>
      </c>
      <c r="K15" s="110"/>
      <c r="L15" s="8">
        <v>143387</v>
      </c>
      <c r="M15" s="30"/>
      <c r="N15" s="109" t="s">
        <v>21</v>
      </c>
      <c r="O15" s="110"/>
      <c r="P15" s="8">
        <v>116092</v>
      </c>
      <c r="Q15" s="30"/>
      <c r="R15" s="109" t="s">
        <v>21</v>
      </c>
      <c r="S15" s="110"/>
      <c r="T15" s="8"/>
      <c r="U15" s="30"/>
      <c r="V15" s="31"/>
      <c r="W15" s="109" t="s">
        <v>21</v>
      </c>
      <c r="X15" s="110"/>
      <c r="Y15" s="8">
        <f>+D15+H15+L15+P15+T15</f>
        <v>448818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52760</v>
      </c>
      <c r="E16" s="1"/>
      <c r="F16" s="1" t="s">
        <v>10</v>
      </c>
      <c r="G16" s="1"/>
      <c r="H16" s="5">
        <f>+H13</f>
        <v>122580</v>
      </c>
      <c r="I16" s="1"/>
      <c r="J16" s="1" t="s">
        <v>10</v>
      </c>
      <c r="K16" s="1"/>
      <c r="L16" s="5">
        <f>+L13</f>
        <v>103030</v>
      </c>
      <c r="M16" s="1"/>
      <c r="N16" s="1" t="s">
        <v>10</v>
      </c>
      <c r="O16" s="1"/>
      <c r="P16" s="5">
        <f>+P13</f>
        <v>80150</v>
      </c>
      <c r="Q16" s="1"/>
      <c r="R16" s="1" t="s">
        <v>10</v>
      </c>
      <c r="S16" s="1"/>
      <c r="T16" s="5">
        <f>+T13</f>
        <v>0</v>
      </c>
      <c r="U16" s="1"/>
      <c r="V16" s="12"/>
      <c r="W16" s="40" t="s">
        <v>10</v>
      </c>
      <c r="X16" s="40"/>
      <c r="Y16" s="37">
        <f>+D16+H16+L16+P16+T16</f>
        <v>358520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>
        <v>9169</v>
      </c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9169</v>
      </c>
      <c r="Z17" s="13"/>
      <c r="AA17" s="1"/>
      <c r="AB17" s="48" t="s">
        <v>12</v>
      </c>
      <c r="AC17" s="49">
        <f>+SUM(AC12:AC16)</f>
        <v>910770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172</v>
      </c>
      <c r="C18" s="1" t="s">
        <v>326</v>
      </c>
      <c r="D18" s="5">
        <v>3041</v>
      </c>
      <c r="E18" s="1"/>
      <c r="F18" s="1" t="s">
        <v>24</v>
      </c>
      <c r="G18" s="1"/>
      <c r="H18" s="5"/>
      <c r="I18" s="1"/>
      <c r="J18" s="1" t="s">
        <v>172</v>
      </c>
      <c r="K18" s="16" t="s">
        <v>329</v>
      </c>
      <c r="L18" s="5">
        <v>5400</v>
      </c>
      <c r="M18" s="1"/>
      <c r="N18" s="1" t="s">
        <v>273</v>
      </c>
      <c r="O18" s="1" t="s">
        <v>323</v>
      </c>
      <c r="P18" s="5">
        <v>13044</v>
      </c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21485</v>
      </c>
      <c r="Z18" s="13"/>
      <c r="AA18" s="1"/>
      <c r="AB18" s="50" t="s">
        <v>25</v>
      </c>
      <c r="AC18" s="51">
        <f>+AC17-AC9</f>
        <v>327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27</v>
      </c>
      <c r="C19" s="1"/>
      <c r="D19" s="5"/>
      <c r="E19" s="1"/>
      <c r="F19" s="1" t="s">
        <v>27</v>
      </c>
      <c r="G19" s="1"/>
      <c r="H19" s="5"/>
      <c r="I19" s="1"/>
      <c r="J19" s="1" t="s">
        <v>172</v>
      </c>
      <c r="K19" s="16" t="s">
        <v>330</v>
      </c>
      <c r="L19" s="5">
        <v>10640</v>
      </c>
      <c r="M19" s="1"/>
      <c r="N19" s="1" t="s">
        <v>138</v>
      </c>
      <c r="O19" s="1" t="s">
        <v>324</v>
      </c>
      <c r="P19" s="5">
        <v>5600</v>
      </c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16240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138</v>
      </c>
      <c r="K20" s="16" t="s">
        <v>331</v>
      </c>
      <c r="L20" s="5">
        <v>11412</v>
      </c>
      <c r="M20" s="1"/>
      <c r="N20" s="1" t="s">
        <v>182</v>
      </c>
      <c r="O20" s="1" t="s">
        <v>325</v>
      </c>
      <c r="P20" s="5">
        <v>5903</v>
      </c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17315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6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6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337</v>
      </c>
      <c r="C23" s="1" t="s">
        <v>336</v>
      </c>
      <c r="D23" s="5">
        <v>10021</v>
      </c>
      <c r="E23" s="1"/>
      <c r="F23" s="1" t="s">
        <v>36</v>
      </c>
      <c r="G23" s="1"/>
      <c r="H23" s="5"/>
      <c r="I23" s="1"/>
      <c r="J23" s="1" t="s">
        <v>328</v>
      </c>
      <c r="K23" s="70" t="s">
        <v>327</v>
      </c>
      <c r="L23" s="5">
        <v>4193</v>
      </c>
      <c r="M23" s="1"/>
      <c r="N23" s="1" t="s">
        <v>322</v>
      </c>
      <c r="O23" s="20" t="s">
        <v>321</v>
      </c>
      <c r="P23" s="5">
        <v>11395</v>
      </c>
      <c r="Q23" s="1"/>
      <c r="R23" s="1" t="s">
        <v>36</v>
      </c>
      <c r="S23" s="1"/>
      <c r="T23" s="5"/>
      <c r="U23" s="1"/>
      <c r="V23" s="12"/>
      <c r="W23" s="40" t="s">
        <v>36</v>
      </c>
      <c r="X23" s="40"/>
      <c r="Y23" s="37">
        <f t="shared" si="8"/>
        <v>25609</v>
      </c>
      <c r="Z23" s="13"/>
      <c r="AA23" s="1"/>
      <c r="AB23" s="70" t="s">
        <v>314</v>
      </c>
      <c r="AC23" s="82">
        <v>45934</v>
      </c>
      <c r="AD23" s="70" t="s">
        <v>220</v>
      </c>
      <c r="AE23" s="70"/>
      <c r="AF23" s="70">
        <v>10050</v>
      </c>
      <c r="AG23" s="1"/>
      <c r="AH23" s="1"/>
      <c r="AI23" s="1" t="s">
        <v>65</v>
      </c>
      <c r="AJ23" s="1" t="s">
        <v>168</v>
      </c>
      <c r="AK23" s="1"/>
      <c r="AL23" s="5">
        <v>9169</v>
      </c>
    </row>
    <row r="24" spans="2:38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47</v>
      </c>
      <c r="O24" s="1"/>
      <c r="P24" s="5"/>
      <c r="Q24" s="1"/>
      <c r="R24" s="1" t="s">
        <v>37</v>
      </c>
      <c r="S24" s="1"/>
      <c r="T24" s="5"/>
      <c r="U24" s="1"/>
      <c r="V24" s="12"/>
      <c r="W24" s="40" t="s">
        <v>37</v>
      </c>
      <c r="X24" s="40"/>
      <c r="Y24" s="37">
        <f t="shared" si="8"/>
        <v>0</v>
      </c>
      <c r="Z24" s="13"/>
      <c r="AA24" s="1"/>
      <c r="AB24" s="70" t="s">
        <v>100</v>
      </c>
      <c r="AC24" s="71">
        <v>45927</v>
      </c>
      <c r="AD24" s="70" t="s">
        <v>315</v>
      </c>
      <c r="AE24" s="70" t="s">
        <v>316</v>
      </c>
      <c r="AF24" s="70">
        <v>50902</v>
      </c>
      <c r="AG24" s="1"/>
      <c r="AH24" s="1"/>
      <c r="AI24" s="70" t="s">
        <v>263</v>
      </c>
      <c r="AJ24" s="70" t="s">
        <v>340</v>
      </c>
      <c r="AK24" s="70" t="s">
        <v>263</v>
      </c>
      <c r="AL24" s="74">
        <v>26000</v>
      </c>
    </row>
    <row r="25" spans="2:38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47</v>
      </c>
      <c r="O25" s="1"/>
      <c r="P25" s="5"/>
      <c r="Q25" s="1"/>
      <c r="R25" s="1" t="s">
        <v>38</v>
      </c>
      <c r="S25" s="1"/>
      <c r="T25" s="5"/>
      <c r="U25" s="1"/>
      <c r="V25" s="12"/>
      <c r="W25" s="40" t="s">
        <v>38</v>
      </c>
      <c r="X25" s="40"/>
      <c r="Y25" s="37">
        <f t="shared" si="8"/>
        <v>0</v>
      </c>
      <c r="Z25" s="13"/>
      <c r="AA25" s="1"/>
      <c r="AB25" s="70" t="s">
        <v>318</v>
      </c>
      <c r="AC25" s="71">
        <v>45914</v>
      </c>
      <c r="AD25" s="70" t="s">
        <v>317</v>
      </c>
      <c r="AE25" s="70"/>
      <c r="AF25" s="70">
        <v>63066</v>
      </c>
      <c r="AG25" s="1"/>
      <c r="AH25" s="1"/>
      <c r="AI25" s="70" t="s">
        <v>338</v>
      </c>
      <c r="AJ25" s="70" t="s">
        <v>341</v>
      </c>
      <c r="AK25" s="70" t="s">
        <v>338</v>
      </c>
      <c r="AL25" s="74">
        <v>9200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70" t="s">
        <v>320</v>
      </c>
      <c r="AC26" s="71">
        <v>45929</v>
      </c>
      <c r="AD26" s="70" t="s">
        <v>319</v>
      </c>
      <c r="AE26" s="70"/>
      <c r="AF26" s="70">
        <v>15805</v>
      </c>
      <c r="AG26" s="1"/>
      <c r="AH26" s="1"/>
      <c r="AI26" s="70" t="s">
        <v>305</v>
      </c>
      <c r="AJ26" s="70" t="s">
        <v>342</v>
      </c>
      <c r="AK26" s="70" t="s">
        <v>305</v>
      </c>
      <c r="AL26" s="73">
        <v>6000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70" t="s">
        <v>65</v>
      </c>
      <c r="AC27" s="71">
        <v>45917</v>
      </c>
      <c r="AD27" s="70" t="s">
        <v>332</v>
      </c>
      <c r="AE27" s="70" t="s">
        <v>334</v>
      </c>
      <c r="AF27" s="70">
        <v>6600</v>
      </c>
      <c r="AG27" s="1"/>
      <c r="AH27" s="1"/>
      <c r="AI27" s="70" t="s">
        <v>310</v>
      </c>
      <c r="AJ27" s="70" t="s">
        <v>57</v>
      </c>
      <c r="AK27" s="70" t="s">
        <v>310</v>
      </c>
      <c r="AL27" s="74">
        <v>2303</v>
      </c>
    </row>
    <row r="28" spans="2:38" ht="15.75" thickBot="1">
      <c r="B28" s="114" t="s">
        <v>12</v>
      </c>
      <c r="C28" s="115"/>
      <c r="D28" s="9">
        <f>+SUM(D16:D27)</f>
        <v>65822</v>
      </c>
      <c r="E28" s="1"/>
      <c r="F28" s="114" t="s">
        <v>12</v>
      </c>
      <c r="G28" s="115"/>
      <c r="H28" s="9">
        <f>+SUM(H16:H27)</f>
        <v>122580</v>
      </c>
      <c r="I28" s="1"/>
      <c r="J28" s="114" t="s">
        <v>12</v>
      </c>
      <c r="K28" s="115"/>
      <c r="L28" s="9">
        <f>+SUM(L16:L27)</f>
        <v>143844</v>
      </c>
      <c r="M28" s="1"/>
      <c r="N28" s="114" t="s">
        <v>12</v>
      </c>
      <c r="O28" s="115"/>
      <c r="P28" s="9">
        <f>+SUM(P16:P27)</f>
        <v>116092</v>
      </c>
      <c r="Q28" s="1"/>
      <c r="R28" s="114" t="s">
        <v>12</v>
      </c>
      <c r="S28" s="115"/>
      <c r="T28" s="9">
        <f>+SUM(T16:T27)</f>
        <v>0</v>
      </c>
      <c r="U28" s="1"/>
      <c r="V28" s="12"/>
      <c r="W28" s="114" t="s">
        <v>12</v>
      </c>
      <c r="X28" s="115"/>
      <c r="Y28" s="9">
        <f>+SUM(Y16:Y27)</f>
        <v>448338</v>
      </c>
      <c r="Z28" s="13"/>
      <c r="AA28" s="1"/>
      <c r="AB28" s="70" t="s">
        <v>65</v>
      </c>
      <c r="AC28" s="71">
        <v>45924</v>
      </c>
      <c r="AD28" s="70" t="s">
        <v>332</v>
      </c>
      <c r="AE28" s="70" t="s">
        <v>333</v>
      </c>
      <c r="AF28" s="73">
        <v>5500</v>
      </c>
      <c r="AG28" s="1"/>
      <c r="AH28" s="1"/>
      <c r="AI28" s="70" t="s">
        <v>339</v>
      </c>
      <c r="AJ28" s="70" t="s">
        <v>58</v>
      </c>
      <c r="AK28" s="70" t="s">
        <v>339</v>
      </c>
      <c r="AL28" s="73">
        <v>7000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70" t="s">
        <v>227</v>
      </c>
      <c r="AC29" s="71">
        <v>45927</v>
      </c>
      <c r="AD29" s="70" t="s">
        <v>335</v>
      </c>
      <c r="AE29" s="70"/>
      <c r="AF29" s="70">
        <v>400000</v>
      </c>
      <c r="AG29" s="1"/>
      <c r="AH29" s="1"/>
      <c r="AI29" s="1"/>
      <c r="AJ29" s="1"/>
      <c r="AK29" s="1"/>
      <c r="AL29" s="62"/>
    </row>
    <row r="30" spans="2:38" ht="15.75" thickBot="1">
      <c r="B30" s="116" t="s">
        <v>40</v>
      </c>
      <c r="C30" s="116"/>
      <c r="D30" s="7">
        <f>+D28-D15</f>
        <v>-965</v>
      </c>
      <c r="E30" s="1"/>
      <c r="F30" s="116" t="s">
        <v>40</v>
      </c>
      <c r="G30" s="116"/>
      <c r="H30" s="7">
        <f>+H28-H15</f>
        <v>28</v>
      </c>
      <c r="I30" s="1"/>
      <c r="J30" s="116" t="s">
        <v>40</v>
      </c>
      <c r="K30" s="116"/>
      <c r="L30" s="7">
        <f>+L28-L15</f>
        <v>457</v>
      </c>
      <c r="M30" s="1"/>
      <c r="N30" s="116" t="s">
        <v>40</v>
      </c>
      <c r="O30" s="116"/>
      <c r="P30" s="7">
        <f>+P28-P15</f>
        <v>0</v>
      </c>
      <c r="Q30" s="1"/>
      <c r="R30" s="116" t="s">
        <v>40</v>
      </c>
      <c r="S30" s="116"/>
      <c r="T30" s="7">
        <f>+T28-T15</f>
        <v>0</v>
      </c>
      <c r="U30" s="1"/>
      <c r="V30" s="12"/>
      <c r="W30" s="113" t="s">
        <v>40</v>
      </c>
      <c r="X30" s="113"/>
      <c r="Y30" s="41">
        <f>+Y28-Y15</f>
        <v>-480</v>
      </c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62"/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39</v>
      </c>
      <c r="AC31" s="60"/>
      <c r="AD31" s="60"/>
      <c r="AE31" s="60"/>
      <c r="AF31" s="55">
        <f>+SUM(AF23:AF30)</f>
        <v>551923</v>
      </c>
      <c r="AG31" s="1"/>
      <c r="AH31" s="1"/>
      <c r="AI31" s="60" t="s">
        <v>39</v>
      </c>
      <c r="AJ31" s="60"/>
      <c r="AK31" s="60"/>
      <c r="AL31" s="55">
        <f>+SUM(AL23:AL30)</f>
        <v>59672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>
      <c r="B34" s="10" t="s">
        <v>41</v>
      </c>
      <c r="C34" s="11"/>
      <c r="D34" s="21">
        <v>965</v>
      </c>
      <c r="E34" s="1"/>
      <c r="F34" s="10" t="s">
        <v>41</v>
      </c>
      <c r="G34" s="11"/>
      <c r="H34" s="21"/>
      <c r="I34" s="1"/>
      <c r="J34" s="10" t="s">
        <v>41</v>
      </c>
      <c r="K34" s="11"/>
      <c r="L34" s="21"/>
      <c r="M34" s="1"/>
      <c r="N34" s="10" t="s">
        <v>41</v>
      </c>
      <c r="O34" s="11"/>
      <c r="P34" s="21"/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965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>
      <c r="B35" s="12" t="s">
        <v>42</v>
      </c>
      <c r="C35" s="16"/>
      <c r="D35" s="22"/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/>
      <c r="Q35" s="1"/>
      <c r="R35" s="12" t="s">
        <v>42</v>
      </c>
      <c r="S35" s="16"/>
      <c r="T35" s="22"/>
      <c r="U35" s="1"/>
      <c r="V35" s="1"/>
      <c r="W35" s="45" t="s">
        <v>42</v>
      </c>
      <c r="X35" s="40"/>
      <c r="Y35" s="46">
        <f t="shared" ref="Y35:Y36" si="9">+D35+H35+L35+P35+T35</f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44</v>
      </c>
      <c r="C36" s="16"/>
      <c r="D36" s="22"/>
      <c r="E36" s="1"/>
      <c r="F36" s="12" t="s">
        <v>44</v>
      </c>
      <c r="G36" s="16"/>
      <c r="H36" s="22">
        <v>-28</v>
      </c>
      <c r="I36" s="1"/>
      <c r="J36" s="12" t="s">
        <v>44</v>
      </c>
      <c r="K36" s="16"/>
      <c r="L36" s="22">
        <v>-457</v>
      </c>
      <c r="M36" s="1"/>
      <c r="N36" s="12" t="s">
        <v>44</v>
      </c>
      <c r="O36" s="16"/>
      <c r="P36" s="22"/>
      <c r="Q36" s="1"/>
      <c r="R36" s="12" t="s">
        <v>46</v>
      </c>
      <c r="S36" s="16"/>
      <c r="T36" s="22"/>
      <c r="U36" s="1"/>
      <c r="V36" s="1"/>
      <c r="W36" s="45" t="s">
        <v>43</v>
      </c>
      <c r="X36" s="40"/>
      <c r="Y36" s="46">
        <f t="shared" si="9"/>
        <v>-485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>
      <c r="B37" s="12" t="s">
        <v>18</v>
      </c>
      <c r="C37" s="16"/>
      <c r="D37" s="22">
        <f>+SUM(D34:D36)</f>
        <v>965</v>
      </c>
      <c r="E37" s="1"/>
      <c r="F37" s="12" t="s">
        <v>18</v>
      </c>
      <c r="G37" s="16"/>
      <c r="H37" s="22">
        <f>+SUM(H34:H36)</f>
        <v>-28</v>
      </c>
      <c r="I37" s="1"/>
      <c r="J37" s="12" t="s">
        <v>18</v>
      </c>
      <c r="K37" s="16"/>
      <c r="L37" s="22">
        <f>+SUM(L34:L36)</f>
        <v>-457</v>
      </c>
      <c r="M37" s="1"/>
      <c r="N37" s="12" t="s">
        <v>18</v>
      </c>
      <c r="O37" s="16"/>
      <c r="P37" s="22">
        <f>+SUM(P34:P36)</f>
        <v>0</v>
      </c>
      <c r="Q37" s="1"/>
      <c r="R37" s="12" t="s">
        <v>18</v>
      </c>
      <c r="S37" s="16"/>
      <c r="T37" s="22">
        <f>+SUM(T34:T36)</f>
        <v>0</v>
      </c>
      <c r="U37" s="1"/>
      <c r="V37" s="1"/>
      <c r="W37" s="33" t="s">
        <v>18</v>
      </c>
      <c r="X37" s="34"/>
      <c r="Y37" s="35">
        <f>+SUM(Y34:Y36)</f>
        <v>480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AL38"/>
  <sheetViews>
    <sheetView topLeftCell="C1" zoomScale="80" zoomScaleNormal="80" workbookViewId="0">
      <selection activeCell="O24" sqref="O24"/>
    </sheetView>
  </sheetViews>
  <sheetFormatPr defaultRowHeight="15"/>
  <cols>
    <col min="3" max="3" width="15" bestFit="1" customWidth="1"/>
    <col min="5" max="5" width="0.7109375" customWidth="1"/>
    <col min="7" max="7" width="15" bestFit="1" customWidth="1"/>
    <col min="9" max="9" width="0.5703125" customWidth="1"/>
    <col min="13" max="13" width="0.42578125" customWidth="1"/>
    <col min="15" max="15" width="14.5703125" customWidth="1"/>
    <col min="16" max="16" width="10.42578125" customWidth="1"/>
    <col min="17" max="17" width="0.5703125" customWidth="1"/>
    <col min="19" max="19" width="14.28515625" bestFit="1" customWidth="1"/>
    <col min="20" max="20" width="9.28515625" customWidth="1"/>
    <col min="21" max="21" width="0.5703125" customWidth="1"/>
    <col min="22" max="22" width="1.85546875" customWidth="1"/>
    <col min="25" max="25" width="9.5703125" bestFit="1" customWidth="1"/>
    <col min="26" max="26" width="1.85546875" customWidth="1"/>
    <col min="27" max="27" width="0.5703125" customWidth="1"/>
    <col min="29" max="29" width="10.5703125" customWidth="1"/>
    <col min="31" max="31" width="11.5703125" bestFit="1" customWidth="1"/>
    <col min="33" max="33" width="1" customWidth="1"/>
    <col min="34" max="34" width="9.140625" hidden="1" customWidth="1"/>
    <col min="37" max="37" width="11.140625" customWidth="1"/>
    <col min="38" max="38" width="12.28515625" bestFit="1" customWidth="1"/>
  </cols>
  <sheetData>
    <row r="2" spans="2:38" ht="15.75" thickBot="1"/>
    <row r="3" spans="2:38">
      <c r="B3" s="111" t="s">
        <v>127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3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109</v>
      </c>
      <c r="D6" s="36">
        <f>+C6*B6</f>
        <v>1090</v>
      </c>
      <c r="E6" s="1"/>
      <c r="F6" s="2">
        <v>10</v>
      </c>
      <c r="G6" s="2">
        <v>84</v>
      </c>
      <c r="H6" s="36">
        <f>+G6*F6</f>
        <v>840</v>
      </c>
      <c r="I6" s="1"/>
      <c r="J6" s="2">
        <v>10</v>
      </c>
      <c r="K6" s="2">
        <v>25</v>
      </c>
      <c r="L6" s="36">
        <f>+K6*J6</f>
        <v>250</v>
      </c>
      <c r="M6" s="1"/>
      <c r="N6" s="2">
        <v>10</v>
      </c>
      <c r="O6" s="2">
        <v>15</v>
      </c>
      <c r="P6" s="36">
        <f>+O6*N6</f>
        <v>150</v>
      </c>
      <c r="Q6" s="1"/>
      <c r="R6" s="2">
        <v>10</v>
      </c>
      <c r="S6" s="2">
        <v>3</v>
      </c>
      <c r="T6" s="36">
        <f>+S6*R6</f>
        <v>30</v>
      </c>
      <c r="U6" s="1"/>
      <c r="V6" s="12"/>
      <c r="W6" s="39">
        <v>10</v>
      </c>
      <c r="X6" s="39">
        <f>+C6+G6+K6+O6+S6</f>
        <v>236</v>
      </c>
      <c r="Y6" s="37">
        <f>+D6+H6+L6+P6+T6</f>
        <v>2360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/>
      <c r="D7" s="36">
        <f t="shared" ref="D7:D12" si="1">+C7*B7</f>
        <v>0</v>
      </c>
      <c r="E7" s="1"/>
      <c r="F7" s="2">
        <v>20</v>
      </c>
      <c r="G7" s="2">
        <v>17</v>
      </c>
      <c r="H7" s="36">
        <f t="shared" ref="H7:H12" si="2">+G7*F7</f>
        <v>340</v>
      </c>
      <c r="I7" s="1"/>
      <c r="J7" s="2">
        <v>20</v>
      </c>
      <c r="K7" s="2">
        <v>4</v>
      </c>
      <c r="L7" s="36">
        <f t="shared" ref="L7:L12" si="3">+K7*J7</f>
        <v>80</v>
      </c>
      <c r="M7" s="1"/>
      <c r="N7" s="2">
        <v>20</v>
      </c>
      <c r="O7" s="2"/>
      <c r="P7" s="36">
        <f t="shared" ref="P7:P12" si="4">+O7*N7</f>
        <v>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21</v>
      </c>
      <c r="Y7" s="37">
        <f t="shared" ref="Y7:Y12" si="6">+D7+H7+L7+P7+T7</f>
        <v>420</v>
      </c>
      <c r="Z7" s="13"/>
      <c r="AA7" s="1"/>
      <c r="AB7" s="56" t="s">
        <v>10</v>
      </c>
      <c r="AC7" s="57">
        <f>Y13</f>
        <v>336480</v>
      </c>
      <c r="AD7" s="26"/>
      <c r="AE7" s="26"/>
      <c r="AF7" s="26"/>
      <c r="AG7" s="26"/>
      <c r="AH7" s="1"/>
      <c r="AI7" s="2">
        <v>10</v>
      </c>
      <c r="AJ7" s="2">
        <v>236</v>
      </c>
      <c r="AK7" s="36">
        <f t="shared" si="0"/>
        <v>2360</v>
      </c>
      <c r="AL7" s="1"/>
    </row>
    <row r="8" spans="2:38">
      <c r="B8" s="2">
        <v>50</v>
      </c>
      <c r="C8" s="2">
        <v>32</v>
      </c>
      <c r="D8" s="36">
        <f t="shared" si="1"/>
        <v>1600</v>
      </c>
      <c r="E8" s="1"/>
      <c r="F8" s="2">
        <v>50</v>
      </c>
      <c r="G8" s="2">
        <v>36</v>
      </c>
      <c r="H8" s="36">
        <f t="shared" si="2"/>
        <v>1800</v>
      </c>
      <c r="I8" s="1"/>
      <c r="J8" s="2">
        <v>50</v>
      </c>
      <c r="K8" s="2">
        <v>8</v>
      </c>
      <c r="L8" s="36">
        <f t="shared" si="3"/>
        <v>400</v>
      </c>
      <c r="M8" s="1"/>
      <c r="N8" s="2">
        <v>50</v>
      </c>
      <c r="O8" s="2">
        <v>130</v>
      </c>
      <c r="P8" s="36">
        <f t="shared" si="4"/>
        <v>6500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206</v>
      </c>
      <c r="Y8" s="37">
        <f t="shared" si="6"/>
        <v>10300</v>
      </c>
      <c r="Z8" s="13"/>
      <c r="AA8" s="1"/>
      <c r="AB8" s="53" t="s">
        <v>11</v>
      </c>
      <c r="AC8" s="53">
        <f>+AF31</f>
        <v>202968</v>
      </c>
      <c r="AD8" s="1"/>
      <c r="AE8" s="1"/>
      <c r="AF8" s="1"/>
      <c r="AG8" s="1"/>
      <c r="AH8" s="1"/>
      <c r="AI8" s="2">
        <v>20</v>
      </c>
      <c r="AJ8" s="2">
        <v>22</v>
      </c>
      <c r="AK8" s="36">
        <f t="shared" si="0"/>
        <v>440</v>
      </c>
      <c r="AL8" s="1"/>
    </row>
    <row r="9" spans="2:38" ht="15.75" thickBot="1">
      <c r="B9" s="2">
        <v>100</v>
      </c>
      <c r="C9" s="2">
        <v>34</v>
      </c>
      <c r="D9" s="36">
        <f t="shared" si="1"/>
        <v>3400</v>
      </c>
      <c r="E9" s="1"/>
      <c r="F9" s="2">
        <v>100</v>
      </c>
      <c r="G9" s="2">
        <v>24</v>
      </c>
      <c r="H9" s="36">
        <f t="shared" si="2"/>
        <v>2400</v>
      </c>
      <c r="I9" s="1"/>
      <c r="J9" s="2">
        <v>100</v>
      </c>
      <c r="K9" s="2">
        <v>52</v>
      </c>
      <c r="L9" s="36">
        <f t="shared" si="3"/>
        <v>5200</v>
      </c>
      <c r="M9" s="1"/>
      <c r="N9" s="2">
        <v>100</v>
      </c>
      <c r="O9" s="2">
        <v>100</v>
      </c>
      <c r="P9" s="36">
        <f t="shared" si="4"/>
        <v>10000</v>
      </c>
      <c r="Q9" s="1"/>
      <c r="R9" s="2">
        <v>100</v>
      </c>
      <c r="S9" s="2">
        <v>4</v>
      </c>
      <c r="T9" s="36">
        <f t="shared" si="5"/>
        <v>400</v>
      </c>
      <c r="U9" s="1"/>
      <c r="V9" s="12"/>
      <c r="W9" s="39">
        <v>100</v>
      </c>
      <c r="X9" s="39">
        <f t="shared" si="7"/>
        <v>214</v>
      </c>
      <c r="Y9" s="37">
        <f t="shared" si="6"/>
        <v>21400</v>
      </c>
      <c r="Z9" s="13"/>
      <c r="AA9" s="1"/>
      <c r="AB9" s="58" t="s">
        <v>12</v>
      </c>
      <c r="AC9" s="59">
        <f>SUM(AC7:AC8)</f>
        <v>539448</v>
      </c>
      <c r="AD9" s="1"/>
      <c r="AE9" s="1"/>
      <c r="AF9" s="1"/>
      <c r="AG9" s="1"/>
      <c r="AH9" s="1"/>
      <c r="AI9" s="2">
        <v>50</v>
      </c>
      <c r="AJ9" s="2">
        <v>211</v>
      </c>
      <c r="AK9" s="36">
        <f t="shared" si="0"/>
        <v>10550</v>
      </c>
      <c r="AL9" s="1"/>
    </row>
    <row r="10" spans="2:38">
      <c r="B10" s="2">
        <v>500</v>
      </c>
      <c r="C10" s="2">
        <v>34</v>
      </c>
      <c r="D10" s="36">
        <f t="shared" si="1"/>
        <v>17000</v>
      </c>
      <c r="E10" s="1"/>
      <c r="F10" s="2">
        <v>500</v>
      </c>
      <c r="G10" s="2">
        <v>43</v>
      </c>
      <c r="H10" s="36">
        <f t="shared" si="2"/>
        <v>21500</v>
      </c>
      <c r="I10" s="1"/>
      <c r="J10" s="2">
        <v>500</v>
      </c>
      <c r="K10" s="2">
        <v>31</v>
      </c>
      <c r="L10" s="36">
        <f t="shared" si="3"/>
        <v>15500</v>
      </c>
      <c r="M10" s="1"/>
      <c r="N10" s="2">
        <v>500</v>
      </c>
      <c r="O10" s="2">
        <v>30</v>
      </c>
      <c r="P10" s="36">
        <f t="shared" si="4"/>
        <v>15000</v>
      </c>
      <c r="Q10" s="1"/>
      <c r="R10" s="2">
        <v>500</v>
      </c>
      <c r="S10" s="2">
        <v>14</v>
      </c>
      <c r="T10" s="36">
        <f t="shared" si="5"/>
        <v>7000</v>
      </c>
      <c r="U10" s="1"/>
      <c r="V10" s="12"/>
      <c r="W10" s="39">
        <v>500</v>
      </c>
      <c r="X10" s="39">
        <f t="shared" si="7"/>
        <v>152</v>
      </c>
      <c r="Y10" s="37">
        <f t="shared" si="6"/>
        <v>76000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221</v>
      </c>
      <c r="AK10" s="36">
        <f t="shared" si="0"/>
        <v>22100</v>
      </c>
      <c r="AL10" s="1"/>
    </row>
    <row r="11" spans="2:38">
      <c r="B11" s="2">
        <v>1000</v>
      </c>
      <c r="C11" s="2">
        <v>35</v>
      </c>
      <c r="D11" s="36">
        <f t="shared" si="1"/>
        <v>35000</v>
      </c>
      <c r="E11" s="1"/>
      <c r="F11" s="2">
        <v>1000</v>
      </c>
      <c r="G11" s="2">
        <v>38</v>
      </c>
      <c r="H11" s="36">
        <f t="shared" si="2"/>
        <v>38000</v>
      </c>
      <c r="I11" s="1"/>
      <c r="J11" s="2">
        <v>1000</v>
      </c>
      <c r="K11" s="2">
        <v>29</v>
      </c>
      <c r="L11" s="36">
        <f t="shared" si="3"/>
        <v>29000</v>
      </c>
      <c r="M11" s="1"/>
      <c r="N11" s="2">
        <v>1000</v>
      </c>
      <c r="O11" s="2">
        <v>63</v>
      </c>
      <c r="P11" s="36">
        <f t="shared" si="4"/>
        <v>63000</v>
      </c>
      <c r="Q11" s="1"/>
      <c r="R11" s="2">
        <v>1000</v>
      </c>
      <c r="S11" s="2">
        <v>21</v>
      </c>
      <c r="T11" s="36">
        <f t="shared" si="5"/>
        <v>21000</v>
      </c>
      <c r="U11" s="1"/>
      <c r="V11" s="12"/>
      <c r="W11" s="39">
        <v>1000</v>
      </c>
      <c r="X11" s="39">
        <f t="shared" si="7"/>
        <v>186</v>
      </c>
      <c r="Y11" s="37">
        <f t="shared" si="6"/>
        <v>186000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206</v>
      </c>
      <c r="AK11" s="36">
        <f t="shared" si="0"/>
        <v>103000</v>
      </c>
      <c r="AL11" s="1"/>
    </row>
    <row r="12" spans="2:38">
      <c r="B12" s="2">
        <v>5000</v>
      </c>
      <c r="C12" s="2"/>
      <c r="D12" s="36">
        <f t="shared" si="1"/>
        <v>0</v>
      </c>
      <c r="E12" s="1"/>
      <c r="F12" s="2">
        <v>5000</v>
      </c>
      <c r="G12" s="2">
        <v>2</v>
      </c>
      <c r="H12" s="36">
        <f t="shared" si="2"/>
        <v>10000</v>
      </c>
      <c r="I12" s="1"/>
      <c r="J12" s="2">
        <v>5000</v>
      </c>
      <c r="K12" s="2">
        <v>3</v>
      </c>
      <c r="L12" s="36">
        <f t="shared" si="3"/>
        <v>15000</v>
      </c>
      <c r="M12" s="1"/>
      <c r="N12" s="2">
        <v>5000</v>
      </c>
      <c r="O12" s="2">
        <v>3</v>
      </c>
      <c r="P12" s="36">
        <f t="shared" si="4"/>
        <v>15000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8</v>
      </c>
      <c r="Y12" s="37">
        <f t="shared" si="6"/>
        <v>40000</v>
      </c>
      <c r="Z12" s="13"/>
      <c r="AA12" s="1"/>
      <c r="AB12" s="1" t="s">
        <v>17</v>
      </c>
      <c r="AC12" s="5">
        <v>464450</v>
      </c>
      <c r="AD12" s="1">
        <v>979207</v>
      </c>
      <c r="AE12" s="52">
        <v>45940</v>
      </c>
      <c r="AF12" s="1" t="s">
        <v>110</v>
      </c>
      <c r="AG12" s="1"/>
      <c r="AH12" s="1"/>
      <c r="AI12" s="2">
        <v>1000</v>
      </c>
      <c r="AJ12" s="2">
        <v>286</v>
      </c>
      <c r="AK12" s="36">
        <f t="shared" si="0"/>
        <v>286000</v>
      </c>
      <c r="AL12" s="1"/>
    </row>
    <row r="13" spans="2:38" ht="15.75" thickBot="1">
      <c r="B13" s="3" t="s">
        <v>18</v>
      </c>
      <c r="C13" s="3"/>
      <c r="D13" s="6">
        <f>+SUM(D5:D12)</f>
        <v>58090</v>
      </c>
      <c r="E13" s="1"/>
      <c r="F13" s="3" t="s">
        <v>18</v>
      </c>
      <c r="G13" s="3"/>
      <c r="H13" s="6">
        <f>+SUM(H5:H12)</f>
        <v>74880</v>
      </c>
      <c r="I13" s="1"/>
      <c r="J13" s="3" t="s">
        <v>18</v>
      </c>
      <c r="K13" s="3"/>
      <c r="L13" s="6">
        <f>+SUM(L5:L12)</f>
        <v>65430</v>
      </c>
      <c r="M13" s="1"/>
      <c r="N13" s="3" t="s">
        <v>18</v>
      </c>
      <c r="O13" s="3"/>
      <c r="P13" s="6">
        <f>+SUM(P5:P12)</f>
        <v>109650</v>
      </c>
      <c r="Q13" s="1"/>
      <c r="R13" s="3" t="s">
        <v>18</v>
      </c>
      <c r="S13" s="3"/>
      <c r="T13" s="6">
        <f>+SUM(T5:T12)</f>
        <v>28430</v>
      </c>
      <c r="U13" s="1"/>
      <c r="V13" s="12"/>
      <c r="W13" s="3" t="s">
        <v>18</v>
      </c>
      <c r="X13" s="3"/>
      <c r="Y13" s="6">
        <f>+SUM(Y5:Y12)</f>
        <v>336480</v>
      </c>
      <c r="Z13" s="13"/>
      <c r="AA13" s="1"/>
      <c r="AB13" s="1" t="s">
        <v>19</v>
      </c>
      <c r="AC13" s="5"/>
      <c r="AD13" s="1"/>
      <c r="AE13" s="1"/>
      <c r="AF13" s="1"/>
      <c r="AG13" s="1"/>
      <c r="AH13" s="1"/>
      <c r="AI13" s="2">
        <v>5000</v>
      </c>
      <c r="AJ13" s="2">
        <v>23</v>
      </c>
      <c r="AK13" s="36">
        <f t="shared" si="0"/>
        <v>115000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01" t="s">
        <v>386</v>
      </c>
      <c r="AC14" s="100">
        <v>75000</v>
      </c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539450</v>
      </c>
      <c r="AL14" s="1"/>
    </row>
    <row r="15" spans="2:38" ht="15.75" thickBot="1">
      <c r="B15" s="109" t="s">
        <v>21</v>
      </c>
      <c r="C15" s="110"/>
      <c r="D15" s="8">
        <v>72135</v>
      </c>
      <c r="E15" s="30"/>
      <c r="F15" s="109" t="s">
        <v>21</v>
      </c>
      <c r="G15" s="110"/>
      <c r="H15" s="8">
        <v>91274</v>
      </c>
      <c r="I15" s="30"/>
      <c r="J15" s="109" t="s">
        <v>21</v>
      </c>
      <c r="K15" s="110"/>
      <c r="L15" s="8">
        <v>87727</v>
      </c>
      <c r="M15" s="30"/>
      <c r="N15" s="109" t="s">
        <v>21</v>
      </c>
      <c r="O15" s="110"/>
      <c r="P15" s="8">
        <v>114587</v>
      </c>
      <c r="Q15" s="30"/>
      <c r="R15" s="109" t="s">
        <v>21</v>
      </c>
      <c r="S15" s="110"/>
      <c r="T15" s="8">
        <v>426567</v>
      </c>
      <c r="U15" s="30"/>
      <c r="V15" s="31"/>
      <c r="W15" s="109" t="s">
        <v>21</v>
      </c>
      <c r="X15" s="110"/>
      <c r="Y15" s="8">
        <f>+D15+H15+L15+P15+T15</f>
        <v>792290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58090</v>
      </c>
      <c r="E16" s="1"/>
      <c r="F16" s="1" t="s">
        <v>10</v>
      </c>
      <c r="G16" s="1"/>
      <c r="H16" s="5">
        <f>+H13</f>
        <v>74880</v>
      </c>
      <c r="I16" s="1"/>
      <c r="J16" s="1" t="s">
        <v>10</v>
      </c>
      <c r="K16" s="1"/>
      <c r="L16" s="5">
        <f>+L13</f>
        <v>65430</v>
      </c>
      <c r="M16" s="1"/>
      <c r="N16" s="1" t="s">
        <v>10</v>
      </c>
      <c r="O16" s="1"/>
      <c r="P16" s="5">
        <f>+P13</f>
        <v>109650</v>
      </c>
      <c r="Q16" s="1"/>
      <c r="R16" s="1" t="s">
        <v>10</v>
      </c>
      <c r="S16" s="1"/>
      <c r="T16" s="5">
        <f>+T13</f>
        <v>28430</v>
      </c>
      <c r="U16" s="1"/>
      <c r="V16" s="12"/>
      <c r="W16" s="40" t="s">
        <v>10</v>
      </c>
      <c r="X16" s="40"/>
      <c r="Y16" s="37">
        <f>+D16+H16+L16+P16+T16</f>
        <v>336480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>
        <v>6190</v>
      </c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371</v>
      </c>
      <c r="S17" s="1" t="s">
        <v>373</v>
      </c>
      <c r="T17" s="5">
        <v>31000</v>
      </c>
      <c r="U17" s="1"/>
      <c r="V17" s="12"/>
      <c r="W17" s="40" t="s">
        <v>17</v>
      </c>
      <c r="X17" s="40"/>
      <c r="Y17" s="37">
        <f t="shared" ref="Y17:Y27" si="8">+D17+H17+L17+P17+T17</f>
        <v>37190</v>
      </c>
      <c r="Z17" s="13"/>
      <c r="AA17" s="1"/>
      <c r="AB17" s="48" t="s">
        <v>12</v>
      </c>
      <c r="AC17" s="49">
        <f>+SUM(AC12:AC16)</f>
        <v>539450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273</v>
      </c>
      <c r="C18" s="1" t="s">
        <v>347</v>
      </c>
      <c r="D18" s="5">
        <v>6000</v>
      </c>
      <c r="E18" s="1"/>
      <c r="F18" s="1" t="s">
        <v>273</v>
      </c>
      <c r="G18" s="1" t="s">
        <v>349</v>
      </c>
      <c r="H18" s="5">
        <v>13123</v>
      </c>
      <c r="I18" s="1"/>
      <c r="J18" s="1" t="s">
        <v>359</v>
      </c>
      <c r="K18" s="1" t="s">
        <v>360</v>
      </c>
      <c r="L18" s="5">
        <v>5940</v>
      </c>
      <c r="M18" s="1"/>
      <c r="N18" s="1" t="s">
        <v>273</v>
      </c>
      <c r="O18" s="1" t="s">
        <v>348</v>
      </c>
      <c r="P18" s="5">
        <v>4937</v>
      </c>
      <c r="Q18" s="1"/>
      <c r="R18" s="1" t="s">
        <v>372</v>
      </c>
      <c r="S18" s="1" t="s">
        <v>374</v>
      </c>
      <c r="T18" s="5">
        <v>25000</v>
      </c>
      <c r="U18" s="1"/>
      <c r="V18" s="12"/>
      <c r="W18" s="40" t="s">
        <v>24</v>
      </c>
      <c r="X18" s="40"/>
      <c r="Y18" s="37">
        <f t="shared" si="8"/>
        <v>55000</v>
      </c>
      <c r="Z18" s="13"/>
      <c r="AA18" s="1"/>
      <c r="AB18" s="50" t="s">
        <v>25</v>
      </c>
      <c r="AC18" s="51">
        <f>+AC17-AC9</f>
        <v>2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273</v>
      </c>
      <c r="C19" s="1" t="s">
        <v>346</v>
      </c>
      <c r="D19" s="5">
        <v>3050</v>
      </c>
      <c r="E19" s="1"/>
      <c r="F19" s="1" t="s">
        <v>172</v>
      </c>
      <c r="G19" s="1" t="s">
        <v>350</v>
      </c>
      <c r="H19" s="5">
        <v>3300</v>
      </c>
      <c r="I19" s="1"/>
      <c r="J19" s="1" t="s">
        <v>273</v>
      </c>
      <c r="K19" s="1" t="s">
        <v>361</v>
      </c>
      <c r="L19" s="5">
        <v>8760</v>
      </c>
      <c r="M19" s="1"/>
      <c r="N19" s="1" t="s">
        <v>27</v>
      </c>
      <c r="O19" s="1"/>
      <c r="P19" s="5"/>
      <c r="Q19" s="1"/>
      <c r="R19" s="1" t="s">
        <v>376</v>
      </c>
      <c r="S19" s="1" t="s">
        <v>375</v>
      </c>
      <c r="T19" s="5">
        <v>25000</v>
      </c>
      <c r="U19" s="1"/>
      <c r="V19" s="12"/>
      <c r="W19" s="40" t="s">
        <v>27</v>
      </c>
      <c r="X19" s="40"/>
      <c r="Y19" s="37">
        <f t="shared" si="8"/>
        <v>40110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182</v>
      </c>
      <c r="K20" s="1" t="s">
        <v>362</v>
      </c>
      <c r="L20" s="5">
        <v>6500</v>
      </c>
      <c r="M20" s="1"/>
      <c r="N20" s="1" t="s">
        <v>28</v>
      </c>
      <c r="O20" s="1"/>
      <c r="P20" s="5"/>
      <c r="Q20" s="1"/>
      <c r="R20" s="1" t="s">
        <v>273</v>
      </c>
      <c r="S20" s="1" t="s">
        <v>377</v>
      </c>
      <c r="T20" s="5">
        <v>25700</v>
      </c>
      <c r="U20" s="1"/>
      <c r="V20" s="12"/>
      <c r="W20" s="40" t="s">
        <v>28</v>
      </c>
      <c r="X20" s="40"/>
      <c r="Y20" s="37">
        <f t="shared" si="8"/>
        <v>32200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 t="s">
        <v>378</v>
      </c>
      <c r="S21" s="1" t="s">
        <v>379</v>
      </c>
      <c r="T21" s="5">
        <v>56808</v>
      </c>
      <c r="U21" s="1"/>
      <c r="V21" s="12"/>
      <c r="W21" s="40"/>
      <c r="X21" s="40"/>
      <c r="Y21" s="37">
        <f t="shared" si="8"/>
        <v>56808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47</v>
      </c>
      <c r="O23" s="1"/>
      <c r="P23" s="5"/>
      <c r="Q23" s="1"/>
      <c r="R23" s="1" t="s">
        <v>365</v>
      </c>
      <c r="S23" s="1" t="s">
        <v>366</v>
      </c>
      <c r="T23" s="5">
        <v>66050</v>
      </c>
      <c r="U23" s="1"/>
      <c r="V23" s="12"/>
      <c r="W23" s="40" t="s">
        <v>36</v>
      </c>
      <c r="X23" s="40"/>
      <c r="Y23" s="37">
        <f t="shared" si="8"/>
        <v>66050</v>
      </c>
      <c r="Z23" s="13"/>
      <c r="AA23" s="1"/>
      <c r="AB23" s="70" t="s">
        <v>363</v>
      </c>
      <c r="AC23" s="82">
        <v>45933</v>
      </c>
      <c r="AD23" s="70" t="s">
        <v>155</v>
      </c>
      <c r="AE23" s="70"/>
      <c r="AF23" s="70">
        <v>3370</v>
      </c>
      <c r="AG23" s="1"/>
      <c r="AH23" s="1"/>
      <c r="AI23" s="1" t="s">
        <v>65</v>
      </c>
      <c r="AJ23" s="1" t="s">
        <v>168</v>
      </c>
      <c r="AK23" s="1"/>
      <c r="AL23" s="62">
        <v>6190</v>
      </c>
    </row>
    <row r="24" spans="2:38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47</v>
      </c>
      <c r="O24" s="1"/>
      <c r="P24" s="5"/>
      <c r="Q24" s="1"/>
      <c r="R24" s="1" t="s">
        <v>367</v>
      </c>
      <c r="S24" s="1" t="s">
        <v>164</v>
      </c>
      <c r="T24" s="5">
        <v>42365</v>
      </c>
      <c r="U24" s="1"/>
      <c r="V24" s="12"/>
      <c r="W24" s="40" t="s">
        <v>37</v>
      </c>
      <c r="X24" s="40"/>
      <c r="Y24" s="37">
        <f t="shared" si="8"/>
        <v>42365</v>
      </c>
      <c r="Z24" s="13"/>
      <c r="AA24" s="1"/>
      <c r="AB24" s="70" t="s">
        <v>364</v>
      </c>
      <c r="AC24" s="82">
        <v>45933</v>
      </c>
      <c r="AD24" s="70" t="s">
        <v>157</v>
      </c>
      <c r="AE24" s="70"/>
      <c r="AF24" s="70">
        <v>53398</v>
      </c>
      <c r="AG24" s="1"/>
      <c r="AH24" s="1"/>
      <c r="AI24" s="76" t="s">
        <v>100</v>
      </c>
      <c r="AJ24" s="70" t="s">
        <v>353</v>
      </c>
      <c r="AK24" s="70" t="s">
        <v>87</v>
      </c>
      <c r="AL24" s="74">
        <v>27929</v>
      </c>
    </row>
    <row r="25" spans="2:38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47</v>
      </c>
      <c r="O25" s="1"/>
      <c r="P25" s="5"/>
      <c r="Q25" s="1"/>
      <c r="R25" s="1" t="s">
        <v>368</v>
      </c>
      <c r="S25" s="1" t="s">
        <v>369</v>
      </c>
      <c r="T25" s="5">
        <v>15774</v>
      </c>
      <c r="U25" s="1"/>
      <c r="V25" s="12"/>
      <c r="W25" s="40" t="s">
        <v>38</v>
      </c>
      <c r="X25" s="40"/>
      <c r="Y25" s="37">
        <f t="shared" si="8"/>
        <v>15774</v>
      </c>
      <c r="Z25" s="13"/>
      <c r="AA25" s="1"/>
      <c r="AB25" s="70" t="s">
        <v>380</v>
      </c>
      <c r="AC25" s="71">
        <v>45918</v>
      </c>
      <c r="AD25" s="70" t="s">
        <v>381</v>
      </c>
      <c r="AE25" s="70"/>
      <c r="AF25" s="16">
        <v>100000</v>
      </c>
      <c r="AG25" s="1"/>
      <c r="AH25" s="1"/>
      <c r="AI25" s="70" t="s">
        <v>97</v>
      </c>
      <c r="AJ25" s="70" t="s">
        <v>354</v>
      </c>
      <c r="AK25" s="70" t="s">
        <v>351</v>
      </c>
      <c r="AL25" s="75">
        <v>8000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370</v>
      </c>
      <c r="S26" s="1" t="s">
        <v>167</v>
      </c>
      <c r="T26" s="5">
        <v>107072</v>
      </c>
      <c r="U26" s="1"/>
      <c r="V26" s="12"/>
      <c r="W26" s="40"/>
      <c r="X26" s="40"/>
      <c r="Y26" s="37">
        <f t="shared" si="8"/>
        <v>107072</v>
      </c>
      <c r="Z26" s="13"/>
      <c r="AA26" s="1"/>
      <c r="AB26" s="70" t="s">
        <v>163</v>
      </c>
      <c r="AC26" s="71">
        <v>45919</v>
      </c>
      <c r="AD26" s="70" t="s">
        <v>164</v>
      </c>
      <c r="AE26" s="70"/>
      <c r="AF26" s="20">
        <v>20000</v>
      </c>
      <c r="AG26" s="1"/>
      <c r="AH26" s="1"/>
      <c r="AI26" s="70" t="s">
        <v>100</v>
      </c>
      <c r="AJ26" s="70" t="s">
        <v>355</v>
      </c>
      <c r="AK26" s="70" t="s">
        <v>352</v>
      </c>
      <c r="AL26" s="74">
        <v>33717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70" t="s">
        <v>383</v>
      </c>
      <c r="AC27" s="82">
        <v>45932</v>
      </c>
      <c r="AD27" s="70" t="s">
        <v>384</v>
      </c>
      <c r="AE27" s="70"/>
      <c r="AF27" s="16">
        <v>26200</v>
      </c>
      <c r="AG27" s="1"/>
      <c r="AH27" s="1"/>
      <c r="AI27" s="70" t="s">
        <v>65</v>
      </c>
      <c r="AJ27" s="70" t="s">
        <v>356</v>
      </c>
      <c r="AK27" s="70" t="s">
        <v>148</v>
      </c>
      <c r="AL27" s="73">
        <v>4640</v>
      </c>
    </row>
    <row r="28" spans="2:38" ht="15.75" thickBot="1">
      <c r="B28" s="114" t="s">
        <v>12</v>
      </c>
      <c r="C28" s="115"/>
      <c r="D28" s="9">
        <f>+SUM(D16:D27)</f>
        <v>73330</v>
      </c>
      <c r="E28" s="1"/>
      <c r="F28" s="114" t="s">
        <v>12</v>
      </c>
      <c r="G28" s="115"/>
      <c r="H28" s="9">
        <f>+SUM(H16:H27)</f>
        <v>91303</v>
      </c>
      <c r="I28" s="1"/>
      <c r="J28" s="114" t="s">
        <v>12</v>
      </c>
      <c r="K28" s="115"/>
      <c r="L28" s="9">
        <f>+SUM(L16:L27)</f>
        <v>86630</v>
      </c>
      <c r="M28" s="1"/>
      <c r="N28" s="114" t="s">
        <v>12</v>
      </c>
      <c r="O28" s="115"/>
      <c r="P28" s="9">
        <f>+SUM(P16:P27)</f>
        <v>114587</v>
      </c>
      <c r="Q28" s="1"/>
      <c r="R28" s="114" t="s">
        <v>12</v>
      </c>
      <c r="S28" s="115"/>
      <c r="T28" s="9">
        <f>+SUM(T16:T27)</f>
        <v>423199</v>
      </c>
      <c r="U28" s="1"/>
      <c r="V28" s="12"/>
      <c r="W28" s="114" t="s">
        <v>12</v>
      </c>
      <c r="X28" s="115"/>
      <c r="Y28" s="9">
        <f>+SUM(Y16:Y27)</f>
        <v>789049</v>
      </c>
      <c r="Z28" s="13"/>
      <c r="AA28" s="1"/>
      <c r="AB28" s="16"/>
      <c r="AC28" s="16"/>
      <c r="AD28" s="16"/>
      <c r="AE28" s="16"/>
      <c r="AF28" s="16"/>
      <c r="AG28" s="1"/>
      <c r="AH28" s="1"/>
      <c r="AI28" s="70" t="s">
        <v>65</v>
      </c>
      <c r="AJ28" s="70" t="s">
        <v>357</v>
      </c>
      <c r="AK28" s="70" t="s">
        <v>194</v>
      </c>
      <c r="AL28" s="74">
        <v>3900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70" t="s">
        <v>65</v>
      </c>
      <c r="AJ29" s="70" t="s">
        <v>62</v>
      </c>
      <c r="AK29" s="70" t="s">
        <v>151</v>
      </c>
      <c r="AL29" s="73">
        <v>5620</v>
      </c>
    </row>
    <row r="30" spans="2:38" ht="15.75" thickBot="1">
      <c r="B30" s="116" t="s">
        <v>40</v>
      </c>
      <c r="C30" s="116"/>
      <c r="D30" s="7">
        <f>+D28-D15</f>
        <v>1195</v>
      </c>
      <c r="E30" s="1"/>
      <c r="F30" s="116" t="s">
        <v>40</v>
      </c>
      <c r="G30" s="116"/>
      <c r="H30" s="7">
        <f>+H28-H15</f>
        <v>29</v>
      </c>
      <c r="I30" s="1"/>
      <c r="J30" s="116" t="s">
        <v>40</v>
      </c>
      <c r="K30" s="116"/>
      <c r="L30" s="7">
        <f>+L28-L15</f>
        <v>-1097</v>
      </c>
      <c r="M30" s="1"/>
      <c r="N30" s="116" t="s">
        <v>40</v>
      </c>
      <c r="O30" s="116"/>
      <c r="P30" s="7">
        <f>+P28-P15</f>
        <v>0</v>
      </c>
      <c r="Q30" s="1"/>
      <c r="R30" s="116" t="s">
        <v>40</v>
      </c>
      <c r="S30" s="116"/>
      <c r="T30" s="7">
        <f>+T28-T15</f>
        <v>-3368</v>
      </c>
      <c r="U30" s="1"/>
      <c r="V30" s="12"/>
      <c r="W30" s="113" t="s">
        <v>40</v>
      </c>
      <c r="X30" s="113"/>
      <c r="Y30" s="41">
        <f>+Y28-Y15</f>
        <v>-3241</v>
      </c>
      <c r="Z30" s="13"/>
      <c r="AA30" s="1"/>
      <c r="AB30" s="1"/>
      <c r="AC30" s="1"/>
      <c r="AD30" s="1"/>
      <c r="AE30" s="1"/>
      <c r="AF30" s="1"/>
      <c r="AG30" s="1"/>
      <c r="AH30" s="1"/>
      <c r="AI30" s="70" t="s">
        <v>100</v>
      </c>
      <c r="AJ30" s="70" t="s">
        <v>358</v>
      </c>
      <c r="AK30" s="70" t="s">
        <v>153</v>
      </c>
      <c r="AL30" s="74">
        <v>38000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39</v>
      </c>
      <c r="AC31" s="60"/>
      <c r="AD31" s="60"/>
      <c r="AE31" s="60"/>
      <c r="AF31" s="55">
        <f>+SUM(AF23:AF30)</f>
        <v>202968</v>
      </c>
      <c r="AG31" s="1"/>
      <c r="AH31" s="1"/>
      <c r="AI31" s="70" t="s">
        <v>100</v>
      </c>
      <c r="AJ31" s="70" t="s">
        <v>385</v>
      </c>
      <c r="AK31" s="70" t="s">
        <v>114</v>
      </c>
      <c r="AL31" s="73">
        <v>212000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ht="15.75" thickBot="1">
      <c r="B34" s="10" t="s">
        <v>41</v>
      </c>
      <c r="C34" s="11"/>
      <c r="D34" s="21"/>
      <c r="E34" s="1"/>
      <c r="F34" s="10" t="s">
        <v>41</v>
      </c>
      <c r="G34" s="11"/>
      <c r="H34" s="21"/>
      <c r="I34" s="1"/>
      <c r="J34" s="10" t="s">
        <v>41</v>
      </c>
      <c r="K34" s="11"/>
      <c r="L34" s="21">
        <v>1097</v>
      </c>
      <c r="M34" s="1"/>
      <c r="N34" s="10" t="s">
        <v>41</v>
      </c>
      <c r="O34" s="11"/>
      <c r="P34" s="21"/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1097</v>
      </c>
      <c r="Z34" s="1"/>
      <c r="AA34" s="1"/>
      <c r="AB34" s="1"/>
      <c r="AC34" s="1"/>
      <c r="AD34" s="1"/>
      <c r="AE34" s="1"/>
      <c r="AF34" s="1"/>
      <c r="AG34" s="1"/>
      <c r="AH34" s="1"/>
      <c r="AI34" s="79" t="s">
        <v>39</v>
      </c>
      <c r="AJ34" s="79"/>
      <c r="AK34" s="79"/>
      <c r="AL34" s="85">
        <f>+SUM(AL23:AL33)</f>
        <v>339996</v>
      </c>
    </row>
    <row r="35" spans="2:38" ht="15.75" thickTop="1">
      <c r="B35" s="12" t="s">
        <v>42</v>
      </c>
      <c r="C35" s="16"/>
      <c r="D35" s="22"/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/>
      <c r="Q35" s="1"/>
      <c r="R35" s="12" t="s">
        <v>382</v>
      </c>
      <c r="S35" s="16"/>
      <c r="T35" s="22">
        <v>4024</v>
      </c>
      <c r="U35" s="1"/>
      <c r="V35" s="1"/>
      <c r="W35" s="45" t="s">
        <v>42</v>
      </c>
      <c r="X35" s="40"/>
      <c r="Y35" s="46">
        <f t="shared" ref="Y35:Y36" si="9">+D35+H35+L35+P35+T35</f>
        <v>4024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44</v>
      </c>
      <c r="C36" s="16"/>
      <c r="D36" s="22">
        <v>-1195</v>
      </c>
      <c r="E36" s="1"/>
      <c r="F36" s="12" t="s">
        <v>44</v>
      </c>
      <c r="G36" s="16"/>
      <c r="H36" s="22">
        <v>-29</v>
      </c>
      <c r="I36" s="1"/>
      <c r="J36" s="12" t="s">
        <v>44</v>
      </c>
      <c r="K36" s="16"/>
      <c r="L36" s="22"/>
      <c r="M36" s="1"/>
      <c r="N36" s="12" t="s">
        <v>44</v>
      </c>
      <c r="O36" s="16"/>
      <c r="P36" s="22"/>
      <c r="Q36" s="1"/>
      <c r="R36" s="12" t="s">
        <v>44</v>
      </c>
      <c r="S36" s="16"/>
      <c r="T36" s="22">
        <v>-656</v>
      </c>
      <c r="U36" s="1"/>
      <c r="V36" s="1"/>
      <c r="W36" s="45" t="s">
        <v>43</v>
      </c>
      <c r="X36" s="40"/>
      <c r="Y36" s="46">
        <f t="shared" si="9"/>
        <v>-1880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>
      <c r="B37" s="12" t="s">
        <v>18</v>
      </c>
      <c r="C37" s="16"/>
      <c r="D37" s="22">
        <f>+SUM(D34:D36)</f>
        <v>-1195</v>
      </c>
      <c r="E37" s="1"/>
      <c r="F37" s="12" t="s">
        <v>18</v>
      </c>
      <c r="G37" s="16"/>
      <c r="H37" s="22">
        <f>+SUM(H34:H36)</f>
        <v>-29</v>
      </c>
      <c r="I37" s="1"/>
      <c r="J37" s="12" t="s">
        <v>18</v>
      </c>
      <c r="K37" s="16"/>
      <c r="L37" s="22">
        <f>+SUM(L34:L36)</f>
        <v>1097</v>
      </c>
      <c r="M37" s="1"/>
      <c r="N37" s="12" t="s">
        <v>18</v>
      </c>
      <c r="O37" s="16"/>
      <c r="P37" s="22">
        <f>+SUM(P34:P36)</f>
        <v>0</v>
      </c>
      <c r="Q37" s="1"/>
      <c r="R37" s="12" t="s">
        <v>18</v>
      </c>
      <c r="S37" s="16"/>
      <c r="T37" s="22">
        <f>+SUM(T34:T36)</f>
        <v>3368</v>
      </c>
      <c r="U37" s="1"/>
      <c r="V37" s="1"/>
      <c r="W37" s="33" t="s">
        <v>18</v>
      </c>
      <c r="X37" s="34"/>
      <c r="Y37" s="35">
        <f>+SUM(Y34:Y36)</f>
        <v>3241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2:AL38"/>
  <sheetViews>
    <sheetView zoomScale="80" zoomScaleNormal="80" workbookViewId="0">
      <selection activeCell="AC14" sqref="AB14:AC14"/>
    </sheetView>
  </sheetViews>
  <sheetFormatPr defaultRowHeight="15"/>
  <cols>
    <col min="4" max="4" width="11.42578125" bestFit="1" customWidth="1"/>
    <col min="5" max="5" width="0.7109375" customWidth="1"/>
    <col min="7" max="7" width="16.85546875" bestFit="1" customWidth="1"/>
    <col min="8" max="8" width="12.42578125" customWidth="1"/>
    <col min="9" max="9" width="0.42578125" customWidth="1"/>
    <col min="12" max="12" width="12.140625" bestFit="1" customWidth="1"/>
    <col min="13" max="13" width="0.42578125" customWidth="1"/>
    <col min="16" max="16" width="11.42578125" bestFit="1" customWidth="1"/>
    <col min="17" max="17" width="0.42578125" customWidth="1"/>
    <col min="19" max="19" width="16.28515625" bestFit="1" customWidth="1"/>
    <col min="20" max="20" width="12.85546875" customWidth="1"/>
    <col min="21" max="21" width="0.42578125" customWidth="1"/>
    <col min="22" max="22" width="0.7109375" customWidth="1"/>
    <col min="25" max="25" width="12.85546875" bestFit="1" customWidth="1"/>
    <col min="26" max="26" width="2" customWidth="1"/>
    <col min="27" max="27" width="0.5703125" customWidth="1"/>
    <col min="28" max="28" width="10.28515625" customWidth="1"/>
    <col min="29" max="29" width="13.5703125" bestFit="1" customWidth="1"/>
    <col min="30" max="30" width="17.140625" bestFit="1" customWidth="1"/>
    <col min="31" max="31" width="13.85546875" bestFit="1" customWidth="1"/>
    <col min="32" max="32" width="9.140625" customWidth="1"/>
    <col min="33" max="33" width="1.5703125" customWidth="1"/>
    <col min="34" max="34" width="9.140625" hidden="1" customWidth="1"/>
    <col min="37" max="37" width="19.140625" bestFit="1" customWidth="1"/>
  </cols>
  <sheetData>
    <row r="2" spans="2:38" ht="15.75" thickBot="1"/>
    <row r="3" spans="2:38">
      <c r="B3" s="111" t="s">
        <v>127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3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96</v>
      </c>
      <c r="D6" s="36">
        <f>+C6*B6</f>
        <v>960</v>
      </c>
      <c r="E6" s="1"/>
      <c r="F6" s="2">
        <v>10</v>
      </c>
      <c r="G6" s="2">
        <v>271</v>
      </c>
      <c r="H6" s="36">
        <f>+G6*F6</f>
        <v>2710</v>
      </c>
      <c r="I6" s="1"/>
      <c r="J6" s="2">
        <v>10</v>
      </c>
      <c r="K6" s="2">
        <v>23</v>
      </c>
      <c r="L6" s="36">
        <f>+K6*J6</f>
        <v>230</v>
      </c>
      <c r="M6" s="1"/>
      <c r="N6" s="2">
        <v>10</v>
      </c>
      <c r="O6" s="2">
        <v>202</v>
      </c>
      <c r="P6" s="36">
        <f>+O6*N6</f>
        <v>2020</v>
      </c>
      <c r="Q6" s="1"/>
      <c r="R6" s="2">
        <v>10</v>
      </c>
      <c r="S6" s="2">
        <v>2</v>
      </c>
      <c r="T6" s="36">
        <f>+S6*R6</f>
        <v>20</v>
      </c>
      <c r="U6" s="1"/>
      <c r="V6" s="12"/>
      <c r="W6" s="39">
        <v>10</v>
      </c>
      <c r="X6" s="39">
        <f>+C6+G6+K6+O6+S6</f>
        <v>594</v>
      </c>
      <c r="Y6" s="37">
        <f>+D6+H6+L6+P6+T6</f>
        <v>5940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4</v>
      </c>
      <c r="AK6" s="36">
        <f t="shared" ref="AK6:AK13" si="0">+AJ6*AI6</f>
        <v>4</v>
      </c>
      <c r="AL6" s="26"/>
    </row>
    <row r="7" spans="2:38">
      <c r="B7" s="2">
        <v>20</v>
      </c>
      <c r="C7" s="2">
        <v>10</v>
      </c>
      <c r="D7" s="36">
        <f t="shared" ref="D7:D12" si="1">+C7*B7</f>
        <v>200</v>
      </c>
      <c r="E7" s="1"/>
      <c r="F7" s="2">
        <v>20</v>
      </c>
      <c r="G7" s="2">
        <v>22</v>
      </c>
      <c r="H7" s="36">
        <f t="shared" ref="H7:H12" si="2">+G7*F7</f>
        <v>440</v>
      </c>
      <c r="I7" s="1"/>
      <c r="J7" s="2">
        <v>20</v>
      </c>
      <c r="K7" s="2">
        <v>6</v>
      </c>
      <c r="L7" s="36">
        <f t="shared" ref="L7:L12" si="3">+K7*J7</f>
        <v>120</v>
      </c>
      <c r="M7" s="1"/>
      <c r="N7" s="2">
        <v>20</v>
      </c>
      <c r="O7" s="2">
        <v>42</v>
      </c>
      <c r="P7" s="36">
        <f t="shared" ref="P7:P12" si="4">+O7*N7</f>
        <v>840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80</v>
      </c>
      <c r="Y7" s="37">
        <f t="shared" ref="Y7:Y12" si="6">+D7+H7+L7+P7+T7</f>
        <v>1600</v>
      </c>
      <c r="Z7" s="13"/>
      <c r="AA7" s="1"/>
      <c r="AB7" s="56" t="s">
        <v>10</v>
      </c>
      <c r="AC7" s="57">
        <f>Y13</f>
        <v>375690</v>
      </c>
      <c r="AD7" s="26"/>
      <c r="AE7" s="26"/>
      <c r="AF7" s="26"/>
      <c r="AG7" s="26"/>
      <c r="AH7" s="1"/>
      <c r="AI7" s="2">
        <v>10</v>
      </c>
      <c r="AJ7" s="2">
        <v>746</v>
      </c>
      <c r="AK7" s="36">
        <f t="shared" si="0"/>
        <v>7460</v>
      </c>
      <c r="AL7" s="1"/>
    </row>
    <row r="8" spans="2:38">
      <c r="B8" s="2">
        <v>50</v>
      </c>
      <c r="C8" s="2">
        <v>12</v>
      </c>
      <c r="D8" s="36">
        <f t="shared" si="1"/>
        <v>600</v>
      </c>
      <c r="E8" s="1"/>
      <c r="F8" s="2">
        <v>50</v>
      </c>
      <c r="G8" s="2">
        <v>27</v>
      </c>
      <c r="H8" s="36">
        <f t="shared" si="2"/>
        <v>1350</v>
      </c>
      <c r="I8" s="1"/>
      <c r="J8" s="2">
        <v>50</v>
      </c>
      <c r="K8" s="2">
        <v>28</v>
      </c>
      <c r="L8" s="36">
        <f t="shared" si="3"/>
        <v>1400</v>
      </c>
      <c r="M8" s="1"/>
      <c r="N8" s="2">
        <v>50</v>
      </c>
      <c r="O8" s="2">
        <v>125</v>
      </c>
      <c r="P8" s="36">
        <f t="shared" si="4"/>
        <v>6250</v>
      </c>
      <c r="Q8" s="1"/>
      <c r="R8" s="2">
        <v>50</v>
      </c>
      <c r="S8" s="2">
        <v>1</v>
      </c>
      <c r="T8" s="36">
        <f t="shared" si="5"/>
        <v>50</v>
      </c>
      <c r="U8" s="1"/>
      <c r="V8" s="12"/>
      <c r="W8" s="39">
        <v>50</v>
      </c>
      <c r="X8" s="39">
        <f t="shared" ref="X8:X12" si="7">+C8+G8+K8+O8+S8</f>
        <v>193</v>
      </c>
      <c r="Y8" s="37">
        <f t="shared" si="6"/>
        <v>9650</v>
      </c>
      <c r="Z8" s="13"/>
      <c r="AA8" s="1"/>
      <c r="AB8" s="53" t="s">
        <v>11</v>
      </c>
      <c r="AC8" s="53">
        <f>+AF31</f>
        <v>90224</v>
      </c>
      <c r="AD8" s="1"/>
      <c r="AE8" s="1"/>
      <c r="AF8" s="1"/>
      <c r="AG8" s="1"/>
      <c r="AH8" s="1"/>
      <c r="AI8" s="2">
        <v>20</v>
      </c>
      <c r="AJ8" s="2">
        <v>80</v>
      </c>
      <c r="AK8" s="36">
        <f t="shared" si="0"/>
        <v>1600</v>
      </c>
      <c r="AL8" s="1"/>
    </row>
    <row r="9" spans="2:38" ht="15.75" thickBot="1">
      <c r="B9" s="2">
        <v>100</v>
      </c>
      <c r="C9" s="2">
        <v>18</v>
      </c>
      <c r="D9" s="36">
        <f t="shared" si="1"/>
        <v>1800</v>
      </c>
      <c r="E9" s="1"/>
      <c r="F9" s="2">
        <v>100</v>
      </c>
      <c r="G9" s="2">
        <v>21</v>
      </c>
      <c r="H9" s="36">
        <f t="shared" si="2"/>
        <v>2100</v>
      </c>
      <c r="I9" s="1"/>
      <c r="J9" s="2">
        <v>100</v>
      </c>
      <c r="K9" s="2">
        <v>45</v>
      </c>
      <c r="L9" s="36">
        <f t="shared" si="3"/>
        <v>4500</v>
      </c>
      <c r="M9" s="1"/>
      <c r="N9" s="2">
        <v>100</v>
      </c>
      <c r="O9" s="2">
        <v>63</v>
      </c>
      <c r="P9" s="36">
        <f t="shared" si="4"/>
        <v>6300</v>
      </c>
      <c r="Q9" s="1"/>
      <c r="R9" s="2">
        <v>100</v>
      </c>
      <c r="S9" s="2">
        <v>3</v>
      </c>
      <c r="T9" s="36">
        <f t="shared" si="5"/>
        <v>300</v>
      </c>
      <c r="U9" s="1"/>
      <c r="V9" s="12"/>
      <c r="W9" s="39">
        <v>100</v>
      </c>
      <c r="X9" s="39">
        <f t="shared" si="7"/>
        <v>150</v>
      </c>
      <c r="Y9" s="37">
        <f t="shared" si="6"/>
        <v>15000</v>
      </c>
      <c r="Z9" s="13"/>
      <c r="AA9" s="1"/>
      <c r="AB9" s="58" t="s">
        <v>12</v>
      </c>
      <c r="AC9" s="59">
        <f>SUM(AC7:AC8)</f>
        <v>465914</v>
      </c>
      <c r="AD9" s="1"/>
      <c r="AE9" s="1"/>
      <c r="AF9" s="1"/>
      <c r="AG9" s="1"/>
      <c r="AH9" s="1"/>
      <c r="AI9" s="2">
        <v>50</v>
      </c>
      <c r="AJ9" s="2">
        <v>195</v>
      </c>
      <c r="AK9" s="36">
        <f t="shared" si="0"/>
        <v>9750</v>
      </c>
      <c r="AL9" s="1"/>
    </row>
    <row r="10" spans="2:38">
      <c r="B10" s="2">
        <v>500</v>
      </c>
      <c r="C10" s="2">
        <v>43</v>
      </c>
      <c r="D10" s="36">
        <f t="shared" si="1"/>
        <v>21500</v>
      </c>
      <c r="E10" s="1"/>
      <c r="F10" s="2">
        <v>500</v>
      </c>
      <c r="G10" s="2">
        <v>43</v>
      </c>
      <c r="H10" s="36">
        <f t="shared" si="2"/>
        <v>21500</v>
      </c>
      <c r="I10" s="1"/>
      <c r="J10" s="2">
        <v>500</v>
      </c>
      <c r="K10" s="2">
        <v>41</v>
      </c>
      <c r="L10" s="36">
        <f t="shared" si="3"/>
        <v>20500</v>
      </c>
      <c r="M10" s="1"/>
      <c r="N10" s="2">
        <v>500</v>
      </c>
      <c r="O10" s="2">
        <v>47</v>
      </c>
      <c r="P10" s="36">
        <f t="shared" si="4"/>
        <v>23500</v>
      </c>
      <c r="Q10" s="1"/>
      <c r="R10" s="2">
        <v>500</v>
      </c>
      <c r="S10" s="2">
        <v>11</v>
      </c>
      <c r="T10" s="36">
        <f t="shared" si="5"/>
        <v>5500</v>
      </c>
      <c r="U10" s="1"/>
      <c r="V10" s="12"/>
      <c r="W10" s="39">
        <v>500</v>
      </c>
      <c r="X10" s="39">
        <f t="shared" si="7"/>
        <v>185</v>
      </c>
      <c r="Y10" s="37">
        <f t="shared" si="6"/>
        <v>92500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156</v>
      </c>
      <c r="AK10" s="36">
        <f t="shared" si="0"/>
        <v>15600</v>
      </c>
      <c r="AL10" s="1"/>
    </row>
    <row r="11" spans="2:38">
      <c r="B11" s="2">
        <v>1000</v>
      </c>
      <c r="C11" s="2">
        <v>36</v>
      </c>
      <c r="D11" s="36">
        <f t="shared" si="1"/>
        <v>36000</v>
      </c>
      <c r="E11" s="1"/>
      <c r="F11" s="2">
        <v>1000</v>
      </c>
      <c r="G11" s="2">
        <v>58</v>
      </c>
      <c r="H11" s="36">
        <f t="shared" si="2"/>
        <v>58000</v>
      </c>
      <c r="I11" s="1"/>
      <c r="J11" s="2">
        <v>1000</v>
      </c>
      <c r="K11" s="2">
        <v>41</v>
      </c>
      <c r="L11" s="36">
        <f t="shared" si="3"/>
        <v>41000</v>
      </c>
      <c r="M11" s="1"/>
      <c r="N11" s="2">
        <v>1000</v>
      </c>
      <c r="O11" s="2">
        <v>46</v>
      </c>
      <c r="P11" s="36">
        <f t="shared" si="4"/>
        <v>46000</v>
      </c>
      <c r="Q11" s="1"/>
      <c r="R11" s="2">
        <v>1000</v>
      </c>
      <c r="S11" s="2">
        <v>20</v>
      </c>
      <c r="T11" s="36">
        <f t="shared" si="5"/>
        <v>20000</v>
      </c>
      <c r="U11" s="1"/>
      <c r="V11" s="12"/>
      <c r="W11" s="39">
        <v>1000</v>
      </c>
      <c r="X11" s="39">
        <f t="shared" si="7"/>
        <v>201</v>
      </c>
      <c r="Y11" s="37">
        <f t="shared" si="6"/>
        <v>201000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221</v>
      </c>
      <c r="AK11" s="36">
        <f t="shared" si="0"/>
        <v>110500</v>
      </c>
      <c r="AL11" s="1"/>
    </row>
    <row r="12" spans="2:38">
      <c r="B12" s="2">
        <v>5000</v>
      </c>
      <c r="C12" s="2">
        <v>2</v>
      </c>
      <c r="D12" s="36">
        <f t="shared" si="1"/>
        <v>10000</v>
      </c>
      <c r="E12" s="1"/>
      <c r="F12" s="2">
        <v>5000</v>
      </c>
      <c r="G12" s="2">
        <v>4</v>
      </c>
      <c r="H12" s="36">
        <f t="shared" si="2"/>
        <v>20000</v>
      </c>
      <c r="I12" s="1"/>
      <c r="J12" s="2">
        <v>5000</v>
      </c>
      <c r="K12" s="2">
        <v>1</v>
      </c>
      <c r="L12" s="36">
        <f t="shared" si="3"/>
        <v>5000</v>
      </c>
      <c r="M12" s="1"/>
      <c r="N12" s="2">
        <v>5000</v>
      </c>
      <c r="O12" s="2">
        <v>1</v>
      </c>
      <c r="P12" s="36">
        <f t="shared" si="4"/>
        <v>5000</v>
      </c>
      <c r="Q12" s="1"/>
      <c r="R12" s="2">
        <v>5000</v>
      </c>
      <c r="S12" s="2">
        <v>2</v>
      </c>
      <c r="T12" s="36">
        <f t="shared" si="5"/>
        <v>10000</v>
      </c>
      <c r="U12" s="1"/>
      <c r="V12" s="12"/>
      <c r="W12" s="39">
        <v>5000</v>
      </c>
      <c r="X12" s="39">
        <f t="shared" si="7"/>
        <v>10</v>
      </c>
      <c r="Y12" s="37">
        <f t="shared" si="6"/>
        <v>50000</v>
      </c>
      <c r="Z12" s="13"/>
      <c r="AA12" s="1"/>
      <c r="AB12" s="1" t="s">
        <v>17</v>
      </c>
      <c r="AC12" s="5">
        <v>455850</v>
      </c>
      <c r="AD12" s="1">
        <v>41521413</v>
      </c>
      <c r="AE12" s="52">
        <v>45971</v>
      </c>
      <c r="AF12" s="1" t="s">
        <v>110</v>
      </c>
      <c r="AG12" s="1"/>
      <c r="AH12" s="1"/>
      <c r="AI12" s="2">
        <v>1000</v>
      </c>
      <c r="AJ12" s="2">
        <v>271</v>
      </c>
      <c r="AK12" s="36">
        <f t="shared" si="0"/>
        <v>271000</v>
      </c>
      <c r="AL12" s="1"/>
    </row>
    <row r="13" spans="2:38" ht="15.75" thickBot="1">
      <c r="B13" s="3" t="s">
        <v>18</v>
      </c>
      <c r="C13" s="3"/>
      <c r="D13" s="6">
        <f>+SUM(D5:D12)</f>
        <v>71060</v>
      </c>
      <c r="E13" s="1"/>
      <c r="F13" s="3" t="s">
        <v>18</v>
      </c>
      <c r="G13" s="3"/>
      <c r="H13" s="6">
        <f>+SUM(H5:H12)</f>
        <v>106100</v>
      </c>
      <c r="I13" s="1"/>
      <c r="J13" s="3" t="s">
        <v>18</v>
      </c>
      <c r="K13" s="3"/>
      <c r="L13" s="6">
        <f>+SUM(L5:L12)</f>
        <v>72750</v>
      </c>
      <c r="M13" s="1"/>
      <c r="N13" s="3" t="s">
        <v>18</v>
      </c>
      <c r="O13" s="3"/>
      <c r="P13" s="6">
        <f>+SUM(P5:P12)</f>
        <v>89910</v>
      </c>
      <c r="Q13" s="1"/>
      <c r="R13" s="3" t="s">
        <v>18</v>
      </c>
      <c r="S13" s="3"/>
      <c r="T13" s="6">
        <f>+SUM(T5:T12)</f>
        <v>35870</v>
      </c>
      <c r="U13" s="1"/>
      <c r="V13" s="12"/>
      <c r="W13" s="3" t="s">
        <v>18</v>
      </c>
      <c r="X13" s="3"/>
      <c r="Y13" s="6">
        <f>+SUM(Y5:Y12)</f>
        <v>375690</v>
      </c>
      <c r="Z13" s="13"/>
      <c r="AA13" s="1"/>
      <c r="AB13" s="1" t="s">
        <v>19</v>
      </c>
      <c r="AC13" s="5">
        <v>9064</v>
      </c>
      <c r="AD13" s="1"/>
      <c r="AE13" s="1"/>
      <c r="AF13" s="1"/>
      <c r="AG13" s="1"/>
      <c r="AH13" s="1"/>
      <c r="AI13" s="2">
        <v>5000</v>
      </c>
      <c r="AJ13" s="2">
        <v>10</v>
      </c>
      <c r="AK13" s="36">
        <f t="shared" si="0"/>
        <v>50000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01" t="s">
        <v>109</v>
      </c>
      <c r="AC14" s="100">
        <v>1000</v>
      </c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465914</v>
      </c>
      <c r="AL14" s="1"/>
    </row>
    <row r="15" spans="2:38" ht="15.75" thickBot="1">
      <c r="B15" s="109" t="s">
        <v>21</v>
      </c>
      <c r="C15" s="110"/>
      <c r="D15" s="8">
        <v>87420</v>
      </c>
      <c r="E15" s="30"/>
      <c r="F15" s="109" t="s">
        <v>21</v>
      </c>
      <c r="G15" s="110"/>
      <c r="H15" s="8">
        <v>122890</v>
      </c>
      <c r="I15" s="30"/>
      <c r="J15" s="109" t="s">
        <v>21</v>
      </c>
      <c r="K15" s="110"/>
      <c r="L15" s="8">
        <v>73422</v>
      </c>
      <c r="M15" s="30"/>
      <c r="N15" s="109" t="s">
        <v>21</v>
      </c>
      <c r="O15" s="110"/>
      <c r="P15" s="8">
        <v>89908</v>
      </c>
      <c r="Q15" s="30"/>
      <c r="R15" s="109" t="s">
        <v>21</v>
      </c>
      <c r="S15" s="110"/>
      <c r="T15" s="8">
        <v>585493</v>
      </c>
      <c r="U15" s="30"/>
      <c r="V15" s="31"/>
      <c r="W15" s="109" t="s">
        <v>21</v>
      </c>
      <c r="X15" s="110"/>
      <c r="Y15" s="8">
        <f>+D15+H15+L15+P15+T15</f>
        <v>959133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71060</v>
      </c>
      <c r="E16" s="1"/>
      <c r="F16" s="1" t="s">
        <v>10</v>
      </c>
      <c r="G16" s="1"/>
      <c r="H16" s="5">
        <f>+H13</f>
        <v>106100</v>
      </c>
      <c r="I16" s="1"/>
      <c r="J16" s="1" t="s">
        <v>10</v>
      </c>
      <c r="K16" s="1"/>
      <c r="L16" s="5">
        <f>+L13</f>
        <v>72750</v>
      </c>
      <c r="M16" s="1"/>
      <c r="N16" s="1" t="s">
        <v>10</v>
      </c>
      <c r="O16" s="1"/>
      <c r="P16" s="5">
        <f>+P13</f>
        <v>89910</v>
      </c>
      <c r="Q16" s="1"/>
      <c r="R16" s="1" t="s">
        <v>10</v>
      </c>
      <c r="S16" s="1"/>
      <c r="T16" s="5">
        <f>+T13</f>
        <v>35870</v>
      </c>
      <c r="U16" s="1"/>
      <c r="V16" s="12"/>
      <c r="W16" s="40" t="s">
        <v>10</v>
      </c>
      <c r="X16" s="40"/>
      <c r="Y16" s="37">
        <f>+D16+H16+L16+P16+T16</f>
        <v>375690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465914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359</v>
      </c>
      <c r="C18" s="1" t="s">
        <v>388</v>
      </c>
      <c r="D18" s="5">
        <v>11486</v>
      </c>
      <c r="E18" s="1"/>
      <c r="F18" s="1" t="s">
        <v>372</v>
      </c>
      <c r="G18" s="16" t="s">
        <v>394</v>
      </c>
      <c r="H18" s="86">
        <v>6500</v>
      </c>
      <c r="I18" s="1"/>
      <c r="J18" s="1" t="s">
        <v>24</v>
      </c>
      <c r="K18" s="1"/>
      <c r="L18" s="5"/>
      <c r="M18" s="1"/>
      <c r="N18" s="1" t="s">
        <v>24</v>
      </c>
      <c r="O18" s="1"/>
      <c r="P18" s="5"/>
      <c r="Q18" s="1"/>
      <c r="R18" s="1" t="s">
        <v>392</v>
      </c>
      <c r="S18" s="16" t="s">
        <v>390</v>
      </c>
      <c r="T18" s="86">
        <v>79390</v>
      </c>
      <c r="U18" s="1"/>
      <c r="V18" s="12"/>
      <c r="W18" s="40" t="s">
        <v>24</v>
      </c>
      <c r="X18" s="40"/>
      <c r="Y18" s="37">
        <f t="shared" si="8"/>
        <v>97376</v>
      </c>
      <c r="Z18" s="13"/>
      <c r="AA18" s="1"/>
      <c r="AB18" s="50" t="s">
        <v>25</v>
      </c>
      <c r="AC18" s="51">
        <f>+AC17-AC9</f>
        <v>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27</v>
      </c>
      <c r="C19" s="1"/>
      <c r="D19" s="5"/>
      <c r="E19" s="1"/>
      <c r="F19" s="1" t="s">
        <v>182</v>
      </c>
      <c r="G19" s="16" t="s">
        <v>395</v>
      </c>
      <c r="H19" s="86">
        <v>4630</v>
      </c>
      <c r="I19" s="1"/>
      <c r="J19" s="1" t="s">
        <v>27</v>
      </c>
      <c r="K19" s="1"/>
      <c r="L19" s="5"/>
      <c r="M19" s="1"/>
      <c r="N19" s="1" t="s">
        <v>27</v>
      </c>
      <c r="O19" s="1"/>
      <c r="P19" s="5"/>
      <c r="Q19" s="1"/>
      <c r="R19" s="1" t="s">
        <v>393</v>
      </c>
      <c r="S19" s="16" t="s">
        <v>391</v>
      </c>
      <c r="T19" s="86">
        <v>20500</v>
      </c>
      <c r="U19" s="1"/>
      <c r="V19" s="12"/>
      <c r="W19" s="40" t="s">
        <v>27</v>
      </c>
      <c r="X19" s="40"/>
      <c r="Y19" s="37">
        <f t="shared" si="8"/>
        <v>25130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 t="s">
        <v>400</v>
      </c>
      <c r="S22" s="1" t="s">
        <v>401</v>
      </c>
      <c r="T22" s="5">
        <v>171918</v>
      </c>
      <c r="U22" s="1"/>
      <c r="V22" s="12"/>
      <c r="W22" s="40"/>
      <c r="X22" s="40"/>
      <c r="Y22" s="37">
        <f t="shared" si="8"/>
        <v>171918</v>
      </c>
      <c r="Z22" s="13"/>
      <c r="AA22" s="1"/>
      <c r="AB22" s="88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8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36</v>
      </c>
      <c r="C23" s="1" t="s">
        <v>387</v>
      </c>
      <c r="D23" s="5">
        <v>2500</v>
      </c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47</v>
      </c>
      <c r="O23" s="1"/>
      <c r="P23" s="5"/>
      <c r="Q23" s="1"/>
      <c r="R23" s="1" t="s">
        <v>396</v>
      </c>
      <c r="S23" s="1" t="s">
        <v>203</v>
      </c>
      <c r="T23" s="5">
        <v>21669</v>
      </c>
      <c r="U23" s="1"/>
      <c r="V23" s="12"/>
      <c r="W23" s="40" t="s">
        <v>36</v>
      </c>
      <c r="X23" s="40"/>
      <c r="Y23" s="37">
        <f t="shared" si="8"/>
        <v>24169</v>
      </c>
      <c r="Z23" s="13"/>
      <c r="AA23" s="1"/>
      <c r="AB23" s="70" t="s">
        <v>408</v>
      </c>
      <c r="AC23" s="77">
        <v>45939</v>
      </c>
      <c r="AD23" s="70" t="s">
        <v>369</v>
      </c>
      <c r="AE23" s="70"/>
      <c r="AF23" s="70">
        <v>15774</v>
      </c>
      <c r="AG23" s="1"/>
      <c r="AH23" s="1"/>
      <c r="AI23" s="70" t="s">
        <v>97</v>
      </c>
      <c r="AJ23" s="70" t="s">
        <v>404</v>
      </c>
      <c r="AK23" s="70" t="s">
        <v>149</v>
      </c>
      <c r="AL23" s="73">
        <v>9217</v>
      </c>
    </row>
    <row r="24" spans="2:38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47</v>
      </c>
      <c r="O24" s="1"/>
      <c r="P24" s="5"/>
      <c r="Q24" s="1"/>
      <c r="R24" s="1" t="s">
        <v>397</v>
      </c>
      <c r="S24" s="1" t="s">
        <v>155</v>
      </c>
      <c r="T24" s="5">
        <v>104841</v>
      </c>
      <c r="U24" s="1"/>
      <c r="V24" s="12"/>
      <c r="W24" s="40" t="s">
        <v>37</v>
      </c>
      <c r="X24" s="40"/>
      <c r="Y24" s="37">
        <f t="shared" si="8"/>
        <v>104841</v>
      </c>
      <c r="Z24" s="13"/>
      <c r="AA24" s="1"/>
      <c r="AB24" s="70" t="s">
        <v>380</v>
      </c>
      <c r="AC24" s="71">
        <v>45918</v>
      </c>
      <c r="AD24" s="70" t="s">
        <v>410</v>
      </c>
      <c r="AE24" s="70"/>
      <c r="AF24" s="70">
        <v>74450</v>
      </c>
      <c r="AG24" s="1"/>
      <c r="AH24" s="1"/>
      <c r="AI24" s="70" t="s">
        <v>97</v>
      </c>
      <c r="AJ24" s="70" t="s">
        <v>405</v>
      </c>
      <c r="AK24" s="70" t="s">
        <v>407</v>
      </c>
      <c r="AL24" s="73">
        <v>5393</v>
      </c>
    </row>
    <row r="25" spans="2:38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47</v>
      </c>
      <c r="O25" s="1"/>
      <c r="P25" s="5"/>
      <c r="Q25" s="1"/>
      <c r="R25" s="1" t="s">
        <v>398</v>
      </c>
      <c r="S25" s="1" t="s">
        <v>205</v>
      </c>
      <c r="T25" s="5">
        <v>124771</v>
      </c>
      <c r="U25" s="1"/>
      <c r="V25" s="12"/>
      <c r="W25" s="40" t="s">
        <v>38</v>
      </c>
      <c r="X25" s="40"/>
      <c r="Y25" s="37">
        <f t="shared" si="8"/>
        <v>124771</v>
      </c>
      <c r="Z25" s="13"/>
      <c r="AA25" s="1"/>
      <c r="AB25" s="1"/>
      <c r="AC25" s="1"/>
      <c r="AD25" s="1"/>
      <c r="AE25" s="1"/>
      <c r="AF25" s="1"/>
      <c r="AG25" s="1"/>
      <c r="AH25" s="1"/>
      <c r="AI25" s="70" t="s">
        <v>97</v>
      </c>
      <c r="AJ25" s="70" t="s">
        <v>406</v>
      </c>
      <c r="AK25" s="70" t="s">
        <v>94</v>
      </c>
      <c r="AL25" s="73">
        <v>7850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399</v>
      </c>
      <c r="S26" s="1" t="s">
        <v>159</v>
      </c>
      <c r="T26" s="5">
        <v>22902</v>
      </c>
      <c r="U26" s="1"/>
      <c r="V26" s="12"/>
      <c r="W26" s="40"/>
      <c r="X26" s="40"/>
      <c r="Y26" s="37">
        <f t="shared" si="8"/>
        <v>22902</v>
      </c>
      <c r="Z26" s="13"/>
      <c r="AA26" s="1"/>
      <c r="AB26" s="1"/>
      <c r="AC26" s="1"/>
      <c r="AD26" s="1"/>
      <c r="AE26" s="1"/>
      <c r="AF26" s="20"/>
      <c r="AG26" s="1"/>
      <c r="AH26" s="1"/>
      <c r="AI26" s="70" t="s">
        <v>97</v>
      </c>
      <c r="AJ26" s="70" t="s">
        <v>50</v>
      </c>
      <c r="AK26" s="70" t="s">
        <v>264</v>
      </c>
      <c r="AL26" s="74">
        <v>6693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 t="s">
        <v>402</v>
      </c>
      <c r="S27" s="1" t="s">
        <v>403</v>
      </c>
      <c r="T27" s="5">
        <v>199</v>
      </c>
      <c r="U27" s="1"/>
      <c r="V27" s="12"/>
      <c r="W27" s="40"/>
      <c r="X27" s="40"/>
      <c r="Y27" s="37">
        <f t="shared" si="8"/>
        <v>199</v>
      </c>
      <c r="Z27" s="13"/>
      <c r="AA27" s="1"/>
      <c r="AB27" s="1"/>
      <c r="AC27" s="1"/>
      <c r="AD27" s="1"/>
      <c r="AE27" s="1"/>
      <c r="AF27" s="1"/>
      <c r="AG27" s="1"/>
      <c r="AH27" s="1"/>
      <c r="AI27" s="70" t="s">
        <v>98</v>
      </c>
      <c r="AJ27" s="70" t="s">
        <v>180</v>
      </c>
      <c r="AK27" s="70" t="s">
        <v>191</v>
      </c>
      <c r="AL27" s="74">
        <v>6420</v>
      </c>
    </row>
    <row r="28" spans="2:38" ht="15.75" thickBot="1">
      <c r="B28" s="114" t="s">
        <v>12</v>
      </c>
      <c r="C28" s="115"/>
      <c r="D28" s="9">
        <f>+SUM(D16:D27)</f>
        <v>85046</v>
      </c>
      <c r="E28" s="1"/>
      <c r="F28" s="114" t="s">
        <v>12</v>
      </c>
      <c r="G28" s="115"/>
      <c r="H28" s="9">
        <f>+SUM(H16:H27)</f>
        <v>117230</v>
      </c>
      <c r="I28" s="1"/>
      <c r="J28" s="114" t="s">
        <v>12</v>
      </c>
      <c r="K28" s="115"/>
      <c r="L28" s="9">
        <f>+SUM(L16:L27)</f>
        <v>72750</v>
      </c>
      <c r="M28" s="1"/>
      <c r="N28" s="114" t="s">
        <v>12</v>
      </c>
      <c r="O28" s="115"/>
      <c r="P28" s="9">
        <f>+SUM(P16:P27)</f>
        <v>89910</v>
      </c>
      <c r="Q28" s="1"/>
      <c r="R28" s="114" t="s">
        <v>12</v>
      </c>
      <c r="S28" s="115"/>
      <c r="T28" s="9">
        <f>+SUM(T16:T27)</f>
        <v>582060</v>
      </c>
      <c r="U28" s="1"/>
      <c r="V28" s="12"/>
      <c r="W28" s="114" t="s">
        <v>12</v>
      </c>
      <c r="X28" s="115"/>
      <c r="Y28" s="9">
        <f>+SUM(Y16:Y27)</f>
        <v>946996</v>
      </c>
      <c r="Z28" s="13"/>
      <c r="AA28" s="1"/>
      <c r="AB28" s="1"/>
      <c r="AC28" s="1"/>
      <c r="AD28" s="1"/>
      <c r="AE28" s="1"/>
      <c r="AF28" s="1"/>
      <c r="AG28" s="1"/>
      <c r="AH28" s="1"/>
      <c r="AI28" s="70" t="s">
        <v>380</v>
      </c>
      <c r="AJ28" s="70" t="s">
        <v>409</v>
      </c>
      <c r="AK28" s="70" t="s">
        <v>410</v>
      </c>
      <c r="AL28" s="62">
        <v>15000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62"/>
    </row>
    <row r="30" spans="2:38" ht="15.75" thickBot="1">
      <c r="B30" s="116" t="s">
        <v>40</v>
      </c>
      <c r="C30" s="116"/>
      <c r="D30" s="7">
        <f>+D28-D15</f>
        <v>-2374</v>
      </c>
      <c r="E30" s="1"/>
      <c r="F30" s="116" t="s">
        <v>40</v>
      </c>
      <c r="G30" s="116"/>
      <c r="H30" s="7">
        <f>+H28-H15</f>
        <v>-5660</v>
      </c>
      <c r="I30" s="1"/>
      <c r="J30" s="116" t="s">
        <v>40</v>
      </c>
      <c r="K30" s="116"/>
      <c r="L30" s="7">
        <f>+L28-L15</f>
        <v>-672</v>
      </c>
      <c r="M30" s="1"/>
      <c r="N30" s="116" t="s">
        <v>40</v>
      </c>
      <c r="O30" s="116"/>
      <c r="P30" s="7">
        <f>+P28-P15</f>
        <v>2</v>
      </c>
      <c r="Q30" s="1"/>
      <c r="R30" s="116" t="s">
        <v>40</v>
      </c>
      <c r="S30" s="116"/>
      <c r="T30" s="7">
        <f>+T28-T15</f>
        <v>-3433</v>
      </c>
      <c r="U30" s="1"/>
      <c r="V30" s="12"/>
      <c r="W30" s="113" t="s">
        <v>40</v>
      </c>
      <c r="X30" s="113"/>
      <c r="Y30" s="41">
        <f>+Y28-Y15</f>
        <v>-12137</v>
      </c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62"/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39</v>
      </c>
      <c r="AC31" s="60"/>
      <c r="AD31" s="60"/>
      <c r="AE31" s="60"/>
      <c r="AF31" s="55">
        <f>+SUM(AF23:AF30)</f>
        <v>90224</v>
      </c>
      <c r="AG31" s="1"/>
      <c r="AH31" s="1"/>
      <c r="AI31" s="60" t="s">
        <v>39</v>
      </c>
      <c r="AJ31" s="60"/>
      <c r="AK31" s="60"/>
      <c r="AL31" s="55">
        <f>+SUM(AL23:AL30)</f>
        <v>50573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>
      <c r="B34" s="10" t="s">
        <v>41</v>
      </c>
      <c r="C34" s="11"/>
      <c r="D34" s="21">
        <v>2056</v>
      </c>
      <c r="E34" s="1"/>
      <c r="F34" s="10" t="s">
        <v>41</v>
      </c>
      <c r="G34" s="11"/>
      <c r="H34" s="21">
        <v>5660</v>
      </c>
      <c r="I34" s="1"/>
      <c r="J34" s="10" t="s">
        <v>41</v>
      </c>
      <c r="K34" s="11"/>
      <c r="L34" s="21">
        <v>672</v>
      </c>
      <c r="M34" s="1"/>
      <c r="N34" s="10" t="s">
        <v>41</v>
      </c>
      <c r="O34" s="11"/>
      <c r="P34" s="21"/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8388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>
      <c r="B35" s="12" t="s">
        <v>389</v>
      </c>
      <c r="C35" s="16"/>
      <c r="D35" s="22">
        <v>318</v>
      </c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/>
      <c r="Q35" s="1"/>
      <c r="R35" s="12" t="s">
        <v>382</v>
      </c>
      <c r="S35" s="16"/>
      <c r="T35" s="22">
        <v>3477</v>
      </c>
      <c r="U35" s="1"/>
      <c r="V35" s="1"/>
      <c r="W35" s="45" t="s">
        <v>42</v>
      </c>
      <c r="X35" s="40"/>
      <c r="Y35" s="46">
        <f t="shared" ref="Y35:Y36" si="9">+D35+H35+L35+P35+T35</f>
        <v>3795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44</v>
      </c>
      <c r="C36" s="16"/>
      <c r="D36" s="22"/>
      <c r="E36" s="1"/>
      <c r="F36" s="12" t="s">
        <v>44</v>
      </c>
      <c r="G36" s="16"/>
      <c r="H36" s="22"/>
      <c r="I36" s="1"/>
      <c r="J36" s="12" t="s">
        <v>44</v>
      </c>
      <c r="K36" s="16"/>
      <c r="L36" s="22"/>
      <c r="M36" s="1"/>
      <c r="N36" s="12" t="s">
        <v>44</v>
      </c>
      <c r="O36" s="16"/>
      <c r="P36" s="22">
        <v>-2</v>
      </c>
      <c r="Q36" s="1"/>
      <c r="R36" s="12" t="s">
        <v>44</v>
      </c>
      <c r="S36" s="16"/>
      <c r="T36" s="22">
        <v>-44</v>
      </c>
      <c r="U36" s="1"/>
      <c r="V36" s="1"/>
      <c r="W36" s="45" t="s">
        <v>43</v>
      </c>
      <c r="X36" s="40"/>
      <c r="Y36" s="46">
        <f t="shared" si="9"/>
        <v>-46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>
      <c r="B37" s="12" t="s">
        <v>18</v>
      </c>
      <c r="C37" s="16"/>
      <c r="D37" s="22">
        <f>+SUM(D34:D36)</f>
        <v>2374</v>
      </c>
      <c r="E37" s="1"/>
      <c r="F37" s="12" t="s">
        <v>18</v>
      </c>
      <c r="G37" s="16"/>
      <c r="H37" s="22">
        <f>+SUM(H34:H36)</f>
        <v>5660</v>
      </c>
      <c r="I37" s="1"/>
      <c r="J37" s="12" t="s">
        <v>18</v>
      </c>
      <c r="K37" s="16"/>
      <c r="L37" s="22">
        <f>+SUM(L34:L36)</f>
        <v>672</v>
      </c>
      <c r="M37" s="1"/>
      <c r="N37" s="12" t="s">
        <v>18</v>
      </c>
      <c r="O37" s="16"/>
      <c r="P37" s="22">
        <f>+SUM(P34:P36)</f>
        <v>-2</v>
      </c>
      <c r="Q37" s="1"/>
      <c r="R37" s="12" t="s">
        <v>18</v>
      </c>
      <c r="S37" s="16"/>
      <c r="T37" s="22">
        <f>+SUM(T34:T36)</f>
        <v>3433</v>
      </c>
      <c r="U37" s="1"/>
      <c r="V37" s="1"/>
      <c r="W37" s="33" t="s">
        <v>18</v>
      </c>
      <c r="X37" s="34"/>
      <c r="Y37" s="35">
        <f>+SUM(Y34:Y36)</f>
        <v>12137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2:AL38"/>
  <sheetViews>
    <sheetView zoomScale="80" zoomScaleNormal="80" workbookViewId="0">
      <selection activeCell="AD1" sqref="AD1:AD1048576"/>
    </sheetView>
  </sheetViews>
  <sheetFormatPr defaultRowHeight="15"/>
  <cols>
    <col min="3" max="3" width="14" bestFit="1" customWidth="1"/>
    <col min="4" max="4" width="8.7109375" customWidth="1"/>
    <col min="5" max="5" width="0.5703125" customWidth="1"/>
    <col min="7" max="7" width="13.85546875" bestFit="1" customWidth="1"/>
    <col min="9" max="9" width="0.5703125" customWidth="1"/>
    <col min="11" max="11" width="13.140625" bestFit="1" customWidth="1"/>
    <col min="13" max="13" width="0.42578125" customWidth="1"/>
    <col min="15" max="15" width="14" bestFit="1" customWidth="1"/>
    <col min="17" max="17" width="0.28515625" customWidth="1"/>
    <col min="20" max="20" width="9.5703125" bestFit="1" customWidth="1"/>
    <col min="21" max="21" width="0.5703125" customWidth="1"/>
    <col min="22" max="22" width="1.28515625" customWidth="1"/>
    <col min="25" max="25" width="9.5703125" bestFit="1" customWidth="1"/>
    <col min="26" max="26" width="1.42578125" customWidth="1"/>
    <col min="27" max="27" width="0.28515625" customWidth="1"/>
    <col min="28" max="28" width="15.28515625" bestFit="1" customWidth="1"/>
    <col min="29" max="29" width="10.5703125" bestFit="1" customWidth="1"/>
    <col min="32" max="32" width="8.7109375" customWidth="1"/>
    <col min="33" max="33" width="1.28515625" customWidth="1"/>
    <col min="34" max="34" width="8.7109375" hidden="1" customWidth="1"/>
    <col min="37" max="37" width="9.5703125" customWidth="1"/>
  </cols>
  <sheetData>
    <row r="2" spans="2:38" ht="15.75" thickBot="1"/>
    <row r="3" spans="2:38">
      <c r="B3" s="111" t="s">
        <v>127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270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42</v>
      </c>
      <c r="D6" s="36">
        <f>+C6*B6</f>
        <v>420</v>
      </c>
      <c r="E6" s="1"/>
      <c r="F6" s="2">
        <v>10</v>
      </c>
      <c r="G6" s="2">
        <v>22</v>
      </c>
      <c r="H6" s="36">
        <f>+G6*F6</f>
        <v>220</v>
      </c>
      <c r="I6" s="1"/>
      <c r="J6" s="2">
        <v>10</v>
      </c>
      <c r="K6" s="2">
        <v>113</v>
      </c>
      <c r="L6" s="36">
        <f>+K6*J6</f>
        <v>1130</v>
      </c>
      <c r="M6" s="1"/>
      <c r="N6" s="2">
        <v>10</v>
      </c>
      <c r="O6" s="2">
        <v>76</v>
      </c>
      <c r="P6" s="36">
        <f>+O6*N6</f>
        <v>760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253</v>
      </c>
      <c r="Y6" s="37">
        <f>+D6+H6+L6+P6+T6</f>
        <v>2530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7</v>
      </c>
      <c r="D7" s="36">
        <f t="shared" ref="D7:D12" si="1">+C7*B7</f>
        <v>140</v>
      </c>
      <c r="E7" s="1"/>
      <c r="F7" s="2">
        <v>20</v>
      </c>
      <c r="G7" s="2">
        <v>17</v>
      </c>
      <c r="H7" s="36">
        <f t="shared" ref="H7:H12" si="2">+G7*F7</f>
        <v>340</v>
      </c>
      <c r="I7" s="1"/>
      <c r="J7" s="2">
        <v>20</v>
      </c>
      <c r="K7" s="2">
        <v>7</v>
      </c>
      <c r="L7" s="36">
        <f t="shared" ref="L7:L12" si="3">+K7*J7</f>
        <v>140</v>
      </c>
      <c r="M7" s="1"/>
      <c r="N7" s="2">
        <v>20</v>
      </c>
      <c r="O7" s="2">
        <v>5</v>
      </c>
      <c r="P7" s="36">
        <f t="shared" ref="P7:P12" si="4">+O7*N7</f>
        <v>100</v>
      </c>
      <c r="Q7" s="1"/>
      <c r="R7" s="2">
        <v>20</v>
      </c>
      <c r="S7" s="2">
        <v>1</v>
      </c>
      <c r="T7" s="36">
        <f t="shared" ref="T7:T12" si="5">+S7*R7</f>
        <v>20</v>
      </c>
      <c r="U7" s="1"/>
      <c r="V7" s="12"/>
      <c r="W7" s="39">
        <v>20</v>
      </c>
      <c r="X7" s="39">
        <f>+C7+G7+K7+O7+S7</f>
        <v>37</v>
      </c>
      <c r="Y7" s="37">
        <f t="shared" ref="Y7:Y12" si="6">+D7+H7+L7+P7+T7</f>
        <v>740</v>
      </c>
      <c r="Z7" s="13"/>
      <c r="AA7" s="1"/>
      <c r="AB7" s="56" t="s">
        <v>10</v>
      </c>
      <c r="AC7" s="57">
        <f>Y13</f>
        <v>273670</v>
      </c>
      <c r="AD7" s="26"/>
      <c r="AE7" s="26"/>
      <c r="AF7" s="26"/>
      <c r="AG7" s="26"/>
      <c r="AH7" s="1"/>
      <c r="AI7" s="2">
        <v>10</v>
      </c>
      <c r="AJ7" s="2">
        <v>358</v>
      </c>
      <c r="AK7" s="36">
        <f t="shared" si="0"/>
        <v>3580</v>
      </c>
      <c r="AL7" s="1"/>
    </row>
    <row r="8" spans="2:38">
      <c r="B8" s="2">
        <v>50</v>
      </c>
      <c r="C8" s="2">
        <v>53</v>
      </c>
      <c r="D8" s="36">
        <f t="shared" si="1"/>
        <v>2650</v>
      </c>
      <c r="E8" s="1"/>
      <c r="F8" s="2">
        <v>50</v>
      </c>
      <c r="G8" s="2">
        <v>19</v>
      </c>
      <c r="H8" s="36">
        <f t="shared" si="2"/>
        <v>950</v>
      </c>
      <c r="I8" s="1"/>
      <c r="J8" s="2">
        <v>50</v>
      </c>
      <c r="K8" s="2">
        <v>22</v>
      </c>
      <c r="L8" s="36">
        <f t="shared" si="3"/>
        <v>1100</v>
      </c>
      <c r="M8" s="1"/>
      <c r="N8" s="2">
        <v>50</v>
      </c>
      <c r="O8" s="2">
        <v>16</v>
      </c>
      <c r="P8" s="36">
        <f t="shared" si="4"/>
        <v>800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110</v>
      </c>
      <c r="Y8" s="37">
        <f t="shared" si="6"/>
        <v>5500</v>
      </c>
      <c r="Z8" s="13"/>
      <c r="AA8" s="1"/>
      <c r="AB8" s="53" t="s">
        <v>11</v>
      </c>
      <c r="AC8" s="53">
        <f>+AF31</f>
        <v>179149</v>
      </c>
      <c r="AD8" s="1"/>
      <c r="AE8" s="1"/>
      <c r="AF8" s="1"/>
      <c r="AG8" s="1"/>
      <c r="AH8" s="1"/>
      <c r="AI8" s="2">
        <v>20</v>
      </c>
      <c r="AJ8" s="2">
        <v>37</v>
      </c>
      <c r="AK8" s="36">
        <f t="shared" si="0"/>
        <v>740</v>
      </c>
      <c r="AL8" s="1"/>
    </row>
    <row r="9" spans="2:38" ht="15.75" thickBot="1">
      <c r="B9" s="2">
        <v>100</v>
      </c>
      <c r="C9" s="2">
        <v>50</v>
      </c>
      <c r="D9" s="36">
        <f t="shared" si="1"/>
        <v>5000</v>
      </c>
      <c r="E9" s="1"/>
      <c r="F9" s="2">
        <v>100</v>
      </c>
      <c r="G9" s="2">
        <v>22</v>
      </c>
      <c r="H9" s="36">
        <f t="shared" si="2"/>
        <v>2200</v>
      </c>
      <c r="I9" s="1"/>
      <c r="J9" s="2">
        <v>100</v>
      </c>
      <c r="K9" s="2">
        <v>26</v>
      </c>
      <c r="L9" s="36">
        <f t="shared" si="3"/>
        <v>2600</v>
      </c>
      <c r="M9" s="1"/>
      <c r="N9" s="2">
        <v>100</v>
      </c>
      <c r="O9" s="2">
        <v>53</v>
      </c>
      <c r="P9" s="36">
        <f t="shared" si="4"/>
        <v>5300</v>
      </c>
      <c r="Q9" s="1"/>
      <c r="R9" s="2">
        <v>100</v>
      </c>
      <c r="S9" s="2">
        <v>3</v>
      </c>
      <c r="T9" s="36">
        <f t="shared" si="5"/>
        <v>300</v>
      </c>
      <c r="U9" s="1"/>
      <c r="V9" s="12"/>
      <c r="W9" s="39">
        <v>100</v>
      </c>
      <c r="X9" s="39">
        <f t="shared" si="7"/>
        <v>154</v>
      </c>
      <c r="Y9" s="37">
        <f t="shared" si="6"/>
        <v>15400</v>
      </c>
      <c r="Z9" s="13"/>
      <c r="AA9" s="1"/>
      <c r="AB9" s="58" t="s">
        <v>12</v>
      </c>
      <c r="AC9" s="59">
        <f>SUM(AC7:AC8)</f>
        <v>452819</v>
      </c>
      <c r="AD9" s="1"/>
      <c r="AE9" s="1"/>
      <c r="AF9" s="1"/>
      <c r="AG9" s="1"/>
      <c r="AH9" s="1"/>
      <c r="AI9" s="2">
        <v>50</v>
      </c>
      <c r="AJ9" s="2">
        <v>160</v>
      </c>
      <c r="AK9" s="36">
        <f t="shared" si="0"/>
        <v>8000</v>
      </c>
      <c r="AL9" s="1"/>
    </row>
    <row r="10" spans="2:38">
      <c r="B10" s="2">
        <v>500</v>
      </c>
      <c r="C10" s="2">
        <v>9</v>
      </c>
      <c r="D10" s="36">
        <f t="shared" si="1"/>
        <v>4500</v>
      </c>
      <c r="E10" s="1"/>
      <c r="F10" s="2">
        <v>500</v>
      </c>
      <c r="G10" s="2">
        <v>22</v>
      </c>
      <c r="H10" s="36">
        <f t="shared" si="2"/>
        <v>11000</v>
      </c>
      <c r="I10" s="1"/>
      <c r="J10" s="2">
        <v>500</v>
      </c>
      <c r="K10" s="2">
        <v>34</v>
      </c>
      <c r="L10" s="36">
        <f t="shared" si="3"/>
        <v>17000</v>
      </c>
      <c r="M10" s="1"/>
      <c r="N10" s="2">
        <v>500</v>
      </c>
      <c r="O10" s="2">
        <v>34</v>
      </c>
      <c r="P10" s="36">
        <f t="shared" si="4"/>
        <v>17000</v>
      </c>
      <c r="Q10" s="1"/>
      <c r="R10" s="2">
        <v>500</v>
      </c>
      <c r="S10" s="2">
        <v>12</v>
      </c>
      <c r="T10" s="36">
        <f t="shared" si="5"/>
        <v>6000</v>
      </c>
      <c r="U10" s="1"/>
      <c r="V10" s="12"/>
      <c r="W10" s="39">
        <v>500</v>
      </c>
      <c r="X10" s="39">
        <f t="shared" si="7"/>
        <v>111</v>
      </c>
      <c r="Y10" s="37">
        <f t="shared" si="6"/>
        <v>55500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560</v>
      </c>
      <c r="AK10" s="36">
        <f t="shared" si="0"/>
        <v>56000</v>
      </c>
      <c r="AL10" s="1"/>
    </row>
    <row r="11" spans="2:38">
      <c r="B11" s="2">
        <v>1000</v>
      </c>
      <c r="C11" s="2">
        <v>35</v>
      </c>
      <c r="D11" s="36">
        <f t="shared" si="1"/>
        <v>35000</v>
      </c>
      <c r="E11" s="1"/>
      <c r="F11" s="2">
        <v>1000</v>
      </c>
      <c r="G11" s="2">
        <v>47</v>
      </c>
      <c r="H11" s="36">
        <f t="shared" si="2"/>
        <v>47000</v>
      </c>
      <c r="I11" s="1"/>
      <c r="J11" s="2">
        <v>1000</v>
      </c>
      <c r="K11" s="2">
        <v>35</v>
      </c>
      <c r="L11" s="36">
        <f t="shared" si="3"/>
        <v>35000</v>
      </c>
      <c r="M11" s="1"/>
      <c r="N11" s="2">
        <v>1000</v>
      </c>
      <c r="O11" s="2">
        <v>21</v>
      </c>
      <c r="P11" s="36">
        <f t="shared" si="4"/>
        <v>21000</v>
      </c>
      <c r="Q11" s="1"/>
      <c r="R11" s="2">
        <v>1000</v>
      </c>
      <c r="S11" s="2">
        <v>21</v>
      </c>
      <c r="T11" s="36">
        <f t="shared" si="5"/>
        <v>21000</v>
      </c>
      <c r="U11" s="1"/>
      <c r="V11" s="12"/>
      <c r="W11" s="39">
        <v>1000</v>
      </c>
      <c r="X11" s="39">
        <f t="shared" si="7"/>
        <v>159</v>
      </c>
      <c r="Y11" s="37">
        <f t="shared" si="6"/>
        <v>159000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111</v>
      </c>
      <c r="AK11" s="36">
        <f t="shared" si="0"/>
        <v>55500</v>
      </c>
      <c r="AL11" s="1"/>
    </row>
    <row r="12" spans="2:38">
      <c r="B12" s="2">
        <v>5000</v>
      </c>
      <c r="C12" s="2">
        <v>2</v>
      </c>
      <c r="D12" s="36">
        <f t="shared" si="1"/>
        <v>10000</v>
      </c>
      <c r="E12" s="1"/>
      <c r="F12" s="2">
        <v>5000</v>
      </c>
      <c r="G12" s="2">
        <v>2</v>
      </c>
      <c r="H12" s="36">
        <f t="shared" si="2"/>
        <v>10000</v>
      </c>
      <c r="I12" s="1"/>
      <c r="J12" s="2">
        <v>5000</v>
      </c>
      <c r="K12" s="2">
        <v>3</v>
      </c>
      <c r="L12" s="36">
        <f t="shared" si="3"/>
        <v>15000</v>
      </c>
      <c r="M12" s="1"/>
      <c r="N12" s="2">
        <v>5000</v>
      </c>
      <c r="O12" s="2"/>
      <c r="P12" s="36">
        <f t="shared" si="4"/>
        <v>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7</v>
      </c>
      <c r="Y12" s="37">
        <f t="shared" si="6"/>
        <v>35000</v>
      </c>
      <c r="Z12" s="13"/>
      <c r="AA12" s="1"/>
      <c r="AB12" s="1" t="s">
        <v>17</v>
      </c>
      <c r="AC12" s="5">
        <v>441020</v>
      </c>
      <c r="AD12" s="1">
        <v>994084</v>
      </c>
      <c r="AE12" s="52" t="s">
        <v>433</v>
      </c>
      <c r="AF12" s="1" t="s">
        <v>110</v>
      </c>
      <c r="AG12" s="1"/>
      <c r="AH12" s="1"/>
      <c r="AI12" s="2">
        <v>1000</v>
      </c>
      <c r="AJ12" s="2">
        <v>161</v>
      </c>
      <c r="AK12" s="36">
        <f t="shared" si="0"/>
        <v>161000</v>
      </c>
      <c r="AL12" s="1"/>
    </row>
    <row r="13" spans="2:38" ht="15.75" thickBot="1">
      <c r="B13" s="3" t="s">
        <v>18</v>
      </c>
      <c r="C13" s="3"/>
      <c r="D13" s="6">
        <f>+SUM(D5:D12)</f>
        <v>57710</v>
      </c>
      <c r="E13" s="1"/>
      <c r="F13" s="3" t="s">
        <v>18</v>
      </c>
      <c r="G13" s="3"/>
      <c r="H13" s="6">
        <f>+SUM(H5:H12)</f>
        <v>71710</v>
      </c>
      <c r="I13" s="1"/>
      <c r="J13" s="3" t="s">
        <v>18</v>
      </c>
      <c r="K13" s="3"/>
      <c r="L13" s="6">
        <f>+SUM(L5:L12)</f>
        <v>71970</v>
      </c>
      <c r="M13" s="1"/>
      <c r="N13" s="3" t="s">
        <v>18</v>
      </c>
      <c r="O13" s="3"/>
      <c r="P13" s="6">
        <f>+SUM(P5:P12)</f>
        <v>44960</v>
      </c>
      <c r="Q13" s="1"/>
      <c r="R13" s="3" t="s">
        <v>18</v>
      </c>
      <c r="S13" s="3"/>
      <c r="T13" s="6">
        <f>+SUM(T5:T12)</f>
        <v>27320</v>
      </c>
      <c r="U13" s="1"/>
      <c r="V13" s="12"/>
      <c r="W13" s="3" t="s">
        <v>18</v>
      </c>
      <c r="X13" s="3"/>
      <c r="Y13" s="6">
        <f>+SUM(Y5:Y12)</f>
        <v>273670</v>
      </c>
      <c r="Z13" s="13"/>
      <c r="AA13" s="1"/>
      <c r="AB13" s="1" t="s">
        <v>19</v>
      </c>
      <c r="AC13" s="5">
        <v>1000</v>
      </c>
      <c r="AD13" s="1" t="s">
        <v>432</v>
      </c>
      <c r="AE13" s="1"/>
      <c r="AF13" s="1"/>
      <c r="AG13" s="1"/>
      <c r="AH13" s="1"/>
      <c r="AI13" s="2">
        <v>5000</v>
      </c>
      <c r="AJ13" s="2">
        <v>31</v>
      </c>
      <c r="AK13" s="36">
        <f t="shared" si="0"/>
        <v>155000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01" t="s">
        <v>429</v>
      </c>
      <c r="AC14" s="100">
        <v>4000</v>
      </c>
      <c r="AD14" s="1" t="s">
        <v>430</v>
      </c>
      <c r="AE14" s="1"/>
      <c r="AF14" s="1"/>
      <c r="AG14" s="1"/>
      <c r="AH14" s="1"/>
      <c r="AI14" s="3" t="s">
        <v>18</v>
      </c>
      <c r="AJ14" s="3"/>
      <c r="AK14" s="6">
        <f>+SUM(AK6:AK13)</f>
        <v>439820</v>
      </c>
      <c r="AL14" s="1"/>
    </row>
    <row r="15" spans="2:38" ht="15.75" thickBot="1">
      <c r="B15" s="109" t="s">
        <v>21</v>
      </c>
      <c r="C15" s="110"/>
      <c r="D15" s="8">
        <v>74218</v>
      </c>
      <c r="E15" s="30"/>
      <c r="F15" s="109" t="s">
        <v>21</v>
      </c>
      <c r="G15" s="110"/>
      <c r="H15" s="8">
        <v>75903</v>
      </c>
      <c r="I15" s="30"/>
      <c r="J15" s="109" t="s">
        <v>21</v>
      </c>
      <c r="K15" s="110"/>
      <c r="L15" s="8">
        <v>96454</v>
      </c>
      <c r="M15" s="30"/>
      <c r="N15" s="109" t="s">
        <v>21</v>
      </c>
      <c r="O15" s="110"/>
      <c r="P15" s="8">
        <v>51425</v>
      </c>
      <c r="Q15" s="30"/>
      <c r="R15" s="109" t="s">
        <v>21</v>
      </c>
      <c r="S15" s="110"/>
      <c r="T15" s="8">
        <v>687195</v>
      </c>
      <c r="U15" s="30"/>
      <c r="V15" s="31"/>
      <c r="W15" s="109" t="s">
        <v>21</v>
      </c>
      <c r="X15" s="110"/>
      <c r="Y15" s="8">
        <f>+D15+H15+L15+P15+T15</f>
        <v>985195</v>
      </c>
      <c r="Z15" s="32"/>
      <c r="AA15" s="30"/>
      <c r="AB15" s="101" t="s">
        <v>428</v>
      </c>
      <c r="AC15" s="100">
        <v>5000</v>
      </c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57710</v>
      </c>
      <c r="E16" s="1"/>
      <c r="F16" s="1" t="s">
        <v>10</v>
      </c>
      <c r="G16" s="1"/>
      <c r="H16" s="5">
        <f>+H13</f>
        <v>71710</v>
      </c>
      <c r="I16" s="1"/>
      <c r="J16" s="1" t="s">
        <v>10</v>
      </c>
      <c r="K16" s="1"/>
      <c r="L16" s="5">
        <f>+L13</f>
        <v>71970</v>
      </c>
      <c r="M16" s="1"/>
      <c r="N16" s="1" t="s">
        <v>10</v>
      </c>
      <c r="O16" s="1"/>
      <c r="P16" s="5">
        <f>+P13</f>
        <v>44960</v>
      </c>
      <c r="Q16" s="1"/>
      <c r="R16" s="1" t="s">
        <v>10</v>
      </c>
      <c r="S16" s="1"/>
      <c r="T16" s="5">
        <f>+T13</f>
        <v>27320</v>
      </c>
      <c r="U16" s="1"/>
      <c r="V16" s="12"/>
      <c r="W16" s="40" t="s">
        <v>10</v>
      </c>
      <c r="X16" s="40"/>
      <c r="Y16" s="37">
        <f>+D16+H16+L16+P16+T16</f>
        <v>273670</v>
      </c>
      <c r="Z16" s="13"/>
      <c r="AA16" s="1"/>
      <c r="AB16" s="101" t="s">
        <v>427</v>
      </c>
      <c r="AC16" s="100">
        <v>4000</v>
      </c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>
        <v>2000</v>
      </c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2000</v>
      </c>
      <c r="Z17" s="13"/>
      <c r="AA17" s="1"/>
      <c r="AB17" s="48" t="s">
        <v>12</v>
      </c>
      <c r="AC17" s="49">
        <f>+SUM(AC12:AC16)</f>
        <v>455020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424</v>
      </c>
      <c r="C18" s="1" t="s">
        <v>425</v>
      </c>
      <c r="D18" s="5">
        <v>10875</v>
      </c>
      <c r="E18" s="1"/>
      <c r="F18" s="1" t="s">
        <v>138</v>
      </c>
      <c r="G18" s="1" t="s">
        <v>417</v>
      </c>
      <c r="H18" s="5">
        <v>4500</v>
      </c>
      <c r="I18" s="1"/>
      <c r="J18" s="1" t="s">
        <v>238</v>
      </c>
      <c r="K18" s="16" t="s">
        <v>416</v>
      </c>
      <c r="L18" s="5">
        <v>24920</v>
      </c>
      <c r="M18" s="1"/>
      <c r="N18" s="1" t="s">
        <v>359</v>
      </c>
      <c r="O18" s="16" t="s">
        <v>415</v>
      </c>
      <c r="P18" s="5">
        <v>6600</v>
      </c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46895</v>
      </c>
      <c r="Z18" s="13"/>
      <c r="AA18" s="1"/>
      <c r="AB18" s="50" t="s">
        <v>25</v>
      </c>
      <c r="AC18" s="51">
        <f>+AC17-AC9</f>
        <v>2201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376</v>
      </c>
      <c r="C19" s="1" t="s">
        <v>426</v>
      </c>
      <c r="D19" s="5">
        <v>5095</v>
      </c>
      <c r="E19" s="1"/>
      <c r="F19" s="1" t="s">
        <v>138</v>
      </c>
      <c r="G19" s="1" t="s">
        <v>418</v>
      </c>
      <c r="H19" s="5">
        <v>5410</v>
      </c>
      <c r="I19" s="1"/>
      <c r="J19" s="1" t="s">
        <v>27</v>
      </c>
      <c r="K19" s="1"/>
      <c r="L19" s="5"/>
      <c r="M19" s="1"/>
      <c r="N19" s="1" t="s">
        <v>27</v>
      </c>
      <c r="O19" s="1"/>
      <c r="P19" s="5"/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10505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47</v>
      </c>
      <c r="O23" s="1"/>
      <c r="P23" s="5"/>
      <c r="Q23" s="1"/>
      <c r="R23" s="1" t="s">
        <v>419</v>
      </c>
      <c r="S23" s="1" t="s">
        <v>420</v>
      </c>
      <c r="T23" s="5">
        <v>466463</v>
      </c>
      <c r="U23" s="1"/>
      <c r="V23" s="12"/>
      <c r="W23" s="40" t="s">
        <v>36</v>
      </c>
      <c r="X23" s="40"/>
      <c r="Y23" s="37">
        <f t="shared" si="8"/>
        <v>466463</v>
      </c>
      <c r="Z23" s="13"/>
      <c r="AA23" s="1"/>
      <c r="AB23" s="70" t="s">
        <v>413</v>
      </c>
      <c r="AC23" s="82">
        <v>45933</v>
      </c>
      <c r="AD23" s="70" t="s">
        <v>159</v>
      </c>
      <c r="AE23" s="70"/>
      <c r="AF23" s="70">
        <v>42689</v>
      </c>
      <c r="AG23" s="1"/>
      <c r="AH23" s="1"/>
      <c r="AI23" s="1" t="s">
        <v>411</v>
      </c>
      <c r="AJ23" s="1" t="s">
        <v>412</v>
      </c>
      <c r="AK23" s="1"/>
      <c r="AL23" s="62">
        <v>4900</v>
      </c>
    </row>
    <row r="24" spans="2:38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47</v>
      </c>
      <c r="O24" s="1"/>
      <c r="P24" s="5"/>
      <c r="Q24" s="1"/>
      <c r="R24" s="1" t="s">
        <v>421</v>
      </c>
      <c r="S24" s="1" t="s">
        <v>422</v>
      </c>
      <c r="T24" s="5">
        <v>100432</v>
      </c>
      <c r="U24" s="1"/>
      <c r="V24" s="12"/>
      <c r="W24" s="40" t="s">
        <v>37</v>
      </c>
      <c r="X24" s="40"/>
      <c r="Y24" s="37">
        <f t="shared" si="8"/>
        <v>100432</v>
      </c>
      <c r="Z24" s="13"/>
      <c r="AA24" s="1"/>
      <c r="AB24" s="70" t="s">
        <v>414</v>
      </c>
      <c r="AC24" s="82">
        <v>45938</v>
      </c>
      <c r="AD24" s="70" t="s">
        <v>321</v>
      </c>
      <c r="AE24" s="70"/>
      <c r="AF24" s="70">
        <v>11395</v>
      </c>
      <c r="AG24" s="1"/>
      <c r="AH24" s="1"/>
      <c r="AI24" s="1" t="s">
        <v>67</v>
      </c>
      <c r="AJ24" s="1" t="s">
        <v>168</v>
      </c>
      <c r="AK24" s="1"/>
      <c r="AL24" s="62">
        <v>2000</v>
      </c>
    </row>
    <row r="25" spans="2:38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47</v>
      </c>
      <c r="O25" s="1"/>
      <c r="P25" s="5"/>
      <c r="Q25" s="1"/>
      <c r="R25" s="1" t="s">
        <v>423</v>
      </c>
      <c r="S25" s="1" t="s">
        <v>317</v>
      </c>
      <c r="T25" s="5">
        <v>92147</v>
      </c>
      <c r="U25" s="1"/>
      <c r="V25" s="12"/>
      <c r="W25" s="40" t="s">
        <v>38</v>
      </c>
      <c r="X25" s="40"/>
      <c r="Y25" s="37">
        <f t="shared" si="8"/>
        <v>92147</v>
      </c>
      <c r="Z25" s="13"/>
      <c r="AA25" s="1"/>
      <c r="AB25" s="70" t="s">
        <v>380</v>
      </c>
      <c r="AC25" s="71">
        <v>45918</v>
      </c>
      <c r="AD25" s="70" t="s">
        <v>410</v>
      </c>
      <c r="AE25" s="70"/>
      <c r="AF25" s="70">
        <v>65</v>
      </c>
      <c r="AG25" s="1"/>
      <c r="AH25" s="1"/>
      <c r="AI25" s="1"/>
      <c r="AJ25" s="1"/>
      <c r="AK25" s="1"/>
      <c r="AL25" s="62"/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70" t="s">
        <v>431</v>
      </c>
      <c r="AC26" s="71">
        <v>45922</v>
      </c>
      <c r="AD26" s="70" t="s">
        <v>420</v>
      </c>
      <c r="AE26" s="70"/>
      <c r="AF26" s="70">
        <v>125000</v>
      </c>
      <c r="AG26" s="1"/>
      <c r="AH26" s="1"/>
      <c r="AI26" s="1"/>
      <c r="AJ26" s="1"/>
      <c r="AK26" s="1"/>
      <c r="AL26" s="62"/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62"/>
    </row>
    <row r="28" spans="2:38" ht="15.75" thickBot="1">
      <c r="B28" s="114" t="s">
        <v>12</v>
      </c>
      <c r="C28" s="115"/>
      <c r="D28" s="9">
        <f>+SUM(D16:D27)</f>
        <v>75680</v>
      </c>
      <c r="E28" s="1"/>
      <c r="F28" s="114" t="s">
        <v>12</v>
      </c>
      <c r="G28" s="115"/>
      <c r="H28" s="9">
        <f>+SUM(H16:H27)</f>
        <v>81620</v>
      </c>
      <c r="I28" s="1"/>
      <c r="J28" s="114" t="s">
        <v>12</v>
      </c>
      <c r="K28" s="115"/>
      <c r="L28" s="9">
        <f>+SUM(L16:L27)</f>
        <v>96890</v>
      </c>
      <c r="M28" s="1"/>
      <c r="N28" s="114" t="s">
        <v>12</v>
      </c>
      <c r="O28" s="115"/>
      <c r="P28" s="9">
        <f>+SUM(P16:P27)</f>
        <v>51560</v>
      </c>
      <c r="Q28" s="1"/>
      <c r="R28" s="114" t="s">
        <v>12</v>
      </c>
      <c r="S28" s="115"/>
      <c r="T28" s="9">
        <f>+SUM(T16:T27)</f>
        <v>686362</v>
      </c>
      <c r="U28" s="1"/>
      <c r="V28" s="12"/>
      <c r="W28" s="114" t="s">
        <v>12</v>
      </c>
      <c r="X28" s="115"/>
      <c r="Y28" s="9">
        <f>+SUM(Y16:Y27)</f>
        <v>992112</v>
      </c>
      <c r="Z28" s="13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62"/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62"/>
    </row>
    <row r="30" spans="2:38" ht="15.75" thickBot="1">
      <c r="B30" s="116" t="s">
        <v>40</v>
      </c>
      <c r="C30" s="116"/>
      <c r="D30" s="7">
        <f>+D28-D15</f>
        <v>1462</v>
      </c>
      <c r="E30" s="1"/>
      <c r="F30" s="116" t="s">
        <v>40</v>
      </c>
      <c r="G30" s="116"/>
      <c r="H30" s="7">
        <f>+H28-H15</f>
        <v>5717</v>
      </c>
      <c r="I30" s="1"/>
      <c r="J30" s="116" t="s">
        <v>40</v>
      </c>
      <c r="K30" s="116"/>
      <c r="L30" s="7">
        <f>+L28-L15</f>
        <v>436</v>
      </c>
      <c r="M30" s="1"/>
      <c r="N30" s="116" t="s">
        <v>40</v>
      </c>
      <c r="O30" s="116"/>
      <c r="P30" s="7">
        <f>+P28-P15</f>
        <v>135</v>
      </c>
      <c r="Q30" s="1"/>
      <c r="R30" s="116" t="s">
        <v>40</v>
      </c>
      <c r="S30" s="116"/>
      <c r="T30" s="7">
        <f>+T28-T15</f>
        <v>-833</v>
      </c>
      <c r="U30" s="1"/>
      <c r="V30" s="12"/>
      <c r="W30" s="113" t="s">
        <v>40</v>
      </c>
      <c r="X30" s="113"/>
      <c r="Y30" s="41">
        <f>+Y28-Y15</f>
        <v>6917</v>
      </c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62"/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39</v>
      </c>
      <c r="AC31" s="60"/>
      <c r="AD31" s="60"/>
      <c r="AE31" s="60"/>
      <c r="AF31" s="55">
        <f>+SUM(AF23:AF30)</f>
        <v>179149</v>
      </c>
      <c r="AG31" s="1"/>
      <c r="AH31" s="1"/>
      <c r="AI31" s="60" t="s">
        <v>39</v>
      </c>
      <c r="AJ31" s="60"/>
      <c r="AK31" s="60"/>
      <c r="AL31" s="55">
        <f>+SUM(AL23:AL30)</f>
        <v>6900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>
      <c r="B34" s="10" t="s">
        <v>41</v>
      </c>
      <c r="C34" s="11"/>
      <c r="D34" s="21"/>
      <c r="E34" s="1"/>
      <c r="F34" s="10" t="s">
        <v>41</v>
      </c>
      <c r="G34" s="11"/>
      <c r="H34" s="21"/>
      <c r="I34" s="1"/>
      <c r="J34" s="10" t="s">
        <v>41</v>
      </c>
      <c r="K34" s="11"/>
      <c r="L34" s="21"/>
      <c r="M34" s="1"/>
      <c r="N34" s="10" t="s">
        <v>41</v>
      </c>
      <c r="O34" s="11"/>
      <c r="P34" s="21"/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0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>
      <c r="B35" s="12" t="s">
        <v>42</v>
      </c>
      <c r="C35" s="16"/>
      <c r="D35" s="22"/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/>
      <c r="Q35" s="1"/>
      <c r="R35" s="12" t="s">
        <v>382</v>
      </c>
      <c r="S35" s="16"/>
      <c r="T35" s="22">
        <v>847</v>
      </c>
      <c r="U35" s="1"/>
      <c r="V35" s="1"/>
      <c r="W35" s="45" t="s">
        <v>42</v>
      </c>
      <c r="X35" s="40"/>
      <c r="Y35" s="46">
        <f t="shared" ref="Y35:Y36" si="9">+D35+H35+L35+P35+T35</f>
        <v>847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44</v>
      </c>
      <c r="C36" s="16"/>
      <c r="D36" s="22">
        <v>-1462</v>
      </c>
      <c r="E36" s="1"/>
      <c r="F36" s="12" t="s">
        <v>44</v>
      </c>
      <c r="G36" s="16"/>
      <c r="H36" s="22">
        <v>-5717</v>
      </c>
      <c r="I36" s="1"/>
      <c r="J36" s="12" t="s">
        <v>44</v>
      </c>
      <c r="K36" s="16"/>
      <c r="L36" s="22">
        <v>-436</v>
      </c>
      <c r="M36" s="1"/>
      <c r="N36" s="12" t="s">
        <v>44</v>
      </c>
      <c r="O36" s="16"/>
      <c r="P36" s="22">
        <v>-135</v>
      </c>
      <c r="Q36" s="1"/>
      <c r="R36" s="12" t="s">
        <v>44</v>
      </c>
      <c r="S36" s="16"/>
      <c r="T36" s="22">
        <v>-14</v>
      </c>
      <c r="U36" s="1"/>
      <c r="V36" s="1"/>
      <c r="W36" s="45" t="s">
        <v>43</v>
      </c>
      <c r="X36" s="40"/>
      <c r="Y36" s="46">
        <f t="shared" si="9"/>
        <v>-7764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>
      <c r="B37" s="12" t="s">
        <v>18</v>
      </c>
      <c r="C37" s="16"/>
      <c r="D37" s="22">
        <f>+SUM(D34:D36)</f>
        <v>-1462</v>
      </c>
      <c r="E37" s="1"/>
      <c r="F37" s="12" t="s">
        <v>18</v>
      </c>
      <c r="G37" s="16"/>
      <c r="H37" s="22">
        <f>+SUM(H34:H36)</f>
        <v>-5717</v>
      </c>
      <c r="I37" s="1"/>
      <c r="J37" s="12" t="s">
        <v>18</v>
      </c>
      <c r="K37" s="16"/>
      <c r="L37" s="22">
        <f>+SUM(L34:L36)</f>
        <v>-436</v>
      </c>
      <c r="M37" s="1"/>
      <c r="N37" s="12" t="s">
        <v>18</v>
      </c>
      <c r="O37" s="16"/>
      <c r="P37" s="22">
        <f>+SUM(P34:P36)</f>
        <v>-135</v>
      </c>
      <c r="Q37" s="1"/>
      <c r="R37" s="12" t="s">
        <v>18</v>
      </c>
      <c r="S37" s="16"/>
      <c r="T37" s="22">
        <f>+SUM(T34:T36)</f>
        <v>833</v>
      </c>
      <c r="U37" s="1"/>
      <c r="V37" s="1"/>
      <c r="W37" s="33" t="s">
        <v>18</v>
      </c>
      <c r="X37" s="34"/>
      <c r="Y37" s="35">
        <f>+SUM(Y34:Y36)</f>
        <v>-6917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B1:AL37"/>
  <sheetViews>
    <sheetView zoomScale="80" zoomScaleNormal="80" workbookViewId="0">
      <selection activeCell="T35" sqref="T35"/>
    </sheetView>
  </sheetViews>
  <sheetFormatPr defaultRowHeight="15"/>
  <cols>
    <col min="5" max="5" width="0.7109375" customWidth="1"/>
    <col min="7" max="7" width="15" bestFit="1" customWidth="1"/>
    <col min="9" max="9" width="0.5703125" customWidth="1"/>
    <col min="11" max="11" width="13.7109375" bestFit="1" customWidth="1"/>
    <col min="12" max="12" width="9.5703125" bestFit="1" customWidth="1"/>
    <col min="13" max="13" width="0.42578125" customWidth="1"/>
    <col min="15" max="15" width="15.5703125" bestFit="1" customWidth="1"/>
    <col min="16" max="16" width="9.5703125" bestFit="1" customWidth="1"/>
    <col min="17" max="17" width="0.28515625" customWidth="1"/>
    <col min="19" max="19" width="13.7109375" bestFit="1" customWidth="1"/>
    <col min="20" max="20" width="9.5703125" bestFit="1" customWidth="1"/>
    <col min="21" max="21" width="1.28515625" customWidth="1"/>
    <col min="22" max="22" width="4.7109375" customWidth="1"/>
    <col min="25" max="25" width="9.5703125" bestFit="1" customWidth="1"/>
    <col min="26" max="26" width="0.7109375" customWidth="1"/>
    <col min="27" max="27" width="0.42578125" customWidth="1"/>
    <col min="29" max="29" width="10.5703125" bestFit="1" customWidth="1"/>
    <col min="33" max="34" width="0.7109375" customWidth="1"/>
  </cols>
  <sheetData>
    <row r="1" spans="2:38" ht="15.75" thickBot="1"/>
    <row r="2" spans="2:38">
      <c r="B2" s="111" t="s">
        <v>55</v>
      </c>
      <c r="C2" s="111"/>
      <c r="D2" s="111"/>
      <c r="E2" s="1"/>
      <c r="F2" s="111" t="s">
        <v>1</v>
      </c>
      <c r="G2" s="111"/>
      <c r="H2" s="111"/>
      <c r="I2" s="1"/>
      <c r="J2" s="111" t="s">
        <v>2</v>
      </c>
      <c r="K2" s="111"/>
      <c r="L2" s="111"/>
      <c r="M2" s="1"/>
      <c r="N2" s="111" t="s">
        <v>3</v>
      </c>
      <c r="O2" s="111"/>
      <c r="P2" s="111"/>
      <c r="Q2" s="1"/>
      <c r="R2" s="111" t="s">
        <v>4</v>
      </c>
      <c r="S2" s="111"/>
      <c r="T2" s="111"/>
      <c r="U2" s="1"/>
      <c r="V2" s="10"/>
      <c r="W2" s="112" t="s">
        <v>5</v>
      </c>
      <c r="X2" s="112"/>
      <c r="Y2" s="112"/>
      <c r="Z2" s="65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>
      <c r="B3" s="4" t="s">
        <v>6</v>
      </c>
      <c r="C3" s="4" t="s">
        <v>7</v>
      </c>
      <c r="D3" s="4" t="s">
        <v>8</v>
      </c>
      <c r="E3" s="1"/>
      <c r="F3" s="4" t="s">
        <v>6</v>
      </c>
      <c r="G3" s="4" t="s">
        <v>7</v>
      </c>
      <c r="H3" s="4" t="s">
        <v>8</v>
      </c>
      <c r="I3" s="1"/>
      <c r="J3" s="4" t="s">
        <v>6</v>
      </c>
      <c r="K3" s="4" t="s">
        <v>7</v>
      </c>
      <c r="L3" s="4" t="s">
        <v>8</v>
      </c>
      <c r="M3" s="1"/>
      <c r="N3" s="4" t="s">
        <v>6</v>
      </c>
      <c r="O3" s="4" t="s">
        <v>7</v>
      </c>
      <c r="P3" s="4" t="s">
        <v>8</v>
      </c>
      <c r="Q3" s="1"/>
      <c r="R3" s="4" t="s">
        <v>6</v>
      </c>
      <c r="S3" s="4" t="s">
        <v>7</v>
      </c>
      <c r="T3" s="4" t="s">
        <v>8</v>
      </c>
      <c r="U3" s="1"/>
      <c r="V3" s="12"/>
      <c r="W3" s="14" t="s">
        <v>6</v>
      </c>
      <c r="X3" s="14" t="s">
        <v>7</v>
      </c>
      <c r="Y3" s="14" t="s">
        <v>8</v>
      </c>
      <c r="Z3" s="13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ht="15.75" thickBot="1">
      <c r="B4" s="29">
        <v>1</v>
      </c>
      <c r="C4" s="29"/>
      <c r="D4" s="36">
        <f>+C4*B4</f>
        <v>0</v>
      </c>
      <c r="E4" s="26"/>
      <c r="F4" s="29">
        <v>1</v>
      </c>
      <c r="G4" s="29"/>
      <c r="H4" s="36">
        <f>+G4*F4</f>
        <v>0</v>
      </c>
      <c r="I4" s="26"/>
      <c r="J4" s="29">
        <v>1</v>
      </c>
      <c r="K4" s="29"/>
      <c r="L4" s="36">
        <f>+K4*J4</f>
        <v>0</v>
      </c>
      <c r="M4" s="26"/>
      <c r="N4" s="29">
        <v>1</v>
      </c>
      <c r="O4" s="29"/>
      <c r="P4" s="36">
        <f>+O4*N4</f>
        <v>0</v>
      </c>
      <c r="Q4" s="26"/>
      <c r="R4" s="29">
        <v>1</v>
      </c>
      <c r="S4" s="29"/>
      <c r="T4" s="36">
        <f>+S4*R4</f>
        <v>0</v>
      </c>
      <c r="U4" s="26"/>
      <c r="V4" s="27"/>
      <c r="W4" s="38">
        <v>1</v>
      </c>
      <c r="X4" s="39">
        <f>+C4+G4+K4+O4+S4</f>
        <v>0</v>
      </c>
      <c r="Y4" s="37">
        <f>+D4+H4+L4+P4+T4</f>
        <v>0</v>
      </c>
      <c r="Z4" s="28"/>
      <c r="AA4" s="26"/>
      <c r="AB4" s="67" t="s">
        <v>9</v>
      </c>
      <c r="AC4" s="66"/>
      <c r="AD4" s="66"/>
      <c r="AE4" s="66"/>
      <c r="AF4" s="66"/>
      <c r="AG4" s="61"/>
      <c r="AH4" s="1"/>
      <c r="AI4" s="4" t="s">
        <v>6</v>
      </c>
      <c r="AJ4" s="4" t="s">
        <v>7</v>
      </c>
      <c r="AK4" s="4" t="s">
        <v>8</v>
      </c>
      <c r="AL4" s="1"/>
    </row>
    <row r="5" spans="2:38" ht="15.75" thickTop="1">
      <c r="B5" s="2">
        <v>10</v>
      </c>
      <c r="C5" s="2">
        <v>216</v>
      </c>
      <c r="D5" s="36">
        <f>+C5*B5</f>
        <v>2160</v>
      </c>
      <c r="E5" s="1"/>
      <c r="F5" s="2">
        <v>10</v>
      </c>
      <c r="G5" s="2">
        <v>87</v>
      </c>
      <c r="H5" s="36">
        <f>+G5*F5</f>
        <v>870</v>
      </c>
      <c r="I5" s="1"/>
      <c r="J5" s="2">
        <v>10</v>
      </c>
      <c r="K5" s="2">
        <v>19</v>
      </c>
      <c r="L5" s="36">
        <f>+K5*J5</f>
        <v>190</v>
      </c>
      <c r="M5" s="1"/>
      <c r="N5" s="2">
        <v>10</v>
      </c>
      <c r="O5" s="2">
        <v>57</v>
      </c>
      <c r="P5" s="36">
        <f>+O5*N5</f>
        <v>570</v>
      </c>
      <c r="Q5" s="1"/>
      <c r="R5" s="2">
        <v>10</v>
      </c>
      <c r="S5" s="2"/>
      <c r="T5" s="36">
        <f>+S5*R5</f>
        <v>0</v>
      </c>
      <c r="U5" s="1"/>
      <c r="V5" s="12"/>
      <c r="W5" s="39">
        <v>10</v>
      </c>
      <c r="X5" s="39">
        <f>+C5+G5+K5+O5+S5</f>
        <v>379</v>
      </c>
      <c r="Y5" s="37">
        <f>+D5+H5+L5+P5+T5</f>
        <v>3790</v>
      </c>
      <c r="Z5" s="13"/>
      <c r="AA5" s="1"/>
      <c r="AB5" s="1"/>
      <c r="AC5" s="1"/>
      <c r="AD5" s="1"/>
      <c r="AE5" s="1"/>
      <c r="AF5" s="1"/>
      <c r="AG5" s="1"/>
      <c r="AH5" s="1"/>
      <c r="AI5" s="29">
        <v>1</v>
      </c>
      <c r="AJ5" s="29">
        <v>3</v>
      </c>
      <c r="AK5" s="36">
        <f t="shared" ref="AK5:AK12" si="0">+AJ5*AI5</f>
        <v>3</v>
      </c>
      <c r="AL5" s="26"/>
    </row>
    <row r="6" spans="2:38">
      <c r="B6" s="2">
        <v>20</v>
      </c>
      <c r="C6" s="2">
        <v>61</v>
      </c>
      <c r="D6" s="36">
        <f t="shared" ref="D6:D11" si="1">+C6*B6</f>
        <v>1220</v>
      </c>
      <c r="E6" s="1"/>
      <c r="F6" s="2">
        <v>20</v>
      </c>
      <c r="G6" s="2">
        <v>18</v>
      </c>
      <c r="H6" s="36">
        <f t="shared" ref="H6:H11" si="2">+G6*F6</f>
        <v>360</v>
      </c>
      <c r="I6" s="1"/>
      <c r="J6" s="2">
        <v>20</v>
      </c>
      <c r="K6" s="2">
        <v>4</v>
      </c>
      <c r="L6" s="36">
        <f t="shared" ref="L6:L11" si="3">+K6*J6</f>
        <v>80</v>
      </c>
      <c r="M6" s="1"/>
      <c r="N6" s="2">
        <v>20</v>
      </c>
      <c r="O6" s="2">
        <v>2</v>
      </c>
      <c r="P6" s="36">
        <f t="shared" ref="P6:P11" si="4">+O6*N6</f>
        <v>40</v>
      </c>
      <c r="Q6" s="1"/>
      <c r="R6" s="2">
        <v>20</v>
      </c>
      <c r="S6" s="2"/>
      <c r="T6" s="36">
        <f t="shared" ref="T6:T11" si="5">+S6*R6</f>
        <v>0</v>
      </c>
      <c r="U6" s="1"/>
      <c r="V6" s="12"/>
      <c r="W6" s="39">
        <v>20</v>
      </c>
      <c r="X6" s="39">
        <f>+C6+G6+K6+O6+S6</f>
        <v>85</v>
      </c>
      <c r="Y6" s="37">
        <f t="shared" ref="Y6:Y11" si="6">+D6+H6+L6+P6+T6</f>
        <v>1700</v>
      </c>
      <c r="Z6" s="13"/>
      <c r="AA6" s="1"/>
      <c r="AB6" s="56" t="s">
        <v>10</v>
      </c>
      <c r="AC6" s="57">
        <f>Y12</f>
        <v>314690</v>
      </c>
      <c r="AD6" s="26"/>
      <c r="AE6" s="26"/>
      <c r="AF6" s="26"/>
      <c r="AG6" s="26"/>
      <c r="AH6" s="1"/>
      <c r="AI6" s="2">
        <v>10</v>
      </c>
      <c r="AJ6" s="2">
        <v>1480</v>
      </c>
      <c r="AK6" s="36">
        <f t="shared" si="0"/>
        <v>14800</v>
      </c>
      <c r="AL6" s="1"/>
    </row>
    <row r="7" spans="2:38">
      <c r="B7" s="2">
        <v>50</v>
      </c>
      <c r="C7" s="2">
        <v>98</v>
      </c>
      <c r="D7" s="36">
        <f t="shared" si="1"/>
        <v>4900</v>
      </c>
      <c r="E7" s="1"/>
      <c r="F7" s="2">
        <v>50</v>
      </c>
      <c r="G7" s="2">
        <v>19</v>
      </c>
      <c r="H7" s="36">
        <f t="shared" si="2"/>
        <v>950</v>
      </c>
      <c r="I7" s="1"/>
      <c r="J7" s="2">
        <v>50</v>
      </c>
      <c r="K7" s="2">
        <v>51</v>
      </c>
      <c r="L7" s="36">
        <f t="shared" si="3"/>
        <v>2550</v>
      </c>
      <c r="M7" s="1"/>
      <c r="N7" s="2">
        <v>50</v>
      </c>
      <c r="O7" s="2">
        <v>46</v>
      </c>
      <c r="P7" s="36">
        <f t="shared" si="4"/>
        <v>2300</v>
      </c>
      <c r="Q7" s="1"/>
      <c r="R7" s="2">
        <v>50</v>
      </c>
      <c r="S7" s="2">
        <v>2</v>
      </c>
      <c r="T7" s="36">
        <f t="shared" si="5"/>
        <v>100</v>
      </c>
      <c r="U7" s="1"/>
      <c r="V7" s="12"/>
      <c r="W7" s="39">
        <v>50</v>
      </c>
      <c r="X7" s="39">
        <f t="shared" ref="X7:X11" si="7">+C7+G7+K7+O7+S7</f>
        <v>216</v>
      </c>
      <c r="Y7" s="37">
        <f t="shared" si="6"/>
        <v>10800</v>
      </c>
      <c r="Z7" s="13"/>
      <c r="AA7" s="1"/>
      <c r="AB7" s="53" t="s">
        <v>11</v>
      </c>
      <c r="AC7" s="53">
        <f>+AF30</f>
        <v>233783</v>
      </c>
      <c r="AD7" s="1"/>
      <c r="AE7" s="1"/>
      <c r="AF7" s="1"/>
      <c r="AG7" s="1"/>
      <c r="AH7" s="1"/>
      <c r="AI7" s="2">
        <v>20</v>
      </c>
      <c r="AJ7" s="2">
        <v>86</v>
      </c>
      <c r="AK7" s="36">
        <f t="shared" si="0"/>
        <v>1720</v>
      </c>
      <c r="AL7" s="1"/>
    </row>
    <row r="8" spans="2:38" ht="15.75" thickBot="1">
      <c r="B8" s="2">
        <v>100</v>
      </c>
      <c r="C8" s="2">
        <v>34</v>
      </c>
      <c r="D8" s="36">
        <f t="shared" si="1"/>
        <v>3400</v>
      </c>
      <c r="E8" s="1"/>
      <c r="F8" s="2">
        <v>100</v>
      </c>
      <c r="G8" s="2">
        <v>72</v>
      </c>
      <c r="H8" s="36">
        <f t="shared" si="2"/>
        <v>7200</v>
      </c>
      <c r="I8" s="1"/>
      <c r="J8" s="2">
        <v>100</v>
      </c>
      <c r="K8" s="2">
        <v>25</v>
      </c>
      <c r="L8" s="36">
        <f t="shared" si="3"/>
        <v>2500</v>
      </c>
      <c r="M8" s="1"/>
      <c r="N8" s="2">
        <v>100</v>
      </c>
      <c r="O8" s="2">
        <v>30</v>
      </c>
      <c r="P8" s="36">
        <f t="shared" si="4"/>
        <v>3000</v>
      </c>
      <c r="Q8" s="1"/>
      <c r="R8" s="2">
        <v>100</v>
      </c>
      <c r="S8" s="2">
        <v>3</v>
      </c>
      <c r="T8" s="36">
        <f t="shared" si="5"/>
        <v>300</v>
      </c>
      <c r="U8" s="1"/>
      <c r="V8" s="12"/>
      <c r="W8" s="39">
        <v>100</v>
      </c>
      <c r="X8" s="39">
        <f t="shared" si="7"/>
        <v>164</v>
      </c>
      <c r="Y8" s="37">
        <f t="shared" si="6"/>
        <v>16400</v>
      </c>
      <c r="Z8" s="13"/>
      <c r="AA8" s="1"/>
      <c r="AB8" s="58" t="s">
        <v>12</v>
      </c>
      <c r="AC8" s="59">
        <f>SUM(AC6:AC7)</f>
        <v>548473</v>
      </c>
      <c r="AD8" s="1"/>
      <c r="AE8" s="1"/>
      <c r="AF8" s="1"/>
      <c r="AG8" s="1"/>
      <c r="AH8" s="1"/>
      <c r="AI8" s="2">
        <v>50</v>
      </c>
      <c r="AJ8" s="2">
        <v>271</v>
      </c>
      <c r="AK8" s="36">
        <f t="shared" si="0"/>
        <v>13550</v>
      </c>
      <c r="AL8" s="1"/>
    </row>
    <row r="9" spans="2:38">
      <c r="B9" s="2">
        <v>500</v>
      </c>
      <c r="C9" s="2">
        <v>30</v>
      </c>
      <c r="D9" s="36">
        <f t="shared" si="1"/>
        <v>15000</v>
      </c>
      <c r="E9" s="1"/>
      <c r="F9" s="2">
        <v>500</v>
      </c>
      <c r="G9" s="2">
        <v>29</v>
      </c>
      <c r="H9" s="36">
        <f t="shared" si="2"/>
        <v>14500</v>
      </c>
      <c r="I9" s="1"/>
      <c r="J9" s="2">
        <v>500</v>
      </c>
      <c r="K9" s="2">
        <v>34</v>
      </c>
      <c r="L9" s="36">
        <f t="shared" si="3"/>
        <v>17000</v>
      </c>
      <c r="M9" s="1"/>
      <c r="N9" s="2">
        <v>500</v>
      </c>
      <c r="O9" s="2">
        <v>42</v>
      </c>
      <c r="P9" s="36">
        <f t="shared" si="4"/>
        <v>21000</v>
      </c>
      <c r="Q9" s="1"/>
      <c r="R9" s="2">
        <v>500</v>
      </c>
      <c r="S9" s="2">
        <v>1</v>
      </c>
      <c r="T9" s="36">
        <f t="shared" si="5"/>
        <v>500</v>
      </c>
      <c r="U9" s="1"/>
      <c r="V9" s="12"/>
      <c r="W9" s="39">
        <v>500</v>
      </c>
      <c r="X9" s="39">
        <f t="shared" si="7"/>
        <v>136</v>
      </c>
      <c r="Y9" s="37">
        <f t="shared" si="6"/>
        <v>68000</v>
      </c>
      <c r="Z9" s="13"/>
      <c r="AA9" s="1"/>
      <c r="AB9" s="1"/>
      <c r="AC9" s="1"/>
      <c r="AD9" s="1"/>
      <c r="AE9" s="1"/>
      <c r="AF9" s="1"/>
      <c r="AG9" s="1"/>
      <c r="AH9" s="1"/>
      <c r="AI9" s="2">
        <v>100</v>
      </c>
      <c r="AJ9" s="2">
        <v>209</v>
      </c>
      <c r="AK9" s="36">
        <f t="shared" si="0"/>
        <v>20900</v>
      </c>
      <c r="AL9" s="1"/>
    </row>
    <row r="10" spans="2:38">
      <c r="B10" s="2">
        <v>1000</v>
      </c>
      <c r="C10" s="2">
        <v>26</v>
      </c>
      <c r="D10" s="36">
        <f t="shared" si="1"/>
        <v>26000</v>
      </c>
      <c r="E10" s="1"/>
      <c r="F10" s="2">
        <v>1000</v>
      </c>
      <c r="G10" s="2">
        <v>48</v>
      </c>
      <c r="H10" s="36">
        <f t="shared" si="2"/>
        <v>48000</v>
      </c>
      <c r="I10" s="1"/>
      <c r="J10" s="2">
        <v>1000</v>
      </c>
      <c r="K10" s="2">
        <v>47</v>
      </c>
      <c r="L10" s="36">
        <f t="shared" si="3"/>
        <v>47000</v>
      </c>
      <c r="M10" s="1"/>
      <c r="N10" s="2">
        <v>1000</v>
      </c>
      <c r="O10" s="2">
        <v>36</v>
      </c>
      <c r="P10" s="36">
        <f t="shared" si="4"/>
        <v>36000</v>
      </c>
      <c r="Q10" s="1"/>
      <c r="R10" s="2">
        <v>1000</v>
      </c>
      <c r="S10" s="2">
        <v>17</v>
      </c>
      <c r="T10" s="36">
        <f t="shared" si="5"/>
        <v>17000</v>
      </c>
      <c r="U10" s="1"/>
      <c r="V10" s="12"/>
      <c r="W10" s="39">
        <v>1000</v>
      </c>
      <c r="X10" s="39">
        <f t="shared" si="7"/>
        <v>174</v>
      </c>
      <c r="Y10" s="37">
        <f t="shared" si="6"/>
        <v>174000</v>
      </c>
      <c r="Z10" s="13"/>
      <c r="AA10" s="1"/>
      <c r="AB10" s="47" t="s">
        <v>13</v>
      </c>
      <c r="AC10" s="47" t="s">
        <v>8</v>
      </c>
      <c r="AD10" s="47" t="s">
        <v>14</v>
      </c>
      <c r="AE10" s="47" t="s">
        <v>15</v>
      </c>
      <c r="AF10" s="47" t="s">
        <v>16</v>
      </c>
      <c r="AG10" s="47"/>
      <c r="AH10" s="1"/>
      <c r="AI10" s="2">
        <v>500</v>
      </c>
      <c r="AJ10" s="2">
        <v>171</v>
      </c>
      <c r="AK10" s="36">
        <f t="shared" si="0"/>
        <v>85500</v>
      </c>
      <c r="AL10" s="1"/>
    </row>
    <row r="11" spans="2:38">
      <c r="B11" s="2">
        <v>5000</v>
      </c>
      <c r="C11" s="2">
        <v>1</v>
      </c>
      <c r="D11" s="36">
        <f t="shared" si="1"/>
        <v>5000</v>
      </c>
      <c r="E11" s="1"/>
      <c r="F11" s="2">
        <v>5000</v>
      </c>
      <c r="G11" s="2">
        <v>2</v>
      </c>
      <c r="H11" s="36">
        <f t="shared" si="2"/>
        <v>10000</v>
      </c>
      <c r="I11" s="1"/>
      <c r="J11" s="2">
        <v>5000</v>
      </c>
      <c r="K11" s="2">
        <v>1</v>
      </c>
      <c r="L11" s="36">
        <f t="shared" si="3"/>
        <v>5000</v>
      </c>
      <c r="M11" s="1"/>
      <c r="N11" s="2">
        <v>5000</v>
      </c>
      <c r="O11" s="2">
        <v>2</v>
      </c>
      <c r="P11" s="36">
        <f t="shared" si="4"/>
        <v>10000</v>
      </c>
      <c r="Q11" s="1"/>
      <c r="R11" s="2">
        <v>5000</v>
      </c>
      <c r="S11" s="2">
        <v>2</v>
      </c>
      <c r="T11" s="36">
        <f t="shared" si="5"/>
        <v>10000</v>
      </c>
      <c r="U11" s="1"/>
      <c r="V11" s="12"/>
      <c r="W11" s="39">
        <v>5000</v>
      </c>
      <c r="X11" s="39">
        <f t="shared" si="7"/>
        <v>8</v>
      </c>
      <c r="Y11" s="37">
        <f t="shared" si="6"/>
        <v>40000</v>
      </c>
      <c r="Z11" s="13"/>
      <c r="AA11" s="1"/>
      <c r="AB11" s="1" t="s">
        <v>17</v>
      </c>
      <c r="AC11" s="5">
        <v>533970</v>
      </c>
      <c r="AD11" s="1"/>
      <c r="AE11" s="52"/>
      <c r="AF11" s="1"/>
      <c r="AG11" s="1"/>
      <c r="AH11" s="1"/>
      <c r="AI11" s="2">
        <v>1000</v>
      </c>
      <c r="AJ11" s="2">
        <v>262</v>
      </c>
      <c r="AK11" s="36">
        <f t="shared" si="0"/>
        <v>262000</v>
      </c>
      <c r="AL11" s="1"/>
    </row>
    <row r="12" spans="2:38" ht="15.75" thickBot="1">
      <c r="B12" s="3" t="s">
        <v>18</v>
      </c>
      <c r="C12" s="3"/>
      <c r="D12" s="6">
        <f>+SUM(D4:D11)</f>
        <v>57680</v>
      </c>
      <c r="E12" s="1"/>
      <c r="F12" s="3" t="s">
        <v>18</v>
      </c>
      <c r="G12" s="3"/>
      <c r="H12" s="6">
        <f>+SUM(H4:H11)</f>
        <v>81880</v>
      </c>
      <c r="I12" s="1"/>
      <c r="J12" s="3" t="s">
        <v>18</v>
      </c>
      <c r="K12" s="3"/>
      <c r="L12" s="6">
        <f>+SUM(L4:L11)</f>
        <v>74320</v>
      </c>
      <c r="M12" s="1"/>
      <c r="N12" s="3" t="s">
        <v>18</v>
      </c>
      <c r="O12" s="3"/>
      <c r="P12" s="6">
        <f>+SUM(P4:P11)</f>
        <v>72910</v>
      </c>
      <c r="Q12" s="1"/>
      <c r="R12" s="3" t="s">
        <v>18</v>
      </c>
      <c r="S12" s="3"/>
      <c r="T12" s="6">
        <f>+SUM(T4:T11)</f>
        <v>27900</v>
      </c>
      <c r="U12" s="1"/>
      <c r="V12" s="12"/>
      <c r="W12" s="3" t="s">
        <v>18</v>
      </c>
      <c r="X12" s="3"/>
      <c r="Y12" s="6">
        <f>+SUM(Y4:Y11)</f>
        <v>314690</v>
      </c>
      <c r="Z12" s="13"/>
      <c r="AA12" s="1"/>
      <c r="AB12" s="1" t="s">
        <v>19</v>
      </c>
      <c r="AC12" s="5">
        <v>14503</v>
      </c>
      <c r="AD12" s="1"/>
      <c r="AE12" s="1"/>
      <c r="AF12" s="1"/>
      <c r="AG12" s="1"/>
      <c r="AH12" s="1"/>
      <c r="AI12" s="2">
        <v>5000</v>
      </c>
      <c r="AJ12" s="2">
        <v>30</v>
      </c>
      <c r="AK12" s="36">
        <f t="shared" si="0"/>
        <v>150000</v>
      </c>
      <c r="AL12" s="1"/>
    </row>
    <row r="13" spans="2:38" ht="15.75" thickBot="1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2"/>
      <c r="W13" s="16"/>
      <c r="X13" s="16"/>
      <c r="Y13" s="16"/>
      <c r="Z13" s="13"/>
      <c r="AA13" s="1"/>
      <c r="AB13" s="1" t="s">
        <v>20</v>
      </c>
      <c r="AC13" s="5"/>
      <c r="AD13" s="1"/>
      <c r="AE13" s="1"/>
      <c r="AF13" s="1"/>
      <c r="AG13" s="1"/>
      <c r="AH13" s="1"/>
      <c r="AI13" s="3" t="s">
        <v>18</v>
      </c>
      <c r="AJ13" s="3"/>
      <c r="AK13" s="6">
        <f>+SUM(AK5:AK12)</f>
        <v>548473</v>
      </c>
      <c r="AL13" s="1"/>
    </row>
    <row r="14" spans="2:38" ht="15.75" thickBot="1">
      <c r="B14" s="109" t="s">
        <v>21</v>
      </c>
      <c r="C14" s="110"/>
      <c r="D14" s="8">
        <v>59970</v>
      </c>
      <c r="E14" s="30"/>
      <c r="F14" s="109" t="s">
        <v>21</v>
      </c>
      <c r="G14" s="110"/>
      <c r="H14" s="8">
        <v>96278</v>
      </c>
      <c r="I14" s="30"/>
      <c r="J14" s="109" t="s">
        <v>21</v>
      </c>
      <c r="K14" s="110"/>
      <c r="L14" s="8">
        <v>106430</v>
      </c>
      <c r="M14" s="30"/>
      <c r="N14" s="109" t="s">
        <v>21</v>
      </c>
      <c r="O14" s="110"/>
      <c r="P14" s="8">
        <v>142963</v>
      </c>
      <c r="Q14" s="30"/>
      <c r="R14" s="109" t="s">
        <v>21</v>
      </c>
      <c r="S14" s="110"/>
      <c r="T14" s="8">
        <v>157634</v>
      </c>
      <c r="U14" s="30"/>
      <c r="V14" s="31"/>
      <c r="W14" s="109" t="s">
        <v>21</v>
      </c>
      <c r="X14" s="110"/>
      <c r="Y14" s="8">
        <f>+D14+H14+L14+P14+T14</f>
        <v>563275</v>
      </c>
      <c r="Z14" s="32"/>
      <c r="AA14" s="30"/>
      <c r="AB14" s="1" t="s">
        <v>22</v>
      </c>
      <c r="AC14" s="5"/>
      <c r="AD14" s="1"/>
      <c r="AE14" s="1"/>
      <c r="AF14" s="1"/>
      <c r="AG14" s="1"/>
      <c r="AH14" s="1"/>
      <c r="AI14" s="1"/>
      <c r="AJ14" s="1"/>
      <c r="AK14" s="1"/>
      <c r="AL14" s="1"/>
    </row>
    <row r="15" spans="2:38">
      <c r="B15" s="1" t="s">
        <v>10</v>
      </c>
      <c r="C15" s="1"/>
      <c r="D15" s="5">
        <f>+D12</f>
        <v>57680</v>
      </c>
      <c r="E15" s="1"/>
      <c r="F15" s="1" t="s">
        <v>10</v>
      </c>
      <c r="G15" s="1"/>
      <c r="H15" s="5">
        <f>+H12</f>
        <v>81880</v>
      </c>
      <c r="I15" s="1"/>
      <c r="J15" s="1" t="s">
        <v>10</v>
      </c>
      <c r="K15" s="1"/>
      <c r="L15" s="5">
        <f>+L12</f>
        <v>74320</v>
      </c>
      <c r="M15" s="1"/>
      <c r="N15" s="1" t="s">
        <v>10</v>
      </c>
      <c r="O15" s="1"/>
      <c r="P15" s="5">
        <f>+P12</f>
        <v>72910</v>
      </c>
      <c r="Q15" s="1"/>
      <c r="R15" s="1" t="s">
        <v>10</v>
      </c>
      <c r="S15" s="1"/>
      <c r="T15" s="5">
        <f>+T12</f>
        <v>27900</v>
      </c>
      <c r="U15" s="1"/>
      <c r="V15" s="12"/>
      <c r="W15" s="40" t="s">
        <v>10</v>
      </c>
      <c r="X15" s="40"/>
      <c r="Y15" s="37">
        <f>+D15+H15+L15+P15+T15</f>
        <v>314690</v>
      </c>
      <c r="Z15" s="13"/>
      <c r="AA15" s="1"/>
      <c r="AB15" s="1" t="s">
        <v>23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17</v>
      </c>
      <c r="C16" s="1"/>
      <c r="D16" s="5"/>
      <c r="E16" s="1"/>
      <c r="F16" s="1" t="s">
        <v>17</v>
      </c>
      <c r="G16" s="1"/>
      <c r="H16" s="5"/>
      <c r="I16" s="1"/>
      <c r="J16" s="1" t="s">
        <v>17</v>
      </c>
      <c r="K16" s="1"/>
      <c r="L16" s="5"/>
      <c r="M16" s="1"/>
      <c r="N16" s="1" t="s">
        <v>17</v>
      </c>
      <c r="O16" s="1"/>
      <c r="P16" s="5">
        <v>2000</v>
      </c>
      <c r="Q16" s="1"/>
      <c r="R16" s="1" t="s">
        <v>17</v>
      </c>
      <c r="S16" s="1"/>
      <c r="T16" s="5"/>
      <c r="U16" s="1"/>
      <c r="V16" s="12"/>
      <c r="W16" s="40" t="s">
        <v>17</v>
      </c>
      <c r="X16" s="40"/>
      <c r="Y16" s="37">
        <f t="shared" ref="Y16:Y26" si="8">+D16+H16+L16+P16+T16</f>
        <v>2000</v>
      </c>
      <c r="Z16" s="13"/>
      <c r="AA16" s="1"/>
      <c r="AB16" s="48" t="s">
        <v>12</v>
      </c>
      <c r="AC16" s="49">
        <f>+SUM(AC11:AC15)</f>
        <v>548473</v>
      </c>
      <c r="AD16" s="63"/>
      <c r="AE16" s="1"/>
      <c r="AF16" s="1"/>
      <c r="AG16" s="1"/>
      <c r="AH16" s="1"/>
      <c r="AI16" s="1"/>
      <c r="AJ16" s="1"/>
      <c r="AK16" s="1"/>
      <c r="AL16" s="1"/>
    </row>
    <row r="17" spans="2:38">
      <c r="B17" s="1"/>
      <c r="C17" s="1"/>
      <c r="D17" s="5"/>
      <c r="E17" s="1"/>
      <c r="F17" s="1" t="s">
        <v>238</v>
      </c>
      <c r="G17" s="16" t="s">
        <v>463</v>
      </c>
      <c r="H17" s="86">
        <v>2994</v>
      </c>
      <c r="I17" s="1"/>
      <c r="J17" s="1" t="s">
        <v>424</v>
      </c>
      <c r="K17" s="1" t="s">
        <v>446</v>
      </c>
      <c r="L17" s="5">
        <v>3870</v>
      </c>
      <c r="M17" s="1"/>
      <c r="N17" s="1" t="s">
        <v>376</v>
      </c>
      <c r="O17" s="1" t="s">
        <v>439</v>
      </c>
      <c r="P17" s="5">
        <v>17767</v>
      </c>
      <c r="Q17" s="1"/>
      <c r="R17" s="1" t="s">
        <v>392</v>
      </c>
      <c r="S17" s="1" t="s">
        <v>438</v>
      </c>
      <c r="T17" s="5">
        <v>38894</v>
      </c>
      <c r="U17" s="1"/>
      <c r="V17" s="12"/>
      <c r="W17" s="40" t="s">
        <v>24</v>
      </c>
      <c r="X17" s="40"/>
      <c r="Y17" s="37">
        <f t="shared" si="8"/>
        <v>63525</v>
      </c>
      <c r="Z17" s="13"/>
      <c r="AA17" s="1"/>
      <c r="AB17" s="50" t="s">
        <v>25</v>
      </c>
      <c r="AC17" s="51">
        <f>+AC16-AC8</f>
        <v>0</v>
      </c>
      <c r="AD17" s="1" t="s">
        <v>26</v>
      </c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27</v>
      </c>
      <c r="C18" s="1"/>
      <c r="D18" s="5"/>
      <c r="E18" s="1"/>
      <c r="F18" s="1" t="s">
        <v>424</v>
      </c>
      <c r="G18" s="16" t="s">
        <v>464</v>
      </c>
      <c r="H18" s="86">
        <v>6749</v>
      </c>
      <c r="I18" s="1"/>
      <c r="J18" s="1" t="s">
        <v>376</v>
      </c>
      <c r="K18" s="1" t="s">
        <v>447</v>
      </c>
      <c r="L18" s="5">
        <v>17440</v>
      </c>
      <c r="M18" s="1"/>
      <c r="N18" s="1" t="s">
        <v>424</v>
      </c>
      <c r="O18" s="1" t="s">
        <v>440</v>
      </c>
      <c r="P18" s="5">
        <v>14373</v>
      </c>
      <c r="Q18" s="1"/>
      <c r="R18" s="1" t="s">
        <v>27</v>
      </c>
      <c r="S18" s="1"/>
      <c r="T18" s="5"/>
      <c r="U18" s="1"/>
      <c r="V18" s="12"/>
      <c r="W18" s="40" t="s">
        <v>27</v>
      </c>
      <c r="X18" s="40"/>
      <c r="Y18" s="37">
        <f t="shared" si="8"/>
        <v>38562</v>
      </c>
      <c r="Z18" s="13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28</v>
      </c>
      <c r="C19" s="1"/>
      <c r="D19" s="5"/>
      <c r="E19" s="1"/>
      <c r="F19" s="1" t="s">
        <v>28</v>
      </c>
      <c r="G19" s="1"/>
      <c r="H19" s="5"/>
      <c r="I19" s="1"/>
      <c r="J19" s="1" t="s">
        <v>376</v>
      </c>
      <c r="K19" s="1" t="s">
        <v>448</v>
      </c>
      <c r="L19" s="5">
        <v>11000</v>
      </c>
      <c r="M19" s="1"/>
      <c r="N19" s="1" t="s">
        <v>28</v>
      </c>
      <c r="O19" s="1"/>
      <c r="P19" s="5"/>
      <c r="Q19" s="1"/>
      <c r="R19" s="1" t="s">
        <v>28</v>
      </c>
      <c r="S19" s="1"/>
      <c r="T19" s="5"/>
      <c r="U19" s="1"/>
      <c r="V19" s="12"/>
      <c r="W19" s="40" t="s">
        <v>28</v>
      </c>
      <c r="X19" s="40"/>
      <c r="Y19" s="37">
        <f t="shared" si="8"/>
        <v>11000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/>
      <c r="C20" s="1"/>
      <c r="D20" s="5"/>
      <c r="E20" s="1"/>
      <c r="F20" s="1"/>
      <c r="G20" s="1"/>
      <c r="H20" s="5"/>
      <c r="I20" s="1"/>
      <c r="J20" s="1"/>
      <c r="K20" s="1"/>
      <c r="L20" s="5"/>
      <c r="M20" s="1"/>
      <c r="N20" s="1"/>
      <c r="O20" s="1"/>
      <c r="P20" s="5"/>
      <c r="Q20" s="1"/>
      <c r="R20" s="1"/>
      <c r="S20" s="1"/>
      <c r="T20" s="5"/>
      <c r="U20" s="1"/>
      <c r="V20" s="12"/>
      <c r="W20" s="40"/>
      <c r="X20" s="40"/>
      <c r="Y20" s="37">
        <f t="shared" si="8"/>
        <v>0</v>
      </c>
      <c r="Z20" s="13"/>
      <c r="AA20" s="1"/>
      <c r="AB20" s="54" t="s">
        <v>29</v>
      </c>
      <c r="AC20" s="54"/>
      <c r="AD20" s="54"/>
      <c r="AE20" s="30"/>
      <c r="AF20" s="1"/>
      <c r="AG20" s="1"/>
      <c r="AH20" s="1"/>
      <c r="AI20" s="54" t="s">
        <v>30</v>
      </c>
      <c r="AJ20" s="54"/>
      <c r="AK20" s="54"/>
      <c r="AL20" s="62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47" t="s">
        <v>31</v>
      </c>
      <c r="AC21" s="47" t="s">
        <v>32</v>
      </c>
      <c r="AD21" s="47" t="s">
        <v>33</v>
      </c>
      <c r="AE21" s="47" t="s">
        <v>34</v>
      </c>
      <c r="AF21" s="47" t="s">
        <v>8</v>
      </c>
      <c r="AG21" s="1"/>
      <c r="AH21" s="1"/>
      <c r="AI21" s="47" t="s">
        <v>31</v>
      </c>
      <c r="AJ21" s="47" t="s">
        <v>35</v>
      </c>
      <c r="AK21" s="47" t="s">
        <v>33</v>
      </c>
      <c r="AL21" s="47" t="s">
        <v>8</v>
      </c>
    </row>
    <row r="22" spans="2:38">
      <c r="B22" s="1" t="s">
        <v>36</v>
      </c>
      <c r="C22" s="1" t="s">
        <v>445</v>
      </c>
      <c r="D22" s="5">
        <v>2500</v>
      </c>
      <c r="E22" s="1"/>
      <c r="F22" s="1" t="s">
        <v>36</v>
      </c>
      <c r="G22" s="1" t="s">
        <v>445</v>
      </c>
      <c r="H22" s="5">
        <v>2500</v>
      </c>
      <c r="I22" s="1"/>
      <c r="J22" s="1" t="s">
        <v>36</v>
      </c>
      <c r="K22" s="1"/>
      <c r="L22" s="5"/>
      <c r="M22" s="1"/>
      <c r="N22" s="1" t="s">
        <v>441</v>
      </c>
      <c r="O22" s="16" t="s">
        <v>231</v>
      </c>
      <c r="P22" s="5">
        <v>10001</v>
      </c>
      <c r="Q22" s="1"/>
      <c r="R22" s="1" t="s">
        <v>434</v>
      </c>
      <c r="S22" s="1" t="s">
        <v>435</v>
      </c>
      <c r="T22" s="5">
        <v>71888</v>
      </c>
      <c r="U22" s="1"/>
      <c r="V22" s="12"/>
      <c r="W22" s="40" t="s">
        <v>36</v>
      </c>
      <c r="X22" s="40"/>
      <c r="Y22" s="37">
        <f t="shared" si="8"/>
        <v>86889</v>
      </c>
      <c r="Z22" s="13"/>
      <c r="AA22" s="1"/>
      <c r="AB22" s="70" t="s">
        <v>320</v>
      </c>
      <c r="AC22" s="71">
        <v>45929</v>
      </c>
      <c r="AD22" s="70" t="s">
        <v>319</v>
      </c>
      <c r="AE22" s="70"/>
      <c r="AF22" s="74">
        <v>86850</v>
      </c>
      <c r="AG22" s="1"/>
      <c r="AH22" s="1"/>
      <c r="AI22" s="1" t="s">
        <v>97</v>
      </c>
      <c r="AJ22" s="1" t="s">
        <v>168</v>
      </c>
      <c r="AK22" s="1"/>
      <c r="AL22" s="62">
        <v>2000</v>
      </c>
    </row>
    <row r="23" spans="2:38">
      <c r="B23" s="1" t="s">
        <v>37</v>
      </c>
      <c r="C23" s="1"/>
      <c r="D23" s="5"/>
      <c r="E23" s="1"/>
      <c r="F23" s="1" t="s">
        <v>37</v>
      </c>
      <c r="G23" s="1"/>
      <c r="H23" s="5"/>
      <c r="I23" s="1"/>
      <c r="J23" s="1" t="s">
        <v>37</v>
      </c>
      <c r="K23" s="1"/>
      <c r="L23" s="5"/>
      <c r="M23" s="1"/>
      <c r="N23" s="1" t="s">
        <v>442</v>
      </c>
      <c r="O23" s="16" t="s">
        <v>443</v>
      </c>
      <c r="P23" s="5">
        <v>25912</v>
      </c>
      <c r="Q23" s="1"/>
      <c r="R23" s="1" t="s">
        <v>436</v>
      </c>
      <c r="S23" s="1" t="s">
        <v>437</v>
      </c>
      <c r="T23" s="5">
        <v>18237</v>
      </c>
      <c r="U23" s="1"/>
      <c r="V23" s="12"/>
      <c r="W23" s="40" t="s">
        <v>37</v>
      </c>
      <c r="X23" s="40"/>
      <c r="Y23" s="37">
        <f t="shared" si="8"/>
        <v>44149</v>
      </c>
      <c r="Z23" s="13"/>
      <c r="AA23" s="1"/>
      <c r="AB23" s="70" t="s">
        <v>444</v>
      </c>
      <c r="AC23" s="82">
        <v>45936</v>
      </c>
      <c r="AD23" s="70" t="s">
        <v>231</v>
      </c>
      <c r="AE23" s="70"/>
      <c r="AF23" s="70">
        <v>7000</v>
      </c>
      <c r="AG23" s="1"/>
      <c r="AH23" s="1"/>
      <c r="AI23" s="70" t="s">
        <v>100</v>
      </c>
      <c r="AJ23" s="70" t="s">
        <v>449</v>
      </c>
      <c r="AK23" s="70" t="s">
        <v>301</v>
      </c>
      <c r="AL23" s="74">
        <v>28000</v>
      </c>
    </row>
    <row r="24" spans="2:38">
      <c r="B24" s="1" t="s">
        <v>38</v>
      </c>
      <c r="C24" s="1"/>
      <c r="D24" s="5"/>
      <c r="E24" s="1"/>
      <c r="F24" s="1" t="s">
        <v>38</v>
      </c>
      <c r="G24" s="1"/>
      <c r="H24" s="5"/>
      <c r="I24" s="1"/>
      <c r="J24" s="1" t="s">
        <v>38</v>
      </c>
      <c r="K24" s="1"/>
      <c r="L24" s="5"/>
      <c r="M24" s="1"/>
      <c r="N24" s="1" t="s">
        <v>47</v>
      </c>
      <c r="O24" s="1"/>
      <c r="P24" s="5"/>
      <c r="Q24" s="1"/>
      <c r="R24" s="1" t="s">
        <v>38</v>
      </c>
      <c r="S24" s="1"/>
      <c r="T24" s="5"/>
      <c r="U24" s="1"/>
      <c r="V24" s="12"/>
      <c r="W24" s="40" t="s">
        <v>38</v>
      </c>
      <c r="X24" s="40"/>
      <c r="Y24" s="37">
        <f t="shared" si="8"/>
        <v>0</v>
      </c>
      <c r="Z24" s="13"/>
      <c r="AA24" s="1"/>
      <c r="AB24" s="70" t="s">
        <v>431</v>
      </c>
      <c r="AC24" s="71">
        <v>45922</v>
      </c>
      <c r="AD24" s="70" t="s">
        <v>420</v>
      </c>
      <c r="AE24" s="70"/>
      <c r="AF24" s="70">
        <v>128233</v>
      </c>
      <c r="AG24" s="1"/>
      <c r="AH24" s="1"/>
      <c r="AI24" s="70" t="s">
        <v>100</v>
      </c>
      <c r="AJ24" s="70" t="s">
        <v>450</v>
      </c>
      <c r="AK24" s="70" t="s">
        <v>301</v>
      </c>
      <c r="AL24" s="74">
        <v>27000</v>
      </c>
    </row>
    <row r="25" spans="2:38">
      <c r="B25" s="1"/>
      <c r="C25" s="1"/>
      <c r="D25" s="5"/>
      <c r="E25" s="1"/>
      <c r="F25" s="1"/>
      <c r="G25" s="1"/>
      <c r="H25" s="5"/>
      <c r="I25" s="1"/>
      <c r="J25" s="1"/>
      <c r="K25" s="1"/>
      <c r="L25" s="5"/>
      <c r="M25" s="1"/>
      <c r="N25" s="1"/>
      <c r="O25" s="1"/>
      <c r="P25" s="5"/>
      <c r="Q25" s="1"/>
      <c r="R25" s="1"/>
      <c r="S25" s="1"/>
      <c r="T25" s="1"/>
      <c r="U25" s="1"/>
      <c r="V25" s="12"/>
      <c r="W25" s="40"/>
      <c r="X25" s="40"/>
      <c r="Y25" s="37">
        <f t="shared" si="8"/>
        <v>0</v>
      </c>
      <c r="Z25" s="13"/>
      <c r="AA25" s="1"/>
      <c r="AB25" s="70" t="s">
        <v>465</v>
      </c>
      <c r="AC25" s="77">
        <v>45911</v>
      </c>
      <c r="AD25" s="70" t="s">
        <v>321</v>
      </c>
      <c r="AE25" s="70"/>
      <c r="AF25" s="70">
        <v>8226</v>
      </c>
      <c r="AG25" s="1"/>
      <c r="AH25" s="1"/>
      <c r="AI25" s="70" t="s">
        <v>100</v>
      </c>
      <c r="AJ25" s="70" t="s">
        <v>451</v>
      </c>
      <c r="AK25" s="70" t="s">
        <v>301</v>
      </c>
      <c r="AL25" s="74">
        <v>25000</v>
      </c>
    </row>
    <row r="26" spans="2:38" ht="15.75" thickBot="1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5"/>
      <c r="U26" s="1"/>
      <c r="V26" s="12"/>
      <c r="W26" s="40"/>
      <c r="X26" s="40"/>
      <c r="Y26" s="37">
        <f t="shared" si="8"/>
        <v>0</v>
      </c>
      <c r="Z26" s="13"/>
      <c r="AA26" s="1"/>
      <c r="AB26" s="70" t="s">
        <v>466</v>
      </c>
      <c r="AC26" s="69">
        <v>45882</v>
      </c>
      <c r="AD26" s="70" t="s">
        <v>264</v>
      </c>
      <c r="AE26" s="70"/>
      <c r="AF26" s="70">
        <v>3474</v>
      </c>
      <c r="AG26" s="1"/>
      <c r="AH26" s="1"/>
      <c r="AI26" s="70" t="s">
        <v>65</v>
      </c>
      <c r="AJ26" s="70" t="s">
        <v>452</v>
      </c>
      <c r="AK26" s="70" t="s">
        <v>93</v>
      </c>
      <c r="AL26" s="75">
        <v>9590</v>
      </c>
    </row>
    <row r="27" spans="2:38" ht="15.75" thickBot="1">
      <c r="B27" s="114" t="s">
        <v>12</v>
      </c>
      <c r="C27" s="115"/>
      <c r="D27" s="9">
        <f>+SUM(D15:D26)</f>
        <v>60180</v>
      </c>
      <c r="E27" s="1"/>
      <c r="F27" s="114" t="s">
        <v>12</v>
      </c>
      <c r="G27" s="115"/>
      <c r="H27" s="9">
        <f>+SUM(H15:H26)</f>
        <v>94123</v>
      </c>
      <c r="I27" s="1"/>
      <c r="J27" s="114" t="s">
        <v>12</v>
      </c>
      <c r="K27" s="115"/>
      <c r="L27" s="9">
        <f>+SUM(L15:L26)</f>
        <v>106630</v>
      </c>
      <c r="M27" s="1"/>
      <c r="N27" s="114" t="s">
        <v>12</v>
      </c>
      <c r="O27" s="115"/>
      <c r="P27" s="9">
        <f>+SUM(P15:P26)</f>
        <v>142963</v>
      </c>
      <c r="Q27" s="1"/>
      <c r="R27" s="114" t="s">
        <v>12</v>
      </c>
      <c r="S27" s="115"/>
      <c r="T27" s="9">
        <f>+SUM(T15:T26)</f>
        <v>156919</v>
      </c>
      <c r="U27" s="1"/>
      <c r="V27" s="12"/>
      <c r="W27" s="114" t="s">
        <v>12</v>
      </c>
      <c r="X27" s="115"/>
      <c r="Y27" s="9">
        <f>+SUM(Y15:Y26)</f>
        <v>560815</v>
      </c>
      <c r="Z27" s="13"/>
      <c r="AA27" s="1"/>
      <c r="AB27" s="1"/>
      <c r="AC27" s="1"/>
      <c r="AD27" s="1"/>
      <c r="AE27" s="1"/>
      <c r="AF27" s="1"/>
      <c r="AG27" s="1"/>
      <c r="AH27" s="1"/>
      <c r="AI27" s="70" t="s">
        <v>100</v>
      </c>
      <c r="AJ27" s="70" t="s">
        <v>453</v>
      </c>
      <c r="AK27" s="70" t="s">
        <v>307</v>
      </c>
      <c r="AL27" s="74">
        <v>77000</v>
      </c>
    </row>
    <row r="28" spans="2:38">
      <c r="B28" s="1"/>
      <c r="C28" s="1"/>
      <c r="D28" s="5"/>
      <c r="E28" s="1"/>
      <c r="F28" s="1"/>
      <c r="G28" s="1"/>
      <c r="H28" s="5"/>
      <c r="I28" s="1"/>
      <c r="J28" s="1"/>
      <c r="K28" s="1"/>
      <c r="L28" s="5"/>
      <c r="M28" s="1"/>
      <c r="N28" s="1"/>
      <c r="O28" s="1"/>
      <c r="P28" s="5"/>
      <c r="Q28" s="1"/>
      <c r="R28" s="1"/>
      <c r="S28" s="1"/>
      <c r="T28" s="5"/>
      <c r="U28" s="1"/>
      <c r="V28" s="12"/>
      <c r="W28" s="16"/>
      <c r="X28" s="16"/>
      <c r="Y28" s="15"/>
      <c r="Z28" s="13"/>
      <c r="AA28" s="1"/>
      <c r="AB28" s="1"/>
      <c r="AC28" s="1"/>
      <c r="AD28" s="1"/>
      <c r="AE28" s="1"/>
      <c r="AF28" s="1"/>
      <c r="AG28" s="1"/>
      <c r="AH28" s="1"/>
      <c r="AI28" s="70" t="s">
        <v>65</v>
      </c>
      <c r="AJ28" s="70" t="s">
        <v>454</v>
      </c>
      <c r="AK28" s="70" t="s">
        <v>189</v>
      </c>
      <c r="AL28" s="74">
        <v>18286</v>
      </c>
    </row>
    <row r="29" spans="2:38" ht="15.75" thickBot="1">
      <c r="B29" s="116" t="s">
        <v>40</v>
      </c>
      <c r="C29" s="116"/>
      <c r="D29" s="7">
        <f>+D27-D14</f>
        <v>210</v>
      </c>
      <c r="E29" s="1"/>
      <c r="F29" s="116" t="s">
        <v>40</v>
      </c>
      <c r="G29" s="116"/>
      <c r="H29" s="7">
        <f>+H27-H14</f>
        <v>-2155</v>
      </c>
      <c r="I29" s="1"/>
      <c r="J29" s="116" t="s">
        <v>40</v>
      </c>
      <c r="K29" s="116"/>
      <c r="L29" s="7">
        <f>+L27-L14</f>
        <v>200</v>
      </c>
      <c r="M29" s="1"/>
      <c r="N29" s="116" t="s">
        <v>40</v>
      </c>
      <c r="O29" s="116"/>
      <c r="P29" s="7">
        <f>+P27-P14</f>
        <v>0</v>
      </c>
      <c r="Q29" s="1"/>
      <c r="R29" s="116" t="s">
        <v>40</v>
      </c>
      <c r="S29" s="116"/>
      <c r="T29" s="7">
        <f>+T27-T14</f>
        <v>-715</v>
      </c>
      <c r="U29" s="1"/>
      <c r="V29" s="12"/>
      <c r="W29" s="113" t="s">
        <v>40</v>
      </c>
      <c r="X29" s="113"/>
      <c r="Y29" s="41">
        <f>+Y27-Y14</f>
        <v>-2460</v>
      </c>
      <c r="Z29" s="13"/>
      <c r="AA29" s="1"/>
      <c r="AB29" s="1"/>
      <c r="AC29" s="1"/>
      <c r="AD29" s="1"/>
      <c r="AE29" s="1"/>
      <c r="AF29" s="1"/>
      <c r="AG29" s="1"/>
      <c r="AH29" s="1"/>
      <c r="AI29" s="70" t="s">
        <v>98</v>
      </c>
      <c r="AJ29" s="70" t="s">
        <v>455</v>
      </c>
      <c r="AK29" s="70" t="s">
        <v>93</v>
      </c>
      <c r="AL29" s="74">
        <v>20520</v>
      </c>
    </row>
    <row r="30" spans="2:38" ht="16.5" thickTop="1" thickBo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7"/>
      <c r="W30" s="18"/>
      <c r="X30" s="18"/>
      <c r="Y30" s="18"/>
      <c r="Z30" s="19"/>
      <c r="AA30" s="1"/>
      <c r="AB30" s="60" t="s">
        <v>39</v>
      </c>
      <c r="AC30" s="60"/>
      <c r="AD30" s="60"/>
      <c r="AE30" s="60"/>
      <c r="AF30" s="55">
        <f>+SUM(AF22:AF29)</f>
        <v>233783</v>
      </c>
      <c r="AG30" s="1"/>
      <c r="AH30" s="1"/>
      <c r="AI30" s="70" t="s">
        <v>100</v>
      </c>
      <c r="AJ30" s="70" t="s">
        <v>456</v>
      </c>
      <c r="AK30" s="70" t="s">
        <v>458</v>
      </c>
      <c r="AL30" s="74">
        <v>28214</v>
      </c>
    </row>
    <row r="31" spans="2:38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70" t="s">
        <v>100</v>
      </c>
      <c r="AJ31" s="70" t="s">
        <v>457</v>
      </c>
      <c r="AK31" s="70" t="s">
        <v>171</v>
      </c>
      <c r="AL31" s="74">
        <v>80000</v>
      </c>
    </row>
    <row r="32" spans="2:38" ht="15.75" thickBo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70" t="s">
        <v>67</v>
      </c>
      <c r="AJ32" s="70" t="s">
        <v>176</v>
      </c>
      <c r="AK32" s="70" t="s">
        <v>459</v>
      </c>
      <c r="AL32" s="73">
        <v>5456</v>
      </c>
    </row>
    <row r="33" spans="2:38">
      <c r="B33" s="10" t="s">
        <v>41</v>
      </c>
      <c r="C33" s="11"/>
      <c r="D33" s="21"/>
      <c r="E33" s="1"/>
      <c r="F33" s="10" t="s">
        <v>41</v>
      </c>
      <c r="G33" s="11"/>
      <c r="H33" s="21">
        <v>2155</v>
      </c>
      <c r="I33" s="1"/>
      <c r="J33" s="10" t="s">
        <v>41</v>
      </c>
      <c r="K33" s="11"/>
      <c r="L33" s="21"/>
      <c r="M33" s="1"/>
      <c r="N33" s="10" t="s">
        <v>41</v>
      </c>
      <c r="O33" s="11"/>
      <c r="P33" s="21"/>
      <c r="Q33" s="1"/>
      <c r="R33" s="10" t="s">
        <v>41</v>
      </c>
      <c r="S33" s="11"/>
      <c r="T33" s="21"/>
      <c r="U33" s="1"/>
      <c r="V33" s="1"/>
      <c r="W33" s="42" t="s">
        <v>41</v>
      </c>
      <c r="X33" s="43"/>
      <c r="Y33" s="44">
        <f>+D33+H33+L33+P33+T33</f>
        <v>2155</v>
      </c>
      <c r="Z33" s="1"/>
      <c r="AA33" s="1"/>
      <c r="AB33" s="1"/>
      <c r="AC33" s="1"/>
      <c r="AD33" s="1"/>
      <c r="AE33" s="1"/>
      <c r="AF33" s="1"/>
      <c r="AG33" s="1"/>
      <c r="AH33" s="1"/>
      <c r="AI33" s="70" t="s">
        <v>97</v>
      </c>
      <c r="AJ33" s="70" t="s">
        <v>174</v>
      </c>
      <c r="AK33" s="70" t="s">
        <v>460</v>
      </c>
      <c r="AL33" s="74">
        <v>10000</v>
      </c>
    </row>
    <row r="34" spans="2:38">
      <c r="B34" s="12" t="s">
        <v>42</v>
      </c>
      <c r="C34" s="16"/>
      <c r="D34" s="22"/>
      <c r="E34" s="1"/>
      <c r="F34" s="12" t="s">
        <v>42</v>
      </c>
      <c r="G34" s="16"/>
      <c r="H34" s="22"/>
      <c r="I34" s="1"/>
      <c r="J34" s="12" t="s">
        <v>42</v>
      </c>
      <c r="K34" s="16"/>
      <c r="L34" s="22"/>
      <c r="M34" s="1"/>
      <c r="N34" s="12" t="s">
        <v>42</v>
      </c>
      <c r="O34" s="16"/>
      <c r="P34" s="22"/>
      <c r="Q34" s="1"/>
      <c r="R34" s="89" t="s">
        <v>382</v>
      </c>
      <c r="S34" s="16"/>
      <c r="T34" s="22">
        <v>834</v>
      </c>
      <c r="U34" s="1"/>
      <c r="V34" s="1"/>
      <c r="W34" s="45" t="s">
        <v>42</v>
      </c>
      <c r="X34" s="40"/>
      <c r="Y34" s="46">
        <f t="shared" ref="Y34:Y35" si="9">+D34+H34+L34+P34+T34</f>
        <v>834</v>
      </c>
      <c r="Z34" s="1"/>
      <c r="AA34" s="1"/>
      <c r="AB34" s="1"/>
      <c r="AC34" s="1"/>
      <c r="AD34" s="1"/>
      <c r="AE34" s="1"/>
      <c r="AF34" s="1"/>
      <c r="AG34" s="1"/>
      <c r="AH34" s="1"/>
      <c r="AI34" s="70" t="s">
        <v>97</v>
      </c>
      <c r="AJ34" s="70" t="s">
        <v>218</v>
      </c>
      <c r="AK34" s="70" t="s">
        <v>461</v>
      </c>
      <c r="AL34" s="74">
        <v>3054</v>
      </c>
    </row>
    <row r="35" spans="2:38">
      <c r="B35" s="12" t="s">
        <v>44</v>
      </c>
      <c r="C35" s="16"/>
      <c r="D35" s="22">
        <v>-210</v>
      </c>
      <c r="E35" s="1"/>
      <c r="F35" s="12" t="s">
        <v>44</v>
      </c>
      <c r="G35" s="16"/>
      <c r="H35" s="22"/>
      <c r="I35" s="1"/>
      <c r="J35" s="12" t="s">
        <v>44</v>
      </c>
      <c r="K35" s="16"/>
      <c r="L35" s="22">
        <v>-200</v>
      </c>
      <c r="M35" s="1"/>
      <c r="N35" s="12" t="s">
        <v>44</v>
      </c>
      <c r="O35" s="16"/>
      <c r="P35" s="22"/>
      <c r="Q35" s="1"/>
      <c r="R35" s="12" t="s">
        <v>44</v>
      </c>
      <c r="S35" s="16"/>
      <c r="T35" s="22">
        <v>-119</v>
      </c>
      <c r="U35" s="1"/>
      <c r="V35" s="1"/>
      <c r="W35" s="45" t="s">
        <v>43</v>
      </c>
      <c r="X35" s="40"/>
      <c r="Y35" s="46">
        <f t="shared" si="9"/>
        <v>-529</v>
      </c>
      <c r="Z35" s="1"/>
      <c r="AA35" s="1"/>
      <c r="AB35" s="1"/>
      <c r="AC35" s="1"/>
      <c r="AD35" s="1"/>
      <c r="AE35" s="1"/>
      <c r="AF35" s="1"/>
      <c r="AG35" s="1"/>
      <c r="AH35" s="1"/>
      <c r="AI35" s="70" t="s">
        <v>67</v>
      </c>
      <c r="AJ35" s="70" t="s">
        <v>235</v>
      </c>
      <c r="AK35" s="70" t="s">
        <v>462</v>
      </c>
      <c r="AL35" s="74">
        <v>6650</v>
      </c>
    </row>
    <row r="36" spans="2:38" ht="15.75" thickBot="1">
      <c r="B36" s="12" t="s">
        <v>18</v>
      </c>
      <c r="C36" s="16"/>
      <c r="D36" s="22">
        <f>+SUM(D33:D35)</f>
        <v>-210</v>
      </c>
      <c r="E36" s="1"/>
      <c r="F36" s="12" t="s">
        <v>18</v>
      </c>
      <c r="G36" s="16"/>
      <c r="H36" s="22">
        <f>+SUM(H33:H35)</f>
        <v>2155</v>
      </c>
      <c r="I36" s="1"/>
      <c r="J36" s="12" t="s">
        <v>18</v>
      </c>
      <c r="K36" s="16"/>
      <c r="L36" s="22">
        <f>+SUM(L33:L35)</f>
        <v>-200</v>
      </c>
      <c r="M36" s="1"/>
      <c r="N36" s="12" t="s">
        <v>18</v>
      </c>
      <c r="O36" s="16"/>
      <c r="P36" s="22">
        <f>+SUM(P33:P35)</f>
        <v>0</v>
      </c>
      <c r="Q36" s="1"/>
      <c r="R36" s="12" t="s">
        <v>18</v>
      </c>
      <c r="S36" s="16"/>
      <c r="T36" s="22">
        <f>+SUM(T33:T35)</f>
        <v>715</v>
      </c>
      <c r="U36" s="1"/>
      <c r="V36" s="1"/>
      <c r="W36" s="33" t="s">
        <v>18</v>
      </c>
      <c r="X36" s="34"/>
      <c r="Y36" s="35">
        <f>+SUM(Y33:Y35)</f>
        <v>2460</v>
      </c>
      <c r="Z36" s="1"/>
      <c r="AA36" s="1"/>
      <c r="AB36" s="1"/>
      <c r="AC36" s="1"/>
      <c r="AD36" s="1"/>
      <c r="AE36" s="1"/>
      <c r="AF36" s="1"/>
      <c r="AG36" s="1"/>
      <c r="AH36" s="1"/>
      <c r="AI36" s="79" t="s">
        <v>39</v>
      </c>
      <c r="AJ36" s="79"/>
      <c r="AK36" s="79"/>
      <c r="AL36" s="85">
        <f>+SUM(AL22:AL35)</f>
        <v>340770</v>
      </c>
    </row>
    <row r="37" spans="2:38" ht="16.5" thickTop="1" thickBot="1">
      <c r="B37" s="23" t="s">
        <v>45</v>
      </c>
      <c r="C37" s="24"/>
      <c r="D37" s="25">
        <f>+D29+D36</f>
        <v>0</v>
      </c>
      <c r="E37" s="1"/>
      <c r="F37" s="23" t="s">
        <v>45</v>
      </c>
      <c r="G37" s="24"/>
      <c r="H37" s="25">
        <f>+H29+H36</f>
        <v>0</v>
      </c>
      <c r="I37" s="1"/>
      <c r="J37" s="23" t="s">
        <v>45</v>
      </c>
      <c r="K37" s="24"/>
      <c r="L37" s="25">
        <f>+L29+L36</f>
        <v>0</v>
      </c>
      <c r="M37" s="1"/>
      <c r="N37" s="23" t="s">
        <v>45</v>
      </c>
      <c r="O37" s="24"/>
      <c r="P37" s="25">
        <f>+P29+P36</f>
        <v>0</v>
      </c>
      <c r="Q37" s="1"/>
      <c r="R37" s="23" t="s">
        <v>45</v>
      </c>
      <c r="S37" s="24"/>
      <c r="T37" s="25">
        <f>+T29+T36</f>
        <v>0</v>
      </c>
      <c r="U37" s="1"/>
      <c r="V37" s="1"/>
      <c r="W37" s="23" t="s">
        <v>45</v>
      </c>
      <c r="X37" s="24"/>
      <c r="Y37" s="25">
        <f>+Y29+Y36</f>
        <v>0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</sheetData>
  <mergeCells count="24">
    <mergeCell ref="W14:X14"/>
    <mergeCell ref="B2:D2"/>
    <mergeCell ref="F2:H2"/>
    <mergeCell ref="J2:L2"/>
    <mergeCell ref="N2:P2"/>
    <mergeCell ref="R2:T2"/>
    <mergeCell ref="W2:Y2"/>
    <mergeCell ref="B14:C14"/>
    <mergeCell ref="F14:G14"/>
    <mergeCell ref="J14:K14"/>
    <mergeCell ref="N14:O14"/>
    <mergeCell ref="R14:S14"/>
    <mergeCell ref="W29:X29"/>
    <mergeCell ref="B27:C27"/>
    <mergeCell ref="F27:G27"/>
    <mergeCell ref="J27:K27"/>
    <mergeCell ref="N27:O27"/>
    <mergeCell ref="R27:S27"/>
    <mergeCell ref="W27:X27"/>
    <mergeCell ref="B29:C29"/>
    <mergeCell ref="F29:G29"/>
    <mergeCell ref="J29:K29"/>
    <mergeCell ref="N29:O29"/>
    <mergeCell ref="R29:S2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B1:AL43"/>
  <sheetViews>
    <sheetView zoomScale="80" zoomScaleNormal="80" workbookViewId="0">
      <selection activeCell="AB15" sqref="AB15"/>
    </sheetView>
  </sheetViews>
  <sheetFormatPr defaultRowHeight="15"/>
  <cols>
    <col min="5" max="5" width="0.140625" customWidth="1"/>
    <col min="7" max="7" width="17.140625" bestFit="1" customWidth="1"/>
    <col min="9" max="9" width="0.5703125" customWidth="1"/>
    <col min="11" max="11" width="13.7109375" bestFit="1" customWidth="1"/>
    <col min="12" max="12" width="9.5703125" bestFit="1" customWidth="1"/>
    <col min="13" max="13" width="0.42578125" customWidth="1"/>
    <col min="15" max="15" width="12.85546875" bestFit="1" customWidth="1"/>
    <col min="17" max="17" width="0.5703125" customWidth="1"/>
    <col min="21" max="21" width="0.85546875" customWidth="1"/>
    <col min="22" max="22" width="1.7109375" customWidth="1"/>
    <col min="25" max="25" width="9.5703125" bestFit="1" customWidth="1"/>
    <col min="26" max="26" width="1.5703125" customWidth="1"/>
    <col min="28" max="28" width="16.7109375" bestFit="1" customWidth="1"/>
    <col min="29" max="29" width="9.42578125" bestFit="1" customWidth="1"/>
    <col min="30" max="30" width="9.7109375" customWidth="1"/>
    <col min="33" max="33" width="1.42578125" customWidth="1"/>
    <col min="34" max="34" width="2.140625" customWidth="1"/>
  </cols>
  <sheetData>
    <row r="1" spans="2:38" ht="15.75" thickBot="1"/>
    <row r="2" spans="2:38">
      <c r="B2" s="111" t="s">
        <v>0</v>
      </c>
      <c r="C2" s="111"/>
      <c r="D2" s="111"/>
      <c r="E2" s="1"/>
      <c r="F2" s="111" t="s">
        <v>1</v>
      </c>
      <c r="G2" s="111"/>
      <c r="H2" s="111"/>
      <c r="I2" s="1"/>
      <c r="J2" s="111" t="s">
        <v>2</v>
      </c>
      <c r="K2" s="111"/>
      <c r="L2" s="111"/>
      <c r="M2" s="1"/>
      <c r="N2" s="111" t="s">
        <v>3</v>
      </c>
      <c r="O2" s="111"/>
      <c r="P2" s="111"/>
      <c r="Q2" s="1"/>
      <c r="R2" s="111" t="s">
        <v>4</v>
      </c>
      <c r="S2" s="111"/>
      <c r="T2" s="111"/>
      <c r="U2" s="1"/>
      <c r="V2" s="10"/>
      <c r="W2" s="112" t="s">
        <v>5</v>
      </c>
      <c r="X2" s="112"/>
      <c r="Y2" s="112"/>
      <c r="Z2" s="65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>
      <c r="B3" s="4" t="s">
        <v>6</v>
      </c>
      <c r="C3" s="4" t="s">
        <v>7</v>
      </c>
      <c r="D3" s="4" t="s">
        <v>8</v>
      </c>
      <c r="E3" s="1"/>
      <c r="F3" s="4" t="s">
        <v>6</v>
      </c>
      <c r="G3" s="4" t="s">
        <v>7</v>
      </c>
      <c r="H3" s="4" t="s">
        <v>8</v>
      </c>
      <c r="I3" s="1"/>
      <c r="J3" s="4" t="s">
        <v>6</v>
      </c>
      <c r="K3" s="4" t="s">
        <v>7</v>
      </c>
      <c r="L3" s="4" t="s">
        <v>8</v>
      </c>
      <c r="M3" s="1"/>
      <c r="N3" s="4" t="s">
        <v>6</v>
      </c>
      <c r="O3" s="4" t="s">
        <v>7</v>
      </c>
      <c r="P3" s="4" t="s">
        <v>8</v>
      </c>
      <c r="Q3" s="1"/>
      <c r="R3" s="4" t="s">
        <v>6</v>
      </c>
      <c r="S3" s="4" t="s">
        <v>7</v>
      </c>
      <c r="T3" s="4" t="s">
        <v>8</v>
      </c>
      <c r="U3" s="1"/>
      <c r="V3" s="12"/>
      <c r="W3" s="14" t="s">
        <v>6</v>
      </c>
      <c r="X3" s="14" t="s">
        <v>7</v>
      </c>
      <c r="Y3" s="14" t="s">
        <v>8</v>
      </c>
      <c r="Z3" s="13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ht="15.75" thickBot="1">
      <c r="B4" s="29">
        <v>1</v>
      </c>
      <c r="C4" s="29"/>
      <c r="D4" s="36">
        <f>+C4*B4</f>
        <v>0</v>
      </c>
      <c r="E4" s="26"/>
      <c r="F4" s="29">
        <v>1</v>
      </c>
      <c r="G4" s="29"/>
      <c r="H4" s="36">
        <f>+G4*F4</f>
        <v>0</v>
      </c>
      <c r="I4" s="26"/>
      <c r="J4" s="29">
        <v>1</v>
      </c>
      <c r="K4" s="29"/>
      <c r="L4" s="36">
        <f>+K4*J4</f>
        <v>0</v>
      </c>
      <c r="M4" s="26"/>
      <c r="N4" s="29">
        <v>1</v>
      </c>
      <c r="O4" s="29"/>
      <c r="P4" s="36">
        <f>+O4*N4</f>
        <v>0</v>
      </c>
      <c r="Q4" s="26"/>
      <c r="R4" s="29">
        <v>1</v>
      </c>
      <c r="S4" s="29"/>
      <c r="T4" s="36">
        <f>+S4*R4</f>
        <v>0</v>
      </c>
      <c r="U4" s="26"/>
      <c r="V4" s="27"/>
      <c r="W4" s="38">
        <v>1</v>
      </c>
      <c r="X4" s="39">
        <f>+C4+G4+K4+O4+S4</f>
        <v>0</v>
      </c>
      <c r="Y4" s="37">
        <f>+D4+H4+L4+P4+T4</f>
        <v>0</v>
      </c>
      <c r="Z4" s="28"/>
      <c r="AA4" s="26"/>
      <c r="AB4" s="67" t="s">
        <v>9</v>
      </c>
      <c r="AC4" s="66"/>
      <c r="AD4" s="66"/>
      <c r="AE4" s="66"/>
      <c r="AF4" s="66"/>
      <c r="AG4" s="61"/>
      <c r="AH4" s="1"/>
      <c r="AI4" s="4" t="s">
        <v>6</v>
      </c>
      <c r="AJ4" s="4" t="s">
        <v>7</v>
      </c>
      <c r="AK4" s="4" t="s">
        <v>8</v>
      </c>
      <c r="AL4" s="1"/>
    </row>
    <row r="5" spans="2:38" ht="15.75" thickTop="1">
      <c r="B5" s="2">
        <v>10</v>
      </c>
      <c r="C5" s="2">
        <v>98</v>
      </c>
      <c r="D5" s="36">
        <f>+C5*B5</f>
        <v>980</v>
      </c>
      <c r="E5" s="1"/>
      <c r="F5" s="2">
        <v>10</v>
      </c>
      <c r="G5" s="2">
        <v>11</v>
      </c>
      <c r="H5" s="36">
        <f>+G5*F5</f>
        <v>110</v>
      </c>
      <c r="I5" s="1"/>
      <c r="J5" s="2">
        <v>10</v>
      </c>
      <c r="K5" s="2">
        <v>70</v>
      </c>
      <c r="L5" s="36">
        <f>+K5*J5</f>
        <v>700</v>
      </c>
      <c r="M5" s="1"/>
      <c r="N5" s="2">
        <v>10</v>
      </c>
      <c r="O5" s="2">
        <v>66</v>
      </c>
      <c r="P5" s="36">
        <f>+O5*N5</f>
        <v>660</v>
      </c>
      <c r="Q5" s="1"/>
      <c r="R5" s="2">
        <v>10</v>
      </c>
      <c r="S5" s="2"/>
      <c r="T5" s="36">
        <f>+S5*R5</f>
        <v>0</v>
      </c>
      <c r="U5" s="1"/>
      <c r="V5" s="12"/>
      <c r="W5" s="39">
        <v>10</v>
      </c>
      <c r="X5" s="39">
        <f>+C5+G5+K5+O5+S5</f>
        <v>245</v>
      </c>
      <c r="Y5" s="37">
        <f>+D5+H5+L5+P5+T5</f>
        <v>2450</v>
      </c>
      <c r="Z5" s="13"/>
      <c r="AA5" s="1"/>
      <c r="AB5" s="1"/>
      <c r="AC5" s="1"/>
      <c r="AD5" s="1"/>
      <c r="AE5" s="1"/>
      <c r="AF5" s="1"/>
      <c r="AG5" s="1"/>
      <c r="AH5" s="1"/>
      <c r="AI5" s="29">
        <v>1</v>
      </c>
      <c r="AJ5" s="29">
        <v>6</v>
      </c>
      <c r="AK5" s="36">
        <f t="shared" ref="AK5:AK12" si="0">+AJ5*AI5</f>
        <v>6</v>
      </c>
      <c r="AL5" s="26"/>
    </row>
    <row r="6" spans="2:38">
      <c r="B6" s="2">
        <v>20</v>
      </c>
      <c r="C6" s="2">
        <v>5</v>
      </c>
      <c r="D6" s="36">
        <f t="shared" ref="D6:D11" si="1">+C6*B6</f>
        <v>100</v>
      </c>
      <c r="E6" s="1"/>
      <c r="F6" s="2">
        <v>20</v>
      </c>
      <c r="G6" s="2">
        <v>1</v>
      </c>
      <c r="H6" s="36">
        <f t="shared" ref="H6:H11" si="2">+G6*F6</f>
        <v>20</v>
      </c>
      <c r="I6" s="1"/>
      <c r="J6" s="2">
        <v>20</v>
      </c>
      <c r="K6" s="2">
        <v>24</v>
      </c>
      <c r="L6" s="36">
        <f t="shared" ref="L6:L11" si="3">+K6*J6</f>
        <v>480</v>
      </c>
      <c r="M6" s="1"/>
      <c r="N6" s="2">
        <v>20</v>
      </c>
      <c r="O6" s="2">
        <v>22</v>
      </c>
      <c r="P6" s="36">
        <f t="shared" ref="P6:P11" si="4">+O6*N6</f>
        <v>440</v>
      </c>
      <c r="Q6" s="1"/>
      <c r="R6" s="2">
        <v>20</v>
      </c>
      <c r="S6" s="2"/>
      <c r="T6" s="36">
        <f t="shared" ref="T6:T11" si="5">+S6*R6</f>
        <v>0</v>
      </c>
      <c r="U6" s="1"/>
      <c r="V6" s="12"/>
      <c r="W6" s="39">
        <v>20</v>
      </c>
      <c r="X6" s="39">
        <f>+C6+G6+K6+O6+S6</f>
        <v>52</v>
      </c>
      <c r="Y6" s="37">
        <f t="shared" ref="Y6:Y11" si="6">+D6+H6+L6+P6+T6</f>
        <v>1040</v>
      </c>
      <c r="Z6" s="13"/>
      <c r="AA6" s="1"/>
      <c r="AB6" s="56" t="s">
        <v>10</v>
      </c>
      <c r="AC6" s="57">
        <f>Y12</f>
        <v>310140</v>
      </c>
      <c r="AD6" s="26"/>
      <c r="AE6" s="26"/>
      <c r="AF6" s="26"/>
      <c r="AG6" s="26"/>
      <c r="AH6" s="1"/>
      <c r="AI6" s="2">
        <v>10</v>
      </c>
      <c r="AJ6" s="2">
        <v>1364</v>
      </c>
      <c r="AK6" s="36">
        <f t="shared" si="0"/>
        <v>13640</v>
      </c>
      <c r="AL6" s="1"/>
    </row>
    <row r="7" spans="2:38">
      <c r="B7" s="2">
        <v>50</v>
      </c>
      <c r="C7" s="2">
        <v>166</v>
      </c>
      <c r="D7" s="36">
        <f t="shared" si="1"/>
        <v>8300</v>
      </c>
      <c r="E7" s="1"/>
      <c r="F7" s="2">
        <v>50</v>
      </c>
      <c r="G7" s="2">
        <v>65</v>
      </c>
      <c r="H7" s="36">
        <f t="shared" si="2"/>
        <v>3250</v>
      </c>
      <c r="I7" s="1"/>
      <c r="J7" s="2">
        <v>50</v>
      </c>
      <c r="K7" s="2">
        <v>17</v>
      </c>
      <c r="L7" s="36">
        <f t="shared" si="3"/>
        <v>850</v>
      </c>
      <c r="M7" s="1"/>
      <c r="N7" s="2">
        <v>50</v>
      </c>
      <c r="O7" s="2">
        <v>35</v>
      </c>
      <c r="P7" s="36">
        <f t="shared" si="4"/>
        <v>1750</v>
      </c>
      <c r="Q7" s="1"/>
      <c r="R7" s="2">
        <v>50</v>
      </c>
      <c r="S7" s="2"/>
      <c r="T7" s="36">
        <f t="shared" si="5"/>
        <v>0</v>
      </c>
      <c r="U7" s="1"/>
      <c r="V7" s="12"/>
      <c r="W7" s="39">
        <v>50</v>
      </c>
      <c r="X7" s="39">
        <f t="shared" ref="X7:X11" si="7">+C7+G7+K7+O7+S7</f>
        <v>283</v>
      </c>
      <c r="Y7" s="37">
        <f t="shared" si="6"/>
        <v>14150</v>
      </c>
      <c r="Z7" s="13"/>
      <c r="AA7" s="1"/>
      <c r="AB7" s="53" t="s">
        <v>11</v>
      </c>
      <c r="AC7" s="53">
        <f>+AF30</f>
        <v>168336</v>
      </c>
      <c r="AD7" s="1"/>
      <c r="AE7" s="1"/>
      <c r="AF7" s="1"/>
      <c r="AG7" s="1"/>
      <c r="AH7" s="1"/>
      <c r="AI7" s="2">
        <v>20</v>
      </c>
      <c r="AJ7" s="2">
        <v>54</v>
      </c>
      <c r="AK7" s="36">
        <f t="shared" si="0"/>
        <v>1080</v>
      </c>
      <c r="AL7" s="1"/>
    </row>
    <row r="8" spans="2:38" ht="15.75" thickBot="1">
      <c r="B8" s="2">
        <v>100</v>
      </c>
      <c r="C8" s="2">
        <v>55</v>
      </c>
      <c r="D8" s="36">
        <f t="shared" si="1"/>
        <v>5500</v>
      </c>
      <c r="E8" s="1"/>
      <c r="F8" s="2">
        <v>100</v>
      </c>
      <c r="G8" s="2">
        <v>47</v>
      </c>
      <c r="H8" s="36">
        <f t="shared" si="2"/>
        <v>4700</v>
      </c>
      <c r="I8" s="1"/>
      <c r="J8" s="2">
        <v>100</v>
      </c>
      <c r="K8" s="2">
        <v>42</v>
      </c>
      <c r="L8" s="36">
        <f t="shared" si="3"/>
        <v>4200</v>
      </c>
      <c r="M8" s="1"/>
      <c r="N8" s="2">
        <v>100</v>
      </c>
      <c r="O8" s="2">
        <v>61</v>
      </c>
      <c r="P8" s="36">
        <f t="shared" si="4"/>
        <v>6100</v>
      </c>
      <c r="Q8" s="1"/>
      <c r="R8" s="2">
        <v>100</v>
      </c>
      <c r="S8" s="2"/>
      <c r="T8" s="36">
        <f t="shared" si="5"/>
        <v>0</v>
      </c>
      <c r="U8" s="1"/>
      <c r="V8" s="12"/>
      <c r="W8" s="39">
        <v>100</v>
      </c>
      <c r="X8" s="39">
        <f t="shared" si="7"/>
        <v>205</v>
      </c>
      <c r="Y8" s="37">
        <f t="shared" si="6"/>
        <v>20500</v>
      </c>
      <c r="Z8" s="13"/>
      <c r="AA8" s="1"/>
      <c r="AB8" s="58" t="s">
        <v>12</v>
      </c>
      <c r="AC8" s="59">
        <f>SUM(AC6:AC7)</f>
        <v>478476</v>
      </c>
      <c r="AD8" s="1"/>
      <c r="AE8" s="1"/>
      <c r="AF8" s="1"/>
      <c r="AG8" s="1"/>
      <c r="AH8" s="1"/>
      <c r="AI8" s="2">
        <v>50</v>
      </c>
      <c r="AJ8" s="2">
        <v>387</v>
      </c>
      <c r="AK8" s="36">
        <f t="shared" si="0"/>
        <v>19350</v>
      </c>
      <c r="AL8" s="1"/>
    </row>
    <row r="9" spans="2:38">
      <c r="B9" s="2">
        <v>500</v>
      </c>
      <c r="C9" s="2">
        <v>40</v>
      </c>
      <c r="D9" s="36">
        <f t="shared" si="1"/>
        <v>20000</v>
      </c>
      <c r="E9" s="1"/>
      <c r="F9" s="2">
        <v>500</v>
      </c>
      <c r="G9" s="2">
        <v>50</v>
      </c>
      <c r="H9" s="36">
        <f t="shared" si="2"/>
        <v>25000</v>
      </c>
      <c r="I9" s="1"/>
      <c r="J9" s="2">
        <v>500</v>
      </c>
      <c r="K9" s="2">
        <v>50</v>
      </c>
      <c r="L9" s="36">
        <f t="shared" si="3"/>
        <v>25000</v>
      </c>
      <c r="M9" s="1"/>
      <c r="N9" s="2">
        <v>500</v>
      </c>
      <c r="O9" s="2">
        <v>32</v>
      </c>
      <c r="P9" s="36">
        <f t="shared" si="4"/>
        <v>16000</v>
      </c>
      <c r="Q9" s="1"/>
      <c r="R9" s="2">
        <v>500</v>
      </c>
      <c r="S9" s="2"/>
      <c r="T9" s="36">
        <f t="shared" si="5"/>
        <v>0</v>
      </c>
      <c r="U9" s="1"/>
      <c r="V9" s="12"/>
      <c r="W9" s="39">
        <v>500</v>
      </c>
      <c r="X9" s="39">
        <f t="shared" si="7"/>
        <v>172</v>
      </c>
      <c r="Y9" s="37">
        <f t="shared" si="6"/>
        <v>86000</v>
      </c>
      <c r="Z9" s="13"/>
      <c r="AA9" s="1"/>
      <c r="AB9" s="1"/>
      <c r="AC9" s="1"/>
      <c r="AD9" s="1"/>
      <c r="AE9" s="1"/>
      <c r="AF9" s="1"/>
      <c r="AG9" s="1"/>
      <c r="AH9" s="1"/>
      <c r="AI9" s="2">
        <v>100</v>
      </c>
      <c r="AJ9" s="2">
        <v>209</v>
      </c>
      <c r="AK9" s="36">
        <f t="shared" si="0"/>
        <v>20900</v>
      </c>
      <c r="AL9" s="1"/>
    </row>
    <row r="10" spans="2:38">
      <c r="B10" s="2">
        <v>1000</v>
      </c>
      <c r="C10" s="2">
        <v>35</v>
      </c>
      <c r="D10" s="36">
        <f t="shared" si="1"/>
        <v>35000</v>
      </c>
      <c r="E10" s="1"/>
      <c r="F10" s="2">
        <v>1000</v>
      </c>
      <c r="G10" s="2">
        <v>39</v>
      </c>
      <c r="H10" s="36">
        <f t="shared" si="2"/>
        <v>39000</v>
      </c>
      <c r="I10" s="1"/>
      <c r="J10" s="2">
        <v>1000</v>
      </c>
      <c r="K10" s="2">
        <v>49</v>
      </c>
      <c r="L10" s="36">
        <f t="shared" si="3"/>
        <v>49000</v>
      </c>
      <c r="M10" s="1"/>
      <c r="N10" s="2">
        <v>1000</v>
      </c>
      <c r="O10" s="2">
        <v>38</v>
      </c>
      <c r="P10" s="36">
        <f t="shared" si="4"/>
        <v>38000</v>
      </c>
      <c r="Q10" s="1"/>
      <c r="R10" s="2">
        <v>1000</v>
      </c>
      <c r="S10" s="2"/>
      <c r="T10" s="36">
        <f t="shared" si="5"/>
        <v>0</v>
      </c>
      <c r="U10" s="1"/>
      <c r="V10" s="12"/>
      <c r="W10" s="39">
        <v>1000</v>
      </c>
      <c r="X10" s="39">
        <f t="shared" si="7"/>
        <v>161</v>
      </c>
      <c r="Y10" s="37">
        <f t="shared" si="6"/>
        <v>161000</v>
      </c>
      <c r="Z10" s="13"/>
      <c r="AA10" s="1"/>
      <c r="AB10" s="47" t="s">
        <v>13</v>
      </c>
      <c r="AC10" s="47" t="s">
        <v>8</v>
      </c>
      <c r="AD10" s="47" t="s">
        <v>14</v>
      </c>
      <c r="AE10" s="47" t="s">
        <v>15</v>
      </c>
      <c r="AF10" s="47" t="s">
        <v>16</v>
      </c>
      <c r="AG10" s="47"/>
      <c r="AH10" s="1"/>
      <c r="AI10" s="2">
        <v>500</v>
      </c>
      <c r="AJ10" s="2">
        <v>189</v>
      </c>
      <c r="AK10" s="36">
        <f t="shared" si="0"/>
        <v>94500</v>
      </c>
      <c r="AL10" s="1"/>
    </row>
    <row r="11" spans="2:38">
      <c r="B11" s="2">
        <v>5000</v>
      </c>
      <c r="C11" s="2"/>
      <c r="D11" s="36">
        <f t="shared" si="1"/>
        <v>0</v>
      </c>
      <c r="E11" s="1"/>
      <c r="F11" s="2">
        <v>5000</v>
      </c>
      <c r="G11" s="2">
        <v>1</v>
      </c>
      <c r="H11" s="36">
        <f t="shared" si="2"/>
        <v>5000</v>
      </c>
      <c r="I11" s="1"/>
      <c r="J11" s="2">
        <v>5000</v>
      </c>
      <c r="K11" s="2">
        <v>2</v>
      </c>
      <c r="L11" s="36">
        <f t="shared" si="3"/>
        <v>10000</v>
      </c>
      <c r="M11" s="1"/>
      <c r="N11" s="2">
        <v>5000</v>
      </c>
      <c r="O11" s="2">
        <v>2</v>
      </c>
      <c r="P11" s="36">
        <f t="shared" si="4"/>
        <v>10000</v>
      </c>
      <c r="Q11" s="1"/>
      <c r="R11" s="2">
        <v>5000</v>
      </c>
      <c r="S11" s="2"/>
      <c r="T11" s="36">
        <f t="shared" si="5"/>
        <v>0</v>
      </c>
      <c r="U11" s="1"/>
      <c r="V11" s="12"/>
      <c r="W11" s="39">
        <v>5000</v>
      </c>
      <c r="X11" s="39">
        <f t="shared" si="7"/>
        <v>5</v>
      </c>
      <c r="Y11" s="37">
        <f t="shared" si="6"/>
        <v>25000</v>
      </c>
      <c r="Z11" s="13"/>
      <c r="AA11" s="1"/>
      <c r="AB11" s="1" t="s">
        <v>17</v>
      </c>
      <c r="AC11" s="5">
        <v>413470</v>
      </c>
      <c r="AD11" s="1">
        <v>39510</v>
      </c>
      <c r="AE11" s="52" t="s">
        <v>499</v>
      </c>
      <c r="AF11" s="1" t="s">
        <v>110</v>
      </c>
      <c r="AG11" s="1"/>
      <c r="AH11" s="1"/>
      <c r="AI11" s="2">
        <v>1000</v>
      </c>
      <c r="AJ11" s="2">
        <v>247</v>
      </c>
      <c r="AK11" s="36">
        <f t="shared" si="0"/>
        <v>247000</v>
      </c>
      <c r="AL11" s="1"/>
    </row>
    <row r="12" spans="2:38" ht="15.75" thickBot="1">
      <c r="B12" s="3" t="s">
        <v>18</v>
      </c>
      <c r="C12" s="3"/>
      <c r="D12" s="6">
        <f>+SUM(D4:D11)</f>
        <v>69880</v>
      </c>
      <c r="E12" s="1"/>
      <c r="F12" s="3" t="s">
        <v>18</v>
      </c>
      <c r="G12" s="3"/>
      <c r="H12" s="6">
        <f>+SUM(H4:H11)</f>
        <v>77080</v>
      </c>
      <c r="I12" s="1"/>
      <c r="J12" s="3" t="s">
        <v>18</v>
      </c>
      <c r="K12" s="3"/>
      <c r="L12" s="6">
        <f>+SUM(L4:L11)</f>
        <v>90230</v>
      </c>
      <c r="M12" s="1"/>
      <c r="N12" s="3" t="s">
        <v>18</v>
      </c>
      <c r="O12" s="3"/>
      <c r="P12" s="6">
        <f>+SUM(P4:P11)</f>
        <v>72950</v>
      </c>
      <c r="Q12" s="1"/>
      <c r="R12" s="3" t="s">
        <v>18</v>
      </c>
      <c r="S12" s="3"/>
      <c r="T12" s="6">
        <f>+SUM(T4:T11)</f>
        <v>0</v>
      </c>
      <c r="U12" s="1"/>
      <c r="V12" s="12"/>
      <c r="W12" s="3" t="s">
        <v>18</v>
      </c>
      <c r="X12" s="3"/>
      <c r="Y12" s="6">
        <f>+SUM(Y4:Y11)</f>
        <v>310140</v>
      </c>
      <c r="Z12" s="13"/>
      <c r="AA12" s="1"/>
      <c r="AB12" s="1" t="s">
        <v>19</v>
      </c>
      <c r="AC12" s="5">
        <v>13006</v>
      </c>
      <c r="AD12" s="1"/>
      <c r="AE12" s="1"/>
      <c r="AF12" s="1"/>
      <c r="AG12" s="1"/>
      <c r="AH12" s="1"/>
      <c r="AI12" s="2">
        <v>5000</v>
      </c>
      <c r="AJ12" s="2">
        <v>6</v>
      </c>
      <c r="AK12" s="36">
        <f t="shared" si="0"/>
        <v>30000</v>
      </c>
      <c r="AL12" s="1"/>
    </row>
    <row r="13" spans="2:38" ht="15.75" thickBot="1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2"/>
      <c r="W13" s="16"/>
      <c r="X13" s="16"/>
      <c r="Y13" s="16"/>
      <c r="Z13" s="13"/>
      <c r="AA13" s="1"/>
      <c r="AB13" s="1" t="s">
        <v>20</v>
      </c>
      <c r="AC13" s="5"/>
      <c r="AD13" s="1"/>
      <c r="AE13" s="1"/>
      <c r="AF13" s="1"/>
      <c r="AG13" s="1"/>
      <c r="AH13" s="1"/>
      <c r="AI13" s="3" t="s">
        <v>18</v>
      </c>
      <c r="AJ13" s="3"/>
      <c r="AK13" s="6">
        <f>+SUM(AK5:AK12)</f>
        <v>426476</v>
      </c>
      <c r="AL13" s="1"/>
    </row>
    <row r="14" spans="2:38" ht="15.75" thickBot="1">
      <c r="B14" s="109" t="s">
        <v>21</v>
      </c>
      <c r="C14" s="110"/>
      <c r="D14" s="8">
        <v>70597</v>
      </c>
      <c r="E14" s="30"/>
      <c r="F14" s="109" t="s">
        <v>21</v>
      </c>
      <c r="G14" s="110"/>
      <c r="H14" s="8">
        <v>89084</v>
      </c>
      <c r="I14" s="30"/>
      <c r="J14" s="109" t="s">
        <v>21</v>
      </c>
      <c r="K14" s="110"/>
      <c r="L14" s="8">
        <v>103376</v>
      </c>
      <c r="M14" s="30"/>
      <c r="N14" s="109" t="s">
        <v>21</v>
      </c>
      <c r="O14" s="110"/>
      <c r="P14" s="8">
        <v>97889</v>
      </c>
      <c r="Q14" s="30"/>
      <c r="R14" s="109" t="s">
        <v>21</v>
      </c>
      <c r="S14" s="110"/>
      <c r="T14" s="8"/>
      <c r="U14" s="30"/>
      <c r="V14" s="31"/>
      <c r="W14" s="109" t="s">
        <v>21</v>
      </c>
      <c r="X14" s="110"/>
      <c r="Y14" s="8">
        <f>+D14+H14+L14+P14+T14</f>
        <v>360946</v>
      </c>
      <c r="Z14" s="32"/>
      <c r="AA14" s="30"/>
      <c r="AB14" s="101" t="s">
        <v>498</v>
      </c>
      <c r="AC14" s="100">
        <v>50000</v>
      </c>
      <c r="AD14" s="1"/>
      <c r="AE14" s="1"/>
      <c r="AF14" s="1"/>
      <c r="AG14" s="1"/>
      <c r="AH14" s="1"/>
      <c r="AI14" s="1"/>
      <c r="AJ14" s="1"/>
      <c r="AK14" s="1"/>
      <c r="AL14" s="1"/>
    </row>
    <row r="15" spans="2:38">
      <c r="B15" s="1" t="s">
        <v>10</v>
      </c>
      <c r="C15" s="1"/>
      <c r="D15" s="5">
        <f>+D12</f>
        <v>69880</v>
      </c>
      <c r="E15" s="1"/>
      <c r="F15" s="1" t="s">
        <v>10</v>
      </c>
      <c r="G15" s="1"/>
      <c r="H15" s="5">
        <f>+H12</f>
        <v>77080</v>
      </c>
      <c r="I15" s="1"/>
      <c r="J15" s="1" t="s">
        <v>10</v>
      </c>
      <c r="K15" s="1"/>
      <c r="L15" s="5">
        <f>+L12</f>
        <v>90230</v>
      </c>
      <c r="M15" s="1"/>
      <c r="N15" s="1" t="s">
        <v>10</v>
      </c>
      <c r="O15" s="1"/>
      <c r="P15" s="5">
        <f>+P12</f>
        <v>72950</v>
      </c>
      <c r="Q15" s="1"/>
      <c r="R15" s="1" t="s">
        <v>10</v>
      </c>
      <c r="S15" s="1"/>
      <c r="T15" s="5">
        <f>+T12</f>
        <v>0</v>
      </c>
      <c r="U15" s="1"/>
      <c r="V15" s="12"/>
      <c r="W15" s="40" t="s">
        <v>10</v>
      </c>
      <c r="X15" s="40"/>
      <c r="Y15" s="37">
        <f>+D15+H15+L15+P15+T15</f>
        <v>310140</v>
      </c>
      <c r="Z15" s="13"/>
      <c r="AA15" s="1"/>
      <c r="AB15" s="101" t="s">
        <v>496</v>
      </c>
      <c r="AC15" s="100">
        <v>2000</v>
      </c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17</v>
      </c>
      <c r="C16" s="1"/>
      <c r="D16" s="5">
        <v>717</v>
      </c>
      <c r="E16" s="1"/>
      <c r="F16" s="1" t="s">
        <v>17</v>
      </c>
      <c r="G16" s="1"/>
      <c r="H16" s="5"/>
      <c r="I16" s="1"/>
      <c r="J16" s="1" t="s">
        <v>17</v>
      </c>
      <c r="K16" s="1"/>
      <c r="L16" s="5"/>
      <c r="M16" s="1"/>
      <c r="N16" s="1" t="s">
        <v>17</v>
      </c>
      <c r="O16" s="1"/>
      <c r="P16" s="5"/>
      <c r="Q16" s="1"/>
      <c r="R16" s="1" t="s">
        <v>17</v>
      </c>
      <c r="S16" s="1"/>
      <c r="T16" s="5"/>
      <c r="U16" s="1"/>
      <c r="V16" s="12"/>
      <c r="W16" s="40" t="s">
        <v>17</v>
      </c>
      <c r="X16" s="40"/>
      <c r="Y16" s="37">
        <f t="shared" ref="Y16:Y26" si="8">+D16+H16+L16+P16+T16</f>
        <v>717</v>
      </c>
      <c r="Z16" s="13"/>
      <c r="AA16" s="1"/>
      <c r="AB16" s="48" t="s">
        <v>12</v>
      </c>
      <c r="AC16" s="49">
        <f>+SUM(AC11:AC15)</f>
        <v>478476</v>
      </c>
      <c r="AD16" s="63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24</v>
      </c>
      <c r="C17" s="1"/>
      <c r="D17" s="5"/>
      <c r="E17" s="1"/>
      <c r="F17" s="1" t="s">
        <v>359</v>
      </c>
      <c r="G17" s="16" t="s">
        <v>467</v>
      </c>
      <c r="H17" s="86">
        <v>4256</v>
      </c>
      <c r="I17" s="1"/>
      <c r="J17" s="1" t="s">
        <v>378</v>
      </c>
      <c r="K17" s="1" t="s">
        <v>470</v>
      </c>
      <c r="L17" s="5">
        <v>7000</v>
      </c>
      <c r="M17" s="1"/>
      <c r="N17" s="1" t="s">
        <v>378</v>
      </c>
      <c r="O17" s="1" t="s">
        <v>491</v>
      </c>
      <c r="P17" s="5">
        <v>7180</v>
      </c>
      <c r="Q17" s="1"/>
      <c r="R17" s="1" t="s">
        <v>24</v>
      </c>
      <c r="S17" s="1"/>
      <c r="T17" s="5"/>
      <c r="U17" s="1"/>
      <c r="V17" s="12"/>
      <c r="W17" s="40" t="s">
        <v>24</v>
      </c>
      <c r="X17" s="40"/>
      <c r="Y17" s="37">
        <f t="shared" si="8"/>
        <v>18436</v>
      </c>
      <c r="Z17" s="13"/>
      <c r="AA17" s="1"/>
      <c r="AB17" s="50" t="s">
        <v>25</v>
      </c>
      <c r="AC17" s="51">
        <f>+AC16-AC8</f>
        <v>0</v>
      </c>
      <c r="AD17" s="1" t="s">
        <v>26</v>
      </c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27</v>
      </c>
      <c r="C18" s="1"/>
      <c r="D18" s="5"/>
      <c r="E18" s="1"/>
      <c r="F18" s="1" t="s">
        <v>238</v>
      </c>
      <c r="G18" s="16" t="s">
        <v>468</v>
      </c>
      <c r="H18" s="86">
        <v>7183</v>
      </c>
      <c r="I18" s="1"/>
      <c r="J18" s="1" t="s">
        <v>424</v>
      </c>
      <c r="K18" s="1" t="s">
        <v>471</v>
      </c>
      <c r="L18" s="5">
        <v>6242</v>
      </c>
      <c r="M18" s="1"/>
      <c r="N18" s="1" t="s">
        <v>378</v>
      </c>
      <c r="O18" s="1" t="s">
        <v>492</v>
      </c>
      <c r="P18" s="5">
        <v>11850</v>
      </c>
      <c r="Q18" s="1"/>
      <c r="R18" s="1" t="s">
        <v>27</v>
      </c>
      <c r="S18" s="1"/>
      <c r="T18" s="5"/>
      <c r="U18" s="1"/>
      <c r="V18" s="12"/>
      <c r="W18" s="40" t="s">
        <v>27</v>
      </c>
      <c r="X18" s="40"/>
      <c r="Y18" s="37">
        <f t="shared" si="8"/>
        <v>25275</v>
      </c>
      <c r="Z18" s="13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28</v>
      </c>
      <c r="C19" s="1"/>
      <c r="D19" s="5"/>
      <c r="E19" s="1"/>
      <c r="F19" s="1" t="s">
        <v>28</v>
      </c>
      <c r="G19" s="1"/>
      <c r="H19" s="5"/>
      <c r="I19" s="1"/>
      <c r="J19" s="1" t="s">
        <v>28</v>
      </c>
      <c r="K19" s="1"/>
      <c r="L19" s="5"/>
      <c r="M19" s="1"/>
      <c r="N19" s="1" t="s">
        <v>28</v>
      </c>
      <c r="O19" s="1"/>
      <c r="P19" s="5"/>
      <c r="Q19" s="1"/>
      <c r="R19" s="1" t="s">
        <v>28</v>
      </c>
      <c r="S19" s="1"/>
      <c r="T19" s="5"/>
      <c r="U19" s="1"/>
      <c r="V19" s="12"/>
      <c r="W19" s="40" t="s">
        <v>28</v>
      </c>
      <c r="X19" s="40"/>
      <c r="Y19" s="37">
        <f t="shared" si="8"/>
        <v>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/>
      <c r="C20" s="1"/>
      <c r="D20" s="5"/>
      <c r="E20" s="1"/>
      <c r="F20" s="1"/>
      <c r="G20" s="1"/>
      <c r="H20" s="5"/>
      <c r="I20" s="1"/>
      <c r="J20" s="1"/>
      <c r="K20" s="1"/>
      <c r="L20" s="5"/>
      <c r="M20" s="1"/>
      <c r="N20" s="1"/>
      <c r="O20" s="1"/>
      <c r="P20" s="5"/>
      <c r="Q20" s="1"/>
      <c r="R20" s="1"/>
      <c r="S20" s="1"/>
      <c r="T20" s="5"/>
      <c r="U20" s="1"/>
      <c r="V20" s="12"/>
      <c r="W20" s="40"/>
      <c r="X20" s="40"/>
      <c r="Y20" s="37">
        <f t="shared" si="8"/>
        <v>0</v>
      </c>
      <c r="Z20" s="13"/>
      <c r="AA20" s="1"/>
      <c r="AB20" s="54" t="s">
        <v>29</v>
      </c>
      <c r="AC20" s="54"/>
      <c r="AD20" s="54"/>
      <c r="AE20" s="30"/>
      <c r="AF20" s="1"/>
      <c r="AG20" s="1"/>
      <c r="AH20" s="1"/>
      <c r="AI20" s="54" t="s">
        <v>30</v>
      </c>
      <c r="AJ20" s="54"/>
      <c r="AK20" s="54"/>
      <c r="AL20" s="62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47" t="s">
        <v>31</v>
      </c>
      <c r="AC21" s="47" t="s">
        <v>32</v>
      </c>
      <c r="AD21" s="47" t="s">
        <v>33</v>
      </c>
      <c r="AE21" s="47" t="s">
        <v>34</v>
      </c>
      <c r="AF21" s="47" t="s">
        <v>8</v>
      </c>
      <c r="AG21" s="1"/>
      <c r="AH21" s="1"/>
      <c r="AI21" s="47" t="s">
        <v>31</v>
      </c>
      <c r="AJ21" s="47" t="s">
        <v>35</v>
      </c>
      <c r="AK21" s="47" t="s">
        <v>33</v>
      </c>
      <c r="AL21" s="47" t="s">
        <v>8</v>
      </c>
    </row>
    <row r="22" spans="2:38">
      <c r="B22" s="1" t="s">
        <v>36</v>
      </c>
      <c r="C22" s="1"/>
      <c r="D22" s="5"/>
      <c r="E22" s="1"/>
      <c r="F22" s="1" t="s">
        <v>36</v>
      </c>
      <c r="G22" s="1" t="s">
        <v>469</v>
      </c>
      <c r="H22" s="5">
        <v>2500</v>
      </c>
      <c r="I22" s="1"/>
      <c r="J22" s="1" t="s">
        <v>36</v>
      </c>
      <c r="K22" s="1"/>
      <c r="L22" s="5"/>
      <c r="M22" s="1"/>
      <c r="N22" s="1" t="s">
        <v>493</v>
      </c>
      <c r="O22" s="1" t="s">
        <v>494</v>
      </c>
      <c r="P22" s="5">
        <v>5916</v>
      </c>
      <c r="Q22" s="1"/>
      <c r="R22" s="1" t="s">
        <v>36</v>
      </c>
      <c r="S22" s="1"/>
      <c r="T22" s="5"/>
      <c r="U22" s="1"/>
      <c r="V22" s="12"/>
      <c r="W22" s="40" t="s">
        <v>36</v>
      </c>
      <c r="X22" s="40"/>
      <c r="Y22" s="37">
        <f t="shared" si="8"/>
        <v>8416</v>
      </c>
      <c r="Z22" s="13"/>
      <c r="AA22" s="1"/>
      <c r="AB22" s="70" t="s">
        <v>472</v>
      </c>
      <c r="AC22" s="82">
        <v>45934</v>
      </c>
      <c r="AD22" s="70" t="s">
        <v>90</v>
      </c>
      <c r="AE22" s="70"/>
      <c r="AF22" s="70">
        <v>150000</v>
      </c>
      <c r="AG22" s="1"/>
      <c r="AH22" s="1"/>
      <c r="AI22" s="70" t="s">
        <v>98</v>
      </c>
      <c r="AJ22" s="70" t="s">
        <v>474</v>
      </c>
      <c r="AK22" s="70" t="s">
        <v>85</v>
      </c>
      <c r="AL22" s="74">
        <v>2452</v>
      </c>
    </row>
    <row r="23" spans="2:38">
      <c r="B23" s="1" t="s">
        <v>37</v>
      </c>
      <c r="C23" s="1"/>
      <c r="D23" s="5"/>
      <c r="E23" s="1"/>
      <c r="F23" s="1" t="s">
        <v>37</v>
      </c>
      <c r="G23" s="1"/>
      <c r="H23" s="5"/>
      <c r="I23" s="1"/>
      <c r="J23" s="1" t="s">
        <v>37</v>
      </c>
      <c r="K23" s="1"/>
      <c r="L23" s="5"/>
      <c r="M23" s="1"/>
      <c r="N23" s="1" t="s">
        <v>47</v>
      </c>
      <c r="O23" s="1"/>
      <c r="P23" s="5"/>
      <c r="Q23" s="1"/>
      <c r="R23" s="1" t="s">
        <v>37</v>
      </c>
      <c r="S23" s="1"/>
      <c r="T23" s="5"/>
      <c r="U23" s="1"/>
      <c r="V23" s="12"/>
      <c r="W23" s="40" t="s">
        <v>37</v>
      </c>
      <c r="X23" s="40"/>
      <c r="Y23" s="37">
        <f t="shared" si="8"/>
        <v>0</v>
      </c>
      <c r="Z23" s="13"/>
      <c r="AA23" s="1"/>
      <c r="AB23" s="70" t="s">
        <v>97</v>
      </c>
      <c r="AC23" s="77">
        <v>45931</v>
      </c>
      <c r="AD23" s="70" t="s">
        <v>96</v>
      </c>
      <c r="AE23" s="70" t="s">
        <v>63</v>
      </c>
      <c r="AF23" s="70">
        <v>5000</v>
      </c>
      <c r="AG23" s="1"/>
      <c r="AH23" s="1"/>
      <c r="AI23" s="70" t="s">
        <v>97</v>
      </c>
      <c r="AJ23" s="70" t="s">
        <v>475</v>
      </c>
      <c r="AK23" s="70" t="s">
        <v>482</v>
      </c>
      <c r="AL23" s="75">
        <v>23869</v>
      </c>
    </row>
    <row r="24" spans="2:38">
      <c r="B24" s="1" t="s">
        <v>38</v>
      </c>
      <c r="C24" s="1"/>
      <c r="D24" s="5"/>
      <c r="E24" s="1"/>
      <c r="F24" s="1" t="s">
        <v>38</v>
      </c>
      <c r="G24" s="1"/>
      <c r="H24" s="5"/>
      <c r="I24" s="1"/>
      <c r="J24" s="1" t="s">
        <v>38</v>
      </c>
      <c r="K24" s="1"/>
      <c r="L24" s="5"/>
      <c r="M24" s="1"/>
      <c r="N24" s="1" t="s">
        <v>47</v>
      </c>
      <c r="O24" s="1"/>
      <c r="P24" s="5"/>
      <c r="Q24" s="1"/>
      <c r="R24" s="1" t="s">
        <v>38</v>
      </c>
      <c r="S24" s="1"/>
      <c r="T24" s="5"/>
      <c r="U24" s="1"/>
      <c r="V24" s="12"/>
      <c r="W24" s="40" t="s">
        <v>38</v>
      </c>
      <c r="X24" s="40"/>
      <c r="Y24" s="37">
        <f t="shared" si="8"/>
        <v>0</v>
      </c>
      <c r="Z24" s="13"/>
      <c r="AA24" s="1"/>
      <c r="AB24" s="70" t="s">
        <v>97</v>
      </c>
      <c r="AC24" s="77">
        <v>45931</v>
      </c>
      <c r="AD24" s="70" t="s">
        <v>473</v>
      </c>
      <c r="AE24" s="70" t="s">
        <v>473</v>
      </c>
      <c r="AF24" s="74">
        <v>3250</v>
      </c>
      <c r="AG24" s="1"/>
      <c r="AH24" s="1"/>
      <c r="AI24" s="70" t="s">
        <v>100</v>
      </c>
      <c r="AJ24" s="70" t="s">
        <v>476</v>
      </c>
      <c r="AK24" s="70" t="s">
        <v>483</v>
      </c>
      <c r="AL24" s="74">
        <v>38130</v>
      </c>
    </row>
    <row r="25" spans="2:38">
      <c r="B25" s="1"/>
      <c r="C25" s="1"/>
      <c r="D25" s="5"/>
      <c r="E25" s="1"/>
      <c r="F25" s="1"/>
      <c r="G25" s="1"/>
      <c r="H25" s="5"/>
      <c r="I25" s="1"/>
      <c r="J25" s="1"/>
      <c r="K25" s="1"/>
      <c r="L25" s="5"/>
      <c r="M25" s="1"/>
      <c r="N25" s="1"/>
      <c r="O25" s="1"/>
      <c r="P25" s="5"/>
      <c r="Q25" s="1"/>
      <c r="R25" s="1"/>
      <c r="S25" s="1"/>
      <c r="T25" s="1"/>
      <c r="U25" s="1"/>
      <c r="V25" s="12"/>
      <c r="W25" s="40"/>
      <c r="X25" s="40"/>
      <c r="Y25" s="37">
        <f t="shared" si="8"/>
        <v>0</v>
      </c>
      <c r="Z25" s="13"/>
      <c r="AA25" s="1"/>
      <c r="AB25" s="70" t="s">
        <v>466</v>
      </c>
      <c r="AC25" s="69">
        <v>45882</v>
      </c>
      <c r="AD25" s="70" t="s">
        <v>264</v>
      </c>
      <c r="AE25" s="70"/>
      <c r="AF25" s="70">
        <v>4488</v>
      </c>
      <c r="AG25" s="1"/>
      <c r="AH25" s="1"/>
      <c r="AI25" s="70" t="s">
        <v>100</v>
      </c>
      <c r="AJ25" s="70" t="s">
        <v>477</v>
      </c>
      <c r="AK25" s="70" t="s">
        <v>114</v>
      </c>
      <c r="AL25" s="74">
        <v>22000</v>
      </c>
    </row>
    <row r="26" spans="2:38" ht="15.75" thickBot="1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5"/>
      <c r="U26" s="1"/>
      <c r="V26" s="12"/>
      <c r="W26" s="40"/>
      <c r="X26" s="40"/>
      <c r="Y26" s="37">
        <f t="shared" si="8"/>
        <v>0</v>
      </c>
      <c r="Z26" s="13"/>
      <c r="AA26" s="1"/>
      <c r="AB26" s="70" t="s">
        <v>97</v>
      </c>
      <c r="AC26" s="71">
        <v>45915</v>
      </c>
      <c r="AD26" s="70" t="s">
        <v>461</v>
      </c>
      <c r="AE26" s="70" t="s">
        <v>495</v>
      </c>
      <c r="AF26" s="73">
        <v>5598</v>
      </c>
      <c r="AG26" s="1"/>
      <c r="AH26" s="1"/>
      <c r="AI26" s="70" t="s">
        <v>65</v>
      </c>
      <c r="AJ26" s="70" t="s">
        <v>123</v>
      </c>
      <c r="AK26" s="70" t="s">
        <v>93</v>
      </c>
      <c r="AL26" s="74">
        <v>10390</v>
      </c>
    </row>
    <row r="27" spans="2:38" ht="15.75" thickBot="1">
      <c r="B27" s="114" t="s">
        <v>12</v>
      </c>
      <c r="C27" s="115"/>
      <c r="D27" s="9">
        <f>+SUM(D15:D26)</f>
        <v>70597</v>
      </c>
      <c r="E27" s="1"/>
      <c r="F27" s="114" t="s">
        <v>12</v>
      </c>
      <c r="G27" s="115"/>
      <c r="H27" s="9">
        <f>+SUM(H15:H26)</f>
        <v>91019</v>
      </c>
      <c r="I27" s="1"/>
      <c r="J27" s="114" t="s">
        <v>12</v>
      </c>
      <c r="K27" s="115"/>
      <c r="L27" s="9">
        <f>+SUM(L15:L26)</f>
        <v>103472</v>
      </c>
      <c r="M27" s="1"/>
      <c r="N27" s="114" t="s">
        <v>12</v>
      </c>
      <c r="O27" s="115"/>
      <c r="P27" s="9">
        <f>+SUM(P15:P26)</f>
        <v>97896</v>
      </c>
      <c r="Q27" s="1"/>
      <c r="R27" s="114" t="s">
        <v>12</v>
      </c>
      <c r="S27" s="115"/>
      <c r="T27" s="9">
        <f>+SUM(T15:T26)</f>
        <v>0</v>
      </c>
      <c r="U27" s="1"/>
      <c r="V27" s="12"/>
      <c r="W27" s="114" t="s">
        <v>12</v>
      </c>
      <c r="X27" s="115"/>
      <c r="Y27" s="9">
        <f>+SUM(Y15:Y26)</f>
        <v>362984</v>
      </c>
      <c r="Z27" s="13"/>
      <c r="AA27" s="1"/>
      <c r="AB27" s="1"/>
      <c r="AC27" s="1"/>
      <c r="AD27" s="1"/>
      <c r="AE27" s="1"/>
      <c r="AF27" s="1"/>
      <c r="AG27" s="1"/>
      <c r="AH27" s="1"/>
      <c r="AI27" s="70" t="s">
        <v>98</v>
      </c>
      <c r="AJ27" s="70" t="s">
        <v>126</v>
      </c>
      <c r="AK27" s="70" t="s">
        <v>189</v>
      </c>
      <c r="AL27" s="74">
        <v>11413</v>
      </c>
    </row>
    <row r="28" spans="2:38">
      <c r="B28" s="1"/>
      <c r="C28" s="1"/>
      <c r="D28" s="5"/>
      <c r="E28" s="1"/>
      <c r="F28" s="1"/>
      <c r="G28" s="1"/>
      <c r="H28" s="5"/>
      <c r="I28" s="1"/>
      <c r="J28" s="1"/>
      <c r="K28" s="1"/>
      <c r="L28" s="5"/>
      <c r="M28" s="1"/>
      <c r="N28" s="1"/>
      <c r="O28" s="1"/>
      <c r="P28" s="5"/>
      <c r="Q28" s="1"/>
      <c r="R28" s="1"/>
      <c r="S28" s="1"/>
      <c r="T28" s="5"/>
      <c r="U28" s="1"/>
      <c r="V28" s="12"/>
      <c r="W28" s="16"/>
      <c r="X28" s="16"/>
      <c r="Y28" s="15"/>
      <c r="Z28" s="13"/>
      <c r="AA28" s="1"/>
      <c r="AB28" s="1"/>
      <c r="AC28" s="1"/>
      <c r="AD28" s="1"/>
      <c r="AE28" s="1"/>
      <c r="AF28" s="1"/>
      <c r="AG28" s="1"/>
      <c r="AH28" s="1"/>
      <c r="AI28" s="70" t="s">
        <v>67</v>
      </c>
      <c r="AJ28" s="70" t="s">
        <v>130</v>
      </c>
      <c r="AK28" s="70" t="s">
        <v>484</v>
      </c>
      <c r="AL28" s="74">
        <v>8086</v>
      </c>
    </row>
    <row r="29" spans="2:38" ht="15.75" thickBot="1">
      <c r="B29" s="116" t="s">
        <v>40</v>
      </c>
      <c r="C29" s="116"/>
      <c r="D29" s="7">
        <f>+D27-D14</f>
        <v>0</v>
      </c>
      <c r="E29" s="1"/>
      <c r="F29" s="116" t="s">
        <v>40</v>
      </c>
      <c r="G29" s="116"/>
      <c r="H29" s="7">
        <f>+H27-H14</f>
        <v>1935</v>
      </c>
      <c r="I29" s="1"/>
      <c r="J29" s="116" t="s">
        <v>40</v>
      </c>
      <c r="K29" s="116"/>
      <c r="L29" s="7">
        <f>+L27-L14</f>
        <v>96</v>
      </c>
      <c r="M29" s="1"/>
      <c r="N29" s="116" t="s">
        <v>40</v>
      </c>
      <c r="O29" s="116"/>
      <c r="P29" s="7">
        <f>+P27-P14</f>
        <v>7</v>
      </c>
      <c r="Q29" s="1"/>
      <c r="R29" s="116" t="s">
        <v>40</v>
      </c>
      <c r="S29" s="116"/>
      <c r="T29" s="7">
        <f>+T27-T14</f>
        <v>0</v>
      </c>
      <c r="U29" s="1"/>
      <c r="V29" s="12"/>
      <c r="W29" s="113" t="s">
        <v>40</v>
      </c>
      <c r="X29" s="113"/>
      <c r="Y29" s="41">
        <f>+Y27-Y14</f>
        <v>2038</v>
      </c>
      <c r="Z29" s="13"/>
      <c r="AA29" s="1"/>
      <c r="AB29" s="1"/>
      <c r="AC29" s="1"/>
      <c r="AD29" s="1"/>
      <c r="AE29" s="1"/>
      <c r="AF29" s="1"/>
      <c r="AG29" s="1"/>
      <c r="AH29" s="1"/>
      <c r="AI29" s="70" t="s">
        <v>100</v>
      </c>
      <c r="AJ29" s="70" t="s">
        <v>478</v>
      </c>
      <c r="AK29" s="70" t="s">
        <v>458</v>
      </c>
      <c r="AL29" s="74">
        <v>50000</v>
      </c>
    </row>
    <row r="30" spans="2:38" ht="16.5" thickTop="1" thickBo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7"/>
      <c r="W30" s="18"/>
      <c r="X30" s="18"/>
      <c r="Y30" s="18"/>
      <c r="Z30" s="19"/>
      <c r="AA30" s="1"/>
      <c r="AB30" s="60" t="s">
        <v>39</v>
      </c>
      <c r="AC30" s="60"/>
      <c r="AD30" s="60"/>
      <c r="AE30" s="60"/>
      <c r="AF30" s="55">
        <f>+SUM(AF22:AF29)</f>
        <v>168336</v>
      </c>
      <c r="AG30" s="1"/>
      <c r="AH30" s="1"/>
      <c r="AI30" s="70" t="s">
        <v>100</v>
      </c>
      <c r="AJ30" s="70" t="s">
        <v>479</v>
      </c>
      <c r="AK30" s="70" t="s">
        <v>485</v>
      </c>
      <c r="AL30" s="74">
        <v>41200</v>
      </c>
    </row>
    <row r="31" spans="2:38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70" t="s">
        <v>67</v>
      </c>
      <c r="AJ31" s="70" t="s">
        <v>175</v>
      </c>
      <c r="AK31" s="70" t="s">
        <v>149</v>
      </c>
      <c r="AL31" s="73">
        <v>15319</v>
      </c>
    </row>
    <row r="32" spans="2:38" ht="15.75" thickBo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70" t="s">
        <v>100</v>
      </c>
      <c r="AJ32" s="70" t="s">
        <v>480</v>
      </c>
      <c r="AK32" s="70" t="s">
        <v>486</v>
      </c>
      <c r="AL32" s="74">
        <v>38000</v>
      </c>
    </row>
    <row r="33" spans="2:38">
      <c r="B33" s="10" t="s">
        <v>41</v>
      </c>
      <c r="C33" s="11"/>
      <c r="D33" s="21"/>
      <c r="E33" s="1"/>
      <c r="F33" s="10" t="s">
        <v>41</v>
      </c>
      <c r="G33" s="11"/>
      <c r="H33" s="21"/>
      <c r="I33" s="1"/>
      <c r="J33" s="10" t="s">
        <v>41</v>
      </c>
      <c r="K33" s="11"/>
      <c r="L33" s="21"/>
      <c r="M33" s="1"/>
      <c r="N33" s="10" t="s">
        <v>41</v>
      </c>
      <c r="O33" s="11"/>
      <c r="P33" s="21"/>
      <c r="Q33" s="1"/>
      <c r="R33" s="10" t="s">
        <v>41</v>
      </c>
      <c r="S33" s="11"/>
      <c r="T33" s="21"/>
      <c r="U33" s="1"/>
      <c r="V33" s="1"/>
      <c r="W33" s="42" t="s">
        <v>41</v>
      </c>
      <c r="X33" s="43"/>
      <c r="Y33" s="44">
        <f>+D33+H33+L33+P33+T33</f>
        <v>0</v>
      </c>
      <c r="Z33" s="1"/>
      <c r="AA33" s="1"/>
      <c r="AB33" s="1"/>
      <c r="AC33" s="1"/>
      <c r="AD33" s="1"/>
      <c r="AE33" s="1"/>
      <c r="AF33" s="1"/>
      <c r="AG33" s="1"/>
      <c r="AH33" s="1"/>
      <c r="AI33" s="70" t="s">
        <v>98</v>
      </c>
      <c r="AJ33" s="70" t="s">
        <v>223</v>
      </c>
      <c r="AK33" s="70" t="s">
        <v>96</v>
      </c>
      <c r="AL33" s="73">
        <v>12676</v>
      </c>
    </row>
    <row r="34" spans="2:38">
      <c r="B34" s="12" t="s">
        <v>42</v>
      </c>
      <c r="C34" s="16"/>
      <c r="D34" s="22"/>
      <c r="E34" s="1"/>
      <c r="F34" s="12" t="s">
        <v>42</v>
      </c>
      <c r="G34" s="16"/>
      <c r="H34" s="22"/>
      <c r="I34" s="1"/>
      <c r="J34" s="12" t="s">
        <v>42</v>
      </c>
      <c r="K34" s="16"/>
      <c r="L34" s="22"/>
      <c r="M34" s="1"/>
      <c r="N34" s="12" t="s">
        <v>42</v>
      </c>
      <c r="O34" s="16"/>
      <c r="P34" s="22"/>
      <c r="Q34" s="1"/>
      <c r="R34" s="12" t="s">
        <v>42</v>
      </c>
      <c r="S34" s="16"/>
      <c r="T34" s="22"/>
      <c r="U34" s="1"/>
      <c r="V34" s="1"/>
      <c r="W34" s="45" t="s">
        <v>42</v>
      </c>
      <c r="X34" s="40"/>
      <c r="Y34" s="46">
        <f t="shared" ref="Y34:Y35" si="9">+D34+H34+L34+P34+T34</f>
        <v>0</v>
      </c>
      <c r="Z34" s="1"/>
      <c r="AA34" s="1"/>
      <c r="AB34" s="1"/>
      <c r="AC34" s="1"/>
      <c r="AD34" s="1"/>
      <c r="AE34" s="1"/>
      <c r="AF34" s="1"/>
      <c r="AG34" s="1"/>
      <c r="AH34" s="1"/>
      <c r="AI34" s="70" t="s">
        <v>98</v>
      </c>
      <c r="AJ34" s="70" t="s">
        <v>224</v>
      </c>
      <c r="AK34" s="70" t="s">
        <v>151</v>
      </c>
      <c r="AL34" s="73">
        <v>5900</v>
      </c>
    </row>
    <row r="35" spans="2:38">
      <c r="B35" s="12" t="s">
        <v>44</v>
      </c>
      <c r="C35" s="16"/>
      <c r="D35" s="22"/>
      <c r="E35" s="1"/>
      <c r="F35" s="12" t="s">
        <v>44</v>
      </c>
      <c r="G35" s="16"/>
      <c r="H35" s="22">
        <v>-1935</v>
      </c>
      <c r="I35" s="1"/>
      <c r="J35" s="12" t="s">
        <v>44</v>
      </c>
      <c r="K35" s="16"/>
      <c r="L35" s="22">
        <v>-96</v>
      </c>
      <c r="M35" s="1"/>
      <c r="N35" s="12" t="s">
        <v>44</v>
      </c>
      <c r="O35" s="16"/>
      <c r="P35" s="22">
        <v>-7</v>
      </c>
      <c r="Q35" s="1"/>
      <c r="R35" s="12" t="s">
        <v>46</v>
      </c>
      <c r="S35" s="16"/>
      <c r="T35" s="22"/>
      <c r="U35" s="1"/>
      <c r="V35" s="1"/>
      <c r="W35" s="45" t="s">
        <v>43</v>
      </c>
      <c r="X35" s="40"/>
      <c r="Y35" s="46">
        <f t="shared" si="9"/>
        <v>-2038</v>
      </c>
      <c r="Z35" s="1"/>
      <c r="AA35" s="1"/>
      <c r="AB35" s="1"/>
      <c r="AC35" s="1"/>
      <c r="AD35" s="1"/>
      <c r="AE35" s="1"/>
      <c r="AF35" s="1"/>
      <c r="AG35" s="1"/>
      <c r="AH35" s="1"/>
      <c r="AI35" s="70" t="s">
        <v>100</v>
      </c>
      <c r="AJ35" s="70" t="s">
        <v>481</v>
      </c>
      <c r="AK35" s="70" t="s">
        <v>487</v>
      </c>
      <c r="AL35" s="74">
        <v>27952</v>
      </c>
    </row>
    <row r="36" spans="2:38">
      <c r="B36" s="12" t="s">
        <v>18</v>
      </c>
      <c r="C36" s="16"/>
      <c r="D36" s="22">
        <f>+SUM(D33:D35)</f>
        <v>0</v>
      </c>
      <c r="E36" s="1"/>
      <c r="F36" s="12" t="s">
        <v>18</v>
      </c>
      <c r="G36" s="16"/>
      <c r="H36" s="22">
        <f>+SUM(H33:H35)</f>
        <v>-1935</v>
      </c>
      <c r="I36" s="1"/>
      <c r="J36" s="12" t="s">
        <v>18</v>
      </c>
      <c r="K36" s="16"/>
      <c r="L36" s="22">
        <f>+SUM(L33:L35)</f>
        <v>-96</v>
      </c>
      <c r="M36" s="1"/>
      <c r="N36" s="12" t="s">
        <v>18</v>
      </c>
      <c r="O36" s="16"/>
      <c r="P36" s="22">
        <f>+SUM(P33:P35)</f>
        <v>-7</v>
      </c>
      <c r="Q36" s="1"/>
      <c r="R36" s="12" t="s">
        <v>18</v>
      </c>
      <c r="S36" s="16"/>
      <c r="T36" s="22">
        <f>+SUM(T33:T35)</f>
        <v>0</v>
      </c>
      <c r="U36" s="1"/>
      <c r="V36" s="1"/>
      <c r="W36" s="33" t="s">
        <v>18</v>
      </c>
      <c r="X36" s="34"/>
      <c r="Y36" s="35">
        <f>+SUM(Y33:Y35)</f>
        <v>-2038</v>
      </c>
      <c r="Z36" s="1"/>
      <c r="AA36" s="1"/>
      <c r="AB36" s="1"/>
      <c r="AC36" s="1"/>
      <c r="AD36" s="1"/>
      <c r="AE36" s="1"/>
      <c r="AF36" s="1"/>
      <c r="AG36" s="1"/>
      <c r="AH36" s="1"/>
      <c r="AI36" s="70" t="s">
        <v>97</v>
      </c>
      <c r="AJ36" s="70" t="s">
        <v>233</v>
      </c>
      <c r="AK36" s="70" t="s">
        <v>84</v>
      </c>
      <c r="AL36" s="74">
        <v>6813</v>
      </c>
    </row>
    <row r="37" spans="2:38" ht="15.75" thickBot="1">
      <c r="B37" s="23" t="s">
        <v>45</v>
      </c>
      <c r="C37" s="24"/>
      <c r="D37" s="25">
        <f>+D29+D36</f>
        <v>0</v>
      </c>
      <c r="E37" s="1"/>
      <c r="F37" s="23" t="s">
        <v>45</v>
      </c>
      <c r="G37" s="24"/>
      <c r="H37" s="25">
        <f>+H29+H36</f>
        <v>0</v>
      </c>
      <c r="I37" s="1"/>
      <c r="J37" s="23" t="s">
        <v>45</v>
      </c>
      <c r="K37" s="24"/>
      <c r="L37" s="25">
        <f>+L29+L36</f>
        <v>0</v>
      </c>
      <c r="M37" s="1"/>
      <c r="N37" s="23" t="s">
        <v>45</v>
      </c>
      <c r="O37" s="24"/>
      <c r="P37" s="25">
        <f>+P29+P36</f>
        <v>0</v>
      </c>
      <c r="Q37" s="1"/>
      <c r="R37" s="23" t="s">
        <v>45</v>
      </c>
      <c r="S37" s="24"/>
      <c r="T37" s="25">
        <f>+T29+T36</f>
        <v>0</v>
      </c>
      <c r="U37" s="1"/>
      <c r="V37" s="1"/>
      <c r="W37" s="23" t="s">
        <v>45</v>
      </c>
      <c r="X37" s="24"/>
      <c r="Y37" s="25">
        <f>+Y29+Y36</f>
        <v>0</v>
      </c>
      <c r="Z37" s="1"/>
      <c r="AA37" s="1"/>
      <c r="AB37" s="1"/>
      <c r="AC37" s="1"/>
      <c r="AD37" s="1"/>
      <c r="AE37" s="1"/>
      <c r="AF37" s="1"/>
      <c r="AG37" s="1"/>
      <c r="AH37" s="1"/>
      <c r="AI37" s="70" t="s">
        <v>98</v>
      </c>
      <c r="AJ37" s="70" t="s">
        <v>241</v>
      </c>
      <c r="AK37" s="70" t="s">
        <v>488</v>
      </c>
      <c r="AL37" s="73">
        <v>5405</v>
      </c>
    </row>
    <row r="38" spans="2:38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70" t="s">
        <v>98</v>
      </c>
      <c r="AJ38" s="70" t="s">
        <v>242</v>
      </c>
      <c r="AK38" s="70" t="s">
        <v>489</v>
      </c>
      <c r="AL38" s="73">
        <v>4800</v>
      </c>
    </row>
    <row r="39" spans="2:38">
      <c r="AI39" s="70" t="s">
        <v>98</v>
      </c>
      <c r="AJ39" s="70" t="s">
        <v>274</v>
      </c>
      <c r="AK39" s="70" t="s">
        <v>490</v>
      </c>
      <c r="AL39" s="73">
        <v>6505</v>
      </c>
    </row>
    <row r="40" spans="2:38">
      <c r="AI40" s="70" t="s">
        <v>65</v>
      </c>
      <c r="AJ40" s="70" t="s">
        <v>283</v>
      </c>
      <c r="AK40" s="70" t="s">
        <v>191</v>
      </c>
      <c r="AL40" s="73">
        <v>6317</v>
      </c>
    </row>
    <row r="41" spans="2:38">
      <c r="AI41" s="70" t="s">
        <v>97</v>
      </c>
      <c r="AJ41" s="70" t="s">
        <v>168</v>
      </c>
      <c r="AL41" s="73">
        <v>717</v>
      </c>
    </row>
    <row r="42" spans="2:38" ht="15.75" thickBot="1">
      <c r="AI42" s="60" t="s">
        <v>39</v>
      </c>
      <c r="AJ42" s="60"/>
      <c r="AK42" s="60"/>
      <c r="AL42" s="72">
        <f>+SUM(AL22:AL41)</f>
        <v>337944</v>
      </c>
    </row>
    <row r="43" spans="2:38" ht="15.75" thickTop="1"/>
  </sheetData>
  <mergeCells count="24">
    <mergeCell ref="W29:X29"/>
    <mergeCell ref="B27:C27"/>
    <mergeCell ref="F27:G27"/>
    <mergeCell ref="J27:K27"/>
    <mergeCell ref="N27:O27"/>
    <mergeCell ref="R27:S27"/>
    <mergeCell ref="W27:X27"/>
    <mergeCell ref="B29:C29"/>
    <mergeCell ref="F29:G29"/>
    <mergeCell ref="J29:K29"/>
    <mergeCell ref="N29:O29"/>
    <mergeCell ref="R29:S29"/>
    <mergeCell ref="W14:X14"/>
    <mergeCell ref="B2:D2"/>
    <mergeCell ref="F2:H2"/>
    <mergeCell ref="J2:L2"/>
    <mergeCell ref="N2:P2"/>
    <mergeCell ref="R2:T2"/>
    <mergeCell ref="W2:Y2"/>
    <mergeCell ref="B14:C14"/>
    <mergeCell ref="F14:G14"/>
    <mergeCell ref="J14:K14"/>
    <mergeCell ref="N14:O14"/>
    <mergeCell ref="R14:S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2:AL39"/>
  <sheetViews>
    <sheetView zoomScale="80" zoomScaleNormal="80" workbookViewId="0">
      <selection activeCell="AB13" sqref="AB13:AC13"/>
    </sheetView>
  </sheetViews>
  <sheetFormatPr defaultRowHeight="15"/>
  <cols>
    <col min="4" max="4" width="8.5703125" bestFit="1" customWidth="1"/>
    <col min="5" max="5" width="0.7109375" customWidth="1"/>
    <col min="7" max="7" width="11.140625" bestFit="1" customWidth="1"/>
    <col min="9" max="9" width="0.7109375" customWidth="1"/>
    <col min="11" max="11" width="13.140625" bestFit="1" customWidth="1"/>
    <col min="12" max="12" width="9.5703125" bestFit="1" customWidth="1"/>
    <col min="13" max="13" width="0.85546875" customWidth="1"/>
    <col min="14" max="14" width="9.28515625" customWidth="1"/>
    <col min="15" max="15" width="13.7109375" bestFit="1" customWidth="1"/>
    <col min="17" max="17" width="0.85546875" customWidth="1"/>
    <col min="20" max="20" width="8.7109375" customWidth="1"/>
    <col min="21" max="21" width="0.85546875" customWidth="1"/>
    <col min="22" max="22" width="8.7109375" hidden="1" customWidth="1"/>
    <col min="25" max="25" width="9.5703125" bestFit="1" customWidth="1"/>
    <col min="26" max="26" width="0.7109375" customWidth="1"/>
    <col min="27" max="27" width="1.28515625" customWidth="1"/>
    <col min="29" max="29" width="9.5703125" bestFit="1" customWidth="1"/>
  </cols>
  <sheetData>
    <row r="2" spans="2:38" ht="15.75" thickBot="1"/>
    <row r="3" spans="2:38">
      <c r="B3" s="111" t="s">
        <v>55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3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152</v>
      </c>
      <c r="D6" s="36">
        <f>+C6*B6</f>
        <v>1520</v>
      </c>
      <c r="E6" s="1"/>
      <c r="F6" s="2">
        <v>10</v>
      </c>
      <c r="G6" s="2">
        <v>3</v>
      </c>
      <c r="H6" s="36">
        <f>+G6*F6</f>
        <v>30</v>
      </c>
      <c r="I6" s="1"/>
      <c r="J6" s="2">
        <v>10</v>
      </c>
      <c r="K6" s="2">
        <v>129</v>
      </c>
      <c r="L6" s="36">
        <f>+K6*J6</f>
        <v>1290</v>
      </c>
      <c r="M6" s="1"/>
      <c r="N6" s="2">
        <v>10</v>
      </c>
      <c r="O6" s="2">
        <v>31</v>
      </c>
      <c r="P6" s="36">
        <f>+O6*N6</f>
        <v>310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315</v>
      </c>
      <c r="Y6" s="37">
        <f>+D6+H6+L6+P6+T6</f>
        <v>3150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7</v>
      </c>
      <c r="D7" s="36">
        <f t="shared" ref="D7:D12" si="1">+C7*B7</f>
        <v>140</v>
      </c>
      <c r="E7" s="1"/>
      <c r="F7" s="2">
        <v>20</v>
      </c>
      <c r="G7" s="2">
        <v>1</v>
      </c>
      <c r="H7" s="36">
        <f t="shared" ref="H7:H12" si="2">+G7*F7</f>
        <v>20</v>
      </c>
      <c r="I7" s="1"/>
      <c r="J7" s="2">
        <v>20</v>
      </c>
      <c r="K7" s="2">
        <v>12</v>
      </c>
      <c r="L7" s="36">
        <f t="shared" ref="L7:L12" si="3">+K7*J7</f>
        <v>240</v>
      </c>
      <c r="M7" s="1"/>
      <c r="N7" s="2">
        <v>20</v>
      </c>
      <c r="O7" s="2"/>
      <c r="P7" s="36">
        <f t="shared" ref="P7:P12" si="4">+O7*N7</f>
        <v>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20</v>
      </c>
      <c r="Y7" s="37">
        <f t="shared" ref="Y7:Y12" si="6">+D7+H7+L7+P7+T7</f>
        <v>400</v>
      </c>
      <c r="Z7" s="13"/>
      <c r="AA7" s="1"/>
      <c r="AB7" s="56" t="s">
        <v>10</v>
      </c>
      <c r="AC7" s="57">
        <f>Y13</f>
        <v>292350</v>
      </c>
      <c r="AD7" s="26"/>
      <c r="AE7" s="26"/>
      <c r="AF7" s="26"/>
      <c r="AG7" s="26"/>
      <c r="AH7" s="1"/>
      <c r="AI7" s="2">
        <v>10</v>
      </c>
      <c r="AJ7" s="2">
        <v>316</v>
      </c>
      <c r="AK7" s="36">
        <f t="shared" si="0"/>
        <v>3160</v>
      </c>
      <c r="AL7" s="1"/>
    </row>
    <row r="8" spans="2:38">
      <c r="B8" s="2">
        <v>50</v>
      </c>
      <c r="C8" s="2">
        <v>39</v>
      </c>
      <c r="D8" s="36">
        <f t="shared" si="1"/>
        <v>1950</v>
      </c>
      <c r="E8" s="1"/>
      <c r="F8" s="2">
        <v>50</v>
      </c>
      <c r="G8" s="2">
        <v>28</v>
      </c>
      <c r="H8" s="36">
        <f t="shared" si="2"/>
        <v>1400</v>
      </c>
      <c r="I8" s="1"/>
      <c r="J8" s="2">
        <v>50</v>
      </c>
      <c r="K8" s="2">
        <v>33</v>
      </c>
      <c r="L8" s="36">
        <f t="shared" si="3"/>
        <v>1650</v>
      </c>
      <c r="M8" s="1"/>
      <c r="N8" s="2">
        <v>50</v>
      </c>
      <c r="O8" s="2">
        <v>38</v>
      </c>
      <c r="P8" s="36">
        <f t="shared" si="4"/>
        <v>1900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138</v>
      </c>
      <c r="Y8" s="37">
        <f t="shared" si="6"/>
        <v>6900</v>
      </c>
      <c r="Z8" s="13"/>
      <c r="AA8" s="1"/>
      <c r="AB8" s="53" t="s">
        <v>11</v>
      </c>
      <c r="AC8" s="53">
        <f>+AF31</f>
        <v>107548</v>
      </c>
      <c r="AD8" s="1"/>
      <c r="AE8" s="1"/>
      <c r="AF8" s="1"/>
      <c r="AG8" s="1"/>
      <c r="AH8" s="1"/>
      <c r="AI8" s="2">
        <v>20</v>
      </c>
      <c r="AJ8" s="2">
        <v>22</v>
      </c>
      <c r="AK8" s="36">
        <f t="shared" si="0"/>
        <v>440</v>
      </c>
      <c r="AL8" s="1"/>
    </row>
    <row r="9" spans="2:38" ht="15.75" thickBot="1">
      <c r="B9" s="2">
        <v>100</v>
      </c>
      <c r="C9" s="2">
        <v>41</v>
      </c>
      <c r="D9" s="36">
        <f t="shared" si="1"/>
        <v>4100</v>
      </c>
      <c r="E9" s="1"/>
      <c r="F9" s="2">
        <v>100</v>
      </c>
      <c r="G9" s="2">
        <v>56</v>
      </c>
      <c r="H9" s="36">
        <f t="shared" si="2"/>
        <v>5600</v>
      </c>
      <c r="I9" s="1"/>
      <c r="J9" s="2">
        <v>100</v>
      </c>
      <c r="K9" s="2">
        <v>22</v>
      </c>
      <c r="L9" s="36">
        <f t="shared" si="3"/>
        <v>2200</v>
      </c>
      <c r="M9" s="1"/>
      <c r="N9" s="2">
        <v>100</v>
      </c>
      <c r="O9" s="2">
        <v>55</v>
      </c>
      <c r="P9" s="36">
        <f t="shared" si="4"/>
        <v>5500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174</v>
      </c>
      <c r="Y9" s="37">
        <f t="shared" si="6"/>
        <v>17400</v>
      </c>
      <c r="Z9" s="13"/>
      <c r="AA9" s="1"/>
      <c r="AB9" s="58" t="s">
        <v>12</v>
      </c>
      <c r="AC9" s="59">
        <f>SUM(AC7:AC8)</f>
        <v>399898</v>
      </c>
      <c r="AD9" s="1"/>
      <c r="AE9" s="1"/>
      <c r="AF9" s="1"/>
      <c r="AG9" s="1"/>
      <c r="AH9" s="1"/>
      <c r="AI9" s="2">
        <v>50</v>
      </c>
      <c r="AJ9" s="2">
        <v>140</v>
      </c>
      <c r="AK9" s="36">
        <f t="shared" si="0"/>
        <v>7000</v>
      </c>
      <c r="AL9" s="1"/>
    </row>
    <row r="10" spans="2:38">
      <c r="B10" s="2">
        <v>500</v>
      </c>
      <c r="C10" s="2">
        <v>13</v>
      </c>
      <c r="D10" s="36">
        <f t="shared" si="1"/>
        <v>6500</v>
      </c>
      <c r="E10" s="1"/>
      <c r="F10" s="2">
        <v>500</v>
      </c>
      <c r="G10" s="2">
        <v>43</v>
      </c>
      <c r="H10" s="36">
        <f t="shared" si="2"/>
        <v>21500</v>
      </c>
      <c r="I10" s="1"/>
      <c r="J10" s="2">
        <v>500</v>
      </c>
      <c r="K10" s="2">
        <v>41</v>
      </c>
      <c r="L10" s="36">
        <f t="shared" si="3"/>
        <v>20500</v>
      </c>
      <c r="M10" s="1"/>
      <c r="N10" s="2">
        <v>500</v>
      </c>
      <c r="O10" s="2">
        <v>32</v>
      </c>
      <c r="P10" s="36">
        <f t="shared" si="4"/>
        <v>16000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129</v>
      </c>
      <c r="Y10" s="37">
        <f t="shared" si="6"/>
        <v>64500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188</v>
      </c>
      <c r="AK10" s="36">
        <f t="shared" si="0"/>
        <v>18800</v>
      </c>
      <c r="AL10" s="1"/>
    </row>
    <row r="11" spans="2:38">
      <c r="B11" s="2">
        <v>1000</v>
      </c>
      <c r="C11" s="2">
        <v>22</v>
      </c>
      <c r="D11" s="36">
        <f t="shared" si="1"/>
        <v>22000</v>
      </c>
      <c r="E11" s="1"/>
      <c r="F11" s="2">
        <v>1000</v>
      </c>
      <c r="G11" s="2">
        <v>40</v>
      </c>
      <c r="H11" s="36">
        <f t="shared" si="2"/>
        <v>40000</v>
      </c>
      <c r="I11" s="1"/>
      <c r="J11" s="2">
        <v>1000</v>
      </c>
      <c r="K11" s="2">
        <v>39</v>
      </c>
      <c r="L11" s="36">
        <f t="shared" si="3"/>
        <v>39000</v>
      </c>
      <c r="M11" s="1"/>
      <c r="N11" s="2">
        <v>1000</v>
      </c>
      <c r="O11" s="2">
        <v>29</v>
      </c>
      <c r="P11" s="36">
        <f t="shared" si="4"/>
        <v>29000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130</v>
      </c>
      <c r="Y11" s="37">
        <f t="shared" si="6"/>
        <v>130000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135</v>
      </c>
      <c r="AK11" s="36">
        <f t="shared" si="0"/>
        <v>67500</v>
      </c>
      <c r="AL11" s="1"/>
    </row>
    <row r="12" spans="2:38">
      <c r="B12" s="2">
        <v>5000</v>
      </c>
      <c r="C12" s="2">
        <v>2</v>
      </c>
      <c r="D12" s="36">
        <f t="shared" si="1"/>
        <v>10000</v>
      </c>
      <c r="E12" s="1"/>
      <c r="F12" s="2">
        <v>5000</v>
      </c>
      <c r="G12" s="2">
        <v>5</v>
      </c>
      <c r="H12" s="36">
        <f t="shared" si="2"/>
        <v>25000</v>
      </c>
      <c r="I12" s="1"/>
      <c r="J12" s="2">
        <v>5000</v>
      </c>
      <c r="K12" s="2">
        <v>4</v>
      </c>
      <c r="L12" s="36">
        <f t="shared" si="3"/>
        <v>20000</v>
      </c>
      <c r="M12" s="1"/>
      <c r="N12" s="2">
        <v>5000</v>
      </c>
      <c r="O12" s="2">
        <v>3</v>
      </c>
      <c r="P12" s="36">
        <f t="shared" si="4"/>
        <v>15000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14</v>
      </c>
      <c r="Y12" s="37">
        <f t="shared" si="6"/>
        <v>70000</v>
      </c>
      <c r="Z12" s="13"/>
      <c r="AA12" s="1"/>
      <c r="AB12" s="1" t="s">
        <v>17</v>
      </c>
      <c r="AC12" s="5">
        <v>397900</v>
      </c>
      <c r="AD12" s="1">
        <v>395057</v>
      </c>
      <c r="AE12" s="52" t="s">
        <v>519</v>
      </c>
      <c r="AF12" s="1" t="s">
        <v>110</v>
      </c>
      <c r="AG12" s="1"/>
      <c r="AH12" s="1"/>
      <c r="AI12" s="2">
        <v>1000</v>
      </c>
      <c r="AJ12" s="2">
        <v>198</v>
      </c>
      <c r="AK12" s="36">
        <f t="shared" si="0"/>
        <v>198000</v>
      </c>
      <c r="AL12" s="1"/>
    </row>
    <row r="13" spans="2:38" ht="15.75" thickBot="1">
      <c r="B13" s="3" t="s">
        <v>18</v>
      </c>
      <c r="C13" s="3"/>
      <c r="D13" s="6">
        <f>+SUM(D5:D12)</f>
        <v>46210</v>
      </c>
      <c r="E13" s="1"/>
      <c r="F13" s="3" t="s">
        <v>18</v>
      </c>
      <c r="G13" s="3"/>
      <c r="H13" s="6">
        <f>+SUM(H5:H12)</f>
        <v>93550</v>
      </c>
      <c r="I13" s="1"/>
      <c r="J13" s="3" t="s">
        <v>18</v>
      </c>
      <c r="K13" s="3"/>
      <c r="L13" s="6">
        <f>+SUM(L5:L12)</f>
        <v>84880</v>
      </c>
      <c r="M13" s="1"/>
      <c r="N13" s="3" t="s">
        <v>18</v>
      </c>
      <c r="O13" s="3"/>
      <c r="P13" s="6">
        <f>+SUM(P5:P12)</f>
        <v>67710</v>
      </c>
      <c r="Q13" s="1"/>
      <c r="R13" s="3" t="s">
        <v>18</v>
      </c>
      <c r="S13" s="3"/>
      <c r="T13" s="6">
        <f>+SUM(T5:T12)</f>
        <v>0</v>
      </c>
      <c r="U13" s="1"/>
      <c r="V13" s="12"/>
      <c r="W13" s="3" t="s">
        <v>18</v>
      </c>
      <c r="X13" s="3"/>
      <c r="Y13" s="6">
        <f>+SUM(Y5:Y12)</f>
        <v>292350</v>
      </c>
      <c r="Z13" s="13"/>
      <c r="AA13" s="1"/>
      <c r="AB13" s="101" t="s">
        <v>19</v>
      </c>
      <c r="AC13" s="100">
        <v>2000</v>
      </c>
      <c r="AD13" s="1"/>
      <c r="AE13" s="1"/>
      <c r="AF13" s="1"/>
      <c r="AG13" s="1"/>
      <c r="AH13" s="1"/>
      <c r="AI13" s="2">
        <v>5000</v>
      </c>
      <c r="AJ13" s="2">
        <v>21</v>
      </c>
      <c r="AK13" s="36">
        <f t="shared" si="0"/>
        <v>105000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399900</v>
      </c>
      <c r="AL14" s="1"/>
    </row>
    <row r="15" spans="2:38" ht="15.75" thickBot="1">
      <c r="B15" s="109" t="s">
        <v>21</v>
      </c>
      <c r="C15" s="110"/>
      <c r="D15" s="8">
        <v>45970</v>
      </c>
      <c r="E15" s="30"/>
      <c r="F15" s="109" t="s">
        <v>21</v>
      </c>
      <c r="G15" s="110"/>
      <c r="H15" s="8">
        <v>103342</v>
      </c>
      <c r="I15" s="30"/>
      <c r="J15" s="109" t="s">
        <v>21</v>
      </c>
      <c r="K15" s="110"/>
      <c r="L15" s="8">
        <v>107454</v>
      </c>
      <c r="M15" s="30"/>
      <c r="N15" s="109" t="s">
        <v>21</v>
      </c>
      <c r="O15" s="110"/>
      <c r="P15" s="8">
        <v>81109</v>
      </c>
      <c r="Q15" s="30"/>
      <c r="R15" s="109" t="s">
        <v>21</v>
      </c>
      <c r="S15" s="110"/>
      <c r="T15" s="8"/>
      <c r="U15" s="30"/>
      <c r="V15" s="31"/>
      <c r="W15" s="109" t="s">
        <v>21</v>
      </c>
      <c r="X15" s="110"/>
      <c r="Y15" s="8">
        <f>+D15+H15+L15+P15+T15</f>
        <v>337875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46210</v>
      </c>
      <c r="E16" s="1"/>
      <c r="F16" s="1" t="s">
        <v>10</v>
      </c>
      <c r="G16" s="1"/>
      <c r="H16" s="5">
        <f>+H13</f>
        <v>93550</v>
      </c>
      <c r="I16" s="1"/>
      <c r="J16" s="1" t="s">
        <v>10</v>
      </c>
      <c r="K16" s="1"/>
      <c r="L16" s="5">
        <f>+L13</f>
        <v>84880</v>
      </c>
      <c r="M16" s="1"/>
      <c r="N16" s="1" t="s">
        <v>10</v>
      </c>
      <c r="O16" s="1"/>
      <c r="P16" s="5">
        <f>+P13</f>
        <v>67710</v>
      </c>
      <c r="Q16" s="1"/>
      <c r="R16" s="1" t="s">
        <v>10</v>
      </c>
      <c r="S16" s="1"/>
      <c r="T16" s="5">
        <f>+T13</f>
        <v>0</v>
      </c>
      <c r="U16" s="1"/>
      <c r="V16" s="12"/>
      <c r="W16" s="40" t="s">
        <v>10</v>
      </c>
      <c r="X16" s="40"/>
      <c r="Y16" s="37">
        <f>+D16+H16+L16+P16+T16</f>
        <v>292350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399900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24</v>
      </c>
      <c r="C18" s="1"/>
      <c r="D18" s="5"/>
      <c r="E18" s="1"/>
      <c r="F18" s="1" t="s">
        <v>24</v>
      </c>
      <c r="G18" s="1"/>
      <c r="H18" s="5"/>
      <c r="I18" s="1"/>
      <c r="J18" s="1" t="s">
        <v>424</v>
      </c>
      <c r="K18" s="1" t="s">
        <v>514</v>
      </c>
      <c r="L18" s="5">
        <v>5000</v>
      </c>
      <c r="M18" s="1"/>
      <c r="N18" s="1" t="s">
        <v>372</v>
      </c>
      <c r="O18" s="1" t="s">
        <v>500</v>
      </c>
      <c r="P18" s="5">
        <v>5912</v>
      </c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10912</v>
      </c>
      <c r="Z18" s="13"/>
      <c r="AA18" s="1"/>
      <c r="AB18" s="50" t="s">
        <v>25</v>
      </c>
      <c r="AC18" s="51">
        <f>+AC17-AC9</f>
        <v>2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27</v>
      </c>
      <c r="C19" s="1"/>
      <c r="D19" s="5"/>
      <c r="E19" s="1"/>
      <c r="F19" s="1" t="s">
        <v>27</v>
      </c>
      <c r="G19" s="1"/>
      <c r="H19" s="5"/>
      <c r="I19" s="1"/>
      <c r="J19" s="1" t="s">
        <v>376</v>
      </c>
      <c r="K19" s="1" t="s">
        <v>515</v>
      </c>
      <c r="L19" s="5">
        <v>4800</v>
      </c>
      <c r="M19" s="1"/>
      <c r="N19" s="1" t="s">
        <v>372</v>
      </c>
      <c r="O19" s="1" t="s">
        <v>501</v>
      </c>
      <c r="P19" s="5">
        <v>3444</v>
      </c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8244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372</v>
      </c>
      <c r="O20" s="1" t="s">
        <v>502</v>
      </c>
      <c r="P20" s="5">
        <v>4040</v>
      </c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4040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36</v>
      </c>
      <c r="C23" s="1"/>
      <c r="D23" s="5"/>
      <c r="E23" s="1"/>
      <c r="F23" s="1" t="s">
        <v>397</v>
      </c>
      <c r="G23" s="1" t="s">
        <v>505</v>
      </c>
      <c r="H23" s="5">
        <v>5488</v>
      </c>
      <c r="I23" s="1"/>
      <c r="J23" s="1" t="s">
        <v>513</v>
      </c>
      <c r="K23" s="1" t="s">
        <v>512</v>
      </c>
      <c r="L23" s="5">
        <v>7964</v>
      </c>
      <c r="M23" s="1"/>
      <c r="N23" s="1" t="s">
        <v>47</v>
      </c>
      <c r="O23" s="1"/>
      <c r="P23" s="5"/>
      <c r="Q23" s="1"/>
      <c r="R23" s="1" t="s">
        <v>36</v>
      </c>
      <c r="S23" s="1"/>
      <c r="T23" s="5"/>
      <c r="U23" s="1"/>
      <c r="V23" s="12"/>
      <c r="W23" s="40" t="s">
        <v>36</v>
      </c>
      <c r="X23" s="40"/>
      <c r="Y23" s="37">
        <f t="shared" si="8"/>
        <v>13452</v>
      </c>
      <c r="Z23" s="13"/>
      <c r="AA23" s="1"/>
      <c r="AB23" s="70" t="s">
        <v>101</v>
      </c>
      <c r="AC23" s="71">
        <v>45920</v>
      </c>
      <c r="AD23" s="70" t="s">
        <v>497</v>
      </c>
      <c r="AE23" s="70"/>
      <c r="AF23" s="70">
        <v>300</v>
      </c>
      <c r="AG23" s="1"/>
      <c r="AH23" s="1"/>
      <c r="AI23" s="70" t="s">
        <v>97</v>
      </c>
      <c r="AJ23" s="70" t="s">
        <v>509</v>
      </c>
      <c r="AK23" s="70" t="s">
        <v>506</v>
      </c>
      <c r="AL23" s="73">
        <v>6536</v>
      </c>
    </row>
    <row r="24" spans="2:38">
      <c r="B24" s="1" t="s">
        <v>37</v>
      </c>
      <c r="C24" s="1"/>
      <c r="D24" s="5"/>
      <c r="E24" s="1"/>
      <c r="F24" s="1" t="s">
        <v>511</v>
      </c>
      <c r="G24" s="1" t="s">
        <v>512</v>
      </c>
      <c r="H24" s="5">
        <v>4343</v>
      </c>
      <c r="I24" s="1"/>
      <c r="J24" s="1" t="s">
        <v>37</v>
      </c>
      <c r="K24" s="1"/>
      <c r="L24" s="5"/>
      <c r="M24" s="1"/>
      <c r="N24" s="1" t="s">
        <v>47</v>
      </c>
      <c r="O24" s="1"/>
      <c r="P24" s="5"/>
      <c r="Q24" s="1"/>
      <c r="R24" s="1" t="s">
        <v>37</v>
      </c>
      <c r="S24" s="1"/>
      <c r="T24" s="5"/>
      <c r="U24" s="1"/>
      <c r="V24" s="12"/>
      <c r="W24" s="40" t="s">
        <v>37</v>
      </c>
      <c r="X24" s="40"/>
      <c r="Y24" s="37">
        <f t="shared" si="8"/>
        <v>4343</v>
      </c>
      <c r="Z24" s="13"/>
      <c r="AA24" s="1"/>
      <c r="AB24" s="70" t="s">
        <v>162</v>
      </c>
      <c r="AC24" s="71">
        <v>45925</v>
      </c>
      <c r="AD24" s="70" t="s">
        <v>161</v>
      </c>
      <c r="AE24" s="70"/>
      <c r="AF24" s="70">
        <v>15000</v>
      </c>
      <c r="AG24" s="1"/>
      <c r="AH24" s="1"/>
      <c r="AI24" s="70" t="s">
        <v>98</v>
      </c>
      <c r="AJ24" s="70" t="s">
        <v>178</v>
      </c>
      <c r="AK24" s="70" t="s">
        <v>85</v>
      </c>
      <c r="AL24" s="74">
        <v>3625</v>
      </c>
    </row>
    <row r="25" spans="2:38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47</v>
      </c>
      <c r="O25" s="1"/>
      <c r="P25" s="5"/>
      <c r="Q25" s="1"/>
      <c r="R25" s="1" t="s">
        <v>38</v>
      </c>
      <c r="S25" s="1"/>
      <c r="T25" s="5"/>
      <c r="U25" s="1"/>
      <c r="V25" s="12"/>
      <c r="W25" s="40" t="s">
        <v>38</v>
      </c>
      <c r="X25" s="40"/>
      <c r="Y25" s="37">
        <f t="shared" si="8"/>
        <v>0</v>
      </c>
      <c r="Z25" s="13"/>
      <c r="AA25" s="1"/>
      <c r="AB25" s="70" t="s">
        <v>504</v>
      </c>
      <c r="AC25" s="77">
        <v>45901</v>
      </c>
      <c r="AD25" s="70" t="s">
        <v>503</v>
      </c>
      <c r="AE25" s="70"/>
      <c r="AF25" s="70">
        <v>13188</v>
      </c>
      <c r="AG25" s="1"/>
      <c r="AH25" s="1"/>
      <c r="AI25" s="70" t="s">
        <v>97</v>
      </c>
      <c r="AJ25" s="70" t="s">
        <v>173</v>
      </c>
      <c r="AK25" s="70" t="s">
        <v>507</v>
      </c>
      <c r="AL25" s="74">
        <v>18164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70" t="s">
        <v>516</v>
      </c>
      <c r="AC26" s="71">
        <v>45927</v>
      </c>
      <c r="AD26" s="70" t="s">
        <v>518</v>
      </c>
      <c r="AE26" s="1"/>
      <c r="AF26" s="70">
        <v>74860</v>
      </c>
      <c r="AG26" s="1"/>
      <c r="AH26" s="1"/>
      <c r="AI26" s="70" t="s">
        <v>67</v>
      </c>
      <c r="AJ26" s="70" t="s">
        <v>226</v>
      </c>
      <c r="AK26" s="70" t="s">
        <v>264</v>
      </c>
      <c r="AL26" s="74">
        <v>10604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70" t="s">
        <v>517</v>
      </c>
      <c r="AC27" s="82">
        <v>45938</v>
      </c>
      <c r="AD27" s="70" t="s">
        <v>327</v>
      </c>
      <c r="AE27" s="1"/>
      <c r="AF27" s="70">
        <v>4200</v>
      </c>
      <c r="AG27" s="1"/>
      <c r="AH27" s="1"/>
      <c r="AI27" s="70" t="s">
        <v>98</v>
      </c>
      <c r="AJ27" s="70" t="s">
        <v>243</v>
      </c>
      <c r="AK27" s="70" t="s">
        <v>92</v>
      </c>
      <c r="AL27" s="73">
        <v>8950</v>
      </c>
    </row>
    <row r="28" spans="2:38" ht="15.75" thickBot="1">
      <c r="B28" s="114" t="s">
        <v>12</v>
      </c>
      <c r="C28" s="115"/>
      <c r="D28" s="9">
        <f>+SUM(D16:D27)</f>
        <v>46210</v>
      </c>
      <c r="E28" s="1"/>
      <c r="F28" s="114" t="s">
        <v>12</v>
      </c>
      <c r="G28" s="115"/>
      <c r="H28" s="9">
        <f>+SUM(H16:H27)</f>
        <v>103381</v>
      </c>
      <c r="I28" s="1"/>
      <c r="J28" s="114" t="s">
        <v>12</v>
      </c>
      <c r="K28" s="115"/>
      <c r="L28" s="9">
        <f>+SUM(L16:L27)</f>
        <v>102644</v>
      </c>
      <c r="M28" s="1"/>
      <c r="N28" s="114" t="s">
        <v>12</v>
      </c>
      <c r="O28" s="115"/>
      <c r="P28" s="9">
        <f>+SUM(P16:P27)</f>
        <v>81106</v>
      </c>
      <c r="Q28" s="1"/>
      <c r="R28" s="114" t="s">
        <v>12</v>
      </c>
      <c r="S28" s="115"/>
      <c r="T28" s="9">
        <f>+SUM(T16:T27)</f>
        <v>0</v>
      </c>
      <c r="U28" s="1"/>
      <c r="V28" s="12"/>
      <c r="W28" s="114" t="s">
        <v>12</v>
      </c>
      <c r="X28" s="115"/>
      <c r="Y28" s="9">
        <f>+SUM(Y16:Y27)</f>
        <v>333341</v>
      </c>
      <c r="Z28" s="13"/>
      <c r="AA28" s="1"/>
      <c r="AB28" s="1"/>
      <c r="AC28" s="1"/>
      <c r="AD28" s="1"/>
      <c r="AE28" s="1"/>
      <c r="AF28" s="1"/>
      <c r="AG28" s="1"/>
      <c r="AH28" s="1"/>
      <c r="AI28" s="70" t="s">
        <v>65</v>
      </c>
      <c r="AJ28" s="70" t="s">
        <v>250</v>
      </c>
      <c r="AK28" s="70" t="s">
        <v>189</v>
      </c>
      <c r="AL28" s="74">
        <v>7845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70" t="s">
        <v>65</v>
      </c>
      <c r="AJ29" s="70" t="s">
        <v>510</v>
      </c>
      <c r="AK29" s="70" t="s">
        <v>246</v>
      </c>
      <c r="AL29" s="74">
        <v>4570</v>
      </c>
    </row>
    <row r="30" spans="2:38" ht="15.75" thickBot="1">
      <c r="B30" s="116" t="s">
        <v>40</v>
      </c>
      <c r="C30" s="116"/>
      <c r="D30" s="7">
        <f>+D28-D15</f>
        <v>240</v>
      </c>
      <c r="E30" s="1"/>
      <c r="F30" s="116" t="s">
        <v>40</v>
      </c>
      <c r="G30" s="116"/>
      <c r="H30" s="7">
        <f>+H28-H15</f>
        <v>39</v>
      </c>
      <c r="I30" s="1"/>
      <c r="J30" s="116" t="s">
        <v>40</v>
      </c>
      <c r="K30" s="116"/>
      <c r="L30" s="7">
        <f>+L28-L15</f>
        <v>-4810</v>
      </c>
      <c r="M30" s="1"/>
      <c r="N30" s="116" t="s">
        <v>40</v>
      </c>
      <c r="O30" s="116"/>
      <c r="P30" s="7">
        <f>+P28-P15</f>
        <v>-3</v>
      </c>
      <c r="Q30" s="1"/>
      <c r="R30" s="116" t="s">
        <v>40</v>
      </c>
      <c r="S30" s="116"/>
      <c r="T30" s="7">
        <f>+T28-T15</f>
        <v>0</v>
      </c>
      <c r="U30" s="1"/>
      <c r="V30" s="12"/>
      <c r="W30" s="113" t="s">
        <v>40</v>
      </c>
      <c r="X30" s="113"/>
      <c r="Y30" s="41">
        <f>+Y28-Y15</f>
        <v>-4534</v>
      </c>
      <c r="Z30" s="13"/>
      <c r="AA30" s="1"/>
      <c r="AB30" s="1"/>
      <c r="AC30" s="1"/>
      <c r="AD30" s="1"/>
      <c r="AE30" s="1"/>
      <c r="AF30" s="1"/>
      <c r="AG30" s="1"/>
      <c r="AH30" s="1"/>
      <c r="AI30" s="70" t="s">
        <v>65</v>
      </c>
      <c r="AJ30" s="70" t="s">
        <v>280</v>
      </c>
      <c r="AK30" s="70" t="s">
        <v>194</v>
      </c>
      <c r="AL30" s="73">
        <v>3483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39</v>
      </c>
      <c r="AC31" s="60"/>
      <c r="AD31" s="60"/>
      <c r="AE31" s="60"/>
      <c r="AF31" s="55">
        <f>+SUM(AF23:AF30)</f>
        <v>107548</v>
      </c>
      <c r="AG31" s="1"/>
      <c r="AH31" s="1"/>
      <c r="AI31" s="70" t="s">
        <v>65</v>
      </c>
      <c r="AJ31" s="70" t="s">
        <v>282</v>
      </c>
      <c r="AK31" s="70" t="s">
        <v>508</v>
      </c>
      <c r="AL31" s="73">
        <v>11210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60" t="s">
        <v>39</v>
      </c>
      <c r="AJ33" s="60"/>
      <c r="AK33" s="60"/>
      <c r="AL33" s="72">
        <f>+SUM(AL23:AL31)</f>
        <v>74987</v>
      </c>
    </row>
    <row r="34" spans="2:38" ht="16.5" thickTop="1" thickBot="1">
      <c r="B34" s="10" t="s">
        <v>41</v>
      </c>
      <c r="C34" s="11"/>
      <c r="D34" s="21"/>
      <c r="E34" s="1"/>
      <c r="F34" s="10" t="s">
        <v>41</v>
      </c>
      <c r="G34" s="11"/>
      <c r="H34" s="21"/>
      <c r="I34" s="1"/>
      <c r="J34" s="10" t="s">
        <v>41</v>
      </c>
      <c r="K34" s="11"/>
      <c r="L34" s="21">
        <v>4810</v>
      </c>
      <c r="M34" s="1"/>
      <c r="N34" s="10" t="s">
        <v>41</v>
      </c>
      <c r="O34" s="11"/>
      <c r="P34" s="21">
        <v>3</v>
      </c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4813</v>
      </c>
      <c r="Z34" s="1"/>
      <c r="AA34" s="1"/>
      <c r="AB34" s="1"/>
      <c r="AC34" s="1"/>
      <c r="AD34" s="1"/>
      <c r="AE34" s="1"/>
      <c r="AF34" s="1"/>
      <c r="AG34" s="1"/>
      <c r="AH34" s="1"/>
      <c r="AJ34" s="90"/>
      <c r="AK34" s="90"/>
      <c r="AL34" s="90"/>
    </row>
    <row r="35" spans="2:38" ht="15.75" thickTop="1">
      <c r="B35" s="12" t="s">
        <v>42</v>
      </c>
      <c r="C35" s="16"/>
      <c r="D35" s="22"/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/>
      <c r="Q35" s="1"/>
      <c r="R35" s="12" t="s">
        <v>42</v>
      </c>
      <c r="S35" s="16"/>
      <c r="T35" s="22"/>
      <c r="U35" s="1"/>
      <c r="V35" s="1"/>
      <c r="W35" s="45" t="s">
        <v>42</v>
      </c>
      <c r="X35" s="40"/>
      <c r="Y35" s="46">
        <f t="shared" ref="Y35:Y36" si="9">+D35+H35+L35+P35+T35</f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44</v>
      </c>
      <c r="C36" s="16"/>
      <c r="D36" s="22">
        <v>-240</v>
      </c>
      <c r="E36" s="1"/>
      <c r="F36" s="12" t="s">
        <v>44</v>
      </c>
      <c r="G36" s="16"/>
      <c r="H36" s="22">
        <v>-39</v>
      </c>
      <c r="I36" s="1"/>
      <c r="J36" s="12" t="s">
        <v>44</v>
      </c>
      <c r="K36" s="16"/>
      <c r="L36" s="22"/>
      <c r="M36" s="1"/>
      <c r="N36" s="12" t="s">
        <v>44</v>
      </c>
      <c r="O36" s="16"/>
      <c r="P36" s="22"/>
      <c r="Q36" s="1"/>
      <c r="R36" s="12" t="s">
        <v>46</v>
      </c>
      <c r="S36" s="16"/>
      <c r="T36" s="22"/>
      <c r="U36" s="1"/>
      <c r="V36" s="1"/>
      <c r="W36" s="45" t="s">
        <v>43</v>
      </c>
      <c r="X36" s="40"/>
      <c r="Y36" s="46">
        <f t="shared" si="9"/>
        <v>-279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>
      <c r="B37" s="12" t="s">
        <v>18</v>
      </c>
      <c r="C37" s="16"/>
      <c r="D37" s="22">
        <f>+SUM(D34:D36)</f>
        <v>-240</v>
      </c>
      <c r="E37" s="1"/>
      <c r="F37" s="12" t="s">
        <v>18</v>
      </c>
      <c r="G37" s="16"/>
      <c r="H37" s="22">
        <f>+SUM(H34:H36)</f>
        <v>-39</v>
      </c>
      <c r="I37" s="1"/>
      <c r="J37" s="12" t="s">
        <v>18</v>
      </c>
      <c r="K37" s="16"/>
      <c r="L37" s="22">
        <f>+SUM(L34:L36)</f>
        <v>4810</v>
      </c>
      <c r="M37" s="1"/>
      <c r="N37" s="12" t="s">
        <v>18</v>
      </c>
      <c r="O37" s="16"/>
      <c r="P37" s="22">
        <f>+SUM(P34:P36)</f>
        <v>3</v>
      </c>
      <c r="Q37" s="1"/>
      <c r="R37" s="12" t="s">
        <v>18</v>
      </c>
      <c r="S37" s="16"/>
      <c r="T37" s="22">
        <f>+SUM(T34:T36)</f>
        <v>0</v>
      </c>
      <c r="U37" s="1"/>
      <c r="V37" s="1"/>
      <c r="W37" s="33" t="s">
        <v>18</v>
      </c>
      <c r="X37" s="34"/>
      <c r="Y37" s="35">
        <f>+SUM(Y34:Y36)</f>
        <v>4534</v>
      </c>
      <c r="Z37" s="1"/>
      <c r="AA37" s="1"/>
      <c r="AG37" s="1"/>
      <c r="AH37" s="1"/>
      <c r="AI37" s="1"/>
      <c r="AJ37" s="1"/>
      <c r="AK37" s="1"/>
      <c r="AL37" s="1"/>
    </row>
    <row r="38" spans="2:38" ht="15.75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B2:AL39"/>
  <sheetViews>
    <sheetView zoomScale="80" zoomScaleNormal="80" workbookViewId="0">
      <selection activeCell="L23" sqref="L23:L24"/>
    </sheetView>
  </sheetViews>
  <sheetFormatPr defaultRowHeight="15"/>
  <cols>
    <col min="3" max="3" width="14.5703125" bestFit="1" customWidth="1"/>
    <col min="5" max="5" width="0.5703125" customWidth="1"/>
    <col min="7" max="7" width="10.85546875" bestFit="1" customWidth="1"/>
    <col min="8" max="8" width="9.5703125" bestFit="1" customWidth="1"/>
    <col min="9" max="9" width="1.140625" customWidth="1"/>
    <col min="11" max="11" width="14.5703125" customWidth="1"/>
    <col min="12" max="12" width="10.42578125" customWidth="1"/>
    <col min="13" max="13" width="0.5703125" customWidth="1"/>
    <col min="17" max="17" width="0.85546875" customWidth="1"/>
    <col min="18" max="18" width="15.140625" bestFit="1" customWidth="1"/>
    <col min="20" max="20" width="11.28515625" bestFit="1" customWidth="1"/>
    <col min="21" max="21" width="0.85546875" customWidth="1"/>
    <col min="22" max="22" width="1.85546875" customWidth="1"/>
    <col min="25" max="25" width="9.5703125" bestFit="1" customWidth="1"/>
    <col min="26" max="26" width="2" customWidth="1"/>
    <col min="27" max="27" width="0.5703125" customWidth="1"/>
    <col min="29" max="29" width="10.5703125" bestFit="1" customWidth="1"/>
    <col min="33" max="33" width="1" customWidth="1"/>
    <col min="34" max="34" width="9.140625" hidden="1" customWidth="1"/>
    <col min="37" max="37" width="15.7109375" bestFit="1" customWidth="1"/>
  </cols>
  <sheetData>
    <row r="2" spans="2:38" ht="15.75" thickBot="1"/>
    <row r="3" spans="2:38">
      <c r="B3" s="111" t="s">
        <v>127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3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50</v>
      </c>
      <c r="D6" s="36">
        <f>+C6*B6</f>
        <v>500</v>
      </c>
      <c r="E6" s="1"/>
      <c r="F6" s="2">
        <v>10</v>
      </c>
      <c r="G6" s="2">
        <v>2</v>
      </c>
      <c r="H6" s="36">
        <f>+G6*F6</f>
        <v>20</v>
      </c>
      <c r="I6" s="1"/>
      <c r="J6" s="2">
        <v>10</v>
      </c>
      <c r="K6" s="2">
        <v>83</v>
      </c>
      <c r="L6" s="36">
        <f>+K6*J6</f>
        <v>830</v>
      </c>
      <c r="M6" s="1"/>
      <c r="N6" s="2">
        <v>10</v>
      </c>
      <c r="O6" s="2">
        <v>107</v>
      </c>
      <c r="P6" s="36">
        <f>+O6*N6</f>
        <v>1070</v>
      </c>
      <c r="Q6" s="1"/>
      <c r="R6" s="2">
        <v>10</v>
      </c>
      <c r="S6" s="2">
        <v>1</v>
      </c>
      <c r="T6" s="36">
        <f>+S6*R6</f>
        <v>10</v>
      </c>
      <c r="U6" s="1"/>
      <c r="V6" s="12"/>
      <c r="W6" s="39">
        <v>10</v>
      </c>
      <c r="X6" s="39">
        <f>+C6+G6+K6+O6+S6</f>
        <v>243</v>
      </c>
      <c r="Y6" s="37">
        <f>+D6+H6+L6+P6+T6</f>
        <v>2430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7</v>
      </c>
      <c r="AK6" s="36">
        <f t="shared" ref="AK6:AK13" si="0">+AJ6*AI6</f>
        <v>7</v>
      </c>
      <c r="AL6" s="26"/>
    </row>
    <row r="7" spans="2:38">
      <c r="B7" s="2">
        <v>20</v>
      </c>
      <c r="C7" s="2">
        <v>26</v>
      </c>
      <c r="D7" s="36">
        <f t="shared" ref="D7:D12" si="1">+C7*B7</f>
        <v>520</v>
      </c>
      <c r="E7" s="1"/>
      <c r="F7" s="2">
        <v>20</v>
      </c>
      <c r="G7" s="2">
        <v>4</v>
      </c>
      <c r="H7" s="36">
        <f t="shared" ref="H7:H12" si="2">+G7*F7</f>
        <v>80</v>
      </c>
      <c r="I7" s="1"/>
      <c r="J7" s="2">
        <v>20</v>
      </c>
      <c r="K7" s="2">
        <v>14</v>
      </c>
      <c r="L7" s="36">
        <f t="shared" ref="L7:L12" si="3">+K7*J7</f>
        <v>280</v>
      </c>
      <c r="M7" s="1"/>
      <c r="N7" s="2">
        <v>20</v>
      </c>
      <c r="O7" s="2"/>
      <c r="P7" s="36">
        <f t="shared" ref="P7:P12" si="4">+O7*N7</f>
        <v>0</v>
      </c>
      <c r="Q7" s="1"/>
      <c r="R7" s="2">
        <v>20</v>
      </c>
      <c r="S7" s="2">
        <v>2</v>
      </c>
      <c r="T7" s="36">
        <f t="shared" ref="T7:T12" si="5">+S7*R7</f>
        <v>40</v>
      </c>
      <c r="U7" s="1"/>
      <c r="V7" s="12"/>
      <c r="W7" s="39">
        <v>20</v>
      </c>
      <c r="X7" s="39">
        <f>+C7+G7+K7+O7+S7</f>
        <v>46</v>
      </c>
      <c r="Y7" s="37">
        <f t="shared" ref="Y7:Y12" si="6">+D7+H7+L7+P7+T7</f>
        <v>920</v>
      </c>
      <c r="Z7" s="13"/>
      <c r="AA7" s="1"/>
      <c r="AB7" s="56" t="s">
        <v>10</v>
      </c>
      <c r="AC7" s="57">
        <f>Y13</f>
        <v>386600</v>
      </c>
      <c r="AD7" s="26"/>
      <c r="AE7" s="26"/>
      <c r="AF7" s="26"/>
      <c r="AG7" s="26"/>
      <c r="AH7" s="1"/>
      <c r="AI7" s="2">
        <v>10</v>
      </c>
      <c r="AJ7" s="2">
        <v>245</v>
      </c>
      <c r="AK7" s="36">
        <f t="shared" si="0"/>
        <v>2450</v>
      </c>
      <c r="AL7" s="1"/>
    </row>
    <row r="8" spans="2:38">
      <c r="B8" s="2">
        <v>50</v>
      </c>
      <c r="C8" s="2">
        <v>10</v>
      </c>
      <c r="D8" s="36">
        <f t="shared" si="1"/>
        <v>500</v>
      </c>
      <c r="E8" s="1"/>
      <c r="F8" s="2">
        <v>50</v>
      </c>
      <c r="G8" s="2">
        <v>224</v>
      </c>
      <c r="H8" s="36">
        <f t="shared" si="2"/>
        <v>11200</v>
      </c>
      <c r="I8" s="1"/>
      <c r="J8" s="2">
        <v>50</v>
      </c>
      <c r="K8" s="2">
        <v>74</v>
      </c>
      <c r="L8" s="36">
        <f t="shared" si="3"/>
        <v>3700</v>
      </c>
      <c r="M8" s="1"/>
      <c r="N8" s="2">
        <v>50</v>
      </c>
      <c r="O8" s="2">
        <v>64</v>
      </c>
      <c r="P8" s="36">
        <f t="shared" si="4"/>
        <v>3200</v>
      </c>
      <c r="Q8" s="1"/>
      <c r="R8" s="2">
        <v>50</v>
      </c>
      <c r="S8" s="2">
        <v>1</v>
      </c>
      <c r="T8" s="36">
        <f t="shared" si="5"/>
        <v>50</v>
      </c>
      <c r="U8" s="1"/>
      <c r="V8" s="12"/>
      <c r="W8" s="39">
        <v>50</v>
      </c>
      <c r="X8" s="39">
        <f t="shared" ref="X8:X12" si="7">+C8+G8+K8+O8+S8</f>
        <v>373</v>
      </c>
      <c r="Y8" s="37">
        <f t="shared" si="6"/>
        <v>18650</v>
      </c>
      <c r="Z8" s="13"/>
      <c r="AA8" s="1"/>
      <c r="AB8" s="53" t="s">
        <v>11</v>
      </c>
      <c r="AC8" s="53">
        <f>+AF31</f>
        <v>90475</v>
      </c>
      <c r="AD8" s="1"/>
      <c r="AE8" s="1"/>
      <c r="AF8" s="1"/>
      <c r="AG8" s="1"/>
      <c r="AH8" s="1"/>
      <c r="AI8" s="2">
        <v>20</v>
      </c>
      <c r="AJ8" s="2">
        <v>46</v>
      </c>
      <c r="AK8" s="36">
        <f t="shared" si="0"/>
        <v>920</v>
      </c>
      <c r="AL8" s="1"/>
    </row>
    <row r="9" spans="2:38" ht="15.75" thickBot="1">
      <c r="B9" s="2">
        <v>100</v>
      </c>
      <c r="C9" s="2">
        <v>29</v>
      </c>
      <c r="D9" s="36">
        <f t="shared" si="1"/>
        <v>2900</v>
      </c>
      <c r="E9" s="1"/>
      <c r="F9" s="2">
        <v>100</v>
      </c>
      <c r="G9" s="2">
        <v>15</v>
      </c>
      <c r="H9" s="36">
        <f t="shared" si="2"/>
        <v>1500</v>
      </c>
      <c r="I9" s="1"/>
      <c r="J9" s="2">
        <v>100</v>
      </c>
      <c r="K9" s="2">
        <v>65</v>
      </c>
      <c r="L9" s="36">
        <f t="shared" si="3"/>
        <v>6500</v>
      </c>
      <c r="M9" s="1"/>
      <c r="N9" s="2">
        <v>100</v>
      </c>
      <c r="O9" s="2">
        <v>58</v>
      </c>
      <c r="P9" s="36">
        <f t="shared" si="4"/>
        <v>5800</v>
      </c>
      <c r="Q9" s="1"/>
      <c r="R9" s="2">
        <v>100</v>
      </c>
      <c r="S9" s="2">
        <v>29</v>
      </c>
      <c r="T9" s="36">
        <f t="shared" si="5"/>
        <v>2900</v>
      </c>
      <c r="U9" s="1"/>
      <c r="V9" s="12"/>
      <c r="W9" s="39">
        <v>100</v>
      </c>
      <c r="X9" s="39">
        <f t="shared" si="7"/>
        <v>196</v>
      </c>
      <c r="Y9" s="37">
        <f t="shared" si="6"/>
        <v>19600</v>
      </c>
      <c r="Z9" s="13"/>
      <c r="AA9" s="1"/>
      <c r="AB9" s="58" t="s">
        <v>12</v>
      </c>
      <c r="AC9" s="59">
        <f>SUM(AC7:AC8)</f>
        <v>477075</v>
      </c>
      <c r="AD9" s="1"/>
      <c r="AE9" s="1"/>
      <c r="AF9" s="1"/>
      <c r="AG9" s="1"/>
      <c r="AH9" s="1"/>
      <c r="AI9" s="2">
        <v>50</v>
      </c>
      <c r="AJ9" s="2">
        <v>374</v>
      </c>
      <c r="AK9" s="36">
        <f t="shared" si="0"/>
        <v>18700</v>
      </c>
      <c r="AL9" s="1"/>
    </row>
    <row r="10" spans="2:38">
      <c r="B10" s="2">
        <v>500</v>
      </c>
      <c r="C10" s="2">
        <v>25</v>
      </c>
      <c r="D10" s="36">
        <f t="shared" si="1"/>
        <v>12500</v>
      </c>
      <c r="E10" s="1"/>
      <c r="F10" s="2">
        <v>500</v>
      </c>
      <c r="G10" s="2">
        <v>26</v>
      </c>
      <c r="H10" s="36">
        <f t="shared" si="2"/>
        <v>13000</v>
      </c>
      <c r="I10" s="1"/>
      <c r="J10" s="2">
        <v>500</v>
      </c>
      <c r="K10" s="2">
        <v>17</v>
      </c>
      <c r="L10" s="36">
        <f t="shared" si="3"/>
        <v>8500</v>
      </c>
      <c r="M10" s="1"/>
      <c r="N10" s="2">
        <v>500</v>
      </c>
      <c r="O10" s="2">
        <v>30</v>
      </c>
      <c r="P10" s="36">
        <f t="shared" si="4"/>
        <v>15000</v>
      </c>
      <c r="Q10" s="1"/>
      <c r="R10" s="2">
        <v>500</v>
      </c>
      <c r="S10" s="2">
        <v>104</v>
      </c>
      <c r="T10" s="36">
        <f t="shared" si="5"/>
        <v>52000</v>
      </c>
      <c r="U10" s="1"/>
      <c r="V10" s="12"/>
      <c r="W10" s="39">
        <v>500</v>
      </c>
      <c r="X10" s="39">
        <f t="shared" si="7"/>
        <v>202</v>
      </c>
      <c r="Y10" s="37">
        <f t="shared" si="6"/>
        <v>101000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200</v>
      </c>
      <c r="AK10" s="36">
        <f t="shared" si="0"/>
        <v>20000</v>
      </c>
      <c r="AL10" s="1"/>
    </row>
    <row r="11" spans="2:38">
      <c r="B11" s="2">
        <v>1000</v>
      </c>
      <c r="C11" s="2">
        <v>34</v>
      </c>
      <c r="D11" s="36">
        <f t="shared" si="1"/>
        <v>34000</v>
      </c>
      <c r="E11" s="1"/>
      <c r="F11" s="2">
        <v>1000</v>
      </c>
      <c r="G11" s="2">
        <v>51</v>
      </c>
      <c r="H11" s="36">
        <f t="shared" si="2"/>
        <v>51000</v>
      </c>
      <c r="I11" s="1"/>
      <c r="J11" s="2">
        <v>1000</v>
      </c>
      <c r="K11" s="2">
        <v>29</v>
      </c>
      <c r="L11" s="36">
        <f t="shared" si="3"/>
        <v>29000</v>
      </c>
      <c r="M11" s="1"/>
      <c r="N11" s="2">
        <v>1000</v>
      </c>
      <c r="O11" s="2">
        <v>37</v>
      </c>
      <c r="P11" s="36">
        <f t="shared" si="4"/>
        <v>37000</v>
      </c>
      <c r="Q11" s="1"/>
      <c r="R11" s="2">
        <v>1000</v>
      </c>
      <c r="S11" s="2">
        <v>33</v>
      </c>
      <c r="T11" s="36">
        <f t="shared" si="5"/>
        <v>33000</v>
      </c>
      <c r="U11" s="1"/>
      <c r="V11" s="12"/>
      <c r="W11" s="39">
        <v>1000</v>
      </c>
      <c r="X11" s="39">
        <f t="shared" si="7"/>
        <v>184</v>
      </c>
      <c r="Y11" s="37">
        <f t="shared" si="6"/>
        <v>184000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252</v>
      </c>
      <c r="AK11" s="36">
        <f t="shared" si="0"/>
        <v>126000</v>
      </c>
      <c r="AL11" s="1"/>
    </row>
    <row r="12" spans="2:38">
      <c r="B12" s="2">
        <v>5000</v>
      </c>
      <c r="C12" s="2"/>
      <c r="D12" s="36">
        <f t="shared" si="1"/>
        <v>0</v>
      </c>
      <c r="E12" s="1"/>
      <c r="F12" s="2">
        <v>5000</v>
      </c>
      <c r="G12" s="2">
        <v>7</v>
      </c>
      <c r="H12" s="36">
        <f t="shared" si="2"/>
        <v>35000</v>
      </c>
      <c r="I12" s="1"/>
      <c r="J12" s="2">
        <v>5000</v>
      </c>
      <c r="K12" s="2">
        <v>2</v>
      </c>
      <c r="L12" s="36">
        <f t="shared" si="3"/>
        <v>10000</v>
      </c>
      <c r="M12" s="1"/>
      <c r="N12" s="2">
        <v>5000</v>
      </c>
      <c r="O12" s="2">
        <v>3</v>
      </c>
      <c r="P12" s="36">
        <f t="shared" si="4"/>
        <v>15000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12</v>
      </c>
      <c r="Y12" s="37">
        <f t="shared" si="6"/>
        <v>60000</v>
      </c>
      <c r="Z12" s="13"/>
      <c r="AA12" s="1"/>
      <c r="AB12" s="1" t="s">
        <v>17</v>
      </c>
      <c r="AC12" s="5">
        <v>476070</v>
      </c>
      <c r="AD12" s="1">
        <v>395435</v>
      </c>
      <c r="AE12" s="52" t="s">
        <v>553</v>
      </c>
      <c r="AF12" s="1" t="s">
        <v>110</v>
      </c>
      <c r="AG12" s="1"/>
      <c r="AH12" s="1"/>
      <c r="AI12" s="2">
        <v>1000</v>
      </c>
      <c r="AJ12" s="2">
        <v>224</v>
      </c>
      <c r="AK12" s="36">
        <f t="shared" si="0"/>
        <v>224000</v>
      </c>
      <c r="AL12" s="1"/>
    </row>
    <row r="13" spans="2:38" ht="15.75" thickBot="1">
      <c r="B13" s="3" t="s">
        <v>18</v>
      </c>
      <c r="C13" s="3"/>
      <c r="D13" s="6">
        <f>+SUM(D5:D12)</f>
        <v>50920</v>
      </c>
      <c r="E13" s="1"/>
      <c r="F13" s="3" t="s">
        <v>18</v>
      </c>
      <c r="G13" s="3"/>
      <c r="H13" s="6">
        <f>+SUM(H5:H12)</f>
        <v>111800</v>
      </c>
      <c r="I13" s="1"/>
      <c r="J13" s="3" t="s">
        <v>18</v>
      </c>
      <c r="K13" s="3"/>
      <c r="L13" s="6">
        <f>+SUM(L5:L12)</f>
        <v>58810</v>
      </c>
      <c r="M13" s="1"/>
      <c r="N13" s="3" t="s">
        <v>18</v>
      </c>
      <c r="O13" s="3"/>
      <c r="P13" s="6">
        <f>+SUM(P5:P12)</f>
        <v>77070</v>
      </c>
      <c r="Q13" s="1"/>
      <c r="R13" s="3" t="s">
        <v>18</v>
      </c>
      <c r="S13" s="3"/>
      <c r="T13" s="6">
        <f>+SUM(T5:T12)</f>
        <v>88000</v>
      </c>
      <c r="U13" s="1"/>
      <c r="V13" s="12"/>
      <c r="W13" s="3" t="s">
        <v>18</v>
      </c>
      <c r="X13" s="3"/>
      <c r="Y13" s="6">
        <f>+SUM(Y5:Y12)</f>
        <v>386600</v>
      </c>
      <c r="Z13" s="13"/>
      <c r="AA13" s="1"/>
      <c r="AB13" s="1" t="s">
        <v>19</v>
      </c>
      <c r="AC13" s="5">
        <v>1007</v>
      </c>
      <c r="AD13" s="1"/>
      <c r="AE13" s="1"/>
      <c r="AF13" s="1"/>
      <c r="AG13" s="1"/>
      <c r="AH13" s="1"/>
      <c r="AI13" s="2">
        <v>5000</v>
      </c>
      <c r="AJ13" s="2">
        <v>17</v>
      </c>
      <c r="AK13" s="36">
        <f t="shared" si="0"/>
        <v>85000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477077</v>
      </c>
      <c r="AL14" s="1"/>
    </row>
    <row r="15" spans="2:38" ht="15.75" thickBot="1">
      <c r="B15" s="109" t="s">
        <v>21</v>
      </c>
      <c r="C15" s="110"/>
      <c r="D15" s="8">
        <v>74034</v>
      </c>
      <c r="E15" s="30"/>
      <c r="F15" s="109" t="s">
        <v>21</v>
      </c>
      <c r="G15" s="110"/>
      <c r="H15" s="8">
        <v>133749</v>
      </c>
      <c r="I15" s="30"/>
      <c r="J15" s="109" t="s">
        <v>21</v>
      </c>
      <c r="K15" s="110"/>
      <c r="L15" s="8">
        <v>87480</v>
      </c>
      <c r="M15" s="30"/>
      <c r="N15" s="109" t="s">
        <v>21</v>
      </c>
      <c r="O15" s="110"/>
      <c r="P15" s="8">
        <v>85370</v>
      </c>
      <c r="Q15" s="30"/>
      <c r="R15" s="109" t="s">
        <v>21</v>
      </c>
      <c r="S15" s="110"/>
      <c r="T15" s="8">
        <v>330300</v>
      </c>
      <c r="U15" s="30"/>
      <c r="V15" s="31"/>
      <c r="W15" s="109" t="s">
        <v>21</v>
      </c>
      <c r="X15" s="110"/>
      <c r="Y15" s="8">
        <f>+D15+H15+L15+P15+T15</f>
        <v>710933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50920</v>
      </c>
      <c r="E16" s="1"/>
      <c r="F16" s="1" t="s">
        <v>10</v>
      </c>
      <c r="G16" s="1"/>
      <c r="H16" s="5">
        <f>+H13</f>
        <v>111800</v>
      </c>
      <c r="I16" s="1"/>
      <c r="J16" s="1" t="s">
        <v>10</v>
      </c>
      <c r="K16" s="1"/>
      <c r="L16" s="5">
        <f>+L13</f>
        <v>58810</v>
      </c>
      <c r="M16" s="1"/>
      <c r="N16" s="1" t="s">
        <v>10</v>
      </c>
      <c r="O16" s="1"/>
      <c r="P16" s="5">
        <f>+P13</f>
        <v>77070</v>
      </c>
      <c r="Q16" s="1"/>
      <c r="R16" s="1" t="s">
        <v>10</v>
      </c>
      <c r="S16" s="1"/>
      <c r="T16" s="5">
        <f>+T13</f>
        <v>88000</v>
      </c>
      <c r="U16" s="1"/>
      <c r="V16" s="12"/>
      <c r="W16" s="40" t="s">
        <v>10</v>
      </c>
      <c r="X16" s="40"/>
      <c r="Y16" s="37">
        <f>+D16+H16+L16+P16+T16</f>
        <v>386600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>
        <v>1400</v>
      </c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1400</v>
      </c>
      <c r="Z17" s="13"/>
      <c r="AA17" s="1"/>
      <c r="AB17" s="48" t="s">
        <v>12</v>
      </c>
      <c r="AC17" s="49">
        <f>+SUM(AC12:AC16)</f>
        <v>477077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371</v>
      </c>
      <c r="C18" s="1" t="s">
        <v>534</v>
      </c>
      <c r="D18" s="5">
        <v>9920</v>
      </c>
      <c r="E18" s="1"/>
      <c r="F18" s="1" t="s">
        <v>532</v>
      </c>
      <c r="G18" s="1" t="s">
        <v>533</v>
      </c>
      <c r="H18" s="5">
        <v>22166</v>
      </c>
      <c r="I18" s="1"/>
      <c r="J18" s="1" t="s">
        <v>372</v>
      </c>
      <c r="K18" s="1" t="s">
        <v>536</v>
      </c>
      <c r="L18" s="5">
        <v>11990</v>
      </c>
      <c r="M18" s="1"/>
      <c r="N18" s="1" t="s">
        <v>378</v>
      </c>
      <c r="O18" s="16" t="s">
        <v>541</v>
      </c>
      <c r="P18" s="5">
        <v>8300</v>
      </c>
      <c r="Q18" s="1"/>
      <c r="R18" s="1" t="s">
        <v>530</v>
      </c>
      <c r="S18" s="1" t="s">
        <v>531</v>
      </c>
      <c r="T18" s="5">
        <v>25081</v>
      </c>
      <c r="U18" s="1"/>
      <c r="V18" s="12"/>
      <c r="W18" s="40" t="s">
        <v>24</v>
      </c>
      <c r="X18" s="40"/>
      <c r="Y18" s="37">
        <f t="shared" si="8"/>
        <v>77457</v>
      </c>
      <c r="Z18" s="13"/>
      <c r="AA18" s="1"/>
      <c r="AB18" s="50" t="s">
        <v>25</v>
      </c>
      <c r="AC18" s="51">
        <f>+AC17-AC9</f>
        <v>2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392</v>
      </c>
      <c r="C19" s="1" t="s">
        <v>535</v>
      </c>
      <c r="D19" s="5">
        <v>8500</v>
      </c>
      <c r="E19" s="1"/>
      <c r="F19" s="1" t="s">
        <v>27</v>
      </c>
      <c r="G19" s="1"/>
      <c r="H19" s="5"/>
      <c r="I19" s="1"/>
      <c r="J19" s="1" t="s">
        <v>372</v>
      </c>
      <c r="K19" s="1" t="s">
        <v>537</v>
      </c>
      <c r="L19" s="5">
        <v>5000</v>
      </c>
      <c r="M19" s="1"/>
      <c r="N19" s="1" t="s">
        <v>27</v>
      </c>
      <c r="O19" s="1"/>
      <c r="P19" s="5"/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13500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 t="s">
        <v>528</v>
      </c>
      <c r="S22" s="1" t="s">
        <v>529</v>
      </c>
      <c r="T22" s="5">
        <v>108481</v>
      </c>
      <c r="U22" s="1"/>
      <c r="V22" s="12"/>
      <c r="W22" s="40"/>
      <c r="X22" s="40"/>
      <c r="Y22" s="37">
        <f t="shared" si="8"/>
        <v>108481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538</v>
      </c>
      <c r="K23" s="1" t="s">
        <v>539</v>
      </c>
      <c r="L23" s="5">
        <v>7046</v>
      </c>
      <c r="M23" s="1"/>
      <c r="N23" s="1" t="s">
        <v>47</v>
      </c>
      <c r="O23" s="1"/>
      <c r="P23" s="5"/>
      <c r="Q23" s="1"/>
      <c r="R23" s="1" t="s">
        <v>520</v>
      </c>
      <c r="S23" s="1" t="s">
        <v>521</v>
      </c>
      <c r="T23" s="5">
        <v>31719</v>
      </c>
      <c r="U23" s="1"/>
      <c r="V23" s="12"/>
      <c r="W23" s="40" t="s">
        <v>36</v>
      </c>
      <c r="X23" s="40"/>
      <c r="Y23" s="37">
        <f t="shared" si="8"/>
        <v>38765</v>
      </c>
      <c r="Z23" s="13"/>
      <c r="AA23" s="1"/>
      <c r="AB23" s="70" t="s">
        <v>542</v>
      </c>
      <c r="AC23" s="77">
        <v>45939</v>
      </c>
      <c r="AD23" s="70" t="s">
        <v>164</v>
      </c>
      <c r="AE23" s="70"/>
      <c r="AF23" s="70">
        <v>21518</v>
      </c>
      <c r="AG23" s="1"/>
      <c r="AH23" s="1"/>
      <c r="AI23" s="70" t="s">
        <v>546</v>
      </c>
      <c r="AJ23" s="70"/>
      <c r="AK23" s="70" t="s">
        <v>48</v>
      </c>
      <c r="AL23" s="74">
        <v>90000</v>
      </c>
    </row>
    <row r="24" spans="2:38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540</v>
      </c>
      <c r="K24" s="1" t="s">
        <v>213</v>
      </c>
      <c r="L24" s="5">
        <v>4001</v>
      </c>
      <c r="M24" s="1"/>
      <c r="N24" s="1" t="s">
        <v>47</v>
      </c>
      <c r="O24" s="1"/>
      <c r="P24" s="5"/>
      <c r="Q24" s="1"/>
      <c r="R24" s="1" t="s">
        <v>522</v>
      </c>
      <c r="S24" s="1" t="s">
        <v>523</v>
      </c>
      <c r="T24" s="5">
        <v>38866</v>
      </c>
      <c r="U24" s="1"/>
      <c r="V24" s="12"/>
      <c r="W24" s="40" t="s">
        <v>37</v>
      </c>
      <c r="X24" s="40"/>
      <c r="Y24" s="37">
        <f t="shared" si="8"/>
        <v>42867</v>
      </c>
      <c r="Z24" s="13"/>
      <c r="AA24" s="1"/>
      <c r="AB24" s="70" t="s">
        <v>162</v>
      </c>
      <c r="AC24" s="71">
        <v>45925</v>
      </c>
      <c r="AD24" s="70" t="s">
        <v>161</v>
      </c>
      <c r="AE24" s="70"/>
      <c r="AF24" s="70">
        <v>15000</v>
      </c>
      <c r="AG24" s="1"/>
      <c r="AH24" s="1"/>
      <c r="AI24" s="70" t="s">
        <v>100</v>
      </c>
      <c r="AJ24" s="70" t="s">
        <v>547</v>
      </c>
      <c r="AK24" s="70" t="s">
        <v>550</v>
      </c>
      <c r="AL24" s="74">
        <v>32200</v>
      </c>
    </row>
    <row r="25" spans="2:38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47</v>
      </c>
      <c r="O25" s="1"/>
      <c r="P25" s="5"/>
      <c r="Q25" s="1"/>
      <c r="R25" s="1" t="s">
        <v>524</v>
      </c>
      <c r="S25" s="1" t="s">
        <v>525</v>
      </c>
      <c r="T25" s="5">
        <v>10083</v>
      </c>
      <c r="U25" s="1"/>
      <c r="V25" s="12"/>
      <c r="W25" s="40" t="s">
        <v>38</v>
      </c>
      <c r="X25" s="40"/>
      <c r="Y25" s="37">
        <f t="shared" si="8"/>
        <v>10083</v>
      </c>
      <c r="Z25" s="13"/>
      <c r="AA25" s="1"/>
      <c r="AB25" s="70" t="s">
        <v>543</v>
      </c>
      <c r="AC25" s="82">
        <v>45932</v>
      </c>
      <c r="AD25" s="70" t="s">
        <v>136</v>
      </c>
      <c r="AE25" s="70"/>
      <c r="AF25" s="70">
        <v>265</v>
      </c>
      <c r="AG25" s="1"/>
      <c r="AH25" s="1"/>
      <c r="AI25" s="70" t="s">
        <v>67</v>
      </c>
      <c r="AJ25" s="70" t="s">
        <v>326</v>
      </c>
      <c r="AK25" s="70" t="s">
        <v>310</v>
      </c>
      <c r="AL25" s="74">
        <v>3041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526</v>
      </c>
      <c r="S26" s="1" t="s">
        <v>527</v>
      </c>
      <c r="T26" s="5">
        <v>24929</v>
      </c>
      <c r="U26" s="1"/>
      <c r="V26" s="12"/>
      <c r="W26" s="40"/>
      <c r="X26" s="40"/>
      <c r="Y26" s="37">
        <f t="shared" si="8"/>
        <v>24929</v>
      </c>
      <c r="Z26" s="13"/>
      <c r="AA26" s="1"/>
      <c r="AB26" s="70" t="s">
        <v>544</v>
      </c>
      <c r="AC26" s="77">
        <v>45945</v>
      </c>
      <c r="AD26" s="70" t="s">
        <v>505</v>
      </c>
      <c r="AE26" s="70"/>
      <c r="AF26" s="70">
        <v>5489</v>
      </c>
      <c r="AG26" s="1"/>
      <c r="AH26" s="1"/>
      <c r="AI26" s="70" t="s">
        <v>65</v>
      </c>
      <c r="AJ26" s="70" t="s">
        <v>329</v>
      </c>
      <c r="AK26" s="70" t="s">
        <v>551</v>
      </c>
      <c r="AL26" s="74">
        <v>5400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70" t="s">
        <v>545</v>
      </c>
      <c r="AC27" s="82">
        <v>45932</v>
      </c>
      <c r="AD27" s="70" t="s">
        <v>119</v>
      </c>
      <c r="AE27" s="70"/>
      <c r="AF27" s="70">
        <v>16203</v>
      </c>
      <c r="AG27" s="1"/>
      <c r="AH27" s="1"/>
      <c r="AI27" s="70" t="s">
        <v>65</v>
      </c>
      <c r="AJ27" s="70" t="s">
        <v>330</v>
      </c>
      <c r="AK27" s="70" t="s">
        <v>151</v>
      </c>
      <c r="AL27" s="74">
        <v>10640</v>
      </c>
    </row>
    <row r="28" spans="2:38" ht="15.75" thickBot="1">
      <c r="B28" s="114" t="s">
        <v>12</v>
      </c>
      <c r="C28" s="115"/>
      <c r="D28" s="9">
        <f>+SUM(D16:D27)</f>
        <v>70740</v>
      </c>
      <c r="E28" s="1"/>
      <c r="F28" s="114" t="s">
        <v>12</v>
      </c>
      <c r="G28" s="115"/>
      <c r="H28" s="9">
        <f>+SUM(H16:H27)</f>
        <v>133966</v>
      </c>
      <c r="I28" s="1"/>
      <c r="J28" s="114" t="s">
        <v>12</v>
      </c>
      <c r="K28" s="115"/>
      <c r="L28" s="9">
        <f>+SUM(L16:L27)</f>
        <v>86847</v>
      </c>
      <c r="M28" s="1"/>
      <c r="N28" s="114" t="s">
        <v>12</v>
      </c>
      <c r="O28" s="115"/>
      <c r="P28" s="9">
        <f>+SUM(P16:P27)</f>
        <v>85370</v>
      </c>
      <c r="Q28" s="1"/>
      <c r="R28" s="114" t="s">
        <v>12</v>
      </c>
      <c r="S28" s="115"/>
      <c r="T28" s="9">
        <f>+SUM(T16:T27)</f>
        <v>327159</v>
      </c>
      <c r="U28" s="1"/>
      <c r="V28" s="12"/>
      <c r="W28" s="114" t="s">
        <v>12</v>
      </c>
      <c r="X28" s="115"/>
      <c r="Y28" s="9">
        <f>+SUM(Y16:Y27)</f>
        <v>704082</v>
      </c>
      <c r="Z28" s="13"/>
      <c r="AA28" s="1"/>
      <c r="AB28" s="70" t="s">
        <v>472</v>
      </c>
      <c r="AC28" s="82">
        <v>45934</v>
      </c>
      <c r="AD28" s="68" t="s">
        <v>90</v>
      </c>
      <c r="AE28" s="1"/>
      <c r="AF28" s="70">
        <v>32000</v>
      </c>
      <c r="AG28" s="1"/>
      <c r="AH28" s="1"/>
      <c r="AI28" s="70" t="s">
        <v>98</v>
      </c>
      <c r="AJ28" s="70" t="s">
        <v>350</v>
      </c>
      <c r="AK28" s="70" t="s">
        <v>246</v>
      </c>
      <c r="AL28" s="73">
        <v>3300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70" t="s">
        <v>100</v>
      </c>
      <c r="AJ29" s="70" t="s">
        <v>548</v>
      </c>
      <c r="AK29" s="70" t="s">
        <v>381</v>
      </c>
      <c r="AL29" s="74">
        <v>30000</v>
      </c>
    </row>
    <row r="30" spans="2:38" ht="15.75" thickBot="1">
      <c r="B30" s="116" t="s">
        <v>40</v>
      </c>
      <c r="C30" s="116"/>
      <c r="D30" s="7">
        <f>+D28-D15</f>
        <v>-3294</v>
      </c>
      <c r="E30" s="1"/>
      <c r="F30" s="116" t="s">
        <v>40</v>
      </c>
      <c r="G30" s="116"/>
      <c r="H30" s="7">
        <f>+H28-H15</f>
        <v>217</v>
      </c>
      <c r="I30" s="1"/>
      <c r="J30" s="116" t="s">
        <v>40</v>
      </c>
      <c r="K30" s="116"/>
      <c r="L30" s="7">
        <f>+L28-L15</f>
        <v>-633</v>
      </c>
      <c r="M30" s="1"/>
      <c r="N30" s="116" t="s">
        <v>40</v>
      </c>
      <c r="O30" s="116"/>
      <c r="P30" s="7">
        <f>+P28-P15</f>
        <v>0</v>
      </c>
      <c r="Q30" s="1"/>
      <c r="R30" s="116" t="s">
        <v>40</v>
      </c>
      <c r="S30" s="116"/>
      <c r="T30" s="7">
        <f>+T28-T15</f>
        <v>-3141</v>
      </c>
      <c r="U30" s="1"/>
      <c r="V30" s="12"/>
      <c r="W30" s="113" t="s">
        <v>40</v>
      </c>
      <c r="X30" s="113"/>
      <c r="Y30" s="41">
        <f>+Y28-Y15</f>
        <v>-6851</v>
      </c>
      <c r="Z30" s="13"/>
      <c r="AA30" s="1"/>
      <c r="AB30" s="1"/>
      <c r="AC30" s="1"/>
      <c r="AD30" s="1"/>
      <c r="AE30" s="1"/>
      <c r="AF30" s="1"/>
      <c r="AG30" s="1"/>
      <c r="AH30" s="1"/>
      <c r="AI30" s="70" t="s">
        <v>100</v>
      </c>
      <c r="AJ30" s="70" t="s">
        <v>549</v>
      </c>
      <c r="AK30" s="70" t="s">
        <v>552</v>
      </c>
      <c r="AL30" s="74">
        <v>93760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39</v>
      </c>
      <c r="AC31" s="60"/>
      <c r="AD31" s="60"/>
      <c r="AE31" s="60"/>
      <c r="AF31" s="55">
        <f>+SUM(AF23:AF30)</f>
        <v>90475</v>
      </c>
      <c r="AG31" s="1"/>
      <c r="AH31" s="1"/>
      <c r="AI31" s="79" t="s">
        <v>39</v>
      </c>
      <c r="AJ31" s="79"/>
      <c r="AK31" s="79"/>
      <c r="AL31" s="80">
        <f>+SUM(AL23:AL30)</f>
        <v>268341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>
      <c r="B34" s="10" t="s">
        <v>41</v>
      </c>
      <c r="C34" s="11"/>
      <c r="D34" s="21">
        <v>3294</v>
      </c>
      <c r="E34" s="1"/>
      <c r="F34" s="10" t="s">
        <v>41</v>
      </c>
      <c r="G34" s="11"/>
      <c r="H34" s="21"/>
      <c r="I34" s="1"/>
      <c r="J34" s="10" t="s">
        <v>41</v>
      </c>
      <c r="K34" s="11"/>
      <c r="L34" s="21">
        <v>633</v>
      </c>
      <c r="M34" s="1"/>
      <c r="N34" s="10" t="s">
        <v>41</v>
      </c>
      <c r="O34" s="11"/>
      <c r="P34" s="21"/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3927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>
      <c r="B35" s="12" t="s">
        <v>42</v>
      </c>
      <c r="C35" s="16"/>
      <c r="D35" s="22"/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/>
      <c r="Q35" s="1"/>
      <c r="R35" s="12" t="s">
        <v>382</v>
      </c>
      <c r="S35" s="16"/>
      <c r="T35" s="22">
        <v>3167</v>
      </c>
      <c r="U35" s="1"/>
      <c r="V35" s="1"/>
      <c r="W35" s="45" t="s">
        <v>42</v>
      </c>
      <c r="X35" s="40"/>
      <c r="Y35" s="46">
        <f t="shared" ref="Y35:Y36" si="9">+D35+H35+L35+P35+T35</f>
        <v>3167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44</v>
      </c>
      <c r="C36" s="16"/>
      <c r="D36" s="22"/>
      <c r="E36" s="1"/>
      <c r="F36" s="12" t="s">
        <v>44</v>
      </c>
      <c r="G36" s="16"/>
      <c r="H36" s="22">
        <v>-217</v>
      </c>
      <c r="I36" s="1"/>
      <c r="J36" s="12" t="s">
        <v>44</v>
      </c>
      <c r="K36" s="16"/>
      <c r="L36" s="22"/>
      <c r="M36" s="1"/>
      <c r="N36" s="12" t="s">
        <v>44</v>
      </c>
      <c r="O36" s="16"/>
      <c r="P36" s="22"/>
      <c r="Q36" s="1"/>
      <c r="R36" s="12" t="s">
        <v>44</v>
      </c>
      <c r="S36" s="16"/>
      <c r="T36" s="22">
        <v>-26</v>
      </c>
      <c r="U36" s="1"/>
      <c r="V36" s="1"/>
      <c r="W36" s="45" t="s">
        <v>43</v>
      </c>
      <c r="X36" s="40"/>
      <c r="Y36" s="46">
        <f t="shared" si="9"/>
        <v>-243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>
      <c r="B37" s="12" t="s">
        <v>18</v>
      </c>
      <c r="C37" s="16"/>
      <c r="D37" s="22">
        <f>+SUM(D34:D36)</f>
        <v>3294</v>
      </c>
      <c r="E37" s="1"/>
      <c r="F37" s="12" t="s">
        <v>18</v>
      </c>
      <c r="G37" s="16"/>
      <c r="H37" s="22">
        <f>+SUM(H34:H36)</f>
        <v>-217</v>
      </c>
      <c r="I37" s="1"/>
      <c r="J37" s="12" t="s">
        <v>18</v>
      </c>
      <c r="K37" s="16"/>
      <c r="L37" s="22">
        <f>+SUM(L34:L36)</f>
        <v>633</v>
      </c>
      <c r="M37" s="1"/>
      <c r="N37" s="12" t="s">
        <v>18</v>
      </c>
      <c r="O37" s="16"/>
      <c r="P37" s="22">
        <f>+SUM(P34:P36)</f>
        <v>0</v>
      </c>
      <c r="Q37" s="1"/>
      <c r="R37" s="12" t="s">
        <v>18</v>
      </c>
      <c r="S37" s="16"/>
      <c r="T37" s="22">
        <f>+SUM(T34:T36)</f>
        <v>3141</v>
      </c>
      <c r="U37" s="1"/>
      <c r="V37" s="1"/>
      <c r="W37" s="33" t="s">
        <v>18</v>
      </c>
      <c r="X37" s="34"/>
      <c r="Y37" s="35">
        <f>+SUM(Y34:Y36)</f>
        <v>6851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B2:AL39"/>
  <sheetViews>
    <sheetView topLeftCell="A7" zoomScale="80" zoomScaleNormal="80" workbookViewId="0">
      <selection activeCell="AB26" sqref="AB26:AE26"/>
    </sheetView>
  </sheetViews>
  <sheetFormatPr defaultRowHeight="15"/>
  <cols>
    <col min="5" max="5" width="0.5703125" customWidth="1"/>
    <col min="8" max="8" width="10.28515625" customWidth="1"/>
    <col min="9" max="9" width="0.7109375" customWidth="1"/>
    <col min="13" max="13" width="0.42578125" customWidth="1"/>
    <col min="17" max="17" width="0.5703125" customWidth="1"/>
    <col min="20" max="20" width="11.28515625" bestFit="1" customWidth="1"/>
    <col min="21" max="22" width="0.7109375" customWidth="1"/>
    <col min="25" max="25" width="9.5703125" bestFit="1" customWidth="1"/>
    <col min="26" max="26" width="2" customWidth="1"/>
    <col min="27" max="27" width="1.140625" customWidth="1"/>
    <col min="29" max="29" width="10.5703125" bestFit="1" customWidth="1"/>
    <col min="30" max="30" width="9.85546875" bestFit="1" customWidth="1"/>
    <col min="33" max="33" width="3.5703125" customWidth="1"/>
    <col min="34" max="34" width="9.140625" hidden="1" customWidth="1"/>
    <col min="37" max="37" width="11.42578125" bestFit="1" customWidth="1"/>
  </cols>
  <sheetData>
    <row r="2" spans="2:38" ht="15.75" thickBot="1"/>
    <row r="3" spans="2:38">
      <c r="B3" s="111" t="s">
        <v>127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3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100</v>
      </c>
      <c r="D6" s="36">
        <f>+C6*B6</f>
        <v>1000</v>
      </c>
      <c r="E6" s="1"/>
      <c r="F6" s="2">
        <v>10</v>
      </c>
      <c r="G6" s="2">
        <v>108</v>
      </c>
      <c r="H6" s="36">
        <f>+G6*F6</f>
        <v>1080</v>
      </c>
      <c r="I6" s="1"/>
      <c r="J6" s="2">
        <v>10</v>
      </c>
      <c r="K6" s="2">
        <v>40</v>
      </c>
      <c r="L6" s="36">
        <f>+K6*J6</f>
        <v>400</v>
      </c>
      <c r="M6" s="1"/>
      <c r="N6" s="2">
        <v>10</v>
      </c>
      <c r="O6" s="2">
        <v>1</v>
      </c>
      <c r="P6" s="36">
        <f>+O6*N6</f>
        <v>10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249</v>
      </c>
      <c r="Y6" s="37">
        <f>+D6+H6+L6+P6+T6</f>
        <v>2490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33</v>
      </c>
      <c r="D7" s="36">
        <f t="shared" ref="D7:D12" si="1">+C7*B7</f>
        <v>660</v>
      </c>
      <c r="E7" s="1"/>
      <c r="F7" s="2">
        <v>20</v>
      </c>
      <c r="G7" s="2">
        <v>7</v>
      </c>
      <c r="H7" s="36">
        <f t="shared" ref="H7:H12" si="2">+G7*F7</f>
        <v>140</v>
      </c>
      <c r="I7" s="1"/>
      <c r="J7" s="2">
        <v>20</v>
      </c>
      <c r="K7" s="2">
        <v>8</v>
      </c>
      <c r="L7" s="36">
        <f t="shared" ref="L7:L12" si="3">+K7*J7</f>
        <v>160</v>
      </c>
      <c r="M7" s="1"/>
      <c r="N7" s="2">
        <v>20</v>
      </c>
      <c r="O7" s="2">
        <v>2</v>
      </c>
      <c r="P7" s="36">
        <f t="shared" ref="P7:P12" si="4">+O7*N7</f>
        <v>40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50</v>
      </c>
      <c r="Y7" s="37">
        <f t="shared" ref="Y7:Y12" si="6">+D7+H7+L7+P7+T7</f>
        <v>1000</v>
      </c>
      <c r="Z7" s="13"/>
      <c r="AA7" s="1"/>
      <c r="AB7" s="56" t="s">
        <v>10</v>
      </c>
      <c r="AC7" s="57">
        <f>Y13</f>
        <v>297940</v>
      </c>
      <c r="AD7" s="26"/>
      <c r="AE7" s="26"/>
      <c r="AF7" s="26"/>
      <c r="AG7" s="26"/>
      <c r="AH7" s="1"/>
      <c r="AI7" s="2">
        <v>10</v>
      </c>
      <c r="AJ7" s="2">
        <v>257</v>
      </c>
      <c r="AK7" s="36">
        <f t="shared" si="0"/>
        <v>2570</v>
      </c>
      <c r="AL7" s="1"/>
    </row>
    <row r="8" spans="2:38">
      <c r="B8" s="2">
        <v>50</v>
      </c>
      <c r="C8" s="2">
        <v>12</v>
      </c>
      <c r="D8" s="36">
        <f t="shared" si="1"/>
        <v>600</v>
      </c>
      <c r="E8" s="1"/>
      <c r="F8" s="2">
        <v>50</v>
      </c>
      <c r="G8" s="2">
        <v>17</v>
      </c>
      <c r="H8" s="36">
        <f t="shared" si="2"/>
        <v>850</v>
      </c>
      <c r="I8" s="1"/>
      <c r="J8" s="2">
        <v>50</v>
      </c>
      <c r="K8" s="2">
        <v>44</v>
      </c>
      <c r="L8" s="36">
        <f t="shared" si="3"/>
        <v>2200</v>
      </c>
      <c r="M8" s="1"/>
      <c r="N8" s="2">
        <v>50</v>
      </c>
      <c r="O8" s="2">
        <v>96</v>
      </c>
      <c r="P8" s="36">
        <f t="shared" si="4"/>
        <v>4800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169</v>
      </c>
      <c r="Y8" s="37">
        <f t="shared" si="6"/>
        <v>8450</v>
      </c>
      <c r="Z8" s="13"/>
      <c r="AA8" s="1"/>
      <c r="AB8" s="53" t="s">
        <v>11</v>
      </c>
      <c r="AC8" s="53">
        <f>+AF37</f>
        <v>256220</v>
      </c>
      <c r="AD8" s="1"/>
      <c r="AE8" s="1"/>
      <c r="AF8" s="1"/>
      <c r="AG8" s="1"/>
      <c r="AH8" s="1"/>
      <c r="AI8" s="2">
        <v>20</v>
      </c>
      <c r="AJ8" s="2">
        <v>52</v>
      </c>
      <c r="AK8" s="36">
        <f t="shared" si="0"/>
        <v>1040</v>
      </c>
      <c r="AL8" s="1"/>
    </row>
    <row r="9" spans="2:38" ht="15.75" thickBot="1">
      <c r="B9" s="2">
        <v>100</v>
      </c>
      <c r="C9" s="2">
        <v>9</v>
      </c>
      <c r="D9" s="36">
        <f t="shared" si="1"/>
        <v>900</v>
      </c>
      <c r="E9" s="1"/>
      <c r="F9" s="2">
        <v>100</v>
      </c>
      <c r="G9" s="2">
        <v>17</v>
      </c>
      <c r="H9" s="36">
        <f t="shared" si="2"/>
        <v>1700</v>
      </c>
      <c r="I9" s="1"/>
      <c r="J9" s="2">
        <v>100</v>
      </c>
      <c r="K9" s="2">
        <v>48</v>
      </c>
      <c r="L9" s="36">
        <f t="shared" si="3"/>
        <v>4800</v>
      </c>
      <c r="M9" s="1"/>
      <c r="N9" s="2">
        <v>100</v>
      </c>
      <c r="O9" s="2">
        <v>91</v>
      </c>
      <c r="P9" s="36">
        <f t="shared" si="4"/>
        <v>9100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165</v>
      </c>
      <c r="Y9" s="37">
        <f t="shared" si="6"/>
        <v>16500</v>
      </c>
      <c r="Z9" s="13"/>
      <c r="AA9" s="1"/>
      <c r="AB9" s="58" t="s">
        <v>12</v>
      </c>
      <c r="AC9" s="59">
        <f>SUM(AC7:AC8)</f>
        <v>554160</v>
      </c>
      <c r="AD9" s="1"/>
      <c r="AE9" s="1"/>
      <c r="AF9" s="1"/>
      <c r="AG9" s="1"/>
      <c r="AH9" s="1"/>
      <c r="AI9" s="2">
        <v>50</v>
      </c>
      <c r="AJ9" s="2">
        <v>209</v>
      </c>
      <c r="AK9" s="36">
        <f t="shared" si="0"/>
        <v>10450</v>
      </c>
      <c r="AL9" s="1"/>
    </row>
    <row r="10" spans="2:38">
      <c r="B10" s="2">
        <v>500</v>
      </c>
      <c r="C10" s="2">
        <v>13</v>
      </c>
      <c r="D10" s="36">
        <f t="shared" si="1"/>
        <v>6500</v>
      </c>
      <c r="E10" s="1"/>
      <c r="F10" s="2">
        <v>500</v>
      </c>
      <c r="G10" s="2">
        <v>48</v>
      </c>
      <c r="H10" s="36">
        <f t="shared" si="2"/>
        <v>24000</v>
      </c>
      <c r="I10" s="1"/>
      <c r="J10" s="2">
        <v>500</v>
      </c>
      <c r="K10" s="2">
        <v>42</v>
      </c>
      <c r="L10" s="36">
        <f t="shared" si="3"/>
        <v>21000</v>
      </c>
      <c r="M10" s="1"/>
      <c r="N10" s="2">
        <v>500</v>
      </c>
      <c r="O10" s="2">
        <v>28</v>
      </c>
      <c r="P10" s="36">
        <f t="shared" si="4"/>
        <v>14000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131</v>
      </c>
      <c r="Y10" s="37">
        <f t="shared" si="6"/>
        <v>65500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201</v>
      </c>
      <c r="AK10" s="36">
        <f t="shared" si="0"/>
        <v>20100</v>
      </c>
      <c r="AL10" s="1"/>
    </row>
    <row r="11" spans="2:38">
      <c r="B11" s="2">
        <v>1000</v>
      </c>
      <c r="C11" s="2">
        <v>40</v>
      </c>
      <c r="D11" s="36">
        <f t="shared" si="1"/>
        <v>40000</v>
      </c>
      <c r="E11" s="1"/>
      <c r="F11" s="2">
        <v>1000</v>
      </c>
      <c r="G11" s="2">
        <v>66</v>
      </c>
      <c r="H11" s="36">
        <f t="shared" si="2"/>
        <v>66000</v>
      </c>
      <c r="I11" s="1"/>
      <c r="J11" s="2">
        <v>1000</v>
      </c>
      <c r="K11" s="2">
        <v>39</v>
      </c>
      <c r="L11" s="36">
        <f t="shared" si="3"/>
        <v>39000</v>
      </c>
      <c r="M11" s="1"/>
      <c r="N11" s="2">
        <v>1000</v>
      </c>
      <c r="O11" s="2">
        <v>34</v>
      </c>
      <c r="P11" s="36">
        <f t="shared" si="4"/>
        <v>34000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179</v>
      </c>
      <c r="Y11" s="37">
        <f t="shared" si="6"/>
        <v>179000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252</v>
      </c>
      <c r="AK11" s="36">
        <f t="shared" si="0"/>
        <v>126000</v>
      </c>
      <c r="AL11" s="1"/>
    </row>
    <row r="12" spans="2:38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3</v>
      </c>
      <c r="H12" s="36">
        <f t="shared" si="2"/>
        <v>15000</v>
      </c>
      <c r="I12" s="1"/>
      <c r="J12" s="2">
        <v>5000</v>
      </c>
      <c r="K12" s="2"/>
      <c r="L12" s="36">
        <f t="shared" si="3"/>
        <v>0</v>
      </c>
      <c r="M12" s="1"/>
      <c r="N12" s="2">
        <v>5000</v>
      </c>
      <c r="O12" s="2">
        <v>1</v>
      </c>
      <c r="P12" s="36">
        <f t="shared" si="4"/>
        <v>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5</v>
      </c>
      <c r="Y12" s="37">
        <f t="shared" si="6"/>
        <v>25000</v>
      </c>
      <c r="Z12" s="13"/>
      <c r="AA12" s="1"/>
      <c r="AB12" s="1" t="s">
        <v>17</v>
      </c>
      <c r="AC12" s="5">
        <v>550550</v>
      </c>
      <c r="AD12" s="1">
        <v>41521970</v>
      </c>
      <c r="AE12" s="52" t="s">
        <v>580</v>
      </c>
      <c r="AF12" s="1" t="s">
        <v>110</v>
      </c>
      <c r="AG12" s="1"/>
      <c r="AH12" s="1"/>
      <c r="AI12" s="2">
        <v>1000</v>
      </c>
      <c r="AJ12" s="2">
        <v>334</v>
      </c>
      <c r="AK12" s="36">
        <f t="shared" si="0"/>
        <v>334000</v>
      </c>
      <c r="AL12" s="1"/>
    </row>
    <row r="13" spans="2:38" ht="15.75" thickBot="1">
      <c r="B13" s="3" t="s">
        <v>18</v>
      </c>
      <c r="C13" s="3"/>
      <c r="D13" s="6">
        <f>+SUM(D5:D12)</f>
        <v>54660</v>
      </c>
      <c r="E13" s="1"/>
      <c r="F13" s="3" t="s">
        <v>18</v>
      </c>
      <c r="G13" s="3"/>
      <c r="H13" s="6">
        <f>+SUM(H5:H12)</f>
        <v>108770</v>
      </c>
      <c r="I13" s="1"/>
      <c r="J13" s="3" t="s">
        <v>18</v>
      </c>
      <c r="K13" s="3"/>
      <c r="L13" s="6">
        <f>+SUM(L5:L12)</f>
        <v>67560</v>
      </c>
      <c r="M13" s="1"/>
      <c r="N13" s="3" t="s">
        <v>18</v>
      </c>
      <c r="O13" s="3"/>
      <c r="P13" s="6">
        <f>+SUM(P5:P12)</f>
        <v>66950</v>
      </c>
      <c r="Q13" s="1"/>
      <c r="R13" s="3" t="s">
        <v>18</v>
      </c>
      <c r="S13" s="3"/>
      <c r="T13" s="6">
        <f>+SUM(T5:T12)</f>
        <v>0</v>
      </c>
      <c r="U13" s="1"/>
      <c r="V13" s="12"/>
      <c r="W13" s="3" t="s">
        <v>18</v>
      </c>
      <c r="X13" s="3"/>
      <c r="Y13" s="6">
        <f>+SUM(Y5:Y12)</f>
        <v>297940</v>
      </c>
      <c r="Z13" s="13"/>
      <c r="AA13" s="1"/>
      <c r="AB13" s="1" t="s">
        <v>19</v>
      </c>
      <c r="AC13" s="5">
        <v>3610</v>
      </c>
      <c r="AD13" s="1"/>
      <c r="AE13" s="1"/>
      <c r="AF13" s="1"/>
      <c r="AG13" s="1"/>
      <c r="AH13" s="1"/>
      <c r="AI13" s="2">
        <v>5000</v>
      </c>
      <c r="AJ13" s="2">
        <v>12</v>
      </c>
      <c r="AK13" s="36">
        <f t="shared" si="0"/>
        <v>60000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554160</v>
      </c>
      <c r="AL14" s="1"/>
    </row>
    <row r="15" spans="2:38" ht="15.75" thickBot="1">
      <c r="B15" s="109" t="s">
        <v>21</v>
      </c>
      <c r="C15" s="110"/>
      <c r="D15" s="8">
        <v>58738</v>
      </c>
      <c r="E15" s="30"/>
      <c r="F15" s="109" t="s">
        <v>21</v>
      </c>
      <c r="G15" s="110"/>
      <c r="H15" s="8">
        <v>117381</v>
      </c>
      <c r="I15" s="30"/>
      <c r="J15" s="109" t="s">
        <v>21</v>
      </c>
      <c r="K15" s="110"/>
      <c r="L15" s="8">
        <v>68189</v>
      </c>
      <c r="M15" s="30"/>
      <c r="N15" s="109" t="s">
        <v>21</v>
      </c>
      <c r="O15" s="110"/>
      <c r="P15" s="8">
        <v>86375</v>
      </c>
      <c r="Q15" s="30"/>
      <c r="R15" s="109" t="s">
        <v>21</v>
      </c>
      <c r="S15" s="110"/>
      <c r="T15" s="8">
        <v>449928</v>
      </c>
      <c r="U15" s="30"/>
      <c r="V15" s="31"/>
      <c r="W15" s="109" t="s">
        <v>21</v>
      </c>
      <c r="X15" s="110"/>
      <c r="Y15" s="8">
        <f>+D15+H15+L15+P15+T15</f>
        <v>780611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54660</v>
      </c>
      <c r="E16" s="1"/>
      <c r="F16" s="1" t="s">
        <v>10</v>
      </c>
      <c r="G16" s="1"/>
      <c r="H16" s="5">
        <f>+H13</f>
        <v>108770</v>
      </c>
      <c r="I16" s="1"/>
      <c r="J16" s="1" t="s">
        <v>10</v>
      </c>
      <c r="K16" s="1"/>
      <c r="L16" s="5">
        <f>+L13</f>
        <v>67560</v>
      </c>
      <c r="M16" s="1"/>
      <c r="N16" s="1" t="s">
        <v>10</v>
      </c>
      <c r="O16" s="1"/>
      <c r="P16" s="5">
        <f>+P13</f>
        <v>66950</v>
      </c>
      <c r="Q16" s="1"/>
      <c r="R16" s="1" t="s">
        <v>10</v>
      </c>
      <c r="S16" s="1"/>
      <c r="T16" s="5">
        <f>+T13</f>
        <v>0</v>
      </c>
      <c r="U16" s="1"/>
      <c r="V16" s="12"/>
      <c r="W16" s="40" t="s">
        <v>10</v>
      </c>
      <c r="X16" s="40"/>
      <c r="Y16" s="37">
        <f>+D16+H16+L16+P16+T16</f>
        <v>297940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>
        <v>4700</v>
      </c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4700</v>
      </c>
      <c r="Z17" s="13"/>
      <c r="AA17" s="1"/>
      <c r="AB17" s="48" t="s">
        <v>12</v>
      </c>
      <c r="AC17" s="49">
        <f>+SUM(AC12:AC16)</f>
        <v>554160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378</v>
      </c>
      <c r="C18" s="1" t="s">
        <v>564</v>
      </c>
      <c r="D18" s="5">
        <v>4569</v>
      </c>
      <c r="E18" s="1"/>
      <c r="F18" s="1" t="s">
        <v>565</v>
      </c>
      <c r="G18" s="1" t="s">
        <v>566</v>
      </c>
      <c r="H18" s="5">
        <v>3847</v>
      </c>
      <c r="I18" s="1"/>
      <c r="J18" s="1" t="s">
        <v>24</v>
      </c>
      <c r="K18" s="1"/>
      <c r="L18" s="5"/>
      <c r="M18" s="1"/>
      <c r="N18" s="1" t="s">
        <v>392</v>
      </c>
      <c r="O18" s="1" t="s">
        <v>568</v>
      </c>
      <c r="P18" s="5">
        <v>8729</v>
      </c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17145</v>
      </c>
      <c r="Z18" s="13"/>
      <c r="AA18" s="1"/>
      <c r="AB18" s="50" t="s">
        <v>25</v>
      </c>
      <c r="AC18" s="51">
        <f>+AC17-AC9</f>
        <v>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27</v>
      </c>
      <c r="C19" s="1"/>
      <c r="D19" s="5"/>
      <c r="E19" s="1"/>
      <c r="F19" s="1" t="s">
        <v>372</v>
      </c>
      <c r="G19" s="1" t="s">
        <v>567</v>
      </c>
      <c r="H19" s="5">
        <v>4893</v>
      </c>
      <c r="I19" s="1"/>
      <c r="J19" s="1" t="s">
        <v>27</v>
      </c>
      <c r="K19" s="1"/>
      <c r="L19" s="5"/>
      <c r="M19" s="1"/>
      <c r="N19" s="1" t="s">
        <v>378</v>
      </c>
      <c r="O19" s="1" t="s">
        <v>569</v>
      </c>
      <c r="P19" s="5">
        <v>10000</v>
      </c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14893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47</v>
      </c>
      <c r="O23" s="1"/>
      <c r="P23" s="5"/>
      <c r="Q23" s="1"/>
      <c r="R23" s="1" t="s">
        <v>555</v>
      </c>
      <c r="S23" s="1" t="s">
        <v>556</v>
      </c>
      <c r="T23" s="5">
        <v>110252</v>
      </c>
      <c r="U23" s="1"/>
      <c r="V23" s="12"/>
      <c r="W23" s="40" t="s">
        <v>36</v>
      </c>
      <c r="X23" s="40"/>
      <c r="Y23" s="37">
        <f t="shared" si="8"/>
        <v>110252</v>
      </c>
      <c r="Z23" s="13"/>
      <c r="AA23" s="1"/>
      <c r="AB23" s="70" t="s">
        <v>554</v>
      </c>
      <c r="AC23" s="77">
        <v>45946</v>
      </c>
      <c r="AD23" s="70" t="s">
        <v>90</v>
      </c>
      <c r="AE23" s="70"/>
      <c r="AF23" s="70">
        <v>7000</v>
      </c>
      <c r="AG23" s="1"/>
      <c r="AH23" s="1"/>
      <c r="AI23" s="1" t="s">
        <v>572</v>
      </c>
      <c r="AJ23" s="1" t="s">
        <v>66</v>
      </c>
      <c r="AK23" s="1"/>
      <c r="AL23" s="62">
        <v>4700</v>
      </c>
    </row>
    <row r="24" spans="2:38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47</v>
      </c>
      <c r="O24" s="1"/>
      <c r="P24" s="5"/>
      <c r="Q24" s="1"/>
      <c r="R24" s="1" t="s">
        <v>557</v>
      </c>
      <c r="S24" s="1" t="s">
        <v>558</v>
      </c>
      <c r="T24" s="5">
        <v>86597</v>
      </c>
      <c r="U24" s="1"/>
      <c r="V24" s="12"/>
      <c r="W24" s="40" t="s">
        <v>37</v>
      </c>
      <c r="X24" s="40"/>
      <c r="Y24" s="37">
        <f t="shared" si="8"/>
        <v>86597</v>
      </c>
      <c r="Z24" s="13"/>
      <c r="AA24" s="1"/>
      <c r="AB24" s="70" t="s">
        <v>98</v>
      </c>
      <c r="AC24" s="77">
        <v>45931</v>
      </c>
      <c r="AD24" s="70" t="s">
        <v>96</v>
      </c>
      <c r="AE24" s="70" t="s">
        <v>63</v>
      </c>
      <c r="AF24" s="70">
        <v>1480</v>
      </c>
      <c r="AG24" s="1"/>
      <c r="AH24" s="1"/>
      <c r="AI24" s="70" t="s">
        <v>430</v>
      </c>
      <c r="AJ24" s="70" t="s">
        <v>573</v>
      </c>
      <c r="AK24" s="70" t="s">
        <v>550</v>
      </c>
      <c r="AL24" s="74">
        <v>32300</v>
      </c>
    </row>
    <row r="25" spans="2:38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47</v>
      </c>
      <c r="O25" s="1"/>
      <c r="P25" s="5"/>
      <c r="Q25" s="1"/>
      <c r="R25" s="1" t="s">
        <v>559</v>
      </c>
      <c r="S25" s="1" t="s">
        <v>560</v>
      </c>
      <c r="T25" s="5">
        <v>47445</v>
      </c>
      <c r="U25" s="1"/>
      <c r="V25" s="12"/>
      <c r="W25" s="40" t="s">
        <v>38</v>
      </c>
      <c r="X25" s="40"/>
      <c r="Y25" s="37">
        <f t="shared" si="8"/>
        <v>47445</v>
      </c>
      <c r="Z25" s="13"/>
      <c r="AA25" s="1"/>
      <c r="AB25" s="70" t="s">
        <v>100</v>
      </c>
      <c r="AC25" s="77">
        <v>45946</v>
      </c>
      <c r="AD25" s="70" t="s">
        <v>570</v>
      </c>
      <c r="AE25" s="70" t="s">
        <v>571</v>
      </c>
      <c r="AF25" s="70">
        <v>97740</v>
      </c>
      <c r="AG25" s="1"/>
      <c r="AH25" s="1"/>
      <c r="AI25" s="70" t="s">
        <v>578</v>
      </c>
      <c r="AJ25" s="70" t="s">
        <v>244</v>
      </c>
      <c r="AK25" s="70" t="s">
        <v>93</v>
      </c>
      <c r="AL25" s="73">
        <v>12295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561</v>
      </c>
      <c r="S26" s="1" t="s">
        <v>562</v>
      </c>
      <c r="T26" s="5">
        <v>82655</v>
      </c>
      <c r="U26" s="1"/>
      <c r="V26" s="12"/>
      <c r="W26" s="40"/>
      <c r="X26" s="40"/>
      <c r="Y26" s="37">
        <f t="shared" si="8"/>
        <v>82655</v>
      </c>
      <c r="Z26" s="13"/>
      <c r="AA26" s="1"/>
      <c r="AB26" s="70" t="s">
        <v>546</v>
      </c>
      <c r="AC26" s="71">
        <v>45930</v>
      </c>
      <c r="AD26" s="70" t="s">
        <v>48</v>
      </c>
      <c r="AE26" s="70"/>
      <c r="AF26" s="74">
        <v>150000</v>
      </c>
      <c r="AG26" s="1"/>
      <c r="AH26" s="1"/>
      <c r="AI26" s="70" t="s">
        <v>430</v>
      </c>
      <c r="AJ26" s="70" t="s">
        <v>240</v>
      </c>
      <c r="AK26" s="70" t="s">
        <v>91</v>
      </c>
      <c r="AL26" s="73">
        <v>12642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 t="s">
        <v>563</v>
      </c>
      <c r="S27" s="1" t="s">
        <v>401</v>
      </c>
      <c r="T27" s="5">
        <v>122979</v>
      </c>
      <c r="U27" s="1"/>
      <c r="V27" s="12"/>
      <c r="W27" s="40"/>
      <c r="X27" s="40"/>
      <c r="Y27" s="37">
        <f t="shared" si="8"/>
        <v>122979</v>
      </c>
      <c r="Z27" s="13"/>
      <c r="AA27" s="1"/>
      <c r="AB27" s="1"/>
      <c r="AC27" s="1"/>
      <c r="AD27" s="1"/>
      <c r="AE27" s="1"/>
      <c r="AF27" s="1"/>
      <c r="AG27" s="1"/>
      <c r="AH27" s="1"/>
      <c r="AI27" s="70" t="s">
        <v>579</v>
      </c>
      <c r="AJ27" s="70" t="s">
        <v>325</v>
      </c>
      <c r="AK27" s="70" t="s">
        <v>264</v>
      </c>
      <c r="AL27" s="73">
        <v>5903</v>
      </c>
    </row>
    <row r="28" spans="2:38" ht="15.75" thickBot="1">
      <c r="B28" s="114" t="s">
        <v>12</v>
      </c>
      <c r="C28" s="115"/>
      <c r="D28" s="9">
        <f>+SUM(D16:D27)</f>
        <v>59229</v>
      </c>
      <c r="E28" s="1"/>
      <c r="F28" s="114" t="s">
        <v>12</v>
      </c>
      <c r="G28" s="115"/>
      <c r="H28" s="9">
        <f>+SUM(H16:H27)</f>
        <v>117510</v>
      </c>
      <c r="I28" s="1"/>
      <c r="J28" s="114" t="s">
        <v>12</v>
      </c>
      <c r="K28" s="115"/>
      <c r="L28" s="9">
        <f>+SUM(L16:L27)</f>
        <v>72260</v>
      </c>
      <c r="M28" s="1"/>
      <c r="N28" s="114" t="s">
        <v>12</v>
      </c>
      <c r="O28" s="115"/>
      <c r="P28" s="9">
        <f>+SUM(P16:P27)</f>
        <v>85679</v>
      </c>
      <c r="Q28" s="1"/>
      <c r="R28" s="114" t="s">
        <v>12</v>
      </c>
      <c r="S28" s="115"/>
      <c r="T28" s="9">
        <f>+SUM(T16:T27)</f>
        <v>449928</v>
      </c>
      <c r="U28" s="1"/>
      <c r="V28" s="12"/>
      <c r="W28" s="114" t="s">
        <v>12</v>
      </c>
      <c r="X28" s="115"/>
      <c r="Y28" s="9">
        <f>+SUM(Y16:Y27)</f>
        <v>784606</v>
      </c>
      <c r="Z28" s="13"/>
      <c r="AA28" s="1"/>
      <c r="AB28" s="1"/>
      <c r="AC28" s="1"/>
      <c r="AD28" s="1"/>
      <c r="AE28" s="1"/>
      <c r="AF28" s="1"/>
      <c r="AG28" s="1"/>
      <c r="AH28" s="1"/>
      <c r="AI28" s="70" t="s">
        <v>100</v>
      </c>
      <c r="AJ28" s="70" t="s">
        <v>362</v>
      </c>
      <c r="AK28" s="70" t="s">
        <v>92</v>
      </c>
      <c r="AL28" s="73">
        <v>6500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70" t="s">
        <v>578</v>
      </c>
      <c r="AJ29" s="70" t="s">
        <v>395</v>
      </c>
      <c r="AK29" s="70" t="s">
        <v>191</v>
      </c>
      <c r="AL29" s="74">
        <v>4630</v>
      </c>
    </row>
    <row r="30" spans="2:38" ht="15.75" thickBot="1">
      <c r="B30" s="116" t="s">
        <v>40</v>
      </c>
      <c r="C30" s="116"/>
      <c r="D30" s="7">
        <f>+D28-D15</f>
        <v>491</v>
      </c>
      <c r="E30" s="1"/>
      <c r="F30" s="116" t="s">
        <v>40</v>
      </c>
      <c r="G30" s="116"/>
      <c r="H30" s="7">
        <f>+H28-H15</f>
        <v>129</v>
      </c>
      <c r="I30" s="1"/>
      <c r="J30" s="116" t="s">
        <v>40</v>
      </c>
      <c r="K30" s="116"/>
      <c r="L30" s="7">
        <f>+L28-L15</f>
        <v>4071</v>
      </c>
      <c r="M30" s="1"/>
      <c r="N30" s="116" t="s">
        <v>40</v>
      </c>
      <c r="O30" s="116"/>
      <c r="P30" s="7">
        <f>+P28-P15</f>
        <v>-696</v>
      </c>
      <c r="Q30" s="1"/>
      <c r="R30" s="116" t="s">
        <v>40</v>
      </c>
      <c r="S30" s="116"/>
      <c r="T30" s="7">
        <f>+T28-T15</f>
        <v>0</v>
      </c>
      <c r="U30" s="1"/>
      <c r="V30" s="12"/>
      <c r="W30" s="113" t="s">
        <v>40</v>
      </c>
      <c r="X30" s="113"/>
      <c r="Y30" s="41">
        <f>+Y28-Y15</f>
        <v>3995</v>
      </c>
      <c r="Z30" s="13"/>
      <c r="AA30" s="1"/>
      <c r="AB30" s="1"/>
      <c r="AC30" s="1"/>
      <c r="AD30" s="1"/>
      <c r="AE30" s="1"/>
      <c r="AF30" s="1"/>
      <c r="AG30" s="1"/>
      <c r="AH30" s="1"/>
      <c r="AI30" s="70" t="s">
        <v>430</v>
      </c>
      <c r="AJ30" s="70" t="s">
        <v>574</v>
      </c>
      <c r="AK30" s="70" t="s">
        <v>576</v>
      </c>
      <c r="AL30" s="74">
        <v>10000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1"/>
      <c r="AG31" s="1"/>
      <c r="AH31" s="1"/>
      <c r="AI31" s="70" t="s">
        <v>430</v>
      </c>
      <c r="AJ31" s="70" t="s">
        <v>575</v>
      </c>
      <c r="AK31" s="70" t="s">
        <v>577</v>
      </c>
      <c r="AL31" s="74">
        <v>50000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>
      <c r="B34" s="10" t="s">
        <v>41</v>
      </c>
      <c r="C34" s="11"/>
      <c r="D34" s="21"/>
      <c r="E34" s="1"/>
      <c r="F34" s="10" t="s">
        <v>41</v>
      </c>
      <c r="G34" s="11"/>
      <c r="H34" s="21"/>
      <c r="I34" s="1"/>
      <c r="J34" s="10" t="s">
        <v>41</v>
      </c>
      <c r="K34" s="11"/>
      <c r="L34" s="21"/>
      <c r="M34" s="1"/>
      <c r="N34" s="10" t="s">
        <v>41</v>
      </c>
      <c r="O34" s="11"/>
      <c r="P34" s="21">
        <v>696</v>
      </c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696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>
      <c r="B35" s="12" t="s">
        <v>42</v>
      </c>
      <c r="C35" s="16"/>
      <c r="D35" s="22"/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/>
      <c r="Q35" s="1"/>
      <c r="R35" s="12" t="s">
        <v>42</v>
      </c>
      <c r="S35" s="16"/>
      <c r="T35" s="22"/>
      <c r="U35" s="1"/>
      <c r="V35" s="1"/>
      <c r="W35" s="45" t="s">
        <v>42</v>
      </c>
      <c r="X35" s="40"/>
      <c r="Y35" s="46">
        <f t="shared" ref="Y35:Y36" si="9">+D35+H35+L35+P35+T35</f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44</v>
      </c>
      <c r="C36" s="16"/>
      <c r="D36" s="22">
        <v>-491</v>
      </c>
      <c r="E36" s="1"/>
      <c r="F36" s="12" t="s">
        <v>44</v>
      </c>
      <c r="G36" s="16"/>
      <c r="H36" s="22">
        <v>-129</v>
      </c>
      <c r="I36" s="1"/>
      <c r="J36" s="12" t="s">
        <v>44</v>
      </c>
      <c r="K36" s="16"/>
      <c r="L36" s="22">
        <v>-4071</v>
      </c>
      <c r="M36" s="1"/>
      <c r="N36" s="12" t="s">
        <v>44</v>
      </c>
      <c r="O36" s="16"/>
      <c r="P36" s="22"/>
      <c r="Q36" s="1"/>
      <c r="R36" s="12" t="s">
        <v>46</v>
      </c>
      <c r="S36" s="16"/>
      <c r="T36" s="22"/>
      <c r="U36" s="1"/>
      <c r="V36" s="1"/>
      <c r="W36" s="45" t="s">
        <v>43</v>
      </c>
      <c r="X36" s="40"/>
      <c r="Y36" s="46">
        <f t="shared" si="9"/>
        <v>-4691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ht="15.75" thickBot="1">
      <c r="B37" s="12" t="s">
        <v>18</v>
      </c>
      <c r="C37" s="16"/>
      <c r="D37" s="22">
        <f>+SUM(D34:D36)</f>
        <v>-491</v>
      </c>
      <c r="E37" s="1"/>
      <c r="F37" s="12" t="s">
        <v>18</v>
      </c>
      <c r="G37" s="16"/>
      <c r="H37" s="22">
        <f>+SUM(H34:H36)</f>
        <v>-129</v>
      </c>
      <c r="I37" s="1"/>
      <c r="J37" s="12" t="s">
        <v>18</v>
      </c>
      <c r="K37" s="16"/>
      <c r="L37" s="22">
        <f>+SUM(L34:L36)</f>
        <v>-4071</v>
      </c>
      <c r="M37" s="1"/>
      <c r="N37" s="12" t="s">
        <v>18</v>
      </c>
      <c r="O37" s="16"/>
      <c r="P37" s="22">
        <f>+SUM(P34:P36)</f>
        <v>696</v>
      </c>
      <c r="Q37" s="1"/>
      <c r="R37" s="12" t="s">
        <v>18</v>
      </c>
      <c r="S37" s="16"/>
      <c r="T37" s="22">
        <f>+SUM(T34:T36)</f>
        <v>0</v>
      </c>
      <c r="U37" s="1"/>
      <c r="V37" s="1"/>
      <c r="W37" s="33" t="s">
        <v>18</v>
      </c>
      <c r="X37" s="34"/>
      <c r="Y37" s="35">
        <f>+SUM(Y34:Y36)</f>
        <v>-3995</v>
      </c>
      <c r="Z37" s="1"/>
      <c r="AA37" s="1"/>
      <c r="AB37" s="60" t="s">
        <v>39</v>
      </c>
      <c r="AC37" s="60"/>
      <c r="AD37" s="60"/>
      <c r="AE37" s="60"/>
      <c r="AF37" s="55">
        <f>+SUM(AF23:AF36)</f>
        <v>256220</v>
      </c>
      <c r="AG37" s="1"/>
      <c r="AH37" s="1"/>
      <c r="AI37" s="60" t="s">
        <v>39</v>
      </c>
      <c r="AJ37" s="60"/>
      <c r="AK37" s="60"/>
      <c r="AL37" s="72">
        <f>+SUM(AL23:AL36)</f>
        <v>138970</v>
      </c>
    </row>
    <row r="38" spans="2:38" ht="16.5" thickTop="1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B2:AL39"/>
  <sheetViews>
    <sheetView zoomScale="80" zoomScaleNormal="80" workbookViewId="0">
      <selection activeCell="AC14" sqref="AC14:AC16"/>
    </sheetView>
  </sheetViews>
  <sheetFormatPr defaultRowHeight="15"/>
  <cols>
    <col min="3" max="3" width="13.28515625" bestFit="1" customWidth="1"/>
    <col min="5" max="5" width="0.7109375" customWidth="1"/>
    <col min="7" max="7" width="13.7109375" bestFit="1" customWidth="1"/>
    <col min="9" max="9" width="0.7109375" customWidth="1"/>
    <col min="13" max="13" width="0.28515625" customWidth="1"/>
    <col min="17" max="17" width="0.5703125" customWidth="1"/>
    <col min="20" max="20" width="11.28515625" bestFit="1" customWidth="1"/>
    <col min="21" max="21" width="0.28515625" customWidth="1"/>
    <col min="22" max="22" width="1.85546875" customWidth="1"/>
    <col min="25" max="25" width="11.28515625" bestFit="1" customWidth="1"/>
    <col min="26" max="26" width="2.28515625" customWidth="1"/>
    <col min="27" max="27" width="0.7109375" customWidth="1"/>
    <col min="28" max="28" width="15.28515625" bestFit="1" customWidth="1"/>
    <col min="29" max="29" width="9.85546875" bestFit="1" customWidth="1"/>
    <col min="33" max="33" width="1.42578125" customWidth="1"/>
    <col min="34" max="34" width="2" customWidth="1"/>
  </cols>
  <sheetData>
    <row r="2" spans="2:38" ht="15.75" thickBot="1"/>
    <row r="3" spans="2:38">
      <c r="B3" s="111" t="s">
        <v>127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3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94</v>
      </c>
      <c r="D6" s="36">
        <f>+C6*B6</f>
        <v>940</v>
      </c>
      <c r="E6" s="1"/>
      <c r="F6" s="2">
        <v>10</v>
      </c>
      <c r="G6" s="2">
        <v>8</v>
      </c>
      <c r="H6" s="36">
        <f>+G6*F6</f>
        <v>80</v>
      </c>
      <c r="I6" s="1"/>
      <c r="J6" s="2">
        <v>10</v>
      </c>
      <c r="K6" s="2">
        <v>28</v>
      </c>
      <c r="L6" s="36">
        <f>+K6*J6</f>
        <v>280</v>
      </c>
      <c r="M6" s="1"/>
      <c r="N6" s="2">
        <v>10</v>
      </c>
      <c r="O6" s="2">
        <v>107</v>
      </c>
      <c r="P6" s="36">
        <f>+O6*N6</f>
        <v>1070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237</v>
      </c>
      <c r="Y6" s="37">
        <f>+D6+H6+L6+P6+T6</f>
        <v>2370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31</v>
      </c>
      <c r="D7" s="36">
        <f t="shared" ref="D7:D12" si="1">+C7*B7</f>
        <v>620</v>
      </c>
      <c r="E7" s="1"/>
      <c r="F7" s="2">
        <v>20</v>
      </c>
      <c r="G7" s="2">
        <v>7</v>
      </c>
      <c r="H7" s="36">
        <f t="shared" ref="H7:H12" si="2">+G7*F7</f>
        <v>140</v>
      </c>
      <c r="I7" s="1"/>
      <c r="J7" s="2">
        <v>20</v>
      </c>
      <c r="K7" s="2">
        <v>1</v>
      </c>
      <c r="L7" s="36">
        <f t="shared" ref="L7:L12" si="3">+K7*J7</f>
        <v>20</v>
      </c>
      <c r="M7" s="1"/>
      <c r="N7" s="2">
        <v>20</v>
      </c>
      <c r="O7" s="2">
        <v>21</v>
      </c>
      <c r="P7" s="36">
        <f t="shared" ref="P7:P12" si="4">+O7*N7</f>
        <v>420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60</v>
      </c>
      <c r="Y7" s="37">
        <f t="shared" ref="Y7:Y12" si="6">+D7+H7+L7+P7+T7</f>
        <v>1200</v>
      </c>
      <c r="Z7" s="13"/>
      <c r="AA7" s="1"/>
      <c r="AB7" s="56" t="s">
        <v>10</v>
      </c>
      <c r="AC7" s="57">
        <f>Y13</f>
        <v>268770</v>
      </c>
      <c r="AD7" s="26"/>
      <c r="AE7" s="26"/>
      <c r="AF7" s="26"/>
      <c r="AG7" s="26"/>
      <c r="AH7" s="1"/>
      <c r="AI7" s="2">
        <v>10</v>
      </c>
      <c r="AJ7" s="2">
        <v>540</v>
      </c>
      <c r="AK7" s="36">
        <f t="shared" si="0"/>
        <v>5400</v>
      </c>
      <c r="AL7" s="1"/>
    </row>
    <row r="8" spans="2:38">
      <c r="B8" s="2">
        <v>50</v>
      </c>
      <c r="C8" s="2">
        <v>37</v>
      </c>
      <c r="D8" s="36">
        <f t="shared" si="1"/>
        <v>1850</v>
      </c>
      <c r="E8" s="1"/>
      <c r="F8" s="2">
        <v>50</v>
      </c>
      <c r="G8" s="2">
        <v>39</v>
      </c>
      <c r="H8" s="36">
        <f t="shared" si="2"/>
        <v>1950</v>
      </c>
      <c r="I8" s="1"/>
      <c r="J8" s="2">
        <v>50</v>
      </c>
      <c r="K8" s="2">
        <v>23</v>
      </c>
      <c r="L8" s="36">
        <f t="shared" si="3"/>
        <v>1150</v>
      </c>
      <c r="M8" s="1"/>
      <c r="N8" s="2">
        <v>50</v>
      </c>
      <c r="O8" s="2">
        <v>21</v>
      </c>
      <c r="P8" s="36">
        <f t="shared" si="4"/>
        <v>1050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120</v>
      </c>
      <c r="Y8" s="37">
        <f t="shared" si="6"/>
        <v>6000</v>
      </c>
      <c r="Z8" s="13"/>
      <c r="AA8" s="1"/>
      <c r="AB8" s="53" t="s">
        <v>11</v>
      </c>
      <c r="AC8" s="53">
        <f>+AF37</f>
        <v>496830</v>
      </c>
      <c r="AD8" s="1"/>
      <c r="AE8" s="1"/>
      <c r="AF8" s="1"/>
      <c r="AG8" s="1"/>
      <c r="AH8" s="1"/>
      <c r="AI8" s="2">
        <v>20</v>
      </c>
      <c r="AJ8" s="2">
        <v>60</v>
      </c>
      <c r="AK8" s="36">
        <f t="shared" si="0"/>
        <v>1200</v>
      </c>
      <c r="AL8" s="1"/>
    </row>
    <row r="9" spans="2:38" ht="15.75" thickBot="1">
      <c r="B9" s="2">
        <v>100</v>
      </c>
      <c r="C9" s="2">
        <v>38</v>
      </c>
      <c r="D9" s="36">
        <f t="shared" si="1"/>
        <v>3800</v>
      </c>
      <c r="E9" s="1"/>
      <c r="F9" s="2">
        <v>100</v>
      </c>
      <c r="G9" s="2">
        <v>31</v>
      </c>
      <c r="H9" s="36">
        <f t="shared" si="2"/>
        <v>3100</v>
      </c>
      <c r="I9" s="1"/>
      <c r="J9" s="2">
        <v>100</v>
      </c>
      <c r="K9" s="2">
        <v>37</v>
      </c>
      <c r="L9" s="36">
        <f t="shared" si="3"/>
        <v>3700</v>
      </c>
      <c r="M9" s="1"/>
      <c r="N9" s="2">
        <v>100</v>
      </c>
      <c r="O9" s="2">
        <v>36</v>
      </c>
      <c r="P9" s="36">
        <f t="shared" si="4"/>
        <v>3600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142</v>
      </c>
      <c r="Y9" s="37">
        <f t="shared" si="6"/>
        <v>14200</v>
      </c>
      <c r="Z9" s="13"/>
      <c r="AA9" s="1"/>
      <c r="AB9" s="58" t="s">
        <v>12</v>
      </c>
      <c r="AC9" s="59">
        <f>SUM(AC7:AC8)</f>
        <v>765600</v>
      </c>
      <c r="AD9" s="1"/>
      <c r="AE9" s="1"/>
      <c r="AF9" s="1"/>
      <c r="AG9" s="1"/>
      <c r="AH9" s="1"/>
      <c r="AI9" s="2">
        <v>50</v>
      </c>
      <c r="AJ9" s="2">
        <v>160</v>
      </c>
      <c r="AK9" s="36">
        <f t="shared" si="0"/>
        <v>8000</v>
      </c>
      <c r="AL9" s="1"/>
    </row>
    <row r="10" spans="2:38">
      <c r="B10" s="2">
        <v>500</v>
      </c>
      <c r="C10" s="2">
        <v>28</v>
      </c>
      <c r="D10" s="36">
        <f t="shared" si="1"/>
        <v>14000</v>
      </c>
      <c r="E10" s="1"/>
      <c r="F10" s="2">
        <v>500</v>
      </c>
      <c r="G10" s="2">
        <v>34</v>
      </c>
      <c r="H10" s="36">
        <f t="shared" si="2"/>
        <v>17000</v>
      </c>
      <c r="I10" s="1"/>
      <c r="J10" s="2">
        <v>500</v>
      </c>
      <c r="K10" s="2">
        <v>35</v>
      </c>
      <c r="L10" s="36">
        <f t="shared" si="3"/>
        <v>17500</v>
      </c>
      <c r="M10" s="1"/>
      <c r="N10" s="2">
        <v>500</v>
      </c>
      <c r="O10" s="2">
        <v>39</v>
      </c>
      <c r="P10" s="36">
        <f t="shared" si="4"/>
        <v>19500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136</v>
      </c>
      <c r="Y10" s="37">
        <f t="shared" si="6"/>
        <v>68000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190</v>
      </c>
      <c r="AK10" s="36">
        <f t="shared" si="0"/>
        <v>19000</v>
      </c>
      <c r="AL10" s="1"/>
    </row>
    <row r="11" spans="2:38">
      <c r="B11" s="2">
        <v>1000</v>
      </c>
      <c r="C11" s="2">
        <v>41</v>
      </c>
      <c r="D11" s="36">
        <f t="shared" si="1"/>
        <v>41000</v>
      </c>
      <c r="E11" s="1"/>
      <c r="F11" s="2">
        <v>1000</v>
      </c>
      <c r="G11" s="2">
        <v>41</v>
      </c>
      <c r="H11" s="36">
        <f t="shared" si="2"/>
        <v>41000</v>
      </c>
      <c r="I11" s="1"/>
      <c r="J11" s="2">
        <v>1000</v>
      </c>
      <c r="K11" s="2">
        <v>42</v>
      </c>
      <c r="L11" s="36">
        <f t="shared" si="3"/>
        <v>42000</v>
      </c>
      <c r="M11" s="1"/>
      <c r="N11" s="2">
        <v>1000</v>
      </c>
      <c r="O11" s="2">
        <v>23</v>
      </c>
      <c r="P11" s="36">
        <f t="shared" si="4"/>
        <v>23000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147</v>
      </c>
      <c r="Y11" s="37">
        <f t="shared" si="6"/>
        <v>147000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418</v>
      </c>
      <c r="AK11" s="36">
        <f t="shared" si="0"/>
        <v>209000</v>
      </c>
      <c r="AL11" s="1"/>
    </row>
    <row r="12" spans="2:38">
      <c r="B12" s="2">
        <v>5000</v>
      </c>
      <c r="C12" s="2">
        <v>2</v>
      </c>
      <c r="D12" s="36">
        <f t="shared" si="1"/>
        <v>10000</v>
      </c>
      <c r="E12" s="1"/>
      <c r="F12" s="2">
        <v>5000</v>
      </c>
      <c r="G12" s="2">
        <v>2</v>
      </c>
      <c r="H12" s="36">
        <f t="shared" si="2"/>
        <v>10000</v>
      </c>
      <c r="I12" s="1"/>
      <c r="J12" s="2">
        <v>5000</v>
      </c>
      <c r="K12" s="2"/>
      <c r="L12" s="36">
        <f t="shared" si="3"/>
        <v>0</v>
      </c>
      <c r="M12" s="1"/>
      <c r="N12" s="2">
        <v>5000</v>
      </c>
      <c r="O12" s="2">
        <v>2</v>
      </c>
      <c r="P12" s="36">
        <f t="shared" si="4"/>
        <v>10000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6</v>
      </c>
      <c r="Y12" s="37">
        <f t="shared" si="6"/>
        <v>30000</v>
      </c>
      <c r="Z12" s="13"/>
      <c r="AA12" s="1"/>
      <c r="AB12" s="1" t="s">
        <v>17</v>
      </c>
      <c r="AC12" s="5">
        <v>739400</v>
      </c>
      <c r="AD12" s="1">
        <v>7977063</v>
      </c>
      <c r="AE12" s="52" t="s">
        <v>612</v>
      </c>
      <c r="AF12" s="1" t="s">
        <v>110</v>
      </c>
      <c r="AG12" s="1"/>
      <c r="AH12" s="1"/>
      <c r="AI12" s="2">
        <v>1000</v>
      </c>
      <c r="AJ12" s="2">
        <v>407</v>
      </c>
      <c r="AK12" s="36">
        <f t="shared" si="0"/>
        <v>407000</v>
      </c>
      <c r="AL12" s="1"/>
    </row>
    <row r="13" spans="2:38" ht="15.75" thickBot="1">
      <c r="B13" s="3" t="s">
        <v>18</v>
      </c>
      <c r="C13" s="3"/>
      <c r="D13" s="6">
        <f>+SUM(D5:D12)</f>
        <v>72210</v>
      </c>
      <c r="E13" s="1"/>
      <c r="F13" s="3" t="s">
        <v>18</v>
      </c>
      <c r="G13" s="3"/>
      <c r="H13" s="6">
        <f>+SUM(H5:H12)</f>
        <v>73270</v>
      </c>
      <c r="I13" s="1"/>
      <c r="J13" s="3" t="s">
        <v>18</v>
      </c>
      <c r="K13" s="3"/>
      <c r="L13" s="6">
        <f>+SUM(L5:L12)</f>
        <v>64650</v>
      </c>
      <c r="M13" s="1"/>
      <c r="N13" s="3" t="s">
        <v>18</v>
      </c>
      <c r="O13" s="3"/>
      <c r="P13" s="6">
        <f>+SUM(P5:P12)</f>
        <v>58640</v>
      </c>
      <c r="Q13" s="1"/>
      <c r="R13" s="3" t="s">
        <v>18</v>
      </c>
      <c r="S13" s="3"/>
      <c r="T13" s="6">
        <f>+SUM(T5:T12)</f>
        <v>0</v>
      </c>
      <c r="U13" s="1"/>
      <c r="V13" s="12"/>
      <c r="W13" s="3" t="s">
        <v>18</v>
      </c>
      <c r="X13" s="3"/>
      <c r="Y13" s="6">
        <f>+SUM(Y5:Y12)</f>
        <v>268770</v>
      </c>
      <c r="Z13" s="13"/>
      <c r="AA13" s="1"/>
      <c r="AB13" s="1" t="s">
        <v>19</v>
      </c>
      <c r="AC13" s="5">
        <v>6200</v>
      </c>
      <c r="AD13" s="1"/>
      <c r="AE13" s="1"/>
      <c r="AF13" s="1"/>
      <c r="AG13" s="1"/>
      <c r="AH13" s="1"/>
      <c r="AI13" s="2">
        <v>5000</v>
      </c>
      <c r="AJ13" s="2">
        <v>19</v>
      </c>
      <c r="AK13" s="36">
        <f t="shared" si="0"/>
        <v>95000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603</v>
      </c>
      <c r="AC14" s="100">
        <v>5000</v>
      </c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744600</v>
      </c>
      <c r="AL14" s="1"/>
    </row>
    <row r="15" spans="2:38" ht="15.75" thickBot="1">
      <c r="B15" s="109" t="s">
        <v>21</v>
      </c>
      <c r="C15" s="110"/>
      <c r="D15" s="8">
        <v>87588</v>
      </c>
      <c r="E15" s="30"/>
      <c r="F15" s="109" t="s">
        <v>21</v>
      </c>
      <c r="G15" s="110"/>
      <c r="H15" s="8">
        <v>94992</v>
      </c>
      <c r="I15" s="30"/>
      <c r="J15" s="109" t="s">
        <v>21</v>
      </c>
      <c r="K15" s="110"/>
      <c r="L15" s="8">
        <v>69152</v>
      </c>
      <c r="M15" s="30"/>
      <c r="N15" s="109" t="s">
        <v>21</v>
      </c>
      <c r="O15" s="110"/>
      <c r="P15" s="8">
        <v>61794</v>
      </c>
      <c r="Q15" s="30"/>
      <c r="R15" s="109" t="s">
        <v>21</v>
      </c>
      <c r="S15" s="110"/>
      <c r="T15" s="8">
        <v>1388131</v>
      </c>
      <c r="U15" s="30"/>
      <c r="V15" s="31"/>
      <c r="W15" s="109" t="s">
        <v>21</v>
      </c>
      <c r="X15" s="110"/>
      <c r="Y15" s="8">
        <f>+D15+H15+L15+P15+T15</f>
        <v>1701657</v>
      </c>
      <c r="Z15" s="32"/>
      <c r="AA15" s="30"/>
      <c r="AB15" s="1" t="s">
        <v>596</v>
      </c>
      <c r="AC15" s="100">
        <v>10000</v>
      </c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72210</v>
      </c>
      <c r="E16" s="1"/>
      <c r="F16" s="1" t="s">
        <v>10</v>
      </c>
      <c r="G16" s="1"/>
      <c r="H16" s="5">
        <f>+H13</f>
        <v>73270</v>
      </c>
      <c r="I16" s="1"/>
      <c r="J16" s="1" t="s">
        <v>10</v>
      </c>
      <c r="K16" s="1"/>
      <c r="L16" s="5">
        <f>+L13</f>
        <v>64650</v>
      </c>
      <c r="M16" s="1"/>
      <c r="N16" s="1" t="s">
        <v>10</v>
      </c>
      <c r="O16" s="1"/>
      <c r="P16" s="5">
        <f>+P13</f>
        <v>58640</v>
      </c>
      <c r="Q16" s="1"/>
      <c r="R16" s="1" t="s">
        <v>10</v>
      </c>
      <c r="S16" s="1"/>
      <c r="T16" s="5">
        <f>+T13</f>
        <v>0</v>
      </c>
      <c r="U16" s="1"/>
      <c r="V16" s="12"/>
      <c r="W16" s="40" t="s">
        <v>10</v>
      </c>
      <c r="X16" s="40"/>
      <c r="Y16" s="37">
        <f>+D16+H16+L16+P16+T16</f>
        <v>268770</v>
      </c>
      <c r="Z16" s="13"/>
      <c r="AA16" s="1"/>
      <c r="AB16" s="1" t="s">
        <v>597</v>
      </c>
      <c r="AC16" s="100">
        <v>5000</v>
      </c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>
        <v>3400</v>
      </c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3400</v>
      </c>
      <c r="Z17" s="13"/>
      <c r="AA17" s="1"/>
      <c r="AB17" s="48" t="s">
        <v>12</v>
      </c>
      <c r="AC17" s="49">
        <f>+SUM(AC12:AC16)</f>
        <v>765600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393</v>
      </c>
      <c r="C18" s="1" t="s">
        <v>584</v>
      </c>
      <c r="D18" s="5">
        <v>8196</v>
      </c>
      <c r="E18" s="1"/>
      <c r="F18" s="1" t="s">
        <v>371</v>
      </c>
      <c r="G18" s="1" t="s">
        <v>585</v>
      </c>
      <c r="H18" s="5">
        <v>10830</v>
      </c>
      <c r="I18" s="1"/>
      <c r="J18" s="1" t="s">
        <v>24</v>
      </c>
      <c r="K18" s="1"/>
      <c r="L18" s="5"/>
      <c r="M18" s="1"/>
      <c r="N18" s="1" t="s">
        <v>392</v>
      </c>
      <c r="O18" s="1" t="s">
        <v>581</v>
      </c>
      <c r="P18" s="5">
        <v>3174</v>
      </c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22200</v>
      </c>
      <c r="Z18" s="13"/>
      <c r="AA18" s="1"/>
      <c r="AB18" s="50" t="s">
        <v>25</v>
      </c>
      <c r="AC18" s="51">
        <f>+AC17-AC9</f>
        <v>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27</v>
      </c>
      <c r="C19" s="1"/>
      <c r="D19" s="5"/>
      <c r="E19" s="1"/>
      <c r="F19" s="1" t="s">
        <v>372</v>
      </c>
      <c r="G19" s="1" t="s">
        <v>586</v>
      </c>
      <c r="H19" s="5">
        <v>7000</v>
      </c>
      <c r="I19" s="1"/>
      <c r="J19" s="1" t="s">
        <v>27</v>
      </c>
      <c r="K19" s="1"/>
      <c r="L19" s="5"/>
      <c r="M19" s="1"/>
      <c r="N19" s="1" t="s">
        <v>27</v>
      </c>
      <c r="O19" s="1"/>
      <c r="P19" s="5"/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7000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 t="s">
        <v>595</v>
      </c>
      <c r="S22" s="1" t="s">
        <v>228</v>
      </c>
      <c r="T22" s="5">
        <v>790542</v>
      </c>
      <c r="U22" s="1"/>
      <c r="V22" s="12"/>
      <c r="W22" s="40"/>
      <c r="X22" s="40"/>
      <c r="Y22" s="37">
        <f t="shared" si="8"/>
        <v>790542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582</v>
      </c>
      <c r="C23" s="1" t="s">
        <v>583</v>
      </c>
      <c r="D23" s="5">
        <v>9279</v>
      </c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47</v>
      </c>
      <c r="O23" s="1"/>
      <c r="P23" s="5"/>
      <c r="Q23" s="1"/>
      <c r="R23" s="1" t="s">
        <v>587</v>
      </c>
      <c r="S23" s="1" t="s">
        <v>588</v>
      </c>
      <c r="T23" s="5">
        <v>129982</v>
      </c>
      <c r="U23" s="1"/>
      <c r="V23" s="12"/>
      <c r="W23" s="40" t="s">
        <v>36</v>
      </c>
      <c r="X23" s="40"/>
      <c r="Y23" s="37">
        <f t="shared" si="8"/>
        <v>139261</v>
      </c>
      <c r="Z23" s="13"/>
      <c r="AA23" s="1"/>
      <c r="AB23" s="70" t="s">
        <v>546</v>
      </c>
      <c r="AC23" s="71">
        <v>45930</v>
      </c>
      <c r="AD23" s="70" t="s">
        <v>48</v>
      </c>
      <c r="AE23" s="70"/>
      <c r="AF23" s="74">
        <v>206000</v>
      </c>
      <c r="AG23" s="1"/>
      <c r="AH23" s="1"/>
      <c r="AI23" s="1" t="s">
        <v>65</v>
      </c>
      <c r="AJ23" s="1" t="s">
        <v>168</v>
      </c>
      <c r="AK23" s="1"/>
      <c r="AL23" s="62">
        <v>3400</v>
      </c>
    </row>
    <row r="24" spans="2:38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47</v>
      </c>
      <c r="O24" s="1"/>
      <c r="P24" s="5"/>
      <c r="Q24" s="1"/>
      <c r="R24" s="1" t="s">
        <v>589</v>
      </c>
      <c r="S24" s="1" t="s">
        <v>590</v>
      </c>
      <c r="T24" s="5">
        <v>15575</v>
      </c>
      <c r="U24" s="1"/>
      <c r="V24" s="12"/>
      <c r="W24" s="40" t="s">
        <v>37</v>
      </c>
      <c r="X24" s="40"/>
      <c r="Y24" s="37">
        <f t="shared" si="8"/>
        <v>15575</v>
      </c>
      <c r="Z24" s="13"/>
      <c r="AA24" s="1"/>
      <c r="AB24" s="70" t="s">
        <v>98</v>
      </c>
      <c r="AC24" s="71">
        <v>45927</v>
      </c>
      <c r="AD24" s="70" t="s">
        <v>332</v>
      </c>
      <c r="AE24" s="70" t="s">
        <v>598</v>
      </c>
      <c r="AF24" s="70">
        <v>2700</v>
      </c>
      <c r="AG24" s="1"/>
      <c r="AH24" s="1"/>
      <c r="AI24" s="1"/>
      <c r="AJ24" s="1"/>
      <c r="AK24" s="1"/>
      <c r="AL24" s="62"/>
    </row>
    <row r="25" spans="2:38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47</v>
      </c>
      <c r="O25" s="1"/>
      <c r="P25" s="5"/>
      <c r="Q25" s="1"/>
      <c r="R25" s="1" t="s">
        <v>591</v>
      </c>
      <c r="S25" s="1" t="s">
        <v>592</v>
      </c>
      <c r="T25" s="5">
        <v>5239</v>
      </c>
      <c r="U25" s="1"/>
      <c r="V25" s="12"/>
      <c r="W25" s="40" t="s">
        <v>38</v>
      </c>
      <c r="X25" s="40"/>
      <c r="Y25" s="37">
        <f t="shared" si="8"/>
        <v>5239</v>
      </c>
      <c r="Z25" s="13"/>
      <c r="AA25" s="1"/>
      <c r="AB25" s="70" t="s">
        <v>314</v>
      </c>
      <c r="AC25" s="82">
        <v>45934</v>
      </c>
      <c r="AD25" s="70" t="s">
        <v>220</v>
      </c>
      <c r="AE25" s="70"/>
      <c r="AF25" s="70">
        <v>17000</v>
      </c>
      <c r="AG25" s="1"/>
      <c r="AH25" s="1"/>
      <c r="AI25" s="1"/>
      <c r="AJ25" s="1"/>
      <c r="AK25" s="1"/>
      <c r="AL25" s="62"/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593</v>
      </c>
      <c r="S26" s="1" t="s">
        <v>422</v>
      </c>
      <c r="T26" s="5">
        <v>81320</v>
      </c>
      <c r="U26" s="1"/>
      <c r="V26" s="12"/>
      <c r="W26" s="40"/>
      <c r="X26" s="40"/>
      <c r="Y26" s="37">
        <f t="shared" si="8"/>
        <v>81320</v>
      </c>
      <c r="Z26" s="13"/>
      <c r="AA26" s="1"/>
      <c r="AB26" s="70" t="s">
        <v>118</v>
      </c>
      <c r="AC26" s="69">
        <v>45898</v>
      </c>
      <c r="AD26" s="70" t="s">
        <v>599</v>
      </c>
      <c r="AE26" s="70"/>
      <c r="AF26" s="70">
        <v>3600</v>
      </c>
      <c r="AG26" s="1"/>
      <c r="AH26" s="1"/>
      <c r="AI26" s="1"/>
      <c r="AJ26" s="1"/>
      <c r="AK26" s="1"/>
      <c r="AL26" s="62"/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 t="s">
        <v>594</v>
      </c>
      <c r="S27" s="1" t="s">
        <v>420</v>
      </c>
      <c r="T27" s="5">
        <v>365473</v>
      </c>
      <c r="U27" s="1"/>
      <c r="V27" s="12"/>
      <c r="W27" s="40"/>
      <c r="X27" s="40"/>
      <c r="Y27" s="37">
        <f t="shared" si="8"/>
        <v>365473</v>
      </c>
      <c r="Z27" s="13"/>
      <c r="AA27" s="1"/>
      <c r="AB27" s="70" t="s">
        <v>600</v>
      </c>
      <c r="AC27" s="82">
        <v>45940</v>
      </c>
      <c r="AD27" s="70" t="s">
        <v>403</v>
      </c>
      <c r="AE27" s="70"/>
      <c r="AF27" s="70">
        <v>200</v>
      </c>
      <c r="AG27" s="1"/>
      <c r="AH27" s="1"/>
      <c r="AI27" s="1"/>
      <c r="AJ27" s="1"/>
      <c r="AK27" s="1"/>
      <c r="AL27" s="62"/>
    </row>
    <row r="28" spans="2:38" ht="15.75" thickBot="1">
      <c r="B28" s="114" t="s">
        <v>12</v>
      </c>
      <c r="C28" s="115"/>
      <c r="D28" s="9">
        <f>+SUM(D16:D27)</f>
        <v>89685</v>
      </c>
      <c r="E28" s="1"/>
      <c r="F28" s="114" t="s">
        <v>12</v>
      </c>
      <c r="G28" s="115"/>
      <c r="H28" s="9">
        <f>+SUM(H16:H27)</f>
        <v>91100</v>
      </c>
      <c r="I28" s="1"/>
      <c r="J28" s="114" t="s">
        <v>12</v>
      </c>
      <c r="K28" s="115"/>
      <c r="L28" s="9">
        <f>+SUM(L16:L27)</f>
        <v>68050</v>
      </c>
      <c r="M28" s="1"/>
      <c r="N28" s="114" t="s">
        <v>12</v>
      </c>
      <c r="O28" s="115"/>
      <c r="P28" s="9">
        <f>+SUM(P16:P27)</f>
        <v>61814</v>
      </c>
      <c r="Q28" s="1"/>
      <c r="R28" s="114" t="s">
        <v>12</v>
      </c>
      <c r="S28" s="115"/>
      <c r="T28" s="9">
        <f>+SUM(T16:T27)</f>
        <v>1388131</v>
      </c>
      <c r="U28" s="1"/>
      <c r="V28" s="12"/>
      <c r="W28" s="114" t="s">
        <v>12</v>
      </c>
      <c r="X28" s="115"/>
      <c r="Y28" s="9">
        <f>+SUM(Y16:Y27)</f>
        <v>1698780</v>
      </c>
      <c r="Z28" s="13"/>
      <c r="AA28" s="1"/>
      <c r="AB28" s="70" t="s">
        <v>602</v>
      </c>
      <c r="AC28" s="77">
        <v>45946</v>
      </c>
      <c r="AD28" s="70" t="s">
        <v>601</v>
      </c>
      <c r="AE28" s="70"/>
      <c r="AF28" s="70">
        <v>4000</v>
      </c>
      <c r="AG28" s="1"/>
      <c r="AH28" s="1"/>
      <c r="AI28" s="1"/>
      <c r="AJ28" s="1"/>
      <c r="AK28" s="1"/>
      <c r="AL28" s="62"/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91" t="s">
        <v>554</v>
      </c>
      <c r="AC29" s="94">
        <v>45946</v>
      </c>
      <c r="AD29" s="91" t="s">
        <v>90</v>
      </c>
      <c r="AE29" s="91"/>
      <c r="AF29" s="93">
        <v>200000</v>
      </c>
      <c r="AG29" s="1"/>
      <c r="AH29" s="1"/>
      <c r="AI29" s="1"/>
      <c r="AJ29" s="1"/>
      <c r="AK29" s="1"/>
      <c r="AL29" s="62"/>
    </row>
    <row r="30" spans="2:38" ht="15.75" thickBot="1">
      <c r="B30" s="116" t="s">
        <v>40</v>
      </c>
      <c r="C30" s="116"/>
      <c r="D30" s="7">
        <f>+D28-D15</f>
        <v>2097</v>
      </c>
      <c r="E30" s="1"/>
      <c r="F30" s="116" t="s">
        <v>40</v>
      </c>
      <c r="G30" s="116"/>
      <c r="H30" s="7">
        <f>+H28-H15</f>
        <v>-3892</v>
      </c>
      <c r="I30" s="1"/>
      <c r="J30" s="116" t="s">
        <v>40</v>
      </c>
      <c r="K30" s="116"/>
      <c r="L30" s="7">
        <f>+L28-L15</f>
        <v>-1102</v>
      </c>
      <c r="M30" s="1"/>
      <c r="N30" s="116" t="s">
        <v>40</v>
      </c>
      <c r="O30" s="116"/>
      <c r="P30" s="7">
        <f>+P28-P15</f>
        <v>20</v>
      </c>
      <c r="Q30" s="1"/>
      <c r="R30" s="116" t="s">
        <v>40</v>
      </c>
      <c r="S30" s="116"/>
      <c r="T30" s="7">
        <f>+T28-T15</f>
        <v>0</v>
      </c>
      <c r="U30" s="1"/>
      <c r="V30" s="12"/>
      <c r="W30" s="113" t="s">
        <v>40</v>
      </c>
      <c r="X30" s="113"/>
      <c r="Y30" s="41">
        <f>+Y28-Y15</f>
        <v>-2877</v>
      </c>
      <c r="Z30" s="13"/>
      <c r="AA30" s="1"/>
      <c r="AB30" s="91" t="s">
        <v>605</v>
      </c>
      <c r="AC30" s="92">
        <v>45922</v>
      </c>
      <c r="AD30" s="91" t="s">
        <v>604</v>
      </c>
      <c r="AE30" s="91"/>
      <c r="AF30" s="93">
        <v>20000</v>
      </c>
      <c r="AG30" s="1"/>
      <c r="AH30" s="1"/>
      <c r="AI30" s="1"/>
      <c r="AJ30" s="1"/>
      <c r="AK30" s="1"/>
      <c r="AL30" s="62"/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91" t="s">
        <v>607</v>
      </c>
      <c r="AC31" s="92">
        <v>45922</v>
      </c>
      <c r="AD31" s="91" t="s">
        <v>606</v>
      </c>
      <c r="AE31" s="91"/>
      <c r="AF31" s="93">
        <v>30000</v>
      </c>
      <c r="AG31" s="1"/>
      <c r="AH31" s="1"/>
      <c r="AI31" s="1"/>
      <c r="AJ31" s="1"/>
      <c r="AK31" s="1"/>
      <c r="AL31" s="1"/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91" t="s">
        <v>608</v>
      </c>
      <c r="AC32" s="94">
        <v>45944</v>
      </c>
      <c r="AD32" s="91" t="s">
        <v>494</v>
      </c>
      <c r="AE32" s="91"/>
      <c r="AF32" s="91">
        <v>5910</v>
      </c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91" t="s">
        <v>610</v>
      </c>
      <c r="AC33" s="92">
        <v>45925</v>
      </c>
      <c r="AD33" s="91" t="s">
        <v>609</v>
      </c>
      <c r="AE33" s="91" t="s">
        <v>611</v>
      </c>
      <c r="AF33" s="91">
        <v>7420</v>
      </c>
      <c r="AG33" s="1"/>
      <c r="AH33" s="1"/>
      <c r="AI33" s="1"/>
      <c r="AJ33" s="1"/>
      <c r="AK33" s="1"/>
      <c r="AL33" s="1"/>
    </row>
    <row r="34" spans="2:38">
      <c r="B34" s="10" t="s">
        <v>41</v>
      </c>
      <c r="C34" s="11"/>
      <c r="D34" s="21"/>
      <c r="E34" s="1"/>
      <c r="F34" s="10" t="s">
        <v>41</v>
      </c>
      <c r="G34" s="11"/>
      <c r="H34" s="21">
        <v>3892</v>
      </c>
      <c r="I34" s="1"/>
      <c r="J34" s="10" t="s">
        <v>41</v>
      </c>
      <c r="K34" s="11"/>
      <c r="L34" s="21">
        <v>1102</v>
      </c>
      <c r="M34" s="1"/>
      <c r="N34" s="10" t="s">
        <v>41</v>
      </c>
      <c r="O34" s="11"/>
      <c r="P34" s="21"/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4994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>
      <c r="B35" s="12" t="s">
        <v>42</v>
      </c>
      <c r="C35" s="16"/>
      <c r="D35" s="22"/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/>
      <c r="Q35" s="1"/>
      <c r="R35" s="12" t="s">
        <v>42</v>
      </c>
      <c r="S35" s="16"/>
      <c r="T35" s="22"/>
      <c r="U35" s="1"/>
      <c r="V35" s="1"/>
      <c r="W35" s="45" t="s">
        <v>42</v>
      </c>
      <c r="X35" s="40"/>
      <c r="Y35" s="46">
        <f t="shared" ref="Y35:Y36" si="9">+D35+H35+L35+P35+T35</f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44</v>
      </c>
      <c r="C36" s="16"/>
      <c r="D36" s="22">
        <v>-2097</v>
      </c>
      <c r="E36" s="1"/>
      <c r="F36" s="12" t="s">
        <v>44</v>
      </c>
      <c r="G36" s="16"/>
      <c r="H36" s="22"/>
      <c r="I36" s="1"/>
      <c r="J36" s="12" t="s">
        <v>44</v>
      </c>
      <c r="K36" s="16"/>
      <c r="L36" s="22"/>
      <c r="M36" s="1"/>
      <c r="N36" s="12" t="s">
        <v>44</v>
      </c>
      <c r="O36" s="16"/>
      <c r="P36" s="22">
        <v>-20</v>
      </c>
      <c r="Q36" s="1"/>
      <c r="R36" s="12" t="s">
        <v>46</v>
      </c>
      <c r="S36" s="16"/>
      <c r="T36" s="22"/>
      <c r="U36" s="1"/>
      <c r="V36" s="1"/>
      <c r="W36" s="45" t="s">
        <v>43</v>
      </c>
      <c r="X36" s="40"/>
      <c r="Y36" s="46">
        <f t="shared" si="9"/>
        <v>-2117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ht="15.75" thickBot="1">
      <c r="B37" s="12" t="s">
        <v>18</v>
      </c>
      <c r="C37" s="16"/>
      <c r="D37" s="22">
        <f>+SUM(D34:D36)</f>
        <v>-2097</v>
      </c>
      <c r="E37" s="1"/>
      <c r="F37" s="12" t="s">
        <v>18</v>
      </c>
      <c r="G37" s="16"/>
      <c r="H37" s="22">
        <f>+SUM(H34:H36)</f>
        <v>3892</v>
      </c>
      <c r="I37" s="1"/>
      <c r="J37" s="12" t="s">
        <v>18</v>
      </c>
      <c r="K37" s="16"/>
      <c r="L37" s="22">
        <f>+SUM(L34:L36)</f>
        <v>1102</v>
      </c>
      <c r="M37" s="1"/>
      <c r="N37" s="12" t="s">
        <v>18</v>
      </c>
      <c r="O37" s="16"/>
      <c r="P37" s="22">
        <f>+SUM(P34:P36)</f>
        <v>-20</v>
      </c>
      <c r="Q37" s="1"/>
      <c r="R37" s="12" t="s">
        <v>18</v>
      </c>
      <c r="S37" s="16"/>
      <c r="T37" s="22">
        <f>+SUM(T34:T36)</f>
        <v>0</v>
      </c>
      <c r="U37" s="1"/>
      <c r="V37" s="1"/>
      <c r="W37" s="33" t="s">
        <v>18</v>
      </c>
      <c r="X37" s="34"/>
      <c r="Y37" s="35">
        <f>+SUM(Y34:Y36)</f>
        <v>2877</v>
      </c>
      <c r="Z37" s="1"/>
      <c r="AA37" s="1"/>
      <c r="AB37" s="60" t="s">
        <v>39</v>
      </c>
      <c r="AC37" s="60"/>
      <c r="AD37" s="60"/>
      <c r="AE37" s="60"/>
      <c r="AF37" s="55">
        <f>+SUM(AF23:AF36)</f>
        <v>496830</v>
      </c>
      <c r="AG37" s="1"/>
      <c r="AH37" s="1"/>
      <c r="AI37" s="60" t="s">
        <v>39</v>
      </c>
      <c r="AJ37" s="60"/>
      <c r="AK37" s="60"/>
      <c r="AL37" s="72">
        <f>+SUM(AL23:AL36)</f>
        <v>3400</v>
      </c>
    </row>
    <row r="38" spans="2:38" ht="16.5" thickTop="1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B2:AL39"/>
  <sheetViews>
    <sheetView zoomScale="80" zoomScaleNormal="80" workbookViewId="0">
      <selection activeCell="AC12" sqref="AC12"/>
    </sheetView>
  </sheetViews>
  <sheetFormatPr defaultRowHeight="15"/>
  <cols>
    <col min="5" max="5" width="0.5703125" customWidth="1"/>
    <col min="7" max="7" width="15.42578125" customWidth="1"/>
    <col min="8" max="8" width="9.5703125" bestFit="1" customWidth="1"/>
    <col min="9" max="9" width="0.5703125" customWidth="1"/>
    <col min="11" max="11" width="14.28515625" customWidth="1"/>
    <col min="13" max="13" width="0.5703125" customWidth="1"/>
    <col min="15" max="15" width="16.28515625" customWidth="1"/>
    <col min="17" max="17" width="0.28515625" customWidth="1"/>
    <col min="19" max="19" width="15.7109375" customWidth="1"/>
    <col min="20" max="20" width="11.140625" bestFit="1" customWidth="1"/>
    <col min="21" max="21" width="1.85546875" customWidth="1"/>
    <col min="22" max="22" width="2" customWidth="1"/>
    <col min="25" max="25" width="11.42578125" customWidth="1"/>
    <col min="26" max="27" width="1.5703125" customWidth="1"/>
    <col min="29" max="29" width="10.140625" bestFit="1" customWidth="1"/>
    <col min="33" max="33" width="2.5703125" customWidth="1"/>
    <col min="34" max="34" width="9.140625" hidden="1" customWidth="1"/>
  </cols>
  <sheetData>
    <row r="2" spans="2:38" ht="15.75" thickBot="1"/>
    <row r="3" spans="2:38">
      <c r="B3" s="111" t="s">
        <v>127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0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739</v>
      </c>
      <c r="D6" s="36">
        <f>+C6*B6</f>
        <v>7390</v>
      </c>
      <c r="E6" s="1"/>
      <c r="F6" s="2">
        <v>10</v>
      </c>
      <c r="G6" s="2">
        <v>238</v>
      </c>
      <c r="H6" s="36">
        <f>+G6*F6</f>
        <v>2380</v>
      </c>
      <c r="I6" s="1"/>
      <c r="J6" s="2">
        <v>10</v>
      </c>
      <c r="K6" s="2">
        <v>72</v>
      </c>
      <c r="L6" s="36">
        <f>+K6*J6</f>
        <v>720</v>
      </c>
      <c r="M6" s="1"/>
      <c r="N6" s="2">
        <v>10</v>
      </c>
      <c r="O6" s="2">
        <v>83</v>
      </c>
      <c r="P6" s="36">
        <f>+O6*N6</f>
        <v>830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1132</v>
      </c>
      <c r="Y6" s="37">
        <f>+D6+H6+L6+P6+T6</f>
        <v>11320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58</v>
      </c>
      <c r="D7" s="36">
        <f t="shared" ref="D7:D12" si="1">+C7*B7</f>
        <v>1160</v>
      </c>
      <c r="E7" s="1"/>
      <c r="F7" s="2">
        <v>20</v>
      </c>
      <c r="G7" s="2">
        <v>34</v>
      </c>
      <c r="H7" s="36">
        <f t="shared" ref="H7:H12" si="2">+G7*F7</f>
        <v>680</v>
      </c>
      <c r="I7" s="1"/>
      <c r="J7" s="2">
        <v>20</v>
      </c>
      <c r="K7" s="2">
        <v>39</v>
      </c>
      <c r="L7" s="36">
        <f t="shared" ref="L7:L12" si="3">+K7*J7</f>
        <v>780</v>
      </c>
      <c r="M7" s="1"/>
      <c r="N7" s="2">
        <v>20</v>
      </c>
      <c r="O7" s="2">
        <v>15</v>
      </c>
      <c r="P7" s="36">
        <f t="shared" ref="P7:P12" si="4">+O7*N7</f>
        <v>300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146</v>
      </c>
      <c r="Y7" s="37">
        <f t="shared" ref="Y7:Y12" si="6">+D7+H7+L7+P7+T7</f>
        <v>2920</v>
      </c>
      <c r="Z7" s="13"/>
      <c r="AA7" s="1"/>
      <c r="AB7" s="56" t="s">
        <v>10</v>
      </c>
      <c r="AC7" s="57">
        <f>Y13</f>
        <v>255490</v>
      </c>
      <c r="AD7" s="26"/>
      <c r="AE7" s="26"/>
      <c r="AF7" s="26"/>
      <c r="AG7" s="26"/>
      <c r="AH7" s="1"/>
      <c r="AI7" s="2">
        <v>10</v>
      </c>
      <c r="AJ7" s="2">
        <v>1224</v>
      </c>
      <c r="AK7" s="36">
        <f t="shared" si="0"/>
        <v>12240</v>
      </c>
      <c r="AL7" s="1"/>
    </row>
    <row r="8" spans="2:38">
      <c r="B8" s="2">
        <v>50</v>
      </c>
      <c r="C8" s="2">
        <v>93</v>
      </c>
      <c r="D8" s="36">
        <f t="shared" si="1"/>
        <v>4650</v>
      </c>
      <c r="E8" s="1"/>
      <c r="F8" s="2">
        <v>50</v>
      </c>
      <c r="G8" s="2">
        <v>3</v>
      </c>
      <c r="H8" s="36">
        <f t="shared" si="2"/>
        <v>150</v>
      </c>
      <c r="I8" s="1"/>
      <c r="J8" s="2">
        <v>50</v>
      </c>
      <c r="K8" s="2">
        <v>95</v>
      </c>
      <c r="L8" s="36">
        <f t="shared" si="3"/>
        <v>4750</v>
      </c>
      <c r="M8" s="1"/>
      <c r="N8" s="2">
        <v>50</v>
      </c>
      <c r="O8" s="2">
        <v>8</v>
      </c>
      <c r="P8" s="36">
        <f t="shared" si="4"/>
        <v>400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199</v>
      </c>
      <c r="Y8" s="37">
        <f t="shared" si="6"/>
        <v>9950</v>
      </c>
      <c r="Z8" s="13"/>
      <c r="AA8" s="1"/>
      <c r="AB8" s="53" t="s">
        <v>11</v>
      </c>
      <c r="AC8" s="53">
        <f>+AF37</f>
        <v>213872</v>
      </c>
      <c r="AD8" s="1"/>
      <c r="AE8" s="1"/>
      <c r="AF8" s="1"/>
      <c r="AG8" s="1"/>
      <c r="AH8" s="1"/>
      <c r="AI8" s="2">
        <v>20</v>
      </c>
      <c r="AJ8" s="2">
        <v>150</v>
      </c>
      <c r="AK8" s="36">
        <f t="shared" si="0"/>
        <v>3000</v>
      </c>
      <c r="AL8" s="1"/>
    </row>
    <row r="9" spans="2:38" ht="15.75" thickBot="1">
      <c r="B9" s="2">
        <v>100</v>
      </c>
      <c r="C9" s="2">
        <v>68</v>
      </c>
      <c r="D9" s="36">
        <f t="shared" si="1"/>
        <v>6800</v>
      </c>
      <c r="E9" s="1"/>
      <c r="F9" s="2">
        <v>100</v>
      </c>
      <c r="G9" s="2">
        <v>35</v>
      </c>
      <c r="H9" s="36">
        <f t="shared" si="2"/>
        <v>3500</v>
      </c>
      <c r="I9" s="1"/>
      <c r="J9" s="2">
        <v>100</v>
      </c>
      <c r="K9" s="2">
        <v>112</v>
      </c>
      <c r="L9" s="36">
        <f t="shared" si="3"/>
        <v>11200</v>
      </c>
      <c r="M9" s="1"/>
      <c r="N9" s="2">
        <v>100</v>
      </c>
      <c r="O9" s="2">
        <v>7</v>
      </c>
      <c r="P9" s="36">
        <f t="shared" si="4"/>
        <v>700</v>
      </c>
      <c r="Q9" s="1"/>
      <c r="R9" s="2">
        <v>100</v>
      </c>
      <c r="S9" s="2">
        <v>1</v>
      </c>
      <c r="T9" s="36">
        <f t="shared" si="5"/>
        <v>100</v>
      </c>
      <c r="U9" s="1"/>
      <c r="V9" s="12"/>
      <c r="W9" s="39">
        <v>100</v>
      </c>
      <c r="X9" s="39">
        <f t="shared" si="7"/>
        <v>223</v>
      </c>
      <c r="Y9" s="37">
        <f t="shared" si="6"/>
        <v>22300</v>
      </c>
      <c r="Z9" s="13"/>
      <c r="AA9" s="1"/>
      <c r="AB9" s="58" t="s">
        <v>12</v>
      </c>
      <c r="AC9" s="59">
        <f>SUM(AC7:AC8)</f>
        <v>469362</v>
      </c>
      <c r="AD9" s="1"/>
      <c r="AE9" s="1"/>
      <c r="AF9" s="1"/>
      <c r="AG9" s="1"/>
      <c r="AH9" s="1"/>
      <c r="AI9" s="2">
        <v>50</v>
      </c>
      <c r="AJ9" s="2">
        <v>199</v>
      </c>
      <c r="AK9" s="36">
        <f t="shared" si="0"/>
        <v>9950</v>
      </c>
      <c r="AL9" s="1"/>
    </row>
    <row r="10" spans="2:38">
      <c r="B10" s="2">
        <v>500</v>
      </c>
      <c r="C10" s="2">
        <v>39</v>
      </c>
      <c r="D10" s="36">
        <f t="shared" si="1"/>
        <v>19500</v>
      </c>
      <c r="E10" s="1"/>
      <c r="F10" s="2">
        <v>500</v>
      </c>
      <c r="G10" s="2">
        <v>25</v>
      </c>
      <c r="H10" s="36">
        <f t="shared" si="2"/>
        <v>12500</v>
      </c>
      <c r="I10" s="1"/>
      <c r="J10" s="2">
        <v>500</v>
      </c>
      <c r="K10" s="2">
        <v>35</v>
      </c>
      <c r="L10" s="36">
        <f t="shared" si="3"/>
        <v>17500</v>
      </c>
      <c r="M10" s="1"/>
      <c r="N10" s="2">
        <v>500</v>
      </c>
      <c r="O10" s="2">
        <v>25</v>
      </c>
      <c r="P10" s="36">
        <f t="shared" si="4"/>
        <v>12500</v>
      </c>
      <c r="Q10" s="1"/>
      <c r="R10" s="2">
        <v>500</v>
      </c>
      <c r="S10" s="2">
        <v>16</v>
      </c>
      <c r="T10" s="36">
        <f t="shared" si="5"/>
        <v>8000</v>
      </c>
      <c r="U10" s="1"/>
      <c r="V10" s="12"/>
      <c r="W10" s="39">
        <v>500</v>
      </c>
      <c r="X10" s="39">
        <f t="shared" si="7"/>
        <v>140</v>
      </c>
      <c r="Y10" s="37">
        <f t="shared" si="6"/>
        <v>70000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222</v>
      </c>
      <c r="AK10" s="36">
        <f t="shared" si="0"/>
        <v>22200</v>
      </c>
      <c r="AL10" s="1"/>
    </row>
    <row r="11" spans="2:38">
      <c r="B11" s="2">
        <v>1000</v>
      </c>
      <c r="C11" s="2">
        <v>27</v>
      </c>
      <c r="D11" s="36">
        <f t="shared" si="1"/>
        <v>27000</v>
      </c>
      <c r="E11" s="1"/>
      <c r="F11" s="2">
        <v>1000</v>
      </c>
      <c r="G11" s="2">
        <v>36</v>
      </c>
      <c r="H11" s="36">
        <f t="shared" si="2"/>
        <v>36000</v>
      </c>
      <c r="I11" s="1"/>
      <c r="J11" s="2">
        <v>1000</v>
      </c>
      <c r="K11" s="2">
        <v>34</v>
      </c>
      <c r="L11" s="36">
        <f t="shared" si="3"/>
        <v>34000</v>
      </c>
      <c r="M11" s="1"/>
      <c r="N11" s="2">
        <v>1000</v>
      </c>
      <c r="O11" s="2">
        <v>23</v>
      </c>
      <c r="P11" s="36">
        <f t="shared" si="4"/>
        <v>23000</v>
      </c>
      <c r="Q11" s="1"/>
      <c r="R11" s="2">
        <v>1000</v>
      </c>
      <c r="S11" s="2">
        <v>4</v>
      </c>
      <c r="T11" s="36">
        <f t="shared" si="5"/>
        <v>4000</v>
      </c>
      <c r="U11" s="1"/>
      <c r="V11" s="12"/>
      <c r="W11" s="39">
        <v>1000</v>
      </c>
      <c r="X11" s="39">
        <f t="shared" si="7"/>
        <v>124</v>
      </c>
      <c r="Y11" s="37">
        <f t="shared" si="6"/>
        <v>124000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190</v>
      </c>
      <c r="AK11" s="36">
        <f t="shared" si="0"/>
        <v>95000</v>
      </c>
      <c r="AL11" s="1"/>
    </row>
    <row r="12" spans="2:38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1</v>
      </c>
      <c r="H12" s="36">
        <f t="shared" si="2"/>
        <v>5000</v>
      </c>
      <c r="I12" s="1"/>
      <c r="J12" s="2">
        <v>5000</v>
      </c>
      <c r="K12" s="2">
        <v>1</v>
      </c>
      <c r="L12" s="36">
        <f t="shared" si="3"/>
        <v>5000</v>
      </c>
      <c r="M12" s="1"/>
      <c r="N12" s="2">
        <v>5000</v>
      </c>
      <c r="O12" s="2"/>
      <c r="P12" s="36">
        <f t="shared" si="4"/>
        <v>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3</v>
      </c>
      <c r="Y12" s="37">
        <f t="shared" si="6"/>
        <v>15000</v>
      </c>
      <c r="Z12" s="13"/>
      <c r="AA12" s="1"/>
      <c r="AB12" s="1" t="s">
        <v>17</v>
      </c>
      <c r="AC12" s="5">
        <v>453390</v>
      </c>
      <c r="AD12" s="1">
        <v>994251</v>
      </c>
      <c r="AE12" s="52" t="s">
        <v>648</v>
      </c>
      <c r="AF12" s="1" t="s">
        <v>110</v>
      </c>
      <c r="AG12" s="1"/>
      <c r="AH12" s="1"/>
      <c r="AI12" s="2">
        <v>1000</v>
      </c>
      <c r="AJ12" s="2">
        <v>183</v>
      </c>
      <c r="AK12" s="36">
        <f t="shared" si="0"/>
        <v>183000</v>
      </c>
      <c r="AL12" s="1"/>
    </row>
    <row r="13" spans="2:38" ht="15.75" thickBot="1">
      <c r="B13" s="3" t="s">
        <v>18</v>
      </c>
      <c r="C13" s="3"/>
      <c r="D13" s="6">
        <f>+SUM(D5:D12)</f>
        <v>71500</v>
      </c>
      <c r="E13" s="1"/>
      <c r="F13" s="3" t="s">
        <v>18</v>
      </c>
      <c r="G13" s="3"/>
      <c r="H13" s="6">
        <f>+SUM(H5:H12)</f>
        <v>60210</v>
      </c>
      <c r="I13" s="1"/>
      <c r="J13" s="3" t="s">
        <v>18</v>
      </c>
      <c r="K13" s="3"/>
      <c r="L13" s="6">
        <f>+SUM(L5:L12)</f>
        <v>73950</v>
      </c>
      <c r="M13" s="1"/>
      <c r="N13" s="3" t="s">
        <v>18</v>
      </c>
      <c r="O13" s="3"/>
      <c r="P13" s="6">
        <f>+SUM(P5:P12)</f>
        <v>37730</v>
      </c>
      <c r="Q13" s="1"/>
      <c r="R13" s="3" t="s">
        <v>18</v>
      </c>
      <c r="S13" s="3"/>
      <c r="T13" s="6">
        <f>+SUM(T5:T12)</f>
        <v>12100</v>
      </c>
      <c r="U13" s="1"/>
      <c r="V13" s="12"/>
      <c r="W13" s="3" t="s">
        <v>18</v>
      </c>
      <c r="X13" s="3"/>
      <c r="Y13" s="6">
        <f>+SUM(Y5:Y12)</f>
        <v>255490</v>
      </c>
      <c r="Z13" s="13"/>
      <c r="AA13" s="1"/>
      <c r="AB13" s="1" t="s">
        <v>19</v>
      </c>
      <c r="AC13" s="5"/>
      <c r="AD13" s="1"/>
      <c r="AE13" s="1"/>
      <c r="AF13" s="1"/>
      <c r="AG13" s="1"/>
      <c r="AH13" s="1"/>
      <c r="AI13" s="2">
        <v>5000</v>
      </c>
      <c r="AJ13" s="2">
        <v>28</v>
      </c>
      <c r="AK13" s="36">
        <f t="shared" si="0"/>
        <v>140000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465390</v>
      </c>
      <c r="AL14" s="1"/>
    </row>
    <row r="15" spans="2:38" ht="15.75" thickBot="1">
      <c r="B15" s="109" t="s">
        <v>21</v>
      </c>
      <c r="C15" s="110"/>
      <c r="D15" s="8">
        <v>73158</v>
      </c>
      <c r="E15" s="30"/>
      <c r="F15" s="109" t="s">
        <v>21</v>
      </c>
      <c r="G15" s="110"/>
      <c r="H15" s="8">
        <v>129122</v>
      </c>
      <c r="I15" s="30"/>
      <c r="J15" s="109" t="s">
        <v>21</v>
      </c>
      <c r="K15" s="110"/>
      <c r="L15" s="8">
        <v>98173</v>
      </c>
      <c r="M15" s="30"/>
      <c r="N15" s="109" t="s">
        <v>21</v>
      </c>
      <c r="O15" s="110"/>
      <c r="P15" s="8">
        <v>96616</v>
      </c>
      <c r="Q15" s="30"/>
      <c r="R15" s="109" t="s">
        <v>21</v>
      </c>
      <c r="S15" s="110"/>
      <c r="T15" s="8">
        <v>1032421</v>
      </c>
      <c r="U15" s="30"/>
      <c r="V15" s="31"/>
      <c r="W15" s="109" t="s">
        <v>21</v>
      </c>
      <c r="X15" s="110"/>
      <c r="Y15" s="8">
        <f>+D15+H15+L15+P15+T15</f>
        <v>1429490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71500</v>
      </c>
      <c r="E16" s="1"/>
      <c r="F16" s="1" t="s">
        <v>10</v>
      </c>
      <c r="G16" s="1"/>
      <c r="H16" s="5">
        <f>+H13</f>
        <v>60210</v>
      </c>
      <c r="I16" s="1"/>
      <c r="J16" s="1" t="s">
        <v>10</v>
      </c>
      <c r="K16" s="1"/>
      <c r="L16" s="5">
        <f>+L13</f>
        <v>73950</v>
      </c>
      <c r="M16" s="1"/>
      <c r="N16" s="1" t="s">
        <v>10</v>
      </c>
      <c r="O16" s="1"/>
      <c r="P16" s="5">
        <f>+P13</f>
        <v>37730</v>
      </c>
      <c r="Q16" s="1"/>
      <c r="R16" s="1" t="s">
        <v>10</v>
      </c>
      <c r="S16" s="1"/>
      <c r="T16" s="5">
        <f>+T13</f>
        <v>12100</v>
      </c>
      <c r="U16" s="1"/>
      <c r="V16" s="12"/>
      <c r="W16" s="40" t="s">
        <v>10</v>
      </c>
      <c r="X16" s="40"/>
      <c r="Y16" s="37">
        <f>+D16+H16+L16+P16+T16</f>
        <v>255490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453390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24</v>
      </c>
      <c r="E18" s="1"/>
      <c r="F18" s="1" t="s">
        <v>371</v>
      </c>
      <c r="G18" s="1" t="s">
        <v>632</v>
      </c>
      <c r="H18" s="5">
        <v>3094</v>
      </c>
      <c r="I18" s="1"/>
      <c r="J18" s="1" t="s">
        <v>643</v>
      </c>
      <c r="K18" s="1" t="s">
        <v>644</v>
      </c>
      <c r="L18">
        <v>8830</v>
      </c>
      <c r="M18" s="1"/>
      <c r="N18" s="1" t="s">
        <v>532</v>
      </c>
      <c r="O18" s="1" t="s">
        <v>640</v>
      </c>
      <c r="P18" s="5">
        <v>11926</v>
      </c>
      <c r="Q18" s="1"/>
      <c r="R18" s="1" t="s">
        <v>630</v>
      </c>
      <c r="S18" s="1" t="s">
        <v>631</v>
      </c>
      <c r="T18" s="5">
        <v>33554</v>
      </c>
      <c r="U18" s="1"/>
      <c r="V18" s="12"/>
      <c r="W18" s="40" t="s">
        <v>24</v>
      </c>
      <c r="X18" s="40"/>
      <c r="Y18" s="37" t="e">
        <f>+H18+#REF!+P18+#REF!+T18</f>
        <v>#REF!</v>
      </c>
      <c r="Z18" s="13"/>
      <c r="AA18" s="1"/>
      <c r="AB18" s="50" t="s">
        <v>25</v>
      </c>
      <c r="AC18" s="51">
        <f>+AC17-AC9</f>
        <v>-15972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27</v>
      </c>
      <c r="E19" s="1"/>
      <c r="F19" s="1" t="s">
        <v>633</v>
      </c>
      <c r="G19" s="1" t="s">
        <v>634</v>
      </c>
      <c r="H19" s="5">
        <v>14946</v>
      </c>
      <c r="I19" s="1"/>
      <c r="J19" s="1" t="s">
        <v>643</v>
      </c>
      <c r="K19" s="1" t="s">
        <v>645</v>
      </c>
      <c r="L19">
        <v>14320</v>
      </c>
      <c r="M19" s="1"/>
      <c r="N19" s="1" t="s">
        <v>393</v>
      </c>
      <c r="O19" s="1" t="s">
        <v>641</v>
      </c>
      <c r="P19" s="5">
        <v>13858</v>
      </c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 t="e">
        <f>+H19+#REF!+P19+#REF!+T19</f>
        <v>#REF!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E20" s="1"/>
      <c r="F20" s="1" t="s">
        <v>532</v>
      </c>
      <c r="G20" s="1" t="s">
        <v>635</v>
      </c>
      <c r="H20" s="5">
        <v>5000</v>
      </c>
      <c r="I20" s="1"/>
      <c r="J20" s="1" t="s">
        <v>28</v>
      </c>
      <c r="M20" s="1"/>
      <c r="N20" s="1" t="s">
        <v>530</v>
      </c>
      <c r="O20" s="1" t="s">
        <v>642</v>
      </c>
      <c r="P20" s="5">
        <v>10148</v>
      </c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 t="e">
        <f>+H20+#REF!+P20+#REF!+T20</f>
        <v>#REF!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 t="s">
        <v>636</v>
      </c>
      <c r="G21" s="1" t="s">
        <v>637</v>
      </c>
      <c r="H21" s="5">
        <v>10500</v>
      </c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10500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 t="s">
        <v>393</v>
      </c>
      <c r="G22" s="1" t="s">
        <v>638</v>
      </c>
      <c r="H22" s="5">
        <v>13850</v>
      </c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13850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36</v>
      </c>
      <c r="C23" s="1"/>
      <c r="D23" s="5"/>
      <c r="E23" s="1"/>
      <c r="F23" s="1" t="s">
        <v>393</v>
      </c>
      <c r="G23" s="1" t="s">
        <v>639</v>
      </c>
      <c r="H23" s="5">
        <v>25420</v>
      </c>
      <c r="I23" s="1"/>
      <c r="J23" s="1" t="s">
        <v>36</v>
      </c>
      <c r="K23" s="1"/>
      <c r="L23" s="5"/>
      <c r="M23" s="1"/>
      <c r="N23" s="1" t="s">
        <v>656</v>
      </c>
      <c r="O23" s="70" t="s">
        <v>231</v>
      </c>
      <c r="P23" s="5">
        <v>5058</v>
      </c>
      <c r="Q23" s="1"/>
      <c r="R23" s="1" t="s">
        <v>626</v>
      </c>
      <c r="S23" s="1" t="s">
        <v>319</v>
      </c>
      <c r="T23" s="5">
        <v>103014</v>
      </c>
      <c r="U23" s="1"/>
      <c r="V23" s="12"/>
      <c r="W23" s="40" t="s">
        <v>36</v>
      </c>
      <c r="X23" s="40"/>
      <c r="Y23" s="37">
        <f t="shared" si="8"/>
        <v>133492</v>
      </c>
      <c r="Z23" s="13"/>
      <c r="AA23" s="1"/>
      <c r="AB23" s="70" t="s">
        <v>554</v>
      </c>
      <c r="AC23" s="77">
        <v>45946</v>
      </c>
      <c r="AD23" s="70" t="s">
        <v>90</v>
      </c>
      <c r="AE23" s="70"/>
      <c r="AF23" s="68">
        <v>181000</v>
      </c>
      <c r="AG23" s="1"/>
      <c r="AH23" s="1"/>
      <c r="AI23" s="70" t="s">
        <v>97</v>
      </c>
      <c r="AJ23" s="70" t="s">
        <v>613</v>
      </c>
      <c r="AK23" s="70" t="s">
        <v>619</v>
      </c>
      <c r="AL23" s="73">
        <v>14978</v>
      </c>
    </row>
    <row r="24" spans="2:38">
      <c r="B24" s="1" t="s">
        <v>37</v>
      </c>
      <c r="C24" s="1"/>
      <c r="D24" s="5"/>
      <c r="E24" s="1"/>
      <c r="F24" s="1"/>
      <c r="G24" s="1"/>
      <c r="H24" s="5"/>
      <c r="I24" s="1"/>
      <c r="J24" s="1" t="s">
        <v>37</v>
      </c>
      <c r="K24" s="1"/>
      <c r="L24" s="5"/>
      <c r="M24" s="1"/>
      <c r="N24" s="1" t="s">
        <v>655</v>
      </c>
      <c r="O24" s="70" t="s">
        <v>443</v>
      </c>
      <c r="P24" s="5">
        <v>11052</v>
      </c>
      <c r="Q24" s="1"/>
      <c r="R24" s="1" t="s">
        <v>627</v>
      </c>
      <c r="S24" s="1" t="s">
        <v>228</v>
      </c>
      <c r="T24" s="5">
        <v>854049</v>
      </c>
      <c r="U24" s="1"/>
      <c r="V24" s="12"/>
      <c r="W24" s="40" t="s">
        <v>37</v>
      </c>
      <c r="X24" s="40"/>
      <c r="Y24" s="37">
        <f t="shared" si="8"/>
        <v>865101</v>
      </c>
      <c r="Z24" s="13"/>
      <c r="AA24" s="1"/>
      <c r="AB24" s="70" t="s">
        <v>546</v>
      </c>
      <c r="AC24" s="71">
        <v>45930</v>
      </c>
      <c r="AD24" s="70" t="s">
        <v>48</v>
      </c>
      <c r="AE24" s="70"/>
      <c r="AF24" s="68">
        <v>5000</v>
      </c>
      <c r="AG24" s="1"/>
      <c r="AH24" s="1"/>
      <c r="AI24" s="70" t="s">
        <v>100</v>
      </c>
      <c r="AJ24" s="70" t="s">
        <v>181</v>
      </c>
      <c r="AK24" s="70" t="s">
        <v>620</v>
      </c>
      <c r="AL24" s="74">
        <v>71490</v>
      </c>
    </row>
    <row r="25" spans="2:38">
      <c r="B25" s="1" t="s">
        <v>38</v>
      </c>
      <c r="C25" s="1"/>
      <c r="D25" s="5"/>
      <c r="E25" s="1"/>
      <c r="F25" s="1"/>
      <c r="G25" s="1"/>
      <c r="H25" s="5"/>
      <c r="I25" s="1"/>
      <c r="J25" s="1" t="s">
        <v>38</v>
      </c>
      <c r="K25" s="1"/>
      <c r="L25" s="5"/>
      <c r="M25" s="1"/>
      <c r="N25" s="1" t="s">
        <v>47</v>
      </c>
      <c r="O25" s="1"/>
      <c r="P25" s="5"/>
      <c r="Q25" s="1"/>
      <c r="R25" s="1" t="s">
        <v>628</v>
      </c>
      <c r="S25" s="1" t="s">
        <v>215</v>
      </c>
      <c r="T25" s="5">
        <v>11268</v>
      </c>
      <c r="U25" s="1"/>
      <c r="V25" s="12"/>
      <c r="W25" s="40" t="s">
        <v>38</v>
      </c>
      <c r="X25" s="40"/>
      <c r="Y25" s="37">
        <f t="shared" si="8"/>
        <v>11268</v>
      </c>
      <c r="Z25" s="13"/>
      <c r="AA25" s="1"/>
      <c r="AB25" s="16" t="s">
        <v>646</v>
      </c>
      <c r="AC25" s="95">
        <v>45943</v>
      </c>
      <c r="AD25" s="16" t="s">
        <v>437</v>
      </c>
      <c r="AE25" s="16"/>
      <c r="AF25" s="1">
        <v>17872</v>
      </c>
      <c r="AG25" s="1"/>
      <c r="AH25" s="1"/>
      <c r="AI25" s="70" t="s">
        <v>97</v>
      </c>
      <c r="AJ25" s="70" t="s">
        <v>271</v>
      </c>
      <c r="AK25" s="70" t="s">
        <v>619</v>
      </c>
      <c r="AL25" s="74">
        <v>7250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629</v>
      </c>
      <c r="S26" s="1" t="s">
        <v>315</v>
      </c>
      <c r="T26" s="5">
        <v>18207</v>
      </c>
      <c r="U26" s="1"/>
      <c r="V26" s="12"/>
      <c r="W26" s="40"/>
      <c r="X26" s="40"/>
      <c r="Y26" s="37">
        <f t="shared" si="8"/>
        <v>18207</v>
      </c>
      <c r="Z26" s="13"/>
      <c r="AA26" s="1"/>
      <c r="AB26" s="70" t="s">
        <v>647</v>
      </c>
      <c r="AC26" s="95">
        <v>45943</v>
      </c>
      <c r="AD26" s="16" t="s">
        <v>231</v>
      </c>
      <c r="AE26" s="16"/>
      <c r="AF26" s="20">
        <v>10000</v>
      </c>
      <c r="AG26" s="1"/>
      <c r="AH26" s="1"/>
      <c r="AI26" s="70" t="s">
        <v>97</v>
      </c>
      <c r="AJ26" s="70" t="s">
        <v>272</v>
      </c>
      <c r="AK26" s="70" t="s">
        <v>94</v>
      </c>
      <c r="AL26" s="74">
        <v>6970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"/>
      <c r="AC27" s="1"/>
      <c r="AD27" s="1"/>
      <c r="AE27" s="1"/>
      <c r="AF27" s="1"/>
      <c r="AG27" s="1"/>
      <c r="AH27" s="1"/>
      <c r="AI27" s="70" t="s">
        <v>67</v>
      </c>
      <c r="AJ27" s="70" t="s">
        <v>614</v>
      </c>
      <c r="AK27" s="70" t="s">
        <v>621</v>
      </c>
      <c r="AL27" s="74">
        <v>8344</v>
      </c>
    </row>
    <row r="28" spans="2:38" ht="15.75" thickBot="1">
      <c r="B28" s="114" t="s">
        <v>12</v>
      </c>
      <c r="C28" s="115"/>
      <c r="D28" s="9">
        <f>+SUM(D16:D27)</f>
        <v>71500</v>
      </c>
      <c r="E28" s="1"/>
      <c r="F28" s="114" t="s">
        <v>12</v>
      </c>
      <c r="G28" s="115"/>
      <c r="H28" s="9">
        <f>+SUM(H16:H27)</f>
        <v>133020</v>
      </c>
      <c r="I28" s="1"/>
      <c r="J28" s="114" t="s">
        <v>12</v>
      </c>
      <c r="K28" s="115"/>
      <c r="L28" s="9">
        <f>+SUM(L16:L27)</f>
        <v>97100</v>
      </c>
      <c r="M28" s="1"/>
      <c r="N28" s="114" t="s">
        <v>12</v>
      </c>
      <c r="O28" s="115"/>
      <c r="P28" s="9">
        <f>+SUM(P16:P27)</f>
        <v>89772</v>
      </c>
      <c r="Q28" s="1"/>
      <c r="R28" s="114" t="s">
        <v>12</v>
      </c>
      <c r="S28" s="115"/>
      <c r="T28" s="9">
        <f>+SUM(T16:T27)</f>
        <v>1032192</v>
      </c>
      <c r="U28" s="1"/>
      <c r="V28" s="12"/>
      <c r="W28" s="114" t="s">
        <v>12</v>
      </c>
      <c r="X28" s="115"/>
      <c r="Y28" s="9" t="e">
        <f>+SUM(Y16:Y27)</f>
        <v>#REF!</v>
      </c>
      <c r="Z28" s="13"/>
      <c r="AA28" s="1"/>
      <c r="AB28" s="1"/>
      <c r="AC28" s="1"/>
      <c r="AD28" s="1"/>
      <c r="AE28" s="1"/>
      <c r="AF28" s="1"/>
      <c r="AG28" s="1"/>
      <c r="AH28" s="1"/>
      <c r="AI28" s="70" t="s">
        <v>67</v>
      </c>
      <c r="AJ28" s="70" t="s">
        <v>615</v>
      </c>
      <c r="AK28" s="70" t="s">
        <v>84</v>
      </c>
      <c r="AL28" s="70">
        <v>6000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70" t="s">
        <v>67</v>
      </c>
      <c r="AJ29" s="70" t="s">
        <v>346</v>
      </c>
      <c r="AK29" s="70" t="s">
        <v>622</v>
      </c>
      <c r="AL29" s="74">
        <v>3050</v>
      </c>
    </row>
    <row r="30" spans="2:38" ht="15.75" thickBot="1">
      <c r="B30" s="116" t="s">
        <v>40</v>
      </c>
      <c r="C30" s="116"/>
      <c r="D30" s="7">
        <f>+D28-D15</f>
        <v>-1658</v>
      </c>
      <c r="E30" s="1"/>
      <c r="F30" s="116" t="s">
        <v>40</v>
      </c>
      <c r="G30" s="116"/>
      <c r="H30" s="7">
        <f>+H28-H15</f>
        <v>3898</v>
      </c>
      <c r="I30" s="1"/>
      <c r="J30" s="116" t="s">
        <v>40</v>
      </c>
      <c r="K30" s="116"/>
      <c r="L30" s="7">
        <f>+L28-L15</f>
        <v>-1073</v>
      </c>
      <c r="M30" s="1"/>
      <c r="N30" s="116" t="s">
        <v>40</v>
      </c>
      <c r="O30" s="116"/>
      <c r="P30" s="7">
        <f>+P28-P15</f>
        <v>-6844</v>
      </c>
      <c r="Q30" s="1"/>
      <c r="R30" s="116" t="s">
        <v>40</v>
      </c>
      <c r="S30" s="116"/>
      <c r="T30" s="7">
        <f>+T28-T15</f>
        <v>-229</v>
      </c>
      <c r="U30" s="1"/>
      <c r="V30" s="12"/>
      <c r="W30" s="113" t="s">
        <v>40</v>
      </c>
      <c r="X30" s="113"/>
      <c r="Y30" s="41" t="e">
        <f>+Y28-Y15</f>
        <v>#REF!</v>
      </c>
      <c r="Z30" s="13"/>
      <c r="AA30" s="1"/>
      <c r="AB30" s="1"/>
      <c r="AC30" s="1"/>
      <c r="AD30" s="1"/>
      <c r="AE30" s="1"/>
      <c r="AF30" s="1"/>
      <c r="AG30" s="1"/>
      <c r="AH30" s="1"/>
      <c r="AI30" s="70" t="s">
        <v>97</v>
      </c>
      <c r="AJ30" s="70" t="s">
        <v>348</v>
      </c>
      <c r="AK30" s="70" t="s">
        <v>266</v>
      </c>
      <c r="AL30" s="74">
        <v>4937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1"/>
      <c r="AG31" s="1"/>
      <c r="AH31" s="1"/>
      <c r="AI31" s="70" t="s">
        <v>98</v>
      </c>
      <c r="AJ31" s="70" t="s">
        <v>349</v>
      </c>
      <c r="AK31" s="70" t="s">
        <v>189</v>
      </c>
      <c r="AL31" s="73">
        <v>13123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70" t="s">
        <v>65</v>
      </c>
      <c r="AJ32" s="70" t="s">
        <v>361</v>
      </c>
      <c r="AK32" s="70" t="s">
        <v>623</v>
      </c>
      <c r="AL32" s="73">
        <v>8760</v>
      </c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70" t="s">
        <v>100</v>
      </c>
      <c r="AJ33" s="70" t="s">
        <v>377</v>
      </c>
      <c r="AK33" s="70" t="s">
        <v>624</v>
      </c>
      <c r="AL33" s="73">
        <v>25700</v>
      </c>
    </row>
    <row r="34" spans="2:38">
      <c r="B34" s="10" t="s">
        <v>41</v>
      </c>
      <c r="C34" s="11"/>
      <c r="D34" s="21">
        <v>802</v>
      </c>
      <c r="E34" s="1"/>
      <c r="F34" s="10" t="s">
        <v>41</v>
      </c>
      <c r="G34" s="11"/>
      <c r="H34" s="21"/>
      <c r="I34" s="1"/>
      <c r="J34" s="10" t="s">
        <v>41</v>
      </c>
      <c r="K34" s="11"/>
      <c r="L34" s="21">
        <v>1073</v>
      </c>
      <c r="M34" s="1"/>
      <c r="N34" s="10" t="s">
        <v>41</v>
      </c>
      <c r="O34" s="11"/>
      <c r="P34" s="21">
        <v>5744</v>
      </c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7619</v>
      </c>
      <c r="Z34" s="1"/>
      <c r="AA34" s="1"/>
      <c r="AB34" s="1"/>
      <c r="AC34" s="1"/>
      <c r="AD34" s="1"/>
      <c r="AE34" s="1"/>
      <c r="AF34" s="1"/>
      <c r="AG34" s="1"/>
      <c r="AH34" s="1"/>
      <c r="AI34" s="70" t="s">
        <v>100</v>
      </c>
      <c r="AJ34" s="70" t="s">
        <v>616</v>
      </c>
      <c r="AK34" s="70" t="s">
        <v>625</v>
      </c>
      <c r="AL34" s="74">
        <v>55000</v>
      </c>
    </row>
    <row r="35" spans="2:38">
      <c r="B35" s="12" t="s">
        <v>666</v>
      </c>
      <c r="C35" s="16"/>
      <c r="D35" s="22">
        <v>856</v>
      </c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>
        <v>1100</v>
      </c>
      <c r="Q35" s="1"/>
      <c r="R35" s="12" t="s">
        <v>382</v>
      </c>
      <c r="S35" s="16"/>
      <c r="T35" s="22">
        <v>246</v>
      </c>
      <c r="U35" s="1"/>
      <c r="V35" s="1"/>
      <c r="W35" s="45" t="s">
        <v>42</v>
      </c>
      <c r="X35" s="40"/>
      <c r="Y35" s="46">
        <f t="shared" ref="Y35:Y36" si="9">+D35+H35+L35+P35+T35</f>
        <v>2202</v>
      </c>
      <c r="Z35" s="1"/>
      <c r="AA35" s="1"/>
      <c r="AB35" s="1"/>
      <c r="AC35" s="1"/>
      <c r="AD35" s="1"/>
      <c r="AE35" s="1"/>
      <c r="AF35" s="1"/>
      <c r="AG35" s="1"/>
      <c r="AH35" s="1"/>
      <c r="AI35" s="70" t="s">
        <v>100</v>
      </c>
      <c r="AJ35" s="70" t="s">
        <v>617</v>
      </c>
      <c r="AK35" s="70" t="s">
        <v>577</v>
      </c>
      <c r="AL35" s="74">
        <v>104020</v>
      </c>
    </row>
    <row r="36" spans="2:38">
      <c r="B36" s="12" t="s">
        <v>44</v>
      </c>
      <c r="C36" s="16"/>
      <c r="D36" s="22"/>
      <c r="E36" s="1"/>
      <c r="F36" s="12" t="s">
        <v>44</v>
      </c>
      <c r="G36" s="16"/>
      <c r="H36" s="22">
        <v>-3898</v>
      </c>
      <c r="I36" s="1"/>
      <c r="J36" s="12" t="s">
        <v>44</v>
      </c>
      <c r="K36" s="16"/>
      <c r="L36" s="22"/>
      <c r="M36" s="1"/>
      <c r="N36" s="12" t="s">
        <v>44</v>
      </c>
      <c r="O36" s="16"/>
      <c r="P36" s="22"/>
      <c r="Q36" s="1"/>
      <c r="R36" s="12" t="s">
        <v>44</v>
      </c>
      <c r="S36" s="16"/>
      <c r="T36" s="22">
        <v>-17</v>
      </c>
      <c r="U36" s="1"/>
      <c r="V36" s="1"/>
      <c r="W36" s="45" t="s">
        <v>43</v>
      </c>
      <c r="X36" s="40"/>
      <c r="Y36" s="46">
        <f t="shared" si="9"/>
        <v>-3915</v>
      </c>
      <c r="Z36" s="1"/>
      <c r="AA36" s="1"/>
      <c r="AB36" s="1"/>
      <c r="AC36" s="1"/>
      <c r="AD36" s="1"/>
      <c r="AE36" s="1"/>
      <c r="AF36" s="1"/>
      <c r="AG36" s="1"/>
      <c r="AH36" s="1"/>
      <c r="AI36" s="70" t="s">
        <v>100</v>
      </c>
      <c r="AJ36" s="70" t="s">
        <v>618</v>
      </c>
      <c r="AK36" s="70" t="s">
        <v>577</v>
      </c>
      <c r="AL36" s="74">
        <v>70000</v>
      </c>
    </row>
    <row r="37" spans="2:38" ht="15.75" thickBot="1">
      <c r="B37" s="12" t="s">
        <v>18</v>
      </c>
      <c r="C37" s="16"/>
      <c r="D37" s="22">
        <f>+SUM(D34:D36)</f>
        <v>1658</v>
      </c>
      <c r="E37" s="1"/>
      <c r="F37" s="12" t="s">
        <v>18</v>
      </c>
      <c r="G37" s="16"/>
      <c r="H37" s="22">
        <f>+SUM(H34:H36)</f>
        <v>-3898</v>
      </c>
      <c r="I37" s="1"/>
      <c r="J37" s="12" t="s">
        <v>18</v>
      </c>
      <c r="K37" s="16"/>
      <c r="L37" s="22">
        <f>+SUM(L34:L36)</f>
        <v>1073</v>
      </c>
      <c r="M37" s="1"/>
      <c r="N37" s="12" t="s">
        <v>18</v>
      </c>
      <c r="O37" s="16"/>
      <c r="P37" s="22">
        <f>+SUM(P34:P36)</f>
        <v>6844</v>
      </c>
      <c r="Q37" s="1"/>
      <c r="R37" s="12" t="s">
        <v>18</v>
      </c>
      <c r="S37" s="16"/>
      <c r="T37" s="22">
        <f>+SUM(T34:T36)</f>
        <v>229</v>
      </c>
      <c r="U37" s="1"/>
      <c r="V37" s="1"/>
      <c r="W37" s="33" t="s">
        <v>18</v>
      </c>
      <c r="X37" s="34"/>
      <c r="Y37" s="35">
        <f>+SUM(Y34:Y36)</f>
        <v>5906</v>
      </c>
      <c r="Z37" s="1"/>
      <c r="AA37" s="1"/>
      <c r="AB37" s="60" t="s">
        <v>39</v>
      </c>
      <c r="AC37" s="60"/>
      <c r="AD37" s="60"/>
      <c r="AE37" s="60"/>
      <c r="AF37" s="55">
        <f>+SUM(AF23:AF36)</f>
        <v>213872</v>
      </c>
      <c r="AG37" s="1"/>
      <c r="AH37" s="1"/>
      <c r="AI37" s="79" t="s">
        <v>39</v>
      </c>
      <c r="AJ37" s="79"/>
      <c r="AK37" s="79"/>
      <c r="AL37" s="85">
        <f>+SUM(AL23:AL36)</f>
        <v>399622</v>
      </c>
    </row>
    <row r="38" spans="2:38" ht="16.5" thickTop="1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 t="e">
        <f>+Y30+Y37</f>
        <v>#REF!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B2:AL44"/>
  <sheetViews>
    <sheetView zoomScale="80" zoomScaleNormal="80" workbookViewId="0">
      <selection activeCell="AC14" sqref="AC14:AD15"/>
    </sheetView>
  </sheetViews>
  <sheetFormatPr defaultRowHeight="15"/>
  <cols>
    <col min="3" max="3" width="13.5703125" bestFit="1" customWidth="1"/>
    <col min="5" max="5" width="1.28515625" customWidth="1"/>
    <col min="7" max="7" width="13.140625" bestFit="1" customWidth="1"/>
    <col min="9" max="9" width="0.5703125" customWidth="1"/>
    <col min="11" max="11" width="14" bestFit="1" customWidth="1"/>
    <col min="12" max="12" width="9.5703125" bestFit="1" customWidth="1"/>
    <col min="13" max="13" width="0.7109375" customWidth="1"/>
    <col min="15" max="15" width="13.140625" bestFit="1" customWidth="1"/>
    <col min="17" max="17" width="0.7109375" customWidth="1"/>
    <col min="21" max="21" width="0.5703125" customWidth="1"/>
    <col min="22" max="22" width="1.85546875" customWidth="1"/>
    <col min="25" max="25" width="9.5703125" bestFit="1" customWidth="1"/>
    <col min="26" max="26" width="2" customWidth="1"/>
    <col min="27" max="27" width="1.140625" customWidth="1"/>
    <col min="29" max="29" width="11.140625" bestFit="1" customWidth="1"/>
    <col min="33" max="33" width="4" customWidth="1"/>
    <col min="34" max="34" width="9.140625" hidden="1" customWidth="1"/>
  </cols>
  <sheetData>
    <row r="2" spans="2:38" ht="15.75" thickBot="1"/>
    <row r="3" spans="2:38">
      <c r="B3" s="111" t="s">
        <v>127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0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86</v>
      </c>
      <c r="D6" s="36">
        <f>+C6*B6</f>
        <v>860</v>
      </c>
      <c r="E6" s="1"/>
      <c r="F6" s="2">
        <v>10</v>
      </c>
      <c r="G6" s="2">
        <v>89</v>
      </c>
      <c r="H6" s="36">
        <f>+G6*F6</f>
        <v>890</v>
      </c>
      <c r="I6" s="1"/>
      <c r="J6" s="2">
        <v>10</v>
      </c>
      <c r="K6" s="2">
        <v>93</v>
      </c>
      <c r="L6" s="36">
        <f>+K6*J6</f>
        <v>930</v>
      </c>
      <c r="M6" s="1"/>
      <c r="N6" s="2">
        <v>10</v>
      </c>
      <c r="O6" s="2">
        <v>2</v>
      </c>
      <c r="P6" s="36">
        <f>+O6*N6</f>
        <v>20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270</v>
      </c>
      <c r="Y6" s="37">
        <f>+D6+H6+L6+P6+T6</f>
        <v>2700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34</v>
      </c>
      <c r="D7" s="36">
        <f t="shared" ref="D7:D12" si="1">+C7*B7</f>
        <v>680</v>
      </c>
      <c r="E7" s="1"/>
      <c r="F7" s="2">
        <v>20</v>
      </c>
      <c r="G7" s="2">
        <v>8</v>
      </c>
      <c r="H7" s="36">
        <f t="shared" ref="H7:H12" si="2">+G7*F7</f>
        <v>160</v>
      </c>
      <c r="I7" s="1"/>
      <c r="J7" s="2">
        <v>20</v>
      </c>
      <c r="K7" s="2">
        <v>25</v>
      </c>
      <c r="L7" s="36">
        <f t="shared" ref="L7:L12" si="3">+K7*J7</f>
        <v>500</v>
      </c>
      <c r="M7" s="1"/>
      <c r="N7" s="2">
        <v>20</v>
      </c>
      <c r="O7" s="2">
        <v>3</v>
      </c>
      <c r="P7" s="36">
        <f t="shared" ref="P7:P12" si="4">+O7*N7</f>
        <v>60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70</v>
      </c>
      <c r="Y7" s="37">
        <f t="shared" ref="Y7:Y12" si="6">+D7+H7+L7+P7+T7</f>
        <v>1400</v>
      </c>
      <c r="Z7" s="13"/>
      <c r="AA7" s="1"/>
      <c r="AB7" s="56" t="s">
        <v>10</v>
      </c>
      <c r="AC7" s="57">
        <f>Y13</f>
        <v>333700</v>
      </c>
      <c r="AD7" s="26"/>
      <c r="AE7" s="26"/>
      <c r="AF7" s="26"/>
      <c r="AG7" s="26"/>
      <c r="AH7" s="1"/>
      <c r="AI7" s="2">
        <v>10</v>
      </c>
      <c r="AJ7" s="2">
        <v>491</v>
      </c>
      <c r="AK7" s="36">
        <f t="shared" si="0"/>
        <v>4910</v>
      </c>
      <c r="AL7" s="1"/>
    </row>
    <row r="8" spans="2:38">
      <c r="B8" s="2">
        <v>50</v>
      </c>
      <c r="C8" s="2">
        <v>111</v>
      </c>
      <c r="D8" s="36">
        <f t="shared" si="1"/>
        <v>5550</v>
      </c>
      <c r="E8" s="1"/>
      <c r="F8" s="2">
        <v>50</v>
      </c>
      <c r="G8" s="2">
        <v>74</v>
      </c>
      <c r="H8" s="36">
        <f t="shared" si="2"/>
        <v>3700</v>
      </c>
      <c r="I8" s="1"/>
      <c r="J8" s="2">
        <v>50</v>
      </c>
      <c r="K8" s="2">
        <v>34</v>
      </c>
      <c r="L8" s="36">
        <f t="shared" si="3"/>
        <v>1700</v>
      </c>
      <c r="M8" s="1"/>
      <c r="N8" s="2">
        <v>50</v>
      </c>
      <c r="O8" s="2">
        <v>11</v>
      </c>
      <c r="P8" s="36">
        <f t="shared" si="4"/>
        <v>550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230</v>
      </c>
      <c r="Y8" s="37">
        <f t="shared" si="6"/>
        <v>11500</v>
      </c>
      <c r="Z8" s="13"/>
      <c r="AA8" s="1"/>
      <c r="AB8" s="53" t="s">
        <v>11</v>
      </c>
      <c r="AC8" s="53">
        <f>+AF37</f>
        <v>217440</v>
      </c>
      <c r="AD8" s="1"/>
      <c r="AE8" s="1"/>
      <c r="AF8" s="1"/>
      <c r="AG8" s="1"/>
      <c r="AH8" s="1"/>
      <c r="AI8" s="2">
        <v>20</v>
      </c>
      <c r="AJ8" s="2">
        <v>72</v>
      </c>
      <c r="AK8" s="36">
        <f t="shared" si="0"/>
        <v>1440</v>
      </c>
      <c r="AL8" s="1"/>
    </row>
    <row r="9" spans="2:38" ht="15.75" thickBot="1">
      <c r="B9" s="2">
        <v>100</v>
      </c>
      <c r="C9" s="2">
        <v>66</v>
      </c>
      <c r="D9" s="36">
        <f t="shared" si="1"/>
        <v>6600</v>
      </c>
      <c r="E9" s="1"/>
      <c r="F9" s="2">
        <v>100</v>
      </c>
      <c r="G9" s="2">
        <v>84</v>
      </c>
      <c r="H9" s="36">
        <f t="shared" si="2"/>
        <v>8400</v>
      </c>
      <c r="I9" s="1"/>
      <c r="J9" s="2">
        <v>100</v>
      </c>
      <c r="K9" s="2">
        <v>38</v>
      </c>
      <c r="L9" s="36">
        <f t="shared" si="3"/>
        <v>3800</v>
      </c>
      <c r="M9" s="1"/>
      <c r="N9" s="2">
        <v>100</v>
      </c>
      <c r="O9" s="2">
        <v>8</v>
      </c>
      <c r="P9" s="36">
        <f t="shared" si="4"/>
        <v>800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196</v>
      </c>
      <c r="Y9" s="37">
        <f t="shared" si="6"/>
        <v>19600</v>
      </c>
      <c r="Z9" s="13"/>
      <c r="AA9" s="1"/>
      <c r="AB9" s="58" t="s">
        <v>12</v>
      </c>
      <c r="AC9" s="59">
        <f>SUM(AC7:AC8)</f>
        <v>551140</v>
      </c>
      <c r="AD9" s="1"/>
      <c r="AE9" s="1"/>
      <c r="AF9" s="1"/>
      <c r="AG9" s="1"/>
      <c r="AH9" s="1"/>
      <c r="AI9" s="2">
        <v>50</v>
      </c>
      <c r="AJ9" s="2">
        <v>271</v>
      </c>
      <c r="AK9" s="36">
        <f t="shared" si="0"/>
        <v>13550</v>
      </c>
      <c r="AL9" s="1"/>
    </row>
    <row r="10" spans="2:38">
      <c r="B10" s="2">
        <v>500</v>
      </c>
      <c r="C10" s="2">
        <v>29</v>
      </c>
      <c r="D10" s="36">
        <f t="shared" si="1"/>
        <v>14500</v>
      </c>
      <c r="E10" s="1"/>
      <c r="F10" s="2">
        <v>500</v>
      </c>
      <c r="G10" s="2">
        <v>31</v>
      </c>
      <c r="H10" s="36">
        <f t="shared" si="2"/>
        <v>15500</v>
      </c>
      <c r="I10" s="1"/>
      <c r="J10" s="2">
        <v>500</v>
      </c>
      <c r="K10" s="2">
        <v>68</v>
      </c>
      <c r="L10" s="36">
        <f t="shared" si="3"/>
        <v>34000</v>
      </c>
      <c r="M10" s="1"/>
      <c r="N10" s="2">
        <v>500</v>
      </c>
      <c r="O10" s="2">
        <v>39</v>
      </c>
      <c r="P10" s="36">
        <f t="shared" si="4"/>
        <v>19500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167</v>
      </c>
      <c r="Y10" s="37">
        <f t="shared" si="6"/>
        <v>83500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304</v>
      </c>
      <c r="AK10" s="36">
        <f t="shared" si="0"/>
        <v>30400</v>
      </c>
      <c r="AL10" s="1"/>
    </row>
    <row r="11" spans="2:38">
      <c r="B11" s="2">
        <v>1000</v>
      </c>
      <c r="C11" s="2">
        <v>31</v>
      </c>
      <c r="D11" s="36">
        <f t="shared" si="1"/>
        <v>31000</v>
      </c>
      <c r="E11" s="1"/>
      <c r="F11" s="2">
        <v>1000</v>
      </c>
      <c r="G11" s="2">
        <v>58</v>
      </c>
      <c r="H11" s="36">
        <f t="shared" si="2"/>
        <v>58000</v>
      </c>
      <c r="I11" s="1"/>
      <c r="J11" s="2">
        <v>1000</v>
      </c>
      <c r="K11" s="2">
        <v>60</v>
      </c>
      <c r="L11" s="36">
        <f t="shared" si="3"/>
        <v>60000</v>
      </c>
      <c r="M11" s="1"/>
      <c r="N11" s="2">
        <v>1000</v>
      </c>
      <c r="O11" s="2">
        <v>41</v>
      </c>
      <c r="P11" s="36">
        <f t="shared" si="4"/>
        <v>41000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190</v>
      </c>
      <c r="Y11" s="37">
        <f t="shared" si="6"/>
        <v>190000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284</v>
      </c>
      <c r="AK11" s="36">
        <f t="shared" si="0"/>
        <v>142000</v>
      </c>
      <c r="AL11" s="1"/>
    </row>
    <row r="12" spans="2:38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/>
      <c r="H12" s="36">
        <f t="shared" si="2"/>
        <v>0</v>
      </c>
      <c r="I12" s="1"/>
      <c r="J12" s="2">
        <v>5000</v>
      </c>
      <c r="K12" s="2">
        <v>1</v>
      </c>
      <c r="L12" s="36">
        <f t="shared" si="3"/>
        <v>5000</v>
      </c>
      <c r="M12" s="1"/>
      <c r="N12" s="2">
        <v>5000</v>
      </c>
      <c r="O12" s="2">
        <v>3</v>
      </c>
      <c r="P12" s="36">
        <f t="shared" si="4"/>
        <v>15000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5</v>
      </c>
      <c r="Y12" s="37">
        <f t="shared" si="6"/>
        <v>25000</v>
      </c>
      <c r="Z12" s="13"/>
      <c r="AA12" s="1"/>
      <c r="AB12" s="1" t="s">
        <v>17</v>
      </c>
      <c r="AC12" s="5">
        <v>544300</v>
      </c>
      <c r="AD12" s="1">
        <v>4973962</v>
      </c>
      <c r="AE12" s="52" t="s">
        <v>681</v>
      </c>
      <c r="AF12" s="1" t="s">
        <v>110</v>
      </c>
      <c r="AG12" s="1"/>
      <c r="AH12" s="1"/>
      <c r="AI12" s="2">
        <v>1000</v>
      </c>
      <c r="AJ12" s="2">
        <v>264</v>
      </c>
      <c r="AK12" s="36">
        <f t="shared" si="0"/>
        <v>264000</v>
      </c>
      <c r="AL12" s="1"/>
    </row>
    <row r="13" spans="2:38" ht="15.75" thickBot="1">
      <c r="B13" s="3" t="s">
        <v>18</v>
      </c>
      <c r="C13" s="3"/>
      <c r="D13" s="6">
        <f>+SUM(D5:D12)</f>
        <v>64190</v>
      </c>
      <c r="E13" s="1"/>
      <c r="F13" s="3" t="s">
        <v>18</v>
      </c>
      <c r="G13" s="3"/>
      <c r="H13" s="6">
        <f>+SUM(H5:H12)</f>
        <v>86650</v>
      </c>
      <c r="I13" s="1"/>
      <c r="J13" s="3" t="s">
        <v>18</v>
      </c>
      <c r="K13" s="3"/>
      <c r="L13" s="6">
        <f>+SUM(L5:L12)</f>
        <v>105930</v>
      </c>
      <c r="M13" s="1"/>
      <c r="N13" s="3" t="s">
        <v>18</v>
      </c>
      <c r="O13" s="3"/>
      <c r="P13" s="6">
        <f>+SUM(P5:P12)</f>
        <v>76930</v>
      </c>
      <c r="Q13" s="1"/>
      <c r="R13" s="3" t="s">
        <v>18</v>
      </c>
      <c r="S13" s="3"/>
      <c r="T13" s="6">
        <f>+SUM(T5:T12)</f>
        <v>0</v>
      </c>
      <c r="U13" s="1"/>
      <c r="V13" s="12"/>
      <c r="W13" s="3" t="s">
        <v>18</v>
      </c>
      <c r="X13" s="3"/>
      <c r="Y13" s="6">
        <f>+SUM(Y5:Y12)</f>
        <v>333700</v>
      </c>
      <c r="Z13" s="13"/>
      <c r="AA13" s="1"/>
      <c r="AB13" s="1" t="s">
        <v>19</v>
      </c>
      <c r="AC13" s="5">
        <v>2000</v>
      </c>
      <c r="AD13" s="1"/>
      <c r="AE13" s="1"/>
      <c r="AF13" s="1"/>
      <c r="AG13" s="1"/>
      <c r="AH13" s="1"/>
      <c r="AI13" s="2">
        <v>5000</v>
      </c>
      <c r="AJ13" s="2">
        <v>18</v>
      </c>
      <c r="AK13" s="36">
        <f t="shared" si="0"/>
        <v>90000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658</v>
      </c>
      <c r="AC14" s="100"/>
      <c r="AD14" s="101">
        <v>19500</v>
      </c>
      <c r="AE14" s="1"/>
      <c r="AF14" s="1"/>
      <c r="AG14" s="1"/>
      <c r="AH14" s="1"/>
      <c r="AI14" s="3" t="s">
        <v>18</v>
      </c>
      <c r="AJ14" s="3"/>
      <c r="AK14" s="6">
        <f>+SUM(AK6:AK13)</f>
        <v>546300</v>
      </c>
      <c r="AL14" s="1"/>
    </row>
    <row r="15" spans="2:38" ht="15.75" thickBot="1">
      <c r="B15" s="109" t="s">
        <v>21</v>
      </c>
      <c r="C15" s="110"/>
      <c r="D15" s="8">
        <v>73730</v>
      </c>
      <c r="E15" s="30"/>
      <c r="F15" s="109" t="s">
        <v>21</v>
      </c>
      <c r="G15" s="110"/>
      <c r="H15" s="8">
        <v>91600</v>
      </c>
      <c r="I15" s="30"/>
      <c r="J15" s="109" t="s">
        <v>21</v>
      </c>
      <c r="K15" s="110"/>
      <c r="L15" s="8">
        <v>123499</v>
      </c>
      <c r="M15" s="30"/>
      <c r="N15" s="109" t="s">
        <v>21</v>
      </c>
      <c r="O15" s="110"/>
      <c r="P15" s="8">
        <v>86060</v>
      </c>
      <c r="Q15" s="30"/>
      <c r="R15" s="109" t="s">
        <v>21</v>
      </c>
      <c r="S15" s="110"/>
      <c r="T15" s="8"/>
      <c r="U15" s="30"/>
      <c r="V15" s="31"/>
      <c r="W15" s="109" t="s">
        <v>21</v>
      </c>
      <c r="X15" s="110"/>
      <c r="Y15" s="8">
        <f>+D15+H15+L15+P15+T15</f>
        <v>374889</v>
      </c>
      <c r="Z15" s="32"/>
      <c r="AA15" s="30"/>
      <c r="AB15" s="1" t="s">
        <v>657</v>
      </c>
      <c r="AC15" s="100">
        <v>5000</v>
      </c>
      <c r="AD15" s="10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64190</v>
      </c>
      <c r="E16" s="1"/>
      <c r="F16" s="1" t="s">
        <v>10</v>
      </c>
      <c r="G16" s="1"/>
      <c r="H16" s="5">
        <f>+H13</f>
        <v>86650</v>
      </c>
      <c r="I16" s="1"/>
      <c r="J16" s="1" t="s">
        <v>10</v>
      </c>
      <c r="K16" s="1"/>
      <c r="L16" s="5">
        <f>+L13</f>
        <v>105930</v>
      </c>
      <c r="M16" s="1"/>
      <c r="N16" s="1" t="s">
        <v>10</v>
      </c>
      <c r="O16" s="1"/>
      <c r="P16" s="5">
        <f>+P13</f>
        <v>76930</v>
      </c>
      <c r="Q16" s="1"/>
      <c r="R16" s="1" t="s">
        <v>10</v>
      </c>
      <c r="S16" s="1"/>
      <c r="T16" s="5">
        <f>+T13</f>
        <v>0</v>
      </c>
      <c r="U16" s="1"/>
      <c r="V16" s="12"/>
      <c r="W16" s="40" t="s">
        <v>10</v>
      </c>
      <c r="X16" s="40"/>
      <c r="Y16" s="37">
        <f>+D16+H16+L16+P16+T16</f>
        <v>333700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551300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530</v>
      </c>
      <c r="C18" s="1" t="s">
        <v>652</v>
      </c>
      <c r="D18" s="5">
        <v>9000</v>
      </c>
      <c r="E18" s="1"/>
      <c r="F18" s="1" t="s">
        <v>532</v>
      </c>
      <c r="G18" s="1" t="s">
        <v>654</v>
      </c>
      <c r="H18" s="5">
        <v>4955</v>
      </c>
      <c r="I18" s="1"/>
      <c r="J18" s="1" t="s">
        <v>565</v>
      </c>
      <c r="K18" s="1" t="s">
        <v>649</v>
      </c>
      <c r="L18" s="5">
        <v>4479</v>
      </c>
      <c r="M18" s="1"/>
      <c r="N18" s="1" t="s">
        <v>393</v>
      </c>
      <c r="O18" s="1" t="s">
        <v>653</v>
      </c>
      <c r="P18" s="5">
        <v>8800</v>
      </c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27234</v>
      </c>
      <c r="Z18" s="13"/>
      <c r="AA18" s="1"/>
      <c r="AB18" s="50" t="s">
        <v>25</v>
      </c>
      <c r="AC18" s="51">
        <f>+AC17-AC9</f>
        <v>160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27</v>
      </c>
      <c r="C19" s="1"/>
      <c r="D19" s="5"/>
      <c r="E19" s="1"/>
      <c r="F19" s="1" t="s">
        <v>27</v>
      </c>
      <c r="G19" s="1"/>
      <c r="H19" s="5"/>
      <c r="I19" s="1"/>
      <c r="J19" s="1" t="s">
        <v>636</v>
      </c>
      <c r="K19" s="1" t="s">
        <v>650</v>
      </c>
      <c r="L19" s="5">
        <v>4796</v>
      </c>
      <c r="M19" s="1"/>
      <c r="N19" s="1" t="s">
        <v>27</v>
      </c>
      <c r="O19" s="1"/>
      <c r="P19" s="5"/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4796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532</v>
      </c>
      <c r="K20" s="1" t="s">
        <v>651</v>
      </c>
      <c r="L20" s="5">
        <v>3873</v>
      </c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3873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36</v>
      </c>
      <c r="K23" s="1" t="s">
        <v>469</v>
      </c>
      <c r="L23" s="5">
        <v>2500</v>
      </c>
      <c r="M23" s="1"/>
      <c r="N23" s="1" t="s">
        <v>47</v>
      </c>
      <c r="O23" s="1"/>
      <c r="P23" s="5"/>
      <c r="Q23" s="1"/>
      <c r="R23" s="1" t="s">
        <v>36</v>
      </c>
      <c r="S23" s="1"/>
      <c r="T23" s="5"/>
      <c r="U23" s="1"/>
      <c r="V23" s="12"/>
      <c r="W23" s="40" t="s">
        <v>36</v>
      </c>
      <c r="X23" s="40"/>
      <c r="Y23" s="37">
        <f t="shared" si="8"/>
        <v>2500</v>
      </c>
      <c r="Z23" s="13"/>
      <c r="AA23" s="1"/>
      <c r="AB23" s="16" t="s">
        <v>98</v>
      </c>
      <c r="AC23" s="83">
        <v>45927</v>
      </c>
      <c r="AD23" s="16" t="s">
        <v>332</v>
      </c>
      <c r="AE23" s="70" t="s">
        <v>598</v>
      </c>
      <c r="AF23" s="16">
        <v>5000</v>
      </c>
      <c r="AG23" s="1"/>
      <c r="AH23" s="1"/>
      <c r="AI23" s="70" t="s">
        <v>100</v>
      </c>
      <c r="AJ23" s="70" t="s">
        <v>133</v>
      </c>
      <c r="AK23" s="70" t="s">
        <v>261</v>
      </c>
      <c r="AL23" s="73">
        <v>14563</v>
      </c>
    </row>
    <row r="24" spans="2:38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47</v>
      </c>
      <c r="O24" s="1"/>
      <c r="P24" s="5"/>
      <c r="Q24" s="1"/>
      <c r="R24" s="1" t="s">
        <v>37</v>
      </c>
      <c r="S24" s="1"/>
      <c r="T24" s="5"/>
      <c r="U24" s="1"/>
      <c r="V24" s="12"/>
      <c r="W24" s="40" t="s">
        <v>37</v>
      </c>
      <c r="X24" s="40"/>
      <c r="Y24" s="37">
        <f t="shared" si="8"/>
        <v>0</v>
      </c>
      <c r="Z24" s="13"/>
      <c r="AA24" s="1"/>
      <c r="AB24" s="20" t="s">
        <v>659</v>
      </c>
      <c r="AC24" s="95">
        <v>45943</v>
      </c>
      <c r="AD24" s="16" t="s">
        <v>443</v>
      </c>
      <c r="AE24" s="16"/>
      <c r="AF24" s="16">
        <v>25913</v>
      </c>
      <c r="AG24" s="1"/>
      <c r="AH24" s="1"/>
      <c r="AI24" s="70" t="s">
        <v>100</v>
      </c>
      <c r="AJ24" s="70" t="s">
        <v>673</v>
      </c>
      <c r="AK24" s="70" t="s">
        <v>550</v>
      </c>
      <c r="AL24" s="74">
        <v>32400</v>
      </c>
    </row>
    <row r="25" spans="2:38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47</v>
      </c>
      <c r="O25" s="1"/>
      <c r="P25" s="5"/>
      <c r="Q25" s="1"/>
      <c r="R25" s="1" t="s">
        <v>38</v>
      </c>
      <c r="S25" s="1"/>
      <c r="T25" s="5"/>
      <c r="U25" s="1"/>
      <c r="V25" s="12"/>
      <c r="W25" s="40" t="s">
        <v>38</v>
      </c>
      <c r="X25" s="40"/>
      <c r="Y25" s="37">
        <f t="shared" si="8"/>
        <v>0</v>
      </c>
      <c r="Z25" s="13"/>
      <c r="AA25" s="1"/>
      <c r="AB25" s="20" t="s">
        <v>660</v>
      </c>
      <c r="AC25" s="95">
        <v>45940</v>
      </c>
      <c r="AD25" s="16" t="s">
        <v>203</v>
      </c>
      <c r="AE25" s="16"/>
      <c r="AF25" s="16">
        <v>21236</v>
      </c>
      <c r="AG25" s="1"/>
      <c r="AH25" s="1"/>
      <c r="AI25" s="70" t="s">
        <v>100</v>
      </c>
      <c r="AJ25" s="70" t="s">
        <v>674</v>
      </c>
      <c r="AK25" s="70" t="s">
        <v>667</v>
      </c>
      <c r="AL25" s="74">
        <v>96500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20" t="s">
        <v>661</v>
      </c>
      <c r="AC26" s="95">
        <v>45941</v>
      </c>
      <c r="AD26" s="16" t="s">
        <v>422</v>
      </c>
      <c r="AE26" s="16"/>
      <c r="AF26" s="20">
        <v>87420</v>
      </c>
      <c r="AG26" s="1"/>
      <c r="AH26" s="1"/>
      <c r="AI26" s="70" t="s">
        <v>100</v>
      </c>
      <c r="AJ26" s="70" t="s">
        <v>239</v>
      </c>
      <c r="AK26" s="70" t="s">
        <v>668</v>
      </c>
      <c r="AL26" s="73">
        <v>58840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20" t="s">
        <v>662</v>
      </c>
      <c r="AC27" s="77">
        <v>45946</v>
      </c>
      <c r="AD27" s="16" t="s">
        <v>521</v>
      </c>
      <c r="AE27" s="16"/>
      <c r="AF27" s="20">
        <v>31085</v>
      </c>
      <c r="AG27" s="1"/>
      <c r="AH27" s="1"/>
      <c r="AI27" s="70" t="s">
        <v>65</v>
      </c>
      <c r="AJ27" s="70" t="s">
        <v>281</v>
      </c>
      <c r="AK27" s="70" t="s">
        <v>669</v>
      </c>
      <c r="AL27" s="73">
        <v>10100</v>
      </c>
    </row>
    <row r="28" spans="2:38" ht="15.75" thickBot="1">
      <c r="B28" s="114" t="s">
        <v>12</v>
      </c>
      <c r="C28" s="115"/>
      <c r="D28" s="9">
        <f>+SUM(D16:D27)</f>
        <v>73190</v>
      </c>
      <c r="E28" s="1"/>
      <c r="F28" s="114" t="s">
        <v>12</v>
      </c>
      <c r="G28" s="115"/>
      <c r="H28" s="9">
        <f>+SUM(H16:H27)</f>
        <v>91605</v>
      </c>
      <c r="I28" s="1"/>
      <c r="J28" s="114" t="s">
        <v>12</v>
      </c>
      <c r="K28" s="115"/>
      <c r="L28" s="9">
        <f>+SUM(L16:L27)</f>
        <v>121578</v>
      </c>
      <c r="M28" s="1"/>
      <c r="N28" s="114" t="s">
        <v>12</v>
      </c>
      <c r="O28" s="115"/>
      <c r="P28" s="9">
        <f>+SUM(P16:P27)</f>
        <v>85730</v>
      </c>
      <c r="Q28" s="1"/>
      <c r="R28" s="114" t="s">
        <v>12</v>
      </c>
      <c r="S28" s="115"/>
      <c r="T28" s="9">
        <f>+SUM(T16:T27)</f>
        <v>0</v>
      </c>
      <c r="U28" s="1"/>
      <c r="V28" s="12"/>
      <c r="W28" s="114" t="s">
        <v>12</v>
      </c>
      <c r="X28" s="115"/>
      <c r="Y28" s="9">
        <f>+SUM(Y16:Y27)</f>
        <v>372103</v>
      </c>
      <c r="Z28" s="13"/>
      <c r="AA28" s="1"/>
      <c r="AB28" s="20" t="s">
        <v>663</v>
      </c>
      <c r="AC28" s="96">
        <v>45933</v>
      </c>
      <c r="AD28" s="16" t="s">
        <v>203</v>
      </c>
      <c r="AE28" s="16"/>
      <c r="AF28" s="20">
        <v>16226</v>
      </c>
      <c r="AG28" s="1"/>
      <c r="AH28" s="1"/>
      <c r="AI28" s="70" t="s">
        <v>97</v>
      </c>
      <c r="AJ28" s="70" t="s">
        <v>324</v>
      </c>
      <c r="AK28" s="70" t="s">
        <v>88</v>
      </c>
      <c r="AL28" s="73">
        <v>5600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20" t="s">
        <v>664</v>
      </c>
      <c r="AC29" s="95">
        <v>45940</v>
      </c>
      <c r="AD29" s="16" t="s">
        <v>159</v>
      </c>
      <c r="AE29" s="16"/>
      <c r="AF29" s="20">
        <v>20560</v>
      </c>
      <c r="AG29" s="1"/>
      <c r="AH29" s="1"/>
      <c r="AI29" s="70" t="s">
        <v>65</v>
      </c>
      <c r="AJ29" s="70" t="s">
        <v>331</v>
      </c>
      <c r="AK29" s="70" t="s">
        <v>96</v>
      </c>
      <c r="AL29" s="74">
        <v>11412</v>
      </c>
    </row>
    <row r="30" spans="2:38" ht="15.75" thickBot="1">
      <c r="B30" s="116" t="s">
        <v>40</v>
      </c>
      <c r="C30" s="116"/>
      <c r="D30" s="7">
        <f>+D28-D15</f>
        <v>-540</v>
      </c>
      <c r="E30" s="1"/>
      <c r="F30" s="116" t="s">
        <v>40</v>
      </c>
      <c r="G30" s="116"/>
      <c r="H30" s="7">
        <f>+H28-H15</f>
        <v>5</v>
      </c>
      <c r="I30" s="1"/>
      <c r="J30" s="116" t="s">
        <v>40</v>
      </c>
      <c r="K30" s="116"/>
      <c r="L30" s="7">
        <f>+L28-L15</f>
        <v>-1921</v>
      </c>
      <c r="M30" s="1"/>
      <c r="N30" s="116" t="s">
        <v>40</v>
      </c>
      <c r="O30" s="116"/>
      <c r="P30" s="7">
        <f>+P28-P15</f>
        <v>-330</v>
      </c>
      <c r="Q30" s="1"/>
      <c r="R30" s="116" t="s">
        <v>40</v>
      </c>
      <c r="S30" s="116"/>
      <c r="T30" s="7">
        <f>+T28-T15</f>
        <v>0</v>
      </c>
      <c r="U30" s="1"/>
      <c r="V30" s="12"/>
      <c r="W30" s="113" t="s">
        <v>40</v>
      </c>
      <c r="X30" s="113"/>
      <c r="Y30" s="41">
        <f>+Y28-Y15</f>
        <v>-2786</v>
      </c>
      <c r="Z30" s="13"/>
      <c r="AA30" s="1"/>
      <c r="AB30" s="20" t="s">
        <v>665</v>
      </c>
      <c r="AC30" s="96">
        <v>45936</v>
      </c>
      <c r="AD30" s="16" t="s">
        <v>104</v>
      </c>
      <c r="AE30" s="16"/>
      <c r="AF30" s="20">
        <v>10000</v>
      </c>
      <c r="AG30" s="1"/>
      <c r="AH30" s="1"/>
      <c r="AI30" s="70" t="s">
        <v>65</v>
      </c>
      <c r="AJ30" s="70" t="s">
        <v>675</v>
      </c>
      <c r="AK30" s="70" t="s">
        <v>93</v>
      </c>
      <c r="AL30" s="73">
        <v>5940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6"/>
      <c r="AC31" s="16"/>
      <c r="AD31" s="16"/>
      <c r="AE31" s="16"/>
      <c r="AF31" s="20"/>
      <c r="AG31" s="1"/>
      <c r="AH31" s="1"/>
      <c r="AI31" s="70" t="s">
        <v>67</v>
      </c>
      <c r="AJ31" s="70" t="s">
        <v>676</v>
      </c>
      <c r="AK31" s="70" t="s">
        <v>388</v>
      </c>
      <c r="AL31" s="74">
        <v>11486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70" t="s">
        <v>97</v>
      </c>
      <c r="AJ32" s="70" t="s">
        <v>415</v>
      </c>
      <c r="AK32" s="70" t="s">
        <v>670</v>
      </c>
      <c r="AL32" s="74">
        <v>6600</v>
      </c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70" t="s">
        <v>65</v>
      </c>
      <c r="AJ33" s="70" t="s">
        <v>416</v>
      </c>
      <c r="AK33" s="70" t="s">
        <v>338</v>
      </c>
      <c r="AL33" s="74">
        <v>24920</v>
      </c>
    </row>
    <row r="34" spans="2:38">
      <c r="B34" s="10" t="s">
        <v>41</v>
      </c>
      <c r="C34" s="11"/>
      <c r="D34" s="21">
        <v>540</v>
      </c>
      <c r="E34" s="1"/>
      <c r="F34" s="10" t="s">
        <v>41</v>
      </c>
      <c r="G34" s="11"/>
      <c r="H34" s="21"/>
      <c r="I34" s="1"/>
      <c r="J34" s="10" t="s">
        <v>41</v>
      </c>
      <c r="K34" s="11"/>
      <c r="L34" s="21">
        <v>1921</v>
      </c>
      <c r="M34" s="1"/>
      <c r="N34" s="10" t="s">
        <v>41</v>
      </c>
      <c r="O34" s="11"/>
      <c r="P34" s="21"/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2461</v>
      </c>
      <c r="Z34" s="1"/>
      <c r="AA34" s="1"/>
      <c r="AB34" s="1"/>
      <c r="AC34" s="1"/>
      <c r="AD34" s="1"/>
      <c r="AE34" s="1"/>
      <c r="AF34" s="1"/>
      <c r="AG34" s="1"/>
      <c r="AH34" s="1"/>
      <c r="AI34" s="70" t="s">
        <v>98</v>
      </c>
      <c r="AJ34" s="70" t="s">
        <v>417</v>
      </c>
      <c r="AK34" s="70" t="s">
        <v>151</v>
      </c>
      <c r="AL34" s="73">
        <v>4500</v>
      </c>
    </row>
    <row r="35" spans="2:38">
      <c r="B35" s="12" t="s">
        <v>42</v>
      </c>
      <c r="C35" s="16"/>
      <c r="D35" s="22"/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>
        <v>1060</v>
      </c>
      <c r="Q35" s="1"/>
      <c r="R35" s="12" t="s">
        <v>42</v>
      </c>
      <c r="S35" s="16"/>
      <c r="T35" s="22"/>
      <c r="U35" s="1"/>
      <c r="V35" s="1"/>
      <c r="W35" s="45" t="s">
        <v>42</v>
      </c>
      <c r="X35" s="40"/>
      <c r="Y35" s="46">
        <f t="shared" ref="Y35:Y36" si="9">+D35+H35+L35+P35+T35</f>
        <v>1060</v>
      </c>
      <c r="Z35" s="1"/>
      <c r="AA35" s="1"/>
      <c r="AB35" s="1"/>
      <c r="AC35" s="1"/>
      <c r="AD35" s="1"/>
      <c r="AE35" s="1"/>
      <c r="AF35" s="1"/>
      <c r="AG35" s="1"/>
      <c r="AH35" s="1"/>
      <c r="AI35" s="70" t="s">
        <v>98</v>
      </c>
      <c r="AJ35" s="70" t="s">
        <v>418</v>
      </c>
      <c r="AK35" s="70" t="s">
        <v>96</v>
      </c>
      <c r="AL35" s="73">
        <v>5410</v>
      </c>
    </row>
    <row r="36" spans="2:38">
      <c r="B36" s="12" t="s">
        <v>44</v>
      </c>
      <c r="C36" s="16"/>
      <c r="D36" s="22"/>
      <c r="E36" s="1"/>
      <c r="F36" s="12" t="s">
        <v>44</v>
      </c>
      <c r="G36" s="16"/>
      <c r="H36" s="22">
        <v>-5</v>
      </c>
      <c r="I36" s="1"/>
      <c r="J36" s="12" t="s">
        <v>44</v>
      </c>
      <c r="K36" s="16"/>
      <c r="L36" s="22"/>
      <c r="M36" s="1"/>
      <c r="N36" s="12" t="s">
        <v>44</v>
      </c>
      <c r="O36" s="16"/>
      <c r="P36" s="22">
        <v>-730</v>
      </c>
      <c r="Q36" s="1"/>
      <c r="R36" s="12" t="s">
        <v>46</v>
      </c>
      <c r="S36" s="16"/>
      <c r="T36" s="22"/>
      <c r="U36" s="1"/>
      <c r="V36" s="1"/>
      <c r="W36" s="45" t="s">
        <v>43</v>
      </c>
      <c r="X36" s="40"/>
      <c r="Y36" s="46">
        <f t="shared" si="9"/>
        <v>-735</v>
      </c>
      <c r="Z36" s="1"/>
      <c r="AA36" s="1"/>
      <c r="AB36" s="1"/>
      <c r="AC36" s="1"/>
      <c r="AD36" s="1"/>
      <c r="AE36" s="1"/>
      <c r="AF36" s="1"/>
      <c r="AG36" s="1"/>
      <c r="AH36" s="1"/>
      <c r="AI36" s="70" t="s">
        <v>67</v>
      </c>
      <c r="AJ36" s="70" t="s">
        <v>677</v>
      </c>
      <c r="AK36" s="70" t="s">
        <v>312</v>
      </c>
      <c r="AL36" s="74">
        <v>8644</v>
      </c>
    </row>
    <row r="37" spans="2:38" ht="15.75" thickBot="1">
      <c r="B37" s="12" t="s">
        <v>18</v>
      </c>
      <c r="C37" s="16"/>
      <c r="D37" s="22">
        <f>+SUM(D34:D36)</f>
        <v>540</v>
      </c>
      <c r="E37" s="1"/>
      <c r="F37" s="12" t="s">
        <v>18</v>
      </c>
      <c r="G37" s="16"/>
      <c r="H37" s="22">
        <f>+SUM(H34:H36)</f>
        <v>-5</v>
      </c>
      <c r="I37" s="1"/>
      <c r="J37" s="12" t="s">
        <v>18</v>
      </c>
      <c r="K37" s="16"/>
      <c r="L37" s="22">
        <f>+SUM(L34:L36)</f>
        <v>1921</v>
      </c>
      <c r="M37" s="1"/>
      <c r="N37" s="12" t="s">
        <v>18</v>
      </c>
      <c r="O37" s="16"/>
      <c r="P37" s="22">
        <f>+SUM(P34:P36)</f>
        <v>330</v>
      </c>
      <c r="Q37" s="1"/>
      <c r="R37" s="12" t="s">
        <v>18</v>
      </c>
      <c r="S37" s="16"/>
      <c r="T37" s="22">
        <f>+SUM(T34:T36)</f>
        <v>0</v>
      </c>
      <c r="U37" s="1"/>
      <c r="V37" s="1"/>
      <c r="W37" s="33" t="s">
        <v>18</v>
      </c>
      <c r="X37" s="34"/>
      <c r="Y37" s="35">
        <f>+SUM(Y34:Y36)</f>
        <v>2786</v>
      </c>
      <c r="Z37" s="1"/>
      <c r="AA37" s="1"/>
      <c r="AB37" s="60" t="s">
        <v>39</v>
      </c>
      <c r="AC37" s="60"/>
      <c r="AD37" s="60"/>
      <c r="AE37" s="60"/>
      <c r="AF37" s="55">
        <f>+SUM(AF23:AF36)</f>
        <v>217440</v>
      </c>
      <c r="AG37" s="1"/>
      <c r="AH37" s="1"/>
      <c r="AI37" s="70" t="s">
        <v>98</v>
      </c>
      <c r="AJ37" s="70" t="s">
        <v>463</v>
      </c>
      <c r="AK37" s="70" t="s">
        <v>489</v>
      </c>
      <c r="AL37" s="74">
        <v>2994</v>
      </c>
    </row>
    <row r="38" spans="2:38" ht="16.5" thickTop="1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70" t="s">
        <v>578</v>
      </c>
      <c r="AJ38" s="70" t="s">
        <v>467</v>
      </c>
      <c r="AK38" s="70" t="s">
        <v>671</v>
      </c>
      <c r="AL38" s="74">
        <v>4256</v>
      </c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70" t="s">
        <v>100</v>
      </c>
      <c r="AJ39" s="70" t="s">
        <v>678</v>
      </c>
      <c r="AK39" s="70" t="s">
        <v>576</v>
      </c>
      <c r="AL39" s="74">
        <v>15380</v>
      </c>
    </row>
    <row r="40" spans="2:38">
      <c r="AI40" s="70" t="s">
        <v>100</v>
      </c>
      <c r="AJ40" s="70" t="s">
        <v>679</v>
      </c>
      <c r="AK40" s="70" t="s">
        <v>672</v>
      </c>
      <c r="AL40" s="74">
        <v>40500</v>
      </c>
    </row>
    <row r="41" spans="2:38">
      <c r="AI41" s="70" t="s">
        <v>100</v>
      </c>
      <c r="AJ41" s="70" t="s">
        <v>680</v>
      </c>
      <c r="AK41" s="70" t="s">
        <v>577</v>
      </c>
      <c r="AL41" s="74">
        <v>139000</v>
      </c>
    </row>
    <row r="43" spans="2:38" ht="15.75" thickBot="1">
      <c r="AI43" s="60" t="s">
        <v>39</v>
      </c>
      <c r="AJ43" s="60"/>
      <c r="AK43" s="60"/>
      <c r="AL43" s="72">
        <f>+SUM(AL23:AL42)</f>
        <v>499045</v>
      </c>
    </row>
    <row r="44" spans="2:38" ht="15.75" thickTop="1"/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B2:AL39"/>
  <sheetViews>
    <sheetView zoomScale="80" zoomScaleNormal="80" workbookViewId="0">
      <selection activeCell="AD29" sqref="AD29"/>
    </sheetView>
  </sheetViews>
  <sheetFormatPr defaultRowHeight="15"/>
  <cols>
    <col min="4" max="4" width="9.5703125" bestFit="1" customWidth="1"/>
    <col min="5" max="5" width="0.7109375" customWidth="1"/>
    <col min="7" max="7" width="11.5703125" bestFit="1" customWidth="1"/>
    <col min="9" max="9" width="0.5703125" customWidth="1"/>
    <col min="11" max="11" width="14.85546875" bestFit="1" customWidth="1"/>
    <col min="12" max="12" width="9.5703125" bestFit="1" customWidth="1"/>
    <col min="13" max="13" width="0.85546875" customWidth="1"/>
    <col min="16" max="16" width="9.5703125" bestFit="1" customWidth="1"/>
    <col min="17" max="17" width="1.28515625" customWidth="1"/>
    <col min="20" max="20" width="9.140625" customWidth="1"/>
    <col min="21" max="21" width="1.140625" customWidth="1"/>
    <col min="22" max="22" width="2.5703125" customWidth="1"/>
    <col min="25" max="25" width="9.5703125" bestFit="1" customWidth="1"/>
    <col min="26" max="26" width="1.42578125" customWidth="1"/>
    <col min="27" max="27" width="0.85546875" customWidth="1"/>
    <col min="29" max="29" width="10.28515625" bestFit="1" customWidth="1"/>
    <col min="33" max="33" width="1.7109375" customWidth="1"/>
    <col min="34" max="34" width="9.140625" hidden="1" customWidth="1"/>
    <col min="36" max="36" width="15" bestFit="1" customWidth="1"/>
    <col min="37" max="37" width="14.5703125" bestFit="1" customWidth="1"/>
  </cols>
  <sheetData>
    <row r="2" spans="2:38" ht="15.75" thickBot="1"/>
    <row r="3" spans="2:38">
      <c r="B3" s="111" t="s">
        <v>0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0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/>
      <c r="D6" s="36">
        <f>+C6*B6</f>
        <v>0</v>
      </c>
      <c r="E6" s="1"/>
      <c r="F6" s="2">
        <v>10</v>
      </c>
      <c r="G6" s="2">
        <v>79</v>
      </c>
      <c r="H6" s="36">
        <f>+G6*F6</f>
        <v>790</v>
      </c>
      <c r="I6" s="1"/>
      <c r="J6" s="2">
        <v>10</v>
      </c>
      <c r="K6" s="2">
        <v>31</v>
      </c>
      <c r="L6" s="36">
        <f>+K6*J6</f>
        <v>310</v>
      </c>
      <c r="M6" s="1"/>
      <c r="N6" s="2">
        <v>10</v>
      </c>
      <c r="O6" s="2">
        <v>305</v>
      </c>
      <c r="P6" s="36">
        <f>+O6*N6</f>
        <v>3050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415</v>
      </c>
      <c r="Y6" s="37">
        <f>+D6+H6+L6+P6+T6</f>
        <v>4150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/>
      <c r="D7" s="36">
        <f t="shared" ref="D7:D12" si="1">+C7*B7</f>
        <v>0</v>
      </c>
      <c r="E7" s="1"/>
      <c r="F7" s="2">
        <v>20</v>
      </c>
      <c r="G7" s="2">
        <v>19</v>
      </c>
      <c r="H7" s="36">
        <f t="shared" ref="H7:H12" si="2">+G7*F7</f>
        <v>380</v>
      </c>
      <c r="I7" s="1"/>
      <c r="J7" s="2">
        <v>20</v>
      </c>
      <c r="K7" s="2">
        <v>7</v>
      </c>
      <c r="L7" s="36">
        <f t="shared" ref="L7:L12" si="3">+K7*J7</f>
        <v>140</v>
      </c>
      <c r="M7" s="1"/>
      <c r="N7" s="2">
        <v>20</v>
      </c>
      <c r="O7" s="2">
        <v>38</v>
      </c>
      <c r="P7" s="36">
        <f t="shared" ref="P7:P12" si="4">+O7*N7</f>
        <v>760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64</v>
      </c>
      <c r="Y7" s="37">
        <f t="shared" ref="Y7:Y12" si="6">+D7+H7+L7+P7+T7</f>
        <v>1280</v>
      </c>
      <c r="Z7" s="13"/>
      <c r="AA7" s="1"/>
      <c r="AB7" s="56" t="s">
        <v>10</v>
      </c>
      <c r="AC7" s="57">
        <f>Y13</f>
        <v>253430</v>
      </c>
      <c r="AD7" s="26"/>
      <c r="AE7" s="26"/>
      <c r="AF7" s="26"/>
      <c r="AG7" s="26"/>
      <c r="AH7" s="1"/>
      <c r="AI7" s="2">
        <v>10</v>
      </c>
      <c r="AJ7" s="2">
        <v>415</v>
      </c>
      <c r="AK7" s="36">
        <f t="shared" si="0"/>
        <v>4150</v>
      </c>
      <c r="AL7" s="1"/>
    </row>
    <row r="8" spans="2:38">
      <c r="B8" s="2">
        <v>50</v>
      </c>
      <c r="C8" s="2"/>
      <c r="D8" s="36">
        <f t="shared" si="1"/>
        <v>0</v>
      </c>
      <c r="E8" s="1"/>
      <c r="F8" s="2">
        <v>50</v>
      </c>
      <c r="G8" s="2">
        <v>31</v>
      </c>
      <c r="H8" s="36">
        <f t="shared" si="2"/>
        <v>1550</v>
      </c>
      <c r="I8" s="1"/>
      <c r="J8" s="2">
        <v>50</v>
      </c>
      <c r="K8" s="2">
        <v>84</v>
      </c>
      <c r="L8" s="36">
        <f t="shared" si="3"/>
        <v>4200</v>
      </c>
      <c r="M8" s="1"/>
      <c r="N8" s="2">
        <v>50</v>
      </c>
      <c r="O8" s="2">
        <v>39</v>
      </c>
      <c r="P8" s="36">
        <f t="shared" si="4"/>
        <v>1950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154</v>
      </c>
      <c r="Y8" s="37">
        <f t="shared" si="6"/>
        <v>7700</v>
      </c>
      <c r="Z8" s="13"/>
      <c r="AA8" s="1"/>
      <c r="AB8" s="53" t="s">
        <v>11</v>
      </c>
      <c r="AC8" s="53">
        <f>+AF37</f>
        <v>116000</v>
      </c>
      <c r="AD8" s="1"/>
      <c r="AE8" s="1"/>
      <c r="AF8" s="1"/>
      <c r="AG8" s="1"/>
      <c r="AH8" s="1"/>
      <c r="AI8" s="2">
        <v>20</v>
      </c>
      <c r="AJ8" s="2">
        <v>64</v>
      </c>
      <c r="AK8" s="36">
        <f t="shared" si="0"/>
        <v>1280</v>
      </c>
      <c r="AL8" s="1"/>
    </row>
    <row r="9" spans="2:38" ht="15.75" thickBot="1">
      <c r="B9" s="2">
        <v>100</v>
      </c>
      <c r="C9" s="2"/>
      <c r="D9" s="36">
        <f t="shared" si="1"/>
        <v>0</v>
      </c>
      <c r="E9" s="1"/>
      <c r="F9" s="2">
        <v>100</v>
      </c>
      <c r="G9" s="2">
        <v>22</v>
      </c>
      <c r="H9" s="36">
        <f t="shared" si="2"/>
        <v>2200</v>
      </c>
      <c r="I9" s="1"/>
      <c r="J9" s="2">
        <v>100</v>
      </c>
      <c r="K9" s="2">
        <v>55</v>
      </c>
      <c r="L9" s="36">
        <f t="shared" si="3"/>
        <v>5500</v>
      </c>
      <c r="M9" s="1"/>
      <c r="N9" s="2">
        <v>100</v>
      </c>
      <c r="O9" s="2">
        <v>111</v>
      </c>
      <c r="P9" s="36">
        <f t="shared" si="4"/>
        <v>11100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188</v>
      </c>
      <c r="Y9" s="37">
        <f t="shared" si="6"/>
        <v>18800</v>
      </c>
      <c r="Z9" s="13"/>
      <c r="AA9" s="1"/>
      <c r="AB9" s="58" t="s">
        <v>12</v>
      </c>
      <c r="AC9" s="59">
        <f>SUM(AC7:AC8)</f>
        <v>369430</v>
      </c>
      <c r="AD9" s="1"/>
      <c r="AE9" s="1"/>
      <c r="AF9" s="1"/>
      <c r="AG9" s="1"/>
      <c r="AH9" s="1"/>
      <c r="AI9" s="2">
        <v>50</v>
      </c>
      <c r="AJ9" s="2">
        <v>154</v>
      </c>
      <c r="AK9" s="36">
        <f t="shared" si="0"/>
        <v>7700</v>
      </c>
      <c r="AL9" s="1"/>
    </row>
    <row r="10" spans="2:38">
      <c r="B10" s="2">
        <v>500</v>
      </c>
      <c r="C10" s="2"/>
      <c r="D10" s="36">
        <f t="shared" si="1"/>
        <v>0</v>
      </c>
      <c r="E10" s="1"/>
      <c r="F10" s="2">
        <v>500</v>
      </c>
      <c r="G10" s="2">
        <v>24</v>
      </c>
      <c r="H10" s="36">
        <f t="shared" si="2"/>
        <v>12000</v>
      </c>
      <c r="I10" s="1"/>
      <c r="J10" s="2">
        <v>500</v>
      </c>
      <c r="K10" s="2">
        <v>44</v>
      </c>
      <c r="L10" s="36">
        <f t="shared" si="3"/>
        <v>22000</v>
      </c>
      <c r="M10" s="1"/>
      <c r="N10" s="2">
        <v>500</v>
      </c>
      <c r="O10" s="2">
        <v>75</v>
      </c>
      <c r="P10" s="36">
        <f t="shared" si="4"/>
        <v>37500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143</v>
      </c>
      <c r="Y10" s="37">
        <f t="shared" si="6"/>
        <v>71500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188</v>
      </c>
      <c r="AK10" s="36">
        <f t="shared" si="0"/>
        <v>18800</v>
      </c>
      <c r="AL10" s="1"/>
    </row>
    <row r="11" spans="2:38">
      <c r="B11" s="2">
        <v>1000</v>
      </c>
      <c r="C11" s="2"/>
      <c r="D11" s="36">
        <f t="shared" si="1"/>
        <v>0</v>
      </c>
      <c r="E11" s="1"/>
      <c r="F11" s="2">
        <v>1000</v>
      </c>
      <c r="G11" s="2">
        <v>57</v>
      </c>
      <c r="H11" s="36">
        <f t="shared" si="2"/>
        <v>57000</v>
      </c>
      <c r="I11" s="1"/>
      <c r="J11" s="2">
        <v>1000</v>
      </c>
      <c r="K11" s="2">
        <v>39</v>
      </c>
      <c r="L11" s="36">
        <f t="shared" si="3"/>
        <v>39000</v>
      </c>
      <c r="M11" s="1"/>
      <c r="N11" s="2">
        <v>1000</v>
      </c>
      <c r="O11" s="2">
        <v>34</v>
      </c>
      <c r="P11" s="36">
        <f t="shared" si="4"/>
        <v>34000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130</v>
      </c>
      <c r="Y11" s="37">
        <f t="shared" si="6"/>
        <v>130000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163</v>
      </c>
      <c r="AK11" s="36">
        <f t="shared" si="0"/>
        <v>81500</v>
      </c>
      <c r="AL11" s="1"/>
    </row>
    <row r="12" spans="2:38">
      <c r="B12" s="2">
        <v>5000</v>
      </c>
      <c r="C12" s="2"/>
      <c r="D12" s="36">
        <f t="shared" si="1"/>
        <v>0</v>
      </c>
      <c r="E12" s="1"/>
      <c r="F12" s="2">
        <v>5000</v>
      </c>
      <c r="G12" s="2">
        <v>1</v>
      </c>
      <c r="H12" s="36">
        <f t="shared" si="2"/>
        <v>5000</v>
      </c>
      <c r="I12" s="1"/>
      <c r="J12" s="2">
        <v>5000</v>
      </c>
      <c r="K12" s="2">
        <v>1</v>
      </c>
      <c r="L12" s="36">
        <f t="shared" si="3"/>
        <v>5000</v>
      </c>
      <c r="M12" s="1"/>
      <c r="N12" s="2">
        <v>5000</v>
      </c>
      <c r="O12" s="2">
        <v>2</v>
      </c>
      <c r="P12" s="36">
        <f t="shared" si="4"/>
        <v>10000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4</v>
      </c>
      <c r="Y12" s="37">
        <f t="shared" si="6"/>
        <v>20000</v>
      </c>
      <c r="Z12" s="13"/>
      <c r="AA12" s="1"/>
      <c r="AB12" s="1" t="s">
        <v>17</v>
      </c>
      <c r="AC12" s="5">
        <v>365430</v>
      </c>
      <c r="AD12" s="1"/>
      <c r="AE12" s="52"/>
      <c r="AF12" s="1"/>
      <c r="AG12" s="1"/>
      <c r="AH12" s="1"/>
      <c r="AI12" s="2">
        <v>1000</v>
      </c>
      <c r="AJ12" s="2">
        <v>236</v>
      </c>
      <c r="AK12" s="36">
        <f t="shared" si="0"/>
        <v>236000</v>
      </c>
      <c r="AL12" s="1"/>
    </row>
    <row r="13" spans="2:38" ht="15.75" thickBot="1">
      <c r="B13" s="3" t="s">
        <v>18</v>
      </c>
      <c r="C13" s="3"/>
      <c r="D13" s="6">
        <f>+SUM(D5:D12)</f>
        <v>0</v>
      </c>
      <c r="E13" s="1"/>
      <c r="F13" s="3" t="s">
        <v>18</v>
      </c>
      <c r="G13" s="3"/>
      <c r="H13" s="6">
        <f>+SUM(H5:H12)</f>
        <v>78920</v>
      </c>
      <c r="I13" s="1"/>
      <c r="J13" s="3" t="s">
        <v>18</v>
      </c>
      <c r="K13" s="3"/>
      <c r="L13" s="6">
        <f>+SUM(L5:L12)</f>
        <v>76150</v>
      </c>
      <c r="M13" s="1"/>
      <c r="N13" s="3" t="s">
        <v>18</v>
      </c>
      <c r="O13" s="3"/>
      <c r="P13" s="6">
        <f>+SUM(P5:P12)</f>
        <v>98360</v>
      </c>
      <c r="Q13" s="1"/>
      <c r="R13" s="3" t="s">
        <v>18</v>
      </c>
      <c r="S13" s="3"/>
      <c r="T13" s="6">
        <f>+SUM(T5:T12)</f>
        <v>0</v>
      </c>
      <c r="U13" s="1"/>
      <c r="V13" s="12"/>
      <c r="W13" s="3" t="s">
        <v>18</v>
      </c>
      <c r="X13" s="3"/>
      <c r="Y13" s="6">
        <f>+SUM(Y5:Y12)</f>
        <v>253430</v>
      </c>
      <c r="Z13" s="13"/>
      <c r="AA13" s="1"/>
      <c r="AB13" s="1" t="s">
        <v>19</v>
      </c>
      <c r="AC13" s="5">
        <v>4000</v>
      </c>
      <c r="AD13" s="1"/>
      <c r="AE13" s="1"/>
      <c r="AF13" s="1"/>
      <c r="AG13" s="1"/>
      <c r="AH13" s="1"/>
      <c r="AI13" s="2">
        <v>5000</v>
      </c>
      <c r="AJ13" s="2">
        <v>4</v>
      </c>
      <c r="AK13" s="36">
        <f t="shared" si="0"/>
        <v>20000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G14" s="1"/>
      <c r="AH14" s="1"/>
      <c r="AI14" s="3" t="s">
        <v>18</v>
      </c>
      <c r="AJ14" s="3"/>
      <c r="AK14" s="6">
        <f>+SUM(AK6:AK13)</f>
        <v>369430</v>
      </c>
      <c r="AL14" s="1"/>
    </row>
    <row r="15" spans="2:38" ht="15.75" thickBot="1">
      <c r="B15" s="109" t="s">
        <v>21</v>
      </c>
      <c r="C15" s="110"/>
      <c r="D15" s="8"/>
      <c r="E15" s="30"/>
      <c r="F15" s="109" t="s">
        <v>21</v>
      </c>
      <c r="G15" s="110"/>
      <c r="H15" s="8">
        <v>91842</v>
      </c>
      <c r="I15" s="30"/>
      <c r="J15" s="109" t="s">
        <v>21</v>
      </c>
      <c r="K15" s="110"/>
      <c r="L15" s="8">
        <v>103412</v>
      </c>
      <c r="M15" s="30"/>
      <c r="N15" s="109" t="s">
        <v>21</v>
      </c>
      <c r="O15" s="110"/>
      <c r="P15" s="8">
        <v>130299</v>
      </c>
      <c r="Q15" s="30"/>
      <c r="R15" s="109" t="s">
        <v>21</v>
      </c>
      <c r="S15" s="110"/>
      <c r="T15" s="8"/>
      <c r="U15" s="30"/>
      <c r="V15" s="31"/>
      <c r="W15" s="109" t="s">
        <v>21</v>
      </c>
      <c r="X15" s="110"/>
      <c r="Y15" s="8">
        <f>+D15+H15+L15+P15+T15</f>
        <v>325553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0</v>
      </c>
      <c r="E16" s="1"/>
      <c r="F16" s="1" t="s">
        <v>10</v>
      </c>
      <c r="G16" s="1"/>
      <c r="H16" s="5">
        <f>+H13</f>
        <v>78920</v>
      </c>
      <c r="I16" s="1"/>
      <c r="J16" s="1" t="s">
        <v>10</v>
      </c>
      <c r="K16" s="1"/>
      <c r="L16" s="5">
        <f>+L13</f>
        <v>76150</v>
      </c>
      <c r="M16" s="1"/>
      <c r="N16" s="1" t="s">
        <v>10</v>
      </c>
      <c r="O16" s="1"/>
      <c r="P16" s="5">
        <f>+P13</f>
        <v>98360</v>
      </c>
      <c r="Q16" s="1"/>
      <c r="R16" s="1" t="s">
        <v>10</v>
      </c>
      <c r="S16" s="1"/>
      <c r="T16" s="5">
        <f>+T13</f>
        <v>0</v>
      </c>
      <c r="U16" s="1"/>
      <c r="V16" s="12"/>
      <c r="W16" s="40" t="s">
        <v>10</v>
      </c>
      <c r="X16" s="40"/>
      <c r="Y16" s="37">
        <f>+D16+H16+L16+P16+T16</f>
        <v>253430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369430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24</v>
      </c>
      <c r="C18" s="1"/>
      <c r="D18" s="5"/>
      <c r="E18" s="1"/>
      <c r="F18" s="1" t="s">
        <v>24</v>
      </c>
      <c r="G18" s="1"/>
      <c r="H18" s="5"/>
      <c r="I18" s="1"/>
      <c r="J18" s="1" t="s">
        <v>684</v>
      </c>
      <c r="K18" s="1" t="s">
        <v>685</v>
      </c>
      <c r="L18" s="5">
        <v>20300</v>
      </c>
      <c r="M18" s="1"/>
      <c r="N18" s="1" t="s">
        <v>684</v>
      </c>
      <c r="O18" s="1" t="s">
        <v>689</v>
      </c>
      <c r="P18" s="5">
        <v>6590</v>
      </c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26890</v>
      </c>
      <c r="Z18" s="13"/>
      <c r="AA18" s="1"/>
      <c r="AB18" s="50" t="s">
        <v>25</v>
      </c>
      <c r="AC18" s="51">
        <f>+AC17-AC9</f>
        <v>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27</v>
      </c>
      <c r="C19" s="1"/>
      <c r="D19" s="5"/>
      <c r="E19" s="1"/>
      <c r="F19" s="1" t="s">
        <v>27</v>
      </c>
      <c r="G19" s="1"/>
      <c r="H19" s="5"/>
      <c r="I19" s="1"/>
      <c r="J19" s="1" t="s">
        <v>393</v>
      </c>
      <c r="K19" s="1" t="s">
        <v>686</v>
      </c>
      <c r="L19" s="5">
        <v>6400</v>
      </c>
      <c r="M19" s="1"/>
      <c r="N19" s="1" t="s">
        <v>630</v>
      </c>
      <c r="O19" s="1" t="s">
        <v>690</v>
      </c>
      <c r="P19" s="5">
        <v>13857</v>
      </c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20257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97" t="s">
        <v>694</v>
      </c>
      <c r="O21" s="97"/>
      <c r="P21" s="98"/>
      <c r="Q21" s="97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97" t="s">
        <v>880</v>
      </c>
      <c r="O22" s="97"/>
      <c r="P22" s="98"/>
      <c r="Q22" s="97"/>
      <c r="R22" s="97"/>
      <c r="S22" s="97"/>
      <c r="T22" s="98"/>
      <c r="U22" s="97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36</v>
      </c>
      <c r="C23" s="1"/>
      <c r="D23" s="5"/>
      <c r="E23" s="1"/>
      <c r="F23" s="1" t="s">
        <v>688</v>
      </c>
      <c r="G23" s="70" t="s">
        <v>687</v>
      </c>
      <c r="H23" s="5">
        <v>12991</v>
      </c>
      <c r="I23" s="1"/>
      <c r="J23" s="1" t="s">
        <v>36</v>
      </c>
      <c r="K23" s="1"/>
      <c r="L23" s="5"/>
      <c r="M23" s="1"/>
      <c r="N23" s="1" t="s">
        <v>691</v>
      </c>
      <c r="O23" s="1" t="s">
        <v>692</v>
      </c>
      <c r="P23" s="5">
        <v>6904</v>
      </c>
      <c r="Q23" s="1"/>
      <c r="R23" s="1" t="s">
        <v>36</v>
      </c>
      <c r="S23" s="1"/>
      <c r="T23" s="5"/>
      <c r="U23" s="1"/>
      <c r="V23" s="12"/>
      <c r="W23" s="40" t="s">
        <v>36</v>
      </c>
      <c r="X23" s="40"/>
      <c r="Y23" s="37">
        <f t="shared" si="8"/>
        <v>19895</v>
      </c>
      <c r="Z23" s="13"/>
      <c r="AA23" s="1"/>
      <c r="AB23" s="1" t="s">
        <v>682</v>
      </c>
      <c r="AC23" s="95">
        <v>45939</v>
      </c>
      <c r="AD23" s="16" t="s">
        <v>167</v>
      </c>
      <c r="AE23" s="16"/>
      <c r="AF23" s="1">
        <v>105980</v>
      </c>
      <c r="AG23" s="1"/>
      <c r="AH23" s="73"/>
      <c r="AI23" s="70" t="s">
        <v>67</v>
      </c>
      <c r="AJ23" s="70" t="s">
        <v>426</v>
      </c>
      <c r="AK23" s="70" t="s">
        <v>670</v>
      </c>
      <c r="AL23" s="73">
        <v>5095</v>
      </c>
    </row>
    <row r="24" spans="2:38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47</v>
      </c>
      <c r="O24" s="1"/>
      <c r="P24" s="5">
        <v>3090</v>
      </c>
      <c r="Q24" s="1"/>
      <c r="R24" s="1" t="s">
        <v>37</v>
      </c>
      <c r="S24" s="1"/>
      <c r="T24" s="5"/>
      <c r="U24" s="1"/>
      <c r="V24" s="12"/>
      <c r="W24" s="40" t="s">
        <v>37</v>
      </c>
      <c r="X24" s="40"/>
      <c r="Y24" s="37">
        <f t="shared" si="8"/>
        <v>3090</v>
      </c>
      <c r="Z24" s="13"/>
      <c r="AA24" s="1"/>
      <c r="AB24" s="20" t="s">
        <v>683</v>
      </c>
      <c r="AC24" s="95">
        <v>45940</v>
      </c>
      <c r="AD24" s="16" t="s">
        <v>205</v>
      </c>
      <c r="AE24" s="16"/>
      <c r="AF24" s="1">
        <v>20</v>
      </c>
      <c r="AG24" s="1"/>
      <c r="AH24" s="1"/>
      <c r="AI24" s="70" t="s">
        <v>65</v>
      </c>
      <c r="AJ24" s="70" t="s">
        <v>447</v>
      </c>
      <c r="AK24" s="70" t="s">
        <v>189</v>
      </c>
      <c r="AL24" s="73">
        <v>17440</v>
      </c>
    </row>
    <row r="25" spans="2:38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47</v>
      </c>
      <c r="O25" s="1"/>
      <c r="P25" s="5"/>
      <c r="Q25" s="1"/>
      <c r="R25" s="1" t="s">
        <v>38</v>
      </c>
      <c r="S25" s="1"/>
      <c r="T25" s="5"/>
      <c r="U25" s="1"/>
      <c r="V25" s="12"/>
      <c r="W25" s="40" t="s">
        <v>38</v>
      </c>
      <c r="X25" s="40"/>
      <c r="Y25" s="37">
        <f t="shared" si="8"/>
        <v>0</v>
      </c>
      <c r="Z25" s="13"/>
      <c r="AA25" s="1"/>
      <c r="AB25" s="70" t="s">
        <v>693</v>
      </c>
      <c r="AC25" s="77">
        <v>45941</v>
      </c>
      <c r="AD25" s="70" t="s">
        <v>422</v>
      </c>
      <c r="AE25" s="70"/>
      <c r="AF25" s="70">
        <v>10000</v>
      </c>
      <c r="AG25" s="1"/>
      <c r="AH25" s="73"/>
      <c r="AI25" s="70" t="s">
        <v>65</v>
      </c>
      <c r="AJ25" s="70" t="s">
        <v>515</v>
      </c>
      <c r="AK25" s="70" t="s">
        <v>152</v>
      </c>
      <c r="AL25" s="74">
        <v>4800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1"/>
      <c r="AC26" s="1"/>
      <c r="AD26" s="1"/>
      <c r="AE26" s="1"/>
      <c r="AF26" s="20"/>
      <c r="AG26" s="1"/>
      <c r="AH26" s="1"/>
      <c r="AI26" s="70"/>
      <c r="AJ26" s="70"/>
      <c r="AK26" s="70"/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"/>
      <c r="AC27" s="1"/>
      <c r="AD27" s="1"/>
      <c r="AE27" s="1"/>
      <c r="AF27" s="1"/>
      <c r="AG27" s="1"/>
      <c r="AH27" s="73"/>
      <c r="AI27" s="70"/>
      <c r="AJ27" s="70"/>
      <c r="AK27" s="70"/>
    </row>
    <row r="28" spans="2:38" ht="15.75" thickBot="1">
      <c r="B28" s="114" t="s">
        <v>12</v>
      </c>
      <c r="C28" s="115"/>
      <c r="D28" s="9">
        <f>+SUM(D16:D27)</f>
        <v>0</v>
      </c>
      <c r="E28" s="1"/>
      <c r="F28" s="114" t="s">
        <v>12</v>
      </c>
      <c r="G28" s="115"/>
      <c r="H28" s="9">
        <f>+SUM(H16:H27)</f>
        <v>91911</v>
      </c>
      <c r="I28" s="1"/>
      <c r="J28" s="114" t="s">
        <v>12</v>
      </c>
      <c r="K28" s="115"/>
      <c r="L28" s="9">
        <f>+SUM(L16:L27)</f>
        <v>102850</v>
      </c>
      <c r="M28" s="1"/>
      <c r="N28" s="114" t="s">
        <v>12</v>
      </c>
      <c r="O28" s="115"/>
      <c r="P28" s="9">
        <f>+SUM(P16:P27)</f>
        <v>128801</v>
      </c>
      <c r="Q28" s="1"/>
      <c r="R28" s="114" t="s">
        <v>12</v>
      </c>
      <c r="S28" s="115"/>
      <c r="T28" s="9">
        <f>+SUM(T16:T27)</f>
        <v>0</v>
      </c>
      <c r="U28" s="1"/>
      <c r="V28" s="12"/>
      <c r="W28" s="114" t="s">
        <v>12</v>
      </c>
      <c r="X28" s="115"/>
      <c r="Y28" s="9">
        <f>+SUM(Y16:Y27)</f>
        <v>323562</v>
      </c>
      <c r="Z28" s="13"/>
      <c r="AA28" s="1"/>
      <c r="AB28" s="1"/>
      <c r="AC28" s="1"/>
      <c r="AD28" s="1"/>
      <c r="AE28" s="1"/>
      <c r="AF28" s="1"/>
      <c r="AG28" s="1"/>
      <c r="AH28" s="1"/>
      <c r="AI28" s="70"/>
      <c r="AJ28" s="70"/>
      <c r="AK28" s="70"/>
      <c r="AL28" s="74"/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62"/>
    </row>
    <row r="30" spans="2:38" ht="15.75" thickBot="1">
      <c r="B30" s="116" t="s">
        <v>40</v>
      </c>
      <c r="C30" s="116"/>
      <c r="D30" s="7">
        <f>+D28-D15</f>
        <v>0</v>
      </c>
      <c r="E30" s="1"/>
      <c r="F30" s="116" t="s">
        <v>40</v>
      </c>
      <c r="G30" s="116"/>
      <c r="H30" s="7">
        <f>+H28-H15</f>
        <v>69</v>
      </c>
      <c r="I30" s="1"/>
      <c r="J30" s="116" t="s">
        <v>40</v>
      </c>
      <c r="K30" s="116"/>
      <c r="L30" s="7">
        <f>+L28-L15</f>
        <v>-562</v>
      </c>
      <c r="M30" s="1"/>
      <c r="N30" s="116" t="s">
        <v>40</v>
      </c>
      <c r="O30" s="116"/>
      <c r="P30" s="7">
        <f>+P28-P15</f>
        <v>-1498</v>
      </c>
      <c r="Q30" s="1"/>
      <c r="R30" s="116" t="s">
        <v>40</v>
      </c>
      <c r="S30" s="116"/>
      <c r="T30" s="7">
        <f>+T28-T15</f>
        <v>0</v>
      </c>
      <c r="U30" s="1"/>
      <c r="V30" s="12"/>
      <c r="W30" s="113" t="s">
        <v>40</v>
      </c>
      <c r="X30" s="113"/>
      <c r="Y30" s="41">
        <f>+Y28-Y15</f>
        <v>-1991</v>
      </c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62"/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>
      <c r="B34" s="10" t="s">
        <v>41</v>
      </c>
      <c r="C34" s="11"/>
      <c r="D34" s="21"/>
      <c r="E34" s="1"/>
      <c r="F34" s="10" t="s">
        <v>41</v>
      </c>
      <c r="G34" s="11"/>
      <c r="H34" s="21"/>
      <c r="I34" s="1"/>
      <c r="J34" s="10" t="s">
        <v>41</v>
      </c>
      <c r="K34" s="11"/>
      <c r="L34" s="21">
        <v>562</v>
      </c>
      <c r="M34" s="1"/>
      <c r="N34" s="10" t="s">
        <v>41</v>
      </c>
      <c r="O34" s="11"/>
      <c r="P34" s="21">
        <v>1498</v>
      </c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2060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>
      <c r="B35" s="12" t="s">
        <v>42</v>
      </c>
      <c r="C35" s="16"/>
      <c r="D35" s="22"/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/>
      <c r="Q35" s="1"/>
      <c r="R35" s="12" t="s">
        <v>42</v>
      </c>
      <c r="S35" s="16"/>
      <c r="T35" s="22"/>
      <c r="U35" s="1"/>
      <c r="V35" s="1"/>
      <c r="W35" s="45" t="s">
        <v>42</v>
      </c>
      <c r="X35" s="40"/>
      <c r="Y35" s="46">
        <f t="shared" ref="Y35:Y36" si="9">+D35+H35+L35+P35+T35</f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44</v>
      </c>
      <c r="C36" s="16"/>
      <c r="D36" s="22"/>
      <c r="E36" s="1"/>
      <c r="F36" s="12" t="s">
        <v>44</v>
      </c>
      <c r="G36" s="16"/>
      <c r="H36" s="22">
        <v>-69</v>
      </c>
      <c r="I36" s="1"/>
      <c r="J36" s="12" t="s">
        <v>44</v>
      </c>
      <c r="K36" s="16"/>
      <c r="L36" s="22"/>
      <c r="M36" s="1"/>
      <c r="N36" s="12" t="s">
        <v>44</v>
      </c>
      <c r="O36" s="16"/>
      <c r="P36" s="22"/>
      <c r="Q36" s="1"/>
      <c r="R36" s="12" t="s">
        <v>46</v>
      </c>
      <c r="S36" s="16"/>
      <c r="T36" s="22"/>
      <c r="U36" s="1"/>
      <c r="V36" s="1"/>
      <c r="W36" s="45" t="s">
        <v>43</v>
      </c>
      <c r="X36" s="40"/>
      <c r="Y36" s="46">
        <f t="shared" si="9"/>
        <v>-69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ht="15.75" thickBot="1">
      <c r="B37" s="12" t="s">
        <v>18</v>
      </c>
      <c r="C37" s="16"/>
      <c r="D37" s="22">
        <f>+SUM(D34:D36)</f>
        <v>0</v>
      </c>
      <c r="E37" s="1"/>
      <c r="F37" s="12" t="s">
        <v>18</v>
      </c>
      <c r="G37" s="16"/>
      <c r="H37" s="22">
        <f>+SUM(H34:H36)</f>
        <v>-69</v>
      </c>
      <c r="I37" s="1"/>
      <c r="J37" s="12" t="s">
        <v>18</v>
      </c>
      <c r="K37" s="16"/>
      <c r="L37" s="22">
        <f>+SUM(L34:L36)</f>
        <v>562</v>
      </c>
      <c r="M37" s="1"/>
      <c r="N37" s="12" t="s">
        <v>18</v>
      </c>
      <c r="O37" s="16"/>
      <c r="P37" s="22">
        <f>+SUM(P34:P36)</f>
        <v>1498</v>
      </c>
      <c r="Q37" s="1"/>
      <c r="R37" s="12" t="s">
        <v>18</v>
      </c>
      <c r="S37" s="16"/>
      <c r="T37" s="22">
        <f>+SUM(T34:T36)</f>
        <v>0</v>
      </c>
      <c r="U37" s="1"/>
      <c r="V37" s="1"/>
      <c r="W37" s="33" t="s">
        <v>18</v>
      </c>
      <c r="X37" s="34"/>
      <c r="Y37" s="35">
        <f>+SUM(Y34:Y36)</f>
        <v>1991</v>
      </c>
      <c r="Z37" s="1"/>
      <c r="AA37" s="1"/>
      <c r="AB37" s="60" t="s">
        <v>39</v>
      </c>
      <c r="AC37" s="60"/>
      <c r="AD37" s="60"/>
      <c r="AE37" s="60"/>
      <c r="AF37" s="55">
        <f>+SUM(AF23:AF36)</f>
        <v>116000</v>
      </c>
      <c r="AG37" s="1"/>
      <c r="AH37" s="1"/>
      <c r="AI37" s="60" t="s">
        <v>39</v>
      </c>
      <c r="AJ37" s="60"/>
      <c r="AK37" s="60"/>
      <c r="AL37" s="72">
        <f>+SUM(AL23:AL36)</f>
        <v>27335</v>
      </c>
    </row>
    <row r="38" spans="2:38" ht="16.5" thickTop="1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B2:AM38"/>
  <sheetViews>
    <sheetView topLeftCell="J1" zoomScale="70" zoomScaleNormal="70" workbookViewId="0">
      <selection activeCell="AJ16" sqref="AJ16"/>
    </sheetView>
  </sheetViews>
  <sheetFormatPr defaultColWidth="9.140625" defaultRowHeight="15"/>
  <cols>
    <col min="1" max="2" width="9.140625" style="1"/>
    <col min="3" max="3" width="17.5703125" style="1" customWidth="1"/>
    <col min="4" max="4" width="9.140625" style="1"/>
    <col min="5" max="5" width="1.7109375" style="1" customWidth="1"/>
    <col min="6" max="6" width="9.140625" style="1"/>
    <col min="7" max="7" width="15" style="1" customWidth="1"/>
    <col min="8" max="8" width="9.140625" style="1"/>
    <col min="9" max="9" width="1.7109375" style="1" customWidth="1"/>
    <col min="10" max="10" width="12.42578125" style="1" customWidth="1"/>
    <col min="11" max="11" width="17.42578125" style="1" customWidth="1"/>
    <col min="12" max="12" width="9.140625" style="1"/>
    <col min="13" max="13" width="1" style="1" customWidth="1"/>
    <col min="14" max="14" width="14.140625" style="1" customWidth="1"/>
    <col min="15" max="15" width="18.140625" style="1" customWidth="1"/>
    <col min="16" max="16" width="9.140625" style="1"/>
    <col min="17" max="17" width="1.7109375" style="1" customWidth="1"/>
    <col min="18" max="18" width="9.140625" style="1"/>
    <col min="19" max="19" width="17.28515625" style="1" customWidth="1"/>
    <col min="20" max="20" width="9.140625" style="1"/>
    <col min="21" max="21" width="1.7109375" style="1" customWidth="1"/>
    <col min="22" max="22" width="2" style="1" customWidth="1"/>
    <col min="23" max="24" width="9.140625" style="1"/>
    <col min="25" max="25" width="10.28515625" style="1" customWidth="1"/>
    <col min="26" max="26" width="2" style="1" customWidth="1"/>
    <col min="27" max="27" width="9.140625" style="1"/>
    <col min="28" max="28" width="15.28515625" style="1" bestFit="1" customWidth="1"/>
    <col min="29" max="29" width="10.140625" style="1" customWidth="1"/>
    <col min="30" max="30" width="12.5703125" style="1" customWidth="1"/>
    <col min="31" max="31" width="12" style="1" customWidth="1"/>
    <col min="32" max="32" width="10.5703125" style="1" customWidth="1"/>
    <col min="33" max="34" width="9.140625" style="1"/>
    <col min="35" max="35" width="20.28515625" style="1" bestFit="1" customWidth="1"/>
    <col min="36" max="36" width="13" style="1" customWidth="1"/>
    <col min="37" max="37" width="16.85546875" style="1" customWidth="1"/>
    <col min="38" max="38" width="13.85546875" style="1" customWidth="1"/>
    <col min="39" max="39" width="11" style="1" customWidth="1"/>
    <col min="40" max="16384" width="9.140625" style="1"/>
  </cols>
  <sheetData>
    <row r="2" spans="2:39" ht="15.75" thickBot="1"/>
    <row r="3" spans="2:39">
      <c r="B3" s="111" t="s">
        <v>127</v>
      </c>
      <c r="C3" s="111"/>
      <c r="D3" s="111"/>
      <c r="F3" s="111" t="s">
        <v>1</v>
      </c>
      <c r="G3" s="111"/>
      <c r="H3" s="111"/>
      <c r="J3" s="111" t="s">
        <v>2</v>
      </c>
      <c r="K3" s="111"/>
      <c r="L3" s="111"/>
      <c r="N3" s="111" t="s">
        <v>3</v>
      </c>
      <c r="O3" s="111"/>
      <c r="P3" s="111"/>
      <c r="R3" s="111" t="s">
        <v>4</v>
      </c>
      <c r="S3" s="111"/>
      <c r="T3" s="111"/>
      <c r="V3" s="10"/>
      <c r="W3" s="112" t="s">
        <v>5</v>
      </c>
      <c r="X3" s="112"/>
      <c r="Y3" s="112"/>
      <c r="Z3" s="65"/>
    </row>
    <row r="4" spans="2:39">
      <c r="B4" s="4" t="s">
        <v>6</v>
      </c>
      <c r="C4" s="4" t="s">
        <v>7</v>
      </c>
      <c r="D4" s="4" t="s">
        <v>8</v>
      </c>
      <c r="F4" s="4" t="s">
        <v>6</v>
      </c>
      <c r="G4" s="4" t="s">
        <v>7</v>
      </c>
      <c r="H4" s="4" t="s">
        <v>8</v>
      </c>
      <c r="J4" s="4" t="s">
        <v>6</v>
      </c>
      <c r="K4" s="4" t="s">
        <v>7</v>
      </c>
      <c r="L4" s="4" t="s">
        <v>8</v>
      </c>
      <c r="N4" s="4" t="s">
        <v>6</v>
      </c>
      <c r="O4" s="4" t="s">
        <v>7</v>
      </c>
      <c r="P4" s="4" t="s">
        <v>8</v>
      </c>
      <c r="R4" s="4" t="s">
        <v>6</v>
      </c>
      <c r="S4" s="4" t="s">
        <v>7</v>
      </c>
      <c r="T4" s="4" t="s">
        <v>8</v>
      </c>
      <c r="V4" s="12"/>
      <c r="W4" s="14" t="s">
        <v>6</v>
      </c>
      <c r="X4" s="14" t="s">
        <v>7</v>
      </c>
      <c r="Y4" s="14" t="s">
        <v>8</v>
      </c>
      <c r="Z4" s="13"/>
    </row>
    <row r="5" spans="2:39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7" t="s">
        <v>9</v>
      </c>
      <c r="AC5" s="64"/>
      <c r="AD5" s="64"/>
      <c r="AE5" s="64"/>
      <c r="AF5" s="64"/>
      <c r="AG5" s="61"/>
      <c r="AI5" s="4" t="s">
        <v>6</v>
      </c>
      <c r="AJ5" s="4" t="s">
        <v>7</v>
      </c>
      <c r="AK5" s="4" t="s">
        <v>8</v>
      </c>
    </row>
    <row r="6" spans="2:39" ht="15.75" thickTop="1">
      <c r="B6" s="2">
        <v>10</v>
      </c>
      <c r="C6" s="2"/>
      <c r="D6" s="36">
        <f>+C6*B6</f>
        <v>0</v>
      </c>
      <c r="F6" s="2">
        <v>10</v>
      </c>
      <c r="G6" s="2"/>
      <c r="H6" s="36">
        <f>+G6*F6</f>
        <v>0</v>
      </c>
      <c r="J6" s="2">
        <v>10</v>
      </c>
      <c r="K6" s="2"/>
      <c r="L6" s="36">
        <f>+K6*J6</f>
        <v>0</v>
      </c>
      <c r="N6" s="2">
        <v>10</v>
      </c>
      <c r="O6" s="2"/>
      <c r="P6" s="36">
        <f>+O6*N6</f>
        <v>0</v>
      </c>
      <c r="R6" s="2">
        <v>10</v>
      </c>
      <c r="S6" s="2"/>
      <c r="T6" s="36">
        <f>+S6*R6</f>
        <v>0</v>
      </c>
      <c r="V6" s="12"/>
      <c r="W6" s="39">
        <v>10</v>
      </c>
      <c r="X6" s="39">
        <f>+C6+G6+K6+O6+S6</f>
        <v>0</v>
      </c>
      <c r="Y6" s="37">
        <f>+D6+H6+L6+P6+T6</f>
        <v>0</v>
      </c>
      <c r="Z6" s="13"/>
      <c r="AI6" s="29">
        <v>1</v>
      </c>
      <c r="AJ6" s="29"/>
      <c r="AK6" s="36">
        <f t="shared" ref="AK6:AK13" si="0">+AJ6*AI6</f>
        <v>0</v>
      </c>
      <c r="AL6" s="26"/>
      <c r="AM6" s="26"/>
    </row>
    <row r="7" spans="2:39">
      <c r="B7" s="2">
        <v>20</v>
      </c>
      <c r="C7" s="2"/>
      <c r="D7" s="36">
        <f t="shared" ref="D7:D12" si="1">+C7*B7</f>
        <v>0</v>
      </c>
      <c r="F7" s="2">
        <v>20</v>
      </c>
      <c r="G7" s="2"/>
      <c r="H7" s="36">
        <f t="shared" ref="H7:H12" si="2">+G7*F7</f>
        <v>0</v>
      </c>
      <c r="J7" s="2">
        <v>20</v>
      </c>
      <c r="K7" s="2"/>
      <c r="L7" s="36">
        <f t="shared" ref="L7:L12" si="3">+K7*J7</f>
        <v>0</v>
      </c>
      <c r="N7" s="2">
        <v>20</v>
      </c>
      <c r="O7" s="2"/>
      <c r="P7" s="36">
        <f t="shared" ref="P7:P12" si="4">+O7*N7</f>
        <v>0</v>
      </c>
      <c r="R7" s="2">
        <v>20</v>
      </c>
      <c r="S7" s="2"/>
      <c r="T7" s="36">
        <f t="shared" ref="T7:T12" si="5">+S7*R7</f>
        <v>0</v>
      </c>
      <c r="V7" s="12"/>
      <c r="W7" s="39">
        <v>20</v>
      </c>
      <c r="X7" s="39">
        <f>+C7+G7+K7+O7+S7</f>
        <v>0</v>
      </c>
      <c r="Y7" s="37">
        <f t="shared" ref="Y7:Y12" si="6">+D7+H7+L7+P7+T7</f>
        <v>0</v>
      </c>
      <c r="Z7" s="13"/>
      <c r="AB7" s="56" t="s">
        <v>10</v>
      </c>
      <c r="AC7" s="57">
        <f>Y13</f>
        <v>0</v>
      </c>
      <c r="AD7" s="26"/>
      <c r="AE7" s="26"/>
      <c r="AF7" s="26"/>
      <c r="AG7" s="26"/>
      <c r="AI7" s="2">
        <v>10</v>
      </c>
      <c r="AJ7" s="2">
        <v>100</v>
      </c>
      <c r="AK7" s="36">
        <f t="shared" si="0"/>
        <v>1000</v>
      </c>
    </row>
    <row r="8" spans="2:39">
      <c r="B8" s="2">
        <v>50</v>
      </c>
      <c r="C8" s="2"/>
      <c r="D8" s="36">
        <f t="shared" si="1"/>
        <v>0</v>
      </c>
      <c r="F8" s="2">
        <v>50</v>
      </c>
      <c r="G8" s="2"/>
      <c r="H8" s="36">
        <f t="shared" si="2"/>
        <v>0</v>
      </c>
      <c r="J8" s="2">
        <v>50</v>
      </c>
      <c r="K8" s="2"/>
      <c r="L8" s="36">
        <f t="shared" si="3"/>
        <v>0</v>
      </c>
      <c r="N8" s="2">
        <v>50</v>
      </c>
      <c r="O8" s="2"/>
      <c r="P8" s="36">
        <f t="shared" si="4"/>
        <v>0</v>
      </c>
      <c r="R8" s="2">
        <v>50</v>
      </c>
      <c r="S8" s="2"/>
      <c r="T8" s="36">
        <f t="shared" si="5"/>
        <v>0</v>
      </c>
      <c r="V8" s="12"/>
      <c r="W8" s="39">
        <v>50</v>
      </c>
      <c r="X8" s="39">
        <f t="shared" ref="X8:X12" si="7">+C8+G8+K8+O8+S8</f>
        <v>0</v>
      </c>
      <c r="Y8" s="37">
        <f t="shared" si="6"/>
        <v>0</v>
      </c>
      <c r="Z8" s="13"/>
      <c r="AB8" s="53" t="s">
        <v>11</v>
      </c>
      <c r="AC8" s="53">
        <f>+AF37</f>
        <v>0</v>
      </c>
      <c r="AI8" s="2">
        <v>20</v>
      </c>
      <c r="AJ8" s="2"/>
      <c r="AK8" s="36">
        <f t="shared" si="0"/>
        <v>0</v>
      </c>
    </row>
    <row r="9" spans="2:39" ht="15.75" thickBot="1">
      <c r="B9" s="2">
        <v>100</v>
      </c>
      <c r="C9" s="2"/>
      <c r="D9" s="36">
        <f t="shared" si="1"/>
        <v>0</v>
      </c>
      <c r="F9" s="2">
        <v>100</v>
      </c>
      <c r="G9" s="2"/>
      <c r="H9" s="36">
        <f t="shared" si="2"/>
        <v>0</v>
      </c>
      <c r="J9" s="2">
        <v>100</v>
      </c>
      <c r="K9" s="2"/>
      <c r="L9" s="36">
        <f t="shared" si="3"/>
        <v>0</v>
      </c>
      <c r="N9" s="2">
        <v>100</v>
      </c>
      <c r="O9" s="2"/>
      <c r="P9" s="36">
        <f t="shared" si="4"/>
        <v>0</v>
      </c>
      <c r="R9" s="2">
        <v>100</v>
      </c>
      <c r="S9" s="2"/>
      <c r="T9" s="36">
        <f t="shared" si="5"/>
        <v>0</v>
      </c>
      <c r="V9" s="12"/>
      <c r="W9" s="39">
        <v>100</v>
      </c>
      <c r="X9" s="39">
        <f t="shared" si="7"/>
        <v>0</v>
      </c>
      <c r="Y9" s="37">
        <f t="shared" si="6"/>
        <v>0</v>
      </c>
      <c r="Z9" s="13"/>
      <c r="AB9" s="58" t="s">
        <v>12</v>
      </c>
      <c r="AC9" s="59">
        <f>SUM(AC7:AC8)</f>
        <v>0</v>
      </c>
      <c r="AI9" s="2">
        <v>50</v>
      </c>
      <c r="AJ9" s="2"/>
      <c r="AK9" s="36">
        <f t="shared" si="0"/>
        <v>0</v>
      </c>
    </row>
    <row r="10" spans="2:39">
      <c r="B10" s="2">
        <v>500</v>
      </c>
      <c r="C10" s="2"/>
      <c r="D10" s="36">
        <f t="shared" si="1"/>
        <v>0</v>
      </c>
      <c r="F10" s="2">
        <v>500</v>
      </c>
      <c r="G10" s="2"/>
      <c r="H10" s="36">
        <f t="shared" si="2"/>
        <v>0</v>
      </c>
      <c r="J10" s="2">
        <v>500</v>
      </c>
      <c r="K10" s="2"/>
      <c r="L10" s="36">
        <f t="shared" si="3"/>
        <v>0</v>
      </c>
      <c r="N10" s="2">
        <v>500</v>
      </c>
      <c r="O10" s="2"/>
      <c r="P10" s="36">
        <f t="shared" si="4"/>
        <v>0</v>
      </c>
      <c r="R10" s="2">
        <v>500</v>
      </c>
      <c r="S10" s="2"/>
      <c r="T10" s="36">
        <f t="shared" si="5"/>
        <v>0</v>
      </c>
      <c r="V10" s="12"/>
      <c r="W10" s="39">
        <v>500</v>
      </c>
      <c r="X10" s="39">
        <f t="shared" si="7"/>
        <v>0</v>
      </c>
      <c r="Y10" s="37">
        <f t="shared" si="6"/>
        <v>0</v>
      </c>
      <c r="Z10" s="13"/>
      <c r="AI10" s="2">
        <v>100</v>
      </c>
      <c r="AJ10" s="2">
        <v>45</v>
      </c>
      <c r="AK10" s="36">
        <f t="shared" si="0"/>
        <v>4500</v>
      </c>
    </row>
    <row r="11" spans="2:39">
      <c r="B11" s="2">
        <v>1000</v>
      </c>
      <c r="C11" s="2"/>
      <c r="D11" s="36">
        <f t="shared" si="1"/>
        <v>0</v>
      </c>
      <c r="F11" s="2">
        <v>1000</v>
      </c>
      <c r="G11" s="2"/>
      <c r="H11" s="36">
        <f t="shared" si="2"/>
        <v>0</v>
      </c>
      <c r="J11" s="2">
        <v>1000</v>
      </c>
      <c r="K11" s="2"/>
      <c r="L11" s="36">
        <f t="shared" si="3"/>
        <v>0</v>
      </c>
      <c r="N11" s="2">
        <v>1000</v>
      </c>
      <c r="O11" s="2"/>
      <c r="P11" s="36">
        <f t="shared" si="4"/>
        <v>0</v>
      </c>
      <c r="R11" s="2">
        <v>1000</v>
      </c>
      <c r="S11" s="2"/>
      <c r="T11" s="36">
        <f t="shared" si="5"/>
        <v>0</v>
      </c>
      <c r="V11" s="12"/>
      <c r="W11" s="39">
        <v>1000</v>
      </c>
      <c r="X11" s="39">
        <f t="shared" si="7"/>
        <v>0</v>
      </c>
      <c r="Y11" s="37">
        <f t="shared" si="6"/>
        <v>0</v>
      </c>
      <c r="Z11" s="13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I11" s="2">
        <v>500</v>
      </c>
      <c r="AJ11" s="2">
        <v>25</v>
      </c>
      <c r="AK11" s="36">
        <f t="shared" si="0"/>
        <v>12500</v>
      </c>
    </row>
    <row r="12" spans="2:39">
      <c r="B12" s="2">
        <v>5000</v>
      </c>
      <c r="C12" s="2"/>
      <c r="D12" s="36">
        <f t="shared" si="1"/>
        <v>0</v>
      </c>
      <c r="F12" s="2">
        <v>5000</v>
      </c>
      <c r="G12" s="2"/>
      <c r="H12" s="36">
        <f t="shared" si="2"/>
        <v>0</v>
      </c>
      <c r="J12" s="2">
        <v>5000</v>
      </c>
      <c r="K12" s="2"/>
      <c r="L12" s="36">
        <f t="shared" si="3"/>
        <v>0</v>
      </c>
      <c r="N12" s="2">
        <v>5000</v>
      </c>
      <c r="O12" s="2"/>
      <c r="P12" s="36">
        <f t="shared" si="4"/>
        <v>0</v>
      </c>
      <c r="R12" s="2">
        <v>5000</v>
      </c>
      <c r="S12" s="2"/>
      <c r="T12" s="36">
        <f t="shared" si="5"/>
        <v>0</v>
      </c>
      <c r="V12" s="12"/>
      <c r="W12" s="39">
        <v>5000</v>
      </c>
      <c r="X12" s="39">
        <f t="shared" si="7"/>
        <v>0</v>
      </c>
      <c r="Y12" s="37">
        <f t="shared" si="6"/>
        <v>0</v>
      </c>
      <c r="Z12" s="13"/>
      <c r="AB12" s="1" t="s">
        <v>17</v>
      </c>
      <c r="AC12" s="5"/>
      <c r="AE12" s="52"/>
      <c r="AI12" s="2">
        <v>1000</v>
      </c>
      <c r="AJ12" s="2">
        <v>2</v>
      </c>
      <c r="AK12" s="36">
        <f t="shared" si="0"/>
        <v>2000</v>
      </c>
    </row>
    <row r="13" spans="2:39" ht="15.75" thickBot="1">
      <c r="B13" s="3" t="s">
        <v>18</v>
      </c>
      <c r="C13" s="3"/>
      <c r="D13" s="6">
        <f>+SUM(D5:D12)</f>
        <v>0</v>
      </c>
      <c r="F13" s="3" t="s">
        <v>18</v>
      </c>
      <c r="G13" s="3"/>
      <c r="H13" s="6">
        <f>+SUM(H5:H12)</f>
        <v>0</v>
      </c>
      <c r="J13" s="3" t="s">
        <v>18</v>
      </c>
      <c r="K13" s="3"/>
      <c r="L13" s="6">
        <f>+SUM(L5:L12)</f>
        <v>0</v>
      </c>
      <c r="N13" s="3" t="s">
        <v>18</v>
      </c>
      <c r="O13" s="3"/>
      <c r="P13" s="6">
        <f>+SUM(P5:P12)</f>
        <v>0</v>
      </c>
      <c r="R13" s="3" t="s">
        <v>18</v>
      </c>
      <c r="S13" s="3"/>
      <c r="T13" s="6">
        <f>+SUM(T5:T12)</f>
        <v>0</v>
      </c>
      <c r="V13" s="12"/>
      <c r="W13" s="3" t="s">
        <v>18</v>
      </c>
      <c r="X13" s="3"/>
      <c r="Y13" s="6">
        <f>+SUM(Y5:Y12)</f>
        <v>0</v>
      </c>
      <c r="Z13" s="13"/>
      <c r="AB13" s="1" t="s">
        <v>19</v>
      </c>
      <c r="AC13" s="5"/>
      <c r="AI13" s="2">
        <v>5000</v>
      </c>
      <c r="AJ13" s="2">
        <v>6</v>
      </c>
      <c r="AK13" s="36">
        <f t="shared" si="0"/>
        <v>30000</v>
      </c>
    </row>
    <row r="14" spans="2:39" ht="15.75" thickBot="1">
      <c r="V14" s="12"/>
      <c r="W14" s="16"/>
      <c r="X14" s="16"/>
      <c r="Y14" s="16"/>
      <c r="Z14" s="13"/>
      <c r="AB14" s="1" t="s">
        <v>20</v>
      </c>
      <c r="AC14" s="5"/>
      <c r="AI14" s="3" t="s">
        <v>18</v>
      </c>
      <c r="AJ14" s="3"/>
      <c r="AK14" s="6">
        <f>+SUM(AK6:AK13)</f>
        <v>50000</v>
      </c>
    </row>
    <row r="15" spans="2:39" ht="15.75" thickBot="1">
      <c r="B15" s="109" t="s">
        <v>21</v>
      </c>
      <c r="C15" s="110"/>
      <c r="D15" s="8"/>
      <c r="E15" s="30"/>
      <c r="F15" s="109" t="s">
        <v>21</v>
      </c>
      <c r="G15" s="110"/>
      <c r="H15" s="8"/>
      <c r="I15" s="30"/>
      <c r="J15" s="109" t="s">
        <v>21</v>
      </c>
      <c r="K15" s="110"/>
      <c r="L15" s="8"/>
      <c r="M15" s="30"/>
      <c r="N15" s="109" t="s">
        <v>21</v>
      </c>
      <c r="O15" s="110"/>
      <c r="P15" s="8"/>
      <c r="Q15" s="30"/>
      <c r="R15" s="109" t="s">
        <v>21</v>
      </c>
      <c r="S15" s="110"/>
      <c r="T15" s="8"/>
      <c r="U15" s="30"/>
      <c r="V15" s="31"/>
      <c r="W15" s="109" t="s">
        <v>21</v>
      </c>
      <c r="X15" s="110"/>
      <c r="Y15" s="8">
        <f>+D15+H15+L15+P15+T15</f>
        <v>0</v>
      </c>
      <c r="Z15" s="32"/>
      <c r="AA15" s="30"/>
      <c r="AB15" s="1" t="s">
        <v>22</v>
      </c>
      <c r="AC15" s="5"/>
    </row>
    <row r="16" spans="2:39">
      <c r="B16" s="1" t="s">
        <v>10</v>
      </c>
      <c r="D16" s="5">
        <f>+D13</f>
        <v>0</v>
      </c>
      <c r="F16" s="1" t="s">
        <v>10</v>
      </c>
      <c r="H16" s="5">
        <f>+H13</f>
        <v>0</v>
      </c>
      <c r="J16" s="1" t="s">
        <v>10</v>
      </c>
      <c r="L16" s="5">
        <f>+L13</f>
        <v>0</v>
      </c>
      <c r="N16" s="1" t="s">
        <v>10</v>
      </c>
      <c r="P16" s="5">
        <f>+P13</f>
        <v>0</v>
      </c>
      <c r="R16" s="1" t="s">
        <v>10</v>
      </c>
      <c r="T16" s="5">
        <f>+T13</f>
        <v>0</v>
      </c>
      <c r="V16" s="12"/>
      <c r="W16" s="40" t="s">
        <v>10</v>
      </c>
      <c r="X16" s="40"/>
      <c r="Y16" s="37">
        <f>+D16+H16+L16+P16+T16</f>
        <v>0</v>
      </c>
      <c r="Z16" s="13"/>
      <c r="AB16" s="1" t="s">
        <v>23</v>
      </c>
      <c r="AC16" s="5"/>
    </row>
    <row r="17" spans="2:38">
      <c r="B17" s="1" t="s">
        <v>17</v>
      </c>
      <c r="D17" s="5"/>
      <c r="F17" s="1" t="s">
        <v>17</v>
      </c>
      <c r="H17" s="5"/>
      <c r="J17" s="1" t="s">
        <v>17</v>
      </c>
      <c r="L17" s="5"/>
      <c r="N17" s="1" t="s">
        <v>17</v>
      </c>
      <c r="P17" s="5"/>
      <c r="R17" s="1" t="s">
        <v>17</v>
      </c>
      <c r="T17" s="5"/>
      <c r="V17" s="12"/>
      <c r="W17" s="40" t="s">
        <v>17</v>
      </c>
      <c r="X17" s="40"/>
      <c r="Y17" s="37">
        <f t="shared" ref="Y17:Y27" si="8">+D17+H17+L17+P17+T17</f>
        <v>0</v>
      </c>
      <c r="Z17" s="13"/>
      <c r="AB17" s="48" t="s">
        <v>12</v>
      </c>
      <c r="AC17" s="49">
        <f>+SUM(AC12:AC16)</f>
        <v>0</v>
      </c>
      <c r="AD17" s="63"/>
    </row>
    <row r="18" spans="2:38">
      <c r="B18" s="1" t="s">
        <v>24</v>
      </c>
      <c r="D18" s="5"/>
      <c r="F18" s="1" t="s">
        <v>24</v>
      </c>
      <c r="H18" s="5"/>
      <c r="J18" s="1" t="s">
        <v>24</v>
      </c>
      <c r="L18" s="5"/>
      <c r="N18" s="1" t="s">
        <v>24</v>
      </c>
      <c r="P18" s="5"/>
      <c r="R18" s="1" t="s">
        <v>24</v>
      </c>
      <c r="T18" s="5"/>
      <c r="V18" s="12"/>
      <c r="W18" s="40" t="s">
        <v>24</v>
      </c>
      <c r="X18" s="40"/>
      <c r="Y18" s="37">
        <f t="shared" si="8"/>
        <v>0</v>
      </c>
      <c r="Z18" s="13"/>
      <c r="AB18" s="50" t="s">
        <v>25</v>
      </c>
      <c r="AC18" s="51">
        <f>+AC17-AC9</f>
        <v>0</v>
      </c>
      <c r="AD18" s="1" t="s">
        <v>26</v>
      </c>
    </row>
    <row r="19" spans="2:38">
      <c r="B19" s="1" t="s">
        <v>27</v>
      </c>
      <c r="D19" s="5"/>
      <c r="F19" s="1" t="s">
        <v>27</v>
      </c>
      <c r="H19" s="5"/>
      <c r="J19" s="1" t="s">
        <v>27</v>
      </c>
      <c r="L19" s="5"/>
      <c r="N19" s="1" t="s">
        <v>27</v>
      </c>
      <c r="P19" s="5"/>
      <c r="R19" s="1" t="s">
        <v>27</v>
      </c>
      <c r="T19" s="5"/>
      <c r="V19" s="12"/>
      <c r="W19" s="40" t="s">
        <v>27</v>
      </c>
      <c r="X19" s="40"/>
      <c r="Y19" s="37">
        <f t="shared" si="8"/>
        <v>0</v>
      </c>
      <c r="Z19" s="13"/>
    </row>
    <row r="20" spans="2:38">
      <c r="B20" s="1" t="s">
        <v>28</v>
      </c>
      <c r="D20" s="5"/>
      <c r="F20" s="1" t="s">
        <v>28</v>
      </c>
      <c r="H20" s="5"/>
      <c r="J20" s="1" t="s">
        <v>28</v>
      </c>
      <c r="L20" s="5"/>
      <c r="N20" s="1" t="s">
        <v>28</v>
      </c>
      <c r="P20" s="5"/>
      <c r="R20" s="1" t="s">
        <v>28</v>
      </c>
      <c r="T20" s="5"/>
      <c r="V20" s="12"/>
      <c r="W20" s="40" t="s">
        <v>28</v>
      </c>
      <c r="X20" s="40"/>
      <c r="Y20" s="37">
        <f t="shared" si="8"/>
        <v>0</v>
      </c>
      <c r="Z20" s="13"/>
    </row>
    <row r="21" spans="2:38">
      <c r="D21" s="5"/>
      <c r="H21" s="5"/>
      <c r="L21" s="5"/>
      <c r="P21" s="5"/>
      <c r="T21" s="5"/>
      <c r="V21" s="12"/>
      <c r="W21" s="40"/>
      <c r="X21" s="40"/>
      <c r="Y21" s="37">
        <f t="shared" si="8"/>
        <v>0</v>
      </c>
      <c r="Z21" s="13"/>
      <c r="AB21" s="54" t="s">
        <v>29</v>
      </c>
      <c r="AC21" s="54"/>
      <c r="AD21" s="54"/>
      <c r="AE21" s="30"/>
      <c r="AI21" s="54" t="s">
        <v>30</v>
      </c>
      <c r="AJ21" s="54"/>
      <c r="AK21" s="54"/>
      <c r="AL21" s="62"/>
    </row>
    <row r="22" spans="2:38">
      <c r="D22" s="5"/>
      <c r="H22" s="5"/>
      <c r="L22" s="5"/>
      <c r="P22" s="5"/>
      <c r="T22" s="5"/>
      <c r="V22" s="12"/>
      <c r="W22" s="40"/>
      <c r="X22" s="40"/>
      <c r="Y22" s="37">
        <f t="shared" si="8"/>
        <v>0</v>
      </c>
      <c r="Z22" s="13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36</v>
      </c>
      <c r="D23" s="5"/>
      <c r="F23" s="1" t="s">
        <v>36</v>
      </c>
      <c r="H23" s="5"/>
      <c r="J23" s="1" t="s">
        <v>36</v>
      </c>
      <c r="L23" s="5"/>
      <c r="N23" s="1" t="s">
        <v>47</v>
      </c>
      <c r="P23" s="5"/>
      <c r="R23" s="1" t="s">
        <v>36</v>
      </c>
      <c r="T23" s="5"/>
      <c r="V23" s="12"/>
      <c r="W23" s="40" t="s">
        <v>36</v>
      </c>
      <c r="X23" s="40"/>
      <c r="Y23" s="37">
        <f t="shared" si="8"/>
        <v>0</v>
      </c>
      <c r="Z23" s="13"/>
      <c r="AL23" s="62"/>
    </row>
    <row r="24" spans="2:38">
      <c r="B24" s="1" t="s">
        <v>37</v>
      </c>
      <c r="D24" s="5"/>
      <c r="F24" s="1" t="s">
        <v>37</v>
      </c>
      <c r="H24" s="5"/>
      <c r="J24" s="1" t="s">
        <v>37</v>
      </c>
      <c r="L24" s="5"/>
      <c r="N24" s="1" t="s">
        <v>47</v>
      </c>
      <c r="P24" s="5"/>
      <c r="R24" s="1" t="s">
        <v>37</v>
      </c>
      <c r="T24" s="5"/>
      <c r="V24" s="12"/>
      <c r="W24" s="40" t="s">
        <v>37</v>
      </c>
      <c r="X24" s="40"/>
      <c r="Y24" s="37">
        <f t="shared" si="8"/>
        <v>0</v>
      </c>
      <c r="Z24" s="13"/>
      <c r="AL24" s="62"/>
    </row>
    <row r="25" spans="2:38">
      <c r="B25" s="1" t="s">
        <v>38</v>
      </c>
      <c r="D25" s="5"/>
      <c r="F25" s="1" t="s">
        <v>38</v>
      </c>
      <c r="H25" s="5"/>
      <c r="J25" s="1" t="s">
        <v>38</v>
      </c>
      <c r="L25" s="5"/>
      <c r="N25" s="1" t="s">
        <v>47</v>
      </c>
      <c r="P25" s="5"/>
      <c r="R25" s="1" t="s">
        <v>38</v>
      </c>
      <c r="T25" s="5"/>
      <c r="V25" s="12"/>
      <c r="W25" s="40" t="s">
        <v>38</v>
      </c>
      <c r="X25" s="40"/>
      <c r="Y25" s="37">
        <f t="shared" si="8"/>
        <v>0</v>
      </c>
      <c r="Z25" s="13"/>
      <c r="AL25" s="62"/>
    </row>
    <row r="26" spans="2:38">
      <c r="D26" s="5"/>
      <c r="H26" s="5"/>
      <c r="L26" s="5"/>
      <c r="P26" s="5"/>
      <c r="V26" s="12"/>
      <c r="W26" s="40"/>
      <c r="X26" s="40"/>
      <c r="Y26" s="37">
        <f t="shared" si="8"/>
        <v>0</v>
      </c>
      <c r="Z26" s="13"/>
      <c r="AF26" s="20"/>
      <c r="AL26" s="62"/>
    </row>
    <row r="27" spans="2:38" ht="15.75" thickBot="1">
      <c r="D27" s="5"/>
      <c r="H27" s="5"/>
      <c r="L27" s="5"/>
      <c r="P27" s="5"/>
      <c r="T27" s="5"/>
      <c r="V27" s="12"/>
      <c r="W27" s="40"/>
      <c r="X27" s="40"/>
      <c r="Y27" s="37">
        <f t="shared" si="8"/>
        <v>0</v>
      </c>
      <c r="Z27" s="13"/>
      <c r="AL27" s="62"/>
    </row>
    <row r="28" spans="2:38" ht="15.75" thickBot="1">
      <c r="B28" s="114" t="s">
        <v>12</v>
      </c>
      <c r="C28" s="115"/>
      <c r="D28" s="9">
        <f>+SUM(D16:D27)</f>
        <v>0</v>
      </c>
      <c r="F28" s="114" t="s">
        <v>12</v>
      </c>
      <c r="G28" s="115"/>
      <c r="H28" s="9">
        <f>+SUM(H16:H27)</f>
        <v>0</v>
      </c>
      <c r="J28" s="114" t="s">
        <v>12</v>
      </c>
      <c r="K28" s="115"/>
      <c r="L28" s="9">
        <f>+SUM(L16:L27)</f>
        <v>0</v>
      </c>
      <c r="N28" s="114" t="s">
        <v>12</v>
      </c>
      <c r="O28" s="115"/>
      <c r="P28" s="9">
        <f>+SUM(P16:P27)</f>
        <v>0</v>
      </c>
      <c r="R28" s="114" t="s">
        <v>12</v>
      </c>
      <c r="S28" s="115"/>
      <c r="T28" s="9">
        <f>+SUM(T16:T27)</f>
        <v>0</v>
      </c>
      <c r="V28" s="12"/>
      <c r="W28" s="114" t="s">
        <v>12</v>
      </c>
      <c r="X28" s="115"/>
      <c r="Y28" s="9">
        <f>+SUM(Y16:Y27)</f>
        <v>0</v>
      </c>
      <c r="Z28" s="13"/>
      <c r="AL28" s="62"/>
    </row>
    <row r="29" spans="2:38">
      <c r="D29" s="5"/>
      <c r="H29" s="5"/>
      <c r="L29" s="5"/>
      <c r="P29" s="5"/>
      <c r="T29" s="5"/>
      <c r="V29" s="12"/>
      <c r="W29" s="16"/>
      <c r="X29" s="16"/>
      <c r="Y29" s="15"/>
      <c r="Z29" s="13"/>
      <c r="AL29" s="62"/>
    </row>
    <row r="30" spans="2:38" ht="15.75" thickBot="1">
      <c r="B30" s="116" t="s">
        <v>40</v>
      </c>
      <c r="C30" s="116"/>
      <c r="D30" s="7">
        <f>+D28-D15</f>
        <v>0</v>
      </c>
      <c r="F30" s="116" t="s">
        <v>40</v>
      </c>
      <c r="G30" s="116"/>
      <c r="H30" s="7">
        <f>+H28-H15</f>
        <v>0</v>
      </c>
      <c r="J30" s="116" t="s">
        <v>40</v>
      </c>
      <c r="K30" s="116"/>
      <c r="L30" s="7">
        <f>+L28-L15</f>
        <v>0</v>
      </c>
      <c r="N30" s="116" t="s">
        <v>40</v>
      </c>
      <c r="O30" s="116"/>
      <c r="P30" s="7">
        <f>+P28-P15</f>
        <v>0</v>
      </c>
      <c r="R30" s="116" t="s">
        <v>40</v>
      </c>
      <c r="S30" s="116"/>
      <c r="T30" s="7">
        <f>+T28-T15</f>
        <v>0</v>
      </c>
      <c r="V30" s="12"/>
      <c r="W30" s="113" t="s">
        <v>40</v>
      </c>
      <c r="X30" s="113"/>
      <c r="Y30" s="41">
        <f>+Y28-Y15</f>
        <v>0</v>
      </c>
      <c r="Z30" s="13"/>
      <c r="AL30" s="62"/>
    </row>
    <row r="31" spans="2:38" ht="16.5" thickTop="1" thickBot="1">
      <c r="V31" s="17"/>
      <c r="W31" s="18"/>
      <c r="X31" s="18"/>
      <c r="Y31" s="18"/>
      <c r="Z31" s="19"/>
    </row>
    <row r="33" spans="2:38" ht="15.75" thickBot="1"/>
    <row r="34" spans="2:38">
      <c r="B34" s="10" t="s">
        <v>41</v>
      </c>
      <c r="C34" s="11"/>
      <c r="D34" s="21"/>
      <c r="F34" s="10" t="s">
        <v>41</v>
      </c>
      <c r="G34" s="11"/>
      <c r="H34" s="21"/>
      <c r="J34" s="10" t="s">
        <v>41</v>
      </c>
      <c r="K34" s="11"/>
      <c r="L34" s="21"/>
      <c r="N34" s="10" t="s">
        <v>41</v>
      </c>
      <c r="O34" s="11"/>
      <c r="P34" s="21"/>
      <c r="R34" s="10" t="s">
        <v>41</v>
      </c>
      <c r="S34" s="11"/>
      <c r="T34" s="21"/>
      <c r="W34" s="42" t="s">
        <v>41</v>
      </c>
      <c r="X34" s="43"/>
      <c r="Y34" s="44">
        <f>+D34+H34+L34+P34+T34</f>
        <v>0</v>
      </c>
    </row>
    <row r="35" spans="2:38">
      <c r="B35" s="12" t="s">
        <v>42</v>
      </c>
      <c r="C35" s="16"/>
      <c r="D35" s="22"/>
      <c r="F35" s="12" t="s">
        <v>42</v>
      </c>
      <c r="G35" s="16"/>
      <c r="H35" s="22"/>
      <c r="J35" s="12" t="s">
        <v>42</v>
      </c>
      <c r="K35" s="16"/>
      <c r="L35" s="22"/>
      <c r="N35" s="12" t="s">
        <v>42</v>
      </c>
      <c r="O35" s="16"/>
      <c r="P35" s="22"/>
      <c r="R35" s="12" t="s">
        <v>42</v>
      </c>
      <c r="S35" s="16"/>
      <c r="T35" s="22"/>
      <c r="W35" s="45" t="s">
        <v>42</v>
      </c>
      <c r="X35" s="40"/>
      <c r="Y35" s="46">
        <f t="shared" ref="Y35:Y36" si="9">+D35+H35+L35+P35+T35</f>
        <v>0</v>
      </c>
    </row>
    <row r="36" spans="2:38">
      <c r="B36" s="12" t="s">
        <v>44</v>
      </c>
      <c r="C36" s="16"/>
      <c r="D36" s="22"/>
      <c r="F36" s="12" t="s">
        <v>44</v>
      </c>
      <c r="G36" s="16"/>
      <c r="H36" s="22"/>
      <c r="J36" s="12" t="s">
        <v>44</v>
      </c>
      <c r="K36" s="16"/>
      <c r="L36" s="22"/>
      <c r="N36" s="12" t="s">
        <v>44</v>
      </c>
      <c r="O36" s="16"/>
      <c r="P36" s="22"/>
      <c r="R36" s="12" t="s">
        <v>46</v>
      </c>
      <c r="S36" s="16"/>
      <c r="T36" s="22"/>
      <c r="W36" s="45" t="s">
        <v>43</v>
      </c>
      <c r="X36" s="40"/>
      <c r="Y36" s="46">
        <f t="shared" si="9"/>
        <v>0</v>
      </c>
    </row>
    <row r="37" spans="2:38" ht="15.75" thickBot="1">
      <c r="B37" s="12" t="s">
        <v>18</v>
      </c>
      <c r="C37" s="16"/>
      <c r="D37" s="22">
        <f>+SUM(D34:D36)</f>
        <v>0</v>
      </c>
      <c r="F37" s="12" t="s">
        <v>18</v>
      </c>
      <c r="G37" s="16"/>
      <c r="H37" s="22">
        <f>+SUM(H34:H36)</f>
        <v>0</v>
      </c>
      <c r="J37" s="12" t="s">
        <v>18</v>
      </c>
      <c r="K37" s="16"/>
      <c r="L37" s="22">
        <f>+SUM(L34:L36)</f>
        <v>0</v>
      </c>
      <c r="N37" s="12" t="s">
        <v>18</v>
      </c>
      <c r="O37" s="16"/>
      <c r="P37" s="22">
        <f>+SUM(P34:P36)</f>
        <v>0</v>
      </c>
      <c r="R37" s="12" t="s">
        <v>18</v>
      </c>
      <c r="S37" s="16"/>
      <c r="T37" s="22">
        <f>+SUM(T34:T36)</f>
        <v>0</v>
      </c>
      <c r="W37" s="33" t="s">
        <v>18</v>
      </c>
      <c r="X37" s="34"/>
      <c r="Y37" s="35">
        <f>+SUM(Y34:Y36)</f>
        <v>0</v>
      </c>
      <c r="AB37" s="60" t="s">
        <v>39</v>
      </c>
      <c r="AC37" s="60"/>
      <c r="AD37" s="60"/>
      <c r="AE37" s="60"/>
      <c r="AF37" s="55">
        <f>+SUM(AF23:AF36)</f>
        <v>0</v>
      </c>
      <c r="AI37" s="60" t="s">
        <v>39</v>
      </c>
      <c r="AJ37" s="60"/>
      <c r="AK37" s="60"/>
      <c r="AL37" s="72">
        <f>+SUM(AL23:AL36)</f>
        <v>0</v>
      </c>
    </row>
    <row r="38" spans="2:38" ht="16.5" thickTop="1" thickBot="1">
      <c r="B38" s="23" t="s">
        <v>45</v>
      </c>
      <c r="C38" s="24"/>
      <c r="D38" s="25">
        <f>+D30+D37</f>
        <v>0</v>
      </c>
      <c r="F38" s="23" t="s">
        <v>45</v>
      </c>
      <c r="G38" s="24"/>
      <c r="H38" s="25">
        <f>+H30+H37</f>
        <v>0</v>
      </c>
      <c r="J38" s="23" t="s">
        <v>45</v>
      </c>
      <c r="K38" s="24"/>
      <c r="L38" s="25">
        <f>+L30+L37</f>
        <v>0</v>
      </c>
      <c r="N38" s="23" t="s">
        <v>45</v>
      </c>
      <c r="O38" s="24"/>
      <c r="P38" s="25">
        <f>+P30+P37</f>
        <v>0</v>
      </c>
      <c r="R38" s="23" t="s">
        <v>45</v>
      </c>
      <c r="S38" s="24"/>
      <c r="T38" s="25">
        <f>+T30+T37</f>
        <v>0</v>
      </c>
      <c r="W38" s="23" t="s">
        <v>45</v>
      </c>
      <c r="X38" s="24"/>
      <c r="Y38" s="25">
        <f>+Y30+Y37</f>
        <v>0</v>
      </c>
    </row>
  </sheetData>
  <mergeCells count="24">
    <mergeCell ref="W15:X15"/>
    <mergeCell ref="W3:Y3"/>
    <mergeCell ref="B3:D3"/>
    <mergeCell ref="F3:H3"/>
    <mergeCell ref="J3:L3"/>
    <mergeCell ref="N3:P3"/>
    <mergeCell ref="R3:T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B2:AL39"/>
  <sheetViews>
    <sheetView zoomScale="80" zoomScaleNormal="80" workbookViewId="0">
      <selection activeCell="AB2" sqref="AB2"/>
    </sheetView>
  </sheetViews>
  <sheetFormatPr defaultRowHeight="15"/>
  <cols>
    <col min="5" max="5" width="0.42578125" customWidth="1"/>
    <col min="7" max="7" width="14.5703125" customWidth="1"/>
    <col min="9" max="9" width="1" customWidth="1"/>
    <col min="11" max="11" width="12.42578125" bestFit="1" customWidth="1"/>
    <col min="13" max="13" width="1" customWidth="1"/>
    <col min="17" max="17" width="0.85546875" customWidth="1"/>
    <col min="19" max="19" width="16" bestFit="1" customWidth="1"/>
    <col min="20" max="20" width="11.140625" bestFit="1" customWidth="1"/>
    <col min="21" max="21" width="0.7109375" customWidth="1"/>
    <col min="22" max="22" width="1.5703125" customWidth="1"/>
    <col min="26" max="26" width="1.140625" customWidth="1"/>
    <col min="27" max="27" width="0.5703125" customWidth="1"/>
    <col min="29" max="29" width="10.140625" bestFit="1" customWidth="1"/>
    <col min="33" max="33" width="2" customWidth="1"/>
    <col min="34" max="34" width="9.140625" hidden="1" customWidth="1"/>
  </cols>
  <sheetData>
    <row r="2" spans="2:38" ht="15.75" thickBot="1"/>
    <row r="3" spans="2:38">
      <c r="B3" s="111" t="s">
        <v>55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3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28</v>
      </c>
      <c r="D6" s="36">
        <f>+C6*B6</f>
        <v>280</v>
      </c>
      <c r="E6" s="1"/>
      <c r="F6" s="2">
        <v>10</v>
      </c>
      <c r="G6" s="2">
        <v>29</v>
      </c>
      <c r="H6" s="36">
        <f>+G6*F6</f>
        <v>290</v>
      </c>
      <c r="I6" s="1"/>
      <c r="J6" s="2">
        <v>10</v>
      </c>
      <c r="K6" s="2">
        <v>38</v>
      </c>
      <c r="L6" s="36">
        <f>+K6*J6</f>
        <v>380</v>
      </c>
      <c r="M6" s="1"/>
      <c r="N6" s="2">
        <v>10</v>
      </c>
      <c r="O6" s="2">
        <v>5</v>
      </c>
      <c r="P6" s="36">
        <f>+O6*N6</f>
        <v>50</v>
      </c>
      <c r="Q6" s="1"/>
      <c r="R6" s="2">
        <v>10</v>
      </c>
      <c r="S6" s="2">
        <v>104</v>
      </c>
      <c r="T6" s="36">
        <f>+S6*R6</f>
        <v>1040</v>
      </c>
      <c r="U6" s="1"/>
      <c r="V6" s="12"/>
      <c r="W6" s="39">
        <v>10</v>
      </c>
      <c r="X6" s="39">
        <f>+C6+G6+K6+O6+S6</f>
        <v>204</v>
      </c>
      <c r="Y6" s="37">
        <f>+D6+H6+L6+P6+T6</f>
        <v>2040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3</v>
      </c>
      <c r="AK6" s="36">
        <f t="shared" ref="AK6:AK13" si="0">+AJ6*AI6</f>
        <v>3</v>
      </c>
      <c r="AL6" s="26"/>
    </row>
    <row r="7" spans="2:38">
      <c r="B7" s="2">
        <v>20</v>
      </c>
      <c r="C7" s="2">
        <v>10</v>
      </c>
      <c r="D7" s="36">
        <f t="shared" ref="D7:D12" si="1">+C7*B7</f>
        <v>200</v>
      </c>
      <c r="E7" s="1"/>
      <c r="F7" s="2">
        <v>20</v>
      </c>
      <c r="G7" s="2">
        <v>6</v>
      </c>
      <c r="H7" s="36">
        <f t="shared" ref="H7:H12" si="2">+G7*F7</f>
        <v>120</v>
      </c>
      <c r="I7" s="1"/>
      <c r="J7" s="2">
        <v>20</v>
      </c>
      <c r="K7" s="2">
        <v>30</v>
      </c>
      <c r="L7" s="36">
        <f t="shared" ref="L7:L12" si="3">+K7*J7</f>
        <v>600</v>
      </c>
      <c r="M7" s="1"/>
      <c r="N7" s="2">
        <v>20</v>
      </c>
      <c r="O7" s="2">
        <v>3</v>
      </c>
      <c r="P7" s="36">
        <f t="shared" ref="P7:P12" si="4">+O7*N7</f>
        <v>60</v>
      </c>
      <c r="Q7" s="1"/>
      <c r="R7" s="2">
        <v>20</v>
      </c>
      <c r="S7" s="2">
        <v>2</v>
      </c>
      <c r="T7" s="36">
        <f t="shared" ref="T7:T12" si="5">+S7*R7</f>
        <v>40</v>
      </c>
      <c r="U7" s="1"/>
      <c r="V7" s="12"/>
      <c r="W7" s="39">
        <v>20</v>
      </c>
      <c r="X7" s="39">
        <f>+C7+G7+K7+O7+S7</f>
        <v>51</v>
      </c>
      <c r="Y7" s="37">
        <f t="shared" ref="Y7:Y12" si="6">+D7+H7+L7+P7+T7</f>
        <v>1020</v>
      </c>
      <c r="Z7" s="13"/>
      <c r="AA7" s="1"/>
      <c r="AB7" s="56" t="s">
        <v>10</v>
      </c>
      <c r="AC7" s="57">
        <f>Y13</f>
        <v>310760</v>
      </c>
      <c r="AD7" s="26"/>
      <c r="AE7" s="26"/>
      <c r="AF7" s="26"/>
      <c r="AG7" s="26"/>
      <c r="AH7" s="1"/>
      <c r="AI7" s="2">
        <v>10</v>
      </c>
      <c r="AJ7" s="2">
        <v>905</v>
      </c>
      <c r="AK7" s="36">
        <f t="shared" si="0"/>
        <v>9050</v>
      </c>
      <c r="AL7" s="1"/>
    </row>
    <row r="8" spans="2:38">
      <c r="B8" s="2">
        <v>50</v>
      </c>
      <c r="C8" s="2">
        <v>39</v>
      </c>
      <c r="D8" s="36">
        <f t="shared" si="1"/>
        <v>1950</v>
      </c>
      <c r="E8" s="1"/>
      <c r="F8" s="2">
        <v>50</v>
      </c>
      <c r="G8" s="2">
        <v>116</v>
      </c>
      <c r="H8" s="36">
        <f t="shared" si="2"/>
        <v>5800</v>
      </c>
      <c r="I8" s="1"/>
      <c r="J8" s="2">
        <v>50</v>
      </c>
      <c r="K8" s="2">
        <v>44</v>
      </c>
      <c r="L8" s="36">
        <f t="shared" si="3"/>
        <v>2200</v>
      </c>
      <c r="M8" s="1"/>
      <c r="N8" s="2">
        <v>50</v>
      </c>
      <c r="O8" s="2">
        <v>20</v>
      </c>
      <c r="P8" s="36">
        <f t="shared" si="4"/>
        <v>1000</v>
      </c>
      <c r="Q8" s="1"/>
      <c r="R8" s="2">
        <v>50</v>
      </c>
      <c r="S8" s="2">
        <v>67</v>
      </c>
      <c r="T8" s="36">
        <f t="shared" si="5"/>
        <v>3350</v>
      </c>
      <c r="U8" s="1"/>
      <c r="V8" s="12"/>
      <c r="W8" s="39">
        <v>50</v>
      </c>
      <c r="X8" s="39">
        <f t="shared" ref="X8:X12" si="7">+C8+G8+K8+O8+S8</f>
        <v>286</v>
      </c>
      <c r="Y8" s="37">
        <f t="shared" si="6"/>
        <v>14300</v>
      </c>
      <c r="Z8" s="13"/>
      <c r="AA8" s="1"/>
      <c r="AB8" s="53" t="s">
        <v>11</v>
      </c>
      <c r="AC8" s="53">
        <f>+AF37</f>
        <v>404124</v>
      </c>
      <c r="AD8" s="1"/>
      <c r="AE8" s="1"/>
      <c r="AF8" s="1"/>
      <c r="AG8" s="1"/>
      <c r="AH8" s="1"/>
      <c r="AI8" s="2">
        <v>20</v>
      </c>
      <c r="AJ8" s="2">
        <v>55</v>
      </c>
      <c r="AK8" s="36">
        <f t="shared" si="0"/>
        <v>1100</v>
      </c>
      <c r="AL8" s="1"/>
    </row>
    <row r="9" spans="2:38" ht="15.75" thickBot="1">
      <c r="B9" s="2">
        <v>100</v>
      </c>
      <c r="C9" s="2">
        <v>53</v>
      </c>
      <c r="D9" s="36">
        <f t="shared" si="1"/>
        <v>5300</v>
      </c>
      <c r="E9" s="1"/>
      <c r="F9" s="2">
        <v>100</v>
      </c>
      <c r="G9" s="2">
        <v>34</v>
      </c>
      <c r="H9" s="36">
        <f t="shared" si="2"/>
        <v>3400</v>
      </c>
      <c r="I9" s="1"/>
      <c r="J9" s="2">
        <v>100</v>
      </c>
      <c r="K9" s="2">
        <v>60</v>
      </c>
      <c r="L9" s="36">
        <f t="shared" si="3"/>
        <v>6000</v>
      </c>
      <c r="M9" s="1"/>
      <c r="N9" s="2">
        <v>100</v>
      </c>
      <c r="O9" s="2">
        <v>56</v>
      </c>
      <c r="P9" s="36">
        <f t="shared" si="4"/>
        <v>5600</v>
      </c>
      <c r="Q9" s="1"/>
      <c r="R9" s="2">
        <v>100</v>
      </c>
      <c r="S9" s="2">
        <v>1</v>
      </c>
      <c r="T9" s="36">
        <f t="shared" si="5"/>
        <v>100</v>
      </c>
      <c r="U9" s="1"/>
      <c r="V9" s="12"/>
      <c r="W9" s="39">
        <v>100</v>
      </c>
      <c r="X9" s="39">
        <f t="shared" si="7"/>
        <v>204</v>
      </c>
      <c r="Y9" s="37">
        <f t="shared" si="6"/>
        <v>20400</v>
      </c>
      <c r="Z9" s="13"/>
      <c r="AA9" s="1"/>
      <c r="AB9" s="58" t="s">
        <v>12</v>
      </c>
      <c r="AC9" s="59">
        <f>SUM(AC7:AC8)</f>
        <v>714884</v>
      </c>
      <c r="AD9" s="1"/>
      <c r="AE9" s="1"/>
      <c r="AF9" s="1"/>
      <c r="AG9" s="1"/>
      <c r="AH9" s="1"/>
      <c r="AI9" s="2">
        <v>50</v>
      </c>
      <c r="AJ9" s="2">
        <v>381</v>
      </c>
      <c r="AK9" s="36">
        <f t="shared" si="0"/>
        <v>19050</v>
      </c>
      <c r="AL9" s="1"/>
    </row>
    <row r="10" spans="2:38">
      <c r="B10" s="2">
        <v>500</v>
      </c>
      <c r="C10" s="2">
        <v>27</v>
      </c>
      <c r="D10" s="36">
        <f t="shared" si="1"/>
        <v>13500</v>
      </c>
      <c r="E10" s="1"/>
      <c r="F10" s="2">
        <v>500</v>
      </c>
      <c r="G10" s="2">
        <v>40</v>
      </c>
      <c r="H10" s="36">
        <f t="shared" si="2"/>
        <v>20000</v>
      </c>
      <c r="I10" s="1"/>
      <c r="J10" s="2">
        <v>500</v>
      </c>
      <c r="K10" s="2">
        <v>23</v>
      </c>
      <c r="L10" s="36">
        <f t="shared" si="3"/>
        <v>11500</v>
      </c>
      <c r="M10" s="1"/>
      <c r="N10" s="2">
        <v>500</v>
      </c>
      <c r="O10" s="2">
        <v>42</v>
      </c>
      <c r="P10" s="36">
        <f t="shared" si="4"/>
        <v>21000</v>
      </c>
      <c r="Q10" s="1"/>
      <c r="R10" s="2">
        <v>500</v>
      </c>
      <c r="S10" s="2">
        <v>12</v>
      </c>
      <c r="T10" s="36">
        <f t="shared" si="5"/>
        <v>6000</v>
      </c>
      <c r="U10" s="1"/>
      <c r="V10" s="12"/>
      <c r="W10" s="39">
        <v>500</v>
      </c>
      <c r="X10" s="39">
        <f t="shared" si="7"/>
        <v>144</v>
      </c>
      <c r="Y10" s="37">
        <f t="shared" si="6"/>
        <v>72000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172</v>
      </c>
      <c r="AK10" s="36">
        <f t="shared" si="0"/>
        <v>17200</v>
      </c>
      <c r="AL10" s="1"/>
    </row>
    <row r="11" spans="2:38">
      <c r="B11" s="2">
        <v>1000</v>
      </c>
      <c r="C11" s="2">
        <v>35</v>
      </c>
      <c r="D11" s="36">
        <f t="shared" si="1"/>
        <v>35000</v>
      </c>
      <c r="E11" s="1"/>
      <c r="F11" s="2">
        <v>1000</v>
      </c>
      <c r="G11" s="2">
        <v>51</v>
      </c>
      <c r="H11" s="36">
        <f t="shared" si="2"/>
        <v>51000</v>
      </c>
      <c r="I11" s="1"/>
      <c r="J11" s="2">
        <v>1000</v>
      </c>
      <c r="K11" s="2">
        <v>22</v>
      </c>
      <c r="L11" s="36">
        <f t="shared" si="3"/>
        <v>22000</v>
      </c>
      <c r="M11" s="1"/>
      <c r="N11" s="2">
        <v>1000</v>
      </c>
      <c r="O11" s="2">
        <v>36</v>
      </c>
      <c r="P11" s="36">
        <f t="shared" si="4"/>
        <v>36000</v>
      </c>
      <c r="Q11" s="1"/>
      <c r="R11" s="2">
        <v>1000</v>
      </c>
      <c r="S11" s="2">
        <v>2</v>
      </c>
      <c r="T11" s="36">
        <f t="shared" si="5"/>
        <v>2000</v>
      </c>
      <c r="U11" s="1"/>
      <c r="V11" s="12"/>
      <c r="W11" s="39">
        <v>1000</v>
      </c>
      <c r="X11" s="39">
        <f t="shared" si="7"/>
        <v>146</v>
      </c>
      <c r="Y11" s="37">
        <f t="shared" si="6"/>
        <v>146000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251</v>
      </c>
      <c r="AK11" s="36">
        <f t="shared" si="0"/>
        <v>125500</v>
      </c>
      <c r="AL11" s="1"/>
    </row>
    <row r="12" spans="2:38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3</v>
      </c>
      <c r="H12" s="36">
        <f t="shared" si="2"/>
        <v>15000</v>
      </c>
      <c r="I12" s="1"/>
      <c r="J12" s="2">
        <v>5000</v>
      </c>
      <c r="K12" s="2">
        <v>2</v>
      </c>
      <c r="L12" s="36">
        <f t="shared" si="3"/>
        <v>10000</v>
      </c>
      <c r="M12" s="1"/>
      <c r="N12" s="2">
        <v>5000</v>
      </c>
      <c r="O12" s="2">
        <v>3</v>
      </c>
      <c r="P12" s="36">
        <f t="shared" si="4"/>
        <v>15000</v>
      </c>
      <c r="Q12" s="1"/>
      <c r="R12" s="2">
        <v>5000</v>
      </c>
      <c r="S12" s="2">
        <v>2</v>
      </c>
      <c r="T12" s="36">
        <f t="shared" si="5"/>
        <v>10000</v>
      </c>
      <c r="U12" s="1"/>
      <c r="V12" s="12"/>
      <c r="W12" s="39">
        <v>5000</v>
      </c>
      <c r="X12" s="39">
        <f t="shared" si="7"/>
        <v>11</v>
      </c>
      <c r="Y12" s="37">
        <f t="shared" si="6"/>
        <v>55000</v>
      </c>
      <c r="Z12" s="13"/>
      <c r="AA12" s="1"/>
      <c r="AB12" s="1" t="s">
        <v>17</v>
      </c>
      <c r="AC12" s="5">
        <v>705850</v>
      </c>
      <c r="AD12" s="1">
        <v>375300</v>
      </c>
      <c r="AE12" s="52" t="s">
        <v>729</v>
      </c>
      <c r="AF12" s="1" t="s">
        <v>110</v>
      </c>
      <c r="AG12" s="1"/>
      <c r="AH12" s="1"/>
      <c r="AI12" s="2">
        <v>1000</v>
      </c>
      <c r="AJ12" s="2">
        <v>348</v>
      </c>
      <c r="AK12" s="36">
        <f t="shared" si="0"/>
        <v>348000</v>
      </c>
      <c r="AL12" s="1"/>
    </row>
    <row r="13" spans="2:38" ht="15.75" thickBot="1">
      <c r="B13" s="3" t="s">
        <v>18</v>
      </c>
      <c r="C13" s="3"/>
      <c r="D13" s="6">
        <f>+SUM(D5:D12)</f>
        <v>61230</v>
      </c>
      <c r="E13" s="1"/>
      <c r="F13" s="3" t="s">
        <v>18</v>
      </c>
      <c r="G13" s="3"/>
      <c r="H13" s="6">
        <f>+SUM(H5:H12)</f>
        <v>95610</v>
      </c>
      <c r="I13" s="1"/>
      <c r="J13" s="3" t="s">
        <v>18</v>
      </c>
      <c r="K13" s="3"/>
      <c r="L13" s="6">
        <f>+SUM(L5:L12)</f>
        <v>52680</v>
      </c>
      <c r="M13" s="1"/>
      <c r="N13" s="3" t="s">
        <v>18</v>
      </c>
      <c r="O13" s="3"/>
      <c r="P13" s="6">
        <f>+SUM(P5:P12)</f>
        <v>78710</v>
      </c>
      <c r="Q13" s="1"/>
      <c r="R13" s="3" t="s">
        <v>18</v>
      </c>
      <c r="S13" s="3"/>
      <c r="T13" s="6">
        <f>+SUM(T5:T12)</f>
        <v>22530</v>
      </c>
      <c r="U13" s="1"/>
      <c r="V13" s="12"/>
      <c r="W13" s="3" t="s">
        <v>18</v>
      </c>
      <c r="X13" s="3"/>
      <c r="Y13" s="6">
        <f>+SUM(Y5:Y12)</f>
        <v>310760</v>
      </c>
      <c r="Z13" s="13"/>
      <c r="AA13" s="1"/>
      <c r="AB13" s="1" t="s">
        <v>19</v>
      </c>
      <c r="AC13" s="5">
        <v>9053</v>
      </c>
      <c r="AD13" s="1"/>
      <c r="AE13" s="1"/>
      <c r="AF13" s="1"/>
      <c r="AG13" s="1"/>
      <c r="AH13" s="1"/>
      <c r="AI13" s="2">
        <v>5000</v>
      </c>
      <c r="AJ13" s="2">
        <v>39</v>
      </c>
      <c r="AK13" s="36">
        <f t="shared" si="0"/>
        <v>195000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22</v>
      </c>
      <c r="AF14" s="68"/>
      <c r="AG14" s="1"/>
      <c r="AH14" s="1"/>
      <c r="AI14" s="3" t="s">
        <v>18</v>
      </c>
      <c r="AJ14" s="3"/>
      <c r="AK14" s="6">
        <f>+SUM(AK6:AK13)</f>
        <v>714903</v>
      </c>
      <c r="AL14" s="1"/>
    </row>
    <row r="15" spans="2:38" ht="15.75" thickBot="1">
      <c r="B15" s="109" t="s">
        <v>21</v>
      </c>
      <c r="C15" s="110"/>
      <c r="D15" s="8">
        <v>74992</v>
      </c>
      <c r="E15" s="30"/>
      <c r="F15" s="109" t="s">
        <v>21</v>
      </c>
      <c r="G15" s="110"/>
      <c r="H15" s="8">
        <v>103424</v>
      </c>
      <c r="I15" s="30"/>
      <c r="J15" s="109" t="s">
        <v>21</v>
      </c>
      <c r="K15" s="110"/>
      <c r="L15" s="8">
        <v>85655</v>
      </c>
      <c r="M15" s="30"/>
      <c r="N15" s="109" t="s">
        <v>21</v>
      </c>
      <c r="O15" s="110"/>
      <c r="P15" s="8">
        <v>83712</v>
      </c>
      <c r="Q15" s="30"/>
      <c r="R15" s="109" t="s">
        <v>21</v>
      </c>
      <c r="S15" s="110"/>
      <c r="T15" s="8">
        <v>241255</v>
      </c>
      <c r="U15" s="30"/>
      <c r="V15" s="31"/>
      <c r="W15" s="109" t="s">
        <v>21</v>
      </c>
      <c r="X15" s="110"/>
      <c r="Y15" s="8">
        <f>+D15+H15+L15+P15+T15</f>
        <v>589038</v>
      </c>
      <c r="Z15" s="32"/>
      <c r="AA15" s="30"/>
      <c r="AB15" s="1" t="s">
        <v>23</v>
      </c>
      <c r="AF15" s="68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61230</v>
      </c>
      <c r="E16" s="1"/>
      <c r="F16" s="1" t="s">
        <v>10</v>
      </c>
      <c r="G16" s="1"/>
      <c r="H16" s="5">
        <f>+H13</f>
        <v>95610</v>
      </c>
      <c r="I16" s="1"/>
      <c r="J16" s="1" t="s">
        <v>10</v>
      </c>
      <c r="K16" s="1"/>
      <c r="L16" s="5">
        <f>+L13</f>
        <v>52680</v>
      </c>
      <c r="M16" s="1"/>
      <c r="N16" s="1" t="s">
        <v>10</v>
      </c>
      <c r="O16" s="1"/>
      <c r="P16" s="5">
        <f>+P13</f>
        <v>78710</v>
      </c>
      <c r="Q16" s="1"/>
      <c r="R16" s="1" t="s">
        <v>10</v>
      </c>
      <c r="S16" s="1"/>
      <c r="T16" s="5">
        <f>+T13</f>
        <v>22530</v>
      </c>
      <c r="U16" s="1"/>
      <c r="V16" s="12"/>
      <c r="W16" s="40" t="s">
        <v>10</v>
      </c>
      <c r="X16" s="40"/>
      <c r="Y16" s="37">
        <f>+D16+H16+L16+P16+T16</f>
        <v>310760</v>
      </c>
      <c r="Z16" s="13"/>
      <c r="AA16" s="1"/>
      <c r="AB16" s="1"/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>
        <v>13500</v>
      </c>
      <c r="E17" s="1"/>
      <c r="F17" s="1" t="s">
        <v>17</v>
      </c>
      <c r="G17" s="1"/>
      <c r="H17" s="5"/>
      <c r="I17" s="1"/>
      <c r="J17" s="1" t="s">
        <v>17</v>
      </c>
      <c r="K17" s="1"/>
      <c r="L17" s="5">
        <v>7298</v>
      </c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20798</v>
      </c>
      <c r="Z17" s="13"/>
      <c r="AA17" s="1"/>
      <c r="AB17" s="48" t="s">
        <v>12</v>
      </c>
      <c r="AC17" s="49">
        <f>+SUM(AC12:AC16)</f>
        <v>714903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24</v>
      </c>
      <c r="C18" s="1"/>
      <c r="D18" s="5"/>
      <c r="E18" s="1"/>
      <c r="F18" s="1" t="s">
        <v>393</v>
      </c>
      <c r="G18" s="1" t="s">
        <v>710</v>
      </c>
      <c r="H18" s="5">
        <v>7840</v>
      </c>
      <c r="I18" s="1"/>
      <c r="J18" s="1" t="s">
        <v>530</v>
      </c>
      <c r="K18" s="1" t="s">
        <v>709</v>
      </c>
      <c r="L18" s="5">
        <v>8729</v>
      </c>
      <c r="M18" s="1"/>
      <c r="N18" s="1" t="s">
        <v>530</v>
      </c>
      <c r="O18" s="1" t="s">
        <v>696</v>
      </c>
      <c r="P18" s="5">
        <v>5000</v>
      </c>
      <c r="Q18" s="1"/>
      <c r="R18" s="1" t="s">
        <v>392</v>
      </c>
      <c r="S18" s="1" t="s">
        <v>707</v>
      </c>
      <c r="T18" s="5">
        <v>14800</v>
      </c>
      <c r="U18" s="1"/>
      <c r="V18" s="12"/>
      <c r="W18" s="40" t="s">
        <v>24</v>
      </c>
      <c r="X18" s="40"/>
      <c r="Y18" s="37">
        <f t="shared" si="8"/>
        <v>36369</v>
      </c>
      <c r="Z18" s="13"/>
      <c r="AA18" s="1"/>
      <c r="AB18" s="50" t="s">
        <v>25</v>
      </c>
      <c r="AC18" s="51">
        <f>+AC17-AC9</f>
        <v>19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27</v>
      </c>
      <c r="C19" s="1"/>
      <c r="D19" s="5"/>
      <c r="E19" s="1"/>
      <c r="F19" s="1" t="s">
        <v>27</v>
      </c>
      <c r="G19" s="1"/>
      <c r="H19" s="5"/>
      <c r="I19" s="1"/>
      <c r="J19" s="1" t="s">
        <v>27</v>
      </c>
      <c r="K19" s="1"/>
      <c r="L19" s="5"/>
      <c r="M19" s="1"/>
      <c r="N19" s="1" t="s">
        <v>27</v>
      </c>
      <c r="O19" s="1"/>
      <c r="P19" s="5"/>
      <c r="Q19" s="1"/>
      <c r="R19" s="1" t="s">
        <v>392</v>
      </c>
      <c r="S19" s="1" t="s">
        <v>708</v>
      </c>
      <c r="T19" s="5">
        <v>2158</v>
      </c>
      <c r="U19" s="1"/>
      <c r="V19" s="12"/>
      <c r="W19" s="40" t="s">
        <v>27</v>
      </c>
      <c r="X19" s="40"/>
      <c r="Y19" s="37">
        <f t="shared" si="8"/>
        <v>2158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 t="s">
        <v>705</v>
      </c>
      <c r="S22" s="1" t="s">
        <v>706</v>
      </c>
      <c r="T22" s="5">
        <v>21564</v>
      </c>
      <c r="U22" s="1"/>
      <c r="V22" s="12"/>
      <c r="W22" s="40"/>
      <c r="X22" s="40"/>
      <c r="Y22" s="37">
        <f t="shared" si="8"/>
        <v>21564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711</v>
      </c>
      <c r="K23" s="1" t="s">
        <v>712</v>
      </c>
      <c r="L23" s="5">
        <v>5409</v>
      </c>
      <c r="M23" s="1"/>
      <c r="N23" s="1" t="s">
        <v>47</v>
      </c>
      <c r="O23" s="1"/>
      <c r="P23" s="5"/>
      <c r="Q23" s="1"/>
      <c r="R23" s="1" t="s">
        <v>698</v>
      </c>
      <c r="S23" s="1" t="s">
        <v>699</v>
      </c>
      <c r="T23" s="5">
        <v>18225</v>
      </c>
      <c r="U23" s="1"/>
      <c r="V23" s="12"/>
      <c r="W23" s="40" t="s">
        <v>36</v>
      </c>
      <c r="X23" s="40"/>
      <c r="Y23" s="37">
        <f t="shared" si="8"/>
        <v>23634</v>
      </c>
      <c r="Z23" s="13"/>
      <c r="AA23" s="1"/>
      <c r="AB23" s="70" t="s">
        <v>97</v>
      </c>
      <c r="AC23" s="77">
        <v>45932</v>
      </c>
      <c r="AD23" s="70" t="s">
        <v>266</v>
      </c>
      <c r="AE23" s="70" t="s">
        <v>111</v>
      </c>
      <c r="AF23" s="70">
        <v>4150</v>
      </c>
      <c r="AG23" s="1"/>
      <c r="AH23" s="1"/>
      <c r="AI23" s="70" t="s">
        <v>714</v>
      </c>
      <c r="AJ23" s="70" t="s">
        <v>66</v>
      </c>
      <c r="AK23" s="70"/>
      <c r="AL23" s="74">
        <v>7298</v>
      </c>
    </row>
    <row r="24" spans="2:38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713</v>
      </c>
      <c r="K24" s="1" t="s">
        <v>539</v>
      </c>
      <c r="L24" s="5">
        <v>14723</v>
      </c>
      <c r="M24" s="1"/>
      <c r="N24" s="1" t="s">
        <v>47</v>
      </c>
      <c r="O24" s="1"/>
      <c r="P24" s="5"/>
      <c r="Q24" s="1"/>
      <c r="R24" s="1" t="s">
        <v>700</v>
      </c>
      <c r="S24" s="1" t="s">
        <v>701</v>
      </c>
      <c r="T24" s="5">
        <v>34357</v>
      </c>
      <c r="U24" s="1"/>
      <c r="V24" s="12"/>
      <c r="W24" s="40" t="s">
        <v>37</v>
      </c>
      <c r="X24" s="40"/>
      <c r="Y24" s="37">
        <f t="shared" si="8"/>
        <v>49080</v>
      </c>
      <c r="Z24" s="13"/>
      <c r="AA24" s="1"/>
      <c r="AB24" s="70" t="s">
        <v>542</v>
      </c>
      <c r="AC24" s="77">
        <v>45939</v>
      </c>
      <c r="AD24" s="70" t="s">
        <v>164</v>
      </c>
      <c r="AE24" s="70"/>
      <c r="AF24" s="74">
        <v>20000</v>
      </c>
      <c r="AG24" s="1"/>
      <c r="AH24" s="1"/>
      <c r="AI24" s="70" t="s">
        <v>67</v>
      </c>
      <c r="AJ24" s="70" t="s">
        <v>66</v>
      </c>
      <c r="AK24" s="70"/>
      <c r="AL24" s="74">
        <v>13500</v>
      </c>
    </row>
    <row r="25" spans="2:38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47</v>
      </c>
      <c r="O25" s="1"/>
      <c r="P25" s="5"/>
      <c r="Q25" s="1"/>
      <c r="R25" s="1" t="s">
        <v>702</v>
      </c>
      <c r="S25" s="1" t="s">
        <v>167</v>
      </c>
      <c r="T25" s="5">
        <v>33765</v>
      </c>
      <c r="U25" s="1"/>
      <c r="V25" s="12"/>
      <c r="W25" s="40" t="s">
        <v>38</v>
      </c>
      <c r="X25" s="40"/>
      <c r="Y25" s="37">
        <f t="shared" si="8"/>
        <v>33765</v>
      </c>
      <c r="Z25" s="13"/>
      <c r="AA25" s="1"/>
      <c r="AB25" s="70" t="s">
        <v>697</v>
      </c>
      <c r="AC25" s="77">
        <v>45939</v>
      </c>
      <c r="AD25" s="70" t="s">
        <v>134</v>
      </c>
      <c r="AE25" s="70"/>
      <c r="AF25" s="70">
        <v>64070</v>
      </c>
      <c r="AG25" s="1"/>
      <c r="AH25" s="1"/>
      <c r="AI25" s="70" t="s">
        <v>100</v>
      </c>
      <c r="AJ25" s="70" t="s">
        <v>715</v>
      </c>
      <c r="AK25" s="70" t="s">
        <v>625</v>
      </c>
      <c r="AL25" s="74">
        <v>60820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703</v>
      </c>
      <c r="S26" s="1" t="s">
        <v>704</v>
      </c>
      <c r="T26" s="5">
        <v>93159</v>
      </c>
      <c r="U26" s="1"/>
      <c r="V26" s="12"/>
      <c r="W26" s="40"/>
      <c r="X26" s="40"/>
      <c r="Y26" s="37">
        <f t="shared" si="8"/>
        <v>93159</v>
      </c>
      <c r="Z26" s="13"/>
      <c r="AA26" s="1"/>
      <c r="AB26" s="70" t="s">
        <v>98</v>
      </c>
      <c r="AC26" s="71">
        <v>45944</v>
      </c>
      <c r="AD26" s="70" t="s">
        <v>490</v>
      </c>
      <c r="AE26" s="70" t="s">
        <v>468</v>
      </c>
      <c r="AF26" s="70">
        <v>7183</v>
      </c>
      <c r="AG26" s="1"/>
      <c r="AH26" s="1"/>
      <c r="AI26" s="70" t="s">
        <v>67</v>
      </c>
      <c r="AJ26" s="70" t="s">
        <v>425</v>
      </c>
      <c r="AK26" s="70" t="s">
        <v>88</v>
      </c>
      <c r="AL26" s="73">
        <v>10875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70" t="s">
        <v>724</v>
      </c>
      <c r="AC27" s="77">
        <v>45947</v>
      </c>
      <c r="AD27" s="70" t="s">
        <v>556</v>
      </c>
      <c r="AE27" s="70"/>
      <c r="AF27" s="70">
        <v>58944</v>
      </c>
      <c r="AG27" s="1"/>
      <c r="AH27" s="1"/>
      <c r="AI27" s="70" t="s">
        <v>65</v>
      </c>
      <c r="AJ27" s="70" t="s">
        <v>446</v>
      </c>
      <c r="AK27" s="70" t="s">
        <v>246</v>
      </c>
      <c r="AL27" s="73">
        <v>3870</v>
      </c>
    </row>
    <row r="28" spans="2:38" ht="15.75" thickBot="1">
      <c r="B28" s="114" t="s">
        <v>12</v>
      </c>
      <c r="C28" s="115"/>
      <c r="D28" s="9">
        <f>+SUM(D16:D27)</f>
        <v>74730</v>
      </c>
      <c r="E28" s="1"/>
      <c r="F28" s="114" t="s">
        <v>12</v>
      </c>
      <c r="G28" s="115"/>
      <c r="H28" s="9">
        <f>+SUM(H16:H27)</f>
        <v>103450</v>
      </c>
      <c r="I28" s="1"/>
      <c r="J28" s="114" t="s">
        <v>12</v>
      </c>
      <c r="K28" s="115"/>
      <c r="L28" s="9">
        <f>+SUM(L16:L27)</f>
        <v>88839</v>
      </c>
      <c r="M28" s="1"/>
      <c r="N28" s="114" t="s">
        <v>12</v>
      </c>
      <c r="O28" s="115"/>
      <c r="P28" s="9">
        <f>+SUM(P16:P27)</f>
        <v>83710</v>
      </c>
      <c r="Q28" s="1"/>
      <c r="R28" s="114" t="s">
        <v>12</v>
      </c>
      <c r="S28" s="115"/>
      <c r="T28" s="9">
        <f>+SUM(T16:T27)</f>
        <v>240558</v>
      </c>
      <c r="U28" s="1"/>
      <c r="V28" s="12"/>
      <c r="W28" s="114" t="s">
        <v>12</v>
      </c>
      <c r="X28" s="115"/>
      <c r="Y28" s="9">
        <f>+SUM(Y16:Y27)</f>
        <v>591287</v>
      </c>
      <c r="Z28" s="13"/>
      <c r="AA28" s="1"/>
      <c r="AB28" s="70" t="s">
        <v>725</v>
      </c>
      <c r="AC28" s="77">
        <v>45940</v>
      </c>
      <c r="AD28" s="70" t="s">
        <v>155</v>
      </c>
      <c r="AE28" s="70"/>
      <c r="AF28" s="70">
        <v>6986</v>
      </c>
      <c r="AG28" s="1"/>
      <c r="AH28" s="1"/>
      <c r="AI28" s="70" t="s">
        <v>97</v>
      </c>
      <c r="AJ28" s="70" t="s">
        <v>440</v>
      </c>
      <c r="AK28" s="70" t="s">
        <v>482</v>
      </c>
      <c r="AL28" s="73">
        <v>14373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70" t="s">
        <v>607</v>
      </c>
      <c r="AC29" s="71">
        <v>45922</v>
      </c>
      <c r="AD29" s="70" t="s">
        <v>606</v>
      </c>
      <c r="AE29" s="70"/>
      <c r="AF29" s="70">
        <v>28655</v>
      </c>
      <c r="AG29" s="1"/>
      <c r="AH29" s="1"/>
      <c r="AI29" s="70" t="s">
        <v>98</v>
      </c>
      <c r="AJ29" s="70" t="s">
        <v>464</v>
      </c>
      <c r="AK29" s="70" t="s">
        <v>719</v>
      </c>
      <c r="AL29" s="74">
        <v>6749</v>
      </c>
    </row>
    <row r="30" spans="2:38" ht="15.75" thickBot="1">
      <c r="B30" s="116" t="s">
        <v>40</v>
      </c>
      <c r="C30" s="116"/>
      <c r="D30" s="7">
        <f>+D28-D15</f>
        <v>-262</v>
      </c>
      <c r="E30" s="1"/>
      <c r="F30" s="116" t="s">
        <v>40</v>
      </c>
      <c r="G30" s="116"/>
      <c r="H30" s="7">
        <f>+H28-H15</f>
        <v>26</v>
      </c>
      <c r="I30" s="1"/>
      <c r="J30" s="116" t="s">
        <v>40</v>
      </c>
      <c r="K30" s="116"/>
      <c r="L30" s="7">
        <f>+L28-L15</f>
        <v>3184</v>
      </c>
      <c r="M30" s="1"/>
      <c r="N30" s="116" t="s">
        <v>40</v>
      </c>
      <c r="O30" s="116"/>
      <c r="P30" s="7">
        <f>+P28-P15</f>
        <v>-2</v>
      </c>
      <c r="Q30" s="1"/>
      <c r="R30" s="116" t="s">
        <v>40</v>
      </c>
      <c r="S30" s="116"/>
      <c r="T30" s="7">
        <f>+T28-T15</f>
        <v>-697</v>
      </c>
      <c r="U30" s="1"/>
      <c r="V30" s="12"/>
      <c r="W30" s="113" t="s">
        <v>40</v>
      </c>
      <c r="X30" s="113"/>
      <c r="Y30" s="41">
        <f>+Y28-Y15</f>
        <v>2249</v>
      </c>
      <c r="Z30" s="13"/>
      <c r="AA30" s="1"/>
      <c r="AB30" s="70" t="s">
        <v>726</v>
      </c>
      <c r="AC30" s="77">
        <v>45946</v>
      </c>
      <c r="AD30" s="70" t="s">
        <v>539</v>
      </c>
      <c r="AE30" s="70"/>
      <c r="AF30" s="73">
        <v>7046</v>
      </c>
      <c r="AG30" s="1"/>
      <c r="AH30" s="1"/>
      <c r="AI30" s="70" t="s">
        <v>65</v>
      </c>
      <c r="AJ30" s="70" t="s">
        <v>471</v>
      </c>
      <c r="AK30" s="70" t="s">
        <v>191</v>
      </c>
      <c r="AL30" s="73">
        <v>6242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70" t="s">
        <v>727</v>
      </c>
      <c r="AC31" s="77">
        <v>45941</v>
      </c>
      <c r="AD31" s="70" t="s">
        <v>420</v>
      </c>
      <c r="AE31" s="70"/>
      <c r="AF31" s="74">
        <v>100000</v>
      </c>
      <c r="AG31" s="1"/>
      <c r="AH31" s="1"/>
      <c r="AI31" s="70" t="s">
        <v>65</v>
      </c>
      <c r="AJ31" s="70" t="s">
        <v>514</v>
      </c>
      <c r="AK31" s="70" t="s">
        <v>720</v>
      </c>
      <c r="AL31" s="74">
        <v>5000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70" t="s">
        <v>728</v>
      </c>
      <c r="AC32" s="71">
        <v>45950</v>
      </c>
      <c r="AD32" s="70" t="s">
        <v>228</v>
      </c>
      <c r="AE32" s="70"/>
      <c r="AF32" s="74">
        <v>100000</v>
      </c>
      <c r="AG32" s="1"/>
      <c r="AH32" s="1"/>
      <c r="AI32" s="70" t="s">
        <v>65</v>
      </c>
      <c r="AJ32" s="70" t="s">
        <v>716</v>
      </c>
      <c r="AK32" s="70" t="s">
        <v>721</v>
      </c>
      <c r="AL32" s="74">
        <v>4340</v>
      </c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70"/>
      <c r="AC33" s="97" t="s">
        <v>695</v>
      </c>
      <c r="AD33" s="98"/>
      <c r="AE33" s="97"/>
      <c r="AF33" s="97">
        <v>3090</v>
      </c>
      <c r="AG33" s="1"/>
      <c r="AH33" s="1"/>
      <c r="AI33" s="70" t="s">
        <v>100</v>
      </c>
      <c r="AJ33" s="70" t="s">
        <v>717</v>
      </c>
      <c r="AK33" s="70" t="s">
        <v>722</v>
      </c>
      <c r="AL33" s="74">
        <v>69000</v>
      </c>
    </row>
    <row r="34" spans="2:38">
      <c r="B34" s="10" t="s">
        <v>41</v>
      </c>
      <c r="C34" s="11"/>
      <c r="D34" s="21">
        <v>262</v>
      </c>
      <c r="E34" s="1"/>
      <c r="F34" s="10" t="s">
        <v>41</v>
      </c>
      <c r="G34" s="11"/>
      <c r="H34" s="21"/>
      <c r="I34" s="1"/>
      <c r="J34" s="10" t="s">
        <v>41</v>
      </c>
      <c r="K34" s="11"/>
      <c r="L34" s="21"/>
      <c r="M34" s="1"/>
      <c r="N34" s="10" t="s">
        <v>41</v>
      </c>
      <c r="O34" s="11"/>
      <c r="P34" s="21">
        <v>2</v>
      </c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264</v>
      </c>
      <c r="Z34" s="1"/>
      <c r="AA34" s="1"/>
      <c r="AB34" s="16"/>
      <c r="AC34" s="97" t="s">
        <v>695</v>
      </c>
      <c r="AD34" s="98"/>
      <c r="AE34" s="97"/>
      <c r="AF34" s="97">
        <v>4000</v>
      </c>
      <c r="AG34" s="1"/>
      <c r="AH34" s="1"/>
      <c r="AI34" s="70" t="s">
        <v>100</v>
      </c>
      <c r="AJ34" s="70" t="s">
        <v>718</v>
      </c>
      <c r="AK34" s="70" t="s">
        <v>723</v>
      </c>
      <c r="AL34" s="74">
        <v>50000</v>
      </c>
    </row>
    <row r="35" spans="2:38">
      <c r="B35" s="12" t="s">
        <v>42</v>
      </c>
      <c r="C35" s="16"/>
      <c r="D35" s="22"/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/>
      <c r="Q35" s="1"/>
      <c r="R35" s="12" t="s">
        <v>382</v>
      </c>
      <c r="S35" s="16"/>
      <c r="T35" s="22">
        <v>907</v>
      </c>
      <c r="U35" s="1"/>
      <c r="V35" s="1"/>
      <c r="W35" s="45" t="s">
        <v>42</v>
      </c>
      <c r="X35" s="40"/>
      <c r="Y35" s="46">
        <f t="shared" ref="Y35:Y36" si="9">+D35+H35+L35+P35+T35</f>
        <v>907</v>
      </c>
      <c r="Z35" s="1"/>
      <c r="AA35" s="1"/>
      <c r="AB35" s="16"/>
      <c r="AC35" s="16"/>
      <c r="AD35" s="16"/>
      <c r="AE35" s="16"/>
      <c r="AF35" s="16"/>
      <c r="AG35" s="1"/>
      <c r="AH35" s="1"/>
      <c r="AI35" s="1"/>
      <c r="AJ35" s="1"/>
      <c r="AK35" s="1"/>
      <c r="AL35" s="1"/>
    </row>
    <row r="36" spans="2:38">
      <c r="B36" s="12" t="s">
        <v>44</v>
      </c>
      <c r="C36" s="16"/>
      <c r="D36" s="22"/>
      <c r="E36" s="1"/>
      <c r="F36" s="12" t="s">
        <v>44</v>
      </c>
      <c r="G36" s="16"/>
      <c r="H36" s="22">
        <v>-26</v>
      </c>
      <c r="I36" s="1"/>
      <c r="J36" s="12" t="s">
        <v>44</v>
      </c>
      <c r="K36" s="16"/>
      <c r="L36" s="22">
        <v>-3184</v>
      </c>
      <c r="M36" s="1"/>
      <c r="N36" s="12" t="s">
        <v>44</v>
      </c>
      <c r="O36" s="16"/>
      <c r="P36" s="22"/>
      <c r="Q36" s="1"/>
      <c r="R36" s="12" t="s">
        <v>44</v>
      </c>
      <c r="S36" s="16"/>
      <c r="T36" s="22">
        <v>-210</v>
      </c>
      <c r="U36" s="1"/>
      <c r="V36" s="1"/>
      <c r="W36" s="45" t="s">
        <v>43</v>
      </c>
      <c r="X36" s="40"/>
      <c r="Y36" s="46">
        <f t="shared" si="9"/>
        <v>-3420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ht="15.75" thickBot="1">
      <c r="B37" s="12" t="s">
        <v>18</v>
      </c>
      <c r="C37" s="16"/>
      <c r="D37" s="22">
        <f>+SUM(D34:D36)</f>
        <v>262</v>
      </c>
      <c r="E37" s="1"/>
      <c r="F37" s="12" t="s">
        <v>18</v>
      </c>
      <c r="G37" s="16"/>
      <c r="H37" s="22">
        <f>+SUM(H34:H36)</f>
        <v>-26</v>
      </c>
      <c r="I37" s="1"/>
      <c r="J37" s="12" t="s">
        <v>18</v>
      </c>
      <c r="K37" s="16"/>
      <c r="L37" s="22">
        <f>+SUM(L34:L36)</f>
        <v>-3184</v>
      </c>
      <c r="M37" s="1"/>
      <c r="N37" s="12" t="s">
        <v>18</v>
      </c>
      <c r="O37" s="16"/>
      <c r="P37" s="22">
        <f>+SUM(P34:P36)</f>
        <v>2</v>
      </c>
      <c r="Q37" s="1"/>
      <c r="R37" s="12" t="s">
        <v>18</v>
      </c>
      <c r="S37" s="16"/>
      <c r="T37" s="22">
        <f>+SUM(T34:T36)</f>
        <v>697</v>
      </c>
      <c r="U37" s="1"/>
      <c r="V37" s="1"/>
      <c r="W37" s="33" t="s">
        <v>18</v>
      </c>
      <c r="X37" s="34"/>
      <c r="Y37" s="35">
        <f>+SUM(Y34:Y36)</f>
        <v>-2249</v>
      </c>
      <c r="Z37" s="1"/>
      <c r="AA37" s="1"/>
      <c r="AB37" s="60" t="s">
        <v>39</v>
      </c>
      <c r="AC37" s="60"/>
      <c r="AD37" s="60"/>
      <c r="AE37" s="60"/>
      <c r="AF37" s="55">
        <f>+SUM(AF23:AF36)</f>
        <v>404124</v>
      </c>
      <c r="AG37" s="1"/>
      <c r="AH37" s="1"/>
      <c r="AI37" s="60" t="s">
        <v>39</v>
      </c>
      <c r="AJ37" s="60"/>
      <c r="AK37" s="60"/>
      <c r="AL37" s="72">
        <f>+SUM(AL23:AL36)</f>
        <v>252067</v>
      </c>
    </row>
    <row r="38" spans="2:38" ht="16.5" thickTop="1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B2:AL39"/>
  <sheetViews>
    <sheetView zoomScale="80" zoomScaleNormal="80" workbookViewId="0">
      <selection activeCell="AE31" sqref="AE31"/>
    </sheetView>
  </sheetViews>
  <sheetFormatPr defaultRowHeight="15"/>
  <cols>
    <col min="3" max="3" width="13.5703125" bestFit="1" customWidth="1"/>
    <col min="4" max="4" width="9.140625" customWidth="1"/>
    <col min="5" max="5" width="0.85546875" customWidth="1"/>
    <col min="7" max="7" width="14.7109375" bestFit="1" customWidth="1"/>
    <col min="8" max="8" width="9.5703125" bestFit="1" customWidth="1"/>
    <col min="9" max="9" width="0.85546875" customWidth="1"/>
    <col min="13" max="13" width="0.42578125" customWidth="1"/>
    <col min="14" max="14" width="10.5703125" customWidth="1"/>
    <col min="15" max="15" width="15.85546875" bestFit="1" customWidth="1"/>
    <col min="17" max="17" width="0.42578125" customWidth="1"/>
    <col min="20" max="20" width="11.140625" bestFit="1" customWidth="1"/>
    <col min="21" max="21" width="0.5703125" customWidth="1"/>
    <col min="22" max="22" width="2" customWidth="1"/>
    <col min="25" max="25" width="9.5703125" bestFit="1" customWidth="1"/>
    <col min="26" max="26" width="1.5703125" customWidth="1"/>
    <col min="27" max="27" width="0.42578125" customWidth="1"/>
    <col min="28" max="28" width="15" bestFit="1" customWidth="1"/>
    <col min="29" max="29" width="9.85546875" bestFit="1" customWidth="1"/>
    <col min="33" max="33" width="1.5703125" customWidth="1"/>
    <col min="34" max="34" width="9.140625" hidden="1" customWidth="1"/>
  </cols>
  <sheetData>
    <row r="2" spans="2:38" ht="15.75" thickBot="1"/>
    <row r="3" spans="2:38">
      <c r="B3" s="111" t="s">
        <v>127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3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165</v>
      </c>
      <c r="D6" s="36">
        <f>+C6*B6</f>
        <v>1650</v>
      </c>
      <c r="E6" s="1"/>
      <c r="F6" s="2">
        <v>10</v>
      </c>
      <c r="G6" s="2">
        <v>97</v>
      </c>
      <c r="H6" s="36">
        <f>+G6*F6</f>
        <v>970</v>
      </c>
      <c r="I6" s="1"/>
      <c r="J6" s="2">
        <v>10</v>
      </c>
      <c r="K6" s="2">
        <v>42</v>
      </c>
      <c r="L6" s="36">
        <f>+K6*J6</f>
        <v>420</v>
      </c>
      <c r="M6" s="1"/>
      <c r="N6" s="2">
        <v>10</v>
      </c>
      <c r="O6" s="2">
        <v>11</v>
      </c>
      <c r="P6" s="36">
        <f>+O6*N6</f>
        <v>110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315</v>
      </c>
      <c r="Y6" s="37">
        <f>+D6+H6+L6+P6+T6</f>
        <v>3150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33</v>
      </c>
      <c r="D7" s="36">
        <f t="shared" ref="D7:D12" si="1">+C7*B7</f>
        <v>660</v>
      </c>
      <c r="E7" s="1"/>
      <c r="F7" s="2">
        <v>20</v>
      </c>
      <c r="G7" s="2">
        <v>21</v>
      </c>
      <c r="H7" s="36">
        <f t="shared" ref="H7:H12" si="2">+G7*F7</f>
        <v>420</v>
      </c>
      <c r="I7" s="1"/>
      <c r="J7" s="2">
        <v>20</v>
      </c>
      <c r="K7" s="2">
        <v>7</v>
      </c>
      <c r="L7" s="36">
        <f t="shared" ref="L7:L12" si="3">+K7*J7</f>
        <v>140</v>
      </c>
      <c r="M7" s="1"/>
      <c r="N7" s="2">
        <v>20</v>
      </c>
      <c r="O7" s="2">
        <v>3</v>
      </c>
      <c r="P7" s="36">
        <f t="shared" ref="P7:P12" si="4">+O7*N7</f>
        <v>60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64</v>
      </c>
      <c r="Y7" s="37">
        <f t="shared" ref="Y7:Y12" si="6">+D7+H7+L7+P7+T7</f>
        <v>1280</v>
      </c>
      <c r="Z7" s="13"/>
      <c r="AA7" s="1"/>
      <c r="AB7" s="56" t="s">
        <v>10</v>
      </c>
      <c r="AC7" s="57">
        <f>Y13</f>
        <v>316530</v>
      </c>
      <c r="AD7" s="26"/>
      <c r="AE7" s="26"/>
      <c r="AF7" s="26"/>
      <c r="AG7" s="26"/>
      <c r="AH7" s="1"/>
      <c r="AI7" s="2">
        <v>10</v>
      </c>
      <c r="AJ7" s="2">
        <v>316</v>
      </c>
      <c r="AK7" s="36">
        <f t="shared" si="0"/>
        <v>3160</v>
      </c>
      <c r="AL7" s="1"/>
    </row>
    <row r="8" spans="2:38">
      <c r="B8" s="2">
        <v>50</v>
      </c>
      <c r="C8" s="2">
        <v>41</v>
      </c>
      <c r="D8" s="36">
        <f t="shared" si="1"/>
        <v>2050</v>
      </c>
      <c r="E8" s="1"/>
      <c r="F8" s="2">
        <v>50</v>
      </c>
      <c r="G8" s="2">
        <v>15</v>
      </c>
      <c r="H8" s="36">
        <f t="shared" si="2"/>
        <v>750</v>
      </c>
      <c r="I8" s="1"/>
      <c r="J8" s="2">
        <v>50</v>
      </c>
      <c r="K8" s="2">
        <v>40</v>
      </c>
      <c r="L8" s="36">
        <f t="shared" si="3"/>
        <v>2000</v>
      </c>
      <c r="M8" s="1"/>
      <c r="N8" s="2">
        <v>50</v>
      </c>
      <c r="O8" s="2">
        <v>90</v>
      </c>
      <c r="P8" s="36">
        <f t="shared" si="4"/>
        <v>4500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186</v>
      </c>
      <c r="Y8" s="37">
        <f t="shared" si="6"/>
        <v>9300</v>
      </c>
      <c r="Z8" s="13"/>
      <c r="AA8" s="1"/>
      <c r="AB8" s="53" t="s">
        <v>11</v>
      </c>
      <c r="AC8" s="53">
        <f>+AF37</f>
        <v>5410</v>
      </c>
      <c r="AD8" s="1"/>
      <c r="AE8" s="1"/>
      <c r="AF8" s="1"/>
      <c r="AG8" s="1"/>
      <c r="AH8" s="1"/>
      <c r="AI8" s="2">
        <v>20</v>
      </c>
      <c r="AJ8" s="2">
        <v>64</v>
      </c>
      <c r="AK8" s="36">
        <f t="shared" si="0"/>
        <v>1280</v>
      </c>
      <c r="AL8" s="1"/>
    </row>
    <row r="9" spans="2:38" ht="15.75" thickBot="1">
      <c r="B9" s="2">
        <v>100</v>
      </c>
      <c r="C9" s="2">
        <v>35</v>
      </c>
      <c r="D9" s="36">
        <f t="shared" si="1"/>
        <v>3500</v>
      </c>
      <c r="E9" s="1"/>
      <c r="F9" s="2">
        <v>100</v>
      </c>
      <c r="G9" s="2">
        <v>14</v>
      </c>
      <c r="H9" s="36">
        <f t="shared" si="2"/>
        <v>1400</v>
      </c>
      <c r="I9" s="1"/>
      <c r="J9" s="2">
        <v>100</v>
      </c>
      <c r="K9" s="2">
        <v>28</v>
      </c>
      <c r="L9" s="36">
        <f t="shared" si="3"/>
        <v>2800</v>
      </c>
      <c r="M9" s="1"/>
      <c r="N9" s="2">
        <v>100</v>
      </c>
      <c r="O9" s="2">
        <v>96</v>
      </c>
      <c r="P9" s="36">
        <f t="shared" si="4"/>
        <v>9600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173</v>
      </c>
      <c r="Y9" s="37">
        <f t="shared" si="6"/>
        <v>17300</v>
      </c>
      <c r="Z9" s="13"/>
      <c r="AA9" s="1"/>
      <c r="AB9" s="58" t="s">
        <v>12</v>
      </c>
      <c r="AC9" s="59">
        <f>SUM(AC7:AC8)</f>
        <v>321940</v>
      </c>
      <c r="AD9" s="1"/>
      <c r="AE9" s="1"/>
      <c r="AF9" s="1"/>
      <c r="AG9" s="1"/>
      <c r="AH9" s="1"/>
      <c r="AI9" s="2">
        <v>50</v>
      </c>
      <c r="AJ9" s="2">
        <v>186</v>
      </c>
      <c r="AK9" s="36">
        <f t="shared" si="0"/>
        <v>9300</v>
      </c>
      <c r="AL9" s="1"/>
    </row>
    <row r="10" spans="2:38">
      <c r="B10" s="2">
        <v>500</v>
      </c>
      <c r="C10" s="2">
        <v>19</v>
      </c>
      <c r="D10" s="36">
        <f t="shared" si="1"/>
        <v>9500</v>
      </c>
      <c r="E10" s="1"/>
      <c r="F10" s="2">
        <v>500</v>
      </c>
      <c r="G10" s="2">
        <v>47</v>
      </c>
      <c r="H10" s="36">
        <f t="shared" si="2"/>
        <v>23500</v>
      </c>
      <c r="I10" s="1"/>
      <c r="J10" s="2">
        <v>500</v>
      </c>
      <c r="K10" s="2">
        <v>43</v>
      </c>
      <c r="L10" s="36">
        <f t="shared" si="3"/>
        <v>21500</v>
      </c>
      <c r="M10" s="1"/>
      <c r="N10" s="2">
        <v>500</v>
      </c>
      <c r="O10" s="2">
        <v>66</v>
      </c>
      <c r="P10" s="36">
        <f t="shared" si="4"/>
        <v>33000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175</v>
      </c>
      <c r="Y10" s="37">
        <f t="shared" si="6"/>
        <v>87500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177</v>
      </c>
      <c r="AK10" s="36">
        <f t="shared" si="0"/>
        <v>17700</v>
      </c>
      <c r="AL10" s="1"/>
    </row>
    <row r="11" spans="2:38">
      <c r="B11" s="2">
        <v>1000</v>
      </c>
      <c r="C11" s="2">
        <v>34</v>
      </c>
      <c r="D11" s="36">
        <f t="shared" si="1"/>
        <v>34000</v>
      </c>
      <c r="E11" s="1"/>
      <c r="F11" s="2">
        <v>1000</v>
      </c>
      <c r="G11" s="2">
        <v>48</v>
      </c>
      <c r="H11" s="36">
        <f t="shared" si="2"/>
        <v>48000</v>
      </c>
      <c r="I11" s="1"/>
      <c r="J11" s="2">
        <v>1000</v>
      </c>
      <c r="K11" s="2">
        <v>40</v>
      </c>
      <c r="L11" s="36">
        <f t="shared" si="3"/>
        <v>40000</v>
      </c>
      <c r="M11" s="1"/>
      <c r="N11" s="2">
        <v>1000</v>
      </c>
      <c r="O11" s="2">
        <v>21</v>
      </c>
      <c r="P11" s="36">
        <f t="shared" si="4"/>
        <v>21000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143</v>
      </c>
      <c r="Y11" s="37">
        <f t="shared" si="6"/>
        <v>143000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175</v>
      </c>
      <c r="AK11" s="36">
        <f t="shared" si="0"/>
        <v>87500</v>
      </c>
      <c r="AL11" s="1"/>
    </row>
    <row r="12" spans="2:38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5</v>
      </c>
      <c r="H12" s="36">
        <f t="shared" si="2"/>
        <v>25000</v>
      </c>
      <c r="I12" s="1"/>
      <c r="J12" s="2">
        <v>5000</v>
      </c>
      <c r="K12" s="2">
        <v>2</v>
      </c>
      <c r="L12" s="36">
        <f t="shared" si="3"/>
        <v>10000</v>
      </c>
      <c r="M12" s="1"/>
      <c r="N12" s="2">
        <v>5000</v>
      </c>
      <c r="O12" s="2">
        <v>3</v>
      </c>
      <c r="P12" s="36">
        <f t="shared" si="4"/>
        <v>15000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11</v>
      </c>
      <c r="Y12" s="37">
        <f t="shared" si="6"/>
        <v>55000</v>
      </c>
      <c r="Z12" s="13"/>
      <c r="AA12" s="1"/>
      <c r="AB12" s="1" t="s">
        <v>17</v>
      </c>
      <c r="AC12" s="5">
        <v>317500</v>
      </c>
      <c r="AD12" s="1">
        <v>521783</v>
      </c>
      <c r="AE12" s="52" t="s">
        <v>745</v>
      </c>
      <c r="AF12" s="1" t="s">
        <v>110</v>
      </c>
      <c r="AG12" s="1"/>
      <c r="AH12" s="1"/>
      <c r="AI12" s="2">
        <v>1000</v>
      </c>
      <c r="AJ12" s="2">
        <v>148</v>
      </c>
      <c r="AK12" s="36">
        <f t="shared" si="0"/>
        <v>148000</v>
      </c>
      <c r="AL12" s="1"/>
    </row>
    <row r="13" spans="2:38" ht="15.75" thickBot="1">
      <c r="B13" s="3" t="s">
        <v>18</v>
      </c>
      <c r="C13" s="3"/>
      <c r="D13" s="6">
        <f>+SUM(D5:D12)</f>
        <v>56360</v>
      </c>
      <c r="E13" s="1"/>
      <c r="F13" s="3" t="s">
        <v>18</v>
      </c>
      <c r="G13" s="3"/>
      <c r="H13" s="6">
        <f>+SUM(H5:H12)</f>
        <v>100040</v>
      </c>
      <c r="I13" s="1"/>
      <c r="J13" s="3" t="s">
        <v>18</v>
      </c>
      <c r="K13" s="3"/>
      <c r="L13" s="6">
        <f>+SUM(L5:L12)</f>
        <v>76860</v>
      </c>
      <c r="M13" s="1"/>
      <c r="N13" s="3" t="s">
        <v>18</v>
      </c>
      <c r="O13" s="3"/>
      <c r="P13" s="6">
        <f>+SUM(P5:P12)</f>
        <v>83270</v>
      </c>
      <c r="Q13" s="1"/>
      <c r="R13" s="3" t="s">
        <v>18</v>
      </c>
      <c r="S13" s="3"/>
      <c r="T13" s="6">
        <f>+SUM(T5:T12)</f>
        <v>0</v>
      </c>
      <c r="U13" s="1"/>
      <c r="V13" s="12"/>
      <c r="W13" s="3" t="s">
        <v>18</v>
      </c>
      <c r="X13" s="3"/>
      <c r="Y13" s="6">
        <f>+SUM(Y5:Y12)</f>
        <v>316530</v>
      </c>
      <c r="Z13" s="13"/>
      <c r="AA13" s="1"/>
      <c r="AB13" s="1" t="s">
        <v>19</v>
      </c>
      <c r="AC13" s="5">
        <v>4440</v>
      </c>
      <c r="AD13" s="1"/>
      <c r="AE13" s="1"/>
      <c r="AF13" s="1"/>
      <c r="AG13" s="1"/>
      <c r="AH13" s="1"/>
      <c r="AI13" s="2">
        <v>5000</v>
      </c>
      <c r="AJ13" s="2">
        <v>11</v>
      </c>
      <c r="AK13" s="36">
        <f t="shared" si="0"/>
        <v>55000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321940</v>
      </c>
      <c r="AL14" s="1"/>
    </row>
    <row r="15" spans="2:38" ht="15.75" thickBot="1">
      <c r="B15" s="109" t="s">
        <v>21</v>
      </c>
      <c r="C15" s="110"/>
      <c r="D15" s="8">
        <v>70683</v>
      </c>
      <c r="E15" s="30"/>
      <c r="F15" s="109" t="s">
        <v>21</v>
      </c>
      <c r="G15" s="110"/>
      <c r="H15" s="8">
        <v>106353</v>
      </c>
      <c r="I15" s="30"/>
      <c r="J15" s="109" t="s">
        <v>21</v>
      </c>
      <c r="K15" s="110"/>
      <c r="L15" s="8">
        <v>76836</v>
      </c>
      <c r="M15" s="30"/>
      <c r="N15" s="109" t="s">
        <v>21</v>
      </c>
      <c r="O15" s="110"/>
      <c r="P15" s="8">
        <v>88050</v>
      </c>
      <c r="Q15" s="30"/>
      <c r="R15" s="109" t="s">
        <v>21</v>
      </c>
      <c r="S15" s="110"/>
      <c r="T15" s="8">
        <v>500700</v>
      </c>
      <c r="U15" s="30"/>
      <c r="V15" s="31"/>
      <c r="W15" s="109" t="s">
        <v>21</v>
      </c>
      <c r="X15" s="110"/>
      <c r="Y15" s="8">
        <f>+D15+H15+L15+P15+T15</f>
        <v>842622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56360</v>
      </c>
      <c r="E16" s="1"/>
      <c r="F16" s="1" t="s">
        <v>10</v>
      </c>
      <c r="G16" s="1"/>
      <c r="H16" s="5">
        <f>+H13</f>
        <v>100040</v>
      </c>
      <c r="I16" s="1"/>
      <c r="J16" s="1" t="s">
        <v>10</v>
      </c>
      <c r="K16" s="1"/>
      <c r="L16" s="5">
        <f>+L13</f>
        <v>76860</v>
      </c>
      <c r="M16" s="1"/>
      <c r="N16" s="1" t="s">
        <v>10</v>
      </c>
      <c r="O16" s="1"/>
      <c r="P16" s="5">
        <f>+P13</f>
        <v>83270</v>
      </c>
      <c r="Q16" s="1"/>
      <c r="R16" s="1" t="s">
        <v>10</v>
      </c>
      <c r="S16" s="1"/>
      <c r="T16" s="5">
        <f>+T13</f>
        <v>0</v>
      </c>
      <c r="U16" s="1"/>
      <c r="V16" s="12"/>
      <c r="W16" s="40" t="s">
        <v>10</v>
      </c>
      <c r="X16" s="40"/>
      <c r="Y16" s="37">
        <f>+D16+H16+L16+P16+T16</f>
        <v>316530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321940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137</v>
      </c>
      <c r="C18" s="1" t="s">
        <v>730</v>
      </c>
      <c r="D18" s="5">
        <v>15221</v>
      </c>
      <c r="E18" s="1"/>
      <c r="F18" s="1" t="s">
        <v>393</v>
      </c>
      <c r="G18" s="1" t="s">
        <v>734</v>
      </c>
      <c r="H18" s="5">
        <v>6434</v>
      </c>
      <c r="I18" s="1"/>
      <c r="J18" s="1" t="s">
        <v>24</v>
      </c>
      <c r="K18" s="1"/>
      <c r="L18" s="5"/>
      <c r="M18" s="1"/>
      <c r="N18" s="1" t="s">
        <v>24</v>
      </c>
      <c r="O18" s="1"/>
      <c r="P18" s="5"/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21655</v>
      </c>
      <c r="Z18" s="13"/>
      <c r="AA18" s="1"/>
      <c r="AB18" s="50" t="s">
        <v>25</v>
      </c>
      <c r="AC18" s="51">
        <f>+AC17-AC9</f>
        <v>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27</v>
      </c>
      <c r="C19" s="1"/>
      <c r="D19" s="5"/>
      <c r="E19" s="1"/>
      <c r="F19" s="1" t="s">
        <v>27</v>
      </c>
      <c r="G19" s="1"/>
      <c r="H19" s="5"/>
      <c r="I19" s="1"/>
      <c r="J19" s="1" t="s">
        <v>27</v>
      </c>
      <c r="K19" s="1"/>
      <c r="L19" s="5"/>
      <c r="M19" s="1"/>
      <c r="N19" s="1" t="s">
        <v>27</v>
      </c>
      <c r="O19" s="1"/>
      <c r="P19" s="5"/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 t="s">
        <v>744</v>
      </c>
      <c r="S21" s="1" t="s">
        <v>560</v>
      </c>
      <c r="T21" s="5">
        <v>28529</v>
      </c>
      <c r="U21" s="1"/>
      <c r="V21" s="12"/>
      <c r="W21" s="40"/>
      <c r="X21" s="40"/>
      <c r="Y21" s="37">
        <f t="shared" si="8"/>
        <v>28529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 t="s">
        <v>742</v>
      </c>
      <c r="S22" s="1" t="s">
        <v>157</v>
      </c>
      <c r="T22" s="5">
        <v>27001</v>
      </c>
      <c r="U22" s="1"/>
      <c r="V22" s="12"/>
      <c r="W22" s="40"/>
      <c r="X22" s="40"/>
      <c r="Y22" s="37">
        <f t="shared" si="8"/>
        <v>27001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732</v>
      </c>
      <c r="O23" s="1" t="s">
        <v>733</v>
      </c>
      <c r="P23" s="5">
        <v>3584</v>
      </c>
      <c r="Q23" s="1"/>
      <c r="R23" s="1" t="s">
        <v>737</v>
      </c>
      <c r="S23" s="1" t="s">
        <v>205</v>
      </c>
      <c r="T23" s="5">
        <v>57922</v>
      </c>
      <c r="U23" s="1"/>
      <c r="V23" s="12"/>
      <c r="W23" s="40" t="s">
        <v>36</v>
      </c>
      <c r="X23" s="40"/>
      <c r="Y23" s="37">
        <f t="shared" si="8"/>
        <v>61506</v>
      </c>
      <c r="Z23" s="13"/>
      <c r="AA23" s="1"/>
      <c r="AB23" s="16" t="s">
        <v>731</v>
      </c>
      <c r="AC23" s="99">
        <v>45953</v>
      </c>
      <c r="AD23" s="16" t="s">
        <v>712</v>
      </c>
      <c r="AE23" s="16"/>
      <c r="AF23" s="16">
        <v>410</v>
      </c>
      <c r="AG23" s="1"/>
      <c r="AH23" s="1"/>
      <c r="AI23" s="70" t="s">
        <v>100</v>
      </c>
      <c r="AJ23" s="70" t="s">
        <v>374</v>
      </c>
      <c r="AK23" s="70" t="s">
        <v>624</v>
      </c>
      <c r="AL23" s="73">
        <v>25000</v>
      </c>
    </row>
    <row r="24" spans="2:38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47</v>
      </c>
      <c r="O24" s="1"/>
      <c r="P24" s="5"/>
      <c r="Q24" s="1"/>
      <c r="R24" s="1" t="s">
        <v>738</v>
      </c>
      <c r="S24" s="1" t="s">
        <v>155</v>
      </c>
      <c r="T24" s="5">
        <v>280409</v>
      </c>
      <c r="U24" s="1"/>
      <c r="V24" s="12"/>
      <c r="W24" s="40" t="s">
        <v>37</v>
      </c>
      <c r="X24" s="40"/>
      <c r="Y24" s="37">
        <f t="shared" si="8"/>
        <v>280409</v>
      </c>
      <c r="Z24" s="13"/>
      <c r="AA24" s="1"/>
      <c r="AB24" s="20" t="s">
        <v>65</v>
      </c>
      <c r="AC24" s="95">
        <v>45936</v>
      </c>
      <c r="AD24" s="16" t="s">
        <v>305</v>
      </c>
      <c r="AE24" s="16" t="s">
        <v>249</v>
      </c>
      <c r="AF24" s="16">
        <v>5000</v>
      </c>
      <c r="AG24" s="1"/>
      <c r="AH24" s="1"/>
      <c r="AI24" s="70" t="s">
        <v>98</v>
      </c>
      <c r="AJ24" s="70" t="s">
        <v>394</v>
      </c>
      <c r="AK24" s="70" t="s">
        <v>85</v>
      </c>
      <c r="AL24" s="74">
        <v>6500</v>
      </c>
    </row>
    <row r="25" spans="2:38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47</v>
      </c>
      <c r="O25" s="1"/>
      <c r="P25" s="5"/>
      <c r="Q25" s="1"/>
      <c r="R25" s="1" t="s">
        <v>739</v>
      </c>
      <c r="S25" s="1" t="s">
        <v>740</v>
      </c>
      <c r="T25" s="5">
        <v>5473</v>
      </c>
      <c r="U25" s="1"/>
      <c r="V25" s="12"/>
      <c r="W25" s="40" t="s">
        <v>38</v>
      </c>
      <c r="X25" s="40"/>
      <c r="Y25" s="37">
        <f t="shared" si="8"/>
        <v>5473</v>
      </c>
      <c r="Z25" s="13"/>
      <c r="AA25" s="1"/>
      <c r="AB25" s="16"/>
      <c r="AC25" s="16"/>
      <c r="AD25" s="16"/>
      <c r="AE25" s="16"/>
      <c r="AF25" s="16"/>
      <c r="AG25" s="1"/>
      <c r="AH25" s="1"/>
      <c r="AI25" s="70" t="s">
        <v>97</v>
      </c>
      <c r="AJ25" s="70" t="s">
        <v>500</v>
      </c>
      <c r="AK25" s="70" t="s">
        <v>264</v>
      </c>
      <c r="AL25" s="73">
        <v>5912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741</v>
      </c>
      <c r="S26" s="1" t="s">
        <v>157</v>
      </c>
      <c r="T26" s="5">
        <v>45765</v>
      </c>
      <c r="U26" s="1"/>
      <c r="V26" s="12"/>
      <c r="W26" s="40"/>
      <c r="X26" s="40"/>
      <c r="Y26" s="37">
        <f t="shared" si="8"/>
        <v>45765</v>
      </c>
      <c r="Z26" s="13"/>
      <c r="AA26" s="1"/>
      <c r="AB26" s="1"/>
      <c r="AC26" s="1"/>
      <c r="AD26" s="1"/>
      <c r="AE26" s="1"/>
      <c r="AF26" s="20"/>
      <c r="AG26" s="1"/>
      <c r="AH26" s="1"/>
      <c r="AI26" s="70" t="s">
        <v>65</v>
      </c>
      <c r="AJ26" s="70" t="s">
        <v>536</v>
      </c>
      <c r="AK26" s="70" t="s">
        <v>190</v>
      </c>
      <c r="AL26" s="73">
        <v>11990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 t="s">
        <v>743</v>
      </c>
      <c r="S27" s="1" t="s">
        <v>203</v>
      </c>
      <c r="T27" s="5">
        <v>55637</v>
      </c>
      <c r="U27" s="1"/>
      <c r="V27" s="12"/>
      <c r="W27" s="40"/>
      <c r="X27" s="40"/>
      <c r="Y27" s="37">
        <f t="shared" si="8"/>
        <v>55637</v>
      </c>
      <c r="Z27" s="13"/>
      <c r="AA27" s="1"/>
      <c r="AB27" s="1"/>
      <c r="AC27" s="1"/>
      <c r="AD27" s="1"/>
      <c r="AE27" s="1"/>
      <c r="AF27" s="1"/>
      <c r="AG27" s="1"/>
      <c r="AH27" s="1"/>
      <c r="AI27" s="70" t="s">
        <v>65</v>
      </c>
      <c r="AJ27" s="70" t="s">
        <v>537</v>
      </c>
      <c r="AK27" s="70" t="s">
        <v>92</v>
      </c>
      <c r="AL27" s="73">
        <v>5000</v>
      </c>
    </row>
    <row r="28" spans="2:38" ht="15.75" thickBot="1">
      <c r="B28" s="114" t="s">
        <v>12</v>
      </c>
      <c r="C28" s="115"/>
      <c r="D28" s="9">
        <f>+SUM(D16:D27)</f>
        <v>71581</v>
      </c>
      <c r="E28" s="1"/>
      <c r="F28" s="114" t="s">
        <v>12</v>
      </c>
      <c r="G28" s="115"/>
      <c r="H28" s="9">
        <f>+SUM(H16:H27)</f>
        <v>106474</v>
      </c>
      <c r="I28" s="1"/>
      <c r="J28" s="114" t="s">
        <v>12</v>
      </c>
      <c r="K28" s="115"/>
      <c r="L28" s="9">
        <f>+SUM(L16:L27)</f>
        <v>76860</v>
      </c>
      <c r="M28" s="1"/>
      <c r="N28" s="114" t="s">
        <v>12</v>
      </c>
      <c r="O28" s="115"/>
      <c r="P28" s="9">
        <f>+SUM(P16:P27)</f>
        <v>86854</v>
      </c>
      <c r="Q28" s="1"/>
      <c r="R28" s="114" t="s">
        <v>12</v>
      </c>
      <c r="S28" s="115"/>
      <c r="T28" s="9">
        <f>+SUM(T16:T27)</f>
        <v>500736</v>
      </c>
      <c r="U28" s="1"/>
      <c r="V28" s="12"/>
      <c r="W28" s="114" t="s">
        <v>12</v>
      </c>
      <c r="X28" s="115"/>
      <c r="Y28" s="9">
        <f>+SUM(Y16:Y27)</f>
        <v>842505</v>
      </c>
      <c r="Z28" s="13"/>
      <c r="AA28" s="1"/>
      <c r="AB28" s="1"/>
      <c r="AC28" s="1"/>
      <c r="AD28" s="1"/>
      <c r="AE28" s="1"/>
      <c r="AF28" s="1"/>
      <c r="AG28" s="1"/>
      <c r="AH28" s="1"/>
      <c r="AI28" s="70" t="s">
        <v>98</v>
      </c>
      <c r="AJ28" s="70" t="s">
        <v>567</v>
      </c>
      <c r="AK28" s="70" t="s">
        <v>191</v>
      </c>
      <c r="AL28" s="74">
        <v>4893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70" t="s">
        <v>98</v>
      </c>
      <c r="AJ29" s="70" t="s">
        <v>586</v>
      </c>
      <c r="AK29" s="70" t="s">
        <v>152</v>
      </c>
      <c r="AL29" s="74">
        <v>7000</v>
      </c>
    </row>
    <row r="30" spans="2:38" ht="15.75" thickBot="1">
      <c r="B30" s="116" t="s">
        <v>40</v>
      </c>
      <c r="C30" s="116"/>
      <c r="D30" s="7">
        <f>+D28-D15</f>
        <v>898</v>
      </c>
      <c r="E30" s="1"/>
      <c r="F30" s="116" t="s">
        <v>40</v>
      </c>
      <c r="G30" s="116"/>
      <c r="H30" s="7">
        <f>+H28-H15</f>
        <v>121</v>
      </c>
      <c r="I30" s="1"/>
      <c r="J30" s="116" t="s">
        <v>40</v>
      </c>
      <c r="K30" s="116"/>
      <c r="L30" s="7">
        <f>+L28-L15</f>
        <v>24</v>
      </c>
      <c r="M30" s="1"/>
      <c r="N30" s="116" t="s">
        <v>40</v>
      </c>
      <c r="O30" s="116"/>
      <c r="P30" s="7">
        <f>+P28-P15</f>
        <v>-1196</v>
      </c>
      <c r="Q30" s="1"/>
      <c r="R30" s="116" t="s">
        <v>40</v>
      </c>
      <c r="S30" s="116"/>
      <c r="T30" s="7">
        <f>+T28-T15</f>
        <v>36</v>
      </c>
      <c r="U30" s="1"/>
      <c r="V30" s="12"/>
      <c r="W30" s="113" t="s">
        <v>40</v>
      </c>
      <c r="X30" s="113"/>
      <c r="Y30" s="41">
        <f>+Y28-Y15</f>
        <v>-117</v>
      </c>
      <c r="Z30" s="13"/>
      <c r="AA30" s="1"/>
      <c r="AB30" s="1"/>
      <c r="AC30" s="1"/>
      <c r="AD30" s="1"/>
      <c r="AE30" s="1"/>
      <c r="AF30" s="1"/>
      <c r="AG30" s="1"/>
      <c r="AH30" s="1"/>
      <c r="AI30" s="70" t="s">
        <v>100</v>
      </c>
      <c r="AJ30" s="70" t="s">
        <v>736</v>
      </c>
      <c r="AK30" s="70" t="s">
        <v>735</v>
      </c>
      <c r="AL30" s="74">
        <v>95248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>
      <c r="B34" s="10" t="s">
        <v>41</v>
      </c>
      <c r="C34" s="11"/>
      <c r="D34" s="21"/>
      <c r="E34" s="1"/>
      <c r="F34" s="10" t="s">
        <v>41</v>
      </c>
      <c r="G34" s="11"/>
      <c r="H34" s="21"/>
      <c r="I34" s="1"/>
      <c r="J34" s="10" t="s">
        <v>41</v>
      </c>
      <c r="K34" s="11"/>
      <c r="L34" s="21"/>
      <c r="M34" s="1"/>
      <c r="N34" s="10" t="s">
        <v>41</v>
      </c>
      <c r="O34" s="11"/>
      <c r="P34" s="21">
        <v>1196</v>
      </c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1196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>
      <c r="B35" s="12" t="s">
        <v>42</v>
      </c>
      <c r="C35" s="16"/>
      <c r="D35" s="22"/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/>
      <c r="Q35" s="1"/>
      <c r="R35" s="12" t="s">
        <v>42</v>
      </c>
      <c r="S35" s="16"/>
      <c r="T35" s="22">
        <v>-36</v>
      </c>
      <c r="U35" s="1"/>
      <c r="V35" s="1"/>
      <c r="W35" s="45" t="s">
        <v>42</v>
      </c>
      <c r="X35" s="40"/>
      <c r="Y35" s="46">
        <f t="shared" ref="Y35:Y36" si="9">+D35+H35+L35+P35+T35</f>
        <v>-36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44</v>
      </c>
      <c r="C36" s="16"/>
      <c r="D36" s="22">
        <v>-898</v>
      </c>
      <c r="E36" s="1"/>
      <c r="F36" s="12" t="s">
        <v>44</v>
      </c>
      <c r="G36" s="16"/>
      <c r="H36" s="22">
        <v>-121</v>
      </c>
      <c r="I36" s="1"/>
      <c r="J36" s="12" t="s">
        <v>44</v>
      </c>
      <c r="K36" s="16"/>
      <c r="L36" s="22">
        <v>-24</v>
      </c>
      <c r="M36" s="1"/>
      <c r="N36" s="12" t="s">
        <v>44</v>
      </c>
      <c r="O36" s="16"/>
      <c r="P36" s="22"/>
      <c r="Q36" s="1"/>
      <c r="R36" s="12" t="s">
        <v>46</v>
      </c>
      <c r="S36" s="16"/>
      <c r="T36" s="22"/>
      <c r="U36" s="1"/>
      <c r="V36" s="1"/>
      <c r="W36" s="45" t="s">
        <v>43</v>
      </c>
      <c r="X36" s="40"/>
      <c r="Y36" s="46">
        <f t="shared" si="9"/>
        <v>-1043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ht="15.75" thickBot="1">
      <c r="B37" s="12" t="s">
        <v>18</v>
      </c>
      <c r="C37" s="16"/>
      <c r="D37" s="22">
        <f>+SUM(D34:D36)</f>
        <v>-898</v>
      </c>
      <c r="E37" s="1"/>
      <c r="F37" s="12" t="s">
        <v>18</v>
      </c>
      <c r="G37" s="16"/>
      <c r="H37" s="22">
        <f>+SUM(H34:H36)</f>
        <v>-121</v>
      </c>
      <c r="I37" s="1"/>
      <c r="J37" s="12" t="s">
        <v>18</v>
      </c>
      <c r="K37" s="16"/>
      <c r="L37" s="22">
        <f>+SUM(L34:L36)</f>
        <v>-24</v>
      </c>
      <c r="M37" s="1"/>
      <c r="N37" s="12" t="s">
        <v>18</v>
      </c>
      <c r="O37" s="16"/>
      <c r="P37" s="22">
        <f>+SUM(P34:P36)</f>
        <v>1196</v>
      </c>
      <c r="Q37" s="1"/>
      <c r="R37" s="12" t="s">
        <v>18</v>
      </c>
      <c r="S37" s="16"/>
      <c r="T37" s="22">
        <f>+SUM(T34:T36)</f>
        <v>-36</v>
      </c>
      <c r="U37" s="1"/>
      <c r="V37" s="1"/>
      <c r="W37" s="33" t="s">
        <v>18</v>
      </c>
      <c r="X37" s="34"/>
      <c r="Y37" s="35">
        <f>+SUM(Y34:Y36)</f>
        <v>117</v>
      </c>
      <c r="Z37" s="1"/>
      <c r="AA37" s="1"/>
      <c r="AB37" s="60" t="s">
        <v>39</v>
      </c>
      <c r="AC37" s="60"/>
      <c r="AD37" s="60"/>
      <c r="AE37" s="60"/>
      <c r="AF37" s="55">
        <f>+SUM(AF23:AF36)</f>
        <v>5410</v>
      </c>
      <c r="AG37" s="1"/>
      <c r="AH37" s="1"/>
      <c r="AI37" s="60" t="s">
        <v>39</v>
      </c>
      <c r="AJ37" s="60"/>
      <c r="AK37" s="60"/>
      <c r="AL37" s="72">
        <f>+SUM(AL23:AL36)</f>
        <v>161543</v>
      </c>
    </row>
    <row r="38" spans="2:38" ht="16.5" thickTop="1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B2:AL39"/>
  <sheetViews>
    <sheetView zoomScale="80" zoomScaleNormal="80" workbookViewId="0">
      <selection activeCell="AB14" sqref="AB14:AC15"/>
    </sheetView>
  </sheetViews>
  <sheetFormatPr defaultRowHeight="15"/>
  <cols>
    <col min="3" max="3" width="13.28515625" bestFit="1" customWidth="1"/>
    <col min="5" max="5" width="0.5703125" customWidth="1"/>
    <col min="7" max="7" width="13.5703125" bestFit="1" customWidth="1"/>
    <col min="8" max="8" width="9.5703125" bestFit="1" customWidth="1"/>
    <col min="9" max="9" width="0.42578125" customWidth="1"/>
    <col min="11" max="11" width="13.28515625" bestFit="1" customWidth="1"/>
    <col min="13" max="13" width="1" customWidth="1"/>
    <col min="17" max="17" width="1.140625" customWidth="1"/>
    <col min="20" max="20" width="11.28515625" bestFit="1" customWidth="1"/>
    <col min="21" max="21" width="0.7109375" customWidth="1"/>
    <col min="22" max="22" width="1.5703125" customWidth="1"/>
    <col min="25" max="25" width="11.28515625" bestFit="1" customWidth="1"/>
    <col min="26" max="26" width="0.85546875" customWidth="1"/>
    <col min="27" max="27" width="0.7109375" customWidth="1"/>
    <col min="28" max="28" width="11.42578125" customWidth="1"/>
    <col min="29" max="29" width="9.7109375" bestFit="1" customWidth="1"/>
    <col min="33" max="33" width="2.28515625" customWidth="1"/>
    <col min="34" max="34" width="9.140625" hidden="1" customWidth="1"/>
  </cols>
  <sheetData>
    <row r="2" spans="2:38" ht="15.75" thickBot="1">
      <c r="E2" t="s">
        <v>754</v>
      </c>
    </row>
    <row r="3" spans="2:38">
      <c r="B3" s="111" t="s">
        <v>127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3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>
        <v>2</v>
      </c>
      <c r="L5" s="36">
        <f>+K5*J5</f>
        <v>2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2</v>
      </c>
      <c r="Y5" s="37">
        <f>+D5+H5+L5+P5+T5</f>
        <v>2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11</v>
      </c>
      <c r="D6" s="36">
        <f>+C6*B6</f>
        <v>110</v>
      </c>
      <c r="E6" s="1"/>
      <c r="F6" s="2">
        <v>10</v>
      </c>
      <c r="G6" s="2">
        <v>79</v>
      </c>
      <c r="H6" s="36">
        <f>+G6*F6</f>
        <v>790</v>
      </c>
      <c r="I6" s="1"/>
      <c r="J6" s="2">
        <v>10</v>
      </c>
      <c r="K6" s="2">
        <v>45</v>
      </c>
      <c r="L6" s="36">
        <f>+K6*J6</f>
        <v>450</v>
      </c>
      <c r="M6" s="1"/>
      <c r="N6" s="2">
        <v>10</v>
      </c>
      <c r="O6" s="2">
        <v>52</v>
      </c>
      <c r="P6" s="36">
        <f>+O6*N6</f>
        <v>520</v>
      </c>
      <c r="Q6" s="1"/>
      <c r="R6" s="2">
        <v>10</v>
      </c>
      <c r="S6" s="2">
        <v>348</v>
      </c>
      <c r="T6" s="36">
        <f>+S6*R6</f>
        <v>3480</v>
      </c>
      <c r="U6" s="1"/>
      <c r="V6" s="12"/>
      <c r="W6" s="39">
        <v>10</v>
      </c>
      <c r="X6" s="39">
        <f>+C6+G6+K6+O6+S6</f>
        <v>535</v>
      </c>
      <c r="Y6" s="37">
        <f>+D6+H6+L6+P6+T6</f>
        <v>5350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8</v>
      </c>
      <c r="AK6" s="36">
        <f t="shared" ref="AK6:AK13" si="0">+AJ6*AI6</f>
        <v>8</v>
      </c>
      <c r="AL6" s="26"/>
    </row>
    <row r="7" spans="2:38">
      <c r="B7" s="2">
        <v>20</v>
      </c>
      <c r="C7" s="2">
        <v>12</v>
      </c>
      <c r="D7" s="36">
        <f t="shared" ref="D7:D12" si="1">+C7*B7</f>
        <v>240</v>
      </c>
      <c r="E7" s="1"/>
      <c r="F7" s="2">
        <v>20</v>
      </c>
      <c r="G7" s="2">
        <v>21</v>
      </c>
      <c r="H7" s="36">
        <f t="shared" ref="H7:H12" si="2">+G7*F7</f>
        <v>420</v>
      </c>
      <c r="I7" s="1"/>
      <c r="J7" s="2">
        <v>20</v>
      </c>
      <c r="K7" s="2">
        <v>16</v>
      </c>
      <c r="L7" s="36">
        <f t="shared" ref="L7:L12" si="3">+K7*J7</f>
        <v>320</v>
      </c>
      <c r="M7" s="1"/>
      <c r="N7" s="2">
        <v>20</v>
      </c>
      <c r="O7" s="2">
        <v>2</v>
      </c>
      <c r="P7" s="36">
        <f t="shared" ref="P7:P12" si="4">+O7*N7</f>
        <v>40</v>
      </c>
      <c r="Q7" s="1"/>
      <c r="R7" s="2">
        <v>20</v>
      </c>
      <c r="S7" s="2">
        <v>52</v>
      </c>
      <c r="T7" s="36">
        <f t="shared" ref="T7:T12" si="5">+S7*R7</f>
        <v>1040</v>
      </c>
      <c r="U7" s="1"/>
      <c r="V7" s="12"/>
      <c r="W7" s="39">
        <v>20</v>
      </c>
      <c r="X7" s="39">
        <f>+C7+G7+K7+O7+S7</f>
        <v>103</v>
      </c>
      <c r="Y7" s="37">
        <f t="shared" ref="Y7:Y12" si="6">+D7+H7+L7+P7+T7</f>
        <v>2060</v>
      </c>
      <c r="Z7" s="13"/>
      <c r="AA7" s="1"/>
      <c r="AB7" s="56" t="s">
        <v>10</v>
      </c>
      <c r="AC7" s="57">
        <f>Y13</f>
        <v>378612</v>
      </c>
      <c r="AD7" s="26"/>
      <c r="AE7" s="26"/>
      <c r="AF7" s="26"/>
      <c r="AG7" s="26"/>
      <c r="AH7" s="1"/>
      <c r="AI7" s="2">
        <v>10</v>
      </c>
      <c r="AJ7" s="2">
        <v>536</v>
      </c>
      <c r="AK7" s="36">
        <f t="shared" si="0"/>
        <v>5360</v>
      </c>
      <c r="AL7" s="1"/>
    </row>
    <row r="8" spans="2:38">
      <c r="B8" s="2">
        <v>50</v>
      </c>
      <c r="C8" s="2">
        <v>33</v>
      </c>
      <c r="D8" s="36">
        <f t="shared" si="1"/>
        <v>1650</v>
      </c>
      <c r="E8" s="1"/>
      <c r="F8" s="2">
        <v>50</v>
      </c>
      <c r="G8" s="2">
        <v>7</v>
      </c>
      <c r="H8" s="36">
        <f t="shared" si="2"/>
        <v>350</v>
      </c>
      <c r="I8" s="1"/>
      <c r="J8" s="2">
        <v>50</v>
      </c>
      <c r="K8" s="2">
        <v>88</v>
      </c>
      <c r="L8" s="36">
        <f t="shared" si="3"/>
        <v>4400</v>
      </c>
      <c r="M8" s="1"/>
      <c r="N8" s="2">
        <v>50</v>
      </c>
      <c r="O8" s="2">
        <v>21</v>
      </c>
      <c r="P8" s="36">
        <f t="shared" si="4"/>
        <v>1050</v>
      </c>
      <c r="Q8" s="1"/>
      <c r="R8" s="2">
        <v>50</v>
      </c>
      <c r="S8" s="2">
        <v>149</v>
      </c>
      <c r="T8" s="36">
        <f t="shared" si="5"/>
        <v>7450</v>
      </c>
      <c r="U8" s="1"/>
      <c r="V8" s="12"/>
      <c r="W8" s="39">
        <v>50</v>
      </c>
      <c r="X8" s="39">
        <f t="shared" ref="X8:X12" si="7">+C8+G8+K8+O8+S8</f>
        <v>298</v>
      </c>
      <c r="Y8" s="37">
        <f t="shared" si="6"/>
        <v>14900</v>
      </c>
      <c r="Z8" s="13"/>
      <c r="AA8" s="1"/>
      <c r="AB8" s="53" t="s">
        <v>11</v>
      </c>
      <c r="AC8" s="53">
        <f>+AF37</f>
        <v>492925</v>
      </c>
      <c r="AD8" s="1"/>
      <c r="AE8" s="1"/>
      <c r="AF8" s="1"/>
      <c r="AG8" s="1"/>
      <c r="AH8" s="1"/>
      <c r="AI8" s="2">
        <v>20</v>
      </c>
      <c r="AJ8" s="2">
        <v>104</v>
      </c>
      <c r="AK8" s="36">
        <f t="shared" si="0"/>
        <v>2080</v>
      </c>
      <c r="AL8" s="1"/>
    </row>
    <row r="9" spans="2:38" ht="15.75" thickBot="1">
      <c r="B9" s="2">
        <v>100</v>
      </c>
      <c r="C9" s="2">
        <v>10</v>
      </c>
      <c r="D9" s="36">
        <f t="shared" si="1"/>
        <v>1000</v>
      </c>
      <c r="E9" s="1"/>
      <c r="F9" s="2">
        <v>100</v>
      </c>
      <c r="G9" s="2">
        <v>6</v>
      </c>
      <c r="H9" s="36">
        <f t="shared" si="2"/>
        <v>600</v>
      </c>
      <c r="I9" s="1"/>
      <c r="J9" s="2">
        <v>100</v>
      </c>
      <c r="K9" s="2">
        <v>31</v>
      </c>
      <c r="L9" s="36">
        <f t="shared" si="3"/>
        <v>3100</v>
      </c>
      <c r="M9" s="1"/>
      <c r="N9" s="2">
        <v>100</v>
      </c>
      <c r="O9" s="2">
        <v>33</v>
      </c>
      <c r="P9" s="36">
        <f t="shared" si="4"/>
        <v>3300</v>
      </c>
      <c r="Q9" s="1"/>
      <c r="R9" s="2">
        <v>100</v>
      </c>
      <c r="S9" s="2">
        <v>33</v>
      </c>
      <c r="T9" s="36">
        <f t="shared" si="5"/>
        <v>3300</v>
      </c>
      <c r="U9" s="1"/>
      <c r="V9" s="12"/>
      <c r="W9" s="39">
        <v>100</v>
      </c>
      <c r="X9" s="39">
        <f t="shared" si="7"/>
        <v>113</v>
      </c>
      <c r="Y9" s="37">
        <f t="shared" si="6"/>
        <v>11300</v>
      </c>
      <c r="Z9" s="13"/>
      <c r="AA9" s="1"/>
      <c r="AB9" s="58" t="s">
        <v>12</v>
      </c>
      <c r="AC9" s="59">
        <f>SUM(AC7:AC8)</f>
        <v>871537</v>
      </c>
      <c r="AD9" s="1"/>
      <c r="AE9" s="1"/>
      <c r="AF9" s="1"/>
      <c r="AG9" s="1"/>
      <c r="AH9" s="1"/>
      <c r="AI9" s="2">
        <v>50</v>
      </c>
      <c r="AJ9" s="2">
        <v>590</v>
      </c>
      <c r="AK9" s="36">
        <f t="shared" si="0"/>
        <v>29500</v>
      </c>
      <c r="AL9" s="1"/>
    </row>
    <row r="10" spans="2:38">
      <c r="B10" s="2">
        <v>500</v>
      </c>
      <c r="C10" s="2">
        <v>21</v>
      </c>
      <c r="D10" s="36">
        <f t="shared" si="1"/>
        <v>10500</v>
      </c>
      <c r="E10" s="1"/>
      <c r="F10" s="2">
        <v>500</v>
      </c>
      <c r="G10" s="2">
        <v>30</v>
      </c>
      <c r="H10" s="36">
        <f t="shared" si="2"/>
        <v>15000</v>
      </c>
      <c r="I10" s="1"/>
      <c r="J10" s="2">
        <v>500</v>
      </c>
      <c r="K10" s="2">
        <v>42</v>
      </c>
      <c r="L10" s="36">
        <f t="shared" si="3"/>
        <v>21000</v>
      </c>
      <c r="M10" s="1"/>
      <c r="N10" s="2">
        <v>500</v>
      </c>
      <c r="O10" s="2">
        <v>19</v>
      </c>
      <c r="P10" s="36">
        <f t="shared" si="4"/>
        <v>9500</v>
      </c>
      <c r="Q10" s="1"/>
      <c r="R10" s="2">
        <v>500</v>
      </c>
      <c r="S10" s="2">
        <v>16</v>
      </c>
      <c r="T10" s="36">
        <f t="shared" si="5"/>
        <v>8000</v>
      </c>
      <c r="U10" s="1"/>
      <c r="V10" s="12"/>
      <c r="W10" s="39">
        <v>500</v>
      </c>
      <c r="X10" s="39">
        <f t="shared" si="7"/>
        <v>128</v>
      </c>
      <c r="Y10" s="37">
        <f t="shared" si="6"/>
        <v>64000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221</v>
      </c>
      <c r="AK10" s="36">
        <f t="shared" si="0"/>
        <v>22100</v>
      </c>
      <c r="AL10" s="1"/>
    </row>
    <row r="11" spans="2:38">
      <c r="B11" s="2">
        <v>1000</v>
      </c>
      <c r="C11" s="2">
        <v>26</v>
      </c>
      <c r="D11" s="36">
        <f t="shared" si="1"/>
        <v>26000</v>
      </c>
      <c r="E11" s="1"/>
      <c r="F11" s="2">
        <v>1000</v>
      </c>
      <c r="G11" s="2">
        <v>31</v>
      </c>
      <c r="H11" s="36">
        <f t="shared" si="2"/>
        <v>31000</v>
      </c>
      <c r="I11" s="1"/>
      <c r="J11" s="2">
        <v>1000</v>
      </c>
      <c r="K11" s="2">
        <v>31</v>
      </c>
      <c r="L11" s="36">
        <f t="shared" si="3"/>
        <v>31000</v>
      </c>
      <c r="M11" s="1"/>
      <c r="N11" s="2">
        <v>1000</v>
      </c>
      <c r="O11" s="2">
        <v>34</v>
      </c>
      <c r="P11" s="36">
        <f t="shared" si="4"/>
        <v>34000</v>
      </c>
      <c r="Q11" s="1"/>
      <c r="R11" s="2">
        <v>1000</v>
      </c>
      <c r="S11" s="2">
        <v>84</v>
      </c>
      <c r="T11" s="36">
        <f t="shared" si="5"/>
        <v>84000</v>
      </c>
      <c r="U11" s="1"/>
      <c r="V11" s="12"/>
      <c r="W11" s="39">
        <v>1000</v>
      </c>
      <c r="X11" s="39">
        <f t="shared" si="7"/>
        <v>206</v>
      </c>
      <c r="Y11" s="37">
        <f t="shared" si="6"/>
        <v>206000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433</v>
      </c>
      <c r="AK11" s="36">
        <f t="shared" si="0"/>
        <v>216500</v>
      </c>
      <c r="AL11" s="1"/>
    </row>
    <row r="12" spans="2:38">
      <c r="B12" s="2">
        <v>5000</v>
      </c>
      <c r="C12" s="2">
        <v>2</v>
      </c>
      <c r="D12" s="36">
        <f t="shared" si="1"/>
        <v>10000</v>
      </c>
      <c r="E12" s="1"/>
      <c r="F12" s="2">
        <v>5000</v>
      </c>
      <c r="G12" s="2">
        <v>4</v>
      </c>
      <c r="H12" s="36">
        <f t="shared" si="2"/>
        <v>20000</v>
      </c>
      <c r="I12" s="1"/>
      <c r="J12" s="2">
        <v>5000</v>
      </c>
      <c r="K12" s="2">
        <v>0</v>
      </c>
      <c r="L12" s="36">
        <f t="shared" si="3"/>
        <v>0</v>
      </c>
      <c r="M12" s="1"/>
      <c r="N12" s="2">
        <v>5000</v>
      </c>
      <c r="O12" s="2">
        <v>3</v>
      </c>
      <c r="P12" s="36">
        <f t="shared" si="4"/>
        <v>15000</v>
      </c>
      <c r="Q12" s="1"/>
      <c r="R12" s="2">
        <v>5000</v>
      </c>
      <c r="S12" s="2">
        <v>6</v>
      </c>
      <c r="T12" s="36">
        <f t="shared" si="5"/>
        <v>30000</v>
      </c>
      <c r="U12" s="1"/>
      <c r="V12" s="12"/>
      <c r="W12" s="39">
        <v>5000</v>
      </c>
      <c r="X12" s="39">
        <f t="shared" si="7"/>
        <v>15</v>
      </c>
      <c r="Y12" s="37">
        <f t="shared" si="6"/>
        <v>75000</v>
      </c>
      <c r="Z12" s="13"/>
      <c r="AA12" s="1"/>
      <c r="AB12" s="1" t="s">
        <v>17</v>
      </c>
      <c r="AC12" s="5">
        <v>859540</v>
      </c>
      <c r="AD12" s="1">
        <v>375019</v>
      </c>
      <c r="AE12" s="52" t="s">
        <v>771</v>
      </c>
      <c r="AF12" s="1" t="s">
        <v>110</v>
      </c>
      <c r="AG12" s="1"/>
      <c r="AH12" s="1"/>
      <c r="AI12" s="2">
        <v>1000</v>
      </c>
      <c r="AJ12" s="2">
        <v>417</v>
      </c>
      <c r="AK12" s="36">
        <f t="shared" si="0"/>
        <v>417000</v>
      </c>
      <c r="AL12" s="1"/>
    </row>
    <row r="13" spans="2:38" ht="15.75" thickBot="1">
      <c r="B13" s="3" t="s">
        <v>18</v>
      </c>
      <c r="C13" s="3"/>
      <c r="D13" s="6">
        <f>+SUM(D5:D12)</f>
        <v>49500</v>
      </c>
      <c r="E13" s="1"/>
      <c r="F13" s="3" t="s">
        <v>18</v>
      </c>
      <c r="G13" s="3"/>
      <c r="H13" s="6">
        <f>+SUM(H5:H12)</f>
        <v>68160</v>
      </c>
      <c r="I13" s="1"/>
      <c r="J13" s="3" t="s">
        <v>18</v>
      </c>
      <c r="K13" s="3"/>
      <c r="L13" s="6">
        <f>+SUM(L5:L12)</f>
        <v>60272</v>
      </c>
      <c r="M13" s="1"/>
      <c r="N13" s="3" t="s">
        <v>18</v>
      </c>
      <c r="O13" s="3"/>
      <c r="P13" s="6">
        <f>+SUM(P5:P12)</f>
        <v>63410</v>
      </c>
      <c r="Q13" s="1"/>
      <c r="R13" s="3" t="s">
        <v>18</v>
      </c>
      <c r="S13" s="3"/>
      <c r="T13" s="6">
        <f>+SUM(T5:T12)</f>
        <v>137270</v>
      </c>
      <c r="U13" s="1"/>
      <c r="V13" s="12"/>
      <c r="W13" s="3" t="s">
        <v>18</v>
      </c>
      <c r="X13" s="3"/>
      <c r="Y13" s="6">
        <f>+SUM(Y5:Y12)</f>
        <v>378612</v>
      </c>
      <c r="Z13" s="13"/>
      <c r="AA13" s="1"/>
      <c r="AB13" s="1" t="s">
        <v>19</v>
      </c>
      <c r="AC13" s="5">
        <v>3008</v>
      </c>
      <c r="AD13" s="1"/>
      <c r="AE13" s="1"/>
      <c r="AF13" s="1"/>
      <c r="AG13" s="1"/>
      <c r="AH13" s="1"/>
      <c r="AI13" s="2">
        <v>5000</v>
      </c>
      <c r="AJ13" s="2">
        <v>34</v>
      </c>
      <c r="AK13" s="36">
        <f t="shared" si="0"/>
        <v>170000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01" t="s">
        <v>768</v>
      </c>
      <c r="AC14" s="100">
        <v>4000</v>
      </c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862548</v>
      </c>
      <c r="AL14" s="1"/>
    </row>
    <row r="15" spans="2:38" ht="15.75" thickBot="1">
      <c r="B15" s="109" t="s">
        <v>21</v>
      </c>
      <c r="C15" s="110"/>
      <c r="D15" s="8">
        <v>55850</v>
      </c>
      <c r="E15" s="30"/>
      <c r="F15" s="109" t="s">
        <v>21</v>
      </c>
      <c r="G15" s="110"/>
      <c r="H15" s="8">
        <v>102788</v>
      </c>
      <c r="I15" s="30"/>
      <c r="J15" s="109" t="s">
        <v>21</v>
      </c>
      <c r="K15" s="110"/>
      <c r="L15" s="8">
        <v>86897</v>
      </c>
      <c r="M15" s="30"/>
      <c r="N15" s="109" t="s">
        <v>21</v>
      </c>
      <c r="O15" s="110"/>
      <c r="P15" s="8">
        <v>63794</v>
      </c>
      <c r="Q15" s="30"/>
      <c r="R15" s="109" t="s">
        <v>21</v>
      </c>
      <c r="S15" s="110"/>
      <c r="T15" s="8">
        <v>1545237</v>
      </c>
      <c r="U15" s="30"/>
      <c r="V15" s="31"/>
      <c r="W15" s="109" t="s">
        <v>21</v>
      </c>
      <c r="X15" s="110"/>
      <c r="Y15" s="8">
        <f>+D15+H15+L15+P15+T15</f>
        <v>1854566</v>
      </c>
      <c r="Z15" s="32"/>
      <c r="AA15" s="30"/>
      <c r="AB15" s="101" t="s">
        <v>770</v>
      </c>
      <c r="AC15" s="100">
        <v>5000</v>
      </c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49500</v>
      </c>
      <c r="E16" s="1"/>
      <c r="F16" s="1" t="s">
        <v>10</v>
      </c>
      <c r="G16" s="1"/>
      <c r="H16" s="5">
        <f>+H13</f>
        <v>68160</v>
      </c>
      <c r="I16" s="1"/>
      <c r="J16" s="1" t="s">
        <v>10</v>
      </c>
      <c r="K16" s="1"/>
      <c r="L16" s="5">
        <f>+L13</f>
        <v>60272</v>
      </c>
      <c r="M16" s="1"/>
      <c r="N16" s="1" t="s">
        <v>10</v>
      </c>
      <c r="O16" s="1"/>
      <c r="P16" s="5">
        <f>+P13</f>
        <v>63410</v>
      </c>
      <c r="Q16" s="1"/>
      <c r="R16" s="1" t="s">
        <v>10</v>
      </c>
      <c r="S16" s="1"/>
      <c r="T16" s="5">
        <f>+T13</f>
        <v>137270</v>
      </c>
      <c r="U16" s="1"/>
      <c r="V16" s="12"/>
      <c r="W16" s="40" t="s">
        <v>10</v>
      </c>
      <c r="X16" s="40"/>
      <c r="Y16" s="37">
        <f>+D16+H16+L16+P16+T16</f>
        <v>378612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>
        <v>7000</v>
      </c>
      <c r="U17" s="1"/>
      <c r="V17" s="12"/>
      <c r="W17" s="40" t="s">
        <v>17</v>
      </c>
      <c r="X17" s="40"/>
      <c r="Y17" s="37">
        <f t="shared" ref="Y17:Y27" si="8">+D17+H17+L17+P17+T17</f>
        <v>7000</v>
      </c>
      <c r="Z17" s="13"/>
      <c r="AA17" s="1"/>
      <c r="AB17" s="48" t="s">
        <v>12</v>
      </c>
      <c r="AC17" s="49">
        <f>+SUM(AC12:AC16)</f>
        <v>871548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752</v>
      </c>
      <c r="C18" s="1" t="s">
        <v>753</v>
      </c>
      <c r="D18" s="5">
        <v>4950</v>
      </c>
      <c r="E18" s="1"/>
      <c r="F18" s="1" t="s">
        <v>393</v>
      </c>
      <c r="G18" s="1" t="s">
        <v>751</v>
      </c>
      <c r="H18" s="5">
        <v>5500</v>
      </c>
      <c r="I18" s="1"/>
      <c r="J18" s="1" t="s">
        <v>755</v>
      </c>
      <c r="K18" s="1" t="s">
        <v>756</v>
      </c>
      <c r="L18" s="5">
        <v>19580</v>
      </c>
      <c r="M18" s="1"/>
      <c r="N18" s="1" t="s">
        <v>24</v>
      </c>
      <c r="O18" s="1"/>
      <c r="P18" s="5"/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30030</v>
      </c>
      <c r="Z18" s="13"/>
      <c r="AA18" s="1"/>
      <c r="AB18" s="50" t="s">
        <v>25</v>
      </c>
      <c r="AC18" s="51">
        <f>+AC17-AC9</f>
        <v>11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27</v>
      </c>
      <c r="C19" s="1"/>
      <c r="D19" s="5"/>
      <c r="E19" s="1"/>
      <c r="F19" s="1" t="s">
        <v>61</v>
      </c>
      <c r="G19" s="1" t="s">
        <v>761</v>
      </c>
      <c r="H19" s="5">
        <v>10000</v>
      </c>
      <c r="I19" s="1"/>
      <c r="J19" s="1" t="s">
        <v>27</v>
      </c>
      <c r="K19" s="1"/>
      <c r="L19" s="5"/>
      <c r="M19" s="1"/>
      <c r="N19" s="1" t="s">
        <v>27</v>
      </c>
      <c r="O19" s="1"/>
      <c r="P19" s="5"/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10000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52</v>
      </c>
      <c r="G20" s="1" t="s">
        <v>762</v>
      </c>
      <c r="H20" s="5">
        <v>10000</v>
      </c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10000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36</v>
      </c>
      <c r="C23" s="1"/>
      <c r="D23" s="5"/>
      <c r="E23" s="1"/>
      <c r="F23" s="1" t="s">
        <v>763</v>
      </c>
      <c r="G23" s="1" t="s">
        <v>764</v>
      </c>
      <c r="H23" s="5">
        <v>9169</v>
      </c>
      <c r="I23" s="1"/>
      <c r="J23" s="1" t="s">
        <v>757</v>
      </c>
      <c r="K23" s="1" t="s">
        <v>758</v>
      </c>
      <c r="L23" s="5">
        <v>6113</v>
      </c>
      <c r="M23" s="1"/>
      <c r="N23" s="1" t="s">
        <v>746</v>
      </c>
      <c r="O23" s="1"/>
      <c r="P23" s="5"/>
      <c r="Q23" s="1"/>
      <c r="R23" s="1" t="s">
        <v>747</v>
      </c>
      <c r="S23" s="1" t="s">
        <v>748</v>
      </c>
      <c r="T23" s="5">
        <v>103208</v>
      </c>
      <c r="U23" s="1"/>
      <c r="V23" s="12"/>
      <c r="W23" s="40" t="s">
        <v>36</v>
      </c>
      <c r="X23" s="40"/>
      <c r="Y23" s="37">
        <f t="shared" si="8"/>
        <v>118490</v>
      </c>
      <c r="Z23" s="13"/>
      <c r="AA23" s="1"/>
      <c r="AB23" s="70" t="s">
        <v>766</v>
      </c>
      <c r="AC23" s="71">
        <v>45952</v>
      </c>
      <c r="AD23" s="70" t="s">
        <v>687</v>
      </c>
      <c r="AE23" s="70"/>
      <c r="AF23" s="70">
        <v>12991</v>
      </c>
      <c r="AG23" s="1"/>
      <c r="AH23" s="1"/>
      <c r="AI23" s="1" t="s">
        <v>769</v>
      </c>
      <c r="AJ23" s="1" t="s">
        <v>765</v>
      </c>
      <c r="AK23" s="1"/>
      <c r="AL23" s="62">
        <v>7000</v>
      </c>
    </row>
    <row r="24" spans="2:38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759</v>
      </c>
      <c r="K24" s="1" t="s">
        <v>760</v>
      </c>
      <c r="L24" s="5">
        <v>932</v>
      </c>
      <c r="M24" s="1"/>
      <c r="N24" s="1" t="s">
        <v>47</v>
      </c>
      <c r="O24" s="1"/>
      <c r="P24" s="5"/>
      <c r="Q24" s="1"/>
      <c r="R24" s="1" t="s">
        <v>749</v>
      </c>
      <c r="S24" s="1" t="s">
        <v>570</v>
      </c>
      <c r="T24" s="5">
        <v>7165</v>
      </c>
      <c r="U24" s="1"/>
      <c r="V24" s="12"/>
      <c r="W24" s="40" t="s">
        <v>37</v>
      </c>
      <c r="X24" s="40"/>
      <c r="Y24" s="37">
        <f t="shared" si="8"/>
        <v>8097</v>
      </c>
      <c r="Z24" s="13"/>
      <c r="AA24" s="1"/>
      <c r="AB24" s="70" t="s">
        <v>767</v>
      </c>
      <c r="AC24" s="82">
        <v>45954</v>
      </c>
      <c r="AD24" s="70" t="s">
        <v>733</v>
      </c>
      <c r="AE24" s="70"/>
      <c r="AF24" s="70">
        <v>3584</v>
      </c>
      <c r="AG24" s="1"/>
      <c r="AH24" s="1"/>
      <c r="AI24" s="1" t="s">
        <v>727</v>
      </c>
      <c r="AJ24" s="1"/>
      <c r="AK24" s="16" t="s">
        <v>420</v>
      </c>
      <c r="AL24" s="62">
        <v>150000</v>
      </c>
    </row>
    <row r="25" spans="2:38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47</v>
      </c>
      <c r="O25" s="1"/>
      <c r="P25" s="5"/>
      <c r="Q25" s="1"/>
      <c r="R25" s="1" t="s">
        <v>750</v>
      </c>
      <c r="S25" s="1" t="s">
        <v>90</v>
      </c>
      <c r="T25" s="5">
        <v>1283952</v>
      </c>
      <c r="U25" s="1"/>
      <c r="V25" s="12"/>
      <c r="W25" s="40" t="s">
        <v>38</v>
      </c>
      <c r="X25" s="40"/>
      <c r="Y25" s="37">
        <f t="shared" si="8"/>
        <v>1283952</v>
      </c>
      <c r="Z25" s="13"/>
      <c r="AA25" s="1"/>
      <c r="AB25" s="70" t="s">
        <v>665</v>
      </c>
      <c r="AC25" s="82">
        <v>45936</v>
      </c>
      <c r="AD25" s="70" t="s">
        <v>104</v>
      </c>
      <c r="AE25" s="70"/>
      <c r="AF25" s="70">
        <v>15000</v>
      </c>
      <c r="AG25" s="1"/>
      <c r="AH25" s="1"/>
      <c r="AI25" s="1"/>
      <c r="AJ25" s="1"/>
      <c r="AK25" s="1"/>
      <c r="AL25" s="62"/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70" t="s">
        <v>728</v>
      </c>
      <c r="AC26" s="71">
        <v>45950</v>
      </c>
      <c r="AD26" s="70" t="s">
        <v>228</v>
      </c>
      <c r="AE26" s="70"/>
      <c r="AF26" s="70">
        <v>461350</v>
      </c>
      <c r="AG26" s="1"/>
      <c r="AH26" s="1"/>
      <c r="AI26" s="1"/>
      <c r="AJ26" s="1"/>
      <c r="AK26" s="1"/>
      <c r="AL26" s="62"/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62"/>
    </row>
    <row r="28" spans="2:38" ht="15.75" thickBot="1">
      <c r="B28" s="114" t="s">
        <v>12</v>
      </c>
      <c r="C28" s="115"/>
      <c r="D28" s="9">
        <f>+SUM(D16:D27)</f>
        <v>54450</v>
      </c>
      <c r="E28" s="1"/>
      <c r="F28" s="114" t="s">
        <v>12</v>
      </c>
      <c r="G28" s="115"/>
      <c r="H28" s="9">
        <f>+SUM(H16:H27)</f>
        <v>102829</v>
      </c>
      <c r="I28" s="1"/>
      <c r="J28" s="114" t="s">
        <v>12</v>
      </c>
      <c r="K28" s="115"/>
      <c r="L28" s="9">
        <f>+SUM(L16:L27)</f>
        <v>86897</v>
      </c>
      <c r="M28" s="1"/>
      <c r="N28" s="114" t="s">
        <v>12</v>
      </c>
      <c r="O28" s="115"/>
      <c r="P28" s="9">
        <f>+SUM(P16:P27)</f>
        <v>63410</v>
      </c>
      <c r="Q28" s="1"/>
      <c r="R28" s="114" t="s">
        <v>12</v>
      </c>
      <c r="S28" s="115"/>
      <c r="T28" s="9">
        <f>+SUM(T16:T27)</f>
        <v>1538595</v>
      </c>
      <c r="U28" s="1"/>
      <c r="V28" s="12"/>
      <c r="W28" s="114" t="s">
        <v>12</v>
      </c>
      <c r="X28" s="115"/>
      <c r="Y28" s="9">
        <f>+SUM(Y16:Y27)</f>
        <v>1846181</v>
      </c>
      <c r="Z28" s="13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62"/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62"/>
    </row>
    <row r="30" spans="2:38" ht="15.75" thickBot="1">
      <c r="B30" s="116" t="s">
        <v>40</v>
      </c>
      <c r="C30" s="116"/>
      <c r="D30" s="7">
        <f>+D28-D15</f>
        <v>-1400</v>
      </c>
      <c r="E30" s="1"/>
      <c r="F30" s="116" t="s">
        <v>40</v>
      </c>
      <c r="G30" s="116"/>
      <c r="H30" s="7">
        <f>+H28-H15</f>
        <v>41</v>
      </c>
      <c r="I30" s="1"/>
      <c r="J30" s="116" t="s">
        <v>40</v>
      </c>
      <c r="K30" s="116"/>
      <c r="L30" s="7">
        <f>+L28-L15</f>
        <v>0</v>
      </c>
      <c r="M30" s="1"/>
      <c r="N30" s="116" t="s">
        <v>40</v>
      </c>
      <c r="O30" s="116"/>
      <c r="P30" s="7">
        <f>+P28-P15</f>
        <v>-384</v>
      </c>
      <c r="Q30" s="1"/>
      <c r="R30" s="116" t="s">
        <v>40</v>
      </c>
      <c r="S30" s="116"/>
      <c r="T30" s="7">
        <f>+T28-T15</f>
        <v>-6642</v>
      </c>
      <c r="U30" s="1"/>
      <c r="V30" s="12"/>
      <c r="W30" s="113" t="s">
        <v>40</v>
      </c>
      <c r="X30" s="113"/>
      <c r="Y30" s="41">
        <f>+Y28-Y15</f>
        <v>-8385</v>
      </c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62"/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>
      <c r="B34" s="10" t="s">
        <v>41</v>
      </c>
      <c r="C34" s="11"/>
      <c r="D34" s="21">
        <v>1400</v>
      </c>
      <c r="E34" s="1"/>
      <c r="F34" s="10" t="s">
        <v>41</v>
      </c>
      <c r="G34" s="11"/>
      <c r="H34" s="21"/>
      <c r="I34" s="1"/>
      <c r="J34" s="10" t="s">
        <v>41</v>
      </c>
      <c r="K34" s="11"/>
      <c r="L34" s="21"/>
      <c r="M34" s="1"/>
      <c r="N34" s="10" t="s">
        <v>41</v>
      </c>
      <c r="O34" s="11"/>
      <c r="P34" s="21">
        <v>384</v>
      </c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1784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>
      <c r="B35" s="12" t="s">
        <v>42</v>
      </c>
      <c r="C35" s="16"/>
      <c r="D35" s="22"/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/>
      <c r="Q35" s="1"/>
      <c r="R35" s="12" t="s">
        <v>382</v>
      </c>
      <c r="S35" s="16"/>
      <c r="T35" s="22">
        <v>6736</v>
      </c>
      <c r="U35" s="1"/>
      <c r="V35" s="1"/>
      <c r="W35" s="45" t="s">
        <v>42</v>
      </c>
      <c r="X35" s="40"/>
      <c r="Y35" s="46">
        <f t="shared" ref="Y35:Y36" si="9">+D35+H35+L35+P35+T35</f>
        <v>6736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44</v>
      </c>
      <c r="C36" s="16"/>
      <c r="D36" s="22"/>
      <c r="E36" s="1"/>
      <c r="F36" s="12" t="s">
        <v>44</v>
      </c>
      <c r="G36" s="16"/>
      <c r="H36" s="22">
        <v>-41</v>
      </c>
      <c r="I36" s="1"/>
      <c r="J36" s="12" t="s">
        <v>44</v>
      </c>
      <c r="K36" s="16"/>
      <c r="L36" s="22"/>
      <c r="M36" s="1"/>
      <c r="N36" s="12" t="s">
        <v>44</v>
      </c>
      <c r="O36" s="16"/>
      <c r="P36" s="22"/>
      <c r="Q36" s="1"/>
      <c r="R36" s="12" t="s">
        <v>44</v>
      </c>
      <c r="S36" s="16"/>
      <c r="T36" s="22">
        <v>-94</v>
      </c>
      <c r="U36" s="1"/>
      <c r="V36" s="1"/>
      <c r="W36" s="45" t="s">
        <v>43</v>
      </c>
      <c r="X36" s="40"/>
      <c r="Y36" s="46">
        <f t="shared" si="9"/>
        <v>-135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ht="15.75" thickBot="1">
      <c r="B37" s="12" t="s">
        <v>18</v>
      </c>
      <c r="C37" s="16"/>
      <c r="D37" s="22">
        <f>+SUM(D34:D36)</f>
        <v>1400</v>
      </c>
      <c r="E37" s="1"/>
      <c r="F37" s="12" t="s">
        <v>18</v>
      </c>
      <c r="G37" s="16"/>
      <c r="H37" s="22">
        <f>+SUM(H34:H36)</f>
        <v>-41</v>
      </c>
      <c r="I37" s="1"/>
      <c r="J37" s="12" t="s">
        <v>18</v>
      </c>
      <c r="K37" s="16"/>
      <c r="L37" s="22">
        <f>+SUM(L34:L36)</f>
        <v>0</v>
      </c>
      <c r="M37" s="1"/>
      <c r="N37" s="12" t="s">
        <v>18</v>
      </c>
      <c r="O37" s="16"/>
      <c r="P37" s="22">
        <f>+SUM(P34:P36)</f>
        <v>384</v>
      </c>
      <c r="Q37" s="1"/>
      <c r="R37" s="12" t="s">
        <v>18</v>
      </c>
      <c r="S37" s="16"/>
      <c r="T37" s="22">
        <f>+SUM(T34:T36)</f>
        <v>6642</v>
      </c>
      <c r="U37" s="1"/>
      <c r="V37" s="1"/>
      <c r="W37" s="33" t="s">
        <v>18</v>
      </c>
      <c r="X37" s="34"/>
      <c r="Y37" s="35">
        <f>+SUM(Y34:Y36)</f>
        <v>8385</v>
      </c>
      <c r="Z37" s="1"/>
      <c r="AA37" s="1"/>
      <c r="AB37" s="60" t="s">
        <v>39</v>
      </c>
      <c r="AC37" s="60"/>
      <c r="AD37" s="60"/>
      <c r="AE37" s="60"/>
      <c r="AF37" s="55">
        <f>+SUM(AF23:AF36)</f>
        <v>492925</v>
      </c>
      <c r="AG37" s="1"/>
      <c r="AH37" s="1"/>
      <c r="AI37" s="60" t="s">
        <v>39</v>
      </c>
      <c r="AJ37" s="60"/>
      <c r="AK37" s="60"/>
      <c r="AL37" s="72">
        <f>+SUM(AL23:AL36)</f>
        <v>157000</v>
      </c>
    </row>
    <row r="38" spans="2:38" ht="16.5" thickTop="1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B2:AL40"/>
  <sheetViews>
    <sheetView tabSelected="1" zoomScale="80" zoomScaleNormal="80" workbookViewId="0">
      <selection activeCell="T21" sqref="T21"/>
    </sheetView>
  </sheetViews>
  <sheetFormatPr defaultRowHeight="15"/>
  <cols>
    <col min="4" max="4" width="9.140625" customWidth="1"/>
    <col min="5" max="5" width="0.42578125" customWidth="1"/>
    <col min="7" max="7" width="13.85546875" bestFit="1" customWidth="1"/>
    <col min="8" max="8" width="9.5703125" bestFit="1" customWidth="1"/>
    <col min="9" max="9" width="0.5703125" customWidth="1"/>
    <col min="11" max="11" width="14.140625" bestFit="1" customWidth="1"/>
    <col min="12" max="12" width="9.5703125" bestFit="1" customWidth="1"/>
    <col min="13" max="13" width="0.42578125" customWidth="1"/>
    <col min="15" max="15" width="14.7109375" bestFit="1" customWidth="1"/>
    <col min="17" max="17" width="1.140625" customWidth="1"/>
    <col min="19" max="19" width="10.85546875" customWidth="1"/>
    <col min="20" max="20" width="11.140625" bestFit="1" customWidth="1"/>
    <col min="21" max="21" width="0.5703125" customWidth="1"/>
    <col min="22" max="22" width="0.7109375" customWidth="1"/>
    <col min="25" max="25" width="12.28515625" customWidth="1"/>
    <col min="26" max="26" width="0.7109375" customWidth="1"/>
    <col min="27" max="27" width="0.28515625" customWidth="1"/>
    <col min="28" max="28" width="15" bestFit="1" customWidth="1"/>
    <col min="29" max="29" width="9.85546875" bestFit="1" customWidth="1"/>
    <col min="33" max="33" width="9.140625" customWidth="1"/>
    <col min="34" max="34" width="2.5703125" customWidth="1"/>
    <col min="37" max="37" width="17.28515625" bestFit="1" customWidth="1"/>
  </cols>
  <sheetData>
    <row r="2" spans="2:38" ht="15.75" thickBot="1"/>
    <row r="3" spans="2:38">
      <c r="B3" s="111" t="s">
        <v>127</v>
      </c>
      <c r="C3" s="111"/>
      <c r="D3" s="111"/>
      <c r="E3" s="1"/>
      <c r="F3" s="111" t="s">
        <v>1</v>
      </c>
      <c r="G3" s="111"/>
      <c r="H3" s="111"/>
      <c r="I3" s="1"/>
      <c r="J3" s="111" t="s">
        <v>3</v>
      </c>
      <c r="K3" s="111"/>
      <c r="L3" s="111"/>
      <c r="M3" s="1"/>
      <c r="N3" s="111" t="s">
        <v>2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207</v>
      </c>
      <c r="D6" s="36">
        <f>+C6*B6</f>
        <v>2070</v>
      </c>
      <c r="E6" s="1"/>
      <c r="F6" s="2">
        <v>10</v>
      </c>
      <c r="G6" s="2">
        <v>46</v>
      </c>
      <c r="H6" s="36">
        <f>+G6*F6</f>
        <v>460</v>
      </c>
      <c r="I6" s="1"/>
      <c r="J6" s="2">
        <v>10</v>
      </c>
      <c r="K6" s="2">
        <v>25</v>
      </c>
      <c r="L6" s="36">
        <f>+K6*J6</f>
        <v>250</v>
      </c>
      <c r="M6" s="1"/>
      <c r="N6" s="2">
        <v>10</v>
      </c>
      <c r="O6" s="2">
        <v>17</v>
      </c>
      <c r="P6" s="36">
        <f>+O6*N6</f>
        <v>170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295</v>
      </c>
      <c r="Y6" s="37">
        <f>+D6+H6+L6+P6+T6</f>
        <v>2950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55</v>
      </c>
      <c r="D7" s="36">
        <f t="shared" ref="D7:D12" si="1">+C7*B7</f>
        <v>1100</v>
      </c>
      <c r="E7" s="1"/>
      <c r="F7" s="2">
        <v>20</v>
      </c>
      <c r="G7" s="2">
        <v>30</v>
      </c>
      <c r="H7" s="36">
        <f t="shared" ref="H7:H12" si="2">+G7*F7</f>
        <v>600</v>
      </c>
      <c r="I7" s="1"/>
      <c r="J7" s="2">
        <v>20</v>
      </c>
      <c r="K7" s="2">
        <v>0</v>
      </c>
      <c r="L7" s="36">
        <f t="shared" ref="L7:L12" si="3">+K7*J7</f>
        <v>0</v>
      </c>
      <c r="M7" s="1"/>
      <c r="N7" s="2">
        <v>20</v>
      </c>
      <c r="O7" s="2">
        <v>4</v>
      </c>
      <c r="P7" s="36">
        <f t="shared" ref="P7:P12" si="4">+O7*N7</f>
        <v>80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89</v>
      </c>
      <c r="Y7" s="37">
        <f t="shared" ref="Y7:Y12" si="6">+D7+H7+L7+P7+T7</f>
        <v>1780</v>
      </c>
      <c r="Z7" s="13"/>
      <c r="AA7" s="1"/>
      <c r="AB7" s="56" t="s">
        <v>10</v>
      </c>
      <c r="AC7" s="57">
        <f>Y13</f>
        <v>245530</v>
      </c>
      <c r="AD7" s="26"/>
      <c r="AE7" s="26"/>
      <c r="AF7" s="26"/>
      <c r="AG7" s="26"/>
      <c r="AH7" s="1"/>
      <c r="AI7" s="2">
        <v>10</v>
      </c>
      <c r="AJ7" s="2">
        <v>297</v>
      </c>
      <c r="AK7" s="36">
        <f t="shared" si="0"/>
        <v>2970</v>
      </c>
      <c r="AL7" s="1"/>
    </row>
    <row r="8" spans="2:38">
      <c r="B8" s="2">
        <v>50</v>
      </c>
      <c r="C8" s="2">
        <v>58</v>
      </c>
      <c r="D8" s="36">
        <f t="shared" si="1"/>
        <v>2900</v>
      </c>
      <c r="E8" s="1"/>
      <c r="F8" s="2">
        <v>50</v>
      </c>
      <c r="G8" s="2">
        <v>66</v>
      </c>
      <c r="H8" s="36">
        <f t="shared" si="2"/>
        <v>3300</v>
      </c>
      <c r="I8" s="1"/>
      <c r="J8" s="2">
        <v>50</v>
      </c>
      <c r="K8" s="2">
        <v>25</v>
      </c>
      <c r="L8" s="36">
        <f t="shared" si="3"/>
        <v>1250</v>
      </c>
      <c r="M8" s="1"/>
      <c r="N8" s="2">
        <v>50</v>
      </c>
      <c r="O8" s="2">
        <v>67</v>
      </c>
      <c r="P8" s="36">
        <f t="shared" si="4"/>
        <v>3350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216</v>
      </c>
      <c r="Y8" s="37">
        <f t="shared" si="6"/>
        <v>10800</v>
      </c>
      <c r="Z8" s="13"/>
      <c r="AA8" s="1"/>
      <c r="AB8" s="53" t="s">
        <v>11</v>
      </c>
      <c r="AC8" s="53">
        <f>+AF37</f>
        <v>29120</v>
      </c>
      <c r="AD8" s="1"/>
      <c r="AE8" s="1"/>
      <c r="AF8" s="1"/>
      <c r="AG8" s="1"/>
      <c r="AH8" s="1"/>
      <c r="AI8" s="2">
        <v>20</v>
      </c>
      <c r="AJ8" s="2">
        <v>89</v>
      </c>
      <c r="AK8" s="36">
        <f t="shared" si="0"/>
        <v>1780</v>
      </c>
      <c r="AL8" s="1"/>
    </row>
    <row r="9" spans="2:38" ht="15.75" thickBot="1">
      <c r="B9" s="2">
        <v>100</v>
      </c>
      <c r="C9" s="2">
        <v>31</v>
      </c>
      <c r="D9" s="36">
        <f t="shared" si="1"/>
        <v>3100</v>
      </c>
      <c r="E9" s="1"/>
      <c r="F9" s="2">
        <v>100</v>
      </c>
      <c r="G9" s="2">
        <v>57</v>
      </c>
      <c r="H9" s="36">
        <f t="shared" si="2"/>
        <v>5700</v>
      </c>
      <c r="I9" s="1"/>
      <c r="J9" s="2">
        <v>100</v>
      </c>
      <c r="K9" s="2">
        <v>25</v>
      </c>
      <c r="L9" s="36">
        <f t="shared" si="3"/>
        <v>2500</v>
      </c>
      <c r="M9" s="1"/>
      <c r="N9" s="2">
        <v>100</v>
      </c>
      <c r="O9" s="2">
        <v>67</v>
      </c>
      <c r="P9" s="36">
        <f t="shared" si="4"/>
        <v>6700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180</v>
      </c>
      <c r="Y9" s="37">
        <f t="shared" si="6"/>
        <v>18000</v>
      </c>
      <c r="Z9" s="13"/>
      <c r="AA9" s="1"/>
      <c r="AB9" s="58" t="s">
        <v>12</v>
      </c>
      <c r="AC9" s="59">
        <f>SUM(AC7:AC8)</f>
        <v>274650</v>
      </c>
      <c r="AD9" s="1"/>
      <c r="AE9" s="1"/>
      <c r="AF9" s="1"/>
      <c r="AG9" s="1"/>
      <c r="AH9" s="1"/>
      <c r="AI9" s="2">
        <v>50</v>
      </c>
      <c r="AJ9" s="2">
        <v>216</v>
      </c>
      <c r="AK9" s="36">
        <f t="shared" si="0"/>
        <v>10800</v>
      </c>
      <c r="AL9" s="1"/>
    </row>
    <row r="10" spans="2:38">
      <c r="B10" s="2">
        <v>500</v>
      </c>
      <c r="C10" s="2">
        <v>17</v>
      </c>
      <c r="D10" s="36">
        <f t="shared" si="1"/>
        <v>8500</v>
      </c>
      <c r="E10" s="1"/>
      <c r="F10" s="2">
        <v>500</v>
      </c>
      <c r="G10" s="2">
        <v>33</v>
      </c>
      <c r="H10" s="36">
        <f t="shared" si="2"/>
        <v>16500</v>
      </c>
      <c r="I10" s="1"/>
      <c r="J10" s="2">
        <v>500</v>
      </c>
      <c r="K10" s="2">
        <v>18</v>
      </c>
      <c r="L10" s="36">
        <f t="shared" si="3"/>
        <v>9000</v>
      </c>
      <c r="M10" s="1"/>
      <c r="N10" s="2">
        <v>500</v>
      </c>
      <c r="O10" s="2">
        <v>38</v>
      </c>
      <c r="P10" s="36">
        <f t="shared" si="4"/>
        <v>19000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106</v>
      </c>
      <c r="Y10" s="37">
        <f t="shared" si="6"/>
        <v>53000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181</v>
      </c>
      <c r="AK10" s="36">
        <f t="shared" si="0"/>
        <v>18100</v>
      </c>
      <c r="AL10" s="1"/>
    </row>
    <row r="11" spans="2:38">
      <c r="B11" s="2">
        <v>1000</v>
      </c>
      <c r="C11" s="2">
        <v>38</v>
      </c>
      <c r="D11" s="36">
        <f t="shared" si="1"/>
        <v>38000</v>
      </c>
      <c r="E11" s="1"/>
      <c r="F11" s="2">
        <v>1000</v>
      </c>
      <c r="G11" s="2">
        <v>20</v>
      </c>
      <c r="H11" s="36">
        <f t="shared" si="2"/>
        <v>20000</v>
      </c>
      <c r="I11" s="1"/>
      <c r="J11" s="2">
        <v>1000</v>
      </c>
      <c r="K11" s="2">
        <v>54</v>
      </c>
      <c r="L11" s="36">
        <f t="shared" si="3"/>
        <v>54000</v>
      </c>
      <c r="M11" s="1"/>
      <c r="N11" s="2">
        <v>1000</v>
      </c>
      <c r="O11" s="2">
        <v>32</v>
      </c>
      <c r="P11" s="36">
        <f t="shared" si="4"/>
        <v>32000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144</v>
      </c>
      <c r="Y11" s="37">
        <f t="shared" si="6"/>
        <v>144000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106</v>
      </c>
      <c r="AK11" s="36">
        <f t="shared" si="0"/>
        <v>53000</v>
      </c>
      <c r="AL11" s="1"/>
    </row>
    <row r="12" spans="2:38">
      <c r="B12" s="2">
        <v>5000</v>
      </c>
      <c r="C12" s="2">
        <v>0</v>
      </c>
      <c r="D12" s="36">
        <f t="shared" si="1"/>
        <v>0</v>
      </c>
      <c r="E12" s="1"/>
      <c r="F12" s="2">
        <v>5000</v>
      </c>
      <c r="G12" s="2">
        <v>3</v>
      </c>
      <c r="H12" s="36">
        <f t="shared" si="2"/>
        <v>15000</v>
      </c>
      <c r="I12" s="1"/>
      <c r="J12" s="2">
        <v>5000</v>
      </c>
      <c r="K12" s="2"/>
      <c r="L12" s="36">
        <f t="shared" si="3"/>
        <v>0</v>
      </c>
      <c r="M12" s="1"/>
      <c r="N12" s="2">
        <v>5000</v>
      </c>
      <c r="O12" s="2"/>
      <c r="P12" s="36">
        <f t="shared" si="4"/>
        <v>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3</v>
      </c>
      <c r="Y12" s="37">
        <f t="shared" si="6"/>
        <v>15000</v>
      </c>
      <c r="Z12" s="13"/>
      <c r="AA12" s="1"/>
      <c r="AB12" s="1" t="s">
        <v>17</v>
      </c>
      <c r="AC12" s="5">
        <v>274650</v>
      </c>
      <c r="AD12" s="1">
        <v>994153</v>
      </c>
      <c r="AE12" s="52" t="s">
        <v>812</v>
      </c>
      <c r="AF12" s="1" t="s">
        <v>110</v>
      </c>
      <c r="AG12" s="1"/>
      <c r="AH12" s="1"/>
      <c r="AI12" s="2">
        <v>1000</v>
      </c>
      <c r="AJ12" s="2">
        <v>153</v>
      </c>
      <c r="AK12" s="36">
        <f t="shared" si="0"/>
        <v>153000</v>
      </c>
      <c r="AL12" s="1"/>
    </row>
    <row r="13" spans="2:38" ht="15.75" thickBot="1">
      <c r="B13" s="3" t="s">
        <v>18</v>
      </c>
      <c r="C13" s="3"/>
      <c r="D13" s="6">
        <f>+SUM(D5:D12)</f>
        <v>55670</v>
      </c>
      <c r="E13" s="1"/>
      <c r="F13" s="3" t="s">
        <v>18</v>
      </c>
      <c r="G13" s="3"/>
      <c r="H13" s="6">
        <f>+SUM(H5:H12)</f>
        <v>61560</v>
      </c>
      <c r="I13" s="1"/>
      <c r="J13" s="3" t="s">
        <v>18</v>
      </c>
      <c r="K13" s="3"/>
      <c r="L13" s="6">
        <f>+SUM(L5:L12)</f>
        <v>67000</v>
      </c>
      <c r="M13" s="1"/>
      <c r="N13" s="3" t="s">
        <v>18</v>
      </c>
      <c r="O13" s="3"/>
      <c r="P13" s="6">
        <f>+SUM(P5:P12)</f>
        <v>61300</v>
      </c>
      <c r="Q13" s="1"/>
      <c r="R13" s="3" t="s">
        <v>18</v>
      </c>
      <c r="S13" s="3"/>
      <c r="T13" s="6">
        <f>+SUM(T5:T12)</f>
        <v>0</v>
      </c>
      <c r="U13" s="1"/>
      <c r="V13" s="12"/>
      <c r="W13" s="3" t="s">
        <v>18</v>
      </c>
      <c r="X13" s="3"/>
      <c r="Y13" s="6">
        <f>+SUM(Y5:Y12)</f>
        <v>245530</v>
      </c>
      <c r="Z13" s="13"/>
      <c r="AA13" s="1"/>
      <c r="AB13" s="1" t="s">
        <v>19</v>
      </c>
      <c r="AC13" s="5"/>
      <c r="AD13" s="1"/>
      <c r="AE13" s="1"/>
      <c r="AF13" s="1"/>
      <c r="AG13" s="1"/>
      <c r="AH13" s="1"/>
      <c r="AI13" s="2">
        <v>5000</v>
      </c>
      <c r="AJ13" s="2">
        <v>7</v>
      </c>
      <c r="AK13" s="36">
        <f t="shared" si="0"/>
        <v>35000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274650</v>
      </c>
      <c r="AL14" s="1"/>
    </row>
    <row r="15" spans="2:38" ht="15.75" thickBot="1">
      <c r="B15" s="109" t="s">
        <v>21</v>
      </c>
      <c r="C15" s="110"/>
      <c r="D15" s="8">
        <v>56256</v>
      </c>
      <c r="E15" s="30"/>
      <c r="F15" s="109" t="s">
        <v>21</v>
      </c>
      <c r="G15" s="110"/>
      <c r="H15" s="8">
        <v>103610</v>
      </c>
      <c r="I15" s="30"/>
      <c r="J15" s="109" t="s">
        <v>21</v>
      </c>
      <c r="K15" s="110"/>
      <c r="L15" s="8">
        <v>117639</v>
      </c>
      <c r="M15" s="30"/>
      <c r="N15" s="109" t="s">
        <v>21</v>
      </c>
      <c r="O15" s="110"/>
      <c r="P15" s="8">
        <v>91603</v>
      </c>
      <c r="Q15" s="30"/>
      <c r="R15" s="109" t="s">
        <v>21</v>
      </c>
      <c r="S15" s="110"/>
      <c r="T15" s="8">
        <v>701111</v>
      </c>
      <c r="U15" s="30"/>
      <c r="V15" s="31"/>
      <c r="W15" s="109" t="s">
        <v>21</v>
      </c>
      <c r="X15" s="110"/>
      <c r="Y15" s="8">
        <f>+D15+H15+L15+P15+T15</f>
        <v>1070219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55670</v>
      </c>
      <c r="E16" s="1"/>
      <c r="F16" s="1" t="s">
        <v>10</v>
      </c>
      <c r="G16" s="1"/>
      <c r="H16" s="5">
        <f>+H13</f>
        <v>61560</v>
      </c>
      <c r="I16" s="1"/>
      <c r="J16" s="1" t="s">
        <v>10</v>
      </c>
      <c r="K16" s="1"/>
      <c r="L16" s="5">
        <f>+L13</f>
        <v>67000</v>
      </c>
      <c r="M16" s="1"/>
      <c r="N16" s="1" t="s">
        <v>10</v>
      </c>
      <c r="O16" s="1"/>
      <c r="P16" s="5">
        <f>+P13</f>
        <v>61300</v>
      </c>
      <c r="Q16" s="1"/>
      <c r="R16" s="1" t="s">
        <v>10</v>
      </c>
      <c r="S16" s="1"/>
      <c r="T16" s="5">
        <f>+T13</f>
        <v>0</v>
      </c>
      <c r="U16" s="1"/>
      <c r="V16" s="12"/>
      <c r="W16" s="40" t="s">
        <v>10</v>
      </c>
      <c r="X16" s="40"/>
      <c r="Y16" s="37">
        <f>+D16+H16+L16+P16+T16</f>
        <v>245530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/>
      <c r="E17" s="1"/>
      <c r="F17" s="1" t="s">
        <v>17</v>
      </c>
      <c r="G17" s="1"/>
      <c r="H17" s="5">
        <v>4000</v>
      </c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4000</v>
      </c>
      <c r="Z17" s="13"/>
      <c r="AA17" s="1"/>
      <c r="AB17" s="48" t="s">
        <v>12</v>
      </c>
      <c r="AC17" s="49">
        <f>+SUM(AC12:AC16)</f>
        <v>274650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24</v>
      </c>
      <c r="C18" s="1"/>
      <c r="D18" s="5"/>
      <c r="E18" s="1"/>
      <c r="F18" s="1" t="s">
        <v>787</v>
      </c>
      <c r="G18" s="1" t="s">
        <v>788</v>
      </c>
      <c r="H18" s="5">
        <v>5543</v>
      </c>
      <c r="I18" s="1"/>
      <c r="J18" s="1" t="s">
        <v>773</v>
      </c>
      <c r="K18" s="1" t="s">
        <v>774</v>
      </c>
      <c r="L18" s="5">
        <v>22911</v>
      </c>
      <c r="M18" s="1"/>
      <c r="N18" s="1" t="s">
        <v>784</v>
      </c>
      <c r="O18" s="1" t="s">
        <v>785</v>
      </c>
      <c r="P18" s="5">
        <v>13900</v>
      </c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42354</v>
      </c>
      <c r="Z18" s="13"/>
      <c r="AA18" s="1"/>
      <c r="AB18" s="50" t="s">
        <v>25</v>
      </c>
      <c r="AC18" s="51">
        <f>+AC17-AC9</f>
        <v>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27</v>
      </c>
      <c r="C19" s="1"/>
      <c r="D19" s="5"/>
      <c r="E19" s="1"/>
      <c r="F19" s="1" t="s">
        <v>137</v>
      </c>
      <c r="G19" s="1" t="s">
        <v>789</v>
      </c>
      <c r="H19" s="5">
        <v>3916</v>
      </c>
      <c r="I19" s="1"/>
      <c r="J19" s="1" t="s">
        <v>27</v>
      </c>
      <c r="K19" s="1"/>
      <c r="L19" s="5"/>
      <c r="M19" s="1"/>
      <c r="N19" s="1" t="s">
        <v>784</v>
      </c>
      <c r="O19" s="1" t="s">
        <v>786</v>
      </c>
      <c r="P19" s="5">
        <v>5880</v>
      </c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9796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790</v>
      </c>
      <c r="G20" s="1" t="s">
        <v>791</v>
      </c>
      <c r="H20" s="5">
        <v>7627</v>
      </c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810</v>
      </c>
      <c r="S20" s="1" t="s">
        <v>811</v>
      </c>
      <c r="T20" s="5">
        <v>47691</v>
      </c>
      <c r="U20" s="1"/>
      <c r="V20" s="12"/>
      <c r="W20" s="40" t="s">
        <v>28</v>
      </c>
      <c r="X20" s="40"/>
      <c r="Y20" s="37">
        <f t="shared" si="8"/>
        <v>55318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 t="s">
        <v>808</v>
      </c>
      <c r="S21" s="1" t="s">
        <v>809</v>
      </c>
      <c r="T21" s="5">
        <v>40822</v>
      </c>
      <c r="U21" s="1"/>
      <c r="V21" s="12"/>
      <c r="W21" s="40"/>
      <c r="X21" s="40"/>
      <c r="Y21" s="37">
        <f t="shared" si="8"/>
        <v>40822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 t="s">
        <v>805</v>
      </c>
      <c r="S22" s="1" t="s">
        <v>806</v>
      </c>
      <c r="T22" s="5">
        <v>39502</v>
      </c>
      <c r="U22" s="1"/>
      <c r="V22" s="12"/>
      <c r="W22" s="40"/>
      <c r="X22" s="40"/>
      <c r="Y22" s="37">
        <f t="shared" si="8"/>
        <v>39502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36</v>
      </c>
      <c r="C23" s="1"/>
      <c r="D23" s="5"/>
      <c r="E23" s="1"/>
      <c r="F23" s="1" t="s">
        <v>792</v>
      </c>
      <c r="G23" s="1" t="s">
        <v>793</v>
      </c>
      <c r="H23" s="5">
        <v>18740</v>
      </c>
      <c r="I23" s="1"/>
      <c r="J23" s="1" t="s">
        <v>775</v>
      </c>
      <c r="K23" s="1" t="s">
        <v>776</v>
      </c>
      <c r="L23" s="5">
        <v>14729</v>
      </c>
      <c r="M23" s="1"/>
      <c r="N23" s="1" t="s">
        <v>782</v>
      </c>
      <c r="O23" s="2" t="s">
        <v>783</v>
      </c>
      <c r="P23" s="5">
        <v>9626</v>
      </c>
      <c r="Q23" s="1"/>
      <c r="R23" s="1" t="s">
        <v>800</v>
      </c>
      <c r="S23" s="1" t="s">
        <v>381</v>
      </c>
      <c r="T23" s="5">
        <v>421116</v>
      </c>
      <c r="U23" s="1"/>
      <c r="V23" s="12"/>
      <c r="W23" s="40" t="s">
        <v>36</v>
      </c>
      <c r="X23" s="40"/>
      <c r="Y23" s="37">
        <f t="shared" si="8"/>
        <v>464211</v>
      </c>
      <c r="Z23" s="13"/>
      <c r="AA23" s="1"/>
      <c r="AB23" s="76" t="s">
        <v>772</v>
      </c>
      <c r="AC23" s="71">
        <v>45952</v>
      </c>
      <c r="AD23" s="70" t="s">
        <v>692</v>
      </c>
      <c r="AE23" s="70"/>
      <c r="AF23" s="73">
        <v>6900</v>
      </c>
      <c r="AG23" s="1"/>
      <c r="AH23" s="1"/>
      <c r="AI23" s="70" t="s">
        <v>100</v>
      </c>
      <c r="AJ23" s="70" t="s">
        <v>794</v>
      </c>
      <c r="AK23" s="70" t="s">
        <v>550</v>
      </c>
      <c r="AL23" s="74">
        <v>32500</v>
      </c>
    </row>
    <row r="24" spans="2:38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777</v>
      </c>
      <c r="K24" s="1" t="s">
        <v>778</v>
      </c>
      <c r="L24" s="5">
        <v>5533</v>
      </c>
      <c r="M24" s="1"/>
      <c r="N24" s="1" t="s">
        <v>47</v>
      </c>
      <c r="O24" s="1"/>
      <c r="P24" s="5"/>
      <c r="Q24" s="1"/>
      <c r="R24" s="1" t="s">
        <v>801</v>
      </c>
      <c r="S24" s="1" t="s">
        <v>315</v>
      </c>
      <c r="T24" s="5">
        <v>25948</v>
      </c>
      <c r="U24" s="1"/>
      <c r="V24" s="12"/>
      <c r="W24" s="40" t="s">
        <v>37</v>
      </c>
      <c r="X24" s="40"/>
      <c r="Y24" s="37">
        <f t="shared" si="8"/>
        <v>31481</v>
      </c>
      <c r="Z24" s="13"/>
      <c r="AA24" s="1"/>
      <c r="AB24" s="70" t="s">
        <v>780</v>
      </c>
      <c r="AC24" s="71">
        <v>45950</v>
      </c>
      <c r="AD24" s="70" t="s">
        <v>231</v>
      </c>
      <c r="AE24" s="70"/>
      <c r="AF24" s="74">
        <v>5058</v>
      </c>
      <c r="AG24" s="1"/>
      <c r="AH24" s="1"/>
      <c r="AI24" s="70" t="s">
        <v>100</v>
      </c>
      <c r="AJ24" s="70" t="s">
        <v>795</v>
      </c>
      <c r="AK24" s="70" t="s">
        <v>798</v>
      </c>
      <c r="AL24" s="74">
        <v>35000</v>
      </c>
    </row>
    <row r="25" spans="2:38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779</v>
      </c>
      <c r="K25" s="1" t="s">
        <v>231</v>
      </c>
      <c r="L25" s="5">
        <v>7457</v>
      </c>
      <c r="M25" s="1"/>
      <c r="N25" s="1" t="s">
        <v>47</v>
      </c>
      <c r="O25" s="1"/>
      <c r="P25" s="5"/>
      <c r="Q25" s="1"/>
      <c r="R25" s="1" t="s">
        <v>802</v>
      </c>
      <c r="S25" s="1" t="s">
        <v>91</v>
      </c>
      <c r="T25" s="5">
        <v>20048</v>
      </c>
      <c r="U25" s="1"/>
      <c r="V25" s="12"/>
      <c r="W25" s="40" t="s">
        <v>38</v>
      </c>
      <c r="X25" s="40"/>
      <c r="Y25" s="37">
        <f t="shared" si="8"/>
        <v>27505</v>
      </c>
      <c r="Z25" s="13"/>
      <c r="AA25" s="1"/>
      <c r="AB25" s="70" t="s">
        <v>781</v>
      </c>
      <c r="AC25" s="71">
        <v>45950</v>
      </c>
      <c r="AD25" s="70" t="s">
        <v>443</v>
      </c>
      <c r="AE25" s="70"/>
      <c r="AF25" s="74">
        <v>11052</v>
      </c>
      <c r="AG25" s="1"/>
      <c r="AH25" s="1"/>
      <c r="AI25" s="70" t="s">
        <v>100</v>
      </c>
      <c r="AJ25" s="70" t="s">
        <v>379</v>
      </c>
      <c r="AK25" s="70" t="s">
        <v>261</v>
      </c>
      <c r="AL25" s="73">
        <v>56808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803</v>
      </c>
      <c r="S26" s="1" t="s">
        <v>804</v>
      </c>
      <c r="T26" s="5">
        <v>30412</v>
      </c>
      <c r="U26" s="1"/>
      <c r="V26" s="12"/>
      <c r="W26" s="40"/>
      <c r="X26" s="40"/>
      <c r="Y26" s="37">
        <f t="shared" si="8"/>
        <v>30412</v>
      </c>
      <c r="Z26" s="13"/>
      <c r="AA26" s="1"/>
      <c r="AB26" s="70" t="s">
        <v>799</v>
      </c>
      <c r="AC26" s="82">
        <v>45955</v>
      </c>
      <c r="AD26" s="70" t="s">
        <v>758</v>
      </c>
      <c r="AE26" s="70"/>
      <c r="AF26" s="70">
        <v>6110</v>
      </c>
      <c r="AG26" s="1"/>
      <c r="AH26" s="1"/>
      <c r="AI26" s="70" t="s">
        <v>65</v>
      </c>
      <c r="AJ26" s="70" t="s">
        <v>470</v>
      </c>
      <c r="AK26" s="70" t="s">
        <v>85</v>
      </c>
      <c r="AL26" s="73">
        <v>7000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 t="s">
        <v>807</v>
      </c>
      <c r="S27" s="1" t="s">
        <v>319</v>
      </c>
      <c r="T27" s="5">
        <v>75571</v>
      </c>
      <c r="U27" s="1"/>
      <c r="V27" s="12"/>
      <c r="W27" s="40"/>
      <c r="X27" s="40"/>
      <c r="Y27" s="37">
        <f t="shared" si="8"/>
        <v>75571</v>
      </c>
      <c r="Z27" s="13"/>
      <c r="AA27" s="1"/>
      <c r="AB27" s="70"/>
      <c r="AC27" s="70"/>
      <c r="AD27" s="70"/>
      <c r="AE27" s="70"/>
      <c r="AF27" s="70"/>
      <c r="AG27" s="1"/>
      <c r="AH27" s="1"/>
      <c r="AI27" s="70" t="s">
        <v>97</v>
      </c>
      <c r="AJ27" s="70" t="s">
        <v>491</v>
      </c>
      <c r="AK27" s="70" t="s">
        <v>94</v>
      </c>
      <c r="AL27" s="73">
        <v>7180</v>
      </c>
    </row>
    <row r="28" spans="2:38" ht="15.75" thickBot="1">
      <c r="B28" s="114" t="s">
        <v>12</v>
      </c>
      <c r="C28" s="115"/>
      <c r="D28" s="9">
        <f>+SUM(D16:D27)</f>
        <v>55670</v>
      </c>
      <c r="E28" s="1"/>
      <c r="F28" s="114" t="s">
        <v>12</v>
      </c>
      <c r="G28" s="115"/>
      <c r="H28" s="9">
        <f>+SUM(H16:H27)</f>
        <v>101386</v>
      </c>
      <c r="I28" s="1"/>
      <c r="J28" s="114" t="s">
        <v>12</v>
      </c>
      <c r="K28" s="115"/>
      <c r="L28" s="9">
        <f>+SUM(L16:L27)</f>
        <v>117630</v>
      </c>
      <c r="M28" s="1"/>
      <c r="N28" s="114" t="s">
        <v>12</v>
      </c>
      <c r="O28" s="115"/>
      <c r="P28" s="9">
        <f>+SUM(P16:P27)</f>
        <v>90706</v>
      </c>
      <c r="Q28" s="1"/>
      <c r="R28" s="114" t="s">
        <v>12</v>
      </c>
      <c r="S28" s="115"/>
      <c r="T28" s="9">
        <f>+SUM(T16:T27)</f>
        <v>701110</v>
      </c>
      <c r="U28" s="1"/>
      <c r="V28" s="12"/>
      <c r="W28" s="114" t="s">
        <v>12</v>
      </c>
      <c r="X28" s="115"/>
      <c r="Y28" s="9">
        <f>+SUM(Y16:Y27)</f>
        <v>1066502</v>
      </c>
      <c r="Z28" s="13"/>
      <c r="AA28" s="1"/>
      <c r="AB28" s="1"/>
      <c r="AC28" s="1"/>
      <c r="AD28" s="1"/>
      <c r="AE28" s="1"/>
      <c r="AF28" s="1"/>
      <c r="AG28" s="1"/>
      <c r="AH28" s="1"/>
      <c r="AI28" s="70" t="s">
        <v>97</v>
      </c>
      <c r="AJ28" s="70" t="s">
        <v>492</v>
      </c>
      <c r="AK28" s="70" t="s">
        <v>619</v>
      </c>
      <c r="AL28" s="73">
        <v>11850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70" t="s">
        <v>97</v>
      </c>
      <c r="AJ29" s="70" t="s">
        <v>541</v>
      </c>
      <c r="AK29" s="70" t="s">
        <v>621</v>
      </c>
      <c r="AL29" s="73">
        <v>8300</v>
      </c>
    </row>
    <row r="30" spans="2:38" ht="15.75" thickBot="1">
      <c r="B30" s="116" t="s">
        <v>40</v>
      </c>
      <c r="C30" s="116"/>
      <c r="D30" s="7">
        <f>+D28-D15</f>
        <v>-586</v>
      </c>
      <c r="E30" s="1"/>
      <c r="F30" s="116" t="s">
        <v>40</v>
      </c>
      <c r="G30" s="116"/>
      <c r="H30" s="7">
        <f>+H28-H15</f>
        <v>-2224</v>
      </c>
      <c r="I30" s="1"/>
      <c r="J30" s="116" t="s">
        <v>40</v>
      </c>
      <c r="K30" s="116"/>
      <c r="L30" s="7">
        <f>+L28-L15</f>
        <v>-9</v>
      </c>
      <c r="M30" s="1"/>
      <c r="N30" s="116" t="s">
        <v>40</v>
      </c>
      <c r="O30" s="116"/>
      <c r="P30" s="7">
        <f>+P28-P15</f>
        <v>-897</v>
      </c>
      <c r="Q30" s="1"/>
      <c r="R30" s="116" t="s">
        <v>40</v>
      </c>
      <c r="S30" s="116"/>
      <c r="T30" s="7">
        <f>+T28-T15</f>
        <v>-1</v>
      </c>
      <c r="U30" s="1"/>
      <c r="V30" s="12"/>
      <c r="W30" s="113" t="s">
        <v>40</v>
      </c>
      <c r="X30" s="113"/>
      <c r="Y30" s="41">
        <f>+Y28-Y15</f>
        <v>-3717</v>
      </c>
      <c r="Z30" s="13"/>
      <c r="AA30" s="1"/>
      <c r="AB30" s="1"/>
      <c r="AC30" s="1"/>
      <c r="AD30" s="1"/>
      <c r="AE30" s="1"/>
      <c r="AF30" s="1"/>
      <c r="AG30" s="1"/>
      <c r="AH30" s="1"/>
      <c r="AI30" s="70" t="s">
        <v>67</v>
      </c>
      <c r="AJ30" s="70" t="s">
        <v>564</v>
      </c>
      <c r="AK30" s="70" t="s">
        <v>619</v>
      </c>
      <c r="AL30" s="74">
        <v>4569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1"/>
      <c r="AG31" s="1"/>
      <c r="AH31" s="1"/>
      <c r="AI31" s="70" t="s">
        <v>100</v>
      </c>
      <c r="AJ31" s="70" t="s">
        <v>796</v>
      </c>
      <c r="AK31" s="70" t="s">
        <v>723</v>
      </c>
      <c r="AL31" s="74">
        <v>50000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70" t="s">
        <v>100</v>
      </c>
      <c r="AJ32" s="70" t="s">
        <v>797</v>
      </c>
      <c r="AK32" s="70" t="s">
        <v>723</v>
      </c>
      <c r="AL32" s="74">
        <v>50000</v>
      </c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70" t="s">
        <v>98</v>
      </c>
      <c r="AJ33" s="70" t="s">
        <v>66</v>
      </c>
      <c r="AK33" s="1"/>
      <c r="AL33" s="74">
        <v>4000</v>
      </c>
    </row>
    <row r="34" spans="2:38">
      <c r="B34" s="10" t="s">
        <v>41</v>
      </c>
      <c r="C34" s="11"/>
      <c r="D34" s="21">
        <v>586</v>
      </c>
      <c r="E34" s="1"/>
      <c r="F34" s="10" t="s">
        <v>41</v>
      </c>
      <c r="G34" s="11"/>
      <c r="H34" s="21">
        <v>2224</v>
      </c>
      <c r="I34" s="1"/>
      <c r="J34" s="10" t="s">
        <v>41</v>
      </c>
      <c r="K34" s="11"/>
      <c r="L34" s="21">
        <v>9</v>
      </c>
      <c r="M34" s="1"/>
      <c r="N34" s="10" t="s">
        <v>41</v>
      </c>
      <c r="O34" s="11"/>
      <c r="P34" s="21">
        <v>897</v>
      </c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3716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>
      <c r="B35" s="12" t="s">
        <v>42</v>
      </c>
      <c r="C35" s="16"/>
      <c r="D35" s="22"/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/>
      <c r="Q35" s="1"/>
      <c r="R35" s="12" t="s">
        <v>42</v>
      </c>
      <c r="S35" s="16"/>
      <c r="T35" s="22">
        <v>1</v>
      </c>
      <c r="U35" s="1"/>
      <c r="V35" s="1"/>
      <c r="W35" s="45" t="s">
        <v>42</v>
      </c>
      <c r="X35" s="40"/>
      <c r="Y35" s="46">
        <f t="shared" ref="Y35:Y36" si="9">+D35+H35+L35+P35+T35</f>
        <v>1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44</v>
      </c>
      <c r="C36" s="16"/>
      <c r="D36" s="22"/>
      <c r="E36" s="1"/>
      <c r="F36" s="12" t="s">
        <v>44</v>
      </c>
      <c r="G36" s="16"/>
      <c r="H36" s="22"/>
      <c r="I36" s="1"/>
      <c r="J36" s="12" t="s">
        <v>44</v>
      </c>
      <c r="K36" s="16"/>
      <c r="L36" s="22"/>
      <c r="M36" s="1"/>
      <c r="N36" s="12" t="s">
        <v>44</v>
      </c>
      <c r="O36" s="16"/>
      <c r="P36" s="22"/>
      <c r="Q36" s="1"/>
      <c r="R36" s="12" t="s">
        <v>46</v>
      </c>
      <c r="S36" s="16"/>
      <c r="T36" s="22"/>
      <c r="U36" s="1"/>
      <c r="V36" s="1"/>
      <c r="W36" s="45" t="s">
        <v>43</v>
      </c>
      <c r="X36" s="40"/>
      <c r="Y36" s="46">
        <f t="shared" si="9"/>
        <v>0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ht="15.75" thickBot="1">
      <c r="B37" s="12" t="s">
        <v>18</v>
      </c>
      <c r="C37" s="16"/>
      <c r="D37" s="22">
        <f>+SUM(D34:D36)</f>
        <v>586</v>
      </c>
      <c r="E37" s="1"/>
      <c r="F37" s="12" t="s">
        <v>18</v>
      </c>
      <c r="G37" s="16"/>
      <c r="H37" s="22">
        <f>+SUM(H34:H36)</f>
        <v>2224</v>
      </c>
      <c r="I37" s="1"/>
      <c r="J37" s="12" t="s">
        <v>18</v>
      </c>
      <c r="K37" s="16"/>
      <c r="L37" s="22">
        <f>+SUM(L34:L36)</f>
        <v>9</v>
      </c>
      <c r="M37" s="1"/>
      <c r="N37" s="12" t="s">
        <v>18</v>
      </c>
      <c r="O37" s="16"/>
      <c r="P37" s="22">
        <f>+SUM(P34:P36)</f>
        <v>897</v>
      </c>
      <c r="Q37" s="1"/>
      <c r="R37" s="12" t="s">
        <v>18</v>
      </c>
      <c r="S37" s="16"/>
      <c r="T37" s="22">
        <f>+SUM(T34:T36)</f>
        <v>1</v>
      </c>
      <c r="U37" s="1"/>
      <c r="V37" s="1"/>
      <c r="W37" s="33" t="s">
        <v>18</v>
      </c>
      <c r="X37" s="34"/>
      <c r="Y37" s="35">
        <f>+SUM(Y34:Y36)</f>
        <v>3717</v>
      </c>
      <c r="Z37" s="1"/>
      <c r="AA37" s="1"/>
      <c r="AB37" s="60" t="s">
        <v>39</v>
      </c>
      <c r="AC37" s="60"/>
      <c r="AD37" s="60"/>
      <c r="AE37" s="60"/>
      <c r="AF37" s="55">
        <f>+SUM(AF23:AF36)</f>
        <v>29120</v>
      </c>
      <c r="AG37" s="1"/>
      <c r="AH37" s="1"/>
      <c r="AI37" s="60" t="s">
        <v>39</v>
      </c>
      <c r="AJ37" s="60"/>
      <c r="AK37" s="60"/>
      <c r="AL37" s="72">
        <f>+SUM(AL23:AL36)</f>
        <v>267207</v>
      </c>
    </row>
    <row r="38" spans="2:38" ht="16.5" thickTop="1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2:38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B2:AL43"/>
  <sheetViews>
    <sheetView zoomScale="80" zoomScaleNormal="80" workbookViewId="0">
      <selection activeCell="AB16" sqref="AB16:AC16"/>
    </sheetView>
  </sheetViews>
  <sheetFormatPr defaultRowHeight="15"/>
  <cols>
    <col min="5" max="5" width="0.85546875" customWidth="1"/>
    <col min="9" max="9" width="0.5703125" customWidth="1"/>
    <col min="11" max="11" width="14.140625" customWidth="1"/>
    <col min="12" max="12" width="9.5703125" bestFit="1" customWidth="1"/>
    <col min="13" max="13" width="0.42578125" customWidth="1"/>
    <col min="15" max="15" width="14.42578125" customWidth="1"/>
    <col min="17" max="17" width="0.28515625" customWidth="1"/>
    <col min="21" max="22" width="0.7109375" customWidth="1"/>
    <col min="26" max="26" width="0.7109375" customWidth="1"/>
    <col min="27" max="27" width="0.42578125" customWidth="1"/>
    <col min="29" max="29" width="9.85546875" bestFit="1" customWidth="1"/>
    <col min="33" max="33" width="0.7109375" customWidth="1"/>
    <col min="34" max="34" width="9.140625" hidden="1" customWidth="1"/>
    <col min="37" max="37" width="14.42578125" customWidth="1"/>
  </cols>
  <sheetData>
    <row r="2" spans="2:38" ht="15.75" thickBot="1"/>
    <row r="3" spans="2:38">
      <c r="B3" s="111" t="s">
        <v>838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3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152</v>
      </c>
      <c r="D6" s="36">
        <f>+C6*B6</f>
        <v>1520</v>
      </c>
      <c r="E6" s="1"/>
      <c r="F6" s="2">
        <v>10</v>
      </c>
      <c r="G6" s="2"/>
      <c r="H6" s="36">
        <f>+G6*F6</f>
        <v>0</v>
      </c>
      <c r="I6" s="1"/>
      <c r="J6" s="2">
        <v>10</v>
      </c>
      <c r="K6" s="2">
        <v>72</v>
      </c>
      <c r="L6" s="36">
        <f>+K6*J6</f>
        <v>720</v>
      </c>
      <c r="M6" s="1"/>
      <c r="N6" s="2">
        <v>10</v>
      </c>
      <c r="O6" s="2">
        <v>7</v>
      </c>
      <c r="P6" s="36">
        <f>+O6*N6</f>
        <v>70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231</v>
      </c>
      <c r="Y6" s="37">
        <f>+D6+H6+L6+P6+T6</f>
        <v>2310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13</v>
      </c>
      <c r="D7" s="36">
        <f t="shared" ref="D7:D12" si="1">+C7*B7</f>
        <v>260</v>
      </c>
      <c r="E7" s="1"/>
      <c r="F7" s="2">
        <v>20</v>
      </c>
      <c r="G7" s="2"/>
      <c r="H7" s="36">
        <f t="shared" ref="H7:H12" si="2">+G7*F7</f>
        <v>0</v>
      </c>
      <c r="I7" s="1"/>
      <c r="J7" s="2">
        <v>20</v>
      </c>
      <c r="K7" s="2">
        <v>22</v>
      </c>
      <c r="L7" s="36">
        <f t="shared" ref="L7:L12" si="3">+K7*J7</f>
        <v>440</v>
      </c>
      <c r="M7" s="1"/>
      <c r="N7" s="2">
        <v>20</v>
      </c>
      <c r="O7" s="2">
        <v>0</v>
      </c>
      <c r="P7" s="36">
        <f t="shared" ref="P7:P12" si="4">+O7*N7</f>
        <v>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35</v>
      </c>
      <c r="Y7" s="37">
        <f t="shared" ref="Y7:Y12" si="6">+D7+H7+L7+P7+T7</f>
        <v>700</v>
      </c>
      <c r="Z7" s="13"/>
      <c r="AA7" s="1"/>
      <c r="AB7" s="56" t="s">
        <v>10</v>
      </c>
      <c r="AC7" s="57">
        <f>Y13</f>
        <v>198810</v>
      </c>
      <c r="AD7" s="26"/>
      <c r="AE7" s="26"/>
      <c r="AF7" s="26"/>
      <c r="AG7" s="26"/>
      <c r="AH7" s="1"/>
      <c r="AI7" s="2">
        <v>10</v>
      </c>
      <c r="AJ7" s="2">
        <v>1202</v>
      </c>
      <c r="AK7" s="36">
        <f t="shared" si="0"/>
        <v>12020</v>
      </c>
      <c r="AL7" s="1"/>
    </row>
    <row r="8" spans="2:38">
      <c r="B8" s="2">
        <v>50</v>
      </c>
      <c r="C8" s="2">
        <v>170</v>
      </c>
      <c r="D8" s="36">
        <f t="shared" si="1"/>
        <v>8500</v>
      </c>
      <c r="E8" s="1"/>
      <c r="F8" s="2">
        <v>50</v>
      </c>
      <c r="G8" s="2"/>
      <c r="H8" s="36">
        <f t="shared" si="2"/>
        <v>0</v>
      </c>
      <c r="I8" s="1"/>
      <c r="J8" s="2">
        <v>50</v>
      </c>
      <c r="K8" s="2">
        <v>55</v>
      </c>
      <c r="L8" s="36">
        <f t="shared" si="3"/>
        <v>2750</v>
      </c>
      <c r="M8" s="1"/>
      <c r="N8" s="2">
        <v>50</v>
      </c>
      <c r="O8" s="2">
        <v>3</v>
      </c>
      <c r="P8" s="36">
        <f t="shared" si="4"/>
        <v>150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228</v>
      </c>
      <c r="Y8" s="37">
        <f t="shared" si="6"/>
        <v>11400</v>
      </c>
      <c r="Z8" s="13"/>
      <c r="AA8" s="1"/>
      <c r="AB8" s="53" t="s">
        <v>11</v>
      </c>
      <c r="AC8" s="53">
        <f>+AF37</f>
        <v>462820</v>
      </c>
      <c r="AD8" s="1"/>
      <c r="AE8" s="1"/>
      <c r="AF8" s="1"/>
      <c r="AG8" s="1"/>
      <c r="AH8" s="1"/>
      <c r="AI8" s="2">
        <v>20</v>
      </c>
      <c r="AJ8" s="2">
        <v>198</v>
      </c>
      <c r="AK8" s="36">
        <f t="shared" si="0"/>
        <v>3960</v>
      </c>
      <c r="AL8" s="1"/>
    </row>
    <row r="9" spans="2:38" ht="15.75" thickBot="1">
      <c r="B9" s="2">
        <v>100</v>
      </c>
      <c r="C9" s="2">
        <v>114</v>
      </c>
      <c r="D9" s="36">
        <f t="shared" si="1"/>
        <v>11400</v>
      </c>
      <c r="E9" s="1"/>
      <c r="F9" s="2">
        <v>100</v>
      </c>
      <c r="G9" s="2"/>
      <c r="H9" s="36">
        <f t="shared" si="2"/>
        <v>0</v>
      </c>
      <c r="I9" s="1"/>
      <c r="J9" s="2">
        <v>100</v>
      </c>
      <c r="K9" s="2">
        <v>64</v>
      </c>
      <c r="L9" s="36">
        <f t="shared" si="3"/>
        <v>6400</v>
      </c>
      <c r="M9" s="1"/>
      <c r="N9" s="2">
        <v>100</v>
      </c>
      <c r="O9" s="2">
        <v>6</v>
      </c>
      <c r="P9" s="36">
        <f t="shared" si="4"/>
        <v>600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184</v>
      </c>
      <c r="Y9" s="37">
        <f t="shared" si="6"/>
        <v>18400</v>
      </c>
      <c r="Z9" s="13"/>
      <c r="AA9" s="1"/>
      <c r="AB9" s="58" t="s">
        <v>12</v>
      </c>
      <c r="AC9" s="59">
        <f>SUM(AC7:AC8)</f>
        <v>661630</v>
      </c>
      <c r="AD9" s="1"/>
      <c r="AE9" s="1"/>
      <c r="AF9" s="1"/>
      <c r="AG9" s="1"/>
      <c r="AH9" s="1"/>
      <c r="AI9" s="2">
        <v>50</v>
      </c>
      <c r="AJ9" s="2">
        <v>507</v>
      </c>
      <c r="AK9" s="36">
        <f t="shared" si="0"/>
        <v>25350</v>
      </c>
      <c r="AL9" s="1"/>
    </row>
    <row r="10" spans="2:38">
      <c r="B10" s="2">
        <v>500</v>
      </c>
      <c r="C10" s="2">
        <v>18</v>
      </c>
      <c r="D10" s="36">
        <f t="shared" si="1"/>
        <v>9000</v>
      </c>
      <c r="E10" s="1"/>
      <c r="F10" s="2">
        <v>500</v>
      </c>
      <c r="G10" s="2"/>
      <c r="H10" s="36">
        <f t="shared" si="2"/>
        <v>0</v>
      </c>
      <c r="I10" s="1"/>
      <c r="J10" s="2">
        <v>500</v>
      </c>
      <c r="K10" s="2">
        <v>34</v>
      </c>
      <c r="L10" s="36">
        <f t="shared" si="3"/>
        <v>17000</v>
      </c>
      <c r="M10" s="1"/>
      <c r="N10" s="2">
        <v>500</v>
      </c>
      <c r="O10" s="2">
        <v>16</v>
      </c>
      <c r="P10" s="36">
        <f t="shared" si="4"/>
        <v>8000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68</v>
      </c>
      <c r="Y10" s="37">
        <f t="shared" si="6"/>
        <v>34000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833</v>
      </c>
      <c r="AK10" s="36">
        <f t="shared" si="0"/>
        <v>83300</v>
      </c>
      <c r="AL10" s="1"/>
    </row>
    <row r="11" spans="2:38">
      <c r="B11" s="2">
        <v>1000</v>
      </c>
      <c r="C11" s="2">
        <v>26</v>
      </c>
      <c r="D11" s="36">
        <f t="shared" si="1"/>
        <v>26000</v>
      </c>
      <c r="E11" s="1"/>
      <c r="F11" s="2">
        <v>1000</v>
      </c>
      <c r="G11" s="2"/>
      <c r="H11" s="36">
        <f t="shared" si="2"/>
        <v>0</v>
      </c>
      <c r="I11" s="1"/>
      <c r="J11" s="2">
        <v>1000</v>
      </c>
      <c r="K11" s="2">
        <v>52</v>
      </c>
      <c r="L11" s="36">
        <f t="shared" si="3"/>
        <v>52000</v>
      </c>
      <c r="M11" s="1"/>
      <c r="N11" s="2">
        <v>1000</v>
      </c>
      <c r="O11" s="2">
        <v>24</v>
      </c>
      <c r="P11" s="36">
        <f t="shared" si="4"/>
        <v>24000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102</v>
      </c>
      <c r="Y11" s="37">
        <f t="shared" si="6"/>
        <v>102000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318</v>
      </c>
      <c r="AK11" s="36">
        <f t="shared" si="0"/>
        <v>159000</v>
      </c>
      <c r="AL11" s="1"/>
    </row>
    <row r="12" spans="2:38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/>
      <c r="H12" s="36">
        <f t="shared" si="2"/>
        <v>0</v>
      </c>
      <c r="I12" s="1"/>
      <c r="J12" s="2">
        <v>5000</v>
      </c>
      <c r="K12" s="2">
        <v>2</v>
      </c>
      <c r="L12" s="36">
        <f t="shared" si="3"/>
        <v>10000</v>
      </c>
      <c r="M12" s="1"/>
      <c r="N12" s="2">
        <v>5000</v>
      </c>
      <c r="O12" s="2">
        <v>3</v>
      </c>
      <c r="P12" s="36">
        <f t="shared" si="4"/>
        <v>15000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6</v>
      </c>
      <c r="Y12" s="37">
        <f t="shared" si="6"/>
        <v>30000</v>
      </c>
      <c r="Z12" s="13"/>
      <c r="AA12" s="1"/>
      <c r="AB12" s="1" t="s">
        <v>17</v>
      </c>
      <c r="AC12" s="5">
        <v>647610</v>
      </c>
      <c r="AD12" s="1">
        <v>395188</v>
      </c>
      <c r="AE12" s="52" t="s">
        <v>843</v>
      </c>
      <c r="AF12" s="1" t="s">
        <v>110</v>
      </c>
      <c r="AG12" s="1"/>
      <c r="AH12" s="1"/>
      <c r="AI12" s="2">
        <v>1000</v>
      </c>
      <c r="AJ12" s="2">
        <v>256</v>
      </c>
      <c r="AK12" s="36">
        <f t="shared" si="0"/>
        <v>256000</v>
      </c>
      <c r="AL12" s="1"/>
    </row>
    <row r="13" spans="2:38" ht="15.75" thickBot="1">
      <c r="B13" s="3" t="s">
        <v>18</v>
      </c>
      <c r="C13" s="3"/>
      <c r="D13" s="6">
        <f>+SUM(D5:D12)</f>
        <v>61680</v>
      </c>
      <c r="E13" s="1"/>
      <c r="F13" s="3" t="s">
        <v>18</v>
      </c>
      <c r="G13" s="3"/>
      <c r="H13" s="6">
        <f>+SUM(H5:H12)</f>
        <v>0</v>
      </c>
      <c r="I13" s="1"/>
      <c r="J13" s="3" t="s">
        <v>18</v>
      </c>
      <c r="K13" s="3"/>
      <c r="L13" s="6">
        <f>+SUM(L5:L12)</f>
        <v>89310</v>
      </c>
      <c r="M13" s="1"/>
      <c r="N13" s="3" t="s">
        <v>18</v>
      </c>
      <c r="O13" s="3"/>
      <c r="P13" s="6">
        <f>+SUM(P5:P12)</f>
        <v>47820</v>
      </c>
      <c r="Q13" s="1"/>
      <c r="R13" s="3" t="s">
        <v>18</v>
      </c>
      <c r="S13" s="3"/>
      <c r="T13" s="6">
        <f>+SUM(T5:T12)</f>
        <v>0</v>
      </c>
      <c r="U13" s="1"/>
      <c r="V13" s="12"/>
      <c r="W13" s="3" t="s">
        <v>18</v>
      </c>
      <c r="X13" s="3"/>
      <c r="Y13" s="6">
        <f>+SUM(Y5:Y12)</f>
        <v>198810</v>
      </c>
      <c r="Z13" s="13"/>
      <c r="AA13" s="1"/>
      <c r="AB13" s="1" t="s">
        <v>19</v>
      </c>
      <c r="AC13" s="5">
        <v>12020</v>
      </c>
      <c r="AD13" s="1"/>
      <c r="AE13" s="1"/>
      <c r="AF13" s="1"/>
      <c r="AG13" s="1"/>
      <c r="AH13" s="1"/>
      <c r="AI13" s="2">
        <v>5000</v>
      </c>
      <c r="AJ13" s="2">
        <v>24</v>
      </c>
      <c r="AK13" s="36">
        <f t="shared" si="0"/>
        <v>120000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659630</v>
      </c>
      <c r="AL14" s="1"/>
    </row>
    <row r="15" spans="2:38" ht="15.75" thickBot="1">
      <c r="B15" s="109" t="s">
        <v>21</v>
      </c>
      <c r="C15" s="110"/>
      <c r="D15" s="8">
        <v>70251</v>
      </c>
      <c r="E15" s="30"/>
      <c r="F15" s="109" t="s">
        <v>21</v>
      </c>
      <c r="G15" s="110"/>
      <c r="H15" s="8"/>
      <c r="I15" s="30"/>
      <c r="J15" s="109" t="s">
        <v>21</v>
      </c>
      <c r="K15" s="110"/>
      <c r="L15" s="8">
        <v>106832</v>
      </c>
      <c r="M15" s="30"/>
      <c r="N15" s="109" t="s">
        <v>21</v>
      </c>
      <c r="O15" s="110"/>
      <c r="P15" s="8">
        <v>87393</v>
      </c>
      <c r="Q15" s="30"/>
      <c r="R15" s="109" t="s">
        <v>21</v>
      </c>
      <c r="S15" s="110"/>
      <c r="T15" s="8"/>
      <c r="U15" s="30"/>
      <c r="V15" s="31"/>
      <c r="W15" s="109" t="s">
        <v>21</v>
      </c>
      <c r="X15" s="110"/>
      <c r="Y15" s="8">
        <f>+D15+H15+L15+P15+T15</f>
        <v>264476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61680</v>
      </c>
      <c r="E16" s="1"/>
      <c r="F16" s="1" t="s">
        <v>10</v>
      </c>
      <c r="G16" s="1"/>
      <c r="H16" s="5">
        <f>+H13</f>
        <v>0</v>
      </c>
      <c r="I16" s="1"/>
      <c r="J16" s="1" t="s">
        <v>10</v>
      </c>
      <c r="K16" s="1"/>
      <c r="L16" s="5">
        <f>+L13</f>
        <v>89310</v>
      </c>
      <c r="M16" s="1"/>
      <c r="N16" s="1" t="s">
        <v>10</v>
      </c>
      <c r="O16" s="1"/>
      <c r="P16" s="5">
        <f>+P13</f>
        <v>47820</v>
      </c>
      <c r="Q16" s="1"/>
      <c r="R16" s="1" t="s">
        <v>10</v>
      </c>
      <c r="S16" s="1"/>
      <c r="T16" s="5">
        <f>+T13</f>
        <v>0</v>
      </c>
      <c r="U16" s="1"/>
      <c r="V16" s="12"/>
      <c r="W16" s="40" t="s">
        <v>10</v>
      </c>
      <c r="X16" s="40"/>
      <c r="Y16" s="37">
        <f>+D16+H16+L16+P16+T16</f>
        <v>198810</v>
      </c>
      <c r="Z16" s="13"/>
      <c r="AA16" s="1"/>
      <c r="AB16" s="101" t="s">
        <v>840</v>
      </c>
      <c r="AC16" s="100">
        <v>2000</v>
      </c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661630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24</v>
      </c>
      <c r="C18" s="1"/>
      <c r="D18" s="5">
        <v>6377</v>
      </c>
      <c r="E18" s="1"/>
      <c r="F18" s="1" t="s">
        <v>24</v>
      </c>
      <c r="G18" s="1"/>
      <c r="H18" s="5"/>
      <c r="I18" s="1"/>
      <c r="J18" s="1" t="s">
        <v>773</v>
      </c>
      <c r="K18" s="1" t="s">
        <v>821</v>
      </c>
      <c r="L18" s="5">
        <v>6140</v>
      </c>
      <c r="M18" s="1"/>
      <c r="N18" s="1" t="s">
        <v>773</v>
      </c>
      <c r="O18" s="1" t="s">
        <v>815</v>
      </c>
      <c r="P18" s="5">
        <v>11580</v>
      </c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24097</v>
      </c>
      <c r="Z18" s="13"/>
      <c r="AA18" s="1"/>
      <c r="AB18" s="50" t="s">
        <v>25</v>
      </c>
      <c r="AC18" s="51">
        <f>+AC17-AC9</f>
        <v>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27</v>
      </c>
      <c r="C19" s="1"/>
      <c r="D19" s="5"/>
      <c r="E19" s="1"/>
      <c r="F19" s="1" t="s">
        <v>27</v>
      </c>
      <c r="G19" s="1"/>
      <c r="H19" s="5"/>
      <c r="I19" s="1"/>
      <c r="J19" s="1" t="s">
        <v>784</v>
      </c>
      <c r="K19" s="1" t="s">
        <v>822</v>
      </c>
      <c r="L19" s="5">
        <v>3700</v>
      </c>
      <c r="M19" s="1"/>
      <c r="N19" s="1" t="s">
        <v>784</v>
      </c>
      <c r="O19" s="1" t="s">
        <v>813</v>
      </c>
      <c r="P19" s="5">
        <v>6900</v>
      </c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10600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784</v>
      </c>
      <c r="O20" s="1" t="s">
        <v>814</v>
      </c>
      <c r="P20" s="5">
        <v>10409</v>
      </c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10409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>
        <v>6486</v>
      </c>
      <c r="Q21" s="1"/>
      <c r="R21" s="1"/>
      <c r="S21" s="1"/>
      <c r="T21" s="5"/>
      <c r="U21" s="1"/>
      <c r="V21" s="12"/>
      <c r="W21" s="40"/>
      <c r="X21" s="40"/>
      <c r="Y21" s="37">
        <f t="shared" si="8"/>
        <v>6486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36</v>
      </c>
      <c r="C23" s="101" t="s">
        <v>469</v>
      </c>
      <c r="D23" s="100">
        <v>2000</v>
      </c>
      <c r="E23" s="1"/>
      <c r="F23" s="1" t="s">
        <v>36</v>
      </c>
      <c r="G23" s="1"/>
      <c r="H23" s="5"/>
      <c r="I23" s="1"/>
      <c r="J23" s="1" t="s">
        <v>823</v>
      </c>
      <c r="K23" s="1" t="s">
        <v>824</v>
      </c>
      <c r="L23" s="5">
        <v>3300</v>
      </c>
      <c r="M23" s="1"/>
      <c r="N23" s="1" t="s">
        <v>816</v>
      </c>
      <c r="O23" s="1" t="s">
        <v>494</v>
      </c>
      <c r="P23" s="5">
        <v>4200</v>
      </c>
      <c r="Q23" s="1"/>
      <c r="R23" s="1" t="s">
        <v>36</v>
      </c>
      <c r="S23" s="1"/>
      <c r="T23" s="5"/>
      <c r="U23" s="1"/>
      <c r="V23" s="12"/>
      <c r="W23" s="40" t="s">
        <v>36</v>
      </c>
      <c r="X23" s="40"/>
      <c r="Y23" s="37">
        <f t="shared" si="8"/>
        <v>9500</v>
      </c>
      <c r="Z23" s="13"/>
      <c r="AA23" s="1"/>
      <c r="AB23" s="70" t="s">
        <v>817</v>
      </c>
      <c r="AC23" s="82">
        <v>45955</v>
      </c>
      <c r="AD23" s="70" t="s">
        <v>570</v>
      </c>
      <c r="AE23" s="70"/>
      <c r="AF23" s="70">
        <v>7020</v>
      </c>
      <c r="AG23" s="1"/>
      <c r="AH23" s="1"/>
      <c r="AI23" s="70" t="s">
        <v>100</v>
      </c>
      <c r="AJ23" s="70" t="s">
        <v>373</v>
      </c>
      <c r="AK23" s="70" t="s">
        <v>624</v>
      </c>
      <c r="AL23" s="73">
        <v>31000</v>
      </c>
    </row>
    <row r="24" spans="2:38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 t="s">
        <v>825</v>
      </c>
      <c r="L24" s="5">
        <v>5060</v>
      </c>
      <c r="M24" s="1"/>
      <c r="N24" s="1" t="s">
        <v>47</v>
      </c>
      <c r="O24" s="1"/>
      <c r="P24" s="5"/>
      <c r="Q24" s="1"/>
      <c r="R24" s="1" t="s">
        <v>37</v>
      </c>
      <c r="S24" s="1"/>
      <c r="T24" s="5"/>
      <c r="U24" s="1"/>
      <c r="V24" s="12"/>
      <c r="W24" s="40" t="s">
        <v>37</v>
      </c>
      <c r="X24" s="40"/>
      <c r="Y24" s="37">
        <f t="shared" si="8"/>
        <v>5060</v>
      </c>
      <c r="Z24" s="13"/>
      <c r="AA24" s="1"/>
      <c r="AB24" s="70" t="s">
        <v>665</v>
      </c>
      <c r="AC24" s="82">
        <v>45936</v>
      </c>
      <c r="AD24" s="70" t="s">
        <v>104</v>
      </c>
      <c r="AE24" s="70"/>
      <c r="AF24" s="70">
        <v>15540</v>
      </c>
      <c r="AG24" s="1"/>
      <c r="AH24" s="1"/>
      <c r="AI24" s="70" t="s">
        <v>100</v>
      </c>
      <c r="AJ24" s="70" t="s">
        <v>390</v>
      </c>
      <c r="AK24" s="70" t="s">
        <v>831</v>
      </c>
      <c r="AL24" s="74">
        <v>79390</v>
      </c>
    </row>
    <row r="25" spans="2:38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47</v>
      </c>
      <c r="O25" s="1"/>
      <c r="P25" s="5"/>
      <c r="Q25" s="1"/>
      <c r="R25" s="1" t="s">
        <v>38</v>
      </c>
      <c r="S25" s="1"/>
      <c r="T25" s="5"/>
      <c r="U25" s="1"/>
      <c r="V25" s="12"/>
      <c r="W25" s="40" t="s">
        <v>38</v>
      </c>
      <c r="X25" s="40"/>
      <c r="Y25" s="37">
        <f t="shared" si="8"/>
        <v>0</v>
      </c>
      <c r="Z25" s="13"/>
      <c r="AA25" s="1"/>
      <c r="AB25" s="70" t="s">
        <v>818</v>
      </c>
      <c r="AC25" s="77">
        <v>45957</v>
      </c>
      <c r="AD25" s="70" t="s">
        <v>804</v>
      </c>
      <c r="AE25" s="70"/>
      <c r="AF25" s="70">
        <v>29800</v>
      </c>
      <c r="AG25" s="16"/>
      <c r="AH25" s="1"/>
      <c r="AI25" s="70" t="s">
        <v>100</v>
      </c>
      <c r="AJ25" s="70" t="s">
        <v>438</v>
      </c>
      <c r="AK25" s="70" t="s">
        <v>91</v>
      </c>
      <c r="AL25" s="73">
        <v>38894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70" t="s">
        <v>65</v>
      </c>
      <c r="AC26" s="77">
        <v>45943</v>
      </c>
      <c r="AD26" s="70" t="s">
        <v>305</v>
      </c>
      <c r="AE26" s="70" t="s">
        <v>448</v>
      </c>
      <c r="AF26" s="70">
        <v>7000</v>
      </c>
      <c r="AG26" s="16"/>
      <c r="AH26" s="1"/>
      <c r="AI26" s="70" t="s">
        <v>97</v>
      </c>
      <c r="AJ26" s="70" t="s">
        <v>502</v>
      </c>
      <c r="AK26" s="70" t="s">
        <v>670</v>
      </c>
      <c r="AL26" s="73">
        <v>4040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70" t="s">
        <v>819</v>
      </c>
      <c r="AC27" s="71">
        <v>45948</v>
      </c>
      <c r="AD27" s="70" t="s">
        <v>422</v>
      </c>
      <c r="AE27" s="70"/>
      <c r="AF27" s="70">
        <v>78880</v>
      </c>
      <c r="AG27" s="1"/>
      <c r="AH27" s="1"/>
      <c r="AI27" s="70" t="s">
        <v>100</v>
      </c>
      <c r="AJ27" s="70" t="s">
        <v>826</v>
      </c>
      <c r="AK27" s="70" t="s">
        <v>576</v>
      </c>
      <c r="AL27" s="74">
        <v>20000</v>
      </c>
    </row>
    <row r="28" spans="2:38" ht="15.75" thickBot="1">
      <c r="B28" s="114" t="s">
        <v>12</v>
      </c>
      <c r="C28" s="115"/>
      <c r="D28" s="9">
        <f>+SUM(D16:D27)</f>
        <v>70057</v>
      </c>
      <c r="E28" s="1"/>
      <c r="F28" s="114" t="s">
        <v>12</v>
      </c>
      <c r="G28" s="115"/>
      <c r="H28" s="9">
        <f>+SUM(H16:H27)</f>
        <v>0</v>
      </c>
      <c r="I28" s="1"/>
      <c r="J28" s="114" t="s">
        <v>12</v>
      </c>
      <c r="K28" s="115"/>
      <c r="L28" s="9">
        <f>+SUM(L16:L27)</f>
        <v>107510</v>
      </c>
      <c r="M28" s="1"/>
      <c r="N28" s="114" t="s">
        <v>12</v>
      </c>
      <c r="O28" s="115"/>
      <c r="P28" s="9">
        <f>+SUM(P16:P27)</f>
        <v>87395</v>
      </c>
      <c r="Q28" s="1"/>
      <c r="R28" s="114" t="s">
        <v>12</v>
      </c>
      <c r="S28" s="115"/>
      <c r="T28" s="9">
        <f>+SUM(T16:T27)</f>
        <v>0</v>
      </c>
      <c r="U28" s="1"/>
      <c r="V28" s="12"/>
      <c r="W28" s="114" t="s">
        <v>12</v>
      </c>
      <c r="X28" s="115"/>
      <c r="Y28" s="9">
        <f>+SUM(Y16:Y27)</f>
        <v>264962</v>
      </c>
      <c r="Z28" s="13"/>
      <c r="AA28" s="1"/>
      <c r="AB28" s="70" t="s">
        <v>820</v>
      </c>
      <c r="AC28" s="71">
        <v>45950</v>
      </c>
      <c r="AD28" s="70" t="s">
        <v>319</v>
      </c>
      <c r="AE28" s="70"/>
      <c r="AF28" s="70">
        <v>83000</v>
      </c>
      <c r="AG28" s="1"/>
      <c r="AH28" s="1"/>
      <c r="AI28" s="70" t="s">
        <v>98</v>
      </c>
      <c r="AJ28" s="70" t="s">
        <v>827</v>
      </c>
      <c r="AK28" s="70" t="s">
        <v>832</v>
      </c>
      <c r="AL28" s="74">
        <v>7960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70" t="s">
        <v>100</v>
      </c>
      <c r="AC29" s="77">
        <v>45932</v>
      </c>
      <c r="AD29" s="70" t="s">
        <v>550</v>
      </c>
      <c r="AE29" s="70" t="s">
        <v>794</v>
      </c>
      <c r="AF29" s="70">
        <v>17500</v>
      </c>
      <c r="AG29" s="1"/>
      <c r="AH29" s="1"/>
      <c r="AI29" s="70" t="s">
        <v>67</v>
      </c>
      <c r="AJ29" s="70" t="s">
        <v>534</v>
      </c>
      <c r="AK29" s="70" t="s">
        <v>833</v>
      </c>
      <c r="AL29" s="73">
        <v>9920</v>
      </c>
    </row>
    <row r="30" spans="2:38" ht="15.75" thickBot="1">
      <c r="B30" s="116" t="s">
        <v>40</v>
      </c>
      <c r="C30" s="116"/>
      <c r="D30" s="7">
        <f>+D28-D15</f>
        <v>-194</v>
      </c>
      <c r="E30" s="1"/>
      <c r="F30" s="116" t="s">
        <v>40</v>
      </c>
      <c r="G30" s="116"/>
      <c r="H30" s="7">
        <f>+H28-H15</f>
        <v>0</v>
      </c>
      <c r="I30" s="1"/>
      <c r="J30" s="116" t="s">
        <v>40</v>
      </c>
      <c r="K30" s="116"/>
      <c r="L30" s="7">
        <f>+L28-L15</f>
        <v>678</v>
      </c>
      <c r="M30" s="1"/>
      <c r="N30" s="116" t="s">
        <v>40</v>
      </c>
      <c r="O30" s="116"/>
      <c r="P30" s="7">
        <f>+P28-P15</f>
        <v>2</v>
      </c>
      <c r="Q30" s="1"/>
      <c r="R30" s="116" t="s">
        <v>40</v>
      </c>
      <c r="S30" s="116"/>
      <c r="T30" s="7">
        <f>+T28-T15</f>
        <v>0</v>
      </c>
      <c r="U30" s="1"/>
      <c r="V30" s="12"/>
      <c r="W30" s="113" t="s">
        <v>40</v>
      </c>
      <c r="X30" s="113"/>
      <c r="Y30" s="41">
        <f>+Y28-Y15</f>
        <v>486</v>
      </c>
      <c r="Z30" s="13"/>
      <c r="AA30" s="1"/>
      <c r="AB30" s="70" t="s">
        <v>839</v>
      </c>
      <c r="AC30" s="82">
        <v>45955</v>
      </c>
      <c r="AD30" s="70" t="s">
        <v>90</v>
      </c>
      <c r="AE30" s="70"/>
      <c r="AF30" s="70">
        <v>50630</v>
      </c>
      <c r="AG30" s="1"/>
      <c r="AH30" s="1"/>
      <c r="AI30" s="70" t="s">
        <v>67</v>
      </c>
      <c r="AJ30" s="70" t="s">
        <v>535</v>
      </c>
      <c r="AK30" s="70" t="s">
        <v>484</v>
      </c>
      <c r="AL30" s="73">
        <v>8500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70" t="s">
        <v>727</v>
      </c>
      <c r="AC31" s="77">
        <v>45941</v>
      </c>
      <c r="AD31" s="70" t="s">
        <v>420</v>
      </c>
      <c r="AE31" s="70"/>
      <c r="AF31" s="70">
        <v>150000</v>
      </c>
      <c r="AG31" s="1"/>
      <c r="AH31" s="1"/>
      <c r="AI31" s="70" t="s">
        <v>97</v>
      </c>
      <c r="AJ31" s="70" t="s">
        <v>568</v>
      </c>
      <c r="AK31" s="70" t="s">
        <v>308</v>
      </c>
      <c r="AL31" s="74">
        <v>8729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70" t="s">
        <v>841</v>
      </c>
      <c r="AC32" s="71">
        <v>45948</v>
      </c>
      <c r="AD32" s="70" t="s">
        <v>53</v>
      </c>
      <c r="AE32" s="70"/>
      <c r="AF32" s="70">
        <v>20000</v>
      </c>
      <c r="AG32" s="1"/>
      <c r="AH32" s="1"/>
      <c r="AI32" s="70" t="s">
        <v>98</v>
      </c>
      <c r="AJ32" s="70" t="s">
        <v>585</v>
      </c>
      <c r="AK32" s="70" t="s">
        <v>834</v>
      </c>
      <c r="AL32" s="74">
        <v>10830</v>
      </c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70" t="s">
        <v>97</v>
      </c>
      <c r="AC33" s="77">
        <v>45945</v>
      </c>
      <c r="AD33" s="70" t="s">
        <v>842</v>
      </c>
      <c r="AE33" s="70" t="s">
        <v>501</v>
      </c>
      <c r="AF33" s="70">
        <v>3450</v>
      </c>
      <c r="AG33" s="1"/>
      <c r="AH33" s="1"/>
      <c r="AI33" s="70" t="s">
        <v>98</v>
      </c>
      <c r="AJ33" s="70" t="s">
        <v>634</v>
      </c>
      <c r="AK33" s="70" t="s">
        <v>190</v>
      </c>
      <c r="AL33" s="73">
        <v>14946</v>
      </c>
    </row>
    <row r="34" spans="2:38">
      <c r="B34" s="10" t="s">
        <v>41</v>
      </c>
      <c r="C34" s="11"/>
      <c r="D34" s="21">
        <v>194</v>
      </c>
      <c r="E34" s="1"/>
      <c r="F34" s="10" t="s">
        <v>41</v>
      </c>
      <c r="G34" s="11"/>
      <c r="H34" s="21"/>
      <c r="I34" s="1"/>
      <c r="J34" s="10" t="s">
        <v>41</v>
      </c>
      <c r="K34" s="11"/>
      <c r="L34" s="21"/>
      <c r="M34" s="1"/>
      <c r="N34" s="10" t="s">
        <v>41</v>
      </c>
      <c r="O34" s="11"/>
      <c r="P34" s="21"/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194</v>
      </c>
      <c r="Z34" s="1"/>
      <c r="AA34" s="1"/>
      <c r="AB34" s="70"/>
      <c r="AC34" s="70"/>
      <c r="AD34" s="70"/>
      <c r="AE34" s="70"/>
      <c r="AF34" s="70"/>
      <c r="AG34" s="1"/>
      <c r="AH34" s="1"/>
      <c r="AI34" s="70" t="s">
        <v>97</v>
      </c>
      <c r="AJ34" s="70" t="s">
        <v>640</v>
      </c>
      <c r="AK34" s="70" t="s">
        <v>482</v>
      </c>
      <c r="AL34" s="73">
        <v>11926</v>
      </c>
    </row>
    <row r="35" spans="2:38">
      <c r="B35" s="12" t="s">
        <v>42</v>
      </c>
      <c r="C35" s="16"/>
      <c r="D35" s="22"/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/>
      <c r="Q35" s="1"/>
      <c r="R35" s="12" t="s">
        <v>42</v>
      </c>
      <c r="S35" s="16"/>
      <c r="T35" s="22"/>
      <c r="U35" s="1"/>
      <c r="V35" s="1"/>
      <c r="W35" s="45" t="s">
        <v>42</v>
      </c>
      <c r="X35" s="40"/>
      <c r="Y35" s="46">
        <f t="shared" ref="Y35:Y36" si="9">+D35+H35+L35+P35+T35</f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70" t="s">
        <v>65</v>
      </c>
      <c r="AJ35" s="70" t="s">
        <v>651</v>
      </c>
      <c r="AK35" s="70" t="s">
        <v>191</v>
      </c>
      <c r="AL35" s="73">
        <v>3873</v>
      </c>
    </row>
    <row r="36" spans="2:38">
      <c r="B36" s="12" t="s">
        <v>44</v>
      </c>
      <c r="C36" s="16"/>
      <c r="D36" s="22"/>
      <c r="E36" s="1"/>
      <c r="F36" s="12" t="s">
        <v>44</v>
      </c>
      <c r="G36" s="16"/>
      <c r="H36" s="22"/>
      <c r="I36" s="1"/>
      <c r="J36" s="12" t="s">
        <v>44</v>
      </c>
      <c r="K36" s="16"/>
      <c r="L36" s="22">
        <v>-678</v>
      </c>
      <c r="M36" s="1"/>
      <c r="N36" s="12" t="s">
        <v>44</v>
      </c>
      <c r="O36" s="16"/>
      <c r="P36" s="22">
        <v>-2</v>
      </c>
      <c r="Q36" s="1"/>
      <c r="R36" s="12" t="s">
        <v>46</v>
      </c>
      <c r="S36" s="16"/>
      <c r="T36" s="22"/>
      <c r="U36" s="1"/>
      <c r="V36" s="1"/>
      <c r="W36" s="45" t="s">
        <v>43</v>
      </c>
      <c r="X36" s="40"/>
      <c r="Y36" s="46">
        <f t="shared" si="9"/>
        <v>-680</v>
      </c>
      <c r="Z36" s="1"/>
      <c r="AA36" s="1"/>
      <c r="AB36" s="1"/>
      <c r="AC36" s="1"/>
      <c r="AD36" s="1"/>
      <c r="AE36" s="1"/>
      <c r="AF36" s="1"/>
      <c r="AG36" s="1"/>
      <c r="AH36" s="1"/>
      <c r="AI36" s="70" t="s">
        <v>98</v>
      </c>
      <c r="AJ36" s="70" t="s">
        <v>654</v>
      </c>
      <c r="AK36" s="70" t="s">
        <v>490</v>
      </c>
      <c r="AL36" s="74">
        <v>4955</v>
      </c>
    </row>
    <row r="37" spans="2:38" ht="15.75" thickBot="1">
      <c r="B37" s="12" t="s">
        <v>18</v>
      </c>
      <c r="C37" s="16"/>
      <c r="D37" s="22">
        <f>+SUM(D34:D36)</f>
        <v>194</v>
      </c>
      <c r="E37" s="1"/>
      <c r="F37" s="12" t="s">
        <v>18</v>
      </c>
      <c r="G37" s="16"/>
      <c r="H37" s="22">
        <f>+SUM(H34:H36)</f>
        <v>0</v>
      </c>
      <c r="I37" s="1"/>
      <c r="J37" s="12" t="s">
        <v>18</v>
      </c>
      <c r="K37" s="16"/>
      <c r="L37" s="22">
        <f>+SUM(L34:L36)</f>
        <v>-678</v>
      </c>
      <c r="M37" s="1"/>
      <c r="N37" s="12" t="s">
        <v>18</v>
      </c>
      <c r="O37" s="16"/>
      <c r="P37" s="22">
        <f>+SUM(P34:P36)</f>
        <v>-2</v>
      </c>
      <c r="Q37" s="1"/>
      <c r="R37" s="12" t="s">
        <v>18</v>
      </c>
      <c r="S37" s="16"/>
      <c r="T37" s="22">
        <f>+SUM(T34:T36)</f>
        <v>0</v>
      </c>
      <c r="U37" s="1"/>
      <c r="V37" s="1"/>
      <c r="W37" s="33" t="s">
        <v>18</v>
      </c>
      <c r="X37" s="34"/>
      <c r="Y37" s="35">
        <f>+SUM(Y34:Y36)</f>
        <v>-486</v>
      </c>
      <c r="Z37" s="1"/>
      <c r="AA37" s="1"/>
      <c r="AB37" s="60" t="s">
        <v>39</v>
      </c>
      <c r="AC37" s="60"/>
      <c r="AD37" s="60"/>
      <c r="AE37" s="60"/>
      <c r="AF37" s="55">
        <f>+SUM(AF23:AF36)</f>
        <v>462820</v>
      </c>
      <c r="AG37" s="1"/>
      <c r="AH37" s="1"/>
      <c r="AI37" s="70" t="s">
        <v>100</v>
      </c>
      <c r="AJ37" s="70" t="s">
        <v>707</v>
      </c>
      <c r="AK37" s="70" t="s">
        <v>835</v>
      </c>
      <c r="AL37" s="102">
        <v>14800</v>
      </c>
    </row>
    <row r="38" spans="2:38" ht="16.5" thickTop="1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70" t="s">
        <v>100</v>
      </c>
      <c r="AJ38" s="70" t="s">
        <v>708</v>
      </c>
      <c r="AK38" s="70" t="s">
        <v>261</v>
      </c>
      <c r="AL38" s="102">
        <v>2158</v>
      </c>
    </row>
    <row r="39" spans="2:38">
      <c r="AI39" s="70" t="s">
        <v>100</v>
      </c>
      <c r="AJ39" s="70" t="s">
        <v>828</v>
      </c>
      <c r="AK39" s="70" t="s">
        <v>836</v>
      </c>
      <c r="AL39" s="74">
        <v>48000</v>
      </c>
    </row>
    <row r="40" spans="2:38">
      <c r="AI40" s="70" t="s">
        <v>100</v>
      </c>
      <c r="AJ40" s="70" t="s">
        <v>829</v>
      </c>
      <c r="AK40" s="70" t="s">
        <v>837</v>
      </c>
      <c r="AL40" s="74">
        <v>30000</v>
      </c>
    </row>
    <row r="41" spans="2:38">
      <c r="AI41" s="70" t="s">
        <v>100</v>
      </c>
      <c r="AJ41" s="70" t="s">
        <v>830</v>
      </c>
      <c r="AK41" s="70" t="s">
        <v>723</v>
      </c>
      <c r="AL41" s="74">
        <v>50000</v>
      </c>
    </row>
    <row r="42" spans="2:38" ht="15.75" thickBot="1">
      <c r="AI42" s="79" t="s">
        <v>39</v>
      </c>
      <c r="AJ42" s="79"/>
      <c r="AK42" s="79"/>
      <c r="AL42" s="85">
        <f>+SUM(AL23:AL41)</f>
        <v>399921</v>
      </c>
    </row>
    <row r="43" spans="2:38" ht="15.75" thickTop="1"/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B2:AL38"/>
  <sheetViews>
    <sheetView zoomScale="80" zoomScaleNormal="80" workbookViewId="0">
      <selection activeCell="AI35" sqref="AI35"/>
    </sheetView>
  </sheetViews>
  <sheetFormatPr defaultRowHeight="15"/>
  <cols>
    <col min="5" max="5" width="0.5703125" customWidth="1"/>
    <col min="8" max="8" width="9.5703125" bestFit="1" customWidth="1"/>
    <col min="9" max="9" width="0.42578125" customWidth="1"/>
    <col min="11" max="11" width="14" customWidth="1"/>
    <col min="12" max="12" width="9.5703125" bestFit="1" customWidth="1"/>
    <col min="13" max="13" width="0.7109375" customWidth="1"/>
    <col min="14" max="14" width="9.85546875" customWidth="1"/>
    <col min="15" max="15" width="14.7109375" bestFit="1" customWidth="1"/>
    <col min="17" max="17" width="0.42578125" customWidth="1"/>
    <col min="21" max="21" width="0.42578125" customWidth="1"/>
    <col min="22" max="22" width="0.7109375" customWidth="1"/>
    <col min="25" max="25" width="9.5703125" bestFit="1" customWidth="1"/>
    <col min="26" max="26" width="0.7109375" customWidth="1"/>
    <col min="27" max="27" width="0.42578125" customWidth="1"/>
    <col min="29" max="29" width="9.85546875" bestFit="1" customWidth="1"/>
    <col min="33" max="33" width="1.5703125" customWidth="1"/>
    <col min="34" max="34" width="9.140625" hidden="1" customWidth="1"/>
    <col min="36" max="36" width="14.85546875" bestFit="1" customWidth="1"/>
  </cols>
  <sheetData>
    <row r="2" spans="2:38" ht="15.75" thickBot="1"/>
    <row r="3" spans="2:38">
      <c r="B3" s="111" t="s">
        <v>55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3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30</v>
      </c>
      <c r="D6" s="36">
        <f>+C6*B6</f>
        <v>300</v>
      </c>
      <c r="E6" s="1"/>
      <c r="F6" s="2">
        <v>10</v>
      </c>
      <c r="G6" s="2">
        <v>253</v>
      </c>
      <c r="H6" s="36">
        <f>+G6*F6</f>
        <v>2530</v>
      </c>
      <c r="I6" s="1"/>
      <c r="J6" s="2">
        <v>10</v>
      </c>
      <c r="K6" s="2">
        <v>68</v>
      </c>
      <c r="L6" s="36">
        <f>+K6*J6</f>
        <v>680</v>
      </c>
      <c r="M6" s="1"/>
      <c r="N6" s="2">
        <v>10</v>
      </c>
      <c r="O6" s="2">
        <v>151</v>
      </c>
      <c r="P6" s="36">
        <f>+O6*N6</f>
        <v>1510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502</v>
      </c>
      <c r="Y6" s="37">
        <f>+D6+H6+L6+P6+T6</f>
        <v>5020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>
      <c r="B7" s="2">
        <v>20</v>
      </c>
      <c r="C7" s="2">
        <v>6</v>
      </c>
      <c r="D7" s="36">
        <f t="shared" ref="D7:D12" si="1">+C7*B7</f>
        <v>120</v>
      </c>
      <c r="E7" s="1"/>
      <c r="F7" s="2">
        <v>20</v>
      </c>
      <c r="G7" s="2">
        <v>30</v>
      </c>
      <c r="H7" s="36">
        <f t="shared" ref="H7:H12" si="2">+G7*F7</f>
        <v>600</v>
      </c>
      <c r="I7" s="1"/>
      <c r="J7" s="2">
        <v>20</v>
      </c>
      <c r="K7" s="2">
        <v>16</v>
      </c>
      <c r="L7" s="36">
        <f t="shared" ref="L7:L12" si="3">+K7*J7</f>
        <v>320</v>
      </c>
      <c r="M7" s="1"/>
      <c r="N7" s="2">
        <v>20</v>
      </c>
      <c r="O7" s="2">
        <v>8</v>
      </c>
      <c r="P7" s="36">
        <f t="shared" ref="P7:P12" si="4">+O7*N7</f>
        <v>160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60</v>
      </c>
      <c r="Y7" s="37">
        <f t="shared" ref="Y7:Y12" si="6">+D7+H7+L7+P7+T7</f>
        <v>1200</v>
      </c>
      <c r="Z7" s="13"/>
      <c r="AA7" s="1"/>
      <c r="AB7" s="56" t="s">
        <v>10</v>
      </c>
      <c r="AC7" s="57">
        <f>Y13</f>
        <v>303420</v>
      </c>
      <c r="AD7" s="26"/>
      <c r="AE7" s="26"/>
      <c r="AF7" s="26"/>
      <c r="AG7" s="26"/>
      <c r="AH7" s="1"/>
      <c r="AI7" s="2">
        <v>10</v>
      </c>
      <c r="AJ7" s="2">
        <v>839</v>
      </c>
      <c r="AK7" s="36">
        <f t="shared" si="0"/>
        <v>8390</v>
      </c>
      <c r="AL7" s="1"/>
    </row>
    <row r="8" spans="2:38">
      <c r="B8" s="2">
        <v>50</v>
      </c>
      <c r="C8" s="2">
        <v>6</v>
      </c>
      <c r="D8" s="36">
        <f t="shared" si="1"/>
        <v>300</v>
      </c>
      <c r="E8" s="1"/>
      <c r="F8" s="2">
        <v>50</v>
      </c>
      <c r="G8" s="2">
        <v>71</v>
      </c>
      <c r="H8" s="36">
        <f t="shared" si="2"/>
        <v>3550</v>
      </c>
      <c r="I8" s="1"/>
      <c r="J8" s="2">
        <v>50</v>
      </c>
      <c r="K8" s="2">
        <v>26</v>
      </c>
      <c r="L8" s="36">
        <f t="shared" si="3"/>
        <v>1300</v>
      </c>
      <c r="M8" s="1"/>
      <c r="N8" s="2">
        <v>50</v>
      </c>
      <c r="O8" s="2">
        <v>43</v>
      </c>
      <c r="P8" s="36">
        <f t="shared" si="4"/>
        <v>2150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146</v>
      </c>
      <c r="Y8" s="37">
        <f t="shared" si="6"/>
        <v>7300</v>
      </c>
      <c r="Z8" s="13"/>
      <c r="AA8" s="1"/>
      <c r="AB8" s="53" t="s">
        <v>11</v>
      </c>
      <c r="AC8" s="53">
        <f>+AF37</f>
        <v>239770</v>
      </c>
      <c r="AD8" s="1"/>
      <c r="AE8" s="1"/>
      <c r="AF8" s="1"/>
      <c r="AG8" s="1"/>
      <c r="AH8" s="1"/>
      <c r="AI8" s="2">
        <v>20</v>
      </c>
      <c r="AJ8" s="2">
        <v>95</v>
      </c>
      <c r="AK8" s="36">
        <f t="shared" si="0"/>
        <v>1900</v>
      </c>
      <c r="AL8" s="1"/>
    </row>
    <row r="9" spans="2:38" ht="15.75" thickBot="1">
      <c r="B9" s="2">
        <v>100</v>
      </c>
      <c r="C9" s="2">
        <v>16</v>
      </c>
      <c r="D9" s="36">
        <f t="shared" si="1"/>
        <v>1600</v>
      </c>
      <c r="E9" s="1"/>
      <c r="F9" s="2">
        <v>100</v>
      </c>
      <c r="G9" s="2">
        <v>95</v>
      </c>
      <c r="H9" s="36">
        <f t="shared" si="2"/>
        <v>9500</v>
      </c>
      <c r="I9" s="1"/>
      <c r="J9" s="2">
        <v>100</v>
      </c>
      <c r="K9" s="2">
        <v>35</v>
      </c>
      <c r="L9" s="36">
        <f t="shared" si="3"/>
        <v>3500</v>
      </c>
      <c r="M9" s="1"/>
      <c r="N9" s="2">
        <v>100</v>
      </c>
      <c r="O9" s="2">
        <v>23</v>
      </c>
      <c r="P9" s="36">
        <f t="shared" si="4"/>
        <v>2300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169</v>
      </c>
      <c r="Y9" s="37">
        <f t="shared" si="6"/>
        <v>16900</v>
      </c>
      <c r="Z9" s="13"/>
      <c r="AA9" s="1"/>
      <c r="AB9" s="58" t="s">
        <v>12</v>
      </c>
      <c r="AC9" s="59">
        <f>SUM(AC7:AC8)</f>
        <v>543190</v>
      </c>
      <c r="AD9" s="1"/>
      <c r="AE9" s="1"/>
      <c r="AF9" s="1"/>
      <c r="AG9" s="1"/>
      <c r="AH9" s="1"/>
      <c r="AI9" s="2">
        <v>50</v>
      </c>
      <c r="AJ9" s="2">
        <v>386</v>
      </c>
      <c r="AK9" s="36">
        <f t="shared" si="0"/>
        <v>19300</v>
      </c>
      <c r="AL9" s="1"/>
    </row>
    <row r="10" spans="2:38">
      <c r="B10" s="2">
        <v>500</v>
      </c>
      <c r="C10" s="2">
        <v>18</v>
      </c>
      <c r="D10" s="36">
        <f t="shared" si="1"/>
        <v>9000</v>
      </c>
      <c r="E10" s="1"/>
      <c r="F10" s="2">
        <v>500</v>
      </c>
      <c r="G10" s="2">
        <v>60</v>
      </c>
      <c r="H10" s="36">
        <f t="shared" si="2"/>
        <v>30000</v>
      </c>
      <c r="I10" s="1"/>
      <c r="J10" s="2">
        <v>500</v>
      </c>
      <c r="K10" s="2">
        <v>29</v>
      </c>
      <c r="L10" s="36">
        <f t="shared" si="3"/>
        <v>14500</v>
      </c>
      <c r="M10" s="1"/>
      <c r="N10" s="2">
        <v>500</v>
      </c>
      <c r="O10" s="2">
        <v>23</v>
      </c>
      <c r="P10" s="36">
        <f t="shared" si="4"/>
        <v>11500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130</v>
      </c>
      <c r="Y10" s="37">
        <f t="shared" si="6"/>
        <v>65000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436</v>
      </c>
      <c r="AK10" s="36">
        <f t="shared" si="0"/>
        <v>43600</v>
      </c>
      <c r="AL10" s="1"/>
    </row>
    <row r="11" spans="2:38">
      <c r="B11" s="2">
        <v>1000</v>
      </c>
      <c r="C11" s="2">
        <v>26</v>
      </c>
      <c r="D11" s="36">
        <f t="shared" si="1"/>
        <v>26000</v>
      </c>
      <c r="E11" s="1"/>
      <c r="F11" s="2">
        <v>1000</v>
      </c>
      <c r="G11" s="2">
        <v>68</v>
      </c>
      <c r="H11" s="36">
        <f t="shared" si="2"/>
        <v>68000</v>
      </c>
      <c r="I11" s="1"/>
      <c r="J11" s="2">
        <v>1000</v>
      </c>
      <c r="K11" s="2">
        <v>44</v>
      </c>
      <c r="L11" s="36">
        <f t="shared" si="3"/>
        <v>44000</v>
      </c>
      <c r="M11" s="1"/>
      <c r="N11" s="2">
        <v>1000</v>
      </c>
      <c r="O11" s="2">
        <v>25</v>
      </c>
      <c r="P11" s="36">
        <f t="shared" si="4"/>
        <v>25000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163</v>
      </c>
      <c r="Y11" s="37">
        <f t="shared" si="6"/>
        <v>163000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180</v>
      </c>
      <c r="AK11" s="36">
        <f t="shared" si="0"/>
        <v>90000</v>
      </c>
      <c r="AL11" s="1"/>
    </row>
    <row r="12" spans="2:38">
      <c r="B12" s="2">
        <v>5000</v>
      </c>
      <c r="C12" s="2"/>
      <c r="D12" s="36">
        <f t="shared" si="1"/>
        <v>0</v>
      </c>
      <c r="E12" s="1"/>
      <c r="F12" s="2">
        <v>5000</v>
      </c>
      <c r="G12" s="2">
        <v>5</v>
      </c>
      <c r="H12" s="36">
        <f t="shared" si="2"/>
        <v>25000</v>
      </c>
      <c r="I12" s="1"/>
      <c r="J12" s="2">
        <v>5000</v>
      </c>
      <c r="K12" s="2">
        <v>1</v>
      </c>
      <c r="L12" s="36">
        <f t="shared" si="3"/>
        <v>5000</v>
      </c>
      <c r="M12" s="1"/>
      <c r="N12" s="2">
        <v>5000</v>
      </c>
      <c r="O12" s="2">
        <v>3</v>
      </c>
      <c r="P12" s="36">
        <f t="shared" si="4"/>
        <v>15000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9</v>
      </c>
      <c r="Y12" s="37">
        <f t="shared" si="6"/>
        <v>45000</v>
      </c>
      <c r="Z12" s="13"/>
      <c r="AA12" s="1"/>
      <c r="AB12" s="1" t="s">
        <v>17</v>
      </c>
      <c r="AC12" s="5">
        <v>539190</v>
      </c>
      <c r="AD12" s="1">
        <v>395317</v>
      </c>
      <c r="AE12" s="52" t="s">
        <v>872</v>
      </c>
      <c r="AF12" s="1" t="s">
        <v>110</v>
      </c>
      <c r="AG12" s="1"/>
      <c r="AH12" s="1"/>
      <c r="AI12" s="2">
        <v>1000</v>
      </c>
      <c r="AJ12" s="2">
        <v>330</v>
      </c>
      <c r="AK12" s="36">
        <f t="shared" si="0"/>
        <v>330000</v>
      </c>
      <c r="AL12" s="1"/>
    </row>
    <row r="13" spans="2:38" ht="15.75" thickBot="1">
      <c r="B13" s="3" t="s">
        <v>18</v>
      </c>
      <c r="C13" s="3"/>
      <c r="D13" s="6">
        <f>+SUM(D5:D12)</f>
        <v>37320</v>
      </c>
      <c r="E13" s="1"/>
      <c r="F13" s="3" t="s">
        <v>18</v>
      </c>
      <c r="G13" s="3"/>
      <c r="H13" s="6">
        <f>+SUM(H5:H12)</f>
        <v>139180</v>
      </c>
      <c r="I13" s="1"/>
      <c r="J13" s="3" t="s">
        <v>18</v>
      </c>
      <c r="K13" s="3"/>
      <c r="L13" s="6">
        <f>+SUM(L5:L12)</f>
        <v>69300</v>
      </c>
      <c r="M13" s="1"/>
      <c r="N13" s="3" t="s">
        <v>18</v>
      </c>
      <c r="O13" s="3"/>
      <c r="P13" s="6">
        <f>+SUM(P5:P12)</f>
        <v>57620</v>
      </c>
      <c r="Q13" s="1"/>
      <c r="R13" s="3" t="s">
        <v>18</v>
      </c>
      <c r="S13" s="3"/>
      <c r="T13" s="6">
        <f>+SUM(T5:T12)</f>
        <v>0</v>
      </c>
      <c r="U13" s="1"/>
      <c r="V13" s="12"/>
      <c r="W13" s="3" t="s">
        <v>18</v>
      </c>
      <c r="X13" s="3"/>
      <c r="Y13" s="6">
        <f>+SUM(Y5:Y12)</f>
        <v>303420</v>
      </c>
      <c r="Z13" s="13"/>
      <c r="AA13" s="1"/>
      <c r="AB13" s="1" t="s">
        <v>19</v>
      </c>
      <c r="AC13" s="5">
        <v>4000</v>
      </c>
      <c r="AD13" s="1"/>
      <c r="AE13" s="1"/>
      <c r="AF13" s="1"/>
      <c r="AG13" s="1"/>
      <c r="AH13" s="1"/>
      <c r="AI13" s="2">
        <v>5000</v>
      </c>
      <c r="AJ13" s="2">
        <v>10</v>
      </c>
      <c r="AK13" s="36">
        <f t="shared" si="0"/>
        <v>50000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03" t="s">
        <v>871</v>
      </c>
      <c r="AC14" s="104"/>
      <c r="AD14" s="62">
        <v>12000</v>
      </c>
      <c r="AE14" s="1">
        <v>395316</v>
      </c>
      <c r="AF14" s="1" t="s">
        <v>110</v>
      </c>
      <c r="AG14" s="1"/>
      <c r="AH14" s="1"/>
      <c r="AI14" s="3" t="s">
        <v>18</v>
      </c>
      <c r="AJ14" s="3"/>
      <c r="AK14" s="6">
        <f>+SUM(AK6:AK13)</f>
        <v>543190</v>
      </c>
      <c r="AL14" s="1"/>
    </row>
    <row r="15" spans="2:38" ht="15.75" thickBot="1">
      <c r="B15" s="109" t="s">
        <v>21</v>
      </c>
      <c r="C15" s="110"/>
      <c r="D15" s="8">
        <v>37303</v>
      </c>
      <c r="E15" s="30"/>
      <c r="F15" s="109" t="s">
        <v>21</v>
      </c>
      <c r="G15" s="110"/>
      <c r="H15" s="8">
        <v>163155</v>
      </c>
      <c r="I15" s="30"/>
      <c r="J15" s="109" t="s">
        <v>21</v>
      </c>
      <c r="K15" s="110"/>
      <c r="L15" s="8">
        <v>105939</v>
      </c>
      <c r="M15" s="30"/>
      <c r="N15" s="109" t="s">
        <v>21</v>
      </c>
      <c r="O15" s="110"/>
      <c r="P15" s="8">
        <v>86857</v>
      </c>
      <c r="Q15" s="30"/>
      <c r="R15" s="109" t="s">
        <v>21</v>
      </c>
      <c r="S15" s="110"/>
      <c r="T15" s="8"/>
      <c r="U15" s="30"/>
      <c r="V15" s="31"/>
      <c r="W15" s="109" t="s">
        <v>21</v>
      </c>
      <c r="X15" s="110"/>
      <c r="Y15" s="8">
        <f>+D15+H15+L15+P15+T15</f>
        <v>393254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37320</v>
      </c>
      <c r="E16" s="1"/>
      <c r="F16" s="1" t="s">
        <v>10</v>
      </c>
      <c r="G16" s="1"/>
      <c r="H16" s="5">
        <f>+H13</f>
        <v>139180</v>
      </c>
      <c r="I16" s="1"/>
      <c r="J16" s="1" t="s">
        <v>10</v>
      </c>
      <c r="K16" s="1"/>
      <c r="L16" s="5">
        <f>+L13</f>
        <v>69300</v>
      </c>
      <c r="M16" s="1"/>
      <c r="N16" s="1" t="s">
        <v>10</v>
      </c>
      <c r="O16" s="1"/>
      <c r="P16" s="5">
        <f>+P13</f>
        <v>57620</v>
      </c>
      <c r="Q16" s="1"/>
      <c r="R16" s="1" t="s">
        <v>10</v>
      </c>
      <c r="S16" s="1"/>
      <c r="T16" s="5">
        <f>+T13</f>
        <v>0</v>
      </c>
      <c r="U16" s="1"/>
      <c r="V16" s="12"/>
      <c r="W16" s="40" t="s">
        <v>10</v>
      </c>
      <c r="X16" s="40"/>
      <c r="Y16" s="37">
        <f>+D16+H16+L16+P16+T16</f>
        <v>303420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543190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24</v>
      </c>
      <c r="C18" s="1"/>
      <c r="D18" s="5"/>
      <c r="E18" s="1"/>
      <c r="F18" s="1" t="s">
        <v>24</v>
      </c>
      <c r="G18" s="1"/>
      <c r="H18" s="5"/>
      <c r="I18" s="1"/>
      <c r="J18" s="1" t="s">
        <v>854</v>
      </c>
      <c r="K18" s="1" t="s">
        <v>856</v>
      </c>
      <c r="L18" s="5">
        <v>4300</v>
      </c>
      <c r="M18" s="1"/>
      <c r="N18" s="1" t="s">
        <v>773</v>
      </c>
      <c r="O18" s="1" t="s">
        <v>845</v>
      </c>
      <c r="P18" s="5">
        <v>6130</v>
      </c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10430</v>
      </c>
      <c r="Z18" s="13"/>
      <c r="AA18" s="1"/>
      <c r="AB18" s="50" t="s">
        <v>25</v>
      </c>
      <c r="AC18" s="51">
        <f>+AC17-AC9</f>
        <v>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27</v>
      </c>
      <c r="C19" s="1"/>
      <c r="D19" s="5"/>
      <c r="E19" s="1"/>
      <c r="F19" s="1" t="s">
        <v>27</v>
      </c>
      <c r="G19" s="1"/>
      <c r="H19" s="5"/>
      <c r="I19" s="1"/>
      <c r="J19" s="1" t="s">
        <v>857</v>
      </c>
      <c r="K19" s="1" t="s">
        <v>858</v>
      </c>
      <c r="L19" s="5">
        <v>14110</v>
      </c>
      <c r="M19" s="1"/>
      <c r="N19" s="1" t="s">
        <v>855</v>
      </c>
      <c r="O19" s="1" t="s">
        <v>846</v>
      </c>
      <c r="P19" s="5">
        <v>3760</v>
      </c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17870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28</v>
      </c>
      <c r="G20" s="1" t="s">
        <v>469</v>
      </c>
      <c r="H20" s="5">
        <v>3500</v>
      </c>
      <c r="I20" s="1"/>
      <c r="J20" s="1" t="s">
        <v>752</v>
      </c>
      <c r="K20" s="1" t="s">
        <v>859</v>
      </c>
      <c r="L20" s="5">
        <v>12450</v>
      </c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15950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 t="s">
        <v>870</v>
      </c>
      <c r="G22" s="1" t="s">
        <v>505</v>
      </c>
      <c r="H22" s="5">
        <v>4517</v>
      </c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4517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36</v>
      </c>
      <c r="C23" s="1"/>
      <c r="D23" s="5"/>
      <c r="E23" s="1"/>
      <c r="F23" s="1" t="s">
        <v>861</v>
      </c>
      <c r="G23" s="1" t="s">
        <v>862</v>
      </c>
      <c r="H23" s="5">
        <v>3000</v>
      </c>
      <c r="I23" s="1"/>
      <c r="J23" s="1" t="s">
        <v>36</v>
      </c>
      <c r="K23" s="1"/>
      <c r="L23" s="5"/>
      <c r="M23" s="1"/>
      <c r="N23" s="1" t="s">
        <v>847</v>
      </c>
      <c r="O23" s="1" t="s">
        <v>848</v>
      </c>
      <c r="P23" s="5">
        <v>530</v>
      </c>
      <c r="Q23" s="1"/>
      <c r="R23" s="1" t="s">
        <v>36</v>
      </c>
      <c r="S23" s="1"/>
      <c r="T23" s="5"/>
      <c r="U23" s="1"/>
      <c r="V23" s="12"/>
      <c r="W23" s="40" t="s">
        <v>36</v>
      </c>
      <c r="X23" s="40"/>
      <c r="Y23" s="37">
        <f t="shared" si="8"/>
        <v>3530</v>
      </c>
      <c r="Z23" s="13"/>
      <c r="AA23" s="1"/>
      <c r="AB23" s="70" t="s">
        <v>65</v>
      </c>
      <c r="AC23" s="82">
        <v>45958</v>
      </c>
      <c r="AD23" s="70" t="s">
        <v>825</v>
      </c>
      <c r="AE23" s="70"/>
      <c r="AF23" s="70">
        <v>5060</v>
      </c>
      <c r="AG23" s="1"/>
      <c r="AH23" s="1"/>
      <c r="AI23" s="70" t="s">
        <v>100</v>
      </c>
      <c r="AJ23" s="70" t="s">
        <v>853</v>
      </c>
      <c r="AK23" s="70" t="s">
        <v>852</v>
      </c>
      <c r="AL23" s="74">
        <v>70450</v>
      </c>
    </row>
    <row r="24" spans="2:38">
      <c r="B24" s="1" t="s">
        <v>37</v>
      </c>
      <c r="C24" s="1"/>
      <c r="D24" s="5"/>
      <c r="E24" s="1"/>
      <c r="F24" s="1" t="s">
        <v>816</v>
      </c>
      <c r="G24" s="1" t="s">
        <v>863</v>
      </c>
      <c r="H24" s="5">
        <v>4581</v>
      </c>
      <c r="I24" s="1"/>
      <c r="J24" s="1" t="s">
        <v>37</v>
      </c>
      <c r="K24" s="1"/>
      <c r="L24" s="5"/>
      <c r="M24" s="1"/>
      <c r="N24" s="1" t="s">
        <v>849</v>
      </c>
      <c r="O24" s="1" t="s">
        <v>692</v>
      </c>
      <c r="P24" s="5">
        <v>18819</v>
      </c>
      <c r="Q24" s="1"/>
      <c r="R24" s="1" t="s">
        <v>37</v>
      </c>
      <c r="S24" s="1"/>
      <c r="T24" s="5"/>
      <c r="U24" s="1"/>
      <c r="V24" s="12"/>
      <c r="W24" s="40" t="s">
        <v>37</v>
      </c>
      <c r="X24" s="40"/>
      <c r="Y24" s="37">
        <f t="shared" si="8"/>
        <v>23400</v>
      </c>
      <c r="Z24" s="13"/>
      <c r="AA24" s="1"/>
      <c r="AB24" s="16" t="s">
        <v>844</v>
      </c>
      <c r="AC24" s="99">
        <v>45953</v>
      </c>
      <c r="AD24" s="16" t="s">
        <v>701</v>
      </c>
      <c r="AE24" s="16"/>
      <c r="AF24" s="16">
        <v>33330</v>
      </c>
      <c r="AG24" s="1"/>
      <c r="AH24" s="1"/>
      <c r="AI24" s="70" t="s">
        <v>98</v>
      </c>
      <c r="AJ24" s="70" t="s">
        <v>635</v>
      </c>
      <c r="AK24" s="70" t="s">
        <v>488</v>
      </c>
      <c r="AL24" s="73">
        <v>5000</v>
      </c>
    </row>
    <row r="25" spans="2:38">
      <c r="B25" s="1" t="s">
        <v>38</v>
      </c>
      <c r="C25" s="1"/>
      <c r="D25" s="5"/>
      <c r="E25" s="1"/>
      <c r="F25" s="1" t="s">
        <v>864</v>
      </c>
      <c r="G25" s="1" t="s">
        <v>865</v>
      </c>
      <c r="H25" s="5">
        <v>440</v>
      </c>
      <c r="I25" s="1"/>
      <c r="J25" s="1" t="s">
        <v>38</v>
      </c>
      <c r="K25" s="1"/>
      <c r="L25" s="5"/>
      <c r="M25" s="1"/>
      <c r="N25" s="1" t="s">
        <v>47</v>
      </c>
      <c r="O25" s="1"/>
      <c r="P25" s="5"/>
      <c r="Q25" s="1"/>
      <c r="R25" s="1" t="s">
        <v>38</v>
      </c>
      <c r="S25" s="1"/>
      <c r="T25" s="5"/>
      <c r="U25" s="1"/>
      <c r="V25" s="12"/>
      <c r="W25" s="40" t="s">
        <v>38</v>
      </c>
      <c r="X25" s="40"/>
      <c r="Y25" s="37">
        <f t="shared" si="8"/>
        <v>440</v>
      </c>
      <c r="Z25" s="13"/>
      <c r="AA25" s="1"/>
      <c r="AB25" s="70" t="s">
        <v>65</v>
      </c>
      <c r="AC25" s="77">
        <v>45943</v>
      </c>
      <c r="AD25" s="70" t="s">
        <v>305</v>
      </c>
      <c r="AE25" s="70" t="s">
        <v>448</v>
      </c>
      <c r="AF25" s="16">
        <v>4000</v>
      </c>
      <c r="AG25" s="1"/>
      <c r="AH25" s="1"/>
      <c r="AI25" s="70" t="s">
        <v>98</v>
      </c>
      <c r="AJ25" s="70" t="s">
        <v>637</v>
      </c>
      <c r="AK25" s="70" t="s">
        <v>92</v>
      </c>
      <c r="AL25" s="73">
        <v>10500</v>
      </c>
    </row>
    <row r="26" spans="2:38">
      <c r="B26" s="1"/>
      <c r="C26" s="1"/>
      <c r="D26" s="5"/>
      <c r="E26" s="1"/>
      <c r="F26" s="1" t="s">
        <v>866</v>
      </c>
      <c r="G26" s="1" t="s">
        <v>867</v>
      </c>
      <c r="H26" s="5">
        <v>1712</v>
      </c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1712</v>
      </c>
      <c r="Z26" s="13"/>
      <c r="AA26" s="1"/>
      <c r="AB26" s="70" t="s">
        <v>850</v>
      </c>
      <c r="AC26" s="99">
        <v>45953</v>
      </c>
      <c r="AD26" s="16" t="s">
        <v>539</v>
      </c>
      <c r="AE26" s="16"/>
      <c r="AF26" s="20">
        <v>14720</v>
      </c>
      <c r="AG26" s="1"/>
      <c r="AH26" s="1"/>
      <c r="AI26" s="70" t="s">
        <v>65</v>
      </c>
      <c r="AJ26" s="70" t="s">
        <v>650</v>
      </c>
      <c r="AK26" s="70" t="s">
        <v>508</v>
      </c>
      <c r="AL26" s="73">
        <v>4796</v>
      </c>
    </row>
    <row r="27" spans="2:38" ht="15.75" thickBot="1">
      <c r="B27" s="1"/>
      <c r="C27" s="1"/>
      <c r="D27" s="5"/>
      <c r="E27" s="1"/>
      <c r="F27" s="1" t="s">
        <v>868</v>
      </c>
      <c r="G27" s="1" t="s">
        <v>869</v>
      </c>
      <c r="H27" s="5">
        <v>4513</v>
      </c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4513</v>
      </c>
      <c r="Z27" s="13"/>
      <c r="AA27" s="1"/>
      <c r="AB27" s="70" t="s">
        <v>727</v>
      </c>
      <c r="AC27" s="77">
        <v>45941</v>
      </c>
      <c r="AD27" s="70" t="s">
        <v>420</v>
      </c>
      <c r="AE27" s="70"/>
      <c r="AF27" s="70">
        <v>13140</v>
      </c>
      <c r="AG27" s="1"/>
      <c r="AH27" s="1"/>
      <c r="AI27" s="70" t="s">
        <v>100</v>
      </c>
      <c r="AJ27" s="105" t="s">
        <v>873</v>
      </c>
      <c r="AK27" s="81" t="s">
        <v>228</v>
      </c>
      <c r="AL27" s="62">
        <v>50000</v>
      </c>
    </row>
    <row r="28" spans="2:38" ht="15.75" thickBot="1">
      <c r="B28" s="114" t="s">
        <v>12</v>
      </c>
      <c r="C28" s="115"/>
      <c r="D28" s="9">
        <f>+SUM(D16:D27)</f>
        <v>37320</v>
      </c>
      <c r="E28" s="1"/>
      <c r="F28" s="114" t="s">
        <v>12</v>
      </c>
      <c r="G28" s="115"/>
      <c r="H28" s="9">
        <f>+SUM(H16:H27)</f>
        <v>161443</v>
      </c>
      <c r="I28" s="1"/>
      <c r="J28" s="114" t="s">
        <v>12</v>
      </c>
      <c r="K28" s="115"/>
      <c r="L28" s="9">
        <f>+SUM(L16:L27)</f>
        <v>100160</v>
      </c>
      <c r="M28" s="1"/>
      <c r="N28" s="114" t="s">
        <v>12</v>
      </c>
      <c r="O28" s="115"/>
      <c r="P28" s="9">
        <f>+SUM(P16:P27)</f>
        <v>86859</v>
      </c>
      <c r="Q28" s="1"/>
      <c r="R28" s="114" t="s">
        <v>12</v>
      </c>
      <c r="S28" s="115"/>
      <c r="T28" s="9">
        <f>+SUM(T16:T27)</f>
        <v>0</v>
      </c>
      <c r="U28" s="1"/>
      <c r="V28" s="12"/>
      <c r="W28" s="114" t="s">
        <v>12</v>
      </c>
      <c r="X28" s="115"/>
      <c r="Y28" s="9">
        <f>+SUM(Y16:Y27)</f>
        <v>385782</v>
      </c>
      <c r="Z28" s="13"/>
      <c r="AA28" s="1"/>
      <c r="AB28" s="70" t="s">
        <v>841</v>
      </c>
      <c r="AC28" s="71">
        <v>45948</v>
      </c>
      <c r="AD28" s="70" t="s">
        <v>53</v>
      </c>
      <c r="AE28" s="70"/>
      <c r="AF28" s="70">
        <v>20000</v>
      </c>
      <c r="AG28" s="1"/>
      <c r="AH28" s="1"/>
      <c r="AI28" s="1"/>
      <c r="AJ28" s="1"/>
      <c r="AK28" s="1"/>
      <c r="AL28" s="62"/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70" t="s">
        <v>851</v>
      </c>
      <c r="AC29" s="96">
        <v>45954</v>
      </c>
      <c r="AD29" s="16" t="s">
        <v>203</v>
      </c>
      <c r="AE29" s="16"/>
      <c r="AF29" s="20">
        <v>20000</v>
      </c>
      <c r="AG29" s="1"/>
      <c r="AH29" s="1"/>
      <c r="AI29" s="1"/>
      <c r="AJ29" s="1"/>
      <c r="AK29" s="1"/>
      <c r="AL29" s="62"/>
    </row>
    <row r="30" spans="2:38" ht="15.75" thickBot="1">
      <c r="B30" s="116" t="s">
        <v>40</v>
      </c>
      <c r="C30" s="116"/>
      <c r="D30" s="7">
        <f>+D28-D15</f>
        <v>17</v>
      </c>
      <c r="E30" s="1"/>
      <c r="F30" s="116" t="s">
        <v>40</v>
      </c>
      <c r="G30" s="116"/>
      <c r="H30" s="7">
        <f>+H28-H15</f>
        <v>-1712</v>
      </c>
      <c r="I30" s="1"/>
      <c r="J30" s="116" t="s">
        <v>40</v>
      </c>
      <c r="K30" s="116"/>
      <c r="L30" s="7">
        <f>+L28-L15</f>
        <v>-5779</v>
      </c>
      <c r="M30" s="1"/>
      <c r="N30" s="116" t="s">
        <v>40</v>
      </c>
      <c r="O30" s="116"/>
      <c r="P30" s="7">
        <f>+P28-P15</f>
        <v>2</v>
      </c>
      <c r="Q30" s="1"/>
      <c r="R30" s="116" t="s">
        <v>40</v>
      </c>
      <c r="S30" s="116"/>
      <c r="T30" s="7">
        <f>+T28-T15</f>
        <v>0</v>
      </c>
      <c r="U30" s="1"/>
      <c r="V30" s="12"/>
      <c r="W30" s="113" t="s">
        <v>40</v>
      </c>
      <c r="X30" s="113"/>
      <c r="Y30" s="41">
        <f>+Y28-Y15</f>
        <v>-7472</v>
      </c>
      <c r="Z30" s="13"/>
      <c r="AA30" s="1"/>
      <c r="AB30" s="70" t="s">
        <v>100</v>
      </c>
      <c r="AC30" s="95">
        <v>45939</v>
      </c>
      <c r="AD30" s="20" t="s">
        <v>570</v>
      </c>
      <c r="AE30" s="16" t="s">
        <v>860</v>
      </c>
      <c r="AF30" s="20">
        <v>29520</v>
      </c>
      <c r="AG30" s="1"/>
      <c r="AH30" s="1"/>
      <c r="AI30" s="1"/>
      <c r="AJ30" s="1"/>
      <c r="AK30" s="1"/>
      <c r="AL30" s="62"/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70" t="s">
        <v>839</v>
      </c>
      <c r="AC31" s="82">
        <v>45955</v>
      </c>
      <c r="AD31" s="70" t="s">
        <v>90</v>
      </c>
      <c r="AE31" s="70"/>
      <c r="AF31" s="74">
        <v>100000</v>
      </c>
      <c r="AG31" s="1"/>
      <c r="AH31" s="1"/>
      <c r="AI31" s="1"/>
      <c r="AJ31" s="1"/>
      <c r="AK31" s="1"/>
      <c r="AL31" s="1"/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6"/>
      <c r="AC32" s="16"/>
      <c r="AD32" s="16"/>
      <c r="AE32" s="16"/>
      <c r="AF32" s="16"/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>
      <c r="B34" s="10" t="s">
        <v>41</v>
      </c>
      <c r="C34" s="11"/>
      <c r="D34" s="21"/>
      <c r="E34" s="1"/>
      <c r="F34" s="10" t="s">
        <v>41</v>
      </c>
      <c r="G34" s="11"/>
      <c r="H34" s="21">
        <v>1712</v>
      </c>
      <c r="I34" s="1"/>
      <c r="J34" s="10" t="s">
        <v>41</v>
      </c>
      <c r="K34" s="11"/>
      <c r="L34" s="21">
        <v>5779</v>
      </c>
      <c r="M34" s="1"/>
      <c r="N34" s="10" t="s">
        <v>41</v>
      </c>
      <c r="O34" s="11"/>
      <c r="P34" s="21"/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7491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>
      <c r="B35" s="12" t="s">
        <v>42</v>
      </c>
      <c r="C35" s="16"/>
      <c r="D35" s="22"/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/>
      <c r="Q35" s="1"/>
      <c r="R35" s="12" t="s">
        <v>42</v>
      </c>
      <c r="S35" s="16"/>
      <c r="T35" s="22"/>
      <c r="U35" s="1"/>
      <c r="V35" s="1"/>
      <c r="W35" s="45" t="s">
        <v>42</v>
      </c>
      <c r="X35" s="40"/>
      <c r="Y35" s="46">
        <f t="shared" ref="Y35:Y36" si="9">+D35+H35+L35+P35+T35</f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44</v>
      </c>
      <c r="C36" s="16"/>
      <c r="D36" s="22">
        <v>-17</v>
      </c>
      <c r="E36" s="1"/>
      <c r="F36" s="12" t="s">
        <v>44</v>
      </c>
      <c r="G36" s="16"/>
      <c r="H36" s="22"/>
      <c r="I36" s="1"/>
      <c r="J36" s="12" t="s">
        <v>44</v>
      </c>
      <c r="K36" s="16"/>
      <c r="L36" s="22"/>
      <c r="M36" s="1"/>
      <c r="N36" s="12" t="s">
        <v>44</v>
      </c>
      <c r="O36" s="16"/>
      <c r="P36" s="22">
        <v>-2</v>
      </c>
      <c r="Q36" s="1"/>
      <c r="R36" s="12" t="s">
        <v>46</v>
      </c>
      <c r="S36" s="16"/>
      <c r="T36" s="22"/>
      <c r="U36" s="1"/>
      <c r="V36" s="1"/>
      <c r="W36" s="45" t="s">
        <v>43</v>
      </c>
      <c r="X36" s="40"/>
      <c r="Y36" s="46">
        <f t="shared" si="9"/>
        <v>-19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ht="15.75" thickBot="1">
      <c r="B37" s="12" t="s">
        <v>18</v>
      </c>
      <c r="C37" s="16"/>
      <c r="D37" s="22">
        <f>+SUM(D34:D36)</f>
        <v>-17</v>
      </c>
      <c r="E37" s="1"/>
      <c r="F37" s="12" t="s">
        <v>18</v>
      </c>
      <c r="G37" s="16"/>
      <c r="H37" s="22">
        <f>+SUM(H34:H36)</f>
        <v>1712</v>
      </c>
      <c r="I37" s="1"/>
      <c r="J37" s="12" t="s">
        <v>18</v>
      </c>
      <c r="K37" s="16"/>
      <c r="L37" s="22">
        <f>+SUM(L34:L36)</f>
        <v>5779</v>
      </c>
      <c r="M37" s="1"/>
      <c r="N37" s="12" t="s">
        <v>18</v>
      </c>
      <c r="O37" s="16"/>
      <c r="P37" s="22">
        <f>+SUM(P34:P36)</f>
        <v>-2</v>
      </c>
      <c r="Q37" s="1"/>
      <c r="R37" s="12" t="s">
        <v>18</v>
      </c>
      <c r="S37" s="16"/>
      <c r="T37" s="22">
        <f>+SUM(T34:T36)</f>
        <v>0</v>
      </c>
      <c r="U37" s="1"/>
      <c r="V37" s="1"/>
      <c r="W37" s="33" t="s">
        <v>18</v>
      </c>
      <c r="X37" s="34"/>
      <c r="Y37" s="35">
        <f>+SUM(Y34:Y36)</f>
        <v>7472</v>
      </c>
      <c r="Z37" s="1"/>
      <c r="AA37" s="1"/>
      <c r="AB37" s="60" t="s">
        <v>39</v>
      </c>
      <c r="AC37" s="60"/>
      <c r="AD37" s="60"/>
      <c r="AE37" s="60"/>
      <c r="AF37" s="55">
        <f>+SUM(AF23:AF36)</f>
        <v>239770</v>
      </c>
      <c r="AG37" s="1"/>
      <c r="AH37" s="1"/>
      <c r="AI37" s="60" t="s">
        <v>39</v>
      </c>
      <c r="AJ37" s="60"/>
      <c r="AK37" s="60"/>
      <c r="AL37" s="72">
        <f>+SUM(AL23:AL36)</f>
        <v>140746</v>
      </c>
    </row>
    <row r="38" spans="2:38" ht="16.5" thickTop="1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2:AL45"/>
  <sheetViews>
    <sheetView topLeftCell="I7" zoomScale="80" zoomScaleNormal="80" workbookViewId="0">
      <selection activeCell="K2" sqref="K2"/>
    </sheetView>
  </sheetViews>
  <sheetFormatPr defaultRowHeight="15"/>
  <cols>
    <col min="5" max="5" width="1.5703125" customWidth="1"/>
    <col min="8" max="8" width="9.5703125" bestFit="1" customWidth="1"/>
    <col min="9" max="9" width="1.85546875" customWidth="1"/>
    <col min="13" max="13" width="1.5703125" customWidth="1"/>
    <col min="17" max="17" width="4.140625" customWidth="1"/>
    <col min="18" max="18" width="13.7109375" customWidth="1"/>
    <col min="19" max="19" width="15" customWidth="1"/>
    <col min="20" max="20" width="11.140625" bestFit="1" customWidth="1"/>
    <col min="21" max="21" width="5.7109375" customWidth="1"/>
    <col min="22" max="22" width="1.85546875" customWidth="1"/>
    <col min="25" max="25" width="9.5703125" bestFit="1" customWidth="1"/>
    <col min="26" max="26" width="3.28515625" customWidth="1"/>
    <col min="28" max="28" width="18.5703125" bestFit="1" customWidth="1"/>
    <col min="29" max="29" width="9.85546875" bestFit="1" customWidth="1"/>
    <col min="30" max="30" width="16" bestFit="1" customWidth="1"/>
    <col min="31" max="31" width="13.5703125" bestFit="1" customWidth="1"/>
    <col min="32" max="32" width="11.140625" bestFit="1" customWidth="1"/>
  </cols>
  <sheetData>
    <row r="2" spans="2:38" ht="15.75" thickBot="1"/>
    <row r="3" spans="2:38">
      <c r="B3" s="111" t="s">
        <v>127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3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180</v>
      </c>
      <c r="D6" s="36">
        <f>+C6*B6</f>
        <v>1800</v>
      </c>
      <c r="E6" s="1"/>
      <c r="F6" s="2">
        <v>10</v>
      </c>
      <c r="G6" s="2">
        <v>4</v>
      </c>
      <c r="H6" s="36">
        <f>+G6*F6</f>
        <v>40</v>
      </c>
      <c r="I6" s="1"/>
      <c r="J6" s="2">
        <v>10</v>
      </c>
      <c r="K6" s="2">
        <v>12</v>
      </c>
      <c r="L6" s="36">
        <f>+K6*J6</f>
        <v>120</v>
      </c>
      <c r="M6" s="1"/>
      <c r="N6" s="2">
        <v>10</v>
      </c>
      <c r="O6" s="2">
        <v>100</v>
      </c>
      <c r="P6" s="36">
        <f>+O6*N6</f>
        <v>1000</v>
      </c>
      <c r="Q6" s="1"/>
      <c r="R6" s="2">
        <v>10</v>
      </c>
      <c r="S6" s="2">
        <v>698</v>
      </c>
      <c r="T6" s="36">
        <f>+S6*R6</f>
        <v>6980</v>
      </c>
      <c r="U6" s="1"/>
      <c r="V6" s="12"/>
      <c r="W6" s="39">
        <v>10</v>
      </c>
      <c r="X6" s="39">
        <f>+C6+G6+K6+O6+S6</f>
        <v>994</v>
      </c>
      <c r="Y6" s="37">
        <f>+D6+H6+L6+P6+T6</f>
        <v>9940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7</v>
      </c>
      <c r="AK6" s="36">
        <f t="shared" ref="AK6:AK13" si="0">+AJ6*AI6</f>
        <v>7</v>
      </c>
      <c r="AL6" s="26"/>
    </row>
    <row r="7" spans="2:38">
      <c r="B7" s="2">
        <v>20</v>
      </c>
      <c r="C7" s="2">
        <v>12</v>
      </c>
      <c r="D7" s="36">
        <f t="shared" ref="D7:D12" si="1">+C7*B7</f>
        <v>240</v>
      </c>
      <c r="E7" s="1"/>
      <c r="F7" s="2">
        <v>20</v>
      </c>
      <c r="G7" s="2">
        <v>2</v>
      </c>
      <c r="H7" s="36">
        <f t="shared" ref="H7:H12" si="2">+G7*F7</f>
        <v>40</v>
      </c>
      <c r="I7" s="1"/>
      <c r="J7" s="2">
        <v>20</v>
      </c>
      <c r="K7" s="2">
        <v>5</v>
      </c>
      <c r="L7" s="36">
        <f t="shared" ref="L7:L12" si="3">+K7*J7</f>
        <v>100</v>
      </c>
      <c r="M7" s="1"/>
      <c r="N7" s="2">
        <v>20</v>
      </c>
      <c r="O7" s="2">
        <v>9</v>
      </c>
      <c r="P7" s="36">
        <f t="shared" ref="P7:P12" si="4">+O7*N7</f>
        <v>180</v>
      </c>
      <c r="Q7" s="1"/>
      <c r="R7" s="2">
        <v>20</v>
      </c>
      <c r="S7" s="2">
        <v>50</v>
      </c>
      <c r="T7" s="36">
        <f t="shared" ref="T7:T12" si="5">+S7*R7</f>
        <v>1000</v>
      </c>
      <c r="U7" s="1"/>
      <c r="V7" s="12"/>
      <c r="W7" s="39">
        <v>20</v>
      </c>
      <c r="X7" s="39">
        <f>+C7+G7+K7+O7+S7</f>
        <v>78</v>
      </c>
      <c r="Y7" s="37">
        <f t="shared" ref="Y7:Y12" si="6">+D7+H7+L7+P7+T7</f>
        <v>1560</v>
      </c>
      <c r="Z7" s="13"/>
      <c r="AA7" s="1"/>
      <c r="AB7" s="56" t="s">
        <v>10</v>
      </c>
      <c r="AC7" s="57">
        <f>Y13</f>
        <v>321950</v>
      </c>
      <c r="AD7" s="26"/>
      <c r="AE7" s="26"/>
      <c r="AF7" s="26"/>
      <c r="AG7" s="26"/>
      <c r="AH7" s="1"/>
      <c r="AI7" s="2">
        <v>10</v>
      </c>
      <c r="AJ7" s="2">
        <v>1003</v>
      </c>
      <c r="AK7" s="36">
        <f t="shared" si="0"/>
        <v>10030</v>
      </c>
      <c r="AL7" s="1"/>
    </row>
    <row r="8" spans="2:38">
      <c r="B8" s="2">
        <v>50</v>
      </c>
      <c r="C8" s="2">
        <v>34</v>
      </c>
      <c r="D8" s="36">
        <f t="shared" si="1"/>
        <v>1700</v>
      </c>
      <c r="E8" s="1"/>
      <c r="F8" s="2">
        <v>50</v>
      </c>
      <c r="G8" s="2">
        <v>38</v>
      </c>
      <c r="H8" s="36">
        <f t="shared" si="2"/>
        <v>1900</v>
      </c>
      <c r="I8" s="1"/>
      <c r="J8" s="2">
        <v>50</v>
      </c>
      <c r="K8" s="2">
        <v>20</v>
      </c>
      <c r="L8" s="36">
        <f t="shared" si="3"/>
        <v>1000</v>
      </c>
      <c r="M8" s="1"/>
      <c r="N8" s="2">
        <v>50</v>
      </c>
      <c r="O8" s="2">
        <v>65</v>
      </c>
      <c r="P8" s="36">
        <f t="shared" si="4"/>
        <v>3250</v>
      </c>
      <c r="Q8" s="1"/>
      <c r="R8" s="2">
        <v>50</v>
      </c>
      <c r="S8" s="2">
        <v>16</v>
      </c>
      <c r="T8" s="36">
        <f t="shared" si="5"/>
        <v>800</v>
      </c>
      <c r="U8" s="1"/>
      <c r="V8" s="12"/>
      <c r="W8" s="39">
        <v>50</v>
      </c>
      <c r="X8" s="39">
        <f t="shared" ref="X8:X12" si="7">+C8+G8+K8+O8+S8</f>
        <v>173</v>
      </c>
      <c r="Y8" s="37">
        <f t="shared" si="6"/>
        <v>8650</v>
      </c>
      <c r="Z8" s="13"/>
      <c r="AA8" s="1"/>
      <c r="AB8" s="53" t="s">
        <v>11</v>
      </c>
      <c r="AC8" s="53">
        <f>+AF44</f>
        <v>226482</v>
      </c>
      <c r="AD8" s="1"/>
      <c r="AE8" s="1"/>
      <c r="AF8" s="1"/>
      <c r="AG8" s="1"/>
      <c r="AH8" s="1"/>
      <c r="AI8" s="2">
        <v>20</v>
      </c>
      <c r="AJ8" s="2">
        <v>80</v>
      </c>
      <c r="AK8" s="36">
        <f t="shared" si="0"/>
        <v>1600</v>
      </c>
      <c r="AL8" s="1"/>
    </row>
    <row r="9" spans="2:38" ht="15.75" thickBot="1">
      <c r="B9" s="2">
        <v>100</v>
      </c>
      <c r="C9" s="2">
        <v>42</v>
      </c>
      <c r="D9" s="36">
        <f t="shared" si="1"/>
        <v>4200</v>
      </c>
      <c r="E9" s="1"/>
      <c r="F9" s="2">
        <v>100</v>
      </c>
      <c r="G9" s="2">
        <v>33</v>
      </c>
      <c r="H9" s="36">
        <f t="shared" si="2"/>
        <v>3300</v>
      </c>
      <c r="I9" s="1"/>
      <c r="J9" s="2">
        <v>100</v>
      </c>
      <c r="K9" s="2">
        <v>42</v>
      </c>
      <c r="L9" s="36">
        <f t="shared" si="3"/>
        <v>4200</v>
      </c>
      <c r="M9" s="1"/>
      <c r="N9" s="2">
        <v>100</v>
      </c>
      <c r="O9" s="2">
        <v>43</v>
      </c>
      <c r="P9" s="36">
        <f t="shared" si="4"/>
        <v>4300</v>
      </c>
      <c r="Q9" s="1"/>
      <c r="R9" s="2">
        <v>100</v>
      </c>
      <c r="S9" s="2">
        <v>103</v>
      </c>
      <c r="T9" s="36">
        <f t="shared" si="5"/>
        <v>10300</v>
      </c>
      <c r="U9" s="1"/>
      <c r="V9" s="12"/>
      <c r="W9" s="39">
        <v>100</v>
      </c>
      <c r="X9" s="39">
        <f t="shared" si="7"/>
        <v>263</v>
      </c>
      <c r="Y9" s="37">
        <f t="shared" si="6"/>
        <v>26300</v>
      </c>
      <c r="Z9" s="13"/>
      <c r="AA9" s="1"/>
      <c r="AB9" s="58" t="s">
        <v>12</v>
      </c>
      <c r="AC9" s="59">
        <f>SUM(AC7:AC8)</f>
        <v>548432</v>
      </c>
      <c r="AD9" s="1"/>
      <c r="AE9" s="1"/>
      <c r="AF9" s="1"/>
      <c r="AG9" s="1"/>
      <c r="AH9" s="1"/>
      <c r="AI9" s="2">
        <v>50</v>
      </c>
      <c r="AJ9" s="2">
        <v>232</v>
      </c>
      <c r="AK9" s="36">
        <f t="shared" si="0"/>
        <v>11600</v>
      </c>
      <c r="AL9" s="1"/>
    </row>
    <row r="10" spans="2:38">
      <c r="B10" s="2">
        <v>500</v>
      </c>
      <c r="C10" s="2">
        <v>23</v>
      </c>
      <c r="D10" s="36">
        <f t="shared" si="1"/>
        <v>11500</v>
      </c>
      <c r="E10" s="1"/>
      <c r="F10" s="2">
        <v>500</v>
      </c>
      <c r="G10" s="2">
        <v>28</v>
      </c>
      <c r="H10" s="36">
        <f t="shared" si="2"/>
        <v>14000</v>
      </c>
      <c r="I10" s="1"/>
      <c r="J10" s="2">
        <v>500</v>
      </c>
      <c r="K10" s="2">
        <v>28</v>
      </c>
      <c r="L10" s="36">
        <f t="shared" si="3"/>
        <v>14000</v>
      </c>
      <c r="M10" s="1"/>
      <c r="N10" s="2">
        <v>500</v>
      </c>
      <c r="O10" s="2">
        <v>22</v>
      </c>
      <c r="P10" s="36">
        <f t="shared" si="4"/>
        <v>11000</v>
      </c>
      <c r="Q10" s="1"/>
      <c r="R10" s="2">
        <v>500</v>
      </c>
      <c r="S10" s="2">
        <v>42</v>
      </c>
      <c r="T10" s="36">
        <f t="shared" si="5"/>
        <v>21000</v>
      </c>
      <c r="U10" s="1"/>
      <c r="V10" s="12"/>
      <c r="W10" s="39">
        <v>500</v>
      </c>
      <c r="X10" s="39">
        <f t="shared" si="7"/>
        <v>143</v>
      </c>
      <c r="Y10" s="37">
        <f t="shared" si="6"/>
        <v>71500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362</v>
      </c>
      <c r="AK10" s="36">
        <f t="shared" si="0"/>
        <v>36200</v>
      </c>
      <c r="AL10" s="1"/>
    </row>
    <row r="11" spans="2:38">
      <c r="B11" s="2">
        <v>1000</v>
      </c>
      <c r="C11" s="2">
        <v>26</v>
      </c>
      <c r="D11" s="36">
        <f t="shared" si="1"/>
        <v>26000</v>
      </c>
      <c r="E11" s="1"/>
      <c r="F11" s="2">
        <v>1000</v>
      </c>
      <c r="G11" s="2">
        <v>51</v>
      </c>
      <c r="H11" s="36">
        <f t="shared" si="2"/>
        <v>51000</v>
      </c>
      <c r="I11" s="1"/>
      <c r="J11" s="2">
        <v>1000</v>
      </c>
      <c r="K11" s="2">
        <v>36</v>
      </c>
      <c r="L11" s="36">
        <f t="shared" si="3"/>
        <v>36000</v>
      </c>
      <c r="M11" s="1"/>
      <c r="N11" s="2">
        <v>1000</v>
      </c>
      <c r="O11" s="2">
        <v>37</v>
      </c>
      <c r="P11" s="36">
        <f t="shared" si="4"/>
        <v>37000</v>
      </c>
      <c r="Q11" s="1"/>
      <c r="R11" s="2">
        <v>1000</v>
      </c>
      <c r="S11" s="2">
        <v>9</v>
      </c>
      <c r="T11" s="36">
        <f t="shared" si="5"/>
        <v>9000</v>
      </c>
      <c r="U11" s="1"/>
      <c r="V11" s="12"/>
      <c r="W11" s="39">
        <v>1000</v>
      </c>
      <c r="X11" s="39">
        <f t="shared" si="7"/>
        <v>159</v>
      </c>
      <c r="Y11" s="37">
        <f t="shared" si="6"/>
        <v>159000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132</v>
      </c>
      <c r="AK11" s="36">
        <f t="shared" si="0"/>
        <v>66000</v>
      </c>
      <c r="AL11" s="1"/>
    </row>
    <row r="12" spans="2:38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3</v>
      </c>
      <c r="H12" s="36">
        <f t="shared" si="2"/>
        <v>15000</v>
      </c>
      <c r="I12" s="1"/>
      <c r="J12" s="2">
        <v>5000</v>
      </c>
      <c r="K12" s="2">
        <v>1</v>
      </c>
      <c r="L12" s="36">
        <f t="shared" si="3"/>
        <v>5000</v>
      </c>
      <c r="M12" s="1"/>
      <c r="N12" s="2">
        <v>5000</v>
      </c>
      <c r="O12" s="2">
        <v>4</v>
      </c>
      <c r="P12" s="36">
        <f t="shared" si="4"/>
        <v>20000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9</v>
      </c>
      <c r="Y12" s="37">
        <f t="shared" si="6"/>
        <v>45000</v>
      </c>
      <c r="Z12" s="13"/>
      <c r="AA12" s="1"/>
      <c r="AB12" s="1" t="s">
        <v>17</v>
      </c>
      <c r="AC12" s="5">
        <v>488430</v>
      </c>
      <c r="AD12" s="1">
        <v>979013</v>
      </c>
      <c r="AE12" s="52" t="s">
        <v>908</v>
      </c>
      <c r="AF12" s="1" t="s">
        <v>110</v>
      </c>
      <c r="AG12" s="1"/>
      <c r="AH12" s="1"/>
      <c r="AI12" s="2">
        <v>1000</v>
      </c>
      <c r="AJ12" s="2">
        <v>313</v>
      </c>
      <c r="AK12" s="36">
        <f t="shared" si="0"/>
        <v>313000</v>
      </c>
      <c r="AL12" s="1"/>
    </row>
    <row r="13" spans="2:38" ht="15.75" thickBot="1">
      <c r="B13" s="3" t="s">
        <v>18</v>
      </c>
      <c r="C13" s="3"/>
      <c r="D13" s="6">
        <f>+SUM(D5:D12)</f>
        <v>50440</v>
      </c>
      <c r="E13" s="1"/>
      <c r="F13" s="3" t="s">
        <v>18</v>
      </c>
      <c r="G13" s="3"/>
      <c r="H13" s="6">
        <f>+SUM(H5:H12)</f>
        <v>85280</v>
      </c>
      <c r="I13" s="1"/>
      <c r="J13" s="3" t="s">
        <v>18</v>
      </c>
      <c r="K13" s="3"/>
      <c r="L13" s="6">
        <f>+SUM(L5:L12)</f>
        <v>60420</v>
      </c>
      <c r="M13" s="1"/>
      <c r="N13" s="3" t="s">
        <v>18</v>
      </c>
      <c r="O13" s="3"/>
      <c r="P13" s="6">
        <f>+SUM(P5:P12)</f>
        <v>76730</v>
      </c>
      <c r="Q13" s="1"/>
      <c r="R13" s="3" t="s">
        <v>18</v>
      </c>
      <c r="S13" s="3"/>
      <c r="T13" s="6">
        <f>+SUM(T5:T12)</f>
        <v>49080</v>
      </c>
      <c r="U13" s="1"/>
      <c r="V13" s="12"/>
      <c r="W13" s="3" t="s">
        <v>18</v>
      </c>
      <c r="X13" s="3"/>
      <c r="Y13" s="6">
        <f>+SUM(Y5:Y12)</f>
        <v>321950</v>
      </c>
      <c r="Z13" s="13"/>
      <c r="AA13" s="1"/>
      <c r="AB13" s="1" t="s">
        <v>19</v>
      </c>
      <c r="AC13" s="5">
        <v>10007</v>
      </c>
      <c r="AD13" s="1"/>
      <c r="AE13" s="1"/>
      <c r="AF13" s="1"/>
      <c r="AG13" s="1"/>
      <c r="AH13" s="1"/>
      <c r="AI13" s="2">
        <v>5000</v>
      </c>
      <c r="AJ13" s="2">
        <v>12</v>
      </c>
      <c r="AK13" s="36">
        <f t="shared" si="0"/>
        <v>60000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03" t="s">
        <v>884</v>
      </c>
      <c r="AC14" s="104"/>
      <c r="AD14" s="62">
        <v>50000</v>
      </c>
      <c r="AE14" s="1"/>
      <c r="AF14" s="1"/>
      <c r="AG14" s="1"/>
      <c r="AH14" s="1"/>
      <c r="AI14" s="3" t="s">
        <v>18</v>
      </c>
      <c r="AJ14" s="3"/>
      <c r="AK14" s="6">
        <f>+SUM(AK6:AK13)</f>
        <v>498437</v>
      </c>
      <c r="AL14" s="1"/>
    </row>
    <row r="15" spans="2:38" ht="15.75" thickBot="1">
      <c r="B15" s="109" t="s">
        <v>21</v>
      </c>
      <c r="C15" s="110"/>
      <c r="D15" s="8">
        <v>59598</v>
      </c>
      <c r="E15" s="30"/>
      <c r="F15" s="109" t="s">
        <v>21</v>
      </c>
      <c r="G15" s="110"/>
      <c r="H15" s="8">
        <v>110836.82</v>
      </c>
      <c r="I15" s="30"/>
      <c r="J15" s="109" t="s">
        <v>21</v>
      </c>
      <c r="K15" s="110"/>
      <c r="L15" s="8">
        <v>84625</v>
      </c>
      <c r="M15" s="30"/>
      <c r="N15" s="109" t="s">
        <v>21</v>
      </c>
      <c r="O15" s="110"/>
      <c r="P15" s="8">
        <v>76720</v>
      </c>
      <c r="Q15" s="30"/>
      <c r="R15" s="109" t="s">
        <v>21</v>
      </c>
      <c r="S15" s="110"/>
      <c r="T15" s="8">
        <v>397826</v>
      </c>
      <c r="U15" s="30"/>
      <c r="V15" s="31"/>
      <c r="W15" s="109" t="s">
        <v>21</v>
      </c>
      <c r="X15" s="110"/>
      <c r="Y15" s="8">
        <f>+D15+H15+L15+P15+T15</f>
        <v>729605.82000000007</v>
      </c>
      <c r="Z15" s="32"/>
      <c r="AA15" s="30"/>
      <c r="AB15" s="101" t="s">
        <v>905</v>
      </c>
      <c r="AC15" s="100">
        <v>50000</v>
      </c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50440</v>
      </c>
      <c r="E16" s="1"/>
      <c r="F16" s="1" t="s">
        <v>10</v>
      </c>
      <c r="G16" s="1"/>
      <c r="H16" s="5">
        <f>+H13</f>
        <v>85280</v>
      </c>
      <c r="I16" s="1"/>
      <c r="J16" s="1" t="s">
        <v>10</v>
      </c>
      <c r="K16" s="1"/>
      <c r="L16" s="5">
        <f>+L13</f>
        <v>60420</v>
      </c>
      <c r="M16" s="1"/>
      <c r="N16" s="1" t="s">
        <v>10</v>
      </c>
      <c r="O16" s="1"/>
      <c r="P16" s="5">
        <f>+P13</f>
        <v>76730</v>
      </c>
      <c r="Q16" s="1"/>
      <c r="R16" s="1" t="s">
        <v>10</v>
      </c>
      <c r="S16" s="1"/>
      <c r="T16" s="5">
        <f>+T13</f>
        <v>49080</v>
      </c>
      <c r="U16" s="1"/>
      <c r="V16" s="12"/>
      <c r="W16" s="40" t="s">
        <v>10</v>
      </c>
      <c r="X16" s="40"/>
      <c r="Y16" s="37">
        <f>+D16+H16+L16+P16+T16</f>
        <v>321950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>
        <v>5509</v>
      </c>
      <c r="M17" s="1"/>
      <c r="N17" s="1" t="s">
        <v>17</v>
      </c>
      <c r="O17" s="1"/>
      <c r="P17" s="5"/>
      <c r="Q17" s="1"/>
      <c r="R17" s="1" t="s">
        <v>752</v>
      </c>
      <c r="S17" s="1" t="s">
        <v>903</v>
      </c>
      <c r="T17" s="5">
        <v>22262</v>
      </c>
      <c r="U17" s="1"/>
      <c r="V17" s="12"/>
      <c r="W17" s="40" t="s">
        <v>17</v>
      </c>
      <c r="X17" s="40"/>
      <c r="Y17" s="37">
        <f t="shared" ref="Y17:Y27" si="8">+D17+H17+L17+P17+T17</f>
        <v>27771</v>
      </c>
      <c r="Z17" s="13"/>
      <c r="AA17" s="1"/>
      <c r="AB17" s="48" t="s">
        <v>12</v>
      </c>
      <c r="AC17" s="49">
        <f>+SUM(AC12:AC16)</f>
        <v>548437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855</v>
      </c>
      <c r="C18" s="1" t="s">
        <v>876</v>
      </c>
      <c r="D18" s="5">
        <v>9830</v>
      </c>
      <c r="E18" s="1"/>
      <c r="F18" s="1" t="s">
        <v>857</v>
      </c>
      <c r="G18" s="1" t="s">
        <v>879</v>
      </c>
      <c r="H18" s="5">
        <v>25910</v>
      </c>
      <c r="I18" s="1"/>
      <c r="J18" s="1" t="s">
        <v>773</v>
      </c>
      <c r="K18" s="1" t="s">
        <v>877</v>
      </c>
      <c r="L18" s="5">
        <v>6500</v>
      </c>
      <c r="M18" s="1"/>
      <c r="N18" s="1" t="s">
        <v>24</v>
      </c>
      <c r="O18" s="1"/>
      <c r="P18" s="5"/>
      <c r="Q18" s="1"/>
      <c r="R18" s="1" t="s">
        <v>894</v>
      </c>
      <c r="S18" s="1" t="s">
        <v>895</v>
      </c>
      <c r="T18" s="5">
        <v>38677</v>
      </c>
      <c r="U18" s="1"/>
      <c r="V18" s="12"/>
      <c r="W18" s="40" t="s">
        <v>24</v>
      </c>
      <c r="X18" s="40"/>
      <c r="Y18" s="37">
        <f t="shared" si="8"/>
        <v>80917</v>
      </c>
      <c r="Z18" s="13"/>
      <c r="AA18" s="1"/>
      <c r="AB18" s="50" t="s">
        <v>25</v>
      </c>
      <c r="AC18" s="51">
        <f>+AC17-AC9</f>
        <v>5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27</v>
      </c>
      <c r="C19" s="1"/>
      <c r="D19" s="5"/>
      <c r="E19" s="1"/>
      <c r="F19" s="1" t="s">
        <v>27</v>
      </c>
      <c r="G19" s="1"/>
      <c r="H19" s="5"/>
      <c r="I19" s="1"/>
      <c r="J19" s="1" t="s">
        <v>27</v>
      </c>
      <c r="K19" s="1"/>
      <c r="L19" s="5"/>
      <c r="M19" s="1"/>
      <c r="N19" s="1" t="s">
        <v>27</v>
      </c>
      <c r="O19" s="1"/>
      <c r="P19" s="5"/>
      <c r="Q19" s="1"/>
      <c r="R19" s="1" t="s">
        <v>896</v>
      </c>
      <c r="S19" s="1" t="s">
        <v>897</v>
      </c>
      <c r="T19" s="5">
        <v>20000</v>
      </c>
      <c r="U19" s="1"/>
      <c r="V19" s="12"/>
      <c r="W19" s="40" t="s">
        <v>27</v>
      </c>
      <c r="X19" s="40"/>
      <c r="Y19" s="37">
        <f t="shared" si="8"/>
        <v>20000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898</v>
      </c>
      <c r="S20" s="1" t="s">
        <v>899</v>
      </c>
      <c r="T20" s="5">
        <v>25000</v>
      </c>
      <c r="U20" s="1"/>
      <c r="V20" s="12"/>
      <c r="W20" s="40" t="s">
        <v>28</v>
      </c>
      <c r="X20" s="40"/>
      <c r="Y20" s="37">
        <f t="shared" si="8"/>
        <v>25000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 t="s">
        <v>901</v>
      </c>
      <c r="S21" s="1" t="s">
        <v>900</v>
      </c>
      <c r="T21" s="5">
        <v>25000</v>
      </c>
      <c r="U21" s="1"/>
      <c r="V21" s="12"/>
      <c r="W21" s="40"/>
      <c r="X21" s="40"/>
      <c r="Y21" s="37">
        <f t="shared" si="8"/>
        <v>25000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 t="s">
        <v>784</v>
      </c>
      <c r="S22" s="1" t="s">
        <v>902</v>
      </c>
      <c r="T22" s="5">
        <v>22263</v>
      </c>
      <c r="U22" s="1"/>
      <c r="V22" s="12"/>
      <c r="W22" s="40"/>
      <c r="X22" s="40"/>
      <c r="Y22" s="37">
        <f t="shared" si="8"/>
        <v>22263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878</v>
      </c>
      <c r="K23" s="1" t="s">
        <v>539</v>
      </c>
      <c r="L23" s="5">
        <v>17830</v>
      </c>
      <c r="M23" s="1"/>
      <c r="N23" s="1" t="s">
        <v>47</v>
      </c>
      <c r="O23" s="1"/>
      <c r="P23" s="5"/>
      <c r="Q23" s="1"/>
      <c r="R23" s="1" t="s">
        <v>907</v>
      </c>
      <c r="S23" s="1" t="s">
        <v>906</v>
      </c>
      <c r="T23" s="5">
        <v>53630</v>
      </c>
      <c r="U23" s="1"/>
      <c r="V23" s="12"/>
      <c r="W23" s="40" t="s">
        <v>36</v>
      </c>
      <c r="X23" s="40"/>
      <c r="Y23" s="37">
        <f t="shared" si="8"/>
        <v>71460</v>
      </c>
      <c r="Z23" s="13"/>
      <c r="AA23" s="1"/>
      <c r="AB23" s="70" t="s">
        <v>874</v>
      </c>
      <c r="AC23" s="96">
        <v>45958</v>
      </c>
      <c r="AD23" s="16" t="s">
        <v>494</v>
      </c>
      <c r="AE23" s="96"/>
      <c r="AF23" s="16">
        <v>4200</v>
      </c>
      <c r="AG23" s="1"/>
      <c r="AH23" s="1"/>
      <c r="AI23" s="16" t="s">
        <v>65</v>
      </c>
      <c r="AJ23" s="16" t="s">
        <v>66</v>
      </c>
      <c r="AK23" s="16"/>
      <c r="AL23" s="86">
        <v>5509</v>
      </c>
    </row>
    <row r="24" spans="2:38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47</v>
      </c>
      <c r="O24" s="1"/>
      <c r="P24" s="5"/>
      <c r="Q24" s="1"/>
      <c r="R24" s="1" t="s">
        <v>888</v>
      </c>
      <c r="S24" s="1" t="s">
        <v>167</v>
      </c>
      <c r="T24" s="5">
        <v>14875</v>
      </c>
      <c r="U24" s="1"/>
      <c r="V24" s="12"/>
      <c r="W24" s="40" t="s">
        <v>37</v>
      </c>
      <c r="X24" s="40"/>
      <c r="Y24" s="37">
        <f t="shared" si="8"/>
        <v>14875</v>
      </c>
      <c r="Z24" s="13"/>
      <c r="AA24" s="1"/>
      <c r="AB24" s="16" t="s">
        <v>97</v>
      </c>
      <c r="AC24" s="95">
        <v>45947</v>
      </c>
      <c r="AD24" s="16" t="s">
        <v>875</v>
      </c>
      <c r="AE24" s="16" t="s">
        <v>569</v>
      </c>
      <c r="AF24" s="16">
        <v>10000</v>
      </c>
      <c r="AG24" s="1"/>
      <c r="AH24" s="1"/>
      <c r="AI24" s="70" t="s">
        <v>98</v>
      </c>
      <c r="AJ24" s="70" t="s">
        <v>632</v>
      </c>
      <c r="AK24" s="70" t="s">
        <v>96</v>
      </c>
      <c r="AL24" s="73">
        <v>3094</v>
      </c>
    </row>
    <row r="25" spans="2:38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47</v>
      </c>
      <c r="O25" s="1"/>
      <c r="P25" s="5"/>
      <c r="Q25" s="1"/>
      <c r="R25" s="1" t="s">
        <v>889</v>
      </c>
      <c r="S25" s="1" t="s">
        <v>136</v>
      </c>
      <c r="T25" s="5">
        <v>29341</v>
      </c>
      <c r="U25" s="1"/>
      <c r="V25" s="12"/>
      <c r="W25" s="40" t="s">
        <v>38</v>
      </c>
      <c r="X25" s="40"/>
      <c r="Y25" s="37">
        <f t="shared" si="8"/>
        <v>29341</v>
      </c>
      <c r="Z25" s="13"/>
      <c r="AA25" s="1"/>
      <c r="AB25" s="16" t="s">
        <v>97</v>
      </c>
      <c r="AC25" s="95">
        <v>45938</v>
      </c>
      <c r="AD25" s="16" t="s">
        <v>266</v>
      </c>
      <c r="AE25" s="16" t="s">
        <v>323</v>
      </c>
      <c r="AF25" s="16">
        <v>8000</v>
      </c>
      <c r="AG25" s="1"/>
      <c r="AH25" s="1"/>
      <c r="AI25" s="70" t="s">
        <v>67</v>
      </c>
      <c r="AJ25" s="70" t="s">
        <v>644</v>
      </c>
      <c r="AK25" s="70" t="s">
        <v>834</v>
      </c>
      <c r="AL25" s="70">
        <v>8830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890</v>
      </c>
      <c r="S26" s="1" t="s">
        <v>134</v>
      </c>
      <c r="T26" s="5">
        <v>67181</v>
      </c>
      <c r="U26" s="1"/>
      <c r="V26" s="12"/>
      <c r="W26" s="40"/>
      <c r="X26" s="40"/>
      <c r="Y26" s="37">
        <f t="shared" si="8"/>
        <v>67181</v>
      </c>
      <c r="Z26" s="13"/>
      <c r="AA26" s="1"/>
      <c r="AB26" s="70" t="s">
        <v>98</v>
      </c>
      <c r="AC26" s="95">
        <v>45959</v>
      </c>
      <c r="AD26" s="16" t="s">
        <v>505</v>
      </c>
      <c r="AE26" s="16"/>
      <c r="AF26" s="15">
        <v>4517</v>
      </c>
      <c r="AG26" s="1"/>
      <c r="AH26" s="1"/>
      <c r="AI26" s="70" t="s">
        <v>67</v>
      </c>
      <c r="AJ26" s="70" t="s">
        <v>645</v>
      </c>
      <c r="AK26" s="70" t="s">
        <v>189</v>
      </c>
      <c r="AL26" s="70">
        <v>14320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 t="s">
        <v>891</v>
      </c>
      <c r="S27" s="1" t="s">
        <v>892</v>
      </c>
      <c r="T27" s="5">
        <v>30517</v>
      </c>
      <c r="U27" s="1"/>
      <c r="V27" s="12"/>
      <c r="W27" s="40"/>
      <c r="X27" s="40"/>
      <c r="Y27" s="37">
        <f t="shared" si="8"/>
        <v>30517</v>
      </c>
      <c r="Z27" s="13"/>
      <c r="AA27" s="1"/>
      <c r="AB27" s="70" t="s">
        <v>98</v>
      </c>
      <c r="AC27" s="95">
        <v>45959</v>
      </c>
      <c r="AD27" s="16" t="s">
        <v>862</v>
      </c>
      <c r="AE27" s="16"/>
      <c r="AF27" s="15">
        <v>3000</v>
      </c>
      <c r="AG27" s="1"/>
      <c r="AH27" s="1"/>
      <c r="AI27" s="1"/>
      <c r="AJ27" s="1"/>
      <c r="AK27" s="1"/>
      <c r="AL27" s="62"/>
    </row>
    <row r="28" spans="2:38" ht="15.75" thickBot="1">
      <c r="B28" s="114" t="s">
        <v>12</v>
      </c>
      <c r="C28" s="115"/>
      <c r="D28" s="9">
        <f>+SUM(D16:D27)</f>
        <v>60270</v>
      </c>
      <c r="E28" s="1"/>
      <c r="F28" s="114" t="s">
        <v>12</v>
      </c>
      <c r="G28" s="115"/>
      <c r="H28" s="9">
        <f>+SUM(H16:H27)</f>
        <v>111190</v>
      </c>
      <c r="I28" s="1"/>
      <c r="J28" s="114" t="s">
        <v>12</v>
      </c>
      <c r="K28" s="115"/>
      <c r="L28" s="9">
        <f>+SUM(L16:L27)</f>
        <v>90259</v>
      </c>
      <c r="M28" s="1"/>
      <c r="N28" s="114" t="s">
        <v>12</v>
      </c>
      <c r="O28" s="115"/>
      <c r="P28" s="9">
        <f>+SUM(P16:P27)</f>
        <v>76730</v>
      </c>
      <c r="Q28" s="1"/>
      <c r="R28" s="114" t="s">
        <v>12</v>
      </c>
      <c r="S28" s="115"/>
      <c r="T28" s="9">
        <f>+SUM(T16:T27)</f>
        <v>397826</v>
      </c>
      <c r="U28" s="1"/>
      <c r="V28" s="12"/>
      <c r="W28" s="114" t="s">
        <v>12</v>
      </c>
      <c r="X28" s="115"/>
      <c r="Y28" s="9">
        <f>+SUM(Y16:Y27)</f>
        <v>736275</v>
      </c>
      <c r="Z28" s="13"/>
      <c r="AA28" s="1"/>
      <c r="AB28" s="70" t="s">
        <v>98</v>
      </c>
      <c r="AC28" s="95">
        <v>45959</v>
      </c>
      <c r="AD28" s="16" t="s">
        <v>863</v>
      </c>
      <c r="AE28" s="16"/>
      <c r="AF28" s="15">
        <v>4581</v>
      </c>
      <c r="AG28" s="1"/>
      <c r="AH28" s="1"/>
      <c r="AI28" s="1"/>
      <c r="AJ28" s="1"/>
      <c r="AK28" s="1"/>
      <c r="AL28" s="62"/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70" t="s">
        <v>98</v>
      </c>
      <c r="AC29" s="95">
        <v>45959</v>
      </c>
      <c r="AD29" s="16" t="s">
        <v>865</v>
      </c>
      <c r="AE29" s="16"/>
      <c r="AF29" s="15">
        <v>440</v>
      </c>
      <c r="AG29" s="1"/>
      <c r="AH29" s="1"/>
      <c r="AI29" s="1"/>
      <c r="AJ29" s="1"/>
      <c r="AK29" s="1"/>
      <c r="AL29" s="62"/>
    </row>
    <row r="30" spans="2:38" ht="15.75" thickBot="1">
      <c r="B30" s="116" t="s">
        <v>40</v>
      </c>
      <c r="C30" s="116"/>
      <c r="D30" s="7">
        <f>+D28-D15</f>
        <v>672</v>
      </c>
      <c r="E30" s="1"/>
      <c r="F30" s="116" t="s">
        <v>40</v>
      </c>
      <c r="G30" s="116"/>
      <c r="H30" s="7">
        <f>+H28-H15</f>
        <v>353.17999999999302</v>
      </c>
      <c r="I30" s="1"/>
      <c r="J30" s="116" t="s">
        <v>40</v>
      </c>
      <c r="K30" s="116"/>
      <c r="L30" s="7">
        <f>+L28-L15</f>
        <v>5634</v>
      </c>
      <c r="M30" s="1"/>
      <c r="N30" s="116" t="s">
        <v>40</v>
      </c>
      <c r="O30" s="116"/>
      <c r="P30" s="7">
        <f>+P28-P15</f>
        <v>10</v>
      </c>
      <c r="Q30" s="1"/>
      <c r="R30" s="116" t="s">
        <v>40</v>
      </c>
      <c r="S30" s="116"/>
      <c r="T30" s="7">
        <f>+T28-T15</f>
        <v>0</v>
      </c>
      <c r="U30" s="1"/>
      <c r="V30" s="12"/>
      <c r="W30" s="113" t="s">
        <v>40</v>
      </c>
      <c r="X30" s="113"/>
      <c r="Y30" s="41">
        <f>+Y28-Y15</f>
        <v>6669.1799999999348</v>
      </c>
      <c r="Z30" s="13"/>
      <c r="AA30" s="1"/>
      <c r="AB30" s="70" t="s">
        <v>98</v>
      </c>
      <c r="AC30" s="95">
        <v>45959</v>
      </c>
      <c r="AD30" s="16" t="s">
        <v>867</v>
      </c>
      <c r="AE30" s="16"/>
      <c r="AF30" s="15">
        <v>1712</v>
      </c>
      <c r="AG30" s="1"/>
      <c r="AH30" s="1"/>
      <c r="AI30" s="1"/>
      <c r="AJ30" s="1"/>
      <c r="AK30" s="1"/>
      <c r="AL30" s="62"/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70" t="s">
        <v>98</v>
      </c>
      <c r="AC31" s="95">
        <v>45959</v>
      </c>
      <c r="AD31" s="16" t="s">
        <v>869</v>
      </c>
      <c r="AE31" s="16"/>
      <c r="AF31" s="15">
        <v>4513</v>
      </c>
      <c r="AG31" s="1"/>
      <c r="AH31" s="1"/>
      <c r="AI31" s="1"/>
      <c r="AJ31" s="1"/>
      <c r="AK31" s="1"/>
      <c r="AL31" s="1"/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70" t="s">
        <v>881</v>
      </c>
      <c r="AC32" s="95">
        <v>45957</v>
      </c>
      <c r="AD32" s="107" t="s">
        <v>783</v>
      </c>
      <c r="AE32" s="16"/>
      <c r="AF32" s="106">
        <v>9626</v>
      </c>
      <c r="AG32" s="1"/>
      <c r="AH32" s="1"/>
      <c r="AI32" s="1"/>
      <c r="AJ32" s="1"/>
      <c r="AK32" s="1"/>
      <c r="AL32" s="1"/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70" t="s">
        <v>100</v>
      </c>
      <c r="AC33" s="77">
        <v>45939</v>
      </c>
      <c r="AD33" s="70" t="s">
        <v>624</v>
      </c>
      <c r="AE33" s="70" t="s">
        <v>375</v>
      </c>
      <c r="AF33" s="106">
        <v>25000</v>
      </c>
      <c r="AG33" s="1"/>
      <c r="AH33" s="1"/>
      <c r="AI33" s="1"/>
      <c r="AJ33" s="1"/>
      <c r="AK33" s="1"/>
      <c r="AL33" s="1"/>
    </row>
    <row r="34" spans="2:38">
      <c r="B34" s="10" t="s">
        <v>41</v>
      </c>
      <c r="C34" s="11"/>
      <c r="D34" s="21"/>
      <c r="E34" s="1"/>
      <c r="F34" s="10" t="s">
        <v>41</v>
      </c>
      <c r="G34" s="11"/>
      <c r="H34" s="21"/>
      <c r="I34" s="1"/>
      <c r="J34" s="10" t="s">
        <v>41</v>
      </c>
      <c r="K34" s="11"/>
      <c r="L34" s="21"/>
      <c r="M34" s="1"/>
      <c r="N34" s="10" t="s">
        <v>41</v>
      </c>
      <c r="O34" s="11"/>
      <c r="P34" s="21"/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0</v>
      </c>
      <c r="Z34" s="1"/>
      <c r="AA34" s="1"/>
      <c r="AB34" s="70" t="s">
        <v>882</v>
      </c>
      <c r="AC34" s="99">
        <v>45953</v>
      </c>
      <c r="AD34" s="16" t="s">
        <v>167</v>
      </c>
      <c r="AE34" s="16"/>
      <c r="AF34" s="106">
        <v>33080</v>
      </c>
      <c r="AG34" s="1"/>
      <c r="AH34" s="1"/>
      <c r="AI34" s="1"/>
      <c r="AJ34" s="1"/>
      <c r="AK34" s="1"/>
      <c r="AL34" s="1"/>
    </row>
    <row r="35" spans="2:38">
      <c r="B35" s="12" t="s">
        <v>42</v>
      </c>
      <c r="C35" s="16"/>
      <c r="D35" s="22"/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/>
      <c r="Q35" s="1"/>
      <c r="R35" s="12" t="s">
        <v>904</v>
      </c>
      <c r="S35" s="16"/>
      <c r="T35" s="22">
        <v>-5908</v>
      </c>
      <c r="U35" s="1"/>
      <c r="V35" s="1"/>
      <c r="W35" s="45" t="s">
        <v>42</v>
      </c>
      <c r="X35" s="40"/>
      <c r="Y35" s="46">
        <f t="shared" ref="Y35:Y36" si="9">+D35+H35+L35+P35+T35</f>
        <v>-5908</v>
      </c>
      <c r="Z35" s="1"/>
      <c r="AA35" s="1"/>
      <c r="AB35" s="70" t="s">
        <v>883</v>
      </c>
      <c r="AC35" s="99">
        <v>45953</v>
      </c>
      <c r="AD35" s="16" t="s">
        <v>706</v>
      </c>
      <c r="AE35" s="16"/>
      <c r="AF35" s="106">
        <v>20133</v>
      </c>
      <c r="AG35" s="1"/>
      <c r="AH35" s="1"/>
      <c r="AI35" s="1"/>
      <c r="AJ35" s="1"/>
      <c r="AK35" s="1"/>
      <c r="AL35" s="1"/>
    </row>
    <row r="36" spans="2:38">
      <c r="B36" s="12" t="s">
        <v>44</v>
      </c>
      <c r="C36" s="16"/>
      <c r="D36" s="22">
        <v>-672</v>
      </c>
      <c r="E36" s="1"/>
      <c r="F36" s="12" t="s">
        <v>44</v>
      </c>
      <c r="G36" s="16"/>
      <c r="H36" s="22">
        <v>-353</v>
      </c>
      <c r="I36" s="1"/>
      <c r="J36" s="12" t="s">
        <v>44</v>
      </c>
      <c r="K36" s="16"/>
      <c r="L36" s="22">
        <v>-5634</v>
      </c>
      <c r="M36" s="1"/>
      <c r="N36" s="12" t="s">
        <v>44</v>
      </c>
      <c r="O36" s="16"/>
      <c r="P36" s="22">
        <v>-10</v>
      </c>
      <c r="Q36" s="1"/>
      <c r="R36" s="12" t="s">
        <v>42</v>
      </c>
      <c r="S36" s="16"/>
      <c r="T36" s="22">
        <v>1402</v>
      </c>
      <c r="U36" s="1"/>
      <c r="V36" s="1"/>
      <c r="W36" s="45" t="s">
        <v>43</v>
      </c>
      <c r="X36" s="40"/>
      <c r="Y36" s="46">
        <f t="shared" si="9"/>
        <v>-5267</v>
      </c>
      <c r="Z36" s="1"/>
      <c r="AA36" s="1"/>
      <c r="AB36" s="70" t="s">
        <v>885</v>
      </c>
      <c r="AC36" s="96">
        <v>45954</v>
      </c>
      <c r="AD36" s="16" t="s">
        <v>157</v>
      </c>
      <c r="AE36" s="16"/>
      <c r="AF36" s="106">
        <v>26000</v>
      </c>
      <c r="AG36" s="1"/>
      <c r="AH36" s="1"/>
      <c r="AI36" s="1"/>
      <c r="AJ36" s="1"/>
      <c r="AK36" s="1"/>
      <c r="AL36" s="1"/>
    </row>
    <row r="37" spans="2:38" ht="15.75" thickBot="1">
      <c r="B37" s="12" t="s">
        <v>18</v>
      </c>
      <c r="C37" s="16"/>
      <c r="D37" s="22">
        <f>+SUM(D34:D36)</f>
        <v>-672</v>
      </c>
      <c r="E37" s="1"/>
      <c r="F37" s="12" t="s">
        <v>18</v>
      </c>
      <c r="G37" s="16"/>
      <c r="H37" s="22">
        <f>+SUM(H34:H36)</f>
        <v>-353</v>
      </c>
      <c r="I37" s="1"/>
      <c r="J37" s="12" t="s">
        <v>18</v>
      </c>
      <c r="K37" s="16"/>
      <c r="L37" s="22">
        <f>+SUM(L34:L36)</f>
        <v>-5634</v>
      </c>
      <c r="M37" s="1"/>
      <c r="N37" s="12" t="s">
        <v>18</v>
      </c>
      <c r="O37" s="16"/>
      <c r="P37" s="22">
        <f>+SUM(P34:P36)</f>
        <v>-10</v>
      </c>
      <c r="Q37" s="1"/>
      <c r="R37" s="12" t="s">
        <v>18</v>
      </c>
      <c r="S37" s="16"/>
      <c r="T37" s="22">
        <f>+SUM(T34:T36)</f>
        <v>-4506</v>
      </c>
      <c r="U37" s="1"/>
      <c r="V37" s="1"/>
      <c r="W37" s="33" t="s">
        <v>18</v>
      </c>
      <c r="X37" s="34"/>
      <c r="Y37" s="35">
        <f>+SUM(Y34:Y36)</f>
        <v>-11175</v>
      </c>
      <c r="Z37" s="1"/>
      <c r="AA37" s="1"/>
      <c r="AB37" s="70" t="s">
        <v>886</v>
      </c>
      <c r="AC37" s="96">
        <v>45954</v>
      </c>
      <c r="AD37" s="16" t="s">
        <v>157</v>
      </c>
      <c r="AE37" s="16"/>
      <c r="AF37" s="106">
        <v>44000</v>
      </c>
      <c r="AG37" s="1"/>
      <c r="AH37" s="1"/>
      <c r="AI37" s="60" t="s">
        <v>39</v>
      </c>
      <c r="AJ37" s="60"/>
      <c r="AK37" s="60"/>
      <c r="AL37" s="72">
        <f>+SUM(AL23:AL36)</f>
        <v>31753</v>
      </c>
    </row>
    <row r="38" spans="2:38" ht="16.5" thickTop="1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0.17999999999301508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-4506</v>
      </c>
      <c r="U38" s="1"/>
      <c r="V38" s="1"/>
      <c r="W38" s="23" t="s">
        <v>45</v>
      </c>
      <c r="X38" s="24"/>
      <c r="Y38" s="25">
        <f>+Y30+Y37</f>
        <v>-4505.8200000000652</v>
      </c>
      <c r="Z38" s="1"/>
      <c r="AA38" s="1"/>
      <c r="AB38" s="70" t="s">
        <v>887</v>
      </c>
      <c r="AC38" s="99">
        <v>45953</v>
      </c>
      <c r="AD38" s="16" t="s">
        <v>699</v>
      </c>
      <c r="AE38" s="16"/>
      <c r="AF38" s="106">
        <v>17680</v>
      </c>
      <c r="AG38" s="1"/>
      <c r="AH38" s="1"/>
      <c r="AI38" s="1"/>
      <c r="AJ38" s="1"/>
      <c r="AK38" s="1"/>
      <c r="AL38" s="1"/>
    </row>
    <row r="39" spans="2:38">
      <c r="AB39" s="70" t="s">
        <v>893</v>
      </c>
      <c r="AC39" s="99">
        <v>45948</v>
      </c>
      <c r="AD39" s="20" t="s">
        <v>590</v>
      </c>
      <c r="AE39" s="16"/>
      <c r="AF39" s="106">
        <v>10000</v>
      </c>
    </row>
    <row r="44" spans="2:38" ht="15.75" thickBot="1">
      <c r="AB44" s="79" t="s">
        <v>39</v>
      </c>
      <c r="AC44" s="79"/>
      <c r="AD44" s="79"/>
      <c r="AE44" s="79"/>
      <c r="AF44" s="80">
        <f>+SUM(AF23:AF43)</f>
        <v>226482</v>
      </c>
    </row>
    <row r="45" spans="2:38" ht="15.75" thickTop="1"/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B1:AL46"/>
  <sheetViews>
    <sheetView topLeftCell="D1" zoomScale="80" zoomScaleNormal="80" workbookViewId="0">
      <selection activeCell="H34" sqref="H34"/>
    </sheetView>
  </sheetViews>
  <sheetFormatPr defaultRowHeight="15"/>
  <cols>
    <col min="4" max="4" width="9.5703125" customWidth="1"/>
    <col min="5" max="5" width="1.140625" customWidth="1"/>
    <col min="6" max="6" width="10" customWidth="1"/>
    <col min="8" max="8" width="9.5703125" bestFit="1" customWidth="1"/>
    <col min="9" max="9" width="1.5703125" customWidth="1"/>
    <col min="13" max="13" width="1.140625" customWidth="1"/>
    <col min="17" max="17" width="1" customWidth="1"/>
    <col min="20" max="20" width="12.140625" bestFit="1" customWidth="1"/>
    <col min="21" max="21" width="1" customWidth="1"/>
    <col min="22" max="22" width="1.42578125" customWidth="1"/>
    <col min="25" max="25" width="11.140625" bestFit="1" customWidth="1"/>
    <col min="26" max="26" width="1.140625" customWidth="1"/>
    <col min="27" max="27" width="1.28515625" customWidth="1"/>
    <col min="28" max="28" width="15.28515625" bestFit="1" customWidth="1"/>
    <col min="29" max="29" width="10.5703125" bestFit="1" customWidth="1"/>
    <col min="31" max="31" width="12.28515625" customWidth="1"/>
    <col min="33" max="33" width="9.140625" customWidth="1"/>
    <col min="34" max="34" width="1.42578125" customWidth="1"/>
    <col min="37" max="37" width="19.42578125" bestFit="1" customWidth="1"/>
  </cols>
  <sheetData>
    <row r="1" spans="2:38">
      <c r="AD1" s="1" t="s">
        <v>941</v>
      </c>
      <c r="AE1" s="62">
        <v>495870</v>
      </c>
    </row>
    <row r="2" spans="2:38" ht="15.75" thickBot="1">
      <c r="AD2" s="1" t="s">
        <v>940</v>
      </c>
      <c r="AE2" s="62">
        <v>734100</v>
      </c>
    </row>
    <row r="3" spans="2:38">
      <c r="B3" s="111" t="s">
        <v>127</v>
      </c>
      <c r="C3" s="111"/>
      <c r="D3" s="111"/>
      <c r="E3" s="1"/>
      <c r="F3" s="111" t="s">
        <v>1</v>
      </c>
      <c r="G3" s="111"/>
      <c r="H3" s="111"/>
      <c r="I3" s="1"/>
      <c r="J3" s="111" t="s">
        <v>2</v>
      </c>
      <c r="K3" s="111"/>
      <c r="L3" s="111"/>
      <c r="M3" s="1"/>
      <c r="N3" s="111" t="s">
        <v>3</v>
      </c>
      <c r="O3" s="111"/>
      <c r="P3" s="111"/>
      <c r="Q3" s="1"/>
      <c r="R3" s="111" t="s">
        <v>4</v>
      </c>
      <c r="S3" s="111"/>
      <c r="T3" s="111"/>
      <c r="U3" s="1"/>
      <c r="V3" s="10"/>
      <c r="W3" s="112" t="s">
        <v>5</v>
      </c>
      <c r="X3" s="112"/>
      <c r="Y3" s="112"/>
      <c r="Z3" s="65"/>
      <c r="AA3" s="1"/>
      <c r="AB3" s="1"/>
      <c r="AC3" s="62"/>
      <c r="AD3" s="1" t="s">
        <v>939</v>
      </c>
      <c r="AE3" s="62">
        <v>1994215</v>
      </c>
      <c r="AF3" s="1"/>
      <c r="AG3" s="1"/>
      <c r="AH3" s="1"/>
      <c r="AI3" s="1"/>
      <c r="AJ3" s="1"/>
      <c r="AK3" s="1"/>
      <c r="AL3" s="1"/>
    </row>
    <row r="4" spans="2:38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62"/>
      <c r="AD4" s="1" t="s">
        <v>47</v>
      </c>
      <c r="AE4" s="62">
        <v>3967259</v>
      </c>
      <c r="AF4" s="1"/>
      <c r="AG4" s="1"/>
      <c r="AH4" s="1"/>
      <c r="AI4" s="1"/>
      <c r="AJ4" s="1"/>
      <c r="AK4" s="1"/>
      <c r="AL4" s="1"/>
    </row>
    <row r="5" spans="2:38" ht="15.75" thickBot="1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67" t="s">
        <v>9</v>
      </c>
      <c r="AC5" s="66"/>
      <c r="AD5" s="66"/>
      <c r="AE5" s="66"/>
      <c r="AF5" s="66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>
      <c r="B6" s="2">
        <v>10</v>
      </c>
      <c r="C6" s="2">
        <v>22</v>
      </c>
      <c r="D6" s="36">
        <f>+C6*B6</f>
        <v>220</v>
      </c>
      <c r="E6" s="1"/>
      <c r="F6" s="2">
        <v>10</v>
      </c>
      <c r="G6" s="2">
        <v>2</v>
      </c>
      <c r="H6" s="36">
        <f>+G6*F6</f>
        <v>20</v>
      </c>
      <c r="I6" s="1"/>
      <c r="J6" s="2">
        <v>10</v>
      </c>
      <c r="K6" s="2">
        <v>47</v>
      </c>
      <c r="L6" s="36">
        <f>+K6*J6</f>
        <v>470</v>
      </c>
      <c r="M6" s="1"/>
      <c r="N6" s="2">
        <v>10</v>
      </c>
      <c r="O6" s="2">
        <v>8</v>
      </c>
      <c r="P6" s="36">
        <f>+O6*N6</f>
        <v>80</v>
      </c>
      <c r="Q6" s="1"/>
      <c r="R6" s="2">
        <v>10</v>
      </c>
      <c r="S6" s="2">
        <v>120</v>
      </c>
      <c r="T6" s="36">
        <f>+S6*R6</f>
        <v>1200</v>
      </c>
      <c r="U6" s="1"/>
      <c r="V6" s="12"/>
      <c r="W6" s="39">
        <v>10</v>
      </c>
      <c r="X6" s="39">
        <f>+C6+G6+K6+O6+S6</f>
        <v>199</v>
      </c>
      <c r="Y6" s="37">
        <f>+D6+H6+L6+P6+T6</f>
        <v>1990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5</v>
      </c>
      <c r="AK6" s="36">
        <f t="shared" ref="AK6:AK13" si="0">+AJ6*AI6</f>
        <v>5</v>
      </c>
      <c r="AL6" s="26"/>
    </row>
    <row r="7" spans="2:38">
      <c r="B7" s="2">
        <v>20</v>
      </c>
      <c r="C7" s="2">
        <v>5</v>
      </c>
      <c r="D7" s="36">
        <f t="shared" ref="D7:D12" si="1">+C7*B7</f>
        <v>100</v>
      </c>
      <c r="E7" s="1"/>
      <c r="F7" s="2">
        <v>20</v>
      </c>
      <c r="G7" s="2"/>
      <c r="H7" s="36">
        <f t="shared" ref="H7:H12" si="2">+G7*F7</f>
        <v>0</v>
      </c>
      <c r="I7" s="1"/>
      <c r="J7" s="2">
        <v>20</v>
      </c>
      <c r="K7" s="2">
        <v>8</v>
      </c>
      <c r="L7" s="36">
        <f t="shared" ref="L7:L12" si="3">+K7*J7</f>
        <v>160</v>
      </c>
      <c r="M7" s="1"/>
      <c r="N7" s="2">
        <v>20</v>
      </c>
      <c r="O7" s="2"/>
      <c r="P7" s="36">
        <f t="shared" ref="P7:P12" si="4">+O7*N7</f>
        <v>0</v>
      </c>
      <c r="Q7" s="1"/>
      <c r="R7" s="2">
        <v>20</v>
      </c>
      <c r="S7" s="2">
        <v>42</v>
      </c>
      <c r="T7" s="36">
        <f t="shared" ref="T7:T12" si="5">+S7*R7</f>
        <v>840</v>
      </c>
      <c r="U7" s="1"/>
      <c r="V7" s="12"/>
      <c r="W7" s="39">
        <v>20</v>
      </c>
      <c r="X7" s="39">
        <f>+C7+G7+K7+O7+S7</f>
        <v>55</v>
      </c>
      <c r="Y7" s="37">
        <f t="shared" ref="Y7:Y12" si="6">+D7+H7+L7+P7+T7</f>
        <v>1100</v>
      </c>
      <c r="Z7" s="13"/>
      <c r="AA7" s="1"/>
      <c r="AB7" s="56" t="s">
        <v>10</v>
      </c>
      <c r="AC7" s="57">
        <f>Y13</f>
        <v>280390</v>
      </c>
      <c r="AD7" s="26"/>
      <c r="AE7" s="26"/>
      <c r="AF7" s="26"/>
      <c r="AG7" s="26"/>
      <c r="AH7" s="1"/>
      <c r="AI7" s="2">
        <v>10</v>
      </c>
      <c r="AJ7" s="2">
        <v>227</v>
      </c>
      <c r="AK7" s="36">
        <f t="shared" si="0"/>
        <v>2270</v>
      </c>
      <c r="AL7" s="1"/>
    </row>
    <row r="8" spans="2:38">
      <c r="B8" s="2">
        <v>50</v>
      </c>
      <c r="C8" s="2">
        <v>59</v>
      </c>
      <c r="D8" s="36">
        <f t="shared" si="1"/>
        <v>2950</v>
      </c>
      <c r="E8" s="1"/>
      <c r="F8" s="2">
        <v>50</v>
      </c>
      <c r="G8" s="2">
        <v>13</v>
      </c>
      <c r="H8" s="36">
        <f t="shared" si="2"/>
        <v>650</v>
      </c>
      <c r="I8" s="1"/>
      <c r="J8" s="2">
        <v>50</v>
      </c>
      <c r="K8" s="2">
        <v>36</v>
      </c>
      <c r="L8" s="36">
        <f t="shared" si="3"/>
        <v>1800</v>
      </c>
      <c r="M8" s="1"/>
      <c r="N8" s="2">
        <v>50</v>
      </c>
      <c r="O8" s="2">
        <v>5</v>
      </c>
      <c r="P8" s="36">
        <f t="shared" si="4"/>
        <v>250</v>
      </c>
      <c r="Q8" s="1"/>
      <c r="R8" s="2">
        <v>50</v>
      </c>
      <c r="S8" s="2">
        <v>103</v>
      </c>
      <c r="T8" s="36">
        <f t="shared" si="5"/>
        <v>5150</v>
      </c>
      <c r="U8" s="1"/>
      <c r="V8" s="12"/>
      <c r="W8" s="39">
        <v>50</v>
      </c>
      <c r="X8" s="39">
        <f t="shared" ref="X8:X12" si="7">+C8+G8+K8+O8+S8</f>
        <v>216</v>
      </c>
      <c r="Y8" s="37">
        <f t="shared" si="6"/>
        <v>10800</v>
      </c>
      <c r="Z8" s="13"/>
      <c r="AA8" s="1"/>
      <c r="AB8" s="53" t="s">
        <v>11</v>
      </c>
      <c r="AC8" s="53">
        <f>+AF37</f>
        <v>26505</v>
      </c>
      <c r="AD8" s="1"/>
      <c r="AE8" s="1"/>
      <c r="AF8" s="1"/>
      <c r="AG8" s="1"/>
      <c r="AH8" s="1"/>
      <c r="AI8" s="2">
        <v>20</v>
      </c>
      <c r="AJ8" s="2">
        <v>64</v>
      </c>
      <c r="AK8" s="36">
        <f t="shared" si="0"/>
        <v>1280</v>
      </c>
      <c r="AL8" s="1"/>
    </row>
    <row r="9" spans="2:38" ht="15.75" thickBot="1">
      <c r="B9" s="2">
        <v>100</v>
      </c>
      <c r="C9" s="2">
        <v>31</v>
      </c>
      <c r="D9" s="36">
        <f t="shared" si="1"/>
        <v>3100</v>
      </c>
      <c r="E9" s="1"/>
      <c r="F9" s="2">
        <v>100</v>
      </c>
      <c r="G9" s="2">
        <v>9</v>
      </c>
      <c r="H9" s="36">
        <f t="shared" si="2"/>
        <v>900</v>
      </c>
      <c r="I9" s="1"/>
      <c r="J9" s="2">
        <v>100</v>
      </c>
      <c r="K9" s="2">
        <v>39</v>
      </c>
      <c r="L9" s="36">
        <f t="shared" si="3"/>
        <v>3900</v>
      </c>
      <c r="M9" s="1"/>
      <c r="N9" s="2">
        <v>100</v>
      </c>
      <c r="O9" s="2">
        <v>80</v>
      </c>
      <c r="P9" s="36">
        <f t="shared" si="4"/>
        <v>8000</v>
      </c>
      <c r="Q9" s="1"/>
      <c r="R9" s="2">
        <v>100</v>
      </c>
      <c r="S9" s="2">
        <v>6</v>
      </c>
      <c r="T9" s="36">
        <f t="shared" si="5"/>
        <v>600</v>
      </c>
      <c r="U9" s="1"/>
      <c r="V9" s="12"/>
      <c r="W9" s="39">
        <v>100</v>
      </c>
      <c r="X9" s="39">
        <f t="shared" si="7"/>
        <v>165</v>
      </c>
      <c r="Y9" s="37">
        <f t="shared" si="6"/>
        <v>16500</v>
      </c>
      <c r="Z9" s="13"/>
      <c r="AA9" s="1"/>
      <c r="AB9" s="58" t="s">
        <v>12</v>
      </c>
      <c r="AC9" s="59">
        <f>SUM(AC7:AC8)</f>
        <v>306895</v>
      </c>
      <c r="AD9" s="1"/>
      <c r="AE9" s="1"/>
      <c r="AF9" s="1"/>
      <c r="AG9" s="1"/>
      <c r="AH9" s="1"/>
      <c r="AI9" s="2">
        <v>50</v>
      </c>
      <c r="AJ9" s="2">
        <v>217</v>
      </c>
      <c r="AK9" s="36">
        <f t="shared" si="0"/>
        <v>10850</v>
      </c>
      <c r="AL9" s="1"/>
    </row>
    <row r="10" spans="2:38">
      <c r="B10" s="2">
        <v>500</v>
      </c>
      <c r="C10" s="2">
        <v>30</v>
      </c>
      <c r="D10" s="36">
        <f t="shared" si="1"/>
        <v>15000</v>
      </c>
      <c r="E10" s="1"/>
      <c r="F10" s="2">
        <v>500</v>
      </c>
      <c r="G10" s="2">
        <v>29</v>
      </c>
      <c r="H10" s="36">
        <f t="shared" si="2"/>
        <v>14500</v>
      </c>
      <c r="I10" s="1"/>
      <c r="J10" s="2">
        <v>500</v>
      </c>
      <c r="K10" s="2">
        <v>31</v>
      </c>
      <c r="L10" s="36">
        <f t="shared" si="3"/>
        <v>15500</v>
      </c>
      <c r="M10" s="1"/>
      <c r="N10" s="2">
        <v>500</v>
      </c>
      <c r="O10" s="2">
        <v>21</v>
      </c>
      <c r="P10" s="36">
        <f t="shared" si="4"/>
        <v>10500</v>
      </c>
      <c r="Q10" s="1"/>
      <c r="R10" s="2">
        <v>500</v>
      </c>
      <c r="S10" s="2">
        <v>1</v>
      </c>
      <c r="T10" s="36">
        <f t="shared" si="5"/>
        <v>500</v>
      </c>
      <c r="U10" s="1"/>
      <c r="V10" s="12"/>
      <c r="W10" s="39">
        <v>500</v>
      </c>
      <c r="X10" s="39">
        <f t="shared" si="7"/>
        <v>112</v>
      </c>
      <c r="Y10" s="37">
        <f t="shared" si="6"/>
        <v>56000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195</v>
      </c>
      <c r="AK10" s="36">
        <f t="shared" si="0"/>
        <v>19500</v>
      </c>
      <c r="AL10" s="1"/>
    </row>
    <row r="11" spans="2:38">
      <c r="B11" s="2">
        <v>1000</v>
      </c>
      <c r="C11" s="2">
        <v>21</v>
      </c>
      <c r="D11" s="36">
        <f t="shared" si="1"/>
        <v>21000</v>
      </c>
      <c r="E11" s="1"/>
      <c r="F11" s="2">
        <v>1000</v>
      </c>
      <c r="G11" s="2">
        <v>50</v>
      </c>
      <c r="H11" s="36">
        <f t="shared" si="2"/>
        <v>50000</v>
      </c>
      <c r="I11" s="1"/>
      <c r="J11" s="2">
        <v>1000</v>
      </c>
      <c r="K11" s="2">
        <v>41</v>
      </c>
      <c r="L11" s="36">
        <f t="shared" si="3"/>
        <v>41000</v>
      </c>
      <c r="M11" s="1"/>
      <c r="N11" s="2">
        <v>1000</v>
      </c>
      <c r="O11" s="2">
        <v>19</v>
      </c>
      <c r="P11" s="36">
        <f t="shared" si="4"/>
        <v>19000</v>
      </c>
      <c r="Q11" s="1"/>
      <c r="R11" s="2">
        <v>1000</v>
      </c>
      <c r="S11" s="2">
        <v>3</v>
      </c>
      <c r="T11" s="36">
        <f t="shared" si="5"/>
        <v>3000</v>
      </c>
      <c r="U11" s="1"/>
      <c r="V11" s="12"/>
      <c r="W11" s="39">
        <v>1000</v>
      </c>
      <c r="X11" s="39">
        <f t="shared" si="7"/>
        <v>134</v>
      </c>
      <c r="Y11" s="37">
        <f t="shared" si="6"/>
        <v>134000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124</v>
      </c>
      <c r="AK11" s="36">
        <f t="shared" si="0"/>
        <v>62000</v>
      </c>
      <c r="AL11" s="1"/>
    </row>
    <row r="12" spans="2:38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5</v>
      </c>
      <c r="H12" s="36">
        <f t="shared" si="2"/>
        <v>25000</v>
      </c>
      <c r="I12" s="1"/>
      <c r="J12" s="2">
        <v>5000</v>
      </c>
      <c r="K12" s="2">
        <v>3</v>
      </c>
      <c r="L12" s="36">
        <f t="shared" si="3"/>
        <v>15000</v>
      </c>
      <c r="M12" s="1"/>
      <c r="N12" s="2">
        <v>5000</v>
      </c>
      <c r="O12" s="2">
        <v>3</v>
      </c>
      <c r="P12" s="36">
        <f t="shared" si="4"/>
        <v>15000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12</v>
      </c>
      <c r="Y12" s="37">
        <f t="shared" si="6"/>
        <v>60000</v>
      </c>
      <c r="Z12" s="13"/>
      <c r="AA12" s="1"/>
      <c r="AB12" s="1" t="s">
        <v>17</v>
      </c>
      <c r="AC12" s="5">
        <v>102350</v>
      </c>
      <c r="AD12" s="1">
        <v>994232</v>
      </c>
      <c r="AE12" s="52">
        <v>45668</v>
      </c>
      <c r="AF12" s="1" t="s">
        <v>110</v>
      </c>
      <c r="AG12" s="1"/>
      <c r="AH12" s="1"/>
      <c r="AI12" s="2">
        <v>1000</v>
      </c>
      <c r="AJ12" s="2"/>
      <c r="AK12" s="36">
        <f t="shared" si="0"/>
        <v>0</v>
      </c>
      <c r="AL12" s="1"/>
    </row>
    <row r="13" spans="2:38" ht="15.75" thickBot="1">
      <c r="B13" s="3" t="s">
        <v>18</v>
      </c>
      <c r="C13" s="3"/>
      <c r="D13" s="6">
        <f>+SUM(D5:D12)</f>
        <v>47370</v>
      </c>
      <c r="E13" s="1"/>
      <c r="F13" s="3" t="s">
        <v>18</v>
      </c>
      <c r="G13" s="3"/>
      <c r="H13" s="6">
        <f>+SUM(H5:H12)</f>
        <v>91070</v>
      </c>
      <c r="I13" s="1"/>
      <c r="J13" s="3" t="s">
        <v>18</v>
      </c>
      <c r="K13" s="3"/>
      <c r="L13" s="6">
        <f>+SUM(L5:L12)</f>
        <v>77830</v>
      </c>
      <c r="M13" s="1"/>
      <c r="N13" s="3" t="s">
        <v>18</v>
      </c>
      <c r="O13" s="3"/>
      <c r="P13" s="6">
        <f>+SUM(P5:P12)</f>
        <v>52830</v>
      </c>
      <c r="Q13" s="1"/>
      <c r="R13" s="3" t="s">
        <v>18</v>
      </c>
      <c r="S13" s="3"/>
      <c r="T13" s="6">
        <f>+SUM(T5:T12)</f>
        <v>11290</v>
      </c>
      <c r="U13" s="1"/>
      <c r="V13" s="12"/>
      <c r="W13" s="3" t="s">
        <v>18</v>
      </c>
      <c r="X13" s="3"/>
      <c r="Y13" s="6">
        <f>+SUM(Y5:Y12)</f>
        <v>280390</v>
      </c>
      <c r="Z13" s="13"/>
      <c r="AA13" s="1"/>
      <c r="AB13" s="1" t="s">
        <v>19</v>
      </c>
      <c r="AC13" s="5">
        <v>3555</v>
      </c>
      <c r="AD13" s="1"/>
      <c r="AE13" s="1"/>
      <c r="AF13" s="1"/>
      <c r="AG13" s="1"/>
      <c r="AH13" s="1"/>
      <c r="AI13" s="2">
        <v>5000</v>
      </c>
      <c r="AJ13" s="2">
        <v>2</v>
      </c>
      <c r="AK13" s="36">
        <f t="shared" si="0"/>
        <v>10000</v>
      </c>
      <c r="AL13" s="1"/>
    </row>
    <row r="14" spans="2:38" ht="15.75" thickBo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942</v>
      </c>
      <c r="AC14" s="5">
        <v>200000</v>
      </c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105905</v>
      </c>
      <c r="AL14" s="1"/>
    </row>
    <row r="15" spans="2:38" ht="15.75" thickBot="1">
      <c r="B15" s="109" t="s">
        <v>21</v>
      </c>
      <c r="C15" s="110"/>
      <c r="D15" s="8">
        <v>108494</v>
      </c>
      <c r="E15" s="30"/>
      <c r="F15" s="109" t="s">
        <v>21</v>
      </c>
      <c r="G15" s="110"/>
      <c r="H15" s="8">
        <v>117181</v>
      </c>
      <c r="I15" s="30"/>
      <c r="J15" s="109" t="s">
        <v>21</v>
      </c>
      <c r="K15" s="110"/>
      <c r="L15" s="8">
        <v>77815</v>
      </c>
      <c r="M15" s="30"/>
      <c r="N15" s="109" t="s">
        <v>21</v>
      </c>
      <c r="O15" s="110"/>
      <c r="P15" s="8">
        <v>73354</v>
      </c>
      <c r="Q15" s="30"/>
      <c r="R15" s="109" t="s">
        <v>21</v>
      </c>
      <c r="S15" s="110"/>
      <c r="T15" s="8">
        <v>664863</v>
      </c>
      <c r="U15" s="30"/>
      <c r="V15" s="31"/>
      <c r="W15" s="109" t="s">
        <v>21</v>
      </c>
      <c r="X15" s="110"/>
      <c r="Y15" s="8">
        <f>+D15+H15+L15+P15+T15</f>
        <v>1041707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>
      <c r="B16" s="1" t="s">
        <v>10</v>
      </c>
      <c r="C16" s="1"/>
      <c r="D16" s="5">
        <f>+D13</f>
        <v>47370</v>
      </c>
      <c r="E16" s="1"/>
      <c r="F16" s="1" t="s">
        <v>10</v>
      </c>
      <c r="G16" s="1"/>
      <c r="H16" s="5">
        <f>+H13</f>
        <v>91070</v>
      </c>
      <c r="I16" s="1"/>
      <c r="J16" s="1" t="s">
        <v>10</v>
      </c>
      <c r="K16" s="1"/>
      <c r="L16" s="5">
        <f>+L13</f>
        <v>77830</v>
      </c>
      <c r="M16" s="1"/>
      <c r="N16" s="1" t="s">
        <v>10</v>
      </c>
      <c r="O16" s="1"/>
      <c r="P16" s="5">
        <f>+P13</f>
        <v>52830</v>
      </c>
      <c r="Q16" s="1"/>
      <c r="R16" s="1" t="s">
        <v>10</v>
      </c>
      <c r="S16" s="1"/>
      <c r="T16" s="5">
        <f>+T13</f>
        <v>11290</v>
      </c>
      <c r="U16" s="1"/>
      <c r="V16" s="12"/>
      <c r="W16" s="40" t="s">
        <v>10</v>
      </c>
      <c r="X16" s="40"/>
      <c r="Y16" s="37">
        <f>+D16+H16+L16+P16+T16</f>
        <v>280390</v>
      </c>
      <c r="Z16" s="13"/>
      <c r="AA16" s="1"/>
      <c r="AB16" s="101" t="s">
        <v>943</v>
      </c>
      <c r="AC16" s="100">
        <v>1000</v>
      </c>
      <c r="AD16" s="1"/>
      <c r="AE16" s="1"/>
      <c r="AF16" s="1"/>
      <c r="AG16" s="1"/>
      <c r="AH16" s="1"/>
      <c r="AI16" s="1"/>
      <c r="AJ16" s="1"/>
      <c r="AK16" s="1"/>
      <c r="AL16" s="1"/>
    </row>
    <row r="17" spans="2:38">
      <c r="B17" s="1" t="s">
        <v>17</v>
      </c>
      <c r="C17" s="1"/>
      <c r="D17" s="5">
        <v>30000</v>
      </c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30000</v>
      </c>
      <c r="Z17" s="13"/>
      <c r="AA17" s="1"/>
      <c r="AB17" s="48" t="s">
        <v>12</v>
      </c>
      <c r="AC17" s="49">
        <f>+SUM(AC12:AC16)</f>
        <v>306905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>
      <c r="B18" s="1" t="s">
        <v>913</v>
      </c>
      <c r="C18" s="1" t="s">
        <v>936</v>
      </c>
      <c r="D18" s="5">
        <v>11640</v>
      </c>
      <c r="E18" s="1"/>
      <c r="F18" s="1" t="s">
        <v>755</v>
      </c>
      <c r="G18" s="1" t="s">
        <v>912</v>
      </c>
      <c r="H18" s="5">
        <v>6239</v>
      </c>
      <c r="I18" s="1"/>
      <c r="J18" s="1" t="s">
        <v>24</v>
      </c>
      <c r="K18" s="1"/>
      <c r="L18" s="5"/>
      <c r="M18" s="1"/>
      <c r="N18" s="1" t="s">
        <v>755</v>
      </c>
      <c r="O18" s="1" t="s">
        <v>911</v>
      </c>
      <c r="P18" s="5">
        <v>6000</v>
      </c>
      <c r="Q18" s="1"/>
      <c r="R18" s="1" t="s">
        <v>894</v>
      </c>
      <c r="S18" s="1" t="s">
        <v>921</v>
      </c>
      <c r="T18" s="5">
        <v>47756</v>
      </c>
      <c r="U18" s="1"/>
      <c r="V18" s="12"/>
      <c r="W18" s="40" t="s">
        <v>24</v>
      </c>
      <c r="X18" s="40"/>
      <c r="Y18" s="37">
        <f t="shared" si="8"/>
        <v>71635</v>
      </c>
      <c r="Z18" s="13"/>
      <c r="AA18" s="1"/>
      <c r="AB18" s="50" t="s">
        <v>25</v>
      </c>
      <c r="AC18" s="51">
        <f>+AC17-AC9</f>
        <v>10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>
      <c r="B19" s="1" t="s">
        <v>855</v>
      </c>
      <c r="C19" s="1" t="s">
        <v>937</v>
      </c>
      <c r="D19" s="5">
        <v>4228</v>
      </c>
      <c r="E19" s="1"/>
      <c r="F19" s="1" t="s">
        <v>913</v>
      </c>
      <c r="G19" s="1" t="s">
        <v>914</v>
      </c>
      <c r="H19" s="5">
        <v>8549</v>
      </c>
      <c r="I19" s="1"/>
      <c r="J19" s="1" t="s">
        <v>27</v>
      </c>
      <c r="K19" s="1"/>
      <c r="L19" s="5"/>
      <c r="M19" s="1"/>
      <c r="N19" s="1" t="s">
        <v>27</v>
      </c>
      <c r="O19" s="1"/>
      <c r="P19" s="5"/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12777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>
      <c r="B23" s="1" t="s">
        <v>924</v>
      </c>
      <c r="C23" s="1" t="s">
        <v>925</v>
      </c>
      <c r="D23" s="5">
        <v>4233</v>
      </c>
      <c r="E23" s="1"/>
      <c r="F23" s="1" t="s">
        <v>36</v>
      </c>
      <c r="G23" s="1" t="s">
        <v>915</v>
      </c>
      <c r="H23" s="5">
        <v>2500</v>
      </c>
      <c r="I23" s="1"/>
      <c r="J23" s="1" t="s">
        <v>36</v>
      </c>
      <c r="K23" s="1"/>
      <c r="L23" s="5"/>
      <c r="M23" s="1"/>
      <c r="N23" s="1" t="s">
        <v>909</v>
      </c>
      <c r="O23" s="1" t="s">
        <v>910</v>
      </c>
      <c r="P23" s="5">
        <v>14527</v>
      </c>
      <c r="Q23" s="1"/>
      <c r="R23" s="1" t="s">
        <v>916</v>
      </c>
      <c r="S23" s="1" t="s">
        <v>917</v>
      </c>
      <c r="T23" s="5">
        <v>104355</v>
      </c>
      <c r="U23" s="1"/>
      <c r="V23" s="12"/>
      <c r="W23" s="40" t="s">
        <v>36</v>
      </c>
      <c r="X23" s="40"/>
      <c r="Y23" s="37">
        <f t="shared" si="8"/>
        <v>125615</v>
      </c>
      <c r="Z23" s="13"/>
      <c r="AA23" s="1"/>
      <c r="AB23" s="70" t="s">
        <v>605</v>
      </c>
      <c r="AC23" s="71">
        <v>45922</v>
      </c>
      <c r="AD23" s="70" t="s">
        <v>604</v>
      </c>
      <c r="AE23" s="70"/>
      <c r="AF23" s="70">
        <v>4595</v>
      </c>
      <c r="AG23" s="1"/>
      <c r="AH23" s="1"/>
      <c r="AI23" s="70" t="s">
        <v>100</v>
      </c>
      <c r="AJ23" s="70" t="s">
        <v>391</v>
      </c>
      <c r="AK23" s="70" t="s">
        <v>929</v>
      </c>
      <c r="AL23" s="74">
        <v>20500</v>
      </c>
    </row>
    <row r="24" spans="2:38">
      <c r="B24" s="1" t="s">
        <v>926</v>
      </c>
      <c r="C24" s="1" t="s">
        <v>494</v>
      </c>
      <c r="D24" s="5">
        <v>4808</v>
      </c>
      <c r="E24" s="1"/>
      <c r="F24" s="1" t="s">
        <v>922</v>
      </c>
      <c r="G24" s="1" t="s">
        <v>923</v>
      </c>
      <c r="H24" s="5">
        <v>7596</v>
      </c>
      <c r="I24" s="1"/>
      <c r="J24" s="1" t="s">
        <v>37</v>
      </c>
      <c r="K24" s="1"/>
      <c r="L24" s="5"/>
      <c r="M24" s="1"/>
      <c r="N24" s="1" t="s">
        <v>47</v>
      </c>
      <c r="O24" s="1"/>
      <c r="P24" s="5"/>
      <c r="Q24" s="1"/>
      <c r="R24" s="1" t="s">
        <v>918</v>
      </c>
      <c r="S24" s="1" t="s">
        <v>157</v>
      </c>
      <c r="T24" s="5">
        <v>104959</v>
      </c>
      <c r="U24" s="1"/>
      <c r="V24" s="12"/>
      <c r="W24" s="40" t="s">
        <v>37</v>
      </c>
      <c r="X24" s="40"/>
      <c r="Y24" s="37">
        <f t="shared" si="8"/>
        <v>117363</v>
      </c>
      <c r="Z24" s="13"/>
      <c r="AA24" s="1"/>
      <c r="AB24" s="16" t="s">
        <v>820</v>
      </c>
      <c r="AC24" s="99">
        <v>45950</v>
      </c>
      <c r="AD24" s="16" t="s">
        <v>319</v>
      </c>
      <c r="AE24" s="16"/>
      <c r="AF24" s="16">
        <v>16910</v>
      </c>
      <c r="AG24" s="1"/>
      <c r="AH24" s="1"/>
      <c r="AI24" s="70" t="s">
        <v>98</v>
      </c>
      <c r="AJ24" s="70" t="s">
        <v>533</v>
      </c>
      <c r="AK24" s="70" t="s">
        <v>189</v>
      </c>
      <c r="AL24" s="73">
        <v>22166</v>
      </c>
    </row>
    <row r="25" spans="2:38">
      <c r="B25" s="1" t="s">
        <v>927</v>
      </c>
      <c r="C25" s="1" t="s">
        <v>928</v>
      </c>
      <c r="D25" s="5">
        <v>6011</v>
      </c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47</v>
      </c>
      <c r="O25" s="1"/>
      <c r="P25" s="5"/>
      <c r="Q25" s="1"/>
      <c r="R25" s="1" t="s">
        <v>919</v>
      </c>
      <c r="S25" s="1" t="s">
        <v>157</v>
      </c>
      <c r="T25" s="5">
        <v>91002</v>
      </c>
      <c r="U25" s="1"/>
      <c r="V25" s="12"/>
      <c r="W25" s="40" t="s">
        <v>38</v>
      </c>
      <c r="X25" s="40"/>
      <c r="Y25" s="37">
        <f t="shared" si="8"/>
        <v>97013</v>
      </c>
      <c r="Z25" s="13"/>
      <c r="AA25" s="1"/>
      <c r="AB25" s="16" t="s">
        <v>100</v>
      </c>
      <c r="AC25" s="77">
        <v>45932</v>
      </c>
      <c r="AD25" s="70" t="s">
        <v>550</v>
      </c>
      <c r="AE25" s="70" t="s">
        <v>794</v>
      </c>
      <c r="AF25" s="16">
        <v>5000</v>
      </c>
      <c r="AG25" s="1"/>
      <c r="AH25" s="1"/>
      <c r="AI25" s="70" t="s">
        <v>67</v>
      </c>
      <c r="AJ25" s="70" t="s">
        <v>584</v>
      </c>
      <c r="AK25" s="70" t="s">
        <v>266</v>
      </c>
      <c r="AL25" s="74">
        <v>8196</v>
      </c>
    </row>
    <row r="26" spans="2:38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920</v>
      </c>
      <c r="S26" s="1" t="s">
        <v>550</v>
      </c>
      <c r="T26" s="5">
        <v>176272</v>
      </c>
      <c r="U26" s="1"/>
      <c r="V26" s="12"/>
      <c r="W26" s="40"/>
      <c r="X26" s="40"/>
      <c r="Y26" s="37">
        <f t="shared" si="8"/>
        <v>176272</v>
      </c>
      <c r="Z26" s="13"/>
      <c r="AA26" s="1"/>
      <c r="AB26" s="16"/>
      <c r="AC26" s="16"/>
      <c r="AD26" s="16"/>
      <c r="AE26" s="16"/>
      <c r="AF26" s="20"/>
      <c r="AG26" s="1"/>
      <c r="AH26" s="1"/>
      <c r="AI26" s="70" t="s">
        <v>100</v>
      </c>
      <c r="AJ26" s="70" t="s">
        <v>934</v>
      </c>
      <c r="AK26" s="70" t="s">
        <v>930</v>
      </c>
      <c r="AL26" s="74">
        <v>121000</v>
      </c>
    </row>
    <row r="27" spans="2:38" ht="15.75" thickBot="1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 t="s">
        <v>920</v>
      </c>
      <c r="S27" s="1" t="s">
        <v>205</v>
      </c>
      <c r="T27" s="5">
        <v>127815</v>
      </c>
      <c r="U27" s="1"/>
      <c r="V27" s="12"/>
      <c r="W27" s="40"/>
      <c r="X27" s="40"/>
      <c r="Y27" s="37">
        <f t="shared" si="8"/>
        <v>127815</v>
      </c>
      <c r="Z27" s="13"/>
      <c r="AA27" s="1"/>
      <c r="AB27" s="16"/>
      <c r="AC27" s="16"/>
      <c r="AD27" s="16"/>
      <c r="AE27" s="16"/>
      <c r="AF27" s="16"/>
      <c r="AG27" s="1"/>
      <c r="AH27" s="1"/>
      <c r="AI27" s="70" t="s">
        <v>98</v>
      </c>
      <c r="AJ27" s="70" t="s">
        <v>639</v>
      </c>
      <c r="AK27" s="70" t="s">
        <v>931</v>
      </c>
      <c r="AL27" s="73">
        <v>25420</v>
      </c>
    </row>
    <row r="28" spans="2:38" ht="15.75" thickBot="1">
      <c r="B28" s="114" t="s">
        <v>12</v>
      </c>
      <c r="C28" s="115"/>
      <c r="D28" s="9">
        <f>+SUM(D16:D27)</f>
        <v>108290</v>
      </c>
      <c r="E28" s="1"/>
      <c r="F28" s="114" t="s">
        <v>12</v>
      </c>
      <c r="G28" s="115"/>
      <c r="H28" s="9">
        <f>+SUM(H16:H27)</f>
        <v>115954</v>
      </c>
      <c r="I28" s="1"/>
      <c r="J28" s="114" t="s">
        <v>12</v>
      </c>
      <c r="K28" s="115"/>
      <c r="L28" s="9">
        <f>+SUM(L16:L27)</f>
        <v>77830</v>
      </c>
      <c r="M28" s="1"/>
      <c r="N28" s="114" t="s">
        <v>12</v>
      </c>
      <c r="O28" s="115"/>
      <c r="P28" s="9">
        <f>+SUM(P16:P27)</f>
        <v>73357</v>
      </c>
      <c r="Q28" s="1"/>
      <c r="R28" s="114" t="s">
        <v>12</v>
      </c>
      <c r="S28" s="115"/>
      <c r="T28" s="9">
        <f>+SUM(T16:T27)</f>
        <v>663449</v>
      </c>
      <c r="U28" s="1"/>
      <c r="V28" s="12"/>
      <c r="W28" s="114" t="s">
        <v>12</v>
      </c>
      <c r="X28" s="115"/>
      <c r="Y28" s="9">
        <f>+SUM(Y16:Y27)</f>
        <v>1038880</v>
      </c>
      <c r="Z28" s="13"/>
      <c r="AA28" s="1"/>
      <c r="AB28" s="1"/>
      <c r="AC28" s="1"/>
      <c r="AD28" s="1"/>
      <c r="AE28" s="1"/>
      <c r="AF28" s="1"/>
      <c r="AG28" s="1"/>
      <c r="AH28" s="1"/>
      <c r="AI28" s="70" t="s">
        <v>97</v>
      </c>
      <c r="AJ28" s="70" t="s">
        <v>641</v>
      </c>
      <c r="AK28" s="70" t="s">
        <v>932</v>
      </c>
      <c r="AL28" s="73">
        <v>13858</v>
      </c>
    </row>
    <row r="29" spans="2:38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70" t="s">
        <v>65</v>
      </c>
      <c r="AJ29" s="70" t="s">
        <v>686</v>
      </c>
      <c r="AK29" s="70" t="s">
        <v>834</v>
      </c>
      <c r="AL29" s="74">
        <v>6400</v>
      </c>
    </row>
    <row r="30" spans="2:38" ht="15.75" thickBot="1">
      <c r="B30" s="116" t="s">
        <v>40</v>
      </c>
      <c r="C30" s="116"/>
      <c r="D30" s="7">
        <f>+D28-D15</f>
        <v>-204</v>
      </c>
      <c r="E30" s="1"/>
      <c r="F30" s="116" t="s">
        <v>40</v>
      </c>
      <c r="G30" s="116"/>
      <c r="H30" s="7">
        <f>+H28-H15</f>
        <v>-1227</v>
      </c>
      <c r="I30" s="1"/>
      <c r="J30" s="116" t="s">
        <v>40</v>
      </c>
      <c r="K30" s="116"/>
      <c r="L30" s="7">
        <f>+L28-L15</f>
        <v>15</v>
      </c>
      <c r="M30" s="1"/>
      <c r="N30" s="116" t="s">
        <v>40</v>
      </c>
      <c r="O30" s="116"/>
      <c r="P30" s="7">
        <f>+P28-P15</f>
        <v>3</v>
      </c>
      <c r="Q30" s="1"/>
      <c r="R30" s="116" t="s">
        <v>40</v>
      </c>
      <c r="S30" s="116"/>
      <c r="T30" s="7">
        <f>+T28-T15</f>
        <v>-1414</v>
      </c>
      <c r="U30" s="1"/>
      <c r="V30" s="12"/>
      <c r="W30" s="113" t="s">
        <v>40</v>
      </c>
      <c r="X30" s="113"/>
      <c r="Y30" s="41">
        <f>+Y28-Y15</f>
        <v>-2827</v>
      </c>
      <c r="Z30" s="13"/>
      <c r="AA30" s="1"/>
      <c r="AB30" s="1"/>
      <c r="AC30" s="1"/>
      <c r="AD30" s="1"/>
      <c r="AE30" s="1"/>
      <c r="AF30" s="1"/>
      <c r="AG30" s="1"/>
      <c r="AH30" s="1"/>
      <c r="AI30" s="70" t="s">
        <v>98</v>
      </c>
      <c r="AJ30" s="70" t="s">
        <v>710</v>
      </c>
      <c r="AK30" s="70" t="s">
        <v>189</v>
      </c>
      <c r="AL30" s="108">
        <v>7840</v>
      </c>
    </row>
    <row r="31" spans="2:38" ht="16.5" thickTop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1"/>
      <c r="AC31" s="1"/>
      <c r="AD31" s="1"/>
      <c r="AE31" s="1"/>
      <c r="AF31" s="1"/>
      <c r="AG31" s="1"/>
      <c r="AH31" s="1"/>
      <c r="AI31" s="70" t="s">
        <v>100</v>
      </c>
      <c r="AJ31" s="70" t="s">
        <v>935</v>
      </c>
      <c r="AK31" s="70" t="s">
        <v>933</v>
      </c>
      <c r="AL31" s="74">
        <v>94710</v>
      </c>
    </row>
    <row r="32" spans="2:3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70" t="s">
        <v>98</v>
      </c>
      <c r="AJ32" s="70" t="s">
        <v>734</v>
      </c>
      <c r="AK32" s="70" t="s">
        <v>191</v>
      </c>
      <c r="AL32" s="74">
        <v>6434</v>
      </c>
    </row>
    <row r="33" spans="2:38" ht="15.75" thickBo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70" t="s">
        <v>98</v>
      </c>
      <c r="AJ33" s="70" t="s">
        <v>751</v>
      </c>
      <c r="AK33" s="70" t="s">
        <v>152</v>
      </c>
      <c r="AL33" s="73">
        <v>5500</v>
      </c>
    </row>
    <row r="34" spans="2:38">
      <c r="B34" s="10" t="s">
        <v>41</v>
      </c>
      <c r="C34" s="11"/>
      <c r="D34" s="21"/>
      <c r="E34" s="1"/>
      <c r="F34" s="10" t="s">
        <v>41</v>
      </c>
      <c r="G34" s="11"/>
      <c r="H34" s="21">
        <v>1227</v>
      </c>
      <c r="I34" s="1"/>
      <c r="J34" s="10" t="s">
        <v>41</v>
      </c>
      <c r="K34" s="11"/>
      <c r="L34" s="21"/>
      <c r="M34" s="1"/>
      <c r="N34" s="10" t="s">
        <v>41</v>
      </c>
      <c r="O34" s="11"/>
      <c r="P34" s="21"/>
      <c r="Q34" s="1"/>
      <c r="R34" s="10" t="s">
        <v>41</v>
      </c>
      <c r="S34" s="11"/>
      <c r="T34" s="21"/>
      <c r="U34" s="1"/>
      <c r="V34" s="1"/>
      <c r="W34" s="42" t="s">
        <v>41</v>
      </c>
      <c r="X34" s="43"/>
      <c r="Y34" s="44">
        <f>+D34+H34+L34+P34+T34</f>
        <v>1227</v>
      </c>
      <c r="Z34" s="1"/>
      <c r="AA34" s="1"/>
      <c r="AB34" s="1"/>
      <c r="AC34" s="1"/>
      <c r="AD34" s="1"/>
      <c r="AE34" s="1"/>
      <c r="AF34" s="1"/>
      <c r="AG34" s="1"/>
      <c r="AH34" s="1"/>
      <c r="AI34" s="70" t="s">
        <v>67</v>
      </c>
      <c r="AJ34" s="70" t="s">
        <v>765</v>
      </c>
      <c r="AK34" s="1"/>
      <c r="AL34" s="74">
        <v>30000</v>
      </c>
    </row>
    <row r="35" spans="2:38">
      <c r="B35" s="12" t="s">
        <v>938</v>
      </c>
      <c r="C35" s="16"/>
      <c r="D35" s="22">
        <v>229</v>
      </c>
      <c r="E35" s="1"/>
      <c r="F35" s="12" t="s">
        <v>42</v>
      </c>
      <c r="G35" s="16"/>
      <c r="H35" s="22"/>
      <c r="I35" s="1"/>
      <c r="J35" s="12" t="s">
        <v>42</v>
      </c>
      <c r="K35" s="16"/>
      <c r="L35" s="22"/>
      <c r="M35" s="1"/>
      <c r="N35" s="12" t="s">
        <v>42</v>
      </c>
      <c r="O35" s="16"/>
      <c r="P35" s="22"/>
      <c r="Q35" s="1"/>
      <c r="R35" s="12" t="s">
        <v>382</v>
      </c>
      <c r="S35" s="16"/>
      <c r="T35" s="22">
        <v>1797</v>
      </c>
      <c r="U35" s="1"/>
      <c r="V35" s="1"/>
      <c r="W35" s="45" t="s">
        <v>42</v>
      </c>
      <c r="X35" s="40"/>
      <c r="Y35" s="46">
        <f t="shared" ref="Y35:Y36" si="9">+D35+H35+L35+P35+T35</f>
        <v>2026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>
      <c r="B36" s="12" t="s">
        <v>44</v>
      </c>
      <c r="C36" s="16"/>
      <c r="D36" s="22">
        <v>-25</v>
      </c>
      <c r="E36" s="1"/>
      <c r="F36" s="12" t="s">
        <v>44</v>
      </c>
      <c r="G36" s="16"/>
      <c r="H36" s="22"/>
      <c r="I36" s="1"/>
      <c r="J36" s="12" t="s">
        <v>44</v>
      </c>
      <c r="K36" s="16"/>
      <c r="L36" s="22">
        <v>-15</v>
      </c>
      <c r="M36" s="1"/>
      <c r="N36" s="12" t="s">
        <v>44</v>
      </c>
      <c r="O36" s="16"/>
      <c r="P36" s="22">
        <v>-3</v>
      </c>
      <c r="Q36" s="1"/>
      <c r="R36" s="12" t="s">
        <v>44</v>
      </c>
      <c r="S36" s="16"/>
      <c r="T36" s="22">
        <v>-383</v>
      </c>
      <c r="U36" s="1"/>
      <c r="V36" s="1"/>
      <c r="W36" s="45" t="s">
        <v>43</v>
      </c>
      <c r="X36" s="40"/>
      <c r="Y36" s="46">
        <f t="shared" si="9"/>
        <v>-426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ht="15.75" thickBot="1">
      <c r="B37" s="12" t="s">
        <v>18</v>
      </c>
      <c r="C37" s="16"/>
      <c r="D37" s="22">
        <f>+SUM(D34:D36)</f>
        <v>204</v>
      </c>
      <c r="E37" s="1"/>
      <c r="F37" s="12" t="s">
        <v>18</v>
      </c>
      <c r="G37" s="16"/>
      <c r="H37" s="22">
        <f>+SUM(H34:H36)</f>
        <v>1227</v>
      </c>
      <c r="I37" s="1"/>
      <c r="J37" s="12" t="s">
        <v>18</v>
      </c>
      <c r="K37" s="16"/>
      <c r="L37" s="22">
        <f>+SUM(L34:L36)</f>
        <v>-15</v>
      </c>
      <c r="M37" s="1"/>
      <c r="N37" s="12" t="s">
        <v>18</v>
      </c>
      <c r="O37" s="16"/>
      <c r="P37" s="22">
        <f>+SUM(P34:P36)</f>
        <v>-3</v>
      </c>
      <c r="Q37" s="1"/>
      <c r="R37" s="12" t="s">
        <v>18</v>
      </c>
      <c r="S37" s="16"/>
      <c r="T37" s="22">
        <f>+SUM(T34:T36)</f>
        <v>1414</v>
      </c>
      <c r="U37" s="1"/>
      <c r="V37" s="1"/>
      <c r="W37" s="33" t="s">
        <v>18</v>
      </c>
      <c r="X37" s="34"/>
      <c r="Y37" s="35">
        <f>+SUM(Y34:Y36)</f>
        <v>2827</v>
      </c>
      <c r="Z37" s="1"/>
      <c r="AA37" s="1"/>
      <c r="AB37" s="60" t="s">
        <v>39</v>
      </c>
      <c r="AC37" s="60"/>
      <c r="AD37" s="60"/>
      <c r="AE37" s="60"/>
      <c r="AF37" s="55">
        <f>+SUM(AF23:AF36)</f>
        <v>26505</v>
      </c>
      <c r="AG37" s="1"/>
      <c r="AH37" s="1"/>
      <c r="AI37" s="60" t="s">
        <v>39</v>
      </c>
      <c r="AJ37" s="60"/>
      <c r="AK37" s="60"/>
      <c r="AL37" s="72">
        <f>+SUM(AL23:AL36)</f>
        <v>362024</v>
      </c>
    </row>
    <row r="38" spans="2:38" ht="16.5" thickTop="1" thickBot="1">
      <c r="B38" s="23" t="s">
        <v>45</v>
      </c>
      <c r="C38" s="24"/>
      <c r="D38" s="25">
        <f>+D30+D37</f>
        <v>0</v>
      </c>
      <c r="E38" s="1"/>
      <c r="F38" s="23" t="s">
        <v>45</v>
      </c>
      <c r="G38" s="24"/>
      <c r="H38" s="25">
        <f>+H30+H37</f>
        <v>0</v>
      </c>
      <c r="I38" s="1"/>
      <c r="J38" s="23" t="s">
        <v>45</v>
      </c>
      <c r="K38" s="24"/>
      <c r="L38" s="25">
        <f>+L30+L37</f>
        <v>0</v>
      </c>
      <c r="M38" s="1"/>
      <c r="N38" s="23" t="s">
        <v>45</v>
      </c>
      <c r="O38" s="24"/>
      <c r="P38" s="25">
        <f>+P30+P37</f>
        <v>0</v>
      </c>
      <c r="Q38" s="1"/>
      <c r="R38" s="23" t="s">
        <v>45</v>
      </c>
      <c r="S38" s="24"/>
      <c r="T38" s="25">
        <f>+T30+T37</f>
        <v>0</v>
      </c>
      <c r="U38" s="1"/>
      <c r="V38" s="1"/>
      <c r="W38" s="23" t="s">
        <v>45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>
        <v>637132</v>
      </c>
      <c r="AF39" s="1"/>
      <c r="AG39" s="1"/>
      <c r="AH39" s="1"/>
      <c r="AI39" s="1"/>
      <c r="AJ39" s="1"/>
      <c r="AK39" s="1"/>
      <c r="AL39" s="1"/>
    </row>
    <row r="40" spans="2:38">
      <c r="AE40">
        <v>-306000</v>
      </c>
    </row>
    <row r="41" spans="2:38">
      <c r="AE41">
        <f>SUM(AE39:AE40)</f>
        <v>331132</v>
      </c>
    </row>
    <row r="42" spans="2:38">
      <c r="AB42">
        <v>734100</v>
      </c>
    </row>
    <row r="43" spans="2:38">
      <c r="AB43">
        <v>306905</v>
      </c>
    </row>
    <row r="44" spans="2:38">
      <c r="AB44">
        <f>SUM(AB42:AB43)</f>
        <v>1041005</v>
      </c>
    </row>
    <row r="45" spans="2:38">
      <c r="AB45">
        <v>-637132</v>
      </c>
    </row>
    <row r="46" spans="2:38">
      <c r="AB46" s="101">
        <f>SUM(AB44:AB45)</f>
        <v>403873</v>
      </c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01-10-25</vt:lpstr>
      <vt:lpstr>02-10-25</vt:lpstr>
      <vt:lpstr>03-10-25</vt:lpstr>
      <vt:lpstr>04-10-25</vt:lpstr>
      <vt:lpstr>06-10-25</vt:lpstr>
      <vt:lpstr>07-10-25</vt:lpstr>
      <vt:lpstr>08-10-25</vt:lpstr>
      <vt:lpstr>09-10-25</vt:lpstr>
      <vt:lpstr>10-10-25</vt:lpstr>
      <vt:lpstr>11-10-25</vt:lpstr>
      <vt:lpstr>13-10-25</vt:lpstr>
      <vt:lpstr>14-10-25</vt:lpstr>
      <vt:lpstr>15-10-25</vt:lpstr>
      <vt:lpstr>16-10-25</vt:lpstr>
      <vt:lpstr>17-10-25</vt:lpstr>
      <vt:lpstr>18-10-25</vt:lpstr>
      <vt:lpstr>20-10-25</vt:lpstr>
      <vt:lpstr>21-10-25</vt:lpstr>
      <vt:lpstr>22-10-25</vt:lpstr>
      <vt:lpstr>MASTER</vt:lpstr>
      <vt:lpstr>23-10-25</vt:lpstr>
      <vt:lpstr>24-10-25</vt:lpstr>
      <vt:lpstr>25-10-25</vt:lpstr>
      <vt:lpstr>27-10-25</vt:lpstr>
      <vt:lpstr>28-10-25</vt:lpstr>
      <vt:lpstr>29-10-25</vt:lpstr>
      <vt:lpstr>30-10-25</vt:lpstr>
      <vt:lpstr>31-10-25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ADMIN</cp:lastModifiedBy>
  <dcterms:created xsi:type="dcterms:W3CDTF">2025-08-01T16:06:19Z</dcterms:created>
  <dcterms:modified xsi:type="dcterms:W3CDTF">2025-11-15T12:54:57Z</dcterms:modified>
</cp:coreProperties>
</file>