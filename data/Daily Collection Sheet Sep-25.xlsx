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icare Enterprises22-10-25\Excel files\Daily Collection Sheets\"/>
    </mc:Choice>
  </mc:AlternateContent>
  <bookViews>
    <workbookView xWindow="480" yWindow="6645" windowWidth="22995" windowHeight="3435" firstSheet="3" activeTab="8"/>
  </bookViews>
  <sheets>
    <sheet name="01-09-2025" sheetId="1" r:id="rId1"/>
    <sheet name="02-09-2025" sheetId="37" r:id="rId2"/>
    <sheet name="03-09-2025" sheetId="38" r:id="rId3"/>
    <sheet name="04-09-2025" sheetId="39" r:id="rId4"/>
    <sheet name="05-09-2025" sheetId="40" r:id="rId5"/>
    <sheet name="07-09-25" sheetId="41" r:id="rId6"/>
    <sheet name="08-09-25" sheetId="42" r:id="rId7"/>
    <sheet name="09-09-25" sheetId="43" r:id="rId8"/>
    <sheet name="11-09-25" sheetId="44" r:id="rId9"/>
    <sheet name="12-09-25" sheetId="45" r:id="rId10"/>
    <sheet name="13-09-25" sheetId="46" r:id="rId11"/>
    <sheet name="14-09-25" sheetId="47" r:id="rId12"/>
    <sheet name="15-09-25" sheetId="48" r:id="rId13"/>
    <sheet name="16-09-25" sheetId="49" r:id="rId14"/>
    <sheet name="17-09-25" sheetId="50" r:id="rId15"/>
    <sheet name="18-09-25" sheetId="51" r:id="rId16"/>
    <sheet name="19-09-25" sheetId="52" r:id="rId17"/>
    <sheet name="20-09-25" sheetId="53" r:id="rId18"/>
    <sheet name="22-09-25" sheetId="54" r:id="rId19"/>
    <sheet name="MASTER" sheetId="16" r:id="rId20"/>
    <sheet name="23-09-25" sheetId="55" r:id="rId21"/>
    <sheet name="24-09-25" sheetId="56" r:id="rId22"/>
    <sheet name="25-09-25" sheetId="57" r:id="rId23"/>
    <sheet name="26-9-25" sheetId="58" r:id="rId24"/>
    <sheet name="27-09-25" sheetId="59" r:id="rId25"/>
    <sheet name="29-9-25" sheetId="60" r:id="rId26"/>
    <sheet name="30-9-25" sheetId="61" r:id="rId27"/>
  </sheets>
  <calcPr calcId="152511"/>
</workbook>
</file>

<file path=xl/calcChain.xml><?xml version="1.0" encoding="utf-8"?>
<calcChain xmlns="http://schemas.openxmlformats.org/spreadsheetml/2006/main">
  <c r="AL40" i="61" l="1"/>
  <c r="T37" i="61" l="1"/>
  <c r="P37" i="61"/>
  <c r="L37" i="61"/>
  <c r="H37" i="61"/>
  <c r="D37" i="61"/>
  <c r="Y36" i="61"/>
  <c r="Y35" i="61"/>
  <c r="Y34" i="61"/>
  <c r="AF31" i="61"/>
  <c r="AC8" i="61" s="1"/>
  <c r="Y27" i="61"/>
  <c r="Y26" i="61"/>
  <c r="Y25" i="61"/>
  <c r="Y24" i="61"/>
  <c r="Y23" i="61"/>
  <c r="Y22" i="61"/>
  <c r="Y21" i="61"/>
  <c r="Y20" i="61"/>
  <c r="Y19" i="61"/>
  <c r="Y18" i="61"/>
  <c r="AC17" i="61"/>
  <c r="Y17" i="61"/>
  <c r="Y15" i="61"/>
  <c r="AK13" i="61"/>
  <c r="AK12" i="61"/>
  <c r="X12" i="61"/>
  <c r="T12" i="61"/>
  <c r="P12" i="61"/>
  <c r="L12" i="61"/>
  <c r="H12" i="61"/>
  <c r="D12" i="61"/>
  <c r="AK11" i="61"/>
  <c r="X11" i="61"/>
  <c r="T11" i="61"/>
  <c r="P11" i="61"/>
  <c r="L11" i="61"/>
  <c r="H11" i="61"/>
  <c r="D11" i="61"/>
  <c r="AK10" i="61"/>
  <c r="X10" i="61"/>
  <c r="T10" i="61"/>
  <c r="T13" i="61" s="1"/>
  <c r="T16" i="61" s="1"/>
  <c r="T28" i="61" s="1"/>
  <c r="T30" i="61" s="1"/>
  <c r="T38" i="61" s="1"/>
  <c r="P10" i="61"/>
  <c r="L10" i="61"/>
  <c r="H10" i="61"/>
  <c r="D10" i="61"/>
  <c r="AK9" i="61"/>
  <c r="X9" i="61"/>
  <c r="T9" i="61"/>
  <c r="P9" i="61"/>
  <c r="L9" i="61"/>
  <c r="H9" i="61"/>
  <c r="D9" i="61"/>
  <c r="AK8" i="61"/>
  <c r="X8" i="61"/>
  <c r="T8" i="61"/>
  <c r="P8" i="61"/>
  <c r="L8" i="61"/>
  <c r="H8" i="61"/>
  <c r="D8" i="61"/>
  <c r="AK7" i="61"/>
  <c r="X7" i="61"/>
  <c r="T7" i="61"/>
  <c r="P7" i="61"/>
  <c r="L7" i="61"/>
  <c r="H7" i="61"/>
  <c r="D7" i="61"/>
  <c r="AK6" i="61"/>
  <c r="X6" i="61"/>
  <c r="T6" i="61"/>
  <c r="P6" i="61"/>
  <c r="L6" i="61"/>
  <c r="H6" i="61"/>
  <c r="D6" i="61"/>
  <c r="X5" i="61"/>
  <c r="T5" i="61"/>
  <c r="P5" i="61"/>
  <c r="L5" i="61"/>
  <c r="H5" i="61"/>
  <c r="D5" i="61"/>
  <c r="P13" i="61" l="1"/>
  <c r="P16" i="61" s="1"/>
  <c r="P28" i="61" s="1"/>
  <c r="P30" i="61" s="1"/>
  <c r="P38" i="61" s="1"/>
  <c r="AK14" i="61"/>
  <c r="L13" i="61"/>
  <c r="L16" i="61" s="1"/>
  <c r="L28" i="61" s="1"/>
  <c r="L30" i="61" s="1"/>
  <c r="L38" i="61" s="1"/>
  <c r="Y6" i="61"/>
  <c r="Y11" i="61"/>
  <c r="Y7" i="61"/>
  <c r="Y12" i="61"/>
  <c r="Y10" i="61"/>
  <c r="Y8" i="61"/>
  <c r="H13" i="61"/>
  <c r="H16" i="61" s="1"/>
  <c r="H28" i="61" s="1"/>
  <c r="H30" i="61" s="1"/>
  <c r="H38" i="61" s="1"/>
  <c r="Y37" i="61"/>
  <c r="Y5" i="61"/>
  <c r="D13" i="61"/>
  <c r="D16" i="61" s="1"/>
  <c r="Y9" i="61"/>
  <c r="AL36" i="60"/>
  <c r="Y16" i="61" l="1"/>
  <c r="Y28" i="61" s="1"/>
  <c r="Y30" i="61" s="1"/>
  <c r="Y38" i="61" s="1"/>
  <c r="D28" i="61"/>
  <c r="D30" i="61" s="1"/>
  <c r="D38" i="61" s="1"/>
  <c r="Y13" i="61"/>
  <c r="AC7" i="61" s="1"/>
  <c r="AC9" i="61" s="1"/>
  <c r="AC18" i="61" s="1"/>
  <c r="T37" i="60"/>
  <c r="P37" i="60"/>
  <c r="L37" i="60"/>
  <c r="H37" i="60"/>
  <c r="D37" i="60"/>
  <c r="Y36" i="60"/>
  <c r="Y35" i="60"/>
  <c r="Y34" i="60"/>
  <c r="AF31" i="60"/>
  <c r="AC8" i="60" s="1"/>
  <c r="Y27" i="60"/>
  <c r="Y26" i="60"/>
  <c r="Y25" i="60"/>
  <c r="Y24" i="60"/>
  <c r="Y23" i="60"/>
  <c r="Y22" i="60"/>
  <c r="Y21" i="60"/>
  <c r="Y20" i="60"/>
  <c r="Y19" i="60"/>
  <c r="Y18" i="60"/>
  <c r="AC17" i="60"/>
  <c r="Y17" i="60"/>
  <c r="Y15" i="60"/>
  <c r="AK13" i="60"/>
  <c r="AK12" i="60"/>
  <c r="X12" i="60"/>
  <c r="T12" i="60"/>
  <c r="P12" i="60"/>
  <c r="L12" i="60"/>
  <c r="H12" i="60"/>
  <c r="Y12" i="60" s="1"/>
  <c r="D12" i="60"/>
  <c r="AK11" i="60"/>
  <c r="X11" i="60"/>
  <c r="T11" i="60"/>
  <c r="P11" i="60"/>
  <c r="L11" i="60"/>
  <c r="H11" i="60"/>
  <c r="D11" i="60"/>
  <c r="AK10" i="60"/>
  <c r="X10" i="60"/>
  <c r="T10" i="60"/>
  <c r="P10" i="60"/>
  <c r="L10" i="60"/>
  <c r="H10" i="60"/>
  <c r="D10" i="60"/>
  <c r="AK9" i="60"/>
  <c r="X9" i="60"/>
  <c r="T9" i="60"/>
  <c r="P9" i="60"/>
  <c r="L9" i="60"/>
  <c r="H9" i="60"/>
  <c r="D9" i="60"/>
  <c r="AK8" i="60"/>
  <c r="X8" i="60"/>
  <c r="T8" i="60"/>
  <c r="P8" i="60"/>
  <c r="L8" i="60"/>
  <c r="H8" i="60"/>
  <c r="D8" i="60"/>
  <c r="AK7" i="60"/>
  <c r="X7" i="60"/>
  <c r="T7" i="60"/>
  <c r="P7" i="60"/>
  <c r="L7" i="60"/>
  <c r="H7" i="60"/>
  <c r="D7" i="60"/>
  <c r="AK6" i="60"/>
  <c r="X6" i="60"/>
  <c r="T6" i="60"/>
  <c r="P6" i="60"/>
  <c r="L6" i="60"/>
  <c r="H6" i="60"/>
  <c r="D6" i="60"/>
  <c r="X5" i="60"/>
  <c r="T5" i="60"/>
  <c r="P5" i="60"/>
  <c r="L5" i="60"/>
  <c r="H5" i="60"/>
  <c r="D5" i="60"/>
  <c r="AK14" i="60" l="1"/>
  <c r="Y37" i="60"/>
  <c r="Y6" i="60"/>
  <c r="L13" i="60"/>
  <c r="L16" i="60" s="1"/>
  <c r="L28" i="60" s="1"/>
  <c r="L30" i="60" s="1"/>
  <c r="L38" i="60" s="1"/>
  <c r="T13" i="60"/>
  <c r="T16" i="60" s="1"/>
  <c r="T28" i="60" s="1"/>
  <c r="T30" i="60" s="1"/>
  <c r="T38" i="60" s="1"/>
  <c r="Y8" i="60"/>
  <c r="P13" i="60"/>
  <c r="P16" i="60" s="1"/>
  <c r="P28" i="60" s="1"/>
  <c r="P30" i="60" s="1"/>
  <c r="P38" i="60" s="1"/>
  <c r="D13" i="60"/>
  <c r="D16" i="60" s="1"/>
  <c r="D28" i="60" s="1"/>
  <c r="D30" i="60" s="1"/>
  <c r="D38" i="60" s="1"/>
  <c r="Y11" i="60"/>
  <c r="H13" i="60"/>
  <c r="H16" i="60" s="1"/>
  <c r="H28" i="60" s="1"/>
  <c r="H30" i="60" s="1"/>
  <c r="H38" i="60" s="1"/>
  <c r="Y7" i="60"/>
  <c r="Y10" i="60"/>
  <c r="Y9" i="60"/>
  <c r="Y5" i="60"/>
  <c r="T36" i="59"/>
  <c r="P36" i="59"/>
  <c r="L36" i="59"/>
  <c r="H36" i="59"/>
  <c r="D36" i="59"/>
  <c r="Y35" i="59"/>
  <c r="Y34" i="59"/>
  <c r="Y33" i="59"/>
  <c r="AL30" i="59"/>
  <c r="AF30" i="59"/>
  <c r="AC7" i="59" s="1"/>
  <c r="Y26" i="59"/>
  <c r="Y25" i="59"/>
  <c r="Y24" i="59"/>
  <c r="Y23" i="59"/>
  <c r="Y22" i="59"/>
  <c r="Y21" i="59"/>
  <c r="Y20" i="59"/>
  <c r="Y19" i="59"/>
  <c r="Y18" i="59"/>
  <c r="Y17" i="59"/>
  <c r="AC16" i="59"/>
  <c r="Y16" i="59"/>
  <c r="Y14" i="59"/>
  <c r="AK12" i="59"/>
  <c r="AK11" i="59"/>
  <c r="X11" i="59"/>
  <c r="T11" i="59"/>
  <c r="P11" i="59"/>
  <c r="L11" i="59"/>
  <c r="H11" i="59"/>
  <c r="D11" i="59"/>
  <c r="AK10" i="59"/>
  <c r="X10" i="59"/>
  <c r="T10" i="59"/>
  <c r="P10" i="59"/>
  <c r="L10" i="59"/>
  <c r="H10" i="59"/>
  <c r="D10" i="59"/>
  <c r="AK9" i="59"/>
  <c r="X9" i="59"/>
  <c r="T9" i="59"/>
  <c r="P9" i="59"/>
  <c r="L9" i="59"/>
  <c r="H9" i="59"/>
  <c r="D9" i="59"/>
  <c r="AK8" i="59"/>
  <c r="X8" i="59"/>
  <c r="T8" i="59"/>
  <c r="P8" i="59"/>
  <c r="L8" i="59"/>
  <c r="H8" i="59"/>
  <c r="D8" i="59"/>
  <c r="AK7" i="59"/>
  <c r="X7" i="59"/>
  <c r="T7" i="59"/>
  <c r="P7" i="59"/>
  <c r="L7" i="59"/>
  <c r="H7" i="59"/>
  <c r="D7" i="59"/>
  <c r="AK6" i="59"/>
  <c r="X6" i="59"/>
  <c r="T6" i="59"/>
  <c r="P6" i="59"/>
  <c r="L6" i="59"/>
  <c r="H6" i="59"/>
  <c r="D6" i="59"/>
  <c r="AK5" i="59"/>
  <c r="X5" i="59"/>
  <c r="T5" i="59"/>
  <c r="P5" i="59"/>
  <c r="L5" i="59"/>
  <c r="H5" i="59"/>
  <c r="D5" i="59"/>
  <c r="X4" i="59"/>
  <c r="T4" i="59"/>
  <c r="P4" i="59"/>
  <c r="L4" i="59"/>
  <c r="H4" i="59"/>
  <c r="D4" i="59"/>
  <c r="T12" i="59" l="1"/>
  <c r="T15" i="59" s="1"/>
  <c r="T27" i="59" s="1"/>
  <c r="T29" i="59" s="1"/>
  <c r="T37" i="59" s="1"/>
  <c r="Y13" i="60"/>
  <c r="AC7" i="60" s="1"/>
  <c r="AC9" i="60" s="1"/>
  <c r="AC18" i="60" s="1"/>
  <c r="Y16" i="60"/>
  <c r="Y28" i="60" s="1"/>
  <c r="Y30" i="60" s="1"/>
  <c r="Y38" i="60" s="1"/>
  <c r="AK13" i="59"/>
  <c r="Y36" i="59"/>
  <c r="H12" i="59"/>
  <c r="H15" i="59" s="1"/>
  <c r="H27" i="59" s="1"/>
  <c r="H29" i="59" s="1"/>
  <c r="H37" i="59" s="1"/>
  <c r="Y6" i="59"/>
  <c r="Y7" i="59"/>
  <c r="Y8" i="59"/>
  <c r="P12" i="59"/>
  <c r="P15" i="59" s="1"/>
  <c r="P27" i="59" s="1"/>
  <c r="P29" i="59" s="1"/>
  <c r="P37" i="59" s="1"/>
  <c r="Y11" i="59"/>
  <c r="Y10" i="59"/>
  <c r="Y9" i="59"/>
  <c r="D12" i="59"/>
  <c r="D15" i="59" s="1"/>
  <c r="D27" i="59" s="1"/>
  <c r="D29" i="59" s="1"/>
  <c r="D37" i="59" s="1"/>
  <c r="Y5" i="59"/>
  <c r="L12" i="59"/>
  <c r="L15" i="59" s="1"/>
  <c r="L27" i="59" s="1"/>
  <c r="L29" i="59" s="1"/>
  <c r="L37" i="59" s="1"/>
  <c r="Y4" i="59"/>
  <c r="T37" i="58"/>
  <c r="P37" i="58"/>
  <c r="L37" i="58"/>
  <c r="H37" i="58"/>
  <c r="D37" i="58"/>
  <c r="Y36" i="58"/>
  <c r="Y35" i="58"/>
  <c r="Y34" i="58"/>
  <c r="AL31" i="58"/>
  <c r="AF31" i="58"/>
  <c r="AC8" i="58" s="1"/>
  <c r="Y27" i="58"/>
  <c r="Y26" i="58"/>
  <c r="Y25" i="58"/>
  <c r="Y24" i="58"/>
  <c r="Y23" i="58"/>
  <c r="Y22" i="58"/>
  <c r="Y21" i="58"/>
  <c r="Y20" i="58"/>
  <c r="Y19" i="58"/>
  <c r="Y18" i="58"/>
  <c r="AC17" i="58"/>
  <c r="Y17" i="58"/>
  <c r="Y15" i="58"/>
  <c r="AK13" i="58"/>
  <c r="AK12" i="58"/>
  <c r="X12" i="58"/>
  <c r="T12" i="58"/>
  <c r="P12" i="58"/>
  <c r="L12" i="58"/>
  <c r="H12" i="58"/>
  <c r="D12" i="58"/>
  <c r="Y12" i="58" s="1"/>
  <c r="AK11" i="58"/>
  <c r="X11" i="58"/>
  <c r="T11" i="58"/>
  <c r="P11" i="58"/>
  <c r="L11" i="58"/>
  <c r="H11" i="58"/>
  <c r="D11" i="58"/>
  <c r="AK10" i="58"/>
  <c r="X10" i="58"/>
  <c r="T10" i="58"/>
  <c r="P10" i="58"/>
  <c r="L10" i="58"/>
  <c r="H10" i="58"/>
  <c r="D10" i="58"/>
  <c r="AK9" i="58"/>
  <c r="X9" i="58"/>
  <c r="T9" i="58"/>
  <c r="P9" i="58"/>
  <c r="L9" i="58"/>
  <c r="H9" i="58"/>
  <c r="D9" i="58"/>
  <c r="AK8" i="58"/>
  <c r="X8" i="58"/>
  <c r="T8" i="58"/>
  <c r="P8" i="58"/>
  <c r="L8" i="58"/>
  <c r="H8" i="58"/>
  <c r="D8" i="58"/>
  <c r="AK7" i="58"/>
  <c r="X7" i="58"/>
  <c r="T7" i="58"/>
  <c r="P7" i="58"/>
  <c r="L7" i="58"/>
  <c r="H7" i="58"/>
  <c r="D7" i="58"/>
  <c r="AK6" i="58"/>
  <c r="X6" i="58"/>
  <c r="T6" i="58"/>
  <c r="P6" i="58"/>
  <c r="L6" i="58"/>
  <c r="H6" i="58"/>
  <c r="D6" i="58"/>
  <c r="X5" i="58"/>
  <c r="T5" i="58"/>
  <c r="P5" i="58"/>
  <c r="L5" i="58"/>
  <c r="H5" i="58"/>
  <c r="D5" i="58"/>
  <c r="Y5" i="58" l="1"/>
  <c r="T13" i="58"/>
  <c r="T16" i="58" s="1"/>
  <c r="T28" i="58" s="1"/>
  <c r="T30" i="58" s="1"/>
  <c r="T38" i="58" s="1"/>
  <c r="Y12" i="59"/>
  <c r="AC6" i="59" s="1"/>
  <c r="AC8" i="59" s="1"/>
  <c r="AC17" i="59" s="1"/>
  <c r="Y15" i="59"/>
  <c r="Y27" i="59" s="1"/>
  <c r="Y29" i="59" s="1"/>
  <c r="Y37" i="59" s="1"/>
  <c r="AK14" i="58"/>
  <c r="Y11" i="58"/>
  <c r="P13" i="58"/>
  <c r="P16" i="58" s="1"/>
  <c r="P28" i="58" s="1"/>
  <c r="P30" i="58" s="1"/>
  <c r="P38" i="58" s="1"/>
  <c r="Y37" i="58"/>
  <c r="Y6" i="58"/>
  <c r="Y7" i="58"/>
  <c r="Y8" i="58"/>
  <c r="Y9" i="58"/>
  <c r="L13" i="58"/>
  <c r="L16" i="58" s="1"/>
  <c r="L28" i="58" s="1"/>
  <c r="L30" i="58" s="1"/>
  <c r="L38" i="58" s="1"/>
  <c r="Y10" i="58"/>
  <c r="D13" i="58"/>
  <c r="D16" i="58" s="1"/>
  <c r="H13" i="58"/>
  <c r="H16" i="58" s="1"/>
  <c r="H28" i="58" s="1"/>
  <c r="H30" i="58" s="1"/>
  <c r="H38" i="58" s="1"/>
  <c r="AL41" i="57"/>
  <c r="Y13" i="58" l="1"/>
  <c r="AC7" i="58" s="1"/>
  <c r="AC9" i="58" s="1"/>
  <c r="AC18" i="58" s="1"/>
  <c r="Y16" i="58"/>
  <c r="Y28" i="58" s="1"/>
  <c r="Y30" i="58" s="1"/>
  <c r="Y38" i="58" s="1"/>
  <c r="D28" i="58"/>
  <c r="D30" i="58" s="1"/>
  <c r="D38" i="58" s="1"/>
  <c r="T37" i="57"/>
  <c r="P37" i="57"/>
  <c r="L37" i="57"/>
  <c r="H37" i="57"/>
  <c r="D37" i="57"/>
  <c r="Y36" i="57"/>
  <c r="Y35" i="57"/>
  <c r="Y34" i="57"/>
  <c r="AF31" i="57"/>
  <c r="Y27" i="57"/>
  <c r="Y26" i="57"/>
  <c r="Y25" i="57"/>
  <c r="Y24" i="57"/>
  <c r="Y23" i="57"/>
  <c r="Y22" i="57"/>
  <c r="Y21" i="57"/>
  <c r="Y20" i="57"/>
  <c r="Y19" i="57"/>
  <c r="Y18" i="57"/>
  <c r="AC17" i="57"/>
  <c r="Y17" i="57"/>
  <c r="Y15" i="57"/>
  <c r="AK13" i="57"/>
  <c r="AK12" i="57"/>
  <c r="X12" i="57"/>
  <c r="T12" i="57"/>
  <c r="P12" i="57"/>
  <c r="L12" i="57"/>
  <c r="H12" i="57"/>
  <c r="D12" i="57"/>
  <c r="AK11" i="57"/>
  <c r="X11" i="57"/>
  <c r="T11" i="57"/>
  <c r="P11" i="57"/>
  <c r="L11" i="57"/>
  <c r="H11" i="57"/>
  <c r="D11" i="57"/>
  <c r="AK10" i="57"/>
  <c r="X10" i="57"/>
  <c r="T10" i="57"/>
  <c r="P10" i="57"/>
  <c r="L10" i="57"/>
  <c r="H10" i="57"/>
  <c r="D10" i="57"/>
  <c r="AK9" i="57"/>
  <c r="X9" i="57"/>
  <c r="T9" i="57"/>
  <c r="P9" i="57"/>
  <c r="L9" i="57"/>
  <c r="H9" i="57"/>
  <c r="D9" i="57"/>
  <c r="AK8" i="57"/>
  <c r="AC8" i="57"/>
  <c r="X8" i="57"/>
  <c r="T8" i="57"/>
  <c r="P8" i="57"/>
  <c r="L8" i="57"/>
  <c r="H8" i="57"/>
  <c r="D8" i="57"/>
  <c r="AK7" i="57"/>
  <c r="X7" i="57"/>
  <c r="T7" i="57"/>
  <c r="P7" i="57"/>
  <c r="L7" i="57"/>
  <c r="H7" i="57"/>
  <c r="D7" i="57"/>
  <c r="AK6" i="57"/>
  <c r="X6" i="57"/>
  <c r="T6" i="57"/>
  <c r="P6" i="57"/>
  <c r="L6" i="57"/>
  <c r="H6" i="57"/>
  <c r="D6" i="57"/>
  <c r="X5" i="57"/>
  <c r="T5" i="57"/>
  <c r="P5" i="57"/>
  <c r="L5" i="57"/>
  <c r="H5" i="57"/>
  <c r="D5" i="57"/>
  <c r="AK14" i="57" l="1"/>
  <c r="Y12" i="57"/>
  <c r="H13" i="57"/>
  <c r="H16" i="57" s="1"/>
  <c r="H28" i="57" s="1"/>
  <c r="H30" i="57" s="1"/>
  <c r="H38" i="57" s="1"/>
  <c r="T13" i="57"/>
  <c r="T16" i="57" s="1"/>
  <c r="T28" i="57" s="1"/>
  <c r="T30" i="57" s="1"/>
  <c r="T38" i="57" s="1"/>
  <c r="L13" i="57"/>
  <c r="L16" i="57" s="1"/>
  <c r="L28" i="57" s="1"/>
  <c r="L30" i="57" s="1"/>
  <c r="L38" i="57" s="1"/>
  <c r="Y10" i="57"/>
  <c r="Y37" i="57"/>
  <c r="Y11" i="57"/>
  <c r="Y7" i="57"/>
  <c r="P13" i="57"/>
  <c r="P16" i="57" s="1"/>
  <c r="P28" i="57" s="1"/>
  <c r="P30" i="57" s="1"/>
  <c r="P38" i="57" s="1"/>
  <c r="Y8" i="57"/>
  <c r="D13" i="57"/>
  <c r="D16" i="57" s="1"/>
  <c r="D28" i="57"/>
  <c r="D30" i="57" s="1"/>
  <c r="D38" i="57" s="1"/>
  <c r="Y5" i="57"/>
  <c r="Y9" i="57"/>
  <c r="Y6" i="57"/>
  <c r="T37" i="56"/>
  <c r="P37" i="56"/>
  <c r="L37" i="56"/>
  <c r="H37" i="56"/>
  <c r="D37" i="56"/>
  <c r="Y36" i="56"/>
  <c r="Y35" i="56"/>
  <c r="Y34" i="56"/>
  <c r="AL31" i="56"/>
  <c r="AF31" i="56"/>
  <c r="AC8" i="56" s="1"/>
  <c r="Y27" i="56"/>
  <c r="Y26" i="56"/>
  <c r="Y25" i="56"/>
  <c r="Y24" i="56"/>
  <c r="Y23" i="56"/>
  <c r="Y22" i="56"/>
  <c r="Y21" i="56"/>
  <c r="Y20" i="56"/>
  <c r="Y19" i="56"/>
  <c r="Y18" i="56"/>
  <c r="AC17" i="56"/>
  <c r="Y17" i="56"/>
  <c r="Y15" i="56"/>
  <c r="AK13" i="56"/>
  <c r="AK12" i="56"/>
  <c r="X12" i="56"/>
  <c r="T12" i="56"/>
  <c r="P12" i="56"/>
  <c r="L12" i="56"/>
  <c r="H12" i="56"/>
  <c r="D12" i="56"/>
  <c r="AK11" i="56"/>
  <c r="X11" i="56"/>
  <c r="T11" i="56"/>
  <c r="P11" i="56"/>
  <c r="L11" i="56"/>
  <c r="H11" i="56"/>
  <c r="D11" i="56"/>
  <c r="AK10" i="56"/>
  <c r="X10" i="56"/>
  <c r="T10" i="56"/>
  <c r="P10" i="56"/>
  <c r="L10" i="56"/>
  <c r="H10" i="56"/>
  <c r="D10" i="56"/>
  <c r="AK9" i="56"/>
  <c r="X9" i="56"/>
  <c r="T9" i="56"/>
  <c r="P9" i="56"/>
  <c r="L9" i="56"/>
  <c r="H9" i="56"/>
  <c r="D9" i="56"/>
  <c r="AK8" i="56"/>
  <c r="X8" i="56"/>
  <c r="T8" i="56"/>
  <c r="P8" i="56"/>
  <c r="L8" i="56"/>
  <c r="H8" i="56"/>
  <c r="D8" i="56"/>
  <c r="AK7" i="56"/>
  <c r="X7" i="56"/>
  <c r="T7" i="56"/>
  <c r="P7" i="56"/>
  <c r="L7" i="56"/>
  <c r="H7" i="56"/>
  <c r="D7" i="56"/>
  <c r="AK6" i="56"/>
  <c r="X6" i="56"/>
  <c r="T6" i="56"/>
  <c r="P6" i="56"/>
  <c r="L6" i="56"/>
  <c r="H6" i="56"/>
  <c r="D6" i="56"/>
  <c r="X5" i="56"/>
  <c r="T5" i="56"/>
  <c r="P5" i="56"/>
  <c r="L5" i="56"/>
  <c r="H5" i="56"/>
  <c r="D5" i="56"/>
  <c r="T13" i="56" l="1"/>
  <c r="T16" i="56" s="1"/>
  <c r="T28" i="56" s="1"/>
  <c r="T30" i="56" s="1"/>
  <c r="T38" i="56" s="1"/>
  <c r="Y16" i="57"/>
  <c r="Y28" i="57" s="1"/>
  <c r="Y30" i="57" s="1"/>
  <c r="Y38" i="57" s="1"/>
  <c r="Y13" i="57"/>
  <c r="AC7" i="57" s="1"/>
  <c r="AC9" i="57" s="1"/>
  <c r="AC18" i="57" s="1"/>
  <c r="AK14" i="56"/>
  <c r="L13" i="56"/>
  <c r="L16" i="56" s="1"/>
  <c r="L28" i="56" s="1"/>
  <c r="L30" i="56" s="1"/>
  <c r="L38" i="56" s="1"/>
  <c r="Y9" i="56"/>
  <c r="Y37" i="56"/>
  <c r="Y11" i="56"/>
  <c r="H13" i="56"/>
  <c r="H16" i="56" s="1"/>
  <c r="H28" i="56" s="1"/>
  <c r="H30" i="56" s="1"/>
  <c r="H38" i="56" s="1"/>
  <c r="Y8" i="56"/>
  <c r="P13" i="56"/>
  <c r="P16" i="56" s="1"/>
  <c r="P28" i="56" s="1"/>
  <c r="P30" i="56" s="1"/>
  <c r="P38" i="56" s="1"/>
  <c r="Y6" i="56"/>
  <c r="Y7" i="56"/>
  <c r="D13" i="56"/>
  <c r="D16" i="56" s="1"/>
  <c r="Y12" i="56"/>
  <c r="Y10" i="56"/>
  <c r="Y5" i="56"/>
  <c r="AL39" i="55"/>
  <c r="Y13" i="56" l="1"/>
  <c r="AC7" i="56" s="1"/>
  <c r="AC9" i="56" s="1"/>
  <c r="AC18" i="56" s="1"/>
  <c r="Y16" i="56"/>
  <c r="Y28" i="56" s="1"/>
  <c r="Y30" i="56" s="1"/>
  <c r="Y38" i="56" s="1"/>
  <c r="D28" i="56"/>
  <c r="D30" i="56" s="1"/>
  <c r="D38" i="56" s="1"/>
  <c r="T37" i="55"/>
  <c r="P37" i="55"/>
  <c r="L37" i="55"/>
  <c r="H37" i="55"/>
  <c r="D37" i="55"/>
  <c r="Y36" i="55"/>
  <c r="Y35" i="55"/>
  <c r="Y34" i="55"/>
  <c r="Y37" i="55" s="1"/>
  <c r="AF31" i="55"/>
  <c r="AC8" i="55" s="1"/>
  <c r="Y27" i="55"/>
  <c r="Y26" i="55"/>
  <c r="Y25" i="55"/>
  <c r="Y24" i="55"/>
  <c r="Y23" i="55"/>
  <c r="Y22" i="55"/>
  <c r="Y21" i="55"/>
  <c r="Y20" i="55"/>
  <c r="Y19" i="55"/>
  <c r="Y18" i="55"/>
  <c r="AC17" i="55"/>
  <c r="Y17" i="55"/>
  <c r="Y15" i="55"/>
  <c r="AK13" i="55"/>
  <c r="AK12" i="55"/>
  <c r="X12" i="55"/>
  <c r="T12" i="55"/>
  <c r="P12" i="55"/>
  <c r="L12" i="55"/>
  <c r="H12" i="55"/>
  <c r="D12" i="55"/>
  <c r="AK11" i="55"/>
  <c r="X11" i="55"/>
  <c r="T11" i="55"/>
  <c r="P11" i="55"/>
  <c r="L11" i="55"/>
  <c r="H11" i="55"/>
  <c r="D11" i="55"/>
  <c r="AK10" i="55"/>
  <c r="X10" i="55"/>
  <c r="T10" i="55"/>
  <c r="P10" i="55"/>
  <c r="L10" i="55"/>
  <c r="H10" i="55"/>
  <c r="D10" i="55"/>
  <c r="AK9" i="55"/>
  <c r="X9" i="55"/>
  <c r="T9" i="55"/>
  <c r="P9" i="55"/>
  <c r="L9" i="55"/>
  <c r="H9" i="55"/>
  <c r="D9" i="55"/>
  <c r="AK8" i="55"/>
  <c r="X8" i="55"/>
  <c r="T8" i="55"/>
  <c r="P8" i="55"/>
  <c r="L8" i="55"/>
  <c r="H8" i="55"/>
  <c r="D8" i="55"/>
  <c r="AK7" i="55"/>
  <c r="X7" i="55"/>
  <c r="T7" i="55"/>
  <c r="P7" i="55"/>
  <c r="L7" i="55"/>
  <c r="H7" i="55"/>
  <c r="D7" i="55"/>
  <c r="AK6" i="55"/>
  <c r="X6" i="55"/>
  <c r="T6" i="55"/>
  <c r="P6" i="55"/>
  <c r="L6" i="55"/>
  <c r="H6" i="55"/>
  <c r="D6" i="55"/>
  <c r="X5" i="55"/>
  <c r="T5" i="55"/>
  <c r="P5" i="55"/>
  <c r="L5" i="55"/>
  <c r="H5" i="55"/>
  <c r="D5" i="55"/>
  <c r="T13" i="55" l="1"/>
  <c r="T16" i="55" s="1"/>
  <c r="T28" i="55" s="1"/>
  <c r="T30" i="55" s="1"/>
  <c r="T38" i="55" s="1"/>
  <c r="AK14" i="55"/>
  <c r="H13" i="55"/>
  <c r="H16" i="55" s="1"/>
  <c r="H28" i="55" s="1"/>
  <c r="H30" i="55" s="1"/>
  <c r="H38" i="55" s="1"/>
  <c r="Y10" i="55"/>
  <c r="Y12" i="55"/>
  <c r="L13" i="55"/>
  <c r="L16" i="55" s="1"/>
  <c r="L28" i="55" s="1"/>
  <c r="L30" i="55" s="1"/>
  <c r="L38" i="55" s="1"/>
  <c r="Y6" i="55"/>
  <c r="Y7" i="55"/>
  <c r="Y8" i="55"/>
  <c r="P13" i="55"/>
  <c r="P16" i="55" s="1"/>
  <c r="P28" i="55" s="1"/>
  <c r="P30" i="55" s="1"/>
  <c r="P38" i="55" s="1"/>
  <c r="Y11" i="55"/>
  <c r="Y5" i="55"/>
  <c r="D13" i="55"/>
  <c r="D16" i="55" s="1"/>
  <c r="Y9" i="55"/>
  <c r="AL40" i="54"/>
  <c r="Y16" i="55" l="1"/>
  <c r="Y28" i="55" s="1"/>
  <c r="Y30" i="55" s="1"/>
  <c r="Y38" i="55" s="1"/>
  <c r="D28" i="55"/>
  <c r="D30" i="55" s="1"/>
  <c r="D38" i="55" s="1"/>
  <c r="Y13" i="55"/>
  <c r="AC7" i="55" s="1"/>
  <c r="AC9" i="55" s="1"/>
  <c r="AC18" i="55" s="1"/>
  <c r="T37" i="54"/>
  <c r="P37" i="54"/>
  <c r="L37" i="54"/>
  <c r="H37" i="54"/>
  <c r="D37" i="54"/>
  <c r="Y36" i="54"/>
  <c r="Y35" i="54"/>
  <c r="Y34" i="54"/>
  <c r="AF31" i="54"/>
  <c r="AC8" i="54" s="1"/>
  <c r="Y27" i="54"/>
  <c r="Y26" i="54"/>
  <c r="Y25" i="54"/>
  <c r="Y24" i="54"/>
  <c r="Y23" i="54"/>
  <c r="Y22" i="54"/>
  <c r="Y21" i="54"/>
  <c r="Y20" i="54"/>
  <c r="Y19" i="54"/>
  <c r="Y18" i="54"/>
  <c r="AC17" i="54"/>
  <c r="Y17" i="54"/>
  <c r="Y15" i="54"/>
  <c r="AK13" i="54"/>
  <c r="AK12" i="54"/>
  <c r="X12" i="54"/>
  <c r="T12" i="54"/>
  <c r="P12" i="54"/>
  <c r="L12" i="54"/>
  <c r="H12" i="54"/>
  <c r="D12" i="54"/>
  <c r="AK11" i="54"/>
  <c r="X11" i="54"/>
  <c r="T11" i="54"/>
  <c r="P11" i="54"/>
  <c r="L11" i="54"/>
  <c r="H11" i="54"/>
  <c r="D11" i="54"/>
  <c r="AK10" i="54"/>
  <c r="X10" i="54"/>
  <c r="T10" i="54"/>
  <c r="P10" i="54"/>
  <c r="L10" i="54"/>
  <c r="H10" i="54"/>
  <c r="D10" i="54"/>
  <c r="AK9" i="54"/>
  <c r="X9" i="54"/>
  <c r="T9" i="54"/>
  <c r="P9" i="54"/>
  <c r="L9" i="54"/>
  <c r="H9" i="54"/>
  <c r="D9" i="54"/>
  <c r="AK8" i="54"/>
  <c r="X8" i="54"/>
  <c r="T8" i="54"/>
  <c r="P8" i="54"/>
  <c r="L8" i="54"/>
  <c r="H8" i="54"/>
  <c r="D8" i="54"/>
  <c r="AK7" i="54"/>
  <c r="X7" i="54"/>
  <c r="T7" i="54"/>
  <c r="P7" i="54"/>
  <c r="L7" i="54"/>
  <c r="H7" i="54"/>
  <c r="D7" i="54"/>
  <c r="AK6" i="54"/>
  <c r="X6" i="54"/>
  <c r="T6" i="54"/>
  <c r="P6" i="54"/>
  <c r="L6" i="54"/>
  <c r="H6" i="54"/>
  <c r="D6" i="54"/>
  <c r="X5" i="54"/>
  <c r="T5" i="54"/>
  <c r="P5" i="54"/>
  <c r="L5" i="54"/>
  <c r="H5" i="54"/>
  <c r="D5" i="54"/>
  <c r="P13" i="54" l="1"/>
  <c r="P16" i="54" s="1"/>
  <c r="P28" i="54" s="1"/>
  <c r="P30" i="54" s="1"/>
  <c r="P38" i="54" s="1"/>
  <c r="Y12" i="54"/>
  <c r="Y6" i="54"/>
  <c r="AK14" i="54"/>
  <c r="D13" i="54"/>
  <c r="D16" i="54" s="1"/>
  <c r="D28" i="54" s="1"/>
  <c r="D30" i="54" s="1"/>
  <c r="D38" i="54" s="1"/>
  <c r="Y7" i="54"/>
  <c r="T13" i="54"/>
  <c r="T16" i="54" s="1"/>
  <c r="T28" i="54" s="1"/>
  <c r="T30" i="54" s="1"/>
  <c r="T38" i="54" s="1"/>
  <c r="Y8" i="54"/>
  <c r="L13" i="54"/>
  <c r="L16" i="54" s="1"/>
  <c r="L28" i="54" s="1"/>
  <c r="L30" i="54" s="1"/>
  <c r="L38" i="54" s="1"/>
  <c r="Y11" i="54"/>
  <c r="H13" i="54"/>
  <c r="H16" i="54" s="1"/>
  <c r="H28" i="54" s="1"/>
  <c r="H30" i="54" s="1"/>
  <c r="H38" i="54" s="1"/>
  <c r="Y37" i="54"/>
  <c r="Y9" i="54"/>
  <c r="Y5" i="54"/>
  <c r="Y10" i="54"/>
  <c r="D11" i="53"/>
  <c r="Y16" i="54" l="1"/>
  <c r="Y28" i="54" s="1"/>
  <c r="Y30" i="54" s="1"/>
  <c r="Y38" i="54" s="1"/>
  <c r="Y13" i="54"/>
  <c r="AC7" i="54" s="1"/>
  <c r="AC9" i="54" s="1"/>
  <c r="AC18" i="54" s="1"/>
  <c r="T37" i="53"/>
  <c r="P37" i="53"/>
  <c r="L37" i="53"/>
  <c r="H37" i="53"/>
  <c r="D37" i="53"/>
  <c r="Y36" i="53"/>
  <c r="Y35" i="53"/>
  <c r="Y34" i="53"/>
  <c r="AL31" i="53"/>
  <c r="AF31" i="53"/>
  <c r="AC8" i="53" s="1"/>
  <c r="Y27" i="53"/>
  <c r="Y26" i="53"/>
  <c r="Y25" i="53"/>
  <c r="Y24" i="53"/>
  <c r="Y23" i="53"/>
  <c r="Y22" i="53"/>
  <c r="Y21" i="53"/>
  <c r="Y20" i="53"/>
  <c r="Y19" i="53"/>
  <c r="Y18" i="53"/>
  <c r="AC17" i="53"/>
  <c r="Y17" i="53"/>
  <c r="Y15" i="53"/>
  <c r="AK13" i="53"/>
  <c r="AK12" i="53"/>
  <c r="X12" i="53"/>
  <c r="T12" i="53"/>
  <c r="P12" i="53"/>
  <c r="L12" i="53"/>
  <c r="H12" i="53"/>
  <c r="D12" i="53"/>
  <c r="AK11" i="53"/>
  <c r="X11" i="53"/>
  <c r="T11" i="53"/>
  <c r="P11" i="53"/>
  <c r="L11" i="53"/>
  <c r="H11" i="53"/>
  <c r="AK10" i="53"/>
  <c r="X10" i="53"/>
  <c r="T10" i="53"/>
  <c r="P10" i="53"/>
  <c r="L10" i="53"/>
  <c r="H10" i="53"/>
  <c r="D10" i="53"/>
  <c r="AK9" i="53"/>
  <c r="X9" i="53"/>
  <c r="T9" i="53"/>
  <c r="P9" i="53"/>
  <c r="L9" i="53"/>
  <c r="H9" i="53"/>
  <c r="D9" i="53"/>
  <c r="AK8" i="53"/>
  <c r="X8" i="53"/>
  <c r="T8" i="53"/>
  <c r="P8" i="53"/>
  <c r="L8" i="53"/>
  <c r="H8" i="53"/>
  <c r="D8" i="53"/>
  <c r="AK7" i="53"/>
  <c r="X7" i="53"/>
  <c r="T7" i="53"/>
  <c r="P7" i="53"/>
  <c r="L7" i="53"/>
  <c r="H7" i="53"/>
  <c r="D7" i="53"/>
  <c r="AK6" i="53"/>
  <c r="X6" i="53"/>
  <c r="T6" i="53"/>
  <c r="P6" i="53"/>
  <c r="L6" i="53"/>
  <c r="H6" i="53"/>
  <c r="D6" i="53"/>
  <c r="X5" i="53"/>
  <c r="T5" i="53"/>
  <c r="P5" i="53"/>
  <c r="L5" i="53"/>
  <c r="H5" i="53"/>
  <c r="D5" i="53"/>
  <c r="Y5" i="53" l="1"/>
  <c r="Y12" i="53"/>
  <c r="AK14" i="53"/>
  <c r="P13" i="53"/>
  <c r="P16" i="53" s="1"/>
  <c r="P28" i="53" s="1"/>
  <c r="P30" i="53" s="1"/>
  <c r="P38" i="53" s="1"/>
  <c r="Y37" i="53"/>
  <c r="T13" i="53"/>
  <c r="T16" i="53" s="1"/>
  <c r="T28" i="53" s="1"/>
  <c r="T30" i="53" s="1"/>
  <c r="T38" i="53" s="1"/>
  <c r="Y11" i="53"/>
  <c r="Y7" i="53"/>
  <c r="H13" i="53"/>
  <c r="H16" i="53" s="1"/>
  <c r="H28" i="53" s="1"/>
  <c r="H30" i="53" s="1"/>
  <c r="H38" i="53" s="1"/>
  <c r="Y10" i="53"/>
  <c r="Y8" i="53"/>
  <c r="Y9" i="53"/>
  <c r="D13" i="53"/>
  <c r="D16" i="53" s="1"/>
  <c r="D28" i="53" s="1"/>
  <c r="D30" i="53" s="1"/>
  <c r="D38" i="53" s="1"/>
  <c r="L13" i="53"/>
  <c r="L16" i="53" s="1"/>
  <c r="L28" i="53" s="1"/>
  <c r="L30" i="53" s="1"/>
  <c r="L38" i="53" s="1"/>
  <c r="Y6" i="53"/>
  <c r="T37" i="52"/>
  <c r="P37" i="52"/>
  <c r="L37" i="52"/>
  <c r="H37" i="52"/>
  <c r="D37" i="52"/>
  <c r="Y36" i="52"/>
  <c r="Y35" i="52"/>
  <c r="Y34" i="52"/>
  <c r="AL31" i="52"/>
  <c r="AF31" i="52"/>
  <c r="AC8" i="52" s="1"/>
  <c r="Y27" i="52"/>
  <c r="Y26" i="52"/>
  <c r="Y25" i="52"/>
  <c r="Y24" i="52"/>
  <c r="Y23" i="52"/>
  <c r="Y22" i="52"/>
  <c r="Y21" i="52"/>
  <c r="Y20" i="52"/>
  <c r="Y19" i="52"/>
  <c r="Y18" i="52"/>
  <c r="AC17" i="52"/>
  <c r="Y17" i="52"/>
  <c r="Y15" i="52"/>
  <c r="AK13" i="52"/>
  <c r="AK12" i="52"/>
  <c r="X12" i="52"/>
  <c r="T12" i="52"/>
  <c r="P12" i="52"/>
  <c r="L12" i="52"/>
  <c r="H12" i="52"/>
  <c r="D12" i="52"/>
  <c r="AK11" i="52"/>
  <c r="X11" i="52"/>
  <c r="T11" i="52"/>
  <c r="P11" i="52"/>
  <c r="L11" i="52"/>
  <c r="H11" i="52"/>
  <c r="D11" i="52"/>
  <c r="AK10" i="52"/>
  <c r="X10" i="52"/>
  <c r="T10" i="52"/>
  <c r="P10" i="52"/>
  <c r="L10" i="52"/>
  <c r="H10" i="52"/>
  <c r="D10" i="52"/>
  <c r="AK9" i="52"/>
  <c r="X9" i="52"/>
  <c r="T9" i="52"/>
  <c r="P9" i="52"/>
  <c r="L9" i="52"/>
  <c r="H9" i="52"/>
  <c r="D9" i="52"/>
  <c r="AK8" i="52"/>
  <c r="X8" i="52"/>
  <c r="T8" i="52"/>
  <c r="P8" i="52"/>
  <c r="L8" i="52"/>
  <c r="H8" i="52"/>
  <c r="D8" i="52"/>
  <c r="AK7" i="52"/>
  <c r="X7" i="52"/>
  <c r="T7" i="52"/>
  <c r="P7" i="52"/>
  <c r="L7" i="52"/>
  <c r="H7" i="52"/>
  <c r="D7" i="52"/>
  <c r="AK6" i="52"/>
  <c r="X6" i="52"/>
  <c r="T6" i="52"/>
  <c r="P6" i="52"/>
  <c r="L6" i="52"/>
  <c r="H6" i="52"/>
  <c r="D6" i="52"/>
  <c r="X5" i="52"/>
  <c r="T5" i="52"/>
  <c r="P5" i="52"/>
  <c r="L5" i="52"/>
  <c r="H5" i="52"/>
  <c r="D5" i="52"/>
  <c r="T13" i="52" l="1"/>
  <c r="T16" i="52" s="1"/>
  <c r="T28" i="52" s="1"/>
  <c r="T30" i="52" s="1"/>
  <c r="T38" i="52" s="1"/>
  <c r="Y6" i="52"/>
  <c r="Y12" i="52"/>
  <c r="Y13" i="53"/>
  <c r="AC7" i="53" s="1"/>
  <c r="AC9" i="53" s="1"/>
  <c r="AC18" i="53" s="1"/>
  <c r="Y16" i="53"/>
  <c r="Y28" i="53" s="1"/>
  <c r="Y30" i="53" s="1"/>
  <c r="Y38" i="53" s="1"/>
  <c r="AK14" i="52"/>
  <c r="Y37" i="52"/>
  <c r="P13" i="52"/>
  <c r="P16" i="52" s="1"/>
  <c r="P28" i="52" s="1"/>
  <c r="P30" i="52" s="1"/>
  <c r="P38" i="52" s="1"/>
  <c r="Y9" i="52"/>
  <c r="H13" i="52"/>
  <c r="H16" i="52" s="1"/>
  <c r="H28" i="52" s="1"/>
  <c r="H30" i="52" s="1"/>
  <c r="H38" i="52" s="1"/>
  <c r="Y8" i="52"/>
  <c r="Y7" i="52"/>
  <c r="Y11" i="52"/>
  <c r="Y10" i="52"/>
  <c r="L13" i="52"/>
  <c r="L16" i="52" s="1"/>
  <c r="L28" i="52" s="1"/>
  <c r="L30" i="52" s="1"/>
  <c r="L38" i="52" s="1"/>
  <c r="Y5" i="52"/>
  <c r="D13" i="52"/>
  <c r="D16" i="52" s="1"/>
  <c r="Y13" i="52" l="1"/>
  <c r="AC7" i="52" s="1"/>
  <c r="AC9" i="52" s="1"/>
  <c r="AC18" i="52" s="1"/>
  <c r="Y16" i="52"/>
  <c r="Y28" i="52" s="1"/>
  <c r="Y30" i="52" s="1"/>
  <c r="Y38" i="52" s="1"/>
  <c r="D28" i="52"/>
  <c r="D30" i="52" s="1"/>
  <c r="D38" i="52" s="1"/>
  <c r="AL33" i="51" l="1"/>
  <c r="T37" i="51" l="1"/>
  <c r="P37" i="51"/>
  <c r="L37" i="51"/>
  <c r="H37" i="51"/>
  <c r="D37" i="51"/>
  <c r="Y36" i="51"/>
  <c r="Y35" i="51"/>
  <c r="Y34" i="51"/>
  <c r="AF31" i="51"/>
  <c r="AC8" i="51" s="1"/>
  <c r="Y27" i="51"/>
  <c r="Y26" i="51"/>
  <c r="Y25" i="51"/>
  <c r="Y24" i="51"/>
  <c r="Y23" i="51"/>
  <c r="Y22" i="51"/>
  <c r="Y21" i="51"/>
  <c r="Y20" i="51"/>
  <c r="Y19" i="51"/>
  <c r="Y18" i="51"/>
  <c r="AC17" i="51"/>
  <c r="Y17" i="51"/>
  <c r="Y15" i="51"/>
  <c r="AK13" i="51"/>
  <c r="AK12" i="51"/>
  <c r="X12" i="51"/>
  <c r="T12" i="51"/>
  <c r="P12" i="51"/>
  <c r="L12" i="51"/>
  <c r="H12" i="51"/>
  <c r="D12" i="51"/>
  <c r="AK11" i="51"/>
  <c r="X11" i="51"/>
  <c r="T11" i="51"/>
  <c r="P11" i="51"/>
  <c r="L11" i="51"/>
  <c r="H11" i="51"/>
  <c r="D11" i="51"/>
  <c r="AK10" i="51"/>
  <c r="X10" i="51"/>
  <c r="T10" i="51"/>
  <c r="P10" i="51"/>
  <c r="L10" i="51"/>
  <c r="H10" i="51"/>
  <c r="D10" i="51"/>
  <c r="AK9" i="51"/>
  <c r="X9" i="51"/>
  <c r="T9" i="51"/>
  <c r="P9" i="51"/>
  <c r="L9" i="51"/>
  <c r="H9" i="51"/>
  <c r="D9" i="51"/>
  <c r="AK8" i="51"/>
  <c r="X8" i="51"/>
  <c r="T8" i="51"/>
  <c r="P8" i="51"/>
  <c r="L8" i="51"/>
  <c r="H8" i="51"/>
  <c r="D8" i="51"/>
  <c r="AK7" i="51"/>
  <c r="X7" i="51"/>
  <c r="T7" i="51"/>
  <c r="P7" i="51"/>
  <c r="L7" i="51"/>
  <c r="H7" i="51"/>
  <c r="D7" i="51"/>
  <c r="AK6" i="51"/>
  <c r="X6" i="51"/>
  <c r="T6" i="51"/>
  <c r="P6" i="51"/>
  <c r="L6" i="51"/>
  <c r="H6" i="51"/>
  <c r="D6" i="51"/>
  <c r="X5" i="51"/>
  <c r="T5" i="51"/>
  <c r="P5" i="51"/>
  <c r="L5" i="51"/>
  <c r="H5" i="51"/>
  <c r="D5" i="51"/>
  <c r="Y12" i="51" l="1"/>
  <c r="Y5" i="51"/>
  <c r="T13" i="51"/>
  <c r="T16" i="51" s="1"/>
  <c r="T28" i="51" s="1"/>
  <c r="T30" i="51" s="1"/>
  <c r="T38" i="51" s="1"/>
  <c r="AK14" i="51"/>
  <c r="Y9" i="51"/>
  <c r="D13" i="51"/>
  <c r="D16" i="51" s="1"/>
  <c r="D28" i="51" s="1"/>
  <c r="D30" i="51" s="1"/>
  <c r="D38" i="51" s="1"/>
  <c r="Y7" i="51"/>
  <c r="Y8" i="51"/>
  <c r="H13" i="51"/>
  <c r="H16" i="51" s="1"/>
  <c r="H28" i="51" s="1"/>
  <c r="H30" i="51" s="1"/>
  <c r="H38" i="51" s="1"/>
  <c r="Y37" i="51"/>
  <c r="Y11" i="51"/>
  <c r="P13" i="51"/>
  <c r="P16" i="51" s="1"/>
  <c r="P28" i="51" s="1"/>
  <c r="P30" i="51" s="1"/>
  <c r="P38" i="51" s="1"/>
  <c r="Y10" i="51"/>
  <c r="L13" i="51"/>
  <c r="L16" i="51" s="1"/>
  <c r="L28" i="51" s="1"/>
  <c r="L30" i="51" s="1"/>
  <c r="L38" i="51" s="1"/>
  <c r="Y6" i="51"/>
  <c r="AL49" i="49"/>
  <c r="T15" i="50"/>
  <c r="Y15" i="50" s="1"/>
  <c r="T37" i="50"/>
  <c r="P37" i="50"/>
  <c r="L37" i="50"/>
  <c r="H37" i="50"/>
  <c r="D37" i="50"/>
  <c r="Y36" i="50"/>
  <c r="Y35" i="50"/>
  <c r="Y34" i="50"/>
  <c r="AL31" i="50"/>
  <c r="AF31" i="50"/>
  <c r="Y27" i="50"/>
  <c r="Y26" i="50"/>
  <c r="Y25" i="50"/>
  <c r="Y24" i="50"/>
  <c r="Y23" i="50"/>
  <c r="Y22" i="50"/>
  <c r="Y21" i="50"/>
  <c r="Y20" i="50"/>
  <c r="Y19" i="50"/>
  <c r="Y18" i="50"/>
  <c r="AC17" i="50"/>
  <c r="Y17" i="50"/>
  <c r="AK13" i="50"/>
  <c r="AK12" i="50"/>
  <c r="X12" i="50"/>
  <c r="T12" i="50"/>
  <c r="P12" i="50"/>
  <c r="L12" i="50"/>
  <c r="H12" i="50"/>
  <c r="D12" i="50"/>
  <c r="AK11" i="50"/>
  <c r="X11" i="50"/>
  <c r="T11" i="50"/>
  <c r="P11" i="50"/>
  <c r="L11" i="50"/>
  <c r="H11" i="50"/>
  <c r="D11" i="50"/>
  <c r="AK10" i="50"/>
  <c r="X10" i="50"/>
  <c r="T10" i="50"/>
  <c r="P10" i="50"/>
  <c r="L10" i="50"/>
  <c r="H10" i="50"/>
  <c r="D10" i="50"/>
  <c r="Y10" i="50" s="1"/>
  <c r="AK9" i="50"/>
  <c r="X9" i="50"/>
  <c r="T9" i="50"/>
  <c r="P9" i="50"/>
  <c r="L9" i="50"/>
  <c r="H9" i="50"/>
  <c r="D9" i="50"/>
  <c r="AK8" i="50"/>
  <c r="AC8" i="50"/>
  <c r="X8" i="50"/>
  <c r="T8" i="50"/>
  <c r="P8" i="50"/>
  <c r="L8" i="50"/>
  <c r="H8" i="50"/>
  <c r="D8" i="50"/>
  <c r="AK7" i="50"/>
  <c r="X7" i="50"/>
  <c r="T7" i="50"/>
  <c r="P7" i="50"/>
  <c r="L7" i="50"/>
  <c r="H7" i="50"/>
  <c r="D7" i="50"/>
  <c r="AK6" i="50"/>
  <c r="X6" i="50"/>
  <c r="T6" i="50"/>
  <c r="P6" i="50"/>
  <c r="L6" i="50"/>
  <c r="H6" i="50"/>
  <c r="D6" i="50"/>
  <c r="X5" i="50"/>
  <c r="T5" i="50"/>
  <c r="P5" i="50"/>
  <c r="L5" i="50"/>
  <c r="L13" i="50" s="1"/>
  <c r="L16" i="50" s="1"/>
  <c r="L28" i="50" s="1"/>
  <c r="L30" i="50" s="1"/>
  <c r="H5" i="50"/>
  <c r="D5" i="50"/>
  <c r="Y37" i="50" l="1"/>
  <c r="L38" i="50"/>
  <c r="Y13" i="51"/>
  <c r="AC7" i="51" s="1"/>
  <c r="AC9" i="51" s="1"/>
  <c r="AC18" i="51" s="1"/>
  <c r="Y16" i="51"/>
  <c r="Y28" i="51" s="1"/>
  <c r="Y30" i="51" s="1"/>
  <c r="Y38" i="51" s="1"/>
  <c r="AK14" i="50"/>
  <c r="D13" i="50"/>
  <c r="D16" i="50" s="1"/>
  <c r="Y11" i="50"/>
  <c r="H13" i="50"/>
  <c r="H16" i="50" s="1"/>
  <c r="H28" i="50" s="1"/>
  <c r="H30" i="50" s="1"/>
  <c r="H38" i="50" s="1"/>
  <c r="Y7" i="50"/>
  <c r="P13" i="50"/>
  <c r="P16" i="50" s="1"/>
  <c r="P28" i="50" s="1"/>
  <c r="P30" i="50" s="1"/>
  <c r="P38" i="50" s="1"/>
  <c r="Y12" i="50"/>
  <c r="Y8" i="50"/>
  <c r="T13" i="50"/>
  <c r="T16" i="50" s="1"/>
  <c r="T28" i="50" s="1"/>
  <c r="T30" i="50" s="1"/>
  <c r="T38" i="50" s="1"/>
  <c r="D28" i="50"/>
  <c r="D30" i="50" s="1"/>
  <c r="D38" i="50" s="1"/>
  <c r="Y5" i="50"/>
  <c r="Y9" i="50"/>
  <c r="Y6" i="50"/>
  <c r="Y16" i="50" l="1"/>
  <c r="Y28" i="50" s="1"/>
  <c r="Y30" i="50" s="1"/>
  <c r="Y38" i="50" s="1"/>
  <c r="Y13" i="50"/>
  <c r="AC7" i="50" s="1"/>
  <c r="AC9" i="50" s="1"/>
  <c r="AC18" i="50" s="1"/>
  <c r="T37" i="49" l="1"/>
  <c r="P37" i="49"/>
  <c r="L37" i="49"/>
  <c r="H37" i="49"/>
  <c r="D37" i="49"/>
  <c r="Y36" i="49"/>
  <c r="Y35" i="49"/>
  <c r="Y34" i="49"/>
  <c r="AF31" i="49"/>
  <c r="AC8" i="49" s="1"/>
  <c r="Y27" i="49"/>
  <c r="Y26" i="49"/>
  <c r="Y25" i="49"/>
  <c r="Y24" i="49"/>
  <c r="Y23" i="49"/>
  <c r="Y22" i="49"/>
  <c r="Y21" i="49"/>
  <c r="Y20" i="49"/>
  <c r="Y19" i="49"/>
  <c r="Y18" i="49"/>
  <c r="AC17" i="49"/>
  <c r="Y17" i="49"/>
  <c r="Y15" i="49"/>
  <c r="AK13" i="49"/>
  <c r="AK12" i="49"/>
  <c r="X12" i="49"/>
  <c r="T12" i="49"/>
  <c r="P12" i="49"/>
  <c r="L12" i="49"/>
  <c r="H12" i="49"/>
  <c r="D12" i="49"/>
  <c r="AK11" i="49"/>
  <c r="X11" i="49"/>
  <c r="T11" i="49"/>
  <c r="P11" i="49"/>
  <c r="L11" i="49"/>
  <c r="H11" i="49"/>
  <c r="D11" i="49"/>
  <c r="AK10" i="49"/>
  <c r="X10" i="49"/>
  <c r="T10" i="49"/>
  <c r="P10" i="49"/>
  <c r="L10" i="49"/>
  <c r="H10" i="49"/>
  <c r="D10" i="49"/>
  <c r="AK9" i="49"/>
  <c r="X9" i="49"/>
  <c r="T9" i="49"/>
  <c r="P9" i="49"/>
  <c r="L9" i="49"/>
  <c r="H9" i="49"/>
  <c r="D9" i="49"/>
  <c r="AK8" i="49"/>
  <c r="X8" i="49"/>
  <c r="T8" i="49"/>
  <c r="P8" i="49"/>
  <c r="L8" i="49"/>
  <c r="H8" i="49"/>
  <c r="D8" i="49"/>
  <c r="AK7" i="49"/>
  <c r="X7" i="49"/>
  <c r="T7" i="49"/>
  <c r="P7" i="49"/>
  <c r="L7" i="49"/>
  <c r="H7" i="49"/>
  <c r="D7" i="49"/>
  <c r="AK6" i="49"/>
  <c r="X6" i="49"/>
  <c r="T6" i="49"/>
  <c r="P6" i="49"/>
  <c r="L6" i="49"/>
  <c r="H6" i="49"/>
  <c r="D6" i="49"/>
  <c r="X5" i="49"/>
  <c r="T5" i="49"/>
  <c r="P5" i="49"/>
  <c r="L5" i="49"/>
  <c r="H5" i="49"/>
  <c r="D5" i="49"/>
  <c r="Y37" i="49" l="1"/>
  <c r="Y5" i="49"/>
  <c r="T13" i="49"/>
  <c r="T16" i="49" s="1"/>
  <c r="T28" i="49" s="1"/>
  <c r="T30" i="49" s="1"/>
  <c r="T38" i="49" s="1"/>
  <c r="P13" i="49"/>
  <c r="P16" i="49" s="1"/>
  <c r="P28" i="49" s="1"/>
  <c r="P30" i="49" s="1"/>
  <c r="P38" i="49" s="1"/>
  <c r="H13" i="49"/>
  <c r="H16" i="49" s="1"/>
  <c r="H28" i="49" s="1"/>
  <c r="H30" i="49" s="1"/>
  <c r="H38" i="49" s="1"/>
  <c r="Y10" i="49"/>
  <c r="Y7" i="49"/>
  <c r="D13" i="49"/>
  <c r="D16" i="49" s="1"/>
  <c r="D28" i="49" s="1"/>
  <c r="D30" i="49" s="1"/>
  <c r="D38" i="49" s="1"/>
  <c r="Y9" i="49"/>
  <c r="Y8" i="49"/>
  <c r="Y11" i="49"/>
  <c r="Y12" i="49"/>
  <c r="AK14" i="49"/>
  <c r="L13" i="49"/>
  <c r="L16" i="49" s="1"/>
  <c r="L28" i="49" s="1"/>
  <c r="L30" i="49" s="1"/>
  <c r="L38" i="49" s="1"/>
  <c r="Y6" i="49"/>
  <c r="P15" i="48"/>
  <c r="Y16" i="49" l="1"/>
  <c r="Y28" i="49" s="1"/>
  <c r="Y30" i="49" s="1"/>
  <c r="Y38" i="49" s="1"/>
  <c r="Y13" i="49"/>
  <c r="AC7" i="49" s="1"/>
  <c r="AC9" i="49" s="1"/>
  <c r="AC18" i="49" s="1"/>
  <c r="T37" i="48"/>
  <c r="P37" i="48"/>
  <c r="L37" i="48"/>
  <c r="H37" i="48"/>
  <c r="D37" i="48"/>
  <c r="Y36" i="48"/>
  <c r="Y35" i="48"/>
  <c r="Y34" i="48"/>
  <c r="AL31" i="48"/>
  <c r="AF31" i="48"/>
  <c r="AC8" i="48" s="1"/>
  <c r="Y27" i="48"/>
  <c r="Y26" i="48"/>
  <c r="Y25" i="48"/>
  <c r="Y24" i="48"/>
  <c r="Y23" i="48"/>
  <c r="Y22" i="48"/>
  <c r="Y21" i="48"/>
  <c r="Y20" i="48"/>
  <c r="Y19" i="48"/>
  <c r="Y18" i="48"/>
  <c r="AC17" i="48"/>
  <c r="Y17" i="48"/>
  <c r="Y15" i="48"/>
  <c r="AK13" i="48"/>
  <c r="AK12" i="48"/>
  <c r="X12" i="48"/>
  <c r="T12" i="48"/>
  <c r="P12" i="48"/>
  <c r="L12" i="48"/>
  <c r="H12" i="48"/>
  <c r="D12" i="48"/>
  <c r="AK11" i="48"/>
  <c r="X11" i="48"/>
  <c r="T11" i="48"/>
  <c r="P11" i="48"/>
  <c r="L11" i="48"/>
  <c r="H11" i="48"/>
  <c r="D11" i="48"/>
  <c r="AK10" i="48"/>
  <c r="X10" i="48"/>
  <c r="T10" i="48"/>
  <c r="P10" i="48"/>
  <c r="L10" i="48"/>
  <c r="H10" i="48"/>
  <c r="D10" i="48"/>
  <c r="AK9" i="48"/>
  <c r="X9" i="48"/>
  <c r="T9" i="48"/>
  <c r="P9" i="48"/>
  <c r="L9" i="48"/>
  <c r="H9" i="48"/>
  <c r="D9" i="48"/>
  <c r="AK8" i="48"/>
  <c r="X8" i="48"/>
  <c r="T8" i="48"/>
  <c r="P8" i="48"/>
  <c r="L8" i="48"/>
  <c r="H8" i="48"/>
  <c r="D8" i="48"/>
  <c r="AK7" i="48"/>
  <c r="X7" i="48"/>
  <c r="T7" i="48"/>
  <c r="P7" i="48"/>
  <c r="L7" i="48"/>
  <c r="H7" i="48"/>
  <c r="D7" i="48"/>
  <c r="AK6" i="48"/>
  <c r="X6" i="48"/>
  <c r="T6" i="48"/>
  <c r="P6" i="48"/>
  <c r="L6" i="48"/>
  <c r="H6" i="48"/>
  <c r="D6" i="48"/>
  <c r="X5" i="48"/>
  <c r="T5" i="48"/>
  <c r="P5" i="48"/>
  <c r="L5" i="48"/>
  <c r="H5" i="48"/>
  <c r="D5" i="48"/>
  <c r="T13" i="48" l="1"/>
  <c r="T16" i="48" s="1"/>
  <c r="T28" i="48" s="1"/>
  <c r="T30" i="48" s="1"/>
  <c r="T38" i="48" s="1"/>
  <c r="AK14" i="48"/>
  <c r="P13" i="48"/>
  <c r="P16" i="48" s="1"/>
  <c r="P28" i="48" s="1"/>
  <c r="P30" i="48" s="1"/>
  <c r="P38" i="48" s="1"/>
  <c r="Y8" i="48"/>
  <c r="H13" i="48"/>
  <c r="H16" i="48" s="1"/>
  <c r="H28" i="48" s="1"/>
  <c r="H30" i="48" s="1"/>
  <c r="H38" i="48" s="1"/>
  <c r="Y11" i="48"/>
  <c r="Y12" i="48"/>
  <c r="Y6" i="48"/>
  <c r="Y10" i="48"/>
  <c r="Y7" i="48"/>
  <c r="L13" i="48"/>
  <c r="L16" i="48" s="1"/>
  <c r="L28" i="48" s="1"/>
  <c r="L30" i="48" s="1"/>
  <c r="L38" i="48" s="1"/>
  <c r="Y37" i="48"/>
  <c r="Y5" i="48"/>
  <c r="D13" i="48"/>
  <c r="D16" i="48" s="1"/>
  <c r="Y9" i="48"/>
  <c r="Y16" i="48" l="1"/>
  <c r="Y28" i="48" s="1"/>
  <c r="Y30" i="48" s="1"/>
  <c r="Y38" i="48" s="1"/>
  <c r="D28" i="48"/>
  <c r="D30" i="48" s="1"/>
  <c r="D38" i="48" s="1"/>
  <c r="Y13" i="48"/>
  <c r="AC7" i="48" s="1"/>
  <c r="AC9" i="48" s="1"/>
  <c r="AC18" i="48" s="1"/>
  <c r="T37" i="47" l="1"/>
  <c r="P37" i="47"/>
  <c r="L37" i="47"/>
  <c r="H37" i="47"/>
  <c r="D37" i="47"/>
  <c r="Y36" i="47"/>
  <c r="Y35" i="47"/>
  <c r="Y34" i="47"/>
  <c r="AL31" i="47"/>
  <c r="AF31" i="47"/>
  <c r="AC8" i="47" s="1"/>
  <c r="Y27" i="47"/>
  <c r="Y26" i="47"/>
  <c r="Y25" i="47"/>
  <c r="Y24" i="47"/>
  <c r="Y23" i="47"/>
  <c r="Y22" i="47"/>
  <c r="Y21" i="47"/>
  <c r="Y20" i="47"/>
  <c r="Y19" i="47"/>
  <c r="Y18" i="47"/>
  <c r="AC17" i="47"/>
  <c r="Y17" i="47"/>
  <c r="Y15" i="47"/>
  <c r="AK13" i="47"/>
  <c r="AK12" i="47"/>
  <c r="X12" i="47"/>
  <c r="T12" i="47"/>
  <c r="P12" i="47"/>
  <c r="L12" i="47"/>
  <c r="H12" i="47"/>
  <c r="D12" i="47"/>
  <c r="AK11" i="47"/>
  <c r="X11" i="47"/>
  <c r="T11" i="47"/>
  <c r="P11" i="47"/>
  <c r="L11" i="47"/>
  <c r="H11" i="47"/>
  <c r="D11" i="47"/>
  <c r="AK10" i="47"/>
  <c r="X10" i="47"/>
  <c r="T10" i="47"/>
  <c r="P10" i="47"/>
  <c r="L10" i="47"/>
  <c r="H10" i="47"/>
  <c r="D10" i="47"/>
  <c r="AK9" i="47"/>
  <c r="X9" i="47"/>
  <c r="T9" i="47"/>
  <c r="P9" i="47"/>
  <c r="L9" i="47"/>
  <c r="H9" i="47"/>
  <c r="D9" i="47"/>
  <c r="AK8" i="47"/>
  <c r="X8" i="47"/>
  <c r="T8" i="47"/>
  <c r="P8" i="47"/>
  <c r="L8" i="47"/>
  <c r="H8" i="47"/>
  <c r="D8" i="47"/>
  <c r="AK7" i="47"/>
  <c r="X7" i="47"/>
  <c r="T7" i="47"/>
  <c r="P7" i="47"/>
  <c r="L7" i="47"/>
  <c r="H7" i="47"/>
  <c r="D7" i="47"/>
  <c r="AK6" i="47"/>
  <c r="X6" i="47"/>
  <c r="T6" i="47"/>
  <c r="P6" i="47"/>
  <c r="L6" i="47"/>
  <c r="H6" i="47"/>
  <c r="D6" i="47"/>
  <c r="X5" i="47"/>
  <c r="T5" i="47"/>
  <c r="P5" i="47"/>
  <c r="L5" i="47"/>
  <c r="H5" i="47"/>
  <c r="D5" i="47"/>
  <c r="Y7" i="47" l="1"/>
  <c r="P13" i="47"/>
  <c r="P16" i="47" s="1"/>
  <c r="P28" i="47" s="1"/>
  <c r="P30" i="47" s="1"/>
  <c r="P38" i="47" s="1"/>
  <c r="AK14" i="47"/>
  <c r="Y12" i="47"/>
  <c r="D13" i="47"/>
  <c r="D16" i="47" s="1"/>
  <c r="D28" i="47" s="1"/>
  <c r="D30" i="47" s="1"/>
  <c r="D38" i="47" s="1"/>
  <c r="Y9" i="47"/>
  <c r="Y37" i="47"/>
  <c r="Y8" i="47"/>
  <c r="Y6" i="47"/>
  <c r="T13" i="47"/>
  <c r="T16" i="47" s="1"/>
  <c r="T28" i="47" s="1"/>
  <c r="T30" i="47" s="1"/>
  <c r="T38" i="47" s="1"/>
  <c r="Y11" i="47"/>
  <c r="Y10" i="47"/>
  <c r="H13" i="47"/>
  <c r="H16" i="47" s="1"/>
  <c r="H28" i="47" s="1"/>
  <c r="H30" i="47" s="1"/>
  <c r="H38" i="47" s="1"/>
  <c r="L13" i="47"/>
  <c r="L16" i="47" s="1"/>
  <c r="L28" i="47" s="1"/>
  <c r="L30" i="47" s="1"/>
  <c r="L38" i="47" s="1"/>
  <c r="Y5" i="47"/>
  <c r="G10" i="46"/>
  <c r="G11" i="46"/>
  <c r="Y13" i="47" l="1"/>
  <c r="AC7" i="47" s="1"/>
  <c r="AC9" i="47" s="1"/>
  <c r="AC18" i="47" s="1"/>
  <c r="Y16" i="47"/>
  <c r="Y28" i="47" s="1"/>
  <c r="Y30" i="47" s="1"/>
  <c r="Y38" i="47" s="1"/>
  <c r="T37" i="46"/>
  <c r="P37" i="46"/>
  <c r="L37" i="46"/>
  <c r="H37" i="46"/>
  <c r="D37" i="46"/>
  <c r="Y36" i="46"/>
  <c r="Y35" i="46"/>
  <c r="Y34" i="46"/>
  <c r="AL31" i="46"/>
  <c r="AF31" i="46"/>
  <c r="AC8" i="46" s="1"/>
  <c r="Y27" i="46"/>
  <c r="Y26" i="46"/>
  <c r="Y25" i="46"/>
  <c r="Y24" i="46"/>
  <c r="Y23" i="46"/>
  <c r="Y22" i="46"/>
  <c r="Y21" i="46"/>
  <c r="Y20" i="46"/>
  <c r="Y19" i="46"/>
  <c r="Y18" i="46"/>
  <c r="AC17" i="46"/>
  <c r="Y17" i="46"/>
  <c r="Y15" i="46"/>
  <c r="AK13" i="46"/>
  <c r="AK12" i="46"/>
  <c r="X12" i="46"/>
  <c r="T12" i="46"/>
  <c r="P12" i="46"/>
  <c r="L12" i="46"/>
  <c r="H12" i="46"/>
  <c r="D12" i="46"/>
  <c r="AK11" i="46"/>
  <c r="X11" i="46"/>
  <c r="T11" i="46"/>
  <c r="P11" i="46"/>
  <c r="L11" i="46"/>
  <c r="H11" i="46"/>
  <c r="D11" i="46"/>
  <c r="AK10" i="46"/>
  <c r="X10" i="46"/>
  <c r="T10" i="46"/>
  <c r="P10" i="46"/>
  <c r="L10" i="46"/>
  <c r="H10" i="46"/>
  <c r="D10" i="46"/>
  <c r="AK9" i="46"/>
  <c r="X9" i="46"/>
  <c r="T9" i="46"/>
  <c r="P9" i="46"/>
  <c r="L9" i="46"/>
  <c r="H9" i="46"/>
  <c r="D9" i="46"/>
  <c r="AK8" i="46"/>
  <c r="X8" i="46"/>
  <c r="T8" i="46"/>
  <c r="P8" i="46"/>
  <c r="L8" i="46"/>
  <c r="H8" i="46"/>
  <c r="D8" i="46"/>
  <c r="AK7" i="46"/>
  <c r="X7" i="46"/>
  <c r="T7" i="46"/>
  <c r="P7" i="46"/>
  <c r="L7" i="46"/>
  <c r="H7" i="46"/>
  <c r="D7" i="46"/>
  <c r="AK6" i="46"/>
  <c r="X6" i="46"/>
  <c r="T6" i="46"/>
  <c r="P6" i="46"/>
  <c r="L6" i="46"/>
  <c r="H6" i="46"/>
  <c r="D6" i="46"/>
  <c r="X5" i="46"/>
  <c r="T5" i="46"/>
  <c r="P5" i="46"/>
  <c r="L5" i="46"/>
  <c r="H5" i="46"/>
  <c r="D5" i="46"/>
  <c r="T13" i="46" l="1"/>
  <c r="T16" i="46" s="1"/>
  <c r="T28" i="46" s="1"/>
  <c r="T30" i="46" s="1"/>
  <c r="T38" i="46" s="1"/>
  <c r="AK14" i="46"/>
  <c r="Y37" i="46"/>
  <c r="Y8" i="46"/>
  <c r="P13" i="46"/>
  <c r="P16" i="46" s="1"/>
  <c r="P28" i="46" s="1"/>
  <c r="P30" i="46" s="1"/>
  <c r="P38" i="46" s="1"/>
  <c r="L13" i="46"/>
  <c r="L16" i="46" s="1"/>
  <c r="L28" i="46" s="1"/>
  <c r="L30" i="46" s="1"/>
  <c r="L38" i="46" s="1"/>
  <c r="D13" i="46"/>
  <c r="D16" i="46" s="1"/>
  <c r="D28" i="46" s="1"/>
  <c r="D30" i="46" s="1"/>
  <c r="D38" i="46" s="1"/>
  <c r="Y11" i="46"/>
  <c r="Y12" i="46"/>
  <c r="Y6" i="46"/>
  <c r="Y7" i="46"/>
  <c r="H13" i="46"/>
  <c r="H16" i="46" s="1"/>
  <c r="H28" i="46" s="1"/>
  <c r="H30" i="46" s="1"/>
  <c r="H38" i="46" s="1"/>
  <c r="Y9" i="46"/>
  <c r="Y10" i="46"/>
  <c r="Y5" i="46"/>
  <c r="AL36" i="45"/>
  <c r="Y16" i="46" l="1"/>
  <c r="Y28" i="46" s="1"/>
  <c r="Y30" i="46" s="1"/>
  <c r="Y38" i="46" s="1"/>
  <c r="Y13" i="46"/>
  <c r="AC7" i="46" s="1"/>
  <c r="AC9" i="46" s="1"/>
  <c r="AC18" i="46" s="1"/>
  <c r="T37" i="45"/>
  <c r="P37" i="45"/>
  <c r="L37" i="45"/>
  <c r="H37" i="45"/>
  <c r="D37" i="45"/>
  <c r="Y36" i="45"/>
  <c r="Y35" i="45"/>
  <c r="Y34" i="45"/>
  <c r="AF31" i="45"/>
  <c r="AC8" i="45" s="1"/>
  <c r="Y27" i="45"/>
  <c r="Y26" i="45"/>
  <c r="Y25" i="45"/>
  <c r="Y24" i="45"/>
  <c r="Y23" i="45"/>
  <c r="Y22" i="45"/>
  <c r="Y21" i="45"/>
  <c r="Y20" i="45"/>
  <c r="Y19" i="45"/>
  <c r="Y18" i="45"/>
  <c r="AC17" i="45"/>
  <c r="Y17" i="45"/>
  <c r="Y15" i="45"/>
  <c r="AK13" i="45"/>
  <c r="AK12" i="45"/>
  <c r="X12" i="45"/>
  <c r="T12" i="45"/>
  <c r="P12" i="45"/>
  <c r="L12" i="45"/>
  <c r="H12" i="45"/>
  <c r="D12" i="45"/>
  <c r="AK11" i="45"/>
  <c r="X11" i="45"/>
  <c r="T11" i="45"/>
  <c r="P11" i="45"/>
  <c r="L11" i="45"/>
  <c r="H11" i="45"/>
  <c r="D11" i="45"/>
  <c r="AK10" i="45"/>
  <c r="X10" i="45"/>
  <c r="T10" i="45"/>
  <c r="P10" i="45"/>
  <c r="L10" i="45"/>
  <c r="H10" i="45"/>
  <c r="D10" i="45"/>
  <c r="AK9" i="45"/>
  <c r="X9" i="45"/>
  <c r="T9" i="45"/>
  <c r="P9" i="45"/>
  <c r="L9" i="45"/>
  <c r="H9" i="45"/>
  <c r="D9" i="45"/>
  <c r="AK8" i="45"/>
  <c r="X8" i="45"/>
  <c r="T8" i="45"/>
  <c r="P8" i="45"/>
  <c r="L8" i="45"/>
  <c r="H8" i="45"/>
  <c r="D8" i="45"/>
  <c r="AK7" i="45"/>
  <c r="X7" i="45"/>
  <c r="T7" i="45"/>
  <c r="P7" i="45"/>
  <c r="L7" i="45"/>
  <c r="H7" i="45"/>
  <c r="D7" i="45"/>
  <c r="AK6" i="45"/>
  <c r="X6" i="45"/>
  <c r="T6" i="45"/>
  <c r="P6" i="45"/>
  <c r="L6" i="45"/>
  <c r="H6" i="45"/>
  <c r="D6" i="45"/>
  <c r="X5" i="45"/>
  <c r="T5" i="45"/>
  <c r="P5" i="45"/>
  <c r="L5" i="45"/>
  <c r="H5" i="45"/>
  <c r="D5" i="45"/>
  <c r="L13" i="45" l="1"/>
  <c r="L16" i="45" s="1"/>
  <c r="L28" i="45" s="1"/>
  <c r="L30" i="45" s="1"/>
  <c r="L38" i="45" s="1"/>
  <c r="D13" i="45"/>
  <c r="D16" i="45" s="1"/>
  <c r="D28" i="45" s="1"/>
  <c r="D30" i="45" s="1"/>
  <c r="D38" i="45" s="1"/>
  <c r="T13" i="45"/>
  <c r="T16" i="45" s="1"/>
  <c r="T28" i="45" s="1"/>
  <c r="T30" i="45" s="1"/>
  <c r="T38" i="45" s="1"/>
  <c r="Y37" i="45"/>
  <c r="AK14" i="45"/>
  <c r="Y8" i="45"/>
  <c r="Y7" i="45"/>
  <c r="H13" i="45"/>
  <c r="H16" i="45" s="1"/>
  <c r="H28" i="45" s="1"/>
  <c r="H30" i="45" s="1"/>
  <c r="H38" i="45" s="1"/>
  <c r="Y12" i="45"/>
  <c r="Y11" i="45"/>
  <c r="Y10" i="45"/>
  <c r="P13" i="45"/>
  <c r="P16" i="45" s="1"/>
  <c r="P28" i="45" s="1"/>
  <c r="P30" i="45" s="1"/>
  <c r="P38" i="45" s="1"/>
  <c r="Y5" i="45"/>
  <c r="Y9" i="45"/>
  <c r="Y6" i="45"/>
  <c r="AF35" i="44"/>
  <c r="AL35" i="44"/>
  <c r="Y16" i="45" l="1"/>
  <c r="Y28" i="45" s="1"/>
  <c r="Y30" i="45" s="1"/>
  <c r="Y38" i="45" s="1"/>
  <c r="Y13" i="45"/>
  <c r="AC7" i="45" s="1"/>
  <c r="AC9" i="45" s="1"/>
  <c r="AC18" i="45" s="1"/>
  <c r="T37" i="44"/>
  <c r="P37" i="44"/>
  <c r="L37" i="44"/>
  <c r="H37" i="44"/>
  <c r="D37" i="44"/>
  <c r="Y36" i="44"/>
  <c r="Y35" i="44"/>
  <c r="Y34" i="44"/>
  <c r="Y37" i="44" s="1"/>
  <c r="Y27" i="44"/>
  <c r="Y26" i="44"/>
  <c r="Y25" i="44"/>
  <c r="Y24" i="44"/>
  <c r="Y23" i="44"/>
  <c r="Y22" i="44"/>
  <c r="Y21" i="44"/>
  <c r="Y20" i="44"/>
  <c r="Y19" i="44"/>
  <c r="Y18" i="44"/>
  <c r="AC17" i="44"/>
  <c r="Y17" i="44"/>
  <c r="Y15" i="44"/>
  <c r="AK13" i="44"/>
  <c r="AK12" i="44"/>
  <c r="X12" i="44"/>
  <c r="T12" i="44"/>
  <c r="P12" i="44"/>
  <c r="L12" i="44"/>
  <c r="H12" i="44"/>
  <c r="D12" i="44"/>
  <c r="AK11" i="44"/>
  <c r="X11" i="44"/>
  <c r="T11" i="44"/>
  <c r="P11" i="44"/>
  <c r="L11" i="44"/>
  <c r="H11" i="44"/>
  <c r="D11" i="44"/>
  <c r="AK10" i="44"/>
  <c r="X10" i="44"/>
  <c r="T10" i="44"/>
  <c r="P10" i="44"/>
  <c r="L10" i="44"/>
  <c r="H10" i="44"/>
  <c r="D10" i="44"/>
  <c r="AK9" i="44"/>
  <c r="X9" i="44"/>
  <c r="T9" i="44"/>
  <c r="P9" i="44"/>
  <c r="L9" i="44"/>
  <c r="H9" i="44"/>
  <c r="D9" i="44"/>
  <c r="AK8" i="44"/>
  <c r="AC8" i="44"/>
  <c r="X8" i="44"/>
  <c r="T8" i="44"/>
  <c r="P8" i="44"/>
  <c r="L8" i="44"/>
  <c r="H8" i="44"/>
  <c r="D8" i="44"/>
  <c r="AK7" i="44"/>
  <c r="X7" i="44"/>
  <c r="T7" i="44"/>
  <c r="P7" i="44"/>
  <c r="L7" i="44"/>
  <c r="H7" i="44"/>
  <c r="D7" i="44"/>
  <c r="AK6" i="44"/>
  <c r="X6" i="44"/>
  <c r="T6" i="44"/>
  <c r="P6" i="44"/>
  <c r="L6" i="44"/>
  <c r="H6" i="44"/>
  <c r="D6" i="44"/>
  <c r="X5" i="44"/>
  <c r="T5" i="44"/>
  <c r="P5" i="44"/>
  <c r="L5" i="44"/>
  <c r="H5" i="44"/>
  <c r="D5" i="44"/>
  <c r="P13" i="44" l="1"/>
  <c r="P16" i="44" s="1"/>
  <c r="P28" i="44" s="1"/>
  <c r="P30" i="44" s="1"/>
  <c r="P38" i="44" s="1"/>
  <c r="Y11" i="44"/>
  <c r="Y12" i="44"/>
  <c r="T13" i="44"/>
  <c r="T16" i="44" s="1"/>
  <c r="T28" i="44" s="1"/>
  <c r="T30" i="44" s="1"/>
  <c r="T38" i="44" s="1"/>
  <c r="Y7" i="44"/>
  <c r="L13" i="44"/>
  <c r="L16" i="44" s="1"/>
  <c r="L28" i="44" s="1"/>
  <c r="L30" i="44" s="1"/>
  <c r="L38" i="44" s="1"/>
  <c r="D13" i="44"/>
  <c r="D16" i="44" s="1"/>
  <c r="D28" i="44" s="1"/>
  <c r="D30" i="44" s="1"/>
  <c r="D38" i="44" s="1"/>
  <c r="Y6" i="44"/>
  <c r="AK14" i="44"/>
  <c r="Y10" i="44"/>
  <c r="Y8" i="44"/>
  <c r="Y9" i="44"/>
  <c r="H13" i="44"/>
  <c r="H16" i="44" s="1"/>
  <c r="H28" i="44" s="1"/>
  <c r="H30" i="44" s="1"/>
  <c r="H38" i="44" s="1"/>
  <c r="Y5" i="44"/>
  <c r="T37" i="43"/>
  <c r="P37" i="43"/>
  <c r="L37" i="43"/>
  <c r="H37" i="43"/>
  <c r="D37" i="43"/>
  <c r="Y36" i="43"/>
  <c r="Y35" i="43"/>
  <c r="Y34" i="43"/>
  <c r="Y37" i="43" s="1"/>
  <c r="AL31" i="43"/>
  <c r="AF31" i="43"/>
  <c r="AC8" i="43" s="1"/>
  <c r="Y27" i="43"/>
  <c r="Y26" i="43"/>
  <c r="Y25" i="43"/>
  <c r="Y24" i="43"/>
  <c r="Y23" i="43"/>
  <c r="Y22" i="43"/>
  <c r="Y21" i="43"/>
  <c r="Y20" i="43"/>
  <c r="Y19" i="43"/>
  <c r="Y18" i="43"/>
  <c r="AC17" i="43"/>
  <c r="Y17" i="43"/>
  <c r="Y15" i="43"/>
  <c r="AK13" i="43"/>
  <c r="AK12" i="43"/>
  <c r="X12" i="43"/>
  <c r="T12" i="43"/>
  <c r="P12" i="43"/>
  <c r="L12" i="43"/>
  <c r="H12" i="43"/>
  <c r="D12" i="43"/>
  <c r="AK11" i="43"/>
  <c r="X11" i="43"/>
  <c r="T11" i="43"/>
  <c r="P11" i="43"/>
  <c r="L11" i="43"/>
  <c r="H11" i="43"/>
  <c r="D11" i="43"/>
  <c r="AK10" i="43"/>
  <c r="X10" i="43"/>
  <c r="T10" i="43"/>
  <c r="P10" i="43"/>
  <c r="L10" i="43"/>
  <c r="H10" i="43"/>
  <c r="D10" i="43"/>
  <c r="AK9" i="43"/>
  <c r="X9" i="43"/>
  <c r="T9" i="43"/>
  <c r="P9" i="43"/>
  <c r="L9" i="43"/>
  <c r="H9" i="43"/>
  <c r="D9" i="43"/>
  <c r="AK8" i="43"/>
  <c r="X8" i="43"/>
  <c r="T8" i="43"/>
  <c r="P8" i="43"/>
  <c r="L8" i="43"/>
  <c r="H8" i="43"/>
  <c r="D8" i="43"/>
  <c r="AK7" i="43"/>
  <c r="X7" i="43"/>
  <c r="T7" i="43"/>
  <c r="P7" i="43"/>
  <c r="L7" i="43"/>
  <c r="H7" i="43"/>
  <c r="Y7" i="43" s="1"/>
  <c r="D7" i="43"/>
  <c r="AK6" i="43"/>
  <c r="X6" i="43"/>
  <c r="T6" i="43"/>
  <c r="P6" i="43"/>
  <c r="L6" i="43"/>
  <c r="H6" i="43"/>
  <c r="D6" i="43"/>
  <c r="X5" i="43"/>
  <c r="T5" i="43"/>
  <c r="P5" i="43"/>
  <c r="L5" i="43"/>
  <c r="H5" i="43"/>
  <c r="D5" i="43"/>
  <c r="T13" i="43" l="1"/>
  <c r="T16" i="43" s="1"/>
  <c r="T28" i="43" s="1"/>
  <c r="T30" i="43" s="1"/>
  <c r="T38" i="43" s="1"/>
  <c r="Y13" i="44"/>
  <c r="AC7" i="44" s="1"/>
  <c r="AC9" i="44" s="1"/>
  <c r="AC18" i="44" s="1"/>
  <c r="Y16" i="44"/>
  <c r="Y28" i="44" s="1"/>
  <c r="Y30" i="44" s="1"/>
  <c r="Y38" i="44" s="1"/>
  <c r="AK14" i="43"/>
  <c r="Y6" i="43"/>
  <c r="D13" i="43"/>
  <c r="D16" i="43" s="1"/>
  <c r="D28" i="43" s="1"/>
  <c r="D30" i="43" s="1"/>
  <c r="D38" i="43" s="1"/>
  <c r="Y12" i="43"/>
  <c r="H13" i="43"/>
  <c r="H16" i="43" s="1"/>
  <c r="H28" i="43" s="1"/>
  <c r="H30" i="43" s="1"/>
  <c r="H38" i="43" s="1"/>
  <c r="L13" i="43"/>
  <c r="L16" i="43" s="1"/>
  <c r="L28" i="43" s="1"/>
  <c r="L30" i="43" s="1"/>
  <c r="L38" i="43" s="1"/>
  <c r="Y11" i="43"/>
  <c r="Y9" i="43"/>
  <c r="Y8" i="43"/>
  <c r="P13" i="43"/>
  <c r="P16" i="43" s="1"/>
  <c r="P28" i="43" s="1"/>
  <c r="P30" i="43" s="1"/>
  <c r="P38" i="43" s="1"/>
  <c r="Y10" i="43"/>
  <c r="Y5" i="43"/>
  <c r="Y16" i="43" l="1"/>
  <c r="Y28" i="43" s="1"/>
  <c r="Y30" i="43" s="1"/>
  <c r="Y38" i="43" s="1"/>
  <c r="Y13" i="43"/>
  <c r="AC7" i="43" s="1"/>
  <c r="AC9" i="43" s="1"/>
  <c r="AC18" i="43" s="1"/>
  <c r="AL48" i="42"/>
  <c r="T37" i="42" l="1"/>
  <c r="P37" i="42"/>
  <c r="L37" i="42"/>
  <c r="H37" i="42"/>
  <c r="D37" i="42"/>
  <c r="Y36" i="42"/>
  <c r="Y34" i="42"/>
  <c r="AF31" i="42"/>
  <c r="AC8" i="42" s="1"/>
  <c r="Y27" i="42"/>
  <c r="Y26" i="42"/>
  <c r="Y25" i="42"/>
  <c r="Y24" i="42"/>
  <c r="Y23" i="42"/>
  <c r="Y22" i="42"/>
  <c r="Y21" i="42"/>
  <c r="Y20" i="42"/>
  <c r="Y19" i="42"/>
  <c r="Y18" i="42"/>
  <c r="AC17" i="42"/>
  <c r="Y17" i="42"/>
  <c r="Y15" i="42"/>
  <c r="AK13" i="42"/>
  <c r="AK12" i="42"/>
  <c r="X12" i="42"/>
  <c r="T12" i="42"/>
  <c r="P12" i="42"/>
  <c r="L12" i="42"/>
  <c r="H12" i="42"/>
  <c r="D12" i="42"/>
  <c r="AK11" i="42"/>
  <c r="X11" i="42"/>
  <c r="T11" i="42"/>
  <c r="P11" i="42"/>
  <c r="L11" i="42"/>
  <c r="H11" i="42"/>
  <c r="D11" i="42"/>
  <c r="AK10" i="42"/>
  <c r="X10" i="42"/>
  <c r="T10" i="42"/>
  <c r="P10" i="42"/>
  <c r="L10" i="42"/>
  <c r="H10" i="42"/>
  <c r="D10" i="42"/>
  <c r="AK9" i="42"/>
  <c r="X9" i="42"/>
  <c r="T9" i="42"/>
  <c r="P9" i="42"/>
  <c r="L9" i="42"/>
  <c r="H9" i="42"/>
  <c r="D9" i="42"/>
  <c r="AK8" i="42"/>
  <c r="X8" i="42"/>
  <c r="T8" i="42"/>
  <c r="P8" i="42"/>
  <c r="L8" i="42"/>
  <c r="H8" i="42"/>
  <c r="D8" i="42"/>
  <c r="AK7" i="42"/>
  <c r="X7" i="42"/>
  <c r="T7" i="42"/>
  <c r="P7" i="42"/>
  <c r="L7" i="42"/>
  <c r="H7" i="42"/>
  <c r="D7" i="42"/>
  <c r="AK6" i="42"/>
  <c r="X6" i="42"/>
  <c r="T6" i="42"/>
  <c r="P6" i="42"/>
  <c r="L6" i="42"/>
  <c r="H6" i="42"/>
  <c r="D6" i="42"/>
  <c r="X5" i="42"/>
  <c r="T5" i="42"/>
  <c r="P5" i="42"/>
  <c r="L5" i="42"/>
  <c r="H5" i="42"/>
  <c r="D5" i="42"/>
  <c r="AK14" i="42" l="1"/>
  <c r="Y11" i="42"/>
  <c r="L13" i="42"/>
  <c r="L16" i="42" s="1"/>
  <c r="L28" i="42" s="1"/>
  <c r="L30" i="42" s="1"/>
  <c r="L38" i="42" s="1"/>
  <c r="Y12" i="42"/>
  <c r="Y10" i="42"/>
  <c r="Y9" i="42"/>
  <c r="P13" i="42"/>
  <c r="P16" i="42" s="1"/>
  <c r="P28" i="42" s="1"/>
  <c r="P30" i="42" s="1"/>
  <c r="P38" i="42" s="1"/>
  <c r="Y5" i="42"/>
  <c r="Y6" i="42"/>
  <c r="Y8" i="42"/>
  <c r="Y7" i="42"/>
  <c r="T13" i="42"/>
  <c r="T16" i="42" s="1"/>
  <c r="T28" i="42" s="1"/>
  <c r="T30" i="42" s="1"/>
  <c r="T38" i="42" s="1"/>
  <c r="D13" i="42"/>
  <c r="D16" i="42" s="1"/>
  <c r="H13" i="42"/>
  <c r="H16" i="42" s="1"/>
  <c r="H28" i="42" s="1"/>
  <c r="H30" i="42" s="1"/>
  <c r="H38" i="42" s="1"/>
  <c r="T37" i="41"/>
  <c r="P37" i="41"/>
  <c r="L37" i="41"/>
  <c r="H37" i="41"/>
  <c r="D37" i="41"/>
  <c r="Y36" i="41"/>
  <c r="Y35" i="41"/>
  <c r="Y34" i="41"/>
  <c r="AL31" i="41"/>
  <c r="AF31" i="41"/>
  <c r="Y27" i="41"/>
  <c r="Y26" i="41"/>
  <c r="Y25" i="41"/>
  <c r="Y24" i="41"/>
  <c r="Y23" i="41"/>
  <c r="Y22" i="41"/>
  <c r="Y21" i="41"/>
  <c r="Y20" i="41"/>
  <c r="Y19" i="41"/>
  <c r="Y18" i="41"/>
  <c r="AC17" i="41"/>
  <c r="Y17" i="41"/>
  <c r="Y15" i="41"/>
  <c r="AK13" i="41"/>
  <c r="AK12" i="41"/>
  <c r="X12" i="41"/>
  <c r="T12" i="41"/>
  <c r="P12" i="41"/>
  <c r="L12" i="41"/>
  <c r="H12" i="41"/>
  <c r="D12" i="41"/>
  <c r="AK11" i="41"/>
  <c r="X11" i="41"/>
  <c r="T11" i="41"/>
  <c r="P11" i="41"/>
  <c r="L11" i="41"/>
  <c r="H11" i="41"/>
  <c r="D11" i="41"/>
  <c r="Y11" i="41" s="1"/>
  <c r="AK10" i="41"/>
  <c r="X10" i="41"/>
  <c r="T10" i="41"/>
  <c r="P10" i="41"/>
  <c r="L10" i="41"/>
  <c r="H10" i="41"/>
  <c r="D10" i="41"/>
  <c r="AK9" i="41"/>
  <c r="X9" i="41"/>
  <c r="T9" i="41"/>
  <c r="P9" i="41"/>
  <c r="L9" i="41"/>
  <c r="H9" i="41"/>
  <c r="D9" i="41"/>
  <c r="AK8" i="41"/>
  <c r="AC8" i="41"/>
  <c r="X8" i="41"/>
  <c r="T8" i="41"/>
  <c r="P8" i="41"/>
  <c r="L8" i="41"/>
  <c r="H8" i="41"/>
  <c r="D8" i="41"/>
  <c r="AK7" i="41"/>
  <c r="X7" i="41"/>
  <c r="T7" i="41"/>
  <c r="P7" i="41"/>
  <c r="L7" i="41"/>
  <c r="H7" i="41"/>
  <c r="D7" i="41"/>
  <c r="AK6" i="41"/>
  <c r="X6" i="41"/>
  <c r="T6" i="41"/>
  <c r="P6" i="41"/>
  <c r="L6" i="41"/>
  <c r="H6" i="41"/>
  <c r="D6" i="41"/>
  <c r="X5" i="41"/>
  <c r="T5" i="41"/>
  <c r="P5" i="41"/>
  <c r="L5" i="41"/>
  <c r="H5" i="41"/>
  <c r="D5" i="41"/>
  <c r="Y5" i="41" l="1"/>
  <c r="T13" i="41"/>
  <c r="T16" i="41" s="1"/>
  <c r="T28" i="41" s="1"/>
  <c r="T30" i="41" s="1"/>
  <c r="Y13" i="42"/>
  <c r="AC7" i="42" s="1"/>
  <c r="AC9" i="42" s="1"/>
  <c r="AC18" i="42" s="1"/>
  <c r="Y16" i="42"/>
  <c r="Y28" i="42" s="1"/>
  <c r="Y30" i="42" s="1"/>
  <c r="D28" i="42"/>
  <c r="D30" i="42" s="1"/>
  <c r="D38" i="42" s="1"/>
  <c r="Y9" i="41"/>
  <c r="D13" i="41"/>
  <c r="D16" i="41" s="1"/>
  <c r="D28" i="41" s="1"/>
  <c r="D30" i="41" s="1"/>
  <c r="D38" i="41" s="1"/>
  <c r="AK14" i="41"/>
  <c r="H13" i="41"/>
  <c r="H16" i="41" s="1"/>
  <c r="H28" i="41" s="1"/>
  <c r="H30" i="41" s="1"/>
  <c r="H38" i="41" s="1"/>
  <c r="Y37" i="41"/>
  <c r="T38" i="41"/>
  <c r="Y12" i="41"/>
  <c r="Y10" i="41"/>
  <c r="Y8" i="41"/>
  <c r="Y7" i="41"/>
  <c r="P13" i="41"/>
  <c r="P16" i="41" s="1"/>
  <c r="P28" i="41" s="1"/>
  <c r="P30" i="41" s="1"/>
  <c r="P38" i="41" s="1"/>
  <c r="L13" i="41"/>
  <c r="L16" i="41" s="1"/>
  <c r="L28" i="41" s="1"/>
  <c r="L30" i="41" s="1"/>
  <c r="L38" i="41" s="1"/>
  <c r="Y6" i="41"/>
  <c r="T37" i="40"/>
  <c r="P37" i="40"/>
  <c r="L37" i="40"/>
  <c r="H37" i="40"/>
  <c r="D37" i="40"/>
  <c r="Y36" i="40"/>
  <c r="Y35" i="40"/>
  <c r="Y34" i="40"/>
  <c r="AL31" i="40"/>
  <c r="AF31" i="40"/>
  <c r="AC8" i="40" s="1"/>
  <c r="Y27" i="40"/>
  <c r="Y26" i="40"/>
  <c r="Y25" i="40"/>
  <c r="Y24" i="40"/>
  <c r="Y23" i="40"/>
  <c r="Y22" i="40"/>
  <c r="Y21" i="40"/>
  <c r="Y20" i="40"/>
  <c r="Y19" i="40"/>
  <c r="Y18" i="40"/>
  <c r="AC17" i="40"/>
  <c r="Y17" i="40"/>
  <c r="Y15" i="40"/>
  <c r="AK13" i="40"/>
  <c r="AK12" i="40"/>
  <c r="X12" i="40"/>
  <c r="T12" i="40"/>
  <c r="P12" i="40"/>
  <c r="L12" i="40"/>
  <c r="H12" i="40"/>
  <c r="D12" i="40"/>
  <c r="AK11" i="40"/>
  <c r="X11" i="40"/>
  <c r="T11" i="40"/>
  <c r="P11" i="40"/>
  <c r="L11" i="40"/>
  <c r="H11" i="40"/>
  <c r="D11" i="40"/>
  <c r="AK10" i="40"/>
  <c r="X10" i="40"/>
  <c r="T10" i="40"/>
  <c r="P10" i="40"/>
  <c r="L10" i="40"/>
  <c r="H10" i="40"/>
  <c r="D10" i="40"/>
  <c r="AK9" i="40"/>
  <c r="X9" i="40"/>
  <c r="T9" i="40"/>
  <c r="P9" i="40"/>
  <c r="L9" i="40"/>
  <c r="H9" i="40"/>
  <c r="D9" i="40"/>
  <c r="AK8" i="40"/>
  <c r="X8" i="40"/>
  <c r="T8" i="40"/>
  <c r="P8" i="40"/>
  <c r="L8" i="40"/>
  <c r="H8" i="40"/>
  <c r="D8" i="40"/>
  <c r="AK7" i="40"/>
  <c r="X7" i="40"/>
  <c r="T7" i="40"/>
  <c r="P7" i="40"/>
  <c r="L7" i="40"/>
  <c r="H7" i="40"/>
  <c r="D7" i="40"/>
  <c r="AK6" i="40"/>
  <c r="X6" i="40"/>
  <c r="T6" i="40"/>
  <c r="P6" i="40"/>
  <c r="L6" i="40"/>
  <c r="H6" i="40"/>
  <c r="D6" i="40"/>
  <c r="X5" i="40"/>
  <c r="T5" i="40"/>
  <c r="P5" i="40"/>
  <c r="L5" i="40"/>
  <c r="H5" i="40"/>
  <c r="D5" i="40"/>
  <c r="Y7" i="40" l="1"/>
  <c r="D13" i="40"/>
  <c r="D16" i="40" s="1"/>
  <c r="Y13" i="41"/>
  <c r="AC7" i="41" s="1"/>
  <c r="AC9" i="41" s="1"/>
  <c r="AC18" i="41" s="1"/>
  <c r="Y16" i="41"/>
  <c r="Y28" i="41" s="1"/>
  <c r="Y30" i="41" s="1"/>
  <c r="Y38" i="41" s="1"/>
  <c r="AK14" i="40"/>
  <c r="Y12" i="40"/>
  <c r="T13" i="40"/>
  <c r="T16" i="40" s="1"/>
  <c r="T28" i="40" s="1"/>
  <c r="T30" i="40" s="1"/>
  <c r="T38" i="40" s="1"/>
  <c r="Y37" i="40"/>
  <c r="Y11" i="40"/>
  <c r="L13" i="40"/>
  <c r="L16" i="40" s="1"/>
  <c r="L28" i="40" s="1"/>
  <c r="L30" i="40" s="1"/>
  <c r="L38" i="40" s="1"/>
  <c r="H13" i="40"/>
  <c r="H16" i="40" s="1"/>
  <c r="H28" i="40" s="1"/>
  <c r="H30" i="40" s="1"/>
  <c r="H38" i="40" s="1"/>
  <c r="P13" i="40"/>
  <c r="P16" i="40" s="1"/>
  <c r="P28" i="40" s="1"/>
  <c r="P30" i="40" s="1"/>
  <c r="P38" i="40" s="1"/>
  <c r="Y8" i="40"/>
  <c r="Y6" i="40"/>
  <c r="D28" i="40"/>
  <c r="D30" i="40" s="1"/>
  <c r="D38" i="40" s="1"/>
  <c r="Y10" i="40"/>
  <c r="Y9" i="40"/>
  <c r="Y5" i="40"/>
  <c r="AL35" i="39"/>
  <c r="Y16" i="40" l="1"/>
  <c r="Y28" i="40" s="1"/>
  <c r="Y30" i="40" s="1"/>
  <c r="Y38" i="40" s="1"/>
  <c r="Y13" i="40"/>
  <c r="AC7" i="40" s="1"/>
  <c r="AC9" i="40" s="1"/>
  <c r="AC18" i="40" s="1"/>
  <c r="P37" i="39"/>
  <c r="L37" i="39"/>
  <c r="H37" i="39"/>
  <c r="D37" i="39"/>
  <c r="Y36" i="39"/>
  <c r="Y35" i="39"/>
  <c r="Y34" i="39"/>
  <c r="AF31" i="39"/>
  <c r="AC8" i="39" s="1"/>
  <c r="Y27" i="39"/>
  <c r="Y26" i="39"/>
  <c r="Y25" i="39"/>
  <c r="Y24" i="39"/>
  <c r="Y23" i="39"/>
  <c r="Y22" i="39"/>
  <c r="Y21" i="39"/>
  <c r="Y20" i="39"/>
  <c r="Y19" i="39"/>
  <c r="Y18" i="39"/>
  <c r="AC17" i="39"/>
  <c r="Y17" i="39"/>
  <c r="Y15" i="39"/>
  <c r="AK13" i="39"/>
  <c r="AK12" i="39"/>
  <c r="X12" i="39"/>
  <c r="T12" i="39"/>
  <c r="P12" i="39"/>
  <c r="L12" i="39"/>
  <c r="H12" i="39"/>
  <c r="D12" i="39"/>
  <c r="AK11" i="39"/>
  <c r="X11" i="39"/>
  <c r="T11" i="39"/>
  <c r="P11" i="39"/>
  <c r="L11" i="39"/>
  <c r="H11" i="39"/>
  <c r="D11" i="39"/>
  <c r="AK10" i="39"/>
  <c r="X10" i="39"/>
  <c r="T10" i="39"/>
  <c r="P10" i="39"/>
  <c r="L10" i="39"/>
  <c r="H10" i="39"/>
  <c r="D10" i="39"/>
  <c r="AK9" i="39"/>
  <c r="X9" i="39"/>
  <c r="T9" i="39"/>
  <c r="P9" i="39"/>
  <c r="L9" i="39"/>
  <c r="H9" i="39"/>
  <c r="D9" i="39"/>
  <c r="AK8" i="39"/>
  <c r="X8" i="39"/>
  <c r="T8" i="39"/>
  <c r="P8" i="39"/>
  <c r="L8" i="39"/>
  <c r="H8" i="39"/>
  <c r="D8" i="39"/>
  <c r="AK7" i="39"/>
  <c r="X7" i="39"/>
  <c r="T7" i="39"/>
  <c r="P7" i="39"/>
  <c r="L7" i="39"/>
  <c r="H7" i="39"/>
  <c r="D7" i="39"/>
  <c r="AK6" i="39"/>
  <c r="X6" i="39"/>
  <c r="T6" i="39"/>
  <c r="P6" i="39"/>
  <c r="L6" i="39"/>
  <c r="H6" i="39"/>
  <c r="D6" i="39"/>
  <c r="X5" i="39"/>
  <c r="T5" i="39"/>
  <c r="P5" i="39"/>
  <c r="L5" i="39"/>
  <c r="H5" i="39"/>
  <c r="D5" i="39"/>
  <c r="D13" i="39" s="1"/>
  <c r="D16" i="39" s="1"/>
  <c r="Y8" i="39" l="1"/>
  <c r="T13" i="39"/>
  <c r="T16" i="39" s="1"/>
  <c r="T28" i="39" s="1"/>
  <c r="T30" i="39" s="1"/>
  <c r="AK14" i="39"/>
  <c r="Y37" i="39"/>
  <c r="Y10" i="39"/>
  <c r="Y12" i="39"/>
  <c r="Y6" i="39"/>
  <c r="Y11" i="39"/>
  <c r="P13" i="39"/>
  <c r="P16" i="39" s="1"/>
  <c r="P28" i="39" s="1"/>
  <c r="P30" i="39" s="1"/>
  <c r="P38" i="39" s="1"/>
  <c r="Y9" i="39"/>
  <c r="Y7" i="39"/>
  <c r="D28" i="39"/>
  <c r="D30" i="39" s="1"/>
  <c r="D38" i="39" s="1"/>
  <c r="L13" i="39"/>
  <c r="L16" i="39" s="1"/>
  <c r="L28" i="39" s="1"/>
  <c r="L30" i="39" s="1"/>
  <c r="L38" i="39" s="1"/>
  <c r="H13" i="39"/>
  <c r="H16" i="39" s="1"/>
  <c r="H28" i="39" s="1"/>
  <c r="H30" i="39" s="1"/>
  <c r="H38" i="39" s="1"/>
  <c r="Y5" i="39"/>
  <c r="T37" i="38"/>
  <c r="P37" i="38"/>
  <c r="L37" i="38"/>
  <c r="H37" i="38"/>
  <c r="D37" i="38"/>
  <c r="Y36" i="38"/>
  <c r="Y35" i="38"/>
  <c r="Y34" i="38"/>
  <c r="Y37" i="38" s="1"/>
  <c r="AL31" i="38"/>
  <c r="AF31" i="38"/>
  <c r="AC8" i="38" s="1"/>
  <c r="Y27" i="38"/>
  <c r="Y26" i="38"/>
  <c r="Y25" i="38"/>
  <c r="Y24" i="38"/>
  <c r="Y23" i="38"/>
  <c r="Y22" i="38"/>
  <c r="Y21" i="38"/>
  <c r="Y20" i="38"/>
  <c r="Y19" i="38"/>
  <c r="Y18" i="38"/>
  <c r="AC17" i="38"/>
  <c r="Y17" i="38"/>
  <c r="Y15" i="38"/>
  <c r="AK13" i="38"/>
  <c r="AK12" i="38"/>
  <c r="X12" i="38"/>
  <c r="T12" i="38"/>
  <c r="P12" i="38"/>
  <c r="L12" i="38"/>
  <c r="H12" i="38"/>
  <c r="D12" i="38"/>
  <c r="AK11" i="38"/>
  <c r="X11" i="38"/>
  <c r="T11" i="38"/>
  <c r="P11" i="38"/>
  <c r="L11" i="38"/>
  <c r="H11" i="38"/>
  <c r="D11" i="38"/>
  <c r="AK10" i="38"/>
  <c r="X10" i="38"/>
  <c r="T10" i="38"/>
  <c r="P10" i="38"/>
  <c r="L10" i="38"/>
  <c r="H10" i="38"/>
  <c r="D10" i="38"/>
  <c r="AK9" i="38"/>
  <c r="X9" i="38"/>
  <c r="T9" i="38"/>
  <c r="P9" i="38"/>
  <c r="L9" i="38"/>
  <c r="H9" i="38"/>
  <c r="D9" i="38"/>
  <c r="AK8" i="38"/>
  <c r="X8" i="38"/>
  <c r="T8" i="38"/>
  <c r="P8" i="38"/>
  <c r="L8" i="38"/>
  <c r="H8" i="38"/>
  <c r="D8" i="38"/>
  <c r="AK7" i="38"/>
  <c r="X7" i="38"/>
  <c r="T7" i="38"/>
  <c r="P7" i="38"/>
  <c r="L7" i="38"/>
  <c r="H7" i="38"/>
  <c r="D7" i="38"/>
  <c r="AK6" i="38"/>
  <c r="X6" i="38"/>
  <c r="T6" i="38"/>
  <c r="P6" i="38"/>
  <c r="L6" i="38"/>
  <c r="H6" i="38"/>
  <c r="D6" i="38"/>
  <c r="X5" i="38"/>
  <c r="T5" i="38"/>
  <c r="P5" i="38"/>
  <c r="L5" i="38"/>
  <c r="H5" i="38"/>
  <c r="D5" i="38"/>
  <c r="D13" i="38" s="1"/>
  <c r="D16" i="38" s="1"/>
  <c r="T13" i="38" l="1"/>
  <c r="T16" i="38" s="1"/>
  <c r="T28" i="38" s="1"/>
  <c r="T30" i="38" s="1"/>
  <c r="T38" i="38" s="1"/>
  <c r="Y13" i="39"/>
  <c r="AC7" i="39" s="1"/>
  <c r="AC9" i="39" s="1"/>
  <c r="AC18" i="39" s="1"/>
  <c r="Y16" i="39"/>
  <c r="Y28" i="39" s="1"/>
  <c r="Y30" i="39" s="1"/>
  <c r="Y38" i="39" s="1"/>
  <c r="L13" i="38"/>
  <c r="L16" i="38" s="1"/>
  <c r="L28" i="38" s="1"/>
  <c r="L30" i="38" s="1"/>
  <c r="L38" i="38" s="1"/>
  <c r="Y9" i="38"/>
  <c r="Y7" i="38"/>
  <c r="AK14" i="38"/>
  <c r="Y12" i="38"/>
  <c r="Y11" i="38"/>
  <c r="P13" i="38"/>
  <c r="P16" i="38" s="1"/>
  <c r="P28" i="38" s="1"/>
  <c r="P30" i="38" s="1"/>
  <c r="P38" i="38" s="1"/>
  <c r="Y10" i="38"/>
  <c r="Y8" i="38"/>
  <c r="Y6" i="38"/>
  <c r="D28" i="38"/>
  <c r="D30" i="38" s="1"/>
  <c r="D38" i="38" s="1"/>
  <c r="H13" i="38"/>
  <c r="H16" i="38" s="1"/>
  <c r="H28" i="38" s="1"/>
  <c r="H30" i="38" s="1"/>
  <c r="H38" i="38" s="1"/>
  <c r="Y5" i="38"/>
  <c r="AF36" i="37"/>
  <c r="Y13" i="38" l="1"/>
  <c r="AC7" i="38" s="1"/>
  <c r="AC9" i="38" s="1"/>
  <c r="AC18" i="38" s="1"/>
  <c r="Y16" i="38"/>
  <c r="Y28" i="38" s="1"/>
  <c r="Y30" i="38" s="1"/>
  <c r="Y38" i="38" s="1"/>
  <c r="AL42" i="37"/>
  <c r="T37" i="37" l="1"/>
  <c r="P37" i="37"/>
  <c r="L37" i="37"/>
  <c r="H37" i="37"/>
  <c r="D37" i="37"/>
  <c r="Y36" i="37"/>
  <c r="Y35" i="37"/>
  <c r="Y34" i="37"/>
  <c r="AC8" i="37"/>
  <c r="Y27" i="37"/>
  <c r="Y26" i="37"/>
  <c r="Y25" i="37"/>
  <c r="Y24" i="37"/>
  <c r="Y23" i="37"/>
  <c r="Y22" i="37"/>
  <c r="Y21" i="37"/>
  <c r="Y20" i="37"/>
  <c r="Y19" i="37"/>
  <c r="Y18" i="37"/>
  <c r="AC17" i="37"/>
  <c r="Y17" i="37"/>
  <c r="Y15" i="37"/>
  <c r="AK13" i="37"/>
  <c r="AK12" i="37"/>
  <c r="X12" i="37"/>
  <c r="T12" i="37"/>
  <c r="P12" i="37"/>
  <c r="L12" i="37"/>
  <c r="H12" i="37"/>
  <c r="D12" i="37"/>
  <c r="AK11" i="37"/>
  <c r="X11" i="37"/>
  <c r="T11" i="37"/>
  <c r="P11" i="37"/>
  <c r="L11" i="37"/>
  <c r="H11" i="37"/>
  <c r="D11" i="37"/>
  <c r="AK10" i="37"/>
  <c r="X10" i="37"/>
  <c r="T10" i="37"/>
  <c r="P10" i="37"/>
  <c r="L10" i="37"/>
  <c r="H10" i="37"/>
  <c r="D10" i="37"/>
  <c r="AK9" i="37"/>
  <c r="X9" i="37"/>
  <c r="T9" i="37"/>
  <c r="T13" i="37" s="1"/>
  <c r="T16" i="37" s="1"/>
  <c r="T28" i="37" s="1"/>
  <c r="T30" i="37" s="1"/>
  <c r="T38" i="37" s="1"/>
  <c r="P9" i="37"/>
  <c r="L9" i="37"/>
  <c r="H9" i="37"/>
  <c r="D9" i="37"/>
  <c r="AK8" i="37"/>
  <c r="X8" i="37"/>
  <c r="T8" i="37"/>
  <c r="P8" i="37"/>
  <c r="L8" i="37"/>
  <c r="H8" i="37"/>
  <c r="D8" i="37"/>
  <c r="AK7" i="37"/>
  <c r="X7" i="37"/>
  <c r="T7" i="37"/>
  <c r="P7" i="37"/>
  <c r="L7" i="37"/>
  <c r="H7" i="37"/>
  <c r="D7" i="37"/>
  <c r="AK6" i="37"/>
  <c r="X6" i="37"/>
  <c r="T6" i="37"/>
  <c r="P6" i="37"/>
  <c r="L6" i="37"/>
  <c r="H6" i="37"/>
  <c r="D6" i="37"/>
  <c r="X5" i="37"/>
  <c r="T5" i="37"/>
  <c r="P5" i="37"/>
  <c r="L5" i="37"/>
  <c r="D5" i="37"/>
  <c r="Y9" i="37" l="1"/>
  <c r="AK14" i="37"/>
  <c r="Y12" i="37"/>
  <c r="Y8" i="37"/>
  <c r="L13" i="37"/>
  <c r="L16" i="37" s="1"/>
  <c r="L28" i="37" s="1"/>
  <c r="L30" i="37" s="1"/>
  <c r="L38" i="37" s="1"/>
  <c r="H13" i="37"/>
  <c r="H16" i="37" s="1"/>
  <c r="H28" i="37" s="1"/>
  <c r="H30" i="37" s="1"/>
  <c r="H38" i="37" s="1"/>
  <c r="Y7" i="37"/>
  <c r="Y6" i="37"/>
  <c r="Y37" i="37"/>
  <c r="Y11" i="37"/>
  <c r="Y10" i="37"/>
  <c r="P13" i="37"/>
  <c r="P16" i="37" s="1"/>
  <c r="P28" i="37" s="1"/>
  <c r="P30" i="37" s="1"/>
  <c r="P38" i="37" s="1"/>
  <c r="Y5" i="37"/>
  <c r="D13" i="37"/>
  <c r="D16" i="37" s="1"/>
  <c r="AL35" i="1"/>
  <c r="Y13" i="37" l="1"/>
  <c r="AC7" i="37" s="1"/>
  <c r="AC9" i="37" s="1"/>
  <c r="AC18" i="37" s="1"/>
  <c r="Y16" i="37"/>
  <c r="Y28" i="37" s="1"/>
  <c r="Y30" i="37" s="1"/>
  <c r="Y38" i="37" s="1"/>
  <c r="D28" i="37"/>
  <c r="D30" i="37" s="1"/>
  <c r="D38" i="37" s="1"/>
  <c r="T37" i="1"/>
  <c r="P37" i="1"/>
  <c r="L37" i="1"/>
  <c r="H37" i="1"/>
  <c r="D37" i="1"/>
  <c r="Y36" i="1"/>
  <c r="Y35" i="1"/>
  <c r="Y34" i="1"/>
  <c r="AF31" i="1"/>
  <c r="AC8" i="1" s="1"/>
  <c r="Y27" i="1"/>
  <c r="Y26" i="1"/>
  <c r="Y25" i="1"/>
  <c r="Y24" i="1"/>
  <c r="Y23" i="1"/>
  <c r="Y22" i="1"/>
  <c r="Y21" i="1"/>
  <c r="Y20" i="1"/>
  <c r="Y19" i="1"/>
  <c r="Y18" i="1"/>
  <c r="AC17" i="1"/>
  <c r="Y17" i="1"/>
  <c r="Y15" i="1"/>
  <c r="AK13" i="1"/>
  <c r="AK12" i="1"/>
  <c r="X12" i="1"/>
  <c r="T12" i="1"/>
  <c r="P12" i="1"/>
  <c r="L12" i="1"/>
  <c r="H12" i="1"/>
  <c r="D12" i="1"/>
  <c r="AK11" i="1"/>
  <c r="X11" i="1"/>
  <c r="T11" i="1"/>
  <c r="P11" i="1"/>
  <c r="L11" i="1"/>
  <c r="H11" i="1"/>
  <c r="D11" i="1"/>
  <c r="AK10" i="1"/>
  <c r="X10" i="1"/>
  <c r="T10" i="1"/>
  <c r="P10" i="1"/>
  <c r="L10" i="1"/>
  <c r="H10" i="1"/>
  <c r="D10" i="1"/>
  <c r="AK9" i="1"/>
  <c r="X9" i="1"/>
  <c r="T9" i="1"/>
  <c r="P9" i="1"/>
  <c r="L9" i="1"/>
  <c r="H9" i="1"/>
  <c r="D9" i="1"/>
  <c r="AK8" i="1"/>
  <c r="X8" i="1"/>
  <c r="T8" i="1"/>
  <c r="P8" i="1"/>
  <c r="L8" i="1"/>
  <c r="H8" i="1"/>
  <c r="D8" i="1"/>
  <c r="AK7" i="1"/>
  <c r="X7" i="1"/>
  <c r="T7" i="1"/>
  <c r="P7" i="1"/>
  <c r="L7" i="1"/>
  <c r="H7" i="1"/>
  <c r="D7" i="1"/>
  <c r="AK6" i="1"/>
  <c r="X6" i="1"/>
  <c r="T6" i="1"/>
  <c r="P6" i="1"/>
  <c r="L6" i="1"/>
  <c r="H6" i="1"/>
  <c r="D6" i="1"/>
  <c r="X5" i="1"/>
  <c r="T5" i="1"/>
  <c r="P5" i="1"/>
  <c r="L5" i="1"/>
  <c r="H5" i="1"/>
  <c r="D5" i="1"/>
  <c r="D13" i="1" l="1"/>
  <c r="D16" i="1" s="1"/>
  <c r="D28" i="1" s="1"/>
  <c r="D30" i="1" s="1"/>
  <c r="D38" i="1" s="1"/>
  <c r="AK14" i="1"/>
  <c r="Y12" i="1"/>
  <c r="T13" i="1"/>
  <c r="T16" i="1" s="1"/>
  <c r="T28" i="1" s="1"/>
  <c r="T30" i="1" s="1"/>
  <c r="T38" i="1" s="1"/>
  <c r="Y37" i="1"/>
  <c r="Y10" i="1"/>
  <c r="Y9" i="1"/>
  <c r="Y5" i="1"/>
  <c r="H13" i="1"/>
  <c r="H16" i="1" s="1"/>
  <c r="H28" i="1" s="1"/>
  <c r="H30" i="1" s="1"/>
  <c r="H38" i="1" s="1"/>
  <c r="Y7" i="1"/>
  <c r="Y8" i="1"/>
  <c r="Y11" i="1"/>
  <c r="P13" i="1"/>
  <c r="P16" i="1" s="1"/>
  <c r="P28" i="1" s="1"/>
  <c r="P30" i="1" s="1"/>
  <c r="P38" i="1" s="1"/>
  <c r="L13" i="1"/>
  <c r="L16" i="1" s="1"/>
  <c r="L28" i="1" s="1"/>
  <c r="L30" i="1" s="1"/>
  <c r="L38" i="1" s="1"/>
  <c r="Y6" i="1"/>
  <c r="Y13" i="1" l="1"/>
  <c r="AC7" i="1" s="1"/>
  <c r="AC9" i="1" s="1"/>
  <c r="AC18" i="1" s="1"/>
  <c r="Y16" i="1"/>
  <c r="Y28" i="1" s="1"/>
  <c r="Y30" i="1" s="1"/>
  <c r="Y38" i="1" s="1"/>
  <c r="AL31" i="16" l="1"/>
  <c r="AF31" i="16"/>
  <c r="T37" i="16" l="1"/>
  <c r="P37" i="16"/>
  <c r="L37" i="16"/>
  <c r="H37" i="16"/>
  <c r="D37" i="16"/>
  <c r="Y36" i="16"/>
  <c r="Y35" i="16"/>
  <c r="Y34" i="16"/>
  <c r="AC8" i="16"/>
  <c r="Y27" i="16"/>
  <c r="Y26" i="16"/>
  <c r="Y25" i="16"/>
  <c r="Y24" i="16"/>
  <c r="Y23" i="16"/>
  <c r="Y22" i="16"/>
  <c r="Y21" i="16"/>
  <c r="Y20" i="16"/>
  <c r="Y19" i="16"/>
  <c r="Y18" i="16"/>
  <c r="AC17" i="16"/>
  <c r="Y17" i="16"/>
  <c r="AK13" i="16"/>
  <c r="AK12" i="16"/>
  <c r="Y15" i="16"/>
  <c r="AK11" i="16"/>
  <c r="AK10" i="16"/>
  <c r="AK9" i="16"/>
  <c r="X12" i="16"/>
  <c r="T12" i="16"/>
  <c r="P12" i="16"/>
  <c r="L12" i="16"/>
  <c r="H12" i="16"/>
  <c r="D12" i="16"/>
  <c r="AK8" i="16"/>
  <c r="X11" i="16"/>
  <c r="T11" i="16"/>
  <c r="P11" i="16"/>
  <c r="L11" i="16"/>
  <c r="H11" i="16"/>
  <c r="D11" i="16"/>
  <c r="AK7" i="16"/>
  <c r="X10" i="16"/>
  <c r="T10" i="16"/>
  <c r="P10" i="16"/>
  <c r="L10" i="16"/>
  <c r="H10" i="16"/>
  <c r="D10" i="16"/>
  <c r="AK6" i="16"/>
  <c r="X9" i="16"/>
  <c r="T9" i="16"/>
  <c r="P9" i="16"/>
  <c r="L9" i="16"/>
  <c r="H9" i="16"/>
  <c r="D9" i="16"/>
  <c r="X8" i="16"/>
  <c r="T8" i="16"/>
  <c r="P8" i="16"/>
  <c r="L8" i="16"/>
  <c r="H8" i="16"/>
  <c r="D8" i="16"/>
  <c r="X7" i="16"/>
  <c r="T7" i="16"/>
  <c r="P7" i="16"/>
  <c r="L7" i="16"/>
  <c r="H7" i="16"/>
  <c r="D7" i="16"/>
  <c r="X6" i="16"/>
  <c r="T6" i="16"/>
  <c r="P6" i="16"/>
  <c r="L6" i="16"/>
  <c r="H6" i="16"/>
  <c r="D6" i="16"/>
  <c r="X5" i="16"/>
  <c r="T5" i="16"/>
  <c r="P5" i="16"/>
  <c r="L5" i="16"/>
  <c r="H5" i="16"/>
  <c r="D5" i="16"/>
  <c r="Y37" i="16" l="1"/>
  <c r="T13" i="16"/>
  <c r="T16" i="16" s="1"/>
  <c r="T28" i="16" s="1"/>
  <c r="T30" i="16" s="1"/>
  <c r="T38" i="16" s="1"/>
  <c r="AK14" i="16"/>
  <c r="Y12" i="16"/>
  <c r="P13" i="16"/>
  <c r="P16" i="16" s="1"/>
  <c r="P28" i="16" s="1"/>
  <c r="P30" i="16" s="1"/>
  <c r="P38" i="16" s="1"/>
  <c r="Y11" i="16"/>
  <c r="H13" i="16"/>
  <c r="H16" i="16" s="1"/>
  <c r="H28" i="16" s="1"/>
  <c r="H30" i="16" s="1"/>
  <c r="H38" i="16" s="1"/>
  <c r="Y7" i="16"/>
  <c r="Y10" i="16"/>
  <c r="Y5" i="16"/>
  <c r="D13" i="16"/>
  <c r="D16" i="16" s="1"/>
  <c r="D28" i="16" s="1"/>
  <c r="D30" i="16" s="1"/>
  <c r="D38" i="16" s="1"/>
  <c r="Y9" i="16"/>
  <c r="Y8" i="16"/>
  <c r="L13" i="16"/>
  <c r="L16" i="16" s="1"/>
  <c r="L28" i="16" s="1"/>
  <c r="L30" i="16" s="1"/>
  <c r="L38" i="16" s="1"/>
  <c r="Y6" i="16"/>
  <c r="Y16" i="16" l="1"/>
  <c r="Y28" i="16" s="1"/>
  <c r="Y30" i="16" s="1"/>
  <c r="Y38" i="16" s="1"/>
  <c r="Y13" i="16"/>
  <c r="AC7" i="16" s="1"/>
  <c r="AC9" i="16" s="1"/>
  <c r="AC18" i="16" s="1"/>
  <c r="Y35" i="42" l="1"/>
  <c r="Y37" i="42" s="1"/>
  <c r="Y38" i="42" s="1"/>
</calcChain>
</file>

<file path=xl/comments1.xml><?xml version="1.0" encoding="utf-8"?>
<comments xmlns="http://schemas.openxmlformats.org/spreadsheetml/2006/main">
  <authors>
    <author>TOSHIBA</author>
  </authors>
  <commentList>
    <comment ref="AC14" authorId="0" shapeId="0">
      <text>
        <r>
          <rPr>
            <sz val="9"/>
            <color indexed="81"/>
            <rFont val="Tahoma"/>
            <family val="2"/>
          </rPr>
          <t xml:space="preserve">
Adjusted in Aug-25 Advance
</t>
        </r>
      </text>
    </comment>
    <comment ref="AC15" authorId="0" shapeId="0">
      <text>
        <r>
          <rPr>
            <b/>
            <sz val="9"/>
            <color indexed="81"/>
            <rFont val="Tahoma"/>
            <family val="2"/>
          </rPr>
          <t>Adv Sep-25</t>
        </r>
      </text>
    </comment>
  </commentList>
</comments>
</file>

<file path=xl/comments2.xml><?xml version="1.0" encoding="utf-8"?>
<comments xmlns="http://schemas.openxmlformats.org/spreadsheetml/2006/main">
  <authors>
    <author>TOSHIBA</author>
  </authors>
  <commentList>
    <comment ref="G24" authorId="0" shapeId="0">
      <text>
        <r>
          <rPr>
            <b/>
            <sz val="9"/>
            <color indexed="81"/>
            <rFont val="Tahoma"/>
            <family val="2"/>
          </rPr>
          <t>Advance salary Sep-25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FOC Bill-4109990</t>
        </r>
      </text>
    </comment>
    <comment ref="AL25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bill-1490 (8074)
bill-1700 (43516)</t>
        </r>
      </text>
    </comment>
    <comment ref="H34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FOC Bill-4109990</t>
        </r>
      </text>
    </comment>
  </commentList>
</comments>
</file>

<file path=xl/comments3.xml><?xml version="1.0" encoding="utf-8"?>
<comments xmlns="http://schemas.openxmlformats.org/spreadsheetml/2006/main">
  <authors>
    <author>TOSHIBA</author>
  </authors>
  <commentList>
    <comment ref="N35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Noor Prosivan Madersa</t>
        </r>
      </text>
    </comment>
  </commentList>
</comments>
</file>

<file path=xl/comments4.xml><?xml version="1.0" encoding="utf-8"?>
<comments xmlns="http://schemas.openxmlformats.org/spreadsheetml/2006/main">
  <authors>
    <author>TOSHIBA</author>
  </authors>
  <commentList>
    <comment ref="AL28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Bill-18430
Bill-3500</t>
        </r>
      </text>
    </comment>
  </commentList>
</comments>
</file>

<file path=xl/comments5.xml><?xml version="1.0" encoding="utf-8"?>
<comments xmlns="http://schemas.openxmlformats.org/spreadsheetml/2006/main">
  <authors>
    <author>TOSHIBA</author>
  </authors>
  <commentList>
    <comment ref="AE18" authorId="0" shapeId="0">
      <text>
        <r>
          <rPr>
            <b/>
            <sz val="9"/>
            <color indexed="81"/>
            <rFont val="Tahoma"/>
            <family val="2"/>
          </rPr>
          <t>WH RECOVERY 
36780(22-09-2025)</t>
        </r>
        <r>
          <rPr>
            <sz val="9"/>
            <color indexed="81"/>
            <rFont val="Tahoma"/>
            <family val="2"/>
          </rPr>
          <t xml:space="preserve">
SLIP NO 0989495 HABIB METRO BANK</t>
        </r>
      </text>
    </comment>
    <comment ref="J23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FOC</t>
        </r>
      </text>
    </comment>
  </commentList>
</comments>
</file>

<file path=xl/comments6.xml><?xml version="1.0" encoding="utf-8"?>
<comments xmlns="http://schemas.openxmlformats.org/spreadsheetml/2006/main">
  <authors>
    <author>TOSHIBA</author>
  </authors>
  <commentList>
    <comment ref="R35" authorId="0" shapeId="0">
      <text>
        <r>
          <rPr>
            <b/>
            <sz val="9"/>
            <color indexed="81"/>
            <rFont val="Tahoma"/>
            <family val="2"/>
          </rPr>
          <t>TOSHIBA:B-3080(Choice)</t>
        </r>
      </text>
    </comment>
  </commentList>
</comments>
</file>

<file path=xl/comments7.xml><?xml version="1.0" encoding="utf-8"?>
<comments xmlns="http://schemas.openxmlformats.org/spreadsheetml/2006/main">
  <authors>
    <author>TOSHIBA</author>
  </authors>
  <commentList>
    <comment ref="AD24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FOC </t>
        </r>
      </text>
    </comment>
    <comment ref="AD25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FOC</t>
        </r>
      </text>
    </comment>
  </commentList>
</comments>
</file>

<file path=xl/comments8.xml><?xml version="1.0" encoding="utf-8"?>
<comments xmlns="http://schemas.openxmlformats.org/spreadsheetml/2006/main">
  <authors>
    <author>TOSHIBA</author>
  </authors>
  <commentList>
    <comment ref="C23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Cola bottal 4 box</t>
        </r>
      </text>
    </comment>
  </commentList>
</comments>
</file>

<file path=xl/comments9.xml><?xml version="1.0" encoding="utf-8"?>
<comments xmlns="http://schemas.openxmlformats.org/spreadsheetml/2006/main">
  <authors>
    <author>TOSHIBA</author>
  </authors>
  <commentList>
    <comment ref="AD27" authorId="0" shapeId="0">
      <text>
        <r>
          <rPr>
            <b/>
            <sz val="9"/>
            <color indexed="81"/>
            <rFont val="Tahoma"/>
            <family val="2"/>
          </rPr>
          <t>TOSHIBA:</t>
        </r>
        <r>
          <rPr>
            <sz val="9"/>
            <color indexed="81"/>
            <rFont val="Tahoma"/>
            <family val="2"/>
          </rPr>
          <t xml:space="preserve">
Owais (panjwani)</t>
        </r>
      </text>
    </comment>
  </commentList>
</comments>
</file>

<file path=xl/sharedStrings.xml><?xml version="1.0" encoding="utf-8"?>
<sst xmlns="http://schemas.openxmlformats.org/spreadsheetml/2006/main" count="5599" uniqueCount="869">
  <si>
    <t>NAME: Maroof</t>
  </si>
  <si>
    <t>NAME: Fahad</t>
  </si>
  <si>
    <t>NAME: Asif</t>
  </si>
  <si>
    <t>NAME: Asghar</t>
  </si>
  <si>
    <t>NAME: Sumair</t>
  </si>
  <si>
    <t>DEPOT TOTAL</t>
  </si>
  <si>
    <t>Rs</t>
  </si>
  <si>
    <t>Qty</t>
  </si>
  <si>
    <t>Amount</t>
  </si>
  <si>
    <t>Cash Treatment</t>
  </si>
  <si>
    <t>Cash</t>
  </si>
  <si>
    <t>Recovories</t>
  </si>
  <si>
    <t>TOTAL</t>
  </si>
  <si>
    <t>Head</t>
  </si>
  <si>
    <t>Slip Number</t>
  </si>
  <si>
    <t>Date</t>
  </si>
  <si>
    <t>Slip #</t>
  </si>
  <si>
    <t>Bank</t>
  </si>
  <si>
    <t>Total</t>
  </si>
  <si>
    <t>Cash Office</t>
  </si>
  <si>
    <t>Ent</t>
  </si>
  <si>
    <t>Summary</t>
  </si>
  <si>
    <t>Misc</t>
  </si>
  <si>
    <t>Adv Van</t>
  </si>
  <si>
    <t>Chq-1</t>
  </si>
  <si>
    <t>Diff (+/-)</t>
  </si>
  <si>
    <t>Excess/Shortage</t>
  </si>
  <si>
    <t>Chq-2</t>
  </si>
  <si>
    <t>Chq-3</t>
  </si>
  <si>
    <t>RECOVRIES</t>
  </si>
  <si>
    <t>RECOVRIES-- ONLINE</t>
  </si>
  <si>
    <t>DSR Name</t>
  </si>
  <si>
    <t>Bill Date</t>
  </si>
  <si>
    <t>Shop Name</t>
  </si>
  <si>
    <t>Shortage Date</t>
  </si>
  <si>
    <t>Chq no</t>
  </si>
  <si>
    <t>Bill-1</t>
  </si>
  <si>
    <t>Bill-2</t>
  </si>
  <si>
    <t>Bill-3</t>
  </si>
  <si>
    <t>Tariq Brother</t>
  </si>
  <si>
    <t>Recoveries</t>
  </si>
  <si>
    <t>Shortage (+/-)</t>
  </si>
  <si>
    <t>Cash Shortage</t>
  </si>
  <si>
    <t xml:space="preserve"> Tax Adj</t>
  </si>
  <si>
    <t>etc</t>
  </si>
  <si>
    <t>Cash Excess</t>
  </si>
  <si>
    <t>Balance</t>
  </si>
  <si>
    <t>Ctn Shortage</t>
  </si>
  <si>
    <t>Mashallah majid</t>
  </si>
  <si>
    <t>BS shahzad</t>
  </si>
  <si>
    <t>Irfan conf</t>
  </si>
  <si>
    <t>ZA Mart</t>
  </si>
  <si>
    <t>Khan conf</t>
  </si>
  <si>
    <t>Bill-</t>
  </si>
  <si>
    <t>Abdul Rahman</t>
  </si>
  <si>
    <t>Nimal mart</t>
  </si>
  <si>
    <t>Fahad</t>
  </si>
  <si>
    <t>Maroof</t>
  </si>
  <si>
    <t>Sumair</t>
  </si>
  <si>
    <t>Asger</t>
  </si>
  <si>
    <t>Imran Sweets</t>
  </si>
  <si>
    <t>FB-CA000000259</t>
  </si>
  <si>
    <t>BAH-11639927</t>
  </si>
  <si>
    <t>UBL-82440312</t>
  </si>
  <si>
    <t>AB-2500151637</t>
  </si>
  <si>
    <t>MCB-00200938</t>
  </si>
  <si>
    <t>MB-23643638</t>
  </si>
  <si>
    <t>BAH-10111076</t>
  </si>
  <si>
    <t>BAH-10144316</t>
  </si>
  <si>
    <t>Chq-08-09-25</t>
  </si>
  <si>
    <t>Chq-06-09-25</t>
  </si>
  <si>
    <t>Adil store</t>
  </si>
  <si>
    <t>Chq-09-09-25</t>
  </si>
  <si>
    <t>BI-00199099</t>
  </si>
  <si>
    <t>Bill-2460</t>
  </si>
  <si>
    <t>Dastageer gs</t>
  </si>
  <si>
    <t>Bill-2450</t>
  </si>
  <si>
    <t>BS shazad</t>
  </si>
  <si>
    <t>Bill-2480</t>
  </si>
  <si>
    <t>Bill-2490</t>
  </si>
  <si>
    <t>Aslam Suplair(star)</t>
  </si>
  <si>
    <t>Bill-2430</t>
  </si>
  <si>
    <t>Chq-22-09-25</t>
  </si>
  <si>
    <t>HM-184542608</t>
  </si>
  <si>
    <t>AB-2423462712</t>
  </si>
  <si>
    <t>MB-D56746037</t>
  </si>
  <si>
    <t>BAH-11399183</t>
  </si>
  <si>
    <t xml:space="preserve">Al Noor </t>
  </si>
  <si>
    <t xml:space="preserve">Panjwani </t>
  </si>
  <si>
    <t>Premier gs</t>
  </si>
  <si>
    <t>Bill-18430</t>
  </si>
  <si>
    <t>Family mart</t>
  </si>
  <si>
    <t>NAME: Daniyal</t>
  </si>
  <si>
    <t>Bill-19230</t>
  </si>
  <si>
    <t>Bismillah cold spot</t>
  </si>
  <si>
    <t>Bill-19200</t>
  </si>
  <si>
    <t>Golden VIP Store</t>
  </si>
  <si>
    <t>FB-CA0000000273</t>
  </si>
  <si>
    <t>BI-00039889</t>
  </si>
  <si>
    <t>Asif-1910</t>
  </si>
  <si>
    <t>Asif-1580</t>
  </si>
  <si>
    <t>MB-A23643701</t>
  </si>
  <si>
    <t xml:space="preserve">Ad Sattar </t>
  </si>
  <si>
    <t>HM</t>
  </si>
  <si>
    <t>NAME: Shazzy</t>
  </si>
  <si>
    <t>Chq-09-9-25</t>
  </si>
  <si>
    <t>BAH-10111083</t>
  </si>
  <si>
    <t>Chq-13-9-25</t>
  </si>
  <si>
    <t>UBL-82440323</t>
  </si>
  <si>
    <t>BAF-454110297</t>
  </si>
  <si>
    <t>AB-2500151640</t>
  </si>
  <si>
    <t>Faisal</t>
  </si>
  <si>
    <t xml:space="preserve">Premier </t>
  </si>
  <si>
    <t>MH Pan</t>
  </si>
  <si>
    <t>HM-184542597</t>
  </si>
  <si>
    <t>Asif</t>
  </si>
  <si>
    <t>FB-CA0000000253</t>
  </si>
  <si>
    <t>Faizan</t>
  </si>
  <si>
    <t>Sajid-5930</t>
  </si>
  <si>
    <t>Al shams</t>
  </si>
  <si>
    <t>UBL-82326476</t>
  </si>
  <si>
    <t>Rameen cold</t>
  </si>
  <si>
    <t>Fayyaz</t>
  </si>
  <si>
    <t>Ad Maroof</t>
  </si>
  <si>
    <t>Ad Fahad</t>
  </si>
  <si>
    <t>Asghar store</t>
  </si>
  <si>
    <t>Faizan-4685</t>
  </si>
  <si>
    <t>MB-A23202180</t>
  </si>
  <si>
    <t>BAH-10412317</t>
  </si>
  <si>
    <t>BAH-10297533</t>
  </si>
  <si>
    <t>BAH-10410857</t>
  </si>
  <si>
    <t>BML-97668443</t>
  </si>
  <si>
    <t>BAH-10213927</t>
  </si>
  <si>
    <t>BAF-45410277</t>
  </si>
  <si>
    <t>BI-00198584</t>
  </si>
  <si>
    <t>MB-21701986</t>
  </si>
  <si>
    <t>BAH-10295016</t>
  </si>
  <si>
    <t>BAH-10412251</t>
  </si>
  <si>
    <t>UBL-82326496</t>
  </si>
  <si>
    <t>MB-43683149</t>
  </si>
  <si>
    <t>AB-2504379738</t>
  </si>
  <si>
    <t>UBL-80436977</t>
  </si>
  <si>
    <t>BI-00199081</t>
  </si>
  <si>
    <t>MB-A-22534753</t>
  </si>
  <si>
    <t>BAH-10968538</t>
  </si>
  <si>
    <t>BAF-30398732</t>
  </si>
  <si>
    <t>Ismail Conf</t>
  </si>
  <si>
    <t>Prime Madical</t>
  </si>
  <si>
    <t>Tawakal conf</t>
  </si>
  <si>
    <t>Ahmed mart</t>
  </si>
  <si>
    <t>Pak dry gs</t>
  </si>
  <si>
    <t>Imran Oli</t>
  </si>
  <si>
    <t>Daniyal gs</t>
  </si>
  <si>
    <t>Zikariya store</t>
  </si>
  <si>
    <t>Midway Food</t>
  </si>
  <si>
    <t>Self Mart</t>
  </si>
  <si>
    <t>Saad Medical</t>
  </si>
  <si>
    <t>Baqala mart</t>
  </si>
  <si>
    <t>Imran store</t>
  </si>
  <si>
    <t>Zunaisha conf</t>
  </si>
  <si>
    <t>Shazi</t>
  </si>
  <si>
    <t>Panjwani conf</t>
  </si>
  <si>
    <t>Asif-1830</t>
  </si>
  <si>
    <t>Younus store</t>
  </si>
  <si>
    <t>Asif-1680</t>
  </si>
  <si>
    <t>Zunaisha conf(Mavia</t>
  </si>
  <si>
    <t>Asif-2140</t>
  </si>
  <si>
    <t>Popular mart</t>
  </si>
  <si>
    <t>HM-184607626</t>
  </si>
  <si>
    <t>Abdul Wahab Conf</t>
  </si>
  <si>
    <t>HM-1842433219</t>
  </si>
  <si>
    <t>Asif-1290</t>
  </si>
  <si>
    <t>Mehood Kashif</t>
  </si>
  <si>
    <t>Karachi conf</t>
  </si>
  <si>
    <t>Bill-9980</t>
  </si>
  <si>
    <t>Asghar GS</t>
  </si>
  <si>
    <t>FM marketing</t>
  </si>
  <si>
    <t>Asif-2070</t>
  </si>
  <si>
    <t>Asif-1270</t>
  </si>
  <si>
    <t>New Hassan</t>
  </si>
  <si>
    <t>Asif-1560</t>
  </si>
  <si>
    <t>BAH-11641610</t>
  </si>
  <si>
    <t>BAH-11924839</t>
  </si>
  <si>
    <t>Chq-13-09-25</t>
  </si>
  <si>
    <t>ZM mart</t>
  </si>
  <si>
    <t>MB-22422804</t>
  </si>
  <si>
    <t>Faizan-19200</t>
  </si>
  <si>
    <t>MB-E42432562</t>
  </si>
  <si>
    <t>Chq-10-09-25</t>
  </si>
  <si>
    <t>UBL-84462327</t>
  </si>
  <si>
    <t>Chq-9-09-25</t>
  </si>
  <si>
    <t>BAH-11446619</t>
  </si>
  <si>
    <t>MB-43683158</t>
  </si>
  <si>
    <t>FB-CA0000000013</t>
  </si>
  <si>
    <t>Bill-8720</t>
  </si>
  <si>
    <t>Aslam Cold GS</t>
  </si>
  <si>
    <t>Today Sheet</t>
  </si>
  <si>
    <t>NAME: Shazy</t>
  </si>
  <si>
    <t>BAH-10295009</t>
  </si>
  <si>
    <t>MB-22772731</t>
  </si>
  <si>
    <t>MCB-00200939</t>
  </si>
  <si>
    <t>MB-23202177</t>
  </si>
  <si>
    <t>BAH-11913043</t>
  </si>
  <si>
    <t>Famliy mart</t>
  </si>
  <si>
    <t>MS Mashallah miik</t>
  </si>
  <si>
    <t>Sinan conf</t>
  </si>
  <si>
    <t>Hadid</t>
  </si>
  <si>
    <t>Aysha GS</t>
  </si>
  <si>
    <t>BAF-40301711</t>
  </si>
  <si>
    <t>Bill-9330</t>
  </si>
  <si>
    <t>Noor Store</t>
  </si>
  <si>
    <t>BML-97665073</t>
  </si>
  <si>
    <t>Chq-16-9-25</t>
  </si>
  <si>
    <t>MB-A23643713</t>
  </si>
  <si>
    <t>Sajid</t>
  </si>
  <si>
    <t>Today sheet</t>
  </si>
  <si>
    <t>Chq-10-9-25</t>
  </si>
  <si>
    <t>AB-2504379774</t>
  </si>
  <si>
    <t>Chq-11-9-25</t>
  </si>
  <si>
    <t>UBL-83572157</t>
  </si>
  <si>
    <t>Bill-19500</t>
  </si>
  <si>
    <t>Family Mart</t>
  </si>
  <si>
    <t>BAH-10221851</t>
  </si>
  <si>
    <t>Chq-17-09-25</t>
  </si>
  <si>
    <t>FB-CA0000000274</t>
  </si>
  <si>
    <t>BAH-10221852</t>
  </si>
  <si>
    <t>Chq-15-9-25</t>
  </si>
  <si>
    <t>HM-184243220</t>
  </si>
  <si>
    <t>HM-184243222</t>
  </si>
  <si>
    <t>BI-00198591</t>
  </si>
  <si>
    <t>MB-21701988</t>
  </si>
  <si>
    <t>UBL-82326497</t>
  </si>
  <si>
    <t>BAH-10968543</t>
  </si>
  <si>
    <t>BAH-11913042</t>
  </si>
  <si>
    <t>MB-A-73277936</t>
  </si>
  <si>
    <t>Panjwani</t>
  </si>
  <si>
    <t>BAH-10297536</t>
  </si>
  <si>
    <t>Agha Conf</t>
  </si>
  <si>
    <t>Asif-2260</t>
  </si>
  <si>
    <t>Asif-2340</t>
  </si>
  <si>
    <t>Shahid Conf</t>
  </si>
  <si>
    <t>Bill-9370</t>
  </si>
  <si>
    <t>Al Shams</t>
  </si>
  <si>
    <t>BML-97665598</t>
  </si>
  <si>
    <t>Chq-20-9-25</t>
  </si>
  <si>
    <t>Bill-2540</t>
  </si>
  <si>
    <t>Bill-2650</t>
  </si>
  <si>
    <t>Bill-2600</t>
  </si>
  <si>
    <t>Sarim(Saeed Citrate)</t>
  </si>
  <si>
    <t>Bill-2620</t>
  </si>
  <si>
    <t>Mehmood kashif</t>
  </si>
  <si>
    <t>Bill-2610</t>
  </si>
  <si>
    <t>Hussnain conf</t>
  </si>
  <si>
    <t>Bill-2570</t>
  </si>
  <si>
    <t>Agha conf</t>
  </si>
  <si>
    <t>Bill-2550</t>
  </si>
  <si>
    <t>Bismillah conf</t>
  </si>
  <si>
    <t>BAH-11913027</t>
  </si>
  <si>
    <t>Chq-23-08-25</t>
  </si>
  <si>
    <t>BAH-11924843</t>
  </si>
  <si>
    <t>BAH-10111086</t>
  </si>
  <si>
    <t>Bill-20010</t>
  </si>
  <si>
    <t>HM-184243223</t>
  </si>
  <si>
    <t>Chq-11-09-25</t>
  </si>
  <si>
    <t>HBL-00000388</t>
  </si>
  <si>
    <t>MCB-2052416785</t>
  </si>
  <si>
    <t>Van</t>
  </si>
  <si>
    <t>Bill-9990</t>
  </si>
  <si>
    <t>Saeed Super GS</t>
  </si>
  <si>
    <t>Bill-2690</t>
  </si>
  <si>
    <t>Shahid conf</t>
  </si>
  <si>
    <t>Bill-2700</t>
  </si>
  <si>
    <t>Bill-2750</t>
  </si>
  <si>
    <t>Ismail conf</t>
  </si>
  <si>
    <t>Bill-2660</t>
  </si>
  <si>
    <t>M.Majid</t>
  </si>
  <si>
    <t>Bill-2710</t>
  </si>
  <si>
    <t>A.wahab conf</t>
  </si>
  <si>
    <t>Chq-24-9-25</t>
  </si>
  <si>
    <t>BAH-10293608</t>
  </si>
  <si>
    <t>Chq-19-9-25</t>
  </si>
  <si>
    <t>BAH-10300245</t>
  </si>
  <si>
    <t>CD3%</t>
  </si>
  <si>
    <t>Bill-1030</t>
  </si>
  <si>
    <t>Popler Mart</t>
  </si>
  <si>
    <t>Chq-14-9-25</t>
  </si>
  <si>
    <t>BAH-11947039</t>
  </si>
  <si>
    <t>Owais k</t>
  </si>
  <si>
    <t>BAH-11941997</t>
  </si>
  <si>
    <t>MB-E43683154</t>
  </si>
  <si>
    <t>MB-A-23643683</t>
  </si>
  <si>
    <t>BAH-114469616</t>
  </si>
  <si>
    <t>Hasnain Conf</t>
  </si>
  <si>
    <t>Z A Mart</t>
  </si>
  <si>
    <t>Mubeen store</t>
  </si>
  <si>
    <t>Asif-1810</t>
  </si>
  <si>
    <t>Ashraf conf</t>
  </si>
  <si>
    <t>Ad Sumair</t>
  </si>
  <si>
    <t>Ad Asghar</t>
  </si>
  <si>
    <t>Salary</t>
  </si>
  <si>
    <t>FB-CA0000000016</t>
  </si>
  <si>
    <t>Chq-2830</t>
  </si>
  <si>
    <t>Chq-0200</t>
  </si>
  <si>
    <t>Umair St</t>
  </si>
  <si>
    <t>UBL-84462329</t>
  </si>
  <si>
    <t>BAH-11446625</t>
  </si>
  <si>
    <t>Bill-0130</t>
  </si>
  <si>
    <t>Maryam pan</t>
  </si>
  <si>
    <t>Bill-0300</t>
  </si>
  <si>
    <t>Imran oil</t>
  </si>
  <si>
    <t>BAH-11641620</t>
  </si>
  <si>
    <t>chq-1</t>
  </si>
  <si>
    <t>Cash Included this Sheet</t>
  </si>
  <si>
    <t>P.Csah Sand in Bank</t>
  </si>
  <si>
    <t>HM-184243224</t>
  </si>
  <si>
    <t>HM-183864149</t>
  </si>
  <si>
    <t>Bill-2870</t>
  </si>
  <si>
    <t>Bill-2880</t>
  </si>
  <si>
    <t>Star conf</t>
  </si>
  <si>
    <t>Bill-2860</t>
  </si>
  <si>
    <t>Irfan con</t>
  </si>
  <si>
    <t>2%CD</t>
  </si>
  <si>
    <t>Chq-16-09-25</t>
  </si>
  <si>
    <t>BS-00041316</t>
  </si>
  <si>
    <t xml:space="preserve">Mahaamdi Pan </t>
  </si>
  <si>
    <t>Faizan-12630</t>
  </si>
  <si>
    <t>Damage</t>
  </si>
  <si>
    <t>Chq-15-09-25</t>
  </si>
  <si>
    <t>MB-A22534760</t>
  </si>
  <si>
    <t>UBL-82375998</t>
  </si>
  <si>
    <t>BI-00199112</t>
  </si>
  <si>
    <t>UBL-83572168</t>
  </si>
  <si>
    <t>MB-A21701994</t>
  </si>
  <si>
    <t>Maryam Pan</t>
  </si>
  <si>
    <t>Sajid-0130</t>
  </si>
  <si>
    <t>Fayyaz-0200</t>
  </si>
  <si>
    <t>BML-97665075</t>
  </si>
  <si>
    <t>MB-A23643725</t>
  </si>
  <si>
    <t>Asif-2550</t>
  </si>
  <si>
    <t>Faheem Traders</t>
  </si>
  <si>
    <t>Noor store</t>
  </si>
  <si>
    <t>Prime gs</t>
  </si>
  <si>
    <t>Amir saleem</t>
  </si>
  <si>
    <t>BM food</t>
  </si>
  <si>
    <t>Imran sweets</t>
  </si>
  <si>
    <t>Adil GS</t>
  </si>
  <si>
    <t>Asif conf</t>
  </si>
  <si>
    <t>Tawakal Talha</t>
  </si>
  <si>
    <t>BML-97664938</t>
  </si>
  <si>
    <t>BML-97664946</t>
  </si>
  <si>
    <t>MCB-00200936</t>
  </si>
  <si>
    <t>MB-A23643662</t>
  </si>
  <si>
    <t>BAH-11004204</t>
  </si>
  <si>
    <t>MCB-2051448465</t>
  </si>
  <si>
    <t>MB-A-23074003</t>
  </si>
  <si>
    <t>UBL-82440316</t>
  </si>
  <si>
    <t>BAH-10295629</t>
  </si>
  <si>
    <t>BAH-10144317</t>
  </si>
  <si>
    <t>BAH-10412274</t>
  </si>
  <si>
    <t>BAF-40125391</t>
  </si>
  <si>
    <t>FB-CA0000000269</t>
  </si>
  <si>
    <t>BI-00199092</t>
  </si>
  <si>
    <t>BAH-10111080</t>
  </si>
  <si>
    <t>MB-E43683156</t>
  </si>
  <si>
    <t>BAH-11110263</t>
  </si>
  <si>
    <t>Chq-17-9-25</t>
  </si>
  <si>
    <t>BAH-10292025</t>
  </si>
  <si>
    <t>BAH-10120441</t>
  </si>
  <si>
    <t>UBL-82440329</t>
  </si>
  <si>
    <t>FB-CA-00001593</t>
  </si>
  <si>
    <t>AB-2500151641</t>
  </si>
  <si>
    <t>Karachi Conf</t>
  </si>
  <si>
    <t>Asif-2410</t>
  </si>
  <si>
    <t>Huzaifa  ws</t>
  </si>
  <si>
    <t>Asif-1780</t>
  </si>
  <si>
    <t>BAH-10414323</t>
  </si>
  <si>
    <t>HBL-00000392</t>
  </si>
  <si>
    <t>MB-A23202183</t>
  </si>
  <si>
    <t>MCB-2051448470</t>
  </si>
  <si>
    <t>UBL-82440321</t>
  </si>
  <si>
    <t>BAH-10687589</t>
  </si>
  <si>
    <t>Abdullah cold</t>
  </si>
  <si>
    <t>Faial</t>
  </si>
  <si>
    <t>MB-A-22772747</t>
  </si>
  <si>
    <t>MB-E42432558</t>
  </si>
  <si>
    <t>MB-A24227269</t>
  </si>
  <si>
    <t>Naimal Mart</t>
  </si>
  <si>
    <t>New al kareem</t>
  </si>
  <si>
    <t>BAH-10017280</t>
  </si>
  <si>
    <t>Muhammadi pan</t>
  </si>
  <si>
    <t>Asif-2240</t>
  </si>
  <si>
    <t>M-Habib</t>
  </si>
  <si>
    <t>HM-184733326</t>
  </si>
  <si>
    <t>Bill-1250</t>
  </si>
  <si>
    <t>Noor harbal</t>
  </si>
  <si>
    <t>Asif-2690</t>
  </si>
  <si>
    <t>Shazad conf</t>
  </si>
  <si>
    <t>Asif-2310</t>
  </si>
  <si>
    <t>Asif-2660</t>
  </si>
  <si>
    <t>BI-00211964</t>
  </si>
  <si>
    <t>UBL-84462332</t>
  </si>
  <si>
    <t>Chq-19-09-25</t>
  </si>
  <si>
    <t>Chq-18-09-25</t>
  </si>
  <si>
    <t>Dastageer conf</t>
  </si>
  <si>
    <t>Asif-1990</t>
  </si>
  <si>
    <t>Asif-2490</t>
  </si>
  <si>
    <t>Asif-2650</t>
  </si>
  <si>
    <t>Adv ayan</t>
  </si>
  <si>
    <t>Umair n Abid</t>
  </si>
  <si>
    <t>BAH-11062110</t>
  </si>
  <si>
    <t>Fayaz</t>
  </si>
  <si>
    <t xml:space="preserve"> TodaySheet</t>
  </si>
  <si>
    <t>Chq-18-9-25</t>
  </si>
  <si>
    <t>BI-00041324</t>
  </si>
  <si>
    <t>Golden VIP St</t>
  </si>
  <si>
    <t xml:space="preserve">Faisal </t>
  </si>
  <si>
    <t>Bill-1640</t>
  </si>
  <si>
    <t>ZA mart</t>
  </si>
  <si>
    <t>BAH-10297540</t>
  </si>
  <si>
    <t>BAH-10111090</t>
  </si>
  <si>
    <t>BAH-11641575</t>
  </si>
  <si>
    <t>BAH-10300223</t>
  </si>
  <si>
    <t>The King's</t>
  </si>
  <si>
    <t>Fahad st</t>
  </si>
  <si>
    <t>MB-A21701997</t>
  </si>
  <si>
    <t>Bill-1740</t>
  </si>
  <si>
    <t>Baqala mini mart</t>
  </si>
  <si>
    <t>FOC</t>
  </si>
  <si>
    <t>Bill-1650</t>
  </si>
  <si>
    <t>Fayyaz-9370</t>
  </si>
  <si>
    <t>Sajid-1250</t>
  </si>
  <si>
    <t>13-09-2025</t>
  </si>
  <si>
    <t>Nasir n sans</t>
  </si>
  <si>
    <t>Asif-1650</t>
  </si>
  <si>
    <t>Asif-2620</t>
  </si>
  <si>
    <t>Bill-2940</t>
  </si>
  <si>
    <t>Nasir n Sons</t>
  </si>
  <si>
    <t>Bill-2930</t>
  </si>
  <si>
    <t>Mehmood Kashif</t>
  </si>
  <si>
    <t>Bill-2960</t>
  </si>
  <si>
    <t>Bill-2920</t>
  </si>
  <si>
    <t>RY trader</t>
  </si>
  <si>
    <t>Bill-2950</t>
  </si>
  <si>
    <t>Abid conf</t>
  </si>
  <si>
    <t>Chq-26-9-25</t>
  </si>
  <si>
    <t>BML-9766511</t>
  </si>
  <si>
    <t>BAH-10414362</t>
  </si>
  <si>
    <t>MB-A22195477</t>
  </si>
  <si>
    <t>FB-CA00263</t>
  </si>
  <si>
    <t>Chq-20-09-2025</t>
  </si>
  <si>
    <t>BAH-10144326</t>
  </si>
  <si>
    <t>Chq-22-09-2025</t>
  </si>
  <si>
    <t>BAH-10687599</t>
  </si>
  <si>
    <t>Chq-27-9-25</t>
  </si>
  <si>
    <t>BAH-11951579</t>
  </si>
  <si>
    <t>BAH-10300258</t>
  </si>
  <si>
    <t>UBL-82440333</t>
  </si>
  <si>
    <t>BAH-10295646</t>
  </si>
  <si>
    <t>Noor provsion</t>
  </si>
  <si>
    <t>Bill-3060</t>
  </si>
  <si>
    <t>Bill-3040</t>
  </si>
  <si>
    <t>Addul wahab</t>
  </si>
  <si>
    <t>Bill-3030</t>
  </si>
  <si>
    <t>Bill-2980</t>
  </si>
  <si>
    <t>Aslam supplier</t>
  </si>
  <si>
    <t>Bill-2990</t>
  </si>
  <si>
    <t>Adv masi</t>
  </si>
  <si>
    <t>Adv Ubaidh</t>
  </si>
  <si>
    <t>CD%3</t>
  </si>
  <si>
    <t>BAH-11446633</t>
  </si>
  <si>
    <t>MB-E43683161</t>
  </si>
  <si>
    <t>Chq-21-9-25</t>
  </si>
  <si>
    <t>BI-00200966</t>
  </si>
  <si>
    <t>UBL-84462334</t>
  </si>
  <si>
    <t>Bill-3140</t>
  </si>
  <si>
    <t>Asif-2540</t>
  </si>
  <si>
    <t>Adv Sumair</t>
  </si>
  <si>
    <t>NAME: Salman store</t>
  </si>
  <si>
    <t>Chq-22-9-25</t>
  </si>
  <si>
    <t>BAF-26615296</t>
  </si>
  <si>
    <t>Bill-2640</t>
  </si>
  <si>
    <t>Umair Store</t>
  </si>
  <si>
    <t>Bill-3100</t>
  </si>
  <si>
    <t>Zunaisha</t>
  </si>
  <si>
    <t>Bill-3070</t>
  </si>
  <si>
    <t>Huzaifa</t>
  </si>
  <si>
    <t>Chq-25-9-25</t>
  </si>
  <si>
    <t>BAF-42037575</t>
  </si>
  <si>
    <t>Chq-23-9-25</t>
  </si>
  <si>
    <t>BAH-11641638</t>
  </si>
  <si>
    <t>CD%2</t>
  </si>
  <si>
    <t>Extra Load WS</t>
  </si>
  <si>
    <t>Cash Transfer  Sheet 14-09-2025</t>
  </si>
  <si>
    <t>14-09-2025</t>
  </si>
  <si>
    <t>AB-250479810</t>
  </si>
  <si>
    <t>BI-00199129</t>
  </si>
  <si>
    <t>FB-CA00001680</t>
  </si>
  <si>
    <t>BAH-11199045</t>
  </si>
  <si>
    <t>Fayyaz-2640</t>
  </si>
  <si>
    <t>Chq-24-15-25</t>
  </si>
  <si>
    <t>MB-A24227277</t>
  </si>
  <si>
    <t>Chq-22-15-25</t>
  </si>
  <si>
    <t>MB-A24897791</t>
  </si>
  <si>
    <t>FB-CA0000025</t>
  </si>
  <si>
    <t>BAH-11007133</t>
  </si>
  <si>
    <t>BI-00041327</t>
  </si>
  <si>
    <t>Bill-24190</t>
  </si>
  <si>
    <t>Bismillah Cold</t>
  </si>
  <si>
    <t>Salman super st</t>
  </si>
  <si>
    <t>BML-97665067</t>
  </si>
  <si>
    <t>Faizan-19230</t>
  </si>
  <si>
    <t>Irfan store</t>
  </si>
  <si>
    <t>Qadeer mart</t>
  </si>
  <si>
    <t>BML-97664958</t>
  </si>
  <si>
    <t>BAH-10412292</t>
  </si>
  <si>
    <t>BAH-10882622</t>
  </si>
  <si>
    <t>MB-A23074020</t>
  </si>
  <si>
    <t>BAH-10299602</t>
  </si>
  <si>
    <t>MB-A24015960</t>
  </si>
  <si>
    <t>Bill-3170</t>
  </si>
  <si>
    <t>BS Shahzad</t>
  </si>
  <si>
    <t>Bill-3180</t>
  </si>
  <si>
    <t>MS Farooq</t>
  </si>
  <si>
    <t>NAME:Shazy</t>
  </si>
  <si>
    <t>Extra load sheet shazy</t>
  </si>
  <si>
    <t>16-09-25</t>
  </si>
  <si>
    <t>BAF-47601556</t>
  </si>
  <si>
    <t>UBL-82440335</t>
  </si>
  <si>
    <t>BAH-10120444</t>
  </si>
  <si>
    <t>Chq-29-9-25</t>
  </si>
  <si>
    <t>HM-185268117</t>
  </si>
  <si>
    <t>BAH-10687600</t>
  </si>
  <si>
    <t>AB-2500151643</t>
  </si>
  <si>
    <t>Asif-2600</t>
  </si>
  <si>
    <t>Sajid-9990</t>
  </si>
  <si>
    <t>Fayyaz-1740</t>
  </si>
  <si>
    <t>Asif-1900</t>
  </si>
  <si>
    <t>BAH-10414373</t>
  </si>
  <si>
    <t>MB-A19508953</t>
  </si>
  <si>
    <t>Adv Asger</t>
  </si>
  <si>
    <t>UBL-82326499</t>
  </si>
  <si>
    <t>BAF-40125397</t>
  </si>
  <si>
    <t>BML-97662907</t>
  </si>
  <si>
    <t>BAH-10300249</t>
  </si>
  <si>
    <t>SB-CA81542327</t>
  </si>
  <si>
    <t>MB-A19033082</t>
  </si>
  <si>
    <t>BAH-10361465</t>
  </si>
  <si>
    <t>Saeed Citrate</t>
  </si>
  <si>
    <t>Bill-2970</t>
  </si>
  <si>
    <t>DD</t>
  </si>
  <si>
    <t>Premier GS</t>
  </si>
  <si>
    <t>Tawakal Traders</t>
  </si>
  <si>
    <t>Siraj-1660</t>
  </si>
  <si>
    <t>King GS</t>
  </si>
  <si>
    <t xml:space="preserve">Al shmas </t>
  </si>
  <si>
    <t>Cool Kiryana</t>
  </si>
  <si>
    <t>Imran GS</t>
  </si>
  <si>
    <t>CA0000000274</t>
  </si>
  <si>
    <t>Shazy</t>
  </si>
  <si>
    <t>Faizan-9980</t>
  </si>
  <si>
    <t>NAME: Owais Khan</t>
  </si>
  <si>
    <t>MB-A23710763</t>
  </si>
  <si>
    <t>MS Farooq pan</t>
  </si>
  <si>
    <t>Asif-2200</t>
  </si>
  <si>
    <t>Mashallha Habib</t>
  </si>
  <si>
    <t>NAME: Faizan booker</t>
  </si>
  <si>
    <t>BI-00200972</t>
  </si>
  <si>
    <t>MB-E43683165</t>
  </si>
  <si>
    <t>BAH-11446636</t>
  </si>
  <si>
    <t>BI-00041316</t>
  </si>
  <si>
    <t>BAH-10968551</t>
  </si>
  <si>
    <t>Qadeer Madical</t>
  </si>
  <si>
    <t>MB-A19464338</t>
  </si>
  <si>
    <t>Adv Maroof</t>
  </si>
  <si>
    <t>MB-A24897832</t>
  </si>
  <si>
    <t>MB-A24227312</t>
  </si>
  <si>
    <t>AB-250479821</t>
  </si>
  <si>
    <t>BI-00041329</t>
  </si>
  <si>
    <t>Fayyaz-1650</t>
  </si>
  <si>
    <t>FB-CA0000000263</t>
  </si>
  <si>
    <t>Asif-2990</t>
  </si>
  <si>
    <t>Asif-2350</t>
  </si>
  <si>
    <t>Asif-3030</t>
  </si>
  <si>
    <t>Asif-2450</t>
  </si>
  <si>
    <t>BML-97662908</t>
  </si>
  <si>
    <t>MB-E42432564</t>
  </si>
  <si>
    <t>BAH-10295641</t>
  </si>
  <si>
    <t>BAH-10300250</t>
  </si>
  <si>
    <t>Ahmad mart</t>
  </si>
  <si>
    <t>Imran Oil</t>
  </si>
  <si>
    <t>Prime GS</t>
  </si>
  <si>
    <t>Extra load</t>
  </si>
  <si>
    <t>NAME: Tanveer</t>
  </si>
  <si>
    <t>Chq-3-10-25</t>
  </si>
  <si>
    <t>BML-97665626</t>
  </si>
  <si>
    <t>Bill-3220</t>
  </si>
  <si>
    <t>FM.marketing</t>
  </si>
  <si>
    <t>Bill-3290</t>
  </si>
  <si>
    <t>CD</t>
  </si>
  <si>
    <t>19-09-25</t>
  </si>
  <si>
    <t>Bill-3240</t>
  </si>
  <si>
    <t>Nasir n sons</t>
  </si>
  <si>
    <t>Bill-3360</t>
  </si>
  <si>
    <t>Chq-30-09-25</t>
  </si>
  <si>
    <t>BAH-10300268</t>
  </si>
  <si>
    <t>BAH-11951586</t>
  </si>
  <si>
    <t>Bill-3300</t>
  </si>
  <si>
    <t>Bill-3310</t>
  </si>
  <si>
    <t>Younus conf</t>
  </si>
  <si>
    <t>Bill-3350</t>
  </si>
  <si>
    <t>Bill-3340</t>
  </si>
  <si>
    <t>Chq-29-09-25</t>
  </si>
  <si>
    <t>BAH-10221860</t>
  </si>
  <si>
    <t>MB-A19508957</t>
  </si>
  <si>
    <t>HBL-00000401</t>
  </si>
  <si>
    <t>Chq-30-9-25</t>
  </si>
  <si>
    <t>BAH-10410898</t>
  </si>
  <si>
    <t>Chq-28-9-25</t>
  </si>
  <si>
    <t>BAF-47601563</t>
  </si>
  <si>
    <t>BAH-10120445</t>
  </si>
  <si>
    <t>Asif-3140</t>
  </si>
  <si>
    <t>BML-97662909</t>
  </si>
  <si>
    <t>BAH-10882627</t>
  </si>
  <si>
    <t>Khayal h</t>
  </si>
  <si>
    <t>Fahad Gs</t>
  </si>
  <si>
    <t>20-09-25</t>
  </si>
  <si>
    <t>Asif-3450</t>
  </si>
  <si>
    <t>MB-A23710765</t>
  </si>
  <si>
    <t>BAH-11446642</t>
  </si>
  <si>
    <t>BI-00200975</t>
  </si>
  <si>
    <t>UBL-84462336</t>
  </si>
  <si>
    <t>MB-A94122113</t>
  </si>
  <si>
    <t>Bill-3450</t>
  </si>
  <si>
    <t>Bill-3400</t>
  </si>
  <si>
    <t>Bill-3390</t>
  </si>
  <si>
    <t>Ss conf</t>
  </si>
  <si>
    <t>Bill-3430</t>
  </si>
  <si>
    <t>Karachi  conf</t>
  </si>
  <si>
    <t>Bill-3410</t>
  </si>
  <si>
    <t>CD2%</t>
  </si>
  <si>
    <t>Adv Hameed</t>
  </si>
  <si>
    <t>BAH-10221864</t>
  </si>
  <si>
    <t>BAF-47250937</t>
  </si>
  <si>
    <t>Asif-2830</t>
  </si>
  <si>
    <t>Asif-2940</t>
  </si>
  <si>
    <t>Popler mart</t>
  </si>
  <si>
    <t>22-09-2025</t>
  </si>
  <si>
    <t>22-9-25</t>
  </si>
  <si>
    <t>BI-00041344</t>
  </si>
  <si>
    <t>Bill-6290</t>
  </si>
  <si>
    <t>Bismillah cold</t>
  </si>
  <si>
    <t>Bill-6140</t>
  </si>
  <si>
    <t>Al Noor Bakery</t>
  </si>
  <si>
    <t>MB-A24015975</t>
  </si>
  <si>
    <t>MB-A21702001</t>
  </si>
  <si>
    <t>BAH-11093726</t>
  </si>
  <si>
    <t>BAH-11199046</t>
  </si>
  <si>
    <t>UBL-83572206</t>
  </si>
  <si>
    <t>BI-00199142</t>
  </si>
  <si>
    <t>Shoaib Store</t>
  </si>
  <si>
    <t>Asif-3170</t>
  </si>
  <si>
    <t>Fsizan-24190</t>
  </si>
  <si>
    <t>Bill-3500</t>
  </si>
  <si>
    <t xml:space="preserve">New Karachi </t>
  </si>
  <si>
    <t>Bill-3490</t>
  </si>
  <si>
    <t>BS Shazad</t>
  </si>
  <si>
    <t>Bill-3480</t>
  </si>
  <si>
    <t>Dastageer</t>
  </si>
  <si>
    <t>Bill-3510</t>
  </si>
  <si>
    <t>Bill-3440</t>
  </si>
  <si>
    <t xml:space="preserve">Sajid </t>
  </si>
  <si>
    <t>today Sheet</t>
  </si>
  <si>
    <t>Chq-1-10-25</t>
  </si>
  <si>
    <t>MB-A24462482</t>
  </si>
  <si>
    <t>Chq-2-110-25</t>
  </si>
  <si>
    <t>MB-A24897849</t>
  </si>
  <si>
    <t>Nadeem b</t>
  </si>
  <si>
    <t>Asif-19000</t>
  </si>
  <si>
    <t>Adv fahad</t>
  </si>
  <si>
    <t>MB-A23643724</t>
  </si>
  <si>
    <t>BI-200964</t>
  </si>
  <si>
    <t>MB-A24897784</t>
  </si>
  <si>
    <t>MB-A24015949</t>
  </si>
  <si>
    <t>BAH-10079296</t>
  </si>
  <si>
    <t>Zakariya conf</t>
  </si>
  <si>
    <t>Saeed Super store</t>
  </si>
  <si>
    <t>A.Rahman</t>
  </si>
  <si>
    <t>Premier Gs</t>
  </si>
  <si>
    <t>RY traders</t>
  </si>
  <si>
    <t>Asif-2270</t>
  </si>
  <si>
    <t>UBL-82440340</t>
  </si>
  <si>
    <t>BAH-10295653</t>
  </si>
  <si>
    <t>BAF-47601566</t>
  </si>
  <si>
    <t>BAH-10120450</t>
  </si>
  <si>
    <t>Navaid Van</t>
  </si>
  <si>
    <t>HBL-00000411</t>
  </si>
  <si>
    <t>MB-A23202189</t>
  </si>
  <si>
    <t>Chq-4-10-25</t>
  </si>
  <si>
    <t>BAH-10410913</t>
  </si>
  <si>
    <t>Asif-2460</t>
  </si>
  <si>
    <t>BAF-26651296</t>
  </si>
  <si>
    <t>AB-90169455</t>
  </si>
  <si>
    <t>BAH-10300251</t>
  </si>
  <si>
    <t>BAH-10968556</t>
  </si>
  <si>
    <t>UBL-78209042</t>
  </si>
  <si>
    <t>MB-A19033087</t>
  </si>
  <si>
    <t>Samiullah B</t>
  </si>
  <si>
    <t>Shahid n bilal</t>
  </si>
  <si>
    <t>Parim mart</t>
  </si>
  <si>
    <t>Asif-2970</t>
  </si>
  <si>
    <t>Chq-28-09-25</t>
  </si>
  <si>
    <t>AB-2500151644</t>
  </si>
  <si>
    <t>24-09-2025</t>
  </si>
  <si>
    <t>Asif-3410</t>
  </si>
  <si>
    <t>Asif-3340</t>
  </si>
  <si>
    <t>Zunaisha(mavia)</t>
  </si>
  <si>
    <t>Asif-3100</t>
  </si>
  <si>
    <t>Asif-3390</t>
  </si>
  <si>
    <t>Chq-2-10-25</t>
  </si>
  <si>
    <t>BAF-47250940</t>
  </si>
  <si>
    <t>Chq-04-10-25</t>
  </si>
  <si>
    <t>MB-A24079053</t>
  </si>
  <si>
    <t>MB-A-23710770</t>
  </si>
  <si>
    <t>Asif-2570</t>
  </si>
  <si>
    <t>UBL-84462338</t>
  </si>
  <si>
    <t>Chq-01-10-25</t>
  </si>
  <si>
    <t>BAH-11446644</t>
  </si>
  <si>
    <t>BI-00200981</t>
  </si>
  <si>
    <t>MB-E43683180</t>
  </si>
  <si>
    <t>BAH-11641645</t>
  </si>
  <si>
    <t>Asif-2700</t>
  </si>
  <si>
    <t>SB-00183598</t>
  </si>
  <si>
    <t>Tawakal conf-3190</t>
  </si>
  <si>
    <t>Primer GS</t>
  </si>
  <si>
    <t>Chq-1-09-25</t>
  </si>
  <si>
    <t>25-09-25</t>
  </si>
  <si>
    <t>Chq-3-09-25</t>
  </si>
  <si>
    <t>MB-A19464341</t>
  </si>
  <si>
    <t>MB-A22534767</t>
  </si>
  <si>
    <t>Asif-3300</t>
  </si>
  <si>
    <t>BML-97666906</t>
  </si>
  <si>
    <t>BAH-11009391</t>
  </si>
  <si>
    <t>faisal</t>
  </si>
  <si>
    <t>UBL-82440307</t>
  </si>
  <si>
    <t>King Store</t>
  </si>
  <si>
    <t>MB-A21702005</t>
  </si>
  <si>
    <t>Chq-10-10-25</t>
  </si>
  <si>
    <t>BAH-11199047</t>
  </si>
  <si>
    <t>BI-00201640</t>
  </si>
  <si>
    <t>Bill-7260</t>
  </si>
  <si>
    <t>Adeel GS</t>
  </si>
  <si>
    <t>Bill-3540</t>
  </si>
  <si>
    <t>Siraj bhai</t>
  </si>
  <si>
    <t>Bill-3600</t>
  </si>
  <si>
    <t>Bill-3560</t>
  </si>
  <si>
    <t>Mashahallha (Habib)</t>
  </si>
  <si>
    <t>Agha conf(RY)</t>
  </si>
  <si>
    <t>BML-97665079</t>
  </si>
  <si>
    <t>Chq-6-10-25</t>
  </si>
  <si>
    <t>MB-A24897864</t>
  </si>
  <si>
    <t>BAH-10297551</t>
  </si>
  <si>
    <t>MB-A24897830</t>
  </si>
  <si>
    <t>BAH-10300252</t>
  </si>
  <si>
    <t>MB-A-22534761</t>
  </si>
  <si>
    <t>Kainat conf</t>
  </si>
  <si>
    <t>Fahad store</t>
  </si>
  <si>
    <t>Salman store</t>
  </si>
  <si>
    <t>HM-185226740</t>
  </si>
  <si>
    <t>26-09-25</t>
  </si>
  <si>
    <t>Bill-3650</t>
  </si>
  <si>
    <t>Bill-3640</t>
  </si>
  <si>
    <t>A.Wahab</t>
  </si>
  <si>
    <t>Bill-3670</t>
  </si>
  <si>
    <t>Bill-3660</t>
  </si>
  <si>
    <t>Bill-3630</t>
  </si>
  <si>
    <t>Bill-3680</t>
  </si>
  <si>
    <t>Zikeria</t>
  </si>
  <si>
    <t>Bill-3720</t>
  </si>
  <si>
    <t>Bill-3690</t>
  </si>
  <si>
    <t>Hassnain</t>
  </si>
  <si>
    <t>BAH-10687607</t>
  </si>
  <si>
    <t>BAH-10410928</t>
  </si>
  <si>
    <t>MB-A19508965</t>
  </si>
  <si>
    <t>Chq-11-10-25</t>
  </si>
  <si>
    <t>Atif Store</t>
  </si>
  <si>
    <t>Asif-2710</t>
  </si>
  <si>
    <t>HM-184507519</t>
  </si>
  <si>
    <t>BAH-10297552</t>
  </si>
  <si>
    <t>Chq-02-10-25</t>
  </si>
  <si>
    <t>BAH-10120451</t>
  </si>
  <si>
    <t>Noor provision</t>
  </si>
  <si>
    <t>Asif-2380</t>
  </si>
  <si>
    <t>Asif-3310</t>
  </si>
  <si>
    <t>Adv  Guard</t>
  </si>
  <si>
    <t>Adv  Hamid</t>
  </si>
  <si>
    <t>MB-A23710775</t>
  </si>
  <si>
    <t>Chq-5-10-25</t>
  </si>
  <si>
    <t>MB-A24079054</t>
  </si>
  <si>
    <t>BAH-11446649</t>
  </si>
  <si>
    <t>UBL-84462339</t>
  </si>
  <si>
    <t>Chq-7-10-25</t>
  </si>
  <si>
    <t>BI-00200984</t>
  </si>
  <si>
    <t>MB-E43683186</t>
  </si>
  <si>
    <t>BAF-26615302</t>
  </si>
  <si>
    <t>%</t>
  </si>
  <si>
    <t>Bill-3800</t>
  </si>
  <si>
    <t>Bill-3760</t>
  </si>
  <si>
    <t>Bill-3780</t>
  </si>
  <si>
    <t>karachi conf</t>
  </si>
  <si>
    <t>Extra load Shazor</t>
  </si>
  <si>
    <t>29-09-25</t>
  </si>
  <si>
    <t>BI-00041349</t>
  </si>
  <si>
    <t>Bill-8830</t>
  </si>
  <si>
    <t>MB-A13619451</t>
  </si>
  <si>
    <t>MCB-2051448494</t>
  </si>
  <si>
    <t>Chq-8-10-25</t>
  </si>
  <si>
    <t>BI-00201651</t>
  </si>
  <si>
    <t>FB-CA00001711</t>
  </si>
  <si>
    <t>Adv Tanveer</t>
  </si>
  <si>
    <t>Bill-28420</t>
  </si>
  <si>
    <t>NAME: Shezzy</t>
  </si>
  <si>
    <t>Asif-3180</t>
  </si>
  <si>
    <t>Chq-12-10-25</t>
  </si>
  <si>
    <t>MB-A25862276</t>
  </si>
  <si>
    <t>Bill-3880</t>
  </si>
  <si>
    <t>Bill-3840</t>
  </si>
  <si>
    <t>Bill-3860</t>
  </si>
  <si>
    <t>Bill-3850</t>
  </si>
  <si>
    <t>3%CD</t>
  </si>
  <si>
    <t>BML-97665080</t>
  </si>
  <si>
    <t>MB-A24462503</t>
  </si>
  <si>
    <t>Bill-8430</t>
  </si>
  <si>
    <t>Al noor store</t>
  </si>
  <si>
    <t>Owais</t>
  </si>
  <si>
    <t>BML-97665611</t>
  </si>
  <si>
    <t>BAF-30398735</t>
  </si>
  <si>
    <t>Saeed Super Store</t>
  </si>
  <si>
    <t>Salf mart</t>
  </si>
  <si>
    <t>Mini mart</t>
  </si>
  <si>
    <t>Pupler</t>
  </si>
  <si>
    <t>Fayyaz-7260</t>
  </si>
  <si>
    <t>Cash Transfer  Sheet 7-09-2025</t>
  </si>
  <si>
    <t>Adv Van Hamid</t>
  </si>
  <si>
    <t>29-9-25</t>
  </si>
  <si>
    <t>Bill-6880</t>
  </si>
  <si>
    <t>Imran gs</t>
  </si>
  <si>
    <t>Noor Provision</t>
  </si>
  <si>
    <t>Chq-9-10-25</t>
  </si>
  <si>
    <t>BAH-10295659</t>
  </si>
  <si>
    <t>BAH-10120457</t>
  </si>
  <si>
    <t>UBL-82440346</t>
  </si>
  <si>
    <t>BAF-47601576</t>
  </si>
  <si>
    <t>Asif-6290</t>
  </si>
  <si>
    <t>MB-A23202190</t>
  </si>
  <si>
    <t>Chq-6-9-25</t>
  </si>
  <si>
    <t>MB-A25766039</t>
  </si>
  <si>
    <t>Bill-3790</t>
  </si>
  <si>
    <t>BAH-10882631</t>
  </si>
  <si>
    <t>BAH-10299604</t>
  </si>
  <si>
    <t>BML-97662915</t>
  </si>
  <si>
    <t>BAF-30398729</t>
  </si>
  <si>
    <t>Khan conf-3150</t>
  </si>
  <si>
    <t>Qadeer med</t>
  </si>
  <si>
    <t>Tawakal-3360</t>
  </si>
  <si>
    <t>Star Conf-2880</t>
  </si>
  <si>
    <t>Panjwani-3450</t>
  </si>
  <si>
    <t>Asif-2560</t>
  </si>
  <si>
    <t xml:space="preserve">Fake </t>
  </si>
  <si>
    <t>Cola bottal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</si>
</sst>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164" fontId="0" fillId="0" borderId="0" xfId="1" applyNumberFormat="1" applyFont="1"/>
    <xf numFmtId="164" fontId="3" fillId="4" borderId="5" xfId="1" applyNumberFormat="1" applyFont="1" applyFill="1" applyBorder="1" applyAlignment="1">
      <alignment horizontal="center"/>
    </xf>
    <xf numFmtId="164" fontId="5" fillId="0" borderId="1" xfId="1" applyNumberFormat="1" applyFont="1" applyBorder="1"/>
    <xf numFmtId="164" fontId="3" fillId="3" borderId="2" xfId="1" applyNumberFormat="1" applyFont="1" applyFill="1" applyBorder="1" applyAlignment="1">
      <alignment vertical="center"/>
    </xf>
    <xf numFmtId="164" fontId="3" fillId="2" borderId="4" xfId="1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2" fillId="5" borderId="0" xfId="0" applyFont="1" applyFill="1" applyBorder="1" applyAlignment="1">
      <alignment horizontal="center" vertical="center"/>
    </xf>
    <xf numFmtId="164" fontId="0" fillId="0" borderId="0" xfId="1" applyNumberFormat="1" applyFont="1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Fill="1" applyBorder="1"/>
    <xf numFmtId="164" fontId="0" fillId="0" borderId="9" xfId="1" applyNumberFormat="1" applyFont="1" applyBorder="1"/>
    <xf numFmtId="164" fontId="0" fillId="0" borderId="11" xfId="1" applyNumberFormat="1" applyFont="1" applyBorder="1"/>
    <xf numFmtId="0" fontId="3" fillId="6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164" fontId="3" fillId="6" borderId="14" xfId="1" applyNumberFormat="1" applyFont="1" applyFill="1" applyBorder="1" applyAlignment="1">
      <alignment vertical="center"/>
    </xf>
    <xf numFmtId="0" fontId="4" fillId="0" borderId="0" xfId="0" applyFont="1" applyFill="1"/>
    <xf numFmtId="0" fontId="4" fillId="0" borderId="10" xfId="0" applyFont="1" applyFill="1" applyBorder="1"/>
    <xf numFmtId="0" fontId="4" fillId="0" borderId="11" xfId="0" applyFont="1" applyFill="1" applyBorder="1"/>
    <xf numFmtId="0" fontId="4" fillId="0" borderId="0" xfId="0" applyFont="1" applyFill="1" applyAlignment="1">
      <alignment horizontal="center" vertical="center"/>
    </xf>
    <xf numFmtId="0" fontId="3" fillId="0" borderId="0" xfId="0" applyFont="1"/>
    <xf numFmtId="0" fontId="3" fillId="0" borderId="10" xfId="0" applyFont="1" applyBorder="1"/>
    <xf numFmtId="0" fontId="3" fillId="0" borderId="11" xfId="0" applyFont="1" applyBorder="1"/>
    <xf numFmtId="0" fontId="3" fillId="7" borderId="10" xfId="0" applyFont="1" applyFill="1" applyBorder="1"/>
    <xf numFmtId="0" fontId="3" fillId="7" borderId="0" xfId="0" applyFont="1" applyFill="1" applyBorder="1"/>
    <xf numFmtId="164" fontId="3" fillId="7" borderId="11" xfId="1" applyNumberFormat="1" applyFont="1" applyFill="1" applyBorder="1"/>
    <xf numFmtId="164" fontId="0" fillId="8" borderId="0" xfId="1" applyNumberFormat="1" applyFont="1" applyFill="1"/>
    <xf numFmtId="164" fontId="0" fillId="8" borderId="0" xfId="1" applyNumberFormat="1" applyFont="1" applyFill="1" applyBorder="1"/>
    <xf numFmtId="0" fontId="4" fillId="8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/>
    </xf>
    <xf numFmtId="0" fontId="0" fillId="8" borderId="0" xfId="0" applyFill="1" applyBorder="1"/>
    <xf numFmtId="164" fontId="5" fillId="8" borderId="1" xfId="1" applyNumberFormat="1" applyFont="1" applyFill="1" applyBorder="1"/>
    <xf numFmtId="0" fontId="0" fillId="8" borderId="7" xfId="0" applyFill="1" applyBorder="1"/>
    <xf numFmtId="0" fontId="0" fillId="8" borderId="8" xfId="0" applyFill="1" applyBorder="1"/>
    <xf numFmtId="164" fontId="0" fillId="8" borderId="9" xfId="1" applyNumberFormat="1" applyFont="1" applyFill="1" applyBorder="1"/>
    <xf numFmtId="0" fontId="0" fillId="8" borderId="10" xfId="0" applyFill="1" applyBorder="1"/>
    <xf numFmtId="164" fontId="0" fillId="8" borderId="11" xfId="1" applyNumberFormat="1" applyFont="1" applyFill="1" applyBorder="1"/>
    <xf numFmtId="0" fontId="3" fillId="11" borderId="0" xfId="0" applyFont="1" applyFill="1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/>
    <xf numFmtId="0" fontId="2" fillId="10" borderId="0" xfId="0" applyFont="1" applyFill="1"/>
    <xf numFmtId="164" fontId="2" fillId="10" borderId="0" xfId="1" applyNumberFormat="1" applyFont="1" applyFill="1"/>
    <xf numFmtId="14" fontId="0" fillId="0" borderId="0" xfId="0" applyNumberFormat="1"/>
    <xf numFmtId="0" fontId="0" fillId="9" borderId="0" xfId="0" applyFill="1"/>
    <xf numFmtId="0" fontId="3" fillId="9" borderId="0" xfId="0" applyFont="1" applyFill="1"/>
    <xf numFmtId="0" fontId="3" fillId="11" borderId="1" xfId="0" applyFont="1" applyFill="1" applyBorder="1"/>
    <xf numFmtId="0" fontId="2" fillId="10" borderId="0" xfId="0" applyFont="1" applyFill="1" applyBorder="1" applyAlignment="1">
      <alignment vertical="center"/>
    </xf>
    <xf numFmtId="164" fontId="2" fillId="10" borderId="0" xfId="0" applyNumberFormat="1" applyFont="1" applyFill="1" applyBorder="1" applyAlignment="1">
      <alignment vertical="center"/>
    </xf>
    <xf numFmtId="0" fontId="3" fillId="12" borderId="5" xfId="0" applyFont="1" applyFill="1" applyBorder="1"/>
    <xf numFmtId="164" fontId="3" fillId="12" borderId="5" xfId="0" applyNumberFormat="1" applyFont="1" applyFill="1" applyBorder="1"/>
    <xf numFmtId="0" fontId="3" fillId="11" borderId="1" xfId="0" applyFont="1" applyFill="1" applyBorder="1" applyAlignment="1"/>
    <xf numFmtId="0" fontId="3" fillId="9" borderId="0" xfId="0" applyFont="1" applyFill="1" applyBorder="1" applyAlignment="1">
      <alignment horizontal="center"/>
    </xf>
    <xf numFmtId="3" fontId="0" fillId="0" borderId="0" xfId="0" applyNumberFormat="1"/>
    <xf numFmtId="164" fontId="0" fillId="0" borderId="0" xfId="0" applyNumberFormat="1"/>
    <xf numFmtId="0" fontId="0" fillId="13" borderId="0" xfId="0" applyFill="1" applyBorder="1"/>
    <xf numFmtId="3" fontId="0" fillId="13" borderId="0" xfId="0" applyNumberFormat="1" applyFill="1" applyBorder="1"/>
    <xf numFmtId="3" fontId="3" fillId="11" borderId="1" xfId="0" applyNumberFormat="1" applyFont="1" applyFill="1" applyBorder="1"/>
    <xf numFmtId="0" fontId="3" fillId="9" borderId="1" xfId="0" applyFont="1" applyFill="1" applyBorder="1" applyAlignment="1">
      <alignment horizontal="center"/>
    </xf>
    <xf numFmtId="0" fontId="0" fillId="0" borderId="9" xfId="0" applyBorder="1"/>
    <xf numFmtId="164" fontId="0" fillId="13" borderId="0" xfId="1" applyNumberFormat="1" applyFont="1" applyFill="1" applyBorder="1"/>
    <xf numFmtId="15" fontId="0" fillId="13" borderId="0" xfId="0" applyNumberForma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3" fillId="9" borderId="1" xfId="0" applyFont="1" applyFill="1" applyBorder="1" applyAlignment="1"/>
    <xf numFmtId="15" fontId="0" fillId="13" borderId="0" xfId="0" applyNumberFormat="1" applyFill="1" applyBorder="1"/>
    <xf numFmtId="164" fontId="3" fillId="11" borderId="1" xfId="0" applyNumberFormat="1" applyFont="1" applyFill="1" applyBorder="1"/>
    <xf numFmtId="0" fontId="0" fillId="13" borderId="15" xfId="0" applyFill="1" applyBorder="1"/>
    <xf numFmtId="15" fontId="0" fillId="13" borderId="0" xfId="0" applyNumberFormat="1" applyFill="1" applyBorder="1" applyAlignment="1">
      <alignment horizontal="right"/>
    </xf>
    <xf numFmtId="3" fontId="0" fillId="0" borderId="0" xfId="0" applyNumberFormat="1" applyBorder="1"/>
    <xf numFmtId="165" fontId="0" fillId="14" borderId="0" xfId="0" applyNumberFormat="1" applyFill="1"/>
    <xf numFmtId="0" fontId="0" fillId="14" borderId="0" xfId="0" applyFill="1"/>
    <xf numFmtId="164" fontId="3" fillId="13" borderId="0" xfId="1" applyNumberFormat="1" applyFont="1" applyFill="1" applyBorder="1" applyAlignment="1">
      <alignment horizontal="center"/>
    </xf>
    <xf numFmtId="0" fontId="3" fillId="13" borderId="0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0" fillId="0" borderId="15" xfId="0" applyBorder="1"/>
    <xf numFmtId="15" fontId="0" fillId="0" borderId="0" xfId="0" applyNumberFormat="1" applyFill="1" applyBorder="1" applyAlignment="1">
      <alignment horizontal="left"/>
    </xf>
    <xf numFmtId="164" fontId="0" fillId="3" borderId="0" xfId="1" applyNumberFormat="1" applyFont="1" applyFill="1"/>
    <xf numFmtId="0" fontId="0" fillId="3" borderId="0" xfId="0" applyFill="1"/>
    <xf numFmtId="0" fontId="3" fillId="11" borderId="16" xfId="0" applyFont="1" applyFill="1" applyBorder="1" applyAlignment="1"/>
    <xf numFmtId="3" fontId="3" fillId="11" borderId="16" xfId="0" applyNumberFormat="1" applyFont="1" applyFill="1" applyBorder="1"/>
    <xf numFmtId="3" fontId="0" fillId="13" borderId="0" xfId="1" applyNumberFormat="1" applyFont="1" applyFill="1" applyBorder="1"/>
    <xf numFmtId="15" fontId="0" fillId="0" borderId="0" xfId="0" applyNumberFormat="1" applyBorder="1" applyAlignment="1">
      <alignment horizontal="right"/>
    </xf>
    <xf numFmtId="0" fontId="0" fillId="13" borderId="0" xfId="0" applyFill="1" applyBorder="1" applyAlignment="1">
      <alignment horizontal="left"/>
    </xf>
    <xf numFmtId="164" fontId="0" fillId="13" borderId="0" xfId="1" applyNumberFormat="1" applyFont="1" applyFill="1" applyBorder="1" applyAlignment="1">
      <alignment horizontal="right"/>
    </xf>
    <xf numFmtId="164" fontId="0" fillId="2" borderId="0" xfId="1" applyNumberFormat="1" applyFont="1" applyFill="1"/>
    <xf numFmtId="0" fontId="0" fillId="2" borderId="0" xfId="0" applyFill="1"/>
    <xf numFmtId="15" fontId="0" fillId="0" borderId="0" xfId="0" applyNumberFormat="1" applyFill="1" applyBorder="1"/>
    <xf numFmtId="164" fontId="0" fillId="15" borderId="0" xfId="1" applyNumberFormat="1" applyFont="1" applyFill="1"/>
    <xf numFmtId="3" fontId="0" fillId="13" borderId="0" xfId="0" applyNumberFormat="1" applyFill="1" applyBorder="1" applyAlignment="1">
      <alignment horizontal="right"/>
    </xf>
    <xf numFmtId="164" fontId="0" fillId="13" borderId="0" xfId="1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14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38"/>
  <sheetViews>
    <sheetView topLeftCell="G7" zoomScale="80" zoomScaleNormal="80" workbookViewId="0">
      <selection activeCell="B3" sqref="B3:D3"/>
    </sheetView>
  </sheetViews>
  <sheetFormatPr defaultColWidth="9.140625" defaultRowHeight="15" x14ac:dyDescent="0.25"/>
  <cols>
    <col min="1" max="2" width="9.140625" style="1"/>
    <col min="3" max="3" width="17.5703125" style="1" customWidth="1"/>
    <col min="4" max="4" width="9.140625" style="1"/>
    <col min="5" max="5" width="1.7109375" style="1" customWidth="1"/>
    <col min="6" max="6" width="15.140625" style="1" bestFit="1" customWidth="1"/>
    <col min="7" max="7" width="15" style="1" customWidth="1"/>
    <col min="8" max="8" width="9.140625" style="1"/>
    <col min="9" max="9" width="1.7109375" style="1" customWidth="1"/>
    <col min="10" max="10" width="12.42578125" style="1" customWidth="1"/>
    <col min="11" max="11" width="17.42578125" style="1" customWidth="1"/>
    <col min="12" max="12" width="9.140625" style="1"/>
    <col min="13" max="13" width="1" style="1" customWidth="1"/>
    <col min="14" max="14" width="14.140625" style="1" customWidth="1"/>
    <col min="15" max="15" width="18.140625" style="1" customWidth="1"/>
    <col min="16" max="16" width="9.140625" style="1"/>
    <col min="17" max="17" width="1.7109375" style="1" customWidth="1"/>
    <col min="18" max="18" width="15.140625" style="1" bestFit="1" customWidth="1"/>
    <col min="19" max="19" width="17.28515625" style="1" customWidth="1"/>
    <col min="20" max="20" width="10.5703125" style="1" bestFit="1" customWidth="1"/>
    <col min="21" max="21" width="1.7109375" style="1" customWidth="1"/>
    <col min="22" max="22" width="2" style="1" customWidth="1"/>
    <col min="23" max="24" width="9.140625" style="1"/>
    <col min="25" max="25" width="10.28515625" style="1" customWidth="1"/>
    <col min="26" max="26" width="2" style="1" customWidth="1"/>
    <col min="27" max="27" width="1.28515625" style="1" customWidth="1"/>
    <col min="28" max="28" width="15.28515625" style="1" bestFit="1" customWidth="1"/>
    <col min="29" max="29" width="10.140625" style="1" customWidth="1"/>
    <col min="30" max="30" width="12.5703125" style="1" customWidth="1"/>
    <col min="31" max="31" width="12" style="1" customWidth="1"/>
    <col min="32" max="32" width="10.5703125" style="1" customWidth="1"/>
    <col min="33" max="33" width="9.140625" style="1"/>
    <col min="34" max="34" width="0.7109375" style="1" customWidth="1"/>
    <col min="35" max="35" width="20.28515625" style="1" bestFit="1" customWidth="1"/>
    <col min="36" max="36" width="14.28515625" style="1" bestFit="1" customWidth="1"/>
    <col min="37" max="37" width="16.85546875" style="1" customWidth="1"/>
    <col min="38" max="38" width="13.85546875" style="1" customWidth="1"/>
    <col min="39" max="39" width="11" style="1" customWidth="1"/>
    <col min="40" max="16384" width="9.140625" style="1"/>
  </cols>
  <sheetData>
    <row r="2" spans="2:39" ht="15.75" thickBot="1" x14ac:dyDescent="0.3"/>
    <row r="3" spans="2:39" x14ac:dyDescent="0.25">
      <c r="B3" s="104" t="s">
        <v>0</v>
      </c>
      <c r="C3" s="104"/>
      <c r="D3" s="104"/>
      <c r="F3" s="104" t="s">
        <v>1</v>
      </c>
      <c r="G3" s="104"/>
      <c r="H3" s="104"/>
      <c r="J3" s="104" t="s">
        <v>2</v>
      </c>
      <c r="K3" s="104"/>
      <c r="L3" s="104"/>
      <c r="N3" s="104" t="s">
        <v>92</v>
      </c>
      <c r="O3" s="104"/>
      <c r="P3" s="104"/>
      <c r="R3" s="104" t="s">
        <v>4</v>
      </c>
      <c r="S3" s="104"/>
      <c r="T3" s="104"/>
      <c r="V3" s="10"/>
      <c r="W3" s="103" t="s">
        <v>5</v>
      </c>
      <c r="X3" s="103"/>
      <c r="Y3" s="103"/>
      <c r="Z3" s="68"/>
    </row>
    <row r="4" spans="2:39" x14ac:dyDescent="0.25">
      <c r="B4" s="4" t="s">
        <v>6</v>
      </c>
      <c r="C4" s="4" t="s">
        <v>7</v>
      </c>
      <c r="D4" s="4" t="s">
        <v>8</v>
      </c>
      <c r="F4" s="4" t="s">
        <v>6</v>
      </c>
      <c r="G4" s="4" t="s">
        <v>7</v>
      </c>
      <c r="H4" s="4" t="s">
        <v>8</v>
      </c>
      <c r="J4" s="4" t="s">
        <v>6</v>
      </c>
      <c r="K4" s="4" t="s">
        <v>7</v>
      </c>
      <c r="L4" s="4" t="s">
        <v>8</v>
      </c>
      <c r="N4" s="4" t="s">
        <v>6</v>
      </c>
      <c r="O4" s="4" t="s">
        <v>7</v>
      </c>
      <c r="P4" s="4" t="s">
        <v>8</v>
      </c>
      <c r="R4" s="4" t="s">
        <v>6</v>
      </c>
      <c r="S4" s="4" t="s">
        <v>7</v>
      </c>
      <c r="T4" s="4" t="s">
        <v>8</v>
      </c>
      <c r="V4" s="12"/>
      <c r="W4" s="14" t="s">
        <v>6</v>
      </c>
      <c r="X4" s="14" t="s">
        <v>7</v>
      </c>
      <c r="Y4" s="14" t="s">
        <v>8</v>
      </c>
      <c r="Z4" s="13"/>
    </row>
    <row r="5" spans="2:39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>
        <v>38</v>
      </c>
      <c r="H5" s="36">
        <f>+G5*F5</f>
        <v>38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>
        <v>11</v>
      </c>
      <c r="P5" s="36">
        <f>+O5*N5</f>
        <v>11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49</v>
      </c>
      <c r="Y5" s="37">
        <f>+D5+H5+L5+P5+T5</f>
        <v>49</v>
      </c>
      <c r="Z5" s="28"/>
      <c r="AA5" s="26"/>
      <c r="AB5" s="71" t="s">
        <v>9</v>
      </c>
      <c r="AC5" s="71"/>
      <c r="AD5" s="71"/>
      <c r="AE5" s="71"/>
      <c r="AF5" s="71"/>
      <c r="AG5" s="61"/>
      <c r="AI5" s="4" t="s">
        <v>6</v>
      </c>
      <c r="AJ5" s="4" t="s">
        <v>7</v>
      </c>
      <c r="AK5" s="4" t="s">
        <v>8</v>
      </c>
    </row>
    <row r="6" spans="2:39" ht="15.75" thickTop="1" x14ac:dyDescent="0.25">
      <c r="B6" s="2">
        <v>10</v>
      </c>
      <c r="C6" s="2">
        <v>120</v>
      </c>
      <c r="D6" s="36">
        <f>+C6*B6</f>
        <v>1200</v>
      </c>
      <c r="F6" s="2">
        <v>10</v>
      </c>
      <c r="G6" s="2">
        <v>19</v>
      </c>
      <c r="H6" s="36">
        <f>+G6*F6</f>
        <v>190</v>
      </c>
      <c r="J6" s="2">
        <v>10</v>
      </c>
      <c r="K6" s="2">
        <v>22</v>
      </c>
      <c r="L6" s="36">
        <f>+K6*J6</f>
        <v>220</v>
      </c>
      <c r="N6" s="2">
        <v>10</v>
      </c>
      <c r="O6" s="2">
        <v>153</v>
      </c>
      <c r="P6" s="36">
        <f>+O6*N6</f>
        <v>1530</v>
      </c>
      <c r="R6" s="2">
        <v>10</v>
      </c>
      <c r="S6" s="2"/>
      <c r="T6" s="36">
        <f>+S6*R6</f>
        <v>0</v>
      </c>
      <c r="V6" s="12"/>
      <c r="W6" s="39">
        <v>10</v>
      </c>
      <c r="X6" s="39">
        <f>+C6+G6+K6+O6+S6</f>
        <v>314</v>
      </c>
      <c r="Y6" s="37">
        <f>+D6+H6+L6+P6+T6</f>
        <v>3140</v>
      </c>
      <c r="Z6" s="13"/>
      <c r="AI6" s="29">
        <v>1</v>
      </c>
      <c r="AJ6" s="29">
        <v>49</v>
      </c>
      <c r="AK6" s="36">
        <f t="shared" ref="AK6:AK13" si="0">+AJ6*AI6</f>
        <v>49</v>
      </c>
      <c r="AL6" s="26"/>
      <c r="AM6" s="26"/>
    </row>
    <row r="7" spans="2:39" x14ac:dyDescent="0.25">
      <c r="B7" s="2">
        <v>20</v>
      </c>
      <c r="C7" s="2">
        <v>50</v>
      </c>
      <c r="D7" s="36">
        <f t="shared" ref="D7:D12" si="1">+C7*B7</f>
        <v>1000</v>
      </c>
      <c r="F7" s="2">
        <v>20</v>
      </c>
      <c r="G7" s="2">
        <v>7</v>
      </c>
      <c r="H7" s="36">
        <f t="shared" ref="H7:H12" si="2">+G7*F7</f>
        <v>140</v>
      </c>
      <c r="J7" s="2">
        <v>20</v>
      </c>
      <c r="K7" s="2">
        <v>3</v>
      </c>
      <c r="L7" s="36">
        <f t="shared" ref="L7:L12" si="3">+K7*J7</f>
        <v>60</v>
      </c>
      <c r="N7" s="2">
        <v>20</v>
      </c>
      <c r="O7" s="2">
        <v>12</v>
      </c>
      <c r="P7" s="36">
        <f t="shared" ref="P7:P12" si="4">+O7*N7</f>
        <v>240</v>
      </c>
      <c r="R7" s="2">
        <v>20</v>
      </c>
      <c r="S7" s="2"/>
      <c r="T7" s="36">
        <f t="shared" ref="T7:T12" si="5">+S7*R7</f>
        <v>0</v>
      </c>
      <c r="V7" s="12"/>
      <c r="W7" s="39">
        <v>20</v>
      </c>
      <c r="X7" s="39">
        <f>+C7+G7+K7+O7+S7</f>
        <v>72</v>
      </c>
      <c r="Y7" s="37">
        <f t="shared" ref="Y7:Y12" si="6">+D7+H7+L7+P7+T7</f>
        <v>1440</v>
      </c>
      <c r="Z7" s="13"/>
      <c r="AB7" s="56" t="s">
        <v>10</v>
      </c>
      <c r="AC7" s="57">
        <f>Y13</f>
        <v>245629</v>
      </c>
      <c r="AD7" s="26"/>
      <c r="AE7" s="26"/>
      <c r="AF7" s="26"/>
      <c r="AG7" s="26"/>
      <c r="AI7" s="2">
        <v>10</v>
      </c>
      <c r="AJ7" s="2">
        <v>314</v>
      </c>
      <c r="AK7" s="36">
        <f t="shared" si="0"/>
        <v>3140</v>
      </c>
    </row>
    <row r="8" spans="2:39" x14ac:dyDescent="0.25">
      <c r="B8" s="2">
        <v>50</v>
      </c>
      <c r="C8" s="2">
        <v>63</v>
      </c>
      <c r="D8" s="36">
        <f t="shared" si="1"/>
        <v>3150</v>
      </c>
      <c r="F8" s="2">
        <v>50</v>
      </c>
      <c r="G8" s="2">
        <v>48</v>
      </c>
      <c r="H8" s="36">
        <f t="shared" si="2"/>
        <v>2400</v>
      </c>
      <c r="J8" s="2">
        <v>50</v>
      </c>
      <c r="K8" s="2">
        <v>14</v>
      </c>
      <c r="L8" s="36">
        <f t="shared" si="3"/>
        <v>700</v>
      </c>
      <c r="N8" s="2">
        <v>50</v>
      </c>
      <c r="O8" s="2">
        <v>13</v>
      </c>
      <c r="P8" s="36">
        <f t="shared" si="4"/>
        <v>650</v>
      </c>
      <c r="R8" s="2">
        <v>50</v>
      </c>
      <c r="S8" s="2">
        <v>64</v>
      </c>
      <c r="T8" s="36">
        <f t="shared" si="5"/>
        <v>3200</v>
      </c>
      <c r="V8" s="12"/>
      <c r="W8" s="39">
        <v>50</v>
      </c>
      <c r="X8" s="39">
        <f t="shared" ref="X8:X12" si="7">+C8+G8+K8+O8+S8</f>
        <v>202</v>
      </c>
      <c r="Y8" s="37">
        <f t="shared" si="6"/>
        <v>10100</v>
      </c>
      <c r="Z8" s="13"/>
      <c r="AB8" s="53" t="s">
        <v>11</v>
      </c>
      <c r="AC8" s="53">
        <f>+AF31</f>
        <v>48850</v>
      </c>
      <c r="AI8" s="2">
        <v>20</v>
      </c>
      <c r="AJ8" s="2">
        <v>72</v>
      </c>
      <c r="AK8" s="36">
        <f t="shared" si="0"/>
        <v>1440</v>
      </c>
    </row>
    <row r="9" spans="2:39" ht="15.75" thickBot="1" x14ac:dyDescent="0.3">
      <c r="B9" s="2">
        <v>100</v>
      </c>
      <c r="C9" s="2">
        <v>42</v>
      </c>
      <c r="D9" s="36">
        <f t="shared" si="1"/>
        <v>4200</v>
      </c>
      <c r="F9" s="2">
        <v>100</v>
      </c>
      <c r="G9" s="2">
        <v>62</v>
      </c>
      <c r="H9" s="36">
        <f t="shared" si="2"/>
        <v>6200</v>
      </c>
      <c r="J9" s="2">
        <v>100</v>
      </c>
      <c r="K9" s="2">
        <v>13</v>
      </c>
      <c r="L9" s="36">
        <f t="shared" si="3"/>
        <v>1300</v>
      </c>
      <c r="N9" s="2">
        <v>100</v>
      </c>
      <c r="O9" s="2">
        <v>22</v>
      </c>
      <c r="P9" s="36">
        <f t="shared" si="4"/>
        <v>2200</v>
      </c>
      <c r="R9" s="2">
        <v>100</v>
      </c>
      <c r="S9" s="2">
        <v>10</v>
      </c>
      <c r="T9" s="36">
        <f t="shared" si="5"/>
        <v>1000</v>
      </c>
      <c r="V9" s="12"/>
      <c r="W9" s="39">
        <v>100</v>
      </c>
      <c r="X9" s="39">
        <f t="shared" si="7"/>
        <v>149</v>
      </c>
      <c r="Y9" s="37">
        <f t="shared" si="6"/>
        <v>14900</v>
      </c>
      <c r="Z9" s="13"/>
      <c r="AB9" s="58" t="s">
        <v>12</v>
      </c>
      <c r="AC9" s="59">
        <f>SUM(AC7:AC8)</f>
        <v>294479</v>
      </c>
      <c r="AI9" s="2">
        <v>50</v>
      </c>
      <c r="AJ9" s="2">
        <v>203</v>
      </c>
      <c r="AK9" s="36">
        <f t="shared" si="0"/>
        <v>10150</v>
      </c>
    </row>
    <row r="10" spans="2:39" x14ac:dyDescent="0.25">
      <c r="B10" s="2">
        <v>500</v>
      </c>
      <c r="C10" s="2">
        <v>23</v>
      </c>
      <c r="D10" s="36">
        <f t="shared" si="1"/>
        <v>11500</v>
      </c>
      <c r="F10" s="2">
        <v>500</v>
      </c>
      <c r="G10" s="2">
        <v>34</v>
      </c>
      <c r="H10" s="36">
        <f t="shared" si="2"/>
        <v>17000</v>
      </c>
      <c r="J10" s="2">
        <v>500</v>
      </c>
      <c r="K10" s="2">
        <v>32</v>
      </c>
      <c r="L10" s="36">
        <f t="shared" si="3"/>
        <v>16000</v>
      </c>
      <c r="N10" s="2">
        <v>500</v>
      </c>
      <c r="O10" s="2">
        <v>29</v>
      </c>
      <c r="P10" s="36">
        <f t="shared" si="4"/>
        <v>14500</v>
      </c>
      <c r="R10" s="2">
        <v>500</v>
      </c>
      <c r="S10" s="2"/>
      <c r="T10" s="36">
        <f t="shared" si="5"/>
        <v>0</v>
      </c>
      <c r="V10" s="12"/>
      <c r="W10" s="39">
        <v>500</v>
      </c>
      <c r="X10" s="39">
        <f t="shared" si="7"/>
        <v>118</v>
      </c>
      <c r="Y10" s="37">
        <f t="shared" si="6"/>
        <v>59000</v>
      </c>
      <c r="Z10" s="13"/>
      <c r="AI10" s="2">
        <v>100</v>
      </c>
      <c r="AJ10" s="2">
        <v>152</v>
      </c>
      <c r="AK10" s="36">
        <f t="shared" si="0"/>
        <v>15200</v>
      </c>
    </row>
    <row r="11" spans="2:39" x14ac:dyDescent="0.25">
      <c r="B11" s="2">
        <v>1000</v>
      </c>
      <c r="C11" s="2">
        <v>37</v>
      </c>
      <c r="D11" s="36">
        <f t="shared" si="1"/>
        <v>37000</v>
      </c>
      <c r="F11" s="2">
        <v>1000</v>
      </c>
      <c r="G11" s="2">
        <v>32</v>
      </c>
      <c r="H11" s="36">
        <f t="shared" si="2"/>
        <v>32000</v>
      </c>
      <c r="J11" s="2">
        <v>1000</v>
      </c>
      <c r="K11" s="2">
        <v>42</v>
      </c>
      <c r="L11" s="36">
        <f t="shared" si="3"/>
        <v>42000</v>
      </c>
      <c r="N11" s="2">
        <v>1000</v>
      </c>
      <c r="O11" s="2">
        <v>26</v>
      </c>
      <c r="P11" s="36">
        <f t="shared" si="4"/>
        <v>26000</v>
      </c>
      <c r="R11" s="2">
        <v>1000</v>
      </c>
      <c r="S11" s="2"/>
      <c r="T11" s="36">
        <f t="shared" si="5"/>
        <v>0</v>
      </c>
      <c r="V11" s="12"/>
      <c r="W11" s="39">
        <v>1000</v>
      </c>
      <c r="X11" s="39">
        <f t="shared" si="7"/>
        <v>137</v>
      </c>
      <c r="Y11" s="37">
        <f t="shared" si="6"/>
        <v>137000</v>
      </c>
      <c r="Z11" s="13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I11" s="2">
        <v>500</v>
      </c>
      <c r="AJ11" s="2">
        <v>131</v>
      </c>
      <c r="AK11" s="36">
        <f t="shared" si="0"/>
        <v>65500</v>
      </c>
    </row>
    <row r="12" spans="2:39" x14ac:dyDescent="0.25">
      <c r="B12" s="2">
        <v>5000</v>
      </c>
      <c r="C12" s="2"/>
      <c r="D12" s="36">
        <f t="shared" si="1"/>
        <v>0</v>
      </c>
      <c r="F12" s="2">
        <v>5000</v>
      </c>
      <c r="G12" s="2">
        <v>2</v>
      </c>
      <c r="H12" s="36">
        <f t="shared" si="2"/>
        <v>10000</v>
      </c>
      <c r="J12" s="2">
        <v>5000</v>
      </c>
      <c r="K12" s="2">
        <v>1</v>
      </c>
      <c r="L12" s="36">
        <f t="shared" si="3"/>
        <v>5000</v>
      </c>
      <c r="N12" s="2">
        <v>5000</v>
      </c>
      <c r="O12" s="2">
        <v>1</v>
      </c>
      <c r="P12" s="36">
        <f t="shared" si="4"/>
        <v>5000</v>
      </c>
      <c r="R12" s="2">
        <v>5000</v>
      </c>
      <c r="S12" s="2"/>
      <c r="T12" s="36">
        <f t="shared" si="5"/>
        <v>0</v>
      </c>
      <c r="V12" s="12"/>
      <c r="W12" s="39">
        <v>5000</v>
      </c>
      <c r="X12" s="39">
        <f t="shared" si="7"/>
        <v>4</v>
      </c>
      <c r="Y12" s="37">
        <f t="shared" si="6"/>
        <v>20000</v>
      </c>
      <c r="Z12" s="13"/>
      <c r="AB12" s="1" t="s">
        <v>17</v>
      </c>
      <c r="AC12" s="5">
        <v>275930</v>
      </c>
      <c r="AD12" s="1">
        <v>1014015</v>
      </c>
      <c r="AE12" s="52">
        <v>45697</v>
      </c>
      <c r="AF12" s="1" t="s">
        <v>103</v>
      </c>
      <c r="AI12" s="2">
        <v>1000</v>
      </c>
      <c r="AJ12" s="2">
        <v>171</v>
      </c>
      <c r="AK12" s="36">
        <f t="shared" si="0"/>
        <v>171000</v>
      </c>
    </row>
    <row r="13" spans="2:39" ht="15.75" thickBot="1" x14ac:dyDescent="0.3">
      <c r="B13" s="3" t="s">
        <v>18</v>
      </c>
      <c r="C13" s="3"/>
      <c r="D13" s="6">
        <f>+SUM(D5:D12)</f>
        <v>58050</v>
      </c>
      <c r="F13" s="3" t="s">
        <v>18</v>
      </c>
      <c r="G13" s="3"/>
      <c r="H13" s="6">
        <f>+SUM(H5:H12)</f>
        <v>67968</v>
      </c>
      <c r="J13" s="3" t="s">
        <v>18</v>
      </c>
      <c r="K13" s="3"/>
      <c r="L13" s="6">
        <f>+SUM(L5:L12)</f>
        <v>65280</v>
      </c>
      <c r="N13" s="3" t="s">
        <v>18</v>
      </c>
      <c r="O13" s="3"/>
      <c r="P13" s="6">
        <f>+SUM(P5:P12)</f>
        <v>50131</v>
      </c>
      <c r="R13" s="3" t="s">
        <v>18</v>
      </c>
      <c r="S13" s="3"/>
      <c r="T13" s="6">
        <f>+SUM(T5:T12)</f>
        <v>4200</v>
      </c>
      <c r="V13" s="12"/>
      <c r="W13" s="3" t="s">
        <v>18</v>
      </c>
      <c r="X13" s="3"/>
      <c r="Y13" s="6">
        <f>+SUM(Y5:Y12)</f>
        <v>245629</v>
      </c>
      <c r="Z13" s="13"/>
      <c r="AB13" s="1" t="s">
        <v>19</v>
      </c>
      <c r="AC13" s="5">
        <v>549</v>
      </c>
      <c r="AI13" s="2">
        <v>5000</v>
      </c>
      <c r="AJ13" s="2">
        <v>2</v>
      </c>
      <c r="AK13" s="36">
        <f t="shared" si="0"/>
        <v>10000</v>
      </c>
    </row>
    <row r="14" spans="2:39" ht="15.75" thickBot="1" x14ac:dyDescent="0.3">
      <c r="V14" s="12"/>
      <c r="W14" s="16"/>
      <c r="X14" s="16"/>
      <c r="Y14" s="16"/>
      <c r="Z14" s="13"/>
      <c r="AB14" s="1" t="s">
        <v>20</v>
      </c>
      <c r="AC14" s="5"/>
      <c r="AI14" s="3" t="s">
        <v>18</v>
      </c>
      <c r="AJ14" s="3"/>
      <c r="AK14" s="6">
        <f>+SUM(AK6:AK13)</f>
        <v>276479</v>
      </c>
    </row>
    <row r="15" spans="2:39" ht="15.75" thickBot="1" x14ac:dyDescent="0.3">
      <c r="B15" s="105" t="s">
        <v>21</v>
      </c>
      <c r="C15" s="106"/>
      <c r="D15" s="8">
        <v>58049</v>
      </c>
      <c r="E15" s="30"/>
      <c r="F15" s="105" t="s">
        <v>21</v>
      </c>
      <c r="G15" s="106"/>
      <c r="H15" s="8">
        <v>72382</v>
      </c>
      <c r="I15" s="30"/>
      <c r="J15" s="105" t="s">
        <v>21</v>
      </c>
      <c r="K15" s="106"/>
      <c r="L15" s="8">
        <v>77002</v>
      </c>
      <c r="M15" s="30"/>
      <c r="N15" s="105" t="s">
        <v>21</v>
      </c>
      <c r="O15" s="106"/>
      <c r="P15" s="8">
        <v>90922</v>
      </c>
      <c r="Q15" s="30"/>
      <c r="R15" s="105" t="s">
        <v>21</v>
      </c>
      <c r="S15" s="106"/>
      <c r="T15" s="8">
        <v>421727</v>
      </c>
      <c r="U15" s="30"/>
      <c r="V15" s="31"/>
      <c r="W15" s="105" t="s">
        <v>21</v>
      </c>
      <c r="X15" s="106"/>
      <c r="Y15" s="8">
        <f>+D15+H15+L15+P15+T15</f>
        <v>720082</v>
      </c>
      <c r="Z15" s="32"/>
      <c r="AA15" s="30"/>
      <c r="AB15" s="1" t="s">
        <v>102</v>
      </c>
      <c r="AC15" s="93">
        <v>18000</v>
      </c>
    </row>
    <row r="16" spans="2:39" x14ac:dyDescent="0.25">
      <c r="B16" s="1" t="s">
        <v>10</v>
      </c>
      <c r="D16" s="5">
        <f>+D13</f>
        <v>58050</v>
      </c>
      <c r="F16" s="1" t="s">
        <v>10</v>
      </c>
      <c r="H16" s="5">
        <f>+H13</f>
        <v>67968</v>
      </c>
      <c r="J16" s="1" t="s">
        <v>10</v>
      </c>
      <c r="L16" s="5">
        <f>+L13</f>
        <v>65280</v>
      </c>
      <c r="N16" s="1" t="s">
        <v>10</v>
      </c>
      <c r="P16" s="5">
        <f>+P13</f>
        <v>50131</v>
      </c>
      <c r="R16" s="1" t="s">
        <v>10</v>
      </c>
      <c r="T16" s="5">
        <f>+T13</f>
        <v>4200</v>
      </c>
      <c r="V16" s="12"/>
      <c r="W16" s="40" t="s">
        <v>10</v>
      </c>
      <c r="X16" s="40"/>
      <c r="Y16" s="37">
        <f>+D16+H16+L16+P16+T16</f>
        <v>245629</v>
      </c>
      <c r="Z16" s="13"/>
      <c r="AB16" s="1" t="s">
        <v>23</v>
      </c>
      <c r="AC16" s="5"/>
    </row>
    <row r="17" spans="2:38" x14ac:dyDescent="0.25">
      <c r="B17" s="1" t="s">
        <v>17</v>
      </c>
      <c r="D17" s="5"/>
      <c r="F17" s="1" t="s">
        <v>17</v>
      </c>
      <c r="H17" s="5"/>
      <c r="J17" s="1" t="s">
        <v>17</v>
      </c>
      <c r="L17" s="5"/>
      <c r="N17" s="1" t="s">
        <v>17</v>
      </c>
      <c r="P17" s="5"/>
      <c r="R17" s="1" t="s">
        <v>17</v>
      </c>
      <c r="T17" s="5"/>
      <c r="V17" s="12"/>
      <c r="W17" s="40" t="s">
        <v>17</v>
      </c>
      <c r="X17" s="40"/>
      <c r="Y17" s="37">
        <f t="shared" ref="Y17:Y27" si="8">+D17+H17+L17+P17+T17</f>
        <v>0</v>
      </c>
      <c r="Z17" s="13"/>
      <c r="AB17" s="48" t="s">
        <v>12</v>
      </c>
      <c r="AC17" s="49">
        <f>+SUM(AC12:AC16)</f>
        <v>294479</v>
      </c>
      <c r="AD17" s="63"/>
    </row>
    <row r="18" spans="2:38" x14ac:dyDescent="0.25">
      <c r="B18" s="1" t="s">
        <v>24</v>
      </c>
      <c r="D18" s="5"/>
      <c r="F18" s="1" t="s">
        <v>70</v>
      </c>
      <c r="G18" s="1" t="s">
        <v>73</v>
      </c>
      <c r="H18" s="5">
        <v>4678</v>
      </c>
      <c r="J18" s="1" t="s">
        <v>69</v>
      </c>
      <c r="K18" s="1" t="s">
        <v>101</v>
      </c>
      <c r="L18" s="5">
        <v>7944</v>
      </c>
      <c r="N18" s="1" t="s">
        <v>72</v>
      </c>
      <c r="O18" s="16" t="s">
        <v>97</v>
      </c>
      <c r="P18" s="5">
        <v>20529</v>
      </c>
      <c r="R18" s="1" t="s">
        <v>82</v>
      </c>
      <c r="S18" s="1" t="s">
        <v>83</v>
      </c>
      <c r="T18" s="5">
        <v>123193</v>
      </c>
      <c r="V18" s="12"/>
      <c r="W18" s="40" t="s">
        <v>24</v>
      </c>
      <c r="X18" s="40"/>
      <c r="Y18" s="37">
        <f t="shared" si="8"/>
        <v>156344</v>
      </c>
      <c r="Z18" s="13"/>
      <c r="AB18" s="50" t="s">
        <v>25</v>
      </c>
      <c r="AC18" s="51">
        <f>+AC17-AC9</f>
        <v>0</v>
      </c>
      <c r="AD18" s="1" t="s">
        <v>26</v>
      </c>
    </row>
    <row r="19" spans="2:38" x14ac:dyDescent="0.25">
      <c r="B19" s="1" t="s">
        <v>27</v>
      </c>
      <c r="D19" s="5"/>
      <c r="F19" s="1" t="s">
        <v>27</v>
      </c>
      <c r="H19" s="5"/>
      <c r="J19" s="1" t="s">
        <v>27</v>
      </c>
      <c r="L19" s="5"/>
      <c r="N19" s="1" t="s">
        <v>70</v>
      </c>
      <c r="O19" s="16" t="s">
        <v>98</v>
      </c>
      <c r="P19" s="5">
        <v>3340</v>
      </c>
      <c r="R19" s="1" t="s">
        <v>27</v>
      </c>
      <c r="T19" s="5"/>
      <c r="V19" s="12"/>
      <c r="W19" s="40" t="s">
        <v>27</v>
      </c>
      <c r="X19" s="40"/>
      <c r="Y19" s="37">
        <f t="shared" si="8"/>
        <v>3340</v>
      </c>
      <c r="Z19" s="13"/>
    </row>
    <row r="20" spans="2:38" x14ac:dyDescent="0.25">
      <c r="B20" s="1" t="s">
        <v>28</v>
      </c>
      <c r="D20" s="5"/>
      <c r="F20" s="1" t="s">
        <v>28</v>
      </c>
      <c r="H20" s="5"/>
      <c r="J20" s="1" t="s">
        <v>28</v>
      </c>
      <c r="L20" s="5"/>
      <c r="N20" s="1" t="s">
        <v>28</v>
      </c>
      <c r="P20" s="5"/>
      <c r="R20" s="1" t="s">
        <v>28</v>
      </c>
      <c r="T20" s="5"/>
      <c r="V20" s="12"/>
      <c r="W20" s="40" t="s">
        <v>28</v>
      </c>
      <c r="X20" s="40"/>
      <c r="Y20" s="37">
        <f t="shared" si="8"/>
        <v>0</v>
      </c>
      <c r="Z20" s="13"/>
    </row>
    <row r="21" spans="2:38" x14ac:dyDescent="0.25">
      <c r="D21" s="5"/>
      <c r="H21" s="5"/>
      <c r="L21" s="5"/>
      <c r="P21" s="5"/>
      <c r="T21" s="5"/>
      <c r="V21" s="12"/>
      <c r="W21" s="40"/>
      <c r="X21" s="40"/>
      <c r="Y21" s="37">
        <f t="shared" si="8"/>
        <v>0</v>
      </c>
      <c r="Z21" s="13"/>
      <c r="AB21" s="54" t="s">
        <v>29</v>
      </c>
      <c r="AC21" s="54"/>
      <c r="AD21" s="54"/>
      <c r="AE21" s="30"/>
      <c r="AI21" s="54" t="s">
        <v>30</v>
      </c>
      <c r="AJ21" s="54"/>
      <c r="AK21" s="54"/>
      <c r="AL21" s="62"/>
    </row>
    <row r="22" spans="2:38" x14ac:dyDescent="0.25">
      <c r="D22" s="5"/>
      <c r="H22" s="5"/>
      <c r="L22" s="5"/>
      <c r="P22" s="5"/>
      <c r="R22" s="1" t="s">
        <v>74</v>
      </c>
      <c r="S22" s="1" t="s">
        <v>75</v>
      </c>
      <c r="T22" s="5">
        <v>55816</v>
      </c>
      <c r="V22" s="12"/>
      <c r="W22" s="40"/>
      <c r="X22" s="40"/>
      <c r="Y22" s="37">
        <f t="shared" si="8"/>
        <v>55816</v>
      </c>
      <c r="Z22" s="13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D23" s="5"/>
      <c r="F23" s="1" t="s">
        <v>36</v>
      </c>
      <c r="H23" s="5"/>
      <c r="J23" s="1" t="s">
        <v>90</v>
      </c>
      <c r="K23" s="1" t="s">
        <v>91</v>
      </c>
      <c r="L23" s="5">
        <v>3794</v>
      </c>
      <c r="N23" s="1" t="s">
        <v>93</v>
      </c>
      <c r="O23" s="1" t="s">
        <v>94</v>
      </c>
      <c r="P23" s="5">
        <v>8573</v>
      </c>
      <c r="R23" s="1" t="s">
        <v>76</v>
      </c>
      <c r="S23" s="1" t="s">
        <v>77</v>
      </c>
      <c r="T23" s="5">
        <v>27178</v>
      </c>
      <c r="V23" s="12"/>
      <c r="W23" s="40" t="s">
        <v>36</v>
      </c>
      <c r="X23" s="40"/>
      <c r="Y23" s="37">
        <f t="shared" si="8"/>
        <v>39545</v>
      </c>
      <c r="Z23" s="13"/>
      <c r="AB23" s="64" t="s">
        <v>99</v>
      </c>
      <c r="AC23" s="70">
        <v>45887</v>
      </c>
      <c r="AD23" s="64" t="s">
        <v>48</v>
      </c>
      <c r="AE23" s="64"/>
      <c r="AF23" s="64">
        <v>25300</v>
      </c>
      <c r="AI23" s="64" t="s">
        <v>57</v>
      </c>
      <c r="AJ23" s="64" t="s">
        <v>61</v>
      </c>
      <c r="AK23" s="64" t="s">
        <v>60</v>
      </c>
      <c r="AL23" s="65">
        <v>14969</v>
      </c>
    </row>
    <row r="24" spans="2:38" x14ac:dyDescent="0.25">
      <c r="B24" s="1" t="s">
        <v>37</v>
      </c>
      <c r="D24" s="5"/>
      <c r="F24" s="1" t="s">
        <v>37</v>
      </c>
      <c r="H24" s="5"/>
      <c r="J24" s="1" t="s">
        <v>37</v>
      </c>
      <c r="L24" s="5"/>
      <c r="N24" s="1" t="s">
        <v>95</v>
      </c>
      <c r="O24" s="1" t="s">
        <v>96</v>
      </c>
      <c r="P24" s="5">
        <v>6207</v>
      </c>
      <c r="R24" s="1" t="s">
        <v>78</v>
      </c>
      <c r="S24" s="1" t="s">
        <v>50</v>
      </c>
      <c r="T24" s="5">
        <v>27962</v>
      </c>
      <c r="V24" s="12"/>
      <c r="W24" s="40" t="s">
        <v>37</v>
      </c>
      <c r="X24" s="40"/>
      <c r="Y24" s="37">
        <f t="shared" si="8"/>
        <v>34169</v>
      </c>
      <c r="Z24" s="13"/>
      <c r="AB24" s="64" t="s">
        <v>100</v>
      </c>
      <c r="AC24" s="70">
        <v>45880</v>
      </c>
      <c r="AD24" s="64" t="s">
        <v>49</v>
      </c>
      <c r="AE24" s="64"/>
      <c r="AF24" s="64">
        <v>23550</v>
      </c>
      <c r="AI24" s="64" t="s">
        <v>59</v>
      </c>
      <c r="AJ24" s="64" t="s">
        <v>62</v>
      </c>
      <c r="AK24" s="64" t="s">
        <v>39</v>
      </c>
      <c r="AL24" s="65">
        <v>10649</v>
      </c>
    </row>
    <row r="25" spans="2:38" x14ac:dyDescent="0.25">
      <c r="B25" s="1" t="s">
        <v>38</v>
      </c>
      <c r="D25" s="5"/>
      <c r="F25" s="1" t="s">
        <v>38</v>
      </c>
      <c r="H25" s="5"/>
      <c r="J25" s="1" t="s">
        <v>38</v>
      </c>
      <c r="L25" s="5"/>
      <c r="N25" s="1" t="s">
        <v>53</v>
      </c>
      <c r="P25" s="5"/>
      <c r="R25" s="1" t="s">
        <v>79</v>
      </c>
      <c r="S25" s="1" t="s">
        <v>80</v>
      </c>
      <c r="T25" s="5">
        <v>161891</v>
      </c>
      <c r="V25" s="12"/>
      <c r="W25" s="40" t="s">
        <v>38</v>
      </c>
      <c r="X25" s="40"/>
      <c r="Y25" s="37">
        <f t="shared" si="8"/>
        <v>161891</v>
      </c>
      <c r="Z25" s="13"/>
      <c r="AI25" s="64" t="s">
        <v>59</v>
      </c>
      <c r="AJ25" s="64" t="s">
        <v>63</v>
      </c>
      <c r="AK25" s="64" t="s">
        <v>89</v>
      </c>
      <c r="AL25" s="65">
        <v>6470</v>
      </c>
    </row>
    <row r="26" spans="2:38" x14ac:dyDescent="0.25">
      <c r="D26" s="5"/>
      <c r="H26" s="5"/>
      <c r="L26" s="5"/>
      <c r="P26" s="5"/>
      <c r="R26" s="1" t="s">
        <v>81</v>
      </c>
      <c r="S26" s="1" t="s">
        <v>52</v>
      </c>
      <c r="T26" s="5">
        <v>21494</v>
      </c>
      <c r="V26" s="12"/>
      <c r="W26" s="40"/>
      <c r="X26" s="40"/>
      <c r="Y26" s="37">
        <f t="shared" si="8"/>
        <v>21494</v>
      </c>
      <c r="Z26" s="13"/>
      <c r="AF26" s="20"/>
      <c r="AI26" s="64" t="s">
        <v>56</v>
      </c>
      <c r="AJ26" s="64" t="s">
        <v>64</v>
      </c>
      <c r="AK26" s="64" t="s">
        <v>71</v>
      </c>
      <c r="AL26" s="65">
        <v>3326</v>
      </c>
    </row>
    <row r="27" spans="2:38" ht="15.75" thickBot="1" x14ac:dyDescent="0.3">
      <c r="D27" s="5"/>
      <c r="H27" s="5"/>
      <c r="L27" s="5"/>
      <c r="P27" s="5"/>
      <c r="T27" s="5"/>
      <c r="V27" s="12"/>
      <c r="W27" s="40"/>
      <c r="X27" s="40"/>
      <c r="Y27" s="37">
        <f t="shared" si="8"/>
        <v>0</v>
      </c>
      <c r="Z27" s="13"/>
      <c r="AI27" s="64" t="s">
        <v>56</v>
      </c>
      <c r="AJ27" s="64" t="s">
        <v>66</v>
      </c>
      <c r="AK27" s="64" t="s">
        <v>51</v>
      </c>
      <c r="AL27" s="65">
        <v>23093</v>
      </c>
    </row>
    <row r="28" spans="2:38" ht="15.75" thickBot="1" x14ac:dyDescent="0.3">
      <c r="B28" s="99" t="s">
        <v>12</v>
      </c>
      <c r="C28" s="100"/>
      <c r="D28" s="9">
        <f>+SUM(D16:D27)</f>
        <v>58050</v>
      </c>
      <c r="F28" s="99" t="s">
        <v>12</v>
      </c>
      <c r="G28" s="100"/>
      <c r="H28" s="9">
        <f>+SUM(H16:H27)</f>
        <v>72646</v>
      </c>
      <c r="J28" s="99" t="s">
        <v>12</v>
      </c>
      <c r="K28" s="100"/>
      <c r="L28" s="9">
        <f>+SUM(L16:L27)</f>
        <v>77018</v>
      </c>
      <c r="N28" s="99" t="s">
        <v>12</v>
      </c>
      <c r="O28" s="100"/>
      <c r="P28" s="9">
        <f>+SUM(P16:P27)</f>
        <v>88780</v>
      </c>
      <c r="R28" s="99" t="s">
        <v>12</v>
      </c>
      <c r="S28" s="100"/>
      <c r="T28" s="9">
        <f>+SUM(T16:T27)</f>
        <v>421734</v>
      </c>
      <c r="V28" s="12"/>
      <c r="W28" s="99" t="s">
        <v>12</v>
      </c>
      <c r="X28" s="100"/>
      <c r="Y28" s="9">
        <f>+SUM(Y16:Y27)</f>
        <v>718228</v>
      </c>
      <c r="Z28" s="13"/>
      <c r="AI28" s="64" t="s">
        <v>57</v>
      </c>
      <c r="AJ28" s="64" t="s">
        <v>65</v>
      </c>
      <c r="AK28" s="64" t="s">
        <v>87</v>
      </c>
      <c r="AL28" s="69">
        <v>18964</v>
      </c>
    </row>
    <row r="29" spans="2:38" x14ac:dyDescent="0.25">
      <c r="D29" s="5"/>
      <c r="H29" s="5"/>
      <c r="L29" s="5"/>
      <c r="P29" s="5"/>
      <c r="T29" s="5"/>
      <c r="V29" s="12"/>
      <c r="W29" s="16"/>
      <c r="X29" s="16"/>
      <c r="Y29" s="15"/>
      <c r="Z29" s="13"/>
      <c r="AI29" s="64" t="s">
        <v>57</v>
      </c>
      <c r="AJ29" s="64" t="s">
        <v>67</v>
      </c>
      <c r="AK29" s="64" t="s">
        <v>55</v>
      </c>
      <c r="AL29" s="65">
        <v>9502</v>
      </c>
    </row>
    <row r="30" spans="2:38" ht="15.75" thickBot="1" x14ac:dyDescent="0.3">
      <c r="B30" s="101" t="s">
        <v>41</v>
      </c>
      <c r="C30" s="101"/>
      <c r="D30" s="7">
        <f>+D28-D15</f>
        <v>1</v>
      </c>
      <c r="F30" s="101" t="s">
        <v>41</v>
      </c>
      <c r="G30" s="101"/>
      <c r="H30" s="7">
        <f>+H28-H15</f>
        <v>264</v>
      </c>
      <c r="J30" s="101" t="s">
        <v>41</v>
      </c>
      <c r="K30" s="101"/>
      <c r="L30" s="7">
        <f>+L28-L15</f>
        <v>16</v>
      </c>
      <c r="N30" s="101" t="s">
        <v>41</v>
      </c>
      <c r="O30" s="101"/>
      <c r="P30" s="7">
        <f>+P28-P15</f>
        <v>-2142</v>
      </c>
      <c r="R30" s="101" t="s">
        <v>41</v>
      </c>
      <c r="S30" s="101"/>
      <c r="T30" s="7">
        <f>+T28-T15</f>
        <v>7</v>
      </c>
      <c r="V30" s="12"/>
      <c r="W30" s="102" t="s">
        <v>41</v>
      </c>
      <c r="X30" s="102"/>
      <c r="Y30" s="41">
        <f>+Y28-Y15</f>
        <v>-1854</v>
      </c>
      <c r="Z30" s="13"/>
      <c r="AI30" s="64" t="s">
        <v>59</v>
      </c>
      <c r="AJ30" s="64" t="s">
        <v>68</v>
      </c>
      <c r="AK30" s="64" t="s">
        <v>54</v>
      </c>
      <c r="AL30" s="65">
        <v>9253</v>
      </c>
    </row>
    <row r="31" spans="2:38" ht="16.5" thickTop="1" thickBot="1" x14ac:dyDescent="0.3">
      <c r="V31" s="17"/>
      <c r="W31" s="18"/>
      <c r="X31" s="18"/>
      <c r="Y31" s="18"/>
      <c r="Z31" s="19"/>
      <c r="AB31" s="60" t="s">
        <v>40</v>
      </c>
      <c r="AC31" s="60"/>
      <c r="AD31" s="60"/>
      <c r="AE31" s="60"/>
      <c r="AF31" s="55">
        <f>+SUM(AF23:AF30)</f>
        <v>48850</v>
      </c>
      <c r="AI31" s="64" t="s">
        <v>58</v>
      </c>
      <c r="AJ31" s="64" t="s">
        <v>84</v>
      </c>
      <c r="AK31" s="64" t="s">
        <v>88</v>
      </c>
      <c r="AL31" s="65">
        <v>250000</v>
      </c>
    </row>
    <row r="32" spans="2:38" x14ac:dyDescent="0.25">
      <c r="AI32" s="64" t="s">
        <v>58</v>
      </c>
      <c r="AJ32" s="64" t="s">
        <v>85</v>
      </c>
      <c r="AK32" s="64" t="s">
        <v>88</v>
      </c>
      <c r="AL32" s="65">
        <v>79960</v>
      </c>
    </row>
    <row r="33" spans="2:38" ht="15.75" thickBot="1" x14ac:dyDescent="0.3">
      <c r="AI33" s="64" t="s">
        <v>58</v>
      </c>
      <c r="AJ33" s="64" t="s">
        <v>86</v>
      </c>
      <c r="AK33" s="64" t="s">
        <v>88</v>
      </c>
      <c r="AL33" s="65">
        <v>14500</v>
      </c>
    </row>
    <row r="34" spans="2:38" x14ac:dyDescent="0.25">
      <c r="B34" s="10" t="s">
        <v>42</v>
      </c>
      <c r="C34" s="11"/>
      <c r="D34" s="21"/>
      <c r="F34" s="10" t="s">
        <v>42</v>
      </c>
      <c r="G34" s="11"/>
      <c r="H34" s="21"/>
      <c r="J34" s="10" t="s">
        <v>42</v>
      </c>
      <c r="K34" s="11"/>
      <c r="L34" s="21"/>
      <c r="N34" s="10" t="s">
        <v>42</v>
      </c>
      <c r="O34" s="11"/>
      <c r="P34" s="21">
        <v>2142</v>
      </c>
      <c r="R34" s="10" t="s">
        <v>42</v>
      </c>
      <c r="S34" s="11"/>
      <c r="T34" s="21"/>
      <c r="W34" s="42" t="s">
        <v>42</v>
      </c>
      <c r="X34" s="43"/>
      <c r="Y34" s="44">
        <f>+D34+H34+L34+P34+T34</f>
        <v>2142</v>
      </c>
    </row>
    <row r="35" spans="2:38" ht="15.75" thickBot="1" x14ac:dyDescent="0.3">
      <c r="B35" s="12" t="s">
        <v>43</v>
      </c>
      <c r="C35" s="16"/>
      <c r="D35" s="22"/>
      <c r="F35" s="12" t="s">
        <v>43</v>
      </c>
      <c r="G35" s="16"/>
      <c r="H35" s="22"/>
      <c r="J35" s="12" t="s">
        <v>43</v>
      </c>
      <c r="K35" s="16"/>
      <c r="L35" s="22"/>
      <c r="N35" s="12" t="s">
        <v>43</v>
      </c>
      <c r="O35" s="16"/>
      <c r="P35" s="22"/>
      <c r="R35" s="12" t="s">
        <v>43</v>
      </c>
      <c r="S35" s="16"/>
      <c r="T35" s="22"/>
      <c r="W35" s="45" t="s">
        <v>43</v>
      </c>
      <c r="X35" s="40"/>
      <c r="Y35" s="46">
        <f t="shared" ref="Y35:Y36" si="9">+D35+H35+L35+P35+T35</f>
        <v>0</v>
      </c>
      <c r="AI35" s="60" t="s">
        <v>40</v>
      </c>
      <c r="AJ35" s="60"/>
      <c r="AK35" s="60"/>
      <c r="AL35" s="66">
        <f>+SUM(AL23:AL34)</f>
        <v>440686</v>
      </c>
    </row>
    <row r="36" spans="2:38" ht="15.75" thickTop="1" x14ac:dyDescent="0.25">
      <c r="B36" s="12" t="s">
        <v>45</v>
      </c>
      <c r="C36" s="16"/>
      <c r="D36" s="22">
        <v>-1</v>
      </c>
      <c r="F36" s="12" t="s">
        <v>45</v>
      </c>
      <c r="G36" s="16"/>
      <c r="H36" s="22">
        <v>-264</v>
      </c>
      <c r="J36" s="12" t="s">
        <v>45</v>
      </c>
      <c r="K36" s="16"/>
      <c r="L36" s="22">
        <v>-16</v>
      </c>
      <c r="N36" s="12" t="s">
        <v>45</v>
      </c>
      <c r="O36" s="16"/>
      <c r="P36" s="22"/>
      <c r="R36" s="12" t="s">
        <v>47</v>
      </c>
      <c r="S36" s="16"/>
      <c r="T36" s="22">
        <v>-7</v>
      </c>
      <c r="W36" s="45" t="s">
        <v>44</v>
      </c>
      <c r="X36" s="40"/>
      <c r="Y36" s="46">
        <f t="shared" si="9"/>
        <v>-288</v>
      </c>
    </row>
    <row r="37" spans="2:38" x14ac:dyDescent="0.25">
      <c r="B37" s="12" t="s">
        <v>18</v>
      </c>
      <c r="C37" s="16"/>
      <c r="D37" s="22">
        <f>+SUM(D34:D36)</f>
        <v>-1</v>
      </c>
      <c r="F37" s="12" t="s">
        <v>18</v>
      </c>
      <c r="G37" s="16"/>
      <c r="H37" s="22">
        <f>+SUM(H34:H36)</f>
        <v>-264</v>
      </c>
      <c r="J37" s="12" t="s">
        <v>18</v>
      </c>
      <c r="K37" s="16"/>
      <c r="L37" s="22">
        <f>+SUM(L34:L36)</f>
        <v>-16</v>
      </c>
      <c r="N37" s="12" t="s">
        <v>18</v>
      </c>
      <c r="O37" s="16"/>
      <c r="P37" s="22">
        <f>+SUM(P34:P36)</f>
        <v>2142</v>
      </c>
      <c r="R37" s="12" t="s">
        <v>18</v>
      </c>
      <c r="S37" s="16"/>
      <c r="T37" s="22">
        <f>+SUM(T34:T36)</f>
        <v>-7</v>
      </c>
      <c r="W37" s="33" t="s">
        <v>18</v>
      </c>
      <c r="X37" s="34"/>
      <c r="Y37" s="35">
        <f>+SUM(Y34:Y36)</f>
        <v>1854</v>
      </c>
    </row>
    <row r="38" spans="2:38" ht="15.75" thickBot="1" x14ac:dyDescent="0.3">
      <c r="B38" s="23" t="s">
        <v>46</v>
      </c>
      <c r="C38" s="24"/>
      <c r="D38" s="25">
        <f>+D30+D37</f>
        <v>0</v>
      </c>
      <c r="F38" s="23" t="s">
        <v>46</v>
      </c>
      <c r="G38" s="24"/>
      <c r="H38" s="25">
        <f>+H30+H37</f>
        <v>0</v>
      </c>
      <c r="J38" s="23" t="s">
        <v>46</v>
      </c>
      <c r="K38" s="24"/>
      <c r="L38" s="25">
        <f>+L30+L37</f>
        <v>0</v>
      </c>
      <c r="N38" s="23" t="s">
        <v>46</v>
      </c>
      <c r="O38" s="24"/>
      <c r="P38" s="25">
        <f>+P30+P37</f>
        <v>0</v>
      </c>
      <c r="R38" s="23" t="s">
        <v>46</v>
      </c>
      <c r="S38" s="24"/>
      <c r="T38" s="25">
        <f>+T30+T37</f>
        <v>0</v>
      </c>
      <c r="W38" s="23" t="s">
        <v>46</v>
      </c>
      <c r="X38" s="24"/>
      <c r="Y38" s="25">
        <f>+Y30+Y37</f>
        <v>0</v>
      </c>
    </row>
  </sheetData>
  <mergeCells count="24">
    <mergeCell ref="W15:X15"/>
    <mergeCell ref="B15:C15"/>
    <mergeCell ref="F15:G15"/>
    <mergeCell ref="J15:K15"/>
    <mergeCell ref="N15:O15"/>
    <mergeCell ref="R15:S15"/>
    <mergeCell ref="W3:Y3"/>
    <mergeCell ref="B3:D3"/>
    <mergeCell ref="F3:H3"/>
    <mergeCell ref="J3:L3"/>
    <mergeCell ref="N3:P3"/>
    <mergeCell ref="R3:T3"/>
    <mergeCell ref="N28:O28"/>
    <mergeCell ref="R28:S28"/>
    <mergeCell ref="W28:X28"/>
    <mergeCell ref="B30:C30"/>
    <mergeCell ref="F30:G30"/>
    <mergeCell ref="J30:K30"/>
    <mergeCell ref="N30:O30"/>
    <mergeCell ref="R30:S30"/>
    <mergeCell ref="W30:X30"/>
    <mergeCell ref="B28:C28"/>
    <mergeCell ref="F28:G28"/>
    <mergeCell ref="J28:K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43"/>
  <sheetViews>
    <sheetView zoomScale="80" zoomScaleNormal="80" workbookViewId="0">
      <selection activeCell="H34" sqref="H34"/>
    </sheetView>
  </sheetViews>
  <sheetFormatPr defaultRowHeight="15" x14ac:dyDescent="0.25"/>
  <cols>
    <col min="5" max="5" width="1.140625" customWidth="1"/>
    <col min="7" max="7" width="14.28515625" bestFit="1" customWidth="1"/>
    <col min="9" max="9" width="0.5703125" customWidth="1"/>
    <col min="11" max="11" width="14" bestFit="1" customWidth="1"/>
    <col min="12" max="12" width="9.5703125" bestFit="1" customWidth="1"/>
    <col min="13" max="13" width="0.7109375" customWidth="1"/>
    <col min="15" max="15" width="14.28515625" bestFit="1" customWidth="1"/>
    <col min="17" max="17" width="0.85546875" customWidth="1"/>
    <col min="21" max="21" width="0.85546875" customWidth="1"/>
    <col min="25" max="25" width="12.85546875" bestFit="1" customWidth="1"/>
    <col min="27" max="27" width="0.85546875" customWidth="1"/>
    <col min="28" max="28" width="19.7109375" bestFit="1" customWidth="1"/>
    <col min="29" max="29" width="12.85546875" bestFit="1" customWidth="1"/>
    <col min="36" max="36" width="14.7109375" bestFit="1" customWidth="1"/>
    <col min="37" max="37" width="13.7109375" bestFit="1" customWidth="1"/>
  </cols>
  <sheetData>
    <row r="2" spans="2:38" ht="15.75" thickBot="1" x14ac:dyDescent="0.3"/>
    <row r="3" spans="2:38" x14ac:dyDescent="0.25">
      <c r="B3" s="104" t="s">
        <v>104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>
        <v>37</v>
      </c>
      <c r="D5" s="36">
        <f>+C5*B5</f>
        <v>37</v>
      </c>
      <c r="E5" s="26"/>
      <c r="F5" s="29">
        <v>1</v>
      </c>
      <c r="G5" s="29">
        <v>66</v>
      </c>
      <c r="H5" s="36">
        <v>66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103</v>
      </c>
      <c r="Y5" s="37">
        <f>+D5+H5+L5+P5+T5</f>
        <v>103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199</v>
      </c>
      <c r="D6" s="36">
        <f>+C6*B6</f>
        <v>1990</v>
      </c>
      <c r="E6" s="1"/>
      <c r="F6" s="2">
        <v>10</v>
      </c>
      <c r="G6" s="2">
        <v>49</v>
      </c>
      <c r="H6" s="36">
        <f>+G6*F6</f>
        <v>490</v>
      </c>
      <c r="I6" s="1"/>
      <c r="J6" s="2">
        <v>10</v>
      </c>
      <c r="K6" s="2">
        <v>29</v>
      </c>
      <c r="L6" s="36">
        <f>+K6*J6</f>
        <v>290</v>
      </c>
      <c r="M6" s="1"/>
      <c r="N6" s="2">
        <v>10</v>
      </c>
      <c r="O6" s="2">
        <v>274</v>
      </c>
      <c r="P6" s="36">
        <f>+O6*N6</f>
        <v>2740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551</v>
      </c>
      <c r="Y6" s="37">
        <f>+D6+H6+L6+P6+T6</f>
        <v>5510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103</v>
      </c>
      <c r="AK6" s="36">
        <f t="shared" ref="AK6:AK13" si="0">+AJ6*AI6</f>
        <v>103</v>
      </c>
      <c r="AL6" s="26"/>
    </row>
    <row r="7" spans="2:38" x14ac:dyDescent="0.25">
      <c r="B7" s="2">
        <v>20</v>
      </c>
      <c r="C7" s="2">
        <v>19</v>
      </c>
      <c r="D7" s="36">
        <f t="shared" ref="D7:D12" si="1">+C7*B7</f>
        <v>380</v>
      </c>
      <c r="E7" s="1"/>
      <c r="F7" s="2">
        <v>20</v>
      </c>
      <c r="G7" s="2">
        <v>20</v>
      </c>
      <c r="H7" s="36">
        <f t="shared" ref="H7:H12" si="2">+G7*F7</f>
        <v>400</v>
      </c>
      <c r="I7" s="1"/>
      <c r="J7" s="2">
        <v>20</v>
      </c>
      <c r="K7" s="2">
        <v>11</v>
      </c>
      <c r="L7" s="36">
        <f t="shared" ref="L7:L12" si="3">+K7*J7</f>
        <v>220</v>
      </c>
      <c r="M7" s="1"/>
      <c r="N7" s="2">
        <v>20</v>
      </c>
      <c r="O7" s="2">
        <v>18</v>
      </c>
      <c r="P7" s="36">
        <f t="shared" ref="P7:P12" si="4">+O7*N7</f>
        <v>360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68</v>
      </c>
      <c r="Y7" s="37">
        <f t="shared" ref="Y7:Y12" si="6">+D7+H7+L7+P7+T7</f>
        <v>1360</v>
      </c>
      <c r="Z7" s="13"/>
      <c r="AA7" s="1"/>
      <c r="AB7" s="56" t="s">
        <v>10</v>
      </c>
      <c r="AC7" s="57">
        <f>Y13</f>
        <v>280673</v>
      </c>
      <c r="AD7" s="26"/>
      <c r="AE7" s="26"/>
      <c r="AF7" s="26"/>
      <c r="AG7" s="26"/>
      <c r="AH7" s="1"/>
      <c r="AI7" s="2">
        <v>10</v>
      </c>
      <c r="AJ7" s="2">
        <v>630</v>
      </c>
      <c r="AK7" s="36">
        <f t="shared" si="0"/>
        <v>6300</v>
      </c>
      <c r="AL7" s="1"/>
    </row>
    <row r="8" spans="2:38" x14ac:dyDescent="0.25">
      <c r="B8" s="2">
        <v>50</v>
      </c>
      <c r="C8" s="2">
        <v>78</v>
      </c>
      <c r="D8" s="36">
        <f t="shared" si="1"/>
        <v>3900</v>
      </c>
      <c r="E8" s="1"/>
      <c r="F8" s="2">
        <v>50</v>
      </c>
      <c r="G8" s="2">
        <v>54</v>
      </c>
      <c r="H8" s="36">
        <f t="shared" si="2"/>
        <v>2700</v>
      </c>
      <c r="I8" s="1"/>
      <c r="J8" s="2">
        <v>50</v>
      </c>
      <c r="K8" s="2">
        <v>34</v>
      </c>
      <c r="L8" s="36">
        <f t="shared" si="3"/>
        <v>1700</v>
      </c>
      <c r="M8" s="1"/>
      <c r="N8" s="2">
        <v>50</v>
      </c>
      <c r="O8" s="2"/>
      <c r="P8" s="36">
        <f t="shared" si="4"/>
        <v>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166</v>
      </c>
      <c r="Y8" s="37">
        <f t="shared" si="6"/>
        <v>8300</v>
      </c>
      <c r="Z8" s="13"/>
      <c r="AA8" s="1"/>
      <c r="AB8" s="53" t="s">
        <v>11</v>
      </c>
      <c r="AC8" s="53">
        <f>+AF36</f>
        <v>163314</v>
      </c>
      <c r="AD8" s="1"/>
      <c r="AE8" s="1"/>
      <c r="AF8" s="1"/>
      <c r="AG8" s="1"/>
      <c r="AH8" s="1"/>
      <c r="AI8" s="2">
        <v>20</v>
      </c>
      <c r="AJ8" s="2">
        <v>77</v>
      </c>
      <c r="AK8" s="36">
        <f t="shared" si="0"/>
        <v>1540</v>
      </c>
      <c r="AL8" s="1"/>
    </row>
    <row r="9" spans="2:38" ht="15.75" thickBot="1" x14ac:dyDescent="0.3">
      <c r="B9" s="2">
        <v>100</v>
      </c>
      <c r="C9" s="2">
        <v>111</v>
      </c>
      <c r="D9" s="36">
        <f t="shared" si="1"/>
        <v>11100</v>
      </c>
      <c r="E9" s="1"/>
      <c r="F9" s="2">
        <v>100</v>
      </c>
      <c r="G9" s="2">
        <v>49</v>
      </c>
      <c r="H9" s="36">
        <f t="shared" si="2"/>
        <v>4900</v>
      </c>
      <c r="I9" s="1"/>
      <c r="J9" s="2">
        <v>100</v>
      </c>
      <c r="K9" s="2">
        <v>19</v>
      </c>
      <c r="L9" s="36">
        <f t="shared" si="3"/>
        <v>1900</v>
      </c>
      <c r="M9" s="1"/>
      <c r="N9" s="2">
        <v>100</v>
      </c>
      <c r="O9" s="2"/>
      <c r="P9" s="36">
        <f t="shared" si="4"/>
        <v>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179</v>
      </c>
      <c r="Y9" s="37">
        <f t="shared" si="6"/>
        <v>17900</v>
      </c>
      <c r="Z9" s="13"/>
      <c r="AA9" s="1"/>
      <c r="AB9" s="58" t="s">
        <v>12</v>
      </c>
      <c r="AC9" s="59">
        <f>SUM(AC7:AC8)</f>
        <v>443987</v>
      </c>
      <c r="AD9" s="1"/>
      <c r="AE9" s="1"/>
      <c r="AF9" s="1"/>
      <c r="AG9" s="1"/>
      <c r="AH9" s="1"/>
      <c r="AI9" s="2">
        <v>50</v>
      </c>
      <c r="AJ9" s="2">
        <v>168</v>
      </c>
      <c r="AK9" s="36">
        <f t="shared" si="0"/>
        <v>8400</v>
      </c>
      <c r="AL9" s="1"/>
    </row>
    <row r="10" spans="2:38" x14ac:dyDescent="0.25">
      <c r="B10" s="2">
        <v>500</v>
      </c>
      <c r="C10" s="2">
        <v>32</v>
      </c>
      <c r="D10" s="36">
        <f t="shared" si="1"/>
        <v>16000</v>
      </c>
      <c r="E10" s="1"/>
      <c r="F10" s="2">
        <v>500</v>
      </c>
      <c r="G10" s="2">
        <v>46</v>
      </c>
      <c r="H10" s="36">
        <f t="shared" si="2"/>
        <v>23000</v>
      </c>
      <c r="I10" s="1"/>
      <c r="J10" s="2">
        <v>500</v>
      </c>
      <c r="K10" s="2">
        <v>36</v>
      </c>
      <c r="L10" s="36">
        <f t="shared" si="3"/>
        <v>18000</v>
      </c>
      <c r="M10" s="1"/>
      <c r="N10" s="2">
        <v>500</v>
      </c>
      <c r="O10" s="2">
        <v>13</v>
      </c>
      <c r="P10" s="36">
        <f t="shared" si="4"/>
        <v>6500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127</v>
      </c>
      <c r="Y10" s="37">
        <f t="shared" si="6"/>
        <v>63500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187</v>
      </c>
      <c r="AK10" s="36">
        <f t="shared" si="0"/>
        <v>18700</v>
      </c>
      <c r="AL10" s="1"/>
    </row>
    <row r="11" spans="2:38" x14ac:dyDescent="0.25">
      <c r="B11" s="2">
        <v>1000</v>
      </c>
      <c r="C11" s="2">
        <v>35</v>
      </c>
      <c r="D11" s="36">
        <f t="shared" si="1"/>
        <v>35000</v>
      </c>
      <c r="E11" s="1"/>
      <c r="F11" s="2">
        <v>1000</v>
      </c>
      <c r="G11" s="2">
        <v>36</v>
      </c>
      <c r="H11" s="36">
        <f t="shared" si="2"/>
        <v>36000</v>
      </c>
      <c r="I11" s="1"/>
      <c r="J11" s="2">
        <v>1000</v>
      </c>
      <c r="K11" s="2">
        <v>72</v>
      </c>
      <c r="L11" s="36">
        <f t="shared" si="3"/>
        <v>72000</v>
      </c>
      <c r="M11" s="1"/>
      <c r="N11" s="2">
        <v>1000</v>
      </c>
      <c r="O11" s="2">
        <v>16</v>
      </c>
      <c r="P11" s="36">
        <f t="shared" si="4"/>
        <v>16000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159</v>
      </c>
      <c r="Y11" s="37">
        <f t="shared" si="6"/>
        <v>159000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126</v>
      </c>
      <c r="AK11" s="36">
        <f t="shared" si="0"/>
        <v>63000</v>
      </c>
      <c r="AL11" s="1"/>
    </row>
    <row r="12" spans="2:38" x14ac:dyDescent="0.25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5</v>
      </c>
      <c r="Y12" s="37">
        <f t="shared" si="6"/>
        <v>25000</v>
      </c>
      <c r="Z12" s="13"/>
      <c r="AA12" s="1"/>
      <c r="AB12" s="1" t="s">
        <v>17</v>
      </c>
      <c r="AC12" s="5">
        <v>418940</v>
      </c>
      <c r="AD12" s="1"/>
      <c r="AE12" s="52"/>
      <c r="AF12" s="1"/>
      <c r="AG12" s="1"/>
      <c r="AH12" s="1"/>
      <c r="AI12" s="2">
        <v>1000</v>
      </c>
      <c r="AJ12" s="2">
        <v>270</v>
      </c>
      <c r="AK12" s="36">
        <f t="shared" si="0"/>
        <v>270000</v>
      </c>
      <c r="AL12" s="1"/>
    </row>
    <row r="13" spans="2:38" ht="15.75" thickBot="1" x14ac:dyDescent="0.3">
      <c r="B13" s="3" t="s">
        <v>18</v>
      </c>
      <c r="C13" s="3"/>
      <c r="D13" s="6">
        <f>+SUM(D5:D12)</f>
        <v>68407</v>
      </c>
      <c r="E13" s="1"/>
      <c r="F13" s="3" t="s">
        <v>18</v>
      </c>
      <c r="G13" s="3"/>
      <c r="H13" s="6">
        <f>+SUM(H5:H12)</f>
        <v>82556</v>
      </c>
      <c r="I13" s="1"/>
      <c r="J13" s="3" t="s">
        <v>18</v>
      </c>
      <c r="K13" s="3"/>
      <c r="L13" s="6">
        <f>+SUM(L5:L12)</f>
        <v>104110</v>
      </c>
      <c r="M13" s="1"/>
      <c r="N13" s="3" t="s">
        <v>18</v>
      </c>
      <c r="O13" s="3"/>
      <c r="P13" s="6">
        <f>+SUM(P5:P12)</f>
        <v>25600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280673</v>
      </c>
      <c r="Z13" s="13"/>
      <c r="AA13" s="1"/>
      <c r="AB13" s="1" t="s">
        <v>19</v>
      </c>
      <c r="AC13" s="5">
        <v>4103</v>
      </c>
      <c r="AD13" s="1"/>
      <c r="AE13" s="1"/>
      <c r="AF13" s="1"/>
      <c r="AG13" s="1"/>
      <c r="AH13" s="1"/>
      <c r="AI13" s="2">
        <v>5000</v>
      </c>
      <c r="AJ13" s="2">
        <v>11</v>
      </c>
      <c r="AK13" s="36">
        <f t="shared" si="0"/>
        <v>55000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123</v>
      </c>
      <c r="AC14" s="93">
        <v>20000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423043</v>
      </c>
      <c r="AL14" s="1"/>
    </row>
    <row r="15" spans="2:38" ht="15.75" thickBot="1" x14ac:dyDescent="0.3">
      <c r="B15" s="105" t="s">
        <v>21</v>
      </c>
      <c r="C15" s="106"/>
      <c r="D15" s="8">
        <v>68607</v>
      </c>
      <c r="E15" s="30"/>
      <c r="F15" s="105" t="s">
        <v>21</v>
      </c>
      <c r="G15" s="106"/>
      <c r="H15" s="8">
        <v>90323</v>
      </c>
      <c r="I15" s="30"/>
      <c r="J15" s="105" t="s">
        <v>21</v>
      </c>
      <c r="K15" s="106"/>
      <c r="L15" s="8">
        <v>112355</v>
      </c>
      <c r="M15" s="30"/>
      <c r="N15" s="105" t="s">
        <v>21</v>
      </c>
      <c r="O15" s="106"/>
      <c r="P15" s="8">
        <v>93565</v>
      </c>
      <c r="Q15" s="30"/>
      <c r="R15" s="105" t="s">
        <v>21</v>
      </c>
      <c r="S15" s="106"/>
      <c r="T15" s="8"/>
      <c r="U15" s="30"/>
      <c r="V15" s="31"/>
      <c r="W15" s="105" t="s">
        <v>21</v>
      </c>
      <c r="X15" s="106"/>
      <c r="Y15" s="8">
        <f>+D15+H15+L15+P15+T15</f>
        <v>364850</v>
      </c>
      <c r="Z15" s="32"/>
      <c r="AA15" s="30"/>
      <c r="AB15" s="1" t="s">
        <v>124</v>
      </c>
      <c r="AC15" s="93">
        <v>1000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68407</v>
      </c>
      <c r="E16" s="1"/>
      <c r="F16" s="1" t="s">
        <v>10</v>
      </c>
      <c r="G16" s="1"/>
      <c r="H16" s="5">
        <f>+H13</f>
        <v>82556</v>
      </c>
      <c r="I16" s="1"/>
      <c r="J16" s="1" t="s">
        <v>10</v>
      </c>
      <c r="K16" s="1"/>
      <c r="L16" s="5">
        <f>+L13</f>
        <v>104110</v>
      </c>
      <c r="M16" s="1"/>
      <c r="N16" s="1" t="s">
        <v>10</v>
      </c>
      <c r="O16" s="1"/>
      <c r="P16" s="5">
        <f>+P13</f>
        <v>25600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280673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444043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24</v>
      </c>
      <c r="C18" s="1"/>
      <c r="D18" s="5"/>
      <c r="E18" s="1"/>
      <c r="F18" s="1" t="s">
        <v>70</v>
      </c>
      <c r="G18" s="1" t="s">
        <v>110</v>
      </c>
      <c r="H18" s="5">
        <v>7526</v>
      </c>
      <c r="I18" s="1"/>
      <c r="J18" s="1" t="s">
        <v>105</v>
      </c>
      <c r="K18" s="1" t="s">
        <v>127</v>
      </c>
      <c r="L18" s="5">
        <v>3000</v>
      </c>
      <c r="M18" s="1"/>
      <c r="N18" s="1" t="s">
        <v>105</v>
      </c>
      <c r="O18" s="1" t="s">
        <v>106</v>
      </c>
      <c r="P18" s="5">
        <v>19088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29614</v>
      </c>
      <c r="Z18" s="13"/>
      <c r="AA18" s="1"/>
      <c r="AB18" s="50" t="s">
        <v>25</v>
      </c>
      <c r="AC18" s="51">
        <f>+AC17-AC9</f>
        <v>56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107</v>
      </c>
      <c r="K19" s="1" t="s">
        <v>128</v>
      </c>
      <c r="L19" s="5">
        <v>4800</v>
      </c>
      <c r="M19" s="1"/>
      <c r="N19" s="1" t="s">
        <v>107</v>
      </c>
      <c r="O19" s="1" t="s">
        <v>108</v>
      </c>
      <c r="P19" s="5">
        <v>8881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13681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107</v>
      </c>
      <c r="O20" s="1" t="s">
        <v>109</v>
      </c>
      <c r="P20" s="5">
        <v>40000</v>
      </c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40000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0</v>
      </c>
      <c r="Z23" s="13"/>
      <c r="AA23" s="1"/>
      <c r="AB23" s="64" t="s">
        <v>111</v>
      </c>
      <c r="AC23" s="73">
        <v>45885</v>
      </c>
      <c r="AD23" s="64" t="s">
        <v>55</v>
      </c>
      <c r="AE23" s="64"/>
      <c r="AF23" s="69">
        <v>10128</v>
      </c>
      <c r="AG23" s="1"/>
      <c r="AH23" s="1"/>
      <c r="AI23" s="64" t="s">
        <v>115</v>
      </c>
      <c r="AJ23" s="64" t="s">
        <v>114</v>
      </c>
      <c r="AK23" s="64" t="s">
        <v>113</v>
      </c>
      <c r="AL23" s="65">
        <v>94740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64" t="s">
        <v>111</v>
      </c>
      <c r="AC24" s="73">
        <v>45877</v>
      </c>
      <c r="AD24" s="64" t="s">
        <v>112</v>
      </c>
      <c r="AE24" s="64"/>
      <c r="AF24" s="64">
        <v>5178</v>
      </c>
      <c r="AG24" s="1"/>
      <c r="AH24" s="1"/>
      <c r="AI24" s="64" t="s">
        <v>58</v>
      </c>
      <c r="AJ24" s="64" t="s">
        <v>129</v>
      </c>
      <c r="AK24" s="64" t="s">
        <v>146</v>
      </c>
      <c r="AL24" s="65">
        <v>101500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64" t="s">
        <v>117</v>
      </c>
      <c r="AC25" s="73">
        <v>45880</v>
      </c>
      <c r="AD25" s="64" t="s">
        <v>60</v>
      </c>
      <c r="AE25" s="64" t="s">
        <v>116</v>
      </c>
      <c r="AF25" s="65">
        <v>20219</v>
      </c>
      <c r="AG25" s="1"/>
      <c r="AH25" s="1"/>
      <c r="AI25" s="64" t="s">
        <v>160</v>
      </c>
      <c r="AJ25" s="64" t="s">
        <v>130</v>
      </c>
      <c r="AK25" s="64" t="s">
        <v>147</v>
      </c>
      <c r="AL25" s="65">
        <v>4900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64" t="s">
        <v>118</v>
      </c>
      <c r="AC26" s="70">
        <v>45894</v>
      </c>
      <c r="AD26" s="64" t="s">
        <v>119</v>
      </c>
      <c r="AE26" s="64"/>
      <c r="AF26" s="64">
        <v>12479</v>
      </c>
      <c r="AG26" s="1"/>
      <c r="AH26" s="1"/>
      <c r="AI26" s="64" t="s">
        <v>58</v>
      </c>
      <c r="AJ26" s="64" t="s">
        <v>131</v>
      </c>
      <c r="AK26" s="64" t="s">
        <v>148</v>
      </c>
      <c r="AL26" s="65">
        <v>22500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64" t="s">
        <v>122</v>
      </c>
      <c r="AC27" s="73">
        <v>45889</v>
      </c>
      <c r="AD27" s="64" t="s">
        <v>121</v>
      </c>
      <c r="AE27" s="64" t="s">
        <v>120</v>
      </c>
      <c r="AF27" s="65">
        <v>6980</v>
      </c>
      <c r="AG27" s="1"/>
      <c r="AH27" s="1"/>
      <c r="AI27" s="64" t="s">
        <v>59</v>
      </c>
      <c r="AJ27" s="64" t="s">
        <v>132</v>
      </c>
      <c r="AK27" s="64" t="s">
        <v>149</v>
      </c>
      <c r="AL27" s="65">
        <v>20617</v>
      </c>
    </row>
    <row r="28" spans="2:38" ht="15.75" thickBot="1" x14ac:dyDescent="0.3">
      <c r="B28" s="99" t="s">
        <v>12</v>
      </c>
      <c r="C28" s="100"/>
      <c r="D28" s="9">
        <f>+SUM(D16:D27)</f>
        <v>68407</v>
      </c>
      <c r="E28" s="1"/>
      <c r="F28" s="99" t="s">
        <v>12</v>
      </c>
      <c r="G28" s="100"/>
      <c r="H28" s="9">
        <f>+SUM(H16:H27)</f>
        <v>90082</v>
      </c>
      <c r="I28" s="1"/>
      <c r="J28" s="99" t="s">
        <v>12</v>
      </c>
      <c r="K28" s="100"/>
      <c r="L28" s="9">
        <f>+SUM(L16:L27)</f>
        <v>111910</v>
      </c>
      <c r="M28" s="1"/>
      <c r="N28" s="99" t="s">
        <v>12</v>
      </c>
      <c r="O28" s="100"/>
      <c r="P28" s="9">
        <f>+SUM(P16:P27)</f>
        <v>93569</v>
      </c>
      <c r="Q28" s="1"/>
      <c r="R28" s="99" t="s">
        <v>12</v>
      </c>
      <c r="S28" s="100"/>
      <c r="T28" s="9">
        <f>+SUM(T16:T27)</f>
        <v>0</v>
      </c>
      <c r="U28" s="1"/>
      <c r="V28" s="12"/>
      <c r="W28" s="99" t="s">
        <v>12</v>
      </c>
      <c r="X28" s="100"/>
      <c r="Y28" s="9">
        <f>+SUM(Y16:Y27)</f>
        <v>363968</v>
      </c>
      <c r="Z28" s="13"/>
      <c r="AA28" s="1"/>
      <c r="AB28" s="64" t="s">
        <v>126</v>
      </c>
      <c r="AC28" s="70">
        <v>45899</v>
      </c>
      <c r="AD28" s="64" t="s">
        <v>125</v>
      </c>
      <c r="AE28" s="64"/>
      <c r="AF28" s="64">
        <v>5950</v>
      </c>
      <c r="AG28" s="1"/>
      <c r="AH28" s="1"/>
      <c r="AI28" s="64" t="s">
        <v>59</v>
      </c>
      <c r="AJ28" s="64" t="s">
        <v>133</v>
      </c>
      <c r="AK28" s="64" t="s">
        <v>150</v>
      </c>
      <c r="AL28" s="69">
        <v>13144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64" t="s">
        <v>162</v>
      </c>
      <c r="AC29" s="70">
        <v>45886</v>
      </c>
      <c r="AD29" s="64" t="s">
        <v>161</v>
      </c>
      <c r="AE29" s="64"/>
      <c r="AF29" s="65">
        <v>56150</v>
      </c>
      <c r="AG29" s="1"/>
      <c r="AH29" s="1"/>
      <c r="AI29" s="64" t="s">
        <v>115</v>
      </c>
      <c r="AJ29" s="64" t="s">
        <v>134</v>
      </c>
      <c r="AK29" s="64" t="s">
        <v>151</v>
      </c>
      <c r="AL29" s="65">
        <v>8600</v>
      </c>
    </row>
    <row r="30" spans="2:38" ht="15.75" thickBot="1" x14ac:dyDescent="0.3">
      <c r="B30" s="101" t="s">
        <v>41</v>
      </c>
      <c r="C30" s="101"/>
      <c r="D30" s="7">
        <f>+D28-D15</f>
        <v>-200</v>
      </c>
      <c r="E30" s="1"/>
      <c r="F30" s="101" t="s">
        <v>41</v>
      </c>
      <c r="G30" s="101"/>
      <c r="H30" s="7">
        <f>+H28-H15</f>
        <v>-241</v>
      </c>
      <c r="I30" s="1"/>
      <c r="J30" s="101" t="s">
        <v>41</v>
      </c>
      <c r="K30" s="101"/>
      <c r="L30" s="7">
        <f>+L28-L15</f>
        <v>-445</v>
      </c>
      <c r="M30" s="1"/>
      <c r="N30" s="101" t="s">
        <v>41</v>
      </c>
      <c r="O30" s="101"/>
      <c r="P30" s="7">
        <f>+P28-P15</f>
        <v>4</v>
      </c>
      <c r="Q30" s="1"/>
      <c r="R30" s="101" t="s">
        <v>41</v>
      </c>
      <c r="S30" s="101"/>
      <c r="T30" s="7">
        <f>+T28-T15</f>
        <v>0</v>
      </c>
      <c r="U30" s="1"/>
      <c r="V30" s="12"/>
      <c r="W30" s="102" t="s">
        <v>41</v>
      </c>
      <c r="X30" s="102"/>
      <c r="Y30" s="41">
        <f>+Y28-Y15</f>
        <v>-882</v>
      </c>
      <c r="Z30" s="13"/>
      <c r="AA30" s="1"/>
      <c r="AB30" s="64" t="s">
        <v>164</v>
      </c>
      <c r="AC30" s="70">
        <v>45885</v>
      </c>
      <c r="AD30" s="64" t="s">
        <v>163</v>
      </c>
      <c r="AE30" s="64"/>
      <c r="AF30" s="64">
        <v>23000</v>
      </c>
      <c r="AG30" s="1"/>
      <c r="AH30" s="1"/>
      <c r="AI30" s="64" t="s">
        <v>115</v>
      </c>
      <c r="AJ30" s="64" t="s">
        <v>135</v>
      </c>
      <c r="AK30" s="64" t="s">
        <v>152</v>
      </c>
      <c r="AL30" s="65">
        <v>7500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4" t="s">
        <v>166</v>
      </c>
      <c r="AC31" s="70">
        <v>45892</v>
      </c>
      <c r="AD31" s="64" t="s">
        <v>165</v>
      </c>
      <c r="AE31" s="64"/>
      <c r="AF31" s="65">
        <v>23230</v>
      </c>
      <c r="AG31" s="1"/>
      <c r="AH31" s="1"/>
      <c r="AI31" s="64" t="s">
        <v>58</v>
      </c>
      <c r="AJ31" s="64" t="s">
        <v>136</v>
      </c>
      <c r="AK31" s="64" t="s">
        <v>153</v>
      </c>
      <c r="AL31" s="69">
        <v>52900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64"/>
      <c r="AC32" s="64"/>
      <c r="AD32" s="64"/>
      <c r="AE32" s="64"/>
      <c r="AF32" s="64"/>
      <c r="AG32" s="1"/>
      <c r="AH32" s="1"/>
      <c r="AI32" s="64" t="s">
        <v>56</v>
      </c>
      <c r="AJ32" s="64" t="s">
        <v>137</v>
      </c>
      <c r="AK32" s="64" t="s">
        <v>147</v>
      </c>
      <c r="AL32" s="69">
        <v>3500</v>
      </c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4" t="s">
        <v>56</v>
      </c>
      <c r="AJ33" s="64" t="s">
        <v>138</v>
      </c>
      <c r="AK33" s="64" t="s">
        <v>121</v>
      </c>
      <c r="AL33" s="69">
        <v>5538</v>
      </c>
    </row>
    <row r="34" spans="2:38" x14ac:dyDescent="0.25">
      <c r="B34" s="10" t="s">
        <v>42</v>
      </c>
      <c r="C34" s="11"/>
      <c r="D34" s="21">
        <v>200</v>
      </c>
      <c r="E34" s="1"/>
      <c r="F34" s="10" t="s">
        <v>42</v>
      </c>
      <c r="G34" s="11"/>
      <c r="H34" s="21">
        <v>241</v>
      </c>
      <c r="I34" s="1"/>
      <c r="J34" s="10" t="s">
        <v>42</v>
      </c>
      <c r="K34" s="11"/>
      <c r="L34" s="21">
        <v>445</v>
      </c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886</v>
      </c>
      <c r="Z34" s="1"/>
      <c r="AA34" s="1"/>
      <c r="AB34" s="1"/>
      <c r="AC34" s="1"/>
      <c r="AD34" s="1"/>
      <c r="AE34" s="1"/>
      <c r="AF34" s="1"/>
      <c r="AG34" s="1"/>
      <c r="AH34" s="1"/>
      <c r="AI34" s="64" t="s">
        <v>56</v>
      </c>
      <c r="AJ34" s="64" t="s">
        <v>139</v>
      </c>
      <c r="AK34" s="64" t="s">
        <v>154</v>
      </c>
      <c r="AL34" s="69">
        <v>8570</v>
      </c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64" t="s">
        <v>56</v>
      </c>
      <c r="AJ35" s="64" t="s">
        <v>140</v>
      </c>
      <c r="AK35" s="64" t="s">
        <v>155</v>
      </c>
      <c r="AL35" s="69">
        <v>7484</v>
      </c>
    </row>
    <row r="36" spans="2:38" ht="15.75" thickBot="1" x14ac:dyDescent="0.3">
      <c r="B36" s="12" t="s">
        <v>45</v>
      </c>
      <c r="C36" s="16"/>
      <c r="D36" s="22"/>
      <c r="E36" s="1"/>
      <c r="F36" s="12" t="s">
        <v>45</v>
      </c>
      <c r="G36" s="16"/>
      <c r="H36" s="22"/>
      <c r="I36" s="1"/>
      <c r="J36" s="12" t="s">
        <v>45</v>
      </c>
      <c r="K36" s="16"/>
      <c r="L36" s="22"/>
      <c r="M36" s="1"/>
      <c r="N36" s="12" t="s">
        <v>45</v>
      </c>
      <c r="O36" s="16"/>
      <c r="P36" s="22">
        <v>-4</v>
      </c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-4</v>
      </c>
      <c r="Z36" s="1"/>
      <c r="AA36" s="1"/>
      <c r="AB36" s="60" t="s">
        <v>40</v>
      </c>
      <c r="AC36" s="60"/>
      <c r="AD36" s="60"/>
      <c r="AE36" s="60"/>
      <c r="AF36" s="74">
        <f>+SUM(AF23:AF35)</f>
        <v>163314</v>
      </c>
      <c r="AG36" s="1"/>
      <c r="AH36" s="1"/>
      <c r="AI36" s="64" t="s">
        <v>56</v>
      </c>
      <c r="AJ36" s="64" t="s">
        <v>141</v>
      </c>
      <c r="AK36" s="64" t="s">
        <v>156</v>
      </c>
      <c r="AL36" s="69">
        <v>6137</v>
      </c>
    </row>
    <row r="37" spans="2:38" ht="15.75" thickTop="1" x14ac:dyDescent="0.25">
      <c r="B37" s="12" t="s">
        <v>18</v>
      </c>
      <c r="C37" s="16"/>
      <c r="D37" s="22">
        <f>+SUM(D34:D36)</f>
        <v>200</v>
      </c>
      <c r="E37" s="1"/>
      <c r="F37" s="12" t="s">
        <v>18</v>
      </c>
      <c r="G37" s="16"/>
      <c r="H37" s="22">
        <f>+SUM(H34:H36)</f>
        <v>241</v>
      </c>
      <c r="I37" s="1"/>
      <c r="J37" s="12" t="s">
        <v>18</v>
      </c>
      <c r="K37" s="16"/>
      <c r="L37" s="22">
        <f>+SUM(L34:L36)</f>
        <v>445</v>
      </c>
      <c r="M37" s="1"/>
      <c r="N37" s="12" t="s">
        <v>18</v>
      </c>
      <c r="O37" s="16"/>
      <c r="P37" s="22">
        <f>+SUM(P34:P36)</f>
        <v>-4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882</v>
      </c>
      <c r="Z37" s="1"/>
      <c r="AA37" s="1"/>
      <c r="AB37" s="1"/>
      <c r="AC37" s="1"/>
      <c r="AD37" s="1"/>
      <c r="AE37" s="1"/>
      <c r="AF37" s="1"/>
      <c r="AG37" s="1"/>
      <c r="AH37" s="1"/>
      <c r="AI37" s="64" t="s">
        <v>56</v>
      </c>
      <c r="AJ37" s="64" t="s">
        <v>142</v>
      </c>
      <c r="AK37" s="64" t="s">
        <v>157</v>
      </c>
      <c r="AL37" s="69">
        <v>10328</v>
      </c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64" t="s">
        <v>57</v>
      </c>
      <c r="AJ38" s="64" t="s">
        <v>143</v>
      </c>
      <c r="AK38" s="64" t="s">
        <v>158</v>
      </c>
      <c r="AL38" s="65">
        <v>7608</v>
      </c>
    </row>
    <row r="39" spans="2:38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64" t="s">
        <v>58</v>
      </c>
      <c r="AJ39" s="64" t="s">
        <v>144</v>
      </c>
      <c r="AK39" s="64" t="s">
        <v>88</v>
      </c>
      <c r="AL39" s="65">
        <v>68710</v>
      </c>
    </row>
    <row r="40" spans="2:38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64" t="s">
        <v>58</v>
      </c>
      <c r="AJ40" s="64" t="s">
        <v>145</v>
      </c>
      <c r="AK40" s="64" t="s">
        <v>159</v>
      </c>
      <c r="AL40" s="65">
        <v>25000</v>
      </c>
    </row>
    <row r="41" spans="2:38" x14ac:dyDescent="0.25">
      <c r="AI41" s="75" t="s">
        <v>57</v>
      </c>
      <c r="AJ41" s="75" t="s">
        <v>168</v>
      </c>
      <c r="AK41" s="75" t="s">
        <v>167</v>
      </c>
      <c r="AL41" s="65">
        <v>19236</v>
      </c>
    </row>
    <row r="42" spans="2:38" ht="15.75" thickBot="1" x14ac:dyDescent="0.3">
      <c r="AI42" s="60" t="s">
        <v>40</v>
      </c>
      <c r="AJ42" s="60"/>
      <c r="AK42" s="60"/>
      <c r="AL42" s="66">
        <f>+SUM(AL23:AL41)</f>
        <v>488512</v>
      </c>
    </row>
    <row r="43" spans="2:38" ht="15.75" thickTop="1" x14ac:dyDescent="0.25"/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0"/>
  <sheetViews>
    <sheetView zoomScale="80" zoomScaleNormal="80" workbookViewId="0">
      <selection activeCell="B3" sqref="B3:D3"/>
    </sheetView>
  </sheetViews>
  <sheetFormatPr defaultRowHeight="15" x14ac:dyDescent="0.25"/>
  <cols>
    <col min="2" max="2" width="13.5703125" bestFit="1" customWidth="1"/>
    <col min="3" max="3" width="16.42578125" bestFit="1" customWidth="1"/>
    <col min="5" max="5" width="1.5703125" customWidth="1"/>
    <col min="6" max="6" width="13.5703125" bestFit="1" customWidth="1"/>
    <col min="7" max="7" width="15.42578125" customWidth="1"/>
    <col min="9" max="9" width="0.7109375" customWidth="1"/>
    <col min="10" max="10" width="14.42578125" customWidth="1"/>
    <col min="11" max="11" width="14" customWidth="1"/>
    <col min="13" max="13" width="0.7109375" customWidth="1"/>
    <col min="15" max="15" width="13.5703125" bestFit="1" customWidth="1"/>
    <col min="17" max="17" width="0.42578125" customWidth="1"/>
    <col min="21" max="21" width="0.7109375" customWidth="1"/>
    <col min="25" max="25" width="13" customWidth="1"/>
    <col min="27" max="27" width="0.7109375" customWidth="1"/>
    <col min="28" max="28" width="15" bestFit="1" customWidth="1"/>
    <col min="29" max="29" width="10.5703125" bestFit="1" customWidth="1"/>
    <col min="31" max="31" width="14.85546875" bestFit="1" customWidth="1"/>
    <col min="33" max="33" width="0.7109375" customWidth="1"/>
    <col min="34" max="34" width="9.140625" hidden="1" customWidth="1"/>
    <col min="35" max="35" width="9.140625" customWidth="1"/>
    <col min="36" max="36" width="14.7109375" bestFit="1" customWidth="1"/>
    <col min="37" max="37" width="18.28515625" bestFit="1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>
        <v>40</v>
      </c>
      <c r="H5" s="36">
        <f>+G5*F5</f>
        <v>40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40</v>
      </c>
      <c r="Y5" s="37">
        <f>+D5+H5+L5+P5+T5</f>
        <v>40</v>
      </c>
      <c r="Z5" s="28"/>
      <c r="AA5" s="26"/>
      <c r="AB5" s="71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95</v>
      </c>
      <c r="D6" s="36">
        <f>+C6*B6</f>
        <v>950</v>
      </c>
      <c r="E6" s="1"/>
      <c r="F6" s="2">
        <v>10</v>
      </c>
      <c r="G6" s="2">
        <v>176</v>
      </c>
      <c r="H6" s="36">
        <f>+G6*F6</f>
        <v>1760</v>
      </c>
      <c r="I6" s="1"/>
      <c r="J6" s="2">
        <v>10</v>
      </c>
      <c r="K6" s="2">
        <v>22</v>
      </c>
      <c r="L6" s="36">
        <f>+K6*J6</f>
        <v>220</v>
      </c>
      <c r="M6" s="1"/>
      <c r="N6" s="2">
        <v>10</v>
      </c>
      <c r="O6" s="2">
        <v>21</v>
      </c>
      <c r="P6" s="36">
        <f>+O6*N6</f>
        <v>210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314</v>
      </c>
      <c r="Y6" s="37">
        <f>+D6+H6+L6+P6+T6</f>
        <v>3140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40</v>
      </c>
      <c r="AK6" s="36">
        <f t="shared" ref="AK6:AK13" si="0">+AJ6*AI6</f>
        <v>40</v>
      </c>
      <c r="AL6" s="26"/>
    </row>
    <row r="7" spans="2:38" x14ac:dyDescent="0.25">
      <c r="B7" s="2">
        <v>20</v>
      </c>
      <c r="C7" s="2"/>
      <c r="D7" s="36">
        <f t="shared" ref="D7:D12" si="1">+C7*B7</f>
        <v>0</v>
      </c>
      <c r="E7" s="1"/>
      <c r="F7" s="2">
        <v>20</v>
      </c>
      <c r="G7" s="2">
        <v>35</v>
      </c>
      <c r="H7" s="36">
        <f t="shared" ref="H7:H12" si="2">+G7*F7</f>
        <v>700</v>
      </c>
      <c r="I7" s="1"/>
      <c r="J7" s="2">
        <v>20</v>
      </c>
      <c r="K7" s="2">
        <v>7</v>
      </c>
      <c r="L7" s="36">
        <f t="shared" ref="L7:L12" si="3">+K7*J7</f>
        <v>140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42</v>
      </c>
      <c r="Y7" s="37">
        <f t="shared" ref="Y7:Y12" si="6">+D7+H7+L7+P7+T7</f>
        <v>840</v>
      </c>
      <c r="Z7" s="13"/>
      <c r="AA7" s="1"/>
      <c r="AB7" s="56" t="s">
        <v>10</v>
      </c>
      <c r="AC7" s="57">
        <f>Y13</f>
        <v>234420</v>
      </c>
      <c r="AD7" s="26"/>
      <c r="AE7" s="26"/>
      <c r="AF7" s="26"/>
      <c r="AG7" s="26"/>
      <c r="AH7" s="1"/>
      <c r="AI7" s="2">
        <v>10</v>
      </c>
      <c r="AJ7" s="2">
        <v>318</v>
      </c>
      <c r="AK7" s="36">
        <f t="shared" si="0"/>
        <v>3180</v>
      </c>
      <c r="AL7" s="1"/>
    </row>
    <row r="8" spans="2:38" x14ac:dyDescent="0.25">
      <c r="B8" s="2">
        <v>50</v>
      </c>
      <c r="C8" s="2">
        <v>29</v>
      </c>
      <c r="D8" s="36">
        <f t="shared" si="1"/>
        <v>1450</v>
      </c>
      <c r="E8" s="1"/>
      <c r="F8" s="2">
        <v>50</v>
      </c>
      <c r="G8" s="2">
        <v>49</v>
      </c>
      <c r="H8" s="36">
        <f t="shared" si="2"/>
        <v>2450</v>
      </c>
      <c r="I8" s="1"/>
      <c r="J8" s="2">
        <v>50</v>
      </c>
      <c r="K8" s="2">
        <v>53</v>
      </c>
      <c r="L8" s="36">
        <f t="shared" si="3"/>
        <v>2650</v>
      </c>
      <c r="M8" s="1"/>
      <c r="N8" s="2">
        <v>50</v>
      </c>
      <c r="O8" s="2">
        <v>27</v>
      </c>
      <c r="P8" s="36">
        <f t="shared" si="4"/>
        <v>1350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158</v>
      </c>
      <c r="Y8" s="37">
        <f t="shared" si="6"/>
        <v>7900</v>
      </c>
      <c r="Z8" s="13"/>
      <c r="AA8" s="1"/>
      <c r="AB8" s="53" t="s">
        <v>11</v>
      </c>
      <c r="AC8" s="53">
        <f>+AF31</f>
        <v>264921</v>
      </c>
      <c r="AD8" s="1"/>
      <c r="AE8" s="1"/>
      <c r="AF8" s="1"/>
      <c r="AG8" s="1"/>
      <c r="AH8" s="1"/>
      <c r="AI8" s="2">
        <v>20</v>
      </c>
      <c r="AJ8" s="2">
        <v>44</v>
      </c>
      <c r="AK8" s="36">
        <f t="shared" si="0"/>
        <v>880</v>
      </c>
      <c r="AL8" s="1"/>
    </row>
    <row r="9" spans="2:38" ht="15.75" thickBot="1" x14ac:dyDescent="0.3">
      <c r="B9" s="2">
        <v>100</v>
      </c>
      <c r="C9" s="2">
        <v>36</v>
      </c>
      <c r="D9" s="36">
        <f t="shared" si="1"/>
        <v>3600</v>
      </c>
      <c r="E9" s="1"/>
      <c r="F9" s="2">
        <v>100</v>
      </c>
      <c r="G9" s="2">
        <v>61</v>
      </c>
      <c r="H9" s="36">
        <f t="shared" si="2"/>
        <v>6100</v>
      </c>
      <c r="I9" s="1"/>
      <c r="J9" s="2">
        <v>100</v>
      </c>
      <c r="K9" s="2">
        <v>26</v>
      </c>
      <c r="L9" s="36">
        <f t="shared" si="3"/>
        <v>2600</v>
      </c>
      <c r="M9" s="1"/>
      <c r="N9" s="2">
        <v>100</v>
      </c>
      <c r="O9" s="2">
        <v>12</v>
      </c>
      <c r="P9" s="36">
        <f t="shared" si="4"/>
        <v>1200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135</v>
      </c>
      <c r="Y9" s="37">
        <f t="shared" si="6"/>
        <v>13500</v>
      </c>
      <c r="Z9" s="13"/>
      <c r="AA9" s="1"/>
      <c r="AB9" s="58" t="s">
        <v>12</v>
      </c>
      <c r="AC9" s="59">
        <f>SUM(AC7:AC8)</f>
        <v>499341</v>
      </c>
      <c r="AD9" s="1"/>
      <c r="AE9" s="1"/>
      <c r="AF9" s="1"/>
      <c r="AG9" s="1"/>
      <c r="AH9" s="1"/>
      <c r="AI9" s="2">
        <v>50</v>
      </c>
      <c r="AJ9" s="2">
        <v>169</v>
      </c>
      <c r="AK9" s="36">
        <f t="shared" si="0"/>
        <v>8450</v>
      </c>
      <c r="AL9" s="1"/>
    </row>
    <row r="10" spans="2:38" x14ac:dyDescent="0.25">
      <c r="B10" s="2">
        <v>500</v>
      </c>
      <c r="C10" s="2">
        <v>18</v>
      </c>
      <c r="D10" s="36">
        <f t="shared" si="1"/>
        <v>9000</v>
      </c>
      <c r="E10" s="1"/>
      <c r="F10" s="2">
        <v>500</v>
      </c>
      <c r="G10" s="2">
        <v>40</v>
      </c>
      <c r="H10" s="36">
        <f t="shared" si="2"/>
        <v>20000</v>
      </c>
      <c r="I10" s="1"/>
      <c r="J10" s="2">
        <v>500</v>
      </c>
      <c r="K10" s="2">
        <v>17</v>
      </c>
      <c r="L10" s="36">
        <f t="shared" si="3"/>
        <v>8500</v>
      </c>
      <c r="M10" s="1"/>
      <c r="N10" s="2">
        <v>500</v>
      </c>
      <c r="O10" s="2">
        <v>25</v>
      </c>
      <c r="P10" s="36">
        <f t="shared" si="4"/>
        <v>12500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100</v>
      </c>
      <c r="Y10" s="37">
        <f t="shared" si="6"/>
        <v>50000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151</v>
      </c>
      <c r="AK10" s="36">
        <f t="shared" si="0"/>
        <v>15100</v>
      </c>
      <c r="AL10" s="1"/>
    </row>
    <row r="11" spans="2:38" x14ac:dyDescent="0.25">
      <c r="B11" s="2">
        <v>1000</v>
      </c>
      <c r="C11" s="2">
        <v>22</v>
      </c>
      <c r="D11" s="36">
        <f t="shared" si="1"/>
        <v>22000</v>
      </c>
      <c r="E11" s="1"/>
      <c r="F11" s="2">
        <v>1000</v>
      </c>
      <c r="G11" s="2">
        <v>48</v>
      </c>
      <c r="H11" s="36">
        <f t="shared" si="2"/>
        <v>48000</v>
      </c>
      <c r="I11" s="1"/>
      <c r="J11" s="2">
        <v>1000</v>
      </c>
      <c r="K11" s="2">
        <v>45</v>
      </c>
      <c r="L11" s="36">
        <f t="shared" si="3"/>
        <v>45000</v>
      </c>
      <c r="M11" s="1"/>
      <c r="N11" s="2">
        <v>1000</v>
      </c>
      <c r="O11" s="2">
        <v>19</v>
      </c>
      <c r="P11" s="36">
        <f t="shared" si="4"/>
        <v>19000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134</v>
      </c>
      <c r="Y11" s="37">
        <f t="shared" si="6"/>
        <v>134000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196</v>
      </c>
      <c r="AK11" s="36">
        <f t="shared" si="0"/>
        <v>98000</v>
      </c>
      <c r="AL11" s="1"/>
    </row>
    <row r="12" spans="2:38" x14ac:dyDescent="0.25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5</v>
      </c>
      <c r="Y12" s="37">
        <f t="shared" si="6"/>
        <v>25000</v>
      </c>
      <c r="Z12" s="13"/>
      <c r="AA12" s="1"/>
      <c r="AB12" s="1" t="s">
        <v>17</v>
      </c>
      <c r="AC12" s="5">
        <v>499610</v>
      </c>
      <c r="AD12" s="1">
        <v>1014022</v>
      </c>
      <c r="AE12" s="52">
        <v>45756</v>
      </c>
      <c r="AF12" s="1" t="s">
        <v>103</v>
      </c>
      <c r="AG12" s="1"/>
      <c r="AH12" s="1"/>
      <c r="AI12" s="2">
        <v>1000</v>
      </c>
      <c r="AJ12" s="2">
        <v>309</v>
      </c>
      <c r="AK12" s="36">
        <f t="shared" si="0"/>
        <v>309000</v>
      </c>
      <c r="AL12" s="1"/>
    </row>
    <row r="13" spans="2:38" ht="15.75" thickBot="1" x14ac:dyDescent="0.3">
      <c r="B13" s="3" t="s">
        <v>18</v>
      </c>
      <c r="C13" s="3"/>
      <c r="D13" s="6">
        <f>+SUM(D5:D12)</f>
        <v>42000</v>
      </c>
      <c r="E13" s="1"/>
      <c r="F13" s="3" t="s">
        <v>18</v>
      </c>
      <c r="G13" s="3"/>
      <c r="H13" s="6">
        <f>+SUM(H5:H12)</f>
        <v>84050</v>
      </c>
      <c r="I13" s="1"/>
      <c r="J13" s="3" t="s">
        <v>18</v>
      </c>
      <c r="K13" s="3"/>
      <c r="L13" s="6">
        <f>+SUM(L5:L12)</f>
        <v>69110</v>
      </c>
      <c r="M13" s="1"/>
      <c r="N13" s="3" t="s">
        <v>18</v>
      </c>
      <c r="O13" s="3"/>
      <c r="P13" s="6">
        <f>+SUM(P5:P12)</f>
        <v>39260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234420</v>
      </c>
      <c r="Z13" s="13"/>
      <c r="AA13" s="1"/>
      <c r="AB13" s="1" t="s">
        <v>19</v>
      </c>
      <c r="AC13" s="5"/>
      <c r="AD13" s="1"/>
      <c r="AE13" s="1"/>
      <c r="AF13" s="1"/>
      <c r="AG13" s="1"/>
      <c r="AH13" s="1"/>
      <c r="AI13" s="2">
        <v>5000</v>
      </c>
      <c r="AJ13" s="2">
        <v>13</v>
      </c>
      <c r="AK13" s="36">
        <f t="shared" si="0"/>
        <v>65000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499650</v>
      </c>
      <c r="AL14" s="1"/>
    </row>
    <row r="15" spans="2:38" ht="15.75" thickBot="1" x14ac:dyDescent="0.3">
      <c r="B15" s="105" t="s">
        <v>21</v>
      </c>
      <c r="C15" s="106"/>
      <c r="D15" s="8">
        <v>49999</v>
      </c>
      <c r="E15" s="30"/>
      <c r="F15" s="105" t="s">
        <v>21</v>
      </c>
      <c r="G15" s="106"/>
      <c r="H15" s="8">
        <v>84020</v>
      </c>
      <c r="I15" s="30"/>
      <c r="J15" s="105" t="s">
        <v>21</v>
      </c>
      <c r="K15" s="106"/>
      <c r="L15" s="8">
        <v>100292</v>
      </c>
      <c r="M15" s="30"/>
      <c r="N15" s="105" t="s">
        <v>21</v>
      </c>
      <c r="O15" s="106"/>
      <c r="P15" s="8">
        <v>67977</v>
      </c>
      <c r="Q15" s="30"/>
      <c r="R15" s="105" t="s">
        <v>21</v>
      </c>
      <c r="S15" s="106"/>
      <c r="T15" s="8"/>
      <c r="U15" s="30"/>
      <c r="V15" s="31"/>
      <c r="W15" s="105" t="s">
        <v>21</v>
      </c>
      <c r="X15" s="106"/>
      <c r="Y15" s="8">
        <f>+D15+H15+L15+P15+T15</f>
        <v>302288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42000</v>
      </c>
      <c r="E16" s="1"/>
      <c r="F16" s="1" t="s">
        <v>10</v>
      </c>
      <c r="G16" s="1"/>
      <c r="H16" s="5">
        <f>+H13</f>
        <v>84050</v>
      </c>
      <c r="I16" s="1"/>
      <c r="J16" s="1" t="s">
        <v>10</v>
      </c>
      <c r="K16" s="1"/>
      <c r="L16" s="5">
        <f>+L13</f>
        <v>69110</v>
      </c>
      <c r="M16" s="1"/>
      <c r="N16" s="1" t="s">
        <v>10</v>
      </c>
      <c r="O16" s="1"/>
      <c r="P16" s="5">
        <f>+P13</f>
        <v>39260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234420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6440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6440</v>
      </c>
      <c r="Z17" s="13"/>
      <c r="AA17" s="1"/>
      <c r="AB17" s="48" t="s">
        <v>12</v>
      </c>
      <c r="AC17" s="49">
        <f>+SUM(AC12:AC16)</f>
        <v>499610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188</v>
      </c>
      <c r="C18" s="1" t="s">
        <v>193</v>
      </c>
      <c r="D18" s="5">
        <v>5315</v>
      </c>
      <c r="E18" s="1"/>
      <c r="F18" s="1" t="s">
        <v>24</v>
      </c>
      <c r="G18" s="1"/>
      <c r="H18" s="5"/>
      <c r="I18" s="1"/>
      <c r="J18" s="1" t="s">
        <v>107</v>
      </c>
      <c r="K18" s="1" t="s">
        <v>187</v>
      </c>
      <c r="L18" s="5">
        <v>8700</v>
      </c>
      <c r="M18" s="1"/>
      <c r="N18" s="1" t="s">
        <v>183</v>
      </c>
      <c r="O18" s="16" t="s">
        <v>181</v>
      </c>
      <c r="P18" s="62">
        <v>7385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>+D18+H18+L18+P19+T18</f>
        <v>32302</v>
      </c>
      <c r="Z18" s="13"/>
      <c r="AA18" s="1"/>
      <c r="AB18" s="50" t="s">
        <v>25</v>
      </c>
      <c r="AC18" s="51">
        <f>+AC17-AC9</f>
        <v>269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188</v>
      </c>
      <c r="K19" s="1" t="s">
        <v>189</v>
      </c>
      <c r="L19" s="5">
        <v>3950</v>
      </c>
      <c r="M19" s="1"/>
      <c r="N19" s="1" t="s">
        <v>183</v>
      </c>
      <c r="O19" s="16" t="s">
        <v>182</v>
      </c>
      <c r="P19" s="5">
        <v>18287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 t="e">
        <f>+D19+H19+L19+#REF!+T19</f>
        <v>#REF!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190</v>
      </c>
      <c r="K20" s="1" t="s">
        <v>191</v>
      </c>
      <c r="L20" s="5">
        <v>5000</v>
      </c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5000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 t="s">
        <v>188</v>
      </c>
      <c r="K21" s="1" t="s">
        <v>192</v>
      </c>
      <c r="L21" s="5">
        <v>6790</v>
      </c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6790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194</v>
      </c>
      <c r="C23" s="1" t="s">
        <v>195</v>
      </c>
      <c r="D23" s="5">
        <v>2178</v>
      </c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174</v>
      </c>
      <c r="O23" s="1" t="s">
        <v>175</v>
      </c>
      <c r="P23" s="5">
        <v>3000</v>
      </c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5178</v>
      </c>
      <c r="Z23" s="13"/>
      <c r="AA23" s="1"/>
      <c r="AB23" s="64" t="s">
        <v>115</v>
      </c>
      <c r="AC23" s="73">
        <v>45890</v>
      </c>
      <c r="AD23" s="64" t="s">
        <v>169</v>
      </c>
      <c r="AE23" s="64" t="s">
        <v>170</v>
      </c>
      <c r="AF23" s="64">
        <v>3000</v>
      </c>
      <c r="AG23" s="1"/>
      <c r="AH23" s="1"/>
      <c r="AI23" s="64" t="s">
        <v>122</v>
      </c>
      <c r="AJ23" s="64" t="s">
        <v>196</v>
      </c>
      <c r="AK23" s="64"/>
      <c r="AL23" s="65">
        <v>6440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64" t="s">
        <v>171</v>
      </c>
      <c r="AC24" s="70">
        <v>45876</v>
      </c>
      <c r="AD24" s="64" t="s">
        <v>172</v>
      </c>
      <c r="AE24" s="64"/>
      <c r="AF24" s="64">
        <v>52810</v>
      </c>
      <c r="AG24" s="1"/>
      <c r="AH24" s="1"/>
      <c r="AI24" s="64" t="s">
        <v>115</v>
      </c>
      <c r="AJ24" s="64" t="s">
        <v>198</v>
      </c>
      <c r="AK24" s="64" t="s">
        <v>153</v>
      </c>
      <c r="AL24" s="65">
        <v>71740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64" t="s">
        <v>177</v>
      </c>
      <c r="AC25" s="70">
        <v>45892</v>
      </c>
      <c r="AD25" s="64" t="s">
        <v>173</v>
      </c>
      <c r="AE25" s="64"/>
      <c r="AF25" s="64">
        <v>81910</v>
      </c>
      <c r="AG25" s="1"/>
      <c r="AH25" s="1"/>
      <c r="AI25" s="64" t="s">
        <v>122</v>
      </c>
      <c r="AJ25" s="64" t="s">
        <v>199</v>
      </c>
      <c r="AK25" s="64" t="s">
        <v>203</v>
      </c>
      <c r="AL25" s="65">
        <v>4850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64" t="s">
        <v>178</v>
      </c>
      <c r="AC26" s="70">
        <v>45876</v>
      </c>
      <c r="AD26" s="64" t="s">
        <v>176</v>
      </c>
      <c r="AE26" s="64"/>
      <c r="AF26" s="64">
        <v>75000</v>
      </c>
      <c r="AG26" s="1"/>
      <c r="AH26" s="1"/>
      <c r="AI26" s="64" t="s">
        <v>111</v>
      </c>
      <c r="AJ26" s="64" t="s">
        <v>200</v>
      </c>
      <c r="AK26" s="64" t="s">
        <v>87</v>
      </c>
      <c r="AL26" s="69">
        <v>18964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64" t="s">
        <v>180</v>
      </c>
      <c r="AC27" s="70">
        <v>45880</v>
      </c>
      <c r="AD27" s="64" t="s">
        <v>179</v>
      </c>
      <c r="AE27" s="64"/>
      <c r="AF27" s="64">
        <v>31637</v>
      </c>
      <c r="AG27" s="1"/>
      <c r="AH27" s="1"/>
      <c r="AI27" s="64" t="s">
        <v>122</v>
      </c>
      <c r="AJ27" s="64" t="s">
        <v>201</v>
      </c>
      <c r="AK27" s="64" t="s">
        <v>204</v>
      </c>
      <c r="AL27" s="65">
        <v>3000</v>
      </c>
    </row>
    <row r="28" spans="2:38" ht="15.75" thickBot="1" x14ac:dyDescent="0.3">
      <c r="B28" s="99" t="s">
        <v>12</v>
      </c>
      <c r="C28" s="100"/>
      <c r="D28" s="9">
        <f>+SUM(D16:D27)</f>
        <v>49493</v>
      </c>
      <c r="E28" s="1"/>
      <c r="F28" s="99" t="s">
        <v>12</v>
      </c>
      <c r="G28" s="100"/>
      <c r="H28" s="9">
        <f>+SUM(H16:H27)</f>
        <v>84050</v>
      </c>
      <c r="I28" s="1"/>
      <c r="J28" s="99" t="s">
        <v>12</v>
      </c>
      <c r="K28" s="100"/>
      <c r="L28" s="9">
        <f>+SUM(L16:L27)</f>
        <v>99990</v>
      </c>
      <c r="M28" s="1"/>
      <c r="N28" s="99" t="s">
        <v>12</v>
      </c>
      <c r="O28" s="100"/>
      <c r="P28" s="9">
        <f>+SUM(P16:P27)</f>
        <v>67932</v>
      </c>
      <c r="Q28" s="1"/>
      <c r="R28" s="99" t="s">
        <v>12</v>
      </c>
      <c r="S28" s="100"/>
      <c r="T28" s="9">
        <f>+SUM(T16:T27)</f>
        <v>0</v>
      </c>
      <c r="U28" s="1"/>
      <c r="V28" s="12"/>
      <c r="W28" s="99" t="s">
        <v>12</v>
      </c>
      <c r="X28" s="100"/>
      <c r="Y28" s="9" t="e">
        <f>+SUM(Y16:Y27)</f>
        <v>#REF!</v>
      </c>
      <c r="Z28" s="13"/>
      <c r="AA28" s="1"/>
      <c r="AB28" s="64" t="s">
        <v>122</v>
      </c>
      <c r="AC28" s="73">
        <v>45887</v>
      </c>
      <c r="AD28" s="64" t="s">
        <v>184</v>
      </c>
      <c r="AE28" s="64" t="s">
        <v>185</v>
      </c>
      <c r="AF28" s="65">
        <v>14357</v>
      </c>
      <c r="AG28" s="1"/>
      <c r="AH28" s="1"/>
      <c r="AI28" s="64" t="s">
        <v>115</v>
      </c>
      <c r="AJ28" s="64" t="s">
        <v>202</v>
      </c>
      <c r="AK28" s="64" t="s">
        <v>205</v>
      </c>
      <c r="AL28" s="65">
        <v>11676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64" t="s">
        <v>186</v>
      </c>
      <c r="AC29" s="76">
        <v>45901</v>
      </c>
      <c r="AD29" s="64" t="s">
        <v>96</v>
      </c>
      <c r="AE29" s="64"/>
      <c r="AF29" s="64">
        <v>6207</v>
      </c>
      <c r="AG29" s="1"/>
      <c r="AH29" s="1"/>
      <c r="AI29" s="1"/>
      <c r="AJ29" s="1"/>
      <c r="AK29" s="1"/>
      <c r="AL29" s="62"/>
    </row>
    <row r="30" spans="2:38" ht="15.75" thickBot="1" x14ac:dyDescent="0.3">
      <c r="B30" s="101" t="s">
        <v>41</v>
      </c>
      <c r="C30" s="101"/>
      <c r="D30" s="7">
        <f>+D28-D15</f>
        <v>-506</v>
      </c>
      <c r="E30" s="1"/>
      <c r="F30" s="101" t="s">
        <v>41</v>
      </c>
      <c r="G30" s="101"/>
      <c r="H30" s="7">
        <f>+H28-H15</f>
        <v>30</v>
      </c>
      <c r="I30" s="1"/>
      <c r="J30" s="101" t="s">
        <v>41</v>
      </c>
      <c r="K30" s="101"/>
      <c r="L30" s="7">
        <f>+L28-L15</f>
        <v>-302</v>
      </c>
      <c r="M30" s="1"/>
      <c r="N30" s="101" t="s">
        <v>41</v>
      </c>
      <c r="O30" s="101"/>
      <c r="P30" s="7">
        <f>+P28-P15</f>
        <v>-45</v>
      </c>
      <c r="Q30" s="1"/>
      <c r="R30" s="101" t="s">
        <v>41</v>
      </c>
      <c r="S30" s="101"/>
      <c r="T30" s="7">
        <f>+T28-T15</f>
        <v>0</v>
      </c>
      <c r="U30" s="1"/>
      <c r="V30" s="12"/>
      <c r="W30" s="102" t="s">
        <v>41</v>
      </c>
      <c r="X30" s="102"/>
      <c r="Y30" s="41" t="e">
        <f>+Y28-Y15</f>
        <v>#REF!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264921</v>
      </c>
      <c r="AG31" s="1"/>
      <c r="AH31" s="1"/>
      <c r="AI31" s="60" t="s">
        <v>40</v>
      </c>
      <c r="AJ31" s="60"/>
      <c r="AK31" s="60"/>
      <c r="AL31" s="55">
        <f>+SUM(AL23:AL30)</f>
        <v>116670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>
        <v>506</v>
      </c>
      <c r="E34" s="1"/>
      <c r="F34" s="10" t="s">
        <v>42</v>
      </c>
      <c r="G34" s="11"/>
      <c r="H34" s="21"/>
      <c r="I34" s="1"/>
      <c r="J34" s="10" t="s">
        <v>42</v>
      </c>
      <c r="K34" s="11"/>
      <c r="L34" s="21">
        <v>302</v>
      </c>
      <c r="M34" s="1"/>
      <c r="N34" s="10" t="s">
        <v>42</v>
      </c>
      <c r="O34" s="11"/>
      <c r="P34" s="21">
        <v>45</v>
      </c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853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/>
      <c r="E36" s="1"/>
      <c r="F36" s="12" t="s">
        <v>45</v>
      </c>
      <c r="G36" s="16"/>
      <c r="H36" s="22">
        <v>-30</v>
      </c>
      <c r="I36" s="1"/>
      <c r="J36" s="12" t="s">
        <v>45</v>
      </c>
      <c r="K36" s="16"/>
      <c r="L36" s="22"/>
      <c r="M36" s="1"/>
      <c r="N36" s="12" t="s">
        <v>45</v>
      </c>
      <c r="O36" s="16"/>
      <c r="P36" s="22"/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-30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506</v>
      </c>
      <c r="E37" s="1"/>
      <c r="F37" s="12" t="s">
        <v>18</v>
      </c>
      <c r="G37" s="16"/>
      <c r="H37" s="22">
        <f>+SUM(H34:H36)</f>
        <v>-30</v>
      </c>
      <c r="I37" s="1"/>
      <c r="J37" s="12" t="s">
        <v>18</v>
      </c>
      <c r="K37" s="16"/>
      <c r="L37" s="22">
        <f>+SUM(L34:L36)</f>
        <v>302</v>
      </c>
      <c r="M37" s="1"/>
      <c r="N37" s="12" t="s">
        <v>18</v>
      </c>
      <c r="O37" s="16"/>
      <c r="P37" s="22">
        <f>+SUM(P34:P36)</f>
        <v>45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823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 t="e">
        <f>+Y30+Y37</f>
        <v>#REF!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0"/>
  <sheetViews>
    <sheetView zoomScale="80" zoomScaleNormal="80" workbookViewId="0">
      <selection activeCell="D30" sqref="D30:T30"/>
    </sheetView>
  </sheetViews>
  <sheetFormatPr defaultRowHeight="15" x14ac:dyDescent="0.25"/>
  <cols>
    <col min="3" max="3" width="13.5703125" bestFit="1" customWidth="1"/>
    <col min="4" max="4" width="9.140625" customWidth="1"/>
    <col min="5" max="5" width="0.5703125" customWidth="1"/>
    <col min="6" max="6" width="13.5703125" bestFit="1" customWidth="1"/>
    <col min="7" max="7" width="14" customWidth="1"/>
    <col min="8" max="8" width="9.5703125" bestFit="1" customWidth="1"/>
    <col min="9" max="9" width="0.28515625" customWidth="1"/>
    <col min="10" max="10" width="13.5703125" bestFit="1" customWidth="1"/>
    <col min="11" max="11" width="14.28515625" bestFit="1" customWidth="1"/>
    <col min="13" max="13" width="0.28515625" customWidth="1"/>
    <col min="14" max="15" width="13.5703125" bestFit="1" customWidth="1"/>
    <col min="16" max="16" width="9.28515625" customWidth="1"/>
    <col min="17" max="17" width="0.5703125" customWidth="1"/>
    <col min="19" max="19" width="19.7109375" customWidth="1"/>
    <col min="20" max="20" width="11.5703125" bestFit="1" customWidth="1"/>
    <col min="21" max="21" width="0.5703125" customWidth="1"/>
    <col min="22" max="22" width="1.85546875" customWidth="1"/>
    <col min="25" max="25" width="11.28515625" bestFit="1" customWidth="1"/>
    <col min="26" max="26" width="1.85546875" customWidth="1"/>
    <col min="27" max="27" width="0.42578125" customWidth="1"/>
    <col min="28" max="28" width="15.28515625" bestFit="1" customWidth="1"/>
    <col min="29" max="29" width="10.5703125" bestFit="1" customWidth="1"/>
    <col min="34" max="34" width="0.7109375" customWidth="1"/>
    <col min="36" max="36" width="13.85546875" bestFit="1" customWidth="1"/>
    <col min="37" max="37" width="17.7109375" bestFit="1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146</v>
      </c>
      <c r="D6" s="36">
        <f>+C6*B6</f>
        <v>1460</v>
      </c>
      <c r="E6" s="1"/>
      <c r="F6" s="2">
        <v>10</v>
      </c>
      <c r="G6" s="2">
        <v>27</v>
      </c>
      <c r="H6" s="36">
        <f>+G6*F6</f>
        <v>270</v>
      </c>
      <c r="I6" s="1"/>
      <c r="J6" s="2">
        <v>10</v>
      </c>
      <c r="K6" s="2">
        <v>23</v>
      </c>
      <c r="L6" s="36">
        <f>+K6*J6</f>
        <v>230</v>
      </c>
      <c r="M6" s="1"/>
      <c r="N6" s="2">
        <v>10</v>
      </c>
      <c r="O6" s="2">
        <v>112</v>
      </c>
      <c r="P6" s="36">
        <f>+O6*N6</f>
        <v>1120</v>
      </c>
      <c r="Q6" s="1"/>
      <c r="R6" s="2">
        <v>10</v>
      </c>
      <c r="S6" s="2">
        <v>1</v>
      </c>
      <c r="T6" s="36">
        <f>+S6*R6</f>
        <v>10</v>
      </c>
      <c r="U6" s="1"/>
      <c r="V6" s="12"/>
      <c r="W6" s="39">
        <v>10</v>
      </c>
      <c r="X6" s="39">
        <f>+C6+G6+K6+O6+S6</f>
        <v>309</v>
      </c>
      <c r="Y6" s="37">
        <f>+D6+H6+L6+P6+T6</f>
        <v>3090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 x14ac:dyDescent="0.25">
      <c r="B7" s="2">
        <v>20</v>
      </c>
      <c r="C7" s="2">
        <v>10</v>
      </c>
      <c r="D7" s="36">
        <f t="shared" ref="D7:D12" si="1">+C7*B7</f>
        <v>200</v>
      </c>
      <c r="E7" s="1"/>
      <c r="F7" s="2">
        <v>20</v>
      </c>
      <c r="G7" s="2">
        <v>27</v>
      </c>
      <c r="H7" s="36">
        <f t="shared" ref="H7:H12" si="2">+G7*F7</f>
        <v>540</v>
      </c>
      <c r="I7" s="1"/>
      <c r="J7" s="2">
        <v>20</v>
      </c>
      <c r="K7" s="2">
        <v>7</v>
      </c>
      <c r="L7" s="36">
        <f t="shared" ref="L7:L12" si="3">+K7*J7</f>
        <v>140</v>
      </c>
      <c r="M7" s="1"/>
      <c r="N7" s="2">
        <v>20</v>
      </c>
      <c r="O7" s="2">
        <v>2</v>
      </c>
      <c r="P7" s="36">
        <f t="shared" ref="P7:P12" si="4">+O7*N7</f>
        <v>40</v>
      </c>
      <c r="Q7" s="1"/>
      <c r="R7" s="2">
        <v>20</v>
      </c>
      <c r="S7" s="2">
        <v>1</v>
      </c>
      <c r="T7" s="36">
        <f t="shared" ref="T7:T12" si="5">+S7*R7</f>
        <v>20</v>
      </c>
      <c r="U7" s="1"/>
      <c r="V7" s="12"/>
      <c r="W7" s="39">
        <v>20</v>
      </c>
      <c r="X7" s="39">
        <f>+C7+G7+K7+O7+S7</f>
        <v>47</v>
      </c>
      <c r="Y7" s="37">
        <f t="shared" ref="Y7:Y12" si="6">+D7+H7+L7+P7+T7</f>
        <v>940</v>
      </c>
      <c r="Z7" s="13"/>
      <c r="AA7" s="1"/>
      <c r="AB7" s="56" t="s">
        <v>10</v>
      </c>
      <c r="AC7" s="57">
        <f>Y13</f>
        <v>323230</v>
      </c>
      <c r="AD7" s="26"/>
      <c r="AE7" s="26"/>
      <c r="AF7" s="26"/>
      <c r="AG7" s="26"/>
      <c r="AH7" s="1"/>
      <c r="AI7" s="2">
        <v>10</v>
      </c>
      <c r="AJ7" s="2">
        <v>11</v>
      </c>
      <c r="AK7" s="36">
        <f t="shared" si="0"/>
        <v>110</v>
      </c>
      <c r="AL7" s="1"/>
    </row>
    <row r="8" spans="2:38" x14ac:dyDescent="0.25">
      <c r="B8" s="2">
        <v>50</v>
      </c>
      <c r="C8" s="2">
        <v>83</v>
      </c>
      <c r="D8" s="36">
        <f t="shared" si="1"/>
        <v>4150</v>
      </c>
      <c r="E8" s="1"/>
      <c r="F8" s="2">
        <v>50</v>
      </c>
      <c r="G8" s="2">
        <v>45</v>
      </c>
      <c r="H8" s="36">
        <f t="shared" si="2"/>
        <v>2250</v>
      </c>
      <c r="I8" s="1"/>
      <c r="J8" s="2">
        <v>50</v>
      </c>
      <c r="K8" s="2">
        <v>14</v>
      </c>
      <c r="L8" s="36">
        <f t="shared" si="3"/>
        <v>700</v>
      </c>
      <c r="M8" s="1"/>
      <c r="N8" s="2">
        <v>50</v>
      </c>
      <c r="O8" s="2">
        <v>27</v>
      </c>
      <c r="P8" s="36">
        <f t="shared" si="4"/>
        <v>1350</v>
      </c>
      <c r="Q8" s="1"/>
      <c r="R8" s="2">
        <v>50</v>
      </c>
      <c r="S8" s="2">
        <v>5</v>
      </c>
      <c r="T8" s="36">
        <f t="shared" si="5"/>
        <v>250</v>
      </c>
      <c r="U8" s="1"/>
      <c r="V8" s="12"/>
      <c r="W8" s="39">
        <v>50</v>
      </c>
      <c r="X8" s="39">
        <f t="shared" ref="X8:X12" si="7">+C8+G8+K8+O8+S8</f>
        <v>174</v>
      </c>
      <c r="Y8" s="37">
        <f t="shared" si="6"/>
        <v>8700</v>
      </c>
      <c r="Z8" s="13"/>
      <c r="AA8" s="1"/>
      <c r="AB8" s="53" t="s">
        <v>11</v>
      </c>
      <c r="AC8" s="53">
        <f>+AF31</f>
        <v>99850</v>
      </c>
      <c r="AD8" s="1"/>
      <c r="AE8" s="1"/>
      <c r="AF8" s="1"/>
      <c r="AG8" s="1"/>
      <c r="AH8" s="1"/>
      <c r="AI8" s="2">
        <v>20</v>
      </c>
      <c r="AJ8" s="2">
        <v>51</v>
      </c>
      <c r="AK8" s="36">
        <f t="shared" si="0"/>
        <v>1020</v>
      </c>
      <c r="AL8" s="1"/>
    </row>
    <row r="9" spans="2:38" ht="15.75" thickBot="1" x14ac:dyDescent="0.3">
      <c r="B9" s="2">
        <v>100</v>
      </c>
      <c r="C9" s="2">
        <v>65</v>
      </c>
      <c r="D9" s="36">
        <f t="shared" si="1"/>
        <v>6500</v>
      </c>
      <c r="E9" s="1"/>
      <c r="F9" s="2">
        <v>100</v>
      </c>
      <c r="G9" s="2">
        <v>44</v>
      </c>
      <c r="H9" s="36">
        <f t="shared" si="2"/>
        <v>4400</v>
      </c>
      <c r="I9" s="1"/>
      <c r="J9" s="2">
        <v>100</v>
      </c>
      <c r="K9" s="2">
        <v>28</v>
      </c>
      <c r="L9" s="36">
        <f t="shared" si="3"/>
        <v>2800</v>
      </c>
      <c r="M9" s="1"/>
      <c r="N9" s="2">
        <v>100</v>
      </c>
      <c r="O9" s="2">
        <v>10</v>
      </c>
      <c r="P9" s="36">
        <f t="shared" si="4"/>
        <v>1000</v>
      </c>
      <c r="Q9" s="1"/>
      <c r="R9" s="2">
        <v>100</v>
      </c>
      <c r="S9" s="2">
        <v>3</v>
      </c>
      <c r="T9" s="36">
        <f t="shared" si="5"/>
        <v>300</v>
      </c>
      <c r="U9" s="1"/>
      <c r="V9" s="12"/>
      <c r="W9" s="39">
        <v>100</v>
      </c>
      <c r="X9" s="39">
        <f t="shared" si="7"/>
        <v>150</v>
      </c>
      <c r="Y9" s="37">
        <f t="shared" si="6"/>
        <v>15000</v>
      </c>
      <c r="Z9" s="13"/>
      <c r="AA9" s="1"/>
      <c r="AB9" s="58" t="s">
        <v>12</v>
      </c>
      <c r="AC9" s="59">
        <f>SUM(AC7:AC8)</f>
        <v>423080</v>
      </c>
      <c r="AD9" s="1"/>
      <c r="AE9" s="1"/>
      <c r="AF9" s="1"/>
      <c r="AG9" s="1"/>
      <c r="AH9" s="1"/>
      <c r="AI9" s="2">
        <v>50</v>
      </c>
      <c r="AJ9" s="2">
        <v>201</v>
      </c>
      <c r="AK9" s="36">
        <f t="shared" si="0"/>
        <v>10050</v>
      </c>
      <c r="AL9" s="1"/>
    </row>
    <row r="10" spans="2:38" x14ac:dyDescent="0.25">
      <c r="B10" s="2">
        <v>500</v>
      </c>
      <c r="C10" s="2">
        <v>28</v>
      </c>
      <c r="D10" s="36">
        <f t="shared" si="1"/>
        <v>14000</v>
      </c>
      <c r="E10" s="1"/>
      <c r="F10" s="2">
        <v>500</v>
      </c>
      <c r="G10" s="2">
        <v>39</v>
      </c>
      <c r="H10" s="36">
        <f t="shared" si="2"/>
        <v>19500</v>
      </c>
      <c r="I10" s="1"/>
      <c r="J10" s="2">
        <v>500</v>
      </c>
      <c r="K10" s="2">
        <v>29</v>
      </c>
      <c r="L10" s="36">
        <f t="shared" si="3"/>
        <v>14500</v>
      </c>
      <c r="M10" s="1"/>
      <c r="N10" s="2">
        <v>500</v>
      </c>
      <c r="O10" s="2">
        <v>28</v>
      </c>
      <c r="P10" s="36">
        <f t="shared" si="4"/>
        <v>14000</v>
      </c>
      <c r="Q10" s="1"/>
      <c r="R10" s="2">
        <v>500</v>
      </c>
      <c r="S10" s="2">
        <v>29</v>
      </c>
      <c r="T10" s="36">
        <f t="shared" si="5"/>
        <v>14500</v>
      </c>
      <c r="U10" s="1"/>
      <c r="V10" s="12"/>
      <c r="W10" s="39">
        <v>500</v>
      </c>
      <c r="X10" s="39">
        <f t="shared" si="7"/>
        <v>153</v>
      </c>
      <c r="Y10" s="37">
        <f t="shared" si="6"/>
        <v>76500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179</v>
      </c>
      <c r="AK10" s="36">
        <f t="shared" si="0"/>
        <v>17900</v>
      </c>
      <c r="AL10" s="1"/>
    </row>
    <row r="11" spans="2:38" x14ac:dyDescent="0.25">
      <c r="B11" s="2">
        <v>1000</v>
      </c>
      <c r="C11" s="2">
        <v>29</v>
      </c>
      <c r="D11" s="36">
        <f t="shared" si="1"/>
        <v>29000</v>
      </c>
      <c r="E11" s="1"/>
      <c r="F11" s="2">
        <v>1000</v>
      </c>
      <c r="G11" s="2">
        <v>38</v>
      </c>
      <c r="H11" s="36">
        <f t="shared" si="2"/>
        <v>38000</v>
      </c>
      <c r="I11" s="1"/>
      <c r="J11" s="2">
        <v>1000</v>
      </c>
      <c r="K11" s="2">
        <v>20</v>
      </c>
      <c r="L11" s="36">
        <f t="shared" si="3"/>
        <v>20000</v>
      </c>
      <c r="M11" s="1"/>
      <c r="N11" s="2">
        <v>1000</v>
      </c>
      <c r="O11" s="2">
        <v>22</v>
      </c>
      <c r="P11" s="36">
        <f t="shared" si="4"/>
        <v>22000</v>
      </c>
      <c r="Q11" s="1"/>
      <c r="R11" s="2">
        <v>1000</v>
      </c>
      <c r="S11" s="2">
        <v>45</v>
      </c>
      <c r="T11" s="36">
        <f t="shared" si="5"/>
        <v>45000</v>
      </c>
      <c r="U11" s="1"/>
      <c r="V11" s="12"/>
      <c r="W11" s="39">
        <v>1000</v>
      </c>
      <c r="X11" s="39">
        <f t="shared" si="7"/>
        <v>154</v>
      </c>
      <c r="Y11" s="37">
        <f t="shared" si="6"/>
        <v>154000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158</v>
      </c>
      <c r="AK11" s="36">
        <f t="shared" si="0"/>
        <v>79000</v>
      </c>
      <c r="AL11" s="1"/>
    </row>
    <row r="12" spans="2:38" x14ac:dyDescent="0.25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5</v>
      </c>
      <c r="L12" s="36">
        <f t="shared" si="3"/>
        <v>25000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13</v>
      </c>
      <c r="Y12" s="37">
        <f t="shared" si="6"/>
        <v>65000</v>
      </c>
      <c r="Z12" s="13"/>
      <c r="AA12" s="1"/>
      <c r="AB12" s="1" t="s">
        <v>17</v>
      </c>
      <c r="AC12" s="5">
        <v>423070</v>
      </c>
      <c r="AD12" s="1">
        <v>1014128</v>
      </c>
      <c r="AE12" s="52">
        <v>45786</v>
      </c>
      <c r="AF12" s="1" t="s">
        <v>103</v>
      </c>
      <c r="AG12" s="1"/>
      <c r="AH12" s="1"/>
      <c r="AI12" s="2">
        <v>1000</v>
      </c>
      <c r="AJ12" s="2">
        <v>230</v>
      </c>
      <c r="AK12" s="36">
        <f t="shared" si="0"/>
        <v>230000</v>
      </c>
      <c r="AL12" s="1"/>
    </row>
    <row r="13" spans="2:38" ht="15.75" thickBot="1" x14ac:dyDescent="0.3">
      <c r="B13" s="3" t="s">
        <v>18</v>
      </c>
      <c r="C13" s="3"/>
      <c r="D13" s="6">
        <f>+SUM(D5:D12)</f>
        <v>65310</v>
      </c>
      <c r="E13" s="1"/>
      <c r="F13" s="3" t="s">
        <v>18</v>
      </c>
      <c r="G13" s="3"/>
      <c r="H13" s="6">
        <f>+SUM(H5:H12)</f>
        <v>79960</v>
      </c>
      <c r="I13" s="1"/>
      <c r="J13" s="3" t="s">
        <v>18</v>
      </c>
      <c r="K13" s="3"/>
      <c r="L13" s="6">
        <f>+SUM(L5:L12)</f>
        <v>63370</v>
      </c>
      <c r="M13" s="1"/>
      <c r="N13" s="3" t="s">
        <v>18</v>
      </c>
      <c r="O13" s="3"/>
      <c r="P13" s="6">
        <f>+SUM(P5:P12)</f>
        <v>54510</v>
      </c>
      <c r="Q13" s="1"/>
      <c r="R13" s="3" t="s">
        <v>18</v>
      </c>
      <c r="S13" s="3"/>
      <c r="T13" s="6">
        <f>+SUM(T5:T12)</f>
        <v>60080</v>
      </c>
      <c r="U13" s="1"/>
      <c r="V13" s="12"/>
      <c r="W13" s="3" t="s">
        <v>18</v>
      </c>
      <c r="X13" s="3"/>
      <c r="Y13" s="6">
        <f>+SUM(Y5:Y12)</f>
        <v>323230</v>
      </c>
      <c r="Z13" s="13"/>
      <c r="AA13" s="1"/>
      <c r="AB13" s="1" t="s">
        <v>19</v>
      </c>
      <c r="AC13" s="5">
        <v>10</v>
      </c>
      <c r="AD13" s="1"/>
      <c r="AE13" s="1"/>
      <c r="AF13" s="1"/>
      <c r="AG13" s="1"/>
      <c r="AH13" s="1"/>
      <c r="AI13" s="2">
        <v>5000</v>
      </c>
      <c r="AJ13" s="2">
        <v>17</v>
      </c>
      <c r="AK13" s="36">
        <f t="shared" si="0"/>
        <v>85000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423080</v>
      </c>
      <c r="AL14" s="1"/>
    </row>
    <row r="15" spans="2:38" ht="15.75" thickBot="1" x14ac:dyDescent="0.3">
      <c r="B15" s="105" t="s">
        <v>21</v>
      </c>
      <c r="C15" s="106"/>
      <c r="D15" s="8">
        <v>84724</v>
      </c>
      <c r="E15" s="30"/>
      <c r="F15" s="105" t="s">
        <v>21</v>
      </c>
      <c r="G15" s="106"/>
      <c r="H15" s="8">
        <v>115470</v>
      </c>
      <c r="I15" s="30"/>
      <c r="J15" s="105" t="s">
        <v>21</v>
      </c>
      <c r="K15" s="106"/>
      <c r="L15" s="8">
        <v>91053</v>
      </c>
      <c r="M15" s="30"/>
      <c r="N15" s="105" t="s">
        <v>21</v>
      </c>
      <c r="O15" s="106"/>
      <c r="P15" s="8">
        <v>89127</v>
      </c>
      <c r="Q15" s="30"/>
      <c r="R15" s="105" t="s">
        <v>21</v>
      </c>
      <c r="S15" s="106"/>
      <c r="T15" s="8">
        <v>1992701</v>
      </c>
      <c r="U15" s="30"/>
      <c r="V15" s="31"/>
      <c r="W15" s="105" t="s">
        <v>21</v>
      </c>
      <c r="X15" s="106"/>
      <c r="Y15" s="8">
        <f>+D15+H15+L15+P15+T15</f>
        <v>2373075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65310</v>
      </c>
      <c r="E16" s="1"/>
      <c r="F16" s="1" t="s">
        <v>10</v>
      </c>
      <c r="G16" s="1"/>
      <c r="H16" s="5">
        <f>+H13</f>
        <v>79960</v>
      </c>
      <c r="I16" s="1"/>
      <c r="J16" s="1" t="s">
        <v>10</v>
      </c>
      <c r="K16" s="1"/>
      <c r="L16" s="5">
        <f>+L13</f>
        <v>63370</v>
      </c>
      <c r="M16" s="1"/>
      <c r="N16" s="1" t="s">
        <v>10</v>
      </c>
      <c r="O16" s="1"/>
      <c r="P16" s="5">
        <f>+P13</f>
        <v>54510</v>
      </c>
      <c r="Q16" s="1"/>
      <c r="R16" s="1" t="s">
        <v>10</v>
      </c>
      <c r="S16" s="1"/>
      <c r="T16" s="5">
        <f>+T13</f>
        <v>60080</v>
      </c>
      <c r="U16" s="1"/>
      <c r="V16" s="12"/>
      <c r="W16" s="40" t="s">
        <v>10</v>
      </c>
      <c r="X16" s="40"/>
      <c r="Y16" s="37">
        <f>+D16+H16+L16+P16+T16</f>
        <v>323230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E17" s="1"/>
      <c r="F17" s="1" t="s">
        <v>17</v>
      </c>
      <c r="G17" s="1"/>
      <c r="H17" s="5">
        <v>2500</v>
      </c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 t="e">
        <f>+H17+#REF!+L17+P17+T17</f>
        <v>#REF!</v>
      </c>
      <c r="Z17" s="13"/>
      <c r="AA17" s="1"/>
      <c r="AB17" s="48" t="s">
        <v>12</v>
      </c>
      <c r="AC17" s="49">
        <f>+SUM(AC12:AC16)</f>
        <v>423080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226</v>
      </c>
      <c r="C18" s="16" t="s">
        <v>225</v>
      </c>
      <c r="D18" s="5">
        <v>19870</v>
      </c>
      <c r="E18" s="1"/>
      <c r="F18" s="1" t="s">
        <v>107</v>
      </c>
      <c r="G18" s="1" t="s">
        <v>211</v>
      </c>
      <c r="H18" s="5">
        <v>10000</v>
      </c>
      <c r="I18" s="1"/>
      <c r="J18" s="1" t="s">
        <v>216</v>
      </c>
      <c r="K18" s="1" t="s">
        <v>217</v>
      </c>
      <c r="L18" s="5">
        <v>9678</v>
      </c>
      <c r="M18" s="1"/>
      <c r="N18" s="1" t="s">
        <v>183</v>
      </c>
      <c r="O18" s="1" t="s">
        <v>224</v>
      </c>
      <c r="P18" s="5">
        <v>11017</v>
      </c>
      <c r="Q18" s="1"/>
      <c r="R18" s="1" t="s">
        <v>244</v>
      </c>
      <c r="S18" s="16" t="s">
        <v>243</v>
      </c>
      <c r="T18" s="5">
        <v>27440</v>
      </c>
      <c r="U18" s="1"/>
      <c r="V18" s="12"/>
      <c r="W18" s="40" t="s">
        <v>24</v>
      </c>
      <c r="X18" s="40"/>
      <c r="Y18" s="37">
        <f t="shared" ref="Y18:Y27" si="8">+D18+H18+L18+P18+T18</f>
        <v>78005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212</v>
      </c>
      <c r="G19" s="1" t="s">
        <v>213</v>
      </c>
      <c r="H19" s="5">
        <v>17300</v>
      </c>
      <c r="I19" s="1"/>
      <c r="J19" s="1" t="s">
        <v>218</v>
      </c>
      <c r="K19" s="1" t="s">
        <v>219</v>
      </c>
      <c r="L19" s="5">
        <v>3581</v>
      </c>
      <c r="M19" s="1"/>
      <c r="N19" s="1" t="s">
        <v>223</v>
      </c>
      <c r="O19" s="1" t="s">
        <v>222</v>
      </c>
      <c r="P19" s="5">
        <v>18650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39531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 t="s">
        <v>247</v>
      </c>
      <c r="S21" s="1" t="s">
        <v>248</v>
      </c>
      <c r="T21" s="5">
        <v>352996</v>
      </c>
      <c r="U21" s="1"/>
      <c r="V21" s="12"/>
      <c r="W21" s="40"/>
      <c r="X21" s="40"/>
      <c r="Y21" s="37">
        <f t="shared" si="8"/>
        <v>352996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249</v>
      </c>
      <c r="S22" s="1" t="s">
        <v>250</v>
      </c>
      <c r="T22" s="5">
        <v>38036</v>
      </c>
      <c r="U22" s="1"/>
      <c r="V22" s="12"/>
      <c r="W22" s="40"/>
      <c r="X22" s="40"/>
      <c r="Y22" s="37">
        <f t="shared" si="8"/>
        <v>38036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220</v>
      </c>
      <c r="G23" s="1" t="s">
        <v>221</v>
      </c>
      <c r="H23" s="5">
        <v>5296</v>
      </c>
      <c r="I23" s="1"/>
      <c r="J23" s="1" t="s">
        <v>241</v>
      </c>
      <c r="K23" s="1" t="s">
        <v>242</v>
      </c>
      <c r="L23" s="5">
        <v>13086</v>
      </c>
      <c r="M23" s="1"/>
      <c r="N23" s="1" t="s">
        <v>209</v>
      </c>
      <c r="O23" s="1" t="s">
        <v>210</v>
      </c>
      <c r="P23" s="5">
        <v>4951</v>
      </c>
      <c r="Q23" s="1"/>
      <c r="R23" s="1" t="s">
        <v>245</v>
      </c>
      <c r="S23" s="1" t="s">
        <v>235</v>
      </c>
      <c r="T23" s="5">
        <v>1075899</v>
      </c>
      <c r="U23" s="1"/>
      <c r="V23" s="12"/>
      <c r="W23" s="40" t="s">
        <v>36</v>
      </c>
      <c r="X23" s="40"/>
      <c r="Y23" s="37">
        <f t="shared" si="8"/>
        <v>1099232</v>
      </c>
      <c r="Z23" s="13"/>
      <c r="AA23" s="1"/>
      <c r="AB23" s="64" t="s">
        <v>206</v>
      </c>
      <c r="AC23" s="76">
        <v>45903</v>
      </c>
      <c r="AD23" s="64" t="s">
        <v>195</v>
      </c>
      <c r="AE23" s="64"/>
      <c r="AF23" s="64">
        <v>2178</v>
      </c>
      <c r="AG23" s="1"/>
      <c r="AH23" s="1"/>
      <c r="AI23" s="1" t="s">
        <v>214</v>
      </c>
      <c r="AJ23" s="1" t="s">
        <v>215</v>
      </c>
      <c r="AL23" s="62">
        <v>2500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246</v>
      </c>
      <c r="S24" s="1" t="s">
        <v>235</v>
      </c>
      <c r="T24" s="5">
        <v>367901</v>
      </c>
      <c r="U24" s="1"/>
      <c r="V24" s="12"/>
      <c r="W24" s="40" t="s">
        <v>37</v>
      </c>
      <c r="X24" s="40"/>
      <c r="Y24" s="37">
        <f t="shared" si="8"/>
        <v>367901</v>
      </c>
      <c r="Z24" s="13"/>
      <c r="AA24" s="1"/>
      <c r="AB24" s="64" t="s">
        <v>117</v>
      </c>
      <c r="AC24" s="73">
        <v>45856</v>
      </c>
      <c r="AD24" s="64" t="s">
        <v>207</v>
      </c>
      <c r="AE24" s="64" t="s">
        <v>208</v>
      </c>
      <c r="AF24" s="64">
        <v>9600</v>
      </c>
      <c r="AG24" s="1"/>
      <c r="AH24" s="1"/>
      <c r="AI24" s="64" t="s">
        <v>115</v>
      </c>
      <c r="AJ24" s="64" t="s">
        <v>227</v>
      </c>
      <c r="AK24" s="64" t="s">
        <v>169</v>
      </c>
      <c r="AL24" s="65">
        <v>10000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253</v>
      </c>
      <c r="S25" s="1" t="s">
        <v>254</v>
      </c>
      <c r="T25" s="5">
        <v>21150</v>
      </c>
      <c r="U25" s="1"/>
      <c r="V25" s="12"/>
      <c r="W25" s="40" t="s">
        <v>38</v>
      </c>
      <c r="X25" s="40"/>
      <c r="Y25" s="37">
        <f t="shared" si="8"/>
        <v>21150</v>
      </c>
      <c r="Z25" s="13"/>
      <c r="AA25" s="1"/>
      <c r="AB25" s="64" t="s">
        <v>115</v>
      </c>
      <c r="AC25" s="73">
        <v>45890</v>
      </c>
      <c r="AD25" s="64" t="s">
        <v>169</v>
      </c>
      <c r="AE25" s="64" t="s">
        <v>227</v>
      </c>
      <c r="AF25" s="64">
        <v>20000</v>
      </c>
      <c r="AG25" s="1"/>
      <c r="AH25" s="1"/>
      <c r="AI25" s="64" t="s">
        <v>115</v>
      </c>
      <c r="AJ25" s="64" t="s">
        <v>228</v>
      </c>
      <c r="AK25" s="64" t="s">
        <v>169</v>
      </c>
      <c r="AL25" s="65">
        <v>30000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251</v>
      </c>
      <c r="S26" s="1" t="s">
        <v>252</v>
      </c>
      <c r="T26" s="5">
        <v>28499</v>
      </c>
      <c r="U26" s="1"/>
      <c r="V26" s="12"/>
      <c r="W26" s="40"/>
      <c r="X26" s="40"/>
      <c r="Y26" s="37">
        <f t="shared" si="8"/>
        <v>28499</v>
      </c>
      <c r="Z26" s="13"/>
      <c r="AA26" s="1"/>
      <c r="AB26" s="64" t="s">
        <v>238</v>
      </c>
      <c r="AC26" s="70">
        <v>45897</v>
      </c>
      <c r="AD26" s="64" t="s">
        <v>237</v>
      </c>
      <c r="AE26" s="64"/>
      <c r="AF26" s="64">
        <v>51370</v>
      </c>
      <c r="AG26" s="1"/>
      <c r="AH26" s="1"/>
      <c r="AI26" s="64" t="s">
        <v>214</v>
      </c>
      <c r="AJ26" s="64" t="s">
        <v>229</v>
      </c>
      <c r="AK26" s="64" t="s">
        <v>151</v>
      </c>
      <c r="AL26" s="69">
        <v>10500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255</v>
      </c>
      <c r="S27" s="1" t="s">
        <v>256</v>
      </c>
      <c r="T27" s="5">
        <v>20707</v>
      </c>
      <c r="U27" s="1"/>
      <c r="V27" s="12"/>
      <c r="W27" s="40"/>
      <c r="X27" s="40"/>
      <c r="Y27" s="37">
        <f t="shared" si="8"/>
        <v>20707</v>
      </c>
      <c r="Z27" s="13"/>
      <c r="AA27" s="1"/>
      <c r="AB27" s="64" t="s">
        <v>239</v>
      </c>
      <c r="AC27" s="70">
        <v>45898</v>
      </c>
      <c r="AD27" s="64" t="s">
        <v>240</v>
      </c>
      <c r="AE27" s="64"/>
      <c r="AF27" s="69">
        <v>16702</v>
      </c>
      <c r="AG27" s="1"/>
      <c r="AH27" s="1"/>
      <c r="AI27" s="64" t="s">
        <v>214</v>
      </c>
      <c r="AJ27" s="64" t="s">
        <v>230</v>
      </c>
      <c r="AK27" s="64" t="s">
        <v>152</v>
      </c>
      <c r="AL27" s="69">
        <v>9000</v>
      </c>
    </row>
    <row r="28" spans="2:38" ht="15.75" thickBot="1" x14ac:dyDescent="0.3">
      <c r="B28" s="99" t="s">
        <v>12</v>
      </c>
      <c r="C28" s="100"/>
      <c r="D28" s="9">
        <f>+SUM(D16:D27)</f>
        <v>85180</v>
      </c>
      <c r="E28" s="1"/>
      <c r="F28" s="99" t="s">
        <v>12</v>
      </c>
      <c r="G28" s="100"/>
      <c r="H28" s="9">
        <f>+SUM(H16:H27)</f>
        <v>115056</v>
      </c>
      <c r="I28" s="1"/>
      <c r="J28" s="99" t="s">
        <v>12</v>
      </c>
      <c r="K28" s="100"/>
      <c r="L28" s="9">
        <f>+SUM(L16:L27)</f>
        <v>89715</v>
      </c>
      <c r="M28" s="1"/>
      <c r="N28" s="99" t="s">
        <v>12</v>
      </c>
      <c r="O28" s="100"/>
      <c r="P28" s="9">
        <f>+SUM(P16:P27)</f>
        <v>89128</v>
      </c>
      <c r="Q28" s="1"/>
      <c r="R28" s="99" t="s">
        <v>12</v>
      </c>
      <c r="S28" s="100"/>
      <c r="T28" s="9">
        <f>+SUM(T16:T27)</f>
        <v>1992708</v>
      </c>
      <c r="U28" s="1"/>
      <c r="V28" s="12"/>
      <c r="W28" s="99" t="s">
        <v>12</v>
      </c>
      <c r="X28" s="100"/>
      <c r="Y28" s="9" t="e">
        <f>+SUM(Y16:Y27)</f>
        <v>#REF!</v>
      </c>
      <c r="Z28" s="13"/>
      <c r="AA28" s="1"/>
      <c r="AB28" s="1"/>
      <c r="AC28" s="1"/>
      <c r="AD28" s="1"/>
      <c r="AE28" s="1"/>
      <c r="AF28" s="1"/>
      <c r="AG28" s="1"/>
      <c r="AH28" s="1"/>
      <c r="AI28" s="64" t="s">
        <v>122</v>
      </c>
      <c r="AJ28" s="64" t="s">
        <v>231</v>
      </c>
      <c r="AK28" s="64" t="s">
        <v>121</v>
      </c>
      <c r="AL28" s="69">
        <v>5214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64" t="s">
        <v>115</v>
      </c>
      <c r="AJ29" s="64" t="s">
        <v>232</v>
      </c>
      <c r="AK29" s="64" t="s">
        <v>88</v>
      </c>
      <c r="AL29" s="65">
        <v>76600</v>
      </c>
    </row>
    <row r="30" spans="2:38" ht="15.75" thickBot="1" x14ac:dyDescent="0.3">
      <c r="B30" s="101" t="s">
        <v>41</v>
      </c>
      <c r="C30" s="101"/>
      <c r="D30" s="7">
        <f>+D28-D15</f>
        <v>456</v>
      </c>
      <c r="E30" s="1"/>
      <c r="F30" s="101" t="s">
        <v>41</v>
      </c>
      <c r="G30" s="101"/>
      <c r="H30" s="7">
        <f>+H28-H15</f>
        <v>-414</v>
      </c>
      <c r="I30" s="1"/>
      <c r="J30" s="101" t="s">
        <v>41</v>
      </c>
      <c r="K30" s="101"/>
      <c r="L30" s="7">
        <f>+L28-L15</f>
        <v>-1338</v>
      </c>
      <c r="M30" s="1"/>
      <c r="N30" s="101" t="s">
        <v>41</v>
      </c>
      <c r="O30" s="101"/>
      <c r="P30" s="7">
        <f>+P28-P15</f>
        <v>1</v>
      </c>
      <c r="Q30" s="1"/>
      <c r="R30" s="101" t="s">
        <v>41</v>
      </c>
      <c r="S30" s="101"/>
      <c r="T30" s="7">
        <f>+T28-T15</f>
        <v>7</v>
      </c>
      <c r="U30" s="1"/>
      <c r="V30" s="12"/>
      <c r="W30" s="102" t="s">
        <v>41</v>
      </c>
      <c r="X30" s="102"/>
      <c r="Y30" s="41" t="e">
        <f>+Y28-Y15</f>
        <v>#REF!</v>
      </c>
      <c r="Z30" s="13"/>
      <c r="AA30" s="1"/>
      <c r="AB30" s="1"/>
      <c r="AC30" s="1"/>
      <c r="AD30" s="1"/>
      <c r="AE30" s="1"/>
      <c r="AF30" s="1"/>
      <c r="AG30" s="1"/>
      <c r="AH30" s="1"/>
      <c r="AI30" s="64" t="s">
        <v>115</v>
      </c>
      <c r="AJ30" s="64" t="s">
        <v>233</v>
      </c>
      <c r="AK30" s="64" t="s">
        <v>235</v>
      </c>
      <c r="AL30" s="65">
        <v>89420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99850</v>
      </c>
      <c r="AG31" s="1"/>
      <c r="AH31" s="1"/>
      <c r="AI31" s="64" t="s">
        <v>115</v>
      </c>
      <c r="AJ31" s="64" t="s">
        <v>234</v>
      </c>
      <c r="AK31" s="64" t="s">
        <v>235</v>
      </c>
      <c r="AL31" s="65">
        <v>380000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64" t="s">
        <v>115</v>
      </c>
      <c r="AJ32" s="64" t="s">
        <v>236</v>
      </c>
      <c r="AK32" s="64" t="s">
        <v>146</v>
      </c>
      <c r="AL32" s="65">
        <v>70000</v>
      </c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>
        <v>414</v>
      </c>
      <c r="I34" s="1"/>
      <c r="J34" s="10" t="s">
        <v>42</v>
      </c>
      <c r="K34" s="11"/>
      <c r="L34" s="21">
        <v>1338</v>
      </c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1752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ht="15.75" thickBot="1" x14ac:dyDescent="0.3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60" t="s">
        <v>40</v>
      </c>
      <c r="AJ35" s="60"/>
      <c r="AK35" s="60"/>
      <c r="AL35" s="66">
        <f>+SUM(AL23:AL34)</f>
        <v>683234</v>
      </c>
    </row>
    <row r="36" spans="2:38" ht="15.75" thickTop="1" x14ac:dyDescent="0.25">
      <c r="B36" s="12" t="s">
        <v>45</v>
      </c>
      <c r="C36" s="16"/>
      <c r="D36" s="22">
        <v>-456</v>
      </c>
      <c r="E36" s="1"/>
      <c r="F36" s="12" t="s">
        <v>45</v>
      </c>
      <c r="G36" s="16"/>
      <c r="H36" s="22"/>
      <c r="I36" s="1"/>
      <c r="J36" s="12" t="s">
        <v>45</v>
      </c>
      <c r="K36" s="16"/>
      <c r="L36" s="22"/>
      <c r="M36" s="1"/>
      <c r="N36" s="12" t="s">
        <v>45</v>
      </c>
      <c r="O36" s="16"/>
      <c r="P36" s="22">
        <v>-1</v>
      </c>
      <c r="Q36" s="1"/>
      <c r="R36" s="12" t="s">
        <v>45</v>
      </c>
      <c r="S36" s="16"/>
      <c r="T36" s="22">
        <v>7</v>
      </c>
      <c r="U36" s="1"/>
      <c r="V36" s="1"/>
      <c r="W36" s="45" t="s">
        <v>44</v>
      </c>
      <c r="X36" s="40"/>
      <c r="Y36" s="46">
        <f t="shared" si="9"/>
        <v>-450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-456</v>
      </c>
      <c r="E37" s="1"/>
      <c r="F37" s="12" t="s">
        <v>18</v>
      </c>
      <c r="G37" s="16"/>
      <c r="H37" s="22">
        <f>+SUM(H34:H36)</f>
        <v>414</v>
      </c>
      <c r="I37" s="1"/>
      <c r="J37" s="12" t="s">
        <v>18</v>
      </c>
      <c r="K37" s="16"/>
      <c r="L37" s="22">
        <f>+SUM(L34:L36)</f>
        <v>1338</v>
      </c>
      <c r="M37" s="1"/>
      <c r="N37" s="12" t="s">
        <v>18</v>
      </c>
      <c r="O37" s="16"/>
      <c r="P37" s="22">
        <f>+SUM(P34:P36)</f>
        <v>-1</v>
      </c>
      <c r="Q37" s="1"/>
      <c r="R37" s="12" t="s">
        <v>18</v>
      </c>
      <c r="S37" s="16"/>
      <c r="T37" s="22"/>
      <c r="U37" s="1"/>
      <c r="V37" s="1"/>
      <c r="W37" s="33" t="s">
        <v>18</v>
      </c>
      <c r="X37" s="34"/>
      <c r="Y37" s="35">
        <f>+SUM(Y34:Y36)</f>
        <v>1302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/>
      <c r="U38" s="1"/>
      <c r="V38" s="1"/>
      <c r="W38" s="23" t="s">
        <v>46</v>
      </c>
      <c r="X38" s="24"/>
      <c r="Y38" s="25" t="e">
        <f>+Y30+Y37</f>
        <v>#REF!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40"/>
  <sheetViews>
    <sheetView topLeftCell="A2" zoomScale="80" zoomScaleNormal="80" workbookViewId="0">
      <selection activeCell="T26" sqref="T26"/>
    </sheetView>
  </sheetViews>
  <sheetFormatPr defaultRowHeight="15" x14ac:dyDescent="0.25"/>
  <cols>
    <col min="3" max="3" width="14.5703125" bestFit="1" customWidth="1"/>
    <col min="4" max="4" width="9.42578125" customWidth="1"/>
    <col min="5" max="5" width="0.85546875" customWidth="1"/>
    <col min="6" max="6" width="13.5703125" bestFit="1" customWidth="1"/>
    <col min="7" max="7" width="15.85546875" bestFit="1" customWidth="1"/>
    <col min="8" max="8" width="9.5703125" bestFit="1" customWidth="1"/>
    <col min="9" max="9" width="1" customWidth="1"/>
    <col min="13" max="13" width="0.85546875" customWidth="1"/>
    <col min="14" max="15" width="13.5703125" bestFit="1" customWidth="1"/>
    <col min="17" max="17" width="1" customWidth="1"/>
    <col min="19" max="19" width="13.5703125" bestFit="1" customWidth="1"/>
    <col min="20" max="20" width="10.5703125" bestFit="1" customWidth="1"/>
    <col min="21" max="21" width="0.85546875" customWidth="1"/>
    <col min="25" max="25" width="11.28515625" bestFit="1" customWidth="1"/>
    <col min="27" max="27" width="1" customWidth="1"/>
    <col min="28" max="28" width="15.28515625" bestFit="1" customWidth="1"/>
    <col min="29" max="29" width="10.5703125" bestFit="1" customWidth="1"/>
    <col min="30" max="30" width="17.7109375" bestFit="1" customWidth="1"/>
    <col min="31" max="31" width="14.85546875" bestFit="1" customWidth="1"/>
    <col min="33" max="33" width="9.140625" customWidth="1"/>
    <col min="34" max="34" width="1.7109375" hidden="1" customWidth="1"/>
    <col min="36" max="36" width="15.7109375" bestFit="1" customWidth="1"/>
    <col min="37" max="37" width="17.7109375" bestFit="1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>
        <v>6</v>
      </c>
      <c r="T5" s="36">
        <f>+S5*R5</f>
        <v>6</v>
      </c>
      <c r="U5" s="26"/>
      <c r="V5" s="27"/>
      <c r="W5" s="38">
        <v>1</v>
      </c>
      <c r="X5" s="39">
        <f>+C5+G5+K5+O5+S5</f>
        <v>6</v>
      </c>
      <c r="Y5" s="37">
        <f>+D5+H5+L5+P5+T5</f>
        <v>6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300</v>
      </c>
      <c r="D6" s="36">
        <f>+C6*B6</f>
        <v>3000</v>
      </c>
      <c r="E6" s="1"/>
      <c r="F6" s="2">
        <v>10</v>
      </c>
      <c r="G6" s="2">
        <v>12</v>
      </c>
      <c r="H6" s="36">
        <f>+G6*F6</f>
        <v>120</v>
      </c>
      <c r="I6" s="1"/>
      <c r="J6" s="2">
        <v>10</v>
      </c>
      <c r="K6" s="2">
        <v>33</v>
      </c>
      <c r="L6" s="36">
        <f>+K6*J6</f>
        <v>330</v>
      </c>
      <c r="M6" s="1"/>
      <c r="N6" s="2">
        <v>10</v>
      </c>
      <c r="O6" s="2">
        <v>179</v>
      </c>
      <c r="P6" s="36">
        <f>+O6*N6</f>
        <v>1790</v>
      </c>
      <c r="Q6" s="1"/>
      <c r="R6" s="2">
        <v>10</v>
      </c>
      <c r="S6" s="2">
        <v>327</v>
      </c>
      <c r="T6" s="36">
        <f>+S6*R6</f>
        <v>3270</v>
      </c>
      <c r="U6" s="1"/>
      <c r="V6" s="12"/>
      <c r="W6" s="39">
        <v>10</v>
      </c>
      <c r="X6" s="39">
        <f>+C6+G6+K6+O6+S6</f>
        <v>851</v>
      </c>
      <c r="Y6" s="37">
        <f>+D6+H6+L6+P6+T6</f>
        <v>8510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 x14ac:dyDescent="0.25">
      <c r="B7" s="2">
        <v>20</v>
      </c>
      <c r="C7" s="2">
        <v>23</v>
      </c>
      <c r="D7" s="36">
        <f t="shared" ref="D7:D12" si="1">+C7*B7</f>
        <v>460</v>
      </c>
      <c r="E7" s="1"/>
      <c r="F7" s="2">
        <v>20</v>
      </c>
      <c r="G7" s="2">
        <v>5</v>
      </c>
      <c r="H7" s="36">
        <f t="shared" ref="H7:H12" si="2">+G7*F7</f>
        <v>100</v>
      </c>
      <c r="I7" s="1"/>
      <c r="J7" s="2">
        <v>20</v>
      </c>
      <c r="K7" s="2">
        <v>9</v>
      </c>
      <c r="L7" s="36">
        <f t="shared" ref="L7:L12" si="3">+K7*J7</f>
        <v>180</v>
      </c>
      <c r="M7" s="1"/>
      <c r="N7" s="2">
        <v>20</v>
      </c>
      <c r="O7" s="2">
        <v>39</v>
      </c>
      <c r="P7" s="36">
        <f t="shared" ref="P7:P12" si="4">+O7*N7</f>
        <v>780</v>
      </c>
      <c r="Q7" s="1"/>
      <c r="R7" s="2">
        <v>20</v>
      </c>
      <c r="S7" s="2">
        <v>28</v>
      </c>
      <c r="T7" s="36">
        <f t="shared" ref="T7:T12" si="5">+S7*R7</f>
        <v>560</v>
      </c>
      <c r="U7" s="1"/>
      <c r="V7" s="12"/>
      <c r="W7" s="39">
        <v>20</v>
      </c>
      <c r="X7" s="39">
        <f>+C7+G7+K7+O7+S7</f>
        <v>104</v>
      </c>
      <c r="Y7" s="37">
        <f t="shared" ref="Y7:Y12" si="6">+D7+H7+L7+P7+T7</f>
        <v>2080</v>
      </c>
      <c r="Z7" s="13"/>
      <c r="AA7" s="1"/>
      <c r="AB7" s="56" t="s">
        <v>10</v>
      </c>
      <c r="AC7" s="57">
        <f>Y13</f>
        <v>417696</v>
      </c>
      <c r="AD7" s="26"/>
      <c r="AE7" s="26"/>
      <c r="AF7" s="26"/>
      <c r="AG7" s="26"/>
      <c r="AH7" s="1"/>
      <c r="AI7" s="2">
        <v>10</v>
      </c>
      <c r="AJ7" s="2">
        <v>34</v>
      </c>
      <c r="AK7" s="36">
        <f t="shared" si="0"/>
        <v>340</v>
      </c>
      <c r="AL7" s="1"/>
    </row>
    <row r="8" spans="2:38" x14ac:dyDescent="0.25">
      <c r="B8" s="2">
        <v>50</v>
      </c>
      <c r="C8" s="2">
        <v>78</v>
      </c>
      <c r="D8" s="36">
        <f t="shared" si="1"/>
        <v>3900</v>
      </c>
      <c r="E8" s="1"/>
      <c r="F8" s="2">
        <v>50</v>
      </c>
      <c r="G8" s="2">
        <v>15</v>
      </c>
      <c r="H8" s="36">
        <f t="shared" si="2"/>
        <v>750</v>
      </c>
      <c r="I8" s="1"/>
      <c r="J8" s="2">
        <v>50</v>
      </c>
      <c r="K8" s="2">
        <v>20</v>
      </c>
      <c r="L8" s="36">
        <f t="shared" si="3"/>
        <v>1000</v>
      </c>
      <c r="M8" s="1"/>
      <c r="N8" s="2">
        <v>50</v>
      </c>
      <c r="O8" s="2">
        <v>11</v>
      </c>
      <c r="P8" s="36">
        <f t="shared" si="4"/>
        <v>550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124</v>
      </c>
      <c r="Y8" s="37">
        <f t="shared" si="6"/>
        <v>6200</v>
      </c>
      <c r="Z8" s="13"/>
      <c r="AA8" s="1"/>
      <c r="AB8" s="53" t="s">
        <v>11</v>
      </c>
      <c r="AC8" s="53">
        <f>+AF31</f>
        <v>3664</v>
      </c>
      <c r="AD8" s="1"/>
      <c r="AE8" s="1"/>
      <c r="AF8" s="1"/>
      <c r="AG8" s="1"/>
      <c r="AH8" s="1"/>
      <c r="AI8" s="2">
        <v>20</v>
      </c>
      <c r="AJ8" s="2">
        <v>37</v>
      </c>
      <c r="AK8" s="36">
        <f t="shared" si="0"/>
        <v>740</v>
      </c>
      <c r="AL8" s="1"/>
    </row>
    <row r="9" spans="2:38" ht="15.75" thickBot="1" x14ac:dyDescent="0.3">
      <c r="B9" s="2">
        <v>100</v>
      </c>
      <c r="C9" s="2">
        <v>36</v>
      </c>
      <c r="D9" s="36">
        <f t="shared" si="1"/>
        <v>3600</v>
      </c>
      <c r="E9" s="1"/>
      <c r="F9" s="2">
        <v>100</v>
      </c>
      <c r="G9" s="2">
        <v>2</v>
      </c>
      <c r="H9" s="36">
        <f t="shared" si="2"/>
        <v>200</v>
      </c>
      <c r="I9" s="1"/>
      <c r="J9" s="2">
        <v>100</v>
      </c>
      <c r="K9" s="2">
        <v>57</v>
      </c>
      <c r="L9" s="36">
        <f t="shared" si="3"/>
        <v>5700</v>
      </c>
      <c r="M9" s="1"/>
      <c r="N9" s="2">
        <v>100</v>
      </c>
      <c r="O9" s="2">
        <v>6</v>
      </c>
      <c r="P9" s="36">
        <f t="shared" si="4"/>
        <v>600</v>
      </c>
      <c r="Q9" s="1"/>
      <c r="R9" s="2">
        <v>100</v>
      </c>
      <c r="S9" s="2">
        <v>3</v>
      </c>
      <c r="T9" s="36">
        <f t="shared" si="5"/>
        <v>300</v>
      </c>
      <c r="U9" s="1"/>
      <c r="V9" s="12"/>
      <c r="W9" s="39">
        <v>100</v>
      </c>
      <c r="X9" s="39">
        <f t="shared" si="7"/>
        <v>104</v>
      </c>
      <c r="Y9" s="37">
        <f t="shared" si="6"/>
        <v>10400</v>
      </c>
      <c r="Z9" s="13"/>
      <c r="AA9" s="1"/>
      <c r="AB9" s="58" t="s">
        <v>12</v>
      </c>
      <c r="AC9" s="59">
        <f>SUM(AC7:AC8)</f>
        <v>421360</v>
      </c>
      <c r="AD9" s="1"/>
      <c r="AE9" s="1"/>
      <c r="AF9" s="1"/>
      <c r="AG9" s="1"/>
      <c r="AH9" s="1"/>
      <c r="AI9" s="2">
        <v>50</v>
      </c>
      <c r="AJ9" s="2">
        <v>87</v>
      </c>
      <c r="AK9" s="36">
        <f t="shared" si="0"/>
        <v>4350</v>
      </c>
      <c r="AL9" s="1"/>
    </row>
    <row r="10" spans="2:38" x14ac:dyDescent="0.25">
      <c r="B10" s="2">
        <v>500</v>
      </c>
      <c r="C10" s="2">
        <v>21</v>
      </c>
      <c r="D10" s="36">
        <f t="shared" si="1"/>
        <v>10500</v>
      </c>
      <c r="E10" s="1"/>
      <c r="F10" s="2">
        <v>500</v>
      </c>
      <c r="G10" s="2">
        <v>36</v>
      </c>
      <c r="H10" s="36">
        <f t="shared" si="2"/>
        <v>18000</v>
      </c>
      <c r="I10" s="1"/>
      <c r="J10" s="2">
        <v>500</v>
      </c>
      <c r="K10" s="2">
        <v>34</v>
      </c>
      <c r="L10" s="36">
        <f t="shared" si="3"/>
        <v>17000</v>
      </c>
      <c r="M10" s="1"/>
      <c r="N10" s="2">
        <v>500</v>
      </c>
      <c r="O10" s="2">
        <v>19</v>
      </c>
      <c r="P10" s="36">
        <f t="shared" si="4"/>
        <v>9500</v>
      </c>
      <c r="Q10" s="1"/>
      <c r="R10" s="2">
        <v>500</v>
      </c>
      <c r="S10" s="2">
        <v>55</v>
      </c>
      <c r="T10" s="36">
        <f t="shared" si="5"/>
        <v>27500</v>
      </c>
      <c r="U10" s="1"/>
      <c r="V10" s="12"/>
      <c r="W10" s="39">
        <v>500</v>
      </c>
      <c r="X10" s="39">
        <f t="shared" si="7"/>
        <v>165</v>
      </c>
      <c r="Y10" s="37">
        <f t="shared" si="6"/>
        <v>82500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39</v>
      </c>
      <c r="AK10" s="36">
        <f t="shared" si="0"/>
        <v>3900</v>
      </c>
      <c r="AL10" s="1"/>
    </row>
    <row r="11" spans="2:38" x14ac:dyDescent="0.25">
      <c r="B11" s="2">
        <v>1000</v>
      </c>
      <c r="C11" s="2">
        <v>36</v>
      </c>
      <c r="D11" s="36">
        <f t="shared" si="1"/>
        <v>36000</v>
      </c>
      <c r="E11" s="1"/>
      <c r="F11" s="2">
        <v>1000</v>
      </c>
      <c r="G11" s="2">
        <v>45</v>
      </c>
      <c r="H11" s="36">
        <f t="shared" si="2"/>
        <v>45000</v>
      </c>
      <c r="I11" s="1"/>
      <c r="J11" s="2">
        <v>1000</v>
      </c>
      <c r="K11" s="2">
        <v>49</v>
      </c>
      <c r="L11" s="36">
        <f t="shared" si="3"/>
        <v>49000</v>
      </c>
      <c r="M11" s="1"/>
      <c r="N11" s="2">
        <v>1000</v>
      </c>
      <c r="O11" s="2">
        <v>10</v>
      </c>
      <c r="P11" s="36">
        <f t="shared" si="4"/>
        <v>10000</v>
      </c>
      <c r="Q11" s="1"/>
      <c r="R11" s="2">
        <v>1000</v>
      </c>
      <c r="S11" s="2">
        <v>58</v>
      </c>
      <c r="T11" s="36">
        <f t="shared" si="5"/>
        <v>58000</v>
      </c>
      <c r="U11" s="1"/>
      <c r="V11" s="12"/>
      <c r="W11" s="39">
        <v>1000</v>
      </c>
      <c r="X11" s="39">
        <f t="shared" si="7"/>
        <v>198</v>
      </c>
      <c r="Y11" s="37">
        <f t="shared" si="6"/>
        <v>198000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63</v>
      </c>
      <c r="AK11" s="36">
        <f t="shared" si="0"/>
        <v>31500</v>
      </c>
      <c r="AL11" s="1"/>
    </row>
    <row r="12" spans="2:38" x14ac:dyDescent="0.25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4</v>
      </c>
      <c r="H12" s="36">
        <f t="shared" si="2"/>
        <v>20000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2</v>
      </c>
      <c r="P12" s="36">
        <f t="shared" si="4"/>
        <v>10000</v>
      </c>
      <c r="Q12" s="1"/>
      <c r="R12" s="2">
        <v>5000</v>
      </c>
      <c r="S12" s="2">
        <v>12</v>
      </c>
      <c r="T12" s="36">
        <f t="shared" si="5"/>
        <v>60000</v>
      </c>
      <c r="U12" s="1"/>
      <c r="V12" s="12"/>
      <c r="W12" s="39">
        <v>5000</v>
      </c>
      <c r="X12" s="39">
        <f t="shared" si="7"/>
        <v>22</v>
      </c>
      <c r="Y12" s="37">
        <f t="shared" si="6"/>
        <v>110000</v>
      </c>
      <c r="Z12" s="13"/>
      <c r="AA12" s="1"/>
      <c r="AB12" s="1" t="s">
        <v>17</v>
      </c>
      <c r="AC12" s="5"/>
      <c r="AD12" s="1"/>
      <c r="AE12" s="52"/>
      <c r="AF12" s="1"/>
      <c r="AG12" s="1"/>
      <c r="AH12" s="1"/>
      <c r="AI12" s="2">
        <v>1000</v>
      </c>
      <c r="AJ12" s="2">
        <v>4</v>
      </c>
      <c r="AK12" s="36">
        <f t="shared" si="0"/>
        <v>4000</v>
      </c>
      <c r="AL12" s="1"/>
    </row>
    <row r="13" spans="2:38" ht="15.75" thickBot="1" x14ac:dyDescent="0.3">
      <c r="B13" s="3" t="s">
        <v>18</v>
      </c>
      <c r="C13" s="3"/>
      <c r="D13" s="6">
        <f>+SUM(D5:D12)</f>
        <v>67460</v>
      </c>
      <c r="E13" s="1"/>
      <c r="F13" s="3" t="s">
        <v>18</v>
      </c>
      <c r="G13" s="3"/>
      <c r="H13" s="6">
        <f>+SUM(H5:H12)</f>
        <v>84170</v>
      </c>
      <c r="I13" s="1"/>
      <c r="J13" s="3" t="s">
        <v>18</v>
      </c>
      <c r="K13" s="3"/>
      <c r="L13" s="6">
        <f>+SUM(L5:L12)</f>
        <v>83210</v>
      </c>
      <c r="M13" s="1"/>
      <c r="N13" s="3" t="s">
        <v>18</v>
      </c>
      <c r="O13" s="3"/>
      <c r="P13" s="6">
        <f>+SUM(P5:P12)</f>
        <v>33220</v>
      </c>
      <c r="Q13" s="1"/>
      <c r="R13" s="3" t="s">
        <v>18</v>
      </c>
      <c r="S13" s="3"/>
      <c r="T13" s="6">
        <f>+SUM(T5:T12)</f>
        <v>149636</v>
      </c>
      <c r="U13" s="1"/>
      <c r="V13" s="12"/>
      <c r="W13" s="3" t="s">
        <v>18</v>
      </c>
      <c r="X13" s="3"/>
      <c r="Y13" s="6">
        <f>+SUM(Y5:Y12)</f>
        <v>417696</v>
      </c>
      <c r="Z13" s="13"/>
      <c r="AA13" s="1"/>
      <c r="AB13" s="1" t="s">
        <v>19</v>
      </c>
      <c r="AC13" s="5">
        <v>54830</v>
      </c>
      <c r="AD13" s="79" t="s">
        <v>841</v>
      </c>
      <c r="AE13" s="79"/>
      <c r="AF13" s="1"/>
      <c r="AG13" s="1"/>
      <c r="AH13" s="1"/>
      <c r="AI13" s="2">
        <v>5000</v>
      </c>
      <c r="AJ13" s="2">
        <v>2</v>
      </c>
      <c r="AK13" s="36">
        <f t="shared" si="0"/>
        <v>10000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299</v>
      </c>
      <c r="AC14" s="5">
        <v>348114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54830</v>
      </c>
      <c r="AL14" s="1"/>
    </row>
    <row r="15" spans="2:38" ht="15.75" thickBot="1" x14ac:dyDescent="0.3">
      <c r="B15" s="105" t="s">
        <v>21</v>
      </c>
      <c r="C15" s="106"/>
      <c r="D15" s="8">
        <v>102404</v>
      </c>
      <c r="E15" s="30"/>
      <c r="F15" s="105" t="s">
        <v>21</v>
      </c>
      <c r="G15" s="106"/>
      <c r="H15" s="8">
        <v>110475</v>
      </c>
      <c r="I15" s="30"/>
      <c r="J15" s="105" t="s">
        <v>21</v>
      </c>
      <c r="K15" s="106"/>
      <c r="L15" s="8">
        <v>82544</v>
      </c>
      <c r="M15" s="30"/>
      <c r="N15" s="105" t="s">
        <v>21</v>
      </c>
      <c r="O15" s="106"/>
      <c r="P15" s="8">
        <v>81860</v>
      </c>
      <c r="Q15" s="30"/>
      <c r="R15" s="105" t="s">
        <v>21</v>
      </c>
      <c r="S15" s="106"/>
      <c r="T15" s="8">
        <v>719026</v>
      </c>
      <c r="U15" s="30"/>
      <c r="V15" s="31"/>
      <c r="W15" s="105" t="s">
        <v>21</v>
      </c>
      <c r="X15" s="106"/>
      <c r="Y15" s="8">
        <f>+D15+H15+L15+P15+T15</f>
        <v>1096309</v>
      </c>
      <c r="Z15" s="32"/>
      <c r="AA15" s="30"/>
      <c r="AB15" s="1" t="s">
        <v>298</v>
      </c>
      <c r="AC15" s="93">
        <v>5000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67460</v>
      </c>
      <c r="E16" s="1"/>
      <c r="F16" s="1" t="s">
        <v>10</v>
      </c>
      <c r="G16" s="1"/>
      <c r="H16" s="5">
        <f>+H13</f>
        <v>84170</v>
      </c>
      <c r="I16" s="1"/>
      <c r="J16" s="1" t="s">
        <v>10</v>
      </c>
      <c r="K16" s="1"/>
      <c r="L16" s="5">
        <f>+L13</f>
        <v>83210</v>
      </c>
      <c r="M16" s="1"/>
      <c r="N16" s="1" t="s">
        <v>10</v>
      </c>
      <c r="O16" s="1"/>
      <c r="P16" s="5">
        <f>+P13</f>
        <v>33220</v>
      </c>
      <c r="Q16" s="1"/>
      <c r="R16" s="1" t="s">
        <v>10</v>
      </c>
      <c r="S16" s="1"/>
      <c r="T16" s="5">
        <f>+T13</f>
        <v>149636</v>
      </c>
      <c r="U16" s="1"/>
      <c r="V16" s="12"/>
      <c r="W16" s="40" t="s">
        <v>10</v>
      </c>
      <c r="X16" s="40"/>
      <c r="Y16" s="37">
        <f>+D16+H16+L16+P16+T16</f>
        <v>417696</v>
      </c>
      <c r="Z16" s="13"/>
      <c r="AA16" s="1"/>
      <c r="AB16" s="1" t="s">
        <v>297</v>
      </c>
      <c r="AC16" s="93">
        <v>15000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>
        <v>30000</v>
      </c>
      <c r="U17" s="1"/>
      <c r="V17" s="12"/>
      <c r="W17" s="40" t="s">
        <v>17</v>
      </c>
      <c r="X17" s="40"/>
      <c r="Y17" s="37">
        <f t="shared" ref="Y17:Y27" si="8">+D17+H17+L17+P17+T17</f>
        <v>30000</v>
      </c>
      <c r="Z17" s="13"/>
      <c r="AA17" s="1"/>
      <c r="AB17" s="48" t="s">
        <v>12</v>
      </c>
      <c r="AC17" s="49">
        <f>+SUM(AC12:AC16)</f>
        <v>422944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285</v>
      </c>
      <c r="C18" s="1" t="s">
        <v>286</v>
      </c>
      <c r="D18" s="5">
        <v>16362</v>
      </c>
      <c r="E18" s="1"/>
      <c r="F18" s="1" t="s">
        <v>263</v>
      </c>
      <c r="G18" s="1" t="s">
        <v>264</v>
      </c>
      <c r="H18" s="5">
        <v>3050</v>
      </c>
      <c r="I18" s="1"/>
      <c r="J18" s="1" t="s">
        <v>24</v>
      </c>
      <c r="K18" s="1"/>
      <c r="L18" s="5"/>
      <c r="M18" s="1"/>
      <c r="N18" s="1" t="s">
        <v>226</v>
      </c>
      <c r="O18" s="1" t="s">
        <v>259</v>
      </c>
      <c r="P18" s="5">
        <v>35271</v>
      </c>
      <c r="Q18" s="1"/>
      <c r="R18" s="1" t="s">
        <v>258</v>
      </c>
      <c r="S18" s="16" t="s">
        <v>257</v>
      </c>
      <c r="T18" s="77">
        <v>38500</v>
      </c>
      <c r="U18" s="1"/>
      <c r="V18" s="12"/>
      <c r="W18" s="40" t="s">
        <v>24</v>
      </c>
      <c r="X18" s="40"/>
      <c r="Y18" s="37">
        <f t="shared" si="8"/>
        <v>93183</v>
      </c>
      <c r="Z18" s="13"/>
      <c r="AA18" s="1"/>
      <c r="AB18" s="50" t="s">
        <v>25</v>
      </c>
      <c r="AC18" s="51">
        <f>+AC17-AC9</f>
        <v>1584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72</v>
      </c>
      <c r="G19" s="1" t="s">
        <v>265</v>
      </c>
      <c r="H19" s="5">
        <v>6450</v>
      </c>
      <c r="I19" s="1"/>
      <c r="J19" s="1" t="s">
        <v>27</v>
      </c>
      <c r="K19" s="1"/>
      <c r="L19" s="5"/>
      <c r="M19" s="1"/>
      <c r="N19" s="1" t="s">
        <v>107</v>
      </c>
      <c r="O19" s="1" t="s">
        <v>260</v>
      </c>
      <c r="P19" s="5">
        <v>8306</v>
      </c>
      <c r="Q19" s="1"/>
      <c r="R19" s="1" t="s">
        <v>278</v>
      </c>
      <c r="S19" s="1" t="s">
        <v>279</v>
      </c>
      <c r="T19" s="5">
        <v>11080</v>
      </c>
      <c r="U19" s="1"/>
      <c r="V19" s="12"/>
      <c r="W19" s="40" t="s">
        <v>27</v>
      </c>
      <c r="X19" s="40"/>
      <c r="Y19" s="37">
        <f t="shared" si="8"/>
        <v>25836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280</v>
      </c>
      <c r="S20" s="1" t="s">
        <v>281</v>
      </c>
      <c r="T20" s="5">
        <v>219720</v>
      </c>
      <c r="U20" s="1"/>
      <c r="V20" s="12"/>
      <c r="W20" s="40" t="s">
        <v>28</v>
      </c>
      <c r="X20" s="40"/>
      <c r="Y20" s="37">
        <f t="shared" si="8"/>
        <v>219720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283</v>
      </c>
      <c r="C23" s="1" t="s">
        <v>284</v>
      </c>
      <c r="D23" s="5">
        <v>17437</v>
      </c>
      <c r="E23" s="1"/>
      <c r="F23" s="1" t="s">
        <v>174</v>
      </c>
      <c r="G23" s="1" t="s">
        <v>287</v>
      </c>
      <c r="H23" s="5">
        <v>2262</v>
      </c>
      <c r="I23" s="1"/>
      <c r="J23" s="1" t="s">
        <v>36</v>
      </c>
      <c r="K23" s="1"/>
      <c r="L23" s="5"/>
      <c r="M23" s="1"/>
      <c r="N23" s="1" t="s">
        <v>261</v>
      </c>
      <c r="O23" s="2" t="s">
        <v>287</v>
      </c>
      <c r="P23" s="5">
        <v>1507</v>
      </c>
      <c r="Q23" s="1"/>
      <c r="R23" s="1" t="s">
        <v>269</v>
      </c>
      <c r="S23" s="1" t="s">
        <v>270</v>
      </c>
      <c r="T23" s="5">
        <v>29941</v>
      </c>
      <c r="U23" s="1"/>
      <c r="V23" s="12"/>
      <c r="W23" s="40" t="s">
        <v>36</v>
      </c>
      <c r="X23" s="40"/>
      <c r="Y23" s="37">
        <f t="shared" si="8"/>
        <v>51147</v>
      </c>
      <c r="Z23" s="13"/>
      <c r="AA23" s="1"/>
      <c r="AB23" s="64" t="s">
        <v>115</v>
      </c>
      <c r="AC23" s="73">
        <v>45890</v>
      </c>
      <c r="AD23" s="64" t="s">
        <v>169</v>
      </c>
      <c r="AE23" s="64" t="s">
        <v>170</v>
      </c>
      <c r="AF23" s="64">
        <v>1000</v>
      </c>
      <c r="AG23" s="1"/>
      <c r="AH23" s="1"/>
      <c r="AI23" s="64" t="s">
        <v>115</v>
      </c>
      <c r="AJ23" s="64" t="s">
        <v>262</v>
      </c>
      <c r="AK23" s="64" t="s">
        <v>169</v>
      </c>
      <c r="AL23" s="65">
        <v>22500</v>
      </c>
    </row>
    <row r="24" spans="2:38" ht="15.75" thickBot="1" x14ac:dyDescent="0.3">
      <c r="B24" s="1" t="s">
        <v>37</v>
      </c>
      <c r="C24" s="1"/>
      <c r="D24" s="5"/>
      <c r="E24" s="1"/>
      <c r="F24" s="1" t="s">
        <v>37</v>
      </c>
      <c r="G24" s="94" t="s">
        <v>266</v>
      </c>
      <c r="H24" s="93">
        <v>2500</v>
      </c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271</v>
      </c>
      <c r="S24" s="1" t="s">
        <v>163</v>
      </c>
      <c r="T24" s="5">
        <v>22825</v>
      </c>
      <c r="U24" s="1"/>
      <c r="V24" s="12"/>
      <c r="W24" s="40" t="s">
        <v>37</v>
      </c>
      <c r="X24" s="40"/>
      <c r="Y24" s="37">
        <f t="shared" si="8"/>
        <v>25325</v>
      </c>
      <c r="Z24" s="13"/>
      <c r="AA24" s="1"/>
      <c r="AB24" s="64" t="s">
        <v>295</v>
      </c>
      <c r="AC24" s="70">
        <v>45886</v>
      </c>
      <c r="AD24" s="64" t="s">
        <v>296</v>
      </c>
      <c r="AE24" s="64"/>
      <c r="AF24" s="64">
        <v>2664</v>
      </c>
      <c r="AG24" s="1"/>
      <c r="AH24" s="1"/>
      <c r="AI24" s="20" t="s">
        <v>115</v>
      </c>
      <c r="AJ24" s="1" t="s">
        <v>196</v>
      </c>
      <c r="AK24" s="1"/>
      <c r="AL24" s="62">
        <v>30000</v>
      </c>
    </row>
    <row r="25" spans="2:38" x14ac:dyDescent="0.25">
      <c r="B25" s="1" t="s">
        <v>38</v>
      </c>
      <c r="C25" s="1"/>
      <c r="D25" s="5"/>
      <c r="E25" s="1"/>
      <c r="F25" s="1" t="s">
        <v>267</v>
      </c>
      <c r="G25" s="1" t="s">
        <v>268</v>
      </c>
      <c r="H25" s="21">
        <v>12257</v>
      </c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272</v>
      </c>
      <c r="S25" s="1" t="s">
        <v>273</v>
      </c>
      <c r="T25" s="5">
        <v>58826</v>
      </c>
      <c r="U25" s="1"/>
      <c r="V25" s="12"/>
      <c r="W25" s="40" t="s">
        <v>38</v>
      </c>
      <c r="X25" s="40"/>
      <c r="Y25" s="37">
        <f t="shared" si="8"/>
        <v>71083</v>
      </c>
      <c r="Z25" s="13"/>
      <c r="AA25" s="1"/>
      <c r="AB25" s="1"/>
      <c r="AC25" s="1"/>
      <c r="AD25" s="1"/>
      <c r="AE25" s="1"/>
      <c r="AF25" s="1"/>
      <c r="AG25" s="1"/>
      <c r="AH25" s="1"/>
      <c r="AI25" s="64" t="s">
        <v>115</v>
      </c>
      <c r="AJ25" s="64" t="s">
        <v>288</v>
      </c>
      <c r="AK25" s="64" t="s">
        <v>292</v>
      </c>
      <c r="AL25" s="65">
        <v>51590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274</v>
      </c>
      <c r="S26" s="1" t="s">
        <v>275</v>
      </c>
      <c r="T26" s="5">
        <v>59681</v>
      </c>
      <c r="U26" s="1"/>
      <c r="V26" s="12"/>
      <c r="W26" s="40"/>
      <c r="X26" s="40"/>
      <c r="Y26" s="37">
        <f t="shared" si="8"/>
        <v>59681</v>
      </c>
      <c r="Z26" s="13"/>
      <c r="AA26" s="1"/>
      <c r="AB26" s="1"/>
      <c r="AC26" s="1"/>
      <c r="AD26" s="1"/>
      <c r="AE26" s="1"/>
      <c r="AF26" s="20"/>
      <c r="AG26" s="1"/>
      <c r="AH26" s="1"/>
      <c r="AI26" s="64" t="s">
        <v>122</v>
      </c>
      <c r="AJ26" s="64" t="s">
        <v>289</v>
      </c>
      <c r="AK26" s="64" t="s">
        <v>154</v>
      </c>
      <c r="AL26" s="69">
        <v>7950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276</v>
      </c>
      <c r="S27" s="1" t="s">
        <v>277</v>
      </c>
      <c r="T27" s="5">
        <v>81809</v>
      </c>
      <c r="U27" s="1"/>
      <c r="V27" s="12"/>
      <c r="W27" s="40"/>
      <c r="X27" s="40"/>
      <c r="Y27" s="37">
        <f t="shared" si="8"/>
        <v>81809</v>
      </c>
      <c r="Z27" s="13"/>
      <c r="AA27" s="1"/>
      <c r="AB27" s="1"/>
      <c r="AC27" s="1"/>
      <c r="AD27" s="1"/>
      <c r="AE27" s="1"/>
      <c r="AF27" s="1"/>
      <c r="AG27" s="1"/>
      <c r="AH27" s="1"/>
      <c r="AI27" s="64" t="s">
        <v>214</v>
      </c>
      <c r="AJ27" s="64" t="s">
        <v>290</v>
      </c>
      <c r="AK27" s="64" t="s">
        <v>293</v>
      </c>
      <c r="AL27" s="65">
        <v>9787</v>
      </c>
    </row>
    <row r="28" spans="2:38" ht="15.75" thickBot="1" x14ac:dyDescent="0.3">
      <c r="B28" s="99" t="s">
        <v>12</v>
      </c>
      <c r="C28" s="100"/>
      <c r="D28" s="9">
        <f>+SUM(D16:D27)</f>
        <v>101259</v>
      </c>
      <c r="E28" s="1"/>
      <c r="F28" s="99" t="s">
        <v>12</v>
      </c>
      <c r="G28" s="100"/>
      <c r="H28" s="9">
        <f>+SUM(H16:H27)</f>
        <v>110689</v>
      </c>
      <c r="I28" s="1"/>
      <c r="J28" s="99" t="s">
        <v>12</v>
      </c>
      <c r="K28" s="100"/>
      <c r="L28" s="9">
        <f>+SUM(L16:L27)</f>
        <v>83210</v>
      </c>
      <c r="M28" s="1"/>
      <c r="N28" s="99" t="s">
        <v>12</v>
      </c>
      <c r="O28" s="100"/>
      <c r="P28" s="9">
        <f>+SUM(P16:P27)</f>
        <v>78304</v>
      </c>
      <c r="Q28" s="1"/>
      <c r="R28" s="99" t="s">
        <v>12</v>
      </c>
      <c r="S28" s="100"/>
      <c r="T28" s="9">
        <f>+SUM(T16:T27)</f>
        <v>702018</v>
      </c>
      <c r="U28" s="1"/>
      <c r="V28" s="12"/>
      <c r="W28" s="99" t="s">
        <v>12</v>
      </c>
      <c r="X28" s="100"/>
      <c r="Y28" s="9">
        <f>+SUM(Y16:Y27)</f>
        <v>1075480</v>
      </c>
      <c r="Z28" s="13"/>
      <c r="AA28" s="1"/>
      <c r="AB28" s="1"/>
      <c r="AC28" s="1"/>
      <c r="AD28" s="1"/>
      <c r="AE28" s="1"/>
      <c r="AF28" s="1"/>
      <c r="AG28" s="1"/>
      <c r="AH28" s="1"/>
      <c r="AI28" s="64" t="s">
        <v>214</v>
      </c>
      <c r="AJ28" s="64" t="s">
        <v>291</v>
      </c>
      <c r="AK28" s="64" t="s">
        <v>294</v>
      </c>
      <c r="AL28" s="69">
        <v>6000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 x14ac:dyDescent="0.3">
      <c r="B30" s="101" t="s">
        <v>41</v>
      </c>
      <c r="C30" s="101"/>
      <c r="D30" s="7">
        <f>+D28-D15</f>
        <v>-1145</v>
      </c>
      <c r="E30" s="1"/>
      <c r="F30" s="101" t="s">
        <v>41</v>
      </c>
      <c r="G30" s="101"/>
      <c r="H30" s="7">
        <f>+H28-H15</f>
        <v>214</v>
      </c>
      <c r="I30" s="1"/>
      <c r="J30" s="101" t="s">
        <v>41</v>
      </c>
      <c r="K30" s="101"/>
      <c r="L30" s="7">
        <f>+L28-L15</f>
        <v>666</v>
      </c>
      <c r="M30" s="1"/>
      <c r="N30" s="101" t="s">
        <v>41</v>
      </c>
      <c r="O30" s="101"/>
      <c r="P30" s="7">
        <f>+P28-P15</f>
        <v>-3556</v>
      </c>
      <c r="Q30" s="1"/>
      <c r="R30" s="101" t="s">
        <v>41</v>
      </c>
      <c r="S30" s="101"/>
      <c r="T30" s="7">
        <f>+T28-T15</f>
        <v>-17008</v>
      </c>
      <c r="U30" s="1"/>
      <c r="V30" s="12"/>
      <c r="W30" s="102" t="s">
        <v>41</v>
      </c>
      <c r="X30" s="102"/>
      <c r="Y30" s="41">
        <f>+Y28-Y15</f>
        <v>-20829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3664</v>
      </c>
      <c r="AG31" s="1"/>
      <c r="AH31" s="1"/>
      <c r="AI31" s="60" t="s">
        <v>40</v>
      </c>
      <c r="AJ31" s="60"/>
      <c r="AK31" s="60"/>
      <c r="AL31" s="55">
        <f>+SUM(AL23:AL30)</f>
        <v>127827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>
        <v>1145</v>
      </c>
      <c r="E34" s="1"/>
      <c r="F34" s="10" t="s">
        <v>42</v>
      </c>
      <c r="G34" s="11"/>
      <c r="H34" s="21"/>
      <c r="I34" s="1"/>
      <c r="J34" s="10" t="s">
        <v>42</v>
      </c>
      <c r="K34" s="11"/>
      <c r="L34" s="21"/>
      <c r="M34" s="1"/>
      <c r="N34" s="10" t="s">
        <v>42</v>
      </c>
      <c r="O34" s="11"/>
      <c r="P34" s="21">
        <v>3556</v>
      </c>
      <c r="Q34" s="1"/>
      <c r="R34" s="10" t="s">
        <v>42</v>
      </c>
      <c r="S34" s="11"/>
      <c r="T34" s="21">
        <v>1500</v>
      </c>
      <c r="U34" s="1"/>
      <c r="V34" s="1"/>
      <c r="W34" s="42" t="s">
        <v>42</v>
      </c>
      <c r="X34" s="43"/>
      <c r="Y34" s="44">
        <f>+D34+H34+L34+P34+T34</f>
        <v>6201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282</v>
      </c>
      <c r="S35" s="16"/>
      <c r="T35" s="22">
        <v>15508</v>
      </c>
      <c r="U35" s="1"/>
      <c r="V35" s="1"/>
      <c r="W35" s="45" t="s">
        <v>43</v>
      </c>
      <c r="X35" s="40"/>
      <c r="Y35" s="46">
        <f t="shared" ref="Y35:Y36" si="9">+D35+H35+L35+P35+T35</f>
        <v>15508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/>
      <c r="E36" s="1"/>
      <c r="F36" s="12" t="s">
        <v>45</v>
      </c>
      <c r="G36" s="16"/>
      <c r="H36" s="22">
        <v>-214</v>
      </c>
      <c r="I36" s="1"/>
      <c r="J36" s="12" t="s">
        <v>45</v>
      </c>
      <c r="K36" s="16"/>
      <c r="L36" s="22">
        <v>-666</v>
      </c>
      <c r="M36" s="1"/>
      <c r="N36" s="12" t="s">
        <v>45</v>
      </c>
      <c r="O36" s="16"/>
      <c r="P36" s="22"/>
      <c r="Q36" s="1"/>
      <c r="R36" s="12" t="s">
        <v>45</v>
      </c>
      <c r="S36" s="16"/>
      <c r="T36" s="22"/>
      <c r="U36" s="1"/>
      <c r="V36" s="1"/>
      <c r="W36" s="45" t="s">
        <v>44</v>
      </c>
      <c r="X36" s="40"/>
      <c r="Y36" s="46">
        <f t="shared" si="9"/>
        <v>-880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1145</v>
      </c>
      <c r="E37" s="1"/>
      <c r="F37" s="12" t="s">
        <v>18</v>
      </c>
      <c r="G37" s="16"/>
      <c r="H37" s="22">
        <f>+SUM(H34:H36)</f>
        <v>-214</v>
      </c>
      <c r="I37" s="1"/>
      <c r="J37" s="12" t="s">
        <v>18</v>
      </c>
      <c r="K37" s="16"/>
      <c r="L37" s="22">
        <f>+SUM(L34:L36)</f>
        <v>-666</v>
      </c>
      <c r="M37" s="1"/>
      <c r="N37" s="12" t="s">
        <v>18</v>
      </c>
      <c r="O37" s="16"/>
      <c r="P37" s="22">
        <f>+SUM(P34:P36)</f>
        <v>3556</v>
      </c>
      <c r="Q37" s="1"/>
      <c r="R37" s="12" t="s">
        <v>18</v>
      </c>
      <c r="S37" s="16"/>
      <c r="T37" s="22">
        <f>+SUM(T34:T36)</f>
        <v>17008</v>
      </c>
      <c r="U37" s="1"/>
      <c r="V37" s="1"/>
      <c r="W37" s="33" t="s">
        <v>18</v>
      </c>
      <c r="X37" s="34"/>
      <c r="Y37" s="35">
        <f>+SUM(Y34:Y36)</f>
        <v>20829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0"/>
  <sheetViews>
    <sheetView zoomScale="80" zoomScaleNormal="80" workbookViewId="0">
      <selection activeCell="B30" sqref="B30:T30"/>
    </sheetView>
  </sheetViews>
  <sheetFormatPr defaultRowHeight="15" x14ac:dyDescent="0.25"/>
  <cols>
    <col min="3" max="3" width="13.5703125" bestFit="1" customWidth="1"/>
    <col min="5" max="5" width="0.5703125" customWidth="1"/>
    <col min="7" max="7" width="13.5703125" bestFit="1" customWidth="1"/>
    <col min="9" max="9" width="0.7109375" customWidth="1"/>
    <col min="13" max="13" width="0.85546875" customWidth="1"/>
    <col min="15" max="15" width="16.42578125" bestFit="1" customWidth="1"/>
    <col min="17" max="17" width="0.7109375" customWidth="1"/>
    <col min="19" max="19" width="11.7109375" bestFit="1" customWidth="1"/>
    <col min="20" max="20" width="9.5703125" bestFit="1" customWidth="1"/>
    <col min="21" max="21" width="0.7109375" customWidth="1"/>
    <col min="22" max="22" width="2" customWidth="1"/>
    <col min="25" max="25" width="10" customWidth="1"/>
    <col min="26" max="26" width="1.28515625" customWidth="1"/>
    <col min="27" max="27" width="0.85546875" customWidth="1"/>
    <col min="29" max="29" width="11.85546875" customWidth="1"/>
    <col min="34" max="34" width="0.7109375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4</v>
      </c>
      <c r="D6" s="36">
        <f>+C6*B6</f>
        <v>40</v>
      </c>
      <c r="E6" s="1"/>
      <c r="F6" s="2">
        <v>10</v>
      </c>
      <c r="G6" s="2">
        <v>7</v>
      </c>
      <c r="H6" s="36">
        <f>+G6*F6</f>
        <v>70</v>
      </c>
      <c r="I6" s="1"/>
      <c r="J6" s="2">
        <v>10</v>
      </c>
      <c r="K6" s="2">
        <v>19</v>
      </c>
      <c r="L6" s="36">
        <f>+K6*J6</f>
        <v>190</v>
      </c>
      <c r="M6" s="1"/>
      <c r="N6" s="2">
        <v>10</v>
      </c>
      <c r="O6" s="2">
        <v>18</v>
      </c>
      <c r="P6" s="36">
        <f>+O6*N6</f>
        <v>180</v>
      </c>
      <c r="Q6" s="1"/>
      <c r="R6" s="2">
        <v>10</v>
      </c>
      <c r="S6" s="2">
        <v>1</v>
      </c>
      <c r="T6" s="36">
        <f>+S6*R6</f>
        <v>10</v>
      </c>
      <c r="U6" s="1"/>
      <c r="V6" s="12"/>
      <c r="W6" s="39">
        <v>10</v>
      </c>
      <c r="X6" s="39">
        <f>+C6+G6+K6+O6+S6</f>
        <v>49</v>
      </c>
      <c r="Y6" s="37">
        <f>+D6+H6+L6+P6+T6</f>
        <v>490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 x14ac:dyDescent="0.25">
      <c r="B7" s="2">
        <v>20</v>
      </c>
      <c r="C7" s="2">
        <v>2</v>
      </c>
      <c r="D7" s="36">
        <f t="shared" ref="D7:D12" si="1">+C7*B7</f>
        <v>40</v>
      </c>
      <c r="E7" s="1"/>
      <c r="F7" s="2">
        <v>20</v>
      </c>
      <c r="G7" s="2">
        <v>2</v>
      </c>
      <c r="H7" s="36">
        <f t="shared" ref="H7:H12" si="2">+G7*F7</f>
        <v>40</v>
      </c>
      <c r="I7" s="1"/>
      <c r="J7" s="2">
        <v>20</v>
      </c>
      <c r="K7" s="2">
        <v>1</v>
      </c>
      <c r="L7" s="36">
        <f t="shared" ref="L7:L12" si="3">+K7*J7</f>
        <v>20</v>
      </c>
      <c r="M7" s="1"/>
      <c r="N7" s="2">
        <v>20</v>
      </c>
      <c r="O7" s="2">
        <v>1</v>
      </c>
      <c r="P7" s="36">
        <f t="shared" ref="P7:P12" si="4">+O7*N7</f>
        <v>20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6</v>
      </c>
      <c r="Y7" s="37">
        <f t="shared" ref="Y7:Y12" si="6">+D7+H7+L7+P7+T7</f>
        <v>120</v>
      </c>
      <c r="Z7" s="13"/>
      <c r="AA7" s="1"/>
      <c r="AB7" s="56" t="s">
        <v>10</v>
      </c>
      <c r="AC7" s="57">
        <f>Y13</f>
        <v>192060</v>
      </c>
      <c r="AD7" s="26"/>
      <c r="AE7" s="26"/>
      <c r="AF7" s="26"/>
      <c r="AG7" s="26"/>
      <c r="AH7" s="1"/>
      <c r="AI7" s="2">
        <v>10</v>
      </c>
      <c r="AJ7" s="2">
        <v>49</v>
      </c>
      <c r="AK7" s="36">
        <f t="shared" si="0"/>
        <v>490</v>
      </c>
      <c r="AL7" s="1"/>
    </row>
    <row r="8" spans="2:38" x14ac:dyDescent="0.25">
      <c r="B8" s="2">
        <v>50</v>
      </c>
      <c r="C8" s="2">
        <v>6</v>
      </c>
      <c r="D8" s="36">
        <f t="shared" si="1"/>
        <v>300</v>
      </c>
      <c r="E8" s="1"/>
      <c r="F8" s="2">
        <v>50</v>
      </c>
      <c r="G8" s="2">
        <v>4</v>
      </c>
      <c r="H8" s="36">
        <f t="shared" si="2"/>
        <v>200</v>
      </c>
      <c r="I8" s="1"/>
      <c r="J8" s="2">
        <v>50</v>
      </c>
      <c r="K8" s="2">
        <v>12</v>
      </c>
      <c r="L8" s="36">
        <f t="shared" si="3"/>
        <v>600</v>
      </c>
      <c r="M8" s="1"/>
      <c r="N8" s="2">
        <v>50</v>
      </c>
      <c r="O8" s="2">
        <v>25</v>
      </c>
      <c r="P8" s="36">
        <f t="shared" si="4"/>
        <v>1250</v>
      </c>
      <c r="Q8" s="1"/>
      <c r="R8" s="2">
        <v>50</v>
      </c>
      <c r="S8" s="2">
        <v>68</v>
      </c>
      <c r="T8" s="36">
        <f t="shared" si="5"/>
        <v>3400</v>
      </c>
      <c r="U8" s="1"/>
      <c r="V8" s="12"/>
      <c r="W8" s="39">
        <v>50</v>
      </c>
      <c r="X8" s="39">
        <f t="shared" ref="X8:X12" si="7">+C8+G8+K8+O8+S8</f>
        <v>115</v>
      </c>
      <c r="Y8" s="37">
        <f t="shared" si="6"/>
        <v>5750</v>
      </c>
      <c r="Z8" s="13"/>
      <c r="AA8" s="1"/>
      <c r="AB8" s="53" t="s">
        <v>11</v>
      </c>
      <c r="AC8" s="53">
        <f>+AF31</f>
        <v>69830</v>
      </c>
      <c r="AD8" s="1"/>
      <c r="AE8" s="1"/>
      <c r="AF8" s="1"/>
      <c r="AG8" s="1"/>
      <c r="AH8" s="1"/>
      <c r="AI8" s="2">
        <v>20</v>
      </c>
      <c r="AJ8" s="2">
        <v>6</v>
      </c>
      <c r="AK8" s="36">
        <f t="shared" si="0"/>
        <v>120</v>
      </c>
      <c r="AL8" s="1"/>
    </row>
    <row r="9" spans="2:38" ht="15.75" thickBot="1" x14ac:dyDescent="0.3">
      <c r="B9" s="2">
        <v>100</v>
      </c>
      <c r="C9" s="2">
        <v>14</v>
      </c>
      <c r="D9" s="36">
        <f t="shared" si="1"/>
        <v>1400</v>
      </c>
      <c r="E9" s="1"/>
      <c r="F9" s="2">
        <v>100</v>
      </c>
      <c r="G9" s="2">
        <v>22</v>
      </c>
      <c r="H9" s="36">
        <f t="shared" si="2"/>
        <v>2200</v>
      </c>
      <c r="I9" s="1"/>
      <c r="J9" s="2">
        <v>100</v>
      </c>
      <c r="K9" s="2">
        <v>16</v>
      </c>
      <c r="L9" s="36">
        <f t="shared" si="3"/>
        <v>1600</v>
      </c>
      <c r="M9" s="1"/>
      <c r="N9" s="2">
        <v>100</v>
      </c>
      <c r="O9" s="2">
        <v>15</v>
      </c>
      <c r="P9" s="36">
        <f t="shared" si="4"/>
        <v>1500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67</v>
      </c>
      <c r="Y9" s="37">
        <f t="shared" si="6"/>
        <v>6700</v>
      </c>
      <c r="Z9" s="13"/>
      <c r="AA9" s="1"/>
      <c r="AB9" s="58" t="s">
        <v>12</v>
      </c>
      <c r="AC9" s="59">
        <f>SUM(AC7:AC8)</f>
        <v>261890</v>
      </c>
      <c r="AD9" s="1"/>
      <c r="AE9" s="1"/>
      <c r="AF9" s="1"/>
      <c r="AG9" s="1"/>
      <c r="AH9" s="1"/>
      <c r="AI9" s="2">
        <v>50</v>
      </c>
      <c r="AJ9" s="2">
        <v>115</v>
      </c>
      <c r="AK9" s="36">
        <f t="shared" si="0"/>
        <v>5750</v>
      </c>
      <c r="AL9" s="1"/>
    </row>
    <row r="10" spans="2:38" x14ac:dyDescent="0.25">
      <c r="B10" s="2">
        <v>500</v>
      </c>
      <c r="C10" s="2">
        <v>5</v>
      </c>
      <c r="D10" s="36">
        <f t="shared" si="1"/>
        <v>2500</v>
      </c>
      <c r="E10" s="1"/>
      <c r="F10" s="2">
        <v>500</v>
      </c>
      <c r="G10" s="2">
        <v>21</v>
      </c>
      <c r="H10" s="36">
        <f t="shared" si="2"/>
        <v>10500</v>
      </c>
      <c r="I10" s="1"/>
      <c r="J10" s="2">
        <v>500</v>
      </c>
      <c r="K10" s="2">
        <v>28</v>
      </c>
      <c r="L10" s="36">
        <f t="shared" si="3"/>
        <v>14000</v>
      </c>
      <c r="M10" s="1"/>
      <c r="N10" s="2">
        <v>500</v>
      </c>
      <c r="O10" s="2">
        <v>20</v>
      </c>
      <c r="P10" s="36">
        <f t="shared" si="4"/>
        <v>10000</v>
      </c>
      <c r="Q10" s="1"/>
      <c r="R10" s="2">
        <v>500</v>
      </c>
      <c r="S10" s="2">
        <v>2</v>
      </c>
      <c r="T10" s="36">
        <f t="shared" si="5"/>
        <v>1000</v>
      </c>
      <c r="U10" s="1"/>
      <c r="V10" s="12"/>
      <c r="W10" s="39">
        <v>500</v>
      </c>
      <c r="X10" s="39">
        <f t="shared" si="7"/>
        <v>76</v>
      </c>
      <c r="Y10" s="37">
        <f t="shared" si="6"/>
        <v>38000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67</v>
      </c>
      <c r="AK10" s="36">
        <f t="shared" si="0"/>
        <v>6700</v>
      </c>
      <c r="AL10" s="1"/>
    </row>
    <row r="11" spans="2:38" x14ac:dyDescent="0.25">
      <c r="B11" s="2">
        <v>1000</v>
      </c>
      <c r="C11" s="2">
        <v>13</v>
      </c>
      <c r="D11" s="36">
        <f t="shared" si="1"/>
        <v>13000</v>
      </c>
      <c r="E11" s="1"/>
      <c r="F11" s="2">
        <v>1000</v>
      </c>
      <c r="G11" s="2">
        <v>35</v>
      </c>
      <c r="H11" s="36">
        <f t="shared" si="2"/>
        <v>35000</v>
      </c>
      <c r="I11" s="1"/>
      <c r="J11" s="2">
        <v>1000</v>
      </c>
      <c r="K11" s="2">
        <v>36</v>
      </c>
      <c r="L11" s="36">
        <f t="shared" si="3"/>
        <v>36000</v>
      </c>
      <c r="M11" s="1"/>
      <c r="N11" s="2">
        <v>1000</v>
      </c>
      <c r="O11" s="2">
        <v>23</v>
      </c>
      <c r="P11" s="36">
        <f t="shared" si="4"/>
        <v>23000</v>
      </c>
      <c r="Q11" s="1"/>
      <c r="R11" s="2">
        <v>1000</v>
      </c>
      <c r="S11" s="2">
        <v>19</v>
      </c>
      <c r="T11" s="36">
        <f t="shared" si="5"/>
        <v>19000</v>
      </c>
      <c r="U11" s="1"/>
      <c r="V11" s="12"/>
      <c r="W11" s="39">
        <v>1000</v>
      </c>
      <c r="X11" s="39">
        <f t="shared" si="7"/>
        <v>126</v>
      </c>
      <c r="Y11" s="37">
        <f t="shared" si="6"/>
        <v>126000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76</v>
      </c>
      <c r="AK11" s="36">
        <f t="shared" si="0"/>
        <v>38000</v>
      </c>
      <c r="AL11" s="1"/>
    </row>
    <row r="12" spans="2:38" x14ac:dyDescent="0.25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/>
      <c r="H12" s="36">
        <f t="shared" si="2"/>
        <v>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3</v>
      </c>
      <c r="Y12" s="37">
        <f t="shared" si="6"/>
        <v>15000</v>
      </c>
      <c r="Z12" s="13"/>
      <c r="AA12" s="1"/>
      <c r="AB12" s="1" t="s">
        <v>17</v>
      </c>
      <c r="AC12" s="5">
        <v>260150</v>
      </c>
      <c r="AD12" s="1">
        <v>1014126</v>
      </c>
      <c r="AE12" s="52">
        <v>45878</v>
      </c>
      <c r="AF12" s="1" t="s">
        <v>103</v>
      </c>
      <c r="AG12" s="1"/>
      <c r="AH12" s="1"/>
      <c r="AI12" s="2">
        <v>1000</v>
      </c>
      <c r="AJ12" s="2">
        <v>126</v>
      </c>
      <c r="AK12" s="36">
        <f t="shared" si="0"/>
        <v>126000</v>
      </c>
      <c r="AL12" s="1"/>
    </row>
    <row r="13" spans="2:38" ht="15.75" thickBot="1" x14ac:dyDescent="0.3">
      <c r="B13" s="3" t="s">
        <v>18</v>
      </c>
      <c r="C13" s="3"/>
      <c r="D13" s="6">
        <f>+SUM(D5:D12)</f>
        <v>27280</v>
      </c>
      <c r="E13" s="1"/>
      <c r="F13" s="3" t="s">
        <v>18</v>
      </c>
      <c r="G13" s="3"/>
      <c r="H13" s="6">
        <f>+SUM(H5:H12)</f>
        <v>48010</v>
      </c>
      <c r="I13" s="1"/>
      <c r="J13" s="3" t="s">
        <v>18</v>
      </c>
      <c r="K13" s="3"/>
      <c r="L13" s="6">
        <f>+SUM(L5:L12)</f>
        <v>52410</v>
      </c>
      <c r="M13" s="1"/>
      <c r="N13" s="3" t="s">
        <v>18</v>
      </c>
      <c r="O13" s="3"/>
      <c r="P13" s="6">
        <f>+SUM(P5:P12)</f>
        <v>40950</v>
      </c>
      <c r="Q13" s="1"/>
      <c r="R13" s="3" t="s">
        <v>18</v>
      </c>
      <c r="S13" s="3"/>
      <c r="T13" s="6">
        <f>+SUM(T5:T12)</f>
        <v>23410</v>
      </c>
      <c r="U13" s="1"/>
      <c r="V13" s="12"/>
      <c r="W13" s="3" t="s">
        <v>18</v>
      </c>
      <c r="X13" s="3"/>
      <c r="Y13" s="6">
        <f>+SUM(Y5:Y12)</f>
        <v>192060</v>
      </c>
      <c r="Z13" s="13"/>
      <c r="AA13" s="1"/>
      <c r="AB13" s="1" t="s">
        <v>19</v>
      </c>
      <c r="AC13" s="5">
        <v>1690</v>
      </c>
      <c r="AD13" s="1"/>
      <c r="AE13" s="1"/>
      <c r="AF13" s="1"/>
      <c r="AG13" s="1"/>
      <c r="AH13" s="1"/>
      <c r="AI13" s="2">
        <v>5000</v>
      </c>
      <c r="AJ13" s="2">
        <v>3</v>
      </c>
      <c r="AK13" s="36">
        <f t="shared" si="0"/>
        <v>15000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/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192060</v>
      </c>
      <c r="AL14" s="1"/>
    </row>
    <row r="15" spans="2:38" ht="15.75" thickBot="1" x14ac:dyDescent="0.3">
      <c r="B15" s="105" t="s">
        <v>21</v>
      </c>
      <c r="C15" s="106"/>
      <c r="D15" s="8">
        <v>37191</v>
      </c>
      <c r="E15" s="30"/>
      <c r="F15" s="105" t="s">
        <v>21</v>
      </c>
      <c r="G15" s="106"/>
      <c r="H15" s="8">
        <v>71890</v>
      </c>
      <c r="I15" s="30"/>
      <c r="J15" s="105" t="s">
        <v>21</v>
      </c>
      <c r="K15" s="106"/>
      <c r="L15" s="8">
        <v>61550</v>
      </c>
      <c r="M15" s="30"/>
      <c r="N15" s="105" t="s">
        <v>21</v>
      </c>
      <c r="O15" s="106"/>
      <c r="P15" s="8">
        <v>46506</v>
      </c>
      <c r="Q15" s="30"/>
      <c r="R15" s="105" t="s">
        <v>21</v>
      </c>
      <c r="S15" s="106"/>
      <c r="T15" s="8">
        <v>119783</v>
      </c>
      <c r="U15" s="30"/>
      <c r="V15" s="31"/>
      <c r="W15" s="105" t="s">
        <v>21</v>
      </c>
      <c r="X15" s="106"/>
      <c r="Y15" s="8">
        <f>+D15+H15+L15+P15+T15</f>
        <v>336920</v>
      </c>
      <c r="Z15" s="32"/>
      <c r="AA15" s="30"/>
      <c r="AB15" s="1"/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27280</v>
      </c>
      <c r="E16" s="1"/>
      <c r="F16" s="1" t="s">
        <v>10</v>
      </c>
      <c r="G16" s="1"/>
      <c r="H16" s="5">
        <f>+H13</f>
        <v>48010</v>
      </c>
      <c r="I16" s="1"/>
      <c r="J16" s="1" t="s">
        <v>10</v>
      </c>
      <c r="K16" s="1"/>
      <c r="L16" s="5">
        <f>+L13</f>
        <v>52410</v>
      </c>
      <c r="M16" s="1"/>
      <c r="N16" s="1" t="s">
        <v>10</v>
      </c>
      <c r="O16" s="1"/>
      <c r="P16" s="5">
        <f>+P13</f>
        <v>40950</v>
      </c>
      <c r="Q16" s="1"/>
      <c r="R16" s="1" t="s">
        <v>10</v>
      </c>
      <c r="S16" s="1"/>
      <c r="T16" s="5">
        <f>+T13</f>
        <v>23410</v>
      </c>
      <c r="U16" s="1"/>
      <c r="V16" s="12"/>
      <c r="W16" s="40" t="s">
        <v>10</v>
      </c>
      <c r="X16" s="40"/>
      <c r="Y16" s="37">
        <f>+D16+H16+L16+P16+T16</f>
        <v>192060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261840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311</v>
      </c>
      <c r="C18" s="16" t="s">
        <v>310</v>
      </c>
      <c r="D18" s="77">
        <v>7411</v>
      </c>
      <c r="E18" s="1"/>
      <c r="F18" s="1" t="s">
        <v>107</v>
      </c>
      <c r="G18" s="1" t="s">
        <v>304</v>
      </c>
      <c r="H18" s="5">
        <v>5674</v>
      </c>
      <c r="I18" s="1"/>
      <c r="J18" s="1" t="s">
        <v>302</v>
      </c>
      <c r="K18" s="1" t="s">
        <v>303</v>
      </c>
      <c r="L18" s="5">
        <v>8740</v>
      </c>
      <c r="M18" s="1"/>
      <c r="N18" s="1" t="s">
        <v>107</v>
      </c>
      <c r="O18" s="1" t="s">
        <v>300</v>
      </c>
      <c r="P18" s="5">
        <v>5564</v>
      </c>
      <c r="Q18" s="1"/>
      <c r="R18" s="1" t="s">
        <v>301</v>
      </c>
      <c r="S18" s="1" t="s">
        <v>173</v>
      </c>
      <c r="T18" s="5">
        <v>96375</v>
      </c>
      <c r="U18" s="1"/>
      <c r="V18" s="12"/>
      <c r="W18" s="40" t="s">
        <v>24</v>
      </c>
      <c r="X18" s="40"/>
      <c r="Y18" s="37">
        <f t="shared" si="8"/>
        <v>123764</v>
      </c>
      <c r="Z18" s="13"/>
      <c r="AA18" s="1"/>
      <c r="AB18" s="50" t="s">
        <v>25</v>
      </c>
      <c r="AC18" s="51">
        <f>+AC17-AC9</f>
        <v>-50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216</v>
      </c>
      <c r="G19" s="1" t="s">
        <v>305</v>
      </c>
      <c r="H19" s="5">
        <v>4500</v>
      </c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4500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94" t="s">
        <v>36</v>
      </c>
      <c r="C23" s="94" t="s">
        <v>266</v>
      </c>
      <c r="D23" s="93">
        <v>2500</v>
      </c>
      <c r="E23" s="1"/>
      <c r="F23" s="1" t="s">
        <v>306</v>
      </c>
      <c r="G23" s="1" t="s">
        <v>307</v>
      </c>
      <c r="H23" s="5">
        <v>3324</v>
      </c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5824</v>
      </c>
      <c r="Z23" s="13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62"/>
    </row>
    <row r="24" spans="2:38" x14ac:dyDescent="0.25">
      <c r="B24" s="1" t="s">
        <v>37</v>
      </c>
      <c r="C24" s="1"/>
      <c r="D24" s="5"/>
      <c r="E24" s="1"/>
      <c r="F24" s="1" t="s">
        <v>308</v>
      </c>
      <c r="G24" t="s">
        <v>309</v>
      </c>
      <c r="H24" s="1">
        <v>8765</v>
      </c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 t="e">
        <f>+D24+#REF!+L24+P24+T24</f>
        <v>#REF!</v>
      </c>
      <c r="Z24" s="13"/>
      <c r="AA24" s="1"/>
      <c r="AB24" s="78">
        <v>45905</v>
      </c>
      <c r="AC24" s="107" t="s">
        <v>312</v>
      </c>
      <c r="AD24" s="107"/>
      <c r="AE24" s="107"/>
      <c r="AF24" s="79">
        <v>54830</v>
      </c>
      <c r="AG24" s="1"/>
      <c r="AH24" s="1"/>
      <c r="AI24" s="1"/>
      <c r="AJ24" s="1"/>
      <c r="AK24" s="1"/>
      <c r="AL24" s="62"/>
    </row>
    <row r="25" spans="2:38" x14ac:dyDescent="0.25">
      <c r="B25" s="1" t="s">
        <v>38</v>
      </c>
      <c r="C25" s="1"/>
      <c r="D25" s="5"/>
      <c r="E25" s="1"/>
      <c r="F25" s="94" t="s">
        <v>38</v>
      </c>
      <c r="G25" s="94" t="s">
        <v>266</v>
      </c>
      <c r="H25" s="93">
        <v>2000</v>
      </c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2000</v>
      </c>
      <c r="Z25" s="13"/>
      <c r="AA25" s="1"/>
      <c r="AB25" s="1"/>
      <c r="AC25" s="107" t="s">
        <v>313</v>
      </c>
      <c r="AD25" s="107"/>
      <c r="AE25" s="107"/>
      <c r="AF25" s="79">
        <v>15000</v>
      </c>
      <c r="AG25" s="1"/>
      <c r="AH25" s="1"/>
      <c r="AI25" s="1"/>
      <c r="AJ25" s="1"/>
      <c r="AK25" s="1"/>
      <c r="AL25" s="62"/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1"/>
      <c r="AJ26" s="1"/>
      <c r="AK26" s="1"/>
      <c r="AL26" s="62"/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62"/>
    </row>
    <row r="28" spans="2:38" ht="15.75" thickBot="1" x14ac:dyDescent="0.3">
      <c r="B28" s="99" t="s">
        <v>12</v>
      </c>
      <c r="C28" s="100"/>
      <c r="D28" s="9">
        <f>+SUM(D16:D27)</f>
        <v>37191</v>
      </c>
      <c r="E28" s="1"/>
      <c r="F28" s="99" t="s">
        <v>12</v>
      </c>
      <c r="G28" s="100"/>
      <c r="H28" s="9">
        <f>+SUM(H16:H27)</f>
        <v>72273</v>
      </c>
      <c r="I28" s="1"/>
      <c r="J28" s="99" t="s">
        <v>12</v>
      </c>
      <c r="K28" s="100"/>
      <c r="L28" s="9">
        <f>+SUM(L16:L27)</f>
        <v>61150</v>
      </c>
      <c r="M28" s="1"/>
      <c r="N28" s="99" t="s">
        <v>12</v>
      </c>
      <c r="O28" s="100"/>
      <c r="P28" s="9">
        <f>+SUM(P16:P27)</f>
        <v>46514</v>
      </c>
      <c r="Q28" s="1"/>
      <c r="R28" s="99" t="s">
        <v>12</v>
      </c>
      <c r="S28" s="100"/>
      <c r="T28" s="9">
        <f>+SUM(T16:T27)</f>
        <v>119785</v>
      </c>
      <c r="U28" s="1"/>
      <c r="V28" s="12"/>
      <c r="W28" s="99" t="s">
        <v>12</v>
      </c>
      <c r="X28" s="100"/>
      <c r="Y28" s="9" t="e">
        <f>+SUM(Y16:Y27)</f>
        <v>#REF!</v>
      </c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2"/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 x14ac:dyDescent="0.3">
      <c r="B30" s="101" t="s">
        <v>41</v>
      </c>
      <c r="C30" s="101"/>
      <c r="D30" s="7">
        <f>+D28-D15</f>
        <v>0</v>
      </c>
      <c r="E30" s="1"/>
      <c r="F30" s="101" t="s">
        <v>41</v>
      </c>
      <c r="G30" s="101"/>
      <c r="H30" s="7">
        <f>+H28-H15</f>
        <v>383</v>
      </c>
      <c r="I30" s="1"/>
      <c r="J30" s="101" t="s">
        <v>41</v>
      </c>
      <c r="K30" s="101"/>
      <c r="L30" s="7">
        <f>+L28-L15</f>
        <v>-400</v>
      </c>
      <c r="M30" s="1"/>
      <c r="N30" s="101" t="s">
        <v>41</v>
      </c>
      <c r="O30" s="101"/>
      <c r="P30" s="7">
        <f>+P28-P15</f>
        <v>8</v>
      </c>
      <c r="Q30" s="1"/>
      <c r="R30" s="101" t="s">
        <v>41</v>
      </c>
      <c r="S30" s="101"/>
      <c r="T30" s="7">
        <f>+T28-T15</f>
        <v>2</v>
      </c>
      <c r="U30" s="1"/>
      <c r="V30" s="12"/>
      <c r="W30" s="102" t="s">
        <v>41</v>
      </c>
      <c r="X30" s="102"/>
      <c r="Y30" s="41" t="e">
        <f>+Y28-Y15</f>
        <v>#REF!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69830</v>
      </c>
      <c r="AG31" s="1"/>
      <c r="AH31" s="1"/>
      <c r="AI31" s="60" t="s">
        <v>40</v>
      </c>
      <c r="AJ31" s="60"/>
      <c r="AK31" s="60"/>
      <c r="AL31" s="55">
        <f>+SUM(AL23:AL30)</f>
        <v>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/>
      <c r="I34" s="1"/>
      <c r="J34" s="10" t="s">
        <v>42</v>
      </c>
      <c r="K34" s="11"/>
      <c r="L34" s="21">
        <v>400</v>
      </c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400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/>
      <c r="E36" s="1"/>
      <c r="F36" s="12" t="s">
        <v>45</v>
      </c>
      <c r="G36" s="16"/>
      <c r="H36" s="22">
        <v>-383</v>
      </c>
      <c r="I36" s="1"/>
      <c r="J36" s="12" t="s">
        <v>45</v>
      </c>
      <c r="K36" s="16"/>
      <c r="L36" s="22"/>
      <c r="M36" s="1"/>
      <c r="N36" s="12" t="s">
        <v>45</v>
      </c>
      <c r="O36" s="16"/>
      <c r="P36" s="22">
        <v>-8</v>
      </c>
      <c r="Q36" s="1"/>
      <c r="R36" s="12" t="s">
        <v>45</v>
      </c>
      <c r="S36" s="16"/>
      <c r="T36" s="22">
        <v>-2</v>
      </c>
      <c r="U36" s="1"/>
      <c r="V36" s="1"/>
      <c r="W36" s="45" t="s">
        <v>44</v>
      </c>
      <c r="X36" s="40"/>
      <c r="Y36" s="46">
        <f t="shared" si="9"/>
        <v>-393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0</v>
      </c>
      <c r="E37" s="1"/>
      <c r="F37" s="12" t="s">
        <v>18</v>
      </c>
      <c r="G37" s="16"/>
      <c r="H37" s="22">
        <f>+SUM(H34:H36)</f>
        <v>-383</v>
      </c>
      <c r="I37" s="1"/>
      <c r="J37" s="12" t="s">
        <v>18</v>
      </c>
      <c r="K37" s="16"/>
      <c r="L37" s="22">
        <f>+SUM(L34:L36)</f>
        <v>400</v>
      </c>
      <c r="M37" s="1"/>
      <c r="N37" s="12" t="s">
        <v>18</v>
      </c>
      <c r="O37" s="16"/>
      <c r="P37" s="22">
        <f>+SUM(P34:P36)</f>
        <v>-8</v>
      </c>
      <c r="Q37" s="1"/>
      <c r="R37" s="12" t="s">
        <v>18</v>
      </c>
      <c r="S37" s="16"/>
      <c r="T37" s="22">
        <f>+SUM(T34:T36)</f>
        <v>-2</v>
      </c>
      <c r="U37" s="1"/>
      <c r="V37" s="1"/>
      <c r="W37" s="33" t="s">
        <v>18</v>
      </c>
      <c r="X37" s="34"/>
      <c r="Y37" s="35">
        <f>+SUM(Y34:Y36)</f>
        <v>7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 t="e">
        <f>+Y30+Y37</f>
        <v>#REF!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2:38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</sheetData>
  <mergeCells count="26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AC25:AE25"/>
    <mergeCell ref="AC24:AE24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9"/>
  <sheetViews>
    <sheetView zoomScale="80" zoomScaleNormal="80" workbookViewId="0">
      <selection activeCell="B3" sqref="B3:D3"/>
    </sheetView>
  </sheetViews>
  <sheetFormatPr defaultRowHeight="15" x14ac:dyDescent="0.25"/>
  <cols>
    <col min="3" max="3" width="12.7109375" customWidth="1"/>
    <col min="5" max="5" width="1.42578125" customWidth="1"/>
    <col min="6" max="6" width="13.5703125" bestFit="1" customWidth="1"/>
    <col min="7" max="7" width="14" customWidth="1"/>
    <col min="9" max="9" width="0.85546875" customWidth="1"/>
    <col min="10" max="10" width="13.5703125" bestFit="1" customWidth="1"/>
    <col min="11" max="11" width="17.5703125" customWidth="1"/>
    <col min="13" max="13" width="1" customWidth="1"/>
    <col min="15" max="15" width="14.28515625" customWidth="1"/>
    <col min="17" max="17" width="0.28515625" customWidth="1"/>
    <col min="19" max="19" width="11.7109375" bestFit="1" customWidth="1"/>
    <col min="20" max="20" width="9.5703125" bestFit="1" customWidth="1"/>
    <col min="21" max="21" width="0.5703125" customWidth="1"/>
    <col min="22" max="22" width="1.7109375" customWidth="1"/>
    <col min="25" max="25" width="9.5703125" bestFit="1" customWidth="1"/>
    <col min="26" max="26" width="1.140625" customWidth="1"/>
    <col min="27" max="27" width="1" customWidth="1"/>
    <col min="28" max="28" width="15" bestFit="1" customWidth="1"/>
    <col min="29" max="29" width="9.85546875" bestFit="1" customWidth="1"/>
    <col min="31" max="31" width="13.5703125" bestFit="1" customWidth="1"/>
    <col min="34" max="34" width="0.28515625" customWidth="1"/>
    <col min="36" max="36" width="16.42578125" bestFit="1" customWidth="1"/>
    <col min="37" max="37" width="17.7109375" bestFit="1" customWidth="1"/>
  </cols>
  <sheetData>
    <row r="2" spans="2:38" ht="15.75" thickBot="1" x14ac:dyDescent="0.3"/>
    <row r="3" spans="2:38" x14ac:dyDescent="0.25">
      <c r="B3" s="104" t="s">
        <v>0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>
        <v>11</v>
      </c>
      <c r="D5" s="36">
        <f>+C5*B5</f>
        <v>11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11</v>
      </c>
      <c r="Y5" s="37">
        <f>+D5+H5+L5+P5+T5</f>
        <v>11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155</v>
      </c>
      <c r="D6" s="36">
        <f>+C6*B6</f>
        <v>1550</v>
      </c>
      <c r="E6" s="1"/>
      <c r="F6" s="2">
        <v>10</v>
      </c>
      <c r="G6" s="2">
        <v>13</v>
      </c>
      <c r="H6" s="36">
        <f>+G6*F6</f>
        <v>130</v>
      </c>
      <c r="I6" s="1"/>
      <c r="J6" s="2">
        <v>10</v>
      </c>
      <c r="K6" s="2">
        <v>68</v>
      </c>
      <c r="L6" s="36">
        <f>+K6*J6</f>
        <v>680</v>
      </c>
      <c r="M6" s="1"/>
      <c r="N6" s="2">
        <v>10</v>
      </c>
      <c r="O6" s="2">
        <v>4</v>
      </c>
      <c r="P6" s="36">
        <f>+O6*N6</f>
        <v>40</v>
      </c>
      <c r="Q6" s="1"/>
      <c r="R6" s="2">
        <v>10</v>
      </c>
      <c r="S6" s="2">
        <v>1</v>
      </c>
      <c r="T6" s="36">
        <f>+S6*R6</f>
        <v>10</v>
      </c>
      <c r="U6" s="1"/>
      <c r="V6" s="12"/>
      <c r="W6" s="39">
        <v>10</v>
      </c>
      <c r="X6" s="39">
        <f>+C6+G6+K6+O6+S6</f>
        <v>241</v>
      </c>
      <c r="Y6" s="37">
        <f>+D6+H6+L6+P6+T6</f>
        <v>2410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11</v>
      </c>
      <c r="AK6" s="36">
        <f t="shared" ref="AK6:AK13" si="0">+AJ6*AI6</f>
        <v>11</v>
      </c>
      <c r="AL6" s="26"/>
    </row>
    <row r="7" spans="2:38" x14ac:dyDescent="0.25">
      <c r="B7" s="2">
        <v>20</v>
      </c>
      <c r="C7" s="2">
        <v>27</v>
      </c>
      <c r="D7" s="36">
        <f t="shared" ref="D7:D12" si="1">+C7*B7</f>
        <v>540</v>
      </c>
      <c r="E7" s="1"/>
      <c r="F7" s="2">
        <v>20</v>
      </c>
      <c r="G7" s="2">
        <v>4</v>
      </c>
      <c r="H7" s="36">
        <f t="shared" ref="H7:H12" si="2">+G7*F7</f>
        <v>80</v>
      </c>
      <c r="I7" s="1"/>
      <c r="J7" s="2">
        <v>20</v>
      </c>
      <c r="K7" s="2">
        <v>9</v>
      </c>
      <c r="L7" s="36">
        <f t="shared" ref="L7:L12" si="3">+K7*J7</f>
        <v>180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40</v>
      </c>
      <c r="Y7" s="37">
        <f t="shared" ref="Y7:Y12" si="6">+D7+H7+L7+P7+T7</f>
        <v>800</v>
      </c>
      <c r="Z7" s="13"/>
      <c r="AA7" s="1"/>
      <c r="AB7" s="56" t="s">
        <v>10</v>
      </c>
      <c r="AC7" s="57">
        <f>Y13</f>
        <v>219271</v>
      </c>
      <c r="AD7" s="26"/>
      <c r="AE7" s="26"/>
      <c r="AF7" s="26"/>
      <c r="AG7" s="26"/>
      <c r="AH7" s="1"/>
      <c r="AI7" s="2">
        <v>10</v>
      </c>
      <c r="AJ7" s="2">
        <v>244</v>
      </c>
      <c r="AK7" s="36">
        <f t="shared" si="0"/>
        <v>2440</v>
      </c>
      <c r="AL7" s="1"/>
    </row>
    <row r="8" spans="2:38" x14ac:dyDescent="0.25">
      <c r="B8" s="2">
        <v>50</v>
      </c>
      <c r="C8" s="2">
        <v>2</v>
      </c>
      <c r="D8" s="36">
        <f t="shared" si="1"/>
        <v>100</v>
      </c>
      <c r="E8" s="1"/>
      <c r="F8" s="2">
        <v>50</v>
      </c>
      <c r="G8" s="2">
        <v>22</v>
      </c>
      <c r="H8" s="36">
        <f t="shared" si="2"/>
        <v>1100</v>
      </c>
      <c r="I8" s="1"/>
      <c r="J8" s="2">
        <v>50</v>
      </c>
      <c r="K8" s="2">
        <v>48</v>
      </c>
      <c r="L8" s="36">
        <f t="shared" si="3"/>
        <v>2400</v>
      </c>
      <c r="M8" s="1"/>
      <c r="N8" s="2">
        <v>50</v>
      </c>
      <c r="O8" s="2">
        <v>20</v>
      </c>
      <c r="P8" s="36">
        <f t="shared" si="4"/>
        <v>1000</v>
      </c>
      <c r="Q8" s="1"/>
      <c r="R8" s="2">
        <v>50</v>
      </c>
      <c r="S8" s="2">
        <v>3</v>
      </c>
      <c r="T8" s="36">
        <f t="shared" si="5"/>
        <v>150</v>
      </c>
      <c r="U8" s="1"/>
      <c r="V8" s="12"/>
      <c r="W8" s="39">
        <v>50</v>
      </c>
      <c r="X8" s="39">
        <f t="shared" ref="X8:X12" si="7">+C8+G8+K8+O8+S8</f>
        <v>95</v>
      </c>
      <c r="Y8" s="37">
        <f t="shared" si="6"/>
        <v>4750</v>
      </c>
      <c r="Z8" s="13"/>
      <c r="AA8" s="1"/>
      <c r="AB8" s="53" t="s">
        <v>11</v>
      </c>
      <c r="AC8" s="53">
        <f>+AF31</f>
        <v>32354</v>
      </c>
      <c r="AD8" s="1"/>
      <c r="AE8" s="1"/>
      <c r="AF8" s="1"/>
      <c r="AG8" s="1"/>
      <c r="AH8" s="1"/>
      <c r="AI8" s="2">
        <v>20</v>
      </c>
      <c r="AJ8" s="2">
        <v>43</v>
      </c>
      <c r="AK8" s="36">
        <f t="shared" si="0"/>
        <v>860</v>
      </c>
      <c r="AL8" s="1"/>
    </row>
    <row r="9" spans="2:38" ht="15.75" thickBot="1" x14ac:dyDescent="0.3">
      <c r="B9" s="2">
        <v>100</v>
      </c>
      <c r="C9" s="2">
        <v>9</v>
      </c>
      <c r="D9" s="36">
        <f t="shared" si="1"/>
        <v>900</v>
      </c>
      <c r="E9" s="1"/>
      <c r="F9" s="2">
        <v>100</v>
      </c>
      <c r="G9" s="2">
        <v>60</v>
      </c>
      <c r="H9" s="36">
        <f t="shared" si="2"/>
        <v>6000</v>
      </c>
      <c r="I9" s="1"/>
      <c r="J9" s="2">
        <v>100</v>
      </c>
      <c r="K9" s="2">
        <v>44</v>
      </c>
      <c r="L9" s="36">
        <f t="shared" si="3"/>
        <v>4400</v>
      </c>
      <c r="M9" s="1"/>
      <c r="N9" s="2">
        <v>100</v>
      </c>
      <c r="O9" s="2">
        <v>30</v>
      </c>
      <c r="P9" s="36">
        <f t="shared" si="4"/>
        <v>3000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143</v>
      </c>
      <c r="Y9" s="37">
        <f t="shared" si="6"/>
        <v>14300</v>
      </c>
      <c r="Z9" s="13"/>
      <c r="AA9" s="1"/>
      <c r="AB9" s="58" t="s">
        <v>12</v>
      </c>
      <c r="AC9" s="59">
        <f>SUM(AC7:AC8)</f>
        <v>251625</v>
      </c>
      <c r="AD9" s="1"/>
      <c r="AE9" s="1"/>
      <c r="AF9" s="1"/>
      <c r="AG9" s="1"/>
      <c r="AH9" s="1"/>
      <c r="AI9" s="2">
        <v>50</v>
      </c>
      <c r="AJ9" s="2">
        <v>100</v>
      </c>
      <c r="AK9" s="36">
        <f t="shared" si="0"/>
        <v>5000</v>
      </c>
      <c r="AL9" s="1"/>
    </row>
    <row r="10" spans="2:38" x14ac:dyDescent="0.25">
      <c r="B10" s="2">
        <v>500</v>
      </c>
      <c r="C10" s="2">
        <v>19</v>
      </c>
      <c r="D10" s="36">
        <f t="shared" si="1"/>
        <v>9500</v>
      </c>
      <c r="E10" s="1"/>
      <c r="F10" s="2">
        <v>500</v>
      </c>
      <c r="G10" s="2">
        <v>18</v>
      </c>
      <c r="H10" s="36">
        <f t="shared" si="2"/>
        <v>9000</v>
      </c>
      <c r="I10" s="1"/>
      <c r="J10" s="2">
        <v>500</v>
      </c>
      <c r="K10" s="2">
        <v>49</v>
      </c>
      <c r="L10" s="36">
        <f t="shared" si="3"/>
        <v>24500</v>
      </c>
      <c r="M10" s="1"/>
      <c r="N10" s="2">
        <v>500</v>
      </c>
      <c r="O10" s="2">
        <v>18</v>
      </c>
      <c r="P10" s="36">
        <f t="shared" si="4"/>
        <v>9000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104</v>
      </c>
      <c r="Y10" s="37">
        <f t="shared" si="6"/>
        <v>52000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218</v>
      </c>
      <c r="AK10" s="36">
        <f t="shared" si="0"/>
        <v>21800</v>
      </c>
      <c r="AL10" s="1"/>
    </row>
    <row r="11" spans="2:38" x14ac:dyDescent="0.25">
      <c r="B11" s="2">
        <v>1000</v>
      </c>
      <c r="C11" s="2">
        <v>22</v>
      </c>
      <c r="D11" s="36">
        <f t="shared" si="1"/>
        <v>22000</v>
      </c>
      <c r="E11" s="1"/>
      <c r="F11" s="2">
        <v>1000</v>
      </c>
      <c r="G11" s="2">
        <v>25</v>
      </c>
      <c r="H11" s="36">
        <f t="shared" si="2"/>
        <v>25000</v>
      </c>
      <c r="I11" s="1"/>
      <c r="J11" s="2">
        <v>1000</v>
      </c>
      <c r="K11" s="2">
        <v>24</v>
      </c>
      <c r="L11" s="36">
        <f t="shared" si="3"/>
        <v>24000</v>
      </c>
      <c r="M11" s="1"/>
      <c r="N11" s="2">
        <v>1000</v>
      </c>
      <c r="O11" s="2">
        <v>52</v>
      </c>
      <c r="P11" s="36">
        <f t="shared" si="4"/>
        <v>52000</v>
      </c>
      <c r="Q11" s="1"/>
      <c r="R11" s="2">
        <v>1000</v>
      </c>
      <c r="S11" s="2">
        <v>12</v>
      </c>
      <c r="T11" s="36">
        <f t="shared" si="5"/>
        <v>12000</v>
      </c>
      <c r="U11" s="1"/>
      <c r="V11" s="12"/>
      <c r="W11" s="39">
        <v>1000</v>
      </c>
      <c r="X11" s="39">
        <f t="shared" si="7"/>
        <v>135</v>
      </c>
      <c r="Y11" s="37">
        <f t="shared" si="6"/>
        <v>135000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115</v>
      </c>
      <c r="AK11" s="36">
        <f t="shared" si="0"/>
        <v>57500</v>
      </c>
      <c r="AL11" s="1"/>
    </row>
    <row r="12" spans="2:38" x14ac:dyDescent="0.25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/>
      <c r="H12" s="36">
        <f t="shared" si="2"/>
        <v>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2</v>
      </c>
      <c r="Y12" s="37">
        <f t="shared" si="6"/>
        <v>10000</v>
      </c>
      <c r="Z12" s="13"/>
      <c r="AA12" s="1"/>
      <c r="AB12" s="1" t="s">
        <v>17</v>
      </c>
      <c r="AC12" s="5">
        <v>251611</v>
      </c>
      <c r="AD12" s="1">
        <v>989981</v>
      </c>
      <c r="AE12" s="52">
        <v>45909</v>
      </c>
      <c r="AF12" s="1" t="s">
        <v>103</v>
      </c>
      <c r="AG12" s="1"/>
      <c r="AH12" s="1"/>
      <c r="AI12" s="2">
        <v>1000</v>
      </c>
      <c r="AJ12" s="2">
        <v>149</v>
      </c>
      <c r="AK12" s="36">
        <f t="shared" si="0"/>
        <v>149000</v>
      </c>
      <c r="AL12" s="1"/>
    </row>
    <row r="13" spans="2:38" ht="15.75" thickBot="1" x14ac:dyDescent="0.3">
      <c r="B13" s="3" t="s">
        <v>18</v>
      </c>
      <c r="C13" s="3"/>
      <c r="D13" s="6">
        <f>+SUM(D5:D12)</f>
        <v>39601</v>
      </c>
      <c r="E13" s="1"/>
      <c r="F13" s="3" t="s">
        <v>18</v>
      </c>
      <c r="G13" s="3"/>
      <c r="H13" s="6">
        <f>+SUM(H5:H12)</f>
        <v>41310</v>
      </c>
      <c r="I13" s="1"/>
      <c r="J13" s="3" t="s">
        <v>18</v>
      </c>
      <c r="K13" s="3"/>
      <c r="L13" s="6">
        <f>+SUM(L5:L12)</f>
        <v>56160</v>
      </c>
      <c r="M13" s="1"/>
      <c r="N13" s="3" t="s">
        <v>18</v>
      </c>
      <c r="O13" s="3"/>
      <c r="P13" s="6">
        <f>+SUM(P5:P12)</f>
        <v>70040</v>
      </c>
      <c r="Q13" s="1"/>
      <c r="R13" s="3" t="s">
        <v>18</v>
      </c>
      <c r="S13" s="3"/>
      <c r="T13" s="6">
        <f>+SUM(T5:T12)</f>
        <v>12160</v>
      </c>
      <c r="U13" s="1"/>
      <c r="V13" s="12"/>
      <c r="W13" s="3" t="s">
        <v>18</v>
      </c>
      <c r="X13" s="3"/>
      <c r="Y13" s="6">
        <f>+SUM(Y5:Y12)</f>
        <v>219271</v>
      </c>
      <c r="Z13" s="13"/>
      <c r="AA13" s="1"/>
      <c r="AB13" s="1" t="s">
        <v>19</v>
      </c>
      <c r="AC13" s="5">
        <v>10</v>
      </c>
      <c r="AD13" s="1"/>
      <c r="AE13" s="1"/>
      <c r="AF13" s="1"/>
      <c r="AG13" s="1"/>
      <c r="AH13" s="1"/>
      <c r="AI13" s="2">
        <v>5000</v>
      </c>
      <c r="AJ13" s="2">
        <v>3</v>
      </c>
      <c r="AK13" s="36">
        <f t="shared" si="0"/>
        <v>15000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251611</v>
      </c>
      <c r="AL14" s="1"/>
    </row>
    <row r="15" spans="2:38" ht="15.75" thickBot="1" x14ac:dyDescent="0.3">
      <c r="B15" s="105" t="s">
        <v>21</v>
      </c>
      <c r="C15" s="106"/>
      <c r="D15" s="8">
        <v>45681</v>
      </c>
      <c r="E15" s="30"/>
      <c r="F15" s="105" t="s">
        <v>21</v>
      </c>
      <c r="G15" s="106"/>
      <c r="H15" s="8">
        <v>82666</v>
      </c>
      <c r="I15" s="30"/>
      <c r="J15" s="105" t="s">
        <v>21</v>
      </c>
      <c r="K15" s="106"/>
      <c r="L15" s="8">
        <v>85825</v>
      </c>
      <c r="M15" s="30"/>
      <c r="N15" s="105" t="s">
        <v>21</v>
      </c>
      <c r="O15" s="106"/>
      <c r="P15" s="8">
        <v>73969</v>
      </c>
      <c r="Q15" s="30"/>
      <c r="R15" s="105" t="s">
        <v>21</v>
      </c>
      <c r="S15" s="106"/>
      <c r="T15" s="8">
        <v>186010</v>
      </c>
      <c r="U15" s="30"/>
      <c r="V15" s="31"/>
      <c r="W15" s="105" t="s">
        <v>21</v>
      </c>
      <c r="X15" s="106"/>
      <c r="Y15" s="8">
        <f>+D15+H15+L15+P15+T15</f>
        <v>474151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39601</v>
      </c>
      <c r="E16" s="1"/>
      <c r="F16" s="1" t="s">
        <v>10</v>
      </c>
      <c r="G16" s="1"/>
      <c r="H16" s="5">
        <f>+H13</f>
        <v>41310</v>
      </c>
      <c r="I16" s="1"/>
      <c r="J16" s="1" t="s">
        <v>10</v>
      </c>
      <c r="K16" s="1"/>
      <c r="L16" s="5">
        <f>+L13</f>
        <v>56160</v>
      </c>
      <c r="M16" s="1"/>
      <c r="N16" s="1" t="s">
        <v>10</v>
      </c>
      <c r="O16" s="1"/>
      <c r="P16" s="5">
        <f>+P13</f>
        <v>70040</v>
      </c>
      <c r="Q16" s="1"/>
      <c r="R16" s="1" t="s">
        <v>10</v>
      </c>
      <c r="S16" s="1"/>
      <c r="T16" s="5">
        <f>+T13</f>
        <v>12160</v>
      </c>
      <c r="U16" s="1"/>
      <c r="V16" s="12"/>
      <c r="W16" s="40" t="s">
        <v>10</v>
      </c>
      <c r="X16" s="40"/>
      <c r="Y16" s="37">
        <f>+D16+H16+L16+P16+T16</f>
        <v>219271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251621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322</v>
      </c>
      <c r="C18" s="1" t="s">
        <v>323</v>
      </c>
      <c r="D18" s="5">
        <v>5640</v>
      </c>
      <c r="E18" s="1"/>
      <c r="F18" s="1" t="s">
        <v>226</v>
      </c>
      <c r="G18" t="s">
        <v>329</v>
      </c>
      <c r="H18">
        <v>20820</v>
      </c>
      <c r="I18" s="1"/>
      <c r="J18" s="1" t="s">
        <v>212</v>
      </c>
      <c r="K18" s="1" t="s">
        <v>336</v>
      </c>
      <c r="L18" s="5">
        <v>9000</v>
      </c>
      <c r="M18" s="1"/>
      <c r="N18" s="1" t="s">
        <v>327</v>
      </c>
      <c r="O18" s="1" t="s">
        <v>328</v>
      </c>
      <c r="P18" s="5">
        <v>3932</v>
      </c>
      <c r="Q18" s="1"/>
      <c r="R18" s="1" t="s">
        <v>27</v>
      </c>
      <c r="U18" s="1"/>
      <c r="V18" s="12"/>
      <c r="W18" s="40" t="s">
        <v>24</v>
      </c>
      <c r="X18" s="40"/>
      <c r="Y18" s="37" t="e">
        <f>+D18+P18+L18+#REF!+#REF!</f>
        <v>#REF!</v>
      </c>
      <c r="Z18" s="13"/>
      <c r="AA18" s="1"/>
      <c r="AB18" s="50" t="s">
        <v>25</v>
      </c>
      <c r="AC18" s="51">
        <f>+AC17-AC9</f>
        <v>-4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107</v>
      </c>
      <c r="G19" s="1" t="s">
        <v>330</v>
      </c>
      <c r="H19" s="5">
        <v>9425</v>
      </c>
      <c r="I19" s="1"/>
      <c r="J19" s="1" t="s">
        <v>280</v>
      </c>
      <c r="K19" s="1" t="s">
        <v>337</v>
      </c>
      <c r="L19" s="5">
        <v>20753</v>
      </c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30178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226</v>
      </c>
      <c r="G20" s="1" t="s">
        <v>331</v>
      </c>
      <c r="H20" s="5">
        <v>4487</v>
      </c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4487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 t="s">
        <v>212</v>
      </c>
      <c r="G21" s="1" t="s">
        <v>332</v>
      </c>
      <c r="H21" s="5">
        <v>6400</v>
      </c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6400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 t="s">
        <v>326</v>
      </c>
      <c r="D23" s="5">
        <v>440</v>
      </c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316</v>
      </c>
      <c r="S23" s="1" t="s">
        <v>179</v>
      </c>
      <c r="T23" s="5">
        <v>38929</v>
      </c>
      <c r="U23" s="1"/>
      <c r="V23" s="12"/>
      <c r="W23" s="40" t="s">
        <v>36</v>
      </c>
      <c r="X23" s="40"/>
      <c r="Y23" s="37">
        <f t="shared" si="8"/>
        <v>39369</v>
      </c>
      <c r="Z23" s="13"/>
      <c r="AA23" s="1"/>
      <c r="AB23" s="64" t="s">
        <v>334</v>
      </c>
      <c r="AC23" s="76">
        <v>45907</v>
      </c>
      <c r="AD23" s="64" t="s">
        <v>333</v>
      </c>
      <c r="AE23" s="64"/>
      <c r="AF23" s="64">
        <v>3324</v>
      </c>
      <c r="AG23" s="1"/>
      <c r="AH23" s="1"/>
      <c r="AI23" s="64" t="s">
        <v>115</v>
      </c>
      <c r="AJ23" s="64" t="s">
        <v>314</v>
      </c>
      <c r="AK23" s="64" t="s">
        <v>169</v>
      </c>
      <c r="AL23" s="65">
        <v>22500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317</v>
      </c>
      <c r="S24" s="1" t="s">
        <v>318</v>
      </c>
      <c r="T24" s="5">
        <v>104724</v>
      </c>
      <c r="U24" s="1"/>
      <c r="V24" s="12"/>
      <c r="W24" s="40" t="s">
        <v>37</v>
      </c>
      <c r="X24" s="40"/>
      <c r="Y24" s="37">
        <f t="shared" si="8"/>
        <v>104724</v>
      </c>
      <c r="Z24" s="13"/>
      <c r="AA24" s="1"/>
      <c r="AB24" s="64" t="s">
        <v>335</v>
      </c>
      <c r="AC24" s="76">
        <v>45907</v>
      </c>
      <c r="AD24" s="64" t="s">
        <v>303</v>
      </c>
      <c r="AE24" s="64"/>
      <c r="AF24" s="64">
        <v>8740</v>
      </c>
      <c r="AG24" s="1"/>
      <c r="AH24" s="1"/>
      <c r="AI24" s="64" t="s">
        <v>111</v>
      </c>
      <c r="AJ24" s="64" t="s">
        <v>315</v>
      </c>
      <c r="AK24" s="64" t="s">
        <v>167</v>
      </c>
      <c r="AL24" s="65">
        <v>13673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319</v>
      </c>
      <c r="S25" s="1" t="s">
        <v>320</v>
      </c>
      <c r="T25" s="5">
        <v>30059</v>
      </c>
      <c r="U25" s="1"/>
      <c r="V25" s="12"/>
      <c r="W25" s="40" t="s">
        <v>38</v>
      </c>
      <c r="X25" s="40"/>
      <c r="Y25" s="37">
        <f t="shared" si="8"/>
        <v>30059</v>
      </c>
      <c r="Z25" s="13"/>
      <c r="AA25" s="1"/>
      <c r="AB25" s="64" t="s">
        <v>338</v>
      </c>
      <c r="AC25" s="76">
        <v>45904</v>
      </c>
      <c r="AD25" s="64" t="s">
        <v>256</v>
      </c>
      <c r="AE25" s="64"/>
      <c r="AF25" s="69">
        <v>20290</v>
      </c>
      <c r="AG25" s="1"/>
      <c r="AH25" s="1"/>
      <c r="AI25" s="64" t="s">
        <v>325</v>
      </c>
      <c r="AJ25" s="70">
        <v>45882</v>
      </c>
      <c r="AK25" s="64" t="s">
        <v>324</v>
      </c>
      <c r="AL25" s="64">
        <v>4000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64" t="s">
        <v>115</v>
      </c>
      <c r="AJ26" s="64" t="s">
        <v>348</v>
      </c>
      <c r="AK26" s="64" t="s">
        <v>339</v>
      </c>
      <c r="AL26" s="65">
        <v>47012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64" t="s">
        <v>115</v>
      </c>
      <c r="AJ27" s="64" t="s">
        <v>349</v>
      </c>
      <c r="AK27" s="64" t="s">
        <v>339</v>
      </c>
      <c r="AL27" s="69">
        <v>28442</v>
      </c>
    </row>
    <row r="28" spans="2:38" ht="15.75" thickBot="1" x14ac:dyDescent="0.3">
      <c r="B28" s="99" t="s">
        <v>12</v>
      </c>
      <c r="C28" s="100"/>
      <c r="D28" s="9">
        <f>+SUM(D16:D27)</f>
        <v>45681</v>
      </c>
      <c r="E28" s="1"/>
      <c r="F28" s="99" t="s">
        <v>12</v>
      </c>
      <c r="G28" s="100"/>
      <c r="H28" s="9">
        <f>+SUM(H16:H27)</f>
        <v>82442</v>
      </c>
      <c r="I28" s="1"/>
      <c r="J28" s="99" t="s">
        <v>12</v>
      </c>
      <c r="K28" s="100"/>
      <c r="L28" s="9">
        <f>+SUM(L16:L27)</f>
        <v>85913</v>
      </c>
      <c r="M28" s="1"/>
      <c r="N28" s="99" t="s">
        <v>12</v>
      </c>
      <c r="O28" s="100"/>
      <c r="P28" s="9">
        <f>+SUM(P16:P27)</f>
        <v>73972</v>
      </c>
      <c r="Q28" s="1"/>
      <c r="R28" s="99" t="s">
        <v>12</v>
      </c>
      <c r="S28" s="100"/>
      <c r="T28" s="9">
        <f>+SUM(T16:T27)</f>
        <v>185872</v>
      </c>
      <c r="U28" s="1"/>
      <c r="V28" s="12"/>
      <c r="W28" s="99" t="s">
        <v>12</v>
      </c>
      <c r="X28" s="100"/>
      <c r="Y28" s="9" t="e">
        <f>+SUM(Y16:Y27)</f>
        <v>#REF!</v>
      </c>
      <c r="Z28" s="13"/>
      <c r="AA28" s="1"/>
      <c r="AB28" s="1"/>
      <c r="AC28" s="1"/>
      <c r="AD28" s="1"/>
      <c r="AE28" s="1"/>
      <c r="AF28" s="1"/>
      <c r="AG28" s="1"/>
      <c r="AH28" s="1"/>
      <c r="AI28" s="64" t="s">
        <v>111</v>
      </c>
      <c r="AJ28" s="64" t="s">
        <v>350</v>
      </c>
      <c r="AK28" s="64" t="s">
        <v>87</v>
      </c>
      <c r="AL28" s="69">
        <v>18964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64" t="s">
        <v>122</v>
      </c>
      <c r="AJ29" s="64" t="s">
        <v>351</v>
      </c>
      <c r="AK29" s="64" t="s">
        <v>184</v>
      </c>
      <c r="AL29" s="65">
        <v>17400</v>
      </c>
    </row>
    <row r="30" spans="2:38" ht="15.75" thickBot="1" x14ac:dyDescent="0.3">
      <c r="B30" s="101" t="s">
        <v>41</v>
      </c>
      <c r="C30" s="101"/>
      <c r="D30" s="7">
        <f>+D28-D15</f>
        <v>0</v>
      </c>
      <c r="E30" s="1"/>
      <c r="F30" s="101" t="s">
        <v>41</v>
      </c>
      <c r="G30" s="101"/>
      <c r="H30" s="7">
        <f>+H28-H15</f>
        <v>-224</v>
      </c>
      <c r="I30" s="1"/>
      <c r="J30" s="101" t="s">
        <v>41</v>
      </c>
      <c r="K30" s="101"/>
      <c r="L30" s="7">
        <f>+L28-L15</f>
        <v>88</v>
      </c>
      <c r="M30" s="1"/>
      <c r="N30" s="101" t="s">
        <v>41</v>
      </c>
      <c r="O30" s="101"/>
      <c r="P30" s="7">
        <f>+P28-P15</f>
        <v>3</v>
      </c>
      <c r="Q30" s="1"/>
      <c r="R30" s="101" t="s">
        <v>41</v>
      </c>
      <c r="S30" s="101"/>
      <c r="T30" s="7">
        <f>+T28-T15</f>
        <v>-138</v>
      </c>
      <c r="U30" s="1"/>
      <c r="V30" s="12"/>
      <c r="W30" s="102" t="s">
        <v>41</v>
      </c>
      <c r="X30" s="102"/>
      <c r="Y30" s="41" t="e">
        <f>+Y28-Y15</f>
        <v>#REF!</v>
      </c>
      <c r="Z30" s="13"/>
      <c r="AA30" s="1"/>
      <c r="AB30" s="1"/>
      <c r="AC30" s="1"/>
      <c r="AD30" s="1"/>
      <c r="AE30" s="1"/>
      <c r="AF30" s="1"/>
      <c r="AG30" s="1"/>
      <c r="AH30" s="1"/>
      <c r="AI30" s="64" t="s">
        <v>117</v>
      </c>
      <c r="AJ30" s="64" t="s">
        <v>352</v>
      </c>
      <c r="AK30" s="64" t="s">
        <v>87</v>
      </c>
      <c r="AL30" s="69">
        <v>12611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32354</v>
      </c>
      <c r="AG31" s="1"/>
      <c r="AH31" s="1"/>
      <c r="AI31" s="64" t="s">
        <v>117</v>
      </c>
      <c r="AJ31" s="64" t="s">
        <v>353</v>
      </c>
      <c r="AK31" s="64" t="s">
        <v>340</v>
      </c>
      <c r="AL31" s="69">
        <v>15277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64" t="s">
        <v>115</v>
      </c>
      <c r="AJ32" s="64" t="s">
        <v>354</v>
      </c>
      <c r="AK32" s="64" t="s">
        <v>52</v>
      </c>
      <c r="AL32" s="65">
        <v>14475</v>
      </c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4" t="s">
        <v>117</v>
      </c>
      <c r="AJ33" s="64" t="s">
        <v>355</v>
      </c>
      <c r="AK33" s="64" t="s">
        <v>341</v>
      </c>
      <c r="AL33" s="69">
        <v>10200</v>
      </c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>
        <v>224</v>
      </c>
      <c r="I34" s="1"/>
      <c r="J34" s="10" t="s">
        <v>42</v>
      </c>
      <c r="K34" s="11"/>
      <c r="L34" s="21"/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224</v>
      </c>
      <c r="Z34" s="1"/>
      <c r="AA34" s="1"/>
      <c r="AB34" s="1"/>
      <c r="AC34" s="1"/>
      <c r="AD34" s="1"/>
      <c r="AE34" s="1"/>
      <c r="AF34" s="1"/>
      <c r="AG34" s="1"/>
      <c r="AH34" s="1"/>
      <c r="AI34" s="64" t="s">
        <v>117</v>
      </c>
      <c r="AJ34" s="64" t="s">
        <v>356</v>
      </c>
      <c r="AK34" s="64" t="s">
        <v>342</v>
      </c>
      <c r="AL34" s="69">
        <v>6247</v>
      </c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321</v>
      </c>
      <c r="S35" s="16"/>
      <c r="T35" s="22">
        <v>247</v>
      </c>
      <c r="U35" s="1"/>
      <c r="V35" s="1"/>
      <c r="W35" s="45" t="s">
        <v>43</v>
      </c>
      <c r="X35" s="40"/>
      <c r="Y35" s="46">
        <f t="shared" ref="Y35:Y36" si="9">+D35+H35+L35+P35+T35</f>
        <v>247</v>
      </c>
      <c r="Z35" s="1"/>
      <c r="AA35" s="1"/>
      <c r="AB35" s="1"/>
      <c r="AC35" s="1"/>
      <c r="AD35" s="1"/>
      <c r="AE35" s="1"/>
      <c r="AF35" s="1"/>
      <c r="AG35" s="1"/>
      <c r="AH35" s="1"/>
      <c r="AI35" s="64" t="s">
        <v>111</v>
      </c>
      <c r="AJ35" s="64" t="s">
        <v>357</v>
      </c>
      <c r="AK35" s="64" t="s">
        <v>54</v>
      </c>
      <c r="AL35" s="65">
        <v>13152</v>
      </c>
    </row>
    <row r="36" spans="2:38" x14ac:dyDescent="0.25">
      <c r="B36" s="12" t="s">
        <v>45</v>
      </c>
      <c r="C36" s="16"/>
      <c r="D36" s="22"/>
      <c r="E36" s="1"/>
      <c r="F36" s="12" t="s">
        <v>45</v>
      </c>
      <c r="G36" s="16"/>
      <c r="H36" s="22"/>
      <c r="I36" s="1"/>
      <c r="J36" s="12" t="s">
        <v>45</v>
      </c>
      <c r="K36" s="16"/>
      <c r="L36" s="22">
        <v>-88</v>
      </c>
      <c r="M36" s="1"/>
      <c r="N36" s="12" t="s">
        <v>45</v>
      </c>
      <c r="O36" s="16"/>
      <c r="P36" s="22">
        <v>-3</v>
      </c>
      <c r="Q36" s="1"/>
      <c r="R36" s="12" t="s">
        <v>45</v>
      </c>
      <c r="S36" s="16"/>
      <c r="T36" s="22">
        <v>-109</v>
      </c>
      <c r="U36" s="1"/>
      <c r="V36" s="1"/>
      <c r="W36" s="45" t="s">
        <v>44</v>
      </c>
      <c r="X36" s="40"/>
      <c r="Y36" s="46">
        <f t="shared" si="9"/>
        <v>-200</v>
      </c>
      <c r="Z36" s="1"/>
      <c r="AA36" s="1"/>
      <c r="AB36" s="1"/>
      <c r="AC36" s="1"/>
      <c r="AD36" s="1"/>
      <c r="AE36" s="1"/>
      <c r="AF36" s="1"/>
      <c r="AG36" s="1"/>
      <c r="AH36" s="1"/>
      <c r="AI36" s="64" t="s">
        <v>122</v>
      </c>
      <c r="AJ36" s="64" t="s">
        <v>358</v>
      </c>
      <c r="AK36" s="64" t="s">
        <v>147</v>
      </c>
      <c r="AL36" s="65">
        <v>2558</v>
      </c>
    </row>
    <row r="37" spans="2:38" x14ac:dyDescent="0.25">
      <c r="B37" s="12" t="s">
        <v>18</v>
      </c>
      <c r="C37" s="16"/>
      <c r="D37" s="22">
        <f>+SUM(D34:D36)</f>
        <v>0</v>
      </c>
      <c r="E37" s="1"/>
      <c r="F37" s="12" t="s">
        <v>18</v>
      </c>
      <c r="G37" s="16"/>
      <c r="H37" s="22">
        <f>+SUM(H34:H36)</f>
        <v>224</v>
      </c>
      <c r="I37" s="1"/>
      <c r="J37" s="12" t="s">
        <v>18</v>
      </c>
      <c r="K37" s="16"/>
      <c r="L37" s="22">
        <f>+SUM(L34:L36)</f>
        <v>-88</v>
      </c>
      <c r="M37" s="1"/>
      <c r="N37" s="12" t="s">
        <v>18</v>
      </c>
      <c r="O37" s="16"/>
      <c r="P37" s="22">
        <f>+SUM(P34:P36)</f>
        <v>-3</v>
      </c>
      <c r="Q37" s="1"/>
      <c r="R37" s="12" t="s">
        <v>18</v>
      </c>
      <c r="S37" s="16"/>
      <c r="T37" s="22">
        <f>+SUM(T34:T36)</f>
        <v>138</v>
      </c>
      <c r="U37" s="1"/>
      <c r="V37" s="1"/>
      <c r="W37" s="33" t="s">
        <v>18</v>
      </c>
      <c r="X37" s="34"/>
      <c r="Y37" s="35">
        <f>+SUM(Y34:Y36)</f>
        <v>271</v>
      </c>
      <c r="Z37" s="1"/>
      <c r="AA37" s="1"/>
      <c r="AB37" s="1"/>
      <c r="AC37" s="1"/>
      <c r="AD37" s="1"/>
      <c r="AE37" s="1"/>
      <c r="AF37" s="1"/>
      <c r="AG37" s="1"/>
      <c r="AH37" s="1"/>
      <c r="AI37" s="64" t="s">
        <v>117</v>
      </c>
      <c r="AJ37" s="64" t="s">
        <v>359</v>
      </c>
      <c r="AK37" s="64" t="s">
        <v>343</v>
      </c>
      <c r="AL37" s="65">
        <v>3200</v>
      </c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 t="e">
        <f>+Y30+Y37</f>
        <v>#REF!</v>
      </c>
      <c r="Z38" s="1"/>
      <c r="AA38" s="1"/>
      <c r="AB38" s="1"/>
      <c r="AC38" s="1"/>
      <c r="AD38" s="1"/>
      <c r="AE38" s="1"/>
      <c r="AF38" s="1"/>
      <c r="AG38" s="1"/>
      <c r="AH38" s="1"/>
      <c r="AI38" s="64" t="s">
        <v>111</v>
      </c>
      <c r="AJ38" s="64" t="s">
        <v>360</v>
      </c>
      <c r="AK38" s="64" t="s">
        <v>344</v>
      </c>
      <c r="AL38" s="65">
        <v>12846</v>
      </c>
    </row>
    <row r="39" spans="2:38" x14ac:dyDescent="0.25">
      <c r="AI39" s="64" t="s">
        <v>122</v>
      </c>
      <c r="AJ39" s="64" t="s">
        <v>361</v>
      </c>
      <c r="AK39" s="64" t="s">
        <v>157</v>
      </c>
      <c r="AL39" s="65">
        <v>12284</v>
      </c>
    </row>
    <row r="40" spans="2:38" x14ac:dyDescent="0.25">
      <c r="AI40" s="64" t="s">
        <v>111</v>
      </c>
      <c r="AJ40" s="64" t="s">
        <v>362</v>
      </c>
      <c r="AK40" s="64" t="s">
        <v>55</v>
      </c>
      <c r="AL40" s="65">
        <v>6325</v>
      </c>
    </row>
    <row r="41" spans="2:38" x14ac:dyDescent="0.25">
      <c r="AI41" s="64" t="s">
        <v>214</v>
      </c>
      <c r="AJ41" s="64" t="s">
        <v>363</v>
      </c>
      <c r="AK41" s="64" t="s">
        <v>154</v>
      </c>
      <c r="AL41" s="69">
        <v>6320</v>
      </c>
    </row>
    <row r="42" spans="2:38" x14ac:dyDescent="0.25">
      <c r="AI42" s="64" t="s">
        <v>214</v>
      </c>
      <c r="AJ42" s="64" t="s">
        <v>73</v>
      </c>
      <c r="AK42" s="64" t="s">
        <v>157</v>
      </c>
      <c r="AL42" s="65">
        <v>4678</v>
      </c>
    </row>
    <row r="43" spans="2:38" x14ac:dyDescent="0.25">
      <c r="AI43" s="64" t="s">
        <v>117</v>
      </c>
      <c r="AJ43" s="64" t="s">
        <v>98</v>
      </c>
      <c r="AK43" s="64" t="s">
        <v>149</v>
      </c>
      <c r="AL43" s="69">
        <v>3340</v>
      </c>
    </row>
    <row r="44" spans="2:38" x14ac:dyDescent="0.25">
      <c r="AI44" s="64" t="s">
        <v>214</v>
      </c>
      <c r="AJ44" s="64" t="s">
        <v>110</v>
      </c>
      <c r="AK44" s="64" t="s">
        <v>345</v>
      </c>
      <c r="AL44" s="65">
        <v>7526</v>
      </c>
    </row>
    <row r="45" spans="2:38" x14ac:dyDescent="0.25">
      <c r="AI45" s="64" t="s">
        <v>115</v>
      </c>
      <c r="AJ45" s="64" t="s">
        <v>364</v>
      </c>
      <c r="AK45" s="64" t="s">
        <v>346</v>
      </c>
      <c r="AL45" s="65">
        <v>77276</v>
      </c>
    </row>
    <row r="46" spans="2:38" x14ac:dyDescent="0.25">
      <c r="AI46" s="64" t="s">
        <v>115</v>
      </c>
      <c r="AJ46" s="64" t="s">
        <v>257</v>
      </c>
      <c r="AK46" s="64" t="s">
        <v>347</v>
      </c>
      <c r="AL46" s="65">
        <v>38550</v>
      </c>
    </row>
    <row r="48" spans="2:38" ht="15.75" thickBot="1" x14ac:dyDescent="0.3">
      <c r="AI48" s="60" t="s">
        <v>40</v>
      </c>
      <c r="AJ48" s="60"/>
      <c r="AK48" s="60"/>
      <c r="AL48" s="66">
        <f>+SUM(AL23:AL47)</f>
        <v>398856</v>
      </c>
    </row>
    <row r="49" ht="15.75" thickTop="1" x14ac:dyDescent="0.25"/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38"/>
  <sheetViews>
    <sheetView zoomScale="80" zoomScaleNormal="80" workbookViewId="0">
      <selection activeCell="H32" sqref="H32"/>
    </sheetView>
  </sheetViews>
  <sheetFormatPr defaultRowHeight="15" x14ac:dyDescent="0.25"/>
  <cols>
    <col min="5" max="5" width="1.140625" customWidth="1"/>
    <col min="7" max="7" width="15.140625" bestFit="1" customWidth="1"/>
    <col min="9" max="9" width="1.42578125" customWidth="1"/>
    <col min="11" max="11" width="13.5703125" customWidth="1"/>
    <col min="13" max="13" width="0.42578125" customWidth="1"/>
    <col min="15" max="15" width="14.7109375" customWidth="1"/>
    <col min="17" max="17" width="1" customWidth="1"/>
    <col min="21" max="21" width="0.7109375" customWidth="1"/>
    <col min="22" max="22" width="1.7109375" customWidth="1"/>
    <col min="25" max="25" width="9.5703125" bestFit="1" customWidth="1"/>
    <col min="26" max="26" width="3" customWidth="1"/>
    <col min="27" max="27" width="0.7109375" customWidth="1"/>
    <col min="29" max="29" width="9.85546875" bestFit="1" customWidth="1"/>
    <col min="33" max="33" width="5.5703125" customWidth="1"/>
    <col min="34" max="34" width="9.140625" hidden="1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>
        <v>18</v>
      </c>
      <c r="H5" s="36">
        <f>+G5*F5</f>
        <v>18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>
        <v>6</v>
      </c>
      <c r="P5" s="36">
        <f>+O5*N5</f>
        <v>6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24</v>
      </c>
      <c r="Y5" s="37">
        <f>+D5+H5+L5+P5+T5</f>
        <v>24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365</v>
      </c>
      <c r="D6" s="36">
        <f>+C6*B6</f>
        <v>3650</v>
      </c>
      <c r="E6" s="1"/>
      <c r="F6" s="2">
        <v>10</v>
      </c>
      <c r="G6" s="2">
        <v>86</v>
      </c>
      <c r="H6" s="36">
        <f>+G6*F6</f>
        <v>860</v>
      </c>
      <c r="I6" s="1"/>
      <c r="J6" s="2">
        <v>10</v>
      </c>
      <c r="K6" s="2">
        <v>46</v>
      </c>
      <c r="L6" s="36">
        <f>+K6*J6</f>
        <v>460</v>
      </c>
      <c r="M6" s="1"/>
      <c r="N6" s="2">
        <v>10</v>
      </c>
      <c r="O6" s="2">
        <v>111</v>
      </c>
      <c r="P6" s="36">
        <f>+O6*N6</f>
        <v>1110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608</v>
      </c>
      <c r="Y6" s="37">
        <f>+D6+H6+L6+P6+T6</f>
        <v>6080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24</v>
      </c>
      <c r="AK6" s="36">
        <f t="shared" ref="AK6:AK13" si="0">+AJ6*AI6</f>
        <v>24</v>
      </c>
      <c r="AL6" s="26"/>
    </row>
    <row r="7" spans="2:38" x14ac:dyDescent="0.25">
      <c r="B7" s="2">
        <v>20</v>
      </c>
      <c r="C7" s="2">
        <v>59</v>
      </c>
      <c r="D7" s="36">
        <f t="shared" ref="D7:D12" si="1">+C7*B7</f>
        <v>1180</v>
      </c>
      <c r="E7" s="1"/>
      <c r="F7" s="2">
        <v>20</v>
      </c>
      <c r="G7" s="2">
        <v>6</v>
      </c>
      <c r="H7" s="36">
        <f t="shared" ref="H7:H12" si="2">+G7*F7</f>
        <v>120</v>
      </c>
      <c r="I7" s="1"/>
      <c r="J7" s="2">
        <v>20</v>
      </c>
      <c r="K7" s="2">
        <v>6</v>
      </c>
      <c r="L7" s="36">
        <f t="shared" ref="L7:L12" si="3">+K7*J7</f>
        <v>120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71</v>
      </c>
      <c r="Y7" s="37">
        <f t="shared" ref="Y7:Y12" si="6">+D7+H7+L7+P7+T7</f>
        <v>1420</v>
      </c>
      <c r="Z7" s="13"/>
      <c r="AA7" s="1"/>
      <c r="AB7" s="56" t="s">
        <v>10</v>
      </c>
      <c r="AC7" s="57">
        <f>Y13</f>
        <v>282374</v>
      </c>
      <c r="AD7" s="26"/>
      <c r="AE7" s="26"/>
      <c r="AF7" s="26"/>
      <c r="AG7" s="26"/>
      <c r="AH7" s="1"/>
      <c r="AI7" s="2">
        <v>10</v>
      </c>
      <c r="AJ7" s="2">
        <v>611</v>
      </c>
      <c r="AK7" s="36">
        <f t="shared" si="0"/>
        <v>6110</v>
      </c>
      <c r="AL7" s="1"/>
    </row>
    <row r="8" spans="2:38" x14ac:dyDescent="0.25">
      <c r="B8" s="2">
        <v>50</v>
      </c>
      <c r="C8" s="2">
        <v>82</v>
      </c>
      <c r="D8" s="36">
        <f t="shared" si="1"/>
        <v>4100</v>
      </c>
      <c r="E8" s="1"/>
      <c r="F8" s="2">
        <v>50</v>
      </c>
      <c r="G8" s="2">
        <v>25</v>
      </c>
      <c r="H8" s="36">
        <f t="shared" si="2"/>
        <v>1250</v>
      </c>
      <c r="I8" s="1"/>
      <c r="J8" s="2">
        <v>50</v>
      </c>
      <c r="K8" s="2">
        <v>42</v>
      </c>
      <c r="L8" s="36">
        <f t="shared" si="3"/>
        <v>2100</v>
      </c>
      <c r="M8" s="1"/>
      <c r="N8" s="2">
        <v>50</v>
      </c>
      <c r="O8" s="2">
        <v>26</v>
      </c>
      <c r="P8" s="36">
        <f t="shared" si="4"/>
        <v>1300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175</v>
      </c>
      <c r="Y8" s="37">
        <f t="shared" si="6"/>
        <v>8750</v>
      </c>
      <c r="Z8" s="13"/>
      <c r="AA8" s="1"/>
      <c r="AB8" s="53" t="s">
        <v>11</v>
      </c>
      <c r="AC8" s="53">
        <f>+AF31</f>
        <v>102349</v>
      </c>
      <c r="AD8" s="1"/>
      <c r="AE8" s="1"/>
      <c r="AF8" s="1"/>
      <c r="AG8" s="1"/>
      <c r="AH8" s="1"/>
      <c r="AI8" s="2">
        <v>20</v>
      </c>
      <c r="AJ8" s="2">
        <v>71</v>
      </c>
      <c r="AK8" s="36">
        <f t="shared" si="0"/>
        <v>1420</v>
      </c>
      <c r="AL8" s="1"/>
    </row>
    <row r="9" spans="2:38" ht="15.75" thickBot="1" x14ac:dyDescent="0.3">
      <c r="B9" s="2">
        <v>100</v>
      </c>
      <c r="C9" s="2">
        <v>55</v>
      </c>
      <c r="D9" s="36">
        <f t="shared" si="1"/>
        <v>5500</v>
      </c>
      <c r="E9" s="1"/>
      <c r="F9" s="2">
        <v>100</v>
      </c>
      <c r="G9" s="2">
        <v>47</v>
      </c>
      <c r="H9" s="36">
        <f t="shared" si="2"/>
        <v>4700</v>
      </c>
      <c r="I9" s="1"/>
      <c r="J9" s="2">
        <v>100</v>
      </c>
      <c r="K9" s="2">
        <v>30</v>
      </c>
      <c r="L9" s="36">
        <f t="shared" si="3"/>
        <v>3000</v>
      </c>
      <c r="M9" s="1"/>
      <c r="N9" s="2">
        <v>100</v>
      </c>
      <c r="O9" s="2">
        <v>14</v>
      </c>
      <c r="P9" s="36">
        <f t="shared" si="4"/>
        <v>1400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146</v>
      </c>
      <c r="Y9" s="37">
        <f t="shared" si="6"/>
        <v>14600</v>
      </c>
      <c r="Z9" s="13"/>
      <c r="AA9" s="1"/>
      <c r="AB9" s="58" t="s">
        <v>12</v>
      </c>
      <c r="AC9" s="59">
        <f>SUM(AC7:AC8)</f>
        <v>384723</v>
      </c>
      <c r="AD9" s="1"/>
      <c r="AE9" s="1"/>
      <c r="AF9" s="1"/>
      <c r="AG9" s="1"/>
      <c r="AH9" s="1"/>
      <c r="AI9" s="2">
        <v>50</v>
      </c>
      <c r="AJ9" s="2">
        <v>186</v>
      </c>
      <c r="AK9" s="36">
        <f t="shared" si="0"/>
        <v>9300</v>
      </c>
      <c r="AL9" s="1"/>
    </row>
    <row r="10" spans="2:38" x14ac:dyDescent="0.25">
      <c r="B10" s="2">
        <v>500</v>
      </c>
      <c r="C10" s="2">
        <v>41</v>
      </c>
      <c r="D10" s="36">
        <f t="shared" si="1"/>
        <v>20500</v>
      </c>
      <c r="E10" s="1"/>
      <c r="F10" s="2">
        <v>500</v>
      </c>
      <c r="G10" s="2">
        <v>35</v>
      </c>
      <c r="H10" s="36">
        <f t="shared" si="2"/>
        <v>17500</v>
      </c>
      <c r="I10" s="1"/>
      <c r="J10" s="2">
        <v>500</v>
      </c>
      <c r="K10" s="2">
        <v>33</v>
      </c>
      <c r="L10" s="36">
        <f t="shared" si="3"/>
        <v>16500</v>
      </c>
      <c r="M10" s="1"/>
      <c r="N10" s="2">
        <v>500</v>
      </c>
      <c r="O10" s="2">
        <v>20</v>
      </c>
      <c r="P10" s="36">
        <f t="shared" si="4"/>
        <v>10000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129</v>
      </c>
      <c r="Y10" s="37">
        <f t="shared" si="6"/>
        <v>64500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148</v>
      </c>
      <c r="AK10" s="36">
        <f t="shared" si="0"/>
        <v>14800</v>
      </c>
      <c r="AL10" s="1"/>
    </row>
    <row r="11" spans="2:38" x14ac:dyDescent="0.25">
      <c r="B11" s="2">
        <v>1000</v>
      </c>
      <c r="C11" s="2">
        <v>24</v>
      </c>
      <c r="D11" s="36">
        <f t="shared" si="1"/>
        <v>24000</v>
      </c>
      <c r="E11" s="1"/>
      <c r="F11" s="2">
        <v>1000</v>
      </c>
      <c r="G11" s="2">
        <v>36</v>
      </c>
      <c r="H11" s="36">
        <f t="shared" si="2"/>
        <v>36000</v>
      </c>
      <c r="I11" s="1"/>
      <c r="J11" s="2">
        <v>1000</v>
      </c>
      <c r="K11" s="2">
        <v>50</v>
      </c>
      <c r="L11" s="36">
        <f t="shared" si="3"/>
        <v>50000</v>
      </c>
      <c r="M11" s="1"/>
      <c r="N11" s="2">
        <v>1000</v>
      </c>
      <c r="O11" s="2">
        <v>27</v>
      </c>
      <c r="P11" s="36">
        <f t="shared" si="4"/>
        <v>27000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137</v>
      </c>
      <c r="Y11" s="37">
        <f t="shared" si="6"/>
        <v>137000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330</v>
      </c>
      <c r="AK11" s="36">
        <f t="shared" si="0"/>
        <v>165000</v>
      </c>
      <c r="AL11" s="1"/>
    </row>
    <row r="12" spans="2:38" x14ac:dyDescent="0.25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3</v>
      </c>
      <c r="L12" s="36">
        <f t="shared" si="3"/>
        <v>15000</v>
      </c>
      <c r="M12" s="1"/>
      <c r="N12" s="2">
        <v>5000</v>
      </c>
      <c r="O12" s="2">
        <v>4</v>
      </c>
      <c r="P12" s="36">
        <f t="shared" si="4"/>
        <v>20000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10</v>
      </c>
      <c r="Y12" s="37">
        <f t="shared" si="6"/>
        <v>50000</v>
      </c>
      <c r="Z12" s="13"/>
      <c r="AA12" s="1"/>
      <c r="AB12" s="1" t="s">
        <v>17</v>
      </c>
      <c r="AC12" s="5">
        <v>381630</v>
      </c>
      <c r="AD12" s="1"/>
      <c r="AE12" s="52"/>
      <c r="AF12" s="1"/>
      <c r="AG12" s="1"/>
      <c r="AH12" s="1"/>
      <c r="AI12" s="2">
        <v>1000</v>
      </c>
      <c r="AJ12" s="2">
        <v>153</v>
      </c>
      <c r="AK12" s="36">
        <f t="shared" si="0"/>
        <v>153000</v>
      </c>
      <c r="AL12" s="1"/>
    </row>
    <row r="13" spans="2:38" ht="15.75" thickBot="1" x14ac:dyDescent="0.3">
      <c r="B13" s="3" t="s">
        <v>18</v>
      </c>
      <c r="C13" s="3"/>
      <c r="D13" s="6">
        <f>+SUM(D5:D12)</f>
        <v>58930</v>
      </c>
      <c r="E13" s="1"/>
      <c r="F13" s="3" t="s">
        <v>18</v>
      </c>
      <c r="G13" s="3"/>
      <c r="H13" s="6">
        <f>+SUM(H5:H12)</f>
        <v>75448</v>
      </c>
      <c r="I13" s="1"/>
      <c r="J13" s="3" t="s">
        <v>18</v>
      </c>
      <c r="K13" s="3"/>
      <c r="L13" s="6">
        <f>+SUM(L5:L12)</f>
        <v>87180</v>
      </c>
      <c r="M13" s="1"/>
      <c r="N13" s="3" t="s">
        <v>18</v>
      </c>
      <c r="O13" s="3"/>
      <c r="P13" s="6">
        <f>+SUM(P5:P12)</f>
        <v>60816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282374</v>
      </c>
      <c r="Z13" s="13"/>
      <c r="AA13" s="1"/>
      <c r="AB13" s="1" t="s">
        <v>19</v>
      </c>
      <c r="AC13" s="80">
        <v>3024</v>
      </c>
      <c r="AD13" s="1"/>
      <c r="AE13" s="1"/>
      <c r="AF13" s="1"/>
      <c r="AG13" s="1"/>
      <c r="AH13" s="1"/>
      <c r="AI13" s="2">
        <v>5000</v>
      </c>
      <c r="AJ13" s="2">
        <v>7</v>
      </c>
      <c r="AK13" s="36">
        <f t="shared" si="0"/>
        <v>35000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384654</v>
      </c>
      <c r="AL14" s="1"/>
    </row>
    <row r="15" spans="2:38" ht="15.75" thickBot="1" x14ac:dyDescent="0.3">
      <c r="B15" s="105" t="s">
        <v>21</v>
      </c>
      <c r="C15" s="106"/>
      <c r="D15" s="8">
        <v>58880</v>
      </c>
      <c r="E15" s="30"/>
      <c r="F15" s="105" t="s">
        <v>21</v>
      </c>
      <c r="G15" s="106"/>
      <c r="H15" s="8">
        <v>85952</v>
      </c>
      <c r="I15" s="30"/>
      <c r="J15" s="105" t="s">
        <v>21</v>
      </c>
      <c r="K15" s="106"/>
      <c r="L15" s="8">
        <v>105021</v>
      </c>
      <c r="M15" s="30"/>
      <c r="N15" s="105" t="s">
        <v>21</v>
      </c>
      <c r="O15" s="106"/>
      <c r="P15" s="8">
        <v>84249</v>
      </c>
      <c r="Q15" s="30"/>
      <c r="R15" s="105" t="s">
        <v>21</v>
      </c>
      <c r="S15" s="106"/>
      <c r="T15" s="8"/>
      <c r="U15" s="30"/>
      <c r="V15" s="31"/>
      <c r="W15" s="105" t="s">
        <v>21</v>
      </c>
      <c r="X15" s="106"/>
      <c r="Y15" s="8">
        <f>+D15+H15+L15+P15+T15</f>
        <v>334102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58930</v>
      </c>
      <c r="E16" s="1"/>
      <c r="F16" s="1" t="s">
        <v>10</v>
      </c>
      <c r="G16" s="1"/>
      <c r="H16" s="5">
        <f>+H13</f>
        <v>75448</v>
      </c>
      <c r="I16" s="1"/>
      <c r="J16" s="1" t="s">
        <v>10</v>
      </c>
      <c r="K16" s="1"/>
      <c r="L16" s="5">
        <f>+L13</f>
        <v>87180</v>
      </c>
      <c r="M16" s="1"/>
      <c r="N16" s="1" t="s">
        <v>10</v>
      </c>
      <c r="O16" s="1"/>
      <c r="P16" s="5">
        <f>+P13</f>
        <v>60816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282374</v>
      </c>
      <c r="Z16" s="13"/>
      <c r="AA16" s="1"/>
      <c r="AB16" s="1"/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1000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1000</v>
      </c>
      <c r="Z17" s="13"/>
      <c r="AA17" s="1"/>
      <c r="AB17" s="48" t="s">
        <v>12</v>
      </c>
      <c r="AC17" s="49">
        <f>+SUM(AC12:AC16)</f>
        <v>384654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24</v>
      </c>
      <c r="C18" s="1"/>
      <c r="D18" s="5"/>
      <c r="E18" s="1"/>
      <c r="F18" s="1" t="s">
        <v>285</v>
      </c>
      <c r="G18" s="1" t="s">
        <v>369</v>
      </c>
      <c r="H18" s="5">
        <v>3113</v>
      </c>
      <c r="I18" s="1"/>
      <c r="J18" s="1" t="s">
        <v>244</v>
      </c>
      <c r="K18" s="1" t="s">
        <v>375</v>
      </c>
      <c r="L18" s="5">
        <v>5229</v>
      </c>
      <c r="M18" s="1"/>
      <c r="N18" s="1" t="s">
        <v>365</v>
      </c>
      <c r="O18" s="1" t="s">
        <v>366</v>
      </c>
      <c r="P18" s="5">
        <v>10685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19027</v>
      </c>
      <c r="Z18" s="13"/>
      <c r="AA18" s="1"/>
      <c r="AB18" s="50" t="s">
        <v>25</v>
      </c>
      <c r="AC18" s="51">
        <f>+AC17-AC9</f>
        <v>-69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285</v>
      </c>
      <c r="G19" s="1" t="s">
        <v>370</v>
      </c>
      <c r="H19" s="5">
        <v>7409</v>
      </c>
      <c r="I19" s="1"/>
      <c r="J19" s="1" t="s">
        <v>212</v>
      </c>
      <c r="K19" s="1" t="s">
        <v>376</v>
      </c>
      <c r="L19" s="5">
        <v>7660</v>
      </c>
      <c r="M19" s="1"/>
      <c r="N19" s="1" t="s">
        <v>365</v>
      </c>
      <c r="O19" s="1" t="s">
        <v>367</v>
      </c>
      <c r="P19" s="5">
        <v>7608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22677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212</v>
      </c>
      <c r="K20" s="1" t="s">
        <v>377</v>
      </c>
      <c r="L20" s="5">
        <v>3900</v>
      </c>
      <c r="M20" s="1"/>
      <c r="N20" s="1" t="s">
        <v>365</v>
      </c>
      <c r="O20" s="1" t="s">
        <v>368</v>
      </c>
      <c r="P20" s="5">
        <v>4840</v>
      </c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8740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0</v>
      </c>
      <c r="Z23" s="13"/>
      <c r="AA23" s="1"/>
      <c r="AB23" s="64" t="s">
        <v>372</v>
      </c>
      <c r="AC23" s="70">
        <v>45899</v>
      </c>
      <c r="AD23" s="64" t="s">
        <v>371</v>
      </c>
      <c r="AE23" s="64"/>
      <c r="AF23" s="69">
        <v>51412</v>
      </c>
      <c r="AG23" s="1"/>
      <c r="AH23" s="1"/>
      <c r="AI23" s="1" t="s">
        <v>122</v>
      </c>
      <c r="AJ23" s="1" t="s">
        <v>196</v>
      </c>
      <c r="AK23" s="1"/>
      <c r="AL23" s="62">
        <v>1000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64" t="s">
        <v>374</v>
      </c>
      <c r="AC24" s="70">
        <v>45886</v>
      </c>
      <c r="AD24" s="64" t="s">
        <v>373</v>
      </c>
      <c r="AE24" s="64"/>
      <c r="AF24" s="64">
        <v>50937</v>
      </c>
      <c r="AG24" s="1"/>
      <c r="AH24" s="1"/>
      <c r="AI24" s="64" t="s">
        <v>382</v>
      </c>
      <c r="AJ24" s="64" t="s">
        <v>378</v>
      </c>
      <c r="AK24" s="64" t="s">
        <v>340</v>
      </c>
      <c r="AL24" s="65">
        <v>12783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1"/>
      <c r="AC25" s="1"/>
      <c r="AD25" s="1"/>
      <c r="AE25" s="1"/>
      <c r="AF25" s="1"/>
      <c r="AG25" s="1"/>
      <c r="AH25" s="1"/>
      <c r="AI25" s="64" t="s">
        <v>111</v>
      </c>
      <c r="AJ25" s="64" t="s">
        <v>379</v>
      </c>
      <c r="AK25" s="64" t="s">
        <v>89</v>
      </c>
      <c r="AL25" s="65">
        <v>9647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64" t="s">
        <v>122</v>
      </c>
      <c r="AJ26" s="64" t="s">
        <v>380</v>
      </c>
      <c r="AK26" s="64" t="s">
        <v>381</v>
      </c>
      <c r="AL26" s="69">
        <v>6805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64" t="s">
        <v>122</v>
      </c>
      <c r="AJ27" s="64" t="s">
        <v>101</v>
      </c>
      <c r="AK27" s="64" t="s">
        <v>51</v>
      </c>
      <c r="AL27" s="65">
        <v>7944</v>
      </c>
    </row>
    <row r="28" spans="2:38" ht="15.75" thickBot="1" x14ac:dyDescent="0.3">
      <c r="B28" s="99" t="s">
        <v>12</v>
      </c>
      <c r="C28" s="100"/>
      <c r="D28" s="9">
        <f>+SUM(D16:D27)</f>
        <v>58930</v>
      </c>
      <c r="E28" s="1"/>
      <c r="F28" s="99" t="s">
        <v>12</v>
      </c>
      <c r="G28" s="100"/>
      <c r="H28" s="9">
        <f>+SUM(H16:H27)</f>
        <v>85970</v>
      </c>
      <c r="I28" s="1"/>
      <c r="J28" s="99" t="s">
        <v>12</v>
      </c>
      <c r="K28" s="100"/>
      <c r="L28" s="9">
        <f>+SUM(L16:L27)</f>
        <v>104969</v>
      </c>
      <c r="M28" s="1"/>
      <c r="N28" s="99" t="s">
        <v>12</v>
      </c>
      <c r="O28" s="100"/>
      <c r="P28" s="9">
        <f>+SUM(P16:P27)</f>
        <v>83949</v>
      </c>
      <c r="Q28" s="1"/>
      <c r="R28" s="99" t="s">
        <v>12</v>
      </c>
      <c r="S28" s="100"/>
      <c r="T28" s="9">
        <f>+SUM(T16:T27)</f>
        <v>0</v>
      </c>
      <c r="U28" s="1"/>
      <c r="V28" s="12"/>
      <c r="W28" s="99" t="s">
        <v>12</v>
      </c>
      <c r="X28" s="100"/>
      <c r="Y28" s="9">
        <f>+SUM(Y16:Y27)</f>
        <v>333818</v>
      </c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2"/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 x14ac:dyDescent="0.3">
      <c r="B30" s="101" t="s">
        <v>41</v>
      </c>
      <c r="C30" s="101"/>
      <c r="D30" s="7">
        <f>+D28-D15</f>
        <v>50</v>
      </c>
      <c r="E30" s="1"/>
      <c r="F30" s="101" t="s">
        <v>41</v>
      </c>
      <c r="G30" s="101"/>
      <c r="H30" s="7">
        <f>+H28-H15</f>
        <v>18</v>
      </c>
      <c r="I30" s="1"/>
      <c r="J30" s="101" t="s">
        <v>41</v>
      </c>
      <c r="K30" s="101"/>
      <c r="L30" s="7">
        <f>+L28-L15</f>
        <v>-52</v>
      </c>
      <c r="M30" s="1"/>
      <c r="N30" s="101" t="s">
        <v>41</v>
      </c>
      <c r="O30" s="101"/>
      <c r="P30" s="7">
        <f>+P28-P15</f>
        <v>-300</v>
      </c>
      <c r="Q30" s="1"/>
      <c r="R30" s="101" t="s">
        <v>41</v>
      </c>
      <c r="S30" s="101"/>
      <c r="T30" s="7">
        <f>+T28-T15</f>
        <v>0</v>
      </c>
      <c r="U30" s="1"/>
      <c r="V30" s="12"/>
      <c r="W30" s="102" t="s">
        <v>41</v>
      </c>
      <c r="X30" s="102"/>
      <c r="Y30" s="41">
        <f>+Y28-Y15</f>
        <v>-284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102349</v>
      </c>
      <c r="AG31" s="1"/>
      <c r="AH31" s="1"/>
      <c r="AI31" s="60" t="s">
        <v>40</v>
      </c>
      <c r="AJ31" s="60"/>
      <c r="AK31" s="60"/>
      <c r="AL31" s="55">
        <f>+SUM(AL23:AL30)</f>
        <v>38179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/>
      <c r="I34" s="1"/>
      <c r="J34" s="10" t="s">
        <v>42</v>
      </c>
      <c r="K34" s="11"/>
      <c r="L34" s="21">
        <v>52</v>
      </c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52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282</v>
      </c>
      <c r="O35" s="16"/>
      <c r="P35" s="22">
        <v>300</v>
      </c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300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>
        <v>-50</v>
      </c>
      <c r="E36" s="1"/>
      <c r="F36" s="12" t="s">
        <v>45</v>
      </c>
      <c r="G36" s="16"/>
      <c r="H36" s="22">
        <v>-18</v>
      </c>
      <c r="I36" s="1"/>
      <c r="J36" s="12" t="s">
        <v>45</v>
      </c>
      <c r="K36" s="16"/>
      <c r="L36" s="22"/>
      <c r="M36" s="1"/>
      <c r="N36" s="12" t="s">
        <v>45</v>
      </c>
      <c r="O36" s="16"/>
      <c r="P36" s="22"/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-68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-50</v>
      </c>
      <c r="E37" s="1"/>
      <c r="F37" s="12" t="s">
        <v>18</v>
      </c>
      <c r="G37" s="16"/>
      <c r="H37" s="22">
        <f>+SUM(H34:H36)</f>
        <v>-18</v>
      </c>
      <c r="I37" s="1"/>
      <c r="J37" s="12" t="s">
        <v>18</v>
      </c>
      <c r="K37" s="16"/>
      <c r="L37" s="22">
        <f>+SUM(L34:L36)</f>
        <v>52</v>
      </c>
      <c r="M37" s="1"/>
      <c r="N37" s="12" t="s">
        <v>18</v>
      </c>
      <c r="O37" s="16"/>
      <c r="P37" s="22">
        <f>+SUM(P34:P36)</f>
        <v>300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284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38"/>
  <sheetViews>
    <sheetView tabSelected="1" zoomScale="80" zoomScaleNormal="80" workbookViewId="0">
      <selection activeCell="AC17" sqref="AC17"/>
    </sheetView>
  </sheetViews>
  <sheetFormatPr defaultRowHeight="15" x14ac:dyDescent="0.25"/>
  <cols>
    <col min="5" max="5" width="1" customWidth="1"/>
    <col min="9" max="9" width="1" customWidth="1"/>
    <col min="10" max="10" width="13.5703125" bestFit="1" customWidth="1"/>
    <col min="11" max="11" width="13.140625" bestFit="1" customWidth="1"/>
    <col min="13" max="13" width="0.7109375" customWidth="1"/>
    <col min="15" max="15" width="16" bestFit="1" customWidth="1"/>
    <col min="17" max="17" width="0.7109375" customWidth="1"/>
    <col min="21" max="21" width="0.5703125" customWidth="1"/>
    <col min="22" max="22" width="1.5703125" customWidth="1"/>
    <col min="25" max="25" width="9.5703125" bestFit="1" customWidth="1"/>
    <col min="26" max="26" width="1.42578125" customWidth="1"/>
    <col min="27" max="27" width="0.42578125" customWidth="1"/>
    <col min="29" max="29" width="11.28515625" bestFit="1" customWidth="1"/>
    <col min="30" max="30" width="15.5703125" bestFit="1" customWidth="1"/>
    <col min="31" max="31" width="13.5703125" bestFit="1" customWidth="1"/>
    <col min="33" max="33" width="4" customWidth="1"/>
    <col min="34" max="34" width="9.140625" hidden="1" customWidth="1"/>
    <col min="36" max="36" width="14.7109375" bestFit="1" customWidth="1"/>
    <col min="37" max="37" width="17.7109375" bestFit="1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>
        <v>42</v>
      </c>
      <c r="D5" s="36">
        <f>+C5*B5</f>
        <v>42</v>
      </c>
      <c r="E5" s="26"/>
      <c r="F5" s="29">
        <v>1</v>
      </c>
      <c r="G5" s="29">
        <v>16</v>
      </c>
      <c r="H5" s="36">
        <f>+G5*F5</f>
        <v>16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58</v>
      </c>
      <c r="Y5" s="37">
        <f>+D5+H5+L5+P5+T5</f>
        <v>58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15</v>
      </c>
      <c r="D6" s="36">
        <f>+C6*B6</f>
        <v>150</v>
      </c>
      <c r="E6" s="1"/>
      <c r="F6" s="2">
        <v>10</v>
      </c>
      <c r="G6" s="2">
        <v>30</v>
      </c>
      <c r="H6" s="36">
        <f>+G6*F6</f>
        <v>300</v>
      </c>
      <c r="I6" s="1"/>
      <c r="J6" s="2">
        <v>10</v>
      </c>
      <c r="K6" s="2">
        <v>65</v>
      </c>
      <c r="L6" s="36">
        <f>+K6*J6</f>
        <v>650</v>
      </c>
      <c r="M6" s="1"/>
      <c r="N6" s="2">
        <v>10</v>
      </c>
      <c r="O6" s="2">
        <v>213</v>
      </c>
      <c r="P6" s="36">
        <f>+O6*N6</f>
        <v>2130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323</v>
      </c>
      <c r="Y6" s="37">
        <f>+D6+H6+L6+P6+T6</f>
        <v>3230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58</v>
      </c>
      <c r="AK6" s="36">
        <f t="shared" ref="AK6:AK13" si="0">+AJ6*AI6</f>
        <v>58</v>
      </c>
      <c r="AL6" s="26"/>
    </row>
    <row r="7" spans="2:38" x14ac:dyDescent="0.25">
      <c r="B7" s="2">
        <v>20</v>
      </c>
      <c r="C7" s="2">
        <v>4</v>
      </c>
      <c r="D7" s="36">
        <f t="shared" ref="D7:D12" si="1">+C7*B7</f>
        <v>80</v>
      </c>
      <c r="E7" s="1"/>
      <c r="F7" s="2">
        <v>20</v>
      </c>
      <c r="G7" s="2">
        <v>7</v>
      </c>
      <c r="H7" s="36">
        <f t="shared" ref="H7:H12" si="2">+G7*F7</f>
        <v>140</v>
      </c>
      <c r="I7" s="1"/>
      <c r="J7" s="2">
        <v>20</v>
      </c>
      <c r="K7" s="2">
        <v>18</v>
      </c>
      <c r="L7" s="36">
        <f t="shared" ref="L7:L12" si="3">+K7*J7</f>
        <v>360</v>
      </c>
      <c r="M7" s="1"/>
      <c r="N7" s="2">
        <v>20</v>
      </c>
      <c r="O7" s="2">
        <v>10</v>
      </c>
      <c r="P7" s="36">
        <f t="shared" ref="P7:P12" si="4">+O7*N7</f>
        <v>200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39</v>
      </c>
      <c r="Y7" s="37">
        <f t="shared" ref="Y7:Y12" si="6">+D7+H7+L7+P7+T7</f>
        <v>780</v>
      </c>
      <c r="Z7" s="13"/>
      <c r="AA7" s="1"/>
      <c r="AB7" s="56" t="s">
        <v>10</v>
      </c>
      <c r="AC7" s="57">
        <f>Y13</f>
        <v>237768</v>
      </c>
      <c r="AD7" s="26"/>
      <c r="AE7" s="26"/>
      <c r="AF7" s="26"/>
      <c r="AG7" s="26"/>
      <c r="AH7" s="1"/>
      <c r="AI7" s="2">
        <v>10</v>
      </c>
      <c r="AJ7" s="2">
        <v>329</v>
      </c>
      <c r="AK7" s="36">
        <f t="shared" si="0"/>
        <v>3290</v>
      </c>
      <c r="AL7" s="1"/>
    </row>
    <row r="8" spans="2:38" x14ac:dyDescent="0.25">
      <c r="B8" s="2">
        <v>50</v>
      </c>
      <c r="C8" s="2">
        <v>39</v>
      </c>
      <c r="D8" s="36">
        <f t="shared" si="1"/>
        <v>1950</v>
      </c>
      <c r="E8" s="1"/>
      <c r="F8" s="2">
        <v>50</v>
      </c>
      <c r="G8" s="2">
        <v>64</v>
      </c>
      <c r="H8" s="36">
        <f t="shared" si="2"/>
        <v>3200</v>
      </c>
      <c r="I8" s="1"/>
      <c r="J8" s="2">
        <v>50</v>
      </c>
      <c r="K8" s="2">
        <v>63</v>
      </c>
      <c r="L8" s="36">
        <f t="shared" si="3"/>
        <v>3150</v>
      </c>
      <c r="M8" s="1"/>
      <c r="N8" s="2">
        <v>50</v>
      </c>
      <c r="O8" s="2">
        <v>26</v>
      </c>
      <c r="P8" s="36">
        <f t="shared" si="4"/>
        <v>1300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192</v>
      </c>
      <c r="Y8" s="37">
        <f t="shared" si="6"/>
        <v>9600</v>
      </c>
      <c r="Z8" s="13"/>
      <c r="AA8" s="1"/>
      <c r="AB8" s="53" t="s">
        <v>11</v>
      </c>
      <c r="AC8" s="53">
        <f>+AF35</f>
        <v>681000</v>
      </c>
      <c r="AD8" s="1"/>
      <c r="AE8" s="1"/>
      <c r="AF8" s="1"/>
      <c r="AG8" s="1"/>
      <c r="AH8" s="1"/>
      <c r="AI8" s="2">
        <v>20</v>
      </c>
      <c r="AJ8" s="2">
        <v>42</v>
      </c>
      <c r="AK8" s="36">
        <f t="shared" si="0"/>
        <v>840</v>
      </c>
      <c r="AL8" s="1"/>
    </row>
    <row r="9" spans="2:38" ht="15.75" thickBot="1" x14ac:dyDescent="0.3">
      <c r="B9" s="2">
        <v>100</v>
      </c>
      <c r="C9" s="2">
        <v>103</v>
      </c>
      <c r="D9" s="36">
        <f t="shared" si="1"/>
        <v>10300</v>
      </c>
      <c r="E9" s="1"/>
      <c r="F9" s="2">
        <v>100</v>
      </c>
      <c r="G9" s="2">
        <v>82</v>
      </c>
      <c r="H9" s="36">
        <f t="shared" si="2"/>
        <v>8200</v>
      </c>
      <c r="I9" s="1"/>
      <c r="J9" s="2">
        <v>100</v>
      </c>
      <c r="K9" s="2">
        <v>70</v>
      </c>
      <c r="L9" s="36">
        <f t="shared" si="3"/>
        <v>7000</v>
      </c>
      <c r="M9" s="1"/>
      <c r="N9" s="2">
        <v>100</v>
      </c>
      <c r="O9" s="2">
        <v>1</v>
      </c>
      <c r="P9" s="36">
        <f t="shared" si="4"/>
        <v>100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256</v>
      </c>
      <c r="Y9" s="37">
        <f t="shared" si="6"/>
        <v>25600</v>
      </c>
      <c r="Z9" s="13"/>
      <c r="AA9" s="1"/>
      <c r="AB9" s="58" t="s">
        <v>12</v>
      </c>
      <c r="AC9" s="59">
        <f>SUM(AC7:AC8)</f>
        <v>918768</v>
      </c>
      <c r="AD9" s="1"/>
      <c r="AE9" s="1"/>
      <c r="AF9" s="1"/>
      <c r="AG9" s="1"/>
      <c r="AH9" s="1"/>
      <c r="AI9" s="2">
        <v>50</v>
      </c>
      <c r="AJ9" s="2">
        <v>194</v>
      </c>
      <c r="AK9" s="36">
        <f t="shared" si="0"/>
        <v>9700</v>
      </c>
      <c r="AL9" s="1"/>
    </row>
    <row r="10" spans="2:38" x14ac:dyDescent="0.25">
      <c r="B10" s="2">
        <v>500</v>
      </c>
      <c r="C10" s="2">
        <v>27</v>
      </c>
      <c r="D10" s="36">
        <f t="shared" si="1"/>
        <v>13500</v>
      </c>
      <c r="E10" s="1"/>
      <c r="F10" s="2">
        <v>500</v>
      </c>
      <c r="G10" s="2">
        <v>38</v>
      </c>
      <c r="H10" s="36">
        <f t="shared" si="2"/>
        <v>19000</v>
      </c>
      <c r="I10" s="1"/>
      <c r="J10" s="2">
        <v>500</v>
      </c>
      <c r="K10" s="2">
        <v>27</v>
      </c>
      <c r="L10" s="36">
        <f t="shared" si="3"/>
        <v>13500</v>
      </c>
      <c r="M10" s="1"/>
      <c r="N10" s="2">
        <v>500</v>
      </c>
      <c r="O10" s="2">
        <v>25</v>
      </c>
      <c r="P10" s="36">
        <f t="shared" si="4"/>
        <v>12500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117</v>
      </c>
      <c r="Y10" s="37">
        <f t="shared" si="6"/>
        <v>58500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274</v>
      </c>
      <c r="AK10" s="36">
        <f t="shared" si="0"/>
        <v>27400</v>
      </c>
      <c r="AL10" s="1"/>
    </row>
    <row r="11" spans="2:38" x14ac:dyDescent="0.25">
      <c r="B11" s="2">
        <v>1000</v>
      </c>
      <c r="C11" s="2">
        <v>22</v>
      </c>
      <c r="D11" s="36">
        <f t="shared" si="1"/>
        <v>22000</v>
      </c>
      <c r="E11" s="1"/>
      <c r="F11" s="2">
        <v>1000</v>
      </c>
      <c r="G11" s="2">
        <v>37</v>
      </c>
      <c r="H11" s="36">
        <f t="shared" si="2"/>
        <v>37000</v>
      </c>
      <c r="I11" s="1"/>
      <c r="J11" s="2">
        <v>1000</v>
      </c>
      <c r="K11" s="2">
        <v>29</v>
      </c>
      <c r="L11" s="36">
        <f t="shared" si="3"/>
        <v>29000</v>
      </c>
      <c r="M11" s="1"/>
      <c r="N11" s="2">
        <v>1000</v>
      </c>
      <c r="O11" s="2">
        <v>27</v>
      </c>
      <c r="P11" s="36">
        <f t="shared" si="4"/>
        <v>27000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115</v>
      </c>
      <c r="Y11" s="37">
        <f t="shared" si="6"/>
        <v>115000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377</v>
      </c>
      <c r="AK11" s="36">
        <f t="shared" si="0"/>
        <v>188500</v>
      </c>
      <c r="AL11" s="1"/>
    </row>
    <row r="12" spans="2:38" x14ac:dyDescent="0.25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5</v>
      </c>
      <c r="Y12" s="37">
        <f t="shared" si="6"/>
        <v>25000</v>
      </c>
      <c r="Z12" s="13"/>
      <c r="AA12" s="1"/>
      <c r="AB12" s="1" t="s">
        <v>17</v>
      </c>
      <c r="AC12" s="5">
        <v>909690</v>
      </c>
      <c r="AD12" s="1">
        <v>989794</v>
      </c>
      <c r="AE12" s="52">
        <v>46000</v>
      </c>
      <c r="AF12" s="1" t="s">
        <v>103</v>
      </c>
      <c r="AG12" s="1"/>
      <c r="AH12" s="1"/>
      <c r="AI12" s="2">
        <v>1000</v>
      </c>
      <c r="AJ12" s="2">
        <v>503</v>
      </c>
      <c r="AK12" s="36">
        <f t="shared" si="0"/>
        <v>503000</v>
      </c>
      <c r="AL12" s="1"/>
    </row>
    <row r="13" spans="2:38" ht="15.75" thickBot="1" x14ac:dyDescent="0.3">
      <c r="B13" s="3" t="s">
        <v>18</v>
      </c>
      <c r="C13" s="3"/>
      <c r="D13" s="6">
        <f>+SUM(D5:D12)</f>
        <v>48022</v>
      </c>
      <c r="E13" s="1"/>
      <c r="F13" s="3" t="s">
        <v>18</v>
      </c>
      <c r="G13" s="3"/>
      <c r="H13" s="6">
        <f>+SUM(H5:H12)</f>
        <v>72856</v>
      </c>
      <c r="I13" s="1"/>
      <c r="J13" s="3" t="s">
        <v>18</v>
      </c>
      <c r="K13" s="3"/>
      <c r="L13" s="6">
        <f>+SUM(L5:L12)</f>
        <v>58660</v>
      </c>
      <c r="M13" s="1"/>
      <c r="N13" s="3" t="s">
        <v>18</v>
      </c>
      <c r="O13" s="3"/>
      <c r="P13" s="6">
        <f>+SUM(P5:P12)</f>
        <v>58230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237768</v>
      </c>
      <c r="Z13" s="13"/>
      <c r="AA13" s="1"/>
      <c r="AB13" s="1" t="s">
        <v>19</v>
      </c>
      <c r="AC13" s="5">
        <v>3098</v>
      </c>
      <c r="AD13" s="1"/>
      <c r="AE13" s="1"/>
      <c r="AF13" s="1"/>
      <c r="AG13" s="1"/>
      <c r="AH13" s="1"/>
      <c r="AI13" s="2">
        <v>5000</v>
      </c>
      <c r="AJ13" s="2">
        <v>36</v>
      </c>
      <c r="AK13" s="36">
        <f t="shared" si="0"/>
        <v>180000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912788</v>
      </c>
      <c r="AL14" s="1"/>
    </row>
    <row r="15" spans="2:38" ht="15.75" thickBot="1" x14ac:dyDescent="0.3">
      <c r="B15" s="105" t="s">
        <v>21</v>
      </c>
      <c r="C15" s="106"/>
      <c r="D15" s="8">
        <v>47783</v>
      </c>
      <c r="E15" s="30"/>
      <c r="F15" s="105" t="s">
        <v>21</v>
      </c>
      <c r="G15" s="106"/>
      <c r="H15" s="8">
        <v>79092</v>
      </c>
      <c r="I15" s="30"/>
      <c r="J15" s="105" t="s">
        <v>21</v>
      </c>
      <c r="K15" s="106"/>
      <c r="L15" s="8">
        <v>74417</v>
      </c>
      <c r="M15" s="30"/>
      <c r="N15" s="105" t="s">
        <v>21</v>
      </c>
      <c r="O15" s="106"/>
      <c r="P15" s="8">
        <v>66688</v>
      </c>
      <c r="Q15" s="30"/>
      <c r="R15" s="105" t="s">
        <v>21</v>
      </c>
      <c r="S15" s="106"/>
      <c r="T15" s="8"/>
      <c r="U15" s="30"/>
      <c r="V15" s="31"/>
      <c r="W15" s="105" t="s">
        <v>21</v>
      </c>
      <c r="X15" s="106"/>
      <c r="Y15" s="8">
        <f>+D15+H15+L15+P15+T15</f>
        <v>267980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48022</v>
      </c>
      <c r="E16" s="1"/>
      <c r="F16" s="1" t="s">
        <v>10</v>
      </c>
      <c r="G16" s="1"/>
      <c r="H16" s="5">
        <f>+H13</f>
        <v>72856</v>
      </c>
      <c r="I16" s="1"/>
      <c r="J16" s="1" t="s">
        <v>10</v>
      </c>
      <c r="K16" s="1"/>
      <c r="L16" s="5">
        <f>+L13</f>
        <v>58660</v>
      </c>
      <c r="M16" s="1"/>
      <c r="N16" s="1" t="s">
        <v>10</v>
      </c>
      <c r="O16" s="1"/>
      <c r="P16" s="5">
        <f>+P13</f>
        <v>58230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237768</v>
      </c>
      <c r="Z16" s="13"/>
      <c r="AA16" s="1"/>
      <c r="AB16" s="1" t="s">
        <v>407</v>
      </c>
      <c r="AC16" s="5">
        <v>5000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917788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24</v>
      </c>
      <c r="C18" s="1"/>
      <c r="D18" s="5"/>
      <c r="E18" s="1"/>
      <c r="F18" s="1" t="s">
        <v>24</v>
      </c>
      <c r="G18" s="1"/>
      <c r="H18" s="5"/>
      <c r="I18" s="1"/>
      <c r="J18" s="1" t="s">
        <v>401</v>
      </c>
      <c r="K18" s="16" t="s">
        <v>399</v>
      </c>
      <c r="L18" s="5">
        <v>6000</v>
      </c>
      <c r="M18" s="1"/>
      <c r="N18" s="1" t="s">
        <v>24</v>
      </c>
      <c r="O18" s="1"/>
      <c r="P18" s="5"/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6000</v>
      </c>
      <c r="Z18" s="13"/>
      <c r="AA18" s="1"/>
      <c r="AB18" s="50" t="s">
        <v>25</v>
      </c>
      <c r="AC18" s="51">
        <f>+AC17-AC9</f>
        <v>-980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402</v>
      </c>
      <c r="K19" s="16" t="s">
        <v>400</v>
      </c>
      <c r="L19" s="5">
        <v>4222</v>
      </c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4222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393</v>
      </c>
      <c r="G23" s="1" t="s">
        <v>394</v>
      </c>
      <c r="H23" s="5">
        <v>6242</v>
      </c>
      <c r="I23" s="1"/>
      <c r="J23" s="1" t="s">
        <v>36</v>
      </c>
      <c r="K23" s="1"/>
      <c r="L23" s="5"/>
      <c r="M23" s="1"/>
      <c r="N23" s="1" t="s">
        <v>79</v>
      </c>
      <c r="O23" s="20" t="s">
        <v>389</v>
      </c>
      <c r="P23" s="20">
        <v>8226</v>
      </c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14468</v>
      </c>
      <c r="Z23" s="13"/>
      <c r="AA23" s="1"/>
      <c r="AB23" s="64" t="s">
        <v>122</v>
      </c>
      <c r="AC23" s="76">
        <v>45897</v>
      </c>
      <c r="AD23" s="64" t="s">
        <v>387</v>
      </c>
      <c r="AE23" s="64" t="s">
        <v>388</v>
      </c>
      <c r="AF23" s="65">
        <v>13000</v>
      </c>
      <c r="AG23" s="1"/>
      <c r="AH23" s="1"/>
      <c r="AI23" s="64" t="s">
        <v>122</v>
      </c>
      <c r="AJ23" s="64" t="s">
        <v>383</v>
      </c>
      <c r="AK23" s="64" t="s">
        <v>203</v>
      </c>
      <c r="AL23" s="65">
        <v>3200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64" t="s">
        <v>111</v>
      </c>
      <c r="AC24" s="76">
        <v>45882</v>
      </c>
      <c r="AD24" s="64" t="s">
        <v>389</v>
      </c>
      <c r="AE24" s="64"/>
      <c r="AF24" s="65">
        <v>826</v>
      </c>
      <c r="AG24" s="1"/>
      <c r="AH24" s="1"/>
      <c r="AI24" s="64" t="s">
        <v>214</v>
      </c>
      <c r="AJ24" s="64" t="s">
        <v>384</v>
      </c>
      <c r="AK24" s="64" t="s">
        <v>151</v>
      </c>
      <c r="AL24" s="69">
        <v>10600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64" t="s">
        <v>390</v>
      </c>
      <c r="AC25" s="76">
        <v>45897</v>
      </c>
      <c r="AD25" s="64" t="s">
        <v>391</v>
      </c>
      <c r="AE25" s="64"/>
      <c r="AF25" s="65">
        <v>20000</v>
      </c>
      <c r="AG25" s="1"/>
      <c r="AH25" s="1"/>
      <c r="AI25" s="64" t="s">
        <v>117</v>
      </c>
      <c r="AJ25" s="64" t="s">
        <v>106</v>
      </c>
      <c r="AK25" s="64" t="s">
        <v>386</v>
      </c>
      <c r="AL25" s="69">
        <v>19088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64" t="s">
        <v>395</v>
      </c>
      <c r="AC26" s="76">
        <v>45905</v>
      </c>
      <c r="AD26" s="64" t="s">
        <v>270</v>
      </c>
      <c r="AE26" s="64"/>
      <c r="AF26" s="65">
        <v>29940</v>
      </c>
      <c r="AG26" s="1"/>
      <c r="AH26" s="1"/>
      <c r="AI26" s="64" t="s">
        <v>122</v>
      </c>
      <c r="AJ26" s="64" t="s">
        <v>127</v>
      </c>
      <c r="AK26" s="64" t="s">
        <v>204</v>
      </c>
      <c r="AL26" s="65">
        <v>3000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64" t="s">
        <v>397</v>
      </c>
      <c r="AC27" s="76">
        <v>45898</v>
      </c>
      <c r="AD27" s="64" t="s">
        <v>396</v>
      </c>
      <c r="AE27" s="64"/>
      <c r="AF27" s="65">
        <v>171850</v>
      </c>
      <c r="AG27" s="1"/>
      <c r="AH27" s="1"/>
      <c r="AI27" s="64" t="s">
        <v>122</v>
      </c>
      <c r="AJ27" s="64" t="s">
        <v>191</v>
      </c>
      <c r="AK27" s="64" t="s">
        <v>294</v>
      </c>
      <c r="AL27" s="69">
        <v>5000</v>
      </c>
    </row>
    <row r="28" spans="2:38" ht="15.75" thickBot="1" x14ac:dyDescent="0.3">
      <c r="B28" s="99" t="s">
        <v>12</v>
      </c>
      <c r="C28" s="100"/>
      <c r="D28" s="9">
        <f>+SUM(D16:D27)</f>
        <v>48022</v>
      </c>
      <c r="E28" s="1"/>
      <c r="F28" s="99" t="s">
        <v>12</v>
      </c>
      <c r="G28" s="100"/>
      <c r="H28" s="9">
        <f>+SUM(H16:H27)</f>
        <v>79098</v>
      </c>
      <c r="I28" s="1"/>
      <c r="J28" s="99" t="s">
        <v>12</v>
      </c>
      <c r="K28" s="100"/>
      <c r="L28" s="9">
        <f>+SUM(L16:L27)</f>
        <v>68882</v>
      </c>
      <c r="M28" s="1"/>
      <c r="N28" s="99" t="s">
        <v>12</v>
      </c>
      <c r="O28" s="100"/>
      <c r="P28" s="9">
        <f>+SUM(P16:P27)</f>
        <v>66456</v>
      </c>
      <c r="Q28" s="1"/>
      <c r="R28" s="99" t="s">
        <v>12</v>
      </c>
      <c r="S28" s="100"/>
      <c r="T28" s="9">
        <f>+SUM(T16:T27)</f>
        <v>0</v>
      </c>
      <c r="U28" s="1"/>
      <c r="V28" s="12"/>
      <c r="W28" s="99" t="s">
        <v>12</v>
      </c>
      <c r="X28" s="100"/>
      <c r="Y28" s="9">
        <f>+SUM(Y16:Y27)</f>
        <v>262458</v>
      </c>
      <c r="Z28" s="13"/>
      <c r="AA28" s="1"/>
      <c r="AB28" s="64" t="s">
        <v>99</v>
      </c>
      <c r="AC28" s="76">
        <v>45887</v>
      </c>
      <c r="AD28" s="64" t="s">
        <v>48</v>
      </c>
      <c r="AE28" s="64"/>
      <c r="AF28" s="65">
        <v>24000</v>
      </c>
      <c r="AG28" s="1"/>
      <c r="AH28" s="1"/>
      <c r="AI28" s="64" t="s">
        <v>214</v>
      </c>
      <c r="AJ28" s="64" t="s">
        <v>385</v>
      </c>
      <c r="AK28" s="64" t="s">
        <v>203</v>
      </c>
      <c r="AL28" s="65">
        <v>9090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64" t="s">
        <v>398</v>
      </c>
      <c r="AC29" s="76">
        <v>45905</v>
      </c>
      <c r="AD29" s="64" t="s">
        <v>48</v>
      </c>
      <c r="AE29" s="64"/>
      <c r="AF29" s="65">
        <v>54270</v>
      </c>
      <c r="AG29" s="1"/>
      <c r="AH29" s="1"/>
      <c r="AI29" s="64" t="s">
        <v>122</v>
      </c>
      <c r="AJ29" s="64" t="s">
        <v>392</v>
      </c>
      <c r="AK29" s="64" t="s">
        <v>167</v>
      </c>
      <c r="AL29" s="65">
        <v>20735</v>
      </c>
    </row>
    <row r="30" spans="2:38" ht="15.75" thickBot="1" x14ac:dyDescent="0.3">
      <c r="B30" s="101" t="s">
        <v>41</v>
      </c>
      <c r="C30" s="101"/>
      <c r="D30" s="7">
        <f>+D28-D15</f>
        <v>239</v>
      </c>
      <c r="E30" s="1"/>
      <c r="F30" s="101" t="s">
        <v>41</v>
      </c>
      <c r="G30" s="101"/>
      <c r="H30" s="7">
        <f>+H28-H15</f>
        <v>6</v>
      </c>
      <c r="I30" s="1"/>
      <c r="J30" s="101" t="s">
        <v>41</v>
      </c>
      <c r="K30" s="101"/>
      <c r="L30" s="7">
        <f>+L28-L15</f>
        <v>-5535</v>
      </c>
      <c r="M30" s="1"/>
      <c r="N30" s="101" t="s">
        <v>41</v>
      </c>
      <c r="O30" s="101"/>
      <c r="P30" s="7">
        <f>+P28-P15</f>
        <v>-232</v>
      </c>
      <c r="Q30" s="1"/>
      <c r="R30" s="101" t="s">
        <v>41</v>
      </c>
      <c r="S30" s="101"/>
      <c r="T30" s="7">
        <f>+T28-T15</f>
        <v>0</v>
      </c>
      <c r="U30" s="1"/>
      <c r="V30" s="12"/>
      <c r="W30" s="102" t="s">
        <v>41</v>
      </c>
      <c r="X30" s="102"/>
      <c r="Y30" s="41">
        <f>+Y28-Y15</f>
        <v>-5522</v>
      </c>
      <c r="Z30" s="13"/>
      <c r="AA30" s="1"/>
      <c r="AB30" s="64" t="s">
        <v>404</v>
      </c>
      <c r="AC30" s="76">
        <v>45890</v>
      </c>
      <c r="AD30" s="64" t="s">
        <v>403</v>
      </c>
      <c r="AE30" s="64"/>
      <c r="AF30" s="65">
        <v>17614</v>
      </c>
      <c r="AG30" s="1"/>
      <c r="AH30" s="1"/>
      <c r="AI30" s="64" t="s">
        <v>405</v>
      </c>
      <c r="AJ30" s="76">
        <v>45901</v>
      </c>
      <c r="AK30" s="64" t="s">
        <v>80</v>
      </c>
      <c r="AL30" s="65">
        <v>100000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4" t="s">
        <v>406</v>
      </c>
      <c r="AC31" s="76">
        <v>45904</v>
      </c>
      <c r="AD31" s="64" t="s">
        <v>235</v>
      </c>
      <c r="AE31" s="64"/>
      <c r="AF31" s="65">
        <v>349500</v>
      </c>
      <c r="AG31" s="1"/>
      <c r="AH31" s="1"/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62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/>
      <c r="I34" s="1"/>
      <c r="J34" s="10" t="s">
        <v>42</v>
      </c>
      <c r="K34" s="11"/>
      <c r="L34" s="21">
        <v>5535</v>
      </c>
      <c r="M34" s="1"/>
      <c r="N34" s="10" t="s">
        <v>42</v>
      </c>
      <c r="O34" s="11"/>
      <c r="P34" s="21">
        <v>232</v>
      </c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5767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ht="15.75" thickBot="1" x14ac:dyDescent="0.3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0</v>
      </c>
      <c r="Z35" s="1"/>
      <c r="AA35" s="1"/>
      <c r="AB35" s="60" t="s">
        <v>40</v>
      </c>
      <c r="AC35" s="60"/>
      <c r="AD35" s="60"/>
      <c r="AE35" s="60"/>
      <c r="AF35" s="55">
        <f>+SUM(AF23:AF34)</f>
        <v>681000</v>
      </c>
      <c r="AG35" s="1"/>
      <c r="AH35" s="1"/>
      <c r="AI35" s="60" t="s">
        <v>40</v>
      </c>
      <c r="AJ35" s="60"/>
      <c r="AK35" s="60"/>
      <c r="AL35" s="66">
        <f>+SUM(AL23:AL34)</f>
        <v>170713</v>
      </c>
    </row>
    <row r="36" spans="2:38" ht="15.75" thickTop="1" x14ac:dyDescent="0.25">
      <c r="B36" s="12" t="s">
        <v>45</v>
      </c>
      <c r="C36" s="16"/>
      <c r="D36" s="22">
        <v>-239</v>
      </c>
      <c r="E36" s="1"/>
      <c r="F36" s="12" t="s">
        <v>45</v>
      </c>
      <c r="G36" s="16"/>
      <c r="H36" s="22">
        <v>-6</v>
      </c>
      <c r="I36" s="1"/>
      <c r="J36" s="12" t="s">
        <v>45</v>
      </c>
      <c r="K36" s="16"/>
      <c r="L36" s="22"/>
      <c r="M36" s="1"/>
      <c r="N36" s="12" t="s">
        <v>45</v>
      </c>
      <c r="O36" s="16"/>
      <c r="P36" s="22"/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-245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-239</v>
      </c>
      <c r="E37" s="1"/>
      <c r="F37" s="12" t="s">
        <v>18</v>
      </c>
      <c r="G37" s="16"/>
      <c r="H37" s="22">
        <f>+SUM(H34:H36)</f>
        <v>-6</v>
      </c>
      <c r="I37" s="1"/>
      <c r="J37" s="12" t="s">
        <v>18</v>
      </c>
      <c r="K37" s="16"/>
      <c r="L37" s="22">
        <f>+SUM(L34:L36)</f>
        <v>5535</v>
      </c>
      <c r="M37" s="1"/>
      <c r="N37" s="12" t="s">
        <v>18</v>
      </c>
      <c r="O37" s="16"/>
      <c r="P37" s="22">
        <f>+SUM(P34:P36)</f>
        <v>232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5522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38"/>
  <sheetViews>
    <sheetView topLeftCell="A4" zoomScale="80" zoomScaleNormal="80" workbookViewId="0">
      <selection activeCell="B3" sqref="B3:D3"/>
    </sheetView>
  </sheetViews>
  <sheetFormatPr defaultRowHeight="15" x14ac:dyDescent="0.25"/>
  <cols>
    <col min="3" max="3" width="11.42578125" bestFit="1" customWidth="1"/>
    <col min="5" max="5" width="0.7109375" customWidth="1"/>
    <col min="8" max="8" width="9.5703125" bestFit="1" customWidth="1"/>
    <col min="9" max="9" width="0.85546875" customWidth="1"/>
    <col min="11" max="11" width="14" bestFit="1" customWidth="1"/>
    <col min="12" max="12" width="9.5703125" bestFit="1" customWidth="1"/>
    <col min="13" max="13" width="0.7109375" customWidth="1"/>
    <col min="14" max="14" width="13.5703125" bestFit="1" customWidth="1"/>
    <col min="15" max="15" width="14" bestFit="1" customWidth="1"/>
    <col min="17" max="17" width="0.7109375" customWidth="1"/>
    <col min="18" max="18" width="13.5703125" bestFit="1" customWidth="1"/>
    <col min="19" max="19" width="11.7109375" bestFit="1" customWidth="1"/>
    <col min="20" max="20" width="10.5703125" bestFit="1" customWidth="1"/>
    <col min="21" max="21" width="0.42578125" customWidth="1"/>
    <col min="22" max="22" width="1.28515625" customWidth="1"/>
    <col min="25" max="25" width="9.7109375" bestFit="1" customWidth="1"/>
    <col min="26" max="27" width="0.85546875" customWidth="1"/>
    <col min="28" max="28" width="15" bestFit="1" customWidth="1"/>
    <col min="29" max="29" width="9.85546875" bestFit="1" customWidth="1"/>
    <col min="30" max="30" width="15.5703125" bestFit="1" customWidth="1"/>
    <col min="31" max="31" width="13.5703125" bestFit="1" customWidth="1"/>
    <col min="33" max="33" width="3.85546875" customWidth="1"/>
    <col min="34" max="34" width="9.140625" hidden="1" customWidth="1"/>
  </cols>
  <sheetData>
    <row r="2" spans="2:38" ht="15.75" thickBot="1" x14ac:dyDescent="0.3"/>
    <row r="3" spans="2:38" x14ac:dyDescent="0.25">
      <c r="B3" s="104" t="s">
        <v>92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266</v>
      </c>
      <c r="D6" s="36">
        <f>+C6*B6</f>
        <v>2660</v>
      </c>
      <c r="E6" s="1"/>
      <c r="F6" s="2">
        <v>10</v>
      </c>
      <c r="G6" s="2">
        <v>102</v>
      </c>
      <c r="H6" s="36">
        <f>+G6*F6</f>
        <v>1020</v>
      </c>
      <c r="I6" s="1"/>
      <c r="J6" s="2">
        <v>10</v>
      </c>
      <c r="K6" s="2">
        <v>38</v>
      </c>
      <c r="L6" s="36">
        <f>+K6*J6</f>
        <v>380</v>
      </c>
      <c r="M6" s="1"/>
      <c r="N6" s="2">
        <v>10</v>
      </c>
      <c r="O6" s="2">
        <v>9</v>
      </c>
      <c r="P6" s="36">
        <f>+O6*N6</f>
        <v>90</v>
      </c>
      <c r="Q6" s="1"/>
      <c r="R6" s="2">
        <v>10</v>
      </c>
      <c r="S6" s="2">
        <v>3</v>
      </c>
      <c r="T6" s="36">
        <f>+S6*R6</f>
        <v>30</v>
      </c>
      <c r="U6" s="1"/>
      <c r="V6" s="12"/>
      <c r="W6" s="39">
        <v>10</v>
      </c>
      <c r="X6" s="39">
        <f>+C6+G6+K6+O6+S6</f>
        <v>418</v>
      </c>
      <c r="Y6" s="37">
        <f>+D6+H6+L6+P6+T6</f>
        <v>4180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4</v>
      </c>
      <c r="AK6" s="36">
        <f t="shared" ref="AK6:AK13" si="0">+AJ6*AI6</f>
        <v>4</v>
      </c>
      <c r="AL6" s="26"/>
    </row>
    <row r="7" spans="2:38" x14ac:dyDescent="0.25">
      <c r="B7" s="2">
        <v>20</v>
      </c>
      <c r="C7" s="2">
        <v>13</v>
      </c>
      <c r="D7" s="36">
        <f t="shared" ref="D7:D12" si="1">+C7*B7</f>
        <v>260</v>
      </c>
      <c r="E7" s="1"/>
      <c r="F7" s="2">
        <v>20</v>
      </c>
      <c r="G7" s="2">
        <v>11</v>
      </c>
      <c r="H7" s="36">
        <f t="shared" ref="H7:H12" si="2">+G7*F7</f>
        <v>220</v>
      </c>
      <c r="I7" s="1"/>
      <c r="J7" s="2">
        <v>20</v>
      </c>
      <c r="K7" s="2">
        <v>10</v>
      </c>
      <c r="L7" s="36">
        <f t="shared" ref="L7:L12" si="3">+K7*J7</f>
        <v>200</v>
      </c>
      <c r="M7" s="1"/>
      <c r="N7" s="2">
        <v>20</v>
      </c>
      <c r="O7" s="2">
        <v>6</v>
      </c>
      <c r="P7" s="36">
        <f t="shared" ref="P7:P12" si="4">+O7*N7</f>
        <v>120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40</v>
      </c>
      <c r="Y7" s="37">
        <f t="shared" ref="Y7:Y12" si="6">+D7+H7+L7+P7+T7</f>
        <v>800</v>
      </c>
      <c r="Z7" s="13"/>
      <c r="AA7" s="1"/>
      <c r="AB7" s="56" t="s">
        <v>10</v>
      </c>
      <c r="AC7" s="57">
        <f>Y13</f>
        <v>335880</v>
      </c>
      <c r="AD7" s="26"/>
      <c r="AE7" s="26"/>
      <c r="AF7" s="26"/>
      <c r="AG7" s="26"/>
      <c r="AH7" s="1"/>
      <c r="AI7" s="2">
        <v>10</v>
      </c>
      <c r="AJ7" s="2">
        <v>423</v>
      </c>
      <c r="AK7" s="36">
        <f t="shared" si="0"/>
        <v>4230</v>
      </c>
      <c r="AL7" s="1"/>
    </row>
    <row r="8" spans="2:38" x14ac:dyDescent="0.25">
      <c r="B8" s="2">
        <v>50</v>
      </c>
      <c r="C8" s="2">
        <v>35</v>
      </c>
      <c r="D8" s="36">
        <f t="shared" si="1"/>
        <v>1750</v>
      </c>
      <c r="E8" s="1"/>
      <c r="F8" s="2">
        <v>50</v>
      </c>
      <c r="G8" s="2">
        <v>56</v>
      </c>
      <c r="H8" s="36">
        <f t="shared" si="2"/>
        <v>2800</v>
      </c>
      <c r="I8" s="1"/>
      <c r="J8" s="2">
        <v>50</v>
      </c>
      <c r="K8" s="2">
        <v>44</v>
      </c>
      <c r="L8" s="36">
        <f t="shared" si="3"/>
        <v>2200</v>
      </c>
      <c r="M8" s="1"/>
      <c r="N8" s="2">
        <v>50</v>
      </c>
      <c r="O8" s="2">
        <v>78</v>
      </c>
      <c r="P8" s="36">
        <f t="shared" si="4"/>
        <v>3900</v>
      </c>
      <c r="Q8" s="1"/>
      <c r="R8" s="2">
        <v>50</v>
      </c>
      <c r="S8" s="2">
        <v>1</v>
      </c>
      <c r="T8" s="36">
        <f t="shared" si="5"/>
        <v>50</v>
      </c>
      <c r="U8" s="1"/>
      <c r="V8" s="12"/>
      <c r="W8" s="39">
        <v>50</v>
      </c>
      <c r="X8" s="39">
        <f t="shared" ref="X8:X12" si="7">+C8+G8+K8+O8+S8</f>
        <v>214</v>
      </c>
      <c r="Y8" s="37">
        <f t="shared" si="6"/>
        <v>10700</v>
      </c>
      <c r="Z8" s="13"/>
      <c r="AA8" s="1"/>
      <c r="AB8" s="53" t="s">
        <v>11</v>
      </c>
      <c r="AC8" s="53">
        <f>+AF31</f>
        <v>60654</v>
      </c>
      <c r="AD8" s="1"/>
      <c r="AE8" s="1"/>
      <c r="AF8" s="1"/>
      <c r="AG8" s="1"/>
      <c r="AH8" s="1"/>
      <c r="AI8" s="2">
        <v>20</v>
      </c>
      <c r="AJ8" s="2">
        <v>41</v>
      </c>
      <c r="AK8" s="36">
        <f t="shared" si="0"/>
        <v>820</v>
      </c>
      <c r="AL8" s="1"/>
    </row>
    <row r="9" spans="2:38" ht="15.75" thickBot="1" x14ac:dyDescent="0.3">
      <c r="B9" s="2">
        <v>100</v>
      </c>
      <c r="C9" s="2">
        <v>31</v>
      </c>
      <c r="D9" s="36">
        <f t="shared" si="1"/>
        <v>3100</v>
      </c>
      <c r="E9" s="1"/>
      <c r="F9" s="2">
        <v>100</v>
      </c>
      <c r="G9" s="2">
        <v>30</v>
      </c>
      <c r="H9" s="36">
        <f t="shared" si="2"/>
        <v>3000</v>
      </c>
      <c r="I9" s="1"/>
      <c r="J9" s="2">
        <v>100</v>
      </c>
      <c r="K9" s="2">
        <v>63</v>
      </c>
      <c r="L9" s="36">
        <f t="shared" si="3"/>
        <v>6300</v>
      </c>
      <c r="M9" s="1"/>
      <c r="N9" s="2">
        <v>100</v>
      </c>
      <c r="O9" s="2">
        <v>36</v>
      </c>
      <c r="P9" s="36">
        <f t="shared" si="4"/>
        <v>3600</v>
      </c>
      <c r="Q9" s="1"/>
      <c r="R9" s="2">
        <v>100</v>
      </c>
      <c r="S9" s="2">
        <v>2</v>
      </c>
      <c r="T9" s="36">
        <f t="shared" si="5"/>
        <v>200</v>
      </c>
      <c r="U9" s="1"/>
      <c r="V9" s="12"/>
      <c r="W9" s="39">
        <v>100</v>
      </c>
      <c r="X9" s="39">
        <f t="shared" si="7"/>
        <v>162</v>
      </c>
      <c r="Y9" s="37">
        <f t="shared" si="6"/>
        <v>16200</v>
      </c>
      <c r="Z9" s="13"/>
      <c r="AA9" s="1"/>
      <c r="AB9" s="58" t="s">
        <v>12</v>
      </c>
      <c r="AC9" s="59">
        <f>SUM(AC7:AC8)</f>
        <v>396534</v>
      </c>
      <c r="AD9" s="1"/>
      <c r="AE9" s="1"/>
      <c r="AF9" s="1"/>
      <c r="AG9" s="1"/>
      <c r="AH9" s="1"/>
      <c r="AI9" s="2">
        <v>50</v>
      </c>
      <c r="AJ9" s="2">
        <v>224</v>
      </c>
      <c r="AK9" s="36">
        <f t="shared" si="0"/>
        <v>11200</v>
      </c>
      <c r="AL9" s="1"/>
    </row>
    <row r="10" spans="2:38" x14ac:dyDescent="0.25">
      <c r="B10" s="2">
        <v>500</v>
      </c>
      <c r="C10" s="2">
        <v>30</v>
      </c>
      <c r="D10" s="36">
        <f t="shared" si="1"/>
        <v>15000</v>
      </c>
      <c r="E10" s="1"/>
      <c r="F10" s="2">
        <v>500</v>
      </c>
      <c r="G10" s="2">
        <v>51</v>
      </c>
      <c r="H10" s="36">
        <f t="shared" si="2"/>
        <v>25500</v>
      </c>
      <c r="I10" s="1"/>
      <c r="J10" s="2">
        <v>500</v>
      </c>
      <c r="K10" s="2">
        <v>28</v>
      </c>
      <c r="L10" s="36">
        <f t="shared" si="3"/>
        <v>14000</v>
      </c>
      <c r="M10" s="1"/>
      <c r="N10" s="2">
        <v>500</v>
      </c>
      <c r="O10" s="2">
        <v>24</v>
      </c>
      <c r="P10" s="36">
        <f t="shared" si="4"/>
        <v>12000</v>
      </c>
      <c r="Q10" s="1"/>
      <c r="R10" s="2">
        <v>500</v>
      </c>
      <c r="S10" s="2">
        <v>3</v>
      </c>
      <c r="T10" s="36">
        <f t="shared" si="5"/>
        <v>1500</v>
      </c>
      <c r="U10" s="1"/>
      <c r="V10" s="12"/>
      <c r="W10" s="39">
        <v>500</v>
      </c>
      <c r="X10" s="39">
        <f t="shared" si="7"/>
        <v>136</v>
      </c>
      <c r="Y10" s="37">
        <f t="shared" si="6"/>
        <v>68000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190</v>
      </c>
      <c r="AK10" s="36">
        <f t="shared" si="0"/>
        <v>19000</v>
      </c>
      <c r="AL10" s="1"/>
    </row>
    <row r="11" spans="2:38" x14ac:dyDescent="0.25">
      <c r="B11" s="2">
        <v>1000</v>
      </c>
      <c r="C11" s="2">
        <v>33</v>
      </c>
      <c r="D11" s="36">
        <f t="shared" si="1"/>
        <v>33000</v>
      </c>
      <c r="E11" s="1"/>
      <c r="F11" s="2">
        <v>1000</v>
      </c>
      <c r="G11" s="2">
        <v>49</v>
      </c>
      <c r="H11" s="36">
        <f t="shared" si="2"/>
        <v>49000</v>
      </c>
      <c r="I11" s="1"/>
      <c r="J11" s="2">
        <v>1000</v>
      </c>
      <c r="K11" s="2">
        <v>40</v>
      </c>
      <c r="L11" s="36">
        <f t="shared" si="3"/>
        <v>40000</v>
      </c>
      <c r="M11" s="1"/>
      <c r="N11" s="2">
        <v>1000</v>
      </c>
      <c r="O11" s="2">
        <v>39</v>
      </c>
      <c r="P11" s="36">
        <f t="shared" si="4"/>
        <v>39000</v>
      </c>
      <c r="Q11" s="1"/>
      <c r="R11" s="2">
        <v>1000</v>
      </c>
      <c r="S11" s="2">
        <v>35</v>
      </c>
      <c r="T11" s="36">
        <f t="shared" si="5"/>
        <v>35000</v>
      </c>
      <c r="U11" s="1"/>
      <c r="V11" s="12"/>
      <c r="W11" s="39">
        <v>1000</v>
      </c>
      <c r="X11" s="39">
        <f t="shared" si="7"/>
        <v>196</v>
      </c>
      <c r="Y11" s="37">
        <f t="shared" si="6"/>
        <v>196000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141</v>
      </c>
      <c r="AK11" s="36">
        <f t="shared" si="0"/>
        <v>70500</v>
      </c>
      <c r="AL11" s="1"/>
    </row>
    <row r="12" spans="2:38" x14ac:dyDescent="0.25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8</v>
      </c>
      <c r="Y12" s="37">
        <f t="shared" si="6"/>
        <v>40000</v>
      </c>
      <c r="Z12" s="13"/>
      <c r="AA12" s="1"/>
      <c r="AB12" s="1" t="s">
        <v>17</v>
      </c>
      <c r="AC12" s="5">
        <v>356750</v>
      </c>
      <c r="AD12" s="1">
        <v>9793</v>
      </c>
      <c r="AE12" s="52" t="s">
        <v>431</v>
      </c>
      <c r="AF12" s="1" t="s">
        <v>103</v>
      </c>
      <c r="AG12" s="1"/>
      <c r="AH12" s="1"/>
      <c r="AI12" s="2">
        <v>1000</v>
      </c>
      <c r="AJ12" s="2">
        <v>184</v>
      </c>
      <c r="AK12" s="36">
        <f t="shared" si="0"/>
        <v>184000</v>
      </c>
      <c r="AL12" s="1"/>
    </row>
    <row r="13" spans="2:38" ht="15.75" thickBot="1" x14ac:dyDescent="0.3">
      <c r="B13" s="3" t="s">
        <v>18</v>
      </c>
      <c r="C13" s="3"/>
      <c r="D13" s="6">
        <f>+SUM(D5:D12)</f>
        <v>60770</v>
      </c>
      <c r="E13" s="1"/>
      <c r="F13" s="3" t="s">
        <v>18</v>
      </c>
      <c r="G13" s="3"/>
      <c r="H13" s="6">
        <f>+SUM(H5:H12)</f>
        <v>91540</v>
      </c>
      <c r="I13" s="1"/>
      <c r="J13" s="3" t="s">
        <v>18</v>
      </c>
      <c r="K13" s="3"/>
      <c r="L13" s="6">
        <f>+SUM(L5:L12)</f>
        <v>73080</v>
      </c>
      <c r="M13" s="1"/>
      <c r="N13" s="3" t="s">
        <v>18</v>
      </c>
      <c r="O13" s="3"/>
      <c r="P13" s="6">
        <f>+SUM(P5:P12)</f>
        <v>73710</v>
      </c>
      <c r="Q13" s="1"/>
      <c r="R13" s="3" t="s">
        <v>18</v>
      </c>
      <c r="S13" s="3"/>
      <c r="T13" s="6">
        <f>+SUM(T5:T12)</f>
        <v>36780</v>
      </c>
      <c r="U13" s="1"/>
      <c r="V13" s="12"/>
      <c r="W13" s="3" t="s">
        <v>18</v>
      </c>
      <c r="X13" s="3"/>
      <c r="Y13" s="6">
        <f>+SUM(Y5:Y12)</f>
        <v>335880</v>
      </c>
      <c r="Z13" s="13"/>
      <c r="AA13" s="1"/>
      <c r="AB13" s="1" t="s">
        <v>19</v>
      </c>
      <c r="AC13" s="5">
        <v>3004</v>
      </c>
      <c r="AD13" s="1"/>
      <c r="AE13" s="1"/>
      <c r="AF13" s="1"/>
      <c r="AG13" s="1"/>
      <c r="AH13" s="1"/>
      <c r="AI13" s="2">
        <v>5000</v>
      </c>
      <c r="AJ13" s="2">
        <v>14</v>
      </c>
      <c r="AK13" s="36">
        <f t="shared" si="0"/>
        <v>70000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359754</v>
      </c>
      <c r="AL14" s="1"/>
    </row>
    <row r="15" spans="2:38" ht="15.75" thickBot="1" x14ac:dyDescent="0.3">
      <c r="B15" s="105" t="s">
        <v>21</v>
      </c>
      <c r="C15" s="106"/>
      <c r="D15" s="8">
        <v>64768</v>
      </c>
      <c r="E15" s="30"/>
      <c r="F15" s="105" t="s">
        <v>21</v>
      </c>
      <c r="G15" s="106"/>
      <c r="H15" s="8">
        <v>107330</v>
      </c>
      <c r="I15" s="30"/>
      <c r="J15" s="105" t="s">
        <v>21</v>
      </c>
      <c r="K15" s="106"/>
      <c r="L15" s="8">
        <v>101908</v>
      </c>
      <c r="M15" s="30"/>
      <c r="N15" s="105" t="s">
        <v>21</v>
      </c>
      <c r="O15" s="106"/>
      <c r="P15" s="8">
        <v>80891</v>
      </c>
      <c r="Q15" s="30"/>
      <c r="R15" s="105" t="s">
        <v>21</v>
      </c>
      <c r="S15" s="106"/>
      <c r="T15" s="8">
        <v>382453</v>
      </c>
      <c r="U15" s="30"/>
      <c r="V15" s="31"/>
      <c r="W15" s="105" t="s">
        <v>21</v>
      </c>
      <c r="X15" s="106"/>
      <c r="Y15" s="8">
        <f>+D15+H15+L15+P15+T15</f>
        <v>737350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60770</v>
      </c>
      <c r="E16" s="1"/>
      <c r="F16" s="1" t="s">
        <v>10</v>
      </c>
      <c r="G16" s="1"/>
      <c r="H16" s="5">
        <f>+H13</f>
        <v>91540</v>
      </c>
      <c r="I16" s="1"/>
      <c r="J16" s="1" t="s">
        <v>10</v>
      </c>
      <c r="K16" s="1"/>
      <c r="L16" s="5">
        <f>+L13</f>
        <v>73080</v>
      </c>
      <c r="M16" s="1"/>
      <c r="N16" s="1" t="s">
        <v>10</v>
      </c>
      <c r="O16" s="1"/>
      <c r="P16" s="5">
        <f>+P13</f>
        <v>73710</v>
      </c>
      <c r="Q16" s="1"/>
      <c r="R16" s="1" t="s">
        <v>10</v>
      </c>
      <c r="S16" s="1"/>
      <c r="T16" s="5">
        <f>+T13</f>
        <v>36780</v>
      </c>
      <c r="U16" s="1"/>
      <c r="V16" s="12"/>
      <c r="W16" s="40" t="s">
        <v>10</v>
      </c>
      <c r="X16" s="40"/>
      <c r="Y16" s="37">
        <f>+D16+H16+L16+P16+T16</f>
        <v>335880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5460</v>
      </c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>+D17+H17+L17+P17+T17</f>
        <v>5460</v>
      </c>
      <c r="Z17" s="13"/>
      <c r="AA17" s="1"/>
      <c r="AB17" s="48" t="s">
        <v>12</v>
      </c>
      <c r="AC17" s="49">
        <f>+SUM(AC12:AC16)</f>
        <v>359754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412</v>
      </c>
      <c r="C18" s="1" t="s">
        <v>413</v>
      </c>
      <c r="D18" s="5">
        <v>3500</v>
      </c>
      <c r="E18" s="1"/>
      <c r="F18" s="1" t="s">
        <v>24</v>
      </c>
      <c r="G18" s="1"/>
      <c r="H18" s="5"/>
      <c r="I18" s="1"/>
      <c r="J18" s="1" t="s">
        <v>412</v>
      </c>
      <c r="K18" s="16" t="s">
        <v>424</v>
      </c>
      <c r="L18" s="5">
        <v>6000</v>
      </c>
      <c r="M18" s="1"/>
      <c r="N18" s="1" t="s">
        <v>280</v>
      </c>
      <c r="O18" s="1" t="s">
        <v>328</v>
      </c>
      <c r="P18" s="5">
        <v>7184</v>
      </c>
      <c r="Q18" s="1"/>
      <c r="R18" s="1" t="s">
        <v>444</v>
      </c>
      <c r="S18" s="1" t="s">
        <v>445</v>
      </c>
      <c r="T18" s="5">
        <v>47868</v>
      </c>
      <c r="U18" s="1"/>
      <c r="V18" s="12"/>
      <c r="W18" s="40" t="s">
        <v>24</v>
      </c>
      <c r="X18" s="40"/>
      <c r="Y18" s="37">
        <f t="shared" ref="Y18:Y27" si="8">+D18+H18+L18+P18+T18</f>
        <v>64552</v>
      </c>
      <c r="Z18" s="13"/>
      <c r="AA18" s="1"/>
      <c r="AB18" s="50" t="s">
        <v>25</v>
      </c>
      <c r="AC18" s="51">
        <f>+AC17-AC9</f>
        <v>-36780</v>
      </c>
      <c r="AD18" s="1" t="s">
        <v>26</v>
      </c>
      <c r="AE18" s="1" t="s">
        <v>646</v>
      </c>
      <c r="AF18" s="20" t="s">
        <v>103</v>
      </c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442</v>
      </c>
      <c r="S22" s="1" t="s">
        <v>443</v>
      </c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416</v>
      </c>
      <c r="G23" s="1" t="s">
        <v>417</v>
      </c>
      <c r="H23" s="5">
        <v>16002</v>
      </c>
      <c r="I23" s="1"/>
      <c r="J23" s="1" t="s">
        <v>425</v>
      </c>
      <c r="K23" s="1" t="s">
        <v>426</v>
      </c>
      <c r="L23" s="5">
        <v>12116</v>
      </c>
      <c r="M23" s="1"/>
      <c r="N23" s="1" t="s">
        <v>53</v>
      </c>
      <c r="O23" s="1"/>
      <c r="P23" s="5"/>
      <c r="Q23" s="1"/>
      <c r="R23" s="1" t="s">
        <v>435</v>
      </c>
      <c r="S23" s="1" t="s">
        <v>436</v>
      </c>
      <c r="T23" s="5">
        <v>29979</v>
      </c>
      <c r="U23" s="1"/>
      <c r="V23" s="12"/>
      <c r="W23" s="40" t="s">
        <v>36</v>
      </c>
      <c r="X23" s="40"/>
      <c r="Y23" s="37">
        <f t="shared" si="8"/>
        <v>58097</v>
      </c>
      <c r="Z23" s="13"/>
      <c r="AA23" s="1"/>
      <c r="AB23" s="64" t="s">
        <v>214</v>
      </c>
      <c r="AC23" s="73">
        <v>45894</v>
      </c>
      <c r="AD23" s="64" t="s">
        <v>408</v>
      </c>
      <c r="AE23" s="64" t="s">
        <v>409</v>
      </c>
      <c r="AF23" s="64">
        <v>7800</v>
      </c>
      <c r="AG23" s="1"/>
      <c r="AH23" s="1"/>
      <c r="AI23" s="1" t="s">
        <v>410</v>
      </c>
      <c r="AJ23" s="1" t="s">
        <v>411</v>
      </c>
      <c r="AK23" s="1"/>
      <c r="AL23" s="62">
        <v>5450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428</v>
      </c>
      <c r="K24" s="1" t="s">
        <v>242</v>
      </c>
      <c r="L24" s="5">
        <v>10679</v>
      </c>
      <c r="M24" s="1"/>
      <c r="N24" s="1" t="s">
        <v>53</v>
      </c>
      <c r="O24" s="1"/>
      <c r="P24" s="5"/>
      <c r="Q24" s="1"/>
      <c r="R24" s="1" t="s">
        <v>437</v>
      </c>
      <c r="S24" s="1" t="s">
        <v>438</v>
      </c>
      <c r="T24" s="5">
        <v>62659</v>
      </c>
      <c r="U24" s="1"/>
      <c r="V24" s="12"/>
      <c r="W24" s="40" t="s">
        <v>37</v>
      </c>
      <c r="X24" s="40"/>
      <c r="Y24" s="37">
        <f t="shared" si="8"/>
        <v>73338</v>
      </c>
      <c r="Z24" s="13"/>
      <c r="AA24" s="1"/>
      <c r="AB24" s="64" t="s">
        <v>415</v>
      </c>
      <c r="AC24" s="70">
        <v>45890</v>
      </c>
      <c r="AD24" s="64" t="s">
        <v>414</v>
      </c>
      <c r="AE24" s="64"/>
      <c r="AF24" s="64">
        <v>33528</v>
      </c>
      <c r="AG24" s="1"/>
      <c r="AH24" s="1"/>
      <c r="AI24" s="64" t="s">
        <v>115</v>
      </c>
      <c r="AJ24" s="64" t="s">
        <v>418</v>
      </c>
      <c r="AK24" s="64" t="s">
        <v>146</v>
      </c>
      <c r="AL24" s="64">
        <v>65118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439</v>
      </c>
      <c r="S25" s="1" t="s">
        <v>756</v>
      </c>
      <c r="T25" s="5">
        <v>107347</v>
      </c>
      <c r="U25" s="1"/>
      <c r="V25" s="12"/>
      <c r="W25" s="40" t="s">
        <v>38</v>
      </c>
      <c r="X25" s="40"/>
      <c r="Y25" s="37">
        <f t="shared" si="8"/>
        <v>107347</v>
      </c>
      <c r="Z25" s="13"/>
      <c r="AA25" s="1"/>
      <c r="AB25" s="64" t="s">
        <v>429</v>
      </c>
      <c r="AC25" s="76">
        <v>45904</v>
      </c>
      <c r="AD25" s="64" t="s">
        <v>242</v>
      </c>
      <c r="AE25" s="64"/>
      <c r="AF25" s="64">
        <v>13085</v>
      </c>
      <c r="AG25" s="1"/>
      <c r="AH25" s="1"/>
      <c r="AI25" s="64" t="s">
        <v>117</v>
      </c>
      <c r="AJ25" s="64" t="s">
        <v>419</v>
      </c>
      <c r="AK25" s="64" t="s">
        <v>386</v>
      </c>
      <c r="AL25" s="69">
        <v>12577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440</v>
      </c>
      <c r="S26" s="1" t="s">
        <v>441</v>
      </c>
      <c r="T26" s="5"/>
      <c r="U26" s="1"/>
      <c r="V26" s="12"/>
      <c r="W26" s="40"/>
      <c r="X26" s="40"/>
      <c r="Y26" s="37">
        <f t="shared" si="8"/>
        <v>0</v>
      </c>
      <c r="Z26" s="13"/>
      <c r="AA26" s="1"/>
      <c r="AB26" s="64" t="s">
        <v>430</v>
      </c>
      <c r="AC26" s="76">
        <v>45911</v>
      </c>
      <c r="AD26" s="64" t="s">
        <v>394</v>
      </c>
      <c r="AE26" s="64"/>
      <c r="AF26" s="64">
        <v>6241</v>
      </c>
      <c r="AG26" s="1"/>
      <c r="AH26" s="1"/>
      <c r="AI26" s="64" t="s">
        <v>117</v>
      </c>
      <c r="AJ26" s="64" t="s">
        <v>420</v>
      </c>
      <c r="AK26" s="64" t="s">
        <v>39</v>
      </c>
      <c r="AL26" s="65">
        <v>15650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64" t="s">
        <v>115</v>
      </c>
      <c r="AJ27" s="64" t="s">
        <v>421</v>
      </c>
      <c r="AK27" s="64" t="s">
        <v>153</v>
      </c>
      <c r="AL27" s="65">
        <v>108230</v>
      </c>
    </row>
    <row r="28" spans="2:38" ht="15.75" thickBot="1" x14ac:dyDescent="0.3">
      <c r="B28" s="99" t="s">
        <v>12</v>
      </c>
      <c r="C28" s="100"/>
      <c r="D28" s="9">
        <f>+SUM(D16:D27)</f>
        <v>64270</v>
      </c>
      <c r="E28" s="1"/>
      <c r="F28" s="99" t="s">
        <v>12</v>
      </c>
      <c r="G28" s="100"/>
      <c r="H28" s="9">
        <f>+SUM(H16:H27)</f>
        <v>107542</v>
      </c>
      <c r="I28" s="1"/>
      <c r="J28" s="99" t="s">
        <v>12</v>
      </c>
      <c r="K28" s="100"/>
      <c r="L28" s="9">
        <f>+SUM(L16:L27)</f>
        <v>107335</v>
      </c>
      <c r="M28" s="1"/>
      <c r="N28" s="99" t="s">
        <v>12</v>
      </c>
      <c r="O28" s="100"/>
      <c r="P28" s="9">
        <f>+SUM(P16:P27)</f>
        <v>80894</v>
      </c>
      <c r="Q28" s="1"/>
      <c r="R28" s="99" t="s">
        <v>12</v>
      </c>
      <c r="S28" s="100"/>
      <c r="T28" s="9">
        <f>+SUM(T16:T27)</f>
        <v>284633</v>
      </c>
      <c r="U28" s="1"/>
      <c r="V28" s="12"/>
      <c r="W28" s="99" t="s">
        <v>12</v>
      </c>
      <c r="X28" s="100"/>
      <c r="Y28" s="9">
        <f>+SUM(Y16:Y27)</f>
        <v>644674</v>
      </c>
      <c r="Z28" s="13"/>
      <c r="AA28" s="1"/>
      <c r="AB28" s="1"/>
      <c r="AC28" s="1"/>
      <c r="AD28" s="1"/>
      <c r="AE28" s="1"/>
      <c r="AF28" s="1"/>
      <c r="AG28" s="1"/>
      <c r="AH28" s="1"/>
      <c r="AI28" s="64" t="s">
        <v>122</v>
      </c>
      <c r="AJ28" s="64" t="s">
        <v>189</v>
      </c>
      <c r="AK28" s="64" t="s">
        <v>121</v>
      </c>
      <c r="AL28" s="69">
        <v>3950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64" t="s">
        <v>122</v>
      </c>
      <c r="AJ29" s="64" t="s">
        <v>192</v>
      </c>
      <c r="AK29" s="64" t="s">
        <v>154</v>
      </c>
      <c r="AL29" s="69">
        <v>6790</v>
      </c>
    </row>
    <row r="30" spans="2:38" ht="15.75" thickBot="1" x14ac:dyDescent="0.3">
      <c r="B30" s="101" t="s">
        <v>41</v>
      </c>
      <c r="C30" s="101"/>
      <c r="D30" s="7">
        <f>+D28-D15</f>
        <v>-498</v>
      </c>
      <c r="E30" s="1"/>
      <c r="F30" s="101" t="s">
        <v>41</v>
      </c>
      <c r="G30" s="101"/>
      <c r="H30" s="7">
        <f>+H28-H15</f>
        <v>212</v>
      </c>
      <c r="I30" s="1"/>
      <c r="J30" s="101" t="s">
        <v>41</v>
      </c>
      <c r="K30" s="101"/>
      <c r="L30" s="7">
        <f>+L28-L15</f>
        <v>5427</v>
      </c>
      <c r="M30" s="1"/>
      <c r="N30" s="101" t="s">
        <v>41</v>
      </c>
      <c r="O30" s="101"/>
      <c r="P30" s="7">
        <f>+P28-P15</f>
        <v>3</v>
      </c>
      <c r="Q30" s="1"/>
      <c r="R30" s="101" t="s">
        <v>41</v>
      </c>
      <c r="S30" s="101"/>
      <c r="T30" s="7">
        <f>+T28-T15</f>
        <v>-97820</v>
      </c>
      <c r="U30" s="1"/>
      <c r="V30" s="12"/>
      <c r="W30" s="102" t="s">
        <v>41</v>
      </c>
      <c r="X30" s="102"/>
      <c r="Y30" s="41">
        <f>+Y28-Y15</f>
        <v>-92676</v>
      </c>
      <c r="Z30" s="13"/>
      <c r="AA30" s="1"/>
      <c r="AB30" s="1"/>
      <c r="AC30" s="1"/>
      <c r="AD30" s="1"/>
      <c r="AE30" s="1"/>
      <c r="AF30" s="1"/>
      <c r="AG30" s="1"/>
      <c r="AH30" s="1"/>
      <c r="AI30" s="64" t="s">
        <v>206</v>
      </c>
      <c r="AJ30" s="64" t="s">
        <v>193</v>
      </c>
      <c r="AK30" s="64" t="s">
        <v>422</v>
      </c>
      <c r="AL30" s="65">
        <v>5315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60654</v>
      </c>
      <c r="AG31" s="1"/>
      <c r="AH31" s="1"/>
      <c r="AI31" s="64" t="s">
        <v>122</v>
      </c>
      <c r="AJ31" s="64" t="s">
        <v>217</v>
      </c>
      <c r="AK31" s="64" t="s">
        <v>155</v>
      </c>
      <c r="AL31" s="69">
        <v>9678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64" t="s">
        <v>122</v>
      </c>
      <c r="AJ32" s="64" t="s">
        <v>219</v>
      </c>
      <c r="AK32" s="64" t="s">
        <v>156</v>
      </c>
      <c r="AL32" s="69">
        <v>3581</v>
      </c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4" t="s">
        <v>214</v>
      </c>
      <c r="AJ33" s="64" t="s">
        <v>305</v>
      </c>
      <c r="AK33" s="64" t="s">
        <v>423</v>
      </c>
      <c r="AL33" s="69">
        <v>4500</v>
      </c>
    </row>
    <row r="34" spans="2:38" x14ac:dyDescent="0.25">
      <c r="B34" s="10" t="s">
        <v>42</v>
      </c>
      <c r="C34" s="11"/>
      <c r="D34" s="21">
        <v>498</v>
      </c>
      <c r="E34" s="1"/>
      <c r="F34" s="10" t="s">
        <v>42</v>
      </c>
      <c r="G34" s="11"/>
      <c r="H34" s="21"/>
      <c r="I34" s="1"/>
      <c r="J34" s="10" t="s">
        <v>42</v>
      </c>
      <c r="K34" s="11"/>
      <c r="L34" s="21"/>
      <c r="M34" s="1"/>
      <c r="N34" s="10" t="s">
        <v>42</v>
      </c>
      <c r="O34" s="11"/>
      <c r="P34" s="21"/>
      <c r="Q34" s="1"/>
      <c r="R34" s="10" t="s">
        <v>42</v>
      </c>
      <c r="S34" s="11"/>
      <c r="T34" s="21">
        <v>96328</v>
      </c>
      <c r="U34" s="1"/>
      <c r="V34" s="1"/>
      <c r="W34" s="42" t="s">
        <v>42</v>
      </c>
      <c r="X34" s="43"/>
      <c r="Y34" s="44">
        <f>+D34+H34+L34+P34+T34</f>
        <v>96826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427</v>
      </c>
      <c r="K35" s="16"/>
      <c r="L35" s="22"/>
      <c r="M35" s="1"/>
      <c r="N35" s="12" t="s">
        <v>43</v>
      </c>
      <c r="O35" s="16"/>
      <c r="P35" s="22"/>
      <c r="Q35" s="1"/>
      <c r="R35" s="12" t="s">
        <v>639</v>
      </c>
      <c r="S35" s="16"/>
      <c r="T35" s="22">
        <v>1492</v>
      </c>
      <c r="U35" s="1"/>
      <c r="V35" s="1"/>
      <c r="W35" s="45" t="s">
        <v>43</v>
      </c>
      <c r="X35" s="40"/>
      <c r="Y35" s="46">
        <f t="shared" ref="Y35:Y36" si="9">+D35+H35+L35+P35+T35</f>
        <v>1492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ht="15.75" thickBot="1" x14ac:dyDescent="0.3">
      <c r="B36" s="12" t="s">
        <v>45</v>
      </c>
      <c r="C36" s="16"/>
      <c r="D36" s="22"/>
      <c r="E36" s="1"/>
      <c r="F36" s="12" t="s">
        <v>45</v>
      </c>
      <c r="G36" s="16"/>
      <c r="H36" s="22">
        <v>-212</v>
      </c>
      <c r="I36" s="1"/>
      <c r="J36" s="12" t="s">
        <v>45</v>
      </c>
      <c r="K36" s="16"/>
      <c r="L36" s="22">
        <v>-5427</v>
      </c>
      <c r="M36" s="1"/>
      <c r="N36" s="12" t="s">
        <v>45</v>
      </c>
      <c r="O36" s="16"/>
      <c r="P36" s="22">
        <v>-3</v>
      </c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-5642</v>
      </c>
      <c r="Z36" s="1"/>
      <c r="AA36" s="1"/>
      <c r="AB36" s="1"/>
      <c r="AC36" s="1"/>
      <c r="AD36" s="1"/>
      <c r="AE36" s="1"/>
      <c r="AF36" s="1"/>
      <c r="AG36" s="1"/>
      <c r="AH36" s="1"/>
      <c r="AI36" s="60" t="s">
        <v>40</v>
      </c>
      <c r="AJ36" s="60"/>
      <c r="AK36" s="60"/>
      <c r="AL36" s="66">
        <f>+SUM(AL23:AL35)</f>
        <v>240839</v>
      </c>
    </row>
    <row r="37" spans="2:38" ht="15.75" thickTop="1" x14ac:dyDescent="0.25">
      <c r="B37" s="12" t="s">
        <v>18</v>
      </c>
      <c r="C37" s="16"/>
      <c r="D37" s="22">
        <f>+SUM(D34:D36)</f>
        <v>498</v>
      </c>
      <c r="E37" s="1"/>
      <c r="F37" s="12" t="s">
        <v>18</v>
      </c>
      <c r="G37" s="16"/>
      <c r="H37" s="22">
        <f>+SUM(H34:H36)</f>
        <v>-212</v>
      </c>
      <c r="I37" s="1"/>
      <c r="J37" s="12" t="s">
        <v>18</v>
      </c>
      <c r="K37" s="16"/>
      <c r="L37" s="22">
        <f>+SUM(L34:L36)</f>
        <v>-5427</v>
      </c>
      <c r="M37" s="1"/>
      <c r="N37" s="12" t="s">
        <v>18</v>
      </c>
      <c r="O37" s="16"/>
      <c r="P37" s="22">
        <f>+SUM(P34:P36)</f>
        <v>-3</v>
      </c>
      <c r="Q37" s="1"/>
      <c r="R37" s="12" t="s">
        <v>18</v>
      </c>
      <c r="S37" s="16"/>
      <c r="T37" s="22">
        <f>+SUM(T34:T36)</f>
        <v>97820</v>
      </c>
      <c r="U37" s="1"/>
      <c r="V37" s="1"/>
      <c r="W37" s="33" t="s">
        <v>18</v>
      </c>
      <c r="X37" s="34"/>
      <c r="Y37" s="35">
        <f>+SUM(Y34:Y36)</f>
        <v>92676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38"/>
  <sheetViews>
    <sheetView topLeftCell="A4" zoomScale="80" zoomScaleNormal="80" workbookViewId="0">
      <selection activeCell="S33" sqref="S33"/>
    </sheetView>
  </sheetViews>
  <sheetFormatPr defaultRowHeight="15" x14ac:dyDescent="0.25"/>
  <cols>
    <col min="2" max="2" width="14.7109375" bestFit="1" customWidth="1"/>
    <col min="3" max="3" width="13.5703125" bestFit="1" customWidth="1"/>
    <col min="5" max="5" width="1.28515625" customWidth="1"/>
    <col min="7" max="7" width="13.5703125" bestFit="1" customWidth="1"/>
    <col min="8" max="8" width="9.5703125" bestFit="1" customWidth="1"/>
    <col min="9" max="9" width="0.7109375" customWidth="1"/>
    <col min="13" max="13" width="1.140625" customWidth="1"/>
    <col min="15" max="15" width="13.5703125" bestFit="1" customWidth="1"/>
    <col min="17" max="17" width="0.85546875" customWidth="1"/>
    <col min="19" max="19" width="14.28515625" bestFit="1" customWidth="1"/>
    <col min="20" max="20" width="10.5703125" bestFit="1" customWidth="1"/>
    <col min="21" max="21" width="1" customWidth="1"/>
    <col min="22" max="22" width="1.28515625" customWidth="1"/>
    <col min="25" max="25" width="9.5703125" bestFit="1" customWidth="1"/>
    <col min="26" max="26" width="2" customWidth="1"/>
    <col min="27" max="27" width="0.7109375" customWidth="1"/>
    <col min="28" max="28" width="15.28515625" bestFit="1" customWidth="1"/>
    <col min="29" max="29" width="10.5703125" bestFit="1" customWidth="1"/>
    <col min="30" max="30" width="15.5703125" bestFit="1" customWidth="1"/>
    <col min="33" max="33" width="2.140625" customWidth="1"/>
    <col min="34" max="34" width="9.140625" hidden="1" customWidth="1"/>
    <col min="37" max="37" width="11.42578125" bestFit="1" customWidth="1"/>
  </cols>
  <sheetData>
    <row r="2" spans="2:38" ht="15.75" thickBot="1" x14ac:dyDescent="0.3"/>
    <row r="3" spans="2:38" x14ac:dyDescent="0.25">
      <c r="B3" s="104" t="s">
        <v>0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197</v>
      </c>
      <c r="O3" s="104"/>
      <c r="P3" s="104"/>
      <c r="Q3" s="1"/>
      <c r="R3" s="104" t="s">
        <v>92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>
        <v>1</v>
      </c>
      <c r="D5" s="36">
        <f>+C5*B5</f>
        <v>1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1</v>
      </c>
      <c r="Y5" s="37">
        <f>+D5+H5+L5+P5+T5</f>
        <v>1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86</v>
      </c>
      <c r="D6" s="36">
        <f>+C6*B6</f>
        <v>860</v>
      </c>
      <c r="E6" s="1"/>
      <c r="F6" s="2">
        <v>10</v>
      </c>
      <c r="G6" s="2">
        <v>73</v>
      </c>
      <c r="H6" s="36">
        <f>+G6*F6</f>
        <v>730</v>
      </c>
      <c r="I6" s="1"/>
      <c r="J6" s="2">
        <v>10</v>
      </c>
      <c r="K6" s="2">
        <v>14</v>
      </c>
      <c r="L6" s="36">
        <f>+K6*J6</f>
        <v>140</v>
      </c>
      <c r="M6" s="1"/>
      <c r="N6" s="2">
        <v>10</v>
      </c>
      <c r="O6" s="2">
        <v>106</v>
      </c>
      <c r="P6" s="36">
        <f>+O6*N6</f>
        <v>1060</v>
      </c>
      <c r="Q6" s="1"/>
      <c r="R6" s="2">
        <v>10</v>
      </c>
      <c r="S6" s="2">
        <v>1</v>
      </c>
      <c r="T6" s="36">
        <f>+S6*R6</f>
        <v>10</v>
      </c>
      <c r="U6" s="1"/>
      <c r="V6" s="12"/>
      <c r="W6" s="39">
        <v>10</v>
      </c>
      <c r="X6" s="39">
        <f>+C6+G6+K6+O6+S6</f>
        <v>280</v>
      </c>
      <c r="Y6" s="37">
        <f>+D6+H6+L6+P6+T6</f>
        <v>2800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1</v>
      </c>
      <c r="AK6" s="36">
        <f t="shared" ref="AK6:AK13" si="0">+AJ6*AI6</f>
        <v>1</v>
      </c>
      <c r="AL6" s="26"/>
    </row>
    <row r="7" spans="2:38" x14ac:dyDescent="0.25">
      <c r="B7" s="2">
        <v>20</v>
      </c>
      <c r="C7" s="2">
        <v>27</v>
      </c>
      <c r="D7" s="36">
        <f t="shared" ref="D7:D12" si="1">+C7*B7</f>
        <v>540</v>
      </c>
      <c r="E7" s="1"/>
      <c r="F7" s="2">
        <v>20</v>
      </c>
      <c r="G7" s="2">
        <v>7</v>
      </c>
      <c r="H7" s="36">
        <f t="shared" ref="H7:H12" si="2">+G7*F7</f>
        <v>140</v>
      </c>
      <c r="I7" s="1"/>
      <c r="J7" s="2">
        <v>20</v>
      </c>
      <c r="K7" s="2">
        <v>5</v>
      </c>
      <c r="L7" s="36">
        <f t="shared" ref="L7:L12" si="3">+K7*J7</f>
        <v>100</v>
      </c>
      <c r="M7" s="1"/>
      <c r="N7" s="2">
        <v>20</v>
      </c>
      <c r="O7" s="2">
        <v>1</v>
      </c>
      <c r="P7" s="36">
        <f t="shared" ref="P7:P12" si="4">+O7*N7</f>
        <v>20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40</v>
      </c>
      <c r="Y7" s="37">
        <f t="shared" ref="Y7:Y12" si="6">+D7+H7+L7+P7+T7</f>
        <v>800</v>
      </c>
      <c r="Z7" s="13"/>
      <c r="AA7" s="1"/>
      <c r="AB7" s="56" t="s">
        <v>10</v>
      </c>
      <c r="AC7" s="57">
        <f>Y13</f>
        <v>372301</v>
      </c>
      <c r="AD7" s="26"/>
      <c r="AE7" s="26"/>
      <c r="AF7" s="26"/>
      <c r="AG7" s="26"/>
      <c r="AH7" s="1"/>
      <c r="AI7" s="2">
        <v>10</v>
      </c>
      <c r="AJ7" s="2">
        <v>281</v>
      </c>
      <c r="AK7" s="36">
        <f t="shared" si="0"/>
        <v>2810</v>
      </c>
      <c r="AL7" s="1"/>
    </row>
    <row r="8" spans="2:38" x14ac:dyDescent="0.25">
      <c r="B8" s="2">
        <v>50</v>
      </c>
      <c r="C8" s="2">
        <v>75</v>
      </c>
      <c r="D8" s="36">
        <f t="shared" si="1"/>
        <v>3750</v>
      </c>
      <c r="E8" s="1"/>
      <c r="F8" s="2">
        <v>50</v>
      </c>
      <c r="G8" s="2">
        <v>18</v>
      </c>
      <c r="H8" s="36">
        <f t="shared" si="2"/>
        <v>900</v>
      </c>
      <c r="I8" s="1"/>
      <c r="J8" s="2">
        <v>50</v>
      </c>
      <c r="K8" s="2">
        <v>13</v>
      </c>
      <c r="L8" s="36">
        <f t="shared" si="3"/>
        <v>650</v>
      </c>
      <c r="M8" s="1"/>
      <c r="N8" s="2">
        <v>50</v>
      </c>
      <c r="O8" s="2">
        <v>18</v>
      </c>
      <c r="P8" s="36">
        <f t="shared" si="4"/>
        <v>900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124</v>
      </c>
      <c r="Y8" s="37">
        <f t="shared" si="6"/>
        <v>6200</v>
      </c>
      <c r="Z8" s="13"/>
      <c r="AA8" s="1"/>
      <c r="AB8" s="53" t="s">
        <v>11</v>
      </c>
      <c r="AC8" s="53">
        <f>+AF31</f>
        <v>105680</v>
      </c>
      <c r="AD8" s="1"/>
      <c r="AE8" s="1"/>
      <c r="AF8" s="1"/>
      <c r="AG8" s="1"/>
      <c r="AH8" s="1"/>
      <c r="AI8" s="2">
        <v>20</v>
      </c>
      <c r="AJ8" s="2">
        <v>41</v>
      </c>
      <c r="AK8" s="36">
        <f t="shared" si="0"/>
        <v>820</v>
      </c>
      <c r="AL8" s="1"/>
    </row>
    <row r="9" spans="2:38" ht="15.75" thickBot="1" x14ac:dyDescent="0.3">
      <c r="B9" s="2">
        <v>100</v>
      </c>
      <c r="C9" s="2">
        <v>74</v>
      </c>
      <c r="D9" s="36">
        <f t="shared" si="1"/>
        <v>7400</v>
      </c>
      <c r="E9" s="1"/>
      <c r="F9" s="2">
        <v>100</v>
      </c>
      <c r="G9" s="2">
        <v>28</v>
      </c>
      <c r="H9" s="36">
        <f t="shared" si="2"/>
        <v>2800</v>
      </c>
      <c r="I9" s="1"/>
      <c r="J9" s="2">
        <v>100</v>
      </c>
      <c r="K9" s="2">
        <v>29</v>
      </c>
      <c r="L9" s="36">
        <f t="shared" si="3"/>
        <v>2900</v>
      </c>
      <c r="M9" s="1"/>
      <c r="N9" s="2">
        <v>100</v>
      </c>
      <c r="O9" s="2">
        <v>45</v>
      </c>
      <c r="P9" s="36">
        <f t="shared" si="4"/>
        <v>4500</v>
      </c>
      <c r="Q9" s="1"/>
      <c r="R9" s="2">
        <v>100</v>
      </c>
      <c r="S9" s="2">
        <v>4</v>
      </c>
      <c r="T9" s="36">
        <f t="shared" si="5"/>
        <v>400</v>
      </c>
      <c r="U9" s="1"/>
      <c r="V9" s="12"/>
      <c r="W9" s="39">
        <v>100</v>
      </c>
      <c r="X9" s="39">
        <f t="shared" si="7"/>
        <v>180</v>
      </c>
      <c r="Y9" s="37">
        <f t="shared" si="6"/>
        <v>18000</v>
      </c>
      <c r="Z9" s="13"/>
      <c r="AA9" s="1"/>
      <c r="AB9" s="58" t="s">
        <v>12</v>
      </c>
      <c r="AC9" s="59">
        <f>SUM(AC7:AC8)</f>
        <v>477981</v>
      </c>
      <c r="AD9" s="1"/>
      <c r="AE9" s="1"/>
      <c r="AF9" s="1"/>
      <c r="AG9" s="1"/>
      <c r="AH9" s="1"/>
      <c r="AI9" s="2">
        <v>50</v>
      </c>
      <c r="AJ9" s="2">
        <v>1329</v>
      </c>
      <c r="AK9" s="36">
        <f t="shared" si="0"/>
        <v>66450</v>
      </c>
      <c r="AL9" s="1"/>
    </row>
    <row r="10" spans="2:38" x14ac:dyDescent="0.25">
      <c r="B10" s="2">
        <v>500</v>
      </c>
      <c r="C10" s="2">
        <v>63</v>
      </c>
      <c r="D10" s="36">
        <f t="shared" si="1"/>
        <v>31500</v>
      </c>
      <c r="E10" s="1"/>
      <c r="F10" s="2">
        <v>500</v>
      </c>
      <c r="G10" s="2">
        <f>59+7</f>
        <v>66</v>
      </c>
      <c r="H10" s="36">
        <f t="shared" si="2"/>
        <v>33000</v>
      </c>
      <c r="I10" s="1"/>
      <c r="J10" s="2">
        <v>500</v>
      </c>
      <c r="K10" s="2">
        <v>43</v>
      </c>
      <c r="L10" s="36">
        <f t="shared" si="3"/>
        <v>21500</v>
      </c>
      <c r="M10" s="1"/>
      <c r="N10" s="2">
        <v>500</v>
      </c>
      <c r="O10" s="2">
        <v>25</v>
      </c>
      <c r="P10" s="36">
        <f t="shared" si="4"/>
        <v>12500</v>
      </c>
      <c r="Q10" s="1"/>
      <c r="R10" s="2">
        <v>500</v>
      </c>
      <c r="S10" s="2">
        <v>14</v>
      </c>
      <c r="T10" s="36">
        <f t="shared" si="5"/>
        <v>7000</v>
      </c>
      <c r="U10" s="1"/>
      <c r="V10" s="12"/>
      <c r="W10" s="39">
        <v>500</v>
      </c>
      <c r="X10" s="39">
        <f t="shared" si="7"/>
        <v>211</v>
      </c>
      <c r="Y10" s="37">
        <f t="shared" si="6"/>
        <v>105500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184</v>
      </c>
      <c r="AK10" s="36">
        <f t="shared" si="0"/>
        <v>18400</v>
      </c>
      <c r="AL10" s="1"/>
    </row>
    <row r="11" spans="2:38" x14ac:dyDescent="0.25">
      <c r="B11" s="2">
        <v>1000</v>
      </c>
      <c r="C11" s="2">
        <v>36</v>
      </c>
      <c r="D11" s="36">
        <f t="shared" si="1"/>
        <v>36000</v>
      </c>
      <c r="E11" s="1"/>
      <c r="F11" s="2">
        <v>1000</v>
      </c>
      <c r="G11" s="2">
        <f>64+7</f>
        <v>71</v>
      </c>
      <c r="H11" s="36">
        <f t="shared" si="2"/>
        <v>71000</v>
      </c>
      <c r="I11" s="1"/>
      <c r="J11" s="2">
        <v>1000</v>
      </c>
      <c r="K11" s="2">
        <v>48</v>
      </c>
      <c r="L11" s="36">
        <f t="shared" si="3"/>
        <v>48000</v>
      </c>
      <c r="M11" s="1"/>
      <c r="N11" s="2">
        <v>1000</v>
      </c>
      <c r="O11" s="2">
        <v>26</v>
      </c>
      <c r="P11" s="36">
        <f t="shared" si="4"/>
        <v>26000</v>
      </c>
      <c r="Q11" s="1"/>
      <c r="R11" s="2">
        <v>1000</v>
      </c>
      <c r="S11" s="2">
        <v>13</v>
      </c>
      <c r="T11" s="36">
        <f t="shared" si="5"/>
        <v>13000</v>
      </c>
      <c r="U11" s="1"/>
      <c r="V11" s="12"/>
      <c r="W11" s="39">
        <v>1000</v>
      </c>
      <c r="X11" s="39">
        <f t="shared" si="7"/>
        <v>194</v>
      </c>
      <c r="Y11" s="37">
        <f t="shared" si="6"/>
        <v>194000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241</v>
      </c>
      <c r="AK11" s="36">
        <f t="shared" si="0"/>
        <v>120500</v>
      </c>
      <c r="AL11" s="1"/>
    </row>
    <row r="12" spans="2:38" x14ac:dyDescent="0.25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>
        <v>1</v>
      </c>
      <c r="T12" s="36">
        <f t="shared" si="5"/>
        <v>5000</v>
      </c>
      <c r="U12" s="1"/>
      <c r="V12" s="12"/>
      <c r="W12" s="39">
        <v>5000</v>
      </c>
      <c r="X12" s="39">
        <f t="shared" si="7"/>
        <v>9</v>
      </c>
      <c r="Y12" s="37">
        <f t="shared" si="6"/>
        <v>45000</v>
      </c>
      <c r="Z12" s="13"/>
      <c r="AA12" s="1"/>
      <c r="AB12" s="1" t="s">
        <v>17</v>
      </c>
      <c r="AC12" s="5"/>
      <c r="AD12" s="1"/>
      <c r="AE12" s="52"/>
      <c r="AF12" s="1"/>
      <c r="AG12" s="1"/>
      <c r="AH12" s="1"/>
      <c r="AI12" s="2">
        <v>1000</v>
      </c>
      <c r="AJ12" s="2">
        <v>214</v>
      </c>
      <c r="AK12" s="36">
        <f t="shared" si="0"/>
        <v>214000</v>
      </c>
      <c r="AL12" s="1"/>
    </row>
    <row r="13" spans="2:38" ht="15.75" thickBot="1" x14ac:dyDescent="0.3">
      <c r="B13" s="3" t="s">
        <v>18</v>
      </c>
      <c r="C13" s="3"/>
      <c r="D13" s="6">
        <f>+SUM(D5:D12)</f>
        <v>85051</v>
      </c>
      <c r="E13" s="1"/>
      <c r="F13" s="3" t="s">
        <v>18</v>
      </c>
      <c r="G13" s="3"/>
      <c r="H13" s="6">
        <f>+SUM(H5:H12)</f>
        <v>118570</v>
      </c>
      <c r="I13" s="1"/>
      <c r="J13" s="3" t="s">
        <v>18</v>
      </c>
      <c r="K13" s="3"/>
      <c r="L13" s="6">
        <f>+SUM(L5:L12)</f>
        <v>83290</v>
      </c>
      <c r="M13" s="1"/>
      <c r="N13" s="3" t="s">
        <v>18</v>
      </c>
      <c r="O13" s="3"/>
      <c r="P13" s="6">
        <f>+SUM(P5:P12)</f>
        <v>59980</v>
      </c>
      <c r="Q13" s="1"/>
      <c r="R13" s="3" t="s">
        <v>18</v>
      </c>
      <c r="S13" s="3"/>
      <c r="T13" s="6">
        <f>+SUM(T5:T12)</f>
        <v>25410</v>
      </c>
      <c r="U13" s="1"/>
      <c r="V13" s="12"/>
      <c r="W13" s="3" t="s">
        <v>18</v>
      </c>
      <c r="X13" s="3"/>
      <c r="Y13" s="6">
        <f>+SUM(Y5:Y12)</f>
        <v>372301</v>
      </c>
      <c r="Z13" s="13"/>
      <c r="AA13" s="1"/>
      <c r="AB13" s="1" t="s">
        <v>19</v>
      </c>
      <c r="AC13" s="5">
        <v>472981</v>
      </c>
      <c r="AD13" s="79" t="s">
        <v>492</v>
      </c>
      <c r="AE13" s="79"/>
      <c r="AF13" s="1"/>
      <c r="AG13" s="1"/>
      <c r="AH13" s="1"/>
      <c r="AI13" s="2">
        <v>5000</v>
      </c>
      <c r="AJ13" s="2">
        <v>10</v>
      </c>
      <c r="AK13" s="36">
        <f t="shared" si="0"/>
        <v>50000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472981</v>
      </c>
      <c r="AL14" s="1"/>
    </row>
    <row r="15" spans="2:38" ht="15.75" thickBot="1" x14ac:dyDescent="0.3">
      <c r="B15" s="105" t="s">
        <v>21</v>
      </c>
      <c r="C15" s="106"/>
      <c r="D15" s="8">
        <v>97859</v>
      </c>
      <c r="E15" s="30"/>
      <c r="F15" s="105" t="s">
        <v>21</v>
      </c>
      <c r="G15" s="106"/>
      <c r="H15" s="8">
        <v>135397.72</v>
      </c>
      <c r="I15" s="30"/>
      <c r="J15" s="105" t="s">
        <v>21</v>
      </c>
      <c r="K15" s="106"/>
      <c r="L15" s="8">
        <v>83284</v>
      </c>
      <c r="M15" s="30"/>
      <c r="N15" s="105" t="s">
        <v>21</v>
      </c>
      <c r="O15" s="106"/>
      <c r="P15" s="8">
        <v>68665</v>
      </c>
      <c r="Q15" s="30"/>
      <c r="R15" s="105" t="s">
        <v>21</v>
      </c>
      <c r="S15" s="106"/>
      <c r="T15" s="8">
        <v>394040</v>
      </c>
      <c r="U15" s="30"/>
      <c r="V15" s="31"/>
      <c r="W15" s="105" t="s">
        <v>21</v>
      </c>
      <c r="X15" s="106"/>
      <c r="Y15" s="8">
        <f>+D15+H15+L15+P15+T15</f>
        <v>779245.72</v>
      </c>
      <c r="Z15" s="32"/>
      <c r="AA15" s="30"/>
      <c r="AB15" s="1" t="s">
        <v>467</v>
      </c>
      <c r="AC15" s="5">
        <v>2000</v>
      </c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85051</v>
      </c>
      <c r="E16" s="1"/>
      <c r="F16" s="1" t="s">
        <v>10</v>
      </c>
      <c r="G16" s="1"/>
      <c r="H16" s="5">
        <f>+H13</f>
        <v>118570</v>
      </c>
      <c r="I16" s="1"/>
      <c r="J16" s="1" t="s">
        <v>10</v>
      </c>
      <c r="K16" s="1"/>
      <c r="L16" s="5">
        <f>+L13</f>
        <v>83290</v>
      </c>
      <c r="M16" s="1"/>
      <c r="N16" s="1" t="s">
        <v>10</v>
      </c>
      <c r="O16" s="1"/>
      <c r="P16" s="5">
        <f>+P13</f>
        <v>59980</v>
      </c>
      <c r="Q16" s="1"/>
      <c r="R16" s="1" t="s">
        <v>10</v>
      </c>
      <c r="S16" s="1"/>
      <c r="T16" s="5">
        <f>+T13</f>
        <v>25410</v>
      </c>
      <c r="U16" s="1"/>
      <c r="V16" s="12"/>
      <c r="W16" s="40" t="s">
        <v>10</v>
      </c>
      <c r="X16" s="40"/>
      <c r="Y16" s="37">
        <f>+D16+H16+L16+P16+T16</f>
        <v>372301</v>
      </c>
      <c r="Z16" s="13"/>
      <c r="AA16" s="1"/>
      <c r="AB16" s="1" t="s">
        <v>466</v>
      </c>
      <c r="AC16" s="96">
        <v>3000</v>
      </c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477981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449</v>
      </c>
      <c r="C18" s="1" t="s">
        <v>450</v>
      </c>
      <c r="D18" s="5">
        <v>6878</v>
      </c>
      <c r="E18" s="1"/>
      <c r="F18" s="1" t="s">
        <v>444</v>
      </c>
      <c r="G18" s="1" t="s">
        <v>446</v>
      </c>
      <c r="H18" s="5">
        <v>12595</v>
      </c>
      <c r="I18" s="1"/>
      <c r="J18" s="1" t="s">
        <v>24</v>
      </c>
      <c r="K18" s="1"/>
      <c r="L18" s="5"/>
      <c r="M18" s="1"/>
      <c r="N18" s="1" t="s">
        <v>244</v>
      </c>
      <c r="O18" s="1" t="s">
        <v>456</v>
      </c>
      <c r="P18" s="5">
        <v>5000</v>
      </c>
      <c r="Q18" s="1"/>
      <c r="R18" s="1" t="s">
        <v>453</v>
      </c>
      <c r="S18" s="1" t="s">
        <v>454</v>
      </c>
      <c r="T18" s="5">
        <v>52900</v>
      </c>
      <c r="U18" s="1"/>
      <c r="V18" s="12"/>
      <c r="W18" s="40" t="s">
        <v>24</v>
      </c>
      <c r="X18" s="40"/>
      <c r="Y18" s="37">
        <f t="shared" si="8"/>
        <v>77373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451</v>
      </c>
      <c r="C19" s="1" t="s">
        <v>452</v>
      </c>
      <c r="D19" s="5">
        <v>5930</v>
      </c>
      <c r="E19" s="1"/>
      <c r="F19" s="1" t="s">
        <v>280</v>
      </c>
      <c r="G19" s="1" t="s">
        <v>447</v>
      </c>
      <c r="H19" s="5">
        <v>4435</v>
      </c>
      <c r="I19" s="1"/>
      <c r="J19" s="1" t="s">
        <v>27</v>
      </c>
      <c r="K19" s="1"/>
      <c r="L19" s="5"/>
      <c r="M19" s="1"/>
      <c r="N19" s="1" t="s">
        <v>244</v>
      </c>
      <c r="O19" s="1" t="s">
        <v>457</v>
      </c>
      <c r="P19" s="5">
        <v>3479</v>
      </c>
      <c r="Q19" s="1"/>
      <c r="R19" s="1" t="s">
        <v>278</v>
      </c>
      <c r="S19" s="1" t="s">
        <v>455</v>
      </c>
      <c r="T19" s="5">
        <v>58280</v>
      </c>
      <c r="U19" s="1"/>
      <c r="V19" s="12"/>
      <c r="W19" s="40" t="s">
        <v>27</v>
      </c>
      <c r="X19" s="40"/>
      <c r="Y19" s="37">
        <f t="shared" si="8"/>
        <v>72124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459</v>
      </c>
      <c r="S22" s="1" t="s">
        <v>273</v>
      </c>
      <c r="T22" s="5">
        <v>59970</v>
      </c>
      <c r="U22" s="1"/>
      <c r="V22" s="12"/>
      <c r="W22" s="40"/>
      <c r="X22" s="40"/>
      <c r="Y22" s="37">
        <f t="shared" si="8"/>
        <v>59970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460</v>
      </c>
      <c r="S23" s="1" t="s">
        <v>461</v>
      </c>
      <c r="T23" s="5">
        <v>113128</v>
      </c>
      <c r="U23" s="1"/>
      <c r="V23" s="12"/>
      <c r="W23" s="40" t="s">
        <v>36</v>
      </c>
      <c r="X23" s="40"/>
      <c r="Y23" s="37">
        <f t="shared" si="8"/>
        <v>113128</v>
      </c>
      <c r="Z23" s="13"/>
      <c r="AA23" s="1"/>
      <c r="AB23" s="64" t="s">
        <v>433</v>
      </c>
      <c r="AC23" s="70">
        <v>45884</v>
      </c>
      <c r="AD23" s="64" t="s">
        <v>432</v>
      </c>
      <c r="AE23" s="64"/>
      <c r="AF23" s="64">
        <v>61000</v>
      </c>
      <c r="AH23" s="1"/>
      <c r="AI23" s="1"/>
      <c r="AJ23" s="1"/>
      <c r="AK23" s="1"/>
      <c r="AL23" s="62"/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462</v>
      </c>
      <c r="S24" s="1" t="s">
        <v>270</v>
      </c>
      <c r="T24" s="5">
        <v>48569</v>
      </c>
      <c r="U24" s="1"/>
      <c r="V24" s="12"/>
      <c r="W24" s="40" t="s">
        <v>37</v>
      </c>
      <c r="X24" s="40"/>
      <c r="Y24" s="37">
        <f t="shared" si="8"/>
        <v>48569</v>
      </c>
      <c r="Z24" s="13"/>
      <c r="AA24" s="1"/>
      <c r="AB24" s="64" t="s">
        <v>434</v>
      </c>
      <c r="AC24" s="76">
        <v>45904</v>
      </c>
      <c r="AD24" s="64" t="s">
        <v>250</v>
      </c>
      <c r="AE24" s="64"/>
      <c r="AF24" s="64">
        <v>34680</v>
      </c>
      <c r="AH24" s="1"/>
      <c r="AI24" s="1"/>
      <c r="AJ24" s="1"/>
      <c r="AK24" s="1"/>
      <c r="AL24" s="62"/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463</v>
      </c>
      <c r="S25" s="1" t="s">
        <v>464</v>
      </c>
      <c r="T25" s="5">
        <v>21906</v>
      </c>
      <c r="U25" s="1"/>
      <c r="V25" s="12"/>
      <c r="W25" s="40" t="s">
        <v>38</v>
      </c>
      <c r="X25" s="40"/>
      <c r="Y25" s="37">
        <f t="shared" si="8"/>
        <v>21906</v>
      </c>
      <c r="Z25" s="13"/>
      <c r="AA25" s="1"/>
      <c r="AB25" s="64" t="s">
        <v>117</v>
      </c>
      <c r="AC25" s="73">
        <v>45894</v>
      </c>
      <c r="AD25" s="64" t="s">
        <v>60</v>
      </c>
      <c r="AE25" s="64" t="s">
        <v>448</v>
      </c>
      <c r="AF25" s="64">
        <v>10000</v>
      </c>
      <c r="AH25" s="1"/>
      <c r="AI25" s="1"/>
      <c r="AJ25" s="1"/>
      <c r="AK25" s="1"/>
      <c r="AL25" s="62"/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465</v>
      </c>
      <c r="S26" s="1" t="s">
        <v>396</v>
      </c>
      <c r="T26" s="5">
        <v>11480</v>
      </c>
      <c r="U26" s="1"/>
      <c r="V26" s="12"/>
      <c r="W26" s="40"/>
      <c r="X26" s="40"/>
      <c r="Y26" s="37">
        <f t="shared" si="8"/>
        <v>11480</v>
      </c>
      <c r="Z26" s="13"/>
      <c r="AA26" s="1"/>
      <c r="AB26" s="1"/>
      <c r="AC26" s="1"/>
      <c r="AD26" s="1"/>
      <c r="AE26" s="1"/>
      <c r="AF26" s="20"/>
      <c r="AG26" s="1"/>
      <c r="AH26" s="1"/>
      <c r="AI26" s="1"/>
      <c r="AJ26" s="1"/>
      <c r="AK26" s="1"/>
      <c r="AL26" s="62"/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62"/>
    </row>
    <row r="28" spans="2:38" ht="15.75" thickBot="1" x14ac:dyDescent="0.3">
      <c r="B28" s="99" t="s">
        <v>12</v>
      </c>
      <c r="C28" s="100"/>
      <c r="D28" s="9">
        <f>+SUM(D16:D27)</f>
        <v>97859</v>
      </c>
      <c r="E28" s="1"/>
      <c r="F28" s="99" t="s">
        <v>12</v>
      </c>
      <c r="G28" s="100"/>
      <c r="H28" s="9">
        <f>+SUM(H16:H27)</f>
        <v>135600</v>
      </c>
      <c r="I28" s="1"/>
      <c r="J28" s="99" t="s">
        <v>12</v>
      </c>
      <c r="K28" s="100"/>
      <c r="L28" s="9">
        <f>+SUM(L16:L27)</f>
        <v>83290</v>
      </c>
      <c r="M28" s="1"/>
      <c r="N28" s="99" t="s">
        <v>12</v>
      </c>
      <c r="O28" s="100"/>
      <c r="P28" s="9">
        <f>+SUM(P16:P27)</f>
        <v>68459</v>
      </c>
      <c r="Q28" s="1"/>
      <c r="R28" s="99" t="s">
        <v>12</v>
      </c>
      <c r="S28" s="100"/>
      <c r="T28" s="9">
        <f>+SUM(T16:T27)</f>
        <v>391643</v>
      </c>
      <c r="U28" s="1"/>
      <c r="V28" s="12"/>
      <c r="W28" s="99" t="s">
        <v>12</v>
      </c>
      <c r="X28" s="100"/>
      <c r="Y28" s="9">
        <f>+SUM(Y16:Y27)</f>
        <v>776851</v>
      </c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2"/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 x14ac:dyDescent="0.3">
      <c r="B30" s="101" t="s">
        <v>41</v>
      </c>
      <c r="C30" s="101"/>
      <c r="D30" s="7">
        <f>+D28-D15</f>
        <v>0</v>
      </c>
      <c r="E30" s="1"/>
      <c r="F30" s="101" t="s">
        <v>41</v>
      </c>
      <c r="G30" s="101"/>
      <c r="H30" s="7">
        <f>+H28-H15</f>
        <v>202.27999999999884</v>
      </c>
      <c r="I30" s="1"/>
      <c r="J30" s="101" t="s">
        <v>41</v>
      </c>
      <c r="K30" s="101"/>
      <c r="L30" s="7">
        <f>+L28-L15</f>
        <v>6</v>
      </c>
      <c r="M30" s="1"/>
      <c r="N30" s="101" t="s">
        <v>41</v>
      </c>
      <c r="O30" s="101"/>
      <c r="P30" s="7">
        <f>+P28-P15</f>
        <v>-206</v>
      </c>
      <c r="Q30" s="1"/>
      <c r="R30" s="101" t="s">
        <v>41</v>
      </c>
      <c r="S30" s="101"/>
      <c r="T30" s="7">
        <f>+T28-T15</f>
        <v>-2397</v>
      </c>
      <c r="U30" s="1"/>
      <c r="V30" s="12"/>
      <c r="W30" s="102" t="s">
        <v>41</v>
      </c>
      <c r="X30" s="102"/>
      <c r="Y30" s="41">
        <f>+Y28-Y15</f>
        <v>-2394.7199999999721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105680</v>
      </c>
      <c r="AG31" s="1"/>
      <c r="AH31" s="1"/>
      <c r="AI31" s="60" t="s">
        <v>40</v>
      </c>
      <c r="AJ31" s="60"/>
      <c r="AK31" s="60"/>
      <c r="AL31" s="55">
        <f>+SUM(AL23:AL30)</f>
        <v>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/>
      <c r="I34" s="1"/>
      <c r="J34" s="10" t="s">
        <v>42</v>
      </c>
      <c r="K34" s="11"/>
      <c r="L34" s="21"/>
      <c r="M34" s="1"/>
      <c r="N34" s="10" t="s">
        <v>42</v>
      </c>
      <c r="O34" s="11"/>
      <c r="P34" s="21"/>
      <c r="Q34" s="1"/>
      <c r="R34" s="10" t="s">
        <v>42</v>
      </c>
      <c r="S34" s="11"/>
      <c r="T34" s="21">
        <v>-470</v>
      </c>
      <c r="U34" s="1"/>
      <c r="V34" s="1"/>
      <c r="W34" s="42" t="s">
        <v>42</v>
      </c>
      <c r="X34" s="43"/>
      <c r="Y34" s="44">
        <f>+D34+H34+L34+P34+T34</f>
        <v>-470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458</v>
      </c>
      <c r="O35" s="16"/>
      <c r="P35" s="22">
        <v>206</v>
      </c>
      <c r="Q35" s="1"/>
      <c r="R35" s="12" t="s">
        <v>468</v>
      </c>
      <c r="S35" s="16"/>
      <c r="T35" s="22">
        <v>2867</v>
      </c>
      <c r="U35" s="1"/>
      <c r="V35" s="1"/>
      <c r="W35" s="45" t="s">
        <v>43</v>
      </c>
      <c r="X35" s="40"/>
      <c r="Y35" s="46">
        <f t="shared" ref="Y35:Y36" si="9">+D35+H35+L35+P35+T35</f>
        <v>3073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/>
      <c r="E36" s="1"/>
      <c r="F36" s="12" t="s">
        <v>45</v>
      </c>
      <c r="G36" s="16"/>
      <c r="H36" s="22">
        <v>-202</v>
      </c>
      <c r="I36" s="1"/>
      <c r="J36" s="12" t="s">
        <v>45</v>
      </c>
      <c r="K36" s="16"/>
      <c r="L36" s="22">
        <v>-6</v>
      </c>
      <c r="M36" s="1"/>
      <c r="N36" s="12" t="s">
        <v>45</v>
      </c>
      <c r="O36" s="16"/>
      <c r="P36" s="22"/>
      <c r="Q36" s="1"/>
      <c r="R36" s="12" t="s">
        <v>45</v>
      </c>
      <c r="S36" s="16"/>
      <c r="T36" s="22"/>
      <c r="U36" s="1"/>
      <c r="V36" s="1"/>
      <c r="W36" s="45" t="s">
        <v>44</v>
      </c>
      <c r="X36" s="40"/>
      <c r="Y36" s="46">
        <f t="shared" si="9"/>
        <v>-208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0</v>
      </c>
      <c r="E37" s="1"/>
      <c r="F37" s="12" t="s">
        <v>18</v>
      </c>
      <c r="G37" s="16"/>
      <c r="H37" s="22">
        <f>+SUM(H34:H36)</f>
        <v>-202</v>
      </c>
      <c r="I37" s="1"/>
      <c r="J37" s="12" t="s">
        <v>18</v>
      </c>
      <c r="K37" s="16"/>
      <c r="L37" s="22">
        <f>+SUM(L34:L36)</f>
        <v>-6</v>
      </c>
      <c r="M37" s="1"/>
      <c r="N37" s="12" t="s">
        <v>18</v>
      </c>
      <c r="O37" s="16"/>
      <c r="P37" s="22">
        <f>+SUM(P34:P36)</f>
        <v>206</v>
      </c>
      <c r="Q37" s="1"/>
      <c r="R37" s="12" t="s">
        <v>18</v>
      </c>
      <c r="S37" s="16"/>
      <c r="T37" s="22">
        <f>+SUM(T34:T36)</f>
        <v>2397</v>
      </c>
      <c r="U37" s="1"/>
      <c r="V37" s="1"/>
      <c r="W37" s="33" t="s">
        <v>18</v>
      </c>
      <c r="X37" s="34"/>
      <c r="Y37" s="35">
        <f>+SUM(Y34:Y36)</f>
        <v>2395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0.27999999999883585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0.28000000002793968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38"/>
  <sheetViews>
    <sheetView topLeftCell="A10" zoomScale="80" zoomScaleNormal="80" workbookViewId="0">
      <selection activeCell="T35" sqref="T35"/>
    </sheetView>
  </sheetViews>
  <sheetFormatPr defaultRowHeight="15" x14ac:dyDescent="0.25"/>
  <cols>
    <col min="3" max="3" width="13.5703125" bestFit="1" customWidth="1"/>
    <col min="5" max="5" width="0.5703125" customWidth="1"/>
    <col min="7" max="7" width="13.7109375" bestFit="1" customWidth="1"/>
    <col min="9" max="9" width="0.85546875" customWidth="1"/>
    <col min="11" max="11" width="13.28515625" bestFit="1" customWidth="1"/>
    <col min="13" max="13" width="0.42578125" customWidth="1"/>
    <col min="17" max="17" width="1.28515625" customWidth="1"/>
    <col min="20" max="20" width="9.5703125" bestFit="1" customWidth="1"/>
    <col min="21" max="21" width="0.42578125" customWidth="1"/>
    <col min="22" max="22" width="0.7109375" customWidth="1"/>
    <col min="25" max="25" width="11.140625" bestFit="1" customWidth="1"/>
    <col min="26" max="27" width="0.5703125" customWidth="1"/>
    <col min="28" max="28" width="16.28515625" bestFit="1" customWidth="1"/>
    <col min="29" max="29" width="11.140625" bestFit="1" customWidth="1"/>
    <col min="33" max="33" width="3.42578125" customWidth="1"/>
    <col min="34" max="34" width="9.140625" hidden="1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477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>
        <v>3</v>
      </c>
      <c r="L5" s="36">
        <f>+K5*J5</f>
        <v>3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3</v>
      </c>
      <c r="Y5" s="37">
        <f>+D5+H5+L5+P5+T5</f>
        <v>3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240</v>
      </c>
      <c r="D6" s="36">
        <f>+C6*B6</f>
        <v>2400</v>
      </c>
      <c r="E6" s="1"/>
      <c r="F6" s="2">
        <v>10</v>
      </c>
      <c r="G6" s="2">
        <v>107</v>
      </c>
      <c r="H6" s="36">
        <f>+G6*F6</f>
        <v>1070</v>
      </c>
      <c r="I6" s="1"/>
      <c r="J6" s="2">
        <v>10</v>
      </c>
      <c r="K6" s="2">
        <v>100</v>
      </c>
      <c r="L6" s="36">
        <f>+K6*J6</f>
        <v>1000</v>
      </c>
      <c r="M6" s="1"/>
      <c r="N6" s="2">
        <v>10</v>
      </c>
      <c r="O6" s="2"/>
      <c r="P6" s="36">
        <f>+O6*N6</f>
        <v>0</v>
      </c>
      <c r="Q6" s="1"/>
      <c r="R6" s="2">
        <v>10</v>
      </c>
      <c r="S6" s="2">
        <v>1</v>
      </c>
      <c r="T6" s="36">
        <f>+S6*R6</f>
        <v>10</v>
      </c>
      <c r="U6" s="1"/>
      <c r="V6" s="12"/>
      <c r="W6" s="39">
        <v>10</v>
      </c>
      <c r="X6" s="39">
        <f>+C6+G6+K6+O6+S6</f>
        <v>448</v>
      </c>
      <c r="Y6" s="37">
        <f>+D6+H6+L6+P6+T6</f>
        <v>4480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3</v>
      </c>
      <c r="AK6" s="36">
        <f t="shared" ref="AK6:AK13" si="0">+AJ6*AI6</f>
        <v>3</v>
      </c>
      <c r="AL6" s="26"/>
    </row>
    <row r="7" spans="2:38" x14ac:dyDescent="0.25">
      <c r="B7" s="2">
        <v>20</v>
      </c>
      <c r="C7" s="2">
        <v>27</v>
      </c>
      <c r="D7" s="36">
        <f t="shared" ref="D7:D12" si="1">+C7*B7</f>
        <v>540</v>
      </c>
      <c r="E7" s="1"/>
      <c r="F7" s="2">
        <v>20</v>
      </c>
      <c r="G7" s="2">
        <v>26</v>
      </c>
      <c r="H7" s="36">
        <f t="shared" ref="H7:H12" si="2">+G7*F7</f>
        <v>520</v>
      </c>
      <c r="I7" s="1"/>
      <c r="J7" s="2">
        <v>20</v>
      </c>
      <c r="K7" s="2">
        <v>22</v>
      </c>
      <c r="L7" s="36">
        <f t="shared" ref="L7:L12" si="3">+K7*J7</f>
        <v>440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75</v>
      </c>
      <c r="Y7" s="37">
        <f t="shared" ref="Y7:Y12" si="6">+D7+H7+L7+P7+T7</f>
        <v>1500</v>
      </c>
      <c r="Z7" s="13"/>
      <c r="AA7" s="1"/>
      <c r="AB7" s="56" t="s">
        <v>10</v>
      </c>
      <c r="AC7" s="57">
        <f>Y13</f>
        <v>204733</v>
      </c>
      <c r="AD7" s="26"/>
      <c r="AE7" s="26"/>
      <c r="AF7" s="26"/>
      <c r="AG7" s="26"/>
      <c r="AH7" s="1"/>
      <c r="AI7" s="2">
        <v>10</v>
      </c>
      <c r="AJ7" s="2">
        <v>449</v>
      </c>
      <c r="AK7" s="36">
        <f t="shared" si="0"/>
        <v>4490</v>
      </c>
      <c r="AL7" s="1"/>
    </row>
    <row r="8" spans="2:38" x14ac:dyDescent="0.25">
      <c r="B8" s="2">
        <v>50</v>
      </c>
      <c r="C8" s="2">
        <v>25</v>
      </c>
      <c r="D8" s="36">
        <f t="shared" si="1"/>
        <v>1250</v>
      </c>
      <c r="E8" s="1"/>
      <c r="F8" s="2">
        <v>50</v>
      </c>
      <c r="G8" s="2">
        <v>28</v>
      </c>
      <c r="H8" s="36">
        <f t="shared" si="2"/>
        <v>1400</v>
      </c>
      <c r="I8" s="1"/>
      <c r="J8" s="2">
        <v>50</v>
      </c>
      <c r="K8" s="2">
        <v>34</v>
      </c>
      <c r="L8" s="36">
        <f t="shared" si="3"/>
        <v>1700</v>
      </c>
      <c r="M8" s="1"/>
      <c r="N8" s="2">
        <v>50</v>
      </c>
      <c r="O8" s="2"/>
      <c r="P8" s="36">
        <f t="shared" si="4"/>
        <v>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87</v>
      </c>
      <c r="Y8" s="37">
        <f t="shared" si="6"/>
        <v>4350</v>
      </c>
      <c r="Z8" s="13"/>
      <c r="AA8" s="1"/>
      <c r="AB8" s="53" t="s">
        <v>11</v>
      </c>
      <c r="AC8" s="53">
        <f>+AF31</f>
        <v>1219455</v>
      </c>
      <c r="AD8" s="1"/>
      <c r="AE8" s="1"/>
      <c r="AF8" s="1"/>
      <c r="AG8" s="1"/>
      <c r="AH8" s="1"/>
      <c r="AI8" s="2">
        <v>20</v>
      </c>
      <c r="AJ8" s="2">
        <v>76</v>
      </c>
      <c r="AK8" s="36">
        <f t="shared" si="0"/>
        <v>1520</v>
      </c>
      <c r="AL8" s="1"/>
    </row>
    <row r="9" spans="2:38" ht="15.75" thickBot="1" x14ac:dyDescent="0.3">
      <c r="B9" s="2">
        <v>100</v>
      </c>
      <c r="C9" s="2">
        <v>26</v>
      </c>
      <c r="D9" s="36">
        <f t="shared" si="1"/>
        <v>2600</v>
      </c>
      <c r="E9" s="1"/>
      <c r="F9" s="2">
        <v>100</v>
      </c>
      <c r="G9" s="2">
        <v>38</v>
      </c>
      <c r="H9" s="36">
        <f t="shared" si="2"/>
        <v>3800</v>
      </c>
      <c r="I9" s="1"/>
      <c r="J9" s="2">
        <v>100</v>
      </c>
      <c r="K9" s="2">
        <v>61</v>
      </c>
      <c r="L9" s="36">
        <f t="shared" si="3"/>
        <v>6100</v>
      </c>
      <c r="M9" s="1"/>
      <c r="N9" s="2">
        <v>100</v>
      </c>
      <c r="O9" s="2"/>
      <c r="P9" s="36">
        <f t="shared" si="4"/>
        <v>0</v>
      </c>
      <c r="Q9" s="1"/>
      <c r="R9" s="2">
        <v>100</v>
      </c>
      <c r="S9" s="2">
        <v>4</v>
      </c>
      <c r="T9" s="36">
        <f t="shared" si="5"/>
        <v>400</v>
      </c>
      <c r="U9" s="1"/>
      <c r="V9" s="12"/>
      <c r="W9" s="39">
        <v>100</v>
      </c>
      <c r="X9" s="39">
        <f t="shared" si="7"/>
        <v>129</v>
      </c>
      <c r="Y9" s="37">
        <f t="shared" si="6"/>
        <v>12900</v>
      </c>
      <c r="Z9" s="13"/>
      <c r="AA9" s="1"/>
      <c r="AB9" s="58" t="s">
        <v>12</v>
      </c>
      <c r="AC9" s="59">
        <f>SUM(AC7:AC8)</f>
        <v>1424188</v>
      </c>
      <c r="AD9" s="1"/>
      <c r="AE9" s="1"/>
      <c r="AF9" s="1"/>
      <c r="AG9" s="1"/>
      <c r="AH9" s="1"/>
      <c r="AI9" s="2">
        <v>50</v>
      </c>
      <c r="AJ9" s="2">
        <v>88</v>
      </c>
      <c r="AK9" s="36">
        <f t="shared" si="0"/>
        <v>4400</v>
      </c>
      <c r="AL9" s="1"/>
    </row>
    <row r="10" spans="2:38" x14ac:dyDescent="0.25">
      <c r="B10" s="2">
        <v>500</v>
      </c>
      <c r="C10" s="2">
        <v>21</v>
      </c>
      <c r="D10" s="36">
        <f t="shared" si="1"/>
        <v>10500</v>
      </c>
      <c r="E10" s="1"/>
      <c r="F10" s="2">
        <v>500</v>
      </c>
      <c r="G10" s="2">
        <v>27</v>
      </c>
      <c r="H10" s="36">
        <f t="shared" si="2"/>
        <v>13500</v>
      </c>
      <c r="I10" s="1"/>
      <c r="J10" s="2">
        <v>500</v>
      </c>
      <c r="K10" s="2">
        <v>36</v>
      </c>
      <c r="L10" s="36">
        <f t="shared" si="3"/>
        <v>18000</v>
      </c>
      <c r="M10" s="1"/>
      <c r="N10" s="2">
        <v>500</v>
      </c>
      <c r="O10" s="2"/>
      <c r="P10" s="36">
        <f t="shared" si="4"/>
        <v>0</v>
      </c>
      <c r="Q10" s="1"/>
      <c r="R10" s="2">
        <v>500</v>
      </c>
      <c r="S10" s="2">
        <v>11</v>
      </c>
      <c r="T10" s="36">
        <f t="shared" si="5"/>
        <v>5500</v>
      </c>
      <c r="U10" s="1"/>
      <c r="V10" s="12"/>
      <c r="W10" s="39">
        <v>500</v>
      </c>
      <c r="X10" s="39">
        <f t="shared" si="7"/>
        <v>95</v>
      </c>
      <c r="Y10" s="37">
        <f t="shared" si="6"/>
        <v>47500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133</v>
      </c>
      <c r="AK10" s="36">
        <f t="shared" si="0"/>
        <v>13300</v>
      </c>
      <c r="AL10" s="1"/>
    </row>
    <row r="11" spans="2:38" x14ac:dyDescent="0.25">
      <c r="B11" s="2">
        <v>1000</v>
      </c>
      <c r="C11" s="2">
        <v>28</v>
      </c>
      <c r="D11" s="36">
        <f t="shared" si="1"/>
        <v>28000</v>
      </c>
      <c r="E11" s="1"/>
      <c r="F11" s="2">
        <v>1000</v>
      </c>
      <c r="G11" s="2">
        <v>20</v>
      </c>
      <c r="H11" s="36">
        <f t="shared" si="2"/>
        <v>20000</v>
      </c>
      <c r="I11" s="1"/>
      <c r="J11" s="2">
        <v>1000</v>
      </c>
      <c r="K11" s="2">
        <v>47</v>
      </c>
      <c r="L11" s="36">
        <f t="shared" si="3"/>
        <v>47000</v>
      </c>
      <c r="M11" s="1"/>
      <c r="N11" s="2">
        <v>1000</v>
      </c>
      <c r="O11" s="2"/>
      <c r="P11" s="36">
        <f t="shared" si="4"/>
        <v>0</v>
      </c>
      <c r="Q11" s="1"/>
      <c r="R11" s="2">
        <v>1000</v>
      </c>
      <c r="S11" s="2">
        <v>4</v>
      </c>
      <c r="T11" s="36">
        <f t="shared" si="5"/>
        <v>4000</v>
      </c>
      <c r="U11" s="1"/>
      <c r="V11" s="12"/>
      <c r="W11" s="39">
        <v>1000</v>
      </c>
      <c r="X11" s="39">
        <f t="shared" si="7"/>
        <v>99</v>
      </c>
      <c r="Y11" s="37">
        <f t="shared" si="6"/>
        <v>99000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549</v>
      </c>
      <c r="AK11" s="36">
        <f t="shared" si="0"/>
        <v>274500</v>
      </c>
      <c r="AL11" s="1"/>
    </row>
    <row r="12" spans="2:38" x14ac:dyDescent="0.25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4</v>
      </c>
      <c r="H12" s="36">
        <f t="shared" si="2"/>
        <v>20000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7</v>
      </c>
      <c r="Y12" s="37">
        <f t="shared" si="6"/>
        <v>35000</v>
      </c>
      <c r="Z12" s="13"/>
      <c r="AA12" s="1"/>
      <c r="AB12" s="1" t="s">
        <v>17</v>
      </c>
      <c r="AC12" s="5">
        <v>1396300</v>
      </c>
      <c r="AD12" s="1">
        <v>989392</v>
      </c>
      <c r="AE12" s="52" t="s">
        <v>493</v>
      </c>
      <c r="AF12" s="1" t="s">
        <v>103</v>
      </c>
      <c r="AG12" s="1"/>
      <c r="AH12" s="1"/>
      <c r="AI12" s="2">
        <v>1000</v>
      </c>
      <c r="AJ12" s="2">
        <v>593</v>
      </c>
      <c r="AK12" s="36">
        <f t="shared" si="0"/>
        <v>593000</v>
      </c>
      <c r="AL12" s="1"/>
    </row>
    <row r="13" spans="2:38" ht="15.75" thickBot="1" x14ac:dyDescent="0.3">
      <c r="B13" s="3" t="s">
        <v>18</v>
      </c>
      <c r="C13" s="3"/>
      <c r="D13" s="6">
        <f>+SUM(D5:D12)</f>
        <v>55290</v>
      </c>
      <c r="E13" s="1"/>
      <c r="F13" s="3" t="s">
        <v>18</v>
      </c>
      <c r="G13" s="3"/>
      <c r="H13" s="6">
        <f>+SUM(H5:H12)</f>
        <v>60290</v>
      </c>
      <c r="I13" s="1"/>
      <c r="J13" s="3" t="s">
        <v>18</v>
      </c>
      <c r="K13" s="3"/>
      <c r="L13" s="6">
        <f>+SUM(L5:L12)</f>
        <v>79243</v>
      </c>
      <c r="M13" s="1"/>
      <c r="N13" s="3" t="s">
        <v>18</v>
      </c>
      <c r="O13" s="3"/>
      <c r="P13" s="6">
        <f>+SUM(P5:P12)</f>
        <v>0</v>
      </c>
      <c r="Q13" s="1"/>
      <c r="R13" s="3" t="s">
        <v>18</v>
      </c>
      <c r="S13" s="3"/>
      <c r="T13" s="6">
        <f>+SUM(T5:T12)</f>
        <v>9910</v>
      </c>
      <c r="U13" s="1"/>
      <c r="V13" s="12"/>
      <c r="W13" s="3" t="s">
        <v>18</v>
      </c>
      <c r="X13" s="3"/>
      <c r="Y13" s="6">
        <f>+SUM(Y5:Y12)</f>
        <v>204733</v>
      </c>
      <c r="Z13" s="13"/>
      <c r="AA13" s="1"/>
      <c r="AB13" s="1" t="s">
        <v>19</v>
      </c>
      <c r="AC13" s="5">
        <v>8860</v>
      </c>
      <c r="AD13" s="1"/>
      <c r="AE13" s="1"/>
      <c r="AF13" s="1"/>
      <c r="AG13" s="1"/>
      <c r="AH13" s="1"/>
      <c r="AI13" s="2">
        <v>5000</v>
      </c>
      <c r="AJ13" s="2">
        <v>8</v>
      </c>
      <c r="AK13" s="36">
        <f t="shared" si="0"/>
        <v>40000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491</v>
      </c>
      <c r="AC14" s="93">
        <v>5000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931213</v>
      </c>
      <c r="AL14" s="1"/>
    </row>
    <row r="15" spans="2:38" ht="15.75" thickBot="1" x14ac:dyDescent="0.3">
      <c r="B15" s="105" t="s">
        <v>21</v>
      </c>
      <c r="C15" s="106"/>
      <c r="D15" s="8">
        <v>75259</v>
      </c>
      <c r="E15" s="30"/>
      <c r="F15" s="105" t="s">
        <v>21</v>
      </c>
      <c r="G15" s="106"/>
      <c r="H15" s="8">
        <v>86267</v>
      </c>
      <c r="I15" s="30"/>
      <c r="J15" s="105" t="s">
        <v>21</v>
      </c>
      <c r="K15" s="106"/>
      <c r="L15" s="8">
        <v>97300</v>
      </c>
      <c r="M15" s="30"/>
      <c r="N15" s="105" t="s">
        <v>21</v>
      </c>
      <c r="O15" s="106"/>
      <c r="P15" s="8"/>
      <c r="Q15" s="30"/>
      <c r="R15" s="105" t="s">
        <v>21</v>
      </c>
      <c r="S15" s="106"/>
      <c r="T15" s="8">
        <v>984883.8</v>
      </c>
      <c r="U15" s="30"/>
      <c r="V15" s="31"/>
      <c r="W15" s="105" t="s">
        <v>21</v>
      </c>
      <c r="X15" s="106"/>
      <c r="Y15" s="8">
        <f>+D15+H15+L15+P15+T15</f>
        <v>1243709.8</v>
      </c>
      <c r="Z15" s="32"/>
      <c r="AA15" s="30"/>
      <c r="AB15" s="1" t="s">
        <v>476</v>
      </c>
      <c r="AC15" s="93">
        <v>5000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55290</v>
      </c>
      <c r="E16" s="1"/>
      <c r="F16" s="1" t="s">
        <v>10</v>
      </c>
      <c r="G16" s="1"/>
      <c r="H16" s="5">
        <f>+H13</f>
        <v>60290</v>
      </c>
      <c r="I16" s="1"/>
      <c r="J16" s="1" t="s">
        <v>10</v>
      </c>
      <c r="K16" s="1"/>
      <c r="L16" s="5">
        <f>+L13</f>
        <v>79243</v>
      </c>
      <c r="M16" s="1"/>
      <c r="N16" s="1" t="s">
        <v>10</v>
      </c>
      <c r="O16" s="1"/>
      <c r="P16" s="5">
        <f>+P13</f>
        <v>0</v>
      </c>
      <c r="Q16" s="1"/>
      <c r="R16" s="1" t="s">
        <v>10</v>
      </c>
      <c r="S16" s="1"/>
      <c r="T16" s="5">
        <f>+T13</f>
        <v>9910</v>
      </c>
      <c r="U16" s="1"/>
      <c r="V16" s="12"/>
      <c r="W16" s="40" t="s">
        <v>10</v>
      </c>
      <c r="X16" s="40"/>
      <c r="Y16" s="37">
        <f>+D16+H16+L16+P16+T16</f>
        <v>204733</v>
      </c>
      <c r="Z16" s="13"/>
      <c r="AA16" s="1"/>
      <c r="AB16" s="1" t="s">
        <v>842</v>
      </c>
      <c r="AC16" s="93">
        <v>10000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1425160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486</v>
      </c>
      <c r="C18" s="1" t="s">
        <v>487</v>
      </c>
      <c r="D18" s="5">
        <v>12500</v>
      </c>
      <c r="E18" s="1"/>
      <c r="F18" s="1" t="s">
        <v>412</v>
      </c>
      <c r="G18" s="1" t="s">
        <v>469</v>
      </c>
      <c r="H18" s="5">
        <v>5000</v>
      </c>
      <c r="I18" s="1"/>
      <c r="J18" s="1" t="s">
        <v>478</v>
      </c>
      <c r="K18" s="1" t="s">
        <v>479</v>
      </c>
      <c r="L18" s="5">
        <v>12100</v>
      </c>
      <c r="M18" s="1"/>
      <c r="N18" s="1" t="s">
        <v>24</v>
      </c>
      <c r="O18" s="1"/>
      <c r="P18" s="5"/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29600</v>
      </c>
      <c r="Z18" s="13"/>
      <c r="AA18" s="1"/>
      <c r="AB18" s="50" t="s">
        <v>25</v>
      </c>
      <c r="AC18" s="51">
        <f>+AC17-AC9</f>
        <v>972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488</v>
      </c>
      <c r="C19" s="1" t="s">
        <v>489</v>
      </c>
      <c r="D19" s="5">
        <v>7774</v>
      </c>
      <c r="E19" s="1"/>
      <c r="F19" s="1" t="s">
        <v>244</v>
      </c>
      <c r="G19" s="1" t="s">
        <v>470</v>
      </c>
      <c r="H19" s="5">
        <v>9900</v>
      </c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17674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471</v>
      </c>
      <c r="G20" s="1" t="s">
        <v>472</v>
      </c>
      <c r="H20" s="5">
        <v>5900</v>
      </c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5900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 t="s">
        <v>471</v>
      </c>
      <c r="G21" s="1" t="s">
        <v>473</v>
      </c>
      <c r="H21" s="5">
        <v>5288</v>
      </c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5288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480</v>
      </c>
      <c r="K23" s="1" t="s">
        <v>481</v>
      </c>
      <c r="L23" s="5">
        <v>5957</v>
      </c>
      <c r="M23" s="1"/>
      <c r="N23" s="1" t="s">
        <v>53</v>
      </c>
      <c r="O23" s="1"/>
      <c r="P23" s="5"/>
      <c r="Q23" s="1"/>
      <c r="R23" s="1" t="s">
        <v>474</v>
      </c>
      <c r="S23" s="1" t="s">
        <v>235</v>
      </c>
      <c r="T23" s="5">
        <v>894880</v>
      </c>
      <c r="U23" s="1"/>
      <c r="V23" s="12"/>
      <c r="W23" s="40" t="s">
        <v>36</v>
      </c>
      <c r="X23" s="40"/>
      <c r="Y23" s="37">
        <f t="shared" si="8"/>
        <v>900837</v>
      </c>
      <c r="Z23" s="13"/>
      <c r="AA23" s="1"/>
      <c r="AB23" s="64" t="s">
        <v>475</v>
      </c>
      <c r="AC23" s="76">
        <v>45904</v>
      </c>
      <c r="AD23" s="64" t="s">
        <v>235</v>
      </c>
      <c r="AE23" s="64"/>
      <c r="AF23" s="64">
        <v>746474</v>
      </c>
      <c r="AG23" s="1"/>
      <c r="AH23" s="1"/>
      <c r="AI23" s="1"/>
      <c r="AJ23" s="1"/>
      <c r="AK23" s="1"/>
      <c r="AL23" s="62"/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482</v>
      </c>
      <c r="S24" s="1" t="s">
        <v>483</v>
      </c>
      <c r="T24" s="5">
        <v>14905</v>
      </c>
      <c r="U24" s="1"/>
      <c r="V24" s="12"/>
      <c r="W24" s="40" t="s">
        <v>37</v>
      </c>
      <c r="X24" s="40"/>
      <c r="Y24" s="37">
        <f t="shared" si="8"/>
        <v>14905</v>
      </c>
      <c r="Z24" s="13"/>
      <c r="AA24" s="1"/>
      <c r="AB24" s="78">
        <v>45913</v>
      </c>
      <c r="AC24" s="107" t="s">
        <v>312</v>
      </c>
      <c r="AD24" s="107"/>
      <c r="AE24" s="107"/>
      <c r="AF24" s="79">
        <v>472981</v>
      </c>
      <c r="AG24" s="1"/>
      <c r="AH24" s="1"/>
      <c r="AI24" s="1"/>
      <c r="AJ24" s="1"/>
      <c r="AK24" s="1"/>
      <c r="AL24" s="62"/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484</v>
      </c>
      <c r="S25" s="1" t="s">
        <v>485</v>
      </c>
      <c r="T25" s="5">
        <v>65019</v>
      </c>
      <c r="U25" s="1"/>
      <c r="V25" s="12"/>
      <c r="W25" s="40" t="s">
        <v>38</v>
      </c>
      <c r="X25" s="40"/>
      <c r="Y25" s="37">
        <f t="shared" si="8"/>
        <v>65019</v>
      </c>
      <c r="Z25" s="13"/>
      <c r="AA25" s="1"/>
      <c r="AG25" s="1"/>
      <c r="AH25" s="1"/>
      <c r="AI25" s="1"/>
      <c r="AJ25" s="1"/>
      <c r="AK25" s="1"/>
      <c r="AL25" s="62"/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36</v>
      </c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1"/>
      <c r="AJ26" s="1"/>
      <c r="AK26" s="1"/>
      <c r="AL26" s="62"/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62"/>
    </row>
    <row r="28" spans="2:38" ht="15.75" thickBot="1" x14ac:dyDescent="0.3">
      <c r="B28" s="99" t="s">
        <v>12</v>
      </c>
      <c r="C28" s="100"/>
      <c r="D28" s="9">
        <f>+SUM(D16:D27)</f>
        <v>75564</v>
      </c>
      <c r="E28" s="1"/>
      <c r="F28" s="99" t="s">
        <v>12</v>
      </c>
      <c r="G28" s="100"/>
      <c r="H28" s="9">
        <f>+SUM(H16:H27)</f>
        <v>86378</v>
      </c>
      <c r="I28" s="1"/>
      <c r="J28" s="99" t="s">
        <v>12</v>
      </c>
      <c r="K28" s="100"/>
      <c r="L28" s="9">
        <f>+SUM(L16:L27)</f>
        <v>97300</v>
      </c>
      <c r="M28" s="1"/>
      <c r="N28" s="99" t="s">
        <v>12</v>
      </c>
      <c r="O28" s="100"/>
      <c r="P28" s="9">
        <f>+SUM(P16:P27)</f>
        <v>0</v>
      </c>
      <c r="Q28" s="1"/>
      <c r="R28" s="99" t="s">
        <v>12</v>
      </c>
      <c r="S28" s="100"/>
      <c r="T28" s="9">
        <f>+SUM(T16:T27)</f>
        <v>984714</v>
      </c>
      <c r="U28" s="1"/>
      <c r="V28" s="12"/>
      <c r="W28" s="99" t="s">
        <v>12</v>
      </c>
      <c r="X28" s="100"/>
      <c r="Y28" s="9">
        <f>+SUM(Y16:Y27)</f>
        <v>1243956</v>
      </c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2"/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 x14ac:dyDescent="0.3">
      <c r="B30" s="101" t="s">
        <v>41</v>
      </c>
      <c r="C30" s="101"/>
      <c r="D30" s="7">
        <f>+D28-D15</f>
        <v>305</v>
      </c>
      <c r="E30" s="1"/>
      <c r="F30" s="101" t="s">
        <v>41</v>
      </c>
      <c r="G30" s="101"/>
      <c r="H30" s="7">
        <f>+H28-H15</f>
        <v>111</v>
      </c>
      <c r="I30" s="1"/>
      <c r="J30" s="101" t="s">
        <v>41</v>
      </c>
      <c r="K30" s="101"/>
      <c r="L30" s="7">
        <f>+L28-L15</f>
        <v>0</v>
      </c>
      <c r="M30" s="1"/>
      <c r="N30" s="101" t="s">
        <v>41</v>
      </c>
      <c r="O30" s="101"/>
      <c r="P30" s="7">
        <f>+P28-P15</f>
        <v>0</v>
      </c>
      <c r="Q30" s="1"/>
      <c r="R30" s="101" t="s">
        <v>41</v>
      </c>
      <c r="S30" s="101"/>
      <c r="T30" s="7">
        <f>+T28-T15</f>
        <v>-169.80000000004657</v>
      </c>
      <c r="U30" s="1"/>
      <c r="V30" s="12"/>
      <c r="W30" s="102" t="s">
        <v>41</v>
      </c>
      <c r="X30" s="102"/>
      <c r="Y30" s="41">
        <f>+Y28-Y15</f>
        <v>246.19999999995343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1219455</v>
      </c>
      <c r="AG31" s="1"/>
      <c r="AH31" s="1"/>
      <c r="AI31" s="60" t="s">
        <v>40</v>
      </c>
      <c r="AJ31" s="60"/>
      <c r="AK31" s="60"/>
      <c r="AL31" s="55">
        <f>+SUM(AL23:AL30)</f>
        <v>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/>
      <c r="I34" s="1"/>
      <c r="J34" s="10" t="s">
        <v>42</v>
      </c>
      <c r="K34" s="11"/>
      <c r="L34" s="21"/>
      <c r="M34" s="1"/>
      <c r="N34" s="10" t="s">
        <v>42</v>
      </c>
      <c r="O34" s="11"/>
      <c r="P34" s="21"/>
      <c r="Q34" s="1"/>
      <c r="R34" s="10" t="s">
        <v>42</v>
      </c>
      <c r="S34" s="11"/>
      <c r="T34" s="21">
        <v>23</v>
      </c>
      <c r="U34" s="1"/>
      <c r="V34" s="1"/>
      <c r="W34" s="42" t="s">
        <v>42</v>
      </c>
      <c r="X34" s="43"/>
      <c r="Y34" s="44">
        <f>+D34+H34+L34+P34+T34</f>
        <v>23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490</v>
      </c>
      <c r="S35" s="16"/>
      <c r="T35" s="22">
        <v>147</v>
      </c>
      <c r="U35" s="1"/>
      <c r="V35" s="1"/>
      <c r="W35" s="45" t="s">
        <v>43</v>
      </c>
      <c r="X35" s="40"/>
      <c r="Y35" s="46">
        <f t="shared" ref="Y35:Y36" si="9">+D35+H35+L35+P35+T35</f>
        <v>147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>
        <v>-305</v>
      </c>
      <c r="E36" s="1"/>
      <c r="F36" s="12" t="s">
        <v>45</v>
      </c>
      <c r="G36" s="16"/>
      <c r="H36" s="22">
        <v>-111</v>
      </c>
      <c r="I36" s="1"/>
      <c r="J36" s="12" t="s">
        <v>45</v>
      </c>
      <c r="K36" s="16"/>
      <c r="L36" s="22"/>
      <c r="M36" s="1"/>
      <c r="N36" s="12" t="s">
        <v>45</v>
      </c>
      <c r="O36" s="16"/>
      <c r="P36" s="22"/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-416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-305</v>
      </c>
      <c r="E37" s="1"/>
      <c r="F37" s="12" t="s">
        <v>18</v>
      </c>
      <c r="G37" s="16"/>
      <c r="H37" s="22">
        <f>+SUM(H34:H36)</f>
        <v>-111</v>
      </c>
      <c r="I37" s="1"/>
      <c r="J37" s="12" t="s">
        <v>18</v>
      </c>
      <c r="K37" s="16"/>
      <c r="L37" s="22">
        <f>+SUM(L34:L36)</f>
        <v>0</v>
      </c>
      <c r="M37" s="1"/>
      <c r="N37" s="12" t="s">
        <v>18</v>
      </c>
      <c r="O37" s="16"/>
      <c r="P37" s="22">
        <f>+SUM(P34:P36)</f>
        <v>0</v>
      </c>
      <c r="Q37" s="1"/>
      <c r="R37" s="12" t="s">
        <v>18</v>
      </c>
      <c r="S37" s="16"/>
      <c r="T37" s="22">
        <f>+SUM(T34:T36)</f>
        <v>170</v>
      </c>
      <c r="U37" s="1"/>
      <c r="V37" s="1"/>
      <c r="W37" s="33" t="s">
        <v>18</v>
      </c>
      <c r="X37" s="34"/>
      <c r="Y37" s="35">
        <f>+SUM(Y34:Y36)</f>
        <v>-246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0.19999999995343387</v>
      </c>
      <c r="U38" s="1"/>
      <c r="V38" s="1"/>
      <c r="W38" s="23" t="s">
        <v>46</v>
      </c>
      <c r="X38" s="24"/>
      <c r="Y38" s="25">
        <f>+Y30+Y37</f>
        <v>0.19999999995343387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5">
    <mergeCell ref="AC24:AE24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38"/>
  <sheetViews>
    <sheetView zoomScale="80" zoomScaleNormal="80" workbookViewId="0">
      <selection activeCell="AF18" sqref="AF18"/>
    </sheetView>
  </sheetViews>
  <sheetFormatPr defaultRowHeight="15" x14ac:dyDescent="0.25"/>
  <cols>
    <col min="5" max="5" width="0.5703125" customWidth="1"/>
    <col min="6" max="6" width="13.5703125" bestFit="1" customWidth="1"/>
    <col min="7" max="7" width="16.140625" customWidth="1"/>
    <col min="8" max="8" width="9.140625" customWidth="1"/>
    <col min="9" max="9" width="0.85546875" customWidth="1"/>
    <col min="10" max="10" width="13.5703125" bestFit="1" customWidth="1"/>
    <col min="11" max="11" width="14" bestFit="1" customWidth="1"/>
    <col min="13" max="13" width="0.28515625" customWidth="1"/>
    <col min="15" max="15" width="13.42578125" bestFit="1" customWidth="1"/>
    <col min="16" max="16" width="9.5703125" bestFit="1" customWidth="1"/>
    <col min="17" max="17" width="0.28515625" customWidth="1"/>
    <col min="18" max="19" width="13.5703125" bestFit="1" customWidth="1"/>
    <col min="20" max="20" width="9.5703125" bestFit="1" customWidth="1"/>
    <col min="21" max="21" width="0.85546875" customWidth="1"/>
    <col min="22" max="22" width="1.28515625" customWidth="1"/>
    <col min="25" max="25" width="9.5703125" bestFit="1" customWidth="1"/>
    <col min="26" max="26" width="1.28515625" customWidth="1"/>
    <col min="27" max="27" width="0.85546875" customWidth="1"/>
    <col min="28" max="28" width="15" bestFit="1" customWidth="1"/>
    <col min="29" max="29" width="10.5703125" bestFit="1" customWidth="1"/>
    <col min="32" max="32" width="9.140625" customWidth="1"/>
    <col min="33" max="33" width="1.140625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523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>
        <v>7</v>
      </c>
      <c r="H5" s="36">
        <f>+G5*F5</f>
        <v>7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7</v>
      </c>
      <c r="Y5" s="37">
        <f>+D5+H5+L5+P5+T5</f>
        <v>7</v>
      </c>
      <c r="Z5" s="28"/>
      <c r="AA5" s="26"/>
      <c r="AB5" s="72" t="s">
        <v>9</v>
      </c>
      <c r="AC5" s="71"/>
      <c r="AD5" s="71"/>
      <c r="AE5" s="71"/>
      <c r="AF5" s="71"/>
      <c r="AG5" s="8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355</v>
      </c>
      <c r="D6" s="36">
        <f>+C6*B6</f>
        <v>3550</v>
      </c>
      <c r="E6" s="1"/>
      <c r="F6" s="2">
        <v>10</v>
      </c>
      <c r="G6" s="2">
        <v>372</v>
      </c>
      <c r="H6" s="36">
        <f>+G6*F6</f>
        <v>3720</v>
      </c>
      <c r="I6" s="1"/>
      <c r="J6" s="2">
        <v>10</v>
      </c>
      <c r="K6" s="2">
        <v>274</v>
      </c>
      <c r="L6" s="36">
        <f>+K6*J6</f>
        <v>2740</v>
      </c>
      <c r="M6" s="1"/>
      <c r="N6" s="2">
        <v>10</v>
      </c>
      <c r="O6" s="2">
        <v>226</v>
      </c>
      <c r="P6" s="36">
        <f>+O6*N6</f>
        <v>2260</v>
      </c>
      <c r="Q6" s="1"/>
      <c r="R6" s="2">
        <v>10</v>
      </c>
      <c r="S6" s="2">
        <v>4</v>
      </c>
      <c r="T6" s="36">
        <f>+S6*R6</f>
        <v>40</v>
      </c>
      <c r="U6" s="1"/>
      <c r="V6" s="12"/>
      <c r="W6" s="39">
        <v>10</v>
      </c>
      <c r="X6" s="39">
        <f>+C6+G6+K6+O6+S6</f>
        <v>1231</v>
      </c>
      <c r="Y6" s="37">
        <f>+D6+H6+L6+P6+T6</f>
        <v>12310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 x14ac:dyDescent="0.25">
      <c r="B7" s="2">
        <v>20</v>
      </c>
      <c r="C7" s="2">
        <v>116</v>
      </c>
      <c r="D7" s="36">
        <f t="shared" ref="D7:D12" si="1">+C7*B7</f>
        <v>2320</v>
      </c>
      <c r="E7" s="1"/>
      <c r="F7" s="2">
        <v>20</v>
      </c>
      <c r="G7" s="2">
        <v>75</v>
      </c>
      <c r="H7" s="36">
        <f t="shared" ref="H7:H12" si="2">+G7*F7</f>
        <v>1500</v>
      </c>
      <c r="I7" s="1"/>
      <c r="J7" s="2">
        <v>20</v>
      </c>
      <c r="K7" s="2">
        <v>31</v>
      </c>
      <c r="L7" s="36">
        <f t="shared" ref="L7:L12" si="3">+K7*J7</f>
        <v>620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222</v>
      </c>
      <c r="Y7" s="37">
        <f t="shared" ref="Y7:Y12" si="6">+D7+H7+L7+P7+T7</f>
        <v>4440</v>
      </c>
      <c r="Z7" s="13"/>
      <c r="AA7" s="1"/>
      <c r="AB7" s="56" t="s">
        <v>10</v>
      </c>
      <c r="AC7" s="57">
        <f>Y13</f>
        <v>318607</v>
      </c>
      <c r="AD7" s="26"/>
      <c r="AE7" s="26"/>
      <c r="AF7" s="26"/>
      <c r="AG7" s="26"/>
      <c r="AH7" s="1"/>
      <c r="AI7" s="2">
        <v>10</v>
      </c>
      <c r="AJ7" s="2">
        <v>1232</v>
      </c>
      <c r="AK7" s="36">
        <f t="shared" si="0"/>
        <v>12320</v>
      </c>
      <c r="AL7" s="1"/>
    </row>
    <row r="8" spans="2:38" x14ac:dyDescent="0.25">
      <c r="B8" s="2">
        <v>50</v>
      </c>
      <c r="C8" s="2">
        <v>17</v>
      </c>
      <c r="D8" s="36">
        <f t="shared" si="1"/>
        <v>850</v>
      </c>
      <c r="E8" s="1"/>
      <c r="F8" s="2">
        <v>50</v>
      </c>
      <c r="G8" s="2">
        <v>30</v>
      </c>
      <c r="H8" s="36">
        <f t="shared" si="2"/>
        <v>1500</v>
      </c>
      <c r="I8" s="1"/>
      <c r="J8" s="2">
        <v>50</v>
      </c>
      <c r="K8" s="2">
        <v>49</v>
      </c>
      <c r="L8" s="36">
        <f t="shared" si="3"/>
        <v>2450</v>
      </c>
      <c r="M8" s="1"/>
      <c r="N8" s="2">
        <v>50</v>
      </c>
      <c r="O8" s="2">
        <v>17</v>
      </c>
      <c r="P8" s="36">
        <f t="shared" si="4"/>
        <v>850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113</v>
      </c>
      <c r="Y8" s="37">
        <f t="shared" si="6"/>
        <v>5650</v>
      </c>
      <c r="Z8" s="13"/>
      <c r="AA8" s="1"/>
      <c r="AB8" s="53" t="s">
        <v>11</v>
      </c>
      <c r="AC8" s="53">
        <f>+AF31</f>
        <v>24520</v>
      </c>
      <c r="AD8" s="1"/>
      <c r="AE8" s="1"/>
      <c r="AF8" s="1"/>
      <c r="AG8" s="1"/>
      <c r="AH8" s="1"/>
      <c r="AI8" s="2">
        <v>20</v>
      </c>
      <c r="AJ8" s="2">
        <v>225</v>
      </c>
      <c r="AK8" s="36">
        <f t="shared" si="0"/>
        <v>4500</v>
      </c>
      <c r="AL8" s="1"/>
    </row>
    <row r="9" spans="2:38" ht="15.75" thickBot="1" x14ac:dyDescent="0.3">
      <c r="B9" s="2">
        <v>100</v>
      </c>
      <c r="C9" s="2">
        <v>29</v>
      </c>
      <c r="D9" s="36">
        <f t="shared" si="1"/>
        <v>2900</v>
      </c>
      <c r="E9" s="1"/>
      <c r="F9" s="2">
        <v>100</v>
      </c>
      <c r="G9" s="2">
        <v>52</v>
      </c>
      <c r="H9" s="36">
        <f t="shared" si="2"/>
        <v>5200</v>
      </c>
      <c r="I9" s="1"/>
      <c r="J9" s="2">
        <v>100</v>
      </c>
      <c r="K9" s="2">
        <v>26</v>
      </c>
      <c r="L9" s="36">
        <f t="shared" si="3"/>
        <v>2600</v>
      </c>
      <c r="M9" s="1"/>
      <c r="N9" s="2">
        <v>100</v>
      </c>
      <c r="O9" s="2">
        <v>74</v>
      </c>
      <c r="P9" s="36">
        <f t="shared" si="4"/>
        <v>7400</v>
      </c>
      <c r="Q9" s="1"/>
      <c r="R9" s="2">
        <v>100</v>
      </c>
      <c r="S9" s="2">
        <v>1</v>
      </c>
      <c r="T9" s="36">
        <f t="shared" si="5"/>
        <v>100</v>
      </c>
      <c r="U9" s="1"/>
      <c r="V9" s="12"/>
      <c r="W9" s="39">
        <v>100</v>
      </c>
      <c r="X9" s="39">
        <f t="shared" si="7"/>
        <v>182</v>
      </c>
      <c r="Y9" s="37">
        <f t="shared" si="6"/>
        <v>18200</v>
      </c>
      <c r="Z9" s="13"/>
      <c r="AA9" s="1"/>
      <c r="AB9" s="58" t="s">
        <v>12</v>
      </c>
      <c r="AC9" s="59">
        <f>SUM(AC7:AC8)</f>
        <v>343127</v>
      </c>
      <c r="AD9" s="1"/>
      <c r="AE9" s="1"/>
      <c r="AF9" s="1"/>
      <c r="AG9" s="1"/>
      <c r="AH9" s="1"/>
      <c r="AI9" s="2">
        <v>50</v>
      </c>
      <c r="AJ9" s="2">
        <v>125</v>
      </c>
      <c r="AK9" s="36">
        <f t="shared" si="0"/>
        <v>6250</v>
      </c>
      <c r="AL9" s="1"/>
    </row>
    <row r="10" spans="2:38" x14ac:dyDescent="0.25">
      <c r="B10" s="2">
        <v>500</v>
      </c>
      <c r="C10" s="2">
        <v>37</v>
      </c>
      <c r="D10" s="36">
        <f t="shared" si="1"/>
        <v>18500</v>
      </c>
      <c r="E10" s="1"/>
      <c r="F10" s="2">
        <v>500</v>
      </c>
      <c r="G10" s="2">
        <v>22</v>
      </c>
      <c r="H10" s="36">
        <f t="shared" si="2"/>
        <v>11000</v>
      </c>
      <c r="I10" s="1"/>
      <c r="J10" s="2">
        <v>500</v>
      </c>
      <c r="K10" s="2">
        <v>36</v>
      </c>
      <c r="L10" s="36">
        <f t="shared" si="3"/>
        <v>18000</v>
      </c>
      <c r="M10" s="1"/>
      <c r="N10" s="2">
        <v>500</v>
      </c>
      <c r="O10" s="2">
        <v>36</v>
      </c>
      <c r="P10" s="36">
        <f t="shared" si="4"/>
        <v>18000</v>
      </c>
      <c r="Q10" s="1"/>
      <c r="R10" s="2">
        <v>500</v>
      </c>
      <c r="S10" s="2">
        <v>5</v>
      </c>
      <c r="T10" s="36">
        <f t="shared" si="5"/>
        <v>2500</v>
      </c>
      <c r="U10" s="1"/>
      <c r="V10" s="12"/>
      <c r="W10" s="39">
        <v>500</v>
      </c>
      <c r="X10" s="39">
        <f t="shared" si="7"/>
        <v>136</v>
      </c>
      <c r="Y10" s="37">
        <f t="shared" si="6"/>
        <v>68000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186</v>
      </c>
      <c r="AK10" s="36">
        <f t="shared" si="0"/>
        <v>18600</v>
      </c>
      <c r="AL10" s="1"/>
    </row>
    <row r="11" spans="2:38" x14ac:dyDescent="0.25">
      <c r="B11" s="2">
        <v>1000</v>
      </c>
      <c r="C11" s="2">
        <v>29</v>
      </c>
      <c r="D11" s="36">
        <f t="shared" si="1"/>
        <v>29000</v>
      </c>
      <c r="E11" s="1"/>
      <c r="F11" s="2">
        <v>1000</v>
      </c>
      <c r="G11" s="2">
        <v>29</v>
      </c>
      <c r="H11" s="36">
        <f t="shared" si="2"/>
        <v>29000</v>
      </c>
      <c r="I11" s="1"/>
      <c r="J11" s="2">
        <v>1000</v>
      </c>
      <c r="K11" s="2">
        <v>37</v>
      </c>
      <c r="L11" s="36">
        <f t="shared" si="3"/>
        <v>37000</v>
      </c>
      <c r="M11" s="1"/>
      <c r="N11" s="2">
        <v>1000</v>
      </c>
      <c r="O11" s="2">
        <v>57</v>
      </c>
      <c r="P11" s="36">
        <f t="shared" si="4"/>
        <v>57000</v>
      </c>
      <c r="Q11" s="1"/>
      <c r="R11" s="2">
        <v>1000</v>
      </c>
      <c r="S11" s="2">
        <v>33</v>
      </c>
      <c r="T11" s="36">
        <f t="shared" si="5"/>
        <v>33000</v>
      </c>
      <c r="U11" s="1"/>
      <c r="V11" s="12"/>
      <c r="W11" s="39">
        <v>1000</v>
      </c>
      <c r="X11" s="39">
        <f t="shared" si="7"/>
        <v>185</v>
      </c>
      <c r="Y11" s="37">
        <f t="shared" si="6"/>
        <v>185000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82"/>
      <c r="AH11" s="1"/>
      <c r="AI11" s="2">
        <v>500</v>
      </c>
      <c r="AJ11" s="2">
        <v>137</v>
      </c>
      <c r="AK11" s="36">
        <f t="shared" si="0"/>
        <v>68500</v>
      </c>
      <c r="AL11" s="1"/>
    </row>
    <row r="12" spans="2:38" x14ac:dyDescent="0.25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5</v>
      </c>
      <c r="Y12" s="37">
        <f t="shared" si="6"/>
        <v>25000</v>
      </c>
      <c r="Z12" s="13"/>
      <c r="AA12" s="1"/>
      <c r="AB12" s="1" t="s">
        <v>17</v>
      </c>
      <c r="AC12" s="5">
        <v>318030</v>
      </c>
      <c r="AD12" s="1">
        <v>974202</v>
      </c>
      <c r="AE12" s="52" t="s">
        <v>525</v>
      </c>
      <c r="AF12" s="1" t="s">
        <v>103</v>
      </c>
      <c r="AG12" s="1"/>
      <c r="AH12" s="1"/>
      <c r="AI12" s="2">
        <v>1000</v>
      </c>
      <c r="AJ12" s="2">
        <v>193</v>
      </c>
      <c r="AK12" s="36">
        <f t="shared" si="0"/>
        <v>193000</v>
      </c>
      <c r="AL12" s="1"/>
    </row>
    <row r="13" spans="2:38" ht="15.75" thickBot="1" x14ac:dyDescent="0.3">
      <c r="B13" s="3" t="s">
        <v>18</v>
      </c>
      <c r="C13" s="3"/>
      <c r="D13" s="6">
        <f>+SUM(D5:D12)</f>
        <v>62120</v>
      </c>
      <c r="E13" s="1"/>
      <c r="F13" s="3" t="s">
        <v>18</v>
      </c>
      <c r="G13" s="3"/>
      <c r="H13" s="6">
        <f>+SUM(H5:H12)</f>
        <v>56927</v>
      </c>
      <c r="I13" s="1"/>
      <c r="J13" s="3" t="s">
        <v>18</v>
      </c>
      <c r="K13" s="3"/>
      <c r="L13" s="6">
        <f>+SUM(L5:L12)</f>
        <v>73410</v>
      </c>
      <c r="M13" s="1"/>
      <c r="N13" s="3" t="s">
        <v>18</v>
      </c>
      <c r="O13" s="3"/>
      <c r="P13" s="6">
        <f>+SUM(P5:P12)</f>
        <v>90510</v>
      </c>
      <c r="Q13" s="1"/>
      <c r="R13" s="3" t="s">
        <v>18</v>
      </c>
      <c r="S13" s="3"/>
      <c r="T13" s="6">
        <f>+SUM(T5:T12)</f>
        <v>35640</v>
      </c>
      <c r="U13" s="1"/>
      <c r="V13" s="12"/>
      <c r="W13" s="3" t="s">
        <v>18</v>
      </c>
      <c r="X13" s="3"/>
      <c r="Y13" s="6">
        <f>+SUM(Y5:Y12)</f>
        <v>318607</v>
      </c>
      <c r="Z13" s="13"/>
      <c r="AA13" s="1"/>
      <c r="AB13" s="1" t="s">
        <v>19</v>
      </c>
      <c r="AC13" s="5">
        <v>10010</v>
      </c>
      <c r="AD13" s="1"/>
      <c r="AE13" s="1"/>
      <c r="AF13" s="1"/>
      <c r="AG13" s="1"/>
      <c r="AH13" s="1"/>
      <c r="AI13" s="2">
        <v>5000</v>
      </c>
      <c r="AJ13" s="2">
        <v>5</v>
      </c>
      <c r="AK13" s="36">
        <f t="shared" si="0"/>
        <v>25000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524</v>
      </c>
      <c r="AC14" s="93">
        <v>500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328170</v>
      </c>
      <c r="AL14" s="1"/>
    </row>
    <row r="15" spans="2:38" ht="15.75" thickBot="1" x14ac:dyDescent="0.3">
      <c r="B15" s="105" t="s">
        <v>21</v>
      </c>
      <c r="C15" s="106"/>
      <c r="D15" s="8">
        <v>62076</v>
      </c>
      <c r="E15" s="30"/>
      <c r="F15" s="105" t="s">
        <v>21</v>
      </c>
      <c r="G15" s="106"/>
      <c r="H15" s="8">
        <v>92277</v>
      </c>
      <c r="I15" s="30"/>
      <c r="J15" s="105" t="s">
        <v>21</v>
      </c>
      <c r="K15" s="106"/>
      <c r="L15" s="8">
        <v>87223</v>
      </c>
      <c r="M15" s="30"/>
      <c r="N15" s="105" t="s">
        <v>21</v>
      </c>
      <c r="O15" s="106"/>
      <c r="P15" s="8">
        <f>77546.78+60359.04</f>
        <v>137905.82</v>
      </c>
      <c r="Q15" s="30"/>
      <c r="R15" s="105" t="s">
        <v>21</v>
      </c>
      <c r="S15" s="106"/>
      <c r="T15" s="8">
        <v>166360</v>
      </c>
      <c r="U15" s="30"/>
      <c r="V15" s="31"/>
      <c r="W15" s="105" t="s">
        <v>21</v>
      </c>
      <c r="X15" s="106"/>
      <c r="Y15" s="8">
        <f>+D15+H15+L15+P15+T15</f>
        <v>545841.82000000007</v>
      </c>
      <c r="Z15" s="32"/>
      <c r="AA15" s="30"/>
      <c r="AB15" s="1" t="s">
        <v>476</v>
      </c>
      <c r="AC15" s="93">
        <v>10000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62120</v>
      </c>
      <c r="E16" s="1"/>
      <c r="F16" s="1" t="s">
        <v>10</v>
      </c>
      <c r="G16" s="1"/>
      <c r="H16" s="5">
        <f>+H13</f>
        <v>56927</v>
      </c>
      <c r="I16" s="1"/>
      <c r="J16" s="1" t="s">
        <v>10</v>
      </c>
      <c r="K16" s="1"/>
      <c r="L16" s="5">
        <f>+L13</f>
        <v>73410</v>
      </c>
      <c r="M16" s="1"/>
      <c r="N16" s="1" t="s">
        <v>10</v>
      </c>
      <c r="O16" s="1"/>
      <c r="P16" s="5">
        <f>+P13</f>
        <v>90510</v>
      </c>
      <c r="Q16" s="1"/>
      <c r="R16" s="1" t="s">
        <v>10</v>
      </c>
      <c r="S16" s="1"/>
      <c r="T16" s="5">
        <f>+T13</f>
        <v>35640</v>
      </c>
      <c r="U16" s="1"/>
      <c r="V16" s="12"/>
      <c r="W16" s="40" t="s">
        <v>10</v>
      </c>
      <c r="X16" s="40"/>
      <c r="Y16" s="37">
        <f>+D16+H16+L16+P16+T16</f>
        <v>318607</v>
      </c>
      <c r="Z16" s="13"/>
      <c r="AA16" s="1"/>
      <c r="AB16" s="1" t="s">
        <v>842</v>
      </c>
      <c r="AC16" s="93">
        <v>4500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343040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24</v>
      </c>
      <c r="C18" s="1"/>
      <c r="D18" s="5"/>
      <c r="E18" s="1"/>
      <c r="F18" s="1" t="s">
        <v>244</v>
      </c>
      <c r="G18" s="1" t="s">
        <v>494</v>
      </c>
      <c r="H18" s="5">
        <v>6813</v>
      </c>
      <c r="I18" s="1"/>
      <c r="J18" s="1" t="s">
        <v>499</v>
      </c>
      <c r="K18" s="1" t="s">
        <v>500</v>
      </c>
      <c r="L18" s="5">
        <v>3270</v>
      </c>
      <c r="M18" s="1"/>
      <c r="N18" s="1" t="s">
        <v>471</v>
      </c>
      <c r="O18" s="1" t="s">
        <v>503</v>
      </c>
      <c r="P18" s="5">
        <v>5598</v>
      </c>
      <c r="Q18" s="1"/>
      <c r="R18" s="1" t="s">
        <v>488</v>
      </c>
      <c r="S18" s="1" t="s">
        <v>517</v>
      </c>
      <c r="T18" s="5">
        <v>38000</v>
      </c>
      <c r="U18" s="1"/>
      <c r="V18" s="12"/>
      <c r="W18" s="40" t="s">
        <v>24</v>
      </c>
      <c r="X18" s="40"/>
      <c r="Y18" s="37">
        <f t="shared" si="8"/>
        <v>53681</v>
      </c>
      <c r="Z18" s="13"/>
      <c r="AA18" s="1"/>
      <c r="AB18" s="50" t="s">
        <v>25</v>
      </c>
      <c r="AC18" s="51">
        <f>+AC17-AC9</f>
        <v>-87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244</v>
      </c>
      <c r="G19" s="1" t="s">
        <v>495</v>
      </c>
      <c r="H19" s="5">
        <v>7060</v>
      </c>
      <c r="I19" s="1"/>
      <c r="J19" s="1" t="s">
        <v>501</v>
      </c>
      <c r="K19" s="1" t="s">
        <v>502</v>
      </c>
      <c r="L19" s="5">
        <v>10257</v>
      </c>
      <c r="M19" s="1"/>
      <c r="N19" s="1" t="s">
        <v>486</v>
      </c>
      <c r="O19" s="1" t="s">
        <v>504</v>
      </c>
      <c r="P19" s="5">
        <v>24650</v>
      </c>
      <c r="Q19" s="1"/>
      <c r="R19" s="1" t="s">
        <v>453</v>
      </c>
      <c r="S19" s="1" t="s">
        <v>518</v>
      </c>
      <c r="T19" s="5">
        <v>29114</v>
      </c>
      <c r="U19" s="1"/>
      <c r="V19" s="12"/>
      <c r="W19" s="40" t="s">
        <v>27</v>
      </c>
      <c r="X19" s="40"/>
      <c r="Y19" s="37">
        <f t="shared" si="8"/>
        <v>71081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478</v>
      </c>
      <c r="G20" s="1" t="s">
        <v>496</v>
      </c>
      <c r="H20" s="5">
        <v>6627</v>
      </c>
      <c r="I20" s="1"/>
      <c r="J20" s="1" t="s">
        <v>28</v>
      </c>
      <c r="K20" s="1"/>
      <c r="L20" s="5"/>
      <c r="M20" s="1"/>
      <c r="N20" s="1" t="s">
        <v>478</v>
      </c>
      <c r="O20" s="1" t="s">
        <v>505</v>
      </c>
      <c r="P20" s="5">
        <v>7570</v>
      </c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14197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 t="s">
        <v>478</v>
      </c>
      <c r="G21" s="1" t="s">
        <v>497</v>
      </c>
      <c r="H21" s="5">
        <v>14850</v>
      </c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14850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506</v>
      </c>
      <c r="O23" s="1" t="s">
        <v>507</v>
      </c>
      <c r="P23" s="5">
        <v>5788</v>
      </c>
      <c r="Q23" s="1"/>
      <c r="R23" s="1" t="s">
        <v>519</v>
      </c>
      <c r="S23" s="1" t="s">
        <v>520</v>
      </c>
      <c r="T23" s="5">
        <v>20789</v>
      </c>
      <c r="U23" s="1"/>
      <c r="V23" s="12"/>
      <c r="W23" s="40" t="s">
        <v>36</v>
      </c>
      <c r="X23" s="40"/>
      <c r="Y23" s="37">
        <f t="shared" si="8"/>
        <v>26577</v>
      </c>
      <c r="Z23" s="13"/>
      <c r="AA23" s="1"/>
      <c r="AB23" s="64" t="s">
        <v>498</v>
      </c>
      <c r="AC23" s="73">
        <v>45914</v>
      </c>
      <c r="AD23" s="64" t="s">
        <v>303</v>
      </c>
      <c r="AE23" s="64"/>
      <c r="AF23" s="64">
        <v>5950</v>
      </c>
      <c r="AG23" s="1"/>
      <c r="AH23" s="1"/>
      <c r="AI23" s="64" t="s">
        <v>115</v>
      </c>
      <c r="AJ23" s="64" t="s">
        <v>513</v>
      </c>
      <c r="AK23" s="64" t="s">
        <v>339</v>
      </c>
      <c r="AL23" s="65">
        <v>40958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521</v>
      </c>
      <c r="S24" s="1" t="s">
        <v>522</v>
      </c>
      <c r="T24" s="5">
        <v>40026</v>
      </c>
      <c r="U24" s="1"/>
      <c r="V24" s="12"/>
      <c r="W24" s="40" t="s">
        <v>37</v>
      </c>
      <c r="X24" s="40"/>
      <c r="Y24" s="37">
        <f t="shared" si="8"/>
        <v>40026</v>
      </c>
      <c r="Z24" s="13"/>
      <c r="AA24" s="1"/>
      <c r="AB24" s="64" t="s">
        <v>122</v>
      </c>
      <c r="AC24" s="73">
        <v>45894</v>
      </c>
      <c r="AD24" s="64" t="s">
        <v>508</v>
      </c>
      <c r="AE24" s="64" t="s">
        <v>509</v>
      </c>
      <c r="AF24" s="64">
        <v>10000</v>
      </c>
      <c r="AG24" s="1"/>
      <c r="AH24" s="1"/>
      <c r="AI24" s="64" t="s">
        <v>214</v>
      </c>
      <c r="AJ24" s="64" t="s">
        <v>514</v>
      </c>
      <c r="AK24" s="64" t="s">
        <v>147</v>
      </c>
      <c r="AL24" s="65">
        <v>4000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64" t="s">
        <v>510</v>
      </c>
      <c r="AC25" s="76">
        <v>45901</v>
      </c>
      <c r="AD25" s="64" t="s">
        <v>94</v>
      </c>
      <c r="AE25" s="64"/>
      <c r="AF25" s="64">
        <v>8570</v>
      </c>
      <c r="AG25" s="1"/>
      <c r="AH25" s="1"/>
      <c r="AI25" s="64" t="s">
        <v>115</v>
      </c>
      <c r="AJ25" s="64" t="s">
        <v>515</v>
      </c>
      <c r="AK25" s="64" t="s">
        <v>511</v>
      </c>
      <c r="AL25" s="65">
        <v>51182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64" t="s">
        <v>115</v>
      </c>
      <c r="AJ26" s="64" t="s">
        <v>516</v>
      </c>
      <c r="AK26" s="64" t="s">
        <v>52</v>
      </c>
      <c r="AL26" s="65">
        <v>38925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64" t="s">
        <v>214</v>
      </c>
      <c r="AJ27" s="64" t="s">
        <v>264</v>
      </c>
      <c r="AK27" s="64" t="s">
        <v>512</v>
      </c>
      <c r="AL27" s="69">
        <v>3050</v>
      </c>
    </row>
    <row r="28" spans="2:38" ht="15.75" thickBot="1" x14ac:dyDescent="0.3">
      <c r="B28" s="99" t="s">
        <v>12</v>
      </c>
      <c r="C28" s="100"/>
      <c r="D28" s="9">
        <f>+SUM(D16:D27)</f>
        <v>62120</v>
      </c>
      <c r="E28" s="1"/>
      <c r="F28" s="99" t="s">
        <v>12</v>
      </c>
      <c r="G28" s="100"/>
      <c r="H28" s="9">
        <f>+SUM(H16:H27)</f>
        <v>92277</v>
      </c>
      <c r="I28" s="1"/>
      <c r="J28" s="99" t="s">
        <v>12</v>
      </c>
      <c r="K28" s="100"/>
      <c r="L28" s="9">
        <f>+SUM(L16:L27)</f>
        <v>86937</v>
      </c>
      <c r="M28" s="1"/>
      <c r="N28" s="99" t="s">
        <v>12</v>
      </c>
      <c r="O28" s="100"/>
      <c r="P28" s="9">
        <f>+SUM(P16:P27)</f>
        <v>134116</v>
      </c>
      <c r="Q28" s="1"/>
      <c r="R28" s="99" t="s">
        <v>12</v>
      </c>
      <c r="S28" s="100"/>
      <c r="T28" s="9">
        <f>+SUM(T16:T27)</f>
        <v>163569</v>
      </c>
      <c r="U28" s="1"/>
      <c r="V28" s="12"/>
      <c r="W28" s="99" t="s">
        <v>12</v>
      </c>
      <c r="X28" s="100"/>
      <c r="Y28" s="9">
        <f>+SUM(Y16:Y27)</f>
        <v>539019</v>
      </c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2"/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 x14ac:dyDescent="0.3">
      <c r="B30" s="101" t="s">
        <v>41</v>
      </c>
      <c r="C30" s="101"/>
      <c r="D30" s="7">
        <f>+D28-D15</f>
        <v>44</v>
      </c>
      <c r="E30" s="1"/>
      <c r="F30" s="101" t="s">
        <v>41</v>
      </c>
      <c r="G30" s="101"/>
      <c r="H30" s="7">
        <f>+H28-H15</f>
        <v>0</v>
      </c>
      <c r="I30" s="1"/>
      <c r="J30" s="101" t="s">
        <v>41</v>
      </c>
      <c r="K30" s="101"/>
      <c r="L30" s="7">
        <f>+L28-L15</f>
        <v>-286</v>
      </c>
      <c r="M30" s="1"/>
      <c r="N30" s="101" t="s">
        <v>41</v>
      </c>
      <c r="O30" s="101"/>
      <c r="P30" s="7">
        <f>+P28-P15</f>
        <v>-3789.820000000007</v>
      </c>
      <c r="Q30" s="1"/>
      <c r="R30" s="101" t="s">
        <v>41</v>
      </c>
      <c r="S30" s="101"/>
      <c r="T30" s="7">
        <f>+T28-T15</f>
        <v>-2791</v>
      </c>
      <c r="U30" s="1"/>
      <c r="V30" s="12"/>
      <c r="W30" s="102" t="s">
        <v>41</v>
      </c>
      <c r="X30" s="102"/>
      <c r="Y30" s="41">
        <f>+Y28-Y15</f>
        <v>-6822.8200000000652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24520</v>
      </c>
      <c r="AG31" s="1"/>
      <c r="AH31" s="1"/>
      <c r="AI31" s="60" t="s">
        <v>40</v>
      </c>
      <c r="AJ31" s="60"/>
      <c r="AK31" s="60"/>
      <c r="AL31" s="55">
        <f>+SUM(AL23:AL30)</f>
        <v>138115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/>
      <c r="I34" s="1"/>
      <c r="J34" s="10" t="s">
        <v>42</v>
      </c>
      <c r="K34" s="11"/>
      <c r="L34" s="21">
        <v>286</v>
      </c>
      <c r="M34" s="1"/>
      <c r="N34" s="10" t="s">
        <v>42</v>
      </c>
      <c r="O34" s="11"/>
      <c r="P34" s="21">
        <v>3790</v>
      </c>
      <c r="Q34" s="1"/>
      <c r="R34" s="10" t="s">
        <v>42</v>
      </c>
      <c r="S34" s="11"/>
      <c r="T34" s="21">
        <v>513</v>
      </c>
      <c r="U34" s="1"/>
      <c r="V34" s="1"/>
      <c r="W34" s="42" t="s">
        <v>42</v>
      </c>
      <c r="X34" s="43"/>
      <c r="Y34" s="44">
        <f>+D34+H34+L34+P34+T34</f>
        <v>4589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282</v>
      </c>
      <c r="S35" s="16"/>
      <c r="T35" s="22">
        <v>2278</v>
      </c>
      <c r="U35" s="1"/>
      <c r="V35" s="1"/>
      <c r="W35" s="45" t="s">
        <v>43</v>
      </c>
      <c r="X35" s="40"/>
      <c r="Y35" s="46">
        <f t="shared" ref="Y35:Y36" si="9">+D35+H35+L35+P35+T35</f>
        <v>2278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>
        <v>-44</v>
      </c>
      <c r="E36" s="1"/>
      <c r="F36" s="12" t="s">
        <v>45</v>
      </c>
      <c r="G36" s="16"/>
      <c r="H36" s="22"/>
      <c r="I36" s="1"/>
      <c r="J36" s="12" t="s">
        <v>45</v>
      </c>
      <c r="K36" s="16"/>
      <c r="L36" s="22"/>
      <c r="M36" s="1"/>
      <c r="N36" s="12" t="s">
        <v>45</v>
      </c>
      <c r="O36" s="16"/>
      <c r="P36" s="22"/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-44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-44</v>
      </c>
      <c r="E37" s="1"/>
      <c r="F37" s="12" t="s">
        <v>18</v>
      </c>
      <c r="G37" s="16"/>
      <c r="H37" s="22">
        <f>+SUM(H34:H36)</f>
        <v>0</v>
      </c>
      <c r="I37" s="1"/>
      <c r="J37" s="12" t="s">
        <v>18</v>
      </c>
      <c r="K37" s="16"/>
      <c r="L37" s="22">
        <f>+SUM(L34:L36)</f>
        <v>286</v>
      </c>
      <c r="M37" s="1"/>
      <c r="N37" s="12" t="s">
        <v>18</v>
      </c>
      <c r="O37" s="16"/>
      <c r="P37" s="22">
        <f>+SUM(P34:P36)</f>
        <v>3790</v>
      </c>
      <c r="Q37" s="1"/>
      <c r="R37" s="12" t="s">
        <v>18</v>
      </c>
      <c r="S37" s="16"/>
      <c r="T37" s="22">
        <f>+SUM(T34:T36)</f>
        <v>2791</v>
      </c>
      <c r="U37" s="1"/>
      <c r="V37" s="1"/>
      <c r="W37" s="33" t="s">
        <v>18</v>
      </c>
      <c r="X37" s="34"/>
      <c r="Y37" s="35">
        <f>+SUM(Y34:Y36)</f>
        <v>6823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0.17999999999301508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0.17999999993480742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50"/>
  <sheetViews>
    <sheetView zoomScale="80" zoomScaleNormal="80" workbookViewId="0">
      <selection activeCell="H34" sqref="H34"/>
    </sheetView>
  </sheetViews>
  <sheetFormatPr defaultRowHeight="15" x14ac:dyDescent="0.25"/>
  <cols>
    <col min="3" max="3" width="13.85546875" bestFit="1" customWidth="1"/>
    <col min="4" max="4" width="8.140625" bestFit="1" customWidth="1"/>
    <col min="5" max="5" width="0.5703125" customWidth="1"/>
    <col min="7" max="7" width="14.28515625" bestFit="1" customWidth="1"/>
    <col min="9" max="9" width="0.7109375" customWidth="1"/>
    <col min="11" max="11" width="14" bestFit="1" customWidth="1"/>
    <col min="12" max="12" width="9.5703125" bestFit="1" customWidth="1"/>
    <col min="13" max="13" width="0.85546875" customWidth="1"/>
    <col min="15" max="15" width="13.28515625" bestFit="1" customWidth="1"/>
    <col min="17" max="17" width="1" customWidth="1"/>
    <col min="19" max="19" width="12.85546875" bestFit="1" customWidth="1"/>
    <col min="20" max="20" width="13.42578125" customWidth="1"/>
    <col min="21" max="21" width="0.85546875" customWidth="1"/>
    <col min="22" max="22" width="1.5703125" customWidth="1"/>
    <col min="25" max="25" width="9.5703125" bestFit="1" customWidth="1"/>
    <col min="26" max="26" width="1.7109375" customWidth="1"/>
    <col min="27" max="27" width="0.85546875" customWidth="1"/>
    <col min="28" max="28" width="15" bestFit="1" customWidth="1"/>
    <col min="29" max="29" width="9.7109375" bestFit="1" customWidth="1"/>
    <col min="30" max="30" width="19.5703125" bestFit="1" customWidth="1"/>
    <col min="31" max="31" width="13.5703125" bestFit="1" customWidth="1"/>
    <col min="34" max="34" width="0.85546875" customWidth="1"/>
    <col min="36" max="36" width="16.42578125" bestFit="1" customWidth="1"/>
  </cols>
  <sheetData>
    <row r="2" spans="2:38" ht="15.75" thickBot="1" x14ac:dyDescent="0.3"/>
    <row r="3" spans="2:38" x14ac:dyDescent="0.25">
      <c r="B3" s="104" t="s">
        <v>0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262</v>
      </c>
      <c r="D6" s="36">
        <f>+C6*B6</f>
        <v>2620</v>
      </c>
      <c r="E6" s="1"/>
      <c r="F6" s="2">
        <v>10</v>
      </c>
      <c r="G6" s="2">
        <v>100</v>
      </c>
      <c r="H6" s="36">
        <f>+G6*F6</f>
        <v>1000</v>
      </c>
      <c r="I6" s="1"/>
      <c r="J6" s="2">
        <v>10</v>
      </c>
      <c r="K6" s="2">
        <v>52</v>
      </c>
      <c r="L6" s="36">
        <f>+K6*J6</f>
        <v>520</v>
      </c>
      <c r="M6" s="1"/>
      <c r="N6" s="2">
        <v>10</v>
      </c>
      <c r="O6" s="2">
        <v>95</v>
      </c>
      <c r="P6" s="36">
        <f>+O6*N6</f>
        <v>950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509</v>
      </c>
      <c r="Y6" s="37">
        <f>+D6+H6+L6+P6+T6</f>
        <v>5090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5</v>
      </c>
      <c r="AK6" s="36">
        <f t="shared" ref="AK6:AK13" si="0">+AJ6*AI6</f>
        <v>5</v>
      </c>
      <c r="AL6" s="26"/>
    </row>
    <row r="7" spans="2:38" x14ac:dyDescent="0.25">
      <c r="B7" s="2">
        <v>20</v>
      </c>
      <c r="C7" s="2">
        <v>32</v>
      </c>
      <c r="D7" s="36">
        <f t="shared" ref="D7:D12" si="1">+C7*B7</f>
        <v>640</v>
      </c>
      <c r="E7" s="1"/>
      <c r="F7" s="2">
        <v>20</v>
      </c>
      <c r="G7" s="2">
        <v>12</v>
      </c>
      <c r="H7" s="36">
        <f t="shared" ref="H7:H12" si="2">+G7*F7</f>
        <v>240</v>
      </c>
      <c r="I7" s="1"/>
      <c r="J7" s="2">
        <v>20</v>
      </c>
      <c r="K7" s="2">
        <v>13</v>
      </c>
      <c r="L7" s="36">
        <f t="shared" ref="L7:L12" si="3">+K7*J7</f>
        <v>260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57</v>
      </c>
      <c r="Y7" s="37">
        <f t="shared" ref="Y7:Y12" si="6">+D7+H7+L7+P7+T7</f>
        <v>1140</v>
      </c>
      <c r="Z7" s="13"/>
      <c r="AA7" s="1"/>
      <c r="AB7" s="56" t="s">
        <v>10</v>
      </c>
      <c r="AC7" s="57">
        <f>Y13</f>
        <v>288980</v>
      </c>
      <c r="AD7" s="26"/>
      <c r="AE7" s="26"/>
      <c r="AF7" s="26"/>
      <c r="AG7" s="26"/>
      <c r="AH7" s="1"/>
      <c r="AI7" s="2">
        <v>10</v>
      </c>
      <c r="AJ7" s="2">
        <v>816</v>
      </c>
      <c r="AK7" s="36">
        <f t="shared" si="0"/>
        <v>8160</v>
      </c>
      <c r="AL7" s="1"/>
    </row>
    <row r="8" spans="2:38" x14ac:dyDescent="0.25">
      <c r="B8" s="2">
        <v>50</v>
      </c>
      <c r="C8" s="2">
        <v>89</v>
      </c>
      <c r="D8" s="36">
        <f t="shared" si="1"/>
        <v>4450</v>
      </c>
      <c r="E8" s="1"/>
      <c r="F8" s="2">
        <v>50</v>
      </c>
      <c r="G8" s="2">
        <v>64</v>
      </c>
      <c r="H8" s="36">
        <f t="shared" si="2"/>
        <v>3200</v>
      </c>
      <c r="I8" s="1"/>
      <c r="J8" s="2">
        <v>50</v>
      </c>
      <c r="K8" s="2">
        <v>56</v>
      </c>
      <c r="L8" s="36">
        <f t="shared" si="3"/>
        <v>2800</v>
      </c>
      <c r="M8" s="1"/>
      <c r="N8" s="2">
        <v>50</v>
      </c>
      <c r="O8" s="2">
        <v>6</v>
      </c>
      <c r="P8" s="36">
        <f t="shared" si="4"/>
        <v>300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215</v>
      </c>
      <c r="Y8" s="37">
        <f t="shared" si="6"/>
        <v>10750</v>
      </c>
      <c r="Z8" s="13"/>
      <c r="AA8" s="1"/>
      <c r="AB8" s="53" t="s">
        <v>11</v>
      </c>
      <c r="AC8" s="53">
        <f>+AF31</f>
        <v>353645</v>
      </c>
      <c r="AD8" s="1"/>
      <c r="AE8" s="1"/>
      <c r="AF8" s="1"/>
      <c r="AG8" s="1"/>
      <c r="AH8" s="1"/>
      <c r="AI8" s="2">
        <v>20</v>
      </c>
      <c r="AJ8" s="2">
        <v>148</v>
      </c>
      <c r="AK8" s="36">
        <f t="shared" si="0"/>
        <v>2960</v>
      </c>
      <c r="AL8" s="1"/>
    </row>
    <row r="9" spans="2:38" ht="15.75" thickBot="1" x14ac:dyDescent="0.3">
      <c r="B9" s="2">
        <v>100</v>
      </c>
      <c r="C9" s="2">
        <v>25</v>
      </c>
      <c r="D9" s="36">
        <f t="shared" si="1"/>
        <v>2500</v>
      </c>
      <c r="E9" s="1"/>
      <c r="F9" s="2">
        <v>100</v>
      </c>
      <c r="G9" s="2">
        <v>40</v>
      </c>
      <c r="H9" s="36">
        <f t="shared" si="2"/>
        <v>4000</v>
      </c>
      <c r="I9" s="1"/>
      <c r="J9" s="2">
        <v>100</v>
      </c>
      <c r="K9" s="2">
        <v>22</v>
      </c>
      <c r="L9" s="36">
        <f t="shared" si="3"/>
        <v>2200</v>
      </c>
      <c r="M9" s="1"/>
      <c r="N9" s="2">
        <v>100</v>
      </c>
      <c r="O9" s="2">
        <v>8</v>
      </c>
      <c r="P9" s="36">
        <f t="shared" si="4"/>
        <v>800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95</v>
      </c>
      <c r="Y9" s="37">
        <f t="shared" si="6"/>
        <v>9500</v>
      </c>
      <c r="Z9" s="13"/>
      <c r="AA9" s="1"/>
      <c r="AB9" s="58" t="s">
        <v>12</v>
      </c>
      <c r="AC9" s="59">
        <f>SUM(AC7:AC8)</f>
        <v>642625</v>
      </c>
      <c r="AD9" s="1"/>
      <c r="AE9" s="1"/>
      <c r="AF9" s="1"/>
      <c r="AG9" s="1"/>
      <c r="AH9" s="1"/>
      <c r="AI9" s="2">
        <v>50</v>
      </c>
      <c r="AJ9" s="2">
        <v>690</v>
      </c>
      <c r="AK9" s="36">
        <f t="shared" si="0"/>
        <v>34500</v>
      </c>
      <c r="AL9" s="1"/>
    </row>
    <row r="10" spans="2:38" x14ac:dyDescent="0.25">
      <c r="B10" s="2">
        <v>500</v>
      </c>
      <c r="C10" s="2">
        <v>54</v>
      </c>
      <c r="D10" s="36">
        <f t="shared" si="1"/>
        <v>27000</v>
      </c>
      <c r="E10" s="1"/>
      <c r="F10" s="2">
        <v>500</v>
      </c>
      <c r="G10" s="2">
        <v>31</v>
      </c>
      <c r="H10" s="36">
        <f t="shared" si="2"/>
        <v>15500</v>
      </c>
      <c r="I10" s="1"/>
      <c r="J10" s="2">
        <v>500</v>
      </c>
      <c r="K10" s="2">
        <v>48</v>
      </c>
      <c r="L10" s="36">
        <f t="shared" si="3"/>
        <v>24000</v>
      </c>
      <c r="M10" s="1"/>
      <c r="N10" s="2">
        <v>500</v>
      </c>
      <c r="O10" s="2">
        <v>22</v>
      </c>
      <c r="P10" s="36">
        <f t="shared" si="4"/>
        <v>11000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155</v>
      </c>
      <c r="Y10" s="37">
        <f t="shared" si="6"/>
        <v>77500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585</v>
      </c>
      <c r="AK10" s="36">
        <f t="shared" si="0"/>
        <v>58500</v>
      </c>
      <c r="AL10" s="1"/>
    </row>
    <row r="11" spans="2:38" x14ac:dyDescent="0.25">
      <c r="B11" s="2">
        <v>1000</v>
      </c>
      <c r="C11" s="2">
        <v>24</v>
      </c>
      <c r="D11" s="36">
        <f t="shared" si="1"/>
        <v>24000</v>
      </c>
      <c r="E11" s="1"/>
      <c r="F11" s="2">
        <v>1000</v>
      </c>
      <c r="G11" s="2">
        <v>38</v>
      </c>
      <c r="H11" s="36">
        <f t="shared" si="2"/>
        <v>38000</v>
      </c>
      <c r="I11" s="1"/>
      <c r="J11" s="2">
        <v>1000</v>
      </c>
      <c r="K11" s="2">
        <v>61</v>
      </c>
      <c r="L11" s="36">
        <f t="shared" si="3"/>
        <v>61000</v>
      </c>
      <c r="M11" s="1"/>
      <c r="N11" s="2">
        <v>1000</v>
      </c>
      <c r="O11" s="2">
        <v>22</v>
      </c>
      <c r="P11" s="36">
        <f t="shared" si="4"/>
        <v>22000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145</v>
      </c>
      <c r="Y11" s="37">
        <f t="shared" si="6"/>
        <v>145000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163</v>
      </c>
      <c r="AK11" s="36">
        <f t="shared" si="0"/>
        <v>81500</v>
      </c>
      <c r="AL11" s="1"/>
    </row>
    <row r="12" spans="2:38" x14ac:dyDescent="0.25">
      <c r="B12" s="2">
        <v>5000</v>
      </c>
      <c r="C12" s="2"/>
      <c r="D12" s="36">
        <f t="shared" si="1"/>
        <v>0</v>
      </c>
      <c r="E12" s="1"/>
      <c r="F12" s="2">
        <v>5000</v>
      </c>
      <c r="G12" s="2"/>
      <c r="H12" s="36">
        <f t="shared" si="2"/>
        <v>0</v>
      </c>
      <c r="I12" s="1"/>
      <c r="J12" s="2">
        <v>5000</v>
      </c>
      <c r="K12" s="2">
        <v>6</v>
      </c>
      <c r="L12" s="36">
        <f t="shared" si="3"/>
        <v>30000</v>
      </c>
      <c r="M12" s="1"/>
      <c r="N12" s="2">
        <v>5000</v>
      </c>
      <c r="O12" s="2">
        <v>2</v>
      </c>
      <c r="P12" s="36">
        <f t="shared" si="4"/>
        <v>10000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8</v>
      </c>
      <c r="Y12" s="37">
        <f t="shared" si="6"/>
        <v>40000</v>
      </c>
      <c r="Z12" s="13"/>
      <c r="AA12" s="1"/>
      <c r="AB12" s="1" t="s">
        <v>17</v>
      </c>
      <c r="AC12" s="5">
        <v>623500</v>
      </c>
      <c r="AD12" s="1"/>
      <c r="AE12" s="52"/>
      <c r="AF12" s="1"/>
      <c r="AG12" s="1"/>
      <c r="AH12" s="1"/>
      <c r="AI12" s="2">
        <v>1000</v>
      </c>
      <c r="AJ12" s="2">
        <v>384</v>
      </c>
      <c r="AK12" s="36">
        <f t="shared" si="0"/>
        <v>384000</v>
      </c>
      <c r="AL12" s="1"/>
    </row>
    <row r="13" spans="2:38" ht="15.75" thickBot="1" x14ac:dyDescent="0.3">
      <c r="B13" s="3" t="s">
        <v>18</v>
      </c>
      <c r="C13" s="3"/>
      <c r="D13" s="6">
        <f>+SUM(D5:D12)</f>
        <v>61210</v>
      </c>
      <c r="E13" s="1"/>
      <c r="F13" s="3" t="s">
        <v>18</v>
      </c>
      <c r="G13" s="3"/>
      <c r="H13" s="6">
        <f>+SUM(H5:H12)</f>
        <v>61940</v>
      </c>
      <c r="I13" s="1"/>
      <c r="J13" s="3" t="s">
        <v>18</v>
      </c>
      <c r="K13" s="3"/>
      <c r="L13" s="6">
        <f>+SUM(L5:L12)</f>
        <v>120780</v>
      </c>
      <c r="M13" s="1"/>
      <c r="N13" s="3" t="s">
        <v>18</v>
      </c>
      <c r="O13" s="3"/>
      <c r="P13" s="6">
        <f>+SUM(P5:P12)</f>
        <v>45050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288980</v>
      </c>
      <c r="Z13" s="13"/>
      <c r="AA13" s="1"/>
      <c r="AB13" s="1" t="s">
        <v>19</v>
      </c>
      <c r="AC13" s="5">
        <v>11125</v>
      </c>
      <c r="AD13" s="1"/>
      <c r="AE13" s="1"/>
      <c r="AF13" s="1"/>
      <c r="AG13" s="1"/>
      <c r="AH13" s="1"/>
      <c r="AI13" s="2">
        <v>5000</v>
      </c>
      <c r="AJ13" s="2">
        <v>13</v>
      </c>
      <c r="AK13" s="36">
        <f t="shared" si="0"/>
        <v>65000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634625</v>
      </c>
      <c r="AL14" s="1"/>
    </row>
    <row r="15" spans="2:38" ht="15.75" thickBot="1" x14ac:dyDescent="0.3">
      <c r="B15" s="105" t="s">
        <v>21</v>
      </c>
      <c r="C15" s="106"/>
      <c r="D15" s="8">
        <v>74578</v>
      </c>
      <c r="E15" s="30"/>
      <c r="F15" s="105" t="s">
        <v>21</v>
      </c>
      <c r="G15" s="106"/>
      <c r="H15" s="8">
        <v>67601</v>
      </c>
      <c r="I15" s="30"/>
      <c r="J15" s="105" t="s">
        <v>21</v>
      </c>
      <c r="K15" s="106"/>
      <c r="L15" s="8">
        <v>130458</v>
      </c>
      <c r="M15" s="30"/>
      <c r="N15" s="105" t="s">
        <v>21</v>
      </c>
      <c r="O15" s="106"/>
      <c r="P15" s="8">
        <v>73996.600000000006</v>
      </c>
      <c r="Q15" s="30"/>
      <c r="R15" s="105" t="s">
        <v>21</v>
      </c>
      <c r="S15" s="106"/>
      <c r="T15" s="8">
        <v>494661</v>
      </c>
      <c r="U15" s="30"/>
      <c r="V15" s="31"/>
      <c r="W15" s="105" t="s">
        <v>21</v>
      </c>
      <c r="X15" s="106"/>
      <c r="Y15" s="8">
        <f>+D15+H15+L15+P15+T15</f>
        <v>841294.6</v>
      </c>
      <c r="Z15" s="32"/>
      <c r="AA15" s="30"/>
      <c r="AB15" s="1" t="s">
        <v>476</v>
      </c>
      <c r="AC15" s="93">
        <v>5000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61210</v>
      </c>
      <c r="E16" s="1"/>
      <c r="F16" s="1" t="s">
        <v>10</v>
      </c>
      <c r="G16" s="1"/>
      <c r="H16" s="5">
        <f>+H13</f>
        <v>61940</v>
      </c>
      <c r="I16" s="1"/>
      <c r="J16" s="1" t="s">
        <v>10</v>
      </c>
      <c r="K16" s="1"/>
      <c r="L16" s="5">
        <f>+L13</f>
        <v>120780</v>
      </c>
      <c r="M16" s="1"/>
      <c r="N16" s="1" t="s">
        <v>10</v>
      </c>
      <c r="O16" s="1"/>
      <c r="P16" s="5">
        <f>+P13</f>
        <v>45050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288980</v>
      </c>
      <c r="Z16" s="13"/>
      <c r="AA16" s="1"/>
      <c r="AB16" s="1" t="s">
        <v>539</v>
      </c>
      <c r="AC16" s="93">
        <v>3000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642625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529</v>
      </c>
      <c r="C18" s="1" t="s">
        <v>530</v>
      </c>
      <c r="D18" s="5">
        <v>7328</v>
      </c>
      <c r="E18" s="1"/>
      <c r="F18" s="1" t="s">
        <v>471</v>
      </c>
      <c r="G18" s="1" t="s">
        <v>532</v>
      </c>
      <c r="H18" s="5">
        <v>5494</v>
      </c>
      <c r="I18" s="1"/>
      <c r="J18" s="1" t="s">
        <v>444</v>
      </c>
      <c r="K18" s="1" t="s">
        <v>537</v>
      </c>
      <c r="L18" s="5">
        <v>4800</v>
      </c>
      <c r="M18" s="1"/>
      <c r="N18" s="1" t="s">
        <v>444</v>
      </c>
      <c r="O18" s="1" t="s">
        <v>526</v>
      </c>
      <c r="P18" s="5">
        <v>18373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35995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453</v>
      </c>
      <c r="C19" s="1" t="s">
        <v>531</v>
      </c>
      <c r="D19" s="5">
        <v>4981</v>
      </c>
      <c r="E19" s="1"/>
      <c r="F19" s="1" t="s">
        <v>27</v>
      </c>
      <c r="G19" s="1"/>
      <c r="H19" s="5"/>
      <c r="I19" s="1"/>
      <c r="J19" s="1" t="s">
        <v>478</v>
      </c>
      <c r="K19" s="1" t="s">
        <v>538</v>
      </c>
      <c r="L19" s="5">
        <v>4974</v>
      </c>
      <c r="M19" s="1"/>
      <c r="N19" s="1" t="s">
        <v>488</v>
      </c>
      <c r="O19" s="1" t="s">
        <v>527</v>
      </c>
      <c r="P19" s="5">
        <v>4174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14129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488</v>
      </c>
      <c r="O20" s="1" t="s">
        <v>528</v>
      </c>
      <c r="P20" s="5">
        <v>6400</v>
      </c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6400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548</v>
      </c>
      <c r="S23" s="83" t="s">
        <v>547</v>
      </c>
      <c r="T23" s="5">
        <v>494661</v>
      </c>
      <c r="U23" s="1"/>
      <c r="V23" s="12"/>
      <c r="W23" s="40" t="s">
        <v>36</v>
      </c>
      <c r="X23" s="40"/>
      <c r="Y23" s="37">
        <f t="shared" si="8"/>
        <v>494661</v>
      </c>
      <c r="Z23" s="13"/>
      <c r="AA23" s="1"/>
      <c r="AB23" s="64" t="s">
        <v>533</v>
      </c>
      <c r="AC23" s="76">
        <v>45904</v>
      </c>
      <c r="AD23" s="64" t="s">
        <v>248</v>
      </c>
      <c r="AE23" s="64"/>
      <c r="AF23" s="65">
        <v>120000</v>
      </c>
      <c r="AG23" s="1"/>
      <c r="AH23" s="1"/>
      <c r="AI23" s="64" t="s">
        <v>57</v>
      </c>
      <c r="AJ23" s="64" t="s">
        <v>541</v>
      </c>
      <c r="AK23" s="64" t="s">
        <v>343</v>
      </c>
      <c r="AL23" s="69">
        <v>6080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64" t="s">
        <v>534</v>
      </c>
      <c r="AC24" s="76">
        <v>45905</v>
      </c>
      <c r="AD24" s="64" t="s">
        <v>268</v>
      </c>
      <c r="AE24" s="64"/>
      <c r="AF24" s="64">
        <v>12257</v>
      </c>
      <c r="AG24" s="1"/>
      <c r="AH24" s="1"/>
      <c r="AI24" s="64" t="s">
        <v>59</v>
      </c>
      <c r="AJ24" s="64" t="s">
        <v>108</v>
      </c>
      <c r="AK24" s="64" t="s">
        <v>550</v>
      </c>
      <c r="AL24" s="69">
        <v>8881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64" t="s">
        <v>535</v>
      </c>
      <c r="AC25" s="76">
        <v>45911</v>
      </c>
      <c r="AD25" s="64" t="s">
        <v>426</v>
      </c>
      <c r="AE25" s="64"/>
      <c r="AF25" s="64">
        <v>12116</v>
      </c>
      <c r="AG25" s="1"/>
      <c r="AH25" s="1"/>
      <c r="AI25" s="64" t="s">
        <v>59</v>
      </c>
      <c r="AJ25" s="64" t="s">
        <v>109</v>
      </c>
      <c r="AK25" s="64" t="s">
        <v>150</v>
      </c>
      <c r="AL25" s="69">
        <v>40000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64" t="s">
        <v>536</v>
      </c>
      <c r="AC26" s="70">
        <v>45887</v>
      </c>
      <c r="AD26" s="64" t="s">
        <v>318</v>
      </c>
      <c r="AE26" s="64"/>
      <c r="AF26" s="65">
        <v>200000</v>
      </c>
      <c r="AG26" s="1"/>
      <c r="AH26" s="1"/>
      <c r="AI26" s="64" t="s">
        <v>115</v>
      </c>
      <c r="AJ26" s="64" t="s">
        <v>128</v>
      </c>
      <c r="AK26" s="64" t="s">
        <v>147</v>
      </c>
      <c r="AL26" s="65">
        <v>4800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64" t="s">
        <v>214</v>
      </c>
      <c r="AC27" s="73">
        <v>45899</v>
      </c>
      <c r="AD27" s="64" t="s">
        <v>121</v>
      </c>
      <c r="AE27" s="64" t="s">
        <v>540</v>
      </c>
      <c r="AF27" s="69">
        <v>6272</v>
      </c>
      <c r="AG27" s="1"/>
      <c r="AH27" s="1"/>
      <c r="AI27" s="64" t="s">
        <v>59</v>
      </c>
      <c r="AJ27" s="64" t="s">
        <v>181</v>
      </c>
      <c r="AK27" s="64" t="s">
        <v>39</v>
      </c>
      <c r="AL27" s="65">
        <v>7385</v>
      </c>
    </row>
    <row r="28" spans="2:38" ht="15.75" thickBot="1" x14ac:dyDescent="0.3">
      <c r="B28" s="99" t="s">
        <v>12</v>
      </c>
      <c r="C28" s="100"/>
      <c r="D28" s="9">
        <f>+SUM(D16:D27)</f>
        <v>73519</v>
      </c>
      <c r="E28" s="1"/>
      <c r="F28" s="99" t="s">
        <v>12</v>
      </c>
      <c r="G28" s="100"/>
      <c r="H28" s="9">
        <f>+SUM(H16:H27)</f>
        <v>67434</v>
      </c>
      <c r="I28" s="1"/>
      <c r="J28" s="99" t="s">
        <v>12</v>
      </c>
      <c r="K28" s="100"/>
      <c r="L28" s="9">
        <f>+SUM(L16:L27)</f>
        <v>130554</v>
      </c>
      <c r="M28" s="1"/>
      <c r="N28" s="99" t="s">
        <v>12</v>
      </c>
      <c r="O28" s="100"/>
      <c r="P28" s="9">
        <f>+SUM(P16:P27)</f>
        <v>73997</v>
      </c>
      <c r="Q28" s="1"/>
      <c r="R28" s="99" t="s">
        <v>12</v>
      </c>
      <c r="S28" s="100"/>
      <c r="T28" s="9">
        <f>+SUM(T16:T27)</f>
        <v>494661</v>
      </c>
      <c r="U28" s="1"/>
      <c r="V28" s="12"/>
      <c r="W28" s="99" t="s">
        <v>12</v>
      </c>
      <c r="X28" s="100"/>
      <c r="Y28" s="9">
        <f>+SUM(Y16:Y27)</f>
        <v>840165</v>
      </c>
      <c r="Z28" s="13"/>
      <c r="AA28" s="1"/>
      <c r="AB28" s="64" t="s">
        <v>559</v>
      </c>
      <c r="AC28" s="76">
        <v>45903</v>
      </c>
      <c r="AD28" s="64" t="s">
        <v>175</v>
      </c>
      <c r="AE28" s="64"/>
      <c r="AF28" s="64">
        <v>3000</v>
      </c>
      <c r="AG28" s="1"/>
      <c r="AH28" s="1"/>
      <c r="AI28" s="64" t="s">
        <v>59</v>
      </c>
      <c r="AJ28" s="64" t="s">
        <v>182</v>
      </c>
      <c r="AK28" s="64" t="s">
        <v>551</v>
      </c>
      <c r="AL28" s="65">
        <v>18287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64" t="s">
        <v>115</v>
      </c>
      <c r="AJ29" s="64" t="s">
        <v>187</v>
      </c>
      <c r="AK29" s="64" t="s">
        <v>151</v>
      </c>
      <c r="AL29" s="69">
        <v>8700</v>
      </c>
    </row>
    <row r="30" spans="2:38" ht="15.75" thickBot="1" x14ac:dyDescent="0.3">
      <c r="B30" s="101" t="s">
        <v>41</v>
      </c>
      <c r="C30" s="101"/>
      <c r="D30" s="7">
        <f>+D28-D15</f>
        <v>-1059</v>
      </c>
      <c r="E30" s="1"/>
      <c r="F30" s="101" t="s">
        <v>41</v>
      </c>
      <c r="G30" s="101"/>
      <c r="H30" s="7">
        <f>+H28-H15</f>
        <v>-167</v>
      </c>
      <c r="I30" s="1"/>
      <c r="J30" s="101" t="s">
        <v>41</v>
      </c>
      <c r="K30" s="101"/>
      <c r="L30" s="7">
        <f>+L28-L15</f>
        <v>96</v>
      </c>
      <c r="M30" s="1"/>
      <c r="N30" s="101" t="s">
        <v>41</v>
      </c>
      <c r="O30" s="101"/>
      <c r="P30" s="7">
        <f>+P28-P15</f>
        <v>0.39999999999417923</v>
      </c>
      <c r="Q30" s="1"/>
      <c r="R30" s="101" t="s">
        <v>41</v>
      </c>
      <c r="S30" s="101"/>
      <c r="T30" s="7">
        <f>+T28-T15</f>
        <v>0</v>
      </c>
      <c r="U30" s="1"/>
      <c r="V30" s="12"/>
      <c r="W30" s="102" t="s">
        <v>41</v>
      </c>
      <c r="X30" s="102"/>
      <c r="Y30" s="41">
        <f>+Y28-Y15</f>
        <v>-1129.5999999999767</v>
      </c>
      <c r="Z30" s="13"/>
      <c r="AA30" s="1"/>
      <c r="AB30" s="1"/>
      <c r="AC30" s="1"/>
      <c r="AD30" s="1"/>
      <c r="AE30" s="1"/>
      <c r="AF30" s="1"/>
      <c r="AG30" s="1"/>
      <c r="AH30" s="1"/>
      <c r="AI30" s="64" t="s">
        <v>59</v>
      </c>
      <c r="AJ30" s="64" t="s">
        <v>557</v>
      </c>
      <c r="AK30" s="64" t="s">
        <v>151</v>
      </c>
      <c r="AL30" s="65">
        <v>11017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353645</v>
      </c>
      <c r="AG31" s="1"/>
      <c r="AH31" s="1"/>
      <c r="AI31" s="64" t="s">
        <v>58</v>
      </c>
      <c r="AJ31" s="64" t="s">
        <v>542</v>
      </c>
      <c r="AK31" s="64" t="s">
        <v>552</v>
      </c>
      <c r="AL31" s="65">
        <v>49000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64" t="s">
        <v>558</v>
      </c>
      <c r="AJ32" s="64" t="s">
        <v>225</v>
      </c>
      <c r="AK32" s="64" t="s">
        <v>149</v>
      </c>
      <c r="AL32" s="65">
        <v>19870</v>
      </c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4" t="s">
        <v>59</v>
      </c>
      <c r="AJ33" s="64" t="s">
        <v>259</v>
      </c>
      <c r="AK33" s="64" t="s">
        <v>551</v>
      </c>
      <c r="AL33" s="65">
        <v>35271</v>
      </c>
    </row>
    <row r="34" spans="2:38" x14ac:dyDescent="0.25">
      <c r="B34" s="10" t="s">
        <v>42</v>
      </c>
      <c r="C34" s="11"/>
      <c r="D34" s="21">
        <v>1059</v>
      </c>
      <c r="E34" s="1"/>
      <c r="F34" s="10" t="s">
        <v>42</v>
      </c>
      <c r="G34" s="11"/>
      <c r="H34" s="21">
        <v>167</v>
      </c>
      <c r="I34" s="1"/>
      <c r="J34" s="10" t="s">
        <v>42</v>
      </c>
      <c r="K34" s="11"/>
      <c r="L34" s="21"/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1226</v>
      </c>
      <c r="Z34" s="1"/>
      <c r="AA34" s="1"/>
      <c r="AB34" s="1"/>
      <c r="AC34" s="1"/>
      <c r="AD34" s="1"/>
      <c r="AE34" s="1"/>
      <c r="AF34" s="1"/>
      <c r="AG34" s="1"/>
      <c r="AH34" s="1"/>
      <c r="AI34" s="64" t="s">
        <v>59</v>
      </c>
      <c r="AJ34" s="64" t="s">
        <v>300</v>
      </c>
      <c r="AK34" s="64" t="s">
        <v>553</v>
      </c>
      <c r="AL34" s="69">
        <v>5564</v>
      </c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64" t="s">
        <v>56</v>
      </c>
      <c r="AJ35" s="64" t="s">
        <v>304</v>
      </c>
      <c r="AK35" s="64" t="s">
        <v>121</v>
      </c>
      <c r="AL35" s="69">
        <v>5674</v>
      </c>
    </row>
    <row r="36" spans="2:38" x14ac:dyDescent="0.25">
      <c r="B36" s="12" t="s">
        <v>45</v>
      </c>
      <c r="C36" s="16"/>
      <c r="D36" s="22"/>
      <c r="E36" s="1"/>
      <c r="F36" s="12" t="s">
        <v>45</v>
      </c>
      <c r="G36" s="16"/>
      <c r="H36" s="22"/>
      <c r="I36" s="1"/>
      <c r="J36" s="12" t="s">
        <v>45</v>
      </c>
      <c r="K36" s="16"/>
      <c r="L36" s="22">
        <v>-96</v>
      </c>
      <c r="M36" s="1"/>
      <c r="N36" s="12" t="s">
        <v>45</v>
      </c>
      <c r="O36" s="16"/>
      <c r="P36" s="22"/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-96</v>
      </c>
      <c r="Z36" s="1"/>
      <c r="AA36" s="1"/>
      <c r="AB36" s="1"/>
      <c r="AC36" s="1"/>
      <c r="AD36" s="1"/>
      <c r="AE36" s="1"/>
      <c r="AF36" s="1"/>
      <c r="AG36" s="1"/>
      <c r="AH36" s="1"/>
      <c r="AI36" s="64" t="s">
        <v>558</v>
      </c>
      <c r="AJ36" s="64" t="s">
        <v>310</v>
      </c>
      <c r="AK36" s="64" t="s">
        <v>39</v>
      </c>
      <c r="AL36" s="65">
        <v>7411</v>
      </c>
    </row>
    <row r="37" spans="2:38" x14ac:dyDescent="0.25">
      <c r="B37" s="12" t="s">
        <v>18</v>
      </c>
      <c r="C37" s="16"/>
      <c r="D37" s="22">
        <f>+SUM(D34:D36)</f>
        <v>1059</v>
      </c>
      <c r="E37" s="1"/>
      <c r="F37" s="12" t="s">
        <v>18</v>
      </c>
      <c r="G37" s="16"/>
      <c r="H37" s="22">
        <f>+SUM(H34:H36)</f>
        <v>167</v>
      </c>
      <c r="I37" s="1"/>
      <c r="J37" s="12" t="s">
        <v>18</v>
      </c>
      <c r="K37" s="16"/>
      <c r="L37" s="22">
        <f>+SUM(L34:L36)</f>
        <v>-96</v>
      </c>
      <c r="M37" s="1"/>
      <c r="N37" s="12" t="s">
        <v>18</v>
      </c>
      <c r="O37" s="16"/>
      <c r="P37" s="22">
        <f>+SUM(P34:P36)</f>
        <v>0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1130</v>
      </c>
      <c r="Z37" s="1"/>
      <c r="AA37" s="1"/>
      <c r="AB37" s="1"/>
      <c r="AC37" s="1"/>
      <c r="AD37" s="1"/>
      <c r="AE37" s="1"/>
      <c r="AF37" s="1"/>
      <c r="AG37" s="1"/>
      <c r="AH37" s="1"/>
      <c r="AI37" s="64" t="s">
        <v>56</v>
      </c>
      <c r="AJ37" s="64" t="s">
        <v>329</v>
      </c>
      <c r="AK37" s="64" t="s">
        <v>554</v>
      </c>
      <c r="AL37" s="64">
        <v>20820</v>
      </c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0.39999999999417923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0.40000000002328306</v>
      </c>
      <c r="Z38" s="1"/>
      <c r="AA38" s="1"/>
      <c r="AB38" s="1"/>
      <c r="AC38" s="1"/>
      <c r="AD38" s="1"/>
      <c r="AE38" s="1"/>
      <c r="AF38" s="1"/>
      <c r="AG38" s="1"/>
      <c r="AH38" s="1"/>
      <c r="AI38" s="64" t="s">
        <v>56</v>
      </c>
      <c r="AJ38" s="64" t="s">
        <v>330</v>
      </c>
      <c r="AK38" s="64" t="s">
        <v>157</v>
      </c>
      <c r="AL38" s="69">
        <v>9425</v>
      </c>
    </row>
    <row r="39" spans="2:38" x14ac:dyDescent="0.25">
      <c r="AI39" s="64" t="s">
        <v>56</v>
      </c>
      <c r="AJ39" s="64" t="s">
        <v>331</v>
      </c>
      <c r="AK39" s="64" t="s">
        <v>156</v>
      </c>
      <c r="AL39" s="69">
        <v>4487</v>
      </c>
    </row>
    <row r="40" spans="2:38" x14ac:dyDescent="0.25">
      <c r="AI40" s="64" t="s">
        <v>56</v>
      </c>
      <c r="AJ40" s="64" t="s">
        <v>369</v>
      </c>
      <c r="AK40" s="64" t="s">
        <v>555</v>
      </c>
      <c r="AL40" s="69">
        <v>3113</v>
      </c>
    </row>
    <row r="41" spans="2:38" x14ac:dyDescent="0.25">
      <c r="AI41" s="64" t="s">
        <v>56</v>
      </c>
      <c r="AJ41" s="64" t="s">
        <v>370</v>
      </c>
      <c r="AK41" s="64" t="s">
        <v>345</v>
      </c>
      <c r="AL41" s="69">
        <v>7409</v>
      </c>
    </row>
    <row r="42" spans="2:38" x14ac:dyDescent="0.25">
      <c r="AI42" s="64" t="s">
        <v>59</v>
      </c>
      <c r="AJ42" s="64" t="s">
        <v>328</v>
      </c>
      <c r="AK42" s="64" t="s">
        <v>556</v>
      </c>
      <c r="AL42" s="65">
        <v>3932</v>
      </c>
    </row>
    <row r="43" spans="2:38" x14ac:dyDescent="0.25">
      <c r="AI43" s="64" t="s">
        <v>58</v>
      </c>
      <c r="AJ43" s="64" t="s">
        <v>543</v>
      </c>
      <c r="AK43" s="64" t="s">
        <v>235</v>
      </c>
      <c r="AL43" s="65">
        <v>100000</v>
      </c>
    </row>
    <row r="44" spans="2:38" x14ac:dyDescent="0.25">
      <c r="AI44" s="64" t="s">
        <v>58</v>
      </c>
      <c r="AJ44" s="64" t="s">
        <v>544</v>
      </c>
      <c r="AK44" s="64" t="s">
        <v>248</v>
      </c>
      <c r="AL44" s="65">
        <v>38090</v>
      </c>
    </row>
    <row r="45" spans="2:38" x14ac:dyDescent="0.25">
      <c r="AI45" s="64" t="s">
        <v>58</v>
      </c>
      <c r="AJ45" s="64" t="s">
        <v>545</v>
      </c>
      <c r="AK45" s="64" t="s">
        <v>248</v>
      </c>
      <c r="AL45" s="65">
        <v>115000</v>
      </c>
    </row>
    <row r="46" spans="2:38" x14ac:dyDescent="0.25">
      <c r="AI46" s="64" t="s">
        <v>58</v>
      </c>
      <c r="AJ46" s="64" t="s">
        <v>546</v>
      </c>
      <c r="AK46" s="64" t="s">
        <v>248</v>
      </c>
      <c r="AL46" s="65">
        <v>45000</v>
      </c>
    </row>
    <row r="47" spans="2:38" x14ac:dyDescent="0.25">
      <c r="AI47" s="16"/>
      <c r="AJ47" s="16"/>
      <c r="AK47" s="16"/>
      <c r="AL47" s="16"/>
    </row>
    <row r="49" spans="35:38" ht="15.75" thickBot="1" x14ac:dyDescent="0.3">
      <c r="AI49" s="60" t="s">
        <v>40</v>
      </c>
      <c r="AJ49" s="60"/>
      <c r="AK49" s="60"/>
      <c r="AL49" s="66">
        <f>+SUM(AL23:AL48)</f>
        <v>575216</v>
      </c>
    </row>
    <row r="50" spans="35:38" ht="15.75" thickTop="1" x14ac:dyDescent="0.25"/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38"/>
  <sheetViews>
    <sheetView zoomScale="80" zoomScaleNormal="80" workbookViewId="0">
      <selection activeCell="T35" sqref="T35"/>
    </sheetView>
  </sheetViews>
  <sheetFormatPr defaultRowHeight="15" x14ac:dyDescent="0.25"/>
  <cols>
    <col min="5" max="5" width="1.42578125" customWidth="1"/>
    <col min="9" max="9" width="0.5703125" customWidth="1"/>
    <col min="11" max="11" width="13.7109375" bestFit="1" customWidth="1"/>
    <col min="12" max="12" width="9.5703125" bestFit="1" customWidth="1"/>
    <col min="13" max="13" width="1.140625" customWidth="1"/>
    <col min="15" max="15" width="14" bestFit="1" customWidth="1"/>
    <col min="17" max="17" width="0.85546875" customWidth="1"/>
    <col min="21" max="21" width="1" customWidth="1"/>
    <col min="22" max="22" width="2.7109375" customWidth="1"/>
    <col min="25" max="25" width="9.5703125" bestFit="1" customWidth="1"/>
    <col min="26" max="26" width="1.28515625" customWidth="1"/>
    <col min="27" max="27" width="0.7109375" customWidth="1"/>
    <col min="29" max="29" width="10.5703125" bestFit="1" customWidth="1"/>
    <col min="33" max="33" width="2.5703125" customWidth="1"/>
    <col min="34" max="34" width="9.140625" hidden="1" customWidth="1"/>
    <col min="36" max="36" width="14" bestFit="1" customWidth="1"/>
    <col min="37" max="37" width="15" bestFit="1" customWidth="1"/>
  </cols>
  <sheetData>
    <row r="2" spans="2:38" ht="15.75" thickBot="1" x14ac:dyDescent="0.3"/>
    <row r="3" spans="2:38" x14ac:dyDescent="0.25">
      <c r="B3" s="104" t="s">
        <v>565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560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/>
      <c r="D6" s="36">
        <f>+C6*B6</f>
        <v>0</v>
      </c>
      <c r="E6" s="1"/>
      <c r="F6" s="2">
        <v>10</v>
      </c>
      <c r="G6" s="2">
        <v>78</v>
      </c>
      <c r="H6" s="36">
        <f>+G6*F6</f>
        <v>780</v>
      </c>
      <c r="I6" s="1"/>
      <c r="J6" s="2">
        <v>10</v>
      </c>
      <c r="K6" s="2">
        <v>43</v>
      </c>
      <c r="L6" s="36">
        <f>+K6*J6</f>
        <v>430</v>
      </c>
      <c r="M6" s="1"/>
      <c r="N6" s="2">
        <v>10</v>
      </c>
      <c r="O6" s="2">
        <v>205</v>
      </c>
      <c r="P6" s="36">
        <f>+O6*N6</f>
        <v>2050</v>
      </c>
      <c r="Q6" s="1"/>
      <c r="R6" s="2">
        <v>10</v>
      </c>
      <c r="S6" s="2">
        <v>3</v>
      </c>
      <c r="T6" s="36">
        <f>+S6*R6</f>
        <v>30</v>
      </c>
      <c r="U6" s="1"/>
      <c r="V6" s="12"/>
      <c r="W6" s="39">
        <v>10</v>
      </c>
      <c r="X6" s="39">
        <f>+C6+G6+K6+O6+S6</f>
        <v>329</v>
      </c>
      <c r="Y6" s="37">
        <f>+D6+H6+L6+P6+T6</f>
        <v>3290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 x14ac:dyDescent="0.25">
      <c r="B7" s="2">
        <v>20</v>
      </c>
      <c r="C7" s="2"/>
      <c r="D7" s="36">
        <f t="shared" ref="D7:D12" si="1">+C7*B7</f>
        <v>0</v>
      </c>
      <c r="E7" s="1"/>
      <c r="F7" s="2">
        <v>20</v>
      </c>
      <c r="G7" s="2">
        <v>12</v>
      </c>
      <c r="H7" s="36">
        <f t="shared" ref="H7:H12" si="2">+G7*F7</f>
        <v>240</v>
      </c>
      <c r="I7" s="1"/>
      <c r="J7" s="2">
        <v>20</v>
      </c>
      <c r="K7" s="2">
        <v>7</v>
      </c>
      <c r="L7" s="36">
        <f t="shared" ref="L7:L12" si="3">+K7*J7</f>
        <v>140</v>
      </c>
      <c r="M7" s="1"/>
      <c r="N7" s="2">
        <v>20</v>
      </c>
      <c r="O7" s="2">
        <v>5</v>
      </c>
      <c r="P7" s="36">
        <f t="shared" ref="P7:P12" si="4">+O7*N7</f>
        <v>100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24</v>
      </c>
      <c r="Y7" s="37">
        <f t="shared" ref="Y7:Y12" si="6">+D7+H7+L7+P7+T7</f>
        <v>480</v>
      </c>
      <c r="Z7" s="13"/>
      <c r="AA7" s="1"/>
      <c r="AB7" s="56" t="s">
        <v>10</v>
      </c>
      <c r="AC7" s="57">
        <f>Y13</f>
        <v>261570</v>
      </c>
      <c r="AD7" s="26"/>
      <c r="AE7" s="26"/>
      <c r="AF7" s="26"/>
      <c r="AG7" s="26"/>
      <c r="AH7" s="1"/>
      <c r="AI7" s="2">
        <v>10</v>
      </c>
      <c r="AJ7" s="2">
        <v>329</v>
      </c>
      <c r="AK7" s="36">
        <f t="shared" si="0"/>
        <v>3290</v>
      </c>
      <c r="AL7" s="1"/>
    </row>
    <row r="8" spans="2:38" x14ac:dyDescent="0.25">
      <c r="B8" s="2">
        <v>50</v>
      </c>
      <c r="C8" s="2"/>
      <c r="D8" s="36">
        <f t="shared" si="1"/>
        <v>0</v>
      </c>
      <c r="E8" s="1"/>
      <c r="F8" s="2">
        <v>50</v>
      </c>
      <c r="G8" s="2">
        <v>11</v>
      </c>
      <c r="H8" s="36">
        <f t="shared" si="2"/>
        <v>550</v>
      </c>
      <c r="I8" s="1"/>
      <c r="J8" s="2">
        <v>50</v>
      </c>
      <c r="K8" s="2">
        <v>39</v>
      </c>
      <c r="L8" s="36">
        <f t="shared" si="3"/>
        <v>1950</v>
      </c>
      <c r="M8" s="1"/>
      <c r="N8" s="2">
        <v>50</v>
      </c>
      <c r="O8" s="2">
        <v>18</v>
      </c>
      <c r="P8" s="36">
        <f t="shared" si="4"/>
        <v>900</v>
      </c>
      <c r="Q8" s="1"/>
      <c r="R8" s="2">
        <v>50</v>
      </c>
      <c r="S8" s="2">
        <v>2</v>
      </c>
      <c r="T8" s="36">
        <f t="shared" si="5"/>
        <v>100</v>
      </c>
      <c r="U8" s="1"/>
      <c r="V8" s="12"/>
      <c r="W8" s="39">
        <v>50</v>
      </c>
      <c r="X8" s="39">
        <f t="shared" ref="X8:X12" si="7">+C8+G8+K8+O8+S8</f>
        <v>70</v>
      </c>
      <c r="Y8" s="37">
        <f t="shared" si="6"/>
        <v>3500</v>
      </c>
      <c r="Z8" s="13"/>
      <c r="AA8" s="1"/>
      <c r="AB8" s="53" t="s">
        <v>11</v>
      </c>
      <c r="AC8" s="53">
        <f>+AF31</f>
        <v>126135</v>
      </c>
      <c r="AD8" s="1"/>
      <c r="AE8" s="1"/>
      <c r="AF8" s="1"/>
      <c r="AG8" s="1"/>
      <c r="AH8" s="1"/>
      <c r="AI8" s="2">
        <v>20</v>
      </c>
      <c r="AJ8" s="2">
        <v>25</v>
      </c>
      <c r="AK8" s="36">
        <f t="shared" si="0"/>
        <v>500</v>
      </c>
      <c r="AL8" s="1"/>
    </row>
    <row r="9" spans="2:38" ht="15.75" thickBot="1" x14ac:dyDescent="0.3">
      <c r="B9" s="2">
        <v>100</v>
      </c>
      <c r="C9" s="2">
        <v>10</v>
      </c>
      <c r="D9" s="36">
        <f t="shared" si="1"/>
        <v>1000</v>
      </c>
      <c r="E9" s="1"/>
      <c r="F9" s="2">
        <v>100</v>
      </c>
      <c r="G9" s="2">
        <v>29</v>
      </c>
      <c r="H9" s="36">
        <f t="shared" si="2"/>
        <v>2900</v>
      </c>
      <c r="I9" s="1"/>
      <c r="J9" s="2">
        <v>100</v>
      </c>
      <c r="K9" s="2">
        <v>40</v>
      </c>
      <c r="L9" s="36">
        <f t="shared" si="3"/>
        <v>4000</v>
      </c>
      <c r="M9" s="1"/>
      <c r="N9" s="2">
        <v>100</v>
      </c>
      <c r="O9" s="2">
        <v>7</v>
      </c>
      <c r="P9" s="36">
        <f t="shared" si="4"/>
        <v>700</v>
      </c>
      <c r="Q9" s="1"/>
      <c r="R9" s="2">
        <v>100</v>
      </c>
      <c r="S9" s="2">
        <v>2</v>
      </c>
      <c r="T9" s="36">
        <f t="shared" si="5"/>
        <v>200</v>
      </c>
      <c r="U9" s="1"/>
      <c r="V9" s="12"/>
      <c r="W9" s="39">
        <v>100</v>
      </c>
      <c r="X9" s="39">
        <f t="shared" si="7"/>
        <v>88</v>
      </c>
      <c r="Y9" s="37">
        <f t="shared" si="6"/>
        <v>8800</v>
      </c>
      <c r="Z9" s="13"/>
      <c r="AA9" s="1"/>
      <c r="AB9" s="58" t="s">
        <v>12</v>
      </c>
      <c r="AC9" s="59">
        <f>SUM(AC7:AC8)</f>
        <v>387705</v>
      </c>
      <c r="AD9" s="1"/>
      <c r="AE9" s="1"/>
      <c r="AF9" s="1"/>
      <c r="AG9" s="1"/>
      <c r="AH9" s="1"/>
      <c r="AI9" s="2">
        <v>50</v>
      </c>
      <c r="AJ9" s="2">
        <v>71</v>
      </c>
      <c r="AK9" s="36">
        <f t="shared" si="0"/>
        <v>3550</v>
      </c>
      <c r="AL9" s="1"/>
    </row>
    <row r="10" spans="2:38" x14ac:dyDescent="0.25">
      <c r="B10" s="2">
        <v>500</v>
      </c>
      <c r="C10" s="2">
        <v>3</v>
      </c>
      <c r="D10" s="36">
        <f t="shared" si="1"/>
        <v>1500</v>
      </c>
      <c r="E10" s="1"/>
      <c r="F10" s="2">
        <v>500</v>
      </c>
      <c r="G10" s="2">
        <v>28</v>
      </c>
      <c r="H10" s="36">
        <f t="shared" si="2"/>
        <v>14000</v>
      </c>
      <c r="I10" s="1"/>
      <c r="J10" s="2">
        <v>500</v>
      </c>
      <c r="K10" s="2">
        <v>39</v>
      </c>
      <c r="L10" s="36">
        <f t="shared" si="3"/>
        <v>19500</v>
      </c>
      <c r="M10" s="1"/>
      <c r="N10" s="2">
        <v>500</v>
      </c>
      <c r="O10" s="2">
        <v>23</v>
      </c>
      <c r="P10" s="36">
        <f t="shared" si="4"/>
        <v>11500</v>
      </c>
      <c r="Q10" s="1"/>
      <c r="R10" s="2">
        <v>500</v>
      </c>
      <c r="S10" s="2">
        <v>40</v>
      </c>
      <c r="T10" s="36">
        <f t="shared" si="5"/>
        <v>20000</v>
      </c>
      <c r="U10" s="1"/>
      <c r="V10" s="12"/>
      <c r="W10" s="39">
        <v>500</v>
      </c>
      <c r="X10" s="39">
        <f t="shared" si="7"/>
        <v>133</v>
      </c>
      <c r="Y10" s="37">
        <f t="shared" si="6"/>
        <v>66500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94</v>
      </c>
      <c r="AK10" s="36">
        <f t="shared" si="0"/>
        <v>9400</v>
      </c>
      <c r="AL10" s="1"/>
    </row>
    <row r="11" spans="2:38" x14ac:dyDescent="0.25">
      <c r="B11" s="2">
        <v>1000</v>
      </c>
      <c r="C11" s="2">
        <v>2</v>
      </c>
      <c r="D11" s="36">
        <f t="shared" si="1"/>
        <v>2000</v>
      </c>
      <c r="E11" s="1"/>
      <c r="F11" s="2">
        <v>1000</v>
      </c>
      <c r="G11" s="2">
        <v>57</v>
      </c>
      <c r="H11" s="36">
        <f t="shared" si="2"/>
        <v>57000</v>
      </c>
      <c r="I11" s="1"/>
      <c r="J11" s="2">
        <v>1000</v>
      </c>
      <c r="K11" s="2">
        <v>51</v>
      </c>
      <c r="L11" s="36">
        <f t="shared" si="3"/>
        <v>51000</v>
      </c>
      <c r="M11" s="1"/>
      <c r="N11" s="2">
        <v>1000</v>
      </c>
      <c r="O11" s="2">
        <v>13</v>
      </c>
      <c r="P11" s="36">
        <f t="shared" si="4"/>
        <v>13000</v>
      </c>
      <c r="Q11" s="1"/>
      <c r="R11" s="2">
        <v>1000</v>
      </c>
      <c r="S11" s="2">
        <v>31</v>
      </c>
      <c r="T11" s="36">
        <f t="shared" si="5"/>
        <v>31000</v>
      </c>
      <c r="U11" s="1"/>
      <c r="V11" s="12"/>
      <c r="W11" s="39">
        <v>1000</v>
      </c>
      <c r="X11" s="39">
        <f t="shared" si="7"/>
        <v>154</v>
      </c>
      <c r="Y11" s="37">
        <f t="shared" si="6"/>
        <v>154000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254</v>
      </c>
      <c r="AK11" s="36">
        <f t="shared" si="0"/>
        <v>127000</v>
      </c>
      <c r="AL11" s="1"/>
    </row>
    <row r="12" spans="2:38" x14ac:dyDescent="0.25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4</v>
      </c>
      <c r="H12" s="36">
        <f t="shared" si="2"/>
        <v>20000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5</v>
      </c>
      <c r="Y12" s="37">
        <f t="shared" si="6"/>
        <v>25000</v>
      </c>
      <c r="Z12" s="13"/>
      <c r="AA12" s="1"/>
      <c r="AB12" s="1" t="s">
        <v>17</v>
      </c>
      <c r="AC12" s="5">
        <v>384740</v>
      </c>
      <c r="AD12" s="1"/>
      <c r="AE12" s="52"/>
      <c r="AF12" s="1"/>
      <c r="AG12" s="1"/>
      <c r="AH12" s="1"/>
      <c r="AI12" s="2">
        <v>1000</v>
      </c>
      <c r="AJ12" s="2">
        <v>219</v>
      </c>
      <c r="AK12" s="36">
        <f t="shared" si="0"/>
        <v>219000</v>
      </c>
      <c r="AL12" s="1"/>
    </row>
    <row r="13" spans="2:38" ht="15.75" thickBot="1" x14ac:dyDescent="0.3">
      <c r="B13" s="3" t="s">
        <v>18</v>
      </c>
      <c r="C13" s="3"/>
      <c r="D13" s="6">
        <f>+SUM(D5:D12)</f>
        <v>4500</v>
      </c>
      <c r="E13" s="1"/>
      <c r="F13" s="3" t="s">
        <v>18</v>
      </c>
      <c r="G13" s="3"/>
      <c r="H13" s="6">
        <f>+SUM(H5:H12)</f>
        <v>95470</v>
      </c>
      <c r="I13" s="1"/>
      <c r="J13" s="3" t="s">
        <v>18</v>
      </c>
      <c r="K13" s="3"/>
      <c r="L13" s="6">
        <f>+SUM(L5:L12)</f>
        <v>77020</v>
      </c>
      <c r="M13" s="1"/>
      <c r="N13" s="3" t="s">
        <v>18</v>
      </c>
      <c r="O13" s="3"/>
      <c r="P13" s="6">
        <f>+SUM(P5:P12)</f>
        <v>33250</v>
      </c>
      <c r="Q13" s="1"/>
      <c r="R13" s="3" t="s">
        <v>18</v>
      </c>
      <c r="S13" s="3"/>
      <c r="T13" s="6">
        <f>+SUM(T5:T12)</f>
        <v>51330</v>
      </c>
      <c r="U13" s="1"/>
      <c r="V13" s="12"/>
      <c r="W13" s="3" t="s">
        <v>18</v>
      </c>
      <c r="X13" s="3"/>
      <c r="Y13" s="6">
        <f>+SUM(Y5:Y12)</f>
        <v>261570</v>
      </c>
      <c r="Z13" s="13"/>
      <c r="AA13" s="1"/>
      <c r="AB13" s="1" t="s">
        <v>19</v>
      </c>
      <c r="AC13" s="5">
        <v>3000</v>
      </c>
      <c r="AD13" s="1"/>
      <c r="AE13" s="1"/>
      <c r="AF13" s="1"/>
      <c r="AG13" s="1"/>
      <c r="AH13" s="1"/>
      <c r="AI13" s="2">
        <v>5000</v>
      </c>
      <c r="AJ13" s="2">
        <v>5</v>
      </c>
      <c r="AK13" s="36">
        <f t="shared" si="0"/>
        <v>25000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387740</v>
      </c>
      <c r="AL14" s="1"/>
    </row>
    <row r="15" spans="2:38" ht="15.75" thickBot="1" x14ac:dyDescent="0.3">
      <c r="B15" s="105" t="s">
        <v>21</v>
      </c>
      <c r="C15" s="106"/>
      <c r="D15" s="8">
        <v>4502</v>
      </c>
      <c r="E15" s="30"/>
      <c r="F15" s="105" t="s">
        <v>21</v>
      </c>
      <c r="G15" s="106"/>
      <c r="H15" s="8">
        <v>96999</v>
      </c>
      <c r="I15" s="30"/>
      <c r="J15" s="105" t="s">
        <v>21</v>
      </c>
      <c r="K15" s="106"/>
      <c r="L15" s="8">
        <v>104648</v>
      </c>
      <c r="M15" s="30"/>
      <c r="N15" s="105" t="s">
        <v>21</v>
      </c>
      <c r="O15" s="106"/>
      <c r="P15" s="8">
        <v>43159</v>
      </c>
      <c r="Q15" s="30"/>
      <c r="R15" s="105" t="s">
        <v>21</v>
      </c>
      <c r="S15" s="106"/>
      <c r="T15" s="8">
        <f>31864+21684</f>
        <v>53548</v>
      </c>
      <c r="U15" s="30"/>
      <c r="V15" s="31"/>
      <c r="W15" s="105" t="s">
        <v>21</v>
      </c>
      <c r="X15" s="106"/>
      <c r="Y15" s="8">
        <f>+D15+H15+L15+P15+T15</f>
        <v>302856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4500</v>
      </c>
      <c r="E16" s="1"/>
      <c r="F16" s="1" t="s">
        <v>10</v>
      </c>
      <c r="G16" s="1"/>
      <c r="H16" s="5">
        <f>+H13</f>
        <v>95470</v>
      </c>
      <c r="I16" s="1"/>
      <c r="J16" s="1" t="s">
        <v>10</v>
      </c>
      <c r="K16" s="1"/>
      <c r="L16" s="5">
        <f>+L13</f>
        <v>77020</v>
      </c>
      <c r="M16" s="1"/>
      <c r="N16" s="1" t="s">
        <v>10</v>
      </c>
      <c r="O16" s="1"/>
      <c r="P16" s="5">
        <f>+P13</f>
        <v>33250</v>
      </c>
      <c r="Q16" s="1"/>
      <c r="R16" s="1" t="s">
        <v>10</v>
      </c>
      <c r="S16" s="1"/>
      <c r="T16" s="5">
        <f>+T13</f>
        <v>51330</v>
      </c>
      <c r="U16" s="1"/>
      <c r="V16" s="12"/>
      <c r="W16" s="40" t="s">
        <v>10</v>
      </c>
      <c r="X16" s="40"/>
      <c r="Y16" s="37">
        <f>+D16+H16+L16+P16+T16</f>
        <v>261570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>
        <v>3000</v>
      </c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3000</v>
      </c>
      <c r="Z17" s="13"/>
      <c r="AA17" s="1"/>
      <c r="AB17" s="48" t="s">
        <v>12</v>
      </c>
      <c r="AC17" s="49">
        <f>+SUM(AC12:AC16)</f>
        <v>387740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24</v>
      </c>
      <c r="C18" s="1"/>
      <c r="D18" s="5"/>
      <c r="E18" s="1"/>
      <c r="F18" s="1" t="s">
        <v>24</v>
      </c>
      <c r="G18" s="1"/>
      <c r="H18" s="5"/>
      <c r="I18" s="1"/>
      <c r="J18" s="1" t="s">
        <v>453</v>
      </c>
      <c r="K18" s="1" t="s">
        <v>566</v>
      </c>
      <c r="L18" s="5">
        <v>6600</v>
      </c>
      <c r="M18" s="1"/>
      <c r="N18" s="1" t="s">
        <v>471</v>
      </c>
      <c r="O18" s="1" t="s">
        <v>561</v>
      </c>
      <c r="P18" s="5">
        <v>6911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13511</v>
      </c>
      <c r="Z18" s="13"/>
      <c r="AA18" s="1"/>
      <c r="AB18" s="50" t="s">
        <v>25</v>
      </c>
      <c r="AC18" s="51">
        <f>+AC17-AC9</f>
        <v>35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486</v>
      </c>
      <c r="K19" s="1" t="s">
        <v>567</v>
      </c>
      <c r="L19" s="5">
        <v>9910</v>
      </c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9910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278</v>
      </c>
      <c r="K20" s="1" t="s">
        <v>568</v>
      </c>
      <c r="L20" s="5">
        <v>4000</v>
      </c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4000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0</v>
      </c>
      <c r="Z23" s="13"/>
      <c r="AA23" s="1"/>
      <c r="AB23" s="16" t="s">
        <v>178</v>
      </c>
      <c r="AC23" s="84">
        <v>45876</v>
      </c>
      <c r="AD23" s="20" t="s">
        <v>176</v>
      </c>
      <c r="AE23" s="16"/>
      <c r="AF23" s="16">
        <v>82435</v>
      </c>
      <c r="AG23" s="1"/>
      <c r="AH23" s="1"/>
      <c r="AI23" s="1" t="s">
        <v>206</v>
      </c>
      <c r="AJ23" s="1" t="s">
        <v>215</v>
      </c>
      <c r="AK23" s="1"/>
      <c r="AL23" s="62">
        <v>3000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20" t="s">
        <v>563</v>
      </c>
      <c r="AC24" s="84">
        <v>45894</v>
      </c>
      <c r="AD24" s="16" t="s">
        <v>562</v>
      </c>
      <c r="AE24" s="16"/>
      <c r="AF24" s="16">
        <v>33700</v>
      </c>
      <c r="AG24" s="1"/>
      <c r="AH24" s="1"/>
      <c r="AI24" s="16" t="s">
        <v>214</v>
      </c>
      <c r="AJ24" s="64" t="s">
        <v>213</v>
      </c>
      <c r="AK24" s="16" t="s">
        <v>51</v>
      </c>
      <c r="AL24" s="15">
        <v>17300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20" t="s">
        <v>390</v>
      </c>
      <c r="AC25" s="84">
        <v>45897</v>
      </c>
      <c r="AD25" s="20" t="s">
        <v>564</v>
      </c>
      <c r="AE25" s="16"/>
      <c r="AF25" s="16">
        <v>10000</v>
      </c>
      <c r="AG25" s="1"/>
      <c r="AH25" s="1"/>
      <c r="AI25" s="16" t="s">
        <v>117</v>
      </c>
      <c r="AJ25" s="64" t="s">
        <v>569</v>
      </c>
      <c r="AK25" s="16" t="s">
        <v>149</v>
      </c>
      <c r="AL25" s="64">
        <v>5640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16" t="s">
        <v>214</v>
      </c>
      <c r="AJ26" s="64" t="s">
        <v>332</v>
      </c>
      <c r="AK26" s="16" t="s">
        <v>152</v>
      </c>
      <c r="AL26" s="69">
        <v>6400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16" t="s">
        <v>122</v>
      </c>
      <c r="AJ27" s="64" t="s">
        <v>376</v>
      </c>
      <c r="AK27" s="16" t="s">
        <v>571</v>
      </c>
      <c r="AL27" s="15">
        <v>7660</v>
      </c>
    </row>
    <row r="28" spans="2:38" ht="15.75" thickBot="1" x14ac:dyDescent="0.3">
      <c r="B28" s="99" t="s">
        <v>12</v>
      </c>
      <c r="C28" s="100"/>
      <c r="D28" s="9">
        <f>+SUM(D16:D27)</f>
        <v>4500</v>
      </c>
      <c r="E28" s="1"/>
      <c r="F28" s="99" t="s">
        <v>12</v>
      </c>
      <c r="G28" s="100"/>
      <c r="H28" s="9">
        <f>+SUM(H16:H27)</f>
        <v>95470</v>
      </c>
      <c r="I28" s="1"/>
      <c r="J28" s="99" t="s">
        <v>12</v>
      </c>
      <c r="K28" s="100"/>
      <c r="L28" s="9">
        <f>+SUM(L16:L27)</f>
        <v>97530</v>
      </c>
      <c r="M28" s="1"/>
      <c r="N28" s="99" t="s">
        <v>12</v>
      </c>
      <c r="O28" s="100"/>
      <c r="P28" s="9">
        <f>+SUM(P16:P27)</f>
        <v>43161</v>
      </c>
      <c r="Q28" s="1"/>
      <c r="R28" s="99" t="s">
        <v>12</v>
      </c>
      <c r="S28" s="100"/>
      <c r="T28" s="9">
        <f>+SUM(T16:T27)</f>
        <v>51330</v>
      </c>
      <c r="U28" s="1"/>
      <c r="V28" s="12"/>
      <c r="W28" s="99" t="s">
        <v>12</v>
      </c>
      <c r="X28" s="100"/>
      <c r="Y28" s="9">
        <f>+SUM(Y16:Y27)</f>
        <v>291991</v>
      </c>
      <c r="Z28" s="13"/>
      <c r="AA28" s="1"/>
      <c r="AB28" s="1"/>
      <c r="AC28" s="1"/>
      <c r="AD28" s="1"/>
      <c r="AE28" s="1"/>
      <c r="AF28" s="1"/>
      <c r="AG28" s="1"/>
      <c r="AH28" s="1"/>
      <c r="AI28" s="16" t="s">
        <v>115</v>
      </c>
      <c r="AJ28" s="64" t="s">
        <v>570</v>
      </c>
      <c r="AK28" s="16" t="s">
        <v>235</v>
      </c>
      <c r="AL28" s="77">
        <v>75630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64" t="s">
        <v>122</v>
      </c>
      <c r="AJ29" s="64" t="s">
        <v>377</v>
      </c>
      <c r="AK29" s="64" t="s">
        <v>204</v>
      </c>
      <c r="AL29" s="65">
        <v>3900</v>
      </c>
    </row>
    <row r="30" spans="2:38" ht="15.75" thickBot="1" x14ac:dyDescent="0.3">
      <c r="B30" s="101" t="s">
        <v>41</v>
      </c>
      <c r="C30" s="101"/>
      <c r="D30" s="7">
        <f>+D28-D15</f>
        <v>-2</v>
      </c>
      <c r="E30" s="1"/>
      <c r="F30" s="101" t="s">
        <v>41</v>
      </c>
      <c r="G30" s="101"/>
      <c r="H30" s="7">
        <f>+H28-H15</f>
        <v>-1529</v>
      </c>
      <c r="I30" s="1"/>
      <c r="J30" s="101" t="s">
        <v>41</v>
      </c>
      <c r="K30" s="101"/>
      <c r="L30" s="7">
        <f>+L28-L15</f>
        <v>-7118</v>
      </c>
      <c r="M30" s="1"/>
      <c r="N30" s="101" t="s">
        <v>41</v>
      </c>
      <c r="O30" s="101"/>
      <c r="P30" s="7">
        <f>+P28-P15</f>
        <v>2</v>
      </c>
      <c r="Q30" s="1"/>
      <c r="R30" s="101" t="s">
        <v>41</v>
      </c>
      <c r="S30" s="101"/>
      <c r="T30" s="7">
        <f>+T28-T15</f>
        <v>-2218</v>
      </c>
      <c r="U30" s="1"/>
      <c r="V30" s="12"/>
      <c r="W30" s="102" t="s">
        <v>41</v>
      </c>
      <c r="X30" s="102"/>
      <c r="Y30" s="41">
        <f>+Y28-Y15</f>
        <v>-10865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126135</v>
      </c>
      <c r="AG31" s="1"/>
      <c r="AH31" s="1"/>
      <c r="AI31" s="60" t="s">
        <v>40</v>
      </c>
      <c r="AJ31" s="60"/>
      <c r="AK31" s="60"/>
      <c r="AL31" s="55">
        <f>+SUM(AL23:AL30)</f>
        <v>119530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>
        <v>1529</v>
      </c>
      <c r="I34" s="1"/>
      <c r="J34" s="10" t="s">
        <v>42</v>
      </c>
      <c r="K34" s="11"/>
      <c r="L34" s="21">
        <v>7118</v>
      </c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8647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549</v>
      </c>
      <c r="S35" s="16"/>
      <c r="T35" s="22">
        <v>2218</v>
      </c>
      <c r="U35" s="1"/>
      <c r="V35" s="1"/>
      <c r="W35" s="45" t="s">
        <v>43</v>
      </c>
      <c r="X35" s="40"/>
      <c r="Y35" s="46">
        <f t="shared" ref="Y35:Y36" si="9">+D35+H35+L35+P35+T35</f>
        <v>2218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>
        <v>2</v>
      </c>
      <c r="E36" s="1"/>
      <c r="F36" s="12" t="s">
        <v>45</v>
      </c>
      <c r="G36" s="16"/>
      <c r="H36" s="22"/>
      <c r="I36" s="1"/>
      <c r="J36" s="12" t="s">
        <v>45</v>
      </c>
      <c r="K36" s="16"/>
      <c r="L36" s="22"/>
      <c r="M36" s="1"/>
      <c r="N36" s="12" t="s">
        <v>45</v>
      </c>
      <c r="O36" s="16"/>
      <c r="P36" s="22"/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2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2</v>
      </c>
      <c r="E37" s="1"/>
      <c r="F37" s="12" t="s">
        <v>18</v>
      </c>
      <c r="G37" s="16"/>
      <c r="H37" s="22">
        <f>+SUM(H34:H36)</f>
        <v>1529</v>
      </c>
      <c r="I37" s="1"/>
      <c r="J37" s="12" t="s">
        <v>18</v>
      </c>
      <c r="K37" s="16"/>
      <c r="L37" s="22">
        <f>+SUM(L34:L36)</f>
        <v>7118</v>
      </c>
      <c r="M37" s="1"/>
      <c r="N37" s="12" t="s">
        <v>18</v>
      </c>
      <c r="O37" s="16"/>
      <c r="P37" s="22">
        <f>+SUM(P34:P36)</f>
        <v>0</v>
      </c>
      <c r="Q37" s="1"/>
      <c r="R37" s="12" t="s">
        <v>18</v>
      </c>
      <c r="S37" s="16"/>
      <c r="T37" s="22">
        <f>+SUM(T34:T36)</f>
        <v>2218</v>
      </c>
      <c r="U37" s="1"/>
      <c r="V37" s="1"/>
      <c r="W37" s="33" t="s">
        <v>18</v>
      </c>
      <c r="X37" s="34"/>
      <c r="Y37" s="35">
        <f>+SUM(Y34:Y36)</f>
        <v>10867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2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2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38"/>
  <sheetViews>
    <sheetView zoomScale="80" zoomScaleNormal="80" workbookViewId="0">
      <selection activeCell="D35" sqref="D35"/>
    </sheetView>
  </sheetViews>
  <sheetFormatPr defaultRowHeight="15" x14ac:dyDescent="0.25"/>
  <cols>
    <col min="3" max="3" width="11.42578125" bestFit="1" customWidth="1"/>
    <col min="5" max="5" width="1" customWidth="1"/>
    <col min="7" max="7" width="14" bestFit="1" customWidth="1"/>
    <col min="9" max="9" width="0.5703125" customWidth="1"/>
    <col min="11" max="11" width="13.28515625" bestFit="1" customWidth="1"/>
    <col min="13" max="13" width="0.42578125" customWidth="1"/>
    <col min="14" max="14" width="13.5703125" bestFit="1" customWidth="1"/>
    <col min="15" max="15" width="14" bestFit="1" customWidth="1"/>
    <col min="17" max="17" width="0.85546875" customWidth="1"/>
    <col min="19" max="19" width="13.5703125" bestFit="1" customWidth="1"/>
    <col min="20" max="20" width="9.7109375" bestFit="1" customWidth="1"/>
    <col min="21" max="21" width="0.5703125" customWidth="1"/>
    <col min="22" max="22" width="1.85546875" customWidth="1"/>
    <col min="25" max="25" width="9.5703125" bestFit="1" customWidth="1"/>
    <col min="26" max="26" width="2" customWidth="1"/>
    <col min="28" max="28" width="15" bestFit="1" customWidth="1"/>
    <col min="29" max="29" width="10.5703125" bestFit="1" customWidth="1"/>
    <col min="33" max="33" width="2.140625" customWidth="1"/>
    <col min="34" max="34" width="2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592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>
        <v>3</v>
      </c>
      <c r="T5" s="36">
        <f>+S5*R5</f>
        <v>3</v>
      </c>
      <c r="U5" s="26"/>
      <c r="V5" s="27"/>
      <c r="W5" s="38">
        <v>1</v>
      </c>
      <c r="X5" s="39">
        <f>+C5+G5+K5+O5+S5</f>
        <v>3</v>
      </c>
      <c r="Y5" s="37">
        <f>+D5+H5+L5+P5+T5</f>
        <v>3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69</v>
      </c>
      <c r="D6" s="36">
        <f>+C6*B6</f>
        <v>690</v>
      </c>
      <c r="E6" s="1"/>
      <c r="F6" s="2">
        <v>10</v>
      </c>
      <c r="G6" s="2">
        <v>241</v>
      </c>
      <c r="H6" s="36">
        <f>+G6*F6</f>
        <v>2410</v>
      </c>
      <c r="I6" s="1"/>
      <c r="J6" s="2">
        <v>10</v>
      </c>
      <c r="K6" s="2">
        <v>21</v>
      </c>
      <c r="L6" s="36">
        <f>+K6*J6</f>
        <v>210</v>
      </c>
      <c r="M6" s="1"/>
      <c r="N6" s="2">
        <v>10</v>
      </c>
      <c r="O6" s="2">
        <v>7</v>
      </c>
      <c r="P6" s="36">
        <f>+O6*N6</f>
        <v>70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338</v>
      </c>
      <c r="Y6" s="37">
        <f>+D6+H6+L6+P6+T6</f>
        <v>3380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 x14ac:dyDescent="0.25">
      <c r="B7" s="2">
        <v>20</v>
      </c>
      <c r="C7" s="2">
        <v>3</v>
      </c>
      <c r="D7" s="36">
        <f t="shared" ref="D7:D12" si="1">+C7*B7</f>
        <v>60</v>
      </c>
      <c r="E7" s="1"/>
      <c r="F7" s="2">
        <v>20</v>
      </c>
      <c r="G7" s="2">
        <v>23</v>
      </c>
      <c r="H7" s="36">
        <f t="shared" ref="H7:H12" si="2">+G7*F7</f>
        <v>460</v>
      </c>
      <c r="I7" s="1"/>
      <c r="J7" s="2">
        <v>20</v>
      </c>
      <c r="K7" s="2">
        <v>6</v>
      </c>
      <c r="L7" s="36">
        <f t="shared" ref="L7:L12" si="3">+K7*J7</f>
        <v>120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>
        <v>11</v>
      </c>
      <c r="T7" s="36">
        <f t="shared" ref="T7:T12" si="5">+S7*R7</f>
        <v>220</v>
      </c>
      <c r="U7" s="1"/>
      <c r="V7" s="12"/>
      <c r="W7" s="39">
        <v>20</v>
      </c>
      <c r="X7" s="39">
        <f>+C7+G7+K7+O7+S7</f>
        <v>43</v>
      </c>
      <c r="Y7" s="37">
        <f t="shared" ref="Y7:Y12" si="6">+D7+H7+L7+P7+T7</f>
        <v>860</v>
      </c>
      <c r="Z7" s="13"/>
      <c r="AA7" s="1"/>
      <c r="AB7" s="56" t="s">
        <v>10</v>
      </c>
      <c r="AC7" s="57">
        <f>Y13</f>
        <v>318893</v>
      </c>
      <c r="AD7" s="26"/>
      <c r="AE7" s="26"/>
      <c r="AF7" s="26"/>
      <c r="AG7" s="26"/>
      <c r="AH7" s="1"/>
      <c r="AI7" s="2">
        <v>10</v>
      </c>
      <c r="AJ7" s="2">
        <v>358</v>
      </c>
      <c r="AK7" s="36">
        <f t="shared" si="0"/>
        <v>3580</v>
      </c>
      <c r="AL7" s="1"/>
    </row>
    <row r="8" spans="2:38" x14ac:dyDescent="0.25">
      <c r="B8" s="2">
        <v>50</v>
      </c>
      <c r="C8" s="2">
        <v>15</v>
      </c>
      <c r="D8" s="36">
        <f t="shared" si="1"/>
        <v>750</v>
      </c>
      <c r="E8" s="1"/>
      <c r="F8" s="2">
        <v>50</v>
      </c>
      <c r="G8" s="2">
        <v>64</v>
      </c>
      <c r="H8" s="36">
        <f t="shared" si="2"/>
        <v>3200</v>
      </c>
      <c r="I8" s="1"/>
      <c r="J8" s="2">
        <v>50</v>
      </c>
      <c r="K8" s="2">
        <v>57</v>
      </c>
      <c r="L8" s="36">
        <f t="shared" si="3"/>
        <v>2850</v>
      </c>
      <c r="M8" s="1"/>
      <c r="N8" s="2">
        <v>50</v>
      </c>
      <c r="O8" s="2">
        <v>125</v>
      </c>
      <c r="P8" s="36">
        <f t="shared" si="4"/>
        <v>6250</v>
      </c>
      <c r="Q8" s="1"/>
      <c r="R8" s="2">
        <v>50</v>
      </c>
      <c r="S8" s="2">
        <v>96</v>
      </c>
      <c r="T8" s="36">
        <f t="shared" si="5"/>
        <v>4800</v>
      </c>
      <c r="U8" s="1"/>
      <c r="V8" s="12"/>
      <c r="W8" s="39">
        <v>50</v>
      </c>
      <c r="X8" s="39">
        <f t="shared" ref="X8:X12" si="7">+C8+G8+K8+O8+S8</f>
        <v>357</v>
      </c>
      <c r="Y8" s="37">
        <f t="shared" si="6"/>
        <v>17850</v>
      </c>
      <c r="Z8" s="13"/>
      <c r="AA8" s="1"/>
      <c r="AB8" s="53" t="s">
        <v>11</v>
      </c>
      <c r="AC8" s="53">
        <f>+AF31</f>
        <v>196354</v>
      </c>
      <c r="AD8" s="1"/>
      <c r="AE8" s="1"/>
      <c r="AF8" s="1"/>
      <c r="AG8" s="1"/>
      <c r="AH8" s="1"/>
      <c r="AI8" s="2">
        <v>20</v>
      </c>
      <c r="AJ8" s="2">
        <v>39</v>
      </c>
      <c r="AK8" s="36">
        <f t="shared" si="0"/>
        <v>780</v>
      </c>
      <c r="AL8" s="1"/>
    </row>
    <row r="9" spans="2:38" ht="15.75" thickBot="1" x14ac:dyDescent="0.3">
      <c r="B9" s="2">
        <v>100</v>
      </c>
      <c r="C9" s="2">
        <v>25</v>
      </c>
      <c r="D9" s="36">
        <f t="shared" si="1"/>
        <v>2500</v>
      </c>
      <c r="E9" s="1"/>
      <c r="F9" s="2">
        <v>100</v>
      </c>
      <c r="G9" s="2">
        <v>118</v>
      </c>
      <c r="H9" s="36">
        <f t="shared" si="2"/>
        <v>11800</v>
      </c>
      <c r="I9" s="1"/>
      <c r="J9" s="2">
        <v>100</v>
      </c>
      <c r="K9" s="2">
        <v>70</v>
      </c>
      <c r="L9" s="36">
        <f t="shared" si="3"/>
        <v>7000</v>
      </c>
      <c r="M9" s="1"/>
      <c r="N9" s="2">
        <v>100</v>
      </c>
      <c r="O9" s="2">
        <v>53</v>
      </c>
      <c r="P9" s="36">
        <f t="shared" si="4"/>
        <v>5300</v>
      </c>
      <c r="Q9" s="1"/>
      <c r="R9" s="2">
        <v>100</v>
      </c>
      <c r="S9" s="2">
        <v>67</v>
      </c>
      <c r="T9" s="36">
        <f t="shared" si="5"/>
        <v>6700</v>
      </c>
      <c r="U9" s="1"/>
      <c r="V9" s="12"/>
      <c r="W9" s="39">
        <v>100</v>
      </c>
      <c r="X9" s="39">
        <f t="shared" si="7"/>
        <v>333</v>
      </c>
      <c r="Y9" s="37">
        <f t="shared" si="6"/>
        <v>33300</v>
      </c>
      <c r="Z9" s="13"/>
      <c r="AA9" s="1"/>
      <c r="AB9" s="58" t="s">
        <v>12</v>
      </c>
      <c r="AC9" s="59">
        <f>SUM(AC7:AC8)</f>
        <v>515247</v>
      </c>
      <c r="AD9" s="1"/>
      <c r="AE9" s="1"/>
      <c r="AF9" s="1"/>
      <c r="AG9" s="1"/>
      <c r="AH9" s="1"/>
      <c r="AI9" s="2">
        <v>50</v>
      </c>
      <c r="AJ9" s="2">
        <v>472</v>
      </c>
      <c r="AK9" s="36">
        <f t="shared" si="0"/>
        <v>23600</v>
      </c>
      <c r="AL9" s="1"/>
    </row>
    <row r="10" spans="2:38" x14ac:dyDescent="0.25">
      <c r="B10" s="2">
        <v>500</v>
      </c>
      <c r="C10" s="2">
        <v>25</v>
      </c>
      <c r="D10" s="36">
        <f t="shared" si="1"/>
        <v>12500</v>
      </c>
      <c r="E10" s="1"/>
      <c r="F10" s="2">
        <v>500</v>
      </c>
      <c r="G10" s="2">
        <v>38</v>
      </c>
      <c r="H10" s="36">
        <f t="shared" si="2"/>
        <v>19000</v>
      </c>
      <c r="I10" s="1"/>
      <c r="J10" s="2">
        <v>500</v>
      </c>
      <c r="K10" s="2">
        <v>17</v>
      </c>
      <c r="L10" s="36">
        <f t="shared" si="3"/>
        <v>8500</v>
      </c>
      <c r="M10" s="1"/>
      <c r="N10" s="2">
        <v>500</v>
      </c>
      <c r="O10" s="2">
        <v>26</v>
      </c>
      <c r="P10" s="36">
        <f t="shared" si="4"/>
        <v>13000</v>
      </c>
      <c r="Q10" s="1"/>
      <c r="R10" s="2">
        <v>500</v>
      </c>
      <c r="S10" s="2">
        <v>33</v>
      </c>
      <c r="T10" s="36">
        <f t="shared" si="5"/>
        <v>16500</v>
      </c>
      <c r="U10" s="1"/>
      <c r="V10" s="12"/>
      <c r="W10" s="39">
        <v>500</v>
      </c>
      <c r="X10" s="39">
        <f t="shared" si="7"/>
        <v>139</v>
      </c>
      <c r="Y10" s="37">
        <f t="shared" si="6"/>
        <v>69500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483</v>
      </c>
      <c r="AK10" s="36">
        <f t="shared" si="0"/>
        <v>48300</v>
      </c>
      <c r="AL10" s="1"/>
    </row>
    <row r="11" spans="2:38" x14ac:dyDescent="0.25">
      <c r="B11" s="2">
        <v>1000</v>
      </c>
      <c r="C11" s="2">
        <v>28</v>
      </c>
      <c r="D11" s="36">
        <f t="shared" si="1"/>
        <v>28000</v>
      </c>
      <c r="E11" s="1"/>
      <c r="F11" s="2">
        <v>1000</v>
      </c>
      <c r="G11" s="2">
        <v>34</v>
      </c>
      <c r="H11" s="36">
        <f t="shared" si="2"/>
        <v>34000</v>
      </c>
      <c r="I11" s="1"/>
      <c r="J11" s="2">
        <v>1000</v>
      </c>
      <c r="K11" s="2">
        <v>29</v>
      </c>
      <c r="L11" s="36">
        <f t="shared" si="3"/>
        <v>29000</v>
      </c>
      <c r="M11" s="1"/>
      <c r="N11" s="2">
        <v>1000</v>
      </c>
      <c r="O11" s="2">
        <v>27</v>
      </c>
      <c r="P11" s="36">
        <f t="shared" si="4"/>
        <v>27000</v>
      </c>
      <c r="Q11" s="1"/>
      <c r="R11" s="2">
        <v>1000</v>
      </c>
      <c r="S11" s="2">
        <v>36</v>
      </c>
      <c r="T11" s="36">
        <f t="shared" si="5"/>
        <v>36000</v>
      </c>
      <c r="U11" s="1"/>
      <c r="V11" s="12"/>
      <c r="W11" s="39">
        <v>1000</v>
      </c>
      <c r="X11" s="39">
        <f t="shared" si="7"/>
        <v>154</v>
      </c>
      <c r="Y11" s="37">
        <f t="shared" si="6"/>
        <v>154000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238</v>
      </c>
      <c r="AK11" s="36">
        <f t="shared" si="0"/>
        <v>119000</v>
      </c>
      <c r="AL11" s="1"/>
    </row>
    <row r="12" spans="2:38" x14ac:dyDescent="0.25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3</v>
      </c>
      <c r="L12" s="36">
        <f t="shared" si="3"/>
        <v>15000</v>
      </c>
      <c r="M12" s="1"/>
      <c r="N12" s="2">
        <v>5000</v>
      </c>
      <c r="O12" s="2">
        <v>2</v>
      </c>
      <c r="P12" s="36">
        <f t="shared" si="4"/>
        <v>10000</v>
      </c>
      <c r="Q12" s="1"/>
      <c r="R12" s="2">
        <v>5000</v>
      </c>
      <c r="S12" s="2">
        <v>1</v>
      </c>
      <c r="T12" s="36">
        <f t="shared" si="5"/>
        <v>5000</v>
      </c>
      <c r="U12" s="1"/>
      <c r="V12" s="12"/>
      <c r="W12" s="39">
        <v>5000</v>
      </c>
      <c r="X12" s="39">
        <f t="shared" si="7"/>
        <v>8</v>
      </c>
      <c r="Y12" s="37">
        <f t="shared" si="6"/>
        <v>40000</v>
      </c>
      <c r="Z12" s="13"/>
      <c r="AA12" s="1"/>
      <c r="AB12" s="1" t="s">
        <v>17</v>
      </c>
      <c r="AC12" s="5">
        <v>511040</v>
      </c>
      <c r="AD12" s="1">
        <v>989384</v>
      </c>
      <c r="AE12" s="52" t="s">
        <v>599</v>
      </c>
      <c r="AF12" s="1" t="s">
        <v>103</v>
      </c>
      <c r="AG12" s="1"/>
      <c r="AH12" s="1"/>
      <c r="AI12" s="2">
        <v>1000</v>
      </c>
      <c r="AJ12" s="2">
        <v>209</v>
      </c>
      <c r="AK12" s="36">
        <f t="shared" si="0"/>
        <v>209000</v>
      </c>
      <c r="AL12" s="1"/>
    </row>
    <row r="13" spans="2:38" ht="15.75" thickBot="1" x14ac:dyDescent="0.3">
      <c r="B13" s="3" t="s">
        <v>18</v>
      </c>
      <c r="C13" s="3"/>
      <c r="D13" s="6">
        <f>+SUM(D5:D12)</f>
        <v>44500</v>
      </c>
      <c r="E13" s="1"/>
      <c r="F13" s="3" t="s">
        <v>18</v>
      </c>
      <c r="G13" s="3"/>
      <c r="H13" s="6">
        <f>+SUM(H5:H12)</f>
        <v>80870</v>
      </c>
      <c r="I13" s="1"/>
      <c r="J13" s="3" t="s">
        <v>18</v>
      </c>
      <c r="K13" s="3"/>
      <c r="L13" s="6">
        <f>+SUM(L5:L12)</f>
        <v>62680</v>
      </c>
      <c r="M13" s="1"/>
      <c r="N13" s="3" t="s">
        <v>18</v>
      </c>
      <c r="O13" s="3"/>
      <c r="P13" s="6">
        <f>+SUM(P5:P12)</f>
        <v>61620</v>
      </c>
      <c r="Q13" s="1"/>
      <c r="R13" s="3" t="s">
        <v>18</v>
      </c>
      <c r="S13" s="3"/>
      <c r="T13" s="6">
        <f>+SUM(T5:T12)</f>
        <v>69223</v>
      </c>
      <c r="U13" s="1"/>
      <c r="V13" s="12"/>
      <c r="W13" s="3" t="s">
        <v>18</v>
      </c>
      <c r="X13" s="3"/>
      <c r="Y13" s="6">
        <f>+SUM(Y5:Y12)</f>
        <v>318893</v>
      </c>
      <c r="Z13" s="13"/>
      <c r="AA13" s="1"/>
      <c r="AB13" s="1" t="s">
        <v>19</v>
      </c>
      <c r="AC13" s="5">
        <v>3000</v>
      </c>
      <c r="AD13" s="1"/>
      <c r="AE13" s="1"/>
      <c r="AF13" s="1"/>
      <c r="AG13" s="1"/>
      <c r="AH13" s="1"/>
      <c r="AI13" s="2">
        <v>5000</v>
      </c>
      <c r="AJ13" s="2">
        <v>22</v>
      </c>
      <c r="AK13" s="36">
        <f t="shared" si="0"/>
        <v>110000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591</v>
      </c>
      <c r="AC14" s="93">
        <v>1000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514260</v>
      </c>
      <c r="AL14" s="1"/>
    </row>
    <row r="15" spans="2:38" ht="15.75" thickBot="1" x14ac:dyDescent="0.3">
      <c r="B15" s="105" t="s">
        <v>21</v>
      </c>
      <c r="C15" s="106"/>
      <c r="D15" s="8">
        <v>51177</v>
      </c>
      <c r="E15" s="30"/>
      <c r="F15" s="105" t="s">
        <v>21</v>
      </c>
      <c r="G15" s="106"/>
      <c r="H15" s="8">
        <v>95034</v>
      </c>
      <c r="I15" s="30"/>
      <c r="J15" s="105" t="s">
        <v>21</v>
      </c>
      <c r="K15" s="106"/>
      <c r="L15" s="8">
        <v>72827</v>
      </c>
      <c r="M15" s="30"/>
      <c r="N15" s="105" t="s">
        <v>21</v>
      </c>
      <c r="O15" s="106"/>
      <c r="P15" s="8">
        <v>76843</v>
      </c>
      <c r="Q15" s="30"/>
      <c r="R15" s="105" t="s">
        <v>21</v>
      </c>
      <c r="S15" s="106"/>
      <c r="T15" s="8">
        <v>417023</v>
      </c>
      <c r="U15" s="30"/>
      <c r="V15" s="31"/>
      <c r="W15" s="105" t="s">
        <v>21</v>
      </c>
      <c r="X15" s="106"/>
      <c r="Y15" s="8">
        <f>+D15+H15+L15+P15+T15</f>
        <v>712904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44500</v>
      </c>
      <c r="E16" s="1"/>
      <c r="F16" s="1" t="s">
        <v>10</v>
      </c>
      <c r="G16" s="1"/>
      <c r="H16" s="5">
        <f>+H13</f>
        <v>80870</v>
      </c>
      <c r="I16" s="1"/>
      <c r="J16" s="1" t="s">
        <v>10</v>
      </c>
      <c r="K16" s="1"/>
      <c r="L16" s="5">
        <f>+L13</f>
        <v>62680</v>
      </c>
      <c r="M16" s="1"/>
      <c r="N16" s="1" t="s">
        <v>10</v>
      </c>
      <c r="O16" s="1"/>
      <c r="P16" s="5">
        <f>+P13</f>
        <v>61620</v>
      </c>
      <c r="Q16" s="1"/>
      <c r="R16" s="1" t="s">
        <v>10</v>
      </c>
      <c r="S16" s="1"/>
      <c r="T16" s="5">
        <f>+T13</f>
        <v>69223</v>
      </c>
      <c r="U16" s="1"/>
      <c r="V16" s="12"/>
      <c r="W16" s="40" t="s">
        <v>10</v>
      </c>
      <c r="X16" s="40"/>
      <c r="Y16" s="37">
        <f>+D16+H16+L16+P16+T16</f>
        <v>318893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6170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6170</v>
      </c>
      <c r="Z17" s="13"/>
      <c r="AA17" s="1"/>
      <c r="AB17" s="48" t="s">
        <v>12</v>
      </c>
      <c r="AC17" s="49">
        <f>+SUM(AC12:AC16)</f>
        <v>515040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486</v>
      </c>
      <c r="C18" s="1" t="s">
        <v>577</v>
      </c>
      <c r="D18" s="5">
        <v>5000</v>
      </c>
      <c r="E18" s="1"/>
      <c r="F18" s="1" t="s">
        <v>278</v>
      </c>
      <c r="G18" s="1" t="s">
        <v>574</v>
      </c>
      <c r="H18" s="5">
        <v>8300</v>
      </c>
      <c r="I18" s="1"/>
      <c r="J18" s="1" t="s">
        <v>444</v>
      </c>
      <c r="K18" s="1" t="s">
        <v>576</v>
      </c>
      <c r="L18" s="5">
        <v>10903</v>
      </c>
      <c r="M18" s="1"/>
      <c r="N18" s="1" t="s">
        <v>444</v>
      </c>
      <c r="O18" s="1" t="s">
        <v>572</v>
      </c>
      <c r="P18" s="5">
        <v>5232</v>
      </c>
      <c r="Q18" s="1"/>
      <c r="R18" s="1" t="s">
        <v>593</v>
      </c>
      <c r="S18" s="1" t="s">
        <v>594</v>
      </c>
      <c r="T18" s="5">
        <v>49136</v>
      </c>
      <c r="U18" s="1"/>
      <c r="V18" s="12"/>
      <c r="W18" s="40" t="s">
        <v>24</v>
      </c>
      <c r="X18" s="40"/>
      <c r="Y18" s="37">
        <f t="shared" si="8"/>
        <v>78571</v>
      </c>
      <c r="Z18" s="13"/>
      <c r="AA18" s="1"/>
      <c r="AB18" s="50" t="s">
        <v>25</v>
      </c>
      <c r="AC18" s="51">
        <f>+AC17-AC9</f>
        <v>-207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453</v>
      </c>
      <c r="G19" s="1" t="s">
        <v>575</v>
      </c>
      <c r="H19" s="5">
        <v>7350</v>
      </c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7350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86" t="s">
        <v>573</v>
      </c>
      <c r="O23" s="1"/>
      <c r="P23" s="85">
        <v>10000</v>
      </c>
      <c r="Q23" s="1"/>
      <c r="R23" s="1" t="s">
        <v>595</v>
      </c>
      <c r="S23" s="1" t="s">
        <v>596</v>
      </c>
      <c r="T23" s="5">
        <v>64822</v>
      </c>
      <c r="U23" s="1"/>
      <c r="V23" s="12"/>
      <c r="W23" s="40" t="s">
        <v>36</v>
      </c>
      <c r="X23" s="40"/>
      <c r="Y23" s="37">
        <f t="shared" si="8"/>
        <v>74822</v>
      </c>
      <c r="Z23" s="13"/>
      <c r="AA23" s="1"/>
      <c r="AB23" s="64" t="s">
        <v>578</v>
      </c>
      <c r="AC23" s="76">
        <v>45911</v>
      </c>
      <c r="AD23" s="64" t="s">
        <v>119</v>
      </c>
      <c r="AE23" s="64"/>
      <c r="AF23" s="64">
        <v>10680</v>
      </c>
      <c r="AG23" s="1"/>
      <c r="AH23" s="1"/>
      <c r="AI23" s="64" t="s">
        <v>122</v>
      </c>
      <c r="AJ23" s="64" t="s">
        <v>215</v>
      </c>
      <c r="AK23" s="64"/>
      <c r="AL23" s="65">
        <v>6170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597</v>
      </c>
      <c r="S24" s="16" t="s">
        <v>318</v>
      </c>
      <c r="T24" s="77">
        <v>231068</v>
      </c>
      <c r="U24" s="1"/>
      <c r="V24" s="12"/>
      <c r="W24" s="40" t="s">
        <v>37</v>
      </c>
      <c r="X24" s="40"/>
      <c r="Y24" s="37">
        <f t="shared" si="8"/>
        <v>231068</v>
      </c>
      <c r="Z24" s="13"/>
      <c r="AA24" s="1"/>
      <c r="AB24" s="64" t="s">
        <v>117</v>
      </c>
      <c r="AC24" s="73">
        <v>45894</v>
      </c>
      <c r="AD24" s="64" t="s">
        <v>60</v>
      </c>
      <c r="AE24" s="64" t="s">
        <v>579</v>
      </c>
      <c r="AF24" s="64">
        <v>8350</v>
      </c>
      <c r="AG24" s="1"/>
      <c r="AH24" s="1"/>
      <c r="AI24" s="64" t="s">
        <v>117</v>
      </c>
      <c r="AJ24" s="64" t="s">
        <v>222</v>
      </c>
      <c r="AK24" s="64" t="s">
        <v>588</v>
      </c>
      <c r="AL24" s="65">
        <v>18650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64" t="s">
        <v>580</v>
      </c>
      <c r="AC25" s="73">
        <v>45913</v>
      </c>
      <c r="AD25" s="64" t="s">
        <v>396</v>
      </c>
      <c r="AE25" s="64"/>
      <c r="AF25" s="64">
        <v>11480</v>
      </c>
      <c r="AG25" s="1"/>
      <c r="AH25" s="1"/>
      <c r="AI25" s="64" t="s">
        <v>115</v>
      </c>
      <c r="AJ25" s="64" t="s">
        <v>584</v>
      </c>
      <c r="AK25" s="64" t="s">
        <v>552</v>
      </c>
      <c r="AL25" s="65">
        <v>30207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64" t="s">
        <v>581</v>
      </c>
      <c r="AC26" s="70">
        <v>45898</v>
      </c>
      <c r="AD26" s="64" t="s">
        <v>163</v>
      </c>
      <c r="AE26" s="64"/>
      <c r="AF26" s="69">
        <v>21975</v>
      </c>
      <c r="AG26" s="1"/>
      <c r="AH26" s="1"/>
      <c r="AI26" s="64" t="s">
        <v>206</v>
      </c>
      <c r="AJ26" s="64" t="s">
        <v>260</v>
      </c>
      <c r="AK26" s="64" t="s">
        <v>55</v>
      </c>
      <c r="AL26" s="65">
        <v>8306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64" t="s">
        <v>582</v>
      </c>
      <c r="AC27" s="73">
        <v>45913</v>
      </c>
      <c r="AD27" s="64" t="s">
        <v>270</v>
      </c>
      <c r="AE27" s="64"/>
      <c r="AF27" s="65">
        <v>47111</v>
      </c>
      <c r="AG27" s="1"/>
      <c r="AH27" s="1"/>
      <c r="AI27" s="64" t="s">
        <v>214</v>
      </c>
      <c r="AJ27" s="64" t="s">
        <v>585</v>
      </c>
      <c r="AK27" s="64" t="s">
        <v>589</v>
      </c>
      <c r="AL27" s="64">
        <v>8765</v>
      </c>
    </row>
    <row r="28" spans="2:38" ht="15.75" thickBot="1" x14ac:dyDescent="0.3">
      <c r="B28" s="99" t="s">
        <v>12</v>
      </c>
      <c r="C28" s="100"/>
      <c r="D28" s="9">
        <f>+SUM(D16:D27)</f>
        <v>49500</v>
      </c>
      <c r="E28" s="1"/>
      <c r="F28" s="99" t="s">
        <v>12</v>
      </c>
      <c r="G28" s="100"/>
      <c r="H28" s="9">
        <f>+SUM(H16:H27)</f>
        <v>96520</v>
      </c>
      <c r="I28" s="1"/>
      <c r="J28" s="99" t="s">
        <v>12</v>
      </c>
      <c r="K28" s="100"/>
      <c r="L28" s="9">
        <f>+SUM(L16:L27)</f>
        <v>79753</v>
      </c>
      <c r="M28" s="1"/>
      <c r="N28" s="99" t="s">
        <v>12</v>
      </c>
      <c r="O28" s="100"/>
      <c r="P28" s="9">
        <f>+SUM(P16:P27)</f>
        <v>76852</v>
      </c>
      <c r="Q28" s="1"/>
      <c r="R28" s="99" t="s">
        <v>12</v>
      </c>
      <c r="S28" s="100"/>
      <c r="T28" s="9">
        <f>+SUM(T16:T27)</f>
        <v>414249</v>
      </c>
      <c r="U28" s="1"/>
      <c r="V28" s="12"/>
      <c r="W28" s="99" t="s">
        <v>12</v>
      </c>
      <c r="X28" s="100"/>
      <c r="Y28" s="9">
        <f>+SUM(Y16:Y27)</f>
        <v>716874</v>
      </c>
      <c r="Z28" s="13"/>
      <c r="AA28" s="1"/>
      <c r="AB28" s="64" t="s">
        <v>583</v>
      </c>
      <c r="AC28" s="76">
        <v>45901</v>
      </c>
      <c r="AD28" s="64" t="s">
        <v>77</v>
      </c>
      <c r="AE28" s="64"/>
      <c r="AF28" s="65">
        <v>21178</v>
      </c>
      <c r="AG28" s="1"/>
      <c r="AH28" s="1"/>
      <c r="AI28" s="64" t="s">
        <v>117</v>
      </c>
      <c r="AJ28" s="64" t="s">
        <v>586</v>
      </c>
      <c r="AK28" s="64" t="s">
        <v>342</v>
      </c>
      <c r="AL28" s="69">
        <v>10685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64" t="s">
        <v>536</v>
      </c>
      <c r="AC29" s="70">
        <v>45887</v>
      </c>
      <c r="AD29" s="64" t="s">
        <v>318</v>
      </c>
      <c r="AE29" s="64"/>
      <c r="AF29" s="64">
        <v>75580</v>
      </c>
      <c r="AG29" s="1"/>
      <c r="AH29" s="1"/>
      <c r="AI29" s="64" t="s">
        <v>117</v>
      </c>
      <c r="AJ29" s="64" t="s">
        <v>367</v>
      </c>
      <c r="AK29" s="64" t="s">
        <v>386</v>
      </c>
      <c r="AL29" s="69">
        <v>7608</v>
      </c>
    </row>
    <row r="30" spans="2:38" ht="15.75" thickBot="1" x14ac:dyDescent="0.3">
      <c r="B30" s="101" t="s">
        <v>41</v>
      </c>
      <c r="C30" s="101"/>
      <c r="D30" s="7">
        <f>+D28-D15</f>
        <v>-1677</v>
      </c>
      <c r="E30" s="1"/>
      <c r="F30" s="101" t="s">
        <v>41</v>
      </c>
      <c r="G30" s="101"/>
      <c r="H30" s="7">
        <f>+H28-H15</f>
        <v>1486</v>
      </c>
      <c r="I30" s="1"/>
      <c r="J30" s="101" t="s">
        <v>41</v>
      </c>
      <c r="K30" s="101"/>
      <c r="L30" s="7">
        <f>+L28-L15</f>
        <v>6926</v>
      </c>
      <c r="M30" s="1"/>
      <c r="N30" s="101" t="s">
        <v>41</v>
      </c>
      <c r="O30" s="101"/>
      <c r="P30" s="7">
        <f>+P28-P15</f>
        <v>9</v>
      </c>
      <c r="Q30" s="1"/>
      <c r="R30" s="101" t="s">
        <v>41</v>
      </c>
      <c r="S30" s="101"/>
      <c r="T30" s="7">
        <f>+T28-T15</f>
        <v>-2774</v>
      </c>
      <c r="U30" s="1"/>
      <c r="V30" s="12"/>
      <c r="W30" s="102" t="s">
        <v>41</v>
      </c>
      <c r="X30" s="102"/>
      <c r="Y30" s="41">
        <f>+Y28-Y15</f>
        <v>3970</v>
      </c>
      <c r="Z30" s="13"/>
      <c r="AA30" s="1"/>
      <c r="AB30" s="1"/>
      <c r="AC30" s="1"/>
      <c r="AD30" s="1"/>
      <c r="AE30" s="1"/>
      <c r="AF30" s="1"/>
      <c r="AG30" s="1"/>
      <c r="AH30" s="1"/>
      <c r="AI30" s="64" t="s">
        <v>117</v>
      </c>
      <c r="AJ30" s="64" t="s">
        <v>368</v>
      </c>
      <c r="AK30" s="64" t="s">
        <v>590</v>
      </c>
      <c r="AL30" s="69">
        <v>4840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196354</v>
      </c>
      <c r="AG31" s="1"/>
      <c r="AH31" s="1"/>
      <c r="AI31" s="64" t="s">
        <v>115</v>
      </c>
      <c r="AJ31" s="64" t="s">
        <v>587</v>
      </c>
      <c r="AK31" s="64" t="s">
        <v>235</v>
      </c>
      <c r="AL31" s="65">
        <v>100000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0" t="s">
        <v>40</v>
      </c>
      <c r="AJ33" s="60"/>
      <c r="AK33" s="60"/>
      <c r="AL33" s="66">
        <f>+SUM(AL23:AL32)</f>
        <v>195231</v>
      </c>
    </row>
    <row r="34" spans="2:38" ht="15.75" thickTop="1" x14ac:dyDescent="0.25">
      <c r="B34" s="10" t="s">
        <v>42</v>
      </c>
      <c r="C34" s="11"/>
      <c r="D34" s="21">
        <v>1677</v>
      </c>
      <c r="E34" s="1"/>
      <c r="F34" s="10" t="s">
        <v>42</v>
      </c>
      <c r="G34" s="11"/>
      <c r="H34" s="21"/>
      <c r="I34" s="1"/>
      <c r="J34" s="10" t="s">
        <v>42</v>
      </c>
      <c r="K34" s="11"/>
      <c r="L34" s="21"/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1677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598</v>
      </c>
      <c r="S35" s="16"/>
      <c r="T35" s="22">
        <v>2774</v>
      </c>
      <c r="U35" s="1"/>
      <c r="V35" s="1"/>
      <c r="W35" s="45" t="s">
        <v>43</v>
      </c>
      <c r="X35" s="40"/>
      <c r="Y35" s="46">
        <f>+D35+H36+L35+P35+T35</f>
        <v>1288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/>
      <c r="E36" s="1"/>
      <c r="F36" s="12" t="s">
        <v>45</v>
      </c>
      <c r="G36" s="16"/>
      <c r="H36" s="22">
        <v>-1486</v>
      </c>
      <c r="I36" s="1"/>
      <c r="J36" s="12" t="s">
        <v>45</v>
      </c>
      <c r="K36" s="16"/>
      <c r="L36" s="22">
        <v>-6926</v>
      </c>
      <c r="M36" s="1"/>
      <c r="N36" s="12" t="s">
        <v>45</v>
      </c>
      <c r="O36" s="16"/>
      <c r="P36" s="22">
        <v>-9</v>
      </c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 t="e">
        <f>+D36+#REF!+L36+P36+T36</f>
        <v>#REF!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1677</v>
      </c>
      <c r="E37" s="1"/>
      <c r="F37" s="12" t="s">
        <v>18</v>
      </c>
      <c r="G37" s="16"/>
      <c r="H37" s="22">
        <f>+SUM(H34:H36)</f>
        <v>-1486</v>
      </c>
      <c r="I37" s="1"/>
      <c r="J37" s="12" t="s">
        <v>18</v>
      </c>
      <c r="K37" s="16"/>
      <c r="L37" s="22">
        <f>+SUM(L34:L36)</f>
        <v>-6926</v>
      </c>
      <c r="M37" s="1"/>
      <c r="N37" s="12" t="s">
        <v>18</v>
      </c>
      <c r="O37" s="16"/>
      <c r="P37" s="22">
        <f>+SUM(P34:P36)</f>
        <v>-9</v>
      </c>
      <c r="Q37" s="1"/>
      <c r="R37" s="12" t="s">
        <v>18</v>
      </c>
      <c r="S37" s="16"/>
      <c r="T37" s="22">
        <f>+SUM(T34:T36)</f>
        <v>2774</v>
      </c>
      <c r="U37" s="1"/>
      <c r="V37" s="1"/>
      <c r="W37" s="33" t="s">
        <v>18</v>
      </c>
      <c r="X37" s="34"/>
      <c r="Y37" s="35" t="e">
        <f>+SUM(Y34:Y36)</f>
        <v>#REF!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 t="e">
        <f>+Y30+Y37</f>
        <v>#REF!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38"/>
  <sheetViews>
    <sheetView zoomScale="80" zoomScaleNormal="80" workbookViewId="0">
      <selection activeCell="F32" sqref="F32"/>
    </sheetView>
  </sheetViews>
  <sheetFormatPr defaultRowHeight="15" x14ac:dyDescent="0.25"/>
  <cols>
    <col min="3" max="3" width="13.5703125" bestFit="1" customWidth="1"/>
    <col min="4" max="4" width="9.140625" customWidth="1"/>
    <col min="5" max="5" width="0.85546875" customWidth="1"/>
    <col min="7" max="7" width="14" bestFit="1" customWidth="1"/>
    <col min="8" max="8" width="9.5703125" bestFit="1" customWidth="1"/>
    <col min="9" max="9" width="0.7109375" customWidth="1"/>
    <col min="13" max="13" width="1.140625" customWidth="1"/>
    <col min="15" max="15" width="13.5703125" bestFit="1" customWidth="1"/>
    <col min="17" max="17" width="0.85546875" customWidth="1"/>
    <col min="19" max="19" width="13.5703125" bestFit="1" customWidth="1"/>
    <col min="20" max="20" width="11.5703125" bestFit="1" customWidth="1"/>
    <col min="21" max="21" width="1.28515625" customWidth="1"/>
    <col min="22" max="22" width="2.140625" customWidth="1"/>
    <col min="25" max="25" width="9.5703125" bestFit="1" customWidth="1"/>
    <col min="26" max="26" width="1.28515625" customWidth="1"/>
    <col min="29" max="29" width="9.85546875" bestFit="1" customWidth="1"/>
    <col min="33" max="33" width="3.140625" customWidth="1"/>
    <col min="34" max="34" width="9.140625" hidden="1" customWidth="1"/>
    <col min="36" max="36" width="14" bestFit="1" customWidth="1"/>
    <col min="37" max="37" width="12.42578125" bestFit="1" customWidth="1"/>
  </cols>
  <sheetData>
    <row r="2" spans="2:38" ht="15.75" thickBot="1" x14ac:dyDescent="0.3"/>
    <row r="3" spans="2:38" x14ac:dyDescent="0.25">
      <c r="B3" s="104" t="s">
        <v>0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197</v>
      </c>
      <c r="O3" s="104"/>
      <c r="P3" s="104"/>
      <c r="Q3" s="1"/>
      <c r="R3" s="104" t="s">
        <v>592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100</v>
      </c>
      <c r="D6" s="36">
        <f>+C6*B6</f>
        <v>1000</v>
      </c>
      <c r="E6" s="1"/>
      <c r="F6" s="2">
        <v>10</v>
      </c>
      <c r="G6" s="2">
        <v>40</v>
      </c>
      <c r="H6" s="36">
        <f>+G6*F6</f>
        <v>400</v>
      </c>
      <c r="I6" s="1"/>
      <c r="J6" s="2">
        <v>10</v>
      </c>
      <c r="K6" s="2">
        <v>6</v>
      </c>
      <c r="L6" s="36">
        <f>+K6*J6</f>
        <v>60</v>
      </c>
      <c r="M6" s="1"/>
      <c r="N6" s="2">
        <v>10</v>
      </c>
      <c r="O6" s="2">
        <v>11</v>
      </c>
      <c r="P6" s="36">
        <f>+O6*N6</f>
        <v>110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157</v>
      </c>
      <c r="Y6" s="37">
        <f>+D6+H6+L6+P6+T6</f>
        <v>1570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 x14ac:dyDescent="0.25">
      <c r="B7" s="2">
        <v>20</v>
      </c>
      <c r="C7" s="2">
        <v>19</v>
      </c>
      <c r="D7" s="36">
        <f t="shared" ref="D7:D12" si="1">+C7*B7</f>
        <v>380</v>
      </c>
      <c r="E7" s="1"/>
      <c r="F7" s="2">
        <v>20</v>
      </c>
      <c r="G7" s="2">
        <v>14</v>
      </c>
      <c r="H7" s="36">
        <f t="shared" ref="H7:H12" si="2">+G7*F7</f>
        <v>280</v>
      </c>
      <c r="I7" s="1"/>
      <c r="J7" s="2">
        <v>20</v>
      </c>
      <c r="K7" s="2">
        <v>1</v>
      </c>
      <c r="L7" s="36">
        <f t="shared" ref="L7:L12" si="3">+K7*J7</f>
        <v>20</v>
      </c>
      <c r="M7" s="1"/>
      <c r="N7" s="2">
        <v>20</v>
      </c>
      <c r="O7" s="2">
        <v>4</v>
      </c>
      <c r="P7" s="36">
        <f t="shared" ref="P7:P12" si="4">+O7*N7</f>
        <v>80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38</v>
      </c>
      <c r="Y7" s="37">
        <f t="shared" ref="Y7:Y12" si="6">+D7+H7+L7+P7+T7</f>
        <v>760</v>
      </c>
      <c r="Z7" s="13"/>
      <c r="AA7" s="1"/>
      <c r="AB7" s="56" t="s">
        <v>10</v>
      </c>
      <c r="AC7" s="57">
        <f>Y13</f>
        <v>289430</v>
      </c>
      <c r="AD7" s="26"/>
      <c r="AE7" s="26"/>
      <c r="AF7" s="26"/>
      <c r="AG7" s="26"/>
      <c r="AH7" s="1"/>
      <c r="AI7" s="2">
        <v>10</v>
      </c>
      <c r="AJ7" s="2">
        <v>158</v>
      </c>
      <c r="AK7" s="36">
        <f t="shared" si="0"/>
        <v>1580</v>
      </c>
      <c r="AL7" s="1"/>
    </row>
    <row r="8" spans="2:38" x14ac:dyDescent="0.25">
      <c r="B8" s="2">
        <v>50</v>
      </c>
      <c r="C8" s="2">
        <v>50</v>
      </c>
      <c r="D8" s="36">
        <f t="shared" si="1"/>
        <v>2500</v>
      </c>
      <c r="E8" s="1"/>
      <c r="F8" s="2">
        <v>50</v>
      </c>
      <c r="G8" s="2">
        <v>41</v>
      </c>
      <c r="H8" s="36">
        <f t="shared" si="2"/>
        <v>2050</v>
      </c>
      <c r="I8" s="1"/>
      <c r="J8" s="2">
        <v>50</v>
      </c>
      <c r="K8" s="2">
        <v>7</v>
      </c>
      <c r="L8" s="36">
        <f t="shared" si="3"/>
        <v>350</v>
      </c>
      <c r="M8" s="1"/>
      <c r="N8" s="2">
        <v>50</v>
      </c>
      <c r="O8" s="2">
        <v>8</v>
      </c>
      <c r="P8" s="36">
        <f t="shared" si="4"/>
        <v>400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106</v>
      </c>
      <c r="Y8" s="37">
        <f t="shared" si="6"/>
        <v>5300</v>
      </c>
      <c r="Z8" s="13"/>
      <c r="AA8" s="1"/>
      <c r="AB8" s="53" t="s">
        <v>11</v>
      </c>
      <c r="AC8" s="53">
        <f>+AF31</f>
        <v>287630</v>
      </c>
      <c r="AD8" s="1"/>
      <c r="AE8" s="1"/>
      <c r="AF8" s="1"/>
      <c r="AG8" s="1"/>
      <c r="AH8" s="1"/>
      <c r="AI8" s="2">
        <v>20</v>
      </c>
      <c r="AJ8" s="2">
        <v>39</v>
      </c>
      <c r="AK8" s="36">
        <f t="shared" si="0"/>
        <v>780</v>
      </c>
      <c r="AL8" s="1"/>
    </row>
    <row r="9" spans="2:38" ht="15.75" thickBot="1" x14ac:dyDescent="0.3">
      <c r="B9" s="2">
        <v>100</v>
      </c>
      <c r="C9" s="2">
        <v>73</v>
      </c>
      <c r="D9" s="36">
        <f t="shared" si="1"/>
        <v>7300</v>
      </c>
      <c r="E9" s="1"/>
      <c r="F9" s="2">
        <v>100</v>
      </c>
      <c r="G9" s="2">
        <v>29</v>
      </c>
      <c r="H9" s="36">
        <f t="shared" si="2"/>
        <v>2900</v>
      </c>
      <c r="I9" s="1"/>
      <c r="J9" s="2">
        <v>100</v>
      </c>
      <c r="K9" s="2">
        <v>14</v>
      </c>
      <c r="L9" s="36">
        <f t="shared" si="3"/>
        <v>1400</v>
      </c>
      <c r="M9" s="1"/>
      <c r="N9" s="2">
        <v>100</v>
      </c>
      <c r="O9" s="2">
        <v>2</v>
      </c>
      <c r="P9" s="36">
        <f t="shared" si="4"/>
        <v>200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118</v>
      </c>
      <c r="Y9" s="37">
        <f t="shared" si="6"/>
        <v>11800</v>
      </c>
      <c r="Z9" s="13"/>
      <c r="AA9" s="1"/>
      <c r="AB9" s="58" t="s">
        <v>12</v>
      </c>
      <c r="AC9" s="59">
        <f>SUM(AC7:AC8)</f>
        <v>577060</v>
      </c>
      <c r="AD9" s="1"/>
      <c r="AE9" s="1"/>
      <c r="AF9" s="1"/>
      <c r="AG9" s="1"/>
      <c r="AH9" s="1"/>
      <c r="AI9" s="2">
        <v>50</v>
      </c>
      <c r="AJ9" s="2">
        <v>106</v>
      </c>
      <c r="AK9" s="36">
        <f t="shared" si="0"/>
        <v>5300</v>
      </c>
      <c r="AL9" s="1"/>
    </row>
    <row r="10" spans="2:38" x14ac:dyDescent="0.25">
      <c r="B10" s="2">
        <v>500</v>
      </c>
      <c r="C10" s="2">
        <v>39</v>
      </c>
      <c r="D10" s="36">
        <f t="shared" si="1"/>
        <v>19500</v>
      </c>
      <c r="E10" s="1"/>
      <c r="F10" s="2">
        <v>500</v>
      </c>
      <c r="G10" s="2">
        <v>48</v>
      </c>
      <c r="H10" s="36">
        <f t="shared" si="2"/>
        <v>24000</v>
      </c>
      <c r="I10" s="1"/>
      <c r="J10" s="2">
        <v>500</v>
      </c>
      <c r="K10" s="2">
        <v>35</v>
      </c>
      <c r="L10" s="36">
        <f t="shared" si="3"/>
        <v>17500</v>
      </c>
      <c r="M10" s="1"/>
      <c r="N10" s="2">
        <v>500</v>
      </c>
      <c r="O10" s="2">
        <v>22</v>
      </c>
      <c r="P10" s="36">
        <f t="shared" si="4"/>
        <v>11000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144</v>
      </c>
      <c r="Y10" s="37">
        <f t="shared" si="6"/>
        <v>72000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119</v>
      </c>
      <c r="AK10" s="36">
        <f t="shared" si="0"/>
        <v>11900</v>
      </c>
      <c r="AL10" s="1"/>
    </row>
    <row r="11" spans="2:38" x14ac:dyDescent="0.25">
      <c r="B11" s="2">
        <v>1000</v>
      </c>
      <c r="C11" s="2">
        <v>27</v>
      </c>
      <c r="D11" s="36">
        <f t="shared" si="1"/>
        <v>27000</v>
      </c>
      <c r="E11" s="1"/>
      <c r="F11" s="2">
        <v>1000</v>
      </c>
      <c r="G11" s="2">
        <v>65</v>
      </c>
      <c r="H11" s="36">
        <f t="shared" si="2"/>
        <v>65000</v>
      </c>
      <c r="I11" s="1"/>
      <c r="J11" s="2">
        <v>1000</v>
      </c>
      <c r="K11" s="2">
        <v>38</v>
      </c>
      <c r="L11" s="36">
        <f t="shared" si="3"/>
        <v>38000</v>
      </c>
      <c r="M11" s="1"/>
      <c r="N11" s="2">
        <v>1000</v>
      </c>
      <c r="O11" s="2">
        <v>23</v>
      </c>
      <c r="P11" s="36">
        <f t="shared" si="4"/>
        <v>23000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153</v>
      </c>
      <c r="Y11" s="37">
        <f t="shared" si="6"/>
        <v>153000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259</v>
      </c>
      <c r="AK11" s="36">
        <f t="shared" si="0"/>
        <v>129500</v>
      </c>
      <c r="AL11" s="1"/>
    </row>
    <row r="12" spans="2:38" x14ac:dyDescent="0.25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9</v>
      </c>
      <c r="Y12" s="37">
        <f t="shared" si="6"/>
        <v>45000</v>
      </c>
      <c r="Z12" s="13"/>
      <c r="AA12" s="1"/>
      <c r="AB12" s="1" t="s">
        <v>17</v>
      </c>
      <c r="AC12" s="5">
        <v>557500</v>
      </c>
      <c r="AD12" s="1">
        <v>41520441</v>
      </c>
      <c r="AE12" s="52" t="s">
        <v>625</v>
      </c>
      <c r="AF12" s="1" t="s">
        <v>103</v>
      </c>
      <c r="AG12" s="1"/>
      <c r="AH12" s="1"/>
      <c r="AI12" s="2">
        <v>1000</v>
      </c>
      <c r="AJ12" s="2">
        <v>368</v>
      </c>
      <c r="AK12" s="36">
        <f t="shared" si="0"/>
        <v>368000</v>
      </c>
      <c r="AL12" s="1"/>
    </row>
    <row r="13" spans="2:38" ht="15.75" thickBot="1" x14ac:dyDescent="0.3">
      <c r="B13" s="3" t="s">
        <v>18</v>
      </c>
      <c r="C13" s="3"/>
      <c r="D13" s="6">
        <f>+SUM(D5:D12)</f>
        <v>62680</v>
      </c>
      <c r="E13" s="1"/>
      <c r="F13" s="3" t="s">
        <v>18</v>
      </c>
      <c r="G13" s="3"/>
      <c r="H13" s="6">
        <f>+SUM(H5:H12)</f>
        <v>109630</v>
      </c>
      <c r="I13" s="1"/>
      <c r="J13" s="3" t="s">
        <v>18</v>
      </c>
      <c r="K13" s="3"/>
      <c r="L13" s="6">
        <f>+SUM(L5:L12)</f>
        <v>67330</v>
      </c>
      <c r="M13" s="1"/>
      <c r="N13" s="3" t="s">
        <v>18</v>
      </c>
      <c r="O13" s="3"/>
      <c r="P13" s="6">
        <f>+SUM(P5:P12)</f>
        <v>49790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289430</v>
      </c>
      <c r="Z13" s="13"/>
      <c r="AA13" s="1"/>
      <c r="AB13" s="1" t="s">
        <v>19</v>
      </c>
      <c r="AC13" s="5">
        <v>19560</v>
      </c>
      <c r="AD13" s="1"/>
      <c r="AE13" s="1"/>
      <c r="AF13" s="1"/>
      <c r="AG13" s="1"/>
      <c r="AH13" s="1"/>
      <c r="AI13" s="2">
        <v>5000</v>
      </c>
      <c r="AJ13" s="2">
        <v>12</v>
      </c>
      <c r="AK13" s="36">
        <f t="shared" si="0"/>
        <v>60000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577060</v>
      </c>
      <c r="AL14" s="1"/>
    </row>
    <row r="15" spans="2:38" ht="15.75" thickBot="1" x14ac:dyDescent="0.3">
      <c r="B15" s="105" t="s">
        <v>21</v>
      </c>
      <c r="C15" s="106"/>
      <c r="D15" s="8">
        <v>91657</v>
      </c>
      <c r="E15" s="30"/>
      <c r="F15" s="105" t="s">
        <v>21</v>
      </c>
      <c r="G15" s="106"/>
      <c r="H15" s="8">
        <v>130570</v>
      </c>
      <c r="I15" s="30"/>
      <c r="J15" s="105" t="s">
        <v>21</v>
      </c>
      <c r="K15" s="106"/>
      <c r="L15" s="8">
        <v>67316.929999999993</v>
      </c>
      <c r="M15" s="30"/>
      <c r="N15" s="105" t="s">
        <v>21</v>
      </c>
      <c r="O15" s="106"/>
      <c r="P15" s="8">
        <v>65439</v>
      </c>
      <c r="Q15" s="30"/>
      <c r="R15" s="105" t="s">
        <v>21</v>
      </c>
      <c r="S15" s="106"/>
      <c r="T15" s="8">
        <v>359254</v>
      </c>
      <c r="U15" s="30"/>
      <c r="V15" s="31"/>
      <c r="W15" s="105" t="s">
        <v>21</v>
      </c>
      <c r="X15" s="106"/>
      <c r="Y15" s="8">
        <f>+D15+H15+L15+P15+T15</f>
        <v>714236.92999999993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62680</v>
      </c>
      <c r="E16" s="1"/>
      <c r="F16" s="1" t="s">
        <v>10</v>
      </c>
      <c r="G16" s="1"/>
      <c r="H16" s="5">
        <f>+H13</f>
        <v>109630</v>
      </c>
      <c r="I16" s="1"/>
      <c r="J16" s="1" t="s">
        <v>10</v>
      </c>
      <c r="K16" s="1"/>
      <c r="L16" s="5">
        <f>+L13</f>
        <v>67330</v>
      </c>
      <c r="M16" s="1"/>
      <c r="N16" s="1" t="s">
        <v>10</v>
      </c>
      <c r="O16" s="1"/>
      <c r="P16" s="5">
        <f>+P13</f>
        <v>49790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289430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577060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611</v>
      </c>
      <c r="C18" s="1" t="s">
        <v>612</v>
      </c>
      <c r="D18" s="5">
        <v>26150</v>
      </c>
      <c r="E18" s="1"/>
      <c r="F18" s="1" t="s">
        <v>486</v>
      </c>
      <c r="G18" s="1" t="s">
        <v>613</v>
      </c>
      <c r="H18" s="5">
        <v>5364</v>
      </c>
      <c r="I18" s="1"/>
      <c r="J18" s="1" t="s">
        <v>24</v>
      </c>
      <c r="K18" s="1"/>
      <c r="L18" s="5"/>
      <c r="M18" s="1"/>
      <c r="N18" s="1" t="s">
        <v>617</v>
      </c>
      <c r="O18" s="1" t="s">
        <v>618</v>
      </c>
      <c r="P18" s="5">
        <v>9817</v>
      </c>
      <c r="Q18" s="1"/>
      <c r="R18" s="1" t="s">
        <v>603</v>
      </c>
      <c r="S18" s="1" t="s">
        <v>604</v>
      </c>
      <c r="T18" s="5">
        <v>41915</v>
      </c>
      <c r="U18" s="1"/>
      <c r="V18" s="12"/>
      <c r="W18" s="40" t="s">
        <v>24</v>
      </c>
      <c r="X18" s="40"/>
      <c r="Y18" s="37">
        <f t="shared" si="8"/>
        <v>83246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453</v>
      </c>
      <c r="G19" s="1" t="s">
        <v>614</v>
      </c>
      <c r="H19" s="5">
        <v>12840</v>
      </c>
      <c r="I19" s="1"/>
      <c r="J19" s="1" t="s">
        <v>27</v>
      </c>
      <c r="K19" s="1"/>
      <c r="L19" s="5"/>
      <c r="M19" s="1"/>
      <c r="N19" s="1" t="s">
        <v>444</v>
      </c>
      <c r="O19" s="1" t="s">
        <v>619</v>
      </c>
      <c r="P19" s="5">
        <v>6056</v>
      </c>
      <c r="Q19" s="1"/>
      <c r="R19" s="1" t="s">
        <v>603</v>
      </c>
      <c r="S19" s="1" t="s">
        <v>605</v>
      </c>
      <c r="T19" s="5">
        <v>12636</v>
      </c>
      <c r="U19" s="1"/>
      <c r="V19" s="12"/>
      <c r="W19" s="40" t="s">
        <v>27</v>
      </c>
      <c r="X19" s="40"/>
      <c r="Y19" s="37">
        <f t="shared" si="8"/>
        <v>31532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615</v>
      </c>
      <c r="G20" s="1" t="s">
        <v>616</v>
      </c>
      <c r="H20" s="5">
        <v>3000</v>
      </c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3000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607</v>
      </c>
      <c r="S22" s="1" t="s">
        <v>608</v>
      </c>
      <c r="T22" s="5">
        <v>12821</v>
      </c>
      <c r="U22" s="1"/>
      <c r="V22" s="12"/>
      <c r="W22" s="40"/>
      <c r="X22" s="40"/>
      <c r="Y22" s="37">
        <f t="shared" si="8"/>
        <v>12821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844</v>
      </c>
      <c r="C23" s="1" t="s">
        <v>845</v>
      </c>
      <c r="D23">
        <v>2172</v>
      </c>
      <c r="E23" s="5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600</v>
      </c>
      <c r="S23" s="1" t="s">
        <v>601</v>
      </c>
      <c r="T23" s="5">
        <v>40072</v>
      </c>
      <c r="U23" s="1"/>
      <c r="V23" s="12"/>
      <c r="W23" s="40" t="s">
        <v>36</v>
      </c>
      <c r="X23" s="40"/>
      <c r="Y23" s="37">
        <f>+E23+H23+L23+P23+T23</f>
        <v>40072</v>
      </c>
      <c r="Z23" s="13"/>
      <c r="AA23" s="1"/>
      <c r="AB23" s="64" t="s">
        <v>583</v>
      </c>
      <c r="AC23" s="76">
        <v>45901</v>
      </c>
      <c r="AD23" s="64" t="s">
        <v>77</v>
      </c>
      <c r="AE23" s="64"/>
      <c r="AF23" s="65">
        <v>6000</v>
      </c>
      <c r="AG23" s="1"/>
      <c r="AH23" s="1"/>
      <c r="AI23" s="64" t="s">
        <v>115</v>
      </c>
      <c r="AJ23" s="64" t="s">
        <v>621</v>
      </c>
      <c r="AK23" s="64" t="s">
        <v>552</v>
      </c>
      <c r="AL23" s="65">
        <v>49000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602</v>
      </c>
      <c r="S24" s="1" t="s">
        <v>148</v>
      </c>
      <c r="T24" s="5">
        <v>87757</v>
      </c>
      <c r="U24" s="1"/>
      <c r="V24" s="12"/>
      <c r="W24" s="40" t="s">
        <v>37</v>
      </c>
      <c r="X24" s="40"/>
      <c r="Y24" s="37">
        <f t="shared" si="8"/>
        <v>87757</v>
      </c>
      <c r="Z24" s="13"/>
      <c r="AA24" s="1"/>
      <c r="AB24" s="16" t="s">
        <v>115</v>
      </c>
      <c r="AC24" s="73">
        <v>45894</v>
      </c>
      <c r="AD24" s="64" t="s">
        <v>60</v>
      </c>
      <c r="AE24" s="64" t="s">
        <v>579</v>
      </c>
      <c r="AF24" s="64">
        <v>5000</v>
      </c>
      <c r="AG24" s="1"/>
      <c r="AH24" s="1"/>
      <c r="AI24" s="64" t="s">
        <v>115</v>
      </c>
      <c r="AJ24" s="64" t="s">
        <v>622</v>
      </c>
      <c r="AK24" s="64" t="s">
        <v>511</v>
      </c>
      <c r="AL24" s="64">
        <v>27402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606</v>
      </c>
      <c r="S25" s="1" t="s">
        <v>270</v>
      </c>
      <c r="T25" s="5">
        <v>36020</v>
      </c>
      <c r="U25" s="1"/>
      <c r="V25" s="12"/>
      <c r="W25" s="40" t="s">
        <v>38</v>
      </c>
      <c r="X25" s="40"/>
      <c r="Y25" s="37">
        <f t="shared" si="8"/>
        <v>36020</v>
      </c>
      <c r="Z25" s="13"/>
      <c r="AA25" s="1"/>
      <c r="AB25" s="16" t="s">
        <v>620</v>
      </c>
      <c r="AC25" s="73">
        <v>45914</v>
      </c>
      <c r="AD25" s="64" t="s">
        <v>235</v>
      </c>
      <c r="AE25" s="64"/>
      <c r="AF25" s="65">
        <v>276630</v>
      </c>
      <c r="AG25" s="1"/>
      <c r="AH25" s="1"/>
      <c r="AI25" s="64" t="s">
        <v>122</v>
      </c>
      <c r="AJ25" s="64" t="s">
        <v>400</v>
      </c>
      <c r="AK25" s="64" t="s">
        <v>121</v>
      </c>
      <c r="AL25" s="65">
        <v>4222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609</v>
      </c>
      <c r="S26" s="1" t="s">
        <v>273</v>
      </c>
      <c r="T26" s="5">
        <v>99319</v>
      </c>
      <c r="U26" s="1"/>
      <c r="V26" s="12"/>
      <c r="W26" s="40"/>
      <c r="X26" s="40"/>
      <c r="Y26" s="37">
        <f t="shared" si="8"/>
        <v>99319</v>
      </c>
      <c r="Z26" s="13"/>
      <c r="AA26" s="1"/>
      <c r="AB26" s="1"/>
      <c r="AC26" s="1"/>
      <c r="AD26" s="1"/>
      <c r="AE26" s="1"/>
      <c r="AF26" s="20"/>
      <c r="AG26" s="1"/>
      <c r="AH26" s="1"/>
      <c r="AI26" s="64" t="s">
        <v>206</v>
      </c>
      <c r="AJ26" s="64" t="s">
        <v>413</v>
      </c>
      <c r="AK26" s="64" t="s">
        <v>588</v>
      </c>
      <c r="AL26" s="65">
        <v>3500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610</v>
      </c>
      <c r="S27" s="1" t="s">
        <v>396</v>
      </c>
      <c r="T27" s="5">
        <v>27286</v>
      </c>
      <c r="U27" s="1"/>
      <c r="V27" s="12"/>
      <c r="W27" s="40"/>
      <c r="X27" s="40"/>
      <c r="Y27" s="37">
        <f t="shared" si="8"/>
        <v>27286</v>
      </c>
      <c r="Z27" s="13"/>
      <c r="AA27" s="1"/>
      <c r="AB27" s="1"/>
      <c r="AC27" s="1"/>
      <c r="AD27" s="1"/>
      <c r="AE27" s="1"/>
      <c r="AF27" s="1"/>
      <c r="AG27" s="1"/>
      <c r="AH27" s="1"/>
      <c r="AI27" s="64" t="s">
        <v>122</v>
      </c>
      <c r="AJ27" s="64" t="s">
        <v>424</v>
      </c>
      <c r="AK27" s="64" t="s">
        <v>623</v>
      </c>
      <c r="AL27" s="65">
        <v>6000</v>
      </c>
    </row>
    <row r="28" spans="2:38" ht="15.75" thickBot="1" x14ac:dyDescent="0.3">
      <c r="B28" s="99" t="s">
        <v>12</v>
      </c>
      <c r="C28" s="100"/>
      <c r="D28" s="9">
        <f>+SUM(D16:D27)</f>
        <v>91002</v>
      </c>
      <c r="E28" s="1"/>
      <c r="F28" s="99" t="s">
        <v>12</v>
      </c>
      <c r="G28" s="100"/>
      <c r="H28" s="9">
        <f>+SUM(H16:H27)</f>
        <v>130834</v>
      </c>
      <c r="I28" s="1"/>
      <c r="J28" s="99" t="s">
        <v>12</v>
      </c>
      <c r="K28" s="100"/>
      <c r="L28" s="9">
        <f>+SUM(L16:L27)</f>
        <v>67330</v>
      </c>
      <c r="M28" s="1"/>
      <c r="N28" s="99" t="s">
        <v>12</v>
      </c>
      <c r="O28" s="100"/>
      <c r="P28" s="9">
        <f>+SUM(P16:P27)</f>
        <v>65663</v>
      </c>
      <c r="Q28" s="1"/>
      <c r="R28" s="99" t="s">
        <v>12</v>
      </c>
      <c r="S28" s="100"/>
      <c r="T28" s="9">
        <f>+SUM(T16:T27)</f>
        <v>357826</v>
      </c>
      <c r="U28" s="1"/>
      <c r="V28" s="12"/>
      <c r="W28" s="99" t="s">
        <v>12</v>
      </c>
      <c r="X28" s="100"/>
      <c r="Y28" s="9">
        <f>+SUM(Y16:Y27)</f>
        <v>710483</v>
      </c>
      <c r="Z28" s="13"/>
      <c r="AA28" s="1"/>
      <c r="AB28" s="1"/>
      <c r="AC28" s="1"/>
      <c r="AD28" s="1"/>
      <c r="AE28" s="1"/>
      <c r="AF28" s="1"/>
      <c r="AG28" s="1"/>
      <c r="AH28" s="1"/>
      <c r="AI28" s="64" t="s">
        <v>214</v>
      </c>
      <c r="AJ28" s="64" t="s">
        <v>469</v>
      </c>
      <c r="AK28" s="64" t="s">
        <v>624</v>
      </c>
      <c r="AL28" s="69">
        <v>5000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 x14ac:dyDescent="0.3">
      <c r="B30" s="101" t="s">
        <v>41</v>
      </c>
      <c r="C30" s="101"/>
      <c r="D30" s="7">
        <f>+D28-D15</f>
        <v>-655</v>
      </c>
      <c r="E30" s="1"/>
      <c r="F30" s="101" t="s">
        <v>41</v>
      </c>
      <c r="G30" s="101"/>
      <c r="H30" s="7">
        <f>+H28-H15</f>
        <v>264</v>
      </c>
      <c r="I30" s="1"/>
      <c r="J30" s="101" t="s">
        <v>41</v>
      </c>
      <c r="K30" s="101"/>
      <c r="L30" s="7">
        <f>+L28-L15</f>
        <v>13.070000000006985</v>
      </c>
      <c r="M30" s="1"/>
      <c r="N30" s="101" t="s">
        <v>41</v>
      </c>
      <c r="O30" s="101"/>
      <c r="P30" s="7">
        <f>+P28-P15</f>
        <v>224</v>
      </c>
      <c r="Q30" s="1"/>
      <c r="R30" s="101" t="s">
        <v>41</v>
      </c>
      <c r="S30" s="101"/>
      <c r="T30" s="7">
        <f>+T28-T15</f>
        <v>-1428</v>
      </c>
      <c r="U30" s="1"/>
      <c r="V30" s="12"/>
      <c r="W30" s="102" t="s">
        <v>41</v>
      </c>
      <c r="X30" s="102"/>
      <c r="Y30" s="41">
        <f>+Y28-Y15</f>
        <v>-3753.9299999999348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287630</v>
      </c>
      <c r="AG31" s="1"/>
      <c r="AH31" s="1"/>
      <c r="AI31" s="60" t="s">
        <v>40</v>
      </c>
      <c r="AJ31" s="60"/>
      <c r="AK31" s="60"/>
      <c r="AL31" s="55">
        <f>+SUM(AL23:AL30)</f>
        <v>95124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868</v>
      </c>
      <c r="C34" s="11"/>
      <c r="D34" s="21">
        <v>655</v>
      </c>
      <c r="E34" s="1"/>
      <c r="F34" s="10" t="s">
        <v>42</v>
      </c>
      <c r="G34" s="11"/>
      <c r="H34" s="21"/>
      <c r="I34" s="1"/>
      <c r="J34" s="10" t="s">
        <v>42</v>
      </c>
      <c r="K34" s="11"/>
      <c r="L34" s="21"/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655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/>
      <c r="E36" s="1"/>
      <c r="F36" s="12" t="s">
        <v>45</v>
      </c>
      <c r="G36" s="16"/>
      <c r="H36" s="22">
        <v>-264</v>
      </c>
      <c r="I36" s="1"/>
      <c r="J36" s="12" t="s">
        <v>45</v>
      </c>
      <c r="K36" s="16"/>
      <c r="L36" s="22">
        <v>-13</v>
      </c>
      <c r="M36" s="1"/>
      <c r="N36" s="12" t="s">
        <v>45</v>
      </c>
      <c r="O36" s="16"/>
      <c r="P36" s="22">
        <v>-224</v>
      </c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-501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655</v>
      </c>
      <c r="E37" s="1"/>
      <c r="F37" s="12" t="s">
        <v>18</v>
      </c>
      <c r="G37" s="16"/>
      <c r="H37" s="22">
        <f>+SUM(H34:H36)</f>
        <v>-264</v>
      </c>
      <c r="I37" s="1"/>
      <c r="J37" s="12" t="s">
        <v>18</v>
      </c>
      <c r="K37" s="16"/>
      <c r="L37" s="22">
        <f>+SUM(L34:L36)</f>
        <v>-13</v>
      </c>
      <c r="M37" s="1"/>
      <c r="N37" s="12" t="s">
        <v>18</v>
      </c>
      <c r="O37" s="16"/>
      <c r="P37" s="22">
        <f>+SUM(P34:P36)</f>
        <v>-224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154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7.0000000006984919E-2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-1428</v>
      </c>
      <c r="U38" s="1"/>
      <c r="V38" s="1"/>
      <c r="W38" s="23" t="s">
        <v>46</v>
      </c>
      <c r="X38" s="24"/>
      <c r="Y38" s="25">
        <f>+Y30+Y37</f>
        <v>-3599.9299999999348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38"/>
  <sheetViews>
    <sheetView zoomScale="80" zoomScaleNormal="80" workbookViewId="0">
      <selection activeCell="AF18" sqref="AF18"/>
    </sheetView>
  </sheetViews>
  <sheetFormatPr defaultRowHeight="15" x14ac:dyDescent="0.25"/>
  <cols>
    <col min="3" max="3" width="14" bestFit="1" customWidth="1"/>
    <col min="5" max="5" width="0.7109375" customWidth="1"/>
    <col min="7" max="7" width="13.5703125" bestFit="1" customWidth="1"/>
    <col min="9" max="9" width="0.85546875" customWidth="1"/>
    <col min="11" max="11" width="14" bestFit="1" customWidth="1"/>
    <col min="13" max="13" width="1.140625" customWidth="1"/>
    <col min="15" max="15" width="13.5703125" bestFit="1" customWidth="1"/>
    <col min="17" max="17" width="0.7109375" customWidth="1"/>
    <col min="19" max="19" width="12.140625" bestFit="1" customWidth="1"/>
    <col min="20" max="20" width="11.5703125" bestFit="1" customWidth="1"/>
    <col min="21" max="21" width="0.85546875" customWidth="1"/>
    <col min="22" max="22" width="1.7109375" customWidth="1"/>
    <col min="25" max="25" width="11.140625" bestFit="1" customWidth="1"/>
    <col min="26" max="26" width="1.140625" customWidth="1"/>
    <col min="27" max="27" width="0.85546875" customWidth="1"/>
    <col min="28" max="28" width="15" bestFit="1" customWidth="1"/>
    <col min="29" max="29" width="9.7109375" bestFit="1" customWidth="1"/>
    <col min="30" max="30" width="12" customWidth="1"/>
    <col min="31" max="31" width="9.7109375" customWidth="1"/>
    <col min="33" max="33" width="2" customWidth="1"/>
    <col min="34" max="34" width="9.140625" hidden="1" customWidth="1"/>
  </cols>
  <sheetData>
    <row r="2" spans="2:38" ht="15.75" thickBot="1" x14ac:dyDescent="0.3"/>
    <row r="3" spans="2:38" x14ac:dyDescent="0.25">
      <c r="B3" s="104" t="s">
        <v>0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197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>
        <v>3</v>
      </c>
      <c r="D5" s="36">
        <f>+C5*B5</f>
        <v>3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3</v>
      </c>
      <c r="Y5" s="37">
        <f>+D5+H5+L5+P5+T5</f>
        <v>3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191</v>
      </c>
      <c r="D6" s="36">
        <f>+C6*B6</f>
        <v>1910</v>
      </c>
      <c r="E6" s="1"/>
      <c r="F6" s="2">
        <v>10</v>
      </c>
      <c r="G6" s="2">
        <v>27</v>
      </c>
      <c r="H6" s="36">
        <f>+G6*F6</f>
        <v>270</v>
      </c>
      <c r="I6" s="1"/>
      <c r="J6" s="2">
        <v>10</v>
      </c>
      <c r="K6" s="2">
        <v>15</v>
      </c>
      <c r="L6" s="36">
        <f>+K6*J6</f>
        <v>150</v>
      </c>
      <c r="M6" s="1"/>
      <c r="N6" s="2">
        <v>10</v>
      </c>
      <c r="O6" s="2">
        <v>41</v>
      </c>
      <c r="P6" s="36">
        <f>+O6*N6</f>
        <v>410</v>
      </c>
      <c r="Q6" s="1"/>
      <c r="R6" s="2">
        <v>10</v>
      </c>
      <c r="S6" s="2">
        <v>3</v>
      </c>
      <c r="T6" s="36">
        <f>+S6*R6</f>
        <v>30</v>
      </c>
      <c r="U6" s="1"/>
      <c r="V6" s="12"/>
      <c r="W6" s="39">
        <v>10</v>
      </c>
      <c r="X6" s="39">
        <f>+C6+G6+K6+O6+S6</f>
        <v>277</v>
      </c>
      <c r="Y6" s="37">
        <f>+D6+H6+L6+P6+T6</f>
        <v>2770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3</v>
      </c>
      <c r="AK6" s="36">
        <f t="shared" ref="AK6:AK13" si="0">+AJ6*AI6</f>
        <v>3</v>
      </c>
      <c r="AL6" s="26"/>
    </row>
    <row r="7" spans="2:38" x14ac:dyDescent="0.25">
      <c r="B7" s="2">
        <v>20</v>
      </c>
      <c r="C7" s="2">
        <v>32</v>
      </c>
      <c r="D7" s="36">
        <f t="shared" ref="D7:D12" si="1">+C7*B7</f>
        <v>640</v>
      </c>
      <c r="E7" s="1"/>
      <c r="F7" s="2">
        <v>20</v>
      </c>
      <c r="G7" s="2">
        <v>9</v>
      </c>
      <c r="H7" s="36">
        <f t="shared" ref="H7:H12" si="2">+G7*F7</f>
        <v>180</v>
      </c>
      <c r="I7" s="1"/>
      <c r="J7" s="2">
        <v>20</v>
      </c>
      <c r="K7" s="2">
        <v>7</v>
      </c>
      <c r="L7" s="36">
        <f t="shared" ref="L7:L12" si="3">+K7*J7</f>
        <v>140</v>
      </c>
      <c r="M7" s="1"/>
      <c r="N7" s="2">
        <v>20</v>
      </c>
      <c r="O7" s="2">
        <v>9</v>
      </c>
      <c r="P7" s="36">
        <f t="shared" ref="P7:P12" si="4">+O7*N7</f>
        <v>180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57</v>
      </c>
      <c r="Y7" s="37">
        <f t="shared" ref="Y7:Y12" si="6">+D7+H7+L7+P7+T7</f>
        <v>1140</v>
      </c>
      <c r="Z7" s="13"/>
      <c r="AA7" s="1"/>
      <c r="AB7" s="56" t="s">
        <v>10</v>
      </c>
      <c r="AC7" s="57">
        <f>Y13</f>
        <v>242913</v>
      </c>
      <c r="AD7" s="26"/>
      <c r="AE7" s="26"/>
      <c r="AF7" s="26"/>
      <c r="AG7" s="26"/>
      <c r="AH7" s="1"/>
      <c r="AI7" s="2">
        <v>10</v>
      </c>
      <c r="AJ7" s="2">
        <v>279</v>
      </c>
      <c r="AK7" s="36">
        <f t="shared" si="0"/>
        <v>2790</v>
      </c>
      <c r="AL7" s="1"/>
    </row>
    <row r="8" spans="2:38" x14ac:dyDescent="0.25">
      <c r="B8" s="2">
        <v>50</v>
      </c>
      <c r="C8" s="2">
        <v>49</v>
      </c>
      <c r="D8" s="36">
        <f t="shared" si="1"/>
        <v>2450</v>
      </c>
      <c r="E8" s="1"/>
      <c r="F8" s="2">
        <v>50</v>
      </c>
      <c r="G8" s="2">
        <v>18</v>
      </c>
      <c r="H8" s="36">
        <f t="shared" si="2"/>
        <v>900</v>
      </c>
      <c r="I8" s="1"/>
      <c r="J8" s="2">
        <v>50</v>
      </c>
      <c r="K8" s="2">
        <v>14</v>
      </c>
      <c r="L8" s="36">
        <f t="shared" si="3"/>
        <v>700</v>
      </c>
      <c r="M8" s="1"/>
      <c r="N8" s="2">
        <v>50</v>
      </c>
      <c r="O8" s="2">
        <v>60</v>
      </c>
      <c r="P8" s="36">
        <f t="shared" si="4"/>
        <v>3000</v>
      </c>
      <c r="Q8" s="1"/>
      <c r="R8" s="2">
        <v>50</v>
      </c>
      <c r="S8" s="2">
        <v>1</v>
      </c>
      <c r="T8" s="36">
        <f t="shared" si="5"/>
        <v>50</v>
      </c>
      <c r="U8" s="1"/>
      <c r="V8" s="12"/>
      <c r="W8" s="39">
        <v>50</v>
      </c>
      <c r="X8" s="39">
        <f t="shared" ref="X8:X12" si="7">+C8+G8+K8+O8+S8</f>
        <v>142</v>
      </c>
      <c r="Y8" s="37">
        <f t="shared" si="6"/>
        <v>7100</v>
      </c>
      <c r="Z8" s="13"/>
      <c r="AA8" s="1"/>
      <c r="AB8" s="53" t="s">
        <v>11</v>
      </c>
      <c r="AC8" s="53">
        <f>+AF31</f>
        <v>480350</v>
      </c>
      <c r="AD8" s="1"/>
      <c r="AE8" s="1"/>
      <c r="AF8" s="1"/>
      <c r="AG8" s="1"/>
      <c r="AH8" s="1"/>
      <c r="AI8" s="2">
        <v>20</v>
      </c>
      <c r="AJ8" s="2">
        <v>61</v>
      </c>
      <c r="AK8" s="36">
        <f t="shared" si="0"/>
        <v>1220</v>
      </c>
      <c r="AL8" s="1"/>
    </row>
    <row r="9" spans="2:38" ht="15.75" thickBot="1" x14ac:dyDescent="0.3">
      <c r="B9" s="2">
        <v>100</v>
      </c>
      <c r="C9" s="2">
        <v>53</v>
      </c>
      <c r="D9" s="36">
        <f t="shared" si="1"/>
        <v>5300</v>
      </c>
      <c r="E9" s="1"/>
      <c r="F9" s="2">
        <v>100</v>
      </c>
      <c r="G9" s="2">
        <v>28</v>
      </c>
      <c r="H9" s="36">
        <f t="shared" si="2"/>
        <v>2800</v>
      </c>
      <c r="I9" s="1"/>
      <c r="J9" s="2">
        <v>100</v>
      </c>
      <c r="K9" s="2">
        <v>11</v>
      </c>
      <c r="L9" s="36">
        <f t="shared" si="3"/>
        <v>1100</v>
      </c>
      <c r="M9" s="1"/>
      <c r="N9" s="2">
        <v>100</v>
      </c>
      <c r="O9" s="2">
        <v>27</v>
      </c>
      <c r="P9" s="36">
        <f t="shared" si="4"/>
        <v>2700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119</v>
      </c>
      <c r="Y9" s="37">
        <f t="shared" si="6"/>
        <v>11900</v>
      </c>
      <c r="Z9" s="13"/>
      <c r="AA9" s="1"/>
      <c r="AB9" s="58" t="s">
        <v>12</v>
      </c>
      <c r="AC9" s="59">
        <f>SUM(AC7:AC8)</f>
        <v>723263</v>
      </c>
      <c r="AD9" s="1"/>
      <c r="AE9" s="1"/>
      <c r="AF9" s="1"/>
      <c r="AG9" s="1"/>
      <c r="AH9" s="1"/>
      <c r="AI9" s="2">
        <v>50</v>
      </c>
      <c r="AJ9" s="2">
        <v>149</v>
      </c>
      <c r="AK9" s="36">
        <f t="shared" si="0"/>
        <v>7450</v>
      </c>
      <c r="AL9" s="1"/>
    </row>
    <row r="10" spans="2:38" x14ac:dyDescent="0.25">
      <c r="B10" s="2">
        <v>500</v>
      </c>
      <c r="C10" s="2">
        <v>27</v>
      </c>
      <c r="D10" s="36">
        <f t="shared" si="1"/>
        <v>13500</v>
      </c>
      <c r="E10" s="1"/>
      <c r="F10" s="2">
        <v>500</v>
      </c>
      <c r="G10" s="2">
        <v>37</v>
      </c>
      <c r="H10" s="36">
        <f t="shared" si="2"/>
        <v>18500</v>
      </c>
      <c r="I10" s="1"/>
      <c r="J10" s="2">
        <v>500</v>
      </c>
      <c r="K10" s="2">
        <v>33</v>
      </c>
      <c r="L10" s="36">
        <f t="shared" si="3"/>
        <v>16500</v>
      </c>
      <c r="M10" s="1"/>
      <c r="N10" s="2">
        <v>500</v>
      </c>
      <c r="O10" s="2">
        <v>33</v>
      </c>
      <c r="P10" s="36">
        <f t="shared" si="4"/>
        <v>16500</v>
      </c>
      <c r="Q10" s="1"/>
      <c r="R10" s="2">
        <v>500</v>
      </c>
      <c r="S10" s="2">
        <v>4</v>
      </c>
      <c r="T10" s="36">
        <f t="shared" si="5"/>
        <v>2000</v>
      </c>
      <c r="U10" s="1"/>
      <c r="V10" s="12"/>
      <c r="W10" s="39">
        <v>500</v>
      </c>
      <c r="X10" s="39">
        <f t="shared" si="7"/>
        <v>134</v>
      </c>
      <c r="Y10" s="37">
        <f t="shared" si="6"/>
        <v>67000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123</v>
      </c>
      <c r="AK10" s="36">
        <f t="shared" si="0"/>
        <v>12300</v>
      </c>
      <c r="AL10" s="1"/>
    </row>
    <row r="11" spans="2:38" x14ac:dyDescent="0.25">
      <c r="B11" s="2">
        <v>1000</v>
      </c>
      <c r="C11" s="2">
        <v>15</v>
      </c>
      <c r="D11" s="36">
        <f>+C11*B11</f>
        <v>15000</v>
      </c>
      <c r="E11" s="1"/>
      <c r="F11" s="2">
        <v>1000</v>
      </c>
      <c r="G11" s="2">
        <v>31</v>
      </c>
      <c r="H11" s="36">
        <f t="shared" si="2"/>
        <v>31000</v>
      </c>
      <c r="I11" s="1"/>
      <c r="J11" s="2">
        <v>1000</v>
      </c>
      <c r="K11" s="2">
        <v>49</v>
      </c>
      <c r="L11" s="36">
        <f t="shared" si="3"/>
        <v>49000</v>
      </c>
      <c r="M11" s="1"/>
      <c r="N11" s="2">
        <v>1000</v>
      </c>
      <c r="O11" s="2">
        <v>35</v>
      </c>
      <c r="P11" s="36">
        <f t="shared" si="4"/>
        <v>35000</v>
      </c>
      <c r="Q11" s="1"/>
      <c r="R11" s="2">
        <v>1000</v>
      </c>
      <c r="S11" s="2">
        <v>8</v>
      </c>
      <c r="T11" s="36">
        <f t="shared" si="5"/>
        <v>8000</v>
      </c>
      <c r="U11" s="1"/>
      <c r="V11" s="12"/>
      <c r="W11" s="39">
        <v>1000</v>
      </c>
      <c r="X11" s="39">
        <f t="shared" si="7"/>
        <v>138</v>
      </c>
      <c r="Y11" s="37">
        <f t="shared" si="6"/>
        <v>138000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291</v>
      </c>
      <c r="AK11" s="36">
        <f t="shared" si="0"/>
        <v>145500</v>
      </c>
      <c r="AL11" s="1"/>
    </row>
    <row r="12" spans="2:38" x14ac:dyDescent="0.25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3</v>
      </c>
      <c r="Y12" s="37">
        <f t="shared" si="6"/>
        <v>15000</v>
      </c>
      <c r="Z12" s="13"/>
      <c r="AA12" s="1"/>
      <c r="AB12" s="1" t="s">
        <v>17</v>
      </c>
      <c r="AC12" s="5">
        <v>718250</v>
      </c>
      <c r="AD12" s="1">
        <v>989425</v>
      </c>
      <c r="AE12" s="52" t="s">
        <v>647</v>
      </c>
      <c r="AF12" s="1" t="s">
        <v>103</v>
      </c>
      <c r="AG12" s="1"/>
      <c r="AH12" s="1"/>
      <c r="AI12" s="2">
        <v>1000</v>
      </c>
      <c r="AJ12" s="2">
        <v>473</v>
      </c>
      <c r="AK12" s="36">
        <f t="shared" si="0"/>
        <v>473000</v>
      </c>
      <c r="AL12" s="1"/>
    </row>
    <row r="13" spans="2:38" ht="15.75" thickBot="1" x14ac:dyDescent="0.3">
      <c r="B13" s="3" t="s">
        <v>18</v>
      </c>
      <c r="C13" s="3"/>
      <c r="D13" s="6">
        <f>+SUM(D5:D12)</f>
        <v>43803</v>
      </c>
      <c r="E13" s="1"/>
      <c r="F13" s="3" t="s">
        <v>18</v>
      </c>
      <c r="G13" s="3"/>
      <c r="H13" s="6">
        <f>+SUM(H5:H12)</f>
        <v>58650</v>
      </c>
      <c r="I13" s="1"/>
      <c r="J13" s="3" t="s">
        <v>18</v>
      </c>
      <c r="K13" s="3"/>
      <c r="L13" s="6">
        <f>+SUM(L5:L12)</f>
        <v>72590</v>
      </c>
      <c r="M13" s="1"/>
      <c r="N13" s="3" t="s">
        <v>18</v>
      </c>
      <c r="O13" s="3"/>
      <c r="P13" s="6">
        <f>+SUM(P5:P12)</f>
        <v>57790</v>
      </c>
      <c r="Q13" s="1"/>
      <c r="R13" s="3" t="s">
        <v>18</v>
      </c>
      <c r="S13" s="3"/>
      <c r="T13" s="6">
        <f>+SUM(T5:T12)</f>
        <v>10080</v>
      </c>
      <c r="U13" s="1"/>
      <c r="V13" s="12"/>
      <c r="W13" s="3" t="s">
        <v>18</v>
      </c>
      <c r="X13" s="3"/>
      <c r="Y13" s="6">
        <f>+SUM(Y5:Y12)</f>
        <v>242913</v>
      </c>
      <c r="Z13" s="13"/>
      <c r="AA13" s="1"/>
      <c r="AB13" s="1" t="s">
        <v>19</v>
      </c>
      <c r="AC13" s="5">
        <v>4013</v>
      </c>
      <c r="AD13" s="1"/>
      <c r="AE13" s="1"/>
      <c r="AF13" s="1"/>
      <c r="AG13" s="1"/>
      <c r="AH13" s="1"/>
      <c r="AI13" s="2">
        <v>5000</v>
      </c>
      <c r="AJ13" s="2">
        <v>16</v>
      </c>
      <c r="AK13" s="36">
        <f t="shared" si="0"/>
        <v>80000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722263</v>
      </c>
      <c r="AL14" s="1"/>
    </row>
    <row r="15" spans="2:38" ht="15.75" thickBot="1" x14ac:dyDescent="0.3">
      <c r="B15" s="105" t="s">
        <v>21</v>
      </c>
      <c r="C15" s="106"/>
      <c r="D15" s="8">
        <v>48753</v>
      </c>
      <c r="E15" s="30"/>
      <c r="F15" s="105" t="s">
        <v>21</v>
      </c>
      <c r="G15" s="106"/>
      <c r="H15" s="8">
        <v>80357</v>
      </c>
      <c r="I15" s="30"/>
      <c r="J15" s="105" t="s">
        <v>21</v>
      </c>
      <c r="K15" s="106"/>
      <c r="L15" s="8">
        <v>79414</v>
      </c>
      <c r="M15" s="30"/>
      <c r="N15" s="105" t="s">
        <v>21</v>
      </c>
      <c r="O15" s="106"/>
      <c r="P15" s="8">
        <v>79092</v>
      </c>
      <c r="Q15" s="30"/>
      <c r="R15" s="105" t="s">
        <v>21</v>
      </c>
      <c r="S15" s="106"/>
      <c r="T15" s="8">
        <v>1009526</v>
      </c>
      <c r="U15" s="30"/>
      <c r="V15" s="31"/>
      <c r="W15" s="105" t="s">
        <v>21</v>
      </c>
      <c r="X15" s="106"/>
      <c r="Y15" s="8">
        <f>+D15+H15+L15+P15+T15</f>
        <v>1297142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43803</v>
      </c>
      <c r="E16" s="1"/>
      <c r="F16" s="1" t="s">
        <v>10</v>
      </c>
      <c r="G16" s="1"/>
      <c r="H16" s="5">
        <f>+H13</f>
        <v>58650</v>
      </c>
      <c r="I16" s="1"/>
      <c r="J16" s="1" t="s">
        <v>10</v>
      </c>
      <c r="K16" s="1"/>
      <c r="L16" s="5">
        <f>+L13</f>
        <v>72590</v>
      </c>
      <c r="M16" s="1"/>
      <c r="N16" s="1" t="s">
        <v>10</v>
      </c>
      <c r="O16" s="1"/>
      <c r="P16" s="5">
        <f>+P13</f>
        <v>57790</v>
      </c>
      <c r="Q16" s="1"/>
      <c r="R16" s="1" t="s">
        <v>10</v>
      </c>
      <c r="S16" s="1"/>
      <c r="T16" s="5">
        <f>+T13</f>
        <v>10080</v>
      </c>
      <c r="U16" s="1"/>
      <c r="V16" s="12"/>
      <c r="W16" s="40" t="s">
        <v>10</v>
      </c>
      <c r="X16" s="40"/>
      <c r="Y16" s="37">
        <f>+D16+H16+L16+P16+T16</f>
        <v>242913</v>
      </c>
      <c r="Z16" s="13"/>
      <c r="AA16" s="1"/>
      <c r="AB16" s="94" t="s">
        <v>640</v>
      </c>
      <c r="AC16" s="93">
        <v>1000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1000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1000</v>
      </c>
      <c r="Z17" s="13"/>
      <c r="AA17" s="1"/>
      <c r="AB17" s="48" t="s">
        <v>12</v>
      </c>
      <c r="AC17" s="49">
        <f>+SUM(AC12:AC16)</f>
        <v>723263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444</v>
      </c>
      <c r="C18" s="1" t="s">
        <v>627</v>
      </c>
      <c r="D18" s="5">
        <v>4955</v>
      </c>
      <c r="E18" s="1"/>
      <c r="F18" s="1" t="s">
        <v>278</v>
      </c>
      <c r="G18" s="1" t="s">
        <v>628</v>
      </c>
      <c r="H18" s="5">
        <v>6000</v>
      </c>
      <c r="I18" s="1"/>
      <c r="J18" s="1" t="s">
        <v>486</v>
      </c>
      <c r="K18" s="1" t="s">
        <v>631</v>
      </c>
      <c r="L18" s="5">
        <v>5000</v>
      </c>
      <c r="M18" s="1"/>
      <c r="N18" s="1" t="s">
        <v>615</v>
      </c>
      <c r="O18" s="1" t="s">
        <v>641</v>
      </c>
      <c r="P18" s="5">
        <v>12820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28775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444</v>
      </c>
      <c r="G19" s="1" t="s">
        <v>629</v>
      </c>
      <c r="H19" s="5">
        <v>9900</v>
      </c>
      <c r="I19" s="1"/>
      <c r="J19" s="1" t="s">
        <v>27</v>
      </c>
      <c r="K19" s="1"/>
      <c r="L19" s="5"/>
      <c r="M19" s="1"/>
      <c r="N19" s="1" t="s">
        <v>615</v>
      </c>
      <c r="O19" s="1" t="s">
        <v>642</v>
      </c>
      <c r="P19" s="5">
        <v>6845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16745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617</v>
      </c>
      <c r="G20" s="1" t="s">
        <v>630</v>
      </c>
      <c r="H20" s="5">
        <v>5930</v>
      </c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5930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638</v>
      </c>
      <c r="S22" s="1" t="s">
        <v>396</v>
      </c>
      <c r="T22" s="5">
        <v>10792</v>
      </c>
      <c r="U22" s="1"/>
      <c r="V22" s="12"/>
      <c r="W22" s="40"/>
      <c r="X22" s="40"/>
      <c r="Y22" s="37">
        <f t="shared" si="8"/>
        <v>10792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632</v>
      </c>
      <c r="S23" s="16" t="s">
        <v>235</v>
      </c>
      <c r="T23" s="77">
        <v>708578</v>
      </c>
      <c r="U23" s="1"/>
      <c r="V23" s="12"/>
      <c r="W23" s="40" t="s">
        <v>36</v>
      </c>
      <c r="X23" s="40"/>
      <c r="Y23" s="37">
        <f t="shared" si="8"/>
        <v>708578</v>
      </c>
      <c r="Z23" s="13"/>
      <c r="AA23" s="1"/>
      <c r="AB23" s="64" t="s">
        <v>620</v>
      </c>
      <c r="AC23" s="73">
        <v>45914</v>
      </c>
      <c r="AD23" s="64" t="s">
        <v>235</v>
      </c>
      <c r="AE23" s="64"/>
      <c r="AF23" s="64">
        <v>350000</v>
      </c>
      <c r="AG23" s="1"/>
      <c r="AH23" s="1"/>
      <c r="AI23" s="1" t="s">
        <v>115</v>
      </c>
      <c r="AJ23" s="1"/>
      <c r="AK23" s="1" t="s">
        <v>645</v>
      </c>
      <c r="AL23" s="62">
        <v>50000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633</v>
      </c>
      <c r="S24" s="1" t="s">
        <v>113</v>
      </c>
      <c r="T24" s="5">
        <v>97737</v>
      </c>
      <c r="U24" s="1"/>
      <c r="V24" s="12"/>
      <c r="W24" s="40" t="s">
        <v>37</v>
      </c>
      <c r="X24" s="40"/>
      <c r="Y24" s="37">
        <f t="shared" si="8"/>
        <v>97737</v>
      </c>
      <c r="Z24" s="13"/>
      <c r="AA24" s="1"/>
      <c r="AB24" s="64" t="s">
        <v>626</v>
      </c>
      <c r="AC24" s="73">
        <v>45920</v>
      </c>
      <c r="AD24" s="64" t="s">
        <v>235</v>
      </c>
      <c r="AE24" s="64"/>
      <c r="AF24" s="64">
        <v>4600</v>
      </c>
      <c r="AG24" s="1"/>
      <c r="AH24" s="1"/>
      <c r="AI24" s="1" t="s">
        <v>122</v>
      </c>
      <c r="AJ24" s="1" t="s">
        <v>215</v>
      </c>
      <c r="AK24" s="1"/>
      <c r="AL24" s="62">
        <v>1000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634</v>
      </c>
      <c r="S25" s="1" t="s">
        <v>635</v>
      </c>
      <c r="T25" s="5">
        <v>80313</v>
      </c>
      <c r="U25" s="1"/>
      <c r="V25" s="12"/>
      <c r="W25" s="40" t="s">
        <v>38</v>
      </c>
      <c r="X25" s="40"/>
      <c r="Y25" s="37">
        <f t="shared" si="8"/>
        <v>80313</v>
      </c>
      <c r="Z25" s="13"/>
      <c r="AA25" s="1"/>
      <c r="AB25" s="64" t="s">
        <v>643</v>
      </c>
      <c r="AC25" s="76">
        <v>45907</v>
      </c>
      <c r="AD25" s="64" t="s">
        <v>173</v>
      </c>
      <c r="AE25" s="64"/>
      <c r="AF25" s="64">
        <v>96370</v>
      </c>
      <c r="AG25" s="1"/>
      <c r="AH25" s="1"/>
      <c r="AI25" s="1"/>
      <c r="AJ25" s="1"/>
      <c r="AK25" s="1"/>
      <c r="AL25" s="62"/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636</v>
      </c>
      <c r="S26" s="1" t="s">
        <v>637</v>
      </c>
      <c r="T26" s="5">
        <v>181259</v>
      </c>
      <c r="U26" s="1"/>
      <c r="V26" s="12"/>
      <c r="W26" s="40"/>
      <c r="X26" s="40"/>
      <c r="Y26" s="37">
        <f t="shared" si="8"/>
        <v>181259</v>
      </c>
      <c r="Z26" s="13"/>
      <c r="AA26" s="1"/>
      <c r="AB26" s="64" t="s">
        <v>644</v>
      </c>
      <c r="AC26" s="76">
        <v>45912</v>
      </c>
      <c r="AD26" s="64" t="s">
        <v>436</v>
      </c>
      <c r="AE26" s="64"/>
      <c r="AF26" s="64">
        <v>29380</v>
      </c>
      <c r="AG26" s="1"/>
      <c r="AH26" s="1"/>
      <c r="AI26" s="1"/>
      <c r="AJ26" s="1"/>
      <c r="AK26" s="1"/>
      <c r="AL26" s="62"/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62"/>
    </row>
    <row r="28" spans="2:38" ht="15.75" thickBot="1" x14ac:dyDescent="0.3">
      <c r="B28" s="99" t="s">
        <v>12</v>
      </c>
      <c r="C28" s="100"/>
      <c r="D28" s="9">
        <f>+SUM(D16:D27)</f>
        <v>48758</v>
      </c>
      <c r="E28" s="1"/>
      <c r="F28" s="99" t="s">
        <v>12</v>
      </c>
      <c r="G28" s="100"/>
      <c r="H28" s="9">
        <f>+SUM(H16:H27)</f>
        <v>80480</v>
      </c>
      <c r="I28" s="1"/>
      <c r="J28" s="99" t="s">
        <v>12</v>
      </c>
      <c r="K28" s="100"/>
      <c r="L28" s="9">
        <f>+SUM(L16:L27)</f>
        <v>78590</v>
      </c>
      <c r="M28" s="1"/>
      <c r="N28" s="99" t="s">
        <v>12</v>
      </c>
      <c r="O28" s="100"/>
      <c r="P28" s="9">
        <f>+SUM(P16:P27)</f>
        <v>77455</v>
      </c>
      <c r="Q28" s="1"/>
      <c r="R28" s="99" t="s">
        <v>12</v>
      </c>
      <c r="S28" s="100"/>
      <c r="T28" s="9">
        <f>+SUM(T16:T27)</f>
        <v>1088759</v>
      </c>
      <c r="U28" s="1"/>
      <c r="V28" s="12"/>
      <c r="W28" s="99" t="s">
        <v>12</v>
      </c>
      <c r="X28" s="100"/>
      <c r="Y28" s="9">
        <f>+SUM(Y16:Y27)</f>
        <v>1374042</v>
      </c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2"/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5.75" thickBot="1" x14ac:dyDescent="0.3">
      <c r="B30" s="101" t="s">
        <v>41</v>
      </c>
      <c r="C30" s="101"/>
      <c r="D30" s="7">
        <f>+D28-D15</f>
        <v>5</v>
      </c>
      <c r="E30" s="1"/>
      <c r="F30" s="101" t="s">
        <v>41</v>
      </c>
      <c r="G30" s="101"/>
      <c r="H30" s="7">
        <f>+H28-H15</f>
        <v>123</v>
      </c>
      <c r="I30" s="1"/>
      <c r="J30" s="101" t="s">
        <v>41</v>
      </c>
      <c r="K30" s="101"/>
      <c r="L30" s="7">
        <f>+L28-L15</f>
        <v>-824</v>
      </c>
      <c r="M30" s="1"/>
      <c r="N30" s="101" t="s">
        <v>41</v>
      </c>
      <c r="O30" s="101"/>
      <c r="P30" s="7">
        <f>+P28-P15</f>
        <v>-1637</v>
      </c>
      <c r="Q30" s="1"/>
      <c r="R30" s="101" t="s">
        <v>41</v>
      </c>
      <c r="S30" s="101"/>
      <c r="T30" s="7">
        <f>+T28-T15</f>
        <v>79233</v>
      </c>
      <c r="U30" s="1"/>
      <c r="V30" s="12"/>
      <c r="W30" s="102" t="s">
        <v>41</v>
      </c>
      <c r="X30" s="102"/>
      <c r="Y30" s="41">
        <f>+Y28-Y15</f>
        <v>76900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480350</v>
      </c>
      <c r="AG31" s="1"/>
      <c r="AH31" s="1"/>
      <c r="AI31" s="60" t="s">
        <v>40</v>
      </c>
      <c r="AJ31" s="60"/>
      <c r="AK31" s="60"/>
      <c r="AL31" s="55">
        <f>+SUM(AL23:AL30)</f>
        <v>51000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/>
      <c r="I34" s="1"/>
      <c r="J34" s="10" t="s">
        <v>42</v>
      </c>
      <c r="K34" s="11"/>
      <c r="L34" s="21">
        <v>824</v>
      </c>
      <c r="M34" s="1"/>
      <c r="N34" s="10" t="s">
        <v>42</v>
      </c>
      <c r="O34" s="11"/>
      <c r="P34" s="21">
        <v>1637</v>
      </c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2461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>
        <v>-5</v>
      </c>
      <c r="E36" s="1"/>
      <c r="F36" s="12" t="s">
        <v>45</v>
      </c>
      <c r="G36" s="16"/>
      <c r="H36" s="22">
        <v>-123</v>
      </c>
      <c r="I36" s="1"/>
      <c r="J36" s="12" t="s">
        <v>45</v>
      </c>
      <c r="K36" s="16"/>
      <c r="L36" s="22"/>
      <c r="M36" s="1"/>
      <c r="N36" s="12" t="s">
        <v>45</v>
      </c>
      <c r="O36" s="16"/>
      <c r="P36" s="22"/>
      <c r="Q36" s="1"/>
      <c r="R36" s="12" t="s">
        <v>45</v>
      </c>
      <c r="S36" s="16"/>
      <c r="T36" s="22">
        <v>-79233</v>
      </c>
      <c r="U36" s="1"/>
      <c r="V36" s="1"/>
      <c r="W36" s="45" t="s">
        <v>44</v>
      </c>
      <c r="X36" s="40"/>
      <c r="Y36" s="46">
        <f t="shared" si="9"/>
        <v>-79361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-5</v>
      </c>
      <c r="E37" s="1"/>
      <c r="F37" s="12" t="s">
        <v>18</v>
      </c>
      <c r="G37" s="16"/>
      <c r="H37" s="22">
        <f>+SUM(H34:H36)</f>
        <v>-123</v>
      </c>
      <c r="I37" s="1"/>
      <c r="J37" s="12" t="s">
        <v>18</v>
      </c>
      <c r="K37" s="16"/>
      <c r="L37" s="22">
        <f>+SUM(L34:L36)</f>
        <v>824</v>
      </c>
      <c r="M37" s="1"/>
      <c r="N37" s="12" t="s">
        <v>18</v>
      </c>
      <c r="O37" s="16"/>
      <c r="P37" s="22">
        <f>+SUM(P34:P36)</f>
        <v>1637</v>
      </c>
      <c r="Q37" s="1"/>
      <c r="R37" s="12" t="s">
        <v>18</v>
      </c>
      <c r="S37" s="16"/>
      <c r="T37" s="22">
        <f>+SUM(T34:T36)</f>
        <v>-79233</v>
      </c>
      <c r="U37" s="1"/>
      <c r="V37" s="1"/>
      <c r="W37" s="33" t="s">
        <v>18</v>
      </c>
      <c r="X37" s="34"/>
      <c r="Y37" s="35">
        <f>+SUM(Y34:Y36)</f>
        <v>-76900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1"/>
  <sheetViews>
    <sheetView zoomScale="80" zoomScaleNormal="80" workbookViewId="0">
      <selection activeCell="H36" sqref="H36"/>
    </sheetView>
  </sheetViews>
  <sheetFormatPr defaultRowHeight="15" x14ac:dyDescent="0.25"/>
  <cols>
    <col min="5" max="5" width="0.28515625" customWidth="1"/>
    <col min="7" max="7" width="14" bestFit="1" customWidth="1"/>
    <col min="9" max="9" width="0.5703125" customWidth="1"/>
    <col min="11" max="11" width="14" bestFit="1" customWidth="1"/>
    <col min="13" max="13" width="0.42578125" customWidth="1"/>
    <col min="15" max="15" width="14.28515625" bestFit="1" customWidth="1"/>
    <col min="17" max="17" width="0.85546875" customWidth="1"/>
    <col min="19" max="19" width="14" bestFit="1" customWidth="1"/>
    <col min="20" max="20" width="10.5703125" bestFit="1" customWidth="1"/>
    <col min="21" max="21" width="0.85546875" customWidth="1"/>
    <col min="25" max="25" width="9.5703125" bestFit="1" customWidth="1"/>
    <col min="27" max="27" width="0.28515625" customWidth="1"/>
    <col min="28" max="28" width="15.28515625" bestFit="1" customWidth="1"/>
    <col min="29" max="29" width="10.5703125" bestFit="1" customWidth="1"/>
    <col min="30" max="30" width="15.5703125" bestFit="1" customWidth="1"/>
    <col min="31" max="31" width="15.85546875" bestFit="1" customWidth="1"/>
    <col min="33" max="33" width="2.140625" customWidth="1"/>
    <col min="34" max="34" width="9.140625" hidden="1" customWidth="1"/>
    <col min="35" max="35" width="10.85546875" customWidth="1"/>
    <col min="36" max="36" width="14" bestFit="1" customWidth="1"/>
    <col min="37" max="37" width="16.42578125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>
        <v>17</v>
      </c>
      <c r="H5" s="36">
        <f>+G5*F5</f>
        <v>17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17</v>
      </c>
      <c r="Y5" s="37">
        <f>+D5+H5+L5+P5+T5</f>
        <v>17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175</v>
      </c>
      <c r="D6" s="36">
        <f>+C6*B6</f>
        <v>1750</v>
      </c>
      <c r="E6" s="1"/>
      <c r="F6" s="2">
        <v>10</v>
      </c>
      <c r="G6" s="2">
        <v>260</v>
      </c>
      <c r="H6" s="36">
        <f>+G6*F6</f>
        <v>2600</v>
      </c>
      <c r="I6" s="1"/>
      <c r="J6" s="2">
        <v>10</v>
      </c>
      <c r="K6" s="2">
        <v>136</v>
      </c>
      <c r="L6" s="36">
        <f>+K6*J6</f>
        <v>1360</v>
      </c>
      <c r="M6" s="1"/>
      <c r="N6" s="2">
        <v>10</v>
      </c>
      <c r="O6" s="2">
        <v>105</v>
      </c>
      <c r="P6" s="36">
        <f>+O6*N6</f>
        <v>1050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676</v>
      </c>
      <c r="Y6" s="37">
        <f>+D6+H6+L6+P6+T6</f>
        <v>6760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17</v>
      </c>
      <c r="AK6" s="36">
        <f t="shared" ref="AK6:AK13" si="0">+AJ6*AI6</f>
        <v>17</v>
      </c>
      <c r="AL6" s="26"/>
    </row>
    <row r="7" spans="2:38" x14ac:dyDescent="0.25">
      <c r="B7" s="2">
        <v>20</v>
      </c>
      <c r="C7" s="2">
        <v>32</v>
      </c>
      <c r="D7" s="36">
        <f t="shared" ref="D7:D12" si="1">+C7*B7</f>
        <v>640</v>
      </c>
      <c r="E7" s="1"/>
      <c r="F7" s="2">
        <v>20</v>
      </c>
      <c r="G7" s="2">
        <v>33</v>
      </c>
      <c r="H7" s="36">
        <f t="shared" ref="H7:H12" si="2">+G7*F7</f>
        <v>660</v>
      </c>
      <c r="I7" s="1"/>
      <c r="J7" s="2">
        <v>20</v>
      </c>
      <c r="K7" s="2">
        <v>18</v>
      </c>
      <c r="L7" s="36">
        <f t="shared" ref="L7:L12" si="3">+K7*J7</f>
        <v>360</v>
      </c>
      <c r="M7" s="1"/>
      <c r="N7" s="2">
        <v>20</v>
      </c>
      <c r="O7" s="2">
        <v>17</v>
      </c>
      <c r="P7" s="36">
        <f t="shared" ref="P7:P12" si="4">+O7*N7</f>
        <v>340</v>
      </c>
      <c r="Q7" s="1"/>
      <c r="R7" s="2">
        <v>20</v>
      </c>
      <c r="S7" s="2">
        <v>2</v>
      </c>
      <c r="T7" s="36">
        <f t="shared" ref="T7:T12" si="5">+S7*R7</f>
        <v>40</v>
      </c>
      <c r="U7" s="1"/>
      <c r="V7" s="12"/>
      <c r="W7" s="39">
        <v>20</v>
      </c>
      <c r="X7" s="39">
        <f>+C7+G7+K7+O7+S7</f>
        <v>102</v>
      </c>
      <c r="Y7" s="37">
        <f t="shared" ref="Y7:Y12" si="6">+D7+H7+L7+P7+T7</f>
        <v>2040</v>
      </c>
      <c r="Z7" s="13"/>
      <c r="AA7" s="1"/>
      <c r="AB7" s="56" t="s">
        <v>10</v>
      </c>
      <c r="AC7" s="57">
        <f>Y13</f>
        <v>261517</v>
      </c>
      <c r="AD7" s="26"/>
      <c r="AE7" s="26"/>
      <c r="AF7" s="26"/>
      <c r="AG7" s="26"/>
      <c r="AH7" s="1"/>
      <c r="AI7" s="2">
        <v>10</v>
      </c>
      <c r="AJ7" s="2">
        <v>676</v>
      </c>
      <c r="AK7" s="36">
        <f t="shared" si="0"/>
        <v>6760</v>
      </c>
      <c r="AL7" s="1"/>
    </row>
    <row r="8" spans="2:38" x14ac:dyDescent="0.25">
      <c r="B8" s="2">
        <v>50</v>
      </c>
      <c r="C8" s="2">
        <v>165</v>
      </c>
      <c r="D8" s="36">
        <f t="shared" si="1"/>
        <v>8250</v>
      </c>
      <c r="E8" s="1"/>
      <c r="F8" s="2">
        <v>50</v>
      </c>
      <c r="G8" s="2">
        <v>13</v>
      </c>
      <c r="H8" s="36">
        <f t="shared" si="2"/>
        <v>650</v>
      </c>
      <c r="I8" s="1"/>
      <c r="J8" s="2">
        <v>50</v>
      </c>
      <c r="K8" s="2">
        <v>43</v>
      </c>
      <c r="L8" s="36">
        <f t="shared" si="3"/>
        <v>2150</v>
      </c>
      <c r="M8" s="1"/>
      <c r="N8" s="2">
        <v>50</v>
      </c>
      <c r="O8" s="2">
        <v>61</v>
      </c>
      <c r="P8" s="36">
        <f t="shared" si="4"/>
        <v>3050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282</v>
      </c>
      <c r="Y8" s="37">
        <f t="shared" si="6"/>
        <v>14100</v>
      </c>
      <c r="Z8" s="13"/>
      <c r="AA8" s="1"/>
      <c r="AB8" s="53" t="s">
        <v>11</v>
      </c>
      <c r="AC8" s="53">
        <f>+AF31</f>
        <v>81330</v>
      </c>
      <c r="AD8" s="1"/>
      <c r="AE8" s="1"/>
      <c r="AF8" s="1"/>
      <c r="AG8" s="1"/>
      <c r="AH8" s="1"/>
      <c r="AI8" s="2">
        <v>20</v>
      </c>
      <c r="AJ8" s="2">
        <v>106</v>
      </c>
      <c r="AK8" s="36">
        <f t="shared" si="0"/>
        <v>2120</v>
      </c>
      <c r="AL8" s="1"/>
    </row>
    <row r="9" spans="2:38" ht="15.75" thickBot="1" x14ac:dyDescent="0.3">
      <c r="B9" s="2">
        <v>100</v>
      </c>
      <c r="C9" s="2">
        <v>59</v>
      </c>
      <c r="D9" s="36">
        <f t="shared" si="1"/>
        <v>5900</v>
      </c>
      <c r="E9" s="1"/>
      <c r="F9" s="2">
        <v>100</v>
      </c>
      <c r="G9" s="2">
        <v>36</v>
      </c>
      <c r="H9" s="36">
        <f t="shared" si="2"/>
        <v>3600</v>
      </c>
      <c r="I9" s="1"/>
      <c r="J9" s="2">
        <v>100</v>
      </c>
      <c r="K9" s="2">
        <v>107</v>
      </c>
      <c r="L9" s="36">
        <f t="shared" si="3"/>
        <v>10700</v>
      </c>
      <c r="M9" s="1"/>
      <c r="N9" s="2">
        <v>100</v>
      </c>
      <c r="O9" s="2">
        <v>10</v>
      </c>
      <c r="P9" s="36">
        <f t="shared" si="4"/>
        <v>1000</v>
      </c>
      <c r="Q9" s="1"/>
      <c r="R9" s="2">
        <v>100</v>
      </c>
      <c r="S9" s="2">
        <v>4</v>
      </c>
      <c r="T9" s="36">
        <f t="shared" si="5"/>
        <v>400</v>
      </c>
      <c r="U9" s="1"/>
      <c r="V9" s="12"/>
      <c r="W9" s="39">
        <v>100</v>
      </c>
      <c r="X9" s="39">
        <f t="shared" si="7"/>
        <v>216</v>
      </c>
      <c r="Y9" s="37">
        <f t="shared" si="6"/>
        <v>21600</v>
      </c>
      <c r="Z9" s="13"/>
      <c r="AA9" s="1"/>
      <c r="AB9" s="58" t="s">
        <v>12</v>
      </c>
      <c r="AC9" s="59">
        <f>SUM(AC7:AC8)</f>
        <v>342847</v>
      </c>
      <c r="AD9" s="1"/>
      <c r="AE9" s="1"/>
      <c r="AF9" s="1"/>
      <c r="AG9" s="1"/>
      <c r="AH9" s="1"/>
      <c r="AI9" s="2">
        <v>50</v>
      </c>
      <c r="AJ9" s="2">
        <v>365</v>
      </c>
      <c r="AK9" s="36">
        <f t="shared" si="0"/>
        <v>18250</v>
      </c>
      <c r="AL9" s="1"/>
    </row>
    <row r="10" spans="2:38" x14ac:dyDescent="0.25">
      <c r="B10" s="2">
        <v>500</v>
      </c>
      <c r="C10" s="2">
        <v>30</v>
      </c>
      <c r="D10" s="36">
        <f t="shared" si="1"/>
        <v>15000</v>
      </c>
      <c r="E10" s="1"/>
      <c r="F10" s="2">
        <v>500</v>
      </c>
      <c r="G10" s="2">
        <v>30</v>
      </c>
      <c r="H10" s="36">
        <f t="shared" si="2"/>
        <v>15000</v>
      </c>
      <c r="I10" s="1"/>
      <c r="J10" s="2">
        <v>500</v>
      </c>
      <c r="K10" s="2">
        <v>36</v>
      </c>
      <c r="L10" s="36">
        <f t="shared" si="3"/>
        <v>18000</v>
      </c>
      <c r="M10" s="1"/>
      <c r="N10" s="2">
        <v>500</v>
      </c>
      <c r="O10" s="2">
        <v>26</v>
      </c>
      <c r="P10" s="36">
        <f t="shared" si="4"/>
        <v>13000</v>
      </c>
      <c r="Q10" s="1"/>
      <c r="R10" s="2">
        <v>500</v>
      </c>
      <c r="S10" s="2">
        <v>16</v>
      </c>
      <c r="T10" s="36">
        <f t="shared" si="5"/>
        <v>8000</v>
      </c>
      <c r="U10" s="1"/>
      <c r="V10" s="12"/>
      <c r="W10" s="39">
        <v>500</v>
      </c>
      <c r="X10" s="39">
        <f t="shared" si="7"/>
        <v>138</v>
      </c>
      <c r="Y10" s="37">
        <f t="shared" si="6"/>
        <v>69000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287</v>
      </c>
      <c r="AK10" s="36">
        <f t="shared" si="0"/>
        <v>28700</v>
      </c>
      <c r="AL10" s="1"/>
    </row>
    <row r="11" spans="2:38" x14ac:dyDescent="0.25">
      <c r="B11" s="2">
        <v>1000</v>
      </c>
      <c r="C11" s="2">
        <v>23</v>
      </c>
      <c r="D11" s="36">
        <f t="shared" si="1"/>
        <v>23000</v>
      </c>
      <c r="E11" s="1"/>
      <c r="F11" s="2">
        <v>1000</v>
      </c>
      <c r="G11" s="2">
        <v>30</v>
      </c>
      <c r="H11" s="36">
        <f t="shared" si="2"/>
        <v>30000</v>
      </c>
      <c r="I11" s="1"/>
      <c r="J11" s="2">
        <v>1000</v>
      </c>
      <c r="K11" s="2">
        <v>37</v>
      </c>
      <c r="L11" s="36">
        <f t="shared" si="3"/>
        <v>37000</v>
      </c>
      <c r="M11" s="1"/>
      <c r="N11" s="2">
        <v>1000</v>
      </c>
      <c r="O11" s="2">
        <v>31</v>
      </c>
      <c r="P11" s="36">
        <f t="shared" si="4"/>
        <v>31000</v>
      </c>
      <c r="Q11" s="1"/>
      <c r="R11" s="2">
        <v>1000</v>
      </c>
      <c r="S11" s="2">
        <v>12</v>
      </c>
      <c r="T11" s="36">
        <f t="shared" si="5"/>
        <v>12000</v>
      </c>
      <c r="U11" s="1"/>
      <c r="V11" s="12"/>
      <c r="W11" s="39">
        <v>1000</v>
      </c>
      <c r="X11" s="39">
        <f t="shared" si="7"/>
        <v>133</v>
      </c>
      <c r="Y11" s="37">
        <f t="shared" si="6"/>
        <v>133000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172</v>
      </c>
      <c r="AK11" s="36">
        <f t="shared" si="0"/>
        <v>86000</v>
      </c>
      <c r="AL11" s="1"/>
    </row>
    <row r="12" spans="2:38" x14ac:dyDescent="0.25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/>
      <c r="L12" s="36">
        <f t="shared" si="3"/>
        <v>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3</v>
      </c>
      <c r="Y12" s="37">
        <f t="shared" si="6"/>
        <v>15000</v>
      </c>
      <c r="Z12" s="13"/>
      <c r="AA12" s="1"/>
      <c r="AB12" s="1" t="s">
        <v>17</v>
      </c>
      <c r="AC12" s="5">
        <v>332950</v>
      </c>
      <c r="AD12" s="1"/>
      <c r="AE12" s="52"/>
      <c r="AF12" s="1"/>
      <c r="AG12" s="1"/>
      <c r="AH12" s="1"/>
      <c r="AI12" s="2">
        <v>1000</v>
      </c>
      <c r="AJ12" s="2">
        <v>173</v>
      </c>
      <c r="AK12" s="36">
        <f t="shared" si="0"/>
        <v>173000</v>
      </c>
      <c r="AL12" s="1"/>
    </row>
    <row r="13" spans="2:38" ht="15.75" thickBot="1" x14ac:dyDescent="0.3">
      <c r="B13" s="3" t="s">
        <v>18</v>
      </c>
      <c r="C13" s="3"/>
      <c r="D13" s="6">
        <f>+SUM(D5:D12)</f>
        <v>59540</v>
      </c>
      <c r="E13" s="1"/>
      <c r="F13" s="3" t="s">
        <v>18</v>
      </c>
      <c r="G13" s="3"/>
      <c r="H13" s="6">
        <f>+SUM(H5:H12)</f>
        <v>57527</v>
      </c>
      <c r="I13" s="1"/>
      <c r="J13" s="3" t="s">
        <v>18</v>
      </c>
      <c r="K13" s="3"/>
      <c r="L13" s="6">
        <f>+SUM(L5:L12)</f>
        <v>69570</v>
      </c>
      <c r="M13" s="1"/>
      <c r="N13" s="3" t="s">
        <v>18</v>
      </c>
      <c r="O13" s="3"/>
      <c r="P13" s="6">
        <f>+SUM(P5:P12)</f>
        <v>54440</v>
      </c>
      <c r="Q13" s="1"/>
      <c r="R13" s="3" t="s">
        <v>18</v>
      </c>
      <c r="S13" s="3"/>
      <c r="T13" s="6">
        <f>+SUM(T5:T12)</f>
        <v>20440</v>
      </c>
      <c r="U13" s="1"/>
      <c r="V13" s="12"/>
      <c r="W13" s="3" t="s">
        <v>18</v>
      </c>
      <c r="X13" s="3"/>
      <c r="Y13" s="6">
        <f>+SUM(Y5:Y12)</f>
        <v>261517</v>
      </c>
      <c r="Z13" s="13"/>
      <c r="AA13" s="1"/>
      <c r="AB13" s="1" t="s">
        <v>19</v>
      </c>
      <c r="AC13" s="5">
        <v>6897</v>
      </c>
      <c r="AD13" s="1"/>
      <c r="AE13" s="1"/>
      <c r="AF13" s="1"/>
      <c r="AG13" s="1"/>
      <c r="AH13" s="1"/>
      <c r="AI13" s="2">
        <v>5000</v>
      </c>
      <c r="AJ13" s="2">
        <v>5</v>
      </c>
      <c r="AK13" s="36">
        <f t="shared" si="0"/>
        <v>25000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339847</v>
      </c>
      <c r="AL14" s="1"/>
    </row>
    <row r="15" spans="2:38" ht="15.75" thickBot="1" x14ac:dyDescent="0.3">
      <c r="B15" s="105" t="s">
        <v>21</v>
      </c>
      <c r="C15" s="106"/>
      <c r="D15" s="8">
        <v>59536.82</v>
      </c>
      <c r="E15" s="30"/>
      <c r="F15" s="105" t="s">
        <v>21</v>
      </c>
      <c r="G15" s="106"/>
      <c r="H15" s="8">
        <v>113131</v>
      </c>
      <c r="I15" s="30"/>
      <c r="J15" s="105" t="s">
        <v>21</v>
      </c>
      <c r="K15" s="106"/>
      <c r="L15" s="8">
        <v>92429</v>
      </c>
      <c r="M15" s="30"/>
      <c r="N15" s="105" t="s">
        <v>21</v>
      </c>
      <c r="O15" s="106"/>
      <c r="P15" s="8">
        <v>85698</v>
      </c>
      <c r="Q15" s="30"/>
      <c r="R15" s="105" t="s">
        <v>21</v>
      </c>
      <c r="S15" s="106"/>
      <c r="T15" s="8">
        <v>496376.17</v>
      </c>
      <c r="U15" s="30"/>
      <c r="V15" s="31"/>
      <c r="W15" s="105" t="s">
        <v>21</v>
      </c>
      <c r="X15" s="106"/>
      <c r="Y15" s="8">
        <f>+D15+H15+L15+P15+T15</f>
        <v>847170.99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59540</v>
      </c>
      <c r="E16" s="1"/>
      <c r="F16" s="1" t="s">
        <v>10</v>
      </c>
      <c r="G16" s="1"/>
      <c r="H16" s="5">
        <f>+H13</f>
        <v>57527</v>
      </c>
      <c r="I16" s="1"/>
      <c r="J16" s="1" t="s">
        <v>10</v>
      </c>
      <c r="K16" s="1"/>
      <c r="L16" s="5">
        <f>+L13</f>
        <v>69570</v>
      </c>
      <c r="M16" s="1"/>
      <c r="N16" s="1" t="s">
        <v>10</v>
      </c>
      <c r="O16" s="1"/>
      <c r="P16" s="5">
        <f>+P13</f>
        <v>54440</v>
      </c>
      <c r="Q16" s="1"/>
      <c r="R16" s="1" t="s">
        <v>10</v>
      </c>
      <c r="S16" s="1"/>
      <c r="T16" s="5">
        <f>+T13</f>
        <v>20440</v>
      </c>
      <c r="U16" s="1"/>
      <c r="V16" s="12"/>
      <c r="W16" s="40" t="s">
        <v>10</v>
      </c>
      <c r="X16" s="40"/>
      <c r="Y16" s="37">
        <f>+D16+H16+L16+P16+T16</f>
        <v>261517</v>
      </c>
      <c r="Z16" s="13"/>
      <c r="AA16" s="1"/>
      <c r="AB16" s="1" t="s">
        <v>678</v>
      </c>
      <c r="AC16" s="5">
        <v>3000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>
        <v>1300</v>
      </c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1300</v>
      </c>
      <c r="Z17" s="13"/>
      <c r="AA17" s="1"/>
      <c r="AB17" s="48" t="s">
        <v>12</v>
      </c>
      <c r="AC17" s="49">
        <f>+SUM(AC12:AC16)</f>
        <v>342847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24</v>
      </c>
      <c r="C18" s="1"/>
      <c r="D18" s="5"/>
      <c r="E18" s="1"/>
      <c r="F18" s="1" t="s">
        <v>615</v>
      </c>
      <c r="G18" s="1" t="s">
        <v>654</v>
      </c>
      <c r="H18" s="5">
        <v>9000</v>
      </c>
      <c r="I18" s="1"/>
      <c r="J18" s="1" t="s">
        <v>672</v>
      </c>
      <c r="K18" s="1" t="s">
        <v>673</v>
      </c>
      <c r="L18" s="5">
        <v>3860</v>
      </c>
      <c r="M18" s="1"/>
      <c r="N18" s="1" t="s">
        <v>615</v>
      </c>
      <c r="O18" s="1" t="s">
        <v>648</v>
      </c>
      <c r="P18" s="5">
        <v>7514</v>
      </c>
      <c r="Q18" s="1"/>
      <c r="R18" s="1" t="s">
        <v>615</v>
      </c>
      <c r="S18" s="1" t="s">
        <v>653</v>
      </c>
      <c r="T18" s="5">
        <v>3740</v>
      </c>
      <c r="U18" s="1"/>
      <c r="V18" s="12"/>
      <c r="W18" s="40" t="s">
        <v>24</v>
      </c>
      <c r="X18" s="40"/>
      <c r="Y18" s="37">
        <f t="shared" si="8"/>
        <v>24114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453</v>
      </c>
      <c r="G19" s="1" t="s">
        <v>655</v>
      </c>
      <c r="H19" s="5">
        <v>7634</v>
      </c>
      <c r="I19" s="1"/>
      <c r="J19" s="1" t="s">
        <v>674</v>
      </c>
      <c r="K19" s="1" t="s">
        <v>675</v>
      </c>
      <c r="L19" s="5">
        <v>19000</v>
      </c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26634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615</v>
      </c>
      <c r="G20" s="1" t="s">
        <v>656</v>
      </c>
      <c r="H20" s="5">
        <v>27500</v>
      </c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27500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 t="s">
        <v>529</v>
      </c>
      <c r="G21" s="1" t="s">
        <v>657</v>
      </c>
      <c r="H21" s="5">
        <v>4293</v>
      </c>
      <c r="I21" s="1"/>
      <c r="J21" s="1"/>
      <c r="K21" s="1"/>
      <c r="L21" s="5"/>
      <c r="M21" s="1"/>
      <c r="N21" s="1"/>
      <c r="O21" s="1"/>
      <c r="P21" s="5"/>
      <c r="Q21" s="1"/>
      <c r="R21" s="1" t="s">
        <v>282</v>
      </c>
      <c r="S21" s="1"/>
      <c r="T21" s="5">
        <v>632</v>
      </c>
      <c r="U21" s="1"/>
      <c r="V21" s="12"/>
      <c r="W21" s="40"/>
      <c r="X21" s="40"/>
      <c r="Y21" s="37">
        <f t="shared" si="8"/>
        <v>4925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 t="s">
        <v>453</v>
      </c>
      <c r="G22" s="1" t="s">
        <v>658</v>
      </c>
      <c r="H22" s="5">
        <v>6030</v>
      </c>
      <c r="I22" s="1"/>
      <c r="J22" s="1"/>
      <c r="K22" s="1"/>
      <c r="L22" s="5"/>
      <c r="M22" s="1"/>
      <c r="N22" s="1"/>
      <c r="O22" s="1"/>
      <c r="P22" s="5"/>
      <c r="Q22" s="1"/>
      <c r="R22" s="1" t="s">
        <v>669</v>
      </c>
      <c r="S22" s="1" t="s">
        <v>483</v>
      </c>
      <c r="T22" s="5">
        <v>266561</v>
      </c>
      <c r="U22" s="1"/>
      <c r="V22" s="12"/>
      <c r="W22" s="40"/>
      <c r="X22" s="40"/>
      <c r="Y22" s="37">
        <f t="shared" si="8"/>
        <v>272591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649</v>
      </c>
      <c r="O23" s="16" t="s">
        <v>650</v>
      </c>
      <c r="P23" s="5">
        <v>11197</v>
      </c>
      <c r="Q23" s="1"/>
      <c r="R23" s="1" t="s">
        <v>662</v>
      </c>
      <c r="S23" s="20" t="s">
        <v>663</v>
      </c>
      <c r="T23" s="5">
        <v>60469</v>
      </c>
      <c r="U23" s="1"/>
      <c r="V23" s="12"/>
      <c r="W23" s="40" t="s">
        <v>36</v>
      </c>
      <c r="X23" s="40"/>
      <c r="Y23" s="37">
        <f t="shared" si="8"/>
        <v>71666</v>
      </c>
      <c r="Z23" s="13"/>
      <c r="AA23" s="1"/>
      <c r="AB23" s="64" t="s">
        <v>214</v>
      </c>
      <c r="AC23" s="76">
        <v>45905</v>
      </c>
      <c r="AD23" s="64" t="s">
        <v>659</v>
      </c>
      <c r="AE23" s="64" t="s">
        <v>265</v>
      </c>
      <c r="AF23" s="64">
        <v>3450</v>
      </c>
      <c r="AG23" s="1"/>
      <c r="AH23" s="1"/>
      <c r="AI23" s="64" t="s">
        <v>670</v>
      </c>
      <c r="AJ23" s="64" t="s">
        <v>671</v>
      </c>
      <c r="AK23" s="64"/>
      <c r="AL23" s="65">
        <v>1300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651</v>
      </c>
      <c r="O24" s="16" t="s">
        <v>652</v>
      </c>
      <c r="P24" s="5">
        <v>12549</v>
      </c>
      <c r="Q24" s="1"/>
      <c r="R24" s="1" t="s">
        <v>664</v>
      </c>
      <c r="S24" s="20" t="s">
        <v>665</v>
      </c>
      <c r="T24" s="5">
        <v>30449</v>
      </c>
      <c r="U24" s="1"/>
      <c r="V24" s="12"/>
      <c r="W24" s="40" t="s">
        <v>37</v>
      </c>
      <c r="X24" s="40"/>
      <c r="Y24" s="37">
        <f t="shared" si="8"/>
        <v>42998</v>
      </c>
      <c r="Z24" s="13"/>
      <c r="AA24" s="1"/>
      <c r="AB24" s="64" t="s">
        <v>660</v>
      </c>
      <c r="AC24" s="73">
        <v>45915</v>
      </c>
      <c r="AD24" s="64" t="s">
        <v>520</v>
      </c>
      <c r="AE24" s="64"/>
      <c r="AF24" s="64">
        <v>20740</v>
      </c>
      <c r="AG24" s="1"/>
      <c r="AH24" s="1"/>
      <c r="AI24" s="64" t="s">
        <v>677</v>
      </c>
      <c r="AJ24" s="70">
        <v>45899</v>
      </c>
      <c r="AK24" s="64" t="s">
        <v>676</v>
      </c>
      <c r="AL24" s="65">
        <v>6000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666</v>
      </c>
      <c r="S25" s="1" t="s">
        <v>667</v>
      </c>
      <c r="T25" s="5">
        <v>73809</v>
      </c>
      <c r="U25" s="1"/>
      <c r="V25" s="12"/>
      <c r="W25" s="40" t="s">
        <v>38</v>
      </c>
      <c r="X25" s="40"/>
      <c r="Y25" s="37">
        <f t="shared" si="8"/>
        <v>73809</v>
      </c>
      <c r="Z25" s="13"/>
      <c r="AA25" s="1"/>
      <c r="AB25" s="64" t="s">
        <v>661</v>
      </c>
      <c r="AC25" s="73">
        <v>45915</v>
      </c>
      <c r="AD25" s="64" t="s">
        <v>507</v>
      </c>
      <c r="AE25" s="64"/>
      <c r="AF25" s="64">
        <v>5790</v>
      </c>
      <c r="AG25" s="1"/>
      <c r="AH25" s="1"/>
      <c r="AI25" s="64" t="s">
        <v>115</v>
      </c>
      <c r="AJ25" s="64" t="s">
        <v>243</v>
      </c>
      <c r="AK25" s="64" t="s">
        <v>339</v>
      </c>
      <c r="AL25" s="65">
        <v>27440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668</v>
      </c>
      <c r="S26" s="1" t="s">
        <v>50</v>
      </c>
      <c r="T26" s="5">
        <v>50902</v>
      </c>
      <c r="U26" s="1"/>
      <c r="V26" s="12"/>
      <c r="W26" s="40"/>
      <c r="X26" s="40"/>
      <c r="Y26" s="37">
        <f t="shared" si="8"/>
        <v>50902</v>
      </c>
      <c r="Z26" s="13"/>
      <c r="AA26" s="1"/>
      <c r="AB26" s="64" t="s">
        <v>677</v>
      </c>
      <c r="AC26" s="70">
        <v>45899</v>
      </c>
      <c r="AD26" s="64" t="s">
        <v>676</v>
      </c>
      <c r="AE26" s="64"/>
      <c r="AF26" s="64">
        <v>42350</v>
      </c>
      <c r="AG26" s="1"/>
      <c r="AH26" s="1"/>
      <c r="AI26" s="64" t="s">
        <v>115</v>
      </c>
      <c r="AJ26" s="64" t="s">
        <v>281</v>
      </c>
      <c r="AK26" s="64" t="s">
        <v>684</v>
      </c>
      <c r="AL26" s="69">
        <v>219720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64" t="s">
        <v>122</v>
      </c>
      <c r="AC27" s="76">
        <v>45908</v>
      </c>
      <c r="AD27" s="64" t="s">
        <v>508</v>
      </c>
      <c r="AE27" s="64" t="s">
        <v>336</v>
      </c>
      <c r="AF27" s="64">
        <v>9000</v>
      </c>
      <c r="AG27" s="1"/>
      <c r="AH27" s="1"/>
      <c r="AI27" s="64" t="s">
        <v>122</v>
      </c>
      <c r="AJ27" s="64" t="s">
        <v>679</v>
      </c>
      <c r="AK27" s="64" t="s">
        <v>51</v>
      </c>
      <c r="AL27" s="69">
        <v>20753</v>
      </c>
    </row>
    <row r="28" spans="2:38" ht="15.75" thickBot="1" x14ac:dyDescent="0.3">
      <c r="B28" s="99" t="s">
        <v>12</v>
      </c>
      <c r="C28" s="100"/>
      <c r="D28" s="9">
        <f>+SUM(D16:D27)</f>
        <v>59540</v>
      </c>
      <c r="E28" s="1"/>
      <c r="F28" s="99" t="s">
        <v>12</v>
      </c>
      <c r="G28" s="100"/>
      <c r="H28" s="9">
        <f>+SUM(H16:H27)</f>
        <v>113284</v>
      </c>
      <c r="I28" s="1"/>
      <c r="J28" s="99" t="s">
        <v>12</v>
      </c>
      <c r="K28" s="100"/>
      <c r="L28" s="9">
        <f>+SUM(L16:L27)</f>
        <v>92430</v>
      </c>
      <c r="M28" s="1"/>
      <c r="N28" s="99" t="s">
        <v>12</v>
      </c>
      <c r="O28" s="100"/>
      <c r="P28" s="9">
        <f>+SUM(P16:P27)</f>
        <v>85700</v>
      </c>
      <c r="Q28" s="1"/>
      <c r="R28" s="99" t="s">
        <v>12</v>
      </c>
      <c r="S28" s="100"/>
      <c r="T28" s="9">
        <f>+SUM(T16:T27)</f>
        <v>507002</v>
      </c>
      <c r="U28" s="1"/>
      <c r="V28" s="12"/>
      <c r="W28" s="99" t="s">
        <v>12</v>
      </c>
      <c r="X28" s="100"/>
      <c r="Y28" s="9">
        <f>+SUM(Y16:Y27)</f>
        <v>857956</v>
      </c>
      <c r="Z28" s="13"/>
      <c r="AA28" s="1"/>
      <c r="AB28" s="1"/>
      <c r="AC28" s="1"/>
      <c r="AD28" s="1"/>
      <c r="AE28" s="1"/>
      <c r="AF28" s="1"/>
      <c r="AG28" s="1"/>
      <c r="AH28" s="1"/>
      <c r="AI28" s="64" t="s">
        <v>122</v>
      </c>
      <c r="AJ28" s="64" t="s">
        <v>375</v>
      </c>
      <c r="AK28" s="64" t="s">
        <v>147</v>
      </c>
      <c r="AL28" s="69">
        <v>5229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64" t="s">
        <v>122</v>
      </c>
      <c r="AJ29" s="64" t="s">
        <v>680</v>
      </c>
      <c r="AK29" s="64" t="s">
        <v>589</v>
      </c>
      <c r="AL29" s="65">
        <v>6000</v>
      </c>
    </row>
    <row r="30" spans="2:38" ht="15.75" thickBot="1" x14ac:dyDescent="0.3">
      <c r="B30" s="101" t="s">
        <v>41</v>
      </c>
      <c r="C30" s="101"/>
      <c r="D30" s="7">
        <f>+D28-D15</f>
        <v>3.180000000000291</v>
      </c>
      <c r="E30" s="1"/>
      <c r="F30" s="101" t="s">
        <v>41</v>
      </c>
      <c r="G30" s="101"/>
      <c r="H30" s="7">
        <f>+H28-H15</f>
        <v>153</v>
      </c>
      <c r="I30" s="1"/>
      <c r="J30" s="101" t="s">
        <v>41</v>
      </c>
      <c r="K30" s="101"/>
      <c r="L30" s="7">
        <f>+L28-L15</f>
        <v>1</v>
      </c>
      <c r="M30" s="1"/>
      <c r="N30" s="101" t="s">
        <v>41</v>
      </c>
      <c r="O30" s="101"/>
      <c r="P30" s="7">
        <f>+P28-P15</f>
        <v>2</v>
      </c>
      <c r="Q30" s="1"/>
      <c r="R30" s="101" t="s">
        <v>41</v>
      </c>
      <c r="S30" s="101"/>
      <c r="T30" s="7">
        <f>+T28-T15</f>
        <v>10625.830000000016</v>
      </c>
      <c r="U30" s="1"/>
      <c r="V30" s="12"/>
      <c r="W30" s="102" t="s">
        <v>41</v>
      </c>
      <c r="X30" s="102"/>
      <c r="Y30" s="41">
        <f>+Y28-Y15</f>
        <v>10785.010000000009</v>
      </c>
      <c r="Z30" s="13"/>
      <c r="AA30" s="1"/>
      <c r="AB30" s="1"/>
      <c r="AC30" s="1"/>
      <c r="AD30" s="1"/>
      <c r="AE30" s="1"/>
      <c r="AF30" s="1"/>
      <c r="AG30" s="1"/>
      <c r="AH30" s="1"/>
      <c r="AI30" s="64" t="s">
        <v>214</v>
      </c>
      <c r="AJ30" s="64" t="s">
        <v>447</v>
      </c>
      <c r="AK30" s="64" t="s">
        <v>685</v>
      </c>
      <c r="AL30" s="69">
        <v>4435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81330</v>
      </c>
      <c r="AG31" s="1"/>
      <c r="AH31" s="1"/>
      <c r="AI31" s="64" t="s">
        <v>117</v>
      </c>
      <c r="AJ31" s="64" t="s">
        <v>450</v>
      </c>
      <c r="AK31" s="64" t="s">
        <v>686</v>
      </c>
      <c r="AL31" s="69">
        <v>6878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64" t="s">
        <v>214</v>
      </c>
      <c r="AJ32" s="64" t="s">
        <v>681</v>
      </c>
      <c r="AK32" s="64" t="s">
        <v>51</v>
      </c>
      <c r="AL32" s="65">
        <v>16000</v>
      </c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4" t="s">
        <v>206</v>
      </c>
      <c r="AJ33" s="64" t="s">
        <v>456</v>
      </c>
      <c r="AK33" s="64" t="s">
        <v>687</v>
      </c>
      <c r="AL33" s="89">
        <v>5000</v>
      </c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/>
      <c r="I34" s="1"/>
      <c r="J34" s="10" t="s">
        <v>42</v>
      </c>
      <c r="K34" s="11"/>
      <c r="L34" s="21"/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0</v>
      </c>
      <c r="Z34" s="1"/>
      <c r="AA34" s="1"/>
      <c r="AB34" s="1"/>
      <c r="AC34" s="1"/>
      <c r="AD34" s="1"/>
      <c r="AE34" s="1"/>
      <c r="AF34" s="1"/>
      <c r="AG34" s="1"/>
      <c r="AH34" s="1"/>
      <c r="AI34" s="64" t="s">
        <v>206</v>
      </c>
      <c r="AJ34" s="64" t="s">
        <v>457</v>
      </c>
      <c r="AK34" s="64" t="s">
        <v>342</v>
      </c>
      <c r="AL34" s="89">
        <v>3479</v>
      </c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282</v>
      </c>
      <c r="S35" s="16"/>
      <c r="T35" s="22">
        <v>-632</v>
      </c>
      <c r="U35" s="1"/>
      <c r="V35" s="1"/>
      <c r="W35" s="45" t="s">
        <v>43</v>
      </c>
      <c r="X35" s="40"/>
      <c r="Y35" s="46">
        <f t="shared" ref="Y35:Y36" si="9">+D35+H35+L35+P35+T35</f>
        <v>-632</v>
      </c>
      <c r="Z35" s="1"/>
      <c r="AA35" s="1"/>
      <c r="AB35" s="1"/>
      <c r="AC35" s="1"/>
      <c r="AD35" s="1"/>
      <c r="AE35" s="1"/>
      <c r="AF35" s="1"/>
      <c r="AG35" s="1"/>
      <c r="AH35" s="1"/>
      <c r="AI35" s="64" t="s">
        <v>115</v>
      </c>
      <c r="AJ35" s="64" t="s">
        <v>682</v>
      </c>
      <c r="AK35" s="64" t="s">
        <v>52</v>
      </c>
      <c r="AL35" s="65">
        <v>21497</v>
      </c>
    </row>
    <row r="36" spans="2:38" x14ac:dyDescent="0.25">
      <c r="B36" s="12" t="s">
        <v>45</v>
      </c>
      <c r="C36" s="16"/>
      <c r="D36" s="22">
        <v>-3</v>
      </c>
      <c r="E36" s="1"/>
      <c r="F36" s="12" t="s">
        <v>45</v>
      </c>
      <c r="G36" s="16"/>
      <c r="H36" s="22">
        <v>-153</v>
      </c>
      <c r="I36" s="1"/>
      <c r="J36" s="12" t="s">
        <v>45</v>
      </c>
      <c r="K36" s="16"/>
      <c r="L36" s="22">
        <v>-1</v>
      </c>
      <c r="M36" s="1"/>
      <c r="N36" s="12" t="s">
        <v>45</v>
      </c>
      <c r="O36" s="16"/>
      <c r="P36" s="22">
        <v>-2</v>
      </c>
      <c r="Q36" s="1"/>
      <c r="R36" s="12" t="s">
        <v>45</v>
      </c>
      <c r="S36" s="16"/>
      <c r="T36" s="22">
        <v>-9994</v>
      </c>
      <c r="U36" s="1"/>
      <c r="V36" s="1"/>
      <c r="W36" s="45" t="s">
        <v>44</v>
      </c>
      <c r="X36" s="40"/>
      <c r="Y36" s="46">
        <f t="shared" si="9"/>
        <v>-10153</v>
      </c>
      <c r="Z36" s="1"/>
      <c r="AA36" s="1"/>
      <c r="AB36" s="1"/>
      <c r="AC36" s="1"/>
      <c r="AD36" s="1"/>
      <c r="AE36" s="1"/>
      <c r="AF36" s="1"/>
      <c r="AG36" s="1"/>
      <c r="AH36" s="1"/>
      <c r="AI36" s="64" t="s">
        <v>214</v>
      </c>
      <c r="AJ36" s="64" t="s">
        <v>470</v>
      </c>
      <c r="AK36" s="64" t="s">
        <v>154</v>
      </c>
      <c r="AL36" s="69">
        <v>9900</v>
      </c>
    </row>
    <row r="37" spans="2:38" x14ac:dyDescent="0.25">
      <c r="B37" s="12" t="s">
        <v>18</v>
      </c>
      <c r="C37" s="16"/>
      <c r="D37" s="22">
        <f>+SUM(D34:D36)</f>
        <v>-3</v>
      </c>
      <c r="E37" s="1"/>
      <c r="F37" s="12" t="s">
        <v>18</v>
      </c>
      <c r="G37" s="16"/>
      <c r="H37" s="22">
        <f>+SUM(H34:H36)</f>
        <v>-153</v>
      </c>
      <c r="I37" s="1"/>
      <c r="J37" s="12" t="s">
        <v>18</v>
      </c>
      <c r="K37" s="16"/>
      <c r="L37" s="22">
        <f>+SUM(L34:L36)</f>
        <v>-1</v>
      </c>
      <c r="M37" s="1"/>
      <c r="N37" s="12" t="s">
        <v>18</v>
      </c>
      <c r="O37" s="16"/>
      <c r="P37" s="22">
        <f>+SUM(P34:P36)</f>
        <v>-2</v>
      </c>
      <c r="Q37" s="1"/>
      <c r="R37" s="12" t="s">
        <v>18</v>
      </c>
      <c r="S37" s="16"/>
      <c r="T37" s="22">
        <f>+SUM(T34:T36)</f>
        <v>-10626</v>
      </c>
      <c r="U37" s="1"/>
      <c r="V37" s="1"/>
      <c r="W37" s="33" t="s">
        <v>18</v>
      </c>
      <c r="X37" s="34"/>
      <c r="Y37" s="35">
        <f>+SUM(Y34:Y36)</f>
        <v>-10785</v>
      </c>
      <c r="Z37" s="1"/>
      <c r="AA37" s="1"/>
      <c r="AB37" s="1"/>
      <c r="AC37" s="1"/>
      <c r="AD37" s="1"/>
      <c r="AE37" s="1"/>
      <c r="AF37" s="1"/>
      <c r="AG37" s="1"/>
      <c r="AH37" s="1"/>
      <c r="AI37" s="64" t="s">
        <v>214</v>
      </c>
      <c r="AJ37" s="64" t="s">
        <v>494</v>
      </c>
      <c r="AK37" s="64" t="s">
        <v>155</v>
      </c>
      <c r="AL37" s="69">
        <v>6813</v>
      </c>
    </row>
    <row r="38" spans="2:38" ht="15.75" thickBot="1" x14ac:dyDescent="0.3">
      <c r="B38" s="23" t="s">
        <v>46</v>
      </c>
      <c r="C38" s="24"/>
      <c r="D38" s="25">
        <f>+D30+D37</f>
        <v>0.18000000000029104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-0.16999999998370185</v>
      </c>
      <c r="U38" s="1"/>
      <c r="V38" s="1"/>
      <c r="W38" s="23" t="s">
        <v>46</v>
      </c>
      <c r="X38" s="24"/>
      <c r="Y38" s="25">
        <f>+Y30+Y37</f>
        <v>1.0000000009313226E-2</v>
      </c>
      <c r="Z38" s="1"/>
      <c r="AA38" s="1"/>
      <c r="AB38" s="1"/>
      <c r="AC38" s="1"/>
      <c r="AD38" s="1"/>
      <c r="AE38" s="1"/>
      <c r="AF38" s="1"/>
      <c r="AG38" s="1"/>
      <c r="AH38" s="1"/>
      <c r="AI38" s="64" t="s">
        <v>214</v>
      </c>
      <c r="AJ38" s="64" t="s">
        <v>495</v>
      </c>
      <c r="AK38" s="64" t="s">
        <v>157</v>
      </c>
      <c r="AL38" s="69">
        <v>7060</v>
      </c>
    </row>
    <row r="39" spans="2:38" x14ac:dyDescent="0.25">
      <c r="AI39" s="64" t="s">
        <v>689</v>
      </c>
      <c r="AJ39" s="64" t="s">
        <v>683</v>
      </c>
      <c r="AK39" s="64" t="s">
        <v>688</v>
      </c>
      <c r="AL39" s="65">
        <v>123220</v>
      </c>
    </row>
    <row r="40" spans="2:38" ht="15.75" thickBot="1" x14ac:dyDescent="0.3">
      <c r="AI40" s="87" t="s">
        <v>40</v>
      </c>
      <c r="AJ40" s="87"/>
      <c r="AK40" s="87"/>
      <c r="AL40" s="88">
        <f>+SUM(AL23:AL39)</f>
        <v>490724</v>
      </c>
    </row>
    <row r="41" spans="2:38" ht="15.75" thickTop="1" x14ac:dyDescent="0.25"/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38"/>
  <sheetViews>
    <sheetView zoomScale="90" zoomScaleNormal="90" workbookViewId="0">
      <selection activeCell="B3" sqref="B3:AL38"/>
    </sheetView>
  </sheetViews>
  <sheetFormatPr defaultColWidth="9.140625" defaultRowHeight="15" x14ac:dyDescent="0.25"/>
  <cols>
    <col min="1" max="2" width="9.140625" style="1"/>
    <col min="3" max="3" width="17.5703125" style="1" customWidth="1"/>
    <col min="4" max="4" width="9.140625" style="1"/>
    <col min="5" max="5" width="1.7109375" style="1" customWidth="1"/>
    <col min="6" max="6" width="9.140625" style="1"/>
    <col min="7" max="7" width="15" style="1" customWidth="1"/>
    <col min="8" max="8" width="9.140625" style="1"/>
    <col min="9" max="9" width="1.7109375" style="1" customWidth="1"/>
    <col min="10" max="10" width="12.42578125" style="1" customWidth="1"/>
    <col min="11" max="11" width="17.42578125" style="1" customWidth="1"/>
    <col min="12" max="12" width="9.140625" style="1"/>
    <col min="13" max="13" width="1" style="1" customWidth="1"/>
    <col min="14" max="14" width="14.140625" style="1" customWidth="1"/>
    <col min="15" max="15" width="18.140625" style="1" customWidth="1"/>
    <col min="16" max="16" width="9.140625" style="1"/>
    <col min="17" max="17" width="1.7109375" style="1" customWidth="1"/>
    <col min="18" max="18" width="9.140625" style="1"/>
    <col min="19" max="19" width="17.28515625" style="1" customWidth="1"/>
    <col min="20" max="20" width="9.140625" style="1"/>
    <col min="21" max="21" width="1.7109375" style="1" customWidth="1"/>
    <col min="22" max="22" width="2" style="1" customWidth="1"/>
    <col min="23" max="24" width="9.140625" style="1"/>
    <col min="25" max="25" width="10.28515625" style="1" customWidth="1"/>
    <col min="26" max="26" width="2" style="1" customWidth="1"/>
    <col min="27" max="27" width="9.140625" style="1"/>
    <col min="28" max="28" width="15.28515625" style="1" bestFit="1" customWidth="1"/>
    <col min="29" max="29" width="10.140625" style="1" customWidth="1"/>
    <col min="30" max="30" width="12.5703125" style="1" customWidth="1"/>
    <col min="31" max="31" width="12" style="1" customWidth="1"/>
    <col min="32" max="32" width="10.5703125" style="1" customWidth="1"/>
    <col min="33" max="34" width="9.140625" style="1"/>
    <col min="35" max="35" width="20.28515625" style="1" bestFit="1" customWidth="1"/>
    <col min="36" max="36" width="13" style="1" customWidth="1"/>
    <col min="37" max="37" width="16.85546875" style="1" customWidth="1"/>
    <col min="38" max="38" width="13.85546875" style="1" customWidth="1"/>
    <col min="39" max="39" width="11" style="1" customWidth="1"/>
    <col min="40" max="16384" width="9.140625" style="1"/>
  </cols>
  <sheetData>
    <row r="2" spans="2:39" ht="15.75" thickBot="1" x14ac:dyDescent="0.3"/>
    <row r="3" spans="2:39" x14ac:dyDescent="0.25">
      <c r="B3" s="104" t="s">
        <v>0</v>
      </c>
      <c r="C3" s="104"/>
      <c r="D3" s="104"/>
      <c r="F3" s="104" t="s">
        <v>1</v>
      </c>
      <c r="G3" s="104"/>
      <c r="H3" s="104"/>
      <c r="J3" s="104" t="s">
        <v>2</v>
      </c>
      <c r="K3" s="104"/>
      <c r="L3" s="104"/>
      <c r="N3" s="104" t="s">
        <v>3</v>
      </c>
      <c r="O3" s="104"/>
      <c r="P3" s="104"/>
      <c r="R3" s="104" t="s">
        <v>4</v>
      </c>
      <c r="S3" s="104"/>
      <c r="T3" s="104"/>
      <c r="V3" s="10"/>
      <c r="W3" s="103" t="s">
        <v>5</v>
      </c>
      <c r="X3" s="103"/>
      <c r="Y3" s="103"/>
      <c r="Z3" s="68"/>
    </row>
    <row r="4" spans="2:39" x14ac:dyDescent="0.25">
      <c r="B4" s="4" t="s">
        <v>6</v>
      </c>
      <c r="C4" s="4" t="s">
        <v>7</v>
      </c>
      <c r="D4" s="4" t="s">
        <v>8</v>
      </c>
      <c r="F4" s="4" t="s">
        <v>6</v>
      </c>
      <c r="G4" s="4" t="s">
        <v>7</v>
      </c>
      <c r="H4" s="4" t="s">
        <v>8</v>
      </c>
      <c r="J4" s="4" t="s">
        <v>6</v>
      </c>
      <c r="K4" s="4" t="s">
        <v>7</v>
      </c>
      <c r="L4" s="4" t="s">
        <v>8</v>
      </c>
      <c r="N4" s="4" t="s">
        <v>6</v>
      </c>
      <c r="O4" s="4" t="s">
        <v>7</v>
      </c>
      <c r="P4" s="4" t="s">
        <v>8</v>
      </c>
      <c r="R4" s="4" t="s">
        <v>6</v>
      </c>
      <c r="S4" s="4" t="s">
        <v>7</v>
      </c>
      <c r="T4" s="4" t="s">
        <v>8</v>
      </c>
      <c r="V4" s="12"/>
      <c r="W4" s="14" t="s">
        <v>6</v>
      </c>
      <c r="X4" s="14" t="s">
        <v>7</v>
      </c>
      <c r="Y4" s="14" t="s">
        <v>8</v>
      </c>
      <c r="Z4" s="13"/>
    </row>
    <row r="5" spans="2:39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72" t="s">
        <v>9</v>
      </c>
      <c r="AC5" s="67"/>
      <c r="AD5" s="67"/>
      <c r="AE5" s="67"/>
      <c r="AF5" s="67"/>
      <c r="AG5" s="61"/>
      <c r="AI5" s="4" t="s">
        <v>6</v>
      </c>
      <c r="AJ5" s="4" t="s">
        <v>7</v>
      </c>
      <c r="AK5" s="4" t="s">
        <v>8</v>
      </c>
    </row>
    <row r="6" spans="2:39" ht="15.75" thickTop="1" x14ac:dyDescent="0.25">
      <c r="B6" s="2">
        <v>10</v>
      </c>
      <c r="C6" s="2"/>
      <c r="D6" s="36">
        <f>+C6*B6</f>
        <v>0</v>
      </c>
      <c r="F6" s="2">
        <v>10</v>
      </c>
      <c r="G6" s="2"/>
      <c r="H6" s="36">
        <f>+G6*F6</f>
        <v>0</v>
      </c>
      <c r="J6" s="2">
        <v>10</v>
      </c>
      <c r="K6" s="2"/>
      <c r="L6" s="36">
        <f>+K6*J6</f>
        <v>0</v>
      </c>
      <c r="N6" s="2">
        <v>10</v>
      </c>
      <c r="O6" s="2"/>
      <c r="P6" s="36">
        <f>+O6*N6</f>
        <v>0</v>
      </c>
      <c r="R6" s="2">
        <v>10</v>
      </c>
      <c r="S6" s="2"/>
      <c r="T6" s="36">
        <f>+S6*R6</f>
        <v>0</v>
      </c>
      <c r="V6" s="12"/>
      <c r="W6" s="39">
        <v>10</v>
      </c>
      <c r="X6" s="39">
        <f>+C6+G6+K6+O6+S6</f>
        <v>0</v>
      </c>
      <c r="Y6" s="37">
        <f>+D6+H6+L6+P6+T6</f>
        <v>0</v>
      </c>
      <c r="Z6" s="13"/>
      <c r="AI6" s="29">
        <v>1</v>
      </c>
      <c r="AJ6" s="29"/>
      <c r="AK6" s="36">
        <f t="shared" ref="AK6:AK13" si="0">+AJ6*AI6</f>
        <v>0</v>
      </c>
      <c r="AL6" s="26"/>
      <c r="AM6" s="26"/>
    </row>
    <row r="7" spans="2:39" x14ac:dyDescent="0.25">
      <c r="B7" s="2">
        <v>20</v>
      </c>
      <c r="C7" s="2"/>
      <c r="D7" s="36">
        <f t="shared" ref="D7:D12" si="1">+C7*B7</f>
        <v>0</v>
      </c>
      <c r="F7" s="2">
        <v>20</v>
      </c>
      <c r="G7" s="2"/>
      <c r="H7" s="36">
        <f t="shared" ref="H7:H12" si="2">+G7*F7</f>
        <v>0</v>
      </c>
      <c r="J7" s="2">
        <v>20</v>
      </c>
      <c r="K7" s="2"/>
      <c r="L7" s="36">
        <f t="shared" ref="L7:L12" si="3">+K7*J7</f>
        <v>0</v>
      </c>
      <c r="N7" s="2">
        <v>20</v>
      </c>
      <c r="O7" s="2"/>
      <c r="P7" s="36">
        <f t="shared" ref="P7:P12" si="4">+O7*N7</f>
        <v>0</v>
      </c>
      <c r="R7" s="2">
        <v>20</v>
      </c>
      <c r="S7" s="2"/>
      <c r="T7" s="36">
        <f t="shared" ref="T7:T12" si="5">+S7*R7</f>
        <v>0</v>
      </c>
      <c r="V7" s="12"/>
      <c r="W7" s="39">
        <v>20</v>
      </c>
      <c r="X7" s="39">
        <f>+C7+G7+K7+O7+S7</f>
        <v>0</v>
      </c>
      <c r="Y7" s="37">
        <f t="shared" ref="Y7:Y12" si="6">+D7+H7+L7+P7+T7</f>
        <v>0</v>
      </c>
      <c r="Z7" s="13"/>
      <c r="AB7" s="56" t="s">
        <v>10</v>
      </c>
      <c r="AC7" s="57">
        <f>Y13</f>
        <v>0</v>
      </c>
      <c r="AD7" s="26"/>
      <c r="AE7" s="26"/>
      <c r="AF7" s="26"/>
      <c r="AG7" s="26"/>
      <c r="AI7" s="2">
        <v>10</v>
      </c>
      <c r="AJ7" s="2"/>
      <c r="AK7" s="36">
        <f t="shared" si="0"/>
        <v>0</v>
      </c>
    </row>
    <row r="8" spans="2:39" x14ac:dyDescent="0.25">
      <c r="B8" s="2">
        <v>50</v>
      </c>
      <c r="C8" s="2"/>
      <c r="D8" s="36">
        <f t="shared" si="1"/>
        <v>0</v>
      </c>
      <c r="F8" s="2">
        <v>50</v>
      </c>
      <c r="G8" s="2"/>
      <c r="H8" s="36">
        <f t="shared" si="2"/>
        <v>0</v>
      </c>
      <c r="J8" s="2">
        <v>50</v>
      </c>
      <c r="K8" s="2"/>
      <c r="L8" s="36">
        <f t="shared" si="3"/>
        <v>0</v>
      </c>
      <c r="N8" s="2">
        <v>50</v>
      </c>
      <c r="O8" s="2"/>
      <c r="P8" s="36">
        <f t="shared" si="4"/>
        <v>0</v>
      </c>
      <c r="R8" s="2">
        <v>50</v>
      </c>
      <c r="S8" s="2"/>
      <c r="T8" s="36">
        <f t="shared" si="5"/>
        <v>0</v>
      </c>
      <c r="V8" s="12"/>
      <c r="W8" s="39">
        <v>50</v>
      </c>
      <c r="X8" s="39">
        <f t="shared" ref="X8:X12" si="7">+C8+G8+K8+O8+S8</f>
        <v>0</v>
      </c>
      <c r="Y8" s="37">
        <f t="shared" si="6"/>
        <v>0</v>
      </c>
      <c r="Z8" s="13"/>
      <c r="AB8" s="53" t="s">
        <v>11</v>
      </c>
      <c r="AC8" s="53">
        <f>+AF31</f>
        <v>0</v>
      </c>
      <c r="AI8" s="2">
        <v>20</v>
      </c>
      <c r="AJ8" s="2"/>
      <c r="AK8" s="36">
        <f t="shared" si="0"/>
        <v>0</v>
      </c>
    </row>
    <row r="9" spans="2:39" ht="15.75" thickBot="1" x14ac:dyDescent="0.3">
      <c r="B9" s="2">
        <v>100</v>
      </c>
      <c r="C9" s="2"/>
      <c r="D9" s="36">
        <f t="shared" si="1"/>
        <v>0</v>
      </c>
      <c r="F9" s="2">
        <v>100</v>
      </c>
      <c r="G9" s="2"/>
      <c r="H9" s="36">
        <f t="shared" si="2"/>
        <v>0</v>
      </c>
      <c r="J9" s="2">
        <v>100</v>
      </c>
      <c r="K9" s="2"/>
      <c r="L9" s="36">
        <f t="shared" si="3"/>
        <v>0</v>
      </c>
      <c r="N9" s="2">
        <v>100</v>
      </c>
      <c r="O9" s="2"/>
      <c r="P9" s="36">
        <f t="shared" si="4"/>
        <v>0</v>
      </c>
      <c r="R9" s="2">
        <v>100</v>
      </c>
      <c r="S9" s="2"/>
      <c r="T9" s="36">
        <f t="shared" si="5"/>
        <v>0</v>
      </c>
      <c r="V9" s="12"/>
      <c r="W9" s="39">
        <v>100</v>
      </c>
      <c r="X9" s="39">
        <f t="shared" si="7"/>
        <v>0</v>
      </c>
      <c r="Y9" s="37">
        <f t="shared" si="6"/>
        <v>0</v>
      </c>
      <c r="Z9" s="13"/>
      <c r="AB9" s="58" t="s">
        <v>12</v>
      </c>
      <c r="AC9" s="59">
        <f>SUM(AC7:AC8)</f>
        <v>0</v>
      </c>
      <c r="AI9" s="2">
        <v>50</v>
      </c>
      <c r="AJ9" s="2"/>
      <c r="AK9" s="36">
        <f t="shared" si="0"/>
        <v>0</v>
      </c>
    </row>
    <row r="10" spans="2:39" x14ac:dyDescent="0.25">
      <c r="B10" s="2">
        <v>500</v>
      </c>
      <c r="C10" s="2"/>
      <c r="D10" s="36">
        <f t="shared" si="1"/>
        <v>0</v>
      </c>
      <c r="F10" s="2">
        <v>500</v>
      </c>
      <c r="G10" s="2"/>
      <c r="H10" s="36">
        <f t="shared" si="2"/>
        <v>0</v>
      </c>
      <c r="J10" s="2">
        <v>500</v>
      </c>
      <c r="K10" s="2"/>
      <c r="L10" s="36">
        <f t="shared" si="3"/>
        <v>0</v>
      </c>
      <c r="N10" s="2">
        <v>500</v>
      </c>
      <c r="O10" s="2"/>
      <c r="P10" s="36">
        <f t="shared" si="4"/>
        <v>0</v>
      </c>
      <c r="R10" s="2">
        <v>500</v>
      </c>
      <c r="S10" s="2"/>
      <c r="T10" s="36">
        <f t="shared" si="5"/>
        <v>0</v>
      </c>
      <c r="V10" s="12"/>
      <c r="W10" s="39">
        <v>500</v>
      </c>
      <c r="X10" s="39">
        <f t="shared" si="7"/>
        <v>0</v>
      </c>
      <c r="Y10" s="37">
        <f t="shared" si="6"/>
        <v>0</v>
      </c>
      <c r="Z10" s="13"/>
      <c r="AI10" s="2">
        <v>100</v>
      </c>
      <c r="AJ10" s="2"/>
      <c r="AK10" s="36">
        <f t="shared" si="0"/>
        <v>0</v>
      </c>
    </row>
    <row r="11" spans="2:39" x14ac:dyDescent="0.25">
      <c r="B11" s="2">
        <v>1000</v>
      </c>
      <c r="C11" s="2"/>
      <c r="D11" s="36">
        <f t="shared" si="1"/>
        <v>0</v>
      </c>
      <c r="F11" s="2">
        <v>1000</v>
      </c>
      <c r="G11" s="2"/>
      <c r="H11" s="36">
        <f t="shared" si="2"/>
        <v>0</v>
      </c>
      <c r="J11" s="2">
        <v>1000</v>
      </c>
      <c r="K11" s="2"/>
      <c r="L11" s="36">
        <f t="shared" si="3"/>
        <v>0</v>
      </c>
      <c r="N11" s="2">
        <v>1000</v>
      </c>
      <c r="O11" s="2"/>
      <c r="P11" s="36">
        <f t="shared" si="4"/>
        <v>0</v>
      </c>
      <c r="R11" s="2">
        <v>1000</v>
      </c>
      <c r="S11" s="2"/>
      <c r="T11" s="36">
        <f t="shared" si="5"/>
        <v>0</v>
      </c>
      <c r="V11" s="12"/>
      <c r="W11" s="39">
        <v>1000</v>
      </c>
      <c r="X11" s="39">
        <f t="shared" si="7"/>
        <v>0</v>
      </c>
      <c r="Y11" s="37">
        <f t="shared" si="6"/>
        <v>0</v>
      </c>
      <c r="Z11" s="13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I11" s="2">
        <v>500</v>
      </c>
      <c r="AJ11" s="2"/>
      <c r="AK11" s="36">
        <f t="shared" si="0"/>
        <v>0</v>
      </c>
    </row>
    <row r="12" spans="2:39" x14ac:dyDescent="0.25">
      <c r="B12" s="2">
        <v>5000</v>
      </c>
      <c r="C12" s="2"/>
      <c r="D12" s="36">
        <f t="shared" si="1"/>
        <v>0</v>
      </c>
      <c r="F12" s="2">
        <v>5000</v>
      </c>
      <c r="G12" s="2"/>
      <c r="H12" s="36">
        <f t="shared" si="2"/>
        <v>0</v>
      </c>
      <c r="J12" s="2">
        <v>5000</v>
      </c>
      <c r="K12" s="2"/>
      <c r="L12" s="36">
        <f t="shared" si="3"/>
        <v>0</v>
      </c>
      <c r="N12" s="2">
        <v>5000</v>
      </c>
      <c r="O12" s="2"/>
      <c r="P12" s="36">
        <f t="shared" si="4"/>
        <v>0</v>
      </c>
      <c r="R12" s="2">
        <v>5000</v>
      </c>
      <c r="S12" s="2"/>
      <c r="T12" s="36">
        <f t="shared" si="5"/>
        <v>0</v>
      </c>
      <c r="V12" s="12"/>
      <c r="W12" s="39">
        <v>5000</v>
      </c>
      <c r="X12" s="39">
        <f t="shared" si="7"/>
        <v>0</v>
      </c>
      <c r="Y12" s="37">
        <f t="shared" si="6"/>
        <v>0</v>
      </c>
      <c r="Z12" s="13"/>
      <c r="AB12" s="1" t="s">
        <v>17</v>
      </c>
      <c r="AC12" s="5"/>
      <c r="AE12" s="52"/>
      <c r="AI12" s="2">
        <v>1000</v>
      </c>
      <c r="AJ12" s="2"/>
      <c r="AK12" s="36">
        <f t="shared" si="0"/>
        <v>0</v>
      </c>
    </row>
    <row r="13" spans="2:39" ht="15.75" thickBot="1" x14ac:dyDescent="0.3">
      <c r="B13" s="3" t="s">
        <v>18</v>
      </c>
      <c r="C13" s="3"/>
      <c r="D13" s="6">
        <f>+SUM(D5:D12)</f>
        <v>0</v>
      </c>
      <c r="F13" s="3" t="s">
        <v>18</v>
      </c>
      <c r="G13" s="3"/>
      <c r="H13" s="6">
        <f>+SUM(H5:H12)</f>
        <v>0</v>
      </c>
      <c r="J13" s="3" t="s">
        <v>18</v>
      </c>
      <c r="K13" s="3"/>
      <c r="L13" s="6">
        <f>+SUM(L5:L12)</f>
        <v>0</v>
      </c>
      <c r="N13" s="3" t="s">
        <v>18</v>
      </c>
      <c r="O13" s="3"/>
      <c r="P13" s="6">
        <f>+SUM(P5:P12)</f>
        <v>0</v>
      </c>
      <c r="R13" s="3" t="s">
        <v>18</v>
      </c>
      <c r="S13" s="3"/>
      <c r="T13" s="6">
        <f>+SUM(T5:T12)</f>
        <v>0</v>
      </c>
      <c r="V13" s="12"/>
      <c r="W13" s="3" t="s">
        <v>18</v>
      </c>
      <c r="X13" s="3"/>
      <c r="Y13" s="6">
        <f>+SUM(Y5:Y12)</f>
        <v>0</v>
      </c>
      <c r="Z13" s="13"/>
      <c r="AB13" s="1" t="s">
        <v>19</v>
      </c>
      <c r="AC13" s="5"/>
      <c r="AI13" s="2">
        <v>5000</v>
      </c>
      <c r="AJ13" s="2"/>
      <c r="AK13" s="36">
        <f t="shared" si="0"/>
        <v>0</v>
      </c>
    </row>
    <row r="14" spans="2:39" ht="15.75" thickBot="1" x14ac:dyDescent="0.3">
      <c r="V14" s="12"/>
      <c r="W14" s="16"/>
      <c r="X14" s="16"/>
      <c r="Y14" s="16"/>
      <c r="Z14" s="13"/>
      <c r="AB14" s="1" t="s">
        <v>20</v>
      </c>
      <c r="AC14" s="5"/>
      <c r="AI14" s="3" t="s">
        <v>18</v>
      </c>
      <c r="AJ14" s="3"/>
      <c r="AK14" s="6">
        <f>+SUM(AK6:AK13)</f>
        <v>0</v>
      </c>
    </row>
    <row r="15" spans="2:39" ht="15.75" thickBot="1" x14ac:dyDescent="0.3">
      <c r="B15" s="105" t="s">
        <v>21</v>
      </c>
      <c r="C15" s="106"/>
      <c r="D15" s="8"/>
      <c r="E15" s="30"/>
      <c r="F15" s="105" t="s">
        <v>21</v>
      </c>
      <c r="G15" s="106"/>
      <c r="H15" s="8"/>
      <c r="I15" s="30"/>
      <c r="J15" s="105" t="s">
        <v>21</v>
      </c>
      <c r="K15" s="106"/>
      <c r="L15" s="8"/>
      <c r="M15" s="30"/>
      <c r="N15" s="105" t="s">
        <v>21</v>
      </c>
      <c r="O15" s="106"/>
      <c r="P15" s="8"/>
      <c r="Q15" s="30"/>
      <c r="R15" s="105" t="s">
        <v>21</v>
      </c>
      <c r="S15" s="106"/>
      <c r="T15" s="8"/>
      <c r="U15" s="30"/>
      <c r="V15" s="31"/>
      <c r="W15" s="105" t="s">
        <v>21</v>
      </c>
      <c r="X15" s="106"/>
      <c r="Y15" s="8">
        <f>+D15+H15+L15+P15+T15</f>
        <v>0</v>
      </c>
      <c r="Z15" s="32"/>
      <c r="AA15" s="30"/>
      <c r="AB15" s="1" t="s">
        <v>22</v>
      </c>
      <c r="AC15" s="5"/>
    </row>
    <row r="16" spans="2:39" x14ac:dyDescent="0.25">
      <c r="B16" s="1" t="s">
        <v>10</v>
      </c>
      <c r="D16" s="5">
        <f>+D13</f>
        <v>0</v>
      </c>
      <c r="F16" s="1" t="s">
        <v>10</v>
      </c>
      <c r="H16" s="5">
        <f>+H13</f>
        <v>0</v>
      </c>
      <c r="J16" s="1" t="s">
        <v>10</v>
      </c>
      <c r="L16" s="5">
        <f>+L13</f>
        <v>0</v>
      </c>
      <c r="N16" s="1" t="s">
        <v>10</v>
      </c>
      <c r="P16" s="5">
        <f>+P13</f>
        <v>0</v>
      </c>
      <c r="R16" s="1" t="s">
        <v>10</v>
      </c>
      <c r="T16" s="5">
        <f>+T13</f>
        <v>0</v>
      </c>
      <c r="V16" s="12"/>
      <c r="W16" s="40" t="s">
        <v>10</v>
      </c>
      <c r="X16" s="40"/>
      <c r="Y16" s="37">
        <f>+D16+H16+L16+P16+T16</f>
        <v>0</v>
      </c>
      <c r="Z16" s="13"/>
      <c r="AB16" s="1" t="s">
        <v>23</v>
      </c>
      <c r="AC16" s="5"/>
    </row>
    <row r="17" spans="2:38" x14ac:dyDescent="0.25">
      <c r="B17" s="1" t="s">
        <v>17</v>
      </c>
      <c r="D17" s="5"/>
      <c r="F17" s="1" t="s">
        <v>17</v>
      </c>
      <c r="H17" s="5"/>
      <c r="J17" s="1" t="s">
        <v>17</v>
      </c>
      <c r="L17" s="5"/>
      <c r="N17" s="1" t="s">
        <v>17</v>
      </c>
      <c r="P17" s="5"/>
      <c r="R17" s="1" t="s">
        <v>17</v>
      </c>
      <c r="T17" s="5"/>
      <c r="V17" s="12"/>
      <c r="W17" s="40" t="s">
        <v>17</v>
      </c>
      <c r="X17" s="40"/>
      <c r="Y17" s="37">
        <f t="shared" ref="Y17:Y27" si="8">+D17+H17+L17+P17+T17</f>
        <v>0</v>
      </c>
      <c r="Z17" s="13"/>
      <c r="AB17" s="48" t="s">
        <v>12</v>
      </c>
      <c r="AC17" s="49">
        <f>+SUM(AC12:AC16)</f>
        <v>0</v>
      </c>
      <c r="AD17" s="63"/>
    </row>
    <row r="18" spans="2:38" x14ac:dyDescent="0.25">
      <c r="B18" s="1" t="s">
        <v>24</v>
      </c>
      <c r="D18" s="5"/>
      <c r="F18" s="1" t="s">
        <v>24</v>
      </c>
      <c r="H18" s="5"/>
      <c r="J18" s="1" t="s">
        <v>24</v>
      </c>
      <c r="L18" s="5"/>
      <c r="N18" s="1" t="s">
        <v>24</v>
      </c>
      <c r="P18" s="5"/>
      <c r="R18" s="1" t="s">
        <v>24</v>
      </c>
      <c r="T18" s="5"/>
      <c r="V18" s="12"/>
      <c r="W18" s="40" t="s">
        <v>24</v>
      </c>
      <c r="X18" s="40"/>
      <c r="Y18" s="37">
        <f t="shared" si="8"/>
        <v>0</v>
      </c>
      <c r="Z18" s="13"/>
      <c r="AB18" s="50" t="s">
        <v>25</v>
      </c>
      <c r="AC18" s="51">
        <f>+AC17-AC9</f>
        <v>0</v>
      </c>
      <c r="AD18" s="1" t="s">
        <v>26</v>
      </c>
    </row>
    <row r="19" spans="2:38" x14ac:dyDescent="0.25">
      <c r="B19" s="1" t="s">
        <v>27</v>
      </c>
      <c r="D19" s="5"/>
      <c r="F19" s="1" t="s">
        <v>27</v>
      </c>
      <c r="H19" s="5"/>
      <c r="J19" s="1" t="s">
        <v>27</v>
      </c>
      <c r="L19" s="5"/>
      <c r="N19" s="1" t="s">
        <v>27</v>
      </c>
      <c r="P19" s="5"/>
      <c r="R19" s="1" t="s">
        <v>27</v>
      </c>
      <c r="T19" s="5"/>
      <c r="V19" s="12"/>
      <c r="W19" s="40" t="s">
        <v>27</v>
      </c>
      <c r="X19" s="40"/>
      <c r="Y19" s="37">
        <f t="shared" si="8"/>
        <v>0</v>
      </c>
      <c r="Z19" s="13"/>
    </row>
    <row r="20" spans="2:38" x14ac:dyDescent="0.25">
      <c r="B20" s="1" t="s">
        <v>28</v>
      </c>
      <c r="D20" s="5"/>
      <c r="F20" s="1" t="s">
        <v>28</v>
      </c>
      <c r="H20" s="5"/>
      <c r="J20" s="1" t="s">
        <v>28</v>
      </c>
      <c r="L20" s="5"/>
      <c r="N20" s="1" t="s">
        <v>28</v>
      </c>
      <c r="P20" s="5"/>
      <c r="R20" s="1" t="s">
        <v>28</v>
      </c>
      <c r="T20" s="5"/>
      <c r="V20" s="12"/>
      <c r="W20" s="40" t="s">
        <v>28</v>
      </c>
      <c r="X20" s="40"/>
      <c r="Y20" s="37">
        <f t="shared" si="8"/>
        <v>0</v>
      </c>
      <c r="Z20" s="13"/>
    </row>
    <row r="21" spans="2:38" x14ac:dyDescent="0.25">
      <c r="D21" s="5"/>
      <c r="H21" s="5"/>
      <c r="L21" s="5"/>
      <c r="P21" s="5"/>
      <c r="T21" s="5"/>
      <c r="V21" s="12"/>
      <c r="W21" s="40"/>
      <c r="X21" s="40"/>
      <c r="Y21" s="37">
        <f t="shared" si="8"/>
        <v>0</v>
      </c>
      <c r="Z21" s="13"/>
      <c r="AB21" s="54" t="s">
        <v>29</v>
      </c>
      <c r="AC21" s="54"/>
      <c r="AD21" s="54"/>
      <c r="AE21" s="30"/>
      <c r="AI21" s="54" t="s">
        <v>30</v>
      </c>
      <c r="AJ21" s="54"/>
      <c r="AK21" s="54"/>
      <c r="AL21" s="62"/>
    </row>
    <row r="22" spans="2:38" x14ac:dyDescent="0.25">
      <c r="D22" s="5"/>
      <c r="H22" s="5"/>
      <c r="L22" s="5"/>
      <c r="P22" s="5"/>
      <c r="T22" s="5"/>
      <c r="V22" s="12"/>
      <c r="W22" s="40"/>
      <c r="X22" s="40"/>
      <c r="Y22" s="37">
        <f t="shared" si="8"/>
        <v>0</v>
      </c>
      <c r="Z22" s="13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D23" s="5"/>
      <c r="F23" s="1" t="s">
        <v>36</v>
      </c>
      <c r="H23" s="5"/>
      <c r="J23" s="1" t="s">
        <v>36</v>
      </c>
      <c r="L23" s="5"/>
      <c r="N23" s="1" t="s">
        <v>53</v>
      </c>
      <c r="P23" s="5"/>
      <c r="R23" s="1" t="s">
        <v>36</v>
      </c>
      <c r="T23" s="5"/>
      <c r="V23" s="12"/>
      <c r="W23" s="40" t="s">
        <v>36</v>
      </c>
      <c r="X23" s="40"/>
      <c r="Y23" s="37">
        <f t="shared" si="8"/>
        <v>0</v>
      </c>
      <c r="Z23" s="13"/>
      <c r="AL23" s="62"/>
    </row>
    <row r="24" spans="2:38" x14ac:dyDescent="0.25">
      <c r="B24" s="1" t="s">
        <v>37</v>
      </c>
      <c r="D24" s="5"/>
      <c r="F24" s="1" t="s">
        <v>37</v>
      </c>
      <c r="H24" s="5"/>
      <c r="J24" s="1" t="s">
        <v>37</v>
      </c>
      <c r="L24" s="5"/>
      <c r="N24" s="1" t="s">
        <v>53</v>
      </c>
      <c r="P24" s="5"/>
      <c r="R24" s="1" t="s">
        <v>37</v>
      </c>
      <c r="T24" s="5"/>
      <c r="V24" s="12"/>
      <c r="W24" s="40" t="s">
        <v>37</v>
      </c>
      <c r="X24" s="40"/>
      <c r="Y24" s="37">
        <f t="shared" si="8"/>
        <v>0</v>
      </c>
      <c r="Z24" s="13"/>
      <c r="AL24" s="62"/>
    </row>
    <row r="25" spans="2:38" x14ac:dyDescent="0.25">
      <c r="B25" s="1" t="s">
        <v>38</v>
      </c>
      <c r="D25" s="5"/>
      <c r="F25" s="1" t="s">
        <v>38</v>
      </c>
      <c r="H25" s="5"/>
      <c r="J25" s="1" t="s">
        <v>38</v>
      </c>
      <c r="L25" s="5"/>
      <c r="N25" s="1" t="s">
        <v>53</v>
      </c>
      <c r="P25" s="5"/>
      <c r="R25" s="1" t="s">
        <v>38</v>
      </c>
      <c r="T25" s="5"/>
      <c r="V25" s="12"/>
      <c r="W25" s="40" t="s">
        <v>38</v>
      </c>
      <c r="X25" s="40"/>
      <c r="Y25" s="37">
        <f t="shared" si="8"/>
        <v>0</v>
      </c>
      <c r="Z25" s="13"/>
      <c r="AL25" s="62"/>
    </row>
    <row r="26" spans="2:38" x14ac:dyDescent="0.25">
      <c r="D26" s="5"/>
      <c r="H26" s="5"/>
      <c r="L26" s="5"/>
      <c r="P26" s="5"/>
      <c r="V26" s="12"/>
      <c r="W26" s="40"/>
      <c r="X26" s="40"/>
      <c r="Y26" s="37">
        <f t="shared" si="8"/>
        <v>0</v>
      </c>
      <c r="Z26" s="13"/>
      <c r="AF26" s="20"/>
      <c r="AL26" s="62"/>
    </row>
    <row r="27" spans="2:38" ht="15.75" thickBot="1" x14ac:dyDescent="0.3">
      <c r="D27" s="5"/>
      <c r="H27" s="5"/>
      <c r="L27" s="5"/>
      <c r="P27" s="5"/>
      <c r="T27" s="5"/>
      <c r="V27" s="12"/>
      <c r="W27" s="40"/>
      <c r="X27" s="40"/>
      <c r="Y27" s="37">
        <f t="shared" si="8"/>
        <v>0</v>
      </c>
      <c r="Z27" s="13"/>
      <c r="AL27" s="62"/>
    </row>
    <row r="28" spans="2:38" ht="15.75" thickBot="1" x14ac:dyDescent="0.3">
      <c r="B28" s="99" t="s">
        <v>12</v>
      </c>
      <c r="C28" s="100"/>
      <c r="D28" s="9">
        <f>+SUM(D16:D27)</f>
        <v>0</v>
      </c>
      <c r="F28" s="99" t="s">
        <v>12</v>
      </c>
      <c r="G28" s="100"/>
      <c r="H28" s="9">
        <f>+SUM(H16:H27)</f>
        <v>0</v>
      </c>
      <c r="J28" s="99" t="s">
        <v>12</v>
      </c>
      <c r="K28" s="100"/>
      <c r="L28" s="9">
        <f>+SUM(L16:L27)</f>
        <v>0</v>
      </c>
      <c r="N28" s="99" t="s">
        <v>12</v>
      </c>
      <c r="O28" s="100"/>
      <c r="P28" s="9">
        <f>+SUM(P16:P27)</f>
        <v>0</v>
      </c>
      <c r="R28" s="99" t="s">
        <v>12</v>
      </c>
      <c r="S28" s="100"/>
      <c r="T28" s="9">
        <f>+SUM(T16:T27)</f>
        <v>0</v>
      </c>
      <c r="V28" s="12"/>
      <c r="W28" s="99" t="s">
        <v>12</v>
      </c>
      <c r="X28" s="100"/>
      <c r="Y28" s="9">
        <f>+SUM(Y16:Y27)</f>
        <v>0</v>
      </c>
      <c r="Z28" s="13"/>
      <c r="AL28" s="62"/>
    </row>
    <row r="29" spans="2:38" x14ac:dyDescent="0.25">
      <c r="D29" s="5"/>
      <c r="H29" s="5"/>
      <c r="L29" s="5"/>
      <c r="P29" s="5"/>
      <c r="T29" s="5"/>
      <c r="V29" s="12"/>
      <c r="W29" s="16"/>
      <c r="X29" s="16"/>
      <c r="Y29" s="15"/>
      <c r="Z29" s="13"/>
      <c r="AL29" s="62"/>
    </row>
    <row r="30" spans="2:38" ht="15.75" thickBot="1" x14ac:dyDescent="0.3">
      <c r="B30" s="101" t="s">
        <v>41</v>
      </c>
      <c r="C30" s="101"/>
      <c r="D30" s="7">
        <f>+D28-D15</f>
        <v>0</v>
      </c>
      <c r="F30" s="101" t="s">
        <v>41</v>
      </c>
      <c r="G30" s="101"/>
      <c r="H30" s="7">
        <f>+H28-H15</f>
        <v>0</v>
      </c>
      <c r="J30" s="101" t="s">
        <v>41</v>
      </c>
      <c r="K30" s="101"/>
      <c r="L30" s="7">
        <f>+L28-L15</f>
        <v>0</v>
      </c>
      <c r="N30" s="101" t="s">
        <v>41</v>
      </c>
      <c r="O30" s="101"/>
      <c r="P30" s="7">
        <f>+P28-P15</f>
        <v>0</v>
      </c>
      <c r="R30" s="101" t="s">
        <v>41</v>
      </c>
      <c r="S30" s="101"/>
      <c r="T30" s="7">
        <f>+T28-T15</f>
        <v>0</v>
      </c>
      <c r="V30" s="12"/>
      <c r="W30" s="102" t="s">
        <v>41</v>
      </c>
      <c r="X30" s="102"/>
      <c r="Y30" s="41">
        <f>+Y28-Y15</f>
        <v>0</v>
      </c>
      <c r="Z30" s="13"/>
      <c r="AL30" s="62"/>
    </row>
    <row r="31" spans="2:38" ht="16.5" thickTop="1" thickBot="1" x14ac:dyDescent="0.3">
      <c r="V31" s="17"/>
      <c r="W31" s="18"/>
      <c r="X31" s="18"/>
      <c r="Y31" s="18"/>
      <c r="Z31" s="19"/>
      <c r="AB31" s="60" t="s">
        <v>40</v>
      </c>
      <c r="AC31" s="60"/>
      <c r="AD31" s="60"/>
      <c r="AE31" s="60"/>
      <c r="AF31" s="55">
        <f>+SUM(AF23:AF30)</f>
        <v>0</v>
      </c>
      <c r="AI31" s="60" t="s">
        <v>40</v>
      </c>
      <c r="AJ31" s="60"/>
      <c r="AK31" s="60"/>
      <c r="AL31" s="55">
        <f>+SUM(AL23:AL30)</f>
        <v>0</v>
      </c>
    </row>
    <row r="33" spans="2:25" ht="15.75" thickBot="1" x14ac:dyDescent="0.3"/>
    <row r="34" spans="2:25" x14ac:dyDescent="0.25">
      <c r="B34" s="10" t="s">
        <v>42</v>
      </c>
      <c r="C34" s="11"/>
      <c r="D34" s="21"/>
      <c r="F34" s="10" t="s">
        <v>42</v>
      </c>
      <c r="G34" s="11"/>
      <c r="H34" s="21"/>
      <c r="J34" s="10" t="s">
        <v>42</v>
      </c>
      <c r="K34" s="11"/>
      <c r="L34" s="21"/>
      <c r="N34" s="10" t="s">
        <v>42</v>
      </c>
      <c r="O34" s="11"/>
      <c r="P34" s="21"/>
      <c r="R34" s="10" t="s">
        <v>42</v>
      </c>
      <c r="S34" s="11"/>
      <c r="T34" s="21"/>
      <c r="W34" s="42" t="s">
        <v>42</v>
      </c>
      <c r="X34" s="43"/>
      <c r="Y34" s="44">
        <f>+D34+H34+L34+P34+T34</f>
        <v>0</v>
      </c>
    </row>
    <row r="35" spans="2:25" x14ac:dyDescent="0.25">
      <c r="B35" s="12" t="s">
        <v>43</v>
      </c>
      <c r="C35" s="16"/>
      <c r="D35" s="22"/>
      <c r="F35" s="12" t="s">
        <v>43</v>
      </c>
      <c r="G35" s="16"/>
      <c r="H35" s="22"/>
      <c r="J35" s="12" t="s">
        <v>43</v>
      </c>
      <c r="K35" s="16"/>
      <c r="L35" s="22"/>
      <c r="N35" s="12" t="s">
        <v>43</v>
      </c>
      <c r="O35" s="16"/>
      <c r="P35" s="22"/>
      <c r="R35" s="12" t="s">
        <v>43</v>
      </c>
      <c r="S35" s="16"/>
      <c r="T35" s="22"/>
      <c r="W35" s="45" t="s">
        <v>43</v>
      </c>
      <c r="X35" s="40"/>
      <c r="Y35" s="46">
        <f t="shared" ref="Y35:Y36" si="9">+D35+H35+L35+P35+T35</f>
        <v>0</v>
      </c>
    </row>
    <row r="36" spans="2:25" x14ac:dyDescent="0.25">
      <c r="B36" s="12" t="s">
        <v>45</v>
      </c>
      <c r="C36" s="16"/>
      <c r="D36" s="22"/>
      <c r="F36" s="12" t="s">
        <v>45</v>
      </c>
      <c r="G36" s="16"/>
      <c r="H36" s="22"/>
      <c r="J36" s="12" t="s">
        <v>45</v>
      </c>
      <c r="K36" s="16"/>
      <c r="L36" s="22"/>
      <c r="N36" s="12" t="s">
        <v>45</v>
      </c>
      <c r="O36" s="16"/>
      <c r="P36" s="22"/>
      <c r="R36" s="12" t="s">
        <v>47</v>
      </c>
      <c r="S36" s="16"/>
      <c r="T36" s="22"/>
      <c r="W36" s="45" t="s">
        <v>44</v>
      </c>
      <c r="X36" s="40"/>
      <c r="Y36" s="46">
        <f t="shared" si="9"/>
        <v>0</v>
      </c>
    </row>
    <row r="37" spans="2:25" x14ac:dyDescent="0.25">
      <c r="B37" s="12" t="s">
        <v>18</v>
      </c>
      <c r="C37" s="16"/>
      <c r="D37" s="22">
        <f>+SUM(D34:D36)</f>
        <v>0</v>
      </c>
      <c r="F37" s="12" t="s">
        <v>18</v>
      </c>
      <c r="G37" s="16"/>
      <c r="H37" s="22">
        <f>+SUM(H34:H36)</f>
        <v>0</v>
      </c>
      <c r="J37" s="12" t="s">
        <v>18</v>
      </c>
      <c r="K37" s="16"/>
      <c r="L37" s="22">
        <f>+SUM(L34:L36)</f>
        <v>0</v>
      </c>
      <c r="N37" s="12" t="s">
        <v>18</v>
      </c>
      <c r="O37" s="16"/>
      <c r="P37" s="22">
        <f>+SUM(P34:P36)</f>
        <v>0</v>
      </c>
      <c r="R37" s="12" t="s">
        <v>18</v>
      </c>
      <c r="S37" s="16"/>
      <c r="T37" s="22">
        <f>+SUM(T34:T36)</f>
        <v>0</v>
      </c>
      <c r="W37" s="33" t="s">
        <v>18</v>
      </c>
      <c r="X37" s="34"/>
      <c r="Y37" s="35">
        <f>+SUM(Y34:Y36)</f>
        <v>0</v>
      </c>
    </row>
    <row r="38" spans="2:25" ht="15.75" thickBot="1" x14ac:dyDescent="0.3">
      <c r="B38" s="23" t="s">
        <v>46</v>
      </c>
      <c r="C38" s="24"/>
      <c r="D38" s="25">
        <f>+D30+D37</f>
        <v>0</v>
      </c>
      <c r="F38" s="23" t="s">
        <v>46</v>
      </c>
      <c r="G38" s="24"/>
      <c r="H38" s="25">
        <f>+H30+H37</f>
        <v>0</v>
      </c>
      <c r="J38" s="23" t="s">
        <v>46</v>
      </c>
      <c r="K38" s="24"/>
      <c r="L38" s="25">
        <f>+L30+L37</f>
        <v>0</v>
      </c>
      <c r="N38" s="23" t="s">
        <v>46</v>
      </c>
      <c r="O38" s="24"/>
      <c r="P38" s="25">
        <f>+P30+P37</f>
        <v>0</v>
      </c>
      <c r="R38" s="23" t="s">
        <v>46</v>
      </c>
      <c r="S38" s="24"/>
      <c r="T38" s="25">
        <f>+T30+T37</f>
        <v>0</v>
      </c>
      <c r="W38" s="23" t="s">
        <v>46</v>
      </c>
      <c r="X38" s="24"/>
      <c r="Y38" s="25">
        <f>+Y30+Y37</f>
        <v>0</v>
      </c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W3:Y3"/>
    <mergeCell ref="B3:D3"/>
    <mergeCell ref="F3:H3"/>
    <mergeCell ref="J3:L3"/>
    <mergeCell ref="N3:P3"/>
    <mergeCell ref="R3:T3"/>
    <mergeCell ref="B15:C15"/>
    <mergeCell ref="F15:G15"/>
    <mergeCell ref="J15:K15"/>
    <mergeCell ref="N15:O15"/>
    <mergeCell ref="R15:S1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0"/>
  <sheetViews>
    <sheetView zoomScale="80" zoomScaleNormal="80" workbookViewId="0">
      <selection activeCell="AD36" sqref="AD36"/>
    </sheetView>
  </sheetViews>
  <sheetFormatPr defaultRowHeight="15" x14ac:dyDescent="0.25"/>
  <cols>
    <col min="5" max="5" width="1.42578125" customWidth="1"/>
    <col min="7" max="7" width="14.28515625" bestFit="1" customWidth="1"/>
    <col min="9" max="9" width="1" customWidth="1"/>
    <col min="11" max="11" width="14" bestFit="1" customWidth="1"/>
    <col min="12" max="12" width="9.5703125" bestFit="1" customWidth="1"/>
    <col min="13" max="13" width="0.7109375" customWidth="1"/>
    <col min="15" max="15" width="13.5703125" bestFit="1" customWidth="1"/>
    <col min="17" max="17" width="0.5703125" customWidth="1"/>
    <col min="21" max="21" width="1" customWidth="1"/>
    <col min="25" max="25" width="9.5703125" bestFit="1" customWidth="1"/>
    <col min="27" max="27" width="1" customWidth="1"/>
    <col min="29" max="29" width="9.7109375" bestFit="1" customWidth="1"/>
    <col min="30" max="30" width="15.5703125" bestFit="1" customWidth="1"/>
    <col min="33" max="33" width="3.7109375" customWidth="1"/>
    <col min="34" max="34" width="9.140625" hidden="1" customWidth="1"/>
    <col min="36" max="36" width="13.85546875" bestFit="1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592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>
        <v>42</v>
      </c>
      <c r="D5" s="36">
        <f>+C5*B5</f>
        <v>42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42</v>
      </c>
      <c r="Y5" s="37">
        <f>+D5+H5+L5+P5+T5</f>
        <v>42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457</v>
      </c>
      <c r="D6" s="36">
        <f>+C6*B6</f>
        <v>4570</v>
      </c>
      <c r="E6" s="1"/>
      <c r="F6" s="2">
        <v>10</v>
      </c>
      <c r="G6" s="2">
        <v>81</v>
      </c>
      <c r="H6" s="36">
        <f>+G6*F6</f>
        <v>810</v>
      </c>
      <c r="I6" s="1"/>
      <c r="J6" s="2">
        <v>10</v>
      </c>
      <c r="K6" s="2">
        <v>29</v>
      </c>
      <c r="L6" s="36">
        <f>+K6*J6</f>
        <v>290</v>
      </c>
      <c r="M6" s="1"/>
      <c r="N6" s="2">
        <v>10</v>
      </c>
      <c r="O6" s="2">
        <v>73</v>
      </c>
      <c r="P6" s="36">
        <f>+O6*N6</f>
        <v>730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640</v>
      </c>
      <c r="Y6" s="37">
        <f>+D6+H6+L6+P6+T6</f>
        <v>6400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42</v>
      </c>
      <c r="AK6" s="36">
        <f t="shared" ref="AK6:AK13" si="0">+AJ6*AI6</f>
        <v>42</v>
      </c>
      <c r="AL6" s="26"/>
    </row>
    <row r="7" spans="2:38" x14ac:dyDescent="0.25">
      <c r="B7" s="2">
        <v>20</v>
      </c>
      <c r="C7" s="2">
        <v>51</v>
      </c>
      <c r="D7" s="36">
        <f t="shared" ref="D7:D12" si="1">+C7*B7</f>
        <v>1020</v>
      </c>
      <c r="E7" s="1"/>
      <c r="F7" s="2">
        <v>20</v>
      </c>
      <c r="G7" s="2">
        <v>13</v>
      </c>
      <c r="H7" s="36">
        <f t="shared" ref="H7:H12" si="2">+G7*F7</f>
        <v>260</v>
      </c>
      <c r="I7" s="1"/>
      <c r="J7" s="2">
        <v>20</v>
      </c>
      <c r="K7" s="2">
        <v>12</v>
      </c>
      <c r="L7" s="36">
        <f t="shared" ref="L7:L12" si="3">+K7*J7</f>
        <v>240</v>
      </c>
      <c r="M7" s="1"/>
      <c r="N7" s="2">
        <v>20</v>
      </c>
      <c r="O7" s="2">
        <v>7</v>
      </c>
      <c r="P7" s="36">
        <f t="shared" ref="P7:P12" si="4">+O7*N7</f>
        <v>140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83</v>
      </c>
      <c r="Y7" s="37">
        <f t="shared" ref="Y7:Y12" si="6">+D7+H7+L7+P7+T7</f>
        <v>1660</v>
      </c>
      <c r="Z7" s="13"/>
      <c r="AA7" s="1"/>
      <c r="AB7" s="56" t="s">
        <v>10</v>
      </c>
      <c r="AC7" s="57">
        <f>Y13</f>
        <v>313852</v>
      </c>
      <c r="AD7" s="26"/>
      <c r="AE7" s="26"/>
      <c r="AF7" s="26"/>
      <c r="AG7" s="26"/>
      <c r="AH7" s="1"/>
      <c r="AI7" s="2">
        <v>10</v>
      </c>
      <c r="AJ7" s="2">
        <v>640</v>
      </c>
      <c r="AK7" s="36">
        <f t="shared" si="0"/>
        <v>6400</v>
      </c>
      <c r="AL7" s="1"/>
    </row>
    <row r="8" spans="2:38" x14ac:dyDescent="0.25">
      <c r="B8" s="2">
        <v>50</v>
      </c>
      <c r="C8" s="2">
        <v>67</v>
      </c>
      <c r="D8" s="36">
        <f t="shared" si="1"/>
        <v>3350</v>
      </c>
      <c r="E8" s="1"/>
      <c r="F8" s="2">
        <v>50</v>
      </c>
      <c r="G8" s="2">
        <v>61</v>
      </c>
      <c r="H8" s="36">
        <f t="shared" si="2"/>
        <v>3050</v>
      </c>
      <c r="I8" s="1"/>
      <c r="J8" s="2">
        <v>50</v>
      </c>
      <c r="K8" s="2">
        <v>48</v>
      </c>
      <c r="L8" s="36">
        <f t="shared" si="3"/>
        <v>2400</v>
      </c>
      <c r="M8" s="1"/>
      <c r="N8" s="2">
        <v>50</v>
      </c>
      <c r="O8" s="2">
        <v>17</v>
      </c>
      <c r="P8" s="36">
        <f t="shared" si="4"/>
        <v>850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193</v>
      </c>
      <c r="Y8" s="37">
        <f t="shared" si="6"/>
        <v>9650</v>
      </c>
      <c r="Z8" s="13"/>
      <c r="AA8" s="1"/>
      <c r="AB8" s="53" t="s">
        <v>11</v>
      </c>
      <c r="AC8" s="53">
        <f>+AF31</f>
        <v>15000</v>
      </c>
      <c r="AD8" s="1"/>
      <c r="AE8" s="1"/>
      <c r="AF8" s="1"/>
      <c r="AG8" s="1"/>
      <c r="AH8" s="1"/>
      <c r="AI8" s="2">
        <v>20</v>
      </c>
      <c r="AJ8" s="2">
        <v>83</v>
      </c>
      <c r="AK8" s="36">
        <f t="shared" si="0"/>
        <v>1660</v>
      </c>
      <c r="AL8" s="1"/>
    </row>
    <row r="9" spans="2:38" ht="15.75" thickBot="1" x14ac:dyDescent="0.3">
      <c r="B9" s="2">
        <v>100</v>
      </c>
      <c r="C9" s="2">
        <v>50</v>
      </c>
      <c r="D9" s="36">
        <f t="shared" si="1"/>
        <v>5000</v>
      </c>
      <c r="E9" s="1"/>
      <c r="F9" s="2">
        <v>100</v>
      </c>
      <c r="G9" s="2">
        <v>93</v>
      </c>
      <c r="H9" s="36">
        <f t="shared" si="2"/>
        <v>9300</v>
      </c>
      <c r="I9" s="1"/>
      <c r="J9" s="2">
        <v>100</v>
      </c>
      <c r="K9" s="2">
        <v>34</v>
      </c>
      <c r="L9" s="36">
        <f t="shared" si="3"/>
        <v>3400</v>
      </c>
      <c r="M9" s="1"/>
      <c r="N9" s="2">
        <v>100</v>
      </c>
      <c r="O9" s="2">
        <v>14</v>
      </c>
      <c r="P9" s="36">
        <f t="shared" si="4"/>
        <v>1400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191</v>
      </c>
      <c r="Y9" s="37">
        <f t="shared" si="6"/>
        <v>19100</v>
      </c>
      <c r="Z9" s="13"/>
      <c r="AA9" s="1"/>
      <c r="AB9" s="58" t="s">
        <v>12</v>
      </c>
      <c r="AC9" s="59">
        <f>SUM(AC7:AC8)</f>
        <v>328852</v>
      </c>
      <c r="AD9" s="1"/>
      <c r="AE9" s="1"/>
      <c r="AF9" s="1"/>
      <c r="AG9" s="1"/>
      <c r="AH9" s="1"/>
      <c r="AI9" s="2">
        <v>50</v>
      </c>
      <c r="AJ9" s="2">
        <v>193</v>
      </c>
      <c r="AK9" s="36">
        <f t="shared" si="0"/>
        <v>9650</v>
      </c>
      <c r="AL9" s="1"/>
    </row>
    <row r="10" spans="2:38" x14ac:dyDescent="0.25">
      <c r="B10" s="2">
        <v>500</v>
      </c>
      <c r="C10" s="2">
        <v>47</v>
      </c>
      <c r="D10" s="36">
        <f t="shared" si="1"/>
        <v>23500</v>
      </c>
      <c r="E10" s="1"/>
      <c r="F10" s="2">
        <v>500</v>
      </c>
      <c r="G10" s="2">
        <v>38</v>
      </c>
      <c r="H10" s="36">
        <f t="shared" si="2"/>
        <v>19000</v>
      </c>
      <c r="I10" s="1"/>
      <c r="J10" s="2">
        <v>500</v>
      </c>
      <c r="K10" s="2">
        <v>55</v>
      </c>
      <c r="L10" s="36">
        <f t="shared" si="3"/>
        <v>27500</v>
      </c>
      <c r="M10" s="1"/>
      <c r="N10" s="2">
        <v>500</v>
      </c>
      <c r="O10" s="2">
        <v>32</v>
      </c>
      <c r="P10" s="36">
        <f t="shared" si="4"/>
        <v>16000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172</v>
      </c>
      <c r="Y10" s="37">
        <f t="shared" si="6"/>
        <v>86000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191</v>
      </c>
      <c r="AK10" s="36">
        <f t="shared" si="0"/>
        <v>19100</v>
      </c>
      <c r="AL10" s="1"/>
    </row>
    <row r="11" spans="2:38" x14ac:dyDescent="0.25">
      <c r="B11" s="2">
        <v>1000</v>
      </c>
      <c r="C11" s="2">
        <v>30</v>
      </c>
      <c r="D11" s="36">
        <f t="shared" si="1"/>
        <v>30000</v>
      </c>
      <c r="E11" s="1"/>
      <c r="F11" s="2">
        <v>1000</v>
      </c>
      <c r="G11" s="2">
        <v>46</v>
      </c>
      <c r="H11" s="36">
        <f t="shared" si="2"/>
        <v>46000</v>
      </c>
      <c r="I11" s="1"/>
      <c r="J11" s="2">
        <v>1000</v>
      </c>
      <c r="K11" s="2">
        <v>49</v>
      </c>
      <c r="L11" s="36">
        <f t="shared" si="3"/>
        <v>49000</v>
      </c>
      <c r="M11" s="1"/>
      <c r="N11" s="2">
        <v>1000</v>
      </c>
      <c r="O11" s="2">
        <v>46</v>
      </c>
      <c r="P11" s="36">
        <f t="shared" si="4"/>
        <v>46000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171</v>
      </c>
      <c r="Y11" s="37">
        <f t="shared" si="6"/>
        <v>171000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172</v>
      </c>
      <c r="AK11" s="36">
        <f t="shared" si="0"/>
        <v>86000</v>
      </c>
      <c r="AL11" s="1"/>
    </row>
    <row r="12" spans="2:38" x14ac:dyDescent="0.25">
      <c r="B12" s="2">
        <v>5000</v>
      </c>
      <c r="C12" s="2"/>
      <c r="D12" s="36">
        <f t="shared" si="1"/>
        <v>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>
        <v>1</v>
      </c>
      <c r="P12" s="36">
        <f t="shared" si="4"/>
        <v>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4</v>
      </c>
      <c r="Y12" s="37">
        <f t="shared" si="6"/>
        <v>20000</v>
      </c>
      <c r="Z12" s="13"/>
      <c r="AA12" s="1"/>
      <c r="AB12" s="1" t="s">
        <v>17</v>
      </c>
      <c r="AC12" s="5">
        <v>322660</v>
      </c>
      <c r="AD12" s="1">
        <v>1014089</v>
      </c>
      <c r="AE12" s="52" t="s">
        <v>712</v>
      </c>
      <c r="AF12" s="1" t="s">
        <v>103</v>
      </c>
      <c r="AG12" s="1"/>
      <c r="AH12" s="1"/>
      <c r="AI12" s="2">
        <v>1000</v>
      </c>
      <c r="AJ12" s="2">
        <v>181</v>
      </c>
      <c r="AK12" s="36">
        <f t="shared" si="0"/>
        <v>181000</v>
      </c>
      <c r="AL12" s="1"/>
    </row>
    <row r="13" spans="2:38" ht="15.75" thickBot="1" x14ac:dyDescent="0.3">
      <c r="B13" s="3" t="s">
        <v>18</v>
      </c>
      <c r="C13" s="3"/>
      <c r="D13" s="6">
        <f>+SUM(D5:D12)</f>
        <v>67482</v>
      </c>
      <c r="E13" s="1"/>
      <c r="F13" s="3" t="s">
        <v>18</v>
      </c>
      <c r="G13" s="3"/>
      <c r="H13" s="6">
        <f>+SUM(H5:H12)</f>
        <v>83420</v>
      </c>
      <c r="I13" s="1"/>
      <c r="J13" s="3" t="s">
        <v>18</v>
      </c>
      <c r="K13" s="3"/>
      <c r="L13" s="6">
        <f>+SUM(L5:L12)</f>
        <v>92830</v>
      </c>
      <c r="M13" s="1"/>
      <c r="N13" s="3" t="s">
        <v>18</v>
      </c>
      <c r="O13" s="3"/>
      <c r="P13" s="6">
        <f>+SUM(P5:P12)</f>
        <v>70120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313852</v>
      </c>
      <c r="Z13" s="13"/>
      <c r="AA13" s="1"/>
      <c r="AB13" s="1" t="s">
        <v>19</v>
      </c>
      <c r="AC13" s="5">
        <v>6192</v>
      </c>
      <c r="AD13" s="1"/>
      <c r="AE13" s="1"/>
      <c r="AF13" s="1"/>
      <c r="AG13" s="1"/>
      <c r="AH13" s="1"/>
      <c r="AI13" s="2">
        <v>5000</v>
      </c>
      <c r="AJ13" s="2">
        <v>5</v>
      </c>
      <c r="AK13" s="36">
        <f t="shared" si="0"/>
        <v>25000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328852</v>
      </c>
      <c r="AL14" s="1"/>
    </row>
    <row r="15" spans="2:38" ht="15.75" thickBot="1" x14ac:dyDescent="0.3">
      <c r="B15" s="105" t="s">
        <v>21</v>
      </c>
      <c r="C15" s="106"/>
      <c r="D15" s="8">
        <v>67162</v>
      </c>
      <c r="E15" s="30"/>
      <c r="F15" s="105" t="s">
        <v>21</v>
      </c>
      <c r="G15" s="106"/>
      <c r="H15" s="8">
        <v>89412</v>
      </c>
      <c r="I15" s="30"/>
      <c r="J15" s="105" t="s">
        <v>21</v>
      </c>
      <c r="K15" s="106"/>
      <c r="L15" s="8">
        <v>118075</v>
      </c>
      <c r="M15" s="30"/>
      <c r="N15" s="105" t="s">
        <v>21</v>
      </c>
      <c r="O15" s="106"/>
      <c r="P15" s="8">
        <v>104891</v>
      </c>
      <c r="Q15" s="30"/>
      <c r="R15" s="105" t="s">
        <v>21</v>
      </c>
      <c r="S15" s="106"/>
      <c r="T15" s="8"/>
      <c r="U15" s="30"/>
      <c r="V15" s="31"/>
      <c r="W15" s="105" t="s">
        <v>21</v>
      </c>
      <c r="X15" s="106"/>
      <c r="Y15" s="8">
        <f>+D15+H15+L15+P15+T15</f>
        <v>379540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67482</v>
      </c>
      <c r="E16" s="1"/>
      <c r="F16" s="1" t="s">
        <v>10</v>
      </c>
      <c r="G16" s="1"/>
      <c r="H16" s="5">
        <f>+H13</f>
        <v>83420</v>
      </c>
      <c r="I16" s="1"/>
      <c r="J16" s="1" t="s">
        <v>10</v>
      </c>
      <c r="K16" s="1"/>
      <c r="L16" s="5">
        <f>+L13</f>
        <v>92830</v>
      </c>
      <c r="M16" s="1"/>
      <c r="N16" s="1" t="s">
        <v>10</v>
      </c>
      <c r="O16" s="1"/>
      <c r="P16" s="5">
        <f>+P13</f>
        <v>70120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313852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6000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6000</v>
      </c>
      <c r="Z17" s="13"/>
      <c r="AA17" s="1"/>
      <c r="AB17" s="48" t="s">
        <v>12</v>
      </c>
      <c r="AC17" s="49">
        <f>+SUM(AC12:AC16)</f>
        <v>328852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24</v>
      </c>
      <c r="C18" s="1"/>
      <c r="D18" s="5"/>
      <c r="E18" s="1"/>
      <c r="F18" s="1" t="s">
        <v>710</v>
      </c>
      <c r="G18" s="1" t="s">
        <v>711</v>
      </c>
      <c r="H18" s="5">
        <v>5218</v>
      </c>
      <c r="I18" s="1"/>
      <c r="J18" s="1" t="s">
        <v>615</v>
      </c>
      <c r="K18" s="1" t="s">
        <v>695</v>
      </c>
      <c r="L18" s="5">
        <v>9900</v>
      </c>
      <c r="M18" s="1"/>
      <c r="N18" s="1" t="s">
        <v>615</v>
      </c>
      <c r="O18" s="1" t="s">
        <v>690</v>
      </c>
      <c r="P18" s="5">
        <v>7750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22868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615</v>
      </c>
      <c r="K19" s="1" t="s">
        <v>696</v>
      </c>
      <c r="L19" s="5">
        <v>3500</v>
      </c>
      <c r="M19" s="1"/>
      <c r="N19" s="1" t="s">
        <v>672</v>
      </c>
      <c r="O19" s="1" t="s">
        <v>691</v>
      </c>
      <c r="P19" s="5">
        <v>6645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10145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697</v>
      </c>
      <c r="K20" s="1" t="s">
        <v>698</v>
      </c>
      <c r="L20" s="5">
        <v>3100</v>
      </c>
      <c r="M20" s="1"/>
      <c r="N20" s="1" t="s">
        <v>593</v>
      </c>
      <c r="O20" s="1" t="s">
        <v>692</v>
      </c>
      <c r="P20" s="5">
        <v>10368</v>
      </c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13468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 t="s">
        <v>615</v>
      </c>
      <c r="O21" s="1" t="s">
        <v>693</v>
      </c>
      <c r="P21" s="5">
        <v>10000</v>
      </c>
      <c r="Q21" s="1"/>
      <c r="R21" s="1"/>
      <c r="S21" s="1"/>
      <c r="T21" s="5"/>
      <c r="U21" s="1"/>
      <c r="V21" s="12"/>
      <c r="W21" s="40"/>
      <c r="X21" s="40"/>
      <c r="Y21" s="37">
        <f t="shared" si="8"/>
        <v>10000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 t="s">
        <v>694</v>
      </c>
      <c r="L23" s="5">
        <v>2500</v>
      </c>
      <c r="M23" s="1"/>
      <c r="N23" s="1" t="s">
        <v>53</v>
      </c>
      <c r="O23" s="1"/>
      <c r="P23" s="5"/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2500</v>
      </c>
      <c r="Z23" s="13"/>
      <c r="AA23" s="1"/>
      <c r="AB23" s="16" t="s">
        <v>699</v>
      </c>
      <c r="AC23" s="90">
        <v>45901</v>
      </c>
      <c r="AD23" s="16" t="s">
        <v>75</v>
      </c>
      <c r="AE23" s="16"/>
      <c r="AF23" s="16">
        <v>15000</v>
      </c>
      <c r="AG23" s="1"/>
      <c r="AH23" s="1"/>
      <c r="AI23" s="16" t="s">
        <v>115</v>
      </c>
      <c r="AJ23" s="16" t="s">
        <v>83</v>
      </c>
      <c r="AK23" s="16" t="s">
        <v>113</v>
      </c>
      <c r="AL23" s="77">
        <v>123193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1"/>
      <c r="AC24" s="1"/>
      <c r="AD24" s="1"/>
      <c r="AE24" s="1"/>
      <c r="AF24" s="1"/>
      <c r="AG24" s="1"/>
      <c r="AH24" s="1"/>
      <c r="AI24" s="20" t="s">
        <v>122</v>
      </c>
      <c r="AJ24" s="1" t="s">
        <v>196</v>
      </c>
      <c r="AK24" s="1"/>
      <c r="AL24" s="62">
        <v>6000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1"/>
      <c r="AC25" s="1"/>
      <c r="AD25" s="1"/>
      <c r="AE25" s="1"/>
      <c r="AF25" s="1"/>
      <c r="AG25" s="1"/>
      <c r="AH25" s="1"/>
      <c r="AI25" s="64" t="s">
        <v>117</v>
      </c>
      <c r="AJ25" s="64" t="s">
        <v>452</v>
      </c>
      <c r="AK25" s="64" t="s">
        <v>381</v>
      </c>
      <c r="AL25" s="69">
        <v>5930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64" t="s">
        <v>214</v>
      </c>
      <c r="AJ26" s="64" t="s">
        <v>472</v>
      </c>
      <c r="AK26" s="64" t="s">
        <v>589</v>
      </c>
      <c r="AL26" s="69">
        <v>5900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64" t="s">
        <v>214</v>
      </c>
      <c r="AJ27" s="64" t="s">
        <v>473</v>
      </c>
      <c r="AK27" s="64" t="s">
        <v>121</v>
      </c>
      <c r="AL27" s="69">
        <v>5288</v>
      </c>
    </row>
    <row r="28" spans="2:38" ht="15.75" thickBot="1" x14ac:dyDescent="0.3">
      <c r="B28" s="99" t="s">
        <v>12</v>
      </c>
      <c r="C28" s="100"/>
      <c r="D28" s="9">
        <f>+SUM(D16:D27)</f>
        <v>67482</v>
      </c>
      <c r="E28" s="1"/>
      <c r="F28" s="99" t="s">
        <v>12</v>
      </c>
      <c r="G28" s="100"/>
      <c r="H28" s="9">
        <f>+SUM(H16:H27)</f>
        <v>88638</v>
      </c>
      <c r="I28" s="1"/>
      <c r="J28" s="99" t="s">
        <v>12</v>
      </c>
      <c r="K28" s="100"/>
      <c r="L28" s="9">
        <f>+SUM(L16:L27)</f>
        <v>117830</v>
      </c>
      <c r="M28" s="1"/>
      <c r="N28" s="99" t="s">
        <v>12</v>
      </c>
      <c r="O28" s="100"/>
      <c r="P28" s="9">
        <f>+SUM(P16:P27)</f>
        <v>104883</v>
      </c>
      <c r="Q28" s="1"/>
      <c r="R28" s="99" t="s">
        <v>12</v>
      </c>
      <c r="S28" s="100"/>
      <c r="T28" s="9">
        <f>+SUM(T16:T27)</f>
        <v>0</v>
      </c>
      <c r="U28" s="1"/>
      <c r="V28" s="12"/>
      <c r="W28" s="99" t="s">
        <v>12</v>
      </c>
      <c r="X28" s="100"/>
      <c r="Y28" s="9">
        <f>+SUM(Y16:Y27)</f>
        <v>378833</v>
      </c>
      <c r="Z28" s="13"/>
      <c r="AA28" s="1"/>
      <c r="AB28" s="1"/>
      <c r="AC28" s="1"/>
      <c r="AD28" s="1"/>
      <c r="AE28" s="1"/>
      <c r="AF28" s="1"/>
      <c r="AG28" s="1"/>
      <c r="AH28" s="1"/>
      <c r="AI28" s="64" t="s">
        <v>122</v>
      </c>
      <c r="AJ28" s="64" t="s">
        <v>700</v>
      </c>
      <c r="AK28" s="64" t="s">
        <v>706</v>
      </c>
      <c r="AL28" s="65">
        <v>12100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64" t="s">
        <v>214</v>
      </c>
      <c r="AJ29" s="64" t="s">
        <v>496</v>
      </c>
      <c r="AK29" s="64" t="s">
        <v>707</v>
      </c>
      <c r="AL29" s="69">
        <v>6627</v>
      </c>
    </row>
    <row r="30" spans="2:38" ht="15.75" thickBot="1" x14ac:dyDescent="0.3">
      <c r="B30" s="101" t="s">
        <v>41</v>
      </c>
      <c r="C30" s="101"/>
      <c r="D30" s="7">
        <f>+D28-D15</f>
        <v>320</v>
      </c>
      <c r="E30" s="1"/>
      <c r="F30" s="101" t="s">
        <v>41</v>
      </c>
      <c r="G30" s="101"/>
      <c r="H30" s="7">
        <f>+H28-H15</f>
        <v>-774</v>
      </c>
      <c r="I30" s="1"/>
      <c r="J30" s="101" t="s">
        <v>41</v>
      </c>
      <c r="K30" s="101"/>
      <c r="L30" s="7">
        <f>+L28-L15</f>
        <v>-245</v>
      </c>
      <c r="M30" s="1"/>
      <c r="N30" s="101" t="s">
        <v>41</v>
      </c>
      <c r="O30" s="101"/>
      <c r="P30" s="7">
        <f>+P28-P15</f>
        <v>-8</v>
      </c>
      <c r="Q30" s="1"/>
      <c r="R30" s="101" t="s">
        <v>41</v>
      </c>
      <c r="S30" s="101"/>
      <c r="T30" s="7">
        <f>+T28-T15</f>
        <v>0</v>
      </c>
      <c r="U30" s="1"/>
      <c r="V30" s="12"/>
      <c r="W30" s="102" t="s">
        <v>41</v>
      </c>
      <c r="X30" s="102"/>
      <c r="Y30" s="41">
        <f>+Y28-Y15</f>
        <v>-707</v>
      </c>
      <c r="Z30" s="13"/>
      <c r="AA30" s="1"/>
      <c r="AB30" s="1"/>
      <c r="AC30" s="1"/>
      <c r="AD30" s="1"/>
      <c r="AE30" s="1"/>
      <c r="AF30" s="1"/>
      <c r="AG30" s="1"/>
      <c r="AH30" s="1"/>
      <c r="AI30" s="64" t="s">
        <v>214</v>
      </c>
      <c r="AJ30" s="64" t="s">
        <v>497</v>
      </c>
      <c r="AK30" s="64" t="s">
        <v>554</v>
      </c>
      <c r="AL30" s="69">
        <v>14850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15000</v>
      </c>
      <c r="AG31" s="1"/>
      <c r="AH31" s="1"/>
      <c r="AI31" s="64" t="s">
        <v>117</v>
      </c>
      <c r="AJ31" s="64" t="s">
        <v>505</v>
      </c>
      <c r="AK31" s="64" t="s">
        <v>149</v>
      </c>
      <c r="AL31" s="69">
        <v>7570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64" t="s">
        <v>122</v>
      </c>
      <c r="AJ32" s="64" t="s">
        <v>538</v>
      </c>
      <c r="AK32" s="64" t="s">
        <v>708</v>
      </c>
      <c r="AL32" s="69">
        <v>4974</v>
      </c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4" t="s">
        <v>620</v>
      </c>
      <c r="AJ33" s="64" t="s">
        <v>701</v>
      </c>
      <c r="AK33" s="64" t="s">
        <v>161</v>
      </c>
      <c r="AL33" s="65">
        <v>45000</v>
      </c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>
        <v>774</v>
      </c>
      <c r="I34" s="1"/>
      <c r="J34" s="10" t="s">
        <v>42</v>
      </c>
      <c r="K34" s="11"/>
      <c r="L34" s="21">
        <v>245</v>
      </c>
      <c r="M34" s="1"/>
      <c r="N34" s="10" t="s">
        <v>42</v>
      </c>
      <c r="O34" s="11"/>
      <c r="P34" s="21">
        <v>8</v>
      </c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1027</v>
      </c>
      <c r="Z34" s="1"/>
      <c r="AA34" s="1"/>
      <c r="AB34" s="1"/>
      <c r="AC34" s="1"/>
      <c r="AD34" s="1"/>
      <c r="AE34" s="1"/>
      <c r="AF34" s="1"/>
      <c r="AG34" s="1"/>
      <c r="AH34" s="1"/>
      <c r="AI34" s="64" t="s">
        <v>620</v>
      </c>
      <c r="AJ34" s="64" t="s">
        <v>702</v>
      </c>
      <c r="AK34" s="64" t="s">
        <v>161</v>
      </c>
      <c r="AL34" s="65">
        <v>100000</v>
      </c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64" t="s">
        <v>620</v>
      </c>
      <c r="AJ35" s="64" t="s">
        <v>703</v>
      </c>
      <c r="AK35" s="64" t="s">
        <v>161</v>
      </c>
      <c r="AL35" s="65">
        <v>78370</v>
      </c>
    </row>
    <row r="36" spans="2:38" x14ac:dyDescent="0.25">
      <c r="B36" s="12" t="s">
        <v>45</v>
      </c>
      <c r="C36" s="16"/>
      <c r="D36" s="22">
        <v>-320</v>
      </c>
      <c r="E36" s="1"/>
      <c r="F36" s="12" t="s">
        <v>45</v>
      </c>
      <c r="G36" s="16"/>
      <c r="H36" s="22"/>
      <c r="I36" s="1"/>
      <c r="J36" s="12" t="s">
        <v>45</v>
      </c>
      <c r="K36" s="16"/>
      <c r="L36" s="22"/>
      <c r="M36" s="1"/>
      <c r="N36" s="12" t="s">
        <v>45</v>
      </c>
      <c r="O36" s="16"/>
      <c r="P36" s="22"/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-320</v>
      </c>
      <c r="Z36" s="1"/>
      <c r="AA36" s="1"/>
      <c r="AB36" s="1"/>
      <c r="AC36" s="1"/>
      <c r="AD36" s="1"/>
      <c r="AE36" s="1"/>
      <c r="AF36" s="1"/>
      <c r="AG36" s="1"/>
      <c r="AH36" s="1"/>
      <c r="AI36" s="64" t="s">
        <v>626</v>
      </c>
      <c r="AJ36" s="64" t="s">
        <v>704</v>
      </c>
      <c r="AK36" s="64" t="s">
        <v>161</v>
      </c>
      <c r="AL36" s="65">
        <v>8000</v>
      </c>
    </row>
    <row r="37" spans="2:38" x14ac:dyDescent="0.25">
      <c r="B37" s="12" t="s">
        <v>18</v>
      </c>
      <c r="C37" s="16"/>
      <c r="D37" s="22">
        <f>+SUM(D34:D36)</f>
        <v>-320</v>
      </c>
      <c r="E37" s="1"/>
      <c r="F37" s="12" t="s">
        <v>18</v>
      </c>
      <c r="G37" s="16"/>
      <c r="H37" s="22">
        <f>+SUM(H34:H36)</f>
        <v>774</v>
      </c>
      <c r="I37" s="1"/>
      <c r="J37" s="12" t="s">
        <v>18</v>
      </c>
      <c r="K37" s="16"/>
      <c r="L37" s="22">
        <f>+SUM(L34:L36)</f>
        <v>245</v>
      </c>
      <c r="M37" s="1"/>
      <c r="N37" s="12" t="s">
        <v>18</v>
      </c>
      <c r="O37" s="16"/>
      <c r="P37" s="22">
        <f>+SUM(P34:P36)</f>
        <v>8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707</v>
      </c>
      <c r="Z37" s="1"/>
      <c r="AA37" s="1"/>
      <c r="AB37" s="1"/>
      <c r="AC37" s="1"/>
      <c r="AD37" s="1"/>
      <c r="AE37" s="1"/>
      <c r="AF37" s="1"/>
      <c r="AG37" s="1"/>
      <c r="AH37" s="1"/>
      <c r="AI37" s="64" t="s">
        <v>709</v>
      </c>
      <c r="AJ37" s="91" t="s">
        <v>705</v>
      </c>
      <c r="AK37" s="64" t="s">
        <v>547</v>
      </c>
      <c r="AL37" s="65">
        <v>48916</v>
      </c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2:38" ht="15.75" thickBot="1" x14ac:dyDescent="0.3">
      <c r="AI39" s="60" t="s">
        <v>40</v>
      </c>
      <c r="AJ39" s="60"/>
      <c r="AK39" s="60"/>
      <c r="AL39" s="66">
        <f>+SUM(AL23:AL38)</f>
        <v>472718</v>
      </c>
    </row>
    <row r="40" spans="2:38" ht="15.75" thickTop="1" x14ac:dyDescent="0.25"/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38"/>
  <sheetViews>
    <sheetView zoomScale="80" zoomScaleNormal="80" workbookViewId="0">
      <selection activeCell="AC13" sqref="AC13"/>
    </sheetView>
  </sheetViews>
  <sheetFormatPr defaultRowHeight="15" x14ac:dyDescent="0.25"/>
  <cols>
    <col min="3" max="3" width="14" bestFit="1" customWidth="1"/>
    <col min="4" max="4" width="9.5703125" bestFit="1" customWidth="1"/>
    <col min="5" max="5" width="1.7109375" customWidth="1"/>
    <col min="9" max="9" width="0.5703125" customWidth="1"/>
    <col min="11" max="11" width="13.7109375" bestFit="1" customWidth="1"/>
    <col min="12" max="12" width="9.5703125" bestFit="1" customWidth="1"/>
    <col min="13" max="13" width="0.7109375" customWidth="1"/>
    <col min="15" max="15" width="14.7109375" bestFit="1" customWidth="1"/>
    <col min="17" max="17" width="1" customWidth="1"/>
    <col min="21" max="21" width="0.7109375" customWidth="1"/>
    <col min="25" max="25" width="9.5703125" bestFit="1" customWidth="1"/>
    <col min="27" max="27" width="0.5703125" customWidth="1"/>
    <col min="29" max="29" width="10.5703125" bestFit="1" customWidth="1"/>
    <col min="33" max="33" width="1.7109375" customWidth="1"/>
    <col min="34" max="34" width="9.140625" hidden="1" customWidth="1"/>
  </cols>
  <sheetData>
    <row r="2" spans="2:38" ht="15.75" thickBot="1" x14ac:dyDescent="0.3"/>
    <row r="3" spans="2:38" x14ac:dyDescent="0.25">
      <c r="B3" s="104" t="s">
        <v>0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197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19</v>
      </c>
      <c r="D6" s="36">
        <f>+C6*B6</f>
        <v>190</v>
      </c>
      <c r="E6" s="1"/>
      <c r="F6" s="2">
        <v>10</v>
      </c>
      <c r="G6" s="2">
        <v>24</v>
      </c>
      <c r="H6" s="36">
        <f>+G6*F6</f>
        <v>240</v>
      </c>
      <c r="I6" s="1"/>
      <c r="J6" s="2">
        <v>10</v>
      </c>
      <c r="K6" s="2">
        <v>17</v>
      </c>
      <c r="L6" s="36">
        <f>+K6*J6</f>
        <v>170</v>
      </c>
      <c r="M6" s="1"/>
      <c r="N6" s="2">
        <v>10</v>
      </c>
      <c r="O6" s="2">
        <v>125</v>
      </c>
      <c r="P6" s="36">
        <f>+O6*N6</f>
        <v>1250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185</v>
      </c>
      <c r="Y6" s="37">
        <f>+D6+H6+L6+P6+T6</f>
        <v>1850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 x14ac:dyDescent="0.25">
      <c r="B7" s="2">
        <v>20</v>
      </c>
      <c r="C7" s="2">
        <v>6</v>
      </c>
      <c r="D7" s="36">
        <f t="shared" ref="D7:D12" si="1">+C7*B7</f>
        <v>120</v>
      </c>
      <c r="E7" s="1"/>
      <c r="F7" s="2">
        <v>20</v>
      </c>
      <c r="G7" s="2">
        <v>11</v>
      </c>
      <c r="H7" s="36">
        <f t="shared" ref="H7:H12" si="2">+G7*F7</f>
        <v>220</v>
      </c>
      <c r="I7" s="1"/>
      <c r="J7" s="2">
        <v>20</v>
      </c>
      <c r="K7" s="2">
        <v>4</v>
      </c>
      <c r="L7" s="36">
        <f t="shared" ref="L7:L12" si="3">+K7*J7</f>
        <v>80</v>
      </c>
      <c r="M7" s="1"/>
      <c r="N7" s="2">
        <v>20</v>
      </c>
      <c r="O7" s="2">
        <v>12</v>
      </c>
      <c r="P7" s="36">
        <f t="shared" ref="P7:P12" si="4">+O7*N7</f>
        <v>240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33</v>
      </c>
      <c r="Y7" s="37">
        <f t="shared" ref="Y7:Y12" si="6">+D7+H7+L7+P7+T7</f>
        <v>660</v>
      </c>
      <c r="Z7" s="13"/>
      <c r="AA7" s="1"/>
      <c r="AB7" s="56" t="s">
        <v>10</v>
      </c>
      <c r="AC7" s="57">
        <f>Y13</f>
        <v>297510</v>
      </c>
      <c r="AD7" s="26"/>
      <c r="AE7" s="26"/>
      <c r="AF7" s="26"/>
      <c r="AG7" s="26"/>
      <c r="AH7" s="1"/>
      <c r="AI7" s="2">
        <v>10</v>
      </c>
      <c r="AJ7" s="2">
        <v>191</v>
      </c>
      <c r="AK7" s="36">
        <f t="shared" si="0"/>
        <v>1910</v>
      </c>
      <c r="AL7" s="1"/>
    </row>
    <row r="8" spans="2:38" x14ac:dyDescent="0.25">
      <c r="B8" s="2">
        <v>50</v>
      </c>
      <c r="C8" s="2">
        <v>37</v>
      </c>
      <c r="D8" s="36">
        <f t="shared" si="1"/>
        <v>1850</v>
      </c>
      <c r="E8" s="1"/>
      <c r="F8" s="2">
        <v>50</v>
      </c>
      <c r="G8" s="2">
        <v>84</v>
      </c>
      <c r="H8" s="36">
        <f t="shared" si="2"/>
        <v>4200</v>
      </c>
      <c r="I8" s="1"/>
      <c r="J8" s="2">
        <v>50</v>
      </c>
      <c r="K8" s="2">
        <v>30</v>
      </c>
      <c r="L8" s="36">
        <f t="shared" si="3"/>
        <v>1500</v>
      </c>
      <c r="M8" s="1"/>
      <c r="N8" s="2">
        <v>50</v>
      </c>
      <c r="O8" s="2">
        <v>33</v>
      </c>
      <c r="P8" s="36">
        <f t="shared" si="4"/>
        <v>1650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184</v>
      </c>
      <c r="Y8" s="37">
        <f t="shared" si="6"/>
        <v>9200</v>
      </c>
      <c r="Z8" s="13"/>
      <c r="AA8" s="1"/>
      <c r="AB8" s="53" t="s">
        <v>11</v>
      </c>
      <c r="AC8" s="53">
        <f>+AF31</f>
        <v>129567</v>
      </c>
      <c r="AD8" s="1"/>
      <c r="AE8" s="1"/>
      <c r="AF8" s="1"/>
      <c r="AG8" s="1"/>
      <c r="AH8" s="1"/>
      <c r="AI8" s="2">
        <v>20</v>
      </c>
      <c r="AJ8" s="2">
        <v>36</v>
      </c>
      <c r="AK8" s="36">
        <f t="shared" si="0"/>
        <v>720</v>
      </c>
      <c r="AL8" s="1"/>
    </row>
    <row r="9" spans="2:38" ht="15.75" thickBot="1" x14ac:dyDescent="0.3">
      <c r="B9" s="2">
        <v>100</v>
      </c>
      <c r="C9" s="2">
        <v>34</v>
      </c>
      <c r="D9" s="36">
        <f t="shared" si="1"/>
        <v>3400</v>
      </c>
      <c r="E9" s="1"/>
      <c r="F9" s="2">
        <v>100</v>
      </c>
      <c r="G9" s="2">
        <v>33</v>
      </c>
      <c r="H9" s="36">
        <f t="shared" si="2"/>
        <v>3300</v>
      </c>
      <c r="I9" s="1"/>
      <c r="J9" s="2">
        <v>100</v>
      </c>
      <c r="K9" s="2">
        <v>13</v>
      </c>
      <c r="L9" s="36">
        <f t="shared" si="3"/>
        <v>1300</v>
      </c>
      <c r="M9" s="1"/>
      <c r="N9" s="2">
        <v>100</v>
      </c>
      <c r="O9" s="2">
        <v>18</v>
      </c>
      <c r="P9" s="36">
        <f t="shared" si="4"/>
        <v>1800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98</v>
      </c>
      <c r="Y9" s="37">
        <f t="shared" si="6"/>
        <v>9800</v>
      </c>
      <c r="Z9" s="13"/>
      <c r="AA9" s="1"/>
      <c r="AB9" s="58" t="s">
        <v>12</v>
      </c>
      <c r="AC9" s="59">
        <f>SUM(AC7:AC8)</f>
        <v>427077</v>
      </c>
      <c r="AD9" s="1"/>
      <c r="AE9" s="1"/>
      <c r="AF9" s="1"/>
      <c r="AG9" s="1"/>
      <c r="AH9" s="1"/>
      <c r="AI9" s="2">
        <v>50</v>
      </c>
      <c r="AJ9" s="2">
        <v>193</v>
      </c>
      <c r="AK9" s="36">
        <f t="shared" si="0"/>
        <v>9650</v>
      </c>
      <c r="AL9" s="1"/>
    </row>
    <row r="10" spans="2:38" x14ac:dyDescent="0.25">
      <c r="B10" s="2">
        <v>500</v>
      </c>
      <c r="C10" s="2">
        <v>20</v>
      </c>
      <c r="D10" s="36">
        <f t="shared" si="1"/>
        <v>10000</v>
      </c>
      <c r="E10" s="1"/>
      <c r="F10" s="2">
        <v>500</v>
      </c>
      <c r="G10" s="2">
        <v>56</v>
      </c>
      <c r="H10" s="36">
        <f t="shared" si="2"/>
        <v>28000</v>
      </c>
      <c r="I10" s="1"/>
      <c r="J10" s="2">
        <v>500</v>
      </c>
      <c r="K10" s="2">
        <v>39</v>
      </c>
      <c r="L10" s="36">
        <f t="shared" si="3"/>
        <v>19500</v>
      </c>
      <c r="M10" s="1"/>
      <c r="N10" s="2">
        <v>500</v>
      </c>
      <c r="O10" s="2">
        <v>23</v>
      </c>
      <c r="P10" s="36">
        <f t="shared" si="4"/>
        <v>11500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138</v>
      </c>
      <c r="Y10" s="37">
        <f t="shared" si="6"/>
        <v>69000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153</v>
      </c>
      <c r="AK10" s="36">
        <f t="shared" si="0"/>
        <v>15300</v>
      </c>
      <c r="AL10" s="1"/>
    </row>
    <row r="11" spans="2:38" x14ac:dyDescent="0.25">
      <c r="B11" s="2">
        <v>1000</v>
      </c>
      <c r="C11" s="2">
        <v>33</v>
      </c>
      <c r="D11" s="36">
        <f t="shared" si="1"/>
        <v>33000</v>
      </c>
      <c r="E11" s="1"/>
      <c r="F11" s="2">
        <v>1000</v>
      </c>
      <c r="G11" s="2">
        <v>39</v>
      </c>
      <c r="H11" s="36">
        <f t="shared" si="2"/>
        <v>39000</v>
      </c>
      <c r="I11" s="1"/>
      <c r="J11" s="2">
        <v>1000</v>
      </c>
      <c r="K11" s="2">
        <v>46</v>
      </c>
      <c r="L11" s="36">
        <f t="shared" si="3"/>
        <v>46000</v>
      </c>
      <c r="M11" s="1"/>
      <c r="N11" s="2">
        <v>1000</v>
      </c>
      <c r="O11" s="2">
        <v>29</v>
      </c>
      <c r="P11" s="36">
        <f t="shared" si="4"/>
        <v>29000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147</v>
      </c>
      <c r="Y11" s="37">
        <f t="shared" si="6"/>
        <v>147000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187</v>
      </c>
      <c r="AK11" s="36">
        <f t="shared" si="0"/>
        <v>93500</v>
      </c>
      <c r="AL11" s="1"/>
    </row>
    <row r="12" spans="2:38" x14ac:dyDescent="0.25">
      <c r="B12" s="2">
        <v>5000</v>
      </c>
      <c r="C12" s="2">
        <v>6</v>
      </c>
      <c r="D12" s="36">
        <f t="shared" si="1"/>
        <v>30000</v>
      </c>
      <c r="E12" s="1"/>
      <c r="F12" s="2">
        <v>5000</v>
      </c>
      <c r="G12" s="2">
        <v>2</v>
      </c>
      <c r="H12" s="36">
        <f t="shared" si="2"/>
        <v>10000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12</v>
      </c>
      <c r="Y12" s="37">
        <f t="shared" si="6"/>
        <v>60000</v>
      </c>
      <c r="Z12" s="13"/>
      <c r="AA12" s="1"/>
      <c r="AB12" s="1" t="s">
        <v>17</v>
      </c>
      <c r="AC12" s="5">
        <v>427080</v>
      </c>
      <c r="AD12" s="1">
        <v>989183</v>
      </c>
      <c r="AE12" s="52" t="s">
        <v>735</v>
      </c>
      <c r="AF12" s="1" t="s">
        <v>103</v>
      </c>
      <c r="AG12" s="1"/>
      <c r="AH12" s="1"/>
      <c r="AI12" s="2">
        <v>1000</v>
      </c>
      <c r="AJ12" s="2">
        <v>201</v>
      </c>
      <c r="AK12" s="36">
        <f t="shared" si="0"/>
        <v>201000</v>
      </c>
      <c r="AL12" s="1"/>
    </row>
    <row r="13" spans="2:38" ht="15.75" thickBot="1" x14ac:dyDescent="0.3">
      <c r="B13" s="3" t="s">
        <v>18</v>
      </c>
      <c r="C13" s="3"/>
      <c r="D13" s="6">
        <f>+SUM(D5:D12)</f>
        <v>78560</v>
      </c>
      <c r="E13" s="1"/>
      <c r="F13" s="3" t="s">
        <v>18</v>
      </c>
      <c r="G13" s="3"/>
      <c r="H13" s="6">
        <f>+SUM(H5:H12)</f>
        <v>84960</v>
      </c>
      <c r="I13" s="1"/>
      <c r="J13" s="3" t="s">
        <v>18</v>
      </c>
      <c r="K13" s="3"/>
      <c r="L13" s="6">
        <f>+SUM(L5:L12)</f>
        <v>73550</v>
      </c>
      <c r="M13" s="1"/>
      <c r="N13" s="3" t="s">
        <v>18</v>
      </c>
      <c r="O13" s="3"/>
      <c r="P13" s="6">
        <f>+SUM(P5:P12)</f>
        <v>60440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297510</v>
      </c>
      <c r="Z13" s="13"/>
      <c r="AA13" s="1"/>
      <c r="AB13" s="1" t="s">
        <v>19</v>
      </c>
      <c r="AC13" s="5"/>
      <c r="AD13" s="1"/>
      <c r="AE13" s="1"/>
      <c r="AF13" s="1"/>
      <c r="AG13" s="1"/>
      <c r="AH13" s="1"/>
      <c r="AI13" s="2">
        <v>5000</v>
      </c>
      <c r="AJ13" s="2">
        <v>21</v>
      </c>
      <c r="AK13" s="36">
        <f t="shared" si="0"/>
        <v>105000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427080</v>
      </c>
      <c r="AL14" s="1"/>
    </row>
    <row r="15" spans="2:38" ht="15.75" thickBot="1" x14ac:dyDescent="0.3">
      <c r="B15" s="105" t="s">
        <v>21</v>
      </c>
      <c r="C15" s="106"/>
      <c r="D15" s="8">
        <v>108383</v>
      </c>
      <c r="E15" s="30"/>
      <c r="F15" s="105" t="s">
        <v>21</v>
      </c>
      <c r="G15" s="106"/>
      <c r="H15" s="8">
        <v>85213</v>
      </c>
      <c r="I15" s="30"/>
      <c r="J15" s="105" t="s">
        <v>21</v>
      </c>
      <c r="K15" s="106"/>
      <c r="L15" s="8">
        <v>106182</v>
      </c>
      <c r="M15" s="30"/>
      <c r="N15" s="105" t="s">
        <v>21</v>
      </c>
      <c r="O15" s="106"/>
      <c r="P15" s="8">
        <v>63625</v>
      </c>
      <c r="Q15" s="30"/>
      <c r="R15" s="105" t="s">
        <v>21</v>
      </c>
      <c r="S15" s="106"/>
      <c r="T15" s="8"/>
      <c r="U15" s="30"/>
      <c r="V15" s="31"/>
      <c r="W15" s="105" t="s">
        <v>21</v>
      </c>
      <c r="X15" s="106"/>
      <c r="Y15" s="8">
        <f>+D15+H15+L15+P15+T15</f>
        <v>363403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78560</v>
      </c>
      <c r="E16" s="1"/>
      <c r="F16" s="1" t="s">
        <v>10</v>
      </c>
      <c r="G16" s="1"/>
      <c r="H16" s="5">
        <f>+H13</f>
        <v>84960</v>
      </c>
      <c r="I16" s="1"/>
      <c r="J16" s="1" t="s">
        <v>10</v>
      </c>
      <c r="K16" s="1"/>
      <c r="L16" s="5">
        <f>+L13</f>
        <v>73550</v>
      </c>
      <c r="M16" s="1"/>
      <c r="N16" s="1" t="s">
        <v>10</v>
      </c>
      <c r="O16" s="1"/>
      <c r="P16" s="5">
        <f>+P13</f>
        <v>60440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297510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>
        <v>9140</v>
      </c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9140</v>
      </c>
      <c r="Z17" s="13"/>
      <c r="AA17" s="1"/>
      <c r="AB17" s="48" t="s">
        <v>12</v>
      </c>
      <c r="AC17" s="49">
        <f>+SUM(AC12:AC16)</f>
        <v>427080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718</v>
      </c>
      <c r="C18" s="1" t="s">
        <v>719</v>
      </c>
      <c r="D18" s="5">
        <v>5800</v>
      </c>
      <c r="E18" s="1"/>
      <c r="F18" s="1" t="s">
        <v>24</v>
      </c>
      <c r="G18" s="1"/>
      <c r="H18" s="5"/>
      <c r="I18" s="1"/>
      <c r="J18" s="1" t="s">
        <v>672</v>
      </c>
      <c r="K18" s="1" t="s">
        <v>728</v>
      </c>
      <c r="L18" s="5">
        <v>10840</v>
      </c>
      <c r="M18" s="1"/>
      <c r="N18" s="1" t="s">
        <v>734</v>
      </c>
      <c r="O18" s="1" t="s">
        <v>722</v>
      </c>
      <c r="P18" s="5">
        <v>3423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20063</v>
      </c>
      <c r="Z18" s="13"/>
      <c r="AA18" s="1"/>
      <c r="AB18" s="50" t="s">
        <v>25</v>
      </c>
      <c r="AC18" s="51">
        <f>+AC17-AC9</f>
        <v>3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t="s">
        <v>729</v>
      </c>
      <c r="D19" s="5">
        <v>12616</v>
      </c>
      <c r="E19" s="1"/>
      <c r="F19" s="1" t="s">
        <v>27</v>
      </c>
      <c r="G19" s="1"/>
      <c r="H19" s="5"/>
      <c r="I19" s="1"/>
      <c r="J19" s="1" t="s">
        <v>593</v>
      </c>
      <c r="K19" s="1" t="s">
        <v>727</v>
      </c>
      <c r="L19" s="5">
        <v>5500</v>
      </c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18116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720</v>
      </c>
      <c r="C20" s="1" t="s">
        <v>721</v>
      </c>
      <c r="D20" s="5">
        <v>11407</v>
      </c>
      <c r="E20" s="1"/>
      <c r="F20" s="1" t="s">
        <v>28</v>
      </c>
      <c r="G20" s="1"/>
      <c r="H20" s="5"/>
      <c r="I20" s="1"/>
      <c r="J20" s="1" t="s">
        <v>725</v>
      </c>
      <c r="K20" s="1" t="s">
        <v>726</v>
      </c>
      <c r="L20" s="5">
        <v>2500</v>
      </c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13907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 t="s">
        <v>615</v>
      </c>
      <c r="K21" s="1" t="s">
        <v>724</v>
      </c>
      <c r="L21" s="5">
        <v>4664</v>
      </c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4664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36</v>
      </c>
      <c r="S23" s="1"/>
      <c r="T23" s="5"/>
      <c r="U23" s="1"/>
      <c r="V23" s="12"/>
      <c r="W23" s="40" t="s">
        <v>36</v>
      </c>
      <c r="X23" s="40"/>
      <c r="Y23" s="37">
        <f t="shared" si="8"/>
        <v>0</v>
      </c>
      <c r="Z23" s="13"/>
      <c r="AA23" s="1"/>
      <c r="AB23" s="64" t="s">
        <v>713</v>
      </c>
      <c r="AC23" s="73">
        <v>45920</v>
      </c>
      <c r="AD23" s="64" t="s">
        <v>396</v>
      </c>
      <c r="AE23" s="64"/>
      <c r="AF23" s="92">
        <v>10792</v>
      </c>
      <c r="AG23" s="1"/>
      <c r="AH23" s="1"/>
      <c r="AI23" s="64" t="s">
        <v>206</v>
      </c>
      <c r="AJ23" s="64" t="s">
        <v>489</v>
      </c>
      <c r="AK23" s="64" t="s">
        <v>39</v>
      </c>
      <c r="AL23" s="65">
        <v>7774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64" t="s">
        <v>714</v>
      </c>
      <c r="AC24" s="73">
        <v>45919</v>
      </c>
      <c r="AD24" s="64" t="s">
        <v>396</v>
      </c>
      <c r="AE24" s="64"/>
      <c r="AF24" s="65">
        <v>26468</v>
      </c>
      <c r="AG24" s="1"/>
      <c r="AH24" s="1"/>
      <c r="AI24" s="64" t="s">
        <v>115</v>
      </c>
      <c r="AJ24" s="64" t="s">
        <v>517</v>
      </c>
      <c r="AK24" s="64" t="s">
        <v>732</v>
      </c>
      <c r="AL24" s="65">
        <v>38000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64" t="s">
        <v>716</v>
      </c>
      <c r="AC25" s="73">
        <v>45914</v>
      </c>
      <c r="AD25" s="64" t="s">
        <v>715</v>
      </c>
      <c r="AE25" s="64"/>
      <c r="AF25" s="65">
        <v>13810</v>
      </c>
      <c r="AG25" s="1"/>
      <c r="AH25" s="1"/>
      <c r="AI25" s="64" t="s">
        <v>117</v>
      </c>
      <c r="AJ25" s="64" t="s">
        <v>527</v>
      </c>
      <c r="AK25" s="64" t="s">
        <v>733</v>
      </c>
      <c r="AL25" s="69">
        <v>4174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64" t="s">
        <v>717</v>
      </c>
      <c r="AC26" s="73">
        <v>45920</v>
      </c>
      <c r="AD26" s="64" t="s">
        <v>635</v>
      </c>
      <c r="AE26" s="64"/>
      <c r="AF26" s="65">
        <v>20000</v>
      </c>
      <c r="AG26" s="1"/>
      <c r="AH26" s="1"/>
      <c r="AI26" s="64" t="s">
        <v>117</v>
      </c>
      <c r="AJ26" s="64" t="s">
        <v>528</v>
      </c>
      <c r="AK26" s="64" t="s">
        <v>55</v>
      </c>
      <c r="AL26" s="69">
        <v>6400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64" t="s">
        <v>723</v>
      </c>
      <c r="AC27" s="76">
        <v>45904</v>
      </c>
      <c r="AD27" s="64" t="s">
        <v>254</v>
      </c>
      <c r="AE27" s="64"/>
      <c r="AF27" s="64">
        <v>20727</v>
      </c>
      <c r="AG27" s="1"/>
      <c r="AH27" s="1"/>
      <c r="AI27" s="64" t="s">
        <v>709</v>
      </c>
      <c r="AJ27" s="91" t="s">
        <v>731</v>
      </c>
      <c r="AK27" s="64" t="s">
        <v>547</v>
      </c>
      <c r="AL27" s="65">
        <v>48000</v>
      </c>
    </row>
    <row r="28" spans="2:38" ht="15.75" thickBot="1" x14ac:dyDescent="0.3">
      <c r="B28" s="99" t="s">
        <v>12</v>
      </c>
      <c r="C28" s="100"/>
      <c r="D28" s="9">
        <f>+SUM(D16:D27)</f>
        <v>108383</v>
      </c>
      <c r="E28" s="1"/>
      <c r="F28" s="99" t="s">
        <v>12</v>
      </c>
      <c r="G28" s="100"/>
      <c r="H28" s="9">
        <f>+SUM(H16:H27)</f>
        <v>84960</v>
      </c>
      <c r="I28" s="1"/>
      <c r="J28" s="99" t="s">
        <v>12</v>
      </c>
      <c r="K28" s="100"/>
      <c r="L28" s="9">
        <f>+SUM(L16:L27)</f>
        <v>106194</v>
      </c>
      <c r="M28" s="1"/>
      <c r="N28" s="99" t="s">
        <v>12</v>
      </c>
      <c r="O28" s="100"/>
      <c r="P28" s="9">
        <f>+SUM(P16:P27)</f>
        <v>63863</v>
      </c>
      <c r="Q28" s="1"/>
      <c r="R28" s="99" t="s">
        <v>12</v>
      </c>
      <c r="S28" s="100"/>
      <c r="T28" s="9">
        <f>+SUM(T16:T27)</f>
        <v>0</v>
      </c>
      <c r="U28" s="1"/>
      <c r="V28" s="12"/>
      <c r="W28" s="99" t="s">
        <v>12</v>
      </c>
      <c r="X28" s="100"/>
      <c r="Y28" s="9">
        <f>+SUM(Y16:Y27)</f>
        <v>363400</v>
      </c>
      <c r="Z28" s="13"/>
      <c r="AA28" s="1"/>
      <c r="AB28" s="64" t="s">
        <v>730</v>
      </c>
      <c r="AC28" s="76">
        <v>45905</v>
      </c>
      <c r="AD28" s="64" t="s">
        <v>163</v>
      </c>
      <c r="AE28" s="64"/>
      <c r="AF28" s="65">
        <v>22770</v>
      </c>
      <c r="AG28" s="1"/>
      <c r="AH28" s="1"/>
      <c r="AI28" s="64" t="s">
        <v>122</v>
      </c>
      <c r="AJ28" s="64" t="s">
        <v>215</v>
      </c>
      <c r="AK28" s="64"/>
      <c r="AL28" s="65">
        <v>9140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64" t="s">
        <v>699</v>
      </c>
      <c r="AC29" s="76">
        <v>45901</v>
      </c>
      <c r="AD29" s="64" t="s">
        <v>75</v>
      </c>
      <c r="AE29" s="64"/>
      <c r="AF29" s="65">
        <v>15000</v>
      </c>
      <c r="AG29" s="1"/>
      <c r="AH29" s="1"/>
      <c r="AI29" s="1"/>
      <c r="AJ29" s="1"/>
      <c r="AK29" s="1"/>
      <c r="AL29" s="62"/>
    </row>
    <row r="30" spans="2:38" ht="15.75" thickBot="1" x14ac:dyDescent="0.3">
      <c r="B30" s="101" t="s">
        <v>41</v>
      </c>
      <c r="C30" s="101"/>
      <c r="D30" s="7">
        <f>+D28-D15</f>
        <v>0</v>
      </c>
      <c r="E30" s="1"/>
      <c r="F30" s="101" t="s">
        <v>41</v>
      </c>
      <c r="G30" s="101"/>
      <c r="H30" s="7">
        <f>+H28-H15</f>
        <v>-253</v>
      </c>
      <c r="I30" s="1"/>
      <c r="J30" s="101" t="s">
        <v>41</v>
      </c>
      <c r="K30" s="101"/>
      <c r="L30" s="7">
        <f>+L28-L15</f>
        <v>12</v>
      </c>
      <c r="M30" s="1"/>
      <c r="N30" s="101" t="s">
        <v>41</v>
      </c>
      <c r="O30" s="101"/>
      <c r="P30" s="7">
        <f>+P28-P15</f>
        <v>238</v>
      </c>
      <c r="Q30" s="1"/>
      <c r="R30" s="101" t="s">
        <v>41</v>
      </c>
      <c r="S30" s="101"/>
      <c r="T30" s="7">
        <f>+T28-T15</f>
        <v>0</v>
      </c>
      <c r="U30" s="1"/>
      <c r="V30" s="12"/>
      <c r="W30" s="102" t="s">
        <v>41</v>
      </c>
      <c r="X30" s="102"/>
      <c r="Y30" s="41">
        <f>+Y28-Y15</f>
        <v>-3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129567</v>
      </c>
      <c r="AG31" s="1"/>
      <c r="AH31" s="1"/>
      <c r="AI31" s="60" t="s">
        <v>40</v>
      </c>
      <c r="AJ31" s="60"/>
      <c r="AK31" s="60"/>
      <c r="AL31" s="55">
        <f>+SUM(AL23:AL30)</f>
        <v>113488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>
        <v>253</v>
      </c>
      <c r="I34" s="1"/>
      <c r="J34" s="10" t="s">
        <v>42</v>
      </c>
      <c r="K34" s="11"/>
      <c r="L34" s="21"/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253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/>
      <c r="E36" s="1"/>
      <c r="F36" s="12" t="s">
        <v>45</v>
      </c>
      <c r="G36" s="16"/>
      <c r="H36" s="22"/>
      <c r="I36" s="1"/>
      <c r="J36" s="12" t="s">
        <v>45</v>
      </c>
      <c r="K36" s="16"/>
      <c r="L36" s="22">
        <v>-12</v>
      </c>
      <c r="M36" s="1"/>
      <c r="N36" s="12" t="s">
        <v>45</v>
      </c>
      <c r="O36" s="16"/>
      <c r="P36" s="22">
        <v>-238</v>
      </c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-250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0</v>
      </c>
      <c r="E37" s="1"/>
      <c r="F37" s="12" t="s">
        <v>18</v>
      </c>
      <c r="G37" s="16"/>
      <c r="H37" s="22">
        <f>+SUM(H34:H36)</f>
        <v>253</v>
      </c>
      <c r="I37" s="1"/>
      <c r="J37" s="12" t="s">
        <v>18</v>
      </c>
      <c r="K37" s="16"/>
      <c r="L37" s="22">
        <f>+SUM(L34:L36)</f>
        <v>-12</v>
      </c>
      <c r="M37" s="1"/>
      <c r="N37" s="12" t="s">
        <v>18</v>
      </c>
      <c r="O37" s="16"/>
      <c r="P37" s="22">
        <f>+SUM(P34:P36)</f>
        <v>-238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3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2"/>
  <sheetViews>
    <sheetView zoomScale="80" zoomScaleNormal="80" workbookViewId="0">
      <selection activeCell="S25" sqref="S25"/>
    </sheetView>
  </sheetViews>
  <sheetFormatPr defaultRowHeight="15" x14ac:dyDescent="0.25"/>
  <cols>
    <col min="3" max="3" width="14" bestFit="1" customWidth="1"/>
    <col min="4" max="4" width="9.5703125" bestFit="1" customWidth="1"/>
    <col min="5" max="5" width="0.85546875" customWidth="1"/>
    <col min="8" max="8" width="9.7109375" bestFit="1" customWidth="1"/>
    <col min="9" max="9" width="0.5703125" customWidth="1"/>
    <col min="11" max="11" width="14" bestFit="1" customWidth="1"/>
    <col min="12" max="12" width="9.140625" customWidth="1"/>
    <col min="13" max="13" width="0.85546875" customWidth="1"/>
    <col min="15" max="15" width="13.5703125" bestFit="1" customWidth="1"/>
    <col min="17" max="17" width="0.5703125" customWidth="1"/>
    <col min="19" max="19" width="19.42578125" bestFit="1" customWidth="1"/>
    <col min="20" max="20" width="9.5703125" bestFit="1" customWidth="1"/>
    <col min="21" max="21" width="0.7109375" customWidth="1"/>
    <col min="25" max="25" width="9.5703125" bestFit="1" customWidth="1"/>
    <col min="27" max="27" width="0.85546875" customWidth="1"/>
    <col min="29" max="29" width="9.85546875" bestFit="1" customWidth="1"/>
    <col min="33" max="33" width="1.140625" customWidth="1"/>
    <col min="34" max="34" width="9.140625" hidden="1" customWidth="1"/>
    <col min="36" max="36" width="13.140625" bestFit="1" customWidth="1"/>
    <col min="37" max="37" width="11.28515625" bestFit="1" customWidth="1"/>
  </cols>
  <sheetData>
    <row r="2" spans="2:38" ht="15.75" thickBot="1" x14ac:dyDescent="0.3"/>
    <row r="3" spans="2:38" x14ac:dyDescent="0.25">
      <c r="B3" s="104" t="s">
        <v>592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197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134</v>
      </c>
      <c r="D6" s="36">
        <f>+C6*B6</f>
        <v>1340</v>
      </c>
      <c r="E6" s="1"/>
      <c r="F6" s="2">
        <v>10</v>
      </c>
      <c r="G6" s="2">
        <v>202</v>
      </c>
      <c r="H6" s="36">
        <f>+G6*F6</f>
        <v>2020</v>
      </c>
      <c r="I6" s="1"/>
      <c r="J6" s="2">
        <v>10</v>
      </c>
      <c r="K6" s="2">
        <v>29</v>
      </c>
      <c r="L6" s="36">
        <f>+K6*J6</f>
        <v>290</v>
      </c>
      <c r="M6" s="1"/>
      <c r="N6" s="2">
        <v>10</v>
      </c>
      <c r="O6" s="2">
        <v>99</v>
      </c>
      <c r="P6" s="36">
        <f>+O6*N6</f>
        <v>990</v>
      </c>
      <c r="Q6" s="1"/>
      <c r="R6" s="2">
        <v>10</v>
      </c>
      <c r="S6" s="2">
        <v>240</v>
      </c>
      <c r="T6" s="36">
        <f>+S6*R6</f>
        <v>2400</v>
      </c>
      <c r="U6" s="1"/>
      <c r="V6" s="12"/>
      <c r="W6" s="39">
        <v>10</v>
      </c>
      <c r="X6" s="39">
        <f>+C6+G6+K6+O6+S6</f>
        <v>704</v>
      </c>
      <c r="Y6" s="37">
        <f>+D6+H6+L6+P6+T6</f>
        <v>7040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8</v>
      </c>
      <c r="AK6" s="36">
        <f t="shared" ref="AK6:AK13" si="0">+AJ6*AI6</f>
        <v>8</v>
      </c>
      <c r="AL6" s="26"/>
    </row>
    <row r="7" spans="2:38" x14ac:dyDescent="0.25">
      <c r="B7" s="2">
        <v>20</v>
      </c>
      <c r="C7" s="2">
        <v>34</v>
      </c>
      <c r="D7" s="36">
        <f t="shared" ref="D7:D12" si="1">+C7*B7</f>
        <v>680</v>
      </c>
      <c r="E7" s="1"/>
      <c r="F7" s="2">
        <v>20</v>
      </c>
      <c r="G7" s="2">
        <v>14</v>
      </c>
      <c r="H7" s="36">
        <f t="shared" ref="H7:H12" si="2">+G7*F7</f>
        <v>280</v>
      </c>
      <c r="I7" s="1"/>
      <c r="J7" s="2">
        <v>20</v>
      </c>
      <c r="K7" s="2">
        <v>14</v>
      </c>
      <c r="L7" s="36">
        <f t="shared" ref="L7:L12" si="3">+K7*J7</f>
        <v>280</v>
      </c>
      <c r="M7" s="1"/>
      <c r="N7" s="2">
        <v>20</v>
      </c>
      <c r="O7" s="2">
        <v>19</v>
      </c>
      <c r="P7" s="36">
        <f t="shared" ref="P7:P12" si="4">+O7*N7</f>
        <v>380</v>
      </c>
      <c r="Q7" s="1"/>
      <c r="R7" s="2">
        <v>20</v>
      </c>
      <c r="S7" s="2">
        <v>118</v>
      </c>
      <c r="T7" s="36">
        <f t="shared" ref="T7:T12" si="5">+S7*R7</f>
        <v>2360</v>
      </c>
      <c r="U7" s="1"/>
      <c r="V7" s="12"/>
      <c r="W7" s="39">
        <v>20</v>
      </c>
      <c r="X7" s="39">
        <f>+C7+G7+K7+O7+S7</f>
        <v>199</v>
      </c>
      <c r="Y7" s="37">
        <f t="shared" ref="Y7:Y12" si="6">+D7+H7+L7+P7+T7</f>
        <v>3980</v>
      </c>
      <c r="Z7" s="13"/>
      <c r="AA7" s="1"/>
      <c r="AB7" s="56" t="s">
        <v>10</v>
      </c>
      <c r="AC7" s="57">
        <f>Y13</f>
        <v>425770</v>
      </c>
      <c r="AD7" s="26"/>
      <c r="AE7" s="26"/>
      <c r="AF7" s="26"/>
      <c r="AG7" s="26"/>
      <c r="AH7" s="1"/>
      <c r="AI7" s="2">
        <v>10</v>
      </c>
      <c r="AJ7" s="2">
        <v>704</v>
      </c>
      <c r="AK7" s="36">
        <f t="shared" si="0"/>
        <v>7040</v>
      </c>
      <c r="AL7" s="1"/>
    </row>
    <row r="8" spans="2:38" x14ac:dyDescent="0.25">
      <c r="B8" s="2">
        <v>50</v>
      </c>
      <c r="C8" s="2">
        <v>29</v>
      </c>
      <c r="D8" s="36">
        <f t="shared" si="1"/>
        <v>1450</v>
      </c>
      <c r="E8" s="1"/>
      <c r="F8" s="2">
        <v>50</v>
      </c>
      <c r="G8" s="2">
        <v>152</v>
      </c>
      <c r="H8" s="36">
        <f t="shared" si="2"/>
        <v>7600</v>
      </c>
      <c r="I8" s="1"/>
      <c r="J8" s="2">
        <v>50</v>
      </c>
      <c r="K8" s="2">
        <v>23</v>
      </c>
      <c r="L8" s="36">
        <f t="shared" si="3"/>
        <v>1150</v>
      </c>
      <c r="M8" s="1"/>
      <c r="N8" s="2">
        <v>50</v>
      </c>
      <c r="O8" s="2">
        <v>11</v>
      </c>
      <c r="P8" s="36">
        <f t="shared" si="4"/>
        <v>550</v>
      </c>
      <c r="Q8" s="1"/>
      <c r="R8" s="2">
        <v>50</v>
      </c>
      <c r="S8" s="2">
        <v>150</v>
      </c>
      <c r="T8" s="36">
        <f t="shared" si="5"/>
        <v>7500</v>
      </c>
      <c r="U8" s="1"/>
      <c r="V8" s="12"/>
      <c r="W8" s="39">
        <v>50</v>
      </c>
      <c r="X8" s="39">
        <f t="shared" ref="X8:X12" si="7">+C8+G8+K8+O8+S8</f>
        <v>365</v>
      </c>
      <c r="Y8" s="37">
        <f t="shared" si="6"/>
        <v>18250</v>
      </c>
      <c r="Z8" s="13"/>
      <c r="AA8" s="1"/>
      <c r="AB8" s="53" t="s">
        <v>11</v>
      </c>
      <c r="AC8" s="53">
        <f>+AF31</f>
        <v>38000</v>
      </c>
      <c r="AD8" s="1"/>
      <c r="AE8" s="1"/>
      <c r="AF8" s="1"/>
      <c r="AG8" s="1"/>
      <c r="AH8" s="1"/>
      <c r="AI8" s="2">
        <v>20</v>
      </c>
      <c r="AJ8" s="2">
        <v>199</v>
      </c>
      <c r="AK8" s="36">
        <f t="shared" si="0"/>
        <v>3980</v>
      </c>
      <c r="AL8" s="1"/>
    </row>
    <row r="9" spans="2:38" ht="15.75" thickBot="1" x14ac:dyDescent="0.3">
      <c r="B9" s="2">
        <v>100</v>
      </c>
      <c r="C9" s="2">
        <v>61</v>
      </c>
      <c r="D9" s="36">
        <f t="shared" si="1"/>
        <v>6100</v>
      </c>
      <c r="E9" s="1"/>
      <c r="F9" s="2">
        <v>100</v>
      </c>
      <c r="G9" s="2">
        <v>46</v>
      </c>
      <c r="H9" s="36">
        <f t="shared" si="2"/>
        <v>4600</v>
      </c>
      <c r="I9" s="1"/>
      <c r="J9" s="2">
        <v>100</v>
      </c>
      <c r="K9" s="2">
        <v>36</v>
      </c>
      <c r="L9" s="36">
        <f t="shared" si="3"/>
        <v>3600</v>
      </c>
      <c r="M9" s="1"/>
      <c r="N9" s="2">
        <v>100</v>
      </c>
      <c r="O9" s="2">
        <v>28</v>
      </c>
      <c r="P9" s="36">
        <f t="shared" si="4"/>
        <v>2800</v>
      </c>
      <c r="Q9" s="1"/>
      <c r="R9" s="2">
        <v>100</v>
      </c>
      <c r="S9" s="2">
        <v>84</v>
      </c>
      <c r="T9" s="36">
        <f t="shared" si="5"/>
        <v>8400</v>
      </c>
      <c r="U9" s="1"/>
      <c r="V9" s="12"/>
      <c r="W9" s="39">
        <v>100</v>
      </c>
      <c r="X9" s="39">
        <f t="shared" si="7"/>
        <v>255</v>
      </c>
      <c r="Y9" s="37">
        <f t="shared" si="6"/>
        <v>25500</v>
      </c>
      <c r="Z9" s="13"/>
      <c r="AA9" s="1"/>
      <c r="AB9" s="58" t="s">
        <v>12</v>
      </c>
      <c r="AC9" s="59">
        <f>SUM(AC7:AC8)</f>
        <v>463770</v>
      </c>
      <c r="AD9" s="1"/>
      <c r="AE9" s="1"/>
      <c r="AF9" s="1"/>
      <c r="AG9" s="1"/>
      <c r="AH9" s="1"/>
      <c r="AI9" s="2">
        <v>50</v>
      </c>
      <c r="AJ9" s="2">
        <v>365</v>
      </c>
      <c r="AK9" s="36">
        <f t="shared" si="0"/>
        <v>18250</v>
      </c>
      <c r="AL9" s="1"/>
    </row>
    <row r="10" spans="2:38" x14ac:dyDescent="0.25">
      <c r="B10" s="2">
        <v>500</v>
      </c>
      <c r="C10" s="2">
        <v>59</v>
      </c>
      <c r="D10" s="36">
        <f t="shared" si="1"/>
        <v>29500</v>
      </c>
      <c r="E10" s="1"/>
      <c r="F10" s="2">
        <v>500</v>
      </c>
      <c r="G10" s="2">
        <v>87</v>
      </c>
      <c r="H10" s="36">
        <f t="shared" si="2"/>
        <v>43500</v>
      </c>
      <c r="I10" s="1"/>
      <c r="J10" s="2">
        <v>500</v>
      </c>
      <c r="K10" s="2">
        <v>21</v>
      </c>
      <c r="L10" s="36">
        <f t="shared" si="3"/>
        <v>10500</v>
      </c>
      <c r="M10" s="1"/>
      <c r="N10" s="2">
        <v>500</v>
      </c>
      <c r="O10" s="2">
        <v>33</v>
      </c>
      <c r="P10" s="36">
        <f t="shared" si="4"/>
        <v>16500</v>
      </c>
      <c r="Q10" s="1"/>
      <c r="R10" s="2">
        <v>500</v>
      </c>
      <c r="S10" s="2">
        <v>16</v>
      </c>
      <c r="T10" s="36">
        <f t="shared" si="5"/>
        <v>8000</v>
      </c>
      <c r="U10" s="1"/>
      <c r="V10" s="12"/>
      <c r="W10" s="39">
        <v>500</v>
      </c>
      <c r="X10" s="39">
        <f t="shared" si="7"/>
        <v>216</v>
      </c>
      <c r="Y10" s="37">
        <f t="shared" si="6"/>
        <v>108000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255</v>
      </c>
      <c r="AK10" s="36">
        <f t="shared" si="0"/>
        <v>25500</v>
      </c>
      <c r="AL10" s="1"/>
    </row>
    <row r="11" spans="2:38" x14ac:dyDescent="0.25">
      <c r="B11" s="2">
        <v>1000</v>
      </c>
      <c r="C11" s="2">
        <v>54</v>
      </c>
      <c r="D11" s="36">
        <f t="shared" si="1"/>
        <v>54000</v>
      </c>
      <c r="E11" s="1"/>
      <c r="F11" s="2">
        <v>1000</v>
      </c>
      <c r="G11" s="2">
        <v>27</v>
      </c>
      <c r="H11" s="36">
        <f t="shared" si="2"/>
        <v>27000</v>
      </c>
      <c r="I11" s="1"/>
      <c r="J11" s="2">
        <v>1000</v>
      </c>
      <c r="K11" s="2">
        <v>33</v>
      </c>
      <c r="L11" s="36">
        <f t="shared" si="3"/>
        <v>33000</v>
      </c>
      <c r="M11" s="1"/>
      <c r="N11" s="2">
        <v>1000</v>
      </c>
      <c r="O11" s="2">
        <v>46</v>
      </c>
      <c r="P11" s="36">
        <f t="shared" si="4"/>
        <v>46000</v>
      </c>
      <c r="Q11" s="1"/>
      <c r="R11" s="2">
        <v>1000</v>
      </c>
      <c r="S11" s="2">
        <v>53</v>
      </c>
      <c r="T11" s="36">
        <f t="shared" si="5"/>
        <v>53000</v>
      </c>
      <c r="U11" s="1"/>
      <c r="V11" s="12"/>
      <c r="W11" s="39">
        <v>1000</v>
      </c>
      <c r="X11" s="39">
        <f t="shared" si="7"/>
        <v>213</v>
      </c>
      <c r="Y11" s="37">
        <f t="shared" si="6"/>
        <v>213000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256</v>
      </c>
      <c r="AK11" s="36">
        <f t="shared" si="0"/>
        <v>128000</v>
      </c>
      <c r="AL11" s="1"/>
    </row>
    <row r="12" spans="2:38" x14ac:dyDescent="0.25">
      <c r="B12" s="2">
        <v>5000</v>
      </c>
      <c r="C12" s="2">
        <v>2</v>
      </c>
      <c r="D12" s="36">
        <f t="shared" si="1"/>
        <v>10000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1</v>
      </c>
      <c r="L12" s="36">
        <f t="shared" si="3"/>
        <v>5000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>
        <v>4</v>
      </c>
      <c r="T12" s="36">
        <f t="shared" si="5"/>
        <v>20000</v>
      </c>
      <c r="U12" s="1"/>
      <c r="V12" s="12"/>
      <c r="W12" s="39">
        <v>5000</v>
      </c>
      <c r="X12" s="39">
        <f t="shared" si="7"/>
        <v>10</v>
      </c>
      <c r="Y12" s="37">
        <f t="shared" si="6"/>
        <v>50000</v>
      </c>
      <c r="Z12" s="13"/>
      <c r="AA12" s="1"/>
      <c r="AB12" s="1" t="s">
        <v>17</v>
      </c>
      <c r="AC12" s="5">
        <v>463770</v>
      </c>
      <c r="AD12" s="1">
        <v>989170</v>
      </c>
      <c r="AE12" s="52" t="s">
        <v>768</v>
      </c>
      <c r="AF12" s="1" t="s">
        <v>103</v>
      </c>
      <c r="AG12" s="1"/>
      <c r="AH12" s="1"/>
      <c r="AI12" s="2">
        <v>1000</v>
      </c>
      <c r="AJ12" s="2">
        <v>231</v>
      </c>
      <c r="AK12" s="36">
        <f t="shared" si="0"/>
        <v>231000</v>
      </c>
      <c r="AL12" s="1"/>
    </row>
    <row r="13" spans="2:38" ht="15.75" thickBot="1" x14ac:dyDescent="0.3">
      <c r="B13" s="3" t="s">
        <v>18</v>
      </c>
      <c r="C13" s="3"/>
      <c r="D13" s="6">
        <f>+SUM(D5:D12)</f>
        <v>103070</v>
      </c>
      <c r="E13" s="1"/>
      <c r="F13" s="3" t="s">
        <v>18</v>
      </c>
      <c r="G13" s="3"/>
      <c r="H13" s="6">
        <f>+SUM(H5:H12)</f>
        <v>100000</v>
      </c>
      <c r="I13" s="1"/>
      <c r="J13" s="3" t="s">
        <v>18</v>
      </c>
      <c r="K13" s="3"/>
      <c r="L13" s="6">
        <f>+SUM(L5:L12)</f>
        <v>53820</v>
      </c>
      <c r="M13" s="1"/>
      <c r="N13" s="3" t="s">
        <v>18</v>
      </c>
      <c r="O13" s="3"/>
      <c r="P13" s="6">
        <f>+SUM(P5:P12)</f>
        <v>67220</v>
      </c>
      <c r="Q13" s="1"/>
      <c r="R13" s="3" t="s">
        <v>18</v>
      </c>
      <c r="S13" s="3"/>
      <c r="T13" s="6">
        <f>+SUM(T5:T12)</f>
        <v>101660</v>
      </c>
      <c r="U13" s="1"/>
      <c r="V13" s="12"/>
      <c r="W13" s="3" t="s">
        <v>18</v>
      </c>
      <c r="X13" s="3"/>
      <c r="Y13" s="6">
        <f>+SUM(Y5:Y12)</f>
        <v>425770</v>
      </c>
      <c r="Z13" s="13"/>
      <c r="AA13" s="1"/>
      <c r="AB13" s="1" t="s">
        <v>19</v>
      </c>
      <c r="AC13" s="5">
        <v>8</v>
      </c>
      <c r="AD13" s="1"/>
      <c r="AE13" s="1"/>
      <c r="AF13" s="1"/>
      <c r="AG13" s="1"/>
      <c r="AH13" s="1"/>
      <c r="AI13" s="2">
        <v>5000</v>
      </c>
      <c r="AJ13" s="2">
        <v>10</v>
      </c>
      <c r="AK13" s="36">
        <f t="shared" si="0"/>
        <v>50000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463778</v>
      </c>
      <c r="AL14" s="1"/>
    </row>
    <row r="15" spans="2:38" ht="15.75" thickBot="1" x14ac:dyDescent="0.3">
      <c r="B15" s="105" t="s">
        <v>21</v>
      </c>
      <c r="C15" s="106"/>
      <c r="D15" s="8">
        <v>113789</v>
      </c>
      <c r="E15" s="30"/>
      <c r="F15" s="105" t="s">
        <v>21</v>
      </c>
      <c r="G15" s="106"/>
      <c r="H15" s="8">
        <v>141118</v>
      </c>
      <c r="I15" s="30"/>
      <c r="J15" s="105" t="s">
        <v>21</v>
      </c>
      <c r="K15" s="106"/>
      <c r="L15" s="8">
        <v>81689</v>
      </c>
      <c r="M15" s="30"/>
      <c r="N15" s="105" t="s">
        <v>21</v>
      </c>
      <c r="O15" s="106"/>
      <c r="P15" s="8">
        <v>85798</v>
      </c>
      <c r="Q15" s="30"/>
      <c r="R15" s="105" t="s">
        <v>21</v>
      </c>
      <c r="S15" s="106"/>
      <c r="T15" s="8">
        <v>304332</v>
      </c>
      <c r="U15" s="30"/>
      <c r="V15" s="31"/>
      <c r="W15" s="105" t="s">
        <v>21</v>
      </c>
      <c r="X15" s="106"/>
      <c r="Y15" s="8">
        <f>+D15+H15+L15+P15+T15</f>
        <v>726726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103070</v>
      </c>
      <c r="E16" s="1"/>
      <c r="F16" s="1" t="s">
        <v>10</v>
      </c>
      <c r="G16" s="1"/>
      <c r="H16" s="5">
        <f>+H13</f>
        <v>100000</v>
      </c>
      <c r="I16" s="1"/>
      <c r="J16" s="1" t="s">
        <v>10</v>
      </c>
      <c r="K16" s="1"/>
      <c r="L16" s="5">
        <f>+L13</f>
        <v>53820</v>
      </c>
      <c r="M16" s="1"/>
      <c r="N16" s="1" t="s">
        <v>10</v>
      </c>
      <c r="O16" s="1"/>
      <c r="P16" s="5">
        <f>+P13</f>
        <v>67220</v>
      </c>
      <c r="Q16" s="1"/>
      <c r="R16" s="1" t="s">
        <v>10</v>
      </c>
      <c r="S16" s="1"/>
      <c r="T16" s="5">
        <f>+T13</f>
        <v>101660</v>
      </c>
      <c r="U16" s="1"/>
      <c r="V16" s="12"/>
      <c r="W16" s="40" t="s">
        <v>10</v>
      </c>
      <c r="X16" s="40"/>
      <c r="Y16" s="37">
        <f>+D16+H16+L16+P16+T16</f>
        <v>425770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463778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736</v>
      </c>
      <c r="C18" s="1" t="s">
        <v>737</v>
      </c>
      <c r="D18" s="5">
        <v>3328</v>
      </c>
      <c r="E18" s="1"/>
      <c r="F18" s="1" t="s">
        <v>697</v>
      </c>
      <c r="G18" s="1" t="s">
        <v>757</v>
      </c>
      <c r="H18" s="5">
        <v>15000</v>
      </c>
      <c r="I18" s="1"/>
      <c r="J18" s="1" t="s">
        <v>593</v>
      </c>
      <c r="K18" s="1" t="s">
        <v>745</v>
      </c>
      <c r="L18" s="5">
        <v>6500</v>
      </c>
      <c r="M18" s="1"/>
      <c r="N18" s="1" t="s">
        <v>697</v>
      </c>
      <c r="O18" s="16" t="s">
        <v>741</v>
      </c>
      <c r="P18" s="5">
        <v>18860</v>
      </c>
      <c r="Q18" s="1"/>
      <c r="R18" s="1" t="s">
        <v>593</v>
      </c>
      <c r="S18" s="1" t="s">
        <v>740</v>
      </c>
      <c r="T18" s="5">
        <v>4200</v>
      </c>
      <c r="U18" s="1"/>
      <c r="V18" s="12"/>
      <c r="W18" s="40" t="s">
        <v>24</v>
      </c>
      <c r="X18" s="40"/>
      <c r="Y18" s="37">
        <f t="shared" si="8"/>
        <v>47888</v>
      </c>
      <c r="Z18" s="13"/>
      <c r="AA18" s="1"/>
      <c r="AB18" s="50" t="s">
        <v>25</v>
      </c>
      <c r="AC18" s="51">
        <f>+AC17-AC9</f>
        <v>8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736</v>
      </c>
      <c r="C19" s="1" t="s">
        <v>738</v>
      </c>
      <c r="D19" s="5">
        <v>7422</v>
      </c>
      <c r="E19" s="1"/>
      <c r="F19" s="1" t="s">
        <v>758</v>
      </c>
      <c r="G19" s="1" t="s">
        <v>759</v>
      </c>
      <c r="H19" s="5">
        <v>17468</v>
      </c>
      <c r="I19" s="1"/>
      <c r="J19" s="1" t="s">
        <v>746</v>
      </c>
      <c r="K19" s="1" t="s">
        <v>747</v>
      </c>
      <c r="L19" s="5">
        <v>9590</v>
      </c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34480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718</v>
      </c>
      <c r="K20" s="1" t="s">
        <v>748</v>
      </c>
      <c r="L20" s="5">
        <v>5230</v>
      </c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5230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749</v>
      </c>
      <c r="K23" s="1" t="s">
        <v>750</v>
      </c>
      <c r="L23" s="5">
        <v>6156</v>
      </c>
      <c r="M23" s="1"/>
      <c r="N23" s="1" t="s">
        <v>53</v>
      </c>
      <c r="O23" s="1"/>
      <c r="P23" s="5"/>
      <c r="Q23" s="1"/>
      <c r="R23" s="1" t="s">
        <v>751</v>
      </c>
      <c r="S23" s="1" t="s">
        <v>752</v>
      </c>
      <c r="T23" s="5">
        <v>95248</v>
      </c>
      <c r="U23" s="1"/>
      <c r="V23" s="12"/>
      <c r="W23" s="40" t="s">
        <v>36</v>
      </c>
      <c r="X23" s="40"/>
      <c r="Y23" s="37">
        <f t="shared" si="8"/>
        <v>101404</v>
      </c>
      <c r="Z23" s="13"/>
      <c r="AA23" s="1"/>
      <c r="AB23" s="64" t="s">
        <v>390</v>
      </c>
      <c r="AC23" s="70">
        <v>45897</v>
      </c>
      <c r="AD23" s="64" t="s">
        <v>564</v>
      </c>
      <c r="AE23" s="64"/>
      <c r="AF23" s="64">
        <v>28000</v>
      </c>
      <c r="AG23" s="1"/>
      <c r="AH23" s="1"/>
      <c r="AI23" s="64" t="s">
        <v>739</v>
      </c>
      <c r="AJ23" s="73">
        <v>45919</v>
      </c>
      <c r="AK23" s="64" t="s">
        <v>270</v>
      </c>
      <c r="AL23" s="65">
        <v>34500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753</v>
      </c>
      <c r="S24" s="1" t="s">
        <v>254</v>
      </c>
      <c r="T24" s="5">
        <v>46650</v>
      </c>
      <c r="U24" s="1"/>
      <c r="V24" s="12"/>
      <c r="W24" s="40" t="s">
        <v>37</v>
      </c>
      <c r="X24" s="40"/>
      <c r="Y24" s="37">
        <f t="shared" si="8"/>
        <v>46650</v>
      </c>
      <c r="Z24" s="13"/>
      <c r="AA24" s="1"/>
      <c r="AB24" s="64" t="s">
        <v>214</v>
      </c>
      <c r="AC24" s="76">
        <v>45904</v>
      </c>
      <c r="AD24" s="64" t="s">
        <v>766</v>
      </c>
      <c r="AE24" s="64" t="s">
        <v>211</v>
      </c>
      <c r="AF24" s="64">
        <v>10000</v>
      </c>
      <c r="AG24" s="1"/>
      <c r="AH24" s="1"/>
      <c r="AI24" s="64" t="s">
        <v>742</v>
      </c>
      <c r="AJ24" s="64" t="s">
        <v>743</v>
      </c>
      <c r="AK24" s="64" t="s">
        <v>112</v>
      </c>
      <c r="AL24" s="65">
        <v>3700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754</v>
      </c>
      <c r="S25" s="1" t="s">
        <v>755</v>
      </c>
      <c r="T25" s="5">
        <v>53314</v>
      </c>
      <c r="U25" s="1"/>
      <c r="V25" s="12"/>
      <c r="W25" s="40" t="s">
        <v>38</v>
      </c>
      <c r="X25" s="40"/>
      <c r="Y25" s="37">
        <f t="shared" si="8"/>
        <v>53314</v>
      </c>
      <c r="Z25" s="13"/>
      <c r="AA25" s="1"/>
      <c r="AB25" s="64"/>
      <c r="AC25" s="64"/>
      <c r="AD25" s="64"/>
      <c r="AE25" s="64"/>
      <c r="AF25" s="64"/>
      <c r="AG25" s="1"/>
      <c r="AH25" s="1"/>
      <c r="AI25" s="64" t="s">
        <v>206</v>
      </c>
      <c r="AJ25" s="64" t="s">
        <v>561</v>
      </c>
      <c r="AK25" s="64" t="s">
        <v>744</v>
      </c>
      <c r="AL25" s="65">
        <v>6911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64" t="s">
        <v>115</v>
      </c>
      <c r="AJ26" s="64" t="s">
        <v>279</v>
      </c>
      <c r="AK26" s="64" t="s">
        <v>764</v>
      </c>
      <c r="AL26" s="69">
        <v>11080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64" t="s">
        <v>115</v>
      </c>
      <c r="AJ27" s="64" t="s">
        <v>455</v>
      </c>
      <c r="AK27" s="64" t="s">
        <v>153</v>
      </c>
      <c r="AL27" s="89">
        <v>58280</v>
      </c>
    </row>
    <row r="28" spans="2:38" ht="15.75" thickBot="1" x14ac:dyDescent="0.3">
      <c r="B28" s="99" t="s">
        <v>12</v>
      </c>
      <c r="C28" s="100"/>
      <c r="D28" s="9">
        <f>+SUM(D16:D27)</f>
        <v>113820</v>
      </c>
      <c r="E28" s="1"/>
      <c r="F28" s="99" t="s">
        <v>12</v>
      </c>
      <c r="G28" s="100"/>
      <c r="H28" s="9">
        <f>+SUM(H16:H27)</f>
        <v>132468</v>
      </c>
      <c r="I28" s="1"/>
      <c r="J28" s="99" t="s">
        <v>12</v>
      </c>
      <c r="K28" s="100"/>
      <c r="L28" s="9">
        <f>+SUM(L16:L27)</f>
        <v>81296</v>
      </c>
      <c r="M28" s="1"/>
      <c r="N28" s="99" t="s">
        <v>12</v>
      </c>
      <c r="O28" s="100"/>
      <c r="P28" s="9">
        <f>+SUM(P16:P27)</f>
        <v>86080</v>
      </c>
      <c r="Q28" s="1"/>
      <c r="R28" s="99" t="s">
        <v>12</v>
      </c>
      <c r="S28" s="100"/>
      <c r="T28" s="9">
        <f>+SUM(T16:T27)</f>
        <v>301072</v>
      </c>
      <c r="U28" s="1"/>
      <c r="V28" s="12"/>
      <c r="W28" s="99" t="s">
        <v>12</v>
      </c>
      <c r="X28" s="100"/>
      <c r="Y28" s="9">
        <f>+SUM(Y16:Y27)</f>
        <v>714736</v>
      </c>
      <c r="Z28" s="13"/>
      <c r="AA28" s="1"/>
      <c r="AB28" s="1"/>
      <c r="AC28" s="1"/>
      <c r="AD28" s="1"/>
      <c r="AE28" s="1"/>
      <c r="AF28" s="1"/>
      <c r="AG28" s="1"/>
      <c r="AH28" s="1"/>
      <c r="AI28" s="64" t="s">
        <v>115</v>
      </c>
      <c r="AJ28" s="64" t="s">
        <v>760</v>
      </c>
      <c r="AK28" s="64" t="s">
        <v>146</v>
      </c>
      <c r="AL28" s="65">
        <v>70000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64" t="s">
        <v>122</v>
      </c>
      <c r="AJ29" s="64" t="s">
        <v>568</v>
      </c>
      <c r="AK29" s="64" t="s">
        <v>154</v>
      </c>
      <c r="AL29" s="69">
        <v>4000</v>
      </c>
    </row>
    <row r="30" spans="2:38" ht="15.75" thickBot="1" x14ac:dyDescent="0.3">
      <c r="B30" s="101" t="s">
        <v>41</v>
      </c>
      <c r="C30" s="101"/>
      <c r="D30" s="7">
        <f>+D28-D15</f>
        <v>31</v>
      </c>
      <c r="E30" s="1"/>
      <c r="F30" s="101" t="s">
        <v>41</v>
      </c>
      <c r="G30" s="101"/>
      <c r="H30" s="7">
        <f>+H28-H15</f>
        <v>-8650</v>
      </c>
      <c r="I30" s="1"/>
      <c r="J30" s="101" t="s">
        <v>41</v>
      </c>
      <c r="K30" s="101"/>
      <c r="L30" s="7">
        <f>+L28-L15</f>
        <v>-393</v>
      </c>
      <c r="M30" s="1"/>
      <c r="N30" s="101" t="s">
        <v>41</v>
      </c>
      <c r="O30" s="101"/>
      <c r="P30" s="7">
        <f>+P28-P15</f>
        <v>282</v>
      </c>
      <c r="Q30" s="1"/>
      <c r="R30" s="101" t="s">
        <v>41</v>
      </c>
      <c r="S30" s="101"/>
      <c r="T30" s="7">
        <f>+T28-T15</f>
        <v>-3260</v>
      </c>
      <c r="U30" s="1"/>
      <c r="V30" s="12"/>
      <c r="W30" s="102" t="s">
        <v>41</v>
      </c>
      <c r="X30" s="102"/>
      <c r="Y30" s="41">
        <f>+Y28-Y15</f>
        <v>-11990</v>
      </c>
      <c r="Z30" s="13"/>
      <c r="AA30" s="1"/>
      <c r="AB30" s="1"/>
      <c r="AC30" s="1"/>
      <c r="AD30" s="1"/>
      <c r="AE30" s="1"/>
      <c r="AF30" s="1"/>
      <c r="AG30" s="1"/>
      <c r="AH30" s="1"/>
      <c r="AI30" s="64" t="s">
        <v>214</v>
      </c>
      <c r="AJ30" s="64" t="s">
        <v>761</v>
      </c>
      <c r="AK30" s="64" t="s">
        <v>51</v>
      </c>
      <c r="AL30" s="69">
        <v>8300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38000</v>
      </c>
      <c r="AG31" s="1"/>
      <c r="AH31" s="1"/>
      <c r="AI31" s="64" t="s">
        <v>214</v>
      </c>
      <c r="AJ31" s="64" t="s">
        <v>628</v>
      </c>
      <c r="AK31" s="64" t="s">
        <v>765</v>
      </c>
      <c r="AL31" s="69">
        <v>6000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64" t="s">
        <v>626</v>
      </c>
      <c r="AJ32" s="64" t="s">
        <v>762</v>
      </c>
      <c r="AK32" s="64" t="s">
        <v>161</v>
      </c>
      <c r="AL32" s="65">
        <v>100000</v>
      </c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64" t="s">
        <v>117</v>
      </c>
      <c r="AJ33" s="64" t="s">
        <v>763</v>
      </c>
      <c r="AK33" s="64" t="s">
        <v>556</v>
      </c>
      <c r="AL33" s="65">
        <v>7184</v>
      </c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>
        <v>8650</v>
      </c>
      <c r="I34" s="1"/>
      <c r="J34" s="10" t="s">
        <v>42</v>
      </c>
      <c r="K34" s="11"/>
      <c r="L34" s="21">
        <v>393</v>
      </c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9043</v>
      </c>
      <c r="Z34" s="1"/>
      <c r="AA34" s="1"/>
      <c r="AB34" s="1"/>
      <c r="AC34" s="1"/>
      <c r="AD34" s="1"/>
      <c r="AE34" s="1"/>
      <c r="AF34" s="1"/>
      <c r="AG34" s="1"/>
      <c r="AH34" s="1"/>
      <c r="AI34" s="64"/>
      <c r="AJ34" s="64"/>
      <c r="AK34" s="64"/>
      <c r="AL34" s="64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282</v>
      </c>
      <c r="S35" s="16"/>
      <c r="T35" s="22">
        <v>3309</v>
      </c>
      <c r="U35" s="1"/>
      <c r="V35" s="1"/>
      <c r="W35" s="45" t="s">
        <v>43</v>
      </c>
      <c r="X35" s="40"/>
      <c r="Y35" s="46">
        <f t="shared" ref="Y35:Y36" si="9">+D35+H35+L35+P35+T35</f>
        <v>3309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>
        <v>-31</v>
      </c>
      <c r="E36" s="1"/>
      <c r="F36" s="12" t="s">
        <v>45</v>
      </c>
      <c r="G36" s="16"/>
      <c r="H36" s="22"/>
      <c r="I36" s="1"/>
      <c r="J36" s="12" t="s">
        <v>45</v>
      </c>
      <c r="K36" s="16"/>
      <c r="L36" s="22"/>
      <c r="M36" s="1"/>
      <c r="N36" s="12" t="s">
        <v>45</v>
      </c>
      <c r="O36" s="16"/>
      <c r="P36" s="22">
        <v>-282</v>
      </c>
      <c r="Q36" s="1"/>
      <c r="R36" s="12" t="s">
        <v>45</v>
      </c>
      <c r="S36" s="16"/>
      <c r="T36" s="22">
        <v>-49</v>
      </c>
      <c r="U36" s="1"/>
      <c r="V36" s="1"/>
      <c r="W36" s="45" t="s">
        <v>44</v>
      </c>
      <c r="X36" s="40"/>
      <c r="Y36" s="46">
        <f t="shared" si="9"/>
        <v>-362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-31</v>
      </c>
      <c r="E37" s="1"/>
      <c r="F37" s="12" t="s">
        <v>18</v>
      </c>
      <c r="G37" s="16"/>
      <c r="H37" s="22">
        <f>+SUM(H34:H36)</f>
        <v>8650</v>
      </c>
      <c r="I37" s="1"/>
      <c r="J37" s="12" t="s">
        <v>18</v>
      </c>
      <c r="K37" s="16"/>
      <c r="L37" s="22">
        <f>+SUM(L34:L36)</f>
        <v>393</v>
      </c>
      <c r="M37" s="1"/>
      <c r="N37" s="12" t="s">
        <v>18</v>
      </c>
      <c r="O37" s="16"/>
      <c r="P37" s="22">
        <f>+SUM(P34:P36)</f>
        <v>-282</v>
      </c>
      <c r="Q37" s="1"/>
      <c r="R37" s="12" t="s">
        <v>18</v>
      </c>
      <c r="S37" s="16"/>
      <c r="T37" s="22">
        <f>+SUM(T34:T36)</f>
        <v>3260</v>
      </c>
      <c r="U37" s="1"/>
      <c r="V37" s="1"/>
      <c r="W37" s="33" t="s">
        <v>18</v>
      </c>
      <c r="X37" s="34"/>
      <c r="Y37" s="35">
        <f>+SUM(Y34:Y36)</f>
        <v>11990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41" spans="2:38" ht="15.75" thickBot="1" x14ac:dyDescent="0.3">
      <c r="AI41" s="60" t="s">
        <v>40</v>
      </c>
      <c r="AJ41" s="60"/>
      <c r="AK41" s="60"/>
      <c r="AL41" s="66">
        <f>+SUM(AL23:AL40)</f>
        <v>309955</v>
      </c>
    </row>
    <row r="42" spans="2:38" ht="15.75" thickTop="1" x14ac:dyDescent="0.25"/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38"/>
  <sheetViews>
    <sheetView zoomScale="80" zoomScaleNormal="80" workbookViewId="0">
      <selection activeCell="P35" sqref="P35"/>
    </sheetView>
  </sheetViews>
  <sheetFormatPr defaultRowHeight="15" x14ac:dyDescent="0.25"/>
  <cols>
    <col min="3" max="3" width="13.5703125" bestFit="1" customWidth="1"/>
    <col min="5" max="5" width="1.140625" customWidth="1"/>
    <col min="6" max="6" width="13.5703125" bestFit="1" customWidth="1"/>
    <col min="7" max="7" width="14" bestFit="1" customWidth="1"/>
    <col min="8" max="8" width="9.5703125" bestFit="1" customWidth="1"/>
    <col min="9" max="9" width="1.28515625" customWidth="1"/>
    <col min="13" max="13" width="0.7109375" customWidth="1"/>
    <col min="14" max="15" width="13.5703125" bestFit="1" customWidth="1"/>
    <col min="17" max="17" width="1.7109375" customWidth="1"/>
    <col min="19" max="19" width="13.140625" customWidth="1"/>
    <col min="20" max="20" width="10.5703125" bestFit="1" customWidth="1"/>
    <col min="21" max="21" width="1.85546875" customWidth="1"/>
    <col min="22" max="22" width="3" customWidth="1"/>
    <col min="25" max="25" width="9.5703125" bestFit="1" customWidth="1"/>
    <col min="26" max="26" width="3" customWidth="1"/>
    <col min="27" max="27" width="3.7109375" customWidth="1"/>
    <col min="28" max="28" width="15" bestFit="1" customWidth="1"/>
    <col min="29" max="29" width="10.140625" bestFit="1" customWidth="1"/>
    <col min="30" max="30" width="15.5703125" bestFit="1" customWidth="1"/>
    <col min="31" max="31" width="13.5703125" bestFit="1" customWidth="1"/>
    <col min="33" max="33" width="2.5703125" customWidth="1"/>
    <col min="34" max="34" width="9.140625" hidden="1" customWidth="1"/>
    <col min="36" max="36" width="15.28515625" bestFit="1" customWidth="1"/>
    <col min="37" max="37" width="17.28515625" bestFit="1" customWidth="1"/>
  </cols>
  <sheetData>
    <row r="2" spans="2:38" ht="15.75" thickBot="1" x14ac:dyDescent="0.3"/>
    <row r="3" spans="2:38" x14ac:dyDescent="0.25">
      <c r="B3" s="104" t="s">
        <v>592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197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41</v>
      </c>
      <c r="D6" s="36">
        <f>+C6*B6</f>
        <v>410</v>
      </c>
      <c r="E6" s="1"/>
      <c r="F6" s="2">
        <v>10</v>
      </c>
      <c r="G6" s="2">
        <v>84</v>
      </c>
      <c r="H6" s="36">
        <f>+G6*F6</f>
        <v>840</v>
      </c>
      <c r="I6" s="1"/>
      <c r="J6" s="2">
        <v>10</v>
      </c>
      <c r="K6" s="2">
        <v>57</v>
      </c>
      <c r="L6" s="36">
        <f>+K6*J6</f>
        <v>570</v>
      </c>
      <c r="M6" s="1"/>
      <c r="N6" s="2">
        <v>10</v>
      </c>
      <c r="O6" s="2">
        <v>28</v>
      </c>
      <c r="P6" s="36">
        <f>+O6*N6</f>
        <v>280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210</v>
      </c>
      <c r="Y6" s="37">
        <f>+D6+H6+L6+P6+T6</f>
        <v>2100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 x14ac:dyDescent="0.25">
      <c r="B7" s="2">
        <v>20</v>
      </c>
      <c r="C7" s="2">
        <v>20</v>
      </c>
      <c r="D7" s="36">
        <f t="shared" ref="D7:D12" si="1">+C7*B7</f>
        <v>400</v>
      </c>
      <c r="E7" s="1"/>
      <c r="F7" s="2">
        <v>20</v>
      </c>
      <c r="G7" s="2">
        <v>18</v>
      </c>
      <c r="H7" s="36">
        <f t="shared" ref="H7:H12" si="2">+G7*F7</f>
        <v>360</v>
      </c>
      <c r="I7" s="1"/>
      <c r="J7" s="2">
        <v>20</v>
      </c>
      <c r="K7" s="2">
        <v>18</v>
      </c>
      <c r="L7" s="36">
        <f t="shared" ref="L7:L12" si="3">+K7*J7</f>
        <v>360</v>
      </c>
      <c r="M7" s="1"/>
      <c r="N7" s="2">
        <v>20</v>
      </c>
      <c r="O7" s="2">
        <v>4</v>
      </c>
      <c r="P7" s="36">
        <f t="shared" ref="P7:P12" si="4">+O7*N7</f>
        <v>80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60</v>
      </c>
      <c r="Y7" s="37">
        <f t="shared" ref="Y7:Y12" si="6">+D7+H7+L7+P7+T7</f>
        <v>1200</v>
      </c>
      <c r="Z7" s="13"/>
      <c r="AA7" s="1"/>
      <c r="AB7" s="56" t="s">
        <v>10</v>
      </c>
      <c r="AC7" s="57">
        <f>Y13</f>
        <v>353700</v>
      </c>
      <c r="AD7" s="26"/>
      <c r="AE7" s="26"/>
      <c r="AF7" s="26"/>
      <c r="AG7" s="26"/>
      <c r="AH7" s="1"/>
      <c r="AI7" s="2">
        <v>10</v>
      </c>
      <c r="AJ7" s="2">
        <v>210</v>
      </c>
      <c r="AK7" s="36">
        <f t="shared" si="0"/>
        <v>2100</v>
      </c>
      <c r="AL7" s="1"/>
    </row>
    <row r="8" spans="2:38" x14ac:dyDescent="0.25">
      <c r="B8" s="2">
        <v>50</v>
      </c>
      <c r="C8" s="2">
        <v>116</v>
      </c>
      <c r="D8" s="36">
        <f t="shared" si="1"/>
        <v>5800</v>
      </c>
      <c r="E8" s="1"/>
      <c r="F8" s="2">
        <v>50</v>
      </c>
      <c r="G8" s="2">
        <v>42</v>
      </c>
      <c r="H8" s="36">
        <f t="shared" si="2"/>
        <v>2100</v>
      </c>
      <c r="I8" s="1"/>
      <c r="J8" s="2">
        <v>50</v>
      </c>
      <c r="K8" s="2">
        <v>26</v>
      </c>
      <c r="L8" s="36">
        <f t="shared" si="3"/>
        <v>1300</v>
      </c>
      <c r="M8" s="1"/>
      <c r="N8" s="2">
        <v>50</v>
      </c>
      <c r="O8" s="2">
        <v>48</v>
      </c>
      <c r="P8" s="36">
        <f t="shared" si="4"/>
        <v>2400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232</v>
      </c>
      <c r="Y8" s="37">
        <f t="shared" si="6"/>
        <v>11600</v>
      </c>
      <c r="Z8" s="13"/>
      <c r="AA8" s="1"/>
      <c r="AB8" s="53" t="s">
        <v>11</v>
      </c>
      <c r="AC8" s="53">
        <f>+AF31</f>
        <v>212820</v>
      </c>
      <c r="AD8" s="1"/>
      <c r="AE8" s="1"/>
      <c r="AF8" s="1"/>
      <c r="AG8" s="1"/>
      <c r="AH8" s="1"/>
      <c r="AI8" s="2">
        <v>20</v>
      </c>
      <c r="AJ8" s="2">
        <v>61</v>
      </c>
      <c r="AK8" s="36">
        <f t="shared" si="0"/>
        <v>1220</v>
      </c>
      <c r="AL8" s="1"/>
    </row>
    <row r="9" spans="2:38" ht="15.75" thickBot="1" x14ac:dyDescent="0.3">
      <c r="B9" s="2">
        <v>100</v>
      </c>
      <c r="C9" s="2">
        <v>120</v>
      </c>
      <c r="D9" s="36">
        <f t="shared" si="1"/>
        <v>12000</v>
      </c>
      <c r="E9" s="1"/>
      <c r="F9" s="2">
        <v>100</v>
      </c>
      <c r="G9" s="2">
        <v>55</v>
      </c>
      <c r="H9" s="36">
        <f t="shared" si="2"/>
        <v>5500</v>
      </c>
      <c r="I9" s="1"/>
      <c r="J9" s="2">
        <v>100</v>
      </c>
      <c r="K9" s="2">
        <v>72</v>
      </c>
      <c r="L9" s="36">
        <f t="shared" si="3"/>
        <v>7200</v>
      </c>
      <c r="M9" s="1"/>
      <c r="N9" s="2">
        <v>100</v>
      </c>
      <c r="O9" s="2">
        <v>16</v>
      </c>
      <c r="P9" s="36">
        <f t="shared" si="4"/>
        <v>1600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263</v>
      </c>
      <c r="Y9" s="37">
        <f t="shared" si="6"/>
        <v>26300</v>
      </c>
      <c r="Z9" s="13"/>
      <c r="AA9" s="1"/>
      <c r="AB9" s="58" t="s">
        <v>12</v>
      </c>
      <c r="AC9" s="59">
        <f>SUM(AC7:AC8)</f>
        <v>566520</v>
      </c>
      <c r="AD9" s="1"/>
      <c r="AE9" s="1"/>
      <c r="AF9" s="1"/>
      <c r="AG9" s="1"/>
      <c r="AH9" s="1"/>
      <c r="AI9" s="2">
        <v>50</v>
      </c>
      <c r="AJ9" s="2">
        <v>232</v>
      </c>
      <c r="AK9" s="36">
        <f t="shared" si="0"/>
        <v>11600</v>
      </c>
      <c r="AL9" s="1"/>
    </row>
    <row r="10" spans="2:38" x14ac:dyDescent="0.25">
      <c r="B10" s="2">
        <v>500</v>
      </c>
      <c r="C10" s="2">
        <v>43</v>
      </c>
      <c r="D10" s="36">
        <f t="shared" si="1"/>
        <v>21500</v>
      </c>
      <c r="E10" s="1"/>
      <c r="F10" s="2">
        <v>500</v>
      </c>
      <c r="G10" s="2">
        <v>80</v>
      </c>
      <c r="H10" s="36">
        <f t="shared" si="2"/>
        <v>40000</v>
      </c>
      <c r="I10" s="1"/>
      <c r="J10" s="2">
        <v>500</v>
      </c>
      <c r="K10" s="2">
        <v>35</v>
      </c>
      <c r="L10" s="36">
        <f t="shared" si="3"/>
        <v>17500</v>
      </c>
      <c r="M10" s="1"/>
      <c r="N10" s="2">
        <v>500</v>
      </c>
      <c r="O10" s="2">
        <v>25</v>
      </c>
      <c r="P10" s="36">
        <f t="shared" si="4"/>
        <v>12500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183</v>
      </c>
      <c r="Y10" s="37">
        <f t="shared" si="6"/>
        <v>91500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266</v>
      </c>
      <c r="AK10" s="36">
        <f t="shared" si="0"/>
        <v>26600</v>
      </c>
      <c r="AL10" s="1"/>
    </row>
    <row r="11" spans="2:38" x14ac:dyDescent="0.25">
      <c r="B11" s="2">
        <v>1000</v>
      </c>
      <c r="C11" s="2">
        <v>45</v>
      </c>
      <c r="D11" s="36">
        <f t="shared" si="1"/>
        <v>45000</v>
      </c>
      <c r="E11" s="1"/>
      <c r="F11" s="2">
        <v>1000</v>
      </c>
      <c r="G11" s="2">
        <v>71</v>
      </c>
      <c r="H11" s="36">
        <f t="shared" si="2"/>
        <v>71000</v>
      </c>
      <c r="I11" s="1"/>
      <c r="J11" s="2">
        <v>1000</v>
      </c>
      <c r="K11" s="2">
        <v>48</v>
      </c>
      <c r="L11" s="36">
        <f t="shared" si="3"/>
        <v>48000</v>
      </c>
      <c r="M11" s="1"/>
      <c r="N11" s="2">
        <v>1000</v>
      </c>
      <c r="O11" s="2">
        <v>17</v>
      </c>
      <c r="P11" s="36">
        <f t="shared" si="4"/>
        <v>17000</v>
      </c>
      <c r="Q11" s="1"/>
      <c r="R11" s="2">
        <v>1000</v>
      </c>
      <c r="S11" s="2">
        <v>5</v>
      </c>
      <c r="T11" s="36">
        <f t="shared" si="5"/>
        <v>5000</v>
      </c>
      <c r="U11" s="1"/>
      <c r="V11" s="12"/>
      <c r="W11" s="39">
        <v>1000</v>
      </c>
      <c r="X11" s="39">
        <f t="shared" si="7"/>
        <v>186</v>
      </c>
      <c r="Y11" s="37">
        <f t="shared" si="6"/>
        <v>186000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357</v>
      </c>
      <c r="AK11" s="36">
        <f t="shared" si="0"/>
        <v>178500</v>
      </c>
      <c r="AL11" s="1"/>
    </row>
    <row r="12" spans="2:38" x14ac:dyDescent="0.25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3</v>
      </c>
      <c r="H12" s="36">
        <f t="shared" si="2"/>
        <v>15000</v>
      </c>
      <c r="I12" s="1"/>
      <c r="J12" s="2">
        <v>5000</v>
      </c>
      <c r="K12" s="2">
        <v>3</v>
      </c>
      <c r="L12" s="36">
        <f t="shared" si="3"/>
        <v>15000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7</v>
      </c>
      <c r="Y12" s="37">
        <f t="shared" si="6"/>
        <v>35000</v>
      </c>
      <c r="Z12" s="13"/>
      <c r="AA12" s="1"/>
      <c r="AB12" s="1" t="s">
        <v>17</v>
      </c>
      <c r="AC12" s="5">
        <v>510700</v>
      </c>
      <c r="AD12" s="1"/>
      <c r="AE12" s="52"/>
      <c r="AF12" s="1"/>
      <c r="AG12" s="1"/>
      <c r="AH12" s="1"/>
      <c r="AI12" s="2">
        <v>1000</v>
      </c>
      <c r="AJ12" s="2">
        <v>245</v>
      </c>
      <c r="AK12" s="36">
        <f t="shared" si="0"/>
        <v>245000</v>
      </c>
      <c r="AL12" s="1"/>
    </row>
    <row r="13" spans="2:38" ht="15.75" thickBot="1" x14ac:dyDescent="0.3">
      <c r="B13" s="3" t="s">
        <v>18</v>
      </c>
      <c r="C13" s="3"/>
      <c r="D13" s="6">
        <f>+SUM(D5:D12)</f>
        <v>90110</v>
      </c>
      <c r="E13" s="1"/>
      <c r="F13" s="3" t="s">
        <v>18</v>
      </c>
      <c r="G13" s="3"/>
      <c r="H13" s="6">
        <f>+SUM(H5:H12)</f>
        <v>134800</v>
      </c>
      <c r="I13" s="1"/>
      <c r="J13" s="3" t="s">
        <v>18</v>
      </c>
      <c r="K13" s="3"/>
      <c r="L13" s="6">
        <f>+SUM(L5:L12)</f>
        <v>89930</v>
      </c>
      <c r="M13" s="1"/>
      <c r="N13" s="3" t="s">
        <v>18</v>
      </c>
      <c r="O13" s="3"/>
      <c r="P13" s="6">
        <f>+SUM(P5:P12)</f>
        <v>33860</v>
      </c>
      <c r="Q13" s="1"/>
      <c r="R13" s="3" t="s">
        <v>18</v>
      </c>
      <c r="S13" s="3"/>
      <c r="T13" s="6">
        <f>+SUM(T5:T12)</f>
        <v>5000</v>
      </c>
      <c r="U13" s="1"/>
      <c r="V13" s="12"/>
      <c r="W13" s="3" t="s">
        <v>18</v>
      </c>
      <c r="X13" s="3"/>
      <c r="Y13" s="6">
        <f>+SUM(Y5:Y12)</f>
        <v>353700</v>
      </c>
      <c r="Z13" s="13"/>
      <c r="AA13" s="1"/>
      <c r="AB13" s="1" t="s">
        <v>19</v>
      </c>
      <c r="AC13" s="5">
        <v>4320</v>
      </c>
      <c r="AD13" s="1"/>
      <c r="AE13" s="1"/>
      <c r="AF13" s="1"/>
      <c r="AG13" s="1"/>
      <c r="AH13" s="1"/>
      <c r="AI13" s="2">
        <v>5000</v>
      </c>
      <c r="AJ13" s="2">
        <v>10</v>
      </c>
      <c r="AK13" s="36">
        <f t="shared" si="0"/>
        <v>50000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>
        <v>500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515020</v>
      </c>
      <c r="AL14" s="1"/>
    </row>
    <row r="15" spans="2:38" ht="15.75" thickBot="1" x14ac:dyDescent="0.3">
      <c r="B15" s="105" t="s">
        <v>21</v>
      </c>
      <c r="C15" s="106"/>
      <c r="D15" s="8">
        <v>99674</v>
      </c>
      <c r="E15" s="30"/>
      <c r="F15" s="105" t="s">
        <v>21</v>
      </c>
      <c r="G15" s="106"/>
      <c r="H15" s="8">
        <v>134860</v>
      </c>
      <c r="I15" s="30"/>
      <c r="J15" s="105" t="s">
        <v>21</v>
      </c>
      <c r="K15" s="106"/>
      <c r="L15" s="8">
        <v>89744</v>
      </c>
      <c r="M15" s="30"/>
      <c r="N15" s="105" t="s">
        <v>21</v>
      </c>
      <c r="O15" s="106"/>
      <c r="P15" s="8">
        <v>40415</v>
      </c>
      <c r="Q15" s="30"/>
      <c r="R15" s="105" t="s">
        <v>21</v>
      </c>
      <c r="S15" s="106"/>
      <c r="T15" s="8">
        <v>533115</v>
      </c>
      <c r="U15" s="30"/>
      <c r="V15" s="31"/>
      <c r="W15" s="105" t="s">
        <v>21</v>
      </c>
      <c r="X15" s="106"/>
      <c r="Y15" s="8">
        <f>+D15+H15+L15+P15+T15</f>
        <v>897808</v>
      </c>
      <c r="Z15" s="32"/>
      <c r="AA15" s="30"/>
      <c r="AB15" s="94" t="s">
        <v>794</v>
      </c>
      <c r="AC15" s="93">
        <v>50000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90110</v>
      </c>
      <c r="E16" s="1"/>
      <c r="F16" s="1" t="s">
        <v>10</v>
      </c>
      <c r="G16" s="1"/>
      <c r="H16" s="5">
        <f>+H13</f>
        <v>134800</v>
      </c>
      <c r="I16" s="1"/>
      <c r="J16" s="1" t="s">
        <v>10</v>
      </c>
      <c r="K16" s="1"/>
      <c r="L16" s="5">
        <f>+L13</f>
        <v>89930</v>
      </c>
      <c r="M16" s="1"/>
      <c r="N16" s="1" t="s">
        <v>10</v>
      </c>
      <c r="O16" s="1"/>
      <c r="P16" s="5">
        <f>+P13</f>
        <v>33860</v>
      </c>
      <c r="Q16" s="1"/>
      <c r="R16" s="1" t="s">
        <v>10</v>
      </c>
      <c r="S16" s="1"/>
      <c r="T16" s="5">
        <f>+T13</f>
        <v>5000</v>
      </c>
      <c r="U16" s="1"/>
      <c r="V16" s="12"/>
      <c r="W16" s="40" t="s">
        <v>10</v>
      </c>
      <c r="X16" s="40"/>
      <c r="Y16" s="37">
        <f>+D16+H16+L16+P16+T16</f>
        <v>353700</v>
      </c>
      <c r="Z16" s="13"/>
      <c r="AA16" s="1"/>
      <c r="AB16" s="94" t="s">
        <v>793</v>
      </c>
      <c r="AC16" s="93">
        <v>1000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566520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720</v>
      </c>
      <c r="C18" s="1" t="s">
        <v>780</v>
      </c>
      <c r="D18" s="5">
        <v>5718</v>
      </c>
      <c r="E18" s="1"/>
      <c r="F18" s="1" t="s">
        <v>783</v>
      </c>
      <c r="G18" s="16" t="s">
        <v>781</v>
      </c>
      <c r="H18" s="77">
        <v>2452</v>
      </c>
      <c r="I18" s="1"/>
      <c r="J18" s="1" t="s">
        <v>24</v>
      </c>
      <c r="K18" s="1"/>
      <c r="L18" s="5"/>
      <c r="M18" s="1"/>
      <c r="N18" s="1" t="s">
        <v>788</v>
      </c>
      <c r="O18" s="1" t="s">
        <v>789</v>
      </c>
      <c r="P18" s="5">
        <v>5747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13917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718</v>
      </c>
      <c r="G19" s="16" t="s">
        <v>782</v>
      </c>
      <c r="H19" s="77">
        <v>6260</v>
      </c>
      <c r="I19" s="1"/>
      <c r="J19" s="1" t="s">
        <v>27</v>
      </c>
      <c r="K19" s="1"/>
      <c r="L19" s="5"/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6260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778</v>
      </c>
      <c r="S20" s="1" t="s">
        <v>779</v>
      </c>
      <c r="T20" s="5">
        <v>42084</v>
      </c>
      <c r="U20" s="1"/>
      <c r="V20" s="12"/>
      <c r="W20" s="40" t="s">
        <v>28</v>
      </c>
      <c r="X20" s="40"/>
      <c r="Y20" s="37">
        <f t="shared" si="8"/>
        <v>42084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 t="s">
        <v>777</v>
      </c>
      <c r="S21" s="1" t="s">
        <v>163</v>
      </c>
      <c r="T21" s="5">
        <v>15950</v>
      </c>
      <c r="U21" s="1"/>
      <c r="V21" s="12"/>
      <c r="W21" s="40"/>
      <c r="X21" s="40"/>
      <c r="Y21" s="37">
        <f t="shared" si="8"/>
        <v>15950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 t="s">
        <v>773</v>
      </c>
      <c r="S22" s="1" t="s">
        <v>148</v>
      </c>
      <c r="T22" s="5">
        <v>91171</v>
      </c>
      <c r="U22" s="1"/>
      <c r="V22" s="12"/>
      <c r="W22" s="40"/>
      <c r="X22" s="40"/>
      <c r="Y22" s="37">
        <f t="shared" si="8"/>
        <v>91171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769</v>
      </c>
      <c r="S23" s="1" t="s">
        <v>396</v>
      </c>
      <c r="T23" s="5">
        <v>21820</v>
      </c>
      <c r="U23" s="1"/>
      <c r="V23" s="12"/>
      <c r="W23" s="40" t="s">
        <v>36</v>
      </c>
      <c r="X23" s="40"/>
      <c r="Y23" s="37">
        <f t="shared" si="8"/>
        <v>21820</v>
      </c>
      <c r="Z23" s="13"/>
      <c r="AA23" s="1"/>
      <c r="AB23" s="64" t="s">
        <v>791</v>
      </c>
      <c r="AC23" s="64" t="s">
        <v>791</v>
      </c>
      <c r="AD23" s="64" t="s">
        <v>791</v>
      </c>
      <c r="AE23" s="64" t="s">
        <v>791</v>
      </c>
      <c r="AF23" s="65">
        <v>200000</v>
      </c>
      <c r="AG23" s="1"/>
      <c r="AH23" s="1"/>
      <c r="AI23" s="64" t="s">
        <v>117</v>
      </c>
      <c r="AJ23" s="64" t="s">
        <v>767</v>
      </c>
      <c r="AK23" s="64" t="s">
        <v>167</v>
      </c>
      <c r="AL23" s="65">
        <v>17437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772</v>
      </c>
      <c r="S24" s="1" t="s">
        <v>273</v>
      </c>
      <c r="T24" s="5">
        <v>99525</v>
      </c>
      <c r="U24" s="1"/>
      <c r="V24" s="12"/>
      <c r="W24" s="40" t="s">
        <v>37</v>
      </c>
      <c r="X24" s="40"/>
      <c r="Y24" s="37">
        <f t="shared" si="8"/>
        <v>99525</v>
      </c>
      <c r="Z24" s="13"/>
      <c r="AA24" s="1"/>
      <c r="AB24" s="1" t="s">
        <v>792</v>
      </c>
      <c r="AC24" s="1" t="s">
        <v>792</v>
      </c>
      <c r="AD24" s="1" t="s">
        <v>792</v>
      </c>
      <c r="AE24" s="1" t="s">
        <v>792</v>
      </c>
      <c r="AF24" s="1">
        <v>12820</v>
      </c>
      <c r="AG24" s="1"/>
      <c r="AH24" s="1"/>
      <c r="AI24" s="64" t="s">
        <v>785</v>
      </c>
      <c r="AJ24" s="64" t="s">
        <v>786</v>
      </c>
      <c r="AK24" s="64" t="s">
        <v>277</v>
      </c>
      <c r="AL24" s="65">
        <v>72560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770</v>
      </c>
      <c r="S25" s="1" t="s">
        <v>771</v>
      </c>
      <c r="T25" s="5">
        <v>167107</v>
      </c>
      <c r="U25" s="1"/>
      <c r="V25" s="12"/>
      <c r="W25" s="40" t="s">
        <v>38</v>
      </c>
      <c r="X25" s="40"/>
      <c r="Y25" s="37">
        <f t="shared" si="8"/>
        <v>167107</v>
      </c>
      <c r="Z25" s="13"/>
      <c r="AA25" s="1"/>
      <c r="AB25" s="1"/>
      <c r="AC25" s="1"/>
      <c r="AD25" s="1"/>
      <c r="AE25" s="1"/>
      <c r="AF25" s="1"/>
      <c r="AG25" s="1"/>
      <c r="AH25" s="1"/>
      <c r="AI25" s="64" t="s">
        <v>115</v>
      </c>
      <c r="AJ25" s="64" t="s">
        <v>787</v>
      </c>
      <c r="AK25" s="64" t="s">
        <v>146</v>
      </c>
      <c r="AL25" s="65">
        <v>77280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774</v>
      </c>
      <c r="S26" s="1" t="s">
        <v>270</v>
      </c>
      <c r="T26" s="5">
        <v>49720</v>
      </c>
      <c r="U26" s="1"/>
      <c r="V26" s="12"/>
      <c r="W26" s="40"/>
      <c r="X26" s="40"/>
      <c r="Y26" s="37">
        <f t="shared" si="8"/>
        <v>49720</v>
      </c>
      <c r="Z26" s="13"/>
      <c r="AA26" s="1"/>
      <c r="AB26" s="1"/>
      <c r="AC26" s="1"/>
      <c r="AD26" s="1"/>
      <c r="AE26" s="1"/>
      <c r="AF26" s="20"/>
      <c r="AG26" s="1"/>
      <c r="AH26" s="1"/>
      <c r="AI26" s="64" t="s">
        <v>206</v>
      </c>
      <c r="AJ26" s="64" t="s">
        <v>487</v>
      </c>
      <c r="AK26" s="64" t="s">
        <v>784</v>
      </c>
      <c r="AL26" s="65">
        <v>12500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 t="s">
        <v>775</v>
      </c>
      <c r="S27" s="1" t="s">
        <v>776</v>
      </c>
      <c r="T27" s="5">
        <v>34759</v>
      </c>
      <c r="U27" s="1"/>
      <c r="V27" s="12"/>
      <c r="W27" s="40"/>
      <c r="X27" s="40"/>
      <c r="Y27" s="37">
        <f t="shared" si="8"/>
        <v>34759</v>
      </c>
      <c r="Z27" s="13"/>
      <c r="AA27" s="1"/>
      <c r="AB27" s="1"/>
      <c r="AC27" s="1"/>
      <c r="AD27" s="1"/>
      <c r="AE27" s="1"/>
      <c r="AF27" s="1"/>
      <c r="AG27" s="1"/>
      <c r="AH27" s="1"/>
      <c r="AI27" s="64" t="s">
        <v>214</v>
      </c>
      <c r="AJ27" s="64" t="s">
        <v>532</v>
      </c>
      <c r="AK27" s="64" t="s">
        <v>345</v>
      </c>
      <c r="AL27" s="64">
        <v>5494</v>
      </c>
    </row>
    <row r="28" spans="2:38" ht="15.75" thickBot="1" x14ac:dyDescent="0.3">
      <c r="B28" s="99" t="s">
        <v>12</v>
      </c>
      <c r="C28" s="100"/>
      <c r="D28" s="9">
        <f>+SUM(D16:D27)</f>
        <v>95828</v>
      </c>
      <c r="E28" s="1"/>
      <c r="F28" s="99" t="s">
        <v>12</v>
      </c>
      <c r="G28" s="100"/>
      <c r="H28" s="9">
        <f>+SUM(H16:H27)</f>
        <v>143512</v>
      </c>
      <c r="I28" s="1"/>
      <c r="J28" s="99" t="s">
        <v>12</v>
      </c>
      <c r="K28" s="100"/>
      <c r="L28" s="9">
        <f>+SUM(L16:L27)</f>
        <v>89930</v>
      </c>
      <c r="M28" s="1"/>
      <c r="N28" s="99" t="s">
        <v>12</v>
      </c>
      <c r="O28" s="100"/>
      <c r="P28" s="9">
        <f>+SUM(P16:P27)</f>
        <v>39607</v>
      </c>
      <c r="Q28" s="1"/>
      <c r="R28" s="99" t="s">
        <v>12</v>
      </c>
      <c r="S28" s="100"/>
      <c r="T28" s="9">
        <f>+SUM(T16:T27)</f>
        <v>527136</v>
      </c>
      <c r="U28" s="1"/>
      <c r="V28" s="12"/>
      <c r="W28" s="99" t="s">
        <v>12</v>
      </c>
      <c r="X28" s="100"/>
      <c r="Y28" s="9">
        <f>+SUM(Y16:Y27)</f>
        <v>896013</v>
      </c>
      <c r="Z28" s="13"/>
      <c r="AA28" s="1"/>
      <c r="AB28" s="1"/>
      <c r="AC28" s="1"/>
      <c r="AD28" s="1"/>
      <c r="AE28" s="1"/>
      <c r="AF28" s="1"/>
      <c r="AG28" s="1"/>
      <c r="AH28" s="1"/>
      <c r="AI28" s="64" t="s">
        <v>122</v>
      </c>
      <c r="AJ28" s="64" t="s">
        <v>567</v>
      </c>
      <c r="AK28" s="64" t="s">
        <v>423</v>
      </c>
      <c r="AL28" s="69">
        <v>9910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64" t="s">
        <v>214</v>
      </c>
      <c r="AJ29" s="64" t="s">
        <v>613</v>
      </c>
      <c r="AK29" s="64" t="s">
        <v>685</v>
      </c>
      <c r="AL29" s="69">
        <v>5364</v>
      </c>
    </row>
    <row r="30" spans="2:38" ht="15.75" thickBot="1" x14ac:dyDescent="0.3">
      <c r="B30" s="101" t="s">
        <v>41</v>
      </c>
      <c r="C30" s="101"/>
      <c r="D30" s="7">
        <f>+D28-D15</f>
        <v>-3846</v>
      </c>
      <c r="E30" s="1"/>
      <c r="F30" s="101" t="s">
        <v>41</v>
      </c>
      <c r="G30" s="101"/>
      <c r="H30" s="7">
        <f>+H28-H15</f>
        <v>8652</v>
      </c>
      <c r="I30" s="1"/>
      <c r="J30" s="101" t="s">
        <v>41</v>
      </c>
      <c r="K30" s="101"/>
      <c r="L30" s="7">
        <f>+L28-L15</f>
        <v>186</v>
      </c>
      <c r="M30" s="1"/>
      <c r="N30" s="101" t="s">
        <v>41</v>
      </c>
      <c r="O30" s="101"/>
      <c r="P30" s="7">
        <f>+P28-P15</f>
        <v>-808</v>
      </c>
      <c r="Q30" s="1"/>
      <c r="R30" s="101" t="s">
        <v>41</v>
      </c>
      <c r="S30" s="101"/>
      <c r="T30" s="7">
        <f>+T28-T15</f>
        <v>-5979</v>
      </c>
      <c r="U30" s="1"/>
      <c r="V30" s="12"/>
      <c r="W30" s="102" t="s">
        <v>41</v>
      </c>
      <c r="X30" s="102"/>
      <c r="Y30" s="41">
        <f>+Y28-Y15</f>
        <v>-1795</v>
      </c>
      <c r="Z30" s="13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62"/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212820</v>
      </c>
      <c r="AG31" s="1"/>
      <c r="AH31" s="1"/>
      <c r="AI31" s="60" t="s">
        <v>40</v>
      </c>
      <c r="AJ31" s="60"/>
      <c r="AK31" s="60"/>
      <c r="AL31" s="55">
        <f>+SUM(AL23:AL30)</f>
        <v>200545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0" t="s">
        <v>42</v>
      </c>
      <c r="C34" s="11"/>
      <c r="D34" s="21">
        <v>3846</v>
      </c>
      <c r="E34" s="1"/>
      <c r="F34" s="10" t="s">
        <v>42</v>
      </c>
      <c r="G34" s="11"/>
      <c r="H34" s="21"/>
      <c r="I34" s="1"/>
      <c r="J34" s="10" t="s">
        <v>42</v>
      </c>
      <c r="K34" s="11"/>
      <c r="L34" s="21">
        <v>-186</v>
      </c>
      <c r="M34" s="1"/>
      <c r="N34" s="10" t="s">
        <v>42</v>
      </c>
      <c r="O34" s="11"/>
      <c r="P34" s="21">
        <v>612</v>
      </c>
      <c r="Q34" s="1"/>
      <c r="R34" s="10" t="s">
        <v>42</v>
      </c>
      <c r="S34" s="11"/>
      <c r="T34" s="21">
        <v>5979</v>
      </c>
      <c r="U34" s="1"/>
      <c r="V34" s="1"/>
      <c r="W34" s="42" t="s">
        <v>42</v>
      </c>
      <c r="X34" s="43"/>
      <c r="Y34" s="44">
        <f>+D34+H34+L34+P34+T34</f>
        <v>10251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790</v>
      </c>
      <c r="O35" s="16" t="s">
        <v>804</v>
      </c>
      <c r="P35" s="22">
        <v>196</v>
      </c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196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45</v>
      </c>
      <c r="C36" s="16"/>
      <c r="D36" s="22"/>
      <c r="E36" s="1"/>
      <c r="F36" s="12" t="s">
        <v>45</v>
      </c>
      <c r="G36" s="16"/>
      <c r="H36" s="22">
        <v>-8652</v>
      </c>
      <c r="I36" s="1"/>
      <c r="J36" s="12" t="s">
        <v>45</v>
      </c>
      <c r="K36" s="16"/>
      <c r="L36" s="22"/>
      <c r="M36" s="1"/>
      <c r="N36" s="12" t="s">
        <v>45</v>
      </c>
      <c r="O36" s="16"/>
      <c r="P36" s="22"/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-8652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x14ac:dyDescent="0.25">
      <c r="B37" s="12" t="s">
        <v>18</v>
      </c>
      <c r="C37" s="16"/>
      <c r="D37" s="22">
        <f>+SUM(D34:D36)</f>
        <v>3846</v>
      </c>
      <c r="E37" s="1"/>
      <c r="F37" s="12" t="s">
        <v>18</v>
      </c>
      <c r="G37" s="16"/>
      <c r="H37" s="22">
        <f>+SUM(H34:H36)</f>
        <v>-8652</v>
      </c>
      <c r="I37" s="1"/>
      <c r="J37" s="12" t="s">
        <v>18</v>
      </c>
      <c r="K37" s="16"/>
      <c r="L37" s="22">
        <f>+SUM(L34:L36)</f>
        <v>-186</v>
      </c>
      <c r="M37" s="1"/>
      <c r="N37" s="12" t="s">
        <v>18</v>
      </c>
      <c r="O37" s="16"/>
      <c r="P37" s="22">
        <f>+SUM(P34:P36)</f>
        <v>808</v>
      </c>
      <c r="Q37" s="1"/>
      <c r="R37" s="12" t="s">
        <v>18</v>
      </c>
      <c r="S37" s="16"/>
      <c r="T37" s="22">
        <f>+SUM(T34:T36)</f>
        <v>5979</v>
      </c>
      <c r="U37" s="1"/>
      <c r="V37" s="1"/>
      <c r="W37" s="33" t="s">
        <v>18</v>
      </c>
      <c r="X37" s="34"/>
      <c r="Y37" s="35">
        <f>+SUM(Y34:Y36)</f>
        <v>1795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0</v>
      </c>
      <c r="U38" s="1"/>
      <c r="V38" s="1"/>
      <c r="W38" s="23" t="s">
        <v>46</v>
      </c>
      <c r="X38" s="24"/>
      <c r="Y38" s="25">
        <f>+Y30+Y37</f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37"/>
  <sheetViews>
    <sheetView topLeftCell="C1" zoomScale="80" zoomScaleNormal="80" workbookViewId="0">
      <selection activeCell="R24" sqref="R24"/>
    </sheetView>
  </sheetViews>
  <sheetFormatPr defaultRowHeight="15" x14ac:dyDescent="0.25"/>
  <cols>
    <col min="3" max="3" width="14" bestFit="1" customWidth="1"/>
    <col min="5" max="5" width="0.42578125" customWidth="1"/>
    <col min="7" max="7" width="13.5703125" customWidth="1"/>
    <col min="9" max="9" width="0.7109375" customWidth="1"/>
    <col min="11" max="11" width="13.7109375" bestFit="1" customWidth="1"/>
    <col min="13" max="13" width="0.5703125" customWidth="1"/>
    <col min="17" max="17" width="0.7109375" customWidth="1"/>
    <col min="20" max="20" width="11.28515625" bestFit="1" customWidth="1"/>
    <col min="21" max="21" width="0.85546875" customWidth="1"/>
    <col min="22" max="22" width="2" customWidth="1"/>
    <col min="25" max="25" width="11.28515625" bestFit="1" customWidth="1"/>
    <col min="26" max="26" width="3.42578125" customWidth="1"/>
    <col min="27" max="27" width="0.7109375" customWidth="1"/>
    <col min="29" max="29" width="10.5703125" bestFit="1" customWidth="1"/>
    <col min="33" max="33" width="1.5703125" customWidth="1"/>
    <col min="34" max="34" width="9.140625" hidden="1" customWidth="1"/>
    <col min="37" max="37" width="11.42578125" bestFit="1" customWidth="1"/>
  </cols>
  <sheetData>
    <row r="1" spans="2:38" ht="15.75" thickBot="1" x14ac:dyDescent="0.3"/>
    <row r="2" spans="2:38" x14ac:dyDescent="0.25">
      <c r="B2" s="104" t="s">
        <v>592</v>
      </c>
      <c r="C2" s="104"/>
      <c r="D2" s="104"/>
      <c r="E2" s="1"/>
      <c r="F2" s="104" t="s">
        <v>1</v>
      </c>
      <c r="G2" s="104"/>
      <c r="H2" s="104"/>
      <c r="I2" s="1"/>
      <c r="J2" s="104" t="s">
        <v>2</v>
      </c>
      <c r="K2" s="104"/>
      <c r="L2" s="104"/>
      <c r="M2" s="1"/>
      <c r="N2" s="104" t="s">
        <v>197</v>
      </c>
      <c r="O2" s="104"/>
      <c r="P2" s="104"/>
      <c r="Q2" s="1"/>
      <c r="R2" s="104" t="s">
        <v>4</v>
      </c>
      <c r="S2" s="104"/>
      <c r="T2" s="104"/>
      <c r="U2" s="1"/>
      <c r="V2" s="10"/>
      <c r="W2" s="103" t="s">
        <v>5</v>
      </c>
      <c r="X2" s="103"/>
      <c r="Y2" s="103"/>
      <c r="Z2" s="68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2:38" x14ac:dyDescent="0.25">
      <c r="B3" s="4" t="s">
        <v>6</v>
      </c>
      <c r="C3" s="4" t="s">
        <v>7</v>
      </c>
      <c r="D3" s="4" t="s">
        <v>8</v>
      </c>
      <c r="E3" s="1"/>
      <c r="F3" s="4" t="s">
        <v>6</v>
      </c>
      <c r="G3" s="4" t="s">
        <v>7</v>
      </c>
      <c r="H3" s="4" t="s">
        <v>8</v>
      </c>
      <c r="I3" s="1"/>
      <c r="J3" s="4" t="s">
        <v>6</v>
      </c>
      <c r="K3" s="4" t="s">
        <v>7</v>
      </c>
      <c r="L3" s="4" t="s">
        <v>8</v>
      </c>
      <c r="M3" s="1"/>
      <c r="N3" s="4" t="s">
        <v>6</v>
      </c>
      <c r="O3" s="4" t="s">
        <v>7</v>
      </c>
      <c r="P3" s="4" t="s">
        <v>8</v>
      </c>
      <c r="Q3" s="1"/>
      <c r="R3" s="4" t="s">
        <v>6</v>
      </c>
      <c r="S3" s="4" t="s">
        <v>7</v>
      </c>
      <c r="T3" s="4" t="s">
        <v>8</v>
      </c>
      <c r="U3" s="1"/>
      <c r="V3" s="12"/>
      <c r="W3" s="14" t="s">
        <v>6</v>
      </c>
      <c r="X3" s="14" t="s">
        <v>7</v>
      </c>
      <c r="Y3" s="14" t="s">
        <v>8</v>
      </c>
      <c r="Z3" s="13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ht="15.75" thickBot="1" x14ac:dyDescent="0.3">
      <c r="B4" s="29">
        <v>1</v>
      </c>
      <c r="C4" s="29"/>
      <c r="D4" s="36">
        <f>+C4*B4</f>
        <v>0</v>
      </c>
      <c r="E4" s="26"/>
      <c r="F4" s="29">
        <v>1</v>
      </c>
      <c r="G4" s="29"/>
      <c r="H4" s="36">
        <f>+G4*F4</f>
        <v>0</v>
      </c>
      <c r="I4" s="26"/>
      <c r="J4" s="29">
        <v>1</v>
      </c>
      <c r="K4" s="29"/>
      <c r="L4" s="36">
        <f>+K4*J4</f>
        <v>0</v>
      </c>
      <c r="M4" s="26"/>
      <c r="N4" s="29">
        <v>1</v>
      </c>
      <c r="O4" s="29">
        <v>30</v>
      </c>
      <c r="P4" s="36">
        <f>+O4*N4</f>
        <v>30</v>
      </c>
      <c r="Q4" s="26"/>
      <c r="R4" s="29">
        <v>1</v>
      </c>
      <c r="S4" s="29"/>
      <c r="T4" s="36">
        <f>+S4*R4</f>
        <v>0</v>
      </c>
      <c r="U4" s="26"/>
      <c r="V4" s="27"/>
      <c r="W4" s="38">
        <v>1</v>
      </c>
      <c r="X4" s="39">
        <f>+C4+G4+K4+O4+S4</f>
        <v>30</v>
      </c>
      <c r="Y4" s="37">
        <f>+D4+H4+L4+P4+T4</f>
        <v>30</v>
      </c>
      <c r="Z4" s="28"/>
      <c r="AA4" s="26"/>
      <c r="AB4" s="72" t="s">
        <v>9</v>
      </c>
      <c r="AC4" s="71"/>
      <c r="AD4" s="71"/>
      <c r="AE4" s="71"/>
      <c r="AF4" s="71"/>
      <c r="AG4" s="61"/>
      <c r="AH4" s="1"/>
      <c r="AI4" s="4" t="s">
        <v>6</v>
      </c>
      <c r="AJ4" s="4" t="s">
        <v>7</v>
      </c>
      <c r="AK4" s="4" t="s">
        <v>8</v>
      </c>
      <c r="AL4" s="1"/>
    </row>
    <row r="5" spans="2:38" ht="15.75" thickTop="1" x14ac:dyDescent="0.25">
      <c r="B5" s="2">
        <v>10</v>
      </c>
      <c r="C5" s="2">
        <v>34</v>
      </c>
      <c r="D5" s="36">
        <f>+C5*B5</f>
        <v>340</v>
      </c>
      <c r="E5" s="1"/>
      <c r="F5" s="2">
        <v>10</v>
      </c>
      <c r="G5" s="2">
        <v>2</v>
      </c>
      <c r="H5" s="36">
        <f>+G5*F5</f>
        <v>20</v>
      </c>
      <c r="I5" s="1"/>
      <c r="J5" s="2">
        <v>10</v>
      </c>
      <c r="K5" s="2">
        <v>26</v>
      </c>
      <c r="L5" s="36">
        <f>+K5*J5</f>
        <v>260</v>
      </c>
      <c r="M5" s="1"/>
      <c r="N5" s="2">
        <v>10</v>
      </c>
      <c r="O5" s="2">
        <v>46</v>
      </c>
      <c r="P5" s="36">
        <f>+O5*N5</f>
        <v>460</v>
      </c>
      <c r="Q5" s="1"/>
      <c r="R5" s="2">
        <v>10</v>
      </c>
      <c r="S5" s="2">
        <v>2</v>
      </c>
      <c r="T5" s="36">
        <f>+S5*R5</f>
        <v>20</v>
      </c>
      <c r="U5" s="1"/>
      <c r="V5" s="12"/>
      <c r="W5" s="39">
        <v>10</v>
      </c>
      <c r="X5" s="39">
        <f>+C5+G5+K5+O5+S5</f>
        <v>110</v>
      </c>
      <c r="Y5" s="37">
        <f>+D5+H5+L5+P5+T5</f>
        <v>1100</v>
      </c>
      <c r="Z5" s="13"/>
      <c r="AA5" s="1"/>
      <c r="AB5" s="1"/>
      <c r="AC5" s="1"/>
      <c r="AD5" s="1"/>
      <c r="AE5" s="1"/>
      <c r="AF5" s="1"/>
      <c r="AG5" s="1"/>
      <c r="AH5" s="1"/>
      <c r="AI5" s="29">
        <v>1</v>
      </c>
      <c r="AJ5" s="29">
        <v>30</v>
      </c>
      <c r="AK5" s="36">
        <f t="shared" ref="AK5:AK12" si="0">+AJ5*AI5</f>
        <v>30</v>
      </c>
      <c r="AL5" s="26"/>
    </row>
    <row r="6" spans="2:38" x14ac:dyDescent="0.25">
      <c r="B6" s="2">
        <v>20</v>
      </c>
      <c r="C6" s="2">
        <v>14</v>
      </c>
      <c r="D6" s="36">
        <f t="shared" ref="D6:D11" si="1">+C6*B6</f>
        <v>280</v>
      </c>
      <c r="E6" s="1"/>
      <c r="F6" s="2">
        <v>20</v>
      </c>
      <c r="G6" s="2">
        <v>5</v>
      </c>
      <c r="H6" s="36">
        <f t="shared" ref="H6:H11" si="2">+G6*F6</f>
        <v>100</v>
      </c>
      <c r="I6" s="1"/>
      <c r="J6" s="2">
        <v>20</v>
      </c>
      <c r="K6" s="2">
        <v>6</v>
      </c>
      <c r="L6" s="36">
        <f t="shared" ref="L6:L11" si="3">+K6*J6</f>
        <v>120</v>
      </c>
      <c r="M6" s="1"/>
      <c r="N6" s="2">
        <v>20</v>
      </c>
      <c r="O6" s="2">
        <v>2</v>
      </c>
      <c r="P6" s="36">
        <f t="shared" ref="P6:P11" si="4">+O6*N6</f>
        <v>40</v>
      </c>
      <c r="Q6" s="1"/>
      <c r="R6" s="2">
        <v>20</v>
      </c>
      <c r="S6" s="2"/>
      <c r="T6" s="36">
        <f t="shared" ref="T6:T11" si="5">+S6*R6</f>
        <v>0</v>
      </c>
      <c r="U6" s="1"/>
      <c r="V6" s="12"/>
      <c r="W6" s="39">
        <v>20</v>
      </c>
      <c r="X6" s="39">
        <f>+C6+G6+K6+O6+S6</f>
        <v>27</v>
      </c>
      <c r="Y6" s="37">
        <f t="shared" ref="Y6:Y11" si="6">+D6+H6+L6+P6+T6</f>
        <v>540</v>
      </c>
      <c r="Z6" s="13"/>
      <c r="AA6" s="1"/>
      <c r="AB6" s="56" t="s">
        <v>10</v>
      </c>
      <c r="AC6" s="57">
        <f>Y12</f>
        <v>249170</v>
      </c>
      <c r="AD6" s="26"/>
      <c r="AE6" s="26"/>
      <c r="AF6" s="26"/>
      <c r="AG6" s="26"/>
      <c r="AH6" s="1"/>
      <c r="AI6" s="2">
        <v>10</v>
      </c>
      <c r="AJ6" s="2">
        <v>112</v>
      </c>
      <c r="AK6" s="36">
        <f t="shared" si="0"/>
        <v>1120</v>
      </c>
      <c r="AL6" s="1"/>
    </row>
    <row r="7" spans="2:38" x14ac:dyDescent="0.25">
      <c r="B7" s="2">
        <v>50</v>
      </c>
      <c r="C7" s="2">
        <v>37</v>
      </c>
      <c r="D7" s="36">
        <f t="shared" si="1"/>
        <v>1850</v>
      </c>
      <c r="E7" s="1"/>
      <c r="F7" s="2">
        <v>50</v>
      </c>
      <c r="G7" s="2">
        <v>32</v>
      </c>
      <c r="H7" s="36">
        <f t="shared" si="2"/>
        <v>1600</v>
      </c>
      <c r="I7" s="1"/>
      <c r="J7" s="2">
        <v>50</v>
      </c>
      <c r="K7" s="2">
        <v>42</v>
      </c>
      <c r="L7" s="36">
        <f t="shared" si="3"/>
        <v>2100</v>
      </c>
      <c r="M7" s="1"/>
      <c r="N7" s="2">
        <v>50</v>
      </c>
      <c r="O7" s="2">
        <v>18</v>
      </c>
      <c r="P7" s="36">
        <f t="shared" si="4"/>
        <v>900</v>
      </c>
      <c r="Q7" s="1"/>
      <c r="R7" s="2">
        <v>50</v>
      </c>
      <c r="S7" s="2">
        <v>5</v>
      </c>
      <c r="T7" s="36">
        <f t="shared" si="5"/>
        <v>250</v>
      </c>
      <c r="U7" s="1"/>
      <c r="V7" s="12"/>
      <c r="W7" s="39">
        <v>50</v>
      </c>
      <c r="X7" s="39">
        <f t="shared" ref="X7:X11" si="7">+C7+G7+K7+O7+S7</f>
        <v>134</v>
      </c>
      <c r="Y7" s="37">
        <f t="shared" si="6"/>
        <v>6700</v>
      </c>
      <c r="Z7" s="13"/>
      <c r="AA7" s="1"/>
      <c r="AB7" s="53" t="s">
        <v>11</v>
      </c>
      <c r="AC7" s="53">
        <f>+AF30</f>
        <v>433150</v>
      </c>
      <c r="AD7" s="1"/>
      <c r="AE7" s="1"/>
      <c r="AF7" s="1"/>
      <c r="AG7" s="1"/>
      <c r="AH7" s="1"/>
      <c r="AI7" s="2">
        <v>20</v>
      </c>
      <c r="AJ7" s="2">
        <v>27</v>
      </c>
      <c r="AK7" s="36">
        <f t="shared" si="0"/>
        <v>540</v>
      </c>
      <c r="AL7" s="1"/>
    </row>
    <row r="8" spans="2:38" ht="15.75" thickBot="1" x14ac:dyDescent="0.3">
      <c r="B8" s="2">
        <v>100</v>
      </c>
      <c r="C8" s="2">
        <v>79</v>
      </c>
      <c r="D8" s="36">
        <f t="shared" si="1"/>
        <v>7900</v>
      </c>
      <c r="E8" s="1"/>
      <c r="F8" s="2">
        <v>100</v>
      </c>
      <c r="G8" s="2">
        <v>33</v>
      </c>
      <c r="H8" s="36">
        <f t="shared" si="2"/>
        <v>3300</v>
      </c>
      <c r="I8" s="1"/>
      <c r="J8" s="2">
        <v>100</v>
      </c>
      <c r="K8" s="2">
        <v>42</v>
      </c>
      <c r="L8" s="36">
        <f t="shared" si="3"/>
        <v>4200</v>
      </c>
      <c r="M8" s="1"/>
      <c r="N8" s="2">
        <v>100</v>
      </c>
      <c r="O8" s="2">
        <v>18</v>
      </c>
      <c r="P8" s="36">
        <f t="shared" si="4"/>
        <v>1800</v>
      </c>
      <c r="Q8" s="1"/>
      <c r="R8" s="2">
        <v>100</v>
      </c>
      <c r="S8" s="2">
        <v>6</v>
      </c>
      <c r="T8" s="36">
        <f t="shared" si="5"/>
        <v>600</v>
      </c>
      <c r="U8" s="1"/>
      <c r="V8" s="12"/>
      <c r="W8" s="39">
        <v>100</v>
      </c>
      <c r="X8" s="39">
        <f t="shared" si="7"/>
        <v>178</v>
      </c>
      <c r="Y8" s="37">
        <f t="shared" si="6"/>
        <v>17800</v>
      </c>
      <c r="Z8" s="13"/>
      <c r="AA8" s="1"/>
      <c r="AB8" s="58" t="s">
        <v>12</v>
      </c>
      <c r="AC8" s="59">
        <f>SUM(AC6:AC7)</f>
        <v>682320</v>
      </c>
      <c r="AD8" s="1"/>
      <c r="AE8" s="1"/>
      <c r="AF8" s="1"/>
      <c r="AG8" s="1"/>
      <c r="AH8" s="1"/>
      <c r="AI8" s="2">
        <v>50</v>
      </c>
      <c r="AJ8" s="2">
        <v>135</v>
      </c>
      <c r="AK8" s="36">
        <f t="shared" si="0"/>
        <v>6750</v>
      </c>
      <c r="AL8" s="1"/>
    </row>
    <row r="9" spans="2:38" x14ac:dyDescent="0.25">
      <c r="B9" s="2">
        <v>500</v>
      </c>
      <c r="C9" s="2">
        <v>40</v>
      </c>
      <c r="D9" s="36">
        <f t="shared" si="1"/>
        <v>20000</v>
      </c>
      <c r="E9" s="1"/>
      <c r="F9" s="2">
        <v>500</v>
      </c>
      <c r="G9" s="2">
        <v>17</v>
      </c>
      <c r="H9" s="36">
        <f t="shared" si="2"/>
        <v>8500</v>
      </c>
      <c r="I9" s="1"/>
      <c r="J9" s="2">
        <v>500</v>
      </c>
      <c r="K9" s="2">
        <v>26</v>
      </c>
      <c r="L9" s="36">
        <f t="shared" si="3"/>
        <v>13000</v>
      </c>
      <c r="M9" s="1"/>
      <c r="N9" s="2">
        <v>500</v>
      </c>
      <c r="O9" s="2">
        <v>42</v>
      </c>
      <c r="P9" s="36">
        <f t="shared" si="4"/>
        <v>21000</v>
      </c>
      <c r="Q9" s="1"/>
      <c r="R9" s="2">
        <v>500</v>
      </c>
      <c r="S9" s="2">
        <v>35</v>
      </c>
      <c r="T9" s="36">
        <f t="shared" si="5"/>
        <v>17500</v>
      </c>
      <c r="U9" s="1"/>
      <c r="V9" s="12"/>
      <c r="W9" s="39">
        <v>500</v>
      </c>
      <c r="X9" s="39">
        <f t="shared" si="7"/>
        <v>160</v>
      </c>
      <c r="Y9" s="37">
        <f t="shared" si="6"/>
        <v>80000</v>
      </c>
      <c r="Z9" s="13"/>
      <c r="AA9" s="1"/>
      <c r="AB9" s="1"/>
      <c r="AC9" s="1"/>
      <c r="AD9" s="1"/>
      <c r="AE9" s="1"/>
      <c r="AF9" s="1"/>
      <c r="AG9" s="1"/>
      <c r="AH9" s="1"/>
      <c r="AI9" s="2">
        <v>100</v>
      </c>
      <c r="AJ9" s="2">
        <v>169</v>
      </c>
      <c r="AK9" s="36">
        <f t="shared" si="0"/>
        <v>16900</v>
      </c>
      <c r="AL9" s="1"/>
    </row>
    <row r="10" spans="2:38" x14ac:dyDescent="0.25">
      <c r="B10" s="2">
        <v>1000</v>
      </c>
      <c r="C10" s="2">
        <v>27</v>
      </c>
      <c r="D10" s="36">
        <f t="shared" si="1"/>
        <v>27000</v>
      </c>
      <c r="E10" s="1"/>
      <c r="F10" s="2">
        <v>1000</v>
      </c>
      <c r="G10" s="2">
        <v>43</v>
      </c>
      <c r="H10" s="36">
        <f t="shared" si="2"/>
        <v>43000</v>
      </c>
      <c r="I10" s="1"/>
      <c r="J10" s="2">
        <v>1000</v>
      </c>
      <c r="K10" s="2">
        <v>29</v>
      </c>
      <c r="L10" s="36">
        <f t="shared" si="3"/>
        <v>29000</v>
      </c>
      <c r="M10" s="1"/>
      <c r="N10" s="2">
        <v>1000</v>
      </c>
      <c r="O10" s="2">
        <v>19</v>
      </c>
      <c r="P10" s="36">
        <f t="shared" si="4"/>
        <v>19000</v>
      </c>
      <c r="Q10" s="1"/>
      <c r="R10" s="2">
        <v>1000</v>
      </c>
      <c r="S10" s="2">
        <v>15</v>
      </c>
      <c r="T10" s="36">
        <f t="shared" si="5"/>
        <v>15000</v>
      </c>
      <c r="U10" s="1"/>
      <c r="V10" s="12"/>
      <c r="W10" s="39">
        <v>1000</v>
      </c>
      <c r="X10" s="39">
        <f t="shared" si="7"/>
        <v>133</v>
      </c>
      <c r="Y10" s="37">
        <f t="shared" si="6"/>
        <v>133000</v>
      </c>
      <c r="Z10" s="13"/>
      <c r="AA10" s="1"/>
      <c r="AB10" s="47" t="s">
        <v>13</v>
      </c>
      <c r="AC10" s="47" t="s">
        <v>8</v>
      </c>
      <c r="AD10" s="47" t="s">
        <v>14</v>
      </c>
      <c r="AE10" s="47" t="s">
        <v>15</v>
      </c>
      <c r="AF10" s="47" t="s">
        <v>16</v>
      </c>
      <c r="AG10" s="47"/>
      <c r="AH10" s="1"/>
      <c r="AI10" s="2">
        <v>500</v>
      </c>
      <c r="AJ10" s="2">
        <v>260</v>
      </c>
      <c r="AK10" s="36">
        <f t="shared" si="0"/>
        <v>130000</v>
      </c>
      <c r="AL10" s="1"/>
    </row>
    <row r="11" spans="2:38" x14ac:dyDescent="0.25">
      <c r="B11" s="2">
        <v>5000</v>
      </c>
      <c r="C11" s="2"/>
      <c r="D11" s="36">
        <f t="shared" si="1"/>
        <v>0</v>
      </c>
      <c r="E11" s="1"/>
      <c r="F11" s="2">
        <v>5000</v>
      </c>
      <c r="G11" s="2">
        <v>1</v>
      </c>
      <c r="H11" s="36">
        <f t="shared" si="2"/>
        <v>5000</v>
      </c>
      <c r="I11" s="1"/>
      <c r="J11" s="2">
        <v>5000</v>
      </c>
      <c r="K11" s="2"/>
      <c r="L11" s="36">
        <f t="shared" si="3"/>
        <v>0</v>
      </c>
      <c r="M11" s="1"/>
      <c r="N11" s="2">
        <v>5000</v>
      </c>
      <c r="O11" s="2">
        <v>1</v>
      </c>
      <c r="P11" s="36">
        <f t="shared" si="4"/>
        <v>5000</v>
      </c>
      <c r="Q11" s="1"/>
      <c r="R11" s="2">
        <v>5000</v>
      </c>
      <c r="S11" s="2"/>
      <c r="T11" s="36">
        <f t="shared" si="5"/>
        <v>0</v>
      </c>
      <c r="U11" s="1"/>
      <c r="V11" s="12"/>
      <c r="W11" s="39">
        <v>5000</v>
      </c>
      <c r="X11" s="39">
        <f t="shared" si="7"/>
        <v>2</v>
      </c>
      <c r="Y11" s="37">
        <f t="shared" si="6"/>
        <v>10000</v>
      </c>
      <c r="Z11" s="13"/>
      <c r="AA11" s="1"/>
      <c r="AB11" s="1" t="s">
        <v>17</v>
      </c>
      <c r="AC11" s="5">
        <v>677900</v>
      </c>
      <c r="AD11" s="1">
        <v>989166</v>
      </c>
      <c r="AE11" s="52" t="s">
        <v>810</v>
      </c>
      <c r="AF11" s="1" t="s">
        <v>103</v>
      </c>
      <c r="AG11" s="1"/>
      <c r="AH11" s="1"/>
      <c r="AI11" s="2">
        <v>1000</v>
      </c>
      <c r="AJ11" s="2">
        <v>406</v>
      </c>
      <c r="AK11" s="36">
        <f t="shared" si="0"/>
        <v>406000</v>
      </c>
      <c r="AL11" s="1"/>
    </row>
    <row r="12" spans="2:38" ht="15.75" thickBot="1" x14ac:dyDescent="0.3">
      <c r="B12" s="3" t="s">
        <v>18</v>
      </c>
      <c r="C12" s="3"/>
      <c r="D12" s="6">
        <f>+SUM(D4:D11)</f>
        <v>57370</v>
      </c>
      <c r="E12" s="1"/>
      <c r="F12" s="3" t="s">
        <v>18</v>
      </c>
      <c r="G12" s="3"/>
      <c r="H12" s="6">
        <f>+SUM(H4:H11)</f>
        <v>61520</v>
      </c>
      <c r="I12" s="1"/>
      <c r="J12" s="3" t="s">
        <v>18</v>
      </c>
      <c r="K12" s="3"/>
      <c r="L12" s="6">
        <f>+SUM(L4:L11)</f>
        <v>48680</v>
      </c>
      <c r="M12" s="1"/>
      <c r="N12" s="3" t="s">
        <v>18</v>
      </c>
      <c r="O12" s="3"/>
      <c r="P12" s="6">
        <f>+SUM(P4:P11)</f>
        <v>48230</v>
      </c>
      <c r="Q12" s="1"/>
      <c r="R12" s="3" t="s">
        <v>18</v>
      </c>
      <c r="S12" s="3"/>
      <c r="T12" s="6">
        <f>+SUM(T4:T11)</f>
        <v>33370</v>
      </c>
      <c r="U12" s="1"/>
      <c r="V12" s="12"/>
      <c r="W12" s="3" t="s">
        <v>18</v>
      </c>
      <c r="X12" s="3"/>
      <c r="Y12" s="6">
        <f>+SUM(Y4:Y11)</f>
        <v>249170</v>
      </c>
      <c r="Z12" s="13"/>
      <c r="AA12" s="1"/>
      <c r="AB12" s="1" t="s">
        <v>19</v>
      </c>
      <c r="AC12" s="5">
        <v>3440</v>
      </c>
      <c r="AD12" s="1"/>
      <c r="AE12" s="1"/>
      <c r="AF12" s="1"/>
      <c r="AG12" s="1"/>
      <c r="AH12" s="1"/>
      <c r="AI12" s="2">
        <v>5000</v>
      </c>
      <c r="AJ12" s="2">
        <v>24</v>
      </c>
      <c r="AK12" s="36">
        <f t="shared" si="0"/>
        <v>120000</v>
      </c>
      <c r="AL12" s="1"/>
    </row>
    <row r="13" spans="2:38" ht="15.75" thickBot="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2"/>
      <c r="W13" s="16"/>
      <c r="X13" s="16"/>
      <c r="Y13" s="16"/>
      <c r="Z13" s="13"/>
      <c r="AA13" s="1"/>
      <c r="AB13" s="1" t="s">
        <v>20</v>
      </c>
      <c r="AC13" s="5">
        <v>980</v>
      </c>
      <c r="AD13" s="1"/>
      <c r="AE13" s="1"/>
      <c r="AF13" s="1"/>
      <c r="AG13" s="1"/>
      <c r="AH13" s="1"/>
      <c r="AI13" s="3" t="s">
        <v>18</v>
      </c>
      <c r="AJ13" s="3"/>
      <c r="AK13" s="6">
        <f>+SUM(AK5:AK12)</f>
        <v>681340</v>
      </c>
      <c r="AL13" s="1"/>
    </row>
    <row r="14" spans="2:38" ht="15.75" thickBot="1" x14ac:dyDescent="0.3">
      <c r="B14" s="105" t="s">
        <v>21</v>
      </c>
      <c r="C14" s="106"/>
      <c r="D14" s="8">
        <v>60755</v>
      </c>
      <c r="E14" s="30"/>
      <c r="F14" s="105" t="s">
        <v>21</v>
      </c>
      <c r="G14" s="106"/>
      <c r="H14" s="8">
        <v>88258</v>
      </c>
      <c r="I14" s="30"/>
      <c r="J14" s="105" t="s">
        <v>21</v>
      </c>
      <c r="K14" s="106"/>
      <c r="L14" s="8">
        <v>58263</v>
      </c>
      <c r="M14" s="30"/>
      <c r="N14" s="105" t="s">
        <v>21</v>
      </c>
      <c r="O14" s="106"/>
      <c r="P14" s="8">
        <v>52029</v>
      </c>
      <c r="Q14" s="30"/>
      <c r="R14" s="105" t="s">
        <v>21</v>
      </c>
      <c r="S14" s="106"/>
      <c r="T14" s="8">
        <v>1200845</v>
      </c>
      <c r="U14" s="30"/>
      <c r="V14" s="31"/>
      <c r="W14" s="105" t="s">
        <v>21</v>
      </c>
      <c r="X14" s="106"/>
      <c r="Y14" s="8">
        <f>+D14+H14+L14+P14+T14</f>
        <v>1460150</v>
      </c>
      <c r="Z14" s="32"/>
      <c r="AA14" s="30"/>
      <c r="AB14" s="1" t="s">
        <v>22</v>
      </c>
      <c r="AC14" s="5"/>
      <c r="AD14" s="1"/>
      <c r="AE14" s="1"/>
      <c r="AF14" s="1"/>
      <c r="AG14" s="1"/>
      <c r="AH14" s="1"/>
      <c r="AI14" s="1"/>
      <c r="AJ14" s="1"/>
      <c r="AK14" s="1"/>
      <c r="AL14" s="1"/>
    </row>
    <row r="15" spans="2:38" x14ac:dyDescent="0.25">
      <c r="B15" s="1" t="s">
        <v>10</v>
      </c>
      <c r="C15" s="1"/>
      <c r="D15" s="5">
        <f>+D12</f>
        <v>57370</v>
      </c>
      <c r="E15" s="1"/>
      <c r="F15" s="1" t="s">
        <v>10</v>
      </c>
      <c r="G15" s="1"/>
      <c r="H15" s="5">
        <f>+H12</f>
        <v>61520</v>
      </c>
      <c r="I15" s="1"/>
      <c r="J15" s="1" t="s">
        <v>10</v>
      </c>
      <c r="K15" s="1"/>
      <c r="L15" s="5">
        <f>+L12</f>
        <v>48680</v>
      </c>
      <c r="M15" s="1"/>
      <c r="N15" s="1" t="s">
        <v>10</v>
      </c>
      <c r="O15" s="1"/>
      <c r="P15" s="5">
        <f>+P12</f>
        <v>48230</v>
      </c>
      <c r="Q15" s="1"/>
      <c r="R15" s="1" t="s">
        <v>10</v>
      </c>
      <c r="S15" s="1"/>
      <c r="T15" s="5">
        <f>+T12</f>
        <v>33370</v>
      </c>
      <c r="U15" s="1"/>
      <c r="V15" s="12"/>
      <c r="W15" s="40" t="s">
        <v>10</v>
      </c>
      <c r="X15" s="40"/>
      <c r="Y15" s="37">
        <f>+D15+H15+L15+P15+T15</f>
        <v>249170</v>
      </c>
      <c r="Z15" s="13"/>
      <c r="AA15" s="1"/>
      <c r="AB15" s="1" t="s">
        <v>23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17</v>
      </c>
      <c r="C16" s="1"/>
      <c r="D16" s="5"/>
      <c r="E16" s="1"/>
      <c r="F16" s="1" t="s">
        <v>17</v>
      </c>
      <c r="G16" s="1"/>
      <c r="H16" s="5"/>
      <c r="I16" s="1"/>
      <c r="J16" s="1" t="s">
        <v>17</v>
      </c>
      <c r="K16" s="1"/>
      <c r="L16" s="5"/>
      <c r="M16" s="1"/>
      <c r="N16" s="1" t="s">
        <v>17</v>
      </c>
      <c r="O16" s="1"/>
      <c r="P16" s="5"/>
      <c r="Q16" s="1"/>
      <c r="R16" s="1" t="s">
        <v>17</v>
      </c>
      <c r="S16" s="1"/>
      <c r="T16" s="5"/>
      <c r="U16" s="1"/>
      <c r="V16" s="12"/>
      <c r="W16" s="40" t="s">
        <v>17</v>
      </c>
      <c r="X16" s="40"/>
      <c r="Y16" s="37">
        <f t="shared" ref="Y16:Y26" si="8">+D16+H16+L16+P16+T16</f>
        <v>0</v>
      </c>
      <c r="Z16" s="13"/>
      <c r="AA16" s="1"/>
      <c r="AB16" s="48" t="s">
        <v>12</v>
      </c>
      <c r="AC16" s="49">
        <f>+SUM(AC11:AC15)</f>
        <v>682320</v>
      </c>
      <c r="AD16" s="63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697</v>
      </c>
      <c r="C17" s="1" t="s">
        <v>795</v>
      </c>
      <c r="D17" s="5">
        <v>3240</v>
      </c>
      <c r="E17" s="1"/>
      <c r="F17" s="1" t="s">
        <v>672</v>
      </c>
      <c r="G17" s="1" t="s">
        <v>798</v>
      </c>
      <c r="H17" s="5">
        <v>6900</v>
      </c>
      <c r="I17" s="1"/>
      <c r="J17" s="1" t="s">
        <v>672</v>
      </c>
      <c r="K17" s="1"/>
      <c r="L17" s="5"/>
      <c r="M17" s="1"/>
      <c r="N17" s="1" t="s">
        <v>796</v>
      </c>
      <c r="O17" s="1" t="s">
        <v>797</v>
      </c>
      <c r="P17" s="5">
        <v>3800</v>
      </c>
      <c r="Q17" s="1"/>
      <c r="R17" s="1" t="s">
        <v>24</v>
      </c>
      <c r="S17" s="1"/>
      <c r="T17" s="5"/>
      <c r="U17" s="1"/>
      <c r="V17" s="12"/>
      <c r="W17" s="40" t="s">
        <v>24</v>
      </c>
      <c r="X17" s="40"/>
      <c r="Y17" s="37">
        <f t="shared" si="8"/>
        <v>13940</v>
      </c>
      <c r="Z17" s="13"/>
      <c r="AA17" s="1"/>
      <c r="AB17" s="50" t="s">
        <v>25</v>
      </c>
      <c r="AC17" s="51">
        <f>+AC16-AC8</f>
        <v>0</v>
      </c>
      <c r="AD17" s="1" t="s">
        <v>26</v>
      </c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27</v>
      </c>
      <c r="C18" s="1"/>
      <c r="D18" s="5"/>
      <c r="E18" s="1"/>
      <c r="F18" s="1" t="s">
        <v>796</v>
      </c>
      <c r="G18" s="1" t="s">
        <v>799</v>
      </c>
      <c r="H18" s="5">
        <v>5380</v>
      </c>
      <c r="I18" s="1"/>
      <c r="J18" s="1" t="s">
        <v>796</v>
      </c>
      <c r="K18" s="1"/>
      <c r="L18" s="5"/>
      <c r="M18" s="1"/>
      <c r="N18" s="1" t="s">
        <v>27</v>
      </c>
      <c r="O18" s="1"/>
      <c r="P18" s="5"/>
      <c r="Q18" s="1"/>
      <c r="R18" s="1" t="s">
        <v>27</v>
      </c>
      <c r="S18" s="1"/>
      <c r="T18" s="5"/>
      <c r="U18" s="1"/>
      <c r="V18" s="12"/>
      <c r="W18" s="40" t="s">
        <v>27</v>
      </c>
      <c r="X18" s="40"/>
      <c r="Y18" s="37">
        <f t="shared" si="8"/>
        <v>5380</v>
      </c>
      <c r="Z18" s="13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28</v>
      </c>
      <c r="C19" s="1"/>
      <c r="D19" s="5"/>
      <c r="E19" s="1"/>
      <c r="F19" s="1" t="s">
        <v>800</v>
      </c>
      <c r="G19" s="1" t="s">
        <v>801</v>
      </c>
      <c r="H19" s="5">
        <v>7700</v>
      </c>
      <c r="I19" s="1"/>
      <c r="J19" s="1" t="s">
        <v>800</v>
      </c>
      <c r="K19" s="1" t="s">
        <v>803</v>
      </c>
      <c r="L19" s="5">
        <v>9200</v>
      </c>
      <c r="M19" s="1"/>
      <c r="N19" s="1" t="s">
        <v>28</v>
      </c>
      <c r="O19" s="1"/>
      <c r="P19" s="5"/>
      <c r="Q19" s="1"/>
      <c r="R19" s="1" t="s">
        <v>28</v>
      </c>
      <c r="S19" s="1"/>
      <c r="T19" s="5"/>
      <c r="U19" s="1"/>
      <c r="V19" s="12"/>
      <c r="W19" s="40" t="s">
        <v>28</v>
      </c>
      <c r="X19" s="40"/>
      <c r="Y19" s="37">
        <f t="shared" si="8"/>
        <v>16900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/>
      <c r="C20" s="1"/>
      <c r="D20" s="5"/>
      <c r="E20" s="1"/>
      <c r="F20" s="1" t="s">
        <v>796</v>
      </c>
      <c r="G20" s="1" t="s">
        <v>802</v>
      </c>
      <c r="H20" s="5">
        <v>6910</v>
      </c>
      <c r="I20" s="1"/>
      <c r="J20" s="1" t="s">
        <v>796</v>
      </c>
      <c r="K20" s="1"/>
      <c r="L20" s="5"/>
      <c r="M20" s="1"/>
      <c r="N20" s="1"/>
      <c r="O20" s="1"/>
      <c r="P20" s="5"/>
      <c r="Q20" s="1"/>
      <c r="R20" s="12" t="s">
        <v>809</v>
      </c>
      <c r="S20" s="1"/>
      <c r="T20" s="5">
        <v>2799</v>
      </c>
      <c r="U20" s="1"/>
      <c r="V20" s="12"/>
      <c r="W20" s="40"/>
      <c r="X20" s="40"/>
      <c r="Y20" s="37">
        <f t="shared" si="8"/>
        <v>9709</v>
      </c>
      <c r="Z20" s="13"/>
      <c r="AA20" s="1"/>
      <c r="AB20" s="54" t="s">
        <v>29</v>
      </c>
      <c r="AC20" s="54"/>
      <c r="AD20" s="54"/>
      <c r="AE20" s="30"/>
      <c r="AF20" s="1"/>
      <c r="AG20" s="1"/>
      <c r="AH20" s="1"/>
      <c r="AI20" s="54" t="s">
        <v>30</v>
      </c>
      <c r="AJ20" s="54"/>
      <c r="AK20" s="54"/>
      <c r="AL20" s="62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>+D21+H21+L21+P21+T21</f>
        <v>0</v>
      </c>
      <c r="Z21" s="13"/>
      <c r="AA21" s="1"/>
      <c r="AB21" s="47" t="s">
        <v>31</v>
      </c>
      <c r="AC21" s="47" t="s">
        <v>32</v>
      </c>
      <c r="AD21" s="47" t="s">
        <v>33</v>
      </c>
      <c r="AE21" s="47" t="s">
        <v>34</v>
      </c>
      <c r="AF21" s="47" t="s">
        <v>8</v>
      </c>
      <c r="AG21" s="1"/>
      <c r="AH21" s="1"/>
      <c r="AI21" s="47" t="s">
        <v>31</v>
      </c>
      <c r="AJ21" s="47" t="s">
        <v>35</v>
      </c>
      <c r="AK21" s="47" t="s">
        <v>33</v>
      </c>
      <c r="AL21" s="47" t="s">
        <v>8</v>
      </c>
    </row>
    <row r="22" spans="2:38" x14ac:dyDescent="0.25">
      <c r="B22" s="1" t="s">
        <v>36</v>
      </c>
      <c r="C22" s="1"/>
      <c r="D22" s="5"/>
      <c r="E22" s="1"/>
      <c r="F22" s="1" t="s">
        <v>36</v>
      </c>
      <c r="G22" s="1"/>
      <c r="H22" s="5"/>
      <c r="I22" s="1"/>
      <c r="J22" s="1" t="s">
        <v>36</v>
      </c>
      <c r="K22" s="1"/>
      <c r="L22" s="5"/>
      <c r="M22" s="1"/>
      <c r="N22" s="1" t="s">
        <v>53</v>
      </c>
      <c r="O22" s="1"/>
      <c r="P22" s="5"/>
      <c r="Q22" s="1"/>
      <c r="R22" s="1" t="s">
        <v>807</v>
      </c>
      <c r="S22" s="1" t="s">
        <v>808</v>
      </c>
      <c r="T22" s="5">
        <v>77176</v>
      </c>
      <c r="U22" s="1"/>
      <c r="V22" s="12"/>
      <c r="W22" s="40" t="s">
        <v>36</v>
      </c>
      <c r="X22" s="40"/>
      <c r="Y22" s="37">
        <f>+D22+H22+L22+P22+T22</f>
        <v>77176</v>
      </c>
      <c r="Z22" s="13"/>
      <c r="AA22" s="1"/>
      <c r="AB22" s="16" t="s">
        <v>791</v>
      </c>
      <c r="AC22" s="84">
        <v>45899</v>
      </c>
      <c r="AD22" s="16" t="s">
        <v>483</v>
      </c>
      <c r="AE22" s="16"/>
      <c r="AF22" s="77">
        <v>50000</v>
      </c>
      <c r="AG22" s="1"/>
      <c r="AH22" s="1"/>
      <c r="AI22" s="1"/>
      <c r="AJ22" s="1"/>
      <c r="AK22" s="1"/>
      <c r="AL22" s="62"/>
    </row>
    <row r="23" spans="2:38" x14ac:dyDescent="0.25">
      <c r="B23" s="1" t="s">
        <v>37</v>
      </c>
      <c r="C23" s="1"/>
      <c r="D23" s="5"/>
      <c r="E23" s="1"/>
      <c r="F23" s="1" t="s">
        <v>37</v>
      </c>
      <c r="G23" s="1"/>
      <c r="H23" s="5"/>
      <c r="I23" s="1"/>
      <c r="J23" s="1" t="s">
        <v>37</v>
      </c>
      <c r="K23" s="1"/>
      <c r="L23" s="5"/>
      <c r="M23" s="1"/>
      <c r="N23" s="1" t="s">
        <v>53</v>
      </c>
      <c r="O23" s="1"/>
      <c r="P23" s="5"/>
      <c r="Q23" s="1"/>
      <c r="R23" s="1" t="s">
        <v>805</v>
      </c>
      <c r="S23" s="1" t="s">
        <v>235</v>
      </c>
      <c r="T23" s="5">
        <v>1080254</v>
      </c>
      <c r="U23" s="1"/>
      <c r="V23" s="12"/>
      <c r="W23" s="40" t="s">
        <v>37</v>
      </c>
      <c r="X23" s="40"/>
      <c r="Y23" s="37">
        <f t="shared" si="8"/>
        <v>1080254</v>
      </c>
      <c r="Z23" s="13"/>
      <c r="AA23" s="1"/>
      <c r="AB23" s="16" t="s">
        <v>626</v>
      </c>
      <c r="AC23" s="95">
        <v>45914</v>
      </c>
      <c r="AD23" s="16" t="s">
        <v>235</v>
      </c>
      <c r="AE23" s="16"/>
      <c r="AF23" s="16">
        <v>383150</v>
      </c>
      <c r="AG23" s="1"/>
      <c r="AH23" s="1"/>
      <c r="AI23" s="1"/>
      <c r="AJ23" s="1"/>
      <c r="AK23" s="1"/>
      <c r="AL23" s="62"/>
    </row>
    <row r="24" spans="2:38" x14ac:dyDescent="0.25">
      <c r="B24" s="1" t="s">
        <v>38</v>
      </c>
      <c r="C24" s="1"/>
      <c r="D24" s="5"/>
      <c r="E24" s="1"/>
      <c r="F24" s="1" t="s">
        <v>38</v>
      </c>
      <c r="G24" s="1"/>
      <c r="H24" s="5"/>
      <c r="I24" s="1"/>
      <c r="J24" s="1" t="s">
        <v>38</v>
      </c>
      <c r="K24" s="1"/>
      <c r="L24" s="5"/>
      <c r="M24" s="1"/>
      <c r="N24" s="1" t="s">
        <v>53</v>
      </c>
      <c r="O24" s="1"/>
      <c r="P24" s="5"/>
      <c r="Q24" s="1"/>
      <c r="R24" s="1" t="s">
        <v>806</v>
      </c>
      <c r="S24" s="1" t="s">
        <v>296</v>
      </c>
      <c r="T24" s="5">
        <v>7026</v>
      </c>
      <c r="U24" s="1"/>
      <c r="V24" s="12"/>
      <c r="W24" s="40" t="s">
        <v>38</v>
      </c>
      <c r="X24" s="40"/>
      <c r="Y24" s="37">
        <f t="shared" si="8"/>
        <v>7026</v>
      </c>
      <c r="Z24" s="13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62"/>
    </row>
    <row r="25" spans="2:38" x14ac:dyDescent="0.25">
      <c r="B25" s="1"/>
      <c r="C25" s="1"/>
      <c r="D25" s="5"/>
      <c r="E25" s="1"/>
      <c r="F25" s="1"/>
      <c r="G25" s="1"/>
      <c r="H25" s="5"/>
      <c r="I25" s="1"/>
      <c r="J25" s="1"/>
      <c r="K25" s="1"/>
      <c r="L25" s="5"/>
      <c r="M25" s="1"/>
      <c r="N25" s="1"/>
      <c r="O25" s="1"/>
      <c r="P25" s="5"/>
      <c r="Q25" s="1"/>
      <c r="R25" s="1"/>
      <c r="S25" s="1"/>
      <c r="T25" s="5"/>
      <c r="U25" s="1"/>
      <c r="V25" s="12"/>
      <c r="W25" s="40"/>
      <c r="X25" s="40"/>
      <c r="Y25" s="37">
        <f t="shared" si="8"/>
        <v>0</v>
      </c>
      <c r="Z25" s="13"/>
      <c r="AA25" s="1"/>
      <c r="AB25" s="1"/>
      <c r="AC25" s="1"/>
      <c r="AD25" s="1"/>
      <c r="AE25" s="1"/>
      <c r="AF25" s="20"/>
      <c r="AG25" s="1"/>
      <c r="AH25" s="1"/>
      <c r="AI25" s="1"/>
      <c r="AJ25" s="1"/>
      <c r="AK25" s="1"/>
      <c r="AL25" s="62"/>
    </row>
    <row r="26" spans="2:38" ht="15.75" thickBot="1" x14ac:dyDescent="0.3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5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62"/>
    </row>
    <row r="27" spans="2:38" ht="15.75" thickBot="1" x14ac:dyDescent="0.3">
      <c r="B27" s="99" t="s">
        <v>12</v>
      </c>
      <c r="C27" s="100"/>
      <c r="D27" s="9">
        <f>+SUM(D15:D26)</f>
        <v>60610</v>
      </c>
      <c r="E27" s="1"/>
      <c r="F27" s="99" t="s">
        <v>12</v>
      </c>
      <c r="G27" s="100"/>
      <c r="H27" s="9">
        <f>+SUM(H15:H26)</f>
        <v>88410</v>
      </c>
      <c r="I27" s="1"/>
      <c r="J27" s="99" t="s">
        <v>12</v>
      </c>
      <c r="K27" s="100"/>
      <c r="L27" s="9">
        <f>+SUM(L15:L26)</f>
        <v>57880</v>
      </c>
      <c r="M27" s="1"/>
      <c r="N27" s="99" t="s">
        <v>12</v>
      </c>
      <c r="O27" s="100"/>
      <c r="P27" s="9">
        <f>+SUM(P15:P26)</f>
        <v>52030</v>
      </c>
      <c r="Q27" s="1"/>
      <c r="R27" s="99" t="s">
        <v>12</v>
      </c>
      <c r="S27" s="100"/>
      <c r="T27" s="9">
        <f>+SUM(T15:T26)</f>
        <v>1200625</v>
      </c>
      <c r="U27" s="1"/>
      <c r="V27" s="12"/>
      <c r="W27" s="99" t="s">
        <v>12</v>
      </c>
      <c r="X27" s="100"/>
      <c r="Y27" s="9">
        <f>+SUM(Y15:Y26)</f>
        <v>1459555</v>
      </c>
      <c r="Z27" s="13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62"/>
    </row>
    <row r="28" spans="2:38" x14ac:dyDescent="0.25">
      <c r="B28" s="1"/>
      <c r="C28" s="1"/>
      <c r="D28" s="5"/>
      <c r="E28" s="1"/>
      <c r="F28" s="1"/>
      <c r="G28" s="1"/>
      <c r="H28" s="5"/>
      <c r="I28" s="1"/>
      <c r="J28" s="1"/>
      <c r="K28" s="1"/>
      <c r="L28" s="5"/>
      <c r="M28" s="1"/>
      <c r="N28" s="1"/>
      <c r="O28" s="1"/>
      <c r="P28" s="5"/>
      <c r="Q28" s="1"/>
      <c r="R28" s="1"/>
      <c r="S28" s="1"/>
      <c r="T28" s="5"/>
      <c r="U28" s="1"/>
      <c r="V28" s="12"/>
      <c r="W28" s="16"/>
      <c r="X28" s="16"/>
      <c r="Y28" s="15"/>
      <c r="Z28" s="13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62"/>
    </row>
    <row r="29" spans="2:38" ht="15.75" thickBot="1" x14ac:dyDescent="0.3">
      <c r="B29" s="101" t="s">
        <v>41</v>
      </c>
      <c r="C29" s="101"/>
      <c r="D29" s="7">
        <f>+D27-D14</f>
        <v>-145</v>
      </c>
      <c r="E29" s="1"/>
      <c r="F29" s="101" t="s">
        <v>41</v>
      </c>
      <c r="G29" s="101"/>
      <c r="H29" s="7">
        <f>+H27-H14</f>
        <v>152</v>
      </c>
      <c r="I29" s="1"/>
      <c r="J29" s="101" t="s">
        <v>41</v>
      </c>
      <c r="K29" s="101"/>
      <c r="L29" s="7">
        <f>+L27-L14</f>
        <v>-383</v>
      </c>
      <c r="M29" s="1"/>
      <c r="N29" s="101" t="s">
        <v>41</v>
      </c>
      <c r="O29" s="101"/>
      <c r="P29" s="7">
        <f>+P27-P14</f>
        <v>1</v>
      </c>
      <c r="Q29" s="1"/>
      <c r="R29" s="101" t="s">
        <v>41</v>
      </c>
      <c r="S29" s="101"/>
      <c r="T29" s="7">
        <f>+T27-T14</f>
        <v>-220</v>
      </c>
      <c r="U29" s="1"/>
      <c r="V29" s="12"/>
      <c r="W29" s="102" t="s">
        <v>41</v>
      </c>
      <c r="X29" s="102"/>
      <c r="Y29" s="41">
        <f>+Y27-Y14</f>
        <v>-595</v>
      </c>
      <c r="Z29" s="13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62"/>
    </row>
    <row r="30" spans="2:38" ht="16.5" thickTop="1" thickBo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7"/>
      <c r="W30" s="18"/>
      <c r="X30" s="18"/>
      <c r="Y30" s="18"/>
      <c r="Z30" s="19"/>
      <c r="AA30" s="1"/>
      <c r="AB30" s="60" t="s">
        <v>40</v>
      </c>
      <c r="AC30" s="60"/>
      <c r="AD30" s="60"/>
      <c r="AE30" s="60"/>
      <c r="AF30" s="55">
        <f>+SUM(AF22:AF29)</f>
        <v>433150</v>
      </c>
      <c r="AG30" s="1"/>
      <c r="AH30" s="1"/>
      <c r="AI30" s="60" t="s">
        <v>40</v>
      </c>
      <c r="AJ30" s="60"/>
      <c r="AK30" s="60"/>
      <c r="AL30" s="55">
        <f>+SUM(AL22:AL29)</f>
        <v>0</v>
      </c>
    </row>
    <row r="31" spans="2:3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2:38" ht="15.75" thickBot="1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2:38" x14ac:dyDescent="0.25">
      <c r="B33" s="10" t="s">
        <v>42</v>
      </c>
      <c r="C33" s="11"/>
      <c r="D33" s="21">
        <v>145</v>
      </c>
      <c r="E33" s="1"/>
      <c r="F33" s="10" t="s">
        <v>42</v>
      </c>
      <c r="G33" s="11"/>
      <c r="H33" s="21"/>
      <c r="I33" s="1"/>
      <c r="J33" s="10" t="s">
        <v>42</v>
      </c>
      <c r="K33" s="11"/>
      <c r="L33" s="21">
        <v>383</v>
      </c>
      <c r="M33" s="1"/>
      <c r="N33" s="10" t="s">
        <v>42</v>
      </c>
      <c r="O33" s="11"/>
      <c r="P33" s="21"/>
      <c r="Q33" s="1"/>
      <c r="R33" s="10" t="s">
        <v>42</v>
      </c>
      <c r="S33" s="11"/>
      <c r="T33" s="21"/>
      <c r="U33" s="1"/>
      <c r="V33" s="1"/>
      <c r="W33" s="42" t="s">
        <v>42</v>
      </c>
      <c r="X33" s="43"/>
      <c r="Y33" s="44">
        <f>+D33+H33+L33+P33+T33</f>
        <v>528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2:38" x14ac:dyDescent="0.25">
      <c r="B34" s="12" t="s">
        <v>43</v>
      </c>
      <c r="C34" s="16"/>
      <c r="D34" s="22"/>
      <c r="E34" s="1"/>
      <c r="F34" s="12" t="s">
        <v>43</v>
      </c>
      <c r="G34" s="16"/>
      <c r="H34" s="22"/>
      <c r="I34" s="1"/>
      <c r="J34" s="12" t="s">
        <v>43</v>
      </c>
      <c r="K34" s="16"/>
      <c r="L34" s="22"/>
      <c r="M34" s="1"/>
      <c r="N34" s="12" t="s">
        <v>43</v>
      </c>
      <c r="O34" s="16"/>
      <c r="P34" s="22"/>
      <c r="Q34" s="1"/>
      <c r="R34" s="12" t="s">
        <v>282</v>
      </c>
      <c r="S34" s="16"/>
      <c r="T34" s="22">
        <v>220</v>
      </c>
      <c r="U34" s="1"/>
      <c r="V34" s="1"/>
      <c r="W34" s="45" t="s">
        <v>43</v>
      </c>
      <c r="X34" s="40"/>
      <c r="Y34" s="46">
        <f t="shared" ref="Y34:Y35" si="9">+D34+H34+L34+P34+T34</f>
        <v>220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2:38" x14ac:dyDescent="0.25">
      <c r="B35" s="12" t="s">
        <v>45</v>
      </c>
      <c r="C35" s="16"/>
      <c r="D35" s="22"/>
      <c r="E35" s="1"/>
      <c r="F35" s="12" t="s">
        <v>45</v>
      </c>
      <c r="G35" s="16"/>
      <c r="H35" s="22">
        <v>-152</v>
      </c>
      <c r="I35" s="1"/>
      <c r="J35" s="12" t="s">
        <v>45</v>
      </c>
      <c r="K35" s="16"/>
      <c r="L35" s="22"/>
      <c r="M35" s="1"/>
      <c r="N35" s="12" t="s">
        <v>45</v>
      </c>
      <c r="O35" s="16"/>
      <c r="P35" s="22">
        <v>-1</v>
      </c>
      <c r="Q35" s="1"/>
      <c r="R35" s="12" t="s">
        <v>45</v>
      </c>
      <c r="S35" s="16"/>
      <c r="T35" s="22"/>
      <c r="U35" s="1"/>
      <c r="V35" s="1"/>
      <c r="W35" s="45" t="s">
        <v>44</v>
      </c>
      <c r="X35" s="40"/>
      <c r="Y35" s="46">
        <f t="shared" si="9"/>
        <v>-153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2:38" x14ac:dyDescent="0.25">
      <c r="B36" s="12" t="s">
        <v>18</v>
      </c>
      <c r="C36" s="16"/>
      <c r="D36" s="22">
        <f>+SUM(D33:D35)</f>
        <v>145</v>
      </c>
      <c r="E36" s="1"/>
      <c r="F36" s="12" t="s">
        <v>18</v>
      </c>
      <c r="G36" s="16"/>
      <c r="H36" s="22">
        <f>+SUM(H33:H35)</f>
        <v>-152</v>
      </c>
      <c r="I36" s="1"/>
      <c r="J36" s="12" t="s">
        <v>18</v>
      </c>
      <c r="K36" s="16"/>
      <c r="L36" s="22">
        <f>+SUM(L33:L35)</f>
        <v>383</v>
      </c>
      <c r="M36" s="1"/>
      <c r="N36" s="12" t="s">
        <v>18</v>
      </c>
      <c r="O36" s="16"/>
      <c r="P36" s="22">
        <f>+SUM(P33:P35)</f>
        <v>-1</v>
      </c>
      <c r="Q36" s="1"/>
      <c r="R36" s="12" t="s">
        <v>18</v>
      </c>
      <c r="S36" s="16"/>
      <c r="T36" s="22">
        <f>+SUM(T33:T35)</f>
        <v>220</v>
      </c>
      <c r="U36" s="1"/>
      <c r="V36" s="1"/>
      <c r="W36" s="33" t="s">
        <v>18</v>
      </c>
      <c r="X36" s="34"/>
      <c r="Y36" s="35">
        <f>+SUM(Y33:Y35)</f>
        <v>595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2:38" ht="15.75" thickBot="1" x14ac:dyDescent="0.3">
      <c r="B37" s="23" t="s">
        <v>46</v>
      </c>
      <c r="C37" s="24"/>
      <c r="D37" s="25">
        <f>+D29+D36</f>
        <v>0</v>
      </c>
      <c r="E37" s="1"/>
      <c r="F37" s="23" t="s">
        <v>46</v>
      </c>
      <c r="G37" s="24"/>
      <c r="H37" s="25">
        <f>+H29+H36</f>
        <v>0</v>
      </c>
      <c r="I37" s="1"/>
      <c r="J37" s="23" t="s">
        <v>46</v>
      </c>
      <c r="K37" s="24"/>
      <c r="L37" s="25">
        <f>+L29+L36</f>
        <v>0</v>
      </c>
      <c r="M37" s="1"/>
      <c r="N37" s="23" t="s">
        <v>46</v>
      </c>
      <c r="O37" s="24"/>
      <c r="P37" s="25">
        <f>+P29+P36</f>
        <v>0</v>
      </c>
      <c r="Q37" s="1"/>
      <c r="R37" s="23" t="s">
        <v>46</v>
      </c>
      <c r="S37" s="24"/>
      <c r="T37" s="25">
        <f>+T29+T36</f>
        <v>0</v>
      </c>
      <c r="U37" s="1"/>
      <c r="V37" s="1"/>
      <c r="W37" s="23" t="s">
        <v>46</v>
      </c>
      <c r="X37" s="24"/>
      <c r="Y37" s="25">
        <f>+Y29+Y36</f>
        <v>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</sheetData>
  <mergeCells count="24">
    <mergeCell ref="W14:X14"/>
    <mergeCell ref="B2:D2"/>
    <mergeCell ref="F2:H2"/>
    <mergeCell ref="J2:L2"/>
    <mergeCell ref="N2:P2"/>
    <mergeCell ref="R2:T2"/>
    <mergeCell ref="W2:Y2"/>
    <mergeCell ref="B14:C14"/>
    <mergeCell ref="F14:G14"/>
    <mergeCell ref="J14:K14"/>
    <mergeCell ref="N14:O14"/>
    <mergeCell ref="R14:S14"/>
    <mergeCell ref="W29:X29"/>
    <mergeCell ref="B27:C27"/>
    <mergeCell ref="F27:G27"/>
    <mergeCell ref="J27:K27"/>
    <mergeCell ref="N27:O27"/>
    <mergeCell ref="R27:S27"/>
    <mergeCell ref="W27:X27"/>
    <mergeCell ref="B29:C29"/>
    <mergeCell ref="F29:G29"/>
    <mergeCell ref="J29:K29"/>
    <mergeCell ref="N29:O29"/>
    <mergeCell ref="R29:S2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AL38"/>
  <sheetViews>
    <sheetView zoomScale="80" zoomScaleNormal="80" workbookViewId="0">
      <selection activeCell="AL32" sqref="AL32"/>
    </sheetView>
  </sheetViews>
  <sheetFormatPr defaultRowHeight="15" x14ac:dyDescent="0.25"/>
  <cols>
    <col min="3" max="3" width="15.85546875" bestFit="1" customWidth="1"/>
    <col min="4" max="4" width="9.5703125" bestFit="1" customWidth="1"/>
    <col min="5" max="5" width="0.7109375" customWidth="1"/>
    <col min="7" max="7" width="14.42578125" bestFit="1" customWidth="1"/>
    <col min="8" max="8" width="9.5703125" bestFit="1" customWidth="1"/>
    <col min="9" max="9" width="0.42578125" customWidth="1"/>
    <col min="11" max="11" width="13.85546875" customWidth="1"/>
    <col min="12" max="12" width="9.5703125" bestFit="1" customWidth="1"/>
    <col min="13" max="13" width="0.42578125" customWidth="1"/>
    <col min="17" max="17" width="0.5703125" customWidth="1"/>
    <col min="19" max="19" width="14" bestFit="1" customWidth="1"/>
    <col min="20" max="20" width="11.5703125" bestFit="1" customWidth="1"/>
    <col min="21" max="21" width="0.28515625" customWidth="1"/>
    <col min="22" max="22" width="2.7109375" customWidth="1"/>
    <col min="25" max="25" width="9.5703125" bestFit="1" customWidth="1"/>
    <col min="26" max="26" width="2.28515625" customWidth="1"/>
    <col min="27" max="27" width="0.28515625" customWidth="1"/>
    <col min="29" max="29" width="10.5703125" bestFit="1" customWidth="1"/>
    <col min="33" max="33" width="1.140625" customWidth="1"/>
    <col min="34" max="34" width="9.140625" hidden="1" customWidth="1"/>
    <col min="36" max="36" width="14" bestFit="1" customWidth="1"/>
  </cols>
  <sheetData>
    <row r="2" spans="2:38" ht="15.75" thickBot="1" x14ac:dyDescent="0.3"/>
    <row r="3" spans="2:38" x14ac:dyDescent="0.25">
      <c r="B3" s="104" t="s">
        <v>592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820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>
        <v>11</v>
      </c>
      <c r="T5" s="36">
        <f>+S5*R5</f>
        <v>11</v>
      </c>
      <c r="U5" s="26"/>
      <c r="V5" s="27"/>
      <c r="W5" s="38">
        <v>1</v>
      </c>
      <c r="X5" s="39">
        <f>+C5+G5+K5+O5+S5</f>
        <v>11</v>
      </c>
      <c r="Y5" s="37">
        <f>+D5+H5+L5+P5+T5</f>
        <v>11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112</v>
      </c>
      <c r="D6" s="36">
        <f>+C6*B6</f>
        <v>1120</v>
      </c>
      <c r="E6" s="1"/>
      <c r="F6" s="2">
        <v>10</v>
      </c>
      <c r="G6" s="2">
        <v>100</v>
      </c>
      <c r="H6" s="36">
        <f>+G6*F6</f>
        <v>1000</v>
      </c>
      <c r="I6" s="1"/>
      <c r="J6" s="2">
        <v>10</v>
      </c>
      <c r="K6" s="2">
        <v>110</v>
      </c>
      <c r="L6" s="36">
        <f>+K6*J6</f>
        <v>1100</v>
      </c>
      <c r="M6" s="1"/>
      <c r="N6" s="2">
        <v>10</v>
      </c>
      <c r="O6" s="2">
        <v>68</v>
      </c>
      <c r="P6" s="36">
        <f>+O6*N6</f>
        <v>680</v>
      </c>
      <c r="Q6" s="1"/>
      <c r="R6" s="2">
        <v>10</v>
      </c>
      <c r="S6" s="2">
        <v>1</v>
      </c>
      <c r="T6" s="36">
        <f>+S6*R6</f>
        <v>10</v>
      </c>
      <c r="U6" s="1"/>
      <c r="V6" s="12"/>
      <c r="W6" s="39">
        <v>10</v>
      </c>
      <c r="X6" s="39">
        <f>+C6+G6+K6+O6+S6</f>
        <v>391</v>
      </c>
      <c r="Y6" s="37">
        <f>+D6+H6+L6+P6+T6</f>
        <v>3910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>
        <v>11</v>
      </c>
      <c r="AK6" s="36">
        <f t="shared" ref="AK6:AK13" si="0">+AJ6*AI6</f>
        <v>11</v>
      </c>
      <c r="AL6" s="26"/>
    </row>
    <row r="7" spans="2:38" x14ac:dyDescent="0.25">
      <c r="B7" s="2">
        <v>20</v>
      </c>
      <c r="C7" s="2">
        <v>22</v>
      </c>
      <c r="D7" s="36">
        <f t="shared" ref="D7:D12" si="1">+C7*B7</f>
        <v>440</v>
      </c>
      <c r="E7" s="1"/>
      <c r="F7" s="2">
        <v>20</v>
      </c>
      <c r="G7" s="2">
        <v>20</v>
      </c>
      <c r="H7" s="36">
        <f t="shared" ref="H7:H12" si="2">+G7*F7</f>
        <v>400</v>
      </c>
      <c r="I7" s="1"/>
      <c r="J7" s="2">
        <v>20</v>
      </c>
      <c r="K7" s="2">
        <v>48</v>
      </c>
      <c r="L7" s="36">
        <f t="shared" ref="L7:L12" si="3">+K7*J7</f>
        <v>960</v>
      </c>
      <c r="M7" s="1"/>
      <c r="N7" s="2">
        <v>20</v>
      </c>
      <c r="O7" s="2">
        <v>17</v>
      </c>
      <c r="P7" s="36">
        <f t="shared" ref="P7:P12" si="4">+O7*N7</f>
        <v>340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107</v>
      </c>
      <c r="Y7" s="37">
        <f t="shared" ref="Y7:Y12" si="6">+D7+H7+L7+P7+T7</f>
        <v>2140</v>
      </c>
      <c r="Z7" s="13"/>
      <c r="AA7" s="1"/>
      <c r="AB7" s="56" t="s">
        <v>10</v>
      </c>
      <c r="AC7" s="57">
        <f>Y13</f>
        <v>276211</v>
      </c>
      <c r="AD7" s="26"/>
      <c r="AE7" s="26"/>
      <c r="AF7" s="26"/>
      <c r="AG7" s="26"/>
      <c r="AH7" s="1"/>
      <c r="AI7" s="2">
        <v>10</v>
      </c>
      <c r="AJ7" s="2">
        <v>503</v>
      </c>
      <c r="AK7" s="36">
        <f t="shared" si="0"/>
        <v>5030</v>
      </c>
      <c r="AL7" s="1"/>
    </row>
    <row r="8" spans="2:38" x14ac:dyDescent="0.25">
      <c r="B8" s="2">
        <v>50</v>
      </c>
      <c r="C8" s="2">
        <v>35</v>
      </c>
      <c r="D8" s="36">
        <f t="shared" si="1"/>
        <v>1750</v>
      </c>
      <c r="E8" s="1"/>
      <c r="F8" s="2">
        <v>50</v>
      </c>
      <c r="G8" s="2">
        <v>1</v>
      </c>
      <c r="H8" s="36">
        <f t="shared" si="2"/>
        <v>50</v>
      </c>
      <c r="I8" s="1"/>
      <c r="J8" s="2">
        <v>50</v>
      </c>
      <c r="K8" s="2">
        <v>49</v>
      </c>
      <c r="L8" s="36">
        <f t="shared" si="3"/>
        <v>2450</v>
      </c>
      <c r="M8" s="1"/>
      <c r="N8" s="2">
        <v>50</v>
      </c>
      <c r="O8" s="2">
        <v>110</v>
      </c>
      <c r="P8" s="36">
        <f t="shared" si="4"/>
        <v>5500</v>
      </c>
      <c r="Q8" s="1"/>
      <c r="R8" s="2">
        <v>50</v>
      </c>
      <c r="S8" s="2">
        <v>24</v>
      </c>
      <c r="T8" s="36">
        <f t="shared" si="5"/>
        <v>1200</v>
      </c>
      <c r="U8" s="1"/>
      <c r="V8" s="12"/>
      <c r="W8" s="39">
        <v>50</v>
      </c>
      <c r="X8" s="39">
        <f t="shared" ref="X8:X12" si="7">+C8+G8+K8+O8+S8</f>
        <v>219</v>
      </c>
      <c r="Y8" s="37">
        <f t="shared" si="6"/>
        <v>10950</v>
      </c>
      <c r="Z8" s="13"/>
      <c r="AA8" s="1"/>
      <c r="AB8" s="53" t="s">
        <v>11</v>
      </c>
      <c r="AC8" s="53">
        <f>+AF31</f>
        <v>204524</v>
      </c>
      <c r="AD8" s="1"/>
      <c r="AE8" s="1"/>
      <c r="AF8" s="1"/>
      <c r="AG8" s="1"/>
      <c r="AH8" s="1"/>
      <c r="AI8" s="2">
        <v>20</v>
      </c>
      <c r="AJ8" s="2">
        <v>120</v>
      </c>
      <c r="AK8" s="36">
        <f t="shared" si="0"/>
        <v>2400</v>
      </c>
      <c r="AL8" s="1"/>
    </row>
    <row r="9" spans="2:38" ht="15.75" thickBot="1" x14ac:dyDescent="0.3">
      <c r="B9" s="2">
        <v>100</v>
      </c>
      <c r="C9" s="2">
        <v>11</v>
      </c>
      <c r="D9" s="36">
        <f t="shared" si="1"/>
        <v>1100</v>
      </c>
      <c r="E9" s="1"/>
      <c r="F9" s="2">
        <v>100</v>
      </c>
      <c r="G9" s="2">
        <v>1</v>
      </c>
      <c r="H9" s="36">
        <f t="shared" si="2"/>
        <v>100</v>
      </c>
      <c r="I9" s="1"/>
      <c r="J9" s="2">
        <v>100</v>
      </c>
      <c r="K9" s="2">
        <v>75</v>
      </c>
      <c r="L9" s="36">
        <f t="shared" si="3"/>
        <v>7500</v>
      </c>
      <c r="M9" s="1"/>
      <c r="N9" s="2">
        <v>100</v>
      </c>
      <c r="O9" s="2">
        <v>79</v>
      </c>
      <c r="P9" s="36">
        <f t="shared" si="4"/>
        <v>7900</v>
      </c>
      <c r="Q9" s="1"/>
      <c r="R9" s="2">
        <v>100</v>
      </c>
      <c r="S9" s="2">
        <v>46</v>
      </c>
      <c r="T9" s="36">
        <f t="shared" si="5"/>
        <v>4600</v>
      </c>
      <c r="U9" s="1"/>
      <c r="V9" s="12"/>
      <c r="W9" s="39">
        <v>100</v>
      </c>
      <c r="X9" s="39">
        <f t="shared" si="7"/>
        <v>212</v>
      </c>
      <c r="Y9" s="37">
        <f t="shared" si="6"/>
        <v>21200</v>
      </c>
      <c r="Z9" s="13"/>
      <c r="AA9" s="1"/>
      <c r="AB9" s="58" t="s">
        <v>12</v>
      </c>
      <c r="AC9" s="59">
        <f>SUM(AC7:AC8)</f>
        <v>480735</v>
      </c>
      <c r="AD9" s="1"/>
      <c r="AE9" s="1"/>
      <c r="AF9" s="1"/>
      <c r="AG9" s="1"/>
      <c r="AH9" s="1"/>
      <c r="AI9" s="2">
        <v>50</v>
      </c>
      <c r="AJ9" s="2">
        <v>239</v>
      </c>
      <c r="AK9" s="36">
        <f t="shared" si="0"/>
        <v>11950</v>
      </c>
      <c r="AL9" s="1"/>
    </row>
    <row r="10" spans="2:38" x14ac:dyDescent="0.25">
      <c r="B10" s="2">
        <v>500</v>
      </c>
      <c r="C10" s="2">
        <v>26</v>
      </c>
      <c r="D10" s="36">
        <f t="shared" si="1"/>
        <v>13000</v>
      </c>
      <c r="E10" s="1"/>
      <c r="F10" s="2">
        <v>500</v>
      </c>
      <c r="G10" s="2">
        <v>30</v>
      </c>
      <c r="H10" s="36">
        <f t="shared" si="2"/>
        <v>15000</v>
      </c>
      <c r="I10" s="1"/>
      <c r="J10" s="2">
        <v>500</v>
      </c>
      <c r="K10" s="2">
        <v>50</v>
      </c>
      <c r="L10" s="36">
        <f t="shared" si="3"/>
        <v>25000</v>
      </c>
      <c r="M10" s="1"/>
      <c r="N10" s="2">
        <v>500</v>
      </c>
      <c r="O10" s="2">
        <v>44</v>
      </c>
      <c r="P10" s="36">
        <f t="shared" si="4"/>
        <v>22000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150</v>
      </c>
      <c r="Y10" s="37">
        <f t="shared" si="6"/>
        <v>75000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316</v>
      </c>
      <c r="AK10" s="36">
        <f t="shared" si="0"/>
        <v>31600</v>
      </c>
      <c r="AL10" s="1"/>
    </row>
    <row r="11" spans="2:38" x14ac:dyDescent="0.25">
      <c r="B11" s="2">
        <v>1000</v>
      </c>
      <c r="C11" s="2">
        <v>29</v>
      </c>
      <c r="D11" s="36">
        <f t="shared" si="1"/>
        <v>29000</v>
      </c>
      <c r="E11" s="1"/>
      <c r="F11" s="2">
        <v>1000</v>
      </c>
      <c r="G11" s="2">
        <v>47</v>
      </c>
      <c r="H11" s="36">
        <f t="shared" si="2"/>
        <v>47000</v>
      </c>
      <c r="I11" s="1"/>
      <c r="J11" s="2">
        <v>1000</v>
      </c>
      <c r="K11" s="2">
        <v>35</v>
      </c>
      <c r="L11" s="36">
        <f t="shared" si="3"/>
        <v>35000</v>
      </c>
      <c r="M11" s="1"/>
      <c r="N11" s="2">
        <v>1000</v>
      </c>
      <c r="O11" s="2">
        <v>21</v>
      </c>
      <c r="P11" s="36">
        <f t="shared" si="4"/>
        <v>21000</v>
      </c>
      <c r="Q11" s="1"/>
      <c r="R11" s="2">
        <v>1000</v>
      </c>
      <c r="S11" s="2">
        <v>1</v>
      </c>
      <c r="T11" s="36">
        <f t="shared" si="5"/>
        <v>1000</v>
      </c>
      <c r="U11" s="1"/>
      <c r="V11" s="12"/>
      <c r="W11" s="39">
        <v>1000</v>
      </c>
      <c r="X11" s="39">
        <f t="shared" si="7"/>
        <v>133</v>
      </c>
      <c r="Y11" s="37">
        <f t="shared" si="6"/>
        <v>133000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374</v>
      </c>
      <c r="AK11" s="36">
        <f t="shared" si="0"/>
        <v>187000</v>
      </c>
      <c r="AL11" s="1"/>
    </row>
    <row r="12" spans="2:38" x14ac:dyDescent="0.25">
      <c r="B12" s="2">
        <v>5000</v>
      </c>
      <c r="C12" s="2">
        <v>3</v>
      </c>
      <c r="D12" s="36">
        <f t="shared" si="1"/>
        <v>15000</v>
      </c>
      <c r="E12" s="1"/>
      <c r="F12" s="2">
        <v>5000</v>
      </c>
      <c r="G12" s="2">
        <v>1</v>
      </c>
      <c r="H12" s="36">
        <f t="shared" si="2"/>
        <v>5000</v>
      </c>
      <c r="I12" s="1"/>
      <c r="J12" s="2">
        <v>5000</v>
      </c>
      <c r="K12" s="2">
        <v>2</v>
      </c>
      <c r="L12" s="36">
        <f t="shared" si="3"/>
        <v>10000</v>
      </c>
      <c r="M12" s="1"/>
      <c r="N12" s="2">
        <v>5000</v>
      </c>
      <c r="O12" s="2"/>
      <c r="P12" s="36">
        <f t="shared" si="4"/>
        <v>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6</v>
      </c>
      <c r="Y12" s="37">
        <f t="shared" si="6"/>
        <v>30000</v>
      </c>
      <c r="Z12" s="13"/>
      <c r="AA12" s="1"/>
      <c r="AB12" s="1" t="s">
        <v>17</v>
      </c>
      <c r="AC12" s="5">
        <v>470350</v>
      </c>
      <c r="AD12" s="1">
        <v>9661</v>
      </c>
      <c r="AE12" s="52" t="s">
        <v>843</v>
      </c>
      <c r="AF12" s="1" t="s">
        <v>103</v>
      </c>
      <c r="AG12" s="1"/>
      <c r="AH12" s="1"/>
      <c r="AI12" s="2">
        <v>1000</v>
      </c>
      <c r="AJ12" s="2">
        <v>195</v>
      </c>
      <c r="AK12" s="36">
        <f t="shared" si="0"/>
        <v>195000</v>
      </c>
      <c r="AL12" s="1"/>
    </row>
    <row r="13" spans="2:38" ht="15.75" thickBot="1" x14ac:dyDescent="0.3">
      <c r="B13" s="3" t="s">
        <v>18</v>
      </c>
      <c r="C13" s="3"/>
      <c r="D13" s="6">
        <f>+SUM(D5:D12)</f>
        <v>61410</v>
      </c>
      <c r="E13" s="1"/>
      <c r="F13" s="3" t="s">
        <v>18</v>
      </c>
      <c r="G13" s="3"/>
      <c r="H13" s="6">
        <f>+SUM(H5:H12)</f>
        <v>68550</v>
      </c>
      <c r="I13" s="1"/>
      <c r="J13" s="3" t="s">
        <v>18</v>
      </c>
      <c r="K13" s="3"/>
      <c r="L13" s="6">
        <f>+SUM(L5:L12)</f>
        <v>82010</v>
      </c>
      <c r="M13" s="1"/>
      <c r="N13" s="3" t="s">
        <v>18</v>
      </c>
      <c r="O13" s="3"/>
      <c r="P13" s="6">
        <f>+SUM(P5:P12)</f>
        <v>57420</v>
      </c>
      <c r="Q13" s="1"/>
      <c r="R13" s="3" t="s">
        <v>18</v>
      </c>
      <c r="S13" s="3"/>
      <c r="T13" s="6">
        <f>+SUM(T5:T12)</f>
        <v>6821</v>
      </c>
      <c r="U13" s="1"/>
      <c r="V13" s="12"/>
      <c r="W13" s="3" t="s">
        <v>18</v>
      </c>
      <c r="X13" s="3"/>
      <c r="Y13" s="6">
        <f>+SUM(Y5:Y12)</f>
        <v>276211</v>
      </c>
      <c r="Z13" s="13"/>
      <c r="AA13" s="1"/>
      <c r="AB13" s="1" t="s">
        <v>19</v>
      </c>
      <c r="AC13" s="5">
        <v>7641</v>
      </c>
      <c r="AD13" s="1"/>
      <c r="AE13" s="1"/>
      <c r="AF13" s="1"/>
      <c r="AG13" s="1"/>
      <c r="AH13" s="1"/>
      <c r="AI13" s="2">
        <v>5000</v>
      </c>
      <c r="AJ13" s="2">
        <v>9</v>
      </c>
      <c r="AK13" s="36">
        <f t="shared" si="0"/>
        <v>45000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>
        <v>750</v>
      </c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477991</v>
      </c>
      <c r="AL14" s="1"/>
    </row>
    <row r="15" spans="2:38" ht="15.75" thickBot="1" x14ac:dyDescent="0.3">
      <c r="B15" s="105" t="s">
        <v>21</v>
      </c>
      <c r="C15" s="106"/>
      <c r="D15" s="8">
        <v>107405</v>
      </c>
      <c r="E15" s="30"/>
      <c r="F15" s="105" t="s">
        <v>21</v>
      </c>
      <c r="G15" s="106"/>
      <c r="H15" s="8">
        <v>105201</v>
      </c>
      <c r="I15" s="30"/>
      <c r="J15" s="105" t="s">
        <v>21</v>
      </c>
      <c r="K15" s="106"/>
      <c r="L15" s="8">
        <v>111697.68</v>
      </c>
      <c r="M15" s="30"/>
      <c r="N15" s="105" t="s">
        <v>21</v>
      </c>
      <c r="O15" s="106"/>
      <c r="P15" s="8">
        <v>57396</v>
      </c>
      <c r="Q15" s="30"/>
      <c r="R15" s="105" t="s">
        <v>21</v>
      </c>
      <c r="S15" s="106"/>
      <c r="T15" s="8">
        <v>252992</v>
      </c>
      <c r="U15" s="30"/>
      <c r="V15" s="31"/>
      <c r="W15" s="105" t="s">
        <v>21</v>
      </c>
      <c r="X15" s="106"/>
      <c r="Y15" s="8">
        <f>+D15+H15+L15+P15+T15</f>
        <v>634691.67999999993</v>
      </c>
      <c r="Z15" s="32"/>
      <c r="AA15" s="30"/>
      <c r="AB15" s="1" t="s">
        <v>22</v>
      </c>
      <c r="AC15" s="5"/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61410</v>
      </c>
      <c r="E16" s="1"/>
      <c r="F16" s="1" t="s">
        <v>10</v>
      </c>
      <c r="G16" s="1"/>
      <c r="H16" s="5">
        <f>+H13</f>
        <v>68550</v>
      </c>
      <c r="I16" s="1"/>
      <c r="J16" s="1" t="s">
        <v>10</v>
      </c>
      <c r="K16" s="1"/>
      <c r="L16" s="5">
        <f>+L13</f>
        <v>82010</v>
      </c>
      <c r="M16" s="1"/>
      <c r="N16" s="1" t="s">
        <v>10</v>
      </c>
      <c r="O16" s="1"/>
      <c r="P16" s="5">
        <f>+P13</f>
        <v>57420</v>
      </c>
      <c r="Q16" s="1"/>
      <c r="R16" s="1" t="s">
        <v>10</v>
      </c>
      <c r="S16" s="1"/>
      <c r="T16" s="5">
        <f>+T13</f>
        <v>6821</v>
      </c>
      <c r="U16" s="1"/>
      <c r="V16" s="12"/>
      <c r="W16" s="40" t="s">
        <v>10</v>
      </c>
      <c r="X16" s="40"/>
      <c r="Y16" s="37">
        <f>+D16+H16+L16+P16+T16</f>
        <v>276211</v>
      </c>
      <c r="Z16" s="13"/>
      <c r="AA16" s="1"/>
      <c r="AB16" s="1" t="s">
        <v>818</v>
      </c>
      <c r="AC16" s="5">
        <v>2000</v>
      </c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480741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758</v>
      </c>
      <c r="C18" s="1" t="s">
        <v>811</v>
      </c>
      <c r="D18" s="5">
        <v>6536</v>
      </c>
      <c r="E18" s="1"/>
      <c r="F18" s="1" t="s">
        <v>697</v>
      </c>
      <c r="G18" s="1" t="s">
        <v>816</v>
      </c>
      <c r="H18" s="5">
        <v>10663</v>
      </c>
      <c r="I18" s="1"/>
      <c r="J18" s="1" t="s">
        <v>800</v>
      </c>
      <c r="K18" s="1" t="s">
        <v>829</v>
      </c>
      <c r="L18" s="5">
        <v>6000</v>
      </c>
      <c r="M18" s="1"/>
      <c r="N18" s="1" t="s">
        <v>24</v>
      </c>
      <c r="O18" s="1"/>
      <c r="P18" s="5"/>
      <c r="Q18" s="1"/>
      <c r="R18" s="1" t="s">
        <v>822</v>
      </c>
      <c r="S18" s="1" t="s">
        <v>823</v>
      </c>
      <c r="T18" s="5">
        <v>38130</v>
      </c>
      <c r="U18" s="1"/>
      <c r="V18" s="12"/>
      <c r="W18" s="40" t="s">
        <v>24</v>
      </c>
      <c r="X18" s="40"/>
      <c r="Y18" s="37">
        <f t="shared" si="8"/>
        <v>61329</v>
      </c>
      <c r="Z18" s="13"/>
      <c r="AA18" s="1"/>
      <c r="AB18" s="50" t="s">
        <v>25</v>
      </c>
      <c r="AC18" s="51">
        <f>+AC17-AC9</f>
        <v>6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815</v>
      </c>
      <c r="C19" s="1" t="s">
        <v>813</v>
      </c>
      <c r="D19" s="5">
        <v>8000</v>
      </c>
      <c r="E19" s="1"/>
      <c r="F19" s="1" t="s">
        <v>758</v>
      </c>
      <c r="G19" s="1" t="s">
        <v>817</v>
      </c>
      <c r="H19" s="5">
        <v>5516</v>
      </c>
      <c r="I19" s="1"/>
      <c r="J19" s="1" t="s">
        <v>815</v>
      </c>
      <c r="K19" s="1" t="s">
        <v>830</v>
      </c>
      <c r="L19" s="5">
        <v>4640</v>
      </c>
      <c r="M19" s="1"/>
      <c r="N19" s="1" t="s">
        <v>27</v>
      </c>
      <c r="O19" s="1"/>
      <c r="P19" s="5"/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18156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783</v>
      </c>
      <c r="C20" s="1" t="s">
        <v>814</v>
      </c>
      <c r="D20" s="5">
        <v>23869</v>
      </c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28</v>
      </c>
      <c r="O20" s="1"/>
      <c r="P20" s="5"/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23869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/>
      <c r="O21" s="1"/>
      <c r="P21" s="5"/>
      <c r="Q21" s="1"/>
      <c r="R21" s="1"/>
      <c r="S21" s="1"/>
      <c r="T21" s="5"/>
      <c r="U21" s="1"/>
      <c r="V21" s="12"/>
      <c r="W21" s="40"/>
      <c r="X21" s="40"/>
      <c r="Y21" s="37">
        <f t="shared" si="8"/>
        <v>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812</v>
      </c>
      <c r="C23" s="1" t="s">
        <v>650</v>
      </c>
      <c r="D23" s="5">
        <v>7591</v>
      </c>
      <c r="E23" s="1"/>
      <c r="F23" s="1" t="s">
        <v>819</v>
      </c>
      <c r="G23" s="1" t="s">
        <v>242</v>
      </c>
      <c r="H23" s="5">
        <v>20522</v>
      </c>
      <c r="I23" s="1"/>
      <c r="J23" s="1" t="s">
        <v>831</v>
      </c>
      <c r="K23" s="1" t="s">
        <v>51</v>
      </c>
      <c r="L23" s="5">
        <v>18286</v>
      </c>
      <c r="M23" s="1"/>
      <c r="N23" s="1" t="s">
        <v>53</v>
      </c>
      <c r="O23" s="1"/>
      <c r="P23" s="5"/>
      <c r="Q23" s="1"/>
      <c r="R23" s="1" t="s">
        <v>824</v>
      </c>
      <c r="S23" s="1" t="s">
        <v>522</v>
      </c>
      <c r="T23" s="5">
        <v>46781</v>
      </c>
      <c r="U23" s="1"/>
      <c r="V23" s="12"/>
      <c r="W23" s="40" t="s">
        <v>36</v>
      </c>
      <c r="X23" s="40"/>
      <c r="Y23" s="37">
        <f t="shared" si="8"/>
        <v>93180</v>
      </c>
      <c r="Z23" s="13"/>
      <c r="AA23" s="1"/>
      <c r="AB23" s="64"/>
      <c r="AC23" s="73"/>
      <c r="AD23" s="64"/>
      <c r="AE23" s="64"/>
      <c r="AF23" s="65"/>
      <c r="AG23" s="1"/>
      <c r="AH23" s="1"/>
      <c r="AI23" s="64" t="s">
        <v>214</v>
      </c>
      <c r="AJ23" s="64" t="s">
        <v>446</v>
      </c>
      <c r="AK23" s="64" t="s">
        <v>147</v>
      </c>
      <c r="AL23" s="69">
        <v>12595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825</v>
      </c>
      <c r="S24" s="1" t="s">
        <v>50</v>
      </c>
      <c r="T24" s="5">
        <v>28413</v>
      </c>
      <c r="U24" s="1"/>
      <c r="V24" s="12"/>
      <c r="W24" s="40" t="s">
        <v>37</v>
      </c>
      <c r="X24" s="40"/>
      <c r="Y24" s="37">
        <f t="shared" si="8"/>
        <v>28413</v>
      </c>
      <c r="Z24" s="13"/>
      <c r="AA24" s="1"/>
      <c r="AB24" s="64" t="s">
        <v>852</v>
      </c>
      <c r="AC24" s="73">
        <v>45922</v>
      </c>
      <c r="AD24" s="64" t="s">
        <v>650</v>
      </c>
      <c r="AE24" s="64"/>
      <c r="AF24" s="65">
        <v>11198</v>
      </c>
      <c r="AG24" s="1"/>
      <c r="AH24" s="1"/>
      <c r="AI24" s="64" t="s">
        <v>122</v>
      </c>
      <c r="AJ24" s="64" t="s">
        <v>502</v>
      </c>
      <c r="AK24" s="64" t="s">
        <v>51</v>
      </c>
      <c r="AL24" s="69">
        <v>10257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826</v>
      </c>
      <c r="S25" s="1" t="s">
        <v>665</v>
      </c>
      <c r="T25" s="5">
        <v>26838</v>
      </c>
      <c r="U25" s="1"/>
      <c r="V25" s="12"/>
      <c r="W25" s="40" t="s">
        <v>38</v>
      </c>
      <c r="X25" s="40"/>
      <c r="Y25" s="37">
        <f t="shared" si="8"/>
        <v>26838</v>
      </c>
      <c r="Z25" s="13"/>
      <c r="AA25" s="1"/>
      <c r="AB25" s="64" t="s">
        <v>791</v>
      </c>
      <c r="AC25" s="70">
        <v>45899</v>
      </c>
      <c r="AD25" s="64" t="s">
        <v>159</v>
      </c>
      <c r="AE25" s="64"/>
      <c r="AF25" s="65">
        <v>50000</v>
      </c>
      <c r="AG25" s="1"/>
      <c r="AH25" s="1"/>
      <c r="AI25" s="64" t="s">
        <v>117</v>
      </c>
      <c r="AJ25" s="64" t="s">
        <v>526</v>
      </c>
      <c r="AK25" s="64" t="s">
        <v>551</v>
      </c>
      <c r="AL25" s="69">
        <v>18373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 t="s">
        <v>827</v>
      </c>
      <c r="S26" s="1" t="s">
        <v>275</v>
      </c>
      <c r="T26" s="5">
        <v>105805</v>
      </c>
      <c r="U26" s="1"/>
      <c r="V26" s="12"/>
      <c r="W26" s="40"/>
      <c r="X26" s="40"/>
      <c r="Y26" s="37">
        <f t="shared" si="8"/>
        <v>105805</v>
      </c>
      <c r="Z26" s="13"/>
      <c r="AA26" s="1"/>
      <c r="AB26" s="64" t="s">
        <v>821</v>
      </c>
      <c r="AC26" s="73">
        <v>45915</v>
      </c>
      <c r="AD26" s="64" t="s">
        <v>522</v>
      </c>
      <c r="AE26" s="64"/>
      <c r="AF26" s="64">
        <v>40026</v>
      </c>
      <c r="AG26" s="1"/>
      <c r="AH26" s="1"/>
      <c r="AI26" s="64" t="s">
        <v>206</v>
      </c>
      <c r="AJ26" s="64" t="s">
        <v>530</v>
      </c>
      <c r="AK26" s="64" t="s">
        <v>167</v>
      </c>
      <c r="AL26" s="69">
        <v>7328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64" t="s">
        <v>833</v>
      </c>
      <c r="AC27" s="73">
        <v>45929</v>
      </c>
      <c r="AD27" s="64" t="s">
        <v>832</v>
      </c>
      <c r="AE27" s="64"/>
      <c r="AF27" s="64">
        <v>51470</v>
      </c>
      <c r="AG27" s="1"/>
      <c r="AH27" s="1"/>
      <c r="AI27" s="64" t="s">
        <v>122</v>
      </c>
      <c r="AJ27" s="64" t="s">
        <v>537</v>
      </c>
      <c r="AK27" s="64" t="s">
        <v>836</v>
      </c>
      <c r="AL27" s="69">
        <v>4800</v>
      </c>
    </row>
    <row r="28" spans="2:38" ht="15.75" thickBot="1" x14ac:dyDescent="0.3">
      <c r="B28" s="99" t="s">
        <v>12</v>
      </c>
      <c r="C28" s="100"/>
      <c r="D28" s="9">
        <f>+SUM(D16:D27)</f>
        <v>107406</v>
      </c>
      <c r="E28" s="1"/>
      <c r="F28" s="99" t="s">
        <v>12</v>
      </c>
      <c r="G28" s="100"/>
      <c r="H28" s="9">
        <f>+SUM(H16:H27)</f>
        <v>105251</v>
      </c>
      <c r="I28" s="1"/>
      <c r="J28" s="99" t="s">
        <v>12</v>
      </c>
      <c r="K28" s="100"/>
      <c r="L28" s="9">
        <f>+SUM(L16:L27)</f>
        <v>110936</v>
      </c>
      <c r="M28" s="1"/>
      <c r="N28" s="99" t="s">
        <v>12</v>
      </c>
      <c r="O28" s="100"/>
      <c r="P28" s="9">
        <f>+SUM(P16:P27)</f>
        <v>57420</v>
      </c>
      <c r="Q28" s="1"/>
      <c r="R28" s="99" t="s">
        <v>12</v>
      </c>
      <c r="S28" s="100"/>
      <c r="T28" s="9">
        <f>+SUM(T16:T27)</f>
        <v>252788</v>
      </c>
      <c r="U28" s="1"/>
      <c r="V28" s="12"/>
      <c r="W28" s="99" t="s">
        <v>12</v>
      </c>
      <c r="X28" s="100"/>
      <c r="Y28" s="9">
        <f>+SUM(Y16:Y27)</f>
        <v>633801</v>
      </c>
      <c r="Z28" s="13"/>
      <c r="AA28" s="1"/>
      <c r="AB28" s="64" t="s">
        <v>626</v>
      </c>
      <c r="AC28" s="73">
        <v>45920</v>
      </c>
      <c r="AD28" s="64" t="s">
        <v>235</v>
      </c>
      <c r="AE28" s="64"/>
      <c r="AF28" s="64">
        <v>51830</v>
      </c>
      <c r="AG28" s="1"/>
      <c r="AH28" s="1"/>
      <c r="AI28" s="64" t="s">
        <v>122</v>
      </c>
      <c r="AJ28" s="64" t="s">
        <v>576</v>
      </c>
      <c r="AK28" s="64" t="s">
        <v>837</v>
      </c>
      <c r="AL28" s="69">
        <v>10903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64"/>
      <c r="AC29" s="73"/>
      <c r="AD29" s="64"/>
      <c r="AE29" s="64"/>
      <c r="AF29" s="64"/>
      <c r="AG29" s="1"/>
      <c r="AH29" s="1"/>
      <c r="AI29" s="64" t="s">
        <v>117</v>
      </c>
      <c r="AJ29" s="64" t="s">
        <v>572</v>
      </c>
      <c r="AK29" s="64" t="s">
        <v>784</v>
      </c>
      <c r="AL29" s="69">
        <v>5232</v>
      </c>
    </row>
    <row r="30" spans="2:38" ht="15.75" thickBot="1" x14ac:dyDescent="0.3">
      <c r="B30" s="101" t="s">
        <v>41</v>
      </c>
      <c r="C30" s="101"/>
      <c r="D30" s="7">
        <f>+D28-D15</f>
        <v>1</v>
      </c>
      <c r="E30" s="1"/>
      <c r="F30" s="101" t="s">
        <v>41</v>
      </c>
      <c r="G30" s="101"/>
      <c r="H30" s="7">
        <f>+H28-H15</f>
        <v>50</v>
      </c>
      <c r="I30" s="1"/>
      <c r="J30" s="101" t="s">
        <v>41</v>
      </c>
      <c r="K30" s="101"/>
      <c r="L30" s="7">
        <f>+L28-L15</f>
        <v>-761.67999999999302</v>
      </c>
      <c r="M30" s="1"/>
      <c r="N30" s="101" t="s">
        <v>41</v>
      </c>
      <c r="O30" s="101"/>
      <c r="P30" s="7">
        <f>+P28-P15</f>
        <v>24</v>
      </c>
      <c r="Q30" s="1"/>
      <c r="R30" s="101" t="s">
        <v>41</v>
      </c>
      <c r="S30" s="101"/>
      <c r="T30" s="7">
        <f>+T28-T15</f>
        <v>-204</v>
      </c>
      <c r="U30" s="1"/>
      <c r="V30" s="12"/>
      <c r="W30" s="102" t="s">
        <v>41</v>
      </c>
      <c r="X30" s="102"/>
      <c r="Y30" s="41">
        <f>+Y28-Y15</f>
        <v>-890.67999999993481</v>
      </c>
      <c r="Z30" s="13"/>
      <c r="AA30" s="1"/>
      <c r="AB30" s="1"/>
      <c r="AC30" s="1"/>
      <c r="AD30" s="1"/>
      <c r="AE30" s="1"/>
      <c r="AF30" s="1"/>
      <c r="AG30" s="1"/>
      <c r="AH30" s="1"/>
      <c r="AI30" s="64" t="s">
        <v>206</v>
      </c>
      <c r="AJ30" s="64" t="s">
        <v>619</v>
      </c>
      <c r="AK30" s="64" t="s">
        <v>838</v>
      </c>
      <c r="AL30" s="69">
        <v>6056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204524</v>
      </c>
      <c r="AG31" s="1"/>
      <c r="AH31" s="1"/>
      <c r="AI31" s="64" t="s">
        <v>117</v>
      </c>
      <c r="AJ31" s="64" t="s">
        <v>627</v>
      </c>
      <c r="AK31" s="64" t="s">
        <v>553</v>
      </c>
      <c r="AL31" s="65">
        <v>4955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64" t="s">
        <v>115</v>
      </c>
      <c r="AJ32" s="91" t="s">
        <v>834</v>
      </c>
      <c r="AK32" s="64" t="s">
        <v>339</v>
      </c>
      <c r="AL32" s="65">
        <v>47868</v>
      </c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91" t="s">
        <v>115</v>
      </c>
      <c r="AJ33" s="91" t="s">
        <v>835</v>
      </c>
      <c r="AK33" s="64" t="s">
        <v>839</v>
      </c>
      <c r="AL33" s="65">
        <v>100000</v>
      </c>
    </row>
    <row r="34" spans="2:38" x14ac:dyDescent="0.25">
      <c r="B34" s="10" t="s">
        <v>42</v>
      </c>
      <c r="C34" s="11"/>
      <c r="D34" s="21"/>
      <c r="E34" s="1"/>
      <c r="F34" s="10" t="s">
        <v>42</v>
      </c>
      <c r="G34" s="11"/>
      <c r="H34" s="21"/>
      <c r="I34" s="1"/>
      <c r="J34" s="10" t="s">
        <v>42</v>
      </c>
      <c r="K34" s="11"/>
      <c r="L34" s="21">
        <v>762</v>
      </c>
      <c r="M34" s="1"/>
      <c r="N34" s="10" t="s">
        <v>42</v>
      </c>
      <c r="O34" s="11"/>
      <c r="P34" s="21"/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762</v>
      </c>
      <c r="Z34" s="1"/>
      <c r="AA34" s="1"/>
      <c r="AB34" s="1"/>
      <c r="AC34" s="1"/>
      <c r="AD34" s="1"/>
      <c r="AE34" s="1"/>
      <c r="AF34" s="1"/>
      <c r="AG34" s="1"/>
      <c r="AH34" s="1"/>
      <c r="AI34" s="64" t="s">
        <v>840</v>
      </c>
      <c r="AJ34" s="73">
        <v>45925</v>
      </c>
      <c r="AK34" s="64" t="s">
        <v>750</v>
      </c>
      <c r="AL34" s="64">
        <v>6090</v>
      </c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43</v>
      </c>
      <c r="O35" s="16"/>
      <c r="P35" s="22"/>
      <c r="Q35" s="1"/>
      <c r="R35" s="12" t="s">
        <v>828</v>
      </c>
      <c r="S35" s="16"/>
      <c r="T35" s="22">
        <v>210</v>
      </c>
      <c r="U35" s="1"/>
      <c r="V35" s="1"/>
      <c r="W35" s="45" t="s">
        <v>43</v>
      </c>
      <c r="X35" s="40"/>
      <c r="Y35" s="46">
        <f t="shared" ref="Y35:Y36" si="9">+D35+H35+L35+P35+T35</f>
        <v>210</v>
      </c>
      <c r="Z35" s="1"/>
      <c r="AA35" s="1"/>
      <c r="AB35" s="1"/>
      <c r="AC35" s="1"/>
      <c r="AD35" s="1"/>
      <c r="AE35" s="1"/>
      <c r="AF35" s="1"/>
      <c r="AG35" s="1"/>
      <c r="AH35" s="1"/>
      <c r="AI35" s="64" t="s">
        <v>111</v>
      </c>
      <c r="AJ35" s="73">
        <v>45877</v>
      </c>
      <c r="AK35" s="64" t="s">
        <v>112</v>
      </c>
      <c r="AL35" s="64">
        <v>4300</v>
      </c>
    </row>
    <row r="36" spans="2:38" ht="15.75" thickBot="1" x14ac:dyDescent="0.3">
      <c r="B36" s="12" t="s">
        <v>45</v>
      </c>
      <c r="C36" s="16"/>
      <c r="D36" s="22">
        <v>-1</v>
      </c>
      <c r="E36" s="1"/>
      <c r="F36" s="12" t="s">
        <v>45</v>
      </c>
      <c r="G36" s="16"/>
      <c r="H36" s="22">
        <v>-50</v>
      </c>
      <c r="I36" s="1"/>
      <c r="J36" s="12" t="s">
        <v>45</v>
      </c>
      <c r="K36" s="16"/>
      <c r="L36" s="22"/>
      <c r="M36" s="1"/>
      <c r="N36" s="12" t="s">
        <v>45</v>
      </c>
      <c r="O36" s="16"/>
      <c r="P36" s="22">
        <v>-24</v>
      </c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-75</v>
      </c>
      <c r="Z36" s="1"/>
      <c r="AA36" s="1"/>
      <c r="AB36" s="1"/>
      <c r="AC36" s="1"/>
      <c r="AD36" s="1"/>
      <c r="AE36" s="1"/>
      <c r="AF36" s="1"/>
      <c r="AG36" s="1"/>
      <c r="AH36" s="1"/>
      <c r="AI36" s="60" t="s">
        <v>40</v>
      </c>
      <c r="AJ36" s="60"/>
      <c r="AK36" s="60"/>
      <c r="AL36" s="66">
        <f>+SUM(AL23:AL35)</f>
        <v>238757</v>
      </c>
    </row>
    <row r="37" spans="2:38" ht="15.75" thickTop="1" x14ac:dyDescent="0.25">
      <c r="B37" s="12" t="s">
        <v>18</v>
      </c>
      <c r="C37" s="16"/>
      <c r="D37" s="22">
        <f>+SUM(D34:D36)</f>
        <v>-1</v>
      </c>
      <c r="E37" s="1"/>
      <c r="F37" s="12" t="s">
        <v>18</v>
      </c>
      <c r="G37" s="16"/>
      <c r="H37" s="22">
        <f>+SUM(H34:H36)</f>
        <v>-50</v>
      </c>
      <c r="I37" s="1"/>
      <c r="J37" s="12" t="s">
        <v>18</v>
      </c>
      <c r="K37" s="16"/>
      <c r="L37" s="22">
        <f>+SUM(L34:L36)</f>
        <v>762</v>
      </c>
      <c r="M37" s="1"/>
      <c r="N37" s="12" t="s">
        <v>18</v>
      </c>
      <c r="O37" s="16"/>
      <c r="P37" s="22">
        <f>+SUM(P34:P36)</f>
        <v>-24</v>
      </c>
      <c r="Q37" s="1"/>
      <c r="R37" s="12" t="s">
        <v>18</v>
      </c>
      <c r="S37" s="16"/>
      <c r="T37" s="22">
        <f>+SUM(T34:T36)</f>
        <v>210</v>
      </c>
      <c r="U37" s="1"/>
      <c r="V37" s="1"/>
      <c r="W37" s="33" t="s">
        <v>18</v>
      </c>
      <c r="X37" s="34"/>
      <c r="Y37" s="35">
        <f>+SUM(Y34:Y36)</f>
        <v>897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2:38" ht="15.75" thickBot="1" x14ac:dyDescent="0.3">
      <c r="B38" s="23" t="s">
        <v>46</v>
      </c>
      <c r="C38" s="24"/>
      <c r="D38" s="25">
        <f>+D30+D37</f>
        <v>0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0.32000000000698492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6</v>
      </c>
      <c r="U38" s="1"/>
      <c r="V38" s="1"/>
      <c r="W38" s="23" t="s">
        <v>46</v>
      </c>
      <c r="X38" s="24"/>
      <c r="Y38" s="25">
        <f>+Y30+Y37</f>
        <v>6.3200000000651926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41"/>
  <sheetViews>
    <sheetView zoomScale="80" zoomScaleNormal="80" workbookViewId="0">
      <selection activeCell="AF23" sqref="AF23"/>
    </sheetView>
  </sheetViews>
  <sheetFormatPr defaultRowHeight="15" x14ac:dyDescent="0.25"/>
  <cols>
    <col min="5" max="5" width="0.7109375" customWidth="1"/>
    <col min="9" max="9" width="0.5703125" customWidth="1"/>
    <col min="11" max="11" width="14" bestFit="1" customWidth="1"/>
    <col min="13" max="13" width="0.5703125" customWidth="1"/>
    <col min="15" max="15" width="13.5703125" bestFit="1" customWidth="1"/>
    <col min="16" max="16" width="9.5703125" bestFit="1" customWidth="1"/>
    <col min="17" max="17" width="0.7109375" customWidth="1"/>
    <col min="20" max="20" width="9.7109375" bestFit="1" customWidth="1"/>
    <col min="21" max="21" width="0.5703125" customWidth="1"/>
    <col min="22" max="22" width="2.28515625" customWidth="1"/>
    <col min="25" max="25" width="9.5703125" bestFit="1" customWidth="1"/>
    <col min="26" max="26" width="2.140625" customWidth="1"/>
    <col min="27" max="27" width="0.7109375" customWidth="1"/>
    <col min="29" max="29" width="9.7109375" bestFit="1" customWidth="1"/>
    <col min="30" max="30" width="15.5703125" bestFit="1" customWidth="1"/>
    <col min="31" max="31" width="14" bestFit="1" customWidth="1"/>
    <col min="33" max="33" width="1" customWidth="1"/>
    <col min="34" max="34" width="9.140625" hidden="1" customWidth="1"/>
    <col min="37" max="37" width="15.85546875" bestFit="1" customWidth="1"/>
  </cols>
  <sheetData>
    <row r="2" spans="2:38" ht="15.75" thickBot="1" x14ac:dyDescent="0.3"/>
    <row r="3" spans="2:38" x14ac:dyDescent="0.25">
      <c r="B3" s="104" t="s">
        <v>197</v>
      </c>
      <c r="C3" s="104"/>
      <c r="D3" s="104"/>
      <c r="E3" s="1"/>
      <c r="F3" s="104" t="s">
        <v>1</v>
      </c>
      <c r="G3" s="104"/>
      <c r="H3" s="104"/>
      <c r="I3" s="1"/>
      <c r="J3" s="104" t="s">
        <v>2</v>
      </c>
      <c r="K3" s="104"/>
      <c r="L3" s="104"/>
      <c r="M3" s="1"/>
      <c r="N3" s="104" t="s">
        <v>3</v>
      </c>
      <c r="O3" s="104"/>
      <c r="P3" s="104"/>
      <c r="Q3" s="1"/>
      <c r="R3" s="104" t="s">
        <v>4</v>
      </c>
      <c r="S3" s="104"/>
      <c r="T3" s="104"/>
      <c r="U3" s="1"/>
      <c r="V3" s="10"/>
      <c r="W3" s="103" t="s">
        <v>5</v>
      </c>
      <c r="X3" s="103"/>
      <c r="Y3" s="103"/>
      <c r="Z3" s="68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2:38" x14ac:dyDescent="0.25">
      <c r="B4" s="4" t="s">
        <v>6</v>
      </c>
      <c r="C4" s="4" t="s">
        <v>7</v>
      </c>
      <c r="D4" s="4" t="s">
        <v>8</v>
      </c>
      <c r="E4" s="1"/>
      <c r="F4" s="4" t="s">
        <v>6</v>
      </c>
      <c r="G4" s="4" t="s">
        <v>7</v>
      </c>
      <c r="H4" s="4" t="s">
        <v>8</v>
      </c>
      <c r="I4" s="1"/>
      <c r="J4" s="4" t="s">
        <v>6</v>
      </c>
      <c r="K4" s="4" t="s">
        <v>7</v>
      </c>
      <c r="L4" s="4" t="s">
        <v>8</v>
      </c>
      <c r="M4" s="1"/>
      <c r="N4" s="4" t="s">
        <v>6</v>
      </c>
      <c r="O4" s="4" t="s">
        <v>7</v>
      </c>
      <c r="P4" s="4" t="s">
        <v>8</v>
      </c>
      <c r="Q4" s="1"/>
      <c r="R4" s="4" t="s">
        <v>6</v>
      </c>
      <c r="S4" s="4" t="s">
        <v>7</v>
      </c>
      <c r="T4" s="4" t="s">
        <v>8</v>
      </c>
      <c r="U4" s="1"/>
      <c r="V4" s="12"/>
      <c r="W4" s="14" t="s">
        <v>6</v>
      </c>
      <c r="X4" s="14" t="s">
        <v>7</v>
      </c>
      <c r="Y4" s="14" t="s">
        <v>8</v>
      </c>
      <c r="Z4" s="1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2:38" ht="15.75" thickBot="1" x14ac:dyDescent="0.3">
      <c r="B5" s="29">
        <v>1</v>
      </c>
      <c r="C5" s="29"/>
      <c r="D5" s="36">
        <f>+C5*B5</f>
        <v>0</v>
      </c>
      <c r="E5" s="26"/>
      <c r="F5" s="29">
        <v>1</v>
      </c>
      <c r="G5" s="29"/>
      <c r="H5" s="36">
        <f>+G5*F5</f>
        <v>0</v>
      </c>
      <c r="I5" s="26"/>
      <c r="J5" s="29">
        <v>1</v>
      </c>
      <c r="K5" s="29"/>
      <c r="L5" s="36">
        <f>+K5*J5</f>
        <v>0</v>
      </c>
      <c r="M5" s="26"/>
      <c r="N5" s="29">
        <v>1</v>
      </c>
      <c r="O5" s="29"/>
      <c r="P5" s="36">
        <f>+O5*N5</f>
        <v>0</v>
      </c>
      <c r="Q5" s="26"/>
      <c r="R5" s="29">
        <v>1</v>
      </c>
      <c r="S5" s="29"/>
      <c r="T5" s="36">
        <f>+S5*R5</f>
        <v>0</v>
      </c>
      <c r="U5" s="26"/>
      <c r="V5" s="27"/>
      <c r="W5" s="38">
        <v>1</v>
      </c>
      <c r="X5" s="39">
        <f>+C5+G5+K5+O5+S5</f>
        <v>0</v>
      </c>
      <c r="Y5" s="37">
        <f>+D5+H5+L5+P5+T5</f>
        <v>0</v>
      </c>
      <c r="Z5" s="28"/>
      <c r="AA5" s="26"/>
      <c r="AB5" s="72" t="s">
        <v>9</v>
      </c>
      <c r="AC5" s="71"/>
      <c r="AD5" s="71"/>
      <c r="AE5" s="71"/>
      <c r="AF5" s="71"/>
      <c r="AG5" s="61"/>
      <c r="AH5" s="1"/>
      <c r="AI5" s="4" t="s">
        <v>6</v>
      </c>
      <c r="AJ5" s="4" t="s">
        <v>7</v>
      </c>
      <c r="AK5" s="4" t="s">
        <v>8</v>
      </c>
      <c r="AL5" s="1"/>
    </row>
    <row r="6" spans="2:38" ht="15.75" thickTop="1" x14ac:dyDescent="0.25">
      <c r="B6" s="2">
        <v>10</v>
      </c>
      <c r="C6" s="2">
        <v>89</v>
      </c>
      <c r="D6" s="36">
        <f>+C6*B6</f>
        <v>890</v>
      </c>
      <c r="E6" s="1"/>
      <c r="F6" s="2">
        <v>10</v>
      </c>
      <c r="G6" s="2">
        <v>84</v>
      </c>
      <c r="H6" s="36">
        <f>+G6*F6</f>
        <v>840</v>
      </c>
      <c r="I6" s="1"/>
      <c r="J6" s="2">
        <v>10</v>
      </c>
      <c r="K6" s="2">
        <v>31</v>
      </c>
      <c r="L6" s="36">
        <f>+K6*J6</f>
        <v>310</v>
      </c>
      <c r="M6" s="1"/>
      <c r="N6" s="2">
        <v>10</v>
      </c>
      <c r="O6" s="2">
        <v>12</v>
      </c>
      <c r="P6" s="36">
        <f>+O6*N6</f>
        <v>120</v>
      </c>
      <c r="Q6" s="1"/>
      <c r="R6" s="2">
        <v>10</v>
      </c>
      <c r="S6" s="2"/>
      <c r="T6" s="36">
        <f>+S6*R6</f>
        <v>0</v>
      </c>
      <c r="U6" s="1"/>
      <c r="V6" s="12"/>
      <c r="W6" s="39">
        <v>10</v>
      </c>
      <c r="X6" s="39">
        <f>+C6+G6+K6+O6+S6</f>
        <v>216</v>
      </c>
      <c r="Y6" s="37">
        <f>+D6+H6+L6+P6+T6</f>
        <v>2160</v>
      </c>
      <c r="Z6" s="13"/>
      <c r="AA6" s="1"/>
      <c r="AB6" s="1"/>
      <c r="AC6" s="1"/>
      <c r="AD6" s="1"/>
      <c r="AE6" s="1"/>
      <c r="AF6" s="1"/>
      <c r="AG6" s="1"/>
      <c r="AH6" s="1"/>
      <c r="AI6" s="29">
        <v>1</v>
      </c>
      <c r="AJ6" s="29"/>
      <c r="AK6" s="36">
        <f t="shared" ref="AK6:AK13" si="0">+AJ6*AI6</f>
        <v>0</v>
      </c>
      <c r="AL6" s="26"/>
    </row>
    <row r="7" spans="2:38" x14ac:dyDescent="0.25">
      <c r="B7" s="2">
        <v>20</v>
      </c>
      <c r="C7" s="2">
        <v>27</v>
      </c>
      <c r="D7" s="36">
        <f t="shared" ref="D7:D12" si="1">+C7*B7</f>
        <v>540</v>
      </c>
      <c r="E7" s="1"/>
      <c r="F7" s="2">
        <v>20</v>
      </c>
      <c r="G7" s="2">
        <v>25</v>
      </c>
      <c r="H7" s="36">
        <f t="shared" ref="H7:H12" si="2">+G7*F7</f>
        <v>500</v>
      </c>
      <c r="I7" s="1"/>
      <c r="J7" s="2">
        <v>20</v>
      </c>
      <c r="K7" s="2">
        <v>8</v>
      </c>
      <c r="L7" s="36">
        <f t="shared" ref="L7:L12" si="3">+K7*J7</f>
        <v>160</v>
      </c>
      <c r="M7" s="1"/>
      <c r="N7" s="2">
        <v>20</v>
      </c>
      <c r="O7" s="2"/>
      <c r="P7" s="36">
        <f t="shared" ref="P7:P12" si="4">+O7*N7</f>
        <v>0</v>
      </c>
      <c r="Q7" s="1"/>
      <c r="R7" s="2">
        <v>20</v>
      </c>
      <c r="S7" s="2"/>
      <c r="T7" s="36">
        <f t="shared" ref="T7:T12" si="5">+S7*R7</f>
        <v>0</v>
      </c>
      <c r="U7" s="1"/>
      <c r="V7" s="12"/>
      <c r="W7" s="39">
        <v>20</v>
      </c>
      <c r="X7" s="39">
        <f>+C7+G7+K7+O7+S7</f>
        <v>60</v>
      </c>
      <c r="Y7" s="37">
        <f t="shared" ref="Y7:Y12" si="6">+D7+H7+L7+P7+T7</f>
        <v>1200</v>
      </c>
      <c r="Z7" s="13"/>
      <c r="AA7" s="1"/>
      <c r="AB7" s="56" t="s">
        <v>10</v>
      </c>
      <c r="AC7" s="57">
        <f>Y13</f>
        <v>315260</v>
      </c>
      <c r="AD7" s="26"/>
      <c r="AE7" s="26"/>
      <c r="AF7" s="26"/>
      <c r="AG7" s="26"/>
      <c r="AH7" s="1"/>
      <c r="AI7" s="2">
        <v>10</v>
      </c>
      <c r="AJ7" s="2">
        <v>219</v>
      </c>
      <c r="AK7" s="36">
        <f t="shared" si="0"/>
        <v>2190</v>
      </c>
      <c r="AL7" s="1"/>
    </row>
    <row r="8" spans="2:38" x14ac:dyDescent="0.25">
      <c r="B8" s="2">
        <v>50</v>
      </c>
      <c r="C8" s="2">
        <v>77</v>
      </c>
      <c r="D8" s="36">
        <f t="shared" si="1"/>
        <v>3850</v>
      </c>
      <c r="E8" s="1"/>
      <c r="F8" s="2">
        <v>50</v>
      </c>
      <c r="G8" s="2">
        <v>42</v>
      </c>
      <c r="H8" s="36">
        <f t="shared" si="2"/>
        <v>2100</v>
      </c>
      <c r="I8" s="1"/>
      <c r="J8" s="2">
        <v>50</v>
      </c>
      <c r="K8" s="2">
        <v>50</v>
      </c>
      <c r="L8" s="36">
        <f t="shared" si="3"/>
        <v>2500</v>
      </c>
      <c r="M8" s="1"/>
      <c r="N8" s="2">
        <v>50</v>
      </c>
      <c r="O8" s="2">
        <v>15</v>
      </c>
      <c r="P8" s="36">
        <f t="shared" si="4"/>
        <v>750</v>
      </c>
      <c r="Q8" s="1"/>
      <c r="R8" s="2">
        <v>50</v>
      </c>
      <c r="S8" s="2"/>
      <c r="T8" s="36">
        <f t="shared" si="5"/>
        <v>0</v>
      </c>
      <c r="U8" s="1"/>
      <c r="V8" s="12"/>
      <c r="W8" s="39">
        <v>50</v>
      </c>
      <c r="X8" s="39">
        <f t="shared" ref="X8:X12" si="7">+C8+G8+K8+O8+S8</f>
        <v>184</v>
      </c>
      <c r="Y8" s="37">
        <f t="shared" si="6"/>
        <v>9200</v>
      </c>
      <c r="Z8" s="13"/>
      <c r="AA8" s="1"/>
      <c r="AB8" s="53" t="s">
        <v>11</v>
      </c>
      <c r="AC8" s="53">
        <f>+AF31</f>
        <v>330650</v>
      </c>
      <c r="AD8" s="1"/>
      <c r="AE8" s="1"/>
      <c r="AF8" s="1"/>
      <c r="AG8" s="1"/>
      <c r="AH8" s="1"/>
      <c r="AI8" s="2">
        <v>20</v>
      </c>
      <c r="AJ8" s="2">
        <v>61</v>
      </c>
      <c r="AK8" s="36">
        <f t="shared" si="0"/>
        <v>1220</v>
      </c>
      <c r="AL8" s="1"/>
    </row>
    <row r="9" spans="2:38" ht="15.75" thickBot="1" x14ac:dyDescent="0.3">
      <c r="B9" s="2">
        <v>100</v>
      </c>
      <c r="C9" s="2">
        <v>69</v>
      </c>
      <c r="D9" s="36">
        <f t="shared" si="1"/>
        <v>6900</v>
      </c>
      <c r="E9" s="1"/>
      <c r="F9" s="2">
        <v>100</v>
      </c>
      <c r="G9" s="2">
        <v>94</v>
      </c>
      <c r="H9" s="36">
        <f t="shared" si="2"/>
        <v>9400</v>
      </c>
      <c r="I9" s="1"/>
      <c r="J9" s="2">
        <v>100</v>
      </c>
      <c r="K9" s="2">
        <v>29</v>
      </c>
      <c r="L9" s="36">
        <f t="shared" si="3"/>
        <v>2900</v>
      </c>
      <c r="M9" s="1"/>
      <c r="N9" s="2">
        <v>100</v>
      </c>
      <c r="O9" s="2">
        <v>10</v>
      </c>
      <c r="P9" s="36">
        <f t="shared" si="4"/>
        <v>1000</v>
      </c>
      <c r="Q9" s="1"/>
      <c r="R9" s="2">
        <v>100</v>
      </c>
      <c r="S9" s="2"/>
      <c r="T9" s="36">
        <f t="shared" si="5"/>
        <v>0</v>
      </c>
      <c r="U9" s="1"/>
      <c r="V9" s="12"/>
      <c r="W9" s="39">
        <v>100</v>
      </c>
      <c r="X9" s="39">
        <f t="shared" si="7"/>
        <v>202</v>
      </c>
      <c r="Y9" s="37">
        <f t="shared" si="6"/>
        <v>20200</v>
      </c>
      <c r="Z9" s="13"/>
      <c r="AA9" s="1"/>
      <c r="AB9" s="58" t="s">
        <v>12</v>
      </c>
      <c r="AC9" s="59">
        <f>SUM(AC7:AC8)</f>
        <v>645910</v>
      </c>
      <c r="AD9" s="1"/>
      <c r="AE9" s="1"/>
      <c r="AF9" s="1"/>
      <c r="AG9" s="1"/>
      <c r="AH9" s="1"/>
      <c r="AI9" s="2">
        <v>50</v>
      </c>
      <c r="AJ9" s="2">
        <v>186</v>
      </c>
      <c r="AK9" s="36">
        <f t="shared" si="0"/>
        <v>9300</v>
      </c>
      <c r="AL9" s="1"/>
    </row>
    <row r="10" spans="2:38" x14ac:dyDescent="0.25">
      <c r="B10" s="2">
        <v>500</v>
      </c>
      <c r="C10" s="2">
        <v>18</v>
      </c>
      <c r="D10" s="36">
        <f t="shared" si="1"/>
        <v>9000</v>
      </c>
      <c r="E10" s="1"/>
      <c r="F10" s="2">
        <v>500</v>
      </c>
      <c r="G10" s="2">
        <v>42</v>
      </c>
      <c r="H10" s="36">
        <f t="shared" si="2"/>
        <v>21000</v>
      </c>
      <c r="I10" s="1"/>
      <c r="J10" s="2">
        <v>500</v>
      </c>
      <c r="K10" s="2">
        <v>47</v>
      </c>
      <c r="L10" s="36">
        <f t="shared" si="3"/>
        <v>23500</v>
      </c>
      <c r="M10" s="1"/>
      <c r="N10" s="2">
        <v>500</v>
      </c>
      <c r="O10" s="2">
        <v>32</v>
      </c>
      <c r="P10" s="36">
        <f t="shared" si="4"/>
        <v>16000</v>
      </c>
      <c r="Q10" s="1"/>
      <c r="R10" s="2">
        <v>500</v>
      </c>
      <c r="S10" s="2"/>
      <c r="T10" s="36">
        <f t="shared" si="5"/>
        <v>0</v>
      </c>
      <c r="U10" s="1"/>
      <c r="V10" s="12"/>
      <c r="W10" s="39">
        <v>500</v>
      </c>
      <c r="X10" s="39">
        <f t="shared" si="7"/>
        <v>139</v>
      </c>
      <c r="Y10" s="37">
        <f t="shared" si="6"/>
        <v>69500</v>
      </c>
      <c r="Z10" s="13"/>
      <c r="AA10" s="1"/>
      <c r="AB10" s="1"/>
      <c r="AC10" s="1"/>
      <c r="AD10" s="1"/>
      <c r="AE10" s="1"/>
      <c r="AF10" s="1"/>
      <c r="AG10" s="1"/>
      <c r="AH10" s="1"/>
      <c r="AI10" s="2">
        <v>100</v>
      </c>
      <c r="AJ10" s="2">
        <v>207</v>
      </c>
      <c r="AK10" s="36">
        <f t="shared" si="0"/>
        <v>20700</v>
      </c>
      <c r="AL10" s="1"/>
    </row>
    <row r="11" spans="2:38" x14ac:dyDescent="0.25">
      <c r="B11" s="2">
        <v>1000</v>
      </c>
      <c r="C11" s="2">
        <v>46</v>
      </c>
      <c r="D11" s="36">
        <f t="shared" si="1"/>
        <v>46000</v>
      </c>
      <c r="E11" s="1"/>
      <c r="F11" s="2">
        <v>1000</v>
      </c>
      <c r="G11" s="2">
        <v>34</v>
      </c>
      <c r="H11" s="36">
        <f t="shared" si="2"/>
        <v>34000</v>
      </c>
      <c r="I11" s="1"/>
      <c r="J11" s="2">
        <v>1000</v>
      </c>
      <c r="K11" s="2">
        <v>37</v>
      </c>
      <c r="L11" s="36">
        <f t="shared" si="3"/>
        <v>37000</v>
      </c>
      <c r="M11" s="1"/>
      <c r="N11" s="2">
        <v>1000</v>
      </c>
      <c r="O11" s="2">
        <v>36</v>
      </c>
      <c r="P11" s="36">
        <f t="shared" si="4"/>
        <v>36000</v>
      </c>
      <c r="Q11" s="1"/>
      <c r="R11" s="2">
        <v>1000</v>
      </c>
      <c r="S11" s="2"/>
      <c r="T11" s="36">
        <f t="shared" si="5"/>
        <v>0</v>
      </c>
      <c r="U11" s="1"/>
      <c r="V11" s="12"/>
      <c r="W11" s="39">
        <v>1000</v>
      </c>
      <c r="X11" s="39">
        <f t="shared" si="7"/>
        <v>153</v>
      </c>
      <c r="Y11" s="37">
        <f t="shared" si="6"/>
        <v>153000</v>
      </c>
      <c r="Z11" s="13"/>
      <c r="AA11" s="1"/>
      <c r="AB11" s="47" t="s">
        <v>13</v>
      </c>
      <c r="AC11" s="47" t="s">
        <v>8</v>
      </c>
      <c r="AD11" s="47" t="s">
        <v>14</v>
      </c>
      <c r="AE11" s="47" t="s">
        <v>15</v>
      </c>
      <c r="AF11" s="47" t="s">
        <v>16</v>
      </c>
      <c r="AG11" s="47"/>
      <c r="AH11" s="1"/>
      <c r="AI11" s="2">
        <v>500</v>
      </c>
      <c r="AJ11" s="2">
        <v>139</v>
      </c>
      <c r="AK11" s="36">
        <f t="shared" si="0"/>
        <v>69500</v>
      </c>
      <c r="AL11" s="1"/>
    </row>
    <row r="12" spans="2:38" x14ac:dyDescent="0.25">
      <c r="B12" s="2">
        <v>5000</v>
      </c>
      <c r="C12" s="2">
        <v>1</v>
      </c>
      <c r="D12" s="36">
        <f t="shared" si="1"/>
        <v>5000</v>
      </c>
      <c r="E12" s="1"/>
      <c r="F12" s="2">
        <v>5000</v>
      </c>
      <c r="G12" s="2">
        <v>4</v>
      </c>
      <c r="H12" s="36">
        <f t="shared" si="2"/>
        <v>20000</v>
      </c>
      <c r="I12" s="1"/>
      <c r="J12" s="2">
        <v>5000</v>
      </c>
      <c r="K12" s="2">
        <v>4</v>
      </c>
      <c r="L12" s="36">
        <f t="shared" si="3"/>
        <v>20000</v>
      </c>
      <c r="M12" s="1"/>
      <c r="N12" s="2">
        <v>5000</v>
      </c>
      <c r="O12" s="2">
        <v>3</v>
      </c>
      <c r="P12" s="36">
        <f t="shared" si="4"/>
        <v>15000</v>
      </c>
      <c r="Q12" s="1"/>
      <c r="R12" s="2">
        <v>5000</v>
      </c>
      <c r="S12" s="2"/>
      <c r="T12" s="36">
        <f t="shared" si="5"/>
        <v>0</v>
      </c>
      <c r="U12" s="1"/>
      <c r="V12" s="12"/>
      <c r="W12" s="39">
        <v>5000</v>
      </c>
      <c r="X12" s="39">
        <f t="shared" si="7"/>
        <v>12</v>
      </c>
      <c r="Y12" s="37">
        <f t="shared" si="6"/>
        <v>60000</v>
      </c>
      <c r="Z12" s="13"/>
      <c r="AA12" s="1"/>
      <c r="AB12" s="1" t="s">
        <v>17</v>
      </c>
      <c r="AC12" s="5">
        <v>642720</v>
      </c>
      <c r="AD12" s="1">
        <v>1014082</v>
      </c>
      <c r="AE12" s="52">
        <v>45667</v>
      </c>
      <c r="AF12" s="1" t="s">
        <v>103</v>
      </c>
      <c r="AG12" s="1"/>
      <c r="AH12" s="1"/>
      <c r="AI12" s="2">
        <v>1000</v>
      </c>
      <c r="AJ12" s="2">
        <v>193</v>
      </c>
      <c r="AK12" s="36">
        <f t="shared" si="0"/>
        <v>193000</v>
      </c>
      <c r="AL12" s="1"/>
    </row>
    <row r="13" spans="2:38" ht="15.75" thickBot="1" x14ac:dyDescent="0.3">
      <c r="B13" s="3" t="s">
        <v>18</v>
      </c>
      <c r="C13" s="3"/>
      <c r="D13" s="6">
        <f>+SUM(D5:D12)</f>
        <v>72180</v>
      </c>
      <c r="E13" s="1"/>
      <c r="F13" s="3" t="s">
        <v>18</v>
      </c>
      <c r="G13" s="3"/>
      <c r="H13" s="6">
        <f>+SUM(H5:H12)</f>
        <v>87840</v>
      </c>
      <c r="I13" s="1"/>
      <c r="J13" s="3" t="s">
        <v>18</v>
      </c>
      <c r="K13" s="3"/>
      <c r="L13" s="6">
        <f>+SUM(L5:L12)</f>
        <v>86370</v>
      </c>
      <c r="M13" s="1"/>
      <c r="N13" s="3" t="s">
        <v>18</v>
      </c>
      <c r="O13" s="3"/>
      <c r="P13" s="6">
        <f>+SUM(P5:P12)</f>
        <v>68870</v>
      </c>
      <c r="Q13" s="1"/>
      <c r="R13" s="3" t="s">
        <v>18</v>
      </c>
      <c r="S13" s="3"/>
      <c r="T13" s="6">
        <f>+SUM(T5:T12)</f>
        <v>0</v>
      </c>
      <c r="U13" s="1"/>
      <c r="V13" s="12"/>
      <c r="W13" s="3" t="s">
        <v>18</v>
      </c>
      <c r="X13" s="3"/>
      <c r="Y13" s="6">
        <f>+SUM(Y5:Y12)</f>
        <v>315260</v>
      </c>
      <c r="Z13" s="13"/>
      <c r="AA13" s="1"/>
      <c r="AB13" s="1" t="s">
        <v>19</v>
      </c>
      <c r="AC13" s="5">
        <v>2190</v>
      </c>
      <c r="AD13" s="1"/>
      <c r="AE13" s="1"/>
      <c r="AF13" s="1"/>
      <c r="AG13" s="1"/>
      <c r="AH13" s="1"/>
      <c r="AI13" s="2">
        <v>5000</v>
      </c>
      <c r="AJ13" s="2">
        <v>70</v>
      </c>
      <c r="AK13" s="36">
        <f t="shared" si="0"/>
        <v>350000</v>
      </c>
      <c r="AL13" s="1"/>
    </row>
    <row r="14" spans="2:38" ht="15.75" thickBo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2"/>
      <c r="W14" s="16"/>
      <c r="X14" s="16"/>
      <c r="Y14" s="16"/>
      <c r="Z14" s="13"/>
      <c r="AA14" s="1"/>
      <c r="AB14" s="1" t="s">
        <v>20</v>
      </c>
      <c r="AC14" s="5"/>
      <c r="AD14" s="1"/>
      <c r="AE14" s="1"/>
      <c r="AF14" s="1"/>
      <c r="AG14" s="1"/>
      <c r="AH14" s="1"/>
      <c r="AI14" s="3" t="s">
        <v>18</v>
      </c>
      <c r="AJ14" s="3"/>
      <c r="AK14" s="6">
        <f>+SUM(AK6:AK13)</f>
        <v>645910</v>
      </c>
      <c r="AL14" s="1"/>
    </row>
    <row r="15" spans="2:38" ht="15.75" thickBot="1" x14ac:dyDescent="0.3">
      <c r="B15" s="105" t="s">
        <v>21</v>
      </c>
      <c r="C15" s="106"/>
      <c r="D15" s="8">
        <v>73336.59</v>
      </c>
      <c r="E15" s="30"/>
      <c r="F15" s="105" t="s">
        <v>21</v>
      </c>
      <c r="G15" s="106"/>
      <c r="H15" s="8">
        <v>87796</v>
      </c>
      <c r="I15" s="30"/>
      <c r="J15" s="105" t="s">
        <v>21</v>
      </c>
      <c r="K15" s="106"/>
      <c r="L15" s="8">
        <v>96640</v>
      </c>
      <c r="M15" s="30"/>
      <c r="N15" s="105" t="s">
        <v>21</v>
      </c>
      <c r="O15" s="106"/>
      <c r="P15" s="8">
        <v>106545</v>
      </c>
      <c r="Q15" s="30"/>
      <c r="R15" s="105" t="s">
        <v>21</v>
      </c>
      <c r="S15" s="106"/>
      <c r="T15" s="8">
        <v>474746.96</v>
      </c>
      <c r="U15" s="30"/>
      <c r="V15" s="31"/>
      <c r="W15" s="105" t="s">
        <v>21</v>
      </c>
      <c r="X15" s="106"/>
      <c r="Y15" s="8">
        <f>+D15+H15+L15+P15+T15</f>
        <v>839064.55</v>
      </c>
      <c r="Z15" s="32"/>
      <c r="AA15" s="30"/>
      <c r="AB15" s="1" t="s">
        <v>867</v>
      </c>
      <c r="AC15" s="5">
        <v>1000</v>
      </c>
      <c r="AD15" s="1"/>
      <c r="AE15" s="1"/>
      <c r="AF15" s="1"/>
      <c r="AG15" s="1"/>
      <c r="AH15" s="1"/>
      <c r="AI15" s="1"/>
      <c r="AJ15" s="1"/>
      <c r="AK15" s="1"/>
      <c r="AL15" s="1"/>
    </row>
    <row r="16" spans="2:38" x14ac:dyDescent="0.25">
      <c r="B16" s="1" t="s">
        <v>10</v>
      </c>
      <c r="C16" s="1"/>
      <c r="D16" s="5">
        <f>+D13</f>
        <v>72180</v>
      </c>
      <c r="E16" s="1"/>
      <c r="F16" s="1" t="s">
        <v>10</v>
      </c>
      <c r="G16" s="1"/>
      <c r="H16" s="5">
        <f>+H13</f>
        <v>87840</v>
      </c>
      <c r="I16" s="1"/>
      <c r="J16" s="1" t="s">
        <v>10</v>
      </c>
      <c r="K16" s="1"/>
      <c r="L16" s="5">
        <f>+L13</f>
        <v>86370</v>
      </c>
      <c r="M16" s="1"/>
      <c r="N16" s="1" t="s">
        <v>10</v>
      </c>
      <c r="O16" s="1"/>
      <c r="P16" s="5">
        <f>+P13</f>
        <v>68870</v>
      </c>
      <c r="Q16" s="1"/>
      <c r="R16" s="1" t="s">
        <v>10</v>
      </c>
      <c r="S16" s="1"/>
      <c r="T16" s="5">
        <f>+T13</f>
        <v>0</v>
      </c>
      <c r="U16" s="1"/>
      <c r="V16" s="12"/>
      <c r="W16" s="40" t="s">
        <v>10</v>
      </c>
      <c r="X16" s="40"/>
      <c r="Y16" s="37">
        <f>+D16+H16+L16+P16+T16</f>
        <v>315260</v>
      </c>
      <c r="Z16" s="13"/>
      <c r="AA16" s="1"/>
      <c r="AB16" s="1" t="s">
        <v>23</v>
      </c>
      <c r="AC16" s="5"/>
      <c r="AD16" s="1"/>
      <c r="AE16" s="1"/>
      <c r="AF16" s="1"/>
      <c r="AG16" s="1"/>
      <c r="AH16" s="1"/>
      <c r="AI16" s="1"/>
      <c r="AJ16" s="1"/>
      <c r="AK16" s="1"/>
      <c r="AL16" s="1"/>
    </row>
    <row r="17" spans="2:38" x14ac:dyDescent="0.25">
      <c r="B17" s="1" t="s">
        <v>17</v>
      </c>
      <c r="C17" s="1"/>
      <c r="D17" s="5"/>
      <c r="E17" s="1"/>
      <c r="F17" s="1" t="s">
        <v>17</v>
      </c>
      <c r="G17" s="1"/>
      <c r="H17" s="5"/>
      <c r="I17" s="1"/>
      <c r="J17" s="1" t="s">
        <v>17</v>
      </c>
      <c r="K17" s="1"/>
      <c r="L17" s="5"/>
      <c r="M17" s="1"/>
      <c r="N17" s="1" t="s">
        <v>17</v>
      </c>
      <c r="O17" s="1"/>
      <c r="P17" s="5"/>
      <c r="Q17" s="1"/>
      <c r="R17" s="1" t="s">
        <v>17</v>
      </c>
      <c r="S17" s="1"/>
      <c r="T17" s="5"/>
      <c r="U17" s="1"/>
      <c r="V17" s="12"/>
      <c r="W17" s="40" t="s">
        <v>17</v>
      </c>
      <c r="X17" s="40"/>
      <c r="Y17" s="37">
        <f t="shared" ref="Y17:Y27" si="8">+D17+H17+L17+P17+T17</f>
        <v>0</v>
      </c>
      <c r="Z17" s="13"/>
      <c r="AA17" s="1"/>
      <c r="AB17" s="48" t="s">
        <v>12</v>
      </c>
      <c r="AC17" s="49">
        <f>+SUM(AC12:AC16)</f>
        <v>645910</v>
      </c>
      <c r="AD17" s="63"/>
      <c r="AE17" s="1"/>
      <c r="AF17" s="1"/>
      <c r="AG17" s="1"/>
      <c r="AH17" s="1"/>
      <c r="AI17" s="1"/>
      <c r="AJ17" s="1"/>
      <c r="AK17" s="1"/>
      <c r="AL17" s="1"/>
    </row>
    <row r="18" spans="2:38" x14ac:dyDescent="0.25">
      <c r="B18" s="1" t="s">
        <v>24</v>
      </c>
      <c r="C18" s="1"/>
      <c r="D18" s="5"/>
      <c r="E18" s="1"/>
      <c r="F18" s="1" t="s">
        <v>24</v>
      </c>
      <c r="G18" s="1"/>
      <c r="H18" s="5"/>
      <c r="I18" s="1"/>
      <c r="J18" s="1" t="s">
        <v>854</v>
      </c>
      <c r="K18" s="1" t="s">
        <v>855</v>
      </c>
      <c r="L18" s="5">
        <v>6226</v>
      </c>
      <c r="M18" s="1"/>
      <c r="N18" s="1" t="s">
        <v>216</v>
      </c>
      <c r="O18" s="1" t="s">
        <v>851</v>
      </c>
      <c r="P18" s="5">
        <v>14978</v>
      </c>
      <c r="Q18" s="1"/>
      <c r="R18" s="1" t="s">
        <v>24</v>
      </c>
      <c r="S18" s="1"/>
      <c r="T18" s="5"/>
      <c r="U18" s="1"/>
      <c r="V18" s="12"/>
      <c r="W18" s="40" t="s">
        <v>24</v>
      </c>
      <c r="X18" s="40"/>
      <c r="Y18" s="37">
        <f t="shared" si="8"/>
        <v>21204</v>
      </c>
      <c r="Z18" s="13"/>
      <c r="AA18" s="1"/>
      <c r="AB18" s="50" t="s">
        <v>25</v>
      </c>
      <c r="AC18" s="51">
        <f>+AC17-AC9</f>
        <v>0</v>
      </c>
      <c r="AD18" s="1" t="s">
        <v>26</v>
      </c>
      <c r="AE18" s="1"/>
      <c r="AF18" s="1"/>
      <c r="AG18" s="1"/>
      <c r="AH18" s="1"/>
      <c r="AI18" s="1"/>
      <c r="AJ18" s="1"/>
      <c r="AK18" s="1"/>
      <c r="AL18" s="1"/>
    </row>
    <row r="19" spans="2:38" x14ac:dyDescent="0.25">
      <c r="B19" s="1" t="s">
        <v>27</v>
      </c>
      <c r="C19" s="1"/>
      <c r="D19" s="5"/>
      <c r="E19" s="1"/>
      <c r="F19" s="1" t="s">
        <v>27</v>
      </c>
      <c r="G19" s="1"/>
      <c r="H19" s="5"/>
      <c r="I19" s="1"/>
      <c r="J19" s="1" t="s">
        <v>800</v>
      </c>
      <c r="K19" s="1" t="s">
        <v>853</v>
      </c>
      <c r="L19" s="5">
        <v>3900</v>
      </c>
      <c r="M19" s="1"/>
      <c r="N19" s="1" t="s">
        <v>847</v>
      </c>
      <c r="O19" s="1" t="s">
        <v>848</v>
      </c>
      <c r="P19" s="5">
        <v>9217</v>
      </c>
      <c r="Q19" s="1"/>
      <c r="R19" s="1" t="s">
        <v>27</v>
      </c>
      <c r="S19" s="1"/>
      <c r="T19" s="5"/>
      <c r="U19" s="1"/>
      <c r="V19" s="12"/>
      <c r="W19" s="40" t="s">
        <v>27</v>
      </c>
      <c r="X19" s="40"/>
      <c r="Y19" s="37">
        <f t="shared" si="8"/>
        <v>13117</v>
      </c>
      <c r="Z19" s="13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2:38" x14ac:dyDescent="0.25">
      <c r="B20" s="1" t="s">
        <v>28</v>
      </c>
      <c r="C20" s="1"/>
      <c r="D20" s="5"/>
      <c r="E20" s="1"/>
      <c r="F20" s="1" t="s">
        <v>28</v>
      </c>
      <c r="G20" s="1"/>
      <c r="H20" s="5"/>
      <c r="I20" s="1"/>
      <c r="J20" s="1" t="s">
        <v>28</v>
      </c>
      <c r="K20" s="1"/>
      <c r="L20" s="5"/>
      <c r="M20" s="1"/>
      <c r="N20" s="1" t="s">
        <v>847</v>
      </c>
      <c r="O20" s="1" t="s">
        <v>849</v>
      </c>
      <c r="P20" s="5">
        <v>5393</v>
      </c>
      <c r="Q20" s="1"/>
      <c r="R20" s="1" t="s">
        <v>28</v>
      </c>
      <c r="S20" s="1"/>
      <c r="T20" s="5"/>
      <c r="U20" s="1"/>
      <c r="V20" s="12"/>
      <c r="W20" s="40" t="s">
        <v>28</v>
      </c>
      <c r="X20" s="40"/>
      <c r="Y20" s="37">
        <f t="shared" si="8"/>
        <v>5393</v>
      </c>
      <c r="Z20" s="13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2:38" x14ac:dyDescent="0.25">
      <c r="B21" s="1"/>
      <c r="C21" s="1"/>
      <c r="D21" s="5"/>
      <c r="E21" s="1"/>
      <c r="F21" s="1"/>
      <c r="G21" s="1"/>
      <c r="H21" s="5"/>
      <c r="I21" s="1"/>
      <c r="J21" s="1"/>
      <c r="K21" s="1"/>
      <c r="L21" s="5"/>
      <c r="M21" s="1"/>
      <c r="N21" s="1" t="s">
        <v>847</v>
      </c>
      <c r="O21" s="1" t="s">
        <v>850</v>
      </c>
      <c r="P21" s="5">
        <v>7850</v>
      </c>
      <c r="Q21" s="1"/>
      <c r="R21" s="1"/>
      <c r="S21" s="1"/>
      <c r="T21" s="5"/>
      <c r="U21" s="1"/>
      <c r="V21" s="12"/>
      <c r="W21" s="40"/>
      <c r="X21" s="40"/>
      <c r="Y21" s="37">
        <f t="shared" si="8"/>
        <v>7850</v>
      </c>
      <c r="Z21" s="13"/>
      <c r="AA21" s="1"/>
      <c r="AB21" s="54" t="s">
        <v>29</v>
      </c>
      <c r="AC21" s="54"/>
      <c r="AD21" s="54"/>
      <c r="AE21" s="30"/>
      <c r="AF21" s="1"/>
      <c r="AG21" s="1"/>
      <c r="AH21" s="1"/>
      <c r="AI21" s="54" t="s">
        <v>30</v>
      </c>
      <c r="AJ21" s="54"/>
      <c r="AK21" s="54"/>
      <c r="AL21" s="62"/>
    </row>
    <row r="22" spans="2:38" x14ac:dyDescent="0.25">
      <c r="B22" s="1"/>
      <c r="C22" s="1"/>
      <c r="D22" s="5"/>
      <c r="E22" s="1"/>
      <c r="F22" s="1"/>
      <c r="G22" s="1"/>
      <c r="H22" s="5"/>
      <c r="I22" s="1"/>
      <c r="J22" s="1"/>
      <c r="K22" s="1"/>
      <c r="L22" s="5"/>
      <c r="M22" s="1"/>
      <c r="N22" s="1"/>
      <c r="O22" s="1"/>
      <c r="P22" s="5"/>
      <c r="Q22" s="1"/>
      <c r="R22" s="1"/>
      <c r="S22" s="1"/>
      <c r="T22" s="5"/>
      <c r="U22" s="1"/>
      <c r="V22" s="12"/>
      <c r="W22" s="40"/>
      <c r="X22" s="40"/>
      <c r="Y22" s="37">
        <f t="shared" si="8"/>
        <v>0</v>
      </c>
      <c r="Z22" s="13"/>
      <c r="AA22" s="1"/>
      <c r="AB22" s="47" t="s">
        <v>31</v>
      </c>
      <c r="AC22" s="47" t="s">
        <v>32</v>
      </c>
      <c r="AD22" s="47" t="s">
        <v>33</v>
      </c>
      <c r="AE22" s="47" t="s">
        <v>34</v>
      </c>
      <c r="AF22" s="47" t="s">
        <v>8</v>
      </c>
      <c r="AG22" s="1"/>
      <c r="AH22" s="1"/>
      <c r="AI22" s="47" t="s">
        <v>31</v>
      </c>
      <c r="AJ22" s="47" t="s">
        <v>35</v>
      </c>
      <c r="AK22" s="47" t="s">
        <v>33</v>
      </c>
      <c r="AL22" s="47" t="s">
        <v>8</v>
      </c>
    </row>
    <row r="23" spans="2:38" x14ac:dyDescent="0.25">
      <c r="B23" s="1" t="s">
        <v>36</v>
      </c>
      <c r="C23" s="1"/>
      <c r="D23" s="5"/>
      <c r="E23" s="1"/>
      <c r="F23" s="1" t="s">
        <v>36</v>
      </c>
      <c r="G23" s="1"/>
      <c r="H23" s="5"/>
      <c r="I23" s="1"/>
      <c r="J23" s="1" t="s">
        <v>36</v>
      </c>
      <c r="K23" s="1"/>
      <c r="L23" s="5"/>
      <c r="M23" s="1"/>
      <c r="N23" s="1" t="s">
        <v>53</v>
      </c>
      <c r="O23" s="1"/>
      <c r="P23" s="5"/>
      <c r="Q23" s="1"/>
      <c r="R23" s="1" t="s">
        <v>856</v>
      </c>
      <c r="S23" s="16" t="s">
        <v>159</v>
      </c>
      <c r="T23" s="5">
        <v>474747</v>
      </c>
      <c r="U23" s="1"/>
      <c r="V23" s="12"/>
      <c r="W23" s="40" t="s">
        <v>36</v>
      </c>
      <c r="X23" s="40"/>
      <c r="Y23" s="37">
        <f t="shared" si="8"/>
        <v>474747</v>
      </c>
      <c r="Z23" s="13"/>
      <c r="AA23" s="1"/>
      <c r="AB23" s="16" t="s">
        <v>122</v>
      </c>
      <c r="AC23" s="95">
        <v>45915</v>
      </c>
      <c r="AD23" s="16" t="s">
        <v>203</v>
      </c>
      <c r="AE23" s="64" t="s">
        <v>500</v>
      </c>
      <c r="AF23" s="16">
        <v>3270</v>
      </c>
      <c r="AG23" s="1"/>
      <c r="AH23" s="1"/>
      <c r="AI23" s="64" t="s">
        <v>115</v>
      </c>
      <c r="AJ23" s="64" t="s">
        <v>454</v>
      </c>
      <c r="AK23" s="64" t="s">
        <v>292</v>
      </c>
      <c r="AL23" s="89">
        <v>52900</v>
      </c>
    </row>
    <row r="24" spans="2:38" x14ac:dyDescent="0.25">
      <c r="B24" s="1" t="s">
        <v>37</v>
      </c>
      <c r="C24" s="1"/>
      <c r="D24" s="5"/>
      <c r="E24" s="1"/>
      <c r="F24" s="1" t="s">
        <v>37</v>
      </c>
      <c r="G24" s="1"/>
      <c r="H24" s="5"/>
      <c r="I24" s="1"/>
      <c r="J24" s="1" t="s">
        <v>37</v>
      </c>
      <c r="K24" s="1"/>
      <c r="L24" s="5"/>
      <c r="M24" s="1"/>
      <c r="N24" s="1" t="s">
        <v>53</v>
      </c>
      <c r="O24" s="1"/>
      <c r="P24" s="5"/>
      <c r="Q24" s="1"/>
      <c r="R24" s="1" t="s">
        <v>37</v>
      </c>
      <c r="S24" s="1"/>
      <c r="T24" s="5"/>
      <c r="U24" s="1"/>
      <c r="V24" s="12"/>
      <c r="W24" s="40" t="s">
        <v>37</v>
      </c>
      <c r="X24" s="40"/>
      <c r="Y24" s="37">
        <f t="shared" si="8"/>
        <v>0</v>
      </c>
      <c r="Z24" s="13"/>
      <c r="AA24" s="1"/>
      <c r="AB24" s="64" t="s">
        <v>791</v>
      </c>
      <c r="AC24" s="70">
        <v>45899</v>
      </c>
      <c r="AD24" s="64" t="s">
        <v>159</v>
      </c>
      <c r="AE24" s="64"/>
      <c r="AF24" s="65">
        <v>307380</v>
      </c>
      <c r="AG24" s="1"/>
      <c r="AH24" s="1"/>
      <c r="AI24" s="64" t="s">
        <v>115</v>
      </c>
      <c r="AJ24" s="64" t="s">
        <v>518</v>
      </c>
      <c r="AK24" s="64" t="s">
        <v>861</v>
      </c>
      <c r="AL24" s="64">
        <v>29114</v>
      </c>
    </row>
    <row r="25" spans="2:38" x14ac:dyDescent="0.25">
      <c r="B25" s="1" t="s">
        <v>38</v>
      </c>
      <c r="C25" s="1"/>
      <c r="D25" s="5"/>
      <c r="E25" s="1"/>
      <c r="F25" s="1" t="s">
        <v>38</v>
      </c>
      <c r="G25" s="1"/>
      <c r="H25" s="5"/>
      <c r="I25" s="1"/>
      <c r="J25" s="1" t="s">
        <v>38</v>
      </c>
      <c r="K25" s="1"/>
      <c r="L25" s="5"/>
      <c r="M25" s="1"/>
      <c r="N25" s="1" t="s">
        <v>53</v>
      </c>
      <c r="O25" s="1"/>
      <c r="P25" s="5"/>
      <c r="Q25" s="1"/>
      <c r="R25" s="1" t="s">
        <v>38</v>
      </c>
      <c r="S25" s="1"/>
      <c r="T25" s="5"/>
      <c r="U25" s="1"/>
      <c r="V25" s="12"/>
      <c r="W25" s="40" t="s">
        <v>38</v>
      </c>
      <c r="X25" s="40"/>
      <c r="Y25" s="37">
        <f t="shared" si="8"/>
        <v>0</v>
      </c>
      <c r="Z25" s="13"/>
      <c r="AA25" s="1"/>
      <c r="AB25" s="16" t="s">
        <v>699</v>
      </c>
      <c r="AC25" s="90">
        <v>45901</v>
      </c>
      <c r="AD25" s="16" t="s">
        <v>75</v>
      </c>
      <c r="AE25" s="16"/>
      <c r="AF25" s="77">
        <v>20000</v>
      </c>
      <c r="AG25" s="1"/>
      <c r="AH25" s="1"/>
      <c r="AI25" s="64" t="s">
        <v>206</v>
      </c>
      <c r="AJ25" s="64" t="s">
        <v>531</v>
      </c>
      <c r="AK25" s="64" t="s">
        <v>381</v>
      </c>
      <c r="AL25" s="69">
        <v>4981</v>
      </c>
    </row>
    <row r="26" spans="2:38" x14ac:dyDescent="0.25">
      <c r="B26" s="1"/>
      <c r="C26" s="1"/>
      <c r="D26" s="5"/>
      <c r="E26" s="1"/>
      <c r="F26" s="1"/>
      <c r="G26" s="1"/>
      <c r="H26" s="5"/>
      <c r="I26" s="1"/>
      <c r="J26" s="1"/>
      <c r="K26" s="1"/>
      <c r="L26" s="5"/>
      <c r="M26" s="1"/>
      <c r="N26" s="1"/>
      <c r="O26" s="1"/>
      <c r="P26" s="5"/>
      <c r="Q26" s="1"/>
      <c r="R26" s="1"/>
      <c r="S26" s="1"/>
      <c r="T26" s="1"/>
      <c r="U26" s="1"/>
      <c r="V26" s="12"/>
      <c r="W26" s="40"/>
      <c r="X26" s="40"/>
      <c r="Y26" s="37">
        <f t="shared" si="8"/>
        <v>0</v>
      </c>
      <c r="Z26" s="13"/>
      <c r="AA26" s="1"/>
      <c r="AB26" s="1"/>
      <c r="AC26" s="1"/>
      <c r="AD26" s="1"/>
      <c r="AE26" s="1"/>
      <c r="AF26" s="20"/>
      <c r="AG26" s="1"/>
      <c r="AH26" s="1"/>
      <c r="AI26" s="64" t="s">
        <v>214</v>
      </c>
      <c r="AJ26" s="64" t="s">
        <v>575</v>
      </c>
      <c r="AK26" s="64" t="s">
        <v>203</v>
      </c>
      <c r="AL26" s="69">
        <v>7350</v>
      </c>
    </row>
    <row r="27" spans="2:38" ht="15.75" thickBot="1" x14ac:dyDescent="0.3">
      <c r="B27" s="1"/>
      <c r="C27" s="1"/>
      <c r="D27" s="5"/>
      <c r="E27" s="1"/>
      <c r="F27" s="1"/>
      <c r="G27" s="1"/>
      <c r="H27" s="5"/>
      <c r="I27" s="1"/>
      <c r="J27" s="1"/>
      <c r="K27" s="1"/>
      <c r="L27" s="5"/>
      <c r="M27" s="1"/>
      <c r="N27" s="1"/>
      <c r="O27" s="1"/>
      <c r="P27" s="5"/>
      <c r="Q27" s="1"/>
      <c r="R27" s="1"/>
      <c r="S27" s="1"/>
      <c r="T27" s="5"/>
      <c r="U27" s="1"/>
      <c r="V27" s="12"/>
      <c r="W27" s="40"/>
      <c r="X27" s="40"/>
      <c r="Y27" s="37">
        <f t="shared" si="8"/>
        <v>0</v>
      </c>
      <c r="Z27" s="13"/>
      <c r="AA27" s="1"/>
      <c r="AB27" s="1"/>
      <c r="AC27" s="1"/>
      <c r="AD27" s="1"/>
      <c r="AE27" s="1"/>
      <c r="AF27" s="1"/>
      <c r="AG27" s="1"/>
      <c r="AH27" s="1"/>
      <c r="AI27" s="64" t="s">
        <v>214</v>
      </c>
      <c r="AJ27" s="64" t="s">
        <v>614</v>
      </c>
      <c r="AK27" s="64" t="s">
        <v>862</v>
      </c>
      <c r="AL27" s="69">
        <v>12840</v>
      </c>
    </row>
    <row r="28" spans="2:38" ht="15.75" thickBot="1" x14ac:dyDescent="0.3">
      <c r="B28" s="99" t="s">
        <v>12</v>
      </c>
      <c r="C28" s="100"/>
      <c r="D28" s="9">
        <f>+SUM(D16:D27)</f>
        <v>72180</v>
      </c>
      <c r="E28" s="1"/>
      <c r="F28" s="99" t="s">
        <v>12</v>
      </c>
      <c r="G28" s="100"/>
      <c r="H28" s="9">
        <f>+SUM(H16:H27)</f>
        <v>87840</v>
      </c>
      <c r="I28" s="1"/>
      <c r="J28" s="99" t="s">
        <v>12</v>
      </c>
      <c r="K28" s="100"/>
      <c r="L28" s="9">
        <f>+SUM(L16:L27)</f>
        <v>96496</v>
      </c>
      <c r="M28" s="1"/>
      <c r="N28" s="99" t="s">
        <v>12</v>
      </c>
      <c r="O28" s="100"/>
      <c r="P28" s="9">
        <f>+SUM(P16:P27)</f>
        <v>106308</v>
      </c>
      <c r="Q28" s="1"/>
      <c r="R28" s="99" t="s">
        <v>12</v>
      </c>
      <c r="S28" s="100"/>
      <c r="T28" s="9">
        <f>+SUM(T16:T27)</f>
        <v>474747</v>
      </c>
      <c r="U28" s="1"/>
      <c r="V28" s="12"/>
      <c r="W28" s="99" t="s">
        <v>12</v>
      </c>
      <c r="X28" s="100"/>
      <c r="Y28" s="9">
        <f>+SUM(Y16:Y27)</f>
        <v>837571</v>
      </c>
      <c r="Z28" s="13"/>
      <c r="AA28" s="1"/>
      <c r="AB28" s="1"/>
      <c r="AC28" s="1"/>
      <c r="AD28" s="1"/>
      <c r="AE28" s="1"/>
      <c r="AF28" s="1"/>
      <c r="AG28" s="1"/>
      <c r="AH28" s="1"/>
      <c r="AI28" s="64" t="s">
        <v>117</v>
      </c>
      <c r="AJ28" s="64" t="s">
        <v>612</v>
      </c>
      <c r="AK28" s="64" t="s">
        <v>149</v>
      </c>
      <c r="AL28" s="97">
        <v>26150</v>
      </c>
    </row>
    <row r="29" spans="2:38" x14ac:dyDescent="0.25">
      <c r="B29" s="1"/>
      <c r="C29" s="1"/>
      <c r="D29" s="5"/>
      <c r="E29" s="1"/>
      <c r="F29" s="1"/>
      <c r="G29" s="1"/>
      <c r="H29" s="5"/>
      <c r="I29" s="1"/>
      <c r="J29" s="1"/>
      <c r="K29" s="1"/>
      <c r="L29" s="5"/>
      <c r="M29" s="1"/>
      <c r="N29" s="1"/>
      <c r="O29" s="1"/>
      <c r="P29" s="5"/>
      <c r="Q29" s="1"/>
      <c r="R29" s="1"/>
      <c r="S29" s="1"/>
      <c r="T29" s="5"/>
      <c r="U29" s="1"/>
      <c r="V29" s="12"/>
      <c r="W29" s="16"/>
      <c r="X29" s="16"/>
      <c r="Y29" s="15"/>
      <c r="Z29" s="13"/>
      <c r="AA29" s="1"/>
      <c r="AB29" s="1"/>
      <c r="AC29" s="1"/>
      <c r="AD29" s="1"/>
      <c r="AE29" s="1"/>
      <c r="AF29" s="1"/>
      <c r="AG29" s="1"/>
      <c r="AH29" s="1"/>
      <c r="AI29" s="64" t="s">
        <v>206</v>
      </c>
      <c r="AJ29" s="64" t="s">
        <v>618</v>
      </c>
      <c r="AK29" s="64" t="s">
        <v>150</v>
      </c>
      <c r="AL29" s="69">
        <v>9817</v>
      </c>
    </row>
    <row r="30" spans="2:38" ht="15.75" thickBot="1" x14ac:dyDescent="0.3">
      <c r="B30" s="101" t="s">
        <v>41</v>
      </c>
      <c r="C30" s="101"/>
      <c r="D30" s="7">
        <f>+D28-D15</f>
        <v>-1156.5899999999965</v>
      </c>
      <c r="E30" s="1"/>
      <c r="F30" s="101" t="s">
        <v>41</v>
      </c>
      <c r="G30" s="101"/>
      <c r="H30" s="7">
        <f>+H28-H15</f>
        <v>44</v>
      </c>
      <c r="I30" s="1"/>
      <c r="J30" s="101" t="s">
        <v>41</v>
      </c>
      <c r="K30" s="101"/>
      <c r="L30" s="7">
        <f>+L28-L15</f>
        <v>-144</v>
      </c>
      <c r="M30" s="1"/>
      <c r="N30" s="101" t="s">
        <v>41</v>
      </c>
      <c r="O30" s="101"/>
      <c r="P30" s="7">
        <f>+P28-P15</f>
        <v>-237</v>
      </c>
      <c r="Q30" s="1"/>
      <c r="R30" s="101" t="s">
        <v>41</v>
      </c>
      <c r="S30" s="101"/>
      <c r="T30" s="7">
        <f>+T28-T15</f>
        <v>3.9999999979045242E-2</v>
      </c>
      <c r="U30" s="1"/>
      <c r="V30" s="12"/>
      <c r="W30" s="102" t="s">
        <v>41</v>
      </c>
      <c r="X30" s="102"/>
      <c r="Y30" s="41">
        <f>+Y28-Y15</f>
        <v>-1493.5500000000466</v>
      </c>
      <c r="Z30" s="13"/>
      <c r="AA30" s="1"/>
      <c r="AB30" s="1"/>
      <c r="AC30" s="1"/>
      <c r="AD30" s="1"/>
      <c r="AE30" s="1"/>
      <c r="AF30" s="1"/>
      <c r="AG30" s="1"/>
      <c r="AH30" s="1"/>
      <c r="AI30" s="64" t="s">
        <v>214</v>
      </c>
      <c r="AJ30" s="64" t="s">
        <v>630</v>
      </c>
      <c r="AK30" s="64" t="s">
        <v>121</v>
      </c>
      <c r="AL30" s="69">
        <v>5930</v>
      </c>
    </row>
    <row r="31" spans="2:38" ht="16.5" thickTop="1" thickBot="1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7"/>
      <c r="W31" s="18"/>
      <c r="X31" s="18"/>
      <c r="Y31" s="18"/>
      <c r="Z31" s="19"/>
      <c r="AA31" s="1"/>
      <c r="AB31" s="60" t="s">
        <v>40</v>
      </c>
      <c r="AC31" s="60"/>
      <c r="AD31" s="60"/>
      <c r="AE31" s="60"/>
      <c r="AF31" s="55">
        <f>+SUM(AF23:AF30)</f>
        <v>330650</v>
      </c>
      <c r="AG31" s="1"/>
      <c r="AH31" s="1"/>
      <c r="AI31" s="64" t="s">
        <v>866</v>
      </c>
      <c r="AJ31" s="91" t="s">
        <v>857</v>
      </c>
      <c r="AK31" s="64" t="s">
        <v>511</v>
      </c>
      <c r="AL31" s="65">
        <v>29457</v>
      </c>
    </row>
    <row r="32" spans="2:38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91" t="s">
        <v>214</v>
      </c>
      <c r="AJ32" s="91" t="s">
        <v>655</v>
      </c>
      <c r="AK32" s="91" t="s">
        <v>408</v>
      </c>
      <c r="AL32" s="98">
        <v>7634</v>
      </c>
    </row>
    <row r="33" spans="2:38" ht="15.75" thickBot="1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91" t="s">
        <v>214</v>
      </c>
      <c r="AJ33" s="91" t="s">
        <v>657</v>
      </c>
      <c r="AK33" s="64" t="s">
        <v>156</v>
      </c>
      <c r="AL33" s="69">
        <v>4293</v>
      </c>
    </row>
    <row r="34" spans="2:38" x14ac:dyDescent="0.25">
      <c r="B34" s="10" t="s">
        <v>42</v>
      </c>
      <c r="C34" s="11"/>
      <c r="D34" s="21">
        <v>1157</v>
      </c>
      <c r="E34" s="1"/>
      <c r="F34" s="10" t="s">
        <v>42</v>
      </c>
      <c r="G34" s="11"/>
      <c r="H34" s="21"/>
      <c r="I34" s="1"/>
      <c r="J34" s="10" t="s">
        <v>42</v>
      </c>
      <c r="K34" s="11"/>
      <c r="L34" s="21">
        <v>144</v>
      </c>
      <c r="M34" s="1"/>
      <c r="N34" s="10" t="s">
        <v>42</v>
      </c>
      <c r="O34" s="11"/>
      <c r="P34" s="21">
        <v>7</v>
      </c>
      <c r="Q34" s="1"/>
      <c r="R34" s="10" t="s">
        <v>42</v>
      </c>
      <c r="S34" s="11"/>
      <c r="T34" s="21"/>
      <c r="U34" s="1"/>
      <c r="V34" s="1"/>
      <c r="W34" s="42" t="s">
        <v>42</v>
      </c>
      <c r="X34" s="43"/>
      <c r="Y34" s="44">
        <f>+D34+H34+L34+P34+T34</f>
        <v>1308</v>
      </c>
      <c r="Z34" s="1"/>
      <c r="AA34" s="1"/>
      <c r="AB34" s="1"/>
      <c r="AC34" s="1"/>
      <c r="AD34" s="1"/>
      <c r="AE34" s="1"/>
      <c r="AF34" s="1"/>
      <c r="AG34" s="1"/>
      <c r="AH34" s="1"/>
      <c r="AI34" s="91" t="s">
        <v>214</v>
      </c>
      <c r="AJ34" s="91" t="s">
        <v>658</v>
      </c>
      <c r="AK34" s="64" t="s">
        <v>157</v>
      </c>
      <c r="AL34" s="69">
        <v>6030</v>
      </c>
    </row>
    <row r="35" spans="2:38" x14ac:dyDescent="0.25">
      <c r="B35" s="12" t="s">
        <v>43</v>
      </c>
      <c r="C35" s="16"/>
      <c r="D35" s="22"/>
      <c r="E35" s="1"/>
      <c r="F35" s="12" t="s">
        <v>43</v>
      </c>
      <c r="G35" s="16"/>
      <c r="H35" s="22"/>
      <c r="I35" s="1"/>
      <c r="J35" s="12" t="s">
        <v>43</v>
      </c>
      <c r="K35" s="16"/>
      <c r="L35" s="22"/>
      <c r="M35" s="1"/>
      <c r="N35" s="12" t="s">
        <v>846</v>
      </c>
      <c r="O35" s="16"/>
      <c r="P35" s="22">
        <v>230</v>
      </c>
      <c r="Q35" s="1"/>
      <c r="R35" s="12" t="s">
        <v>43</v>
      </c>
      <c r="S35" s="16"/>
      <c r="T35" s="22"/>
      <c r="U35" s="1"/>
      <c r="V35" s="1"/>
      <c r="W35" s="45" t="s">
        <v>43</v>
      </c>
      <c r="X35" s="40"/>
      <c r="Y35" s="46">
        <f t="shared" ref="Y35:Y36" si="9">+D35+H35+L35+P35+T35</f>
        <v>230</v>
      </c>
      <c r="Z35" s="1"/>
      <c r="AA35" s="1"/>
      <c r="AB35" s="1"/>
      <c r="AC35" s="1"/>
      <c r="AD35" s="1"/>
      <c r="AE35" s="1"/>
      <c r="AF35" s="1"/>
      <c r="AG35" s="1"/>
      <c r="AH35" s="1"/>
      <c r="AI35" s="64" t="s">
        <v>214</v>
      </c>
      <c r="AJ35" s="64" t="s">
        <v>711</v>
      </c>
      <c r="AK35" s="64" t="s">
        <v>71</v>
      </c>
      <c r="AL35" s="65">
        <v>5218</v>
      </c>
    </row>
    <row r="36" spans="2:38" x14ac:dyDescent="0.25">
      <c r="B36" s="12" t="s">
        <v>45</v>
      </c>
      <c r="C36" s="16"/>
      <c r="D36" s="22"/>
      <c r="E36" s="1"/>
      <c r="F36" s="12" t="s">
        <v>45</v>
      </c>
      <c r="G36" s="16"/>
      <c r="H36" s="22">
        <v>-44</v>
      </c>
      <c r="I36" s="1"/>
      <c r="J36" s="12" t="s">
        <v>45</v>
      </c>
      <c r="K36" s="16"/>
      <c r="L36" s="22"/>
      <c r="M36" s="1"/>
      <c r="N36" s="12" t="s">
        <v>45</v>
      </c>
      <c r="O36" s="16"/>
      <c r="P36" s="22"/>
      <c r="Q36" s="1"/>
      <c r="R36" s="12" t="s">
        <v>47</v>
      </c>
      <c r="S36" s="16"/>
      <c r="T36" s="22"/>
      <c r="U36" s="1"/>
      <c r="V36" s="1"/>
      <c r="W36" s="45" t="s">
        <v>44</v>
      </c>
      <c r="X36" s="40"/>
      <c r="Y36" s="46">
        <f t="shared" si="9"/>
        <v>-44</v>
      </c>
      <c r="Z36" s="1"/>
      <c r="AA36" s="1"/>
      <c r="AB36" s="1"/>
      <c r="AC36" s="1"/>
      <c r="AD36" s="1"/>
      <c r="AE36" s="1"/>
      <c r="AF36" s="1"/>
      <c r="AG36" s="1"/>
      <c r="AH36" s="1"/>
      <c r="AI36" s="91" t="s">
        <v>115</v>
      </c>
      <c r="AJ36" s="64" t="s">
        <v>858</v>
      </c>
      <c r="AK36" s="64" t="s">
        <v>863</v>
      </c>
      <c r="AL36" s="65">
        <v>35000</v>
      </c>
    </row>
    <row r="37" spans="2:38" x14ac:dyDescent="0.25">
      <c r="B37" s="12" t="s">
        <v>18</v>
      </c>
      <c r="C37" s="16"/>
      <c r="D37" s="22">
        <f>+SUM(D34:D36)</f>
        <v>1157</v>
      </c>
      <c r="E37" s="1"/>
      <c r="F37" s="12" t="s">
        <v>18</v>
      </c>
      <c r="G37" s="16"/>
      <c r="H37" s="22">
        <f>+SUM(H34:H36)</f>
        <v>-44</v>
      </c>
      <c r="I37" s="1"/>
      <c r="J37" s="12" t="s">
        <v>18</v>
      </c>
      <c r="K37" s="16"/>
      <c r="L37" s="22">
        <f>+SUM(L34:L36)</f>
        <v>144</v>
      </c>
      <c r="M37" s="1"/>
      <c r="N37" s="12" t="s">
        <v>18</v>
      </c>
      <c r="O37" s="16"/>
      <c r="P37" s="22">
        <f>+SUM(P34:P36)</f>
        <v>237</v>
      </c>
      <c r="Q37" s="1"/>
      <c r="R37" s="12" t="s">
        <v>18</v>
      </c>
      <c r="S37" s="16"/>
      <c r="T37" s="22">
        <f>+SUM(T34:T36)</f>
        <v>0</v>
      </c>
      <c r="U37" s="1"/>
      <c r="V37" s="1"/>
      <c r="W37" s="33" t="s">
        <v>18</v>
      </c>
      <c r="X37" s="34"/>
      <c r="Y37" s="35">
        <f>+SUM(Y34:Y36)</f>
        <v>1494</v>
      </c>
      <c r="Z37" s="1"/>
      <c r="AA37" s="1"/>
      <c r="AB37" s="1"/>
      <c r="AC37" s="1"/>
      <c r="AD37" s="1"/>
      <c r="AE37" s="1"/>
      <c r="AF37" s="1"/>
      <c r="AG37" s="1"/>
      <c r="AH37" s="1"/>
      <c r="AI37" s="64" t="s">
        <v>122</v>
      </c>
      <c r="AJ37" s="64" t="s">
        <v>726</v>
      </c>
      <c r="AK37" s="64" t="s">
        <v>765</v>
      </c>
      <c r="AL37" s="69">
        <v>2500</v>
      </c>
    </row>
    <row r="38" spans="2:38" ht="15.75" thickBot="1" x14ac:dyDescent="0.3">
      <c r="B38" s="23" t="s">
        <v>46</v>
      </c>
      <c r="C38" s="24"/>
      <c r="D38" s="25">
        <f>+D30+D37</f>
        <v>0.41000000000349246</v>
      </c>
      <c r="E38" s="1"/>
      <c r="F38" s="23" t="s">
        <v>46</v>
      </c>
      <c r="G38" s="24"/>
      <c r="H38" s="25">
        <f>+H30+H37</f>
        <v>0</v>
      </c>
      <c r="I38" s="1"/>
      <c r="J38" s="23" t="s">
        <v>46</v>
      </c>
      <c r="K38" s="24"/>
      <c r="L38" s="25">
        <f>+L30+L37</f>
        <v>0</v>
      </c>
      <c r="M38" s="1"/>
      <c r="N38" s="23" t="s">
        <v>46</v>
      </c>
      <c r="O38" s="24"/>
      <c r="P38" s="25">
        <f>+P30+P37</f>
        <v>0</v>
      </c>
      <c r="Q38" s="1"/>
      <c r="R38" s="23" t="s">
        <v>46</v>
      </c>
      <c r="S38" s="24"/>
      <c r="T38" s="25">
        <f>+T30+T37</f>
        <v>3.9999999979045242E-2</v>
      </c>
      <c r="U38" s="1"/>
      <c r="V38" s="1"/>
      <c r="W38" s="23" t="s">
        <v>46</v>
      </c>
      <c r="X38" s="24"/>
      <c r="Y38" s="25">
        <f>+Y30+Y37</f>
        <v>0.44999999995343387</v>
      </c>
      <c r="Z38" s="1"/>
      <c r="AA38" s="1"/>
      <c r="AB38" s="1"/>
      <c r="AC38" s="1"/>
      <c r="AD38" s="1"/>
      <c r="AE38" s="1"/>
      <c r="AF38" s="1"/>
      <c r="AG38" s="1"/>
      <c r="AH38" s="1"/>
      <c r="AI38" s="91" t="s">
        <v>115</v>
      </c>
      <c r="AJ38" s="64" t="s">
        <v>859</v>
      </c>
      <c r="AK38" s="64" t="s">
        <v>864</v>
      </c>
      <c r="AL38" s="65">
        <v>6724</v>
      </c>
    </row>
    <row r="39" spans="2:38" x14ac:dyDescent="0.25">
      <c r="AI39" s="64" t="s">
        <v>115</v>
      </c>
      <c r="AJ39" s="64" t="s">
        <v>860</v>
      </c>
      <c r="AK39" s="64" t="s">
        <v>865</v>
      </c>
      <c r="AL39" s="65">
        <v>40000</v>
      </c>
    </row>
    <row r="40" spans="2:38" ht="15.75" thickBot="1" x14ac:dyDescent="0.3">
      <c r="AI40" s="87" t="s">
        <v>40</v>
      </c>
      <c r="AJ40" s="87"/>
      <c r="AK40" s="87"/>
      <c r="AL40" s="88">
        <f>+SUM(AL23:AL39)</f>
        <v>285938</v>
      </c>
    </row>
    <row r="41" spans="2:38" ht="15.75" thickTop="1" x14ac:dyDescent="0.25"/>
  </sheetData>
  <mergeCells count="24">
    <mergeCell ref="W30:X30"/>
    <mergeCell ref="B28:C28"/>
    <mergeCell ref="F28:G28"/>
    <mergeCell ref="J28:K28"/>
    <mergeCell ref="N28:O28"/>
    <mergeCell ref="R28:S28"/>
    <mergeCell ref="W28:X28"/>
    <mergeCell ref="B30:C30"/>
    <mergeCell ref="F30:G30"/>
    <mergeCell ref="J30:K30"/>
    <mergeCell ref="N30:O30"/>
    <mergeCell ref="R30:S30"/>
    <mergeCell ref="W15:X15"/>
    <mergeCell ref="B3:D3"/>
    <mergeCell ref="F3:H3"/>
    <mergeCell ref="J3:L3"/>
    <mergeCell ref="N3:P3"/>
    <mergeCell ref="R3:T3"/>
    <mergeCell ref="W3:Y3"/>
    <mergeCell ref="B15:C15"/>
    <mergeCell ref="F15:G15"/>
    <mergeCell ref="J15:K15"/>
    <mergeCell ref="N15:O15"/>
    <mergeCell ref="R15:S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01-09-2025</vt:lpstr>
      <vt:lpstr>02-09-2025</vt:lpstr>
      <vt:lpstr>03-09-2025</vt:lpstr>
      <vt:lpstr>04-09-2025</vt:lpstr>
      <vt:lpstr>05-09-2025</vt:lpstr>
      <vt:lpstr>07-09-25</vt:lpstr>
      <vt:lpstr>08-09-25</vt:lpstr>
      <vt:lpstr>09-09-25</vt:lpstr>
      <vt:lpstr>11-09-25</vt:lpstr>
      <vt:lpstr>12-09-25</vt:lpstr>
      <vt:lpstr>13-09-25</vt:lpstr>
      <vt:lpstr>14-09-25</vt:lpstr>
      <vt:lpstr>15-09-25</vt:lpstr>
      <vt:lpstr>16-09-25</vt:lpstr>
      <vt:lpstr>17-09-25</vt:lpstr>
      <vt:lpstr>18-09-25</vt:lpstr>
      <vt:lpstr>19-09-25</vt:lpstr>
      <vt:lpstr>20-09-25</vt:lpstr>
      <vt:lpstr>22-09-25</vt:lpstr>
      <vt:lpstr>MASTER</vt:lpstr>
      <vt:lpstr>23-09-25</vt:lpstr>
      <vt:lpstr>24-09-25</vt:lpstr>
      <vt:lpstr>25-09-25</vt:lpstr>
      <vt:lpstr>26-9-25</vt:lpstr>
      <vt:lpstr>27-09-25</vt:lpstr>
      <vt:lpstr>29-9-25</vt:lpstr>
      <vt:lpstr>30-9-25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CC</cp:lastModifiedBy>
  <dcterms:created xsi:type="dcterms:W3CDTF">2025-08-01T16:06:19Z</dcterms:created>
  <dcterms:modified xsi:type="dcterms:W3CDTF">2025-10-22T10:37:54Z</dcterms:modified>
</cp:coreProperties>
</file>