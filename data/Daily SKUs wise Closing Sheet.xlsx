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0219000\OneDrive - Pepsico\Documents\2025\Farhaj\Nov-2025\"/>
    </mc:Choice>
  </mc:AlternateContent>
  <xr:revisionPtr revIDLastSave="0" documentId="13_ncr:1_{325314F7-2400-411F-9149-C295C37052B9}" xr6:coauthVersionLast="47" xr6:coauthVersionMax="47" xr10:uidLastSave="{00000000-0000-0000-0000-000000000000}"/>
  <bookViews>
    <workbookView xWindow="-110" yWindow="-110" windowWidth="19420" windowHeight="11500" activeTab="1" xr2:uid="{3CE6FB3B-65B2-4B52-B55B-E545ACD1A50A}"/>
  </bookViews>
  <sheets>
    <sheet name="Summary" sheetId="1" r:id="rId1"/>
    <sheet name="Asghar" sheetId="2" r:id="rId2"/>
    <sheet name="shahzad" sheetId="3" r:id="rId3"/>
    <sheet name="Fahad" sheetId="4" r:id="rId4"/>
    <sheet name="Asif" sheetId="5" r:id="rId5"/>
    <sheet name="sumair" sheetId="6" r:id="rId6"/>
  </sheets>
  <definedNames>
    <definedName name="_xlnm.Print_Area" localSheetId="0">Summary!$B$2:$F$109,Summary!$CF$2:$CK$109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C108" i="1" l="1"/>
  <c r="CC107" i="1"/>
  <c r="CC106" i="1"/>
  <c r="CC105" i="1"/>
  <c r="CC104" i="1"/>
  <c r="CC103" i="1"/>
  <c r="CC102" i="1"/>
  <c r="CC101" i="1"/>
  <c r="CC100" i="1"/>
  <c r="CC99" i="1"/>
  <c r="CC98" i="1"/>
  <c r="CC97" i="1"/>
  <c r="CC96" i="1"/>
  <c r="CC95" i="1"/>
  <c r="CC94" i="1"/>
  <c r="CC93" i="1"/>
  <c r="CC92" i="1"/>
  <c r="CC91" i="1"/>
  <c r="CC90" i="1"/>
  <c r="CC89" i="1"/>
  <c r="CC88" i="1"/>
  <c r="CC87" i="1"/>
  <c r="CC86" i="1"/>
  <c r="CC85" i="1"/>
  <c r="CC84" i="1"/>
  <c r="CC83" i="1"/>
  <c r="CC82" i="1"/>
  <c r="CC81" i="1"/>
  <c r="CC80" i="1"/>
  <c r="CC79" i="1"/>
  <c r="CC78" i="1"/>
  <c r="CC77" i="1"/>
  <c r="CC76" i="1"/>
  <c r="CC75" i="1"/>
  <c r="CC74" i="1"/>
  <c r="CC73" i="1"/>
  <c r="CC72" i="1"/>
  <c r="CC71" i="1"/>
  <c r="CC70" i="1"/>
  <c r="CC69" i="1"/>
  <c r="CC68" i="1"/>
  <c r="CC67" i="1"/>
  <c r="CC66" i="1"/>
  <c r="CC65" i="1"/>
  <c r="CC64" i="1"/>
  <c r="CC63" i="1"/>
  <c r="CC62" i="1"/>
  <c r="CC61" i="1"/>
  <c r="CC60" i="1"/>
  <c r="CC59" i="1"/>
  <c r="CC58" i="1"/>
  <c r="CC57" i="1"/>
  <c r="CC56" i="1"/>
  <c r="CC55" i="1"/>
  <c r="CC54" i="1"/>
  <c r="CC53" i="1"/>
  <c r="CC52" i="1"/>
  <c r="CC51" i="1"/>
  <c r="CC50" i="1"/>
  <c r="CC49" i="1"/>
  <c r="CC48" i="1"/>
  <c r="CC47" i="1"/>
  <c r="CC46" i="1"/>
  <c r="CC45" i="1"/>
  <c r="CC44" i="1"/>
  <c r="CC43" i="1"/>
  <c r="CC42" i="1"/>
  <c r="CC41" i="1"/>
  <c r="CC40" i="1"/>
  <c r="CC39" i="1"/>
  <c r="CC38" i="1"/>
  <c r="CC37" i="1"/>
  <c r="CC36" i="1"/>
  <c r="CC35" i="1"/>
  <c r="CC34" i="1"/>
  <c r="CC33" i="1"/>
  <c r="CC32" i="1"/>
  <c r="CC31" i="1"/>
  <c r="CC30" i="1"/>
  <c r="CC29" i="1"/>
  <c r="CC28" i="1"/>
  <c r="CC27" i="1"/>
  <c r="CC26" i="1"/>
  <c r="CC25" i="1"/>
  <c r="CC24" i="1"/>
  <c r="CC23" i="1"/>
  <c r="CC22" i="1"/>
  <c r="CC21" i="1"/>
  <c r="CC20" i="1"/>
  <c r="CC19" i="1"/>
  <c r="CC18" i="1"/>
  <c r="CC17" i="1"/>
  <c r="CC16" i="1"/>
  <c r="CC15" i="1"/>
  <c r="CC14" i="1"/>
  <c r="CC13" i="1"/>
  <c r="CC12" i="1"/>
  <c r="CC11" i="1"/>
  <c r="CC10" i="1"/>
  <c r="CC9" i="1"/>
  <c r="CC8" i="1"/>
  <c r="CC7" i="1"/>
  <c r="CC6" i="1"/>
  <c r="CC5" i="1"/>
  <c r="CC109" i="1" s="1"/>
  <c r="CC4" i="1"/>
  <c r="CB108" i="1"/>
  <c r="CB107" i="1"/>
  <c r="CB106" i="1"/>
  <c r="CB105" i="1"/>
  <c r="CB104" i="1"/>
  <c r="CB103" i="1"/>
  <c r="CB102" i="1"/>
  <c r="CB101" i="1"/>
  <c r="CB100" i="1"/>
  <c r="CB99" i="1"/>
  <c r="CB98" i="1"/>
  <c r="CB97" i="1"/>
  <c r="CB96" i="1"/>
  <c r="CB95" i="1"/>
  <c r="CB94" i="1"/>
  <c r="CB93" i="1"/>
  <c r="CB92" i="1"/>
  <c r="CB91" i="1"/>
  <c r="CB90" i="1"/>
  <c r="CB89" i="1"/>
  <c r="CB88" i="1"/>
  <c r="CB87" i="1"/>
  <c r="CB86" i="1"/>
  <c r="CB85" i="1"/>
  <c r="CB84" i="1"/>
  <c r="CB83" i="1"/>
  <c r="CB82" i="1"/>
  <c r="CB81" i="1"/>
  <c r="CB80" i="1"/>
  <c r="CB79" i="1"/>
  <c r="CB78" i="1"/>
  <c r="CB77" i="1"/>
  <c r="CB76" i="1"/>
  <c r="CB75" i="1"/>
  <c r="CB74" i="1"/>
  <c r="CB73" i="1"/>
  <c r="CB72" i="1"/>
  <c r="CB71" i="1"/>
  <c r="CB70" i="1"/>
  <c r="CB69" i="1"/>
  <c r="CB68" i="1"/>
  <c r="CB67" i="1"/>
  <c r="CB66" i="1"/>
  <c r="CB65" i="1"/>
  <c r="CB64" i="1"/>
  <c r="CB63" i="1"/>
  <c r="CB62" i="1"/>
  <c r="CB61" i="1"/>
  <c r="CB60" i="1"/>
  <c r="CB59" i="1"/>
  <c r="CB58" i="1"/>
  <c r="CB57" i="1"/>
  <c r="CB56" i="1"/>
  <c r="CB55" i="1"/>
  <c r="CB54" i="1"/>
  <c r="CB53" i="1"/>
  <c r="CB52" i="1"/>
  <c r="CB51" i="1"/>
  <c r="CB50" i="1"/>
  <c r="CB49" i="1"/>
  <c r="CB48" i="1"/>
  <c r="CB47" i="1"/>
  <c r="CB46" i="1"/>
  <c r="CB45" i="1"/>
  <c r="CB44" i="1"/>
  <c r="CB43" i="1"/>
  <c r="CB42" i="1"/>
  <c r="CB41" i="1"/>
  <c r="CB40" i="1"/>
  <c r="CB39" i="1"/>
  <c r="CB38" i="1"/>
  <c r="CB37" i="1"/>
  <c r="CB36" i="1"/>
  <c r="CB35" i="1"/>
  <c r="CB34" i="1"/>
  <c r="CB33" i="1"/>
  <c r="CB32" i="1"/>
  <c r="CB31" i="1"/>
  <c r="CB30" i="1"/>
  <c r="CB29" i="1"/>
  <c r="CB28" i="1"/>
  <c r="CB27" i="1"/>
  <c r="CB26" i="1"/>
  <c r="CB25" i="1"/>
  <c r="CB24" i="1"/>
  <c r="CB23" i="1"/>
  <c r="CB22" i="1"/>
  <c r="CB21" i="1"/>
  <c r="CB20" i="1"/>
  <c r="CB19" i="1"/>
  <c r="CB18" i="1"/>
  <c r="CB17" i="1"/>
  <c r="CB16" i="1"/>
  <c r="CB15" i="1"/>
  <c r="CB14" i="1"/>
  <c r="CB13" i="1"/>
  <c r="CB12" i="1"/>
  <c r="CB11" i="1"/>
  <c r="CB10" i="1"/>
  <c r="CB9" i="1"/>
  <c r="CB8" i="1"/>
  <c r="CB7" i="1"/>
  <c r="CB6" i="1"/>
  <c r="CB5" i="1"/>
  <c r="CB109" i="1" s="1"/>
  <c r="CB4" i="1"/>
  <c r="CA108" i="1"/>
  <c r="CA107" i="1"/>
  <c r="CA106" i="1"/>
  <c r="CA105" i="1"/>
  <c r="CA104" i="1"/>
  <c r="CA103" i="1"/>
  <c r="CA102" i="1"/>
  <c r="CA101" i="1"/>
  <c r="CA100" i="1"/>
  <c r="CA99" i="1"/>
  <c r="CA98" i="1"/>
  <c r="CA97" i="1"/>
  <c r="CA96" i="1"/>
  <c r="CA95" i="1"/>
  <c r="CA94" i="1"/>
  <c r="CA93" i="1"/>
  <c r="CA92" i="1"/>
  <c r="CA91" i="1"/>
  <c r="CA90" i="1"/>
  <c r="CA89" i="1"/>
  <c r="CA88" i="1"/>
  <c r="CA87" i="1"/>
  <c r="CA86" i="1"/>
  <c r="CA85" i="1"/>
  <c r="CA84" i="1"/>
  <c r="CA83" i="1"/>
  <c r="CA82" i="1"/>
  <c r="CA81" i="1"/>
  <c r="CA80" i="1"/>
  <c r="CA79" i="1"/>
  <c r="CA78" i="1"/>
  <c r="CA77" i="1"/>
  <c r="CA76" i="1"/>
  <c r="CA75" i="1"/>
  <c r="CA74" i="1"/>
  <c r="CA73" i="1"/>
  <c r="CA72" i="1"/>
  <c r="CA71" i="1"/>
  <c r="CA70" i="1"/>
  <c r="CA69" i="1"/>
  <c r="CA68" i="1"/>
  <c r="CA67" i="1"/>
  <c r="CA66" i="1"/>
  <c r="CA65" i="1"/>
  <c r="CA64" i="1"/>
  <c r="CA63" i="1"/>
  <c r="CA62" i="1"/>
  <c r="CA61" i="1"/>
  <c r="CA60" i="1"/>
  <c r="CA59" i="1"/>
  <c r="CA58" i="1"/>
  <c r="CA57" i="1"/>
  <c r="CA56" i="1"/>
  <c r="CA55" i="1"/>
  <c r="CA54" i="1"/>
  <c r="CA53" i="1"/>
  <c r="CA52" i="1"/>
  <c r="CA51" i="1"/>
  <c r="CA50" i="1"/>
  <c r="CA49" i="1"/>
  <c r="CA48" i="1"/>
  <c r="CA47" i="1"/>
  <c r="CA46" i="1"/>
  <c r="CA45" i="1"/>
  <c r="CA44" i="1"/>
  <c r="CA43" i="1"/>
  <c r="CA42" i="1"/>
  <c r="CA41" i="1"/>
  <c r="CA40" i="1"/>
  <c r="CA39" i="1"/>
  <c r="CA38" i="1"/>
  <c r="CA37" i="1"/>
  <c r="CA36" i="1"/>
  <c r="CA35" i="1"/>
  <c r="CA34" i="1"/>
  <c r="CA33" i="1"/>
  <c r="CA32" i="1"/>
  <c r="CA31" i="1"/>
  <c r="CA30" i="1"/>
  <c r="CA29" i="1"/>
  <c r="CA28" i="1"/>
  <c r="CA27" i="1"/>
  <c r="CA26" i="1"/>
  <c r="CA25" i="1"/>
  <c r="CA24" i="1"/>
  <c r="CA23" i="1"/>
  <c r="CA22" i="1"/>
  <c r="CA21" i="1"/>
  <c r="CA19" i="1"/>
  <c r="CA18" i="1"/>
  <c r="CA17" i="1"/>
  <c r="CA16" i="1"/>
  <c r="CA12" i="1"/>
  <c r="CA10" i="1"/>
  <c r="CA9" i="1"/>
  <c r="CA7" i="1"/>
  <c r="CA6" i="1"/>
  <c r="CA5" i="1"/>
  <c r="CA4" i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Z11" i="1"/>
  <c r="BZ10" i="1"/>
  <c r="BZ9" i="1"/>
  <c r="BZ8" i="1"/>
  <c r="BZ7" i="1"/>
  <c r="BZ6" i="1"/>
  <c r="BZ109" i="1" s="1"/>
  <c r="BZ5" i="1"/>
  <c r="BZ4" i="1"/>
  <c r="BY108" i="1"/>
  <c r="BY107" i="1"/>
  <c r="BY106" i="1"/>
  <c r="BY105" i="1"/>
  <c r="BY104" i="1"/>
  <c r="BY103" i="1"/>
  <c r="BY102" i="1"/>
  <c r="BY101" i="1"/>
  <c r="BY100" i="1"/>
  <c r="BY99" i="1"/>
  <c r="BY98" i="1"/>
  <c r="BY97" i="1"/>
  <c r="BY96" i="1"/>
  <c r="BY95" i="1"/>
  <c r="BY94" i="1"/>
  <c r="BY93" i="1"/>
  <c r="BY92" i="1"/>
  <c r="BY91" i="1"/>
  <c r="BY90" i="1"/>
  <c r="BY89" i="1"/>
  <c r="BY88" i="1"/>
  <c r="BY87" i="1"/>
  <c r="BY86" i="1"/>
  <c r="BY85" i="1"/>
  <c r="BY84" i="1"/>
  <c r="BY83" i="1"/>
  <c r="BY82" i="1"/>
  <c r="BY81" i="1"/>
  <c r="BY80" i="1"/>
  <c r="BY79" i="1"/>
  <c r="BY78" i="1"/>
  <c r="BY77" i="1"/>
  <c r="BY76" i="1"/>
  <c r="BY75" i="1"/>
  <c r="BY74" i="1"/>
  <c r="BY73" i="1"/>
  <c r="BY72" i="1"/>
  <c r="BY71" i="1"/>
  <c r="BY70" i="1"/>
  <c r="BY69" i="1"/>
  <c r="BY68" i="1"/>
  <c r="BY67" i="1"/>
  <c r="BY66" i="1"/>
  <c r="BY65" i="1"/>
  <c r="BY64" i="1"/>
  <c r="BY63" i="1"/>
  <c r="BY62" i="1"/>
  <c r="BY61" i="1"/>
  <c r="BY60" i="1"/>
  <c r="BY59" i="1"/>
  <c r="BY58" i="1"/>
  <c r="BY57" i="1"/>
  <c r="BY56" i="1"/>
  <c r="BY55" i="1"/>
  <c r="BY54" i="1"/>
  <c r="BY53" i="1"/>
  <c r="BY52" i="1"/>
  <c r="BY51" i="1"/>
  <c r="BY50" i="1"/>
  <c r="BY49" i="1"/>
  <c r="BY48" i="1"/>
  <c r="BY47" i="1"/>
  <c r="BY46" i="1"/>
  <c r="BY45" i="1"/>
  <c r="BY44" i="1"/>
  <c r="BY43" i="1"/>
  <c r="BY42" i="1"/>
  <c r="BY41" i="1"/>
  <c r="BY40" i="1"/>
  <c r="BY39" i="1"/>
  <c r="BY38" i="1"/>
  <c r="BY37" i="1"/>
  <c r="BY36" i="1"/>
  <c r="BY35" i="1"/>
  <c r="BY34" i="1"/>
  <c r="BY33" i="1"/>
  <c r="BY32" i="1"/>
  <c r="BY31" i="1"/>
  <c r="BY30" i="1"/>
  <c r="BY29" i="1"/>
  <c r="BY28" i="1"/>
  <c r="BY27" i="1"/>
  <c r="BY26" i="1"/>
  <c r="BY25" i="1"/>
  <c r="BY24" i="1"/>
  <c r="BY23" i="1"/>
  <c r="BY22" i="1"/>
  <c r="BY21" i="1"/>
  <c r="BY20" i="1"/>
  <c r="BY19" i="1"/>
  <c r="BY18" i="1"/>
  <c r="BY17" i="1"/>
  <c r="BY16" i="1"/>
  <c r="BY15" i="1"/>
  <c r="BY14" i="1"/>
  <c r="BY13" i="1"/>
  <c r="BY12" i="1"/>
  <c r="BY11" i="1"/>
  <c r="BY10" i="1"/>
  <c r="BY9" i="1"/>
  <c r="BY8" i="1"/>
  <c r="BY7" i="1"/>
  <c r="BY6" i="1"/>
  <c r="BY109" i="1" s="1"/>
  <c r="BY5" i="1"/>
  <c r="BY4" i="1"/>
  <c r="BX108" i="1"/>
  <c r="BX107" i="1"/>
  <c r="BX106" i="1"/>
  <c r="BX105" i="1"/>
  <c r="BX104" i="1"/>
  <c r="BX103" i="1"/>
  <c r="BX102" i="1"/>
  <c r="BX101" i="1"/>
  <c r="BX100" i="1"/>
  <c r="BX99" i="1"/>
  <c r="BX98" i="1"/>
  <c r="BX97" i="1"/>
  <c r="BX96" i="1"/>
  <c r="BX95" i="1"/>
  <c r="BX94" i="1"/>
  <c r="BX93" i="1"/>
  <c r="BX92" i="1"/>
  <c r="BX91" i="1"/>
  <c r="BX90" i="1"/>
  <c r="BX89" i="1"/>
  <c r="BX88" i="1"/>
  <c r="BX87" i="1"/>
  <c r="BX86" i="1"/>
  <c r="BX85" i="1"/>
  <c r="BX84" i="1"/>
  <c r="BX83" i="1"/>
  <c r="BX82" i="1"/>
  <c r="BX81" i="1"/>
  <c r="BX80" i="1"/>
  <c r="BX79" i="1"/>
  <c r="BX78" i="1"/>
  <c r="BX77" i="1"/>
  <c r="BX76" i="1"/>
  <c r="BX75" i="1"/>
  <c r="BX74" i="1"/>
  <c r="BX73" i="1"/>
  <c r="BX72" i="1"/>
  <c r="BX71" i="1"/>
  <c r="BX70" i="1"/>
  <c r="BX69" i="1"/>
  <c r="BX68" i="1"/>
  <c r="BX67" i="1"/>
  <c r="BX66" i="1"/>
  <c r="BX65" i="1"/>
  <c r="BX64" i="1"/>
  <c r="BX63" i="1"/>
  <c r="BX62" i="1"/>
  <c r="BX61" i="1"/>
  <c r="BX60" i="1"/>
  <c r="BX59" i="1"/>
  <c r="BX58" i="1"/>
  <c r="BX57" i="1"/>
  <c r="BX56" i="1"/>
  <c r="BX55" i="1"/>
  <c r="BX54" i="1"/>
  <c r="BX53" i="1"/>
  <c r="BX52" i="1"/>
  <c r="BX51" i="1"/>
  <c r="BX50" i="1"/>
  <c r="BX49" i="1"/>
  <c r="BX48" i="1"/>
  <c r="BX47" i="1"/>
  <c r="BX46" i="1"/>
  <c r="BX45" i="1"/>
  <c r="BX44" i="1"/>
  <c r="BX43" i="1"/>
  <c r="BX42" i="1"/>
  <c r="BX41" i="1"/>
  <c r="BX40" i="1"/>
  <c r="BX39" i="1"/>
  <c r="BX38" i="1"/>
  <c r="BX37" i="1"/>
  <c r="BX36" i="1"/>
  <c r="BX35" i="1"/>
  <c r="BX34" i="1"/>
  <c r="BX33" i="1"/>
  <c r="BX32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2" i="1"/>
  <c r="BX11" i="1"/>
  <c r="BX10" i="1"/>
  <c r="BX9" i="1"/>
  <c r="BX8" i="1"/>
  <c r="BX7" i="1"/>
  <c r="BX6" i="1"/>
  <c r="BX109" i="1" s="1"/>
  <c r="BX5" i="1"/>
  <c r="BX4" i="1"/>
  <c r="BW108" i="1"/>
  <c r="BW107" i="1"/>
  <c r="BW106" i="1"/>
  <c r="BW105" i="1"/>
  <c r="BW104" i="1"/>
  <c r="BW103" i="1"/>
  <c r="BW102" i="1"/>
  <c r="BW101" i="1"/>
  <c r="BW100" i="1"/>
  <c r="BW99" i="1"/>
  <c r="BW98" i="1"/>
  <c r="BW97" i="1"/>
  <c r="BW96" i="1"/>
  <c r="BW95" i="1"/>
  <c r="BW94" i="1"/>
  <c r="BW93" i="1"/>
  <c r="BW92" i="1"/>
  <c r="BW91" i="1"/>
  <c r="BW90" i="1"/>
  <c r="BW89" i="1"/>
  <c r="BW88" i="1"/>
  <c r="BW87" i="1"/>
  <c r="BW86" i="1"/>
  <c r="BW85" i="1"/>
  <c r="BW84" i="1"/>
  <c r="BW83" i="1"/>
  <c r="BW82" i="1"/>
  <c r="BW81" i="1"/>
  <c r="BW80" i="1"/>
  <c r="BW79" i="1"/>
  <c r="BW78" i="1"/>
  <c r="BW77" i="1"/>
  <c r="BW76" i="1"/>
  <c r="BW75" i="1"/>
  <c r="BW74" i="1"/>
  <c r="BW73" i="1"/>
  <c r="BW72" i="1"/>
  <c r="BW71" i="1"/>
  <c r="BW70" i="1"/>
  <c r="BW69" i="1"/>
  <c r="BW68" i="1"/>
  <c r="BW67" i="1"/>
  <c r="BW66" i="1"/>
  <c r="BW65" i="1"/>
  <c r="BW64" i="1"/>
  <c r="BW63" i="1"/>
  <c r="BW62" i="1"/>
  <c r="BW61" i="1"/>
  <c r="BW60" i="1"/>
  <c r="BW59" i="1"/>
  <c r="BW58" i="1"/>
  <c r="BW57" i="1"/>
  <c r="BW56" i="1"/>
  <c r="BW55" i="1"/>
  <c r="BW54" i="1"/>
  <c r="BW53" i="1"/>
  <c r="BW52" i="1"/>
  <c r="BW51" i="1"/>
  <c r="BW50" i="1"/>
  <c r="BW49" i="1"/>
  <c r="BW48" i="1"/>
  <c r="BW47" i="1"/>
  <c r="BW46" i="1"/>
  <c r="BW45" i="1"/>
  <c r="BW44" i="1"/>
  <c r="BW43" i="1"/>
  <c r="BW42" i="1"/>
  <c r="BW41" i="1"/>
  <c r="BW40" i="1"/>
  <c r="BW39" i="1"/>
  <c r="BW38" i="1"/>
  <c r="BW37" i="1"/>
  <c r="BW36" i="1"/>
  <c r="BW35" i="1"/>
  <c r="BW34" i="1"/>
  <c r="BW33" i="1"/>
  <c r="BW32" i="1"/>
  <c r="BW31" i="1"/>
  <c r="BW30" i="1"/>
  <c r="BW29" i="1"/>
  <c r="BW28" i="1"/>
  <c r="BW27" i="1"/>
  <c r="BW26" i="1"/>
  <c r="BW25" i="1"/>
  <c r="BW24" i="1"/>
  <c r="BW23" i="1"/>
  <c r="BW22" i="1"/>
  <c r="BW21" i="1"/>
  <c r="BW20" i="1"/>
  <c r="BW19" i="1"/>
  <c r="BW18" i="1"/>
  <c r="BW17" i="1"/>
  <c r="BW16" i="1"/>
  <c r="BW15" i="1"/>
  <c r="BW14" i="1"/>
  <c r="BW13" i="1"/>
  <c r="BW12" i="1"/>
  <c r="BW11" i="1"/>
  <c r="BW10" i="1"/>
  <c r="BW9" i="1"/>
  <c r="BW8" i="1"/>
  <c r="BW7" i="1"/>
  <c r="BW6" i="1"/>
  <c r="BW5" i="1"/>
  <c r="BW109" i="1" s="1"/>
  <c r="BW4" i="1"/>
  <c r="BV108" i="1"/>
  <c r="BV107" i="1"/>
  <c r="BV106" i="1"/>
  <c r="BV105" i="1"/>
  <c r="BV104" i="1"/>
  <c r="BV103" i="1"/>
  <c r="BV102" i="1"/>
  <c r="BV101" i="1"/>
  <c r="BV100" i="1"/>
  <c r="BV99" i="1"/>
  <c r="BV98" i="1"/>
  <c r="BV97" i="1"/>
  <c r="BV96" i="1"/>
  <c r="BV95" i="1"/>
  <c r="BV94" i="1"/>
  <c r="BV93" i="1"/>
  <c r="BV92" i="1"/>
  <c r="BV91" i="1"/>
  <c r="BV90" i="1"/>
  <c r="BV89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V74" i="1"/>
  <c r="BV73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40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V11" i="1"/>
  <c r="BV10" i="1"/>
  <c r="BV9" i="1"/>
  <c r="BV8" i="1"/>
  <c r="BV7" i="1"/>
  <c r="BV6" i="1"/>
  <c r="BV5" i="1"/>
  <c r="BV109" i="1" s="1"/>
  <c r="BV4" i="1"/>
  <c r="BU108" i="1"/>
  <c r="BU107" i="1"/>
  <c r="BU106" i="1"/>
  <c r="BU105" i="1"/>
  <c r="BU104" i="1"/>
  <c r="BU103" i="1"/>
  <c r="BU102" i="1"/>
  <c r="BU101" i="1"/>
  <c r="BU100" i="1"/>
  <c r="BU99" i="1"/>
  <c r="BU98" i="1"/>
  <c r="BU97" i="1"/>
  <c r="BU96" i="1"/>
  <c r="BU95" i="1"/>
  <c r="BU94" i="1"/>
  <c r="BU93" i="1"/>
  <c r="BU92" i="1"/>
  <c r="BU91" i="1"/>
  <c r="BU90" i="1"/>
  <c r="BU89" i="1"/>
  <c r="BU88" i="1"/>
  <c r="BU87" i="1"/>
  <c r="BU86" i="1"/>
  <c r="BU85" i="1"/>
  <c r="BU84" i="1"/>
  <c r="BU83" i="1"/>
  <c r="BU82" i="1"/>
  <c r="BU81" i="1"/>
  <c r="BU80" i="1"/>
  <c r="BU79" i="1"/>
  <c r="BU78" i="1"/>
  <c r="BU77" i="1"/>
  <c r="BU76" i="1"/>
  <c r="BU75" i="1"/>
  <c r="BU74" i="1"/>
  <c r="BU73" i="1"/>
  <c r="BU72" i="1"/>
  <c r="BU71" i="1"/>
  <c r="BU70" i="1"/>
  <c r="BU69" i="1"/>
  <c r="BU68" i="1"/>
  <c r="BU67" i="1"/>
  <c r="BU66" i="1"/>
  <c r="BU65" i="1"/>
  <c r="BU64" i="1"/>
  <c r="BU63" i="1"/>
  <c r="BU62" i="1"/>
  <c r="BU61" i="1"/>
  <c r="BU60" i="1"/>
  <c r="BU59" i="1"/>
  <c r="BU58" i="1"/>
  <c r="BU57" i="1"/>
  <c r="BU56" i="1"/>
  <c r="BU55" i="1"/>
  <c r="BU54" i="1"/>
  <c r="BU53" i="1"/>
  <c r="BU52" i="1"/>
  <c r="BU51" i="1"/>
  <c r="BU50" i="1"/>
  <c r="BU49" i="1"/>
  <c r="BU48" i="1"/>
  <c r="BU47" i="1"/>
  <c r="BU46" i="1"/>
  <c r="BU45" i="1"/>
  <c r="BU44" i="1"/>
  <c r="BU43" i="1"/>
  <c r="BU42" i="1"/>
  <c r="BU41" i="1"/>
  <c r="BU40" i="1"/>
  <c r="BU39" i="1"/>
  <c r="BU38" i="1"/>
  <c r="BU37" i="1"/>
  <c r="BU36" i="1"/>
  <c r="BU35" i="1"/>
  <c r="BU34" i="1"/>
  <c r="BU33" i="1"/>
  <c r="BU32" i="1"/>
  <c r="BU31" i="1"/>
  <c r="BU30" i="1"/>
  <c r="BU29" i="1"/>
  <c r="BU28" i="1"/>
  <c r="BU27" i="1"/>
  <c r="BU26" i="1"/>
  <c r="BU25" i="1"/>
  <c r="BU24" i="1"/>
  <c r="BU23" i="1"/>
  <c r="BU22" i="1"/>
  <c r="BU21" i="1"/>
  <c r="BU20" i="1"/>
  <c r="BU19" i="1"/>
  <c r="BU18" i="1"/>
  <c r="BU17" i="1"/>
  <c r="BU16" i="1"/>
  <c r="BU15" i="1"/>
  <c r="BU14" i="1"/>
  <c r="BU13" i="1"/>
  <c r="BU12" i="1"/>
  <c r="BU11" i="1"/>
  <c r="BU10" i="1"/>
  <c r="BU9" i="1"/>
  <c r="BU8" i="1"/>
  <c r="BU7" i="1"/>
  <c r="BU6" i="1"/>
  <c r="BU109" i="1" s="1"/>
  <c r="BU5" i="1"/>
  <c r="BU4" i="1"/>
  <c r="BT108" i="1"/>
  <c r="BT107" i="1"/>
  <c r="BT106" i="1"/>
  <c r="BT105" i="1"/>
  <c r="BT104" i="1"/>
  <c r="BT103" i="1"/>
  <c r="BT102" i="1"/>
  <c r="BT101" i="1"/>
  <c r="BT100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BT5" i="1"/>
  <c r="BT109" i="1" s="1"/>
  <c r="BT4" i="1"/>
  <c r="BS108" i="1"/>
  <c r="BS107" i="1"/>
  <c r="BS106" i="1"/>
  <c r="BS105" i="1"/>
  <c r="BS104" i="1"/>
  <c r="BS103" i="1"/>
  <c r="BS102" i="1"/>
  <c r="BS101" i="1"/>
  <c r="BS100" i="1"/>
  <c r="BS99" i="1"/>
  <c r="BS98" i="1"/>
  <c r="BS97" i="1"/>
  <c r="BS96" i="1"/>
  <c r="BS95" i="1"/>
  <c r="BS94" i="1"/>
  <c r="BS93" i="1"/>
  <c r="BS92" i="1"/>
  <c r="BS91" i="1"/>
  <c r="BS90" i="1"/>
  <c r="BS89" i="1"/>
  <c r="BS88" i="1"/>
  <c r="BS87" i="1"/>
  <c r="BS86" i="1"/>
  <c r="BS85" i="1"/>
  <c r="BS84" i="1"/>
  <c r="BS83" i="1"/>
  <c r="BS82" i="1"/>
  <c r="BS81" i="1"/>
  <c r="BS80" i="1"/>
  <c r="BS79" i="1"/>
  <c r="BS78" i="1"/>
  <c r="BS77" i="1"/>
  <c r="BS76" i="1"/>
  <c r="BS75" i="1"/>
  <c r="BS74" i="1"/>
  <c r="BS73" i="1"/>
  <c r="BS72" i="1"/>
  <c r="BS71" i="1"/>
  <c r="BS70" i="1"/>
  <c r="BS69" i="1"/>
  <c r="BS68" i="1"/>
  <c r="BS67" i="1"/>
  <c r="BS66" i="1"/>
  <c r="BS65" i="1"/>
  <c r="BS64" i="1"/>
  <c r="BS63" i="1"/>
  <c r="BS62" i="1"/>
  <c r="BS61" i="1"/>
  <c r="BS60" i="1"/>
  <c r="BS59" i="1"/>
  <c r="BS58" i="1"/>
  <c r="BS57" i="1"/>
  <c r="BS56" i="1"/>
  <c r="BS55" i="1"/>
  <c r="BS54" i="1"/>
  <c r="BS53" i="1"/>
  <c r="BS52" i="1"/>
  <c r="BS51" i="1"/>
  <c r="BS50" i="1"/>
  <c r="BS49" i="1"/>
  <c r="BS48" i="1"/>
  <c r="BS47" i="1"/>
  <c r="BS46" i="1"/>
  <c r="BS45" i="1"/>
  <c r="BS44" i="1"/>
  <c r="BS43" i="1"/>
  <c r="BS42" i="1"/>
  <c r="BS41" i="1"/>
  <c r="BS40" i="1"/>
  <c r="BS39" i="1"/>
  <c r="BS38" i="1"/>
  <c r="BS37" i="1"/>
  <c r="BS36" i="1"/>
  <c r="BS35" i="1"/>
  <c r="BS34" i="1"/>
  <c r="BS33" i="1"/>
  <c r="BS32" i="1"/>
  <c r="BS31" i="1"/>
  <c r="BS30" i="1"/>
  <c r="BS29" i="1"/>
  <c r="BS28" i="1"/>
  <c r="BS27" i="1"/>
  <c r="BS26" i="1"/>
  <c r="BS25" i="1"/>
  <c r="BS24" i="1"/>
  <c r="BS23" i="1"/>
  <c r="BS22" i="1"/>
  <c r="BS21" i="1"/>
  <c r="BS20" i="1"/>
  <c r="BS19" i="1"/>
  <c r="BS18" i="1"/>
  <c r="BS17" i="1"/>
  <c r="BS16" i="1"/>
  <c r="BS15" i="1"/>
  <c r="BS14" i="1"/>
  <c r="BS13" i="1"/>
  <c r="BS12" i="1"/>
  <c r="BS11" i="1"/>
  <c r="BS10" i="1"/>
  <c r="BS9" i="1"/>
  <c r="BS8" i="1"/>
  <c r="BS7" i="1"/>
  <c r="BS6" i="1"/>
  <c r="BS109" i="1" s="1"/>
  <c r="BS5" i="1"/>
  <c r="BS4" i="1"/>
  <c r="BR108" i="1"/>
  <c r="BR107" i="1"/>
  <c r="BR106" i="1"/>
  <c r="BR105" i="1"/>
  <c r="BR104" i="1"/>
  <c r="BR103" i="1"/>
  <c r="BR102" i="1"/>
  <c r="BR101" i="1"/>
  <c r="BR100" i="1"/>
  <c r="BR99" i="1"/>
  <c r="BR98" i="1"/>
  <c r="BR97" i="1"/>
  <c r="BR96" i="1"/>
  <c r="BR95" i="1"/>
  <c r="BR94" i="1"/>
  <c r="BR93" i="1"/>
  <c r="BR92" i="1"/>
  <c r="BR91" i="1"/>
  <c r="BR90" i="1"/>
  <c r="BR89" i="1"/>
  <c r="BR88" i="1"/>
  <c r="BR87" i="1"/>
  <c r="BR86" i="1"/>
  <c r="BR85" i="1"/>
  <c r="BR84" i="1"/>
  <c r="BR83" i="1"/>
  <c r="BR82" i="1"/>
  <c r="BR81" i="1"/>
  <c r="BR80" i="1"/>
  <c r="BR79" i="1"/>
  <c r="BR78" i="1"/>
  <c r="BR77" i="1"/>
  <c r="BR76" i="1"/>
  <c r="BR75" i="1"/>
  <c r="BR74" i="1"/>
  <c r="BR73" i="1"/>
  <c r="BR72" i="1"/>
  <c r="BR71" i="1"/>
  <c r="BR70" i="1"/>
  <c r="BR69" i="1"/>
  <c r="BR68" i="1"/>
  <c r="BR67" i="1"/>
  <c r="BR66" i="1"/>
  <c r="BR65" i="1"/>
  <c r="BR64" i="1"/>
  <c r="BR63" i="1"/>
  <c r="BR62" i="1"/>
  <c r="BR61" i="1"/>
  <c r="BR60" i="1"/>
  <c r="BR59" i="1"/>
  <c r="BR58" i="1"/>
  <c r="BR57" i="1"/>
  <c r="BR56" i="1"/>
  <c r="BR55" i="1"/>
  <c r="BR54" i="1"/>
  <c r="BR53" i="1"/>
  <c r="BR52" i="1"/>
  <c r="BR51" i="1"/>
  <c r="BR50" i="1"/>
  <c r="BR49" i="1"/>
  <c r="BR48" i="1"/>
  <c r="BR47" i="1"/>
  <c r="BR46" i="1"/>
  <c r="BR45" i="1"/>
  <c r="BR44" i="1"/>
  <c r="BR43" i="1"/>
  <c r="BR42" i="1"/>
  <c r="BR41" i="1"/>
  <c r="BR40" i="1"/>
  <c r="BR39" i="1"/>
  <c r="BR38" i="1"/>
  <c r="BR37" i="1"/>
  <c r="BR36" i="1"/>
  <c r="BR35" i="1"/>
  <c r="BR34" i="1"/>
  <c r="BR33" i="1"/>
  <c r="BR32" i="1"/>
  <c r="BR31" i="1"/>
  <c r="BR30" i="1"/>
  <c r="BR29" i="1"/>
  <c r="BR28" i="1"/>
  <c r="BR27" i="1"/>
  <c r="BR26" i="1"/>
  <c r="BR25" i="1"/>
  <c r="BR24" i="1"/>
  <c r="BR23" i="1"/>
  <c r="BR22" i="1"/>
  <c r="BR21" i="1"/>
  <c r="BR20" i="1"/>
  <c r="BR19" i="1"/>
  <c r="BR18" i="1"/>
  <c r="BR17" i="1"/>
  <c r="BR16" i="1"/>
  <c r="BR15" i="1"/>
  <c r="BR14" i="1"/>
  <c r="BR13" i="1"/>
  <c r="BR12" i="1"/>
  <c r="BR11" i="1"/>
  <c r="BR10" i="1"/>
  <c r="BR9" i="1"/>
  <c r="BR8" i="1"/>
  <c r="BR7" i="1"/>
  <c r="BR6" i="1"/>
  <c r="BR109" i="1" s="1"/>
  <c r="BR5" i="1"/>
  <c r="BR4" i="1"/>
  <c r="BQ108" i="1"/>
  <c r="BQ107" i="1"/>
  <c r="BQ106" i="1"/>
  <c r="BQ105" i="1"/>
  <c r="BQ104" i="1"/>
  <c r="BQ103" i="1"/>
  <c r="BQ102" i="1"/>
  <c r="BQ101" i="1"/>
  <c r="BQ100" i="1"/>
  <c r="BQ99" i="1"/>
  <c r="BQ98" i="1"/>
  <c r="BQ97" i="1"/>
  <c r="BQ96" i="1"/>
  <c r="BQ95" i="1"/>
  <c r="BQ94" i="1"/>
  <c r="BQ93" i="1"/>
  <c r="BQ92" i="1"/>
  <c r="BQ91" i="1"/>
  <c r="BQ90" i="1"/>
  <c r="BQ89" i="1"/>
  <c r="BQ88" i="1"/>
  <c r="BQ87" i="1"/>
  <c r="BQ86" i="1"/>
  <c r="BQ85" i="1"/>
  <c r="BQ84" i="1"/>
  <c r="BQ83" i="1"/>
  <c r="BQ82" i="1"/>
  <c r="BQ81" i="1"/>
  <c r="BQ80" i="1"/>
  <c r="BQ79" i="1"/>
  <c r="BQ78" i="1"/>
  <c r="BQ77" i="1"/>
  <c r="BQ76" i="1"/>
  <c r="BQ75" i="1"/>
  <c r="BQ74" i="1"/>
  <c r="BQ73" i="1"/>
  <c r="BQ72" i="1"/>
  <c r="BQ71" i="1"/>
  <c r="BQ70" i="1"/>
  <c r="BQ69" i="1"/>
  <c r="BQ68" i="1"/>
  <c r="BQ67" i="1"/>
  <c r="BQ66" i="1"/>
  <c r="BQ65" i="1"/>
  <c r="BQ64" i="1"/>
  <c r="BQ63" i="1"/>
  <c r="BQ62" i="1"/>
  <c r="BQ61" i="1"/>
  <c r="BQ60" i="1"/>
  <c r="BQ59" i="1"/>
  <c r="BQ58" i="1"/>
  <c r="BQ57" i="1"/>
  <c r="BQ56" i="1"/>
  <c r="BQ55" i="1"/>
  <c r="BQ54" i="1"/>
  <c r="BQ53" i="1"/>
  <c r="BQ52" i="1"/>
  <c r="BQ51" i="1"/>
  <c r="BQ50" i="1"/>
  <c r="BQ49" i="1"/>
  <c r="BQ48" i="1"/>
  <c r="BQ47" i="1"/>
  <c r="BQ46" i="1"/>
  <c r="BQ45" i="1"/>
  <c r="BQ44" i="1"/>
  <c r="BQ43" i="1"/>
  <c r="BQ42" i="1"/>
  <c r="BQ41" i="1"/>
  <c r="BQ40" i="1"/>
  <c r="BQ39" i="1"/>
  <c r="BQ38" i="1"/>
  <c r="BQ37" i="1"/>
  <c r="BQ36" i="1"/>
  <c r="BQ35" i="1"/>
  <c r="BQ34" i="1"/>
  <c r="BQ33" i="1"/>
  <c r="BQ32" i="1"/>
  <c r="BQ31" i="1"/>
  <c r="BQ30" i="1"/>
  <c r="BQ29" i="1"/>
  <c r="BQ28" i="1"/>
  <c r="BQ27" i="1"/>
  <c r="BQ26" i="1"/>
  <c r="BQ25" i="1"/>
  <c r="BQ24" i="1"/>
  <c r="BQ23" i="1"/>
  <c r="BQ22" i="1"/>
  <c r="BQ21" i="1"/>
  <c r="BQ20" i="1"/>
  <c r="BQ19" i="1"/>
  <c r="BQ18" i="1"/>
  <c r="BQ17" i="1"/>
  <c r="BQ16" i="1"/>
  <c r="BQ15" i="1"/>
  <c r="BQ14" i="1"/>
  <c r="BQ13" i="1"/>
  <c r="BQ12" i="1"/>
  <c r="BQ11" i="1"/>
  <c r="BQ10" i="1"/>
  <c r="BQ9" i="1"/>
  <c r="BQ8" i="1"/>
  <c r="BQ7" i="1"/>
  <c r="BQ6" i="1"/>
  <c r="BQ109" i="1" s="1"/>
  <c r="BQ5" i="1"/>
  <c r="BQ4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P11" i="1"/>
  <c r="BP10" i="1"/>
  <c r="BP9" i="1"/>
  <c r="BP8" i="1"/>
  <c r="BP7" i="1"/>
  <c r="BP6" i="1"/>
  <c r="BP109" i="1" s="1"/>
  <c r="BP5" i="1"/>
  <c r="BP4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8" i="1"/>
  <c r="BO67" i="1"/>
  <c r="BO66" i="1"/>
  <c r="BO65" i="1"/>
  <c r="BO64" i="1"/>
  <c r="BO63" i="1"/>
  <c r="BO62" i="1"/>
  <c r="BO61" i="1"/>
  <c r="BO60" i="1"/>
  <c r="BO59" i="1"/>
  <c r="BO58" i="1"/>
  <c r="BO57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BO6" i="1"/>
  <c r="BO109" i="1" s="1"/>
  <c r="BO5" i="1"/>
  <c r="BO4" i="1"/>
  <c r="BM108" i="1"/>
  <c r="BM107" i="1"/>
  <c r="BM106" i="1"/>
  <c r="BM105" i="1"/>
  <c r="BM104" i="1"/>
  <c r="BM103" i="1"/>
  <c r="BM102" i="1"/>
  <c r="BM101" i="1"/>
  <c r="BM100" i="1"/>
  <c r="BM99" i="1"/>
  <c r="BM98" i="1"/>
  <c r="BM97" i="1"/>
  <c r="BM96" i="1"/>
  <c r="BM95" i="1"/>
  <c r="BM94" i="1"/>
  <c r="BM93" i="1"/>
  <c r="BM92" i="1"/>
  <c r="BM91" i="1"/>
  <c r="BM90" i="1"/>
  <c r="BM89" i="1"/>
  <c r="BM88" i="1"/>
  <c r="BM87" i="1"/>
  <c r="BM86" i="1"/>
  <c r="BM85" i="1"/>
  <c r="BM84" i="1"/>
  <c r="BM83" i="1"/>
  <c r="BM82" i="1"/>
  <c r="BM81" i="1"/>
  <c r="BM80" i="1"/>
  <c r="BM79" i="1"/>
  <c r="BM78" i="1"/>
  <c r="BM77" i="1"/>
  <c r="BM76" i="1"/>
  <c r="BM75" i="1"/>
  <c r="BM74" i="1"/>
  <c r="BM73" i="1"/>
  <c r="BM72" i="1"/>
  <c r="BM71" i="1"/>
  <c r="BM70" i="1"/>
  <c r="BM69" i="1"/>
  <c r="BM68" i="1"/>
  <c r="BM67" i="1"/>
  <c r="BM66" i="1"/>
  <c r="BM65" i="1"/>
  <c r="BM64" i="1"/>
  <c r="BM63" i="1"/>
  <c r="BM62" i="1"/>
  <c r="BM61" i="1"/>
  <c r="BM60" i="1"/>
  <c r="BM59" i="1"/>
  <c r="BM58" i="1"/>
  <c r="BM57" i="1"/>
  <c r="BM56" i="1"/>
  <c r="BM55" i="1"/>
  <c r="BM54" i="1"/>
  <c r="BM53" i="1"/>
  <c r="BM52" i="1"/>
  <c r="BM51" i="1"/>
  <c r="BM50" i="1"/>
  <c r="BM49" i="1"/>
  <c r="BM48" i="1"/>
  <c r="BM47" i="1"/>
  <c r="BM46" i="1"/>
  <c r="BM45" i="1"/>
  <c r="BM44" i="1"/>
  <c r="BM43" i="1"/>
  <c r="BM42" i="1"/>
  <c r="BM41" i="1"/>
  <c r="BM40" i="1"/>
  <c r="BM39" i="1"/>
  <c r="BM38" i="1"/>
  <c r="BM37" i="1"/>
  <c r="BM36" i="1"/>
  <c r="BM35" i="1"/>
  <c r="BM34" i="1"/>
  <c r="BM33" i="1"/>
  <c r="BM32" i="1"/>
  <c r="BM31" i="1"/>
  <c r="BM30" i="1"/>
  <c r="BM29" i="1"/>
  <c r="BM28" i="1"/>
  <c r="BM27" i="1"/>
  <c r="BM26" i="1"/>
  <c r="BM25" i="1"/>
  <c r="BM24" i="1"/>
  <c r="BM23" i="1"/>
  <c r="BM22" i="1"/>
  <c r="BM21" i="1"/>
  <c r="BM20" i="1"/>
  <c r="BM19" i="1"/>
  <c r="BM18" i="1"/>
  <c r="BM17" i="1"/>
  <c r="BM16" i="1"/>
  <c r="BM15" i="1"/>
  <c r="BM14" i="1"/>
  <c r="BM13" i="1"/>
  <c r="BM12" i="1"/>
  <c r="BM11" i="1"/>
  <c r="BM10" i="1"/>
  <c r="BM8" i="1"/>
  <c r="BM6" i="1"/>
  <c r="BM5" i="1"/>
  <c r="BM4" i="1"/>
  <c r="BL108" i="1"/>
  <c r="BL107" i="1"/>
  <c r="BL106" i="1"/>
  <c r="BL105" i="1"/>
  <c r="BL104" i="1"/>
  <c r="BL103" i="1"/>
  <c r="BL102" i="1"/>
  <c r="BL101" i="1"/>
  <c r="BL100" i="1"/>
  <c r="BL99" i="1"/>
  <c r="BL98" i="1"/>
  <c r="BL97" i="1"/>
  <c r="BL96" i="1"/>
  <c r="BL95" i="1"/>
  <c r="BL94" i="1"/>
  <c r="BL93" i="1"/>
  <c r="BL92" i="1"/>
  <c r="BL91" i="1"/>
  <c r="BL90" i="1"/>
  <c r="BL89" i="1"/>
  <c r="BL88" i="1"/>
  <c r="BL87" i="1"/>
  <c r="BL86" i="1"/>
  <c r="BL85" i="1"/>
  <c r="BL84" i="1"/>
  <c r="BL83" i="1"/>
  <c r="BL82" i="1"/>
  <c r="BL81" i="1"/>
  <c r="BL80" i="1"/>
  <c r="BL79" i="1"/>
  <c r="BL78" i="1"/>
  <c r="BL77" i="1"/>
  <c r="BL76" i="1"/>
  <c r="BL75" i="1"/>
  <c r="BL74" i="1"/>
  <c r="BL73" i="1"/>
  <c r="BL72" i="1"/>
  <c r="BL71" i="1"/>
  <c r="BL70" i="1"/>
  <c r="BL69" i="1"/>
  <c r="BL68" i="1"/>
  <c r="BL67" i="1"/>
  <c r="BL66" i="1"/>
  <c r="BL65" i="1"/>
  <c r="BL64" i="1"/>
  <c r="BL63" i="1"/>
  <c r="BL62" i="1"/>
  <c r="BL61" i="1"/>
  <c r="BL60" i="1"/>
  <c r="BL59" i="1"/>
  <c r="BL58" i="1"/>
  <c r="BL57" i="1"/>
  <c r="BL56" i="1"/>
  <c r="BL55" i="1"/>
  <c r="BL54" i="1"/>
  <c r="BL53" i="1"/>
  <c r="BL52" i="1"/>
  <c r="BL51" i="1"/>
  <c r="BL50" i="1"/>
  <c r="BL49" i="1"/>
  <c r="BL48" i="1"/>
  <c r="BL47" i="1"/>
  <c r="BL46" i="1"/>
  <c r="BL45" i="1"/>
  <c r="BL44" i="1"/>
  <c r="BL43" i="1"/>
  <c r="BL42" i="1"/>
  <c r="BL41" i="1"/>
  <c r="BL40" i="1"/>
  <c r="BL39" i="1"/>
  <c r="BL38" i="1"/>
  <c r="BL37" i="1"/>
  <c r="BL36" i="1"/>
  <c r="BL35" i="1"/>
  <c r="BL34" i="1"/>
  <c r="BL33" i="1"/>
  <c r="BL32" i="1"/>
  <c r="BL31" i="1"/>
  <c r="BL30" i="1"/>
  <c r="BL29" i="1"/>
  <c r="BL28" i="1"/>
  <c r="BL27" i="1"/>
  <c r="BL26" i="1"/>
  <c r="BL25" i="1"/>
  <c r="BL24" i="1"/>
  <c r="BL23" i="1"/>
  <c r="BL22" i="1"/>
  <c r="BL21" i="1"/>
  <c r="BL20" i="1"/>
  <c r="BL19" i="1"/>
  <c r="BL18" i="1"/>
  <c r="BL17" i="1"/>
  <c r="BL16" i="1"/>
  <c r="BL15" i="1"/>
  <c r="BL14" i="1"/>
  <c r="BL13" i="1"/>
  <c r="BL109" i="1" s="1"/>
  <c r="BL12" i="1"/>
  <c r="BL11" i="1"/>
  <c r="BL10" i="1"/>
  <c r="BL9" i="1"/>
  <c r="BL8" i="1"/>
  <c r="BL7" i="1"/>
  <c r="BL6" i="1"/>
  <c r="BL5" i="1"/>
  <c r="BL4" i="1"/>
  <c r="BK108" i="1"/>
  <c r="BK107" i="1"/>
  <c r="BK106" i="1"/>
  <c r="BK105" i="1"/>
  <c r="BK104" i="1"/>
  <c r="BK103" i="1"/>
  <c r="BK102" i="1"/>
  <c r="BK101" i="1"/>
  <c r="BK100" i="1"/>
  <c r="BK99" i="1"/>
  <c r="BK98" i="1"/>
  <c r="BK97" i="1"/>
  <c r="BK96" i="1"/>
  <c r="BK95" i="1"/>
  <c r="BK94" i="1"/>
  <c r="BK93" i="1"/>
  <c r="BK92" i="1"/>
  <c r="BK91" i="1"/>
  <c r="BK90" i="1"/>
  <c r="BK89" i="1"/>
  <c r="BK88" i="1"/>
  <c r="BK87" i="1"/>
  <c r="BK86" i="1"/>
  <c r="BK85" i="1"/>
  <c r="BK84" i="1"/>
  <c r="BK83" i="1"/>
  <c r="BK82" i="1"/>
  <c r="BK81" i="1"/>
  <c r="BK80" i="1"/>
  <c r="BK79" i="1"/>
  <c r="BK78" i="1"/>
  <c r="BK77" i="1"/>
  <c r="BK76" i="1"/>
  <c r="BK75" i="1"/>
  <c r="BK74" i="1"/>
  <c r="BK73" i="1"/>
  <c r="BK72" i="1"/>
  <c r="BK71" i="1"/>
  <c r="BK70" i="1"/>
  <c r="BK69" i="1"/>
  <c r="BK68" i="1"/>
  <c r="BK67" i="1"/>
  <c r="BK66" i="1"/>
  <c r="BK65" i="1"/>
  <c r="BK64" i="1"/>
  <c r="BK63" i="1"/>
  <c r="BK62" i="1"/>
  <c r="BK61" i="1"/>
  <c r="BK60" i="1"/>
  <c r="BK59" i="1"/>
  <c r="BK58" i="1"/>
  <c r="BK57" i="1"/>
  <c r="BK56" i="1"/>
  <c r="BK55" i="1"/>
  <c r="BK54" i="1"/>
  <c r="BK53" i="1"/>
  <c r="BK52" i="1"/>
  <c r="BK51" i="1"/>
  <c r="BK50" i="1"/>
  <c r="BK49" i="1"/>
  <c r="BK48" i="1"/>
  <c r="BK47" i="1"/>
  <c r="BK46" i="1"/>
  <c r="BK45" i="1"/>
  <c r="BK44" i="1"/>
  <c r="BK43" i="1"/>
  <c r="BK42" i="1"/>
  <c r="BK41" i="1"/>
  <c r="BK40" i="1"/>
  <c r="BK39" i="1"/>
  <c r="BK38" i="1"/>
  <c r="BK37" i="1"/>
  <c r="BK36" i="1"/>
  <c r="BK35" i="1"/>
  <c r="BK34" i="1"/>
  <c r="BK33" i="1"/>
  <c r="BK32" i="1"/>
  <c r="BK31" i="1"/>
  <c r="BK30" i="1"/>
  <c r="BK29" i="1"/>
  <c r="BK28" i="1"/>
  <c r="BK27" i="1"/>
  <c r="BK26" i="1"/>
  <c r="BK25" i="1"/>
  <c r="BK24" i="1"/>
  <c r="BK23" i="1"/>
  <c r="BK22" i="1"/>
  <c r="BK21" i="1"/>
  <c r="BK20" i="1"/>
  <c r="BK19" i="1"/>
  <c r="BK18" i="1"/>
  <c r="BK17" i="1"/>
  <c r="BK16" i="1"/>
  <c r="BK15" i="1"/>
  <c r="BK14" i="1"/>
  <c r="BK13" i="1"/>
  <c r="BK12" i="1"/>
  <c r="BK11" i="1"/>
  <c r="BK10" i="1"/>
  <c r="BK9" i="1"/>
  <c r="BK8" i="1"/>
  <c r="BK7" i="1"/>
  <c r="BK6" i="1"/>
  <c r="BK5" i="1"/>
  <c r="BK4" i="1"/>
  <c r="BJ108" i="1"/>
  <c r="BJ107" i="1"/>
  <c r="BJ106" i="1"/>
  <c r="BJ105" i="1"/>
  <c r="BJ104" i="1"/>
  <c r="BJ103" i="1"/>
  <c r="BJ102" i="1"/>
  <c r="BJ101" i="1"/>
  <c r="BJ100" i="1"/>
  <c r="BJ99" i="1"/>
  <c r="BJ98" i="1"/>
  <c r="BJ97" i="1"/>
  <c r="BJ96" i="1"/>
  <c r="BJ95" i="1"/>
  <c r="BJ94" i="1"/>
  <c r="BJ93" i="1"/>
  <c r="BJ92" i="1"/>
  <c r="BJ91" i="1"/>
  <c r="BJ90" i="1"/>
  <c r="BJ89" i="1"/>
  <c r="BJ88" i="1"/>
  <c r="BJ87" i="1"/>
  <c r="BJ86" i="1"/>
  <c r="BJ85" i="1"/>
  <c r="BJ84" i="1"/>
  <c r="BJ83" i="1"/>
  <c r="BJ82" i="1"/>
  <c r="BJ81" i="1"/>
  <c r="BJ80" i="1"/>
  <c r="BJ79" i="1"/>
  <c r="BJ78" i="1"/>
  <c r="BJ77" i="1"/>
  <c r="BJ76" i="1"/>
  <c r="BJ75" i="1"/>
  <c r="BJ74" i="1"/>
  <c r="BJ73" i="1"/>
  <c r="BJ72" i="1"/>
  <c r="BJ71" i="1"/>
  <c r="BJ70" i="1"/>
  <c r="BJ69" i="1"/>
  <c r="BJ68" i="1"/>
  <c r="BJ67" i="1"/>
  <c r="BJ66" i="1"/>
  <c r="BJ65" i="1"/>
  <c r="BJ64" i="1"/>
  <c r="BJ63" i="1"/>
  <c r="BJ62" i="1"/>
  <c r="BJ61" i="1"/>
  <c r="BJ60" i="1"/>
  <c r="BJ59" i="1"/>
  <c r="BJ58" i="1"/>
  <c r="BJ57" i="1"/>
  <c r="BJ56" i="1"/>
  <c r="BJ55" i="1"/>
  <c r="BJ54" i="1"/>
  <c r="BJ53" i="1"/>
  <c r="BJ52" i="1"/>
  <c r="BJ51" i="1"/>
  <c r="BJ50" i="1"/>
  <c r="BJ49" i="1"/>
  <c r="BJ48" i="1"/>
  <c r="BJ47" i="1"/>
  <c r="BJ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J6" i="1"/>
  <c r="BJ109" i="1" s="1"/>
  <c r="BJ5" i="1"/>
  <c r="BJ4" i="1"/>
  <c r="BI108" i="1"/>
  <c r="BI107" i="1"/>
  <c r="BI106" i="1"/>
  <c r="BI105" i="1"/>
  <c r="BI104" i="1"/>
  <c r="BI103" i="1"/>
  <c r="BI102" i="1"/>
  <c r="BI101" i="1"/>
  <c r="BI100" i="1"/>
  <c r="BI99" i="1"/>
  <c r="BI98" i="1"/>
  <c r="BI97" i="1"/>
  <c r="BI96" i="1"/>
  <c r="BI95" i="1"/>
  <c r="BI94" i="1"/>
  <c r="BI93" i="1"/>
  <c r="BI92" i="1"/>
  <c r="BI91" i="1"/>
  <c r="BI90" i="1"/>
  <c r="BI89" i="1"/>
  <c r="BI88" i="1"/>
  <c r="BI87" i="1"/>
  <c r="BI86" i="1"/>
  <c r="BI85" i="1"/>
  <c r="BI84" i="1"/>
  <c r="BI83" i="1"/>
  <c r="BI82" i="1"/>
  <c r="BI81" i="1"/>
  <c r="BI80" i="1"/>
  <c r="BI79" i="1"/>
  <c r="BI78" i="1"/>
  <c r="BI77" i="1"/>
  <c r="BI76" i="1"/>
  <c r="BI75" i="1"/>
  <c r="BI74" i="1"/>
  <c r="BI73" i="1"/>
  <c r="BI72" i="1"/>
  <c r="BI71" i="1"/>
  <c r="BI70" i="1"/>
  <c r="BI69" i="1"/>
  <c r="BI68" i="1"/>
  <c r="BI67" i="1"/>
  <c r="BI66" i="1"/>
  <c r="BI65" i="1"/>
  <c r="BI64" i="1"/>
  <c r="BI63" i="1"/>
  <c r="BI62" i="1"/>
  <c r="BI61" i="1"/>
  <c r="BI60" i="1"/>
  <c r="BI59" i="1"/>
  <c r="BI58" i="1"/>
  <c r="BI57" i="1"/>
  <c r="BI56" i="1"/>
  <c r="BI55" i="1"/>
  <c r="BI54" i="1"/>
  <c r="BI53" i="1"/>
  <c r="BI52" i="1"/>
  <c r="BI51" i="1"/>
  <c r="BI50" i="1"/>
  <c r="BI49" i="1"/>
  <c r="BI48" i="1"/>
  <c r="BI47" i="1"/>
  <c r="BI46" i="1"/>
  <c r="BI45" i="1"/>
  <c r="BI44" i="1"/>
  <c r="BI43" i="1"/>
  <c r="BI42" i="1"/>
  <c r="BI41" i="1"/>
  <c r="BI40" i="1"/>
  <c r="BI39" i="1"/>
  <c r="BI38" i="1"/>
  <c r="BI37" i="1"/>
  <c r="BI36" i="1"/>
  <c r="BI35" i="1"/>
  <c r="BI34" i="1"/>
  <c r="BI33" i="1"/>
  <c r="BI32" i="1"/>
  <c r="BI31" i="1"/>
  <c r="BI30" i="1"/>
  <c r="BI29" i="1"/>
  <c r="BI28" i="1"/>
  <c r="BI27" i="1"/>
  <c r="BI26" i="1"/>
  <c r="BI25" i="1"/>
  <c r="BI24" i="1"/>
  <c r="BI23" i="1"/>
  <c r="BI22" i="1"/>
  <c r="BI21" i="1"/>
  <c r="BI20" i="1"/>
  <c r="BI19" i="1"/>
  <c r="BI18" i="1"/>
  <c r="BI17" i="1"/>
  <c r="BI16" i="1"/>
  <c r="BI15" i="1"/>
  <c r="BI14" i="1"/>
  <c r="BI13" i="1"/>
  <c r="BI12" i="1"/>
  <c r="BI11" i="1"/>
  <c r="BI10" i="1"/>
  <c r="BI9" i="1"/>
  <c r="BI8" i="1"/>
  <c r="BI7" i="1"/>
  <c r="BI6" i="1"/>
  <c r="BI109" i="1" s="1"/>
  <c r="BI5" i="1"/>
  <c r="BI4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BH7" i="1"/>
  <c r="BH6" i="1"/>
  <c r="BH5" i="1"/>
  <c r="BH4" i="1"/>
  <c r="BG108" i="1"/>
  <c r="BG107" i="1"/>
  <c r="BG106" i="1"/>
  <c r="BG105" i="1"/>
  <c r="BG104" i="1"/>
  <c r="BG103" i="1"/>
  <c r="BG102" i="1"/>
  <c r="BG101" i="1"/>
  <c r="BG100" i="1"/>
  <c r="BG99" i="1"/>
  <c r="BG98" i="1"/>
  <c r="BG97" i="1"/>
  <c r="BG96" i="1"/>
  <c r="BG95" i="1"/>
  <c r="BG94" i="1"/>
  <c r="BG93" i="1"/>
  <c r="BG92" i="1"/>
  <c r="BG91" i="1"/>
  <c r="BG90" i="1"/>
  <c r="BG89" i="1"/>
  <c r="BG88" i="1"/>
  <c r="BG87" i="1"/>
  <c r="BG86" i="1"/>
  <c r="BG85" i="1"/>
  <c r="BG84" i="1"/>
  <c r="BG83" i="1"/>
  <c r="BG82" i="1"/>
  <c r="BG81" i="1"/>
  <c r="BG80" i="1"/>
  <c r="BG79" i="1"/>
  <c r="BG78" i="1"/>
  <c r="BG77" i="1"/>
  <c r="BG76" i="1"/>
  <c r="BG75" i="1"/>
  <c r="BG74" i="1"/>
  <c r="BG73" i="1"/>
  <c r="BG72" i="1"/>
  <c r="BG71" i="1"/>
  <c r="BG70" i="1"/>
  <c r="BG69" i="1"/>
  <c r="BG68" i="1"/>
  <c r="BG67" i="1"/>
  <c r="BG66" i="1"/>
  <c r="BG65" i="1"/>
  <c r="BG64" i="1"/>
  <c r="BG63" i="1"/>
  <c r="BG62" i="1"/>
  <c r="BG61" i="1"/>
  <c r="BG60" i="1"/>
  <c r="BG59" i="1"/>
  <c r="BG58" i="1"/>
  <c r="BG57" i="1"/>
  <c r="BG56" i="1"/>
  <c r="BG55" i="1"/>
  <c r="BG54" i="1"/>
  <c r="BG53" i="1"/>
  <c r="BG52" i="1"/>
  <c r="BG51" i="1"/>
  <c r="BG50" i="1"/>
  <c r="BG49" i="1"/>
  <c r="BG48" i="1"/>
  <c r="BG47" i="1"/>
  <c r="BG46" i="1"/>
  <c r="BG45" i="1"/>
  <c r="BG44" i="1"/>
  <c r="BG43" i="1"/>
  <c r="BG42" i="1"/>
  <c r="BG41" i="1"/>
  <c r="BG40" i="1"/>
  <c r="BG39" i="1"/>
  <c r="BG38" i="1"/>
  <c r="BG37" i="1"/>
  <c r="BG36" i="1"/>
  <c r="BG35" i="1"/>
  <c r="BG34" i="1"/>
  <c r="BG33" i="1"/>
  <c r="BG32" i="1"/>
  <c r="BG31" i="1"/>
  <c r="BG30" i="1"/>
  <c r="BG29" i="1"/>
  <c r="BG28" i="1"/>
  <c r="BG27" i="1"/>
  <c r="BG26" i="1"/>
  <c r="BG25" i="1"/>
  <c r="BG24" i="1"/>
  <c r="BG23" i="1"/>
  <c r="BG22" i="1"/>
  <c r="BG21" i="1"/>
  <c r="BG20" i="1"/>
  <c r="BG19" i="1"/>
  <c r="BG18" i="1"/>
  <c r="BG17" i="1"/>
  <c r="BG16" i="1"/>
  <c r="BG15" i="1"/>
  <c r="BG14" i="1"/>
  <c r="BG13" i="1"/>
  <c r="BG109" i="1" s="1"/>
  <c r="BG12" i="1"/>
  <c r="BG11" i="1"/>
  <c r="BG10" i="1"/>
  <c r="BG9" i="1"/>
  <c r="BG8" i="1"/>
  <c r="BG7" i="1"/>
  <c r="BG6" i="1"/>
  <c r="BG5" i="1"/>
  <c r="BG4" i="1"/>
  <c r="BF108" i="1"/>
  <c r="BF107" i="1"/>
  <c r="BF106" i="1"/>
  <c r="BF105" i="1"/>
  <c r="BF104" i="1"/>
  <c r="BF103" i="1"/>
  <c r="BF102" i="1"/>
  <c r="BF101" i="1"/>
  <c r="BF100" i="1"/>
  <c r="BF99" i="1"/>
  <c r="BF98" i="1"/>
  <c r="BF97" i="1"/>
  <c r="BF96" i="1"/>
  <c r="BF95" i="1"/>
  <c r="BF94" i="1"/>
  <c r="BF93" i="1"/>
  <c r="BF92" i="1"/>
  <c r="BF91" i="1"/>
  <c r="BF90" i="1"/>
  <c r="BF89" i="1"/>
  <c r="BF88" i="1"/>
  <c r="BF87" i="1"/>
  <c r="BF86" i="1"/>
  <c r="BF85" i="1"/>
  <c r="BF84" i="1"/>
  <c r="BF83" i="1"/>
  <c r="BF82" i="1"/>
  <c r="BF81" i="1"/>
  <c r="BF80" i="1"/>
  <c r="BF79" i="1"/>
  <c r="BF78" i="1"/>
  <c r="BF77" i="1"/>
  <c r="BF76" i="1"/>
  <c r="BF75" i="1"/>
  <c r="BF74" i="1"/>
  <c r="BF73" i="1"/>
  <c r="BF72" i="1"/>
  <c r="BF71" i="1"/>
  <c r="BF70" i="1"/>
  <c r="BF69" i="1"/>
  <c r="BF68" i="1"/>
  <c r="BF67" i="1"/>
  <c r="BF66" i="1"/>
  <c r="BF65" i="1"/>
  <c r="BF64" i="1"/>
  <c r="BF63" i="1"/>
  <c r="BF62" i="1"/>
  <c r="BF61" i="1"/>
  <c r="BF60" i="1"/>
  <c r="BF59" i="1"/>
  <c r="BF58" i="1"/>
  <c r="BF57" i="1"/>
  <c r="BF56" i="1"/>
  <c r="BF55" i="1"/>
  <c r="BF54" i="1"/>
  <c r="BF53" i="1"/>
  <c r="BF52" i="1"/>
  <c r="BF51" i="1"/>
  <c r="BF50" i="1"/>
  <c r="BF49" i="1"/>
  <c r="BF48" i="1"/>
  <c r="BF47" i="1"/>
  <c r="BF46" i="1"/>
  <c r="BF45" i="1"/>
  <c r="BF44" i="1"/>
  <c r="BF43" i="1"/>
  <c r="BF42" i="1"/>
  <c r="BF41" i="1"/>
  <c r="BF40" i="1"/>
  <c r="BF39" i="1"/>
  <c r="BF38" i="1"/>
  <c r="BF37" i="1"/>
  <c r="BF36" i="1"/>
  <c r="BF35" i="1"/>
  <c r="BF34" i="1"/>
  <c r="BF33" i="1"/>
  <c r="BF32" i="1"/>
  <c r="BF31" i="1"/>
  <c r="BF30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F5" i="1"/>
  <c r="BF4" i="1"/>
  <c r="BE108" i="1"/>
  <c r="BE107" i="1"/>
  <c r="BE106" i="1"/>
  <c r="BE105" i="1"/>
  <c r="BE104" i="1"/>
  <c r="BE103" i="1"/>
  <c r="BE102" i="1"/>
  <c r="BE101" i="1"/>
  <c r="BE100" i="1"/>
  <c r="BE99" i="1"/>
  <c r="BE98" i="1"/>
  <c r="BE97" i="1"/>
  <c r="BE96" i="1"/>
  <c r="BE95" i="1"/>
  <c r="BE94" i="1"/>
  <c r="BE93" i="1"/>
  <c r="BE92" i="1"/>
  <c r="BE91" i="1"/>
  <c r="BE90" i="1"/>
  <c r="BE89" i="1"/>
  <c r="BE88" i="1"/>
  <c r="BE87" i="1"/>
  <c r="BE86" i="1"/>
  <c r="BE85" i="1"/>
  <c r="BE84" i="1"/>
  <c r="BE83" i="1"/>
  <c r="BE82" i="1"/>
  <c r="BE81" i="1"/>
  <c r="BE80" i="1"/>
  <c r="BE79" i="1"/>
  <c r="BE78" i="1"/>
  <c r="BE77" i="1"/>
  <c r="BE76" i="1"/>
  <c r="BE75" i="1"/>
  <c r="BE74" i="1"/>
  <c r="BE73" i="1"/>
  <c r="BE72" i="1"/>
  <c r="BE71" i="1"/>
  <c r="BE70" i="1"/>
  <c r="BE69" i="1"/>
  <c r="BE68" i="1"/>
  <c r="BE67" i="1"/>
  <c r="BE66" i="1"/>
  <c r="BE65" i="1"/>
  <c r="BE64" i="1"/>
  <c r="BE63" i="1"/>
  <c r="BE62" i="1"/>
  <c r="BE61" i="1"/>
  <c r="BE60" i="1"/>
  <c r="BE59" i="1"/>
  <c r="BE58" i="1"/>
  <c r="BE57" i="1"/>
  <c r="BE56" i="1"/>
  <c r="BE55" i="1"/>
  <c r="BE54" i="1"/>
  <c r="BE53" i="1"/>
  <c r="BE52" i="1"/>
  <c r="BE51" i="1"/>
  <c r="BE50" i="1"/>
  <c r="BE49" i="1"/>
  <c r="BE48" i="1"/>
  <c r="BE47" i="1"/>
  <c r="BE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E6" i="1"/>
  <c r="BE5" i="1"/>
  <c r="BE109" i="1" s="1"/>
  <c r="BE4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BD95" i="1"/>
  <c r="BD94" i="1"/>
  <c r="BD93" i="1"/>
  <c r="BD92" i="1"/>
  <c r="BD91" i="1"/>
  <c r="BD90" i="1"/>
  <c r="BD89" i="1"/>
  <c r="BD88" i="1"/>
  <c r="BD87" i="1"/>
  <c r="BD86" i="1"/>
  <c r="BD85" i="1"/>
  <c r="BD84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8" i="1"/>
  <c r="BD67" i="1"/>
  <c r="BD66" i="1"/>
  <c r="BD65" i="1"/>
  <c r="BD64" i="1"/>
  <c r="BD63" i="1"/>
  <c r="BD62" i="1"/>
  <c r="BD61" i="1"/>
  <c r="BD60" i="1"/>
  <c r="BD59" i="1"/>
  <c r="BD58" i="1"/>
  <c r="BD57" i="1"/>
  <c r="BD56" i="1"/>
  <c r="BD55" i="1"/>
  <c r="BD54" i="1"/>
  <c r="BD53" i="1"/>
  <c r="BD52" i="1"/>
  <c r="BD51" i="1"/>
  <c r="BD50" i="1"/>
  <c r="BD49" i="1"/>
  <c r="BD48" i="1"/>
  <c r="BD47" i="1"/>
  <c r="BD46" i="1"/>
  <c r="BD45" i="1"/>
  <c r="BD44" i="1"/>
  <c r="BD43" i="1"/>
  <c r="BD42" i="1"/>
  <c r="BD41" i="1"/>
  <c r="BD40" i="1"/>
  <c r="BD39" i="1"/>
  <c r="BD38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BD11" i="1"/>
  <c r="BD10" i="1"/>
  <c r="BD9" i="1"/>
  <c r="BD8" i="1"/>
  <c r="BD7" i="1"/>
  <c r="BD6" i="1"/>
  <c r="BD5" i="1"/>
  <c r="BC108" i="1"/>
  <c r="BC107" i="1"/>
  <c r="BC106" i="1"/>
  <c r="BC105" i="1"/>
  <c r="BC104" i="1"/>
  <c r="BC103" i="1"/>
  <c r="BC102" i="1"/>
  <c r="BC101" i="1"/>
  <c r="BC100" i="1"/>
  <c r="BC99" i="1"/>
  <c r="BC98" i="1"/>
  <c r="BC97" i="1"/>
  <c r="BC96" i="1"/>
  <c r="BC95" i="1"/>
  <c r="BC94" i="1"/>
  <c r="BC93" i="1"/>
  <c r="BC92" i="1"/>
  <c r="BC91" i="1"/>
  <c r="BC90" i="1"/>
  <c r="BC89" i="1"/>
  <c r="BC88" i="1"/>
  <c r="BC87" i="1"/>
  <c r="BC86" i="1"/>
  <c r="BC85" i="1"/>
  <c r="BC84" i="1"/>
  <c r="BC83" i="1"/>
  <c r="BC82" i="1"/>
  <c r="BC81" i="1"/>
  <c r="BC80" i="1"/>
  <c r="BC79" i="1"/>
  <c r="BC78" i="1"/>
  <c r="BC77" i="1"/>
  <c r="BC76" i="1"/>
  <c r="BC75" i="1"/>
  <c r="BC74" i="1"/>
  <c r="BC73" i="1"/>
  <c r="BC72" i="1"/>
  <c r="BC71" i="1"/>
  <c r="BC70" i="1"/>
  <c r="BC69" i="1"/>
  <c r="BC68" i="1"/>
  <c r="BC67" i="1"/>
  <c r="BC66" i="1"/>
  <c r="BC65" i="1"/>
  <c r="BC64" i="1"/>
  <c r="BC63" i="1"/>
  <c r="BC62" i="1"/>
  <c r="BC61" i="1"/>
  <c r="BC60" i="1"/>
  <c r="BC59" i="1"/>
  <c r="BC58" i="1"/>
  <c r="BC57" i="1"/>
  <c r="BC56" i="1"/>
  <c r="BC55" i="1"/>
  <c r="BC54" i="1"/>
  <c r="BC53" i="1"/>
  <c r="BC52" i="1"/>
  <c r="BC51" i="1"/>
  <c r="BC50" i="1"/>
  <c r="BC49" i="1"/>
  <c r="BC48" i="1"/>
  <c r="BC47" i="1"/>
  <c r="BC46" i="1"/>
  <c r="BC45" i="1"/>
  <c r="BC44" i="1"/>
  <c r="BC43" i="1"/>
  <c r="BC42" i="1"/>
  <c r="BC41" i="1"/>
  <c r="BC40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6" i="1"/>
  <c r="BC25" i="1"/>
  <c r="BC24" i="1"/>
  <c r="BC23" i="1"/>
  <c r="BC22" i="1"/>
  <c r="BC21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C8" i="1"/>
  <c r="BC7" i="1"/>
  <c r="BC6" i="1"/>
  <c r="BC109" i="1" s="1"/>
  <c r="BC5" i="1"/>
  <c r="BC4" i="1"/>
  <c r="BB108" i="1"/>
  <c r="BB107" i="1"/>
  <c r="BB106" i="1"/>
  <c r="BB105" i="1"/>
  <c r="BB104" i="1"/>
  <c r="BB103" i="1"/>
  <c r="BB102" i="1"/>
  <c r="BB101" i="1"/>
  <c r="BB100" i="1"/>
  <c r="BB99" i="1"/>
  <c r="BB98" i="1"/>
  <c r="BB97" i="1"/>
  <c r="BB96" i="1"/>
  <c r="BB95" i="1"/>
  <c r="BB94" i="1"/>
  <c r="BB93" i="1"/>
  <c r="BB92" i="1"/>
  <c r="BB91" i="1"/>
  <c r="BB90" i="1"/>
  <c r="BB89" i="1"/>
  <c r="BB88" i="1"/>
  <c r="BB87" i="1"/>
  <c r="BB86" i="1"/>
  <c r="BB85" i="1"/>
  <c r="BB84" i="1"/>
  <c r="BB83" i="1"/>
  <c r="BB82" i="1"/>
  <c r="BB81" i="1"/>
  <c r="BB80" i="1"/>
  <c r="BB79" i="1"/>
  <c r="BB78" i="1"/>
  <c r="BB77" i="1"/>
  <c r="BB76" i="1"/>
  <c r="BB75" i="1"/>
  <c r="BB74" i="1"/>
  <c r="BB73" i="1"/>
  <c r="BB72" i="1"/>
  <c r="BB71" i="1"/>
  <c r="BB70" i="1"/>
  <c r="BB69" i="1"/>
  <c r="BB68" i="1"/>
  <c r="BB67" i="1"/>
  <c r="BB66" i="1"/>
  <c r="BB65" i="1"/>
  <c r="BB64" i="1"/>
  <c r="BB63" i="1"/>
  <c r="BB62" i="1"/>
  <c r="BB61" i="1"/>
  <c r="BB60" i="1"/>
  <c r="BB59" i="1"/>
  <c r="BB58" i="1"/>
  <c r="BB57" i="1"/>
  <c r="BB56" i="1"/>
  <c r="BB55" i="1"/>
  <c r="BB54" i="1"/>
  <c r="BB53" i="1"/>
  <c r="BB52" i="1"/>
  <c r="BB51" i="1"/>
  <c r="BB50" i="1"/>
  <c r="BB49" i="1"/>
  <c r="BB48" i="1"/>
  <c r="BB47" i="1"/>
  <c r="BB46" i="1"/>
  <c r="BB45" i="1"/>
  <c r="BB44" i="1"/>
  <c r="BB43" i="1"/>
  <c r="BB42" i="1"/>
  <c r="BB41" i="1"/>
  <c r="BB40" i="1"/>
  <c r="BB39" i="1"/>
  <c r="BB38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09" i="1" s="1"/>
  <c r="BB12" i="1"/>
  <c r="BB11" i="1"/>
  <c r="BB10" i="1"/>
  <c r="BB9" i="1"/>
  <c r="BB8" i="1"/>
  <c r="BB7" i="1"/>
  <c r="BB6" i="1"/>
  <c r="BB5" i="1"/>
  <c r="BB4" i="1"/>
  <c r="BA108" i="1"/>
  <c r="BA107" i="1"/>
  <c r="BA106" i="1"/>
  <c r="BA105" i="1"/>
  <c r="BA104" i="1"/>
  <c r="BA103" i="1"/>
  <c r="BA102" i="1"/>
  <c r="BA101" i="1"/>
  <c r="BA100" i="1"/>
  <c r="BA99" i="1"/>
  <c r="BA98" i="1"/>
  <c r="BA97" i="1"/>
  <c r="BA96" i="1"/>
  <c r="BA95" i="1"/>
  <c r="BA94" i="1"/>
  <c r="BA93" i="1"/>
  <c r="BA92" i="1"/>
  <c r="BA91" i="1"/>
  <c r="BA90" i="1"/>
  <c r="BA89" i="1"/>
  <c r="BA88" i="1"/>
  <c r="BA87" i="1"/>
  <c r="BA86" i="1"/>
  <c r="BA85" i="1"/>
  <c r="BA84" i="1"/>
  <c r="BA83" i="1"/>
  <c r="BA82" i="1"/>
  <c r="BA81" i="1"/>
  <c r="BA80" i="1"/>
  <c r="BA79" i="1"/>
  <c r="BA78" i="1"/>
  <c r="BA77" i="1"/>
  <c r="BA76" i="1"/>
  <c r="BA75" i="1"/>
  <c r="BA74" i="1"/>
  <c r="BA73" i="1"/>
  <c r="BA72" i="1"/>
  <c r="BA71" i="1"/>
  <c r="BA70" i="1"/>
  <c r="BA69" i="1"/>
  <c r="BA68" i="1"/>
  <c r="BA67" i="1"/>
  <c r="BA66" i="1"/>
  <c r="BA65" i="1"/>
  <c r="BA64" i="1"/>
  <c r="BA63" i="1"/>
  <c r="BA62" i="1"/>
  <c r="BA61" i="1"/>
  <c r="BA60" i="1"/>
  <c r="BA59" i="1"/>
  <c r="BA58" i="1"/>
  <c r="BA57" i="1"/>
  <c r="BA56" i="1"/>
  <c r="BA55" i="1"/>
  <c r="BA54" i="1"/>
  <c r="BA53" i="1"/>
  <c r="BA52" i="1"/>
  <c r="BA51" i="1"/>
  <c r="BA50" i="1"/>
  <c r="BA49" i="1"/>
  <c r="BA48" i="1"/>
  <c r="BA47" i="1"/>
  <c r="BA46" i="1"/>
  <c r="BA45" i="1"/>
  <c r="BA44" i="1"/>
  <c r="BA43" i="1"/>
  <c r="BA42" i="1"/>
  <c r="BA41" i="1"/>
  <c r="BA40" i="1"/>
  <c r="BA39" i="1"/>
  <c r="BA38" i="1"/>
  <c r="BA37" i="1"/>
  <c r="BA36" i="1"/>
  <c r="BA35" i="1"/>
  <c r="BA34" i="1"/>
  <c r="BA33" i="1"/>
  <c r="BA32" i="1"/>
  <c r="BA31" i="1"/>
  <c r="BA30" i="1"/>
  <c r="BA29" i="1"/>
  <c r="BA28" i="1"/>
  <c r="BA27" i="1"/>
  <c r="BA26" i="1"/>
  <c r="BA25" i="1"/>
  <c r="BA24" i="1"/>
  <c r="BA23" i="1"/>
  <c r="BA22" i="1"/>
  <c r="BA21" i="1"/>
  <c r="BA20" i="1"/>
  <c r="BA19" i="1"/>
  <c r="BA18" i="1"/>
  <c r="BA17" i="1"/>
  <c r="BA16" i="1"/>
  <c r="BA15" i="1"/>
  <c r="BA14" i="1"/>
  <c r="BA13" i="1"/>
  <c r="BA12" i="1"/>
  <c r="BA11" i="1"/>
  <c r="BA10" i="1"/>
  <c r="BA9" i="1"/>
  <c r="BA8" i="1"/>
  <c r="BA7" i="1"/>
  <c r="BA6" i="1"/>
  <c r="BA5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Z6" i="1"/>
  <c r="AZ5" i="1"/>
  <c r="AZ4" i="1"/>
  <c r="AY108" i="1"/>
  <c r="AY107" i="1"/>
  <c r="AY106" i="1"/>
  <c r="AY105" i="1"/>
  <c r="AY104" i="1"/>
  <c r="AY103" i="1"/>
  <c r="AY102" i="1"/>
  <c r="AY101" i="1"/>
  <c r="AY100" i="1"/>
  <c r="AY99" i="1"/>
  <c r="AY98" i="1"/>
  <c r="AY97" i="1"/>
  <c r="AY96" i="1"/>
  <c r="AY95" i="1"/>
  <c r="AY94" i="1"/>
  <c r="AY93" i="1"/>
  <c r="AY92" i="1"/>
  <c r="AY91" i="1"/>
  <c r="AY90" i="1"/>
  <c r="AY89" i="1"/>
  <c r="AY88" i="1"/>
  <c r="AY87" i="1"/>
  <c r="AY86" i="1"/>
  <c r="AY85" i="1"/>
  <c r="AY84" i="1"/>
  <c r="AY83" i="1"/>
  <c r="AY82" i="1"/>
  <c r="AY81" i="1"/>
  <c r="AY80" i="1"/>
  <c r="AY79" i="1"/>
  <c r="AY78" i="1"/>
  <c r="AY77" i="1"/>
  <c r="AY76" i="1"/>
  <c r="AY75" i="1"/>
  <c r="AY74" i="1"/>
  <c r="AY73" i="1"/>
  <c r="AY72" i="1"/>
  <c r="AY71" i="1"/>
  <c r="AY70" i="1"/>
  <c r="AY69" i="1"/>
  <c r="AY68" i="1"/>
  <c r="AY67" i="1"/>
  <c r="AY66" i="1"/>
  <c r="AY65" i="1"/>
  <c r="AY64" i="1"/>
  <c r="AY63" i="1"/>
  <c r="AY62" i="1"/>
  <c r="AY61" i="1"/>
  <c r="AY60" i="1"/>
  <c r="AY59" i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CD106" i="1"/>
  <c r="CI106" i="1" s="1"/>
  <c r="BN108" i="1"/>
  <c r="BN107" i="1"/>
  <c r="BN106" i="1"/>
  <c r="BN105" i="1"/>
  <c r="BN104" i="1"/>
  <c r="BN103" i="1"/>
  <c r="BN102" i="1"/>
  <c r="BN101" i="1"/>
  <c r="BN100" i="1"/>
  <c r="BN99" i="1"/>
  <c r="BN98" i="1"/>
  <c r="BN97" i="1"/>
  <c r="BN96" i="1"/>
  <c r="BN95" i="1"/>
  <c r="BN94" i="1"/>
  <c r="BN93" i="1"/>
  <c r="BN92" i="1"/>
  <c r="BN91" i="1"/>
  <c r="BN90" i="1"/>
  <c r="BN89" i="1"/>
  <c r="BN88" i="1"/>
  <c r="BN87" i="1"/>
  <c r="BN86" i="1"/>
  <c r="BN85" i="1"/>
  <c r="BN81" i="1"/>
  <c r="BN80" i="1"/>
  <c r="BN79" i="1"/>
  <c r="BN78" i="1"/>
  <c r="BN77" i="1"/>
  <c r="BN76" i="1"/>
  <c r="BN75" i="1"/>
  <c r="BN74" i="1"/>
  <c r="BN73" i="1"/>
  <c r="BN69" i="1"/>
  <c r="BN68" i="1"/>
  <c r="BN67" i="1"/>
  <c r="BN66" i="1"/>
  <c r="BN65" i="1"/>
  <c r="BN64" i="1"/>
  <c r="BN63" i="1"/>
  <c r="BN62" i="1"/>
  <c r="BN61" i="1"/>
  <c r="BN57" i="1"/>
  <c r="BN56" i="1"/>
  <c r="BN55" i="1"/>
  <c r="BN54" i="1"/>
  <c r="BN53" i="1"/>
  <c r="BN52" i="1"/>
  <c r="BN51" i="1"/>
  <c r="BN50" i="1"/>
  <c r="BN49" i="1"/>
  <c r="BN45" i="1"/>
  <c r="BN44" i="1"/>
  <c r="BN43" i="1"/>
  <c r="BN42" i="1"/>
  <c r="BN41" i="1"/>
  <c r="BN40" i="1"/>
  <c r="BN39" i="1"/>
  <c r="BN38" i="1"/>
  <c r="BN37" i="1"/>
  <c r="BN33" i="1"/>
  <c r="BN32" i="1"/>
  <c r="BN31" i="1"/>
  <c r="BN30" i="1"/>
  <c r="BN29" i="1"/>
  <c r="AW99" i="1"/>
  <c r="CG99" i="1" s="1"/>
  <c r="CH99" i="1" s="1"/>
  <c r="AW98" i="1"/>
  <c r="CG98" i="1" s="1"/>
  <c r="CH98" i="1" s="1"/>
  <c r="AW97" i="1"/>
  <c r="CG97" i="1" s="1"/>
  <c r="CH97" i="1" s="1"/>
  <c r="AW87" i="1"/>
  <c r="CG87" i="1" s="1"/>
  <c r="CH87" i="1" s="1"/>
  <c r="AW86" i="1"/>
  <c r="CG86" i="1" s="1"/>
  <c r="CH86" i="1" s="1"/>
  <c r="AW85" i="1"/>
  <c r="CG85" i="1" s="1"/>
  <c r="CH85" i="1" s="1"/>
  <c r="AW75" i="1"/>
  <c r="CG75" i="1" s="1"/>
  <c r="CH75" i="1" s="1"/>
  <c r="AW74" i="1"/>
  <c r="CG74" i="1" s="1"/>
  <c r="CH74" i="1" s="1"/>
  <c r="AW73" i="1"/>
  <c r="CG73" i="1" s="1"/>
  <c r="CH73" i="1" s="1"/>
  <c r="AW63" i="1"/>
  <c r="CG63" i="1" s="1"/>
  <c r="CH63" i="1" s="1"/>
  <c r="AW62" i="1"/>
  <c r="CG62" i="1" s="1"/>
  <c r="CH62" i="1" s="1"/>
  <c r="AW61" i="1"/>
  <c r="CG61" i="1" s="1"/>
  <c r="CH61" i="1" s="1"/>
  <c r="AW51" i="1"/>
  <c r="CG51" i="1" s="1"/>
  <c r="CH51" i="1" s="1"/>
  <c r="AW50" i="1"/>
  <c r="CG50" i="1" s="1"/>
  <c r="CH50" i="1" s="1"/>
  <c r="AW49" i="1"/>
  <c r="CG49" i="1" s="1"/>
  <c r="CH49" i="1" s="1"/>
  <c r="AW39" i="1"/>
  <c r="CG39" i="1" s="1"/>
  <c r="CH39" i="1" s="1"/>
  <c r="AW38" i="1"/>
  <c r="CG38" i="1" s="1"/>
  <c r="CH38" i="1" s="1"/>
  <c r="AW37" i="1"/>
  <c r="CG37" i="1" s="1"/>
  <c r="CH37" i="1" s="1"/>
  <c r="AW27" i="1"/>
  <c r="CG27" i="1" s="1"/>
  <c r="CH27" i="1" s="1"/>
  <c r="AW26" i="1"/>
  <c r="CG26" i="1" s="1"/>
  <c r="CH26" i="1" s="1"/>
  <c r="AW25" i="1"/>
  <c r="CG25" i="1" s="1"/>
  <c r="CH25" i="1" s="1"/>
  <c r="AW15" i="1"/>
  <c r="CG15" i="1" s="1"/>
  <c r="CH15" i="1" s="1"/>
  <c r="AW14" i="1"/>
  <c r="CG14" i="1" s="1"/>
  <c r="CH14" i="1" s="1"/>
  <c r="AW13" i="1"/>
  <c r="CG13" i="1" s="1"/>
  <c r="CH13" i="1" s="1"/>
  <c r="DY109" i="6"/>
  <c r="DX109" i="6"/>
  <c r="DU109" i="6"/>
  <c r="DT109" i="6"/>
  <c r="DQ109" i="6"/>
  <c r="DP109" i="6"/>
  <c r="DM109" i="6"/>
  <c r="DL109" i="6"/>
  <c r="DI109" i="6"/>
  <c r="DH109" i="6"/>
  <c r="DE109" i="6"/>
  <c r="DD109" i="6"/>
  <c r="DA109" i="6"/>
  <c r="CZ109" i="6"/>
  <c r="CW109" i="6"/>
  <c r="CV109" i="6"/>
  <c r="CS109" i="6"/>
  <c r="CR109" i="6"/>
  <c r="CO109" i="6"/>
  <c r="CN109" i="6"/>
  <c r="CK109" i="6"/>
  <c r="CJ109" i="6"/>
  <c r="CG109" i="6"/>
  <c r="CF109" i="6"/>
  <c r="CC109" i="6"/>
  <c r="CB109" i="6"/>
  <c r="BY109" i="6"/>
  <c r="BX109" i="6"/>
  <c r="BU109" i="6"/>
  <c r="BT109" i="6"/>
  <c r="BQ109" i="6"/>
  <c r="BP109" i="6"/>
  <c r="BM109" i="6"/>
  <c r="BL109" i="6"/>
  <c r="BI109" i="6"/>
  <c r="BH109" i="6"/>
  <c r="BE109" i="6"/>
  <c r="BD109" i="6"/>
  <c r="BA109" i="6"/>
  <c r="AZ109" i="6"/>
  <c r="AW109" i="6"/>
  <c r="AV109" i="6"/>
  <c r="AS109" i="6"/>
  <c r="AR109" i="6"/>
  <c r="AO109" i="6"/>
  <c r="AN109" i="6"/>
  <c r="AK109" i="6"/>
  <c r="AJ109" i="6"/>
  <c r="AG109" i="6"/>
  <c r="AF109" i="6"/>
  <c r="AC109" i="6"/>
  <c r="AB109" i="6"/>
  <c r="Y109" i="6"/>
  <c r="X109" i="6"/>
  <c r="U109" i="6"/>
  <c r="T109" i="6"/>
  <c r="Q109" i="6"/>
  <c r="P109" i="6"/>
  <c r="M109" i="6"/>
  <c r="L109" i="6"/>
  <c r="I109" i="6"/>
  <c r="H109" i="6"/>
  <c r="EC108" i="6"/>
  <c r="EB108" i="6"/>
  <c r="DZ108" i="6"/>
  <c r="DV108" i="6"/>
  <c r="DR108" i="6"/>
  <c r="DN108" i="6"/>
  <c r="DJ108" i="6"/>
  <c r="DF108" i="6"/>
  <c r="DB108" i="6"/>
  <c r="CX108" i="6"/>
  <c r="CT108" i="6"/>
  <c r="CP108" i="6"/>
  <c r="CL108" i="6"/>
  <c r="CH108" i="6"/>
  <c r="CD108" i="6"/>
  <c r="BZ108" i="6"/>
  <c r="BV108" i="6"/>
  <c r="BR108" i="6"/>
  <c r="BN108" i="6"/>
  <c r="BJ108" i="6"/>
  <c r="BF108" i="6"/>
  <c r="BB108" i="6"/>
  <c r="AX108" i="6"/>
  <c r="AT108" i="6"/>
  <c r="AP108" i="6"/>
  <c r="AL108" i="6"/>
  <c r="AH108" i="6"/>
  <c r="AD108" i="6"/>
  <c r="Z108" i="6"/>
  <c r="V108" i="6"/>
  <c r="R108" i="6"/>
  <c r="N108" i="6"/>
  <c r="J108" i="6"/>
  <c r="ED108" i="6" s="1"/>
  <c r="EC107" i="6"/>
  <c r="EB107" i="6"/>
  <c r="DZ107" i="6"/>
  <c r="DV107" i="6"/>
  <c r="DR107" i="6"/>
  <c r="DN107" i="6"/>
  <c r="DJ107" i="6"/>
  <c r="DF107" i="6"/>
  <c r="DB107" i="6"/>
  <c r="CX107" i="6"/>
  <c r="CT107" i="6"/>
  <c r="CP107" i="6"/>
  <c r="CL107" i="6"/>
  <c r="CH107" i="6"/>
  <c r="CD107" i="6"/>
  <c r="BZ107" i="6"/>
  <c r="BV107" i="6"/>
  <c r="BR107" i="6"/>
  <c r="BN107" i="6"/>
  <c r="BJ107" i="6"/>
  <c r="BF107" i="6"/>
  <c r="BB107" i="6"/>
  <c r="AX107" i="6"/>
  <c r="AT107" i="6"/>
  <c r="AP107" i="6"/>
  <c r="ED107" i="6" s="1"/>
  <c r="AL107" i="6"/>
  <c r="AH107" i="6"/>
  <c r="AD107" i="6"/>
  <c r="Z107" i="6"/>
  <c r="V107" i="6"/>
  <c r="R107" i="6"/>
  <c r="N107" i="6"/>
  <c r="J107" i="6"/>
  <c r="EC106" i="6"/>
  <c r="EB106" i="6"/>
  <c r="DZ106" i="6"/>
  <c r="DV106" i="6"/>
  <c r="DR106" i="6"/>
  <c r="DN106" i="6"/>
  <c r="DJ106" i="6"/>
  <c r="DF106" i="6"/>
  <c r="DB106" i="6"/>
  <c r="CX106" i="6"/>
  <c r="CT106" i="6"/>
  <c r="CP106" i="6"/>
  <c r="CL106" i="6"/>
  <c r="CH106" i="6"/>
  <c r="CD106" i="6"/>
  <c r="BZ106" i="6"/>
  <c r="BV106" i="6"/>
  <c r="BR106" i="6"/>
  <c r="BN106" i="6"/>
  <c r="BJ106" i="6"/>
  <c r="BF106" i="6"/>
  <c r="BB106" i="6"/>
  <c r="AX106" i="6"/>
  <c r="AT106" i="6"/>
  <c r="AP106" i="6"/>
  <c r="AL106" i="6"/>
  <c r="AH106" i="6"/>
  <c r="AD106" i="6"/>
  <c r="Z106" i="6"/>
  <c r="V106" i="6"/>
  <c r="R106" i="6"/>
  <c r="N106" i="6"/>
  <c r="J106" i="6"/>
  <c r="ED106" i="6" s="1"/>
  <c r="EC105" i="6"/>
  <c r="EB105" i="6"/>
  <c r="DZ105" i="6"/>
  <c r="DV105" i="6"/>
  <c r="DR105" i="6"/>
  <c r="DN105" i="6"/>
  <c r="DJ105" i="6"/>
  <c r="DF105" i="6"/>
  <c r="DB105" i="6"/>
  <c r="CX105" i="6"/>
  <c r="CT105" i="6"/>
  <c r="CP105" i="6"/>
  <c r="CL105" i="6"/>
  <c r="CH105" i="6"/>
  <c r="CD105" i="6"/>
  <c r="BZ105" i="6"/>
  <c r="BV105" i="6"/>
  <c r="BR105" i="6"/>
  <c r="BN105" i="6"/>
  <c r="BJ105" i="6"/>
  <c r="BF105" i="6"/>
  <c r="BB105" i="6"/>
  <c r="AX105" i="6"/>
  <c r="AT105" i="6"/>
  <c r="AP105" i="6"/>
  <c r="AL105" i="6"/>
  <c r="AH105" i="6"/>
  <c r="AD105" i="6"/>
  <c r="Z105" i="6"/>
  <c r="ED105" i="6" s="1"/>
  <c r="V105" i="6"/>
  <c r="R105" i="6"/>
  <c r="N105" i="6"/>
  <c r="J105" i="6"/>
  <c r="EC104" i="6"/>
  <c r="EB104" i="6"/>
  <c r="DZ104" i="6"/>
  <c r="DV104" i="6"/>
  <c r="DR104" i="6"/>
  <c r="DN104" i="6"/>
  <c r="DJ104" i="6"/>
  <c r="DF104" i="6"/>
  <c r="DB104" i="6"/>
  <c r="CX104" i="6"/>
  <c r="CT104" i="6"/>
  <c r="CP104" i="6"/>
  <c r="CL104" i="6"/>
  <c r="CH104" i="6"/>
  <c r="CD104" i="6"/>
  <c r="BZ104" i="6"/>
  <c r="BV104" i="6"/>
  <c r="BR104" i="6"/>
  <c r="BN104" i="6"/>
  <c r="BJ104" i="6"/>
  <c r="BF104" i="6"/>
  <c r="BB104" i="6"/>
  <c r="AX104" i="6"/>
  <c r="AT104" i="6"/>
  <c r="AP104" i="6"/>
  <c r="AL104" i="6"/>
  <c r="AH104" i="6"/>
  <c r="AD104" i="6"/>
  <c r="Z104" i="6"/>
  <c r="V104" i="6"/>
  <c r="R104" i="6"/>
  <c r="ED104" i="6" s="1"/>
  <c r="N104" i="6"/>
  <c r="J104" i="6"/>
  <c r="EC103" i="6"/>
  <c r="EB103" i="6"/>
  <c r="DZ103" i="6"/>
  <c r="DV103" i="6"/>
  <c r="DR103" i="6"/>
  <c r="DN103" i="6"/>
  <c r="DJ103" i="6"/>
  <c r="DF103" i="6"/>
  <c r="DB103" i="6"/>
  <c r="CX103" i="6"/>
  <c r="CT103" i="6"/>
  <c r="CP103" i="6"/>
  <c r="CL103" i="6"/>
  <c r="CH103" i="6"/>
  <c r="CD103" i="6"/>
  <c r="BZ103" i="6"/>
  <c r="BV103" i="6"/>
  <c r="BR103" i="6"/>
  <c r="BN103" i="6"/>
  <c r="BJ103" i="6"/>
  <c r="BF103" i="6"/>
  <c r="BB103" i="6"/>
  <c r="AX103" i="6"/>
  <c r="AT103" i="6"/>
  <c r="AP103" i="6"/>
  <c r="AL103" i="6"/>
  <c r="AH103" i="6"/>
  <c r="AD103" i="6"/>
  <c r="Z103" i="6"/>
  <c r="V103" i="6"/>
  <c r="R103" i="6"/>
  <c r="N103" i="6"/>
  <c r="J103" i="6"/>
  <c r="ED103" i="6" s="1"/>
  <c r="EC102" i="6"/>
  <c r="EB102" i="6"/>
  <c r="DZ102" i="6"/>
  <c r="DV102" i="6"/>
  <c r="DR102" i="6"/>
  <c r="DN102" i="6"/>
  <c r="DJ102" i="6"/>
  <c r="DF102" i="6"/>
  <c r="DB102" i="6"/>
  <c r="CX102" i="6"/>
  <c r="CT102" i="6"/>
  <c r="CP102" i="6"/>
  <c r="CL102" i="6"/>
  <c r="CH102" i="6"/>
  <c r="CD102" i="6"/>
  <c r="BZ102" i="6"/>
  <c r="BV102" i="6"/>
  <c r="BR102" i="6"/>
  <c r="BN102" i="6"/>
  <c r="BJ102" i="6"/>
  <c r="BF102" i="6"/>
  <c r="BB102" i="6"/>
  <c r="AX102" i="6"/>
  <c r="AT102" i="6"/>
  <c r="AP102" i="6"/>
  <c r="AL102" i="6"/>
  <c r="AH102" i="6"/>
  <c r="AD102" i="6"/>
  <c r="Z102" i="6"/>
  <c r="V102" i="6"/>
  <c r="R102" i="6"/>
  <c r="N102" i="6"/>
  <c r="J102" i="6"/>
  <c r="ED102" i="6" s="1"/>
  <c r="F102" i="6"/>
  <c r="EC101" i="6"/>
  <c r="EB101" i="6"/>
  <c r="DZ101" i="6"/>
  <c r="DV101" i="6"/>
  <c r="DR101" i="6"/>
  <c r="DN101" i="6"/>
  <c r="DJ101" i="6"/>
  <c r="DF101" i="6"/>
  <c r="DB101" i="6"/>
  <c r="CX101" i="6"/>
  <c r="CT101" i="6"/>
  <c r="CP101" i="6"/>
  <c r="CL101" i="6"/>
  <c r="CH101" i="6"/>
  <c r="CD101" i="6"/>
  <c r="BZ101" i="6"/>
  <c r="BV101" i="6"/>
  <c r="BR101" i="6"/>
  <c r="BN101" i="6"/>
  <c r="BJ101" i="6"/>
  <c r="BF101" i="6"/>
  <c r="BB101" i="6"/>
  <c r="AX101" i="6"/>
  <c r="AT101" i="6"/>
  <c r="ED101" i="6" s="1"/>
  <c r="AP101" i="6"/>
  <c r="AL101" i="6"/>
  <c r="AH101" i="6"/>
  <c r="AD101" i="6"/>
  <c r="Z101" i="6"/>
  <c r="V101" i="6"/>
  <c r="R101" i="6"/>
  <c r="N101" i="6"/>
  <c r="J101" i="6"/>
  <c r="EC100" i="6"/>
  <c r="EB100" i="6"/>
  <c r="DZ100" i="6"/>
  <c r="DV100" i="6"/>
  <c r="DR100" i="6"/>
  <c r="DN100" i="6"/>
  <c r="DJ100" i="6"/>
  <c r="DF100" i="6"/>
  <c r="DB100" i="6"/>
  <c r="CX100" i="6"/>
  <c r="CT100" i="6"/>
  <c r="CP100" i="6"/>
  <c r="CL100" i="6"/>
  <c r="CH100" i="6"/>
  <c r="CD100" i="6"/>
  <c r="BZ100" i="6"/>
  <c r="BV100" i="6"/>
  <c r="BR100" i="6"/>
  <c r="BN100" i="6"/>
  <c r="BJ100" i="6"/>
  <c r="BF100" i="6"/>
  <c r="BB100" i="6"/>
  <c r="AX100" i="6"/>
  <c r="AT100" i="6"/>
  <c r="AP100" i="6"/>
  <c r="AL100" i="6"/>
  <c r="AH100" i="6"/>
  <c r="AD100" i="6"/>
  <c r="Z100" i="6"/>
  <c r="V100" i="6"/>
  <c r="R100" i="6"/>
  <c r="N100" i="6"/>
  <c r="J100" i="6"/>
  <c r="ED100" i="6" s="1"/>
  <c r="EC99" i="6"/>
  <c r="EB99" i="6"/>
  <c r="DZ99" i="6"/>
  <c r="DV99" i="6"/>
  <c r="DR99" i="6"/>
  <c r="DN99" i="6"/>
  <c r="DJ99" i="6"/>
  <c r="DF99" i="6"/>
  <c r="DB99" i="6"/>
  <c r="CX99" i="6"/>
  <c r="CT99" i="6"/>
  <c r="CP99" i="6"/>
  <c r="CL99" i="6"/>
  <c r="CH99" i="6"/>
  <c r="CD99" i="6"/>
  <c r="BZ99" i="6"/>
  <c r="BV99" i="6"/>
  <c r="BR99" i="6"/>
  <c r="BN99" i="6"/>
  <c r="BJ99" i="6"/>
  <c r="BF99" i="6"/>
  <c r="BB99" i="6"/>
  <c r="AX99" i="6"/>
  <c r="AT99" i="6"/>
  <c r="AP99" i="6"/>
  <c r="AL99" i="6"/>
  <c r="AH99" i="6"/>
  <c r="AD99" i="6"/>
  <c r="Z99" i="6"/>
  <c r="V99" i="6"/>
  <c r="R99" i="6"/>
  <c r="N99" i="6"/>
  <c r="J99" i="6"/>
  <c r="ED99" i="6" s="1"/>
  <c r="EC98" i="6"/>
  <c r="EB98" i="6"/>
  <c r="DZ98" i="6"/>
  <c r="DV98" i="6"/>
  <c r="DR98" i="6"/>
  <c r="DN98" i="6"/>
  <c r="DJ98" i="6"/>
  <c r="DF98" i="6"/>
  <c r="DB98" i="6"/>
  <c r="CX98" i="6"/>
  <c r="CT98" i="6"/>
  <c r="CP98" i="6"/>
  <c r="CL98" i="6"/>
  <c r="CH98" i="6"/>
  <c r="CD98" i="6"/>
  <c r="BZ98" i="6"/>
  <c r="BV98" i="6"/>
  <c r="BR98" i="6"/>
  <c r="BN98" i="6"/>
  <c r="BJ98" i="6"/>
  <c r="BF98" i="6"/>
  <c r="BB98" i="6"/>
  <c r="AX98" i="6"/>
  <c r="AT98" i="6"/>
  <c r="AP98" i="6"/>
  <c r="AL98" i="6"/>
  <c r="AH98" i="6"/>
  <c r="AD98" i="6"/>
  <c r="Z98" i="6"/>
  <c r="V98" i="6"/>
  <c r="ED98" i="6" s="1"/>
  <c r="R98" i="6"/>
  <c r="N98" i="6"/>
  <c r="J98" i="6"/>
  <c r="EC97" i="6"/>
  <c r="EB97" i="6"/>
  <c r="DZ97" i="6"/>
  <c r="DV97" i="6"/>
  <c r="DR97" i="6"/>
  <c r="DN97" i="6"/>
  <c r="DJ97" i="6"/>
  <c r="DF97" i="6"/>
  <c r="DB97" i="6"/>
  <c r="CX97" i="6"/>
  <c r="CT97" i="6"/>
  <c r="CP97" i="6"/>
  <c r="CL97" i="6"/>
  <c r="CH97" i="6"/>
  <c r="CD97" i="6"/>
  <c r="BZ97" i="6"/>
  <c r="BV97" i="6"/>
  <c r="BR97" i="6"/>
  <c r="BN97" i="6"/>
  <c r="BJ97" i="6"/>
  <c r="BF97" i="6"/>
  <c r="BB97" i="6"/>
  <c r="AX97" i="6"/>
  <c r="AT97" i="6"/>
  <c r="AP97" i="6"/>
  <c r="AL97" i="6"/>
  <c r="AH97" i="6"/>
  <c r="AD97" i="6"/>
  <c r="Z97" i="6"/>
  <c r="V97" i="6"/>
  <c r="R97" i="6"/>
  <c r="N97" i="6"/>
  <c r="ED97" i="6" s="1"/>
  <c r="J97" i="6"/>
  <c r="EC96" i="6"/>
  <c r="EB96" i="6"/>
  <c r="DZ96" i="6"/>
  <c r="DV96" i="6"/>
  <c r="DR96" i="6"/>
  <c r="DN96" i="6"/>
  <c r="DJ96" i="6"/>
  <c r="DF96" i="6"/>
  <c r="DB96" i="6"/>
  <c r="CX96" i="6"/>
  <c r="CT96" i="6"/>
  <c r="CP96" i="6"/>
  <c r="CL96" i="6"/>
  <c r="CH96" i="6"/>
  <c r="CD96" i="6"/>
  <c r="BZ96" i="6"/>
  <c r="BV96" i="6"/>
  <c r="BR96" i="6"/>
  <c r="BN96" i="6"/>
  <c r="BJ96" i="6"/>
  <c r="BF96" i="6"/>
  <c r="BB96" i="6"/>
  <c r="AX96" i="6"/>
  <c r="AT96" i="6"/>
  <c r="AP96" i="6"/>
  <c r="AL96" i="6"/>
  <c r="AH96" i="6"/>
  <c r="AD96" i="6"/>
  <c r="Z96" i="6"/>
  <c r="V96" i="6"/>
  <c r="R96" i="6"/>
  <c r="N96" i="6"/>
  <c r="J96" i="6"/>
  <c r="ED96" i="6" s="1"/>
  <c r="EC95" i="6"/>
  <c r="EB95" i="6"/>
  <c r="DZ95" i="6"/>
  <c r="DV95" i="6"/>
  <c r="DR95" i="6"/>
  <c r="DN95" i="6"/>
  <c r="DJ95" i="6"/>
  <c r="DF95" i="6"/>
  <c r="DB95" i="6"/>
  <c r="CX95" i="6"/>
  <c r="CT95" i="6"/>
  <c r="CP95" i="6"/>
  <c r="CL95" i="6"/>
  <c r="CH95" i="6"/>
  <c r="CD95" i="6"/>
  <c r="BZ95" i="6"/>
  <c r="BV95" i="6"/>
  <c r="BR95" i="6"/>
  <c r="BN95" i="6"/>
  <c r="BJ95" i="6"/>
  <c r="BF95" i="6"/>
  <c r="BB95" i="6"/>
  <c r="AX95" i="6"/>
  <c r="AT95" i="6"/>
  <c r="ED95" i="6" s="1"/>
  <c r="AP95" i="6"/>
  <c r="AL95" i="6"/>
  <c r="AH95" i="6"/>
  <c r="AD95" i="6"/>
  <c r="Z95" i="6"/>
  <c r="V95" i="6"/>
  <c r="R95" i="6"/>
  <c r="N95" i="6"/>
  <c r="J95" i="6"/>
  <c r="EC94" i="6"/>
  <c r="EB94" i="6"/>
  <c r="DZ94" i="6"/>
  <c r="DV94" i="6"/>
  <c r="DR94" i="6"/>
  <c r="DN94" i="6"/>
  <c r="DJ94" i="6"/>
  <c r="DF94" i="6"/>
  <c r="DB94" i="6"/>
  <c r="CX94" i="6"/>
  <c r="CT94" i="6"/>
  <c r="CP94" i="6"/>
  <c r="CL94" i="6"/>
  <c r="CH94" i="6"/>
  <c r="CD94" i="6"/>
  <c r="BZ94" i="6"/>
  <c r="BV94" i="6"/>
  <c r="BR94" i="6"/>
  <c r="BN94" i="6"/>
  <c r="BJ94" i="6"/>
  <c r="BF94" i="6"/>
  <c r="BB94" i="6"/>
  <c r="AX94" i="6"/>
  <c r="AT94" i="6"/>
  <c r="AP94" i="6"/>
  <c r="AL94" i="6"/>
  <c r="AH94" i="6"/>
  <c r="AD94" i="6"/>
  <c r="Z94" i="6"/>
  <c r="V94" i="6"/>
  <c r="R94" i="6"/>
  <c r="N94" i="6"/>
  <c r="J94" i="6"/>
  <c r="ED94" i="6" s="1"/>
  <c r="EC93" i="6"/>
  <c r="EB93" i="6"/>
  <c r="DZ93" i="6"/>
  <c r="DV93" i="6"/>
  <c r="DR93" i="6"/>
  <c r="DN93" i="6"/>
  <c r="DJ93" i="6"/>
  <c r="DF93" i="6"/>
  <c r="DB93" i="6"/>
  <c r="CX93" i="6"/>
  <c r="CT93" i="6"/>
  <c r="CP93" i="6"/>
  <c r="CL93" i="6"/>
  <c r="CH93" i="6"/>
  <c r="CD93" i="6"/>
  <c r="BZ93" i="6"/>
  <c r="BV93" i="6"/>
  <c r="BR93" i="6"/>
  <c r="BN93" i="6"/>
  <c r="BJ93" i="6"/>
  <c r="BF93" i="6"/>
  <c r="BB93" i="6"/>
  <c r="AX93" i="6"/>
  <c r="AT93" i="6"/>
  <c r="AP93" i="6"/>
  <c r="AL93" i="6"/>
  <c r="AH93" i="6"/>
  <c r="AD93" i="6"/>
  <c r="Z93" i="6"/>
  <c r="V93" i="6"/>
  <c r="R93" i="6"/>
  <c r="N93" i="6"/>
  <c r="J93" i="6"/>
  <c r="ED93" i="6" s="1"/>
  <c r="EC92" i="6"/>
  <c r="EB92" i="6"/>
  <c r="DZ92" i="6"/>
  <c r="DV92" i="6"/>
  <c r="DR92" i="6"/>
  <c r="DN92" i="6"/>
  <c r="DJ92" i="6"/>
  <c r="DF92" i="6"/>
  <c r="DB92" i="6"/>
  <c r="CX92" i="6"/>
  <c r="CT92" i="6"/>
  <c r="CP92" i="6"/>
  <c r="CL92" i="6"/>
  <c r="CH92" i="6"/>
  <c r="CD92" i="6"/>
  <c r="BZ92" i="6"/>
  <c r="BV92" i="6"/>
  <c r="BR92" i="6"/>
  <c r="BN92" i="6"/>
  <c r="BJ92" i="6"/>
  <c r="BF92" i="6"/>
  <c r="BB92" i="6"/>
  <c r="AX92" i="6"/>
  <c r="AT92" i="6"/>
  <c r="AP92" i="6"/>
  <c r="AL92" i="6"/>
  <c r="AH92" i="6"/>
  <c r="AD92" i="6"/>
  <c r="Z92" i="6"/>
  <c r="V92" i="6"/>
  <c r="ED92" i="6" s="1"/>
  <c r="R92" i="6"/>
  <c r="N92" i="6"/>
  <c r="J92" i="6"/>
  <c r="EC91" i="6"/>
  <c r="EB91" i="6"/>
  <c r="DZ91" i="6"/>
  <c r="DV91" i="6"/>
  <c r="DR91" i="6"/>
  <c r="DN91" i="6"/>
  <c r="DJ91" i="6"/>
  <c r="DF91" i="6"/>
  <c r="DB91" i="6"/>
  <c r="CX91" i="6"/>
  <c r="CT91" i="6"/>
  <c r="CP91" i="6"/>
  <c r="CL91" i="6"/>
  <c r="CH91" i="6"/>
  <c r="CD91" i="6"/>
  <c r="BZ91" i="6"/>
  <c r="BV91" i="6"/>
  <c r="BR91" i="6"/>
  <c r="BN91" i="6"/>
  <c r="BJ91" i="6"/>
  <c r="BF91" i="6"/>
  <c r="BB91" i="6"/>
  <c r="AX91" i="6"/>
  <c r="AT91" i="6"/>
  <c r="AP91" i="6"/>
  <c r="AL91" i="6"/>
  <c r="AH91" i="6"/>
  <c r="AD91" i="6"/>
  <c r="Z91" i="6"/>
  <c r="V91" i="6"/>
  <c r="R91" i="6"/>
  <c r="N91" i="6"/>
  <c r="ED91" i="6" s="1"/>
  <c r="J91" i="6"/>
  <c r="EC90" i="6"/>
  <c r="EB90" i="6"/>
  <c r="DZ90" i="6"/>
  <c r="DV90" i="6"/>
  <c r="DR90" i="6"/>
  <c r="DN90" i="6"/>
  <c r="DJ90" i="6"/>
  <c r="DF90" i="6"/>
  <c r="DB90" i="6"/>
  <c r="CX90" i="6"/>
  <c r="CT90" i="6"/>
  <c r="CP90" i="6"/>
  <c r="CL90" i="6"/>
  <c r="CH90" i="6"/>
  <c r="CD90" i="6"/>
  <c r="BZ90" i="6"/>
  <c r="BV90" i="6"/>
  <c r="BR90" i="6"/>
  <c r="BN90" i="6"/>
  <c r="BJ90" i="6"/>
  <c r="BF90" i="6"/>
  <c r="BB90" i="6"/>
  <c r="AX90" i="6"/>
  <c r="AT90" i="6"/>
  <c r="AP90" i="6"/>
  <c r="AL90" i="6"/>
  <c r="AH90" i="6"/>
  <c r="AD90" i="6"/>
  <c r="Z90" i="6"/>
  <c r="V90" i="6"/>
  <c r="R90" i="6"/>
  <c r="N90" i="6"/>
  <c r="J90" i="6"/>
  <c r="ED90" i="6" s="1"/>
  <c r="EC89" i="6"/>
  <c r="EB89" i="6"/>
  <c r="DZ89" i="6"/>
  <c r="DV89" i="6"/>
  <c r="DR89" i="6"/>
  <c r="DN89" i="6"/>
  <c r="DJ89" i="6"/>
  <c r="DF89" i="6"/>
  <c r="DB89" i="6"/>
  <c r="CX89" i="6"/>
  <c r="CT89" i="6"/>
  <c r="CP89" i="6"/>
  <c r="CL89" i="6"/>
  <c r="CH89" i="6"/>
  <c r="CD89" i="6"/>
  <c r="BZ89" i="6"/>
  <c r="BV89" i="6"/>
  <c r="BR89" i="6"/>
  <c r="BN89" i="6"/>
  <c r="BJ89" i="6"/>
  <c r="BF89" i="6"/>
  <c r="BB89" i="6"/>
  <c r="AX89" i="6"/>
  <c r="AT89" i="6"/>
  <c r="ED89" i="6" s="1"/>
  <c r="AP89" i="6"/>
  <c r="AL89" i="6"/>
  <c r="AH89" i="6"/>
  <c r="AD89" i="6"/>
  <c r="Z89" i="6"/>
  <c r="V89" i="6"/>
  <c r="R89" i="6"/>
  <c r="N89" i="6"/>
  <c r="J89" i="6"/>
  <c r="EC88" i="6"/>
  <c r="EB88" i="6"/>
  <c r="DZ88" i="6"/>
  <c r="DV88" i="6"/>
  <c r="DR88" i="6"/>
  <c r="DN88" i="6"/>
  <c r="DJ88" i="6"/>
  <c r="DF88" i="6"/>
  <c r="DB88" i="6"/>
  <c r="CX88" i="6"/>
  <c r="CT88" i="6"/>
  <c r="CP88" i="6"/>
  <c r="CL88" i="6"/>
  <c r="CH88" i="6"/>
  <c r="CD88" i="6"/>
  <c r="BZ88" i="6"/>
  <c r="BV88" i="6"/>
  <c r="BR88" i="6"/>
  <c r="BN88" i="6"/>
  <c r="BJ88" i="6"/>
  <c r="BF88" i="6"/>
  <c r="BB88" i="6"/>
  <c r="AX88" i="6"/>
  <c r="AT88" i="6"/>
  <c r="AP88" i="6"/>
  <c r="AL88" i="6"/>
  <c r="AH88" i="6"/>
  <c r="AD88" i="6"/>
  <c r="Z88" i="6"/>
  <c r="V88" i="6"/>
  <c r="R88" i="6"/>
  <c r="N88" i="6"/>
  <c r="J88" i="6"/>
  <c r="ED88" i="6" s="1"/>
  <c r="EC87" i="6"/>
  <c r="EB87" i="6"/>
  <c r="DZ87" i="6"/>
  <c r="DV87" i="6"/>
  <c r="DR87" i="6"/>
  <c r="DN87" i="6"/>
  <c r="DJ87" i="6"/>
  <c r="DF87" i="6"/>
  <c r="DB87" i="6"/>
  <c r="CX87" i="6"/>
  <c r="CT87" i="6"/>
  <c r="CP87" i="6"/>
  <c r="CL87" i="6"/>
  <c r="CH87" i="6"/>
  <c r="CD87" i="6"/>
  <c r="BZ87" i="6"/>
  <c r="BV87" i="6"/>
  <c r="BR87" i="6"/>
  <c r="BN87" i="6"/>
  <c r="BJ87" i="6"/>
  <c r="BF87" i="6"/>
  <c r="BB87" i="6"/>
  <c r="AX87" i="6"/>
  <c r="AT87" i="6"/>
  <c r="AP87" i="6"/>
  <c r="AL87" i="6"/>
  <c r="AH87" i="6"/>
  <c r="AD87" i="6"/>
  <c r="Z87" i="6"/>
  <c r="V87" i="6"/>
  <c r="R87" i="6"/>
  <c r="N87" i="6"/>
  <c r="J87" i="6"/>
  <c r="ED87" i="6" s="1"/>
  <c r="EC86" i="6"/>
  <c r="EB86" i="6"/>
  <c r="DZ86" i="6"/>
  <c r="DV86" i="6"/>
  <c r="DR86" i="6"/>
  <c r="DN86" i="6"/>
  <c r="DJ86" i="6"/>
  <c r="DF86" i="6"/>
  <c r="DB86" i="6"/>
  <c r="CX86" i="6"/>
  <c r="CT86" i="6"/>
  <c r="CP86" i="6"/>
  <c r="CL86" i="6"/>
  <c r="CH86" i="6"/>
  <c r="CD86" i="6"/>
  <c r="BZ86" i="6"/>
  <c r="BV86" i="6"/>
  <c r="BR86" i="6"/>
  <c r="BN86" i="6"/>
  <c r="BJ86" i="6"/>
  <c r="BF86" i="6"/>
  <c r="BB86" i="6"/>
  <c r="AX86" i="6"/>
  <c r="AT86" i="6"/>
  <c r="AP86" i="6"/>
  <c r="AL86" i="6"/>
  <c r="AH86" i="6"/>
  <c r="AD86" i="6"/>
  <c r="Z86" i="6"/>
  <c r="V86" i="6"/>
  <c r="ED86" i="6" s="1"/>
  <c r="R86" i="6"/>
  <c r="N86" i="6"/>
  <c r="J86" i="6"/>
  <c r="EC85" i="6"/>
  <c r="EB85" i="6"/>
  <c r="DZ85" i="6"/>
  <c r="DV85" i="6"/>
  <c r="DR85" i="6"/>
  <c r="DN85" i="6"/>
  <c r="DJ85" i="6"/>
  <c r="DF85" i="6"/>
  <c r="DB85" i="6"/>
  <c r="CX85" i="6"/>
  <c r="CT85" i="6"/>
  <c r="CP85" i="6"/>
  <c r="CL85" i="6"/>
  <c r="CH85" i="6"/>
  <c r="CD85" i="6"/>
  <c r="BZ85" i="6"/>
  <c r="BV85" i="6"/>
  <c r="BR85" i="6"/>
  <c r="BN85" i="6"/>
  <c r="BJ85" i="6"/>
  <c r="BF85" i="6"/>
  <c r="BB85" i="6"/>
  <c r="AX85" i="6"/>
  <c r="AT85" i="6"/>
  <c r="AP85" i="6"/>
  <c r="AL85" i="6"/>
  <c r="AH85" i="6"/>
  <c r="AD85" i="6"/>
  <c r="Z85" i="6"/>
  <c r="V85" i="6"/>
  <c r="R85" i="6"/>
  <c r="N85" i="6"/>
  <c r="ED85" i="6" s="1"/>
  <c r="J85" i="6"/>
  <c r="EC84" i="6"/>
  <c r="EB84" i="6"/>
  <c r="DZ84" i="6"/>
  <c r="DV84" i="6"/>
  <c r="DR84" i="6"/>
  <c r="DN84" i="6"/>
  <c r="DJ84" i="6"/>
  <c r="DF84" i="6"/>
  <c r="DB84" i="6"/>
  <c r="CX84" i="6"/>
  <c r="CT84" i="6"/>
  <c r="CP84" i="6"/>
  <c r="CL84" i="6"/>
  <c r="CH84" i="6"/>
  <c r="CD84" i="6"/>
  <c r="BZ84" i="6"/>
  <c r="BV84" i="6"/>
  <c r="BR84" i="6"/>
  <c r="BN84" i="6"/>
  <c r="BJ84" i="6"/>
  <c r="BF84" i="6"/>
  <c r="BB84" i="6"/>
  <c r="AX84" i="6"/>
  <c r="AT84" i="6"/>
  <c r="AP84" i="6"/>
  <c r="AL84" i="6"/>
  <c r="AH84" i="6"/>
  <c r="AD84" i="6"/>
  <c r="Z84" i="6"/>
  <c r="V84" i="6"/>
  <c r="R84" i="6"/>
  <c r="N84" i="6"/>
  <c r="J84" i="6"/>
  <c r="ED84" i="6" s="1"/>
  <c r="EC83" i="6"/>
  <c r="EB83" i="6"/>
  <c r="DZ83" i="6"/>
  <c r="DV83" i="6"/>
  <c r="DR83" i="6"/>
  <c r="DN83" i="6"/>
  <c r="DJ83" i="6"/>
  <c r="DF83" i="6"/>
  <c r="DB83" i="6"/>
  <c r="CX83" i="6"/>
  <c r="CT83" i="6"/>
  <c r="CP83" i="6"/>
  <c r="CL83" i="6"/>
  <c r="CH83" i="6"/>
  <c r="CD83" i="6"/>
  <c r="BZ83" i="6"/>
  <c r="BV83" i="6"/>
  <c r="BR83" i="6"/>
  <c r="BN83" i="6"/>
  <c r="BJ83" i="6"/>
  <c r="BF83" i="6"/>
  <c r="BB83" i="6"/>
  <c r="AX83" i="6"/>
  <c r="AT83" i="6"/>
  <c r="ED83" i="6" s="1"/>
  <c r="AP83" i="6"/>
  <c r="AL83" i="6"/>
  <c r="AH83" i="6"/>
  <c r="AD83" i="6"/>
  <c r="Z83" i="6"/>
  <c r="V83" i="6"/>
  <c r="R83" i="6"/>
  <c r="N83" i="6"/>
  <c r="J83" i="6"/>
  <c r="EC82" i="6"/>
  <c r="EB82" i="6"/>
  <c r="DZ82" i="6"/>
  <c r="DV82" i="6"/>
  <c r="DR82" i="6"/>
  <c r="DN82" i="6"/>
  <c r="DJ82" i="6"/>
  <c r="DF82" i="6"/>
  <c r="DB82" i="6"/>
  <c r="CX82" i="6"/>
  <c r="CT82" i="6"/>
  <c r="CP82" i="6"/>
  <c r="CL82" i="6"/>
  <c r="CH82" i="6"/>
  <c r="CD82" i="6"/>
  <c r="BZ82" i="6"/>
  <c r="BV82" i="6"/>
  <c r="BR82" i="6"/>
  <c r="BN82" i="6"/>
  <c r="BJ82" i="6"/>
  <c r="BF82" i="6"/>
  <c r="BB82" i="6"/>
  <c r="AX82" i="6"/>
  <c r="AT82" i="6"/>
  <c r="AP82" i="6"/>
  <c r="AL82" i="6"/>
  <c r="AH82" i="6"/>
  <c r="AD82" i="6"/>
  <c r="Z82" i="6"/>
  <c r="V82" i="6"/>
  <c r="R82" i="6"/>
  <c r="N82" i="6"/>
  <c r="J82" i="6"/>
  <c r="ED82" i="6" s="1"/>
  <c r="EC81" i="6"/>
  <c r="EB81" i="6"/>
  <c r="DZ81" i="6"/>
  <c r="DV81" i="6"/>
  <c r="DR81" i="6"/>
  <c r="DN81" i="6"/>
  <c r="DJ81" i="6"/>
  <c r="DF81" i="6"/>
  <c r="DB81" i="6"/>
  <c r="CX81" i="6"/>
  <c r="CT81" i="6"/>
  <c r="CP81" i="6"/>
  <c r="CL81" i="6"/>
  <c r="CH81" i="6"/>
  <c r="CD81" i="6"/>
  <c r="BZ81" i="6"/>
  <c r="BV81" i="6"/>
  <c r="BR81" i="6"/>
  <c r="BN81" i="6"/>
  <c r="BJ81" i="6"/>
  <c r="BF81" i="6"/>
  <c r="BB81" i="6"/>
  <c r="AX81" i="6"/>
  <c r="AT81" i="6"/>
  <c r="AP81" i="6"/>
  <c r="AL81" i="6"/>
  <c r="AH81" i="6"/>
  <c r="AD81" i="6"/>
  <c r="Z81" i="6"/>
  <c r="V81" i="6"/>
  <c r="R81" i="6"/>
  <c r="N81" i="6"/>
  <c r="J81" i="6"/>
  <c r="ED81" i="6" s="1"/>
  <c r="EC80" i="6"/>
  <c r="EB80" i="6"/>
  <c r="DZ80" i="6"/>
  <c r="DV80" i="6"/>
  <c r="DR80" i="6"/>
  <c r="DN80" i="6"/>
  <c r="DJ80" i="6"/>
  <c r="DF80" i="6"/>
  <c r="DB80" i="6"/>
  <c r="CX80" i="6"/>
  <c r="CT80" i="6"/>
  <c r="CP80" i="6"/>
  <c r="CL80" i="6"/>
  <c r="CH80" i="6"/>
  <c r="CD80" i="6"/>
  <c r="BZ80" i="6"/>
  <c r="BV80" i="6"/>
  <c r="BR80" i="6"/>
  <c r="BN80" i="6"/>
  <c r="BJ80" i="6"/>
  <c r="BF80" i="6"/>
  <c r="BB80" i="6"/>
  <c r="AX80" i="6"/>
  <c r="AT80" i="6"/>
  <c r="AP80" i="6"/>
  <c r="AL80" i="6"/>
  <c r="AH80" i="6"/>
  <c r="AD80" i="6"/>
  <c r="Z80" i="6"/>
  <c r="V80" i="6"/>
  <c r="ED80" i="6" s="1"/>
  <c r="R80" i="6"/>
  <c r="N80" i="6"/>
  <c r="J80" i="6"/>
  <c r="EC79" i="6"/>
  <c r="EB79" i="6"/>
  <c r="DZ79" i="6"/>
  <c r="DV79" i="6"/>
  <c r="DR79" i="6"/>
  <c r="DN79" i="6"/>
  <c r="DJ79" i="6"/>
  <c r="DF79" i="6"/>
  <c r="DB79" i="6"/>
  <c r="CX79" i="6"/>
  <c r="CT79" i="6"/>
  <c r="CP79" i="6"/>
  <c r="CL79" i="6"/>
  <c r="CH79" i="6"/>
  <c r="CD79" i="6"/>
  <c r="BZ79" i="6"/>
  <c r="BV79" i="6"/>
  <c r="BR79" i="6"/>
  <c r="BN79" i="6"/>
  <c r="BJ79" i="6"/>
  <c r="BF79" i="6"/>
  <c r="BB79" i="6"/>
  <c r="AX79" i="6"/>
  <c r="AT79" i="6"/>
  <c r="AP79" i="6"/>
  <c r="AL79" i="6"/>
  <c r="AH79" i="6"/>
  <c r="AD79" i="6"/>
  <c r="Z79" i="6"/>
  <c r="V79" i="6"/>
  <c r="R79" i="6"/>
  <c r="N79" i="6"/>
  <c r="ED79" i="6" s="1"/>
  <c r="J79" i="6"/>
  <c r="EC78" i="6"/>
  <c r="EB78" i="6"/>
  <c r="DZ78" i="6"/>
  <c r="DV78" i="6"/>
  <c r="DR78" i="6"/>
  <c r="DN78" i="6"/>
  <c r="DJ78" i="6"/>
  <c r="DF78" i="6"/>
  <c r="DB78" i="6"/>
  <c r="CX78" i="6"/>
  <c r="CT78" i="6"/>
  <c r="CP78" i="6"/>
  <c r="CL78" i="6"/>
  <c r="CH78" i="6"/>
  <c r="CD78" i="6"/>
  <c r="BZ78" i="6"/>
  <c r="BV78" i="6"/>
  <c r="BR78" i="6"/>
  <c r="BN78" i="6"/>
  <c r="BJ78" i="6"/>
  <c r="BF78" i="6"/>
  <c r="BB78" i="6"/>
  <c r="AX78" i="6"/>
  <c r="AT78" i="6"/>
  <c r="AP78" i="6"/>
  <c r="AL78" i="6"/>
  <c r="AH78" i="6"/>
  <c r="AD78" i="6"/>
  <c r="Z78" i="6"/>
  <c r="V78" i="6"/>
  <c r="R78" i="6"/>
  <c r="N78" i="6"/>
  <c r="J78" i="6"/>
  <c r="ED78" i="6" s="1"/>
  <c r="EC77" i="6"/>
  <c r="EB77" i="6"/>
  <c r="DZ77" i="6"/>
  <c r="DV77" i="6"/>
  <c r="DR77" i="6"/>
  <c r="DN77" i="6"/>
  <c r="DJ77" i="6"/>
  <c r="DF77" i="6"/>
  <c r="DB77" i="6"/>
  <c r="CX77" i="6"/>
  <c r="CT77" i="6"/>
  <c r="CP77" i="6"/>
  <c r="ED77" i="6" s="1"/>
  <c r="CL77" i="6"/>
  <c r="CH77" i="6"/>
  <c r="CD77" i="6"/>
  <c r="BZ77" i="6"/>
  <c r="BV77" i="6"/>
  <c r="BR77" i="6"/>
  <c r="BN77" i="6"/>
  <c r="BJ77" i="6"/>
  <c r="BF77" i="6"/>
  <c r="BB77" i="6"/>
  <c r="AX77" i="6"/>
  <c r="AT77" i="6"/>
  <c r="AP77" i="6"/>
  <c r="AL77" i="6"/>
  <c r="AH77" i="6"/>
  <c r="AD77" i="6"/>
  <c r="Z77" i="6"/>
  <c r="V77" i="6"/>
  <c r="R77" i="6"/>
  <c r="N77" i="6"/>
  <c r="J77" i="6"/>
  <c r="EC76" i="6"/>
  <c r="EB76" i="6"/>
  <c r="DZ76" i="6"/>
  <c r="DV76" i="6"/>
  <c r="DR76" i="6"/>
  <c r="DN76" i="6"/>
  <c r="DJ76" i="6"/>
  <c r="DF76" i="6"/>
  <c r="DB76" i="6"/>
  <c r="CX76" i="6"/>
  <c r="CT76" i="6"/>
  <c r="CP76" i="6"/>
  <c r="CL76" i="6"/>
  <c r="CH76" i="6"/>
  <c r="CD76" i="6"/>
  <c r="BZ76" i="6"/>
  <c r="BV76" i="6"/>
  <c r="BR76" i="6"/>
  <c r="BN76" i="6"/>
  <c r="BJ76" i="6"/>
  <c r="BF76" i="6"/>
  <c r="BB76" i="6"/>
  <c r="AX76" i="6"/>
  <c r="AT76" i="6"/>
  <c r="AP76" i="6"/>
  <c r="AL76" i="6"/>
  <c r="AH76" i="6"/>
  <c r="AD76" i="6"/>
  <c r="Z76" i="6"/>
  <c r="V76" i="6"/>
  <c r="R76" i="6"/>
  <c r="N76" i="6"/>
  <c r="J76" i="6"/>
  <c r="ED76" i="6" s="1"/>
  <c r="EC75" i="6"/>
  <c r="EB75" i="6"/>
  <c r="DZ75" i="6"/>
  <c r="DV75" i="6"/>
  <c r="DR75" i="6"/>
  <c r="DN75" i="6"/>
  <c r="DJ75" i="6"/>
  <c r="DF75" i="6"/>
  <c r="DB75" i="6"/>
  <c r="CX75" i="6"/>
  <c r="CT75" i="6"/>
  <c r="CP75" i="6"/>
  <c r="CL75" i="6"/>
  <c r="CH75" i="6"/>
  <c r="CD75" i="6"/>
  <c r="BZ75" i="6"/>
  <c r="BV75" i="6"/>
  <c r="BR75" i="6"/>
  <c r="BN75" i="6"/>
  <c r="BJ75" i="6"/>
  <c r="BF75" i="6"/>
  <c r="BB75" i="6"/>
  <c r="AX75" i="6"/>
  <c r="AT75" i="6"/>
  <c r="AP75" i="6"/>
  <c r="AL75" i="6"/>
  <c r="AH75" i="6"/>
  <c r="AD75" i="6"/>
  <c r="Z75" i="6"/>
  <c r="V75" i="6"/>
  <c r="R75" i="6"/>
  <c r="N75" i="6"/>
  <c r="J75" i="6"/>
  <c r="ED75" i="6" s="1"/>
  <c r="EC74" i="6"/>
  <c r="EB74" i="6"/>
  <c r="DZ74" i="6"/>
  <c r="DV74" i="6"/>
  <c r="DR74" i="6"/>
  <c r="DN74" i="6"/>
  <c r="DJ74" i="6"/>
  <c r="DF74" i="6"/>
  <c r="DB74" i="6"/>
  <c r="CX74" i="6"/>
  <c r="CT74" i="6"/>
  <c r="CP74" i="6"/>
  <c r="CL74" i="6"/>
  <c r="CH74" i="6"/>
  <c r="CD74" i="6"/>
  <c r="BZ74" i="6"/>
  <c r="BV74" i="6"/>
  <c r="BR74" i="6"/>
  <c r="BN74" i="6"/>
  <c r="BJ74" i="6"/>
  <c r="BF74" i="6"/>
  <c r="BB74" i="6"/>
  <c r="AX74" i="6"/>
  <c r="AT74" i="6"/>
  <c r="AP74" i="6"/>
  <c r="AL74" i="6"/>
  <c r="AH74" i="6"/>
  <c r="AD74" i="6"/>
  <c r="Z74" i="6"/>
  <c r="V74" i="6"/>
  <c r="ED74" i="6" s="1"/>
  <c r="R74" i="6"/>
  <c r="N74" i="6"/>
  <c r="J74" i="6"/>
  <c r="EC73" i="6"/>
  <c r="EB73" i="6"/>
  <c r="DZ73" i="6"/>
  <c r="DV73" i="6"/>
  <c r="DR73" i="6"/>
  <c r="DN73" i="6"/>
  <c r="DJ73" i="6"/>
  <c r="DF73" i="6"/>
  <c r="DB73" i="6"/>
  <c r="CX73" i="6"/>
  <c r="CT73" i="6"/>
  <c r="CP73" i="6"/>
  <c r="CL73" i="6"/>
  <c r="CH73" i="6"/>
  <c r="CD73" i="6"/>
  <c r="BZ73" i="6"/>
  <c r="BV73" i="6"/>
  <c r="BR73" i="6"/>
  <c r="BN73" i="6"/>
  <c r="BJ73" i="6"/>
  <c r="BF73" i="6"/>
  <c r="BB73" i="6"/>
  <c r="AX73" i="6"/>
  <c r="AT73" i="6"/>
  <c r="AP73" i="6"/>
  <c r="AL73" i="6"/>
  <c r="AH73" i="6"/>
  <c r="AD73" i="6"/>
  <c r="Z73" i="6"/>
  <c r="V73" i="6"/>
  <c r="R73" i="6"/>
  <c r="N73" i="6"/>
  <c r="ED73" i="6" s="1"/>
  <c r="J73" i="6"/>
  <c r="EC72" i="6"/>
  <c r="EB72" i="6"/>
  <c r="DZ72" i="6"/>
  <c r="DV72" i="6"/>
  <c r="DR72" i="6"/>
  <c r="DN72" i="6"/>
  <c r="DJ72" i="6"/>
  <c r="DF72" i="6"/>
  <c r="DB72" i="6"/>
  <c r="CX72" i="6"/>
  <c r="CT72" i="6"/>
  <c r="CP72" i="6"/>
  <c r="CL72" i="6"/>
  <c r="CH72" i="6"/>
  <c r="CD72" i="6"/>
  <c r="BZ72" i="6"/>
  <c r="BV72" i="6"/>
  <c r="BR72" i="6"/>
  <c r="BN72" i="6"/>
  <c r="BJ72" i="6"/>
  <c r="BF72" i="6"/>
  <c r="BB72" i="6"/>
  <c r="AX72" i="6"/>
  <c r="AT72" i="6"/>
  <c r="AP72" i="6"/>
  <c r="AL72" i="6"/>
  <c r="AH72" i="6"/>
  <c r="AD72" i="6"/>
  <c r="Z72" i="6"/>
  <c r="V72" i="6"/>
  <c r="R72" i="6"/>
  <c r="N72" i="6"/>
  <c r="J72" i="6"/>
  <c r="ED72" i="6" s="1"/>
  <c r="EC71" i="6"/>
  <c r="EB71" i="6"/>
  <c r="DZ71" i="6"/>
  <c r="DV71" i="6"/>
  <c r="DR71" i="6"/>
  <c r="DN71" i="6"/>
  <c r="DJ71" i="6"/>
  <c r="DF71" i="6"/>
  <c r="DB71" i="6"/>
  <c r="CX71" i="6"/>
  <c r="CT71" i="6"/>
  <c r="CP71" i="6"/>
  <c r="CL71" i="6"/>
  <c r="CH71" i="6"/>
  <c r="CD71" i="6"/>
  <c r="BZ71" i="6"/>
  <c r="BV71" i="6"/>
  <c r="BR71" i="6"/>
  <c r="BN71" i="6"/>
  <c r="BJ71" i="6"/>
  <c r="BF71" i="6"/>
  <c r="BB71" i="6"/>
  <c r="AX71" i="6"/>
  <c r="AT71" i="6"/>
  <c r="ED71" i="6" s="1"/>
  <c r="AP71" i="6"/>
  <c r="AL71" i="6"/>
  <c r="AH71" i="6"/>
  <c r="AD71" i="6"/>
  <c r="Z71" i="6"/>
  <c r="V71" i="6"/>
  <c r="R71" i="6"/>
  <c r="N71" i="6"/>
  <c r="J71" i="6"/>
  <c r="EC70" i="6"/>
  <c r="EB70" i="6"/>
  <c r="DZ70" i="6"/>
  <c r="DV70" i="6"/>
  <c r="DR70" i="6"/>
  <c r="DN70" i="6"/>
  <c r="DJ70" i="6"/>
  <c r="DF70" i="6"/>
  <c r="DB70" i="6"/>
  <c r="CX70" i="6"/>
  <c r="CT70" i="6"/>
  <c r="CP70" i="6"/>
  <c r="CL70" i="6"/>
  <c r="CH70" i="6"/>
  <c r="CD70" i="6"/>
  <c r="BZ70" i="6"/>
  <c r="BV70" i="6"/>
  <c r="BR70" i="6"/>
  <c r="BN70" i="6"/>
  <c r="BJ70" i="6"/>
  <c r="BF70" i="6"/>
  <c r="BB70" i="6"/>
  <c r="AX70" i="6"/>
  <c r="AT70" i="6"/>
  <c r="AP70" i="6"/>
  <c r="AL70" i="6"/>
  <c r="AH70" i="6"/>
  <c r="AD70" i="6"/>
  <c r="Z70" i="6"/>
  <c r="V70" i="6"/>
  <c r="R70" i="6"/>
  <c r="N70" i="6"/>
  <c r="J70" i="6"/>
  <c r="ED70" i="6" s="1"/>
  <c r="EC69" i="6"/>
  <c r="EB69" i="6"/>
  <c r="DZ69" i="6"/>
  <c r="DV69" i="6"/>
  <c r="DR69" i="6"/>
  <c r="DN69" i="6"/>
  <c r="DJ69" i="6"/>
  <c r="DF69" i="6"/>
  <c r="DB69" i="6"/>
  <c r="CX69" i="6"/>
  <c r="CT69" i="6"/>
  <c r="CP69" i="6"/>
  <c r="CL69" i="6"/>
  <c r="CH69" i="6"/>
  <c r="CD69" i="6"/>
  <c r="BZ69" i="6"/>
  <c r="BV69" i="6"/>
  <c r="BR69" i="6"/>
  <c r="BN69" i="6"/>
  <c r="BJ69" i="6"/>
  <c r="BF69" i="6"/>
  <c r="BB69" i="6"/>
  <c r="AX69" i="6"/>
  <c r="AT69" i="6"/>
  <c r="AP69" i="6"/>
  <c r="AL69" i="6"/>
  <c r="AH69" i="6"/>
  <c r="AD69" i="6"/>
  <c r="Z69" i="6"/>
  <c r="V69" i="6"/>
  <c r="R69" i="6"/>
  <c r="N69" i="6"/>
  <c r="J69" i="6"/>
  <c r="ED69" i="6" s="1"/>
  <c r="EC68" i="6"/>
  <c r="EB68" i="6"/>
  <c r="DZ68" i="6"/>
  <c r="DV68" i="6"/>
  <c r="DR68" i="6"/>
  <c r="DN68" i="6"/>
  <c r="DJ68" i="6"/>
  <c r="DF68" i="6"/>
  <c r="DB68" i="6"/>
  <c r="CX68" i="6"/>
  <c r="CT68" i="6"/>
  <c r="CP68" i="6"/>
  <c r="CL68" i="6"/>
  <c r="CH68" i="6"/>
  <c r="CD68" i="6"/>
  <c r="BZ68" i="6"/>
  <c r="BV68" i="6"/>
  <c r="BR68" i="6"/>
  <c r="BN68" i="6"/>
  <c r="BJ68" i="6"/>
  <c r="BF68" i="6"/>
  <c r="BB68" i="6"/>
  <c r="AX68" i="6"/>
  <c r="AT68" i="6"/>
  <c r="AP68" i="6"/>
  <c r="AL68" i="6"/>
  <c r="AH68" i="6"/>
  <c r="AD68" i="6"/>
  <c r="Z68" i="6"/>
  <c r="V68" i="6"/>
  <c r="ED68" i="6" s="1"/>
  <c r="R68" i="6"/>
  <c r="N68" i="6"/>
  <c r="J68" i="6"/>
  <c r="EC67" i="6"/>
  <c r="EB67" i="6"/>
  <c r="DZ67" i="6"/>
  <c r="DV67" i="6"/>
  <c r="DR67" i="6"/>
  <c r="DN67" i="6"/>
  <c r="DJ67" i="6"/>
  <c r="DF67" i="6"/>
  <c r="DB67" i="6"/>
  <c r="CX67" i="6"/>
  <c r="CT67" i="6"/>
  <c r="CP67" i="6"/>
  <c r="CL67" i="6"/>
  <c r="CH67" i="6"/>
  <c r="CD67" i="6"/>
  <c r="BZ67" i="6"/>
  <c r="BV67" i="6"/>
  <c r="BR67" i="6"/>
  <c r="BN67" i="6"/>
  <c r="BJ67" i="6"/>
  <c r="BF67" i="6"/>
  <c r="BB67" i="6"/>
  <c r="AX67" i="6"/>
  <c r="AT67" i="6"/>
  <c r="AP67" i="6"/>
  <c r="AL67" i="6"/>
  <c r="AH67" i="6"/>
  <c r="AD67" i="6"/>
  <c r="Z67" i="6"/>
  <c r="V67" i="6"/>
  <c r="R67" i="6"/>
  <c r="N67" i="6"/>
  <c r="ED67" i="6" s="1"/>
  <c r="J67" i="6"/>
  <c r="EC66" i="6"/>
  <c r="EB66" i="6"/>
  <c r="DZ66" i="6"/>
  <c r="DV66" i="6"/>
  <c r="DR66" i="6"/>
  <c r="DN66" i="6"/>
  <c r="DJ66" i="6"/>
  <c r="DF66" i="6"/>
  <c r="DB66" i="6"/>
  <c r="CX66" i="6"/>
  <c r="CT66" i="6"/>
  <c r="CP66" i="6"/>
  <c r="CL66" i="6"/>
  <c r="CH66" i="6"/>
  <c r="CD66" i="6"/>
  <c r="BZ66" i="6"/>
  <c r="BV66" i="6"/>
  <c r="BR66" i="6"/>
  <c r="BN66" i="6"/>
  <c r="BJ66" i="6"/>
  <c r="BF66" i="6"/>
  <c r="BB66" i="6"/>
  <c r="AX66" i="6"/>
  <c r="AT66" i="6"/>
  <c r="AP66" i="6"/>
  <c r="AL66" i="6"/>
  <c r="AH66" i="6"/>
  <c r="AD66" i="6"/>
  <c r="Z66" i="6"/>
  <c r="V66" i="6"/>
  <c r="R66" i="6"/>
  <c r="N66" i="6"/>
  <c r="J66" i="6"/>
  <c r="ED66" i="6" s="1"/>
  <c r="EC65" i="6"/>
  <c r="EB65" i="6"/>
  <c r="DZ65" i="6"/>
  <c r="DV65" i="6"/>
  <c r="DR65" i="6"/>
  <c r="DN65" i="6"/>
  <c r="DJ65" i="6"/>
  <c r="DF65" i="6"/>
  <c r="DB65" i="6"/>
  <c r="CX65" i="6"/>
  <c r="CT65" i="6"/>
  <c r="CP65" i="6"/>
  <c r="CL65" i="6"/>
  <c r="CH65" i="6"/>
  <c r="CD65" i="6"/>
  <c r="BZ65" i="6"/>
  <c r="BV65" i="6"/>
  <c r="BR65" i="6"/>
  <c r="BN65" i="6"/>
  <c r="BJ65" i="6"/>
  <c r="BF65" i="6"/>
  <c r="BB65" i="6"/>
  <c r="AX65" i="6"/>
  <c r="AT65" i="6"/>
  <c r="ED65" i="6" s="1"/>
  <c r="AP65" i="6"/>
  <c r="AL65" i="6"/>
  <c r="AH65" i="6"/>
  <c r="AD65" i="6"/>
  <c r="Z65" i="6"/>
  <c r="V65" i="6"/>
  <c r="R65" i="6"/>
  <c r="N65" i="6"/>
  <c r="J65" i="6"/>
  <c r="EC64" i="6"/>
  <c r="EB64" i="6"/>
  <c r="DZ64" i="6"/>
  <c r="DV64" i="6"/>
  <c r="DR64" i="6"/>
  <c r="DN64" i="6"/>
  <c r="DJ64" i="6"/>
  <c r="DF64" i="6"/>
  <c r="DB64" i="6"/>
  <c r="CX64" i="6"/>
  <c r="CT64" i="6"/>
  <c r="CP64" i="6"/>
  <c r="CL64" i="6"/>
  <c r="CH64" i="6"/>
  <c r="CD64" i="6"/>
  <c r="BZ64" i="6"/>
  <c r="BV64" i="6"/>
  <c r="BR64" i="6"/>
  <c r="BN64" i="6"/>
  <c r="BJ64" i="6"/>
  <c r="BF64" i="6"/>
  <c r="BB64" i="6"/>
  <c r="AX64" i="6"/>
  <c r="AT64" i="6"/>
  <c r="AP64" i="6"/>
  <c r="AL64" i="6"/>
  <c r="AH64" i="6"/>
  <c r="AD64" i="6"/>
  <c r="Z64" i="6"/>
  <c r="V64" i="6"/>
  <c r="R64" i="6"/>
  <c r="N64" i="6"/>
  <c r="J64" i="6"/>
  <c r="ED64" i="6" s="1"/>
  <c r="EC63" i="6"/>
  <c r="EB63" i="6"/>
  <c r="DZ63" i="6"/>
  <c r="DV63" i="6"/>
  <c r="DR63" i="6"/>
  <c r="DN63" i="6"/>
  <c r="DJ63" i="6"/>
  <c r="DF63" i="6"/>
  <c r="DB63" i="6"/>
  <c r="CX63" i="6"/>
  <c r="CT63" i="6"/>
  <c r="CP63" i="6"/>
  <c r="CL63" i="6"/>
  <c r="CH63" i="6"/>
  <c r="CD63" i="6"/>
  <c r="BZ63" i="6"/>
  <c r="BV63" i="6"/>
  <c r="BR63" i="6"/>
  <c r="BN63" i="6"/>
  <c r="BJ63" i="6"/>
  <c r="BF63" i="6"/>
  <c r="BB63" i="6"/>
  <c r="AX63" i="6"/>
  <c r="AT63" i="6"/>
  <c r="AP63" i="6"/>
  <c r="AL63" i="6"/>
  <c r="AH63" i="6"/>
  <c r="AD63" i="6"/>
  <c r="Z63" i="6"/>
  <c r="V63" i="6"/>
  <c r="R63" i="6"/>
  <c r="N63" i="6"/>
  <c r="J63" i="6"/>
  <c r="ED63" i="6" s="1"/>
  <c r="EC62" i="6"/>
  <c r="EB62" i="6"/>
  <c r="DZ62" i="6"/>
  <c r="DV62" i="6"/>
  <c r="DR62" i="6"/>
  <c r="DN62" i="6"/>
  <c r="DJ62" i="6"/>
  <c r="DF62" i="6"/>
  <c r="DB62" i="6"/>
  <c r="CX62" i="6"/>
  <c r="CT62" i="6"/>
  <c r="CP62" i="6"/>
  <c r="CL62" i="6"/>
  <c r="CH62" i="6"/>
  <c r="CD62" i="6"/>
  <c r="BZ62" i="6"/>
  <c r="BV62" i="6"/>
  <c r="BR62" i="6"/>
  <c r="BN62" i="6"/>
  <c r="BJ62" i="6"/>
  <c r="BF62" i="6"/>
  <c r="BB62" i="6"/>
  <c r="AX62" i="6"/>
  <c r="AT62" i="6"/>
  <c r="AP62" i="6"/>
  <c r="AL62" i="6"/>
  <c r="AH62" i="6"/>
  <c r="AD62" i="6"/>
  <c r="Z62" i="6"/>
  <c r="V62" i="6"/>
  <c r="ED62" i="6" s="1"/>
  <c r="R62" i="6"/>
  <c r="N62" i="6"/>
  <c r="J62" i="6"/>
  <c r="EC61" i="6"/>
  <c r="EB61" i="6"/>
  <c r="DZ61" i="6"/>
  <c r="DV61" i="6"/>
  <c r="DR61" i="6"/>
  <c r="DN61" i="6"/>
  <c r="DJ61" i="6"/>
  <c r="DF61" i="6"/>
  <c r="DB61" i="6"/>
  <c r="CX61" i="6"/>
  <c r="CT61" i="6"/>
  <c r="CP61" i="6"/>
  <c r="CL61" i="6"/>
  <c r="CH61" i="6"/>
  <c r="CD61" i="6"/>
  <c r="BZ61" i="6"/>
  <c r="BV61" i="6"/>
  <c r="BR61" i="6"/>
  <c r="BN61" i="6"/>
  <c r="BJ61" i="6"/>
  <c r="BF61" i="6"/>
  <c r="BB61" i="6"/>
  <c r="AX61" i="6"/>
  <c r="AT61" i="6"/>
  <c r="AP61" i="6"/>
  <c r="AL61" i="6"/>
  <c r="AH61" i="6"/>
  <c r="AD61" i="6"/>
  <c r="Z61" i="6"/>
  <c r="V61" i="6"/>
  <c r="R61" i="6"/>
  <c r="N61" i="6"/>
  <c r="ED61" i="6" s="1"/>
  <c r="J61" i="6"/>
  <c r="EC60" i="6"/>
  <c r="EB60" i="6"/>
  <c r="DZ60" i="6"/>
  <c r="DV60" i="6"/>
  <c r="DR60" i="6"/>
  <c r="DN60" i="6"/>
  <c r="DJ60" i="6"/>
  <c r="DF60" i="6"/>
  <c r="DB60" i="6"/>
  <c r="CX60" i="6"/>
  <c r="CT60" i="6"/>
  <c r="CP60" i="6"/>
  <c r="CL60" i="6"/>
  <c r="CH60" i="6"/>
  <c r="CD60" i="6"/>
  <c r="BZ60" i="6"/>
  <c r="BV60" i="6"/>
  <c r="BR60" i="6"/>
  <c r="BN60" i="6"/>
  <c r="BJ60" i="6"/>
  <c r="BF60" i="6"/>
  <c r="BB60" i="6"/>
  <c r="AX60" i="6"/>
  <c r="AT60" i="6"/>
  <c r="AP60" i="6"/>
  <c r="AL60" i="6"/>
  <c r="AH60" i="6"/>
  <c r="AD60" i="6"/>
  <c r="Z60" i="6"/>
  <c r="V60" i="6"/>
  <c r="R60" i="6"/>
  <c r="N60" i="6"/>
  <c r="J60" i="6"/>
  <c r="ED60" i="6" s="1"/>
  <c r="EC59" i="6"/>
  <c r="EB59" i="6"/>
  <c r="DZ59" i="6"/>
  <c r="DV59" i="6"/>
  <c r="DR59" i="6"/>
  <c r="DN59" i="6"/>
  <c r="DJ59" i="6"/>
  <c r="DF59" i="6"/>
  <c r="DB59" i="6"/>
  <c r="CX59" i="6"/>
  <c r="CT59" i="6"/>
  <c r="CP59" i="6"/>
  <c r="CL59" i="6"/>
  <c r="CH59" i="6"/>
  <c r="CD59" i="6"/>
  <c r="BZ59" i="6"/>
  <c r="BV59" i="6"/>
  <c r="BR59" i="6"/>
  <c r="BN59" i="6"/>
  <c r="BJ59" i="6"/>
  <c r="BF59" i="6"/>
  <c r="BB59" i="6"/>
  <c r="AX59" i="6"/>
  <c r="AT59" i="6"/>
  <c r="ED59" i="6" s="1"/>
  <c r="AP59" i="6"/>
  <c r="AL59" i="6"/>
  <c r="AH59" i="6"/>
  <c r="AD59" i="6"/>
  <c r="Z59" i="6"/>
  <c r="V59" i="6"/>
  <c r="R59" i="6"/>
  <c r="N59" i="6"/>
  <c r="J59" i="6"/>
  <c r="EC58" i="6"/>
  <c r="EB58" i="6"/>
  <c r="DZ58" i="6"/>
  <c r="DV58" i="6"/>
  <c r="DR58" i="6"/>
  <c r="DN58" i="6"/>
  <c r="DJ58" i="6"/>
  <c r="DF58" i="6"/>
  <c r="DB58" i="6"/>
  <c r="CX58" i="6"/>
  <c r="CT58" i="6"/>
  <c r="CP58" i="6"/>
  <c r="CL58" i="6"/>
  <c r="CH58" i="6"/>
  <c r="CD58" i="6"/>
  <c r="BZ58" i="6"/>
  <c r="BV58" i="6"/>
  <c r="BR58" i="6"/>
  <c r="BN58" i="6"/>
  <c r="BJ58" i="6"/>
  <c r="BF58" i="6"/>
  <c r="BB58" i="6"/>
  <c r="AX58" i="6"/>
  <c r="AT58" i="6"/>
  <c r="AP58" i="6"/>
  <c r="AL58" i="6"/>
  <c r="AH58" i="6"/>
  <c r="AD58" i="6"/>
  <c r="Z58" i="6"/>
  <c r="V58" i="6"/>
  <c r="R58" i="6"/>
  <c r="N58" i="6"/>
  <c r="J58" i="6"/>
  <c r="ED58" i="6" s="1"/>
  <c r="EC57" i="6"/>
  <c r="EB57" i="6"/>
  <c r="DZ57" i="6"/>
  <c r="DV57" i="6"/>
  <c r="DR57" i="6"/>
  <c r="DN57" i="6"/>
  <c r="DJ57" i="6"/>
  <c r="DF57" i="6"/>
  <c r="DB57" i="6"/>
  <c r="CX57" i="6"/>
  <c r="CT57" i="6"/>
  <c r="CP57" i="6"/>
  <c r="CL57" i="6"/>
  <c r="CH57" i="6"/>
  <c r="CD57" i="6"/>
  <c r="BZ57" i="6"/>
  <c r="BV57" i="6"/>
  <c r="BR57" i="6"/>
  <c r="BN57" i="6"/>
  <c r="BJ57" i="6"/>
  <c r="BF57" i="6"/>
  <c r="BB57" i="6"/>
  <c r="AX57" i="6"/>
  <c r="AT57" i="6"/>
  <c r="AP57" i="6"/>
  <c r="AL57" i="6"/>
  <c r="AH57" i="6"/>
  <c r="AD57" i="6"/>
  <c r="Z57" i="6"/>
  <c r="V57" i="6"/>
  <c r="R57" i="6"/>
  <c r="N57" i="6"/>
  <c r="J57" i="6"/>
  <c r="ED57" i="6" s="1"/>
  <c r="EC56" i="6"/>
  <c r="EB56" i="6"/>
  <c r="DZ56" i="6"/>
  <c r="DV56" i="6"/>
  <c r="DR56" i="6"/>
  <c r="DN56" i="6"/>
  <c r="DJ56" i="6"/>
  <c r="DF56" i="6"/>
  <c r="DB56" i="6"/>
  <c r="CX56" i="6"/>
  <c r="CT56" i="6"/>
  <c r="CP56" i="6"/>
  <c r="CL56" i="6"/>
  <c r="CH56" i="6"/>
  <c r="CD56" i="6"/>
  <c r="BZ56" i="6"/>
  <c r="BV56" i="6"/>
  <c r="BR56" i="6"/>
  <c r="BN56" i="6"/>
  <c r="BJ56" i="6"/>
  <c r="BF56" i="6"/>
  <c r="BB56" i="6"/>
  <c r="AX56" i="6"/>
  <c r="AT56" i="6"/>
  <c r="AP56" i="6"/>
  <c r="AL56" i="6"/>
  <c r="AH56" i="6"/>
  <c r="AD56" i="6"/>
  <c r="Z56" i="6"/>
  <c r="V56" i="6"/>
  <c r="ED56" i="6" s="1"/>
  <c r="R56" i="6"/>
  <c r="N56" i="6"/>
  <c r="J56" i="6"/>
  <c r="EC55" i="6"/>
  <c r="EB55" i="6"/>
  <c r="DZ55" i="6"/>
  <c r="DV55" i="6"/>
  <c r="DR55" i="6"/>
  <c r="DN55" i="6"/>
  <c r="DJ55" i="6"/>
  <c r="DF55" i="6"/>
  <c r="DB55" i="6"/>
  <c r="CX55" i="6"/>
  <c r="CT55" i="6"/>
  <c r="CP55" i="6"/>
  <c r="CL55" i="6"/>
  <c r="CH55" i="6"/>
  <c r="CD55" i="6"/>
  <c r="BZ55" i="6"/>
  <c r="BV55" i="6"/>
  <c r="BR55" i="6"/>
  <c r="BN55" i="6"/>
  <c r="BJ55" i="6"/>
  <c r="BF55" i="6"/>
  <c r="BB55" i="6"/>
  <c r="AX55" i="6"/>
  <c r="AT55" i="6"/>
  <c r="AP55" i="6"/>
  <c r="AL55" i="6"/>
  <c r="AH55" i="6"/>
  <c r="AD55" i="6"/>
  <c r="Z55" i="6"/>
  <c r="V55" i="6"/>
  <c r="R55" i="6"/>
  <c r="N55" i="6"/>
  <c r="ED55" i="6" s="1"/>
  <c r="J55" i="6"/>
  <c r="EC54" i="6"/>
  <c r="EB54" i="6"/>
  <c r="DZ54" i="6"/>
  <c r="DV54" i="6"/>
  <c r="DR54" i="6"/>
  <c r="DN54" i="6"/>
  <c r="DJ54" i="6"/>
  <c r="DF54" i="6"/>
  <c r="DB54" i="6"/>
  <c r="CX54" i="6"/>
  <c r="CT54" i="6"/>
  <c r="CP54" i="6"/>
  <c r="CL54" i="6"/>
  <c r="CH54" i="6"/>
  <c r="CD54" i="6"/>
  <c r="BZ54" i="6"/>
  <c r="BV54" i="6"/>
  <c r="BR54" i="6"/>
  <c r="BN54" i="6"/>
  <c r="BJ54" i="6"/>
  <c r="BF54" i="6"/>
  <c r="BB54" i="6"/>
  <c r="AX54" i="6"/>
  <c r="AT54" i="6"/>
  <c r="AP54" i="6"/>
  <c r="AL54" i="6"/>
  <c r="AH54" i="6"/>
  <c r="AD54" i="6"/>
  <c r="Z54" i="6"/>
  <c r="V54" i="6"/>
  <c r="R54" i="6"/>
  <c r="N54" i="6"/>
  <c r="J54" i="6"/>
  <c r="ED54" i="6" s="1"/>
  <c r="EC53" i="6"/>
  <c r="EB53" i="6"/>
  <c r="DZ53" i="6"/>
  <c r="DV53" i="6"/>
  <c r="DR53" i="6"/>
  <c r="DN53" i="6"/>
  <c r="DJ53" i="6"/>
  <c r="DF53" i="6"/>
  <c r="DB53" i="6"/>
  <c r="CX53" i="6"/>
  <c r="CT53" i="6"/>
  <c r="CP53" i="6"/>
  <c r="CL53" i="6"/>
  <c r="CH53" i="6"/>
  <c r="CD53" i="6"/>
  <c r="BZ53" i="6"/>
  <c r="BV53" i="6"/>
  <c r="BR53" i="6"/>
  <c r="BN53" i="6"/>
  <c r="BJ53" i="6"/>
  <c r="BF53" i="6"/>
  <c r="BB53" i="6"/>
  <c r="AX53" i="6"/>
  <c r="AT53" i="6"/>
  <c r="ED53" i="6" s="1"/>
  <c r="AP53" i="6"/>
  <c r="AL53" i="6"/>
  <c r="AH53" i="6"/>
  <c r="AD53" i="6"/>
  <c r="Z53" i="6"/>
  <c r="V53" i="6"/>
  <c r="R53" i="6"/>
  <c r="N53" i="6"/>
  <c r="J53" i="6"/>
  <c r="EC52" i="6"/>
  <c r="EB52" i="6"/>
  <c r="DZ52" i="6"/>
  <c r="DV52" i="6"/>
  <c r="DR52" i="6"/>
  <c r="DN52" i="6"/>
  <c r="DJ52" i="6"/>
  <c r="DF52" i="6"/>
  <c r="DB52" i="6"/>
  <c r="CX52" i="6"/>
  <c r="CT52" i="6"/>
  <c r="CP52" i="6"/>
  <c r="CL52" i="6"/>
  <c r="CH52" i="6"/>
  <c r="CD52" i="6"/>
  <c r="BZ52" i="6"/>
  <c r="BV52" i="6"/>
  <c r="BR52" i="6"/>
  <c r="BN52" i="6"/>
  <c r="BJ52" i="6"/>
  <c r="BF52" i="6"/>
  <c r="BB52" i="6"/>
  <c r="AX52" i="6"/>
  <c r="AT52" i="6"/>
  <c r="AP52" i="6"/>
  <c r="AL52" i="6"/>
  <c r="AH52" i="6"/>
  <c r="AD52" i="6"/>
  <c r="Z52" i="6"/>
  <c r="V52" i="6"/>
  <c r="R52" i="6"/>
  <c r="N52" i="6"/>
  <c r="J52" i="6"/>
  <c r="ED52" i="6" s="1"/>
  <c r="EC51" i="6"/>
  <c r="EB51" i="6"/>
  <c r="DZ51" i="6"/>
  <c r="DV51" i="6"/>
  <c r="DR51" i="6"/>
  <c r="DN51" i="6"/>
  <c r="DJ51" i="6"/>
  <c r="DF51" i="6"/>
  <c r="DB51" i="6"/>
  <c r="CX51" i="6"/>
  <c r="CT51" i="6"/>
  <c r="CP51" i="6"/>
  <c r="CL51" i="6"/>
  <c r="CH51" i="6"/>
  <c r="CD51" i="6"/>
  <c r="BZ51" i="6"/>
  <c r="BV51" i="6"/>
  <c r="BR51" i="6"/>
  <c r="BN51" i="6"/>
  <c r="BJ51" i="6"/>
  <c r="BF51" i="6"/>
  <c r="BB51" i="6"/>
  <c r="AX51" i="6"/>
  <c r="AT51" i="6"/>
  <c r="AP51" i="6"/>
  <c r="AL51" i="6"/>
  <c r="AH51" i="6"/>
  <c r="AD51" i="6"/>
  <c r="Z51" i="6"/>
  <c r="V51" i="6"/>
  <c r="R51" i="6"/>
  <c r="N51" i="6"/>
  <c r="J51" i="6"/>
  <c r="ED51" i="6" s="1"/>
  <c r="EC50" i="6"/>
  <c r="EB50" i="6"/>
  <c r="DZ50" i="6"/>
  <c r="DV50" i="6"/>
  <c r="DR50" i="6"/>
  <c r="DN50" i="6"/>
  <c r="DJ50" i="6"/>
  <c r="DF50" i="6"/>
  <c r="DB50" i="6"/>
  <c r="CX50" i="6"/>
  <c r="CT50" i="6"/>
  <c r="CP50" i="6"/>
  <c r="CL50" i="6"/>
  <c r="CH50" i="6"/>
  <c r="CD50" i="6"/>
  <c r="BZ50" i="6"/>
  <c r="BV50" i="6"/>
  <c r="BR50" i="6"/>
  <c r="BN50" i="6"/>
  <c r="BJ50" i="6"/>
  <c r="BF50" i="6"/>
  <c r="BB50" i="6"/>
  <c r="AX50" i="6"/>
  <c r="AT50" i="6"/>
  <c r="AP50" i="6"/>
  <c r="AL50" i="6"/>
  <c r="AH50" i="6"/>
  <c r="AD50" i="6"/>
  <c r="Z50" i="6"/>
  <c r="V50" i="6"/>
  <c r="ED50" i="6" s="1"/>
  <c r="R50" i="6"/>
  <c r="N50" i="6"/>
  <c r="J50" i="6"/>
  <c r="EC49" i="6"/>
  <c r="EB49" i="6"/>
  <c r="DZ49" i="6"/>
  <c r="DV49" i="6"/>
  <c r="DR49" i="6"/>
  <c r="DN49" i="6"/>
  <c r="DJ49" i="6"/>
  <c r="DF49" i="6"/>
  <c r="DB49" i="6"/>
  <c r="CX49" i="6"/>
  <c r="CT49" i="6"/>
  <c r="CP49" i="6"/>
  <c r="CL49" i="6"/>
  <c r="CH49" i="6"/>
  <c r="CD49" i="6"/>
  <c r="BZ49" i="6"/>
  <c r="BV49" i="6"/>
  <c r="BR49" i="6"/>
  <c r="BN49" i="6"/>
  <c r="BJ49" i="6"/>
  <c r="BF49" i="6"/>
  <c r="BB49" i="6"/>
  <c r="AX49" i="6"/>
  <c r="AT49" i="6"/>
  <c r="AP49" i="6"/>
  <c r="AL49" i="6"/>
  <c r="AH49" i="6"/>
  <c r="AD49" i="6"/>
  <c r="Z49" i="6"/>
  <c r="V49" i="6"/>
  <c r="R49" i="6"/>
  <c r="N49" i="6"/>
  <c r="ED49" i="6" s="1"/>
  <c r="J49" i="6"/>
  <c r="EC48" i="6"/>
  <c r="EB48" i="6"/>
  <c r="DZ48" i="6"/>
  <c r="DV48" i="6"/>
  <c r="DR48" i="6"/>
  <c r="DN48" i="6"/>
  <c r="DJ48" i="6"/>
  <c r="DF48" i="6"/>
  <c r="DB48" i="6"/>
  <c r="CX48" i="6"/>
  <c r="CT48" i="6"/>
  <c r="CP48" i="6"/>
  <c r="CL48" i="6"/>
  <c r="CH48" i="6"/>
  <c r="CD48" i="6"/>
  <c r="BZ48" i="6"/>
  <c r="BV48" i="6"/>
  <c r="BR48" i="6"/>
  <c r="BN48" i="6"/>
  <c r="BJ48" i="6"/>
  <c r="BF48" i="6"/>
  <c r="BB48" i="6"/>
  <c r="AX48" i="6"/>
  <c r="AT48" i="6"/>
  <c r="AP48" i="6"/>
  <c r="AL48" i="6"/>
  <c r="AH48" i="6"/>
  <c r="AD48" i="6"/>
  <c r="Z48" i="6"/>
  <c r="V48" i="6"/>
  <c r="R48" i="6"/>
  <c r="N48" i="6"/>
  <c r="J48" i="6"/>
  <c r="ED48" i="6" s="1"/>
  <c r="EC47" i="6"/>
  <c r="EB47" i="6"/>
  <c r="DZ47" i="6"/>
  <c r="DV47" i="6"/>
  <c r="DR47" i="6"/>
  <c r="DN47" i="6"/>
  <c r="DJ47" i="6"/>
  <c r="DF47" i="6"/>
  <c r="DB47" i="6"/>
  <c r="CX47" i="6"/>
  <c r="CT47" i="6"/>
  <c r="CP47" i="6"/>
  <c r="CL47" i="6"/>
  <c r="CH47" i="6"/>
  <c r="CD47" i="6"/>
  <c r="BZ47" i="6"/>
  <c r="BV47" i="6"/>
  <c r="BR47" i="6"/>
  <c r="BN47" i="6"/>
  <c r="BJ47" i="6"/>
  <c r="BF47" i="6"/>
  <c r="BB47" i="6"/>
  <c r="AX47" i="6"/>
  <c r="AT47" i="6"/>
  <c r="ED47" i="6" s="1"/>
  <c r="AP47" i="6"/>
  <c r="AL47" i="6"/>
  <c r="AH47" i="6"/>
  <c r="AD47" i="6"/>
  <c r="Z47" i="6"/>
  <c r="V47" i="6"/>
  <c r="R47" i="6"/>
  <c r="N47" i="6"/>
  <c r="J47" i="6"/>
  <c r="EC46" i="6"/>
  <c r="EB46" i="6"/>
  <c r="DZ46" i="6"/>
  <c r="DV46" i="6"/>
  <c r="DR46" i="6"/>
  <c r="DN46" i="6"/>
  <c r="DJ46" i="6"/>
  <c r="DF46" i="6"/>
  <c r="DB46" i="6"/>
  <c r="CX46" i="6"/>
  <c r="CT46" i="6"/>
  <c r="CP46" i="6"/>
  <c r="CL46" i="6"/>
  <c r="CH46" i="6"/>
  <c r="CD46" i="6"/>
  <c r="BZ46" i="6"/>
  <c r="BV46" i="6"/>
  <c r="BR46" i="6"/>
  <c r="BN46" i="6"/>
  <c r="BJ46" i="6"/>
  <c r="BF46" i="6"/>
  <c r="BB46" i="6"/>
  <c r="AX46" i="6"/>
  <c r="AT46" i="6"/>
  <c r="AP46" i="6"/>
  <c r="AL46" i="6"/>
  <c r="AH46" i="6"/>
  <c r="AD46" i="6"/>
  <c r="Z46" i="6"/>
  <c r="V46" i="6"/>
  <c r="R46" i="6"/>
  <c r="N46" i="6"/>
  <c r="J46" i="6"/>
  <c r="ED46" i="6" s="1"/>
  <c r="EC45" i="6"/>
  <c r="EB45" i="6"/>
  <c r="DZ45" i="6"/>
  <c r="DV45" i="6"/>
  <c r="DR45" i="6"/>
  <c r="DN45" i="6"/>
  <c r="DJ45" i="6"/>
  <c r="DF45" i="6"/>
  <c r="DB45" i="6"/>
  <c r="CX45" i="6"/>
  <c r="CT45" i="6"/>
  <c r="CP45" i="6"/>
  <c r="CL45" i="6"/>
  <c r="CH45" i="6"/>
  <c r="CD45" i="6"/>
  <c r="BZ45" i="6"/>
  <c r="BV45" i="6"/>
  <c r="BR45" i="6"/>
  <c r="BN45" i="6"/>
  <c r="BJ45" i="6"/>
  <c r="BF45" i="6"/>
  <c r="BB45" i="6"/>
  <c r="AX45" i="6"/>
  <c r="AT45" i="6"/>
  <c r="AP45" i="6"/>
  <c r="AL45" i="6"/>
  <c r="AH45" i="6"/>
  <c r="AD45" i="6"/>
  <c r="Z45" i="6"/>
  <c r="V45" i="6"/>
  <c r="R45" i="6"/>
  <c r="N45" i="6"/>
  <c r="J45" i="6"/>
  <c r="ED45" i="6" s="1"/>
  <c r="EC44" i="6"/>
  <c r="EB44" i="6"/>
  <c r="DZ44" i="6"/>
  <c r="DV44" i="6"/>
  <c r="DR44" i="6"/>
  <c r="DN44" i="6"/>
  <c r="DJ44" i="6"/>
  <c r="DF44" i="6"/>
  <c r="DB44" i="6"/>
  <c r="CX44" i="6"/>
  <c r="CT44" i="6"/>
  <c r="CP44" i="6"/>
  <c r="CL44" i="6"/>
  <c r="CH44" i="6"/>
  <c r="CD44" i="6"/>
  <c r="BZ44" i="6"/>
  <c r="BV44" i="6"/>
  <c r="BR44" i="6"/>
  <c r="BN44" i="6"/>
  <c r="BJ44" i="6"/>
  <c r="BF44" i="6"/>
  <c r="BB44" i="6"/>
  <c r="AX44" i="6"/>
  <c r="AT44" i="6"/>
  <c r="AP44" i="6"/>
  <c r="AL44" i="6"/>
  <c r="AH44" i="6"/>
  <c r="AD44" i="6"/>
  <c r="Z44" i="6"/>
  <c r="V44" i="6"/>
  <c r="ED44" i="6" s="1"/>
  <c r="R44" i="6"/>
  <c r="N44" i="6"/>
  <c r="J44" i="6"/>
  <c r="EC43" i="6"/>
  <c r="EB43" i="6"/>
  <c r="DZ43" i="6"/>
  <c r="DV43" i="6"/>
  <c r="DR43" i="6"/>
  <c r="DN43" i="6"/>
  <c r="DJ43" i="6"/>
  <c r="DF43" i="6"/>
  <c r="DB43" i="6"/>
  <c r="CX43" i="6"/>
  <c r="CT43" i="6"/>
  <c r="CP43" i="6"/>
  <c r="CL43" i="6"/>
  <c r="CH43" i="6"/>
  <c r="CD43" i="6"/>
  <c r="BZ43" i="6"/>
  <c r="BV43" i="6"/>
  <c r="BR43" i="6"/>
  <c r="BN43" i="6"/>
  <c r="BJ43" i="6"/>
  <c r="BF43" i="6"/>
  <c r="BB43" i="6"/>
  <c r="AX43" i="6"/>
  <c r="AT43" i="6"/>
  <c r="AP43" i="6"/>
  <c r="AL43" i="6"/>
  <c r="AH43" i="6"/>
  <c r="AD43" i="6"/>
  <c r="Z43" i="6"/>
  <c r="V43" i="6"/>
  <c r="R43" i="6"/>
  <c r="N43" i="6"/>
  <c r="ED43" i="6" s="1"/>
  <c r="J43" i="6"/>
  <c r="EC42" i="6"/>
  <c r="EB42" i="6"/>
  <c r="DZ42" i="6"/>
  <c r="DV42" i="6"/>
  <c r="DR42" i="6"/>
  <c r="DN42" i="6"/>
  <c r="DJ42" i="6"/>
  <c r="DF42" i="6"/>
  <c r="DB42" i="6"/>
  <c r="CX42" i="6"/>
  <c r="CT42" i="6"/>
  <c r="CP42" i="6"/>
  <c r="CL42" i="6"/>
  <c r="CH42" i="6"/>
  <c r="CD42" i="6"/>
  <c r="BZ42" i="6"/>
  <c r="BV42" i="6"/>
  <c r="BR42" i="6"/>
  <c r="BN42" i="6"/>
  <c r="BJ42" i="6"/>
  <c r="BF42" i="6"/>
  <c r="BB42" i="6"/>
  <c r="AX42" i="6"/>
  <c r="AT42" i="6"/>
  <c r="AP42" i="6"/>
  <c r="AL42" i="6"/>
  <c r="AH42" i="6"/>
  <c r="AD42" i="6"/>
  <c r="Z42" i="6"/>
  <c r="V42" i="6"/>
  <c r="R42" i="6"/>
  <c r="N42" i="6"/>
  <c r="J42" i="6"/>
  <c r="ED42" i="6" s="1"/>
  <c r="ED41" i="6"/>
  <c r="EC41" i="6"/>
  <c r="EB41" i="6"/>
  <c r="DZ41" i="6"/>
  <c r="DV41" i="6"/>
  <c r="DR41" i="6"/>
  <c r="DN41" i="6"/>
  <c r="DJ41" i="6"/>
  <c r="DF41" i="6"/>
  <c r="DB41" i="6"/>
  <c r="CX41" i="6"/>
  <c r="CT41" i="6"/>
  <c r="CP41" i="6"/>
  <c r="CL41" i="6"/>
  <c r="CH41" i="6"/>
  <c r="CD41" i="6"/>
  <c r="BZ41" i="6"/>
  <c r="BV41" i="6"/>
  <c r="BR41" i="6"/>
  <c r="BN41" i="6"/>
  <c r="BJ41" i="6"/>
  <c r="BF41" i="6"/>
  <c r="BB41" i="6"/>
  <c r="AX41" i="6"/>
  <c r="AT41" i="6"/>
  <c r="AP41" i="6"/>
  <c r="AL41" i="6"/>
  <c r="AH41" i="6"/>
  <c r="AD41" i="6"/>
  <c r="Z41" i="6"/>
  <c r="V41" i="6"/>
  <c r="R41" i="6"/>
  <c r="N41" i="6"/>
  <c r="J41" i="6"/>
  <c r="EC40" i="6"/>
  <c r="EB40" i="6"/>
  <c r="DZ40" i="6"/>
  <c r="DV40" i="6"/>
  <c r="DR40" i="6"/>
  <c r="DN40" i="6"/>
  <c r="DJ40" i="6"/>
  <c r="DF40" i="6"/>
  <c r="DB40" i="6"/>
  <c r="CX40" i="6"/>
  <c r="CT40" i="6"/>
  <c r="CP40" i="6"/>
  <c r="CL40" i="6"/>
  <c r="CH40" i="6"/>
  <c r="CD40" i="6"/>
  <c r="BZ40" i="6"/>
  <c r="BV40" i="6"/>
  <c r="BR40" i="6"/>
  <c r="BN40" i="6"/>
  <c r="BJ40" i="6"/>
  <c r="BF40" i="6"/>
  <c r="BB40" i="6"/>
  <c r="AX40" i="6"/>
  <c r="AT40" i="6"/>
  <c r="AP40" i="6"/>
  <c r="AL40" i="6"/>
  <c r="AH40" i="6"/>
  <c r="AD40" i="6"/>
  <c r="Z40" i="6"/>
  <c r="V40" i="6"/>
  <c r="R40" i="6"/>
  <c r="N40" i="6"/>
  <c r="J40" i="6"/>
  <c r="ED40" i="6" s="1"/>
  <c r="EC39" i="6"/>
  <c r="EB39" i="6"/>
  <c r="DZ39" i="6"/>
  <c r="DV39" i="6"/>
  <c r="DR39" i="6"/>
  <c r="DN39" i="6"/>
  <c r="DJ39" i="6"/>
  <c r="DF39" i="6"/>
  <c r="DB39" i="6"/>
  <c r="CX39" i="6"/>
  <c r="CT39" i="6"/>
  <c r="CP39" i="6"/>
  <c r="CL39" i="6"/>
  <c r="CH39" i="6"/>
  <c r="CD39" i="6"/>
  <c r="BZ39" i="6"/>
  <c r="BV39" i="6"/>
  <c r="BR39" i="6"/>
  <c r="BN39" i="6"/>
  <c r="BJ39" i="6"/>
  <c r="BF39" i="6"/>
  <c r="BB39" i="6"/>
  <c r="AX39" i="6"/>
  <c r="AT39" i="6"/>
  <c r="AP39" i="6"/>
  <c r="AL39" i="6"/>
  <c r="AH39" i="6"/>
  <c r="AD39" i="6"/>
  <c r="Z39" i="6"/>
  <c r="V39" i="6"/>
  <c r="R39" i="6"/>
  <c r="N39" i="6"/>
  <c r="J39" i="6"/>
  <c r="ED39" i="6" s="1"/>
  <c r="EC38" i="6"/>
  <c r="EB38" i="6"/>
  <c r="DZ38" i="6"/>
  <c r="DV38" i="6"/>
  <c r="DR38" i="6"/>
  <c r="DN38" i="6"/>
  <c r="DJ38" i="6"/>
  <c r="DF38" i="6"/>
  <c r="DB38" i="6"/>
  <c r="CX38" i="6"/>
  <c r="CT38" i="6"/>
  <c r="CP38" i="6"/>
  <c r="CL38" i="6"/>
  <c r="CH38" i="6"/>
  <c r="CD38" i="6"/>
  <c r="BZ38" i="6"/>
  <c r="BV38" i="6"/>
  <c r="BR38" i="6"/>
  <c r="BN38" i="6"/>
  <c r="BJ38" i="6"/>
  <c r="BF38" i="6"/>
  <c r="BB38" i="6"/>
  <c r="AX38" i="6"/>
  <c r="AT38" i="6"/>
  <c r="AP38" i="6"/>
  <c r="AL38" i="6"/>
  <c r="AH38" i="6"/>
  <c r="AD38" i="6"/>
  <c r="Z38" i="6"/>
  <c r="V38" i="6"/>
  <c r="ED38" i="6" s="1"/>
  <c r="R38" i="6"/>
  <c r="N38" i="6"/>
  <c r="J38" i="6"/>
  <c r="EC37" i="6"/>
  <c r="EB37" i="6"/>
  <c r="DZ37" i="6"/>
  <c r="DV37" i="6"/>
  <c r="DR37" i="6"/>
  <c r="DN37" i="6"/>
  <c r="DJ37" i="6"/>
  <c r="DF37" i="6"/>
  <c r="DB37" i="6"/>
  <c r="CX37" i="6"/>
  <c r="CT37" i="6"/>
  <c r="CP37" i="6"/>
  <c r="CL37" i="6"/>
  <c r="CH37" i="6"/>
  <c r="CD37" i="6"/>
  <c r="BZ37" i="6"/>
  <c r="BV37" i="6"/>
  <c r="BR37" i="6"/>
  <c r="BN37" i="6"/>
  <c r="BJ37" i="6"/>
  <c r="BF37" i="6"/>
  <c r="BB37" i="6"/>
  <c r="AX37" i="6"/>
  <c r="AT37" i="6"/>
  <c r="AP37" i="6"/>
  <c r="AL37" i="6"/>
  <c r="AH37" i="6"/>
  <c r="AD37" i="6"/>
  <c r="Z37" i="6"/>
  <c r="V37" i="6"/>
  <c r="R37" i="6"/>
  <c r="N37" i="6"/>
  <c r="ED37" i="6" s="1"/>
  <c r="J37" i="6"/>
  <c r="EC36" i="6"/>
  <c r="EB36" i="6"/>
  <c r="DZ36" i="6"/>
  <c r="DV36" i="6"/>
  <c r="DR36" i="6"/>
  <c r="DN36" i="6"/>
  <c r="DJ36" i="6"/>
  <c r="DF36" i="6"/>
  <c r="DB36" i="6"/>
  <c r="CX36" i="6"/>
  <c r="CT36" i="6"/>
  <c r="CP36" i="6"/>
  <c r="CL36" i="6"/>
  <c r="CH36" i="6"/>
  <c r="CD36" i="6"/>
  <c r="BZ36" i="6"/>
  <c r="BV36" i="6"/>
  <c r="BR36" i="6"/>
  <c r="BN36" i="6"/>
  <c r="BJ36" i="6"/>
  <c r="BF36" i="6"/>
  <c r="BB36" i="6"/>
  <c r="AX36" i="6"/>
  <c r="AT36" i="6"/>
  <c r="AP36" i="6"/>
  <c r="AL36" i="6"/>
  <c r="AH36" i="6"/>
  <c r="AD36" i="6"/>
  <c r="Z36" i="6"/>
  <c r="V36" i="6"/>
  <c r="R36" i="6"/>
  <c r="N36" i="6"/>
  <c r="J36" i="6"/>
  <c r="ED36" i="6" s="1"/>
  <c r="EC35" i="6"/>
  <c r="EB35" i="6"/>
  <c r="DZ35" i="6"/>
  <c r="DV35" i="6"/>
  <c r="DR35" i="6"/>
  <c r="DN35" i="6"/>
  <c r="DJ35" i="6"/>
  <c r="DF35" i="6"/>
  <c r="DB35" i="6"/>
  <c r="CX35" i="6"/>
  <c r="CT35" i="6"/>
  <c r="CP35" i="6"/>
  <c r="CL35" i="6"/>
  <c r="CH35" i="6"/>
  <c r="CD35" i="6"/>
  <c r="BZ35" i="6"/>
  <c r="BV35" i="6"/>
  <c r="BR35" i="6"/>
  <c r="BN35" i="6"/>
  <c r="BJ35" i="6"/>
  <c r="BF35" i="6"/>
  <c r="BB35" i="6"/>
  <c r="AX35" i="6"/>
  <c r="AT35" i="6"/>
  <c r="ED35" i="6" s="1"/>
  <c r="AP35" i="6"/>
  <c r="AL35" i="6"/>
  <c r="AH35" i="6"/>
  <c r="AD35" i="6"/>
  <c r="Z35" i="6"/>
  <c r="V35" i="6"/>
  <c r="R35" i="6"/>
  <c r="N35" i="6"/>
  <c r="J35" i="6"/>
  <c r="EC34" i="6"/>
  <c r="EB34" i="6"/>
  <c r="DZ34" i="6"/>
  <c r="DV34" i="6"/>
  <c r="DR34" i="6"/>
  <c r="DN34" i="6"/>
  <c r="DJ34" i="6"/>
  <c r="DF34" i="6"/>
  <c r="DB34" i="6"/>
  <c r="CX34" i="6"/>
  <c r="CT34" i="6"/>
  <c r="CP34" i="6"/>
  <c r="CL34" i="6"/>
  <c r="CH34" i="6"/>
  <c r="CD34" i="6"/>
  <c r="BZ34" i="6"/>
  <c r="BV34" i="6"/>
  <c r="BR34" i="6"/>
  <c r="BN34" i="6"/>
  <c r="BJ34" i="6"/>
  <c r="BF34" i="6"/>
  <c r="BB34" i="6"/>
  <c r="AX34" i="6"/>
  <c r="AT34" i="6"/>
  <c r="AP34" i="6"/>
  <c r="AL34" i="6"/>
  <c r="AH34" i="6"/>
  <c r="AD34" i="6"/>
  <c r="Z34" i="6"/>
  <c r="V34" i="6"/>
  <c r="R34" i="6"/>
  <c r="N34" i="6"/>
  <c r="J34" i="6"/>
  <c r="ED34" i="6" s="1"/>
  <c r="EC33" i="6"/>
  <c r="EB33" i="6"/>
  <c r="DZ33" i="6"/>
  <c r="DV33" i="6"/>
  <c r="DR33" i="6"/>
  <c r="DN33" i="6"/>
  <c r="DJ33" i="6"/>
  <c r="DF33" i="6"/>
  <c r="DB33" i="6"/>
  <c r="CX33" i="6"/>
  <c r="CT33" i="6"/>
  <c r="CP33" i="6"/>
  <c r="CL33" i="6"/>
  <c r="CH33" i="6"/>
  <c r="CD33" i="6"/>
  <c r="BZ33" i="6"/>
  <c r="BV33" i="6"/>
  <c r="BR33" i="6"/>
  <c r="BN33" i="6"/>
  <c r="BJ33" i="6"/>
  <c r="BF33" i="6"/>
  <c r="BB33" i="6"/>
  <c r="AX33" i="6"/>
  <c r="AT33" i="6"/>
  <c r="AP33" i="6"/>
  <c r="AL33" i="6"/>
  <c r="AH33" i="6"/>
  <c r="AD33" i="6"/>
  <c r="Z33" i="6"/>
  <c r="V33" i="6"/>
  <c r="R33" i="6"/>
  <c r="N33" i="6"/>
  <c r="J33" i="6"/>
  <c r="ED33" i="6" s="1"/>
  <c r="EC32" i="6"/>
  <c r="EB32" i="6"/>
  <c r="DZ32" i="6"/>
  <c r="DV32" i="6"/>
  <c r="DR32" i="6"/>
  <c r="DN32" i="6"/>
  <c r="DJ32" i="6"/>
  <c r="DF32" i="6"/>
  <c r="DB32" i="6"/>
  <c r="CX32" i="6"/>
  <c r="CT32" i="6"/>
  <c r="CP32" i="6"/>
  <c r="CL32" i="6"/>
  <c r="CH32" i="6"/>
  <c r="CD32" i="6"/>
  <c r="BZ32" i="6"/>
  <c r="BV32" i="6"/>
  <c r="BR32" i="6"/>
  <c r="BN32" i="6"/>
  <c r="BJ32" i="6"/>
  <c r="BF32" i="6"/>
  <c r="BB32" i="6"/>
  <c r="AX32" i="6"/>
  <c r="AT32" i="6"/>
  <c r="AP32" i="6"/>
  <c r="AL32" i="6"/>
  <c r="AH32" i="6"/>
  <c r="AD32" i="6"/>
  <c r="Z32" i="6"/>
  <c r="V32" i="6"/>
  <c r="ED32" i="6" s="1"/>
  <c r="R32" i="6"/>
  <c r="N32" i="6"/>
  <c r="J32" i="6"/>
  <c r="EC31" i="6"/>
  <c r="EB31" i="6"/>
  <c r="DZ31" i="6"/>
  <c r="DV31" i="6"/>
  <c r="DR31" i="6"/>
  <c r="DN31" i="6"/>
  <c r="DJ31" i="6"/>
  <c r="DF31" i="6"/>
  <c r="DB31" i="6"/>
  <c r="CX31" i="6"/>
  <c r="CT31" i="6"/>
  <c r="CP31" i="6"/>
  <c r="CL31" i="6"/>
  <c r="CH31" i="6"/>
  <c r="CD31" i="6"/>
  <c r="BZ31" i="6"/>
  <c r="BV31" i="6"/>
  <c r="BR31" i="6"/>
  <c r="BN31" i="6"/>
  <c r="BJ31" i="6"/>
  <c r="BF31" i="6"/>
  <c r="BB31" i="6"/>
  <c r="AX31" i="6"/>
  <c r="AT31" i="6"/>
  <c r="AP31" i="6"/>
  <c r="AL31" i="6"/>
  <c r="AH31" i="6"/>
  <c r="AD31" i="6"/>
  <c r="Z31" i="6"/>
  <c r="V31" i="6"/>
  <c r="R31" i="6"/>
  <c r="N31" i="6"/>
  <c r="ED31" i="6" s="1"/>
  <c r="J31" i="6"/>
  <c r="EC30" i="6"/>
  <c r="EB30" i="6"/>
  <c r="DZ30" i="6"/>
  <c r="DV30" i="6"/>
  <c r="DR30" i="6"/>
  <c r="DN30" i="6"/>
  <c r="DJ30" i="6"/>
  <c r="DF30" i="6"/>
  <c r="DB30" i="6"/>
  <c r="CX30" i="6"/>
  <c r="CT30" i="6"/>
  <c r="CP30" i="6"/>
  <c r="CL30" i="6"/>
  <c r="CH30" i="6"/>
  <c r="CD30" i="6"/>
  <c r="BZ30" i="6"/>
  <c r="BV30" i="6"/>
  <c r="BR30" i="6"/>
  <c r="BN30" i="6"/>
  <c r="BJ30" i="6"/>
  <c r="BF30" i="6"/>
  <c r="BB30" i="6"/>
  <c r="AX30" i="6"/>
  <c r="AT30" i="6"/>
  <c r="AP30" i="6"/>
  <c r="AL30" i="6"/>
  <c r="AH30" i="6"/>
  <c r="AD30" i="6"/>
  <c r="Z30" i="6"/>
  <c r="V30" i="6"/>
  <c r="R30" i="6"/>
  <c r="N30" i="6"/>
  <c r="J30" i="6"/>
  <c r="ED30" i="6" s="1"/>
  <c r="EC29" i="6"/>
  <c r="EB29" i="6"/>
  <c r="DZ29" i="6"/>
  <c r="DV29" i="6"/>
  <c r="DR29" i="6"/>
  <c r="DN29" i="6"/>
  <c r="DJ29" i="6"/>
  <c r="DF29" i="6"/>
  <c r="DB29" i="6"/>
  <c r="CX29" i="6"/>
  <c r="CT29" i="6"/>
  <c r="CP29" i="6"/>
  <c r="CL29" i="6"/>
  <c r="CH29" i="6"/>
  <c r="CD29" i="6"/>
  <c r="BZ29" i="6"/>
  <c r="BV29" i="6"/>
  <c r="BR29" i="6"/>
  <c r="BN29" i="6"/>
  <c r="BJ29" i="6"/>
  <c r="BF29" i="6"/>
  <c r="BB29" i="6"/>
  <c r="AX29" i="6"/>
  <c r="AT29" i="6"/>
  <c r="ED29" i="6" s="1"/>
  <c r="AP29" i="6"/>
  <c r="AL29" i="6"/>
  <c r="AH29" i="6"/>
  <c r="AD29" i="6"/>
  <c r="Z29" i="6"/>
  <c r="V29" i="6"/>
  <c r="R29" i="6"/>
  <c r="N29" i="6"/>
  <c r="J29" i="6"/>
  <c r="EC28" i="6"/>
  <c r="EB28" i="6"/>
  <c r="DZ28" i="6"/>
  <c r="DV28" i="6"/>
  <c r="DR28" i="6"/>
  <c r="DN28" i="6"/>
  <c r="DJ28" i="6"/>
  <c r="DF28" i="6"/>
  <c r="DB28" i="6"/>
  <c r="CX28" i="6"/>
  <c r="CT28" i="6"/>
  <c r="CP28" i="6"/>
  <c r="CL28" i="6"/>
  <c r="CH28" i="6"/>
  <c r="CD28" i="6"/>
  <c r="BZ28" i="6"/>
  <c r="BV28" i="6"/>
  <c r="BR28" i="6"/>
  <c r="BN28" i="6"/>
  <c r="BJ28" i="6"/>
  <c r="BF28" i="6"/>
  <c r="BB28" i="6"/>
  <c r="AX28" i="6"/>
  <c r="AT28" i="6"/>
  <c r="AP28" i="6"/>
  <c r="AL28" i="6"/>
  <c r="AH28" i="6"/>
  <c r="AD28" i="6"/>
  <c r="Z28" i="6"/>
  <c r="V28" i="6"/>
  <c r="R28" i="6"/>
  <c r="N28" i="6"/>
  <c r="J28" i="6"/>
  <c r="ED28" i="6" s="1"/>
  <c r="EC27" i="6"/>
  <c r="EB27" i="6"/>
  <c r="DZ27" i="6"/>
  <c r="DV27" i="6"/>
  <c r="DR27" i="6"/>
  <c r="DN27" i="6"/>
  <c r="DJ27" i="6"/>
  <c r="DF27" i="6"/>
  <c r="DB27" i="6"/>
  <c r="CX27" i="6"/>
  <c r="CT27" i="6"/>
  <c r="CP27" i="6"/>
  <c r="CL27" i="6"/>
  <c r="CH27" i="6"/>
  <c r="CD27" i="6"/>
  <c r="BZ27" i="6"/>
  <c r="BV27" i="6"/>
  <c r="BR27" i="6"/>
  <c r="BN27" i="6"/>
  <c r="BJ27" i="6"/>
  <c r="BF27" i="6"/>
  <c r="BB27" i="6"/>
  <c r="AX27" i="6"/>
  <c r="AT27" i="6"/>
  <c r="AP27" i="6"/>
  <c r="AL27" i="6"/>
  <c r="AH27" i="6"/>
  <c r="AD27" i="6"/>
  <c r="Z27" i="6"/>
  <c r="V27" i="6"/>
  <c r="R27" i="6"/>
  <c r="N27" i="6"/>
  <c r="J27" i="6"/>
  <c r="ED27" i="6" s="1"/>
  <c r="EC26" i="6"/>
  <c r="EB26" i="6"/>
  <c r="DZ26" i="6"/>
  <c r="DV26" i="6"/>
  <c r="DR26" i="6"/>
  <c r="DN26" i="6"/>
  <c r="DJ26" i="6"/>
  <c r="DF26" i="6"/>
  <c r="DB26" i="6"/>
  <c r="CX26" i="6"/>
  <c r="CT26" i="6"/>
  <c r="CP26" i="6"/>
  <c r="CL26" i="6"/>
  <c r="CH26" i="6"/>
  <c r="CD26" i="6"/>
  <c r="BZ26" i="6"/>
  <c r="BV26" i="6"/>
  <c r="BR26" i="6"/>
  <c r="BN26" i="6"/>
  <c r="BJ26" i="6"/>
  <c r="BF26" i="6"/>
  <c r="BB26" i="6"/>
  <c r="AX26" i="6"/>
  <c r="AT26" i="6"/>
  <c r="AP26" i="6"/>
  <c r="AL26" i="6"/>
  <c r="AH26" i="6"/>
  <c r="AD26" i="6"/>
  <c r="Z26" i="6"/>
  <c r="V26" i="6"/>
  <c r="ED26" i="6" s="1"/>
  <c r="R26" i="6"/>
  <c r="N26" i="6"/>
  <c r="J26" i="6"/>
  <c r="EC25" i="6"/>
  <c r="EB25" i="6"/>
  <c r="DZ25" i="6"/>
  <c r="DV25" i="6"/>
  <c r="DR25" i="6"/>
  <c r="DN25" i="6"/>
  <c r="DJ25" i="6"/>
  <c r="DF25" i="6"/>
  <c r="DB25" i="6"/>
  <c r="CX25" i="6"/>
  <c r="CT25" i="6"/>
  <c r="CP25" i="6"/>
  <c r="CL25" i="6"/>
  <c r="CH25" i="6"/>
  <c r="CD25" i="6"/>
  <c r="BZ25" i="6"/>
  <c r="BV25" i="6"/>
  <c r="BR25" i="6"/>
  <c r="BN25" i="6"/>
  <c r="BJ25" i="6"/>
  <c r="BF25" i="6"/>
  <c r="BB25" i="6"/>
  <c r="AX25" i="6"/>
  <c r="AT25" i="6"/>
  <c r="AP25" i="6"/>
  <c r="AL25" i="6"/>
  <c r="AH25" i="6"/>
  <c r="AD25" i="6"/>
  <c r="Z25" i="6"/>
  <c r="V25" i="6"/>
  <c r="R25" i="6"/>
  <c r="N25" i="6"/>
  <c r="ED25" i="6" s="1"/>
  <c r="J25" i="6"/>
  <c r="EC24" i="6"/>
  <c r="EB24" i="6"/>
  <c r="DZ24" i="6"/>
  <c r="DV24" i="6"/>
  <c r="DR24" i="6"/>
  <c r="DN24" i="6"/>
  <c r="DJ24" i="6"/>
  <c r="DF24" i="6"/>
  <c r="DB24" i="6"/>
  <c r="CX24" i="6"/>
  <c r="CT24" i="6"/>
  <c r="CP24" i="6"/>
  <c r="CL24" i="6"/>
  <c r="CH24" i="6"/>
  <c r="CD24" i="6"/>
  <c r="BZ24" i="6"/>
  <c r="BV24" i="6"/>
  <c r="BR24" i="6"/>
  <c r="BN24" i="6"/>
  <c r="BJ24" i="6"/>
  <c r="BF24" i="6"/>
  <c r="BB24" i="6"/>
  <c r="AX24" i="6"/>
  <c r="AT24" i="6"/>
  <c r="AP24" i="6"/>
  <c r="AL24" i="6"/>
  <c r="AH24" i="6"/>
  <c r="AD24" i="6"/>
  <c r="Z24" i="6"/>
  <c r="V24" i="6"/>
  <c r="R24" i="6"/>
  <c r="N24" i="6"/>
  <c r="J24" i="6"/>
  <c r="ED24" i="6" s="1"/>
  <c r="ED23" i="6"/>
  <c r="EC23" i="6"/>
  <c r="EB23" i="6"/>
  <c r="DZ23" i="6"/>
  <c r="DV23" i="6"/>
  <c r="DR23" i="6"/>
  <c r="DN23" i="6"/>
  <c r="DJ23" i="6"/>
  <c r="DF23" i="6"/>
  <c r="DB23" i="6"/>
  <c r="CX23" i="6"/>
  <c r="CT23" i="6"/>
  <c r="CP23" i="6"/>
  <c r="CL23" i="6"/>
  <c r="CH23" i="6"/>
  <c r="CD23" i="6"/>
  <c r="BZ23" i="6"/>
  <c r="BV23" i="6"/>
  <c r="BR23" i="6"/>
  <c r="BN23" i="6"/>
  <c r="BJ23" i="6"/>
  <c r="BF23" i="6"/>
  <c r="BB23" i="6"/>
  <c r="AX23" i="6"/>
  <c r="AT23" i="6"/>
  <c r="AP23" i="6"/>
  <c r="AL23" i="6"/>
  <c r="AH23" i="6"/>
  <c r="AD23" i="6"/>
  <c r="Z23" i="6"/>
  <c r="V23" i="6"/>
  <c r="R23" i="6"/>
  <c r="N23" i="6"/>
  <c r="J23" i="6"/>
  <c r="EC22" i="6"/>
  <c r="EB22" i="6"/>
  <c r="DZ22" i="6"/>
  <c r="DV22" i="6"/>
  <c r="DR22" i="6"/>
  <c r="DN22" i="6"/>
  <c r="DJ22" i="6"/>
  <c r="DF22" i="6"/>
  <c r="DB22" i="6"/>
  <c r="CX22" i="6"/>
  <c r="CT22" i="6"/>
  <c r="CP22" i="6"/>
  <c r="CL22" i="6"/>
  <c r="CH22" i="6"/>
  <c r="CD22" i="6"/>
  <c r="BZ22" i="6"/>
  <c r="BV22" i="6"/>
  <c r="BR22" i="6"/>
  <c r="BN22" i="6"/>
  <c r="BJ22" i="6"/>
  <c r="BF22" i="6"/>
  <c r="BB22" i="6"/>
  <c r="AX22" i="6"/>
  <c r="AT22" i="6"/>
  <c r="AP22" i="6"/>
  <c r="AL22" i="6"/>
  <c r="AH22" i="6"/>
  <c r="AD22" i="6"/>
  <c r="Z22" i="6"/>
  <c r="V22" i="6"/>
  <c r="R22" i="6"/>
  <c r="N22" i="6"/>
  <c r="J22" i="6"/>
  <c r="ED22" i="6" s="1"/>
  <c r="EC21" i="6"/>
  <c r="EB21" i="6"/>
  <c r="DZ21" i="6"/>
  <c r="DV21" i="6"/>
  <c r="DR21" i="6"/>
  <c r="DN21" i="6"/>
  <c r="DJ21" i="6"/>
  <c r="DF21" i="6"/>
  <c r="DB21" i="6"/>
  <c r="CX21" i="6"/>
  <c r="CT21" i="6"/>
  <c r="CP21" i="6"/>
  <c r="CL21" i="6"/>
  <c r="CH21" i="6"/>
  <c r="CD21" i="6"/>
  <c r="BZ21" i="6"/>
  <c r="BV21" i="6"/>
  <c r="BR21" i="6"/>
  <c r="BN21" i="6"/>
  <c r="BJ21" i="6"/>
  <c r="BF21" i="6"/>
  <c r="BB21" i="6"/>
  <c r="AX21" i="6"/>
  <c r="AT21" i="6"/>
  <c r="AP21" i="6"/>
  <c r="AL21" i="6"/>
  <c r="AH21" i="6"/>
  <c r="AD21" i="6"/>
  <c r="Z21" i="6"/>
  <c r="V21" i="6"/>
  <c r="R21" i="6"/>
  <c r="N21" i="6"/>
  <c r="J21" i="6"/>
  <c r="EC20" i="6"/>
  <c r="EB20" i="6"/>
  <c r="DZ20" i="6"/>
  <c r="DV20" i="6"/>
  <c r="DR20" i="6"/>
  <c r="CA20" i="1" s="1"/>
  <c r="DN20" i="6"/>
  <c r="DJ20" i="6"/>
  <c r="DF20" i="6"/>
  <c r="DB20" i="6"/>
  <c r="CX20" i="6"/>
  <c r="CT20" i="6"/>
  <c r="CP20" i="6"/>
  <c r="CL20" i="6"/>
  <c r="CH20" i="6"/>
  <c r="CD20" i="6"/>
  <c r="BZ20" i="6"/>
  <c r="BV20" i="6"/>
  <c r="BR20" i="6"/>
  <c r="BN20" i="6"/>
  <c r="BJ20" i="6"/>
  <c r="BF20" i="6"/>
  <c r="BB20" i="6"/>
  <c r="AX20" i="6"/>
  <c r="AT20" i="6"/>
  <c r="AP20" i="6"/>
  <c r="AL20" i="6"/>
  <c r="AH20" i="6"/>
  <c r="AD20" i="6"/>
  <c r="Z20" i="6"/>
  <c r="V20" i="6"/>
  <c r="R20" i="6"/>
  <c r="N20" i="6"/>
  <c r="J20" i="6"/>
  <c r="EC19" i="6"/>
  <c r="EB19" i="6"/>
  <c r="DZ19" i="6"/>
  <c r="DV19" i="6"/>
  <c r="DR19" i="6"/>
  <c r="DN19" i="6"/>
  <c r="DJ19" i="6"/>
  <c r="DF19" i="6"/>
  <c r="DB19" i="6"/>
  <c r="CX19" i="6"/>
  <c r="CT19" i="6"/>
  <c r="CP19" i="6"/>
  <c r="CL19" i="6"/>
  <c r="CH19" i="6"/>
  <c r="CD19" i="6"/>
  <c r="BZ19" i="6"/>
  <c r="BV19" i="6"/>
  <c r="BR19" i="6"/>
  <c r="BN19" i="6"/>
  <c r="BJ19" i="6"/>
  <c r="BF19" i="6"/>
  <c r="BB19" i="6"/>
  <c r="AX19" i="6"/>
  <c r="AT19" i="6"/>
  <c r="AP19" i="6"/>
  <c r="AL19" i="6"/>
  <c r="AH19" i="6"/>
  <c r="AD19" i="6"/>
  <c r="Z19" i="6"/>
  <c r="V19" i="6"/>
  <c r="R19" i="6"/>
  <c r="N19" i="6"/>
  <c r="ED19" i="6" s="1"/>
  <c r="J19" i="6"/>
  <c r="EC18" i="6"/>
  <c r="EB18" i="6"/>
  <c r="DZ18" i="6"/>
  <c r="DV18" i="6"/>
  <c r="DR18" i="6"/>
  <c r="DN18" i="6"/>
  <c r="DJ18" i="6"/>
  <c r="DF18" i="6"/>
  <c r="DB18" i="6"/>
  <c r="CX18" i="6"/>
  <c r="CT18" i="6"/>
  <c r="CP18" i="6"/>
  <c r="CL18" i="6"/>
  <c r="CH18" i="6"/>
  <c r="CD18" i="6"/>
  <c r="BZ18" i="6"/>
  <c r="BV18" i="6"/>
  <c r="BR18" i="6"/>
  <c r="BN18" i="6"/>
  <c r="BJ18" i="6"/>
  <c r="BF18" i="6"/>
  <c r="BB18" i="6"/>
  <c r="AX18" i="6"/>
  <c r="AT18" i="6"/>
  <c r="AP18" i="6"/>
  <c r="AL18" i="6"/>
  <c r="AH18" i="6"/>
  <c r="AD18" i="6"/>
  <c r="Z18" i="6"/>
  <c r="V18" i="6"/>
  <c r="R18" i="6"/>
  <c r="N18" i="6"/>
  <c r="J18" i="6"/>
  <c r="EC17" i="6"/>
  <c r="EB17" i="6"/>
  <c r="DZ17" i="6"/>
  <c r="DV17" i="6"/>
  <c r="DR17" i="6"/>
  <c r="DN17" i="6"/>
  <c r="DJ17" i="6"/>
  <c r="DF17" i="6"/>
  <c r="DB17" i="6"/>
  <c r="CX17" i="6"/>
  <c r="CT17" i="6"/>
  <c r="CP17" i="6"/>
  <c r="CL17" i="6"/>
  <c r="CH17" i="6"/>
  <c r="CD17" i="6"/>
  <c r="BZ17" i="6"/>
  <c r="BV17" i="6"/>
  <c r="BR17" i="6"/>
  <c r="BN17" i="1" s="1"/>
  <c r="BN17" i="6"/>
  <c r="BJ17" i="6"/>
  <c r="BF17" i="6"/>
  <c r="BB17" i="6"/>
  <c r="AX17" i="6"/>
  <c r="AT17" i="6"/>
  <c r="AP17" i="6"/>
  <c r="AL17" i="6"/>
  <c r="AH17" i="6"/>
  <c r="AD17" i="6"/>
  <c r="Z17" i="6"/>
  <c r="V17" i="6"/>
  <c r="R17" i="6"/>
  <c r="N17" i="6"/>
  <c r="J17" i="6"/>
  <c r="EC16" i="6"/>
  <c r="EB16" i="6"/>
  <c r="DZ16" i="6"/>
  <c r="DV16" i="6"/>
  <c r="DR16" i="6"/>
  <c r="DN16" i="6"/>
  <c r="DJ16" i="6"/>
  <c r="DF16" i="6"/>
  <c r="DB16" i="6"/>
  <c r="CX16" i="6"/>
  <c r="CT16" i="6"/>
  <c r="CP16" i="6"/>
  <c r="CL16" i="6"/>
  <c r="CH16" i="6"/>
  <c r="CD16" i="6"/>
  <c r="BZ16" i="6"/>
  <c r="BV16" i="6"/>
  <c r="BR16" i="6"/>
  <c r="BN16" i="6"/>
  <c r="BJ16" i="6"/>
  <c r="BF16" i="6"/>
  <c r="BB16" i="6"/>
  <c r="AX16" i="6"/>
  <c r="AT16" i="6"/>
  <c r="AP16" i="6"/>
  <c r="AL16" i="6"/>
  <c r="AH16" i="6"/>
  <c r="AD16" i="6"/>
  <c r="Z16" i="6"/>
  <c r="V16" i="6"/>
  <c r="R16" i="6"/>
  <c r="N16" i="6"/>
  <c r="J16" i="6"/>
  <c r="EC15" i="6"/>
  <c r="EB15" i="6"/>
  <c r="DZ15" i="6"/>
  <c r="DV15" i="6"/>
  <c r="DR15" i="6"/>
  <c r="DN15" i="6"/>
  <c r="DJ15" i="6"/>
  <c r="DF15" i="6"/>
  <c r="DB15" i="6"/>
  <c r="CX15" i="6"/>
  <c r="CT15" i="6"/>
  <c r="CP15" i="6"/>
  <c r="CL15" i="6"/>
  <c r="CH15" i="6"/>
  <c r="CD15" i="6"/>
  <c r="BZ15" i="6"/>
  <c r="BV15" i="6"/>
  <c r="BR15" i="6"/>
  <c r="BN15" i="6"/>
  <c r="BJ15" i="6"/>
  <c r="BF15" i="6"/>
  <c r="BB15" i="6"/>
  <c r="AX15" i="6"/>
  <c r="AT15" i="6"/>
  <c r="AP15" i="6"/>
  <c r="AL15" i="6"/>
  <c r="AH15" i="6"/>
  <c r="AD15" i="6"/>
  <c r="Z15" i="6"/>
  <c r="V15" i="6"/>
  <c r="R15" i="6"/>
  <c r="N15" i="6"/>
  <c r="J15" i="6"/>
  <c r="EC14" i="6"/>
  <c r="EB14" i="6"/>
  <c r="DZ14" i="6"/>
  <c r="DV14" i="6"/>
  <c r="DR14" i="6"/>
  <c r="DN14" i="6"/>
  <c r="DJ14" i="6"/>
  <c r="DF14" i="6"/>
  <c r="DB14" i="6"/>
  <c r="CX14" i="6"/>
  <c r="CT14" i="6"/>
  <c r="CP14" i="6"/>
  <c r="CL14" i="6"/>
  <c r="CH14" i="6"/>
  <c r="CD14" i="6"/>
  <c r="BZ14" i="6"/>
  <c r="BV14" i="6"/>
  <c r="BR14" i="6"/>
  <c r="BN14" i="6"/>
  <c r="BJ14" i="6"/>
  <c r="BF14" i="6"/>
  <c r="BB14" i="6"/>
  <c r="AX14" i="6"/>
  <c r="AT14" i="6"/>
  <c r="AP14" i="6"/>
  <c r="AL14" i="6"/>
  <c r="AH14" i="6"/>
  <c r="AD14" i="6"/>
  <c r="Z14" i="6"/>
  <c r="V14" i="6"/>
  <c r="R14" i="6"/>
  <c r="N14" i="6"/>
  <c r="J14" i="6"/>
  <c r="EC13" i="6"/>
  <c r="EB13" i="6"/>
  <c r="DZ13" i="6"/>
  <c r="DV13" i="6"/>
  <c r="DR13" i="6"/>
  <c r="DN13" i="6"/>
  <c r="DJ13" i="6"/>
  <c r="DF13" i="6"/>
  <c r="DB13" i="6"/>
  <c r="CX13" i="6"/>
  <c r="CT13" i="6"/>
  <c r="CP13" i="6"/>
  <c r="CL13" i="6"/>
  <c r="CH13" i="6"/>
  <c r="CD13" i="6"/>
  <c r="BZ13" i="6"/>
  <c r="BV13" i="6"/>
  <c r="BR13" i="6"/>
  <c r="BN13" i="6"/>
  <c r="BJ13" i="6"/>
  <c r="BF13" i="6"/>
  <c r="BB13" i="6"/>
  <c r="AX13" i="6"/>
  <c r="AT13" i="6"/>
  <c r="AP13" i="6"/>
  <c r="AL13" i="6"/>
  <c r="AH13" i="6"/>
  <c r="AD13" i="6"/>
  <c r="Z13" i="6"/>
  <c r="V13" i="6"/>
  <c r="R13" i="6"/>
  <c r="N13" i="6"/>
  <c r="ED13" i="6" s="1"/>
  <c r="J13" i="6"/>
  <c r="EC12" i="6"/>
  <c r="EB12" i="6"/>
  <c r="DZ12" i="6"/>
  <c r="DV12" i="6"/>
  <c r="DR12" i="6"/>
  <c r="DN12" i="6"/>
  <c r="DJ12" i="6"/>
  <c r="DF12" i="6"/>
  <c r="DB12" i="6"/>
  <c r="CX12" i="6"/>
  <c r="CT12" i="6"/>
  <c r="CP12" i="6"/>
  <c r="CL12" i="6"/>
  <c r="CH12" i="6"/>
  <c r="CD12" i="6"/>
  <c r="BZ12" i="6"/>
  <c r="BV12" i="6"/>
  <c r="BR12" i="6"/>
  <c r="BN12" i="6"/>
  <c r="BJ12" i="6"/>
  <c r="BF12" i="6"/>
  <c r="BB12" i="6"/>
  <c r="AX12" i="6"/>
  <c r="AT12" i="6"/>
  <c r="AP12" i="6"/>
  <c r="AL12" i="6"/>
  <c r="AH12" i="6"/>
  <c r="AD12" i="6"/>
  <c r="Z12" i="6"/>
  <c r="V12" i="6"/>
  <c r="R12" i="6"/>
  <c r="N12" i="6"/>
  <c r="J12" i="6"/>
  <c r="ED12" i="6" s="1"/>
  <c r="EC11" i="6"/>
  <c r="EB11" i="6"/>
  <c r="DZ11" i="6"/>
  <c r="DV11" i="6"/>
  <c r="DR11" i="6"/>
  <c r="DN11" i="6"/>
  <c r="DJ11" i="6"/>
  <c r="DF11" i="6"/>
  <c r="DB11" i="6"/>
  <c r="CX11" i="6"/>
  <c r="CT11" i="6"/>
  <c r="CP11" i="6"/>
  <c r="CL11" i="6"/>
  <c r="CH11" i="6"/>
  <c r="CD11" i="6"/>
  <c r="BZ11" i="6"/>
  <c r="BV11" i="6"/>
  <c r="BR11" i="6"/>
  <c r="BN11" i="6"/>
  <c r="BJ11" i="6"/>
  <c r="BF11" i="6"/>
  <c r="BB11" i="6"/>
  <c r="AX11" i="6"/>
  <c r="AT11" i="6"/>
  <c r="ED11" i="6" s="1"/>
  <c r="AP11" i="6"/>
  <c r="AL11" i="6"/>
  <c r="AH11" i="6"/>
  <c r="AD11" i="6"/>
  <c r="Z11" i="6"/>
  <c r="V11" i="6"/>
  <c r="R11" i="6"/>
  <c r="N11" i="6"/>
  <c r="J11" i="6"/>
  <c r="EC10" i="6"/>
  <c r="EB10" i="6"/>
  <c r="DZ10" i="6"/>
  <c r="DV10" i="6"/>
  <c r="DR10" i="6"/>
  <c r="DN10" i="6"/>
  <c r="DJ10" i="6"/>
  <c r="DF10" i="6"/>
  <c r="DB10" i="6"/>
  <c r="CX10" i="6"/>
  <c r="CT10" i="6"/>
  <c r="CP10" i="6"/>
  <c r="CL10" i="6"/>
  <c r="CH10" i="6"/>
  <c r="CD10" i="6"/>
  <c r="BZ10" i="6"/>
  <c r="BV10" i="6"/>
  <c r="BR10" i="6"/>
  <c r="BN10" i="6"/>
  <c r="BJ10" i="6"/>
  <c r="BF10" i="6"/>
  <c r="BB10" i="6"/>
  <c r="AX10" i="6"/>
  <c r="AT10" i="6"/>
  <c r="AP10" i="6"/>
  <c r="AL10" i="6"/>
  <c r="AH10" i="6"/>
  <c r="AD10" i="6"/>
  <c r="Z10" i="6"/>
  <c r="V10" i="6"/>
  <c r="R10" i="6"/>
  <c r="N10" i="6"/>
  <c r="J10" i="6"/>
  <c r="ED10" i="6" s="1"/>
  <c r="EC9" i="6"/>
  <c r="EB9" i="6"/>
  <c r="DZ9" i="6"/>
  <c r="DV9" i="6"/>
  <c r="DV109" i="6" s="1"/>
  <c r="DR9" i="6"/>
  <c r="DN9" i="6"/>
  <c r="DJ9" i="6"/>
  <c r="DF9" i="6"/>
  <c r="DB9" i="6"/>
  <c r="CX9" i="6"/>
  <c r="CT9" i="6"/>
  <c r="CP9" i="6"/>
  <c r="CL9" i="6"/>
  <c r="CH9" i="6"/>
  <c r="CD9" i="6"/>
  <c r="BZ9" i="6"/>
  <c r="BZ109" i="6" s="1"/>
  <c r="BV9" i="6"/>
  <c r="BR9" i="6"/>
  <c r="BN9" i="6"/>
  <c r="BJ9" i="6"/>
  <c r="BF9" i="6"/>
  <c r="BB9" i="6"/>
  <c r="AX9" i="6"/>
  <c r="AT9" i="6"/>
  <c r="AP9" i="6"/>
  <c r="AL9" i="6"/>
  <c r="AH9" i="6"/>
  <c r="AD9" i="6"/>
  <c r="Z9" i="6"/>
  <c r="V9" i="6"/>
  <c r="R9" i="6"/>
  <c r="N9" i="6"/>
  <c r="J9" i="6"/>
  <c r="ED9" i="6" s="1"/>
  <c r="EC8" i="6"/>
  <c r="EB8" i="6"/>
  <c r="DZ8" i="6"/>
  <c r="DV8" i="6"/>
  <c r="DR8" i="6"/>
  <c r="DN8" i="6"/>
  <c r="DJ8" i="6"/>
  <c r="DF8" i="6"/>
  <c r="DB8" i="6"/>
  <c r="CX8" i="6"/>
  <c r="CT8" i="6"/>
  <c r="CP8" i="6"/>
  <c r="CL8" i="6"/>
  <c r="CH8" i="6"/>
  <c r="CD8" i="6"/>
  <c r="BZ8" i="6"/>
  <c r="BV8" i="6"/>
  <c r="BR8" i="6"/>
  <c r="BN8" i="6"/>
  <c r="BJ8" i="6"/>
  <c r="BF8" i="6"/>
  <c r="BB8" i="6"/>
  <c r="AX8" i="6"/>
  <c r="AT8" i="6"/>
  <c r="AP8" i="6"/>
  <c r="AL8" i="6"/>
  <c r="AH8" i="6"/>
  <c r="AD8" i="6"/>
  <c r="Z8" i="6"/>
  <c r="V8" i="6"/>
  <c r="ED8" i="6" s="1"/>
  <c r="R8" i="6"/>
  <c r="N8" i="6"/>
  <c r="J8" i="6"/>
  <c r="EC7" i="6"/>
  <c r="EB7" i="6"/>
  <c r="DZ7" i="6"/>
  <c r="DV7" i="6"/>
  <c r="DR7" i="6"/>
  <c r="DN7" i="6"/>
  <c r="DJ7" i="6"/>
  <c r="DF7" i="6"/>
  <c r="DF109" i="6" s="1"/>
  <c r="DB7" i="6"/>
  <c r="CX7" i="6"/>
  <c r="CT7" i="6"/>
  <c r="CP7" i="6"/>
  <c r="CL7" i="6"/>
  <c r="CH7" i="6"/>
  <c r="CD7" i="6"/>
  <c r="BZ7" i="6"/>
  <c r="BV7" i="6"/>
  <c r="BR7" i="6"/>
  <c r="BN7" i="6"/>
  <c r="BJ7" i="6"/>
  <c r="BJ109" i="6" s="1"/>
  <c r="BF7" i="6"/>
  <c r="BB7" i="6"/>
  <c r="AX7" i="6"/>
  <c r="AT7" i="6"/>
  <c r="AP7" i="6"/>
  <c r="AL7" i="6"/>
  <c r="AH7" i="6"/>
  <c r="AD7" i="6"/>
  <c r="Z7" i="6"/>
  <c r="V7" i="6"/>
  <c r="R7" i="6"/>
  <c r="N7" i="6"/>
  <c r="ED7" i="6" s="1"/>
  <c r="J7" i="6"/>
  <c r="EC6" i="6"/>
  <c r="EB6" i="6"/>
  <c r="DZ6" i="6"/>
  <c r="DZ109" i="6" s="1"/>
  <c r="DV6" i="6"/>
  <c r="DR6" i="6"/>
  <c r="DN6" i="6"/>
  <c r="DJ6" i="6"/>
  <c r="DF6" i="6"/>
  <c r="DB6" i="6"/>
  <c r="CX6" i="6"/>
  <c r="CT6" i="6"/>
  <c r="CP6" i="6"/>
  <c r="CL6" i="6"/>
  <c r="CH6" i="6"/>
  <c r="CD6" i="6"/>
  <c r="CD109" i="6" s="1"/>
  <c r="BZ6" i="6"/>
  <c r="BV6" i="6"/>
  <c r="BV109" i="6" s="1"/>
  <c r="BR6" i="6"/>
  <c r="BN6" i="6"/>
  <c r="BJ6" i="6"/>
  <c r="BF6" i="6"/>
  <c r="BB6" i="6"/>
  <c r="AX6" i="6"/>
  <c r="AT6" i="6"/>
  <c r="AP6" i="6"/>
  <c r="AL6" i="6"/>
  <c r="AH6" i="6"/>
  <c r="AH109" i="6" s="1"/>
  <c r="AD6" i="6"/>
  <c r="Z6" i="6"/>
  <c r="Z109" i="6" s="1"/>
  <c r="V6" i="6"/>
  <c r="R6" i="6"/>
  <c r="N6" i="6"/>
  <c r="J6" i="6"/>
  <c r="ED6" i="6" s="1"/>
  <c r="EC5" i="6"/>
  <c r="EB5" i="6"/>
  <c r="DZ5" i="6"/>
  <c r="DV5" i="6"/>
  <c r="DR5" i="6"/>
  <c r="DN5" i="6"/>
  <c r="DJ5" i="6"/>
  <c r="DF5" i="6"/>
  <c r="DB5" i="6"/>
  <c r="CX5" i="6"/>
  <c r="CT5" i="6"/>
  <c r="CP5" i="6"/>
  <c r="CP109" i="6" s="1"/>
  <c r="CL5" i="6"/>
  <c r="CH5" i="6"/>
  <c r="CD5" i="6"/>
  <c r="BZ5" i="6"/>
  <c r="BV5" i="6"/>
  <c r="BR5" i="6"/>
  <c r="BN5" i="6"/>
  <c r="BJ5" i="6"/>
  <c r="BF5" i="6"/>
  <c r="BB5" i="6"/>
  <c r="AX5" i="6"/>
  <c r="AT5" i="6"/>
  <c r="AT109" i="6" s="1"/>
  <c r="AP5" i="6"/>
  <c r="AL5" i="6"/>
  <c r="AH5" i="6"/>
  <c r="AD5" i="6"/>
  <c r="Z5" i="6"/>
  <c r="V5" i="6"/>
  <c r="R5" i="6"/>
  <c r="N5" i="6"/>
  <c r="J5" i="6"/>
  <c r="EC4" i="6"/>
  <c r="EB4" i="6"/>
  <c r="DZ4" i="6"/>
  <c r="DV4" i="6"/>
  <c r="DR4" i="6"/>
  <c r="DN4" i="6"/>
  <c r="DN109" i="6" s="1"/>
  <c r="DJ4" i="6"/>
  <c r="DJ109" i="6" s="1"/>
  <c r="DF4" i="6"/>
  <c r="DB4" i="6"/>
  <c r="DB109" i="6" s="1"/>
  <c r="CX4" i="6"/>
  <c r="CX109" i="6" s="1"/>
  <c r="CT4" i="6"/>
  <c r="CT109" i="6" s="1"/>
  <c r="CP4" i="6"/>
  <c r="CL4" i="6"/>
  <c r="CL109" i="6" s="1"/>
  <c r="CH4" i="6"/>
  <c r="CH109" i="6" s="1"/>
  <c r="CD4" i="6"/>
  <c r="BZ4" i="6"/>
  <c r="BV4" i="6"/>
  <c r="BR4" i="6"/>
  <c r="BN4" i="6"/>
  <c r="BJ4" i="6"/>
  <c r="BF4" i="6"/>
  <c r="BF109" i="6" s="1"/>
  <c r="BB4" i="6"/>
  <c r="BB109" i="6" s="1"/>
  <c r="AX4" i="6"/>
  <c r="AX109" i="6" s="1"/>
  <c r="AT4" i="6"/>
  <c r="AP4" i="6"/>
  <c r="AP109" i="6" s="1"/>
  <c r="AL4" i="6"/>
  <c r="AL109" i="6" s="1"/>
  <c r="AH4" i="6"/>
  <c r="AD4" i="6"/>
  <c r="Z4" i="6"/>
  <c r="V4" i="6"/>
  <c r="V109" i="6" s="1"/>
  <c r="R4" i="6"/>
  <c r="R109" i="6" s="1"/>
  <c r="N4" i="6"/>
  <c r="J4" i="6"/>
  <c r="DY109" i="5"/>
  <c r="DX109" i="5"/>
  <c r="DU109" i="5"/>
  <c r="DT109" i="5"/>
  <c r="DQ109" i="5"/>
  <c r="DP109" i="5"/>
  <c r="DM109" i="5"/>
  <c r="DL109" i="5"/>
  <c r="DI109" i="5"/>
  <c r="DH109" i="5"/>
  <c r="DE109" i="5"/>
  <c r="DD109" i="5"/>
  <c r="DA109" i="5"/>
  <c r="CZ109" i="5"/>
  <c r="CW109" i="5"/>
  <c r="CV109" i="5"/>
  <c r="CS109" i="5"/>
  <c r="CR109" i="5"/>
  <c r="CO109" i="5"/>
  <c r="CN109" i="5"/>
  <c r="CK109" i="5"/>
  <c r="CJ109" i="5"/>
  <c r="CG109" i="5"/>
  <c r="CF109" i="5"/>
  <c r="CC109" i="5"/>
  <c r="CB109" i="5"/>
  <c r="BY109" i="5"/>
  <c r="BX109" i="5"/>
  <c r="BU109" i="5"/>
  <c r="BT109" i="5"/>
  <c r="BQ109" i="5"/>
  <c r="BP109" i="5"/>
  <c r="BM109" i="5"/>
  <c r="BL109" i="5"/>
  <c r="BI109" i="5"/>
  <c r="BH109" i="5"/>
  <c r="BE109" i="5"/>
  <c r="BD109" i="5"/>
  <c r="BA109" i="5"/>
  <c r="AZ109" i="5"/>
  <c r="AW109" i="5"/>
  <c r="AV109" i="5"/>
  <c r="AS109" i="5"/>
  <c r="AR109" i="5"/>
  <c r="AO109" i="5"/>
  <c r="AN109" i="5"/>
  <c r="AK109" i="5"/>
  <c r="AJ109" i="5"/>
  <c r="AG109" i="5"/>
  <c r="AF109" i="5"/>
  <c r="AC109" i="5"/>
  <c r="AB109" i="5"/>
  <c r="Y109" i="5"/>
  <c r="X109" i="5"/>
  <c r="U109" i="5"/>
  <c r="T109" i="5"/>
  <c r="Q109" i="5"/>
  <c r="P109" i="5"/>
  <c r="M109" i="5"/>
  <c r="L109" i="5"/>
  <c r="I109" i="5"/>
  <c r="H109" i="5"/>
  <c r="EC108" i="5"/>
  <c r="EB108" i="5"/>
  <c r="DZ108" i="5"/>
  <c r="DV108" i="5"/>
  <c r="DR108" i="5"/>
  <c r="DN108" i="5"/>
  <c r="DJ108" i="5"/>
  <c r="DF108" i="5"/>
  <c r="DB108" i="5"/>
  <c r="CX108" i="5"/>
  <c r="CT108" i="5"/>
  <c r="CP108" i="5"/>
  <c r="CL108" i="5"/>
  <c r="CH108" i="5"/>
  <c r="CD108" i="5"/>
  <c r="BZ108" i="5"/>
  <c r="BV108" i="5"/>
  <c r="BR108" i="5"/>
  <c r="BN108" i="5"/>
  <c r="BJ108" i="5"/>
  <c r="BF108" i="5"/>
  <c r="BB108" i="5"/>
  <c r="AX108" i="5"/>
  <c r="AT108" i="5"/>
  <c r="AP108" i="5"/>
  <c r="AL108" i="5"/>
  <c r="AH108" i="5"/>
  <c r="AD108" i="5"/>
  <c r="Z108" i="5"/>
  <c r="V108" i="5"/>
  <c r="R108" i="5"/>
  <c r="N108" i="5"/>
  <c r="J108" i="5"/>
  <c r="ED108" i="5" s="1"/>
  <c r="EC107" i="5"/>
  <c r="EB107" i="5"/>
  <c r="DZ107" i="5"/>
  <c r="DV107" i="5"/>
  <c r="DR107" i="5"/>
  <c r="DN107" i="5"/>
  <c r="DJ107" i="5"/>
  <c r="DF107" i="5"/>
  <c r="DB107" i="5"/>
  <c r="CX107" i="5"/>
  <c r="CT107" i="5"/>
  <c r="CP107" i="5"/>
  <c r="CL107" i="5"/>
  <c r="CH107" i="5"/>
  <c r="CD107" i="5"/>
  <c r="BZ107" i="5"/>
  <c r="BV107" i="5"/>
  <c r="BR107" i="5"/>
  <c r="BN107" i="5"/>
  <c r="BJ107" i="5"/>
  <c r="BF107" i="5"/>
  <c r="BB107" i="5"/>
  <c r="AX107" i="5"/>
  <c r="AT107" i="5"/>
  <c r="AP107" i="5"/>
  <c r="ED107" i="5" s="1"/>
  <c r="AL107" i="5"/>
  <c r="AH107" i="5"/>
  <c r="AD107" i="5"/>
  <c r="Z107" i="5"/>
  <c r="V107" i="5"/>
  <c r="R107" i="5"/>
  <c r="N107" i="5"/>
  <c r="J107" i="5"/>
  <c r="EC106" i="5"/>
  <c r="EB106" i="5"/>
  <c r="DZ106" i="5"/>
  <c r="DV106" i="5"/>
  <c r="DR106" i="5"/>
  <c r="DN106" i="5"/>
  <c r="DJ106" i="5"/>
  <c r="DF106" i="5"/>
  <c r="DB106" i="5"/>
  <c r="CX106" i="5"/>
  <c r="CT106" i="5"/>
  <c r="CP106" i="5"/>
  <c r="CL106" i="5"/>
  <c r="CH106" i="5"/>
  <c r="CD106" i="5"/>
  <c r="BZ106" i="5"/>
  <c r="BV106" i="5"/>
  <c r="BR106" i="5"/>
  <c r="BN106" i="5"/>
  <c r="BJ106" i="5"/>
  <c r="BF106" i="5"/>
  <c r="BB106" i="5"/>
  <c r="AX106" i="5"/>
  <c r="AT106" i="5"/>
  <c r="AP106" i="5"/>
  <c r="AL106" i="5"/>
  <c r="AH106" i="5"/>
  <c r="ED106" i="5" s="1"/>
  <c r="AD106" i="5"/>
  <c r="Z106" i="5"/>
  <c r="V106" i="5"/>
  <c r="R106" i="5"/>
  <c r="N106" i="5"/>
  <c r="J106" i="5"/>
  <c r="EC105" i="5"/>
  <c r="EB105" i="5"/>
  <c r="DZ105" i="5"/>
  <c r="DV105" i="5"/>
  <c r="DR105" i="5"/>
  <c r="DN105" i="5"/>
  <c r="DJ105" i="5"/>
  <c r="DF105" i="5"/>
  <c r="DB105" i="5"/>
  <c r="CX105" i="5"/>
  <c r="CT105" i="5"/>
  <c r="CP105" i="5"/>
  <c r="CL105" i="5"/>
  <c r="CH105" i="5"/>
  <c r="CD105" i="5"/>
  <c r="BZ105" i="5"/>
  <c r="BV105" i="5"/>
  <c r="BR105" i="5"/>
  <c r="BN105" i="5"/>
  <c r="BJ105" i="5"/>
  <c r="BF105" i="5"/>
  <c r="BB105" i="5"/>
  <c r="AX105" i="5"/>
  <c r="AT105" i="5"/>
  <c r="AP105" i="5"/>
  <c r="AL105" i="5"/>
  <c r="AH105" i="5"/>
  <c r="AD105" i="5"/>
  <c r="Z105" i="5"/>
  <c r="ED105" i="5" s="1"/>
  <c r="V105" i="5"/>
  <c r="R105" i="5"/>
  <c r="N105" i="5"/>
  <c r="J105" i="5"/>
  <c r="EC104" i="5"/>
  <c r="EB104" i="5"/>
  <c r="DZ104" i="5"/>
  <c r="DV104" i="5"/>
  <c r="DR104" i="5"/>
  <c r="DN104" i="5"/>
  <c r="DJ104" i="5"/>
  <c r="DF104" i="5"/>
  <c r="DB104" i="5"/>
  <c r="CX104" i="5"/>
  <c r="CT104" i="5"/>
  <c r="CP104" i="5"/>
  <c r="CL104" i="5"/>
  <c r="CH104" i="5"/>
  <c r="CD104" i="5"/>
  <c r="BZ104" i="5"/>
  <c r="BV104" i="5"/>
  <c r="BR104" i="5"/>
  <c r="BN104" i="5"/>
  <c r="BJ104" i="5"/>
  <c r="BF104" i="5"/>
  <c r="BB104" i="5"/>
  <c r="AX104" i="5"/>
  <c r="AT104" i="5"/>
  <c r="AP104" i="5"/>
  <c r="AL104" i="5"/>
  <c r="AH104" i="5"/>
  <c r="AD104" i="5"/>
  <c r="Z104" i="5"/>
  <c r="V104" i="5"/>
  <c r="R104" i="5"/>
  <c r="N104" i="5"/>
  <c r="ED104" i="5" s="1"/>
  <c r="J104" i="5"/>
  <c r="EC103" i="5"/>
  <c r="EB103" i="5"/>
  <c r="DZ103" i="5"/>
  <c r="DV103" i="5"/>
  <c r="DR103" i="5"/>
  <c r="DN103" i="5"/>
  <c r="DJ103" i="5"/>
  <c r="DF103" i="5"/>
  <c r="DB103" i="5"/>
  <c r="CX103" i="5"/>
  <c r="CT103" i="5"/>
  <c r="CP103" i="5"/>
  <c r="CL103" i="5"/>
  <c r="CH103" i="5"/>
  <c r="CD103" i="5"/>
  <c r="BZ103" i="5"/>
  <c r="BV103" i="5"/>
  <c r="BR103" i="5"/>
  <c r="BN103" i="5"/>
  <c r="BJ103" i="5"/>
  <c r="BF103" i="5"/>
  <c r="BB103" i="5"/>
  <c r="AX103" i="5"/>
  <c r="AT103" i="5"/>
  <c r="AP103" i="5"/>
  <c r="AL103" i="5"/>
  <c r="AH103" i="5"/>
  <c r="AD103" i="5"/>
  <c r="Z103" i="5"/>
  <c r="V103" i="5"/>
  <c r="R103" i="5"/>
  <c r="N103" i="5"/>
  <c r="J103" i="5"/>
  <c r="ED103" i="5" s="1"/>
  <c r="EC102" i="5"/>
  <c r="EB102" i="5"/>
  <c r="DZ102" i="5"/>
  <c r="DV102" i="5"/>
  <c r="DR102" i="5"/>
  <c r="DN102" i="5"/>
  <c r="DJ102" i="5"/>
  <c r="DF102" i="5"/>
  <c r="DB102" i="5"/>
  <c r="CX102" i="5"/>
  <c r="CT102" i="5"/>
  <c r="CP102" i="5"/>
  <c r="CL102" i="5"/>
  <c r="CH102" i="5"/>
  <c r="CD102" i="5"/>
  <c r="BZ102" i="5"/>
  <c r="BV102" i="5"/>
  <c r="BR102" i="5"/>
  <c r="BN102" i="5"/>
  <c r="BJ102" i="5"/>
  <c r="BF102" i="5"/>
  <c r="BB102" i="5"/>
  <c r="AX102" i="5"/>
  <c r="AT102" i="5"/>
  <c r="AP102" i="5"/>
  <c r="AL102" i="5"/>
  <c r="AH102" i="5"/>
  <c r="AD102" i="5"/>
  <c r="Z102" i="5"/>
  <c r="V102" i="5"/>
  <c r="R102" i="5"/>
  <c r="N102" i="5"/>
  <c r="J102" i="5"/>
  <c r="ED102" i="5" s="1"/>
  <c r="F102" i="5"/>
  <c r="ED101" i="5"/>
  <c r="EC101" i="5"/>
  <c r="EB101" i="5"/>
  <c r="DZ101" i="5"/>
  <c r="DV101" i="5"/>
  <c r="DR101" i="5"/>
  <c r="DN101" i="5"/>
  <c r="DJ101" i="5"/>
  <c r="DF101" i="5"/>
  <c r="DB101" i="5"/>
  <c r="CX101" i="5"/>
  <c r="CT101" i="5"/>
  <c r="CP101" i="5"/>
  <c r="CL101" i="5"/>
  <c r="CH101" i="5"/>
  <c r="CD101" i="5"/>
  <c r="BZ101" i="5"/>
  <c r="BV101" i="5"/>
  <c r="BR101" i="5"/>
  <c r="BN101" i="5"/>
  <c r="BJ101" i="5"/>
  <c r="BF101" i="5"/>
  <c r="BB101" i="5"/>
  <c r="AX101" i="5"/>
  <c r="AT101" i="5"/>
  <c r="AP101" i="5"/>
  <c r="AL101" i="5"/>
  <c r="AH101" i="5"/>
  <c r="AD101" i="5"/>
  <c r="Z101" i="5"/>
  <c r="V101" i="5"/>
  <c r="R101" i="5"/>
  <c r="N101" i="5"/>
  <c r="J101" i="5"/>
  <c r="EC100" i="5"/>
  <c r="EB100" i="5"/>
  <c r="DZ100" i="5"/>
  <c r="DV100" i="5"/>
  <c r="DR100" i="5"/>
  <c r="DN100" i="5"/>
  <c r="DJ100" i="5"/>
  <c r="DF100" i="5"/>
  <c r="DB100" i="5"/>
  <c r="CX100" i="5"/>
  <c r="CT100" i="5"/>
  <c r="CP100" i="5"/>
  <c r="CL100" i="5"/>
  <c r="CH100" i="5"/>
  <c r="CD100" i="5"/>
  <c r="BZ100" i="5"/>
  <c r="BV100" i="5"/>
  <c r="BR100" i="5"/>
  <c r="BN100" i="5"/>
  <c r="BJ100" i="5"/>
  <c r="BF100" i="5"/>
  <c r="BB100" i="5"/>
  <c r="AX100" i="5"/>
  <c r="AT100" i="5"/>
  <c r="AP100" i="5"/>
  <c r="AL100" i="5"/>
  <c r="ED100" i="5" s="1"/>
  <c r="AH100" i="5"/>
  <c r="AD100" i="5"/>
  <c r="Z100" i="5"/>
  <c r="V100" i="5"/>
  <c r="R100" i="5"/>
  <c r="N100" i="5"/>
  <c r="J100" i="5"/>
  <c r="EC99" i="5"/>
  <c r="EB99" i="5"/>
  <c r="DZ99" i="5"/>
  <c r="DV99" i="5"/>
  <c r="DR99" i="5"/>
  <c r="DN99" i="5"/>
  <c r="DJ99" i="5"/>
  <c r="DF99" i="5"/>
  <c r="DB99" i="5"/>
  <c r="CX99" i="5"/>
  <c r="CT99" i="5"/>
  <c r="CP99" i="5"/>
  <c r="CL99" i="5"/>
  <c r="CH99" i="5"/>
  <c r="CD99" i="5"/>
  <c r="BZ99" i="5"/>
  <c r="BV99" i="5"/>
  <c r="BR99" i="5"/>
  <c r="BN99" i="5"/>
  <c r="BJ99" i="5"/>
  <c r="BF99" i="5"/>
  <c r="BB99" i="5"/>
  <c r="AX99" i="5"/>
  <c r="AT99" i="5"/>
  <c r="AP99" i="5"/>
  <c r="AL99" i="5"/>
  <c r="AH99" i="5"/>
  <c r="AD99" i="5"/>
  <c r="ED99" i="5" s="1"/>
  <c r="Z99" i="5"/>
  <c r="V99" i="5"/>
  <c r="R99" i="5"/>
  <c r="N99" i="5"/>
  <c r="J99" i="5"/>
  <c r="EC98" i="5"/>
  <c r="EB98" i="5"/>
  <c r="DZ98" i="5"/>
  <c r="DV98" i="5"/>
  <c r="DR98" i="5"/>
  <c r="DN98" i="5"/>
  <c r="DJ98" i="5"/>
  <c r="DF98" i="5"/>
  <c r="DB98" i="5"/>
  <c r="CX98" i="5"/>
  <c r="CT98" i="5"/>
  <c r="CP98" i="5"/>
  <c r="CL98" i="5"/>
  <c r="CH98" i="5"/>
  <c r="CD98" i="5"/>
  <c r="BZ98" i="5"/>
  <c r="BV98" i="5"/>
  <c r="BR98" i="5"/>
  <c r="BN98" i="5"/>
  <c r="BJ98" i="5"/>
  <c r="BF98" i="5"/>
  <c r="BB98" i="5"/>
  <c r="AX98" i="5"/>
  <c r="AT98" i="5"/>
  <c r="AP98" i="5"/>
  <c r="AL98" i="5"/>
  <c r="AH98" i="5"/>
  <c r="AD98" i="5"/>
  <c r="Z98" i="5"/>
  <c r="V98" i="5"/>
  <c r="ED98" i="5" s="1"/>
  <c r="R98" i="5"/>
  <c r="N98" i="5"/>
  <c r="J98" i="5"/>
  <c r="EC97" i="5"/>
  <c r="EB97" i="5"/>
  <c r="DZ97" i="5"/>
  <c r="DV97" i="5"/>
  <c r="DR97" i="5"/>
  <c r="DN97" i="5"/>
  <c r="DJ97" i="5"/>
  <c r="DF97" i="5"/>
  <c r="DB97" i="5"/>
  <c r="CX97" i="5"/>
  <c r="CT97" i="5"/>
  <c r="CP97" i="5"/>
  <c r="CL97" i="5"/>
  <c r="CH97" i="5"/>
  <c r="CD97" i="5"/>
  <c r="BZ97" i="5"/>
  <c r="BV97" i="5"/>
  <c r="BR97" i="5"/>
  <c r="BN97" i="5"/>
  <c r="BJ97" i="5"/>
  <c r="BF97" i="5"/>
  <c r="BB97" i="5"/>
  <c r="AX97" i="5"/>
  <c r="AT97" i="5"/>
  <c r="AP97" i="5"/>
  <c r="AL97" i="5"/>
  <c r="AH97" i="5"/>
  <c r="AD97" i="5"/>
  <c r="Z97" i="5"/>
  <c r="V97" i="5"/>
  <c r="R97" i="5"/>
  <c r="N97" i="5"/>
  <c r="J97" i="5"/>
  <c r="ED97" i="5" s="1"/>
  <c r="EC96" i="5"/>
  <c r="EB96" i="5"/>
  <c r="DZ96" i="5"/>
  <c r="DV96" i="5"/>
  <c r="DR96" i="5"/>
  <c r="DN96" i="5"/>
  <c r="DJ96" i="5"/>
  <c r="DF96" i="5"/>
  <c r="DB96" i="5"/>
  <c r="CX96" i="5"/>
  <c r="CT96" i="5"/>
  <c r="CP96" i="5"/>
  <c r="CL96" i="5"/>
  <c r="CH96" i="5"/>
  <c r="CD96" i="5"/>
  <c r="BZ96" i="5"/>
  <c r="BV96" i="5"/>
  <c r="BR96" i="5"/>
  <c r="BN96" i="5"/>
  <c r="BJ96" i="5"/>
  <c r="BF96" i="5"/>
  <c r="BB96" i="5"/>
  <c r="AX96" i="5"/>
  <c r="AT96" i="5"/>
  <c r="AP96" i="5"/>
  <c r="AL96" i="5"/>
  <c r="AH96" i="5"/>
  <c r="AD96" i="5"/>
  <c r="Z96" i="5"/>
  <c r="V96" i="5"/>
  <c r="R96" i="5"/>
  <c r="N96" i="5"/>
  <c r="J96" i="5"/>
  <c r="ED96" i="5" s="1"/>
  <c r="ED95" i="5"/>
  <c r="EC95" i="5"/>
  <c r="EB95" i="5"/>
  <c r="DZ95" i="5"/>
  <c r="DV95" i="5"/>
  <c r="DR95" i="5"/>
  <c r="DN95" i="5"/>
  <c r="DJ95" i="5"/>
  <c r="DF95" i="5"/>
  <c r="DB95" i="5"/>
  <c r="CX95" i="5"/>
  <c r="CT95" i="5"/>
  <c r="CP95" i="5"/>
  <c r="CL95" i="5"/>
  <c r="CH95" i="5"/>
  <c r="CD95" i="5"/>
  <c r="BZ95" i="5"/>
  <c r="BV95" i="5"/>
  <c r="BR95" i="5"/>
  <c r="BN95" i="5"/>
  <c r="BJ95" i="5"/>
  <c r="BF95" i="5"/>
  <c r="BB95" i="5"/>
  <c r="AX95" i="5"/>
  <c r="AT95" i="5"/>
  <c r="AP95" i="5"/>
  <c r="AL95" i="5"/>
  <c r="AH95" i="5"/>
  <c r="AD95" i="5"/>
  <c r="Z95" i="5"/>
  <c r="V95" i="5"/>
  <c r="R95" i="5"/>
  <c r="N95" i="5"/>
  <c r="J95" i="5"/>
  <c r="EC94" i="5"/>
  <c r="EB94" i="5"/>
  <c r="DZ94" i="5"/>
  <c r="DV94" i="5"/>
  <c r="DR94" i="5"/>
  <c r="DN94" i="5"/>
  <c r="DJ94" i="5"/>
  <c r="DF94" i="5"/>
  <c r="DB94" i="5"/>
  <c r="CX94" i="5"/>
  <c r="CT94" i="5"/>
  <c r="CP94" i="5"/>
  <c r="CL94" i="5"/>
  <c r="CH94" i="5"/>
  <c r="CD94" i="5"/>
  <c r="BZ94" i="5"/>
  <c r="BV94" i="5"/>
  <c r="BR94" i="5"/>
  <c r="BN94" i="5"/>
  <c r="BJ94" i="5"/>
  <c r="BF94" i="5"/>
  <c r="BB94" i="5"/>
  <c r="AX94" i="5"/>
  <c r="AT94" i="5"/>
  <c r="AP94" i="5"/>
  <c r="AL94" i="5"/>
  <c r="ED94" i="5" s="1"/>
  <c r="AH94" i="5"/>
  <c r="AD94" i="5"/>
  <c r="Z94" i="5"/>
  <c r="V94" i="5"/>
  <c r="R94" i="5"/>
  <c r="N94" i="5"/>
  <c r="J94" i="5"/>
  <c r="EC93" i="5"/>
  <c r="EB93" i="5"/>
  <c r="DZ93" i="5"/>
  <c r="DV93" i="5"/>
  <c r="DR93" i="5"/>
  <c r="DN93" i="5"/>
  <c r="DJ93" i="5"/>
  <c r="DF93" i="5"/>
  <c r="DB93" i="5"/>
  <c r="CX93" i="5"/>
  <c r="CT93" i="5"/>
  <c r="CP93" i="5"/>
  <c r="CL93" i="5"/>
  <c r="CH93" i="5"/>
  <c r="CD93" i="5"/>
  <c r="BZ93" i="5"/>
  <c r="BV93" i="5"/>
  <c r="BR93" i="5"/>
  <c r="BN93" i="5"/>
  <c r="BJ93" i="5"/>
  <c r="BF93" i="5"/>
  <c r="BB93" i="5"/>
  <c r="AX93" i="5"/>
  <c r="AT93" i="5"/>
  <c r="AP93" i="5"/>
  <c r="AL93" i="5"/>
  <c r="AH93" i="5"/>
  <c r="AD93" i="5"/>
  <c r="ED93" i="5" s="1"/>
  <c r="Z93" i="5"/>
  <c r="V93" i="5"/>
  <c r="R93" i="5"/>
  <c r="N93" i="5"/>
  <c r="J93" i="5"/>
  <c r="EC92" i="5"/>
  <c r="EB92" i="5"/>
  <c r="DZ92" i="5"/>
  <c r="DV92" i="5"/>
  <c r="DR92" i="5"/>
  <c r="DN92" i="5"/>
  <c r="DJ92" i="5"/>
  <c r="DF92" i="5"/>
  <c r="DB92" i="5"/>
  <c r="CX92" i="5"/>
  <c r="CT92" i="5"/>
  <c r="CP92" i="5"/>
  <c r="CL92" i="5"/>
  <c r="CH92" i="5"/>
  <c r="CD92" i="5"/>
  <c r="BZ92" i="5"/>
  <c r="BV92" i="5"/>
  <c r="BR92" i="5"/>
  <c r="BN92" i="5"/>
  <c r="BJ92" i="5"/>
  <c r="BF92" i="5"/>
  <c r="BB92" i="5"/>
  <c r="AX92" i="5"/>
  <c r="AT92" i="5"/>
  <c r="AP92" i="5"/>
  <c r="AL92" i="5"/>
  <c r="AH92" i="5"/>
  <c r="AD92" i="5"/>
  <c r="Z92" i="5"/>
  <c r="V92" i="5"/>
  <c r="ED92" i="5" s="1"/>
  <c r="R92" i="5"/>
  <c r="N92" i="5"/>
  <c r="J92" i="5"/>
  <c r="EC91" i="5"/>
  <c r="EB91" i="5"/>
  <c r="DZ91" i="5"/>
  <c r="DV91" i="5"/>
  <c r="DR91" i="5"/>
  <c r="DN91" i="5"/>
  <c r="DJ91" i="5"/>
  <c r="DF91" i="5"/>
  <c r="DB91" i="5"/>
  <c r="CX91" i="5"/>
  <c r="CT91" i="5"/>
  <c r="CP91" i="5"/>
  <c r="CL91" i="5"/>
  <c r="CH91" i="5"/>
  <c r="CD91" i="5"/>
  <c r="BZ91" i="5"/>
  <c r="BV91" i="5"/>
  <c r="BR91" i="5"/>
  <c r="BN91" i="5"/>
  <c r="BJ91" i="5"/>
  <c r="BF91" i="5"/>
  <c r="BB91" i="5"/>
  <c r="AX91" i="5"/>
  <c r="AT91" i="5"/>
  <c r="AP91" i="5"/>
  <c r="AL91" i="5"/>
  <c r="AH91" i="5"/>
  <c r="AD91" i="5"/>
  <c r="Z91" i="5"/>
  <c r="V91" i="5"/>
  <c r="R91" i="5"/>
  <c r="N91" i="5"/>
  <c r="J91" i="5"/>
  <c r="ED91" i="5" s="1"/>
  <c r="EC90" i="5"/>
  <c r="EB90" i="5"/>
  <c r="DZ90" i="5"/>
  <c r="DV90" i="5"/>
  <c r="DR90" i="5"/>
  <c r="DN90" i="5"/>
  <c r="DJ90" i="5"/>
  <c r="DF90" i="5"/>
  <c r="DB90" i="5"/>
  <c r="CX90" i="5"/>
  <c r="CT90" i="5"/>
  <c r="CP90" i="5"/>
  <c r="CL90" i="5"/>
  <c r="CH90" i="5"/>
  <c r="CD90" i="5"/>
  <c r="BZ90" i="5"/>
  <c r="BV90" i="5"/>
  <c r="BR90" i="5"/>
  <c r="BN90" i="5"/>
  <c r="BJ90" i="5"/>
  <c r="BF90" i="5"/>
  <c r="BB90" i="5"/>
  <c r="AX90" i="5"/>
  <c r="AT90" i="5"/>
  <c r="AP90" i="5"/>
  <c r="AL90" i="5"/>
  <c r="AH90" i="5"/>
  <c r="AD90" i="5"/>
  <c r="Z90" i="5"/>
  <c r="V90" i="5"/>
  <c r="R90" i="5"/>
  <c r="N90" i="5"/>
  <c r="J90" i="5"/>
  <c r="ED90" i="5" s="1"/>
  <c r="EC89" i="5"/>
  <c r="EB89" i="5"/>
  <c r="DZ89" i="5"/>
  <c r="DV89" i="5"/>
  <c r="DR89" i="5"/>
  <c r="DN89" i="5"/>
  <c r="DJ89" i="5"/>
  <c r="DF89" i="5"/>
  <c r="DB89" i="5"/>
  <c r="CX89" i="5"/>
  <c r="CT89" i="5"/>
  <c r="CP89" i="5"/>
  <c r="CL89" i="5"/>
  <c r="CH89" i="5"/>
  <c r="CD89" i="5"/>
  <c r="BZ89" i="5"/>
  <c r="BV89" i="5"/>
  <c r="BR89" i="5"/>
  <c r="BN89" i="5"/>
  <c r="BJ89" i="5"/>
  <c r="BF89" i="5"/>
  <c r="BB89" i="5"/>
  <c r="AX89" i="5"/>
  <c r="AT89" i="5"/>
  <c r="ED89" i="5" s="1"/>
  <c r="AP89" i="5"/>
  <c r="AL89" i="5"/>
  <c r="AH89" i="5"/>
  <c r="AD89" i="5"/>
  <c r="Z89" i="5"/>
  <c r="V89" i="5"/>
  <c r="R89" i="5"/>
  <c r="N89" i="5"/>
  <c r="J89" i="5"/>
  <c r="EC88" i="5"/>
  <c r="EB88" i="5"/>
  <c r="DZ88" i="5"/>
  <c r="DV88" i="5"/>
  <c r="DR88" i="5"/>
  <c r="DN88" i="5"/>
  <c r="DJ88" i="5"/>
  <c r="DF88" i="5"/>
  <c r="DB88" i="5"/>
  <c r="CX88" i="5"/>
  <c r="CT88" i="5"/>
  <c r="CP88" i="5"/>
  <c r="CL88" i="5"/>
  <c r="CH88" i="5"/>
  <c r="CD88" i="5"/>
  <c r="BZ88" i="5"/>
  <c r="BV88" i="5"/>
  <c r="BR88" i="5"/>
  <c r="BN88" i="5"/>
  <c r="BJ88" i="5"/>
  <c r="BF88" i="5"/>
  <c r="BB88" i="5"/>
  <c r="AX88" i="5"/>
  <c r="AT88" i="5"/>
  <c r="AP88" i="5"/>
  <c r="AL88" i="5"/>
  <c r="ED88" i="5" s="1"/>
  <c r="AH88" i="5"/>
  <c r="AD88" i="5"/>
  <c r="Z88" i="5"/>
  <c r="V88" i="5"/>
  <c r="R88" i="5"/>
  <c r="N88" i="5"/>
  <c r="J88" i="5"/>
  <c r="EC87" i="5"/>
  <c r="EB87" i="5"/>
  <c r="DZ87" i="5"/>
  <c r="DV87" i="5"/>
  <c r="DR87" i="5"/>
  <c r="DN87" i="5"/>
  <c r="DJ87" i="5"/>
  <c r="DF87" i="5"/>
  <c r="DB87" i="5"/>
  <c r="CX87" i="5"/>
  <c r="CT87" i="5"/>
  <c r="CP87" i="5"/>
  <c r="CL87" i="5"/>
  <c r="CH87" i="5"/>
  <c r="CD87" i="5"/>
  <c r="BZ87" i="5"/>
  <c r="BV87" i="5"/>
  <c r="BR87" i="5"/>
  <c r="BN87" i="5"/>
  <c r="BJ87" i="5"/>
  <c r="BF87" i="5"/>
  <c r="BB87" i="5"/>
  <c r="AX87" i="5"/>
  <c r="AT87" i="5"/>
  <c r="AP87" i="5"/>
  <c r="AL87" i="5"/>
  <c r="AH87" i="5"/>
  <c r="AD87" i="5"/>
  <c r="ED87" i="5" s="1"/>
  <c r="Z87" i="5"/>
  <c r="V87" i="5"/>
  <c r="R87" i="5"/>
  <c r="N87" i="5"/>
  <c r="J87" i="5"/>
  <c r="EC86" i="5"/>
  <c r="EB86" i="5"/>
  <c r="DZ86" i="5"/>
  <c r="DV86" i="5"/>
  <c r="DR86" i="5"/>
  <c r="DN86" i="5"/>
  <c r="DJ86" i="5"/>
  <c r="DF86" i="5"/>
  <c r="DB86" i="5"/>
  <c r="CX86" i="5"/>
  <c r="CT86" i="5"/>
  <c r="CP86" i="5"/>
  <c r="CL86" i="5"/>
  <c r="CH86" i="5"/>
  <c r="CD86" i="5"/>
  <c r="BZ86" i="5"/>
  <c r="BV86" i="5"/>
  <c r="BR86" i="5"/>
  <c r="BN86" i="5"/>
  <c r="BJ86" i="5"/>
  <c r="BF86" i="5"/>
  <c r="BB86" i="5"/>
  <c r="AX86" i="5"/>
  <c r="AT86" i="5"/>
  <c r="AP86" i="5"/>
  <c r="AL86" i="5"/>
  <c r="AH86" i="5"/>
  <c r="AD86" i="5"/>
  <c r="Z86" i="5"/>
  <c r="V86" i="5"/>
  <c r="ED86" i="5" s="1"/>
  <c r="R86" i="5"/>
  <c r="N86" i="5"/>
  <c r="J86" i="5"/>
  <c r="EC85" i="5"/>
  <c r="EB85" i="5"/>
  <c r="DZ85" i="5"/>
  <c r="DV85" i="5"/>
  <c r="DR85" i="5"/>
  <c r="DN85" i="5"/>
  <c r="DJ85" i="5"/>
  <c r="DF85" i="5"/>
  <c r="DB85" i="5"/>
  <c r="CX85" i="5"/>
  <c r="CT85" i="5"/>
  <c r="CP85" i="5"/>
  <c r="CL85" i="5"/>
  <c r="CH85" i="5"/>
  <c r="CD85" i="5"/>
  <c r="BZ85" i="5"/>
  <c r="BV85" i="5"/>
  <c r="BR85" i="5"/>
  <c r="BN85" i="5"/>
  <c r="BJ85" i="5"/>
  <c r="BF85" i="5"/>
  <c r="BB85" i="5"/>
  <c r="AX85" i="5"/>
  <c r="AT85" i="5"/>
  <c r="AP85" i="5"/>
  <c r="AL85" i="5"/>
  <c r="AH85" i="5"/>
  <c r="AD85" i="5"/>
  <c r="Z85" i="5"/>
  <c r="V85" i="5"/>
  <c r="R85" i="5"/>
  <c r="N85" i="5"/>
  <c r="J85" i="5"/>
  <c r="ED85" i="5" s="1"/>
  <c r="EC84" i="5"/>
  <c r="EB84" i="5"/>
  <c r="DZ84" i="5"/>
  <c r="DV84" i="5"/>
  <c r="DR84" i="5"/>
  <c r="DN84" i="5"/>
  <c r="DJ84" i="5"/>
  <c r="DF84" i="5"/>
  <c r="DB84" i="5"/>
  <c r="CX84" i="5"/>
  <c r="CT84" i="5"/>
  <c r="CP84" i="5"/>
  <c r="CL84" i="5"/>
  <c r="CH84" i="5"/>
  <c r="CD84" i="5"/>
  <c r="BZ84" i="5"/>
  <c r="BV84" i="5"/>
  <c r="BR84" i="5"/>
  <c r="BN84" i="5"/>
  <c r="BJ84" i="5"/>
  <c r="BF84" i="5"/>
  <c r="BB84" i="5"/>
  <c r="AX84" i="5"/>
  <c r="AT84" i="5"/>
  <c r="AP84" i="5"/>
  <c r="AL84" i="5"/>
  <c r="AH84" i="5"/>
  <c r="AD84" i="5"/>
  <c r="Z84" i="5"/>
  <c r="V84" i="5"/>
  <c r="R84" i="5"/>
  <c r="N84" i="5"/>
  <c r="J84" i="5"/>
  <c r="ED84" i="5" s="1"/>
  <c r="EC83" i="5"/>
  <c r="EB83" i="5"/>
  <c r="DZ83" i="5"/>
  <c r="DV83" i="5"/>
  <c r="DR83" i="5"/>
  <c r="DN83" i="5"/>
  <c r="DJ83" i="5"/>
  <c r="DF83" i="5"/>
  <c r="DB83" i="5"/>
  <c r="CX83" i="5"/>
  <c r="CT83" i="5"/>
  <c r="CP83" i="5"/>
  <c r="CL83" i="5"/>
  <c r="CH83" i="5"/>
  <c r="CD83" i="5"/>
  <c r="BZ83" i="5"/>
  <c r="BV83" i="5"/>
  <c r="BR83" i="5"/>
  <c r="BN83" i="5"/>
  <c r="BJ83" i="5"/>
  <c r="BF83" i="5"/>
  <c r="BB83" i="5"/>
  <c r="AX83" i="5"/>
  <c r="AT83" i="5"/>
  <c r="ED83" i="5" s="1"/>
  <c r="AP83" i="5"/>
  <c r="AL83" i="5"/>
  <c r="AH83" i="5"/>
  <c r="AD83" i="5"/>
  <c r="Z83" i="5"/>
  <c r="V83" i="5"/>
  <c r="R83" i="5"/>
  <c r="N83" i="5"/>
  <c r="J83" i="5"/>
  <c r="EC82" i="5"/>
  <c r="EB82" i="5"/>
  <c r="DZ82" i="5"/>
  <c r="DV82" i="5"/>
  <c r="DR82" i="5"/>
  <c r="DN82" i="5"/>
  <c r="DJ82" i="5"/>
  <c r="DF82" i="5"/>
  <c r="DB82" i="5"/>
  <c r="CX82" i="5"/>
  <c r="CT82" i="5"/>
  <c r="CP82" i="5"/>
  <c r="CL82" i="5"/>
  <c r="CH82" i="5"/>
  <c r="CD82" i="5"/>
  <c r="BZ82" i="5"/>
  <c r="BV82" i="5"/>
  <c r="BR82" i="5"/>
  <c r="BN82" i="5"/>
  <c r="BJ82" i="5"/>
  <c r="BF82" i="5"/>
  <c r="BB82" i="5"/>
  <c r="AX82" i="5"/>
  <c r="AT82" i="5"/>
  <c r="AP82" i="5"/>
  <c r="AL82" i="5"/>
  <c r="ED82" i="5" s="1"/>
  <c r="AH82" i="5"/>
  <c r="AD82" i="5"/>
  <c r="Z82" i="5"/>
  <c r="V82" i="5"/>
  <c r="R82" i="5"/>
  <c r="N82" i="5"/>
  <c r="J82" i="5"/>
  <c r="EC81" i="5"/>
  <c r="EB81" i="5"/>
  <c r="DZ81" i="5"/>
  <c r="DV81" i="5"/>
  <c r="DR81" i="5"/>
  <c r="DN81" i="5"/>
  <c r="DJ81" i="5"/>
  <c r="DF81" i="5"/>
  <c r="DB81" i="5"/>
  <c r="CX81" i="5"/>
  <c r="CT81" i="5"/>
  <c r="CP81" i="5"/>
  <c r="CL81" i="5"/>
  <c r="CH81" i="5"/>
  <c r="CD81" i="5"/>
  <c r="BZ81" i="5"/>
  <c r="BV81" i="5"/>
  <c r="BR81" i="5"/>
  <c r="BN81" i="5"/>
  <c r="BJ81" i="5"/>
  <c r="BF81" i="5"/>
  <c r="BB81" i="5"/>
  <c r="AX81" i="5"/>
  <c r="AT81" i="5"/>
  <c r="AP81" i="5"/>
  <c r="AL81" i="5"/>
  <c r="AH81" i="5"/>
  <c r="AD81" i="5"/>
  <c r="ED81" i="5" s="1"/>
  <c r="Z81" i="5"/>
  <c r="V81" i="5"/>
  <c r="R81" i="5"/>
  <c r="N81" i="5"/>
  <c r="J81" i="5"/>
  <c r="EC80" i="5"/>
  <c r="EB80" i="5"/>
  <c r="DZ80" i="5"/>
  <c r="DV80" i="5"/>
  <c r="DR80" i="5"/>
  <c r="DN80" i="5"/>
  <c r="DJ80" i="5"/>
  <c r="DF80" i="5"/>
  <c r="DB80" i="5"/>
  <c r="CX80" i="5"/>
  <c r="CT80" i="5"/>
  <c r="CP80" i="5"/>
  <c r="CL80" i="5"/>
  <c r="CH80" i="5"/>
  <c r="CD80" i="5"/>
  <c r="BZ80" i="5"/>
  <c r="BV80" i="5"/>
  <c r="BR80" i="5"/>
  <c r="BN80" i="5"/>
  <c r="BJ80" i="5"/>
  <c r="BF80" i="5"/>
  <c r="BB80" i="5"/>
  <c r="AX80" i="5"/>
  <c r="AT80" i="5"/>
  <c r="AP80" i="5"/>
  <c r="AL80" i="5"/>
  <c r="AH80" i="5"/>
  <c r="AD80" i="5"/>
  <c r="Z80" i="5"/>
  <c r="V80" i="5"/>
  <c r="ED80" i="5" s="1"/>
  <c r="R80" i="5"/>
  <c r="N80" i="5"/>
  <c r="J80" i="5"/>
  <c r="EC79" i="5"/>
  <c r="EB79" i="5"/>
  <c r="DZ79" i="5"/>
  <c r="DV79" i="5"/>
  <c r="DR79" i="5"/>
  <c r="DN79" i="5"/>
  <c r="DJ79" i="5"/>
  <c r="DF79" i="5"/>
  <c r="DB79" i="5"/>
  <c r="CX79" i="5"/>
  <c r="CT79" i="5"/>
  <c r="CP79" i="5"/>
  <c r="CL79" i="5"/>
  <c r="CH79" i="5"/>
  <c r="CD79" i="5"/>
  <c r="BZ79" i="5"/>
  <c r="BV79" i="5"/>
  <c r="BR79" i="5"/>
  <c r="BN79" i="5"/>
  <c r="BJ79" i="5"/>
  <c r="BF79" i="5"/>
  <c r="BB79" i="5"/>
  <c r="AX79" i="5"/>
  <c r="AT79" i="5"/>
  <c r="AP79" i="5"/>
  <c r="AL79" i="5"/>
  <c r="AH79" i="5"/>
  <c r="AD79" i="5"/>
  <c r="Z79" i="5"/>
  <c r="V79" i="5"/>
  <c r="R79" i="5"/>
  <c r="N79" i="5"/>
  <c r="J79" i="5"/>
  <c r="ED79" i="5" s="1"/>
  <c r="EC78" i="5"/>
  <c r="EB78" i="5"/>
  <c r="DZ78" i="5"/>
  <c r="DV78" i="5"/>
  <c r="DR78" i="5"/>
  <c r="DN78" i="5"/>
  <c r="DJ78" i="5"/>
  <c r="DF78" i="5"/>
  <c r="DB78" i="5"/>
  <c r="CX78" i="5"/>
  <c r="CT78" i="5"/>
  <c r="CP78" i="5"/>
  <c r="CL78" i="5"/>
  <c r="CH78" i="5"/>
  <c r="CD78" i="5"/>
  <c r="BZ78" i="5"/>
  <c r="BV78" i="5"/>
  <c r="BR78" i="5"/>
  <c r="BN78" i="5"/>
  <c r="BJ78" i="5"/>
  <c r="BF78" i="5"/>
  <c r="BB78" i="5"/>
  <c r="AX78" i="5"/>
  <c r="AT78" i="5"/>
  <c r="AP78" i="5"/>
  <c r="AL78" i="5"/>
  <c r="AH78" i="5"/>
  <c r="AD78" i="5"/>
  <c r="Z78" i="5"/>
  <c r="V78" i="5"/>
  <c r="R78" i="5"/>
  <c r="N78" i="5"/>
  <c r="J78" i="5"/>
  <c r="ED78" i="5" s="1"/>
  <c r="EC77" i="5"/>
  <c r="EB77" i="5"/>
  <c r="DZ77" i="5"/>
  <c r="DV77" i="5"/>
  <c r="DR77" i="5"/>
  <c r="DN77" i="5"/>
  <c r="DJ77" i="5"/>
  <c r="DF77" i="5"/>
  <c r="DB77" i="5"/>
  <c r="CX77" i="5"/>
  <c r="CT77" i="5"/>
  <c r="CP77" i="5"/>
  <c r="CL77" i="5"/>
  <c r="CH77" i="5"/>
  <c r="CD77" i="5"/>
  <c r="BZ77" i="5"/>
  <c r="BV77" i="5"/>
  <c r="BR77" i="5"/>
  <c r="BN77" i="5"/>
  <c r="BJ77" i="5"/>
  <c r="BF77" i="5"/>
  <c r="BB77" i="5"/>
  <c r="AX77" i="5"/>
  <c r="AT77" i="5"/>
  <c r="ED77" i="5" s="1"/>
  <c r="AP77" i="5"/>
  <c r="AL77" i="5"/>
  <c r="AH77" i="5"/>
  <c r="AD77" i="5"/>
  <c r="Z77" i="5"/>
  <c r="V77" i="5"/>
  <c r="R77" i="5"/>
  <c r="N77" i="5"/>
  <c r="J77" i="5"/>
  <c r="EC76" i="5"/>
  <c r="EB76" i="5"/>
  <c r="DZ76" i="5"/>
  <c r="DV76" i="5"/>
  <c r="DR76" i="5"/>
  <c r="DN76" i="5"/>
  <c r="DJ76" i="5"/>
  <c r="DF76" i="5"/>
  <c r="DB76" i="5"/>
  <c r="CX76" i="5"/>
  <c r="CT76" i="5"/>
  <c r="CP76" i="5"/>
  <c r="CL76" i="5"/>
  <c r="CH76" i="5"/>
  <c r="CD76" i="5"/>
  <c r="BZ76" i="5"/>
  <c r="BV76" i="5"/>
  <c r="BR76" i="5"/>
  <c r="BN76" i="5"/>
  <c r="BJ76" i="5"/>
  <c r="BF76" i="5"/>
  <c r="BB76" i="5"/>
  <c r="AX76" i="5"/>
  <c r="AT76" i="5"/>
  <c r="AP76" i="5"/>
  <c r="AL76" i="5"/>
  <c r="ED76" i="5" s="1"/>
  <c r="AH76" i="5"/>
  <c r="AD76" i="5"/>
  <c r="Z76" i="5"/>
  <c r="V76" i="5"/>
  <c r="R76" i="5"/>
  <c r="N76" i="5"/>
  <c r="J76" i="5"/>
  <c r="EC75" i="5"/>
  <c r="EB75" i="5"/>
  <c r="DZ75" i="5"/>
  <c r="DV75" i="5"/>
  <c r="DR75" i="5"/>
  <c r="DN75" i="5"/>
  <c r="DJ75" i="5"/>
  <c r="DF75" i="5"/>
  <c r="DB75" i="5"/>
  <c r="CX75" i="5"/>
  <c r="CT75" i="5"/>
  <c r="CP75" i="5"/>
  <c r="CL75" i="5"/>
  <c r="CH75" i="5"/>
  <c r="CD75" i="5"/>
  <c r="BZ75" i="5"/>
  <c r="BV75" i="5"/>
  <c r="BR75" i="5"/>
  <c r="BN75" i="5"/>
  <c r="BJ75" i="5"/>
  <c r="BF75" i="5"/>
  <c r="BB75" i="5"/>
  <c r="AX75" i="5"/>
  <c r="AT75" i="5"/>
  <c r="AP75" i="5"/>
  <c r="AL75" i="5"/>
  <c r="AH75" i="5"/>
  <c r="AD75" i="5"/>
  <c r="ED75" i="5" s="1"/>
  <c r="Z75" i="5"/>
  <c r="V75" i="5"/>
  <c r="R75" i="5"/>
  <c r="N75" i="5"/>
  <c r="J75" i="5"/>
  <c r="EC74" i="5"/>
  <c r="EB74" i="5"/>
  <c r="DZ74" i="5"/>
  <c r="DV74" i="5"/>
  <c r="DR74" i="5"/>
  <c r="DN74" i="5"/>
  <c r="DJ74" i="5"/>
  <c r="DF74" i="5"/>
  <c r="DB74" i="5"/>
  <c r="CX74" i="5"/>
  <c r="CT74" i="5"/>
  <c r="CP74" i="5"/>
  <c r="CL74" i="5"/>
  <c r="CH74" i="5"/>
  <c r="CD74" i="5"/>
  <c r="BZ74" i="5"/>
  <c r="BV74" i="5"/>
  <c r="BR74" i="5"/>
  <c r="BN74" i="5"/>
  <c r="BJ74" i="5"/>
  <c r="BF74" i="5"/>
  <c r="BB74" i="5"/>
  <c r="AX74" i="5"/>
  <c r="AT74" i="5"/>
  <c r="AP74" i="5"/>
  <c r="AL74" i="5"/>
  <c r="AH74" i="5"/>
  <c r="AD74" i="5"/>
  <c r="Z74" i="5"/>
  <c r="V74" i="5"/>
  <c r="ED74" i="5" s="1"/>
  <c r="R74" i="5"/>
  <c r="N74" i="5"/>
  <c r="J74" i="5"/>
  <c r="EC73" i="5"/>
  <c r="EB73" i="5"/>
  <c r="DZ73" i="5"/>
  <c r="DV73" i="5"/>
  <c r="DR73" i="5"/>
  <c r="DN73" i="5"/>
  <c r="DJ73" i="5"/>
  <c r="DF73" i="5"/>
  <c r="DB73" i="5"/>
  <c r="CX73" i="5"/>
  <c r="CT73" i="5"/>
  <c r="CP73" i="5"/>
  <c r="CL73" i="5"/>
  <c r="CH73" i="5"/>
  <c r="CD73" i="5"/>
  <c r="BZ73" i="5"/>
  <c r="BV73" i="5"/>
  <c r="BR73" i="5"/>
  <c r="BN73" i="5"/>
  <c r="BJ73" i="5"/>
  <c r="BF73" i="5"/>
  <c r="BB73" i="5"/>
  <c r="AX73" i="5"/>
  <c r="AT73" i="5"/>
  <c r="AP73" i="5"/>
  <c r="AL73" i="5"/>
  <c r="AH73" i="5"/>
  <c r="AD73" i="5"/>
  <c r="Z73" i="5"/>
  <c r="V73" i="5"/>
  <c r="R73" i="5"/>
  <c r="N73" i="5"/>
  <c r="J73" i="5"/>
  <c r="ED73" i="5" s="1"/>
  <c r="EC72" i="5"/>
  <c r="EB72" i="5"/>
  <c r="DZ72" i="5"/>
  <c r="DV72" i="5"/>
  <c r="DR72" i="5"/>
  <c r="DN72" i="5"/>
  <c r="DJ72" i="5"/>
  <c r="DF72" i="5"/>
  <c r="DB72" i="5"/>
  <c r="CX72" i="5"/>
  <c r="CT72" i="5"/>
  <c r="CP72" i="5"/>
  <c r="CL72" i="5"/>
  <c r="CH72" i="5"/>
  <c r="CD72" i="5"/>
  <c r="BZ72" i="5"/>
  <c r="BV72" i="5"/>
  <c r="BR72" i="5"/>
  <c r="BN72" i="5"/>
  <c r="BJ72" i="5"/>
  <c r="BF72" i="5"/>
  <c r="BB72" i="5"/>
  <c r="AX72" i="5"/>
  <c r="AT72" i="5"/>
  <c r="AP72" i="5"/>
  <c r="AL72" i="5"/>
  <c r="AH72" i="5"/>
  <c r="AD72" i="5"/>
  <c r="Z72" i="5"/>
  <c r="V72" i="5"/>
  <c r="R72" i="5"/>
  <c r="N72" i="5"/>
  <c r="J72" i="5"/>
  <c r="ED72" i="5" s="1"/>
  <c r="EC71" i="5"/>
  <c r="EB71" i="5"/>
  <c r="DZ71" i="5"/>
  <c r="DV71" i="5"/>
  <c r="DR71" i="5"/>
  <c r="DN71" i="5"/>
  <c r="DJ71" i="5"/>
  <c r="DF71" i="5"/>
  <c r="DB71" i="5"/>
  <c r="CX71" i="5"/>
  <c r="CT71" i="5"/>
  <c r="CP71" i="5"/>
  <c r="CL71" i="5"/>
  <c r="CH71" i="5"/>
  <c r="CD71" i="5"/>
  <c r="BZ71" i="5"/>
  <c r="BV71" i="5"/>
  <c r="BR71" i="5"/>
  <c r="BN71" i="5"/>
  <c r="BJ71" i="5"/>
  <c r="BF71" i="5"/>
  <c r="BB71" i="5"/>
  <c r="AX71" i="5"/>
  <c r="AT71" i="5"/>
  <c r="ED71" i="5" s="1"/>
  <c r="AP71" i="5"/>
  <c r="AL71" i="5"/>
  <c r="AH71" i="5"/>
  <c r="AD71" i="5"/>
  <c r="Z71" i="5"/>
  <c r="V71" i="5"/>
  <c r="R71" i="5"/>
  <c r="N71" i="5"/>
  <c r="J71" i="5"/>
  <c r="EC70" i="5"/>
  <c r="EB70" i="5"/>
  <c r="DZ70" i="5"/>
  <c r="DV70" i="5"/>
  <c r="DR70" i="5"/>
  <c r="DN70" i="5"/>
  <c r="DJ70" i="5"/>
  <c r="DF70" i="5"/>
  <c r="DB70" i="5"/>
  <c r="CX70" i="5"/>
  <c r="CT70" i="5"/>
  <c r="CP70" i="5"/>
  <c r="CL70" i="5"/>
  <c r="CH70" i="5"/>
  <c r="CD70" i="5"/>
  <c r="BZ70" i="5"/>
  <c r="BV70" i="5"/>
  <c r="BR70" i="5"/>
  <c r="BN70" i="5"/>
  <c r="BJ70" i="5"/>
  <c r="BF70" i="5"/>
  <c r="BB70" i="5"/>
  <c r="AX70" i="5"/>
  <c r="AT70" i="5"/>
  <c r="AP70" i="5"/>
  <c r="AL70" i="5"/>
  <c r="ED70" i="5" s="1"/>
  <c r="AH70" i="5"/>
  <c r="AD70" i="5"/>
  <c r="Z70" i="5"/>
  <c r="V70" i="5"/>
  <c r="R70" i="5"/>
  <c r="N70" i="5"/>
  <c r="J70" i="5"/>
  <c r="EC69" i="5"/>
  <c r="EB69" i="5"/>
  <c r="DZ69" i="5"/>
  <c r="DV69" i="5"/>
  <c r="DR69" i="5"/>
  <c r="DN69" i="5"/>
  <c r="DJ69" i="5"/>
  <c r="DF69" i="5"/>
  <c r="DB69" i="5"/>
  <c r="CX69" i="5"/>
  <c r="CT69" i="5"/>
  <c r="CP69" i="5"/>
  <c r="CL69" i="5"/>
  <c r="CH69" i="5"/>
  <c r="CD69" i="5"/>
  <c r="BZ69" i="5"/>
  <c r="BV69" i="5"/>
  <c r="BR69" i="5"/>
  <c r="BN69" i="5"/>
  <c r="BJ69" i="5"/>
  <c r="BF69" i="5"/>
  <c r="BB69" i="5"/>
  <c r="AX69" i="5"/>
  <c r="AT69" i="5"/>
  <c r="AP69" i="5"/>
  <c r="AL69" i="5"/>
  <c r="AH69" i="5"/>
  <c r="AD69" i="5"/>
  <c r="Z69" i="5"/>
  <c r="V69" i="5"/>
  <c r="R69" i="5"/>
  <c r="ED69" i="5" s="1"/>
  <c r="N69" i="5"/>
  <c r="J69" i="5"/>
  <c r="EC68" i="5"/>
  <c r="EB68" i="5"/>
  <c r="DZ68" i="5"/>
  <c r="DV68" i="5"/>
  <c r="DR68" i="5"/>
  <c r="DN68" i="5"/>
  <c r="DJ68" i="5"/>
  <c r="DF68" i="5"/>
  <c r="DB68" i="5"/>
  <c r="CX68" i="5"/>
  <c r="CT68" i="5"/>
  <c r="CP68" i="5"/>
  <c r="CL68" i="5"/>
  <c r="CH68" i="5"/>
  <c r="CD68" i="5"/>
  <c r="BZ68" i="5"/>
  <c r="BV68" i="5"/>
  <c r="BR68" i="5"/>
  <c r="BN68" i="5"/>
  <c r="BJ68" i="5"/>
  <c r="BF68" i="5"/>
  <c r="BB68" i="5"/>
  <c r="AX68" i="5"/>
  <c r="AT68" i="5"/>
  <c r="AP68" i="5"/>
  <c r="AL68" i="5"/>
  <c r="AH68" i="5"/>
  <c r="AD68" i="5"/>
  <c r="Z68" i="5"/>
  <c r="V68" i="5"/>
  <c r="ED68" i="5" s="1"/>
  <c r="R68" i="5"/>
  <c r="N68" i="5"/>
  <c r="J68" i="5"/>
  <c r="EC67" i="5"/>
  <c r="EB67" i="5"/>
  <c r="DZ67" i="5"/>
  <c r="DV67" i="5"/>
  <c r="DR67" i="5"/>
  <c r="DN67" i="5"/>
  <c r="DJ67" i="5"/>
  <c r="DF67" i="5"/>
  <c r="DB67" i="5"/>
  <c r="CX67" i="5"/>
  <c r="CT67" i="5"/>
  <c r="CP67" i="5"/>
  <c r="CL67" i="5"/>
  <c r="CH67" i="5"/>
  <c r="CD67" i="5"/>
  <c r="BZ67" i="5"/>
  <c r="BV67" i="5"/>
  <c r="BR67" i="5"/>
  <c r="BN67" i="5"/>
  <c r="BJ67" i="5"/>
  <c r="BF67" i="5"/>
  <c r="BB67" i="5"/>
  <c r="AX67" i="5"/>
  <c r="AT67" i="5"/>
  <c r="AP67" i="5"/>
  <c r="AL67" i="5"/>
  <c r="AH67" i="5"/>
  <c r="AD67" i="5"/>
  <c r="Z67" i="5"/>
  <c r="V67" i="5"/>
  <c r="R67" i="5"/>
  <c r="N67" i="5"/>
  <c r="J67" i="5"/>
  <c r="ED67" i="5" s="1"/>
  <c r="EC66" i="5"/>
  <c r="EB66" i="5"/>
  <c r="DZ66" i="5"/>
  <c r="DV66" i="5"/>
  <c r="DR66" i="5"/>
  <c r="DN66" i="5"/>
  <c r="DJ66" i="5"/>
  <c r="DF66" i="5"/>
  <c r="DB66" i="5"/>
  <c r="CX66" i="5"/>
  <c r="CT66" i="5"/>
  <c r="CP66" i="5"/>
  <c r="CL66" i="5"/>
  <c r="CH66" i="5"/>
  <c r="CD66" i="5"/>
  <c r="BZ66" i="5"/>
  <c r="BV66" i="5"/>
  <c r="BR66" i="5"/>
  <c r="BN66" i="5"/>
  <c r="BJ66" i="5"/>
  <c r="BF66" i="5"/>
  <c r="BB66" i="5"/>
  <c r="AX66" i="5"/>
  <c r="AT66" i="5"/>
  <c r="AP66" i="5"/>
  <c r="AL66" i="5"/>
  <c r="AH66" i="5"/>
  <c r="AD66" i="5"/>
  <c r="Z66" i="5"/>
  <c r="V66" i="5"/>
  <c r="R66" i="5"/>
  <c r="N66" i="5"/>
  <c r="J66" i="5"/>
  <c r="ED66" i="5" s="1"/>
  <c r="EC65" i="5"/>
  <c r="EB65" i="5"/>
  <c r="DZ65" i="5"/>
  <c r="DV65" i="5"/>
  <c r="DR65" i="5"/>
  <c r="DN65" i="5"/>
  <c r="DJ65" i="5"/>
  <c r="DF65" i="5"/>
  <c r="DB65" i="5"/>
  <c r="CX65" i="5"/>
  <c r="CT65" i="5"/>
  <c r="CP65" i="5"/>
  <c r="CL65" i="5"/>
  <c r="CH65" i="5"/>
  <c r="CD65" i="5"/>
  <c r="BZ65" i="5"/>
  <c r="BV65" i="5"/>
  <c r="BR65" i="5"/>
  <c r="BN65" i="5"/>
  <c r="BJ65" i="5"/>
  <c r="BF65" i="5"/>
  <c r="BB65" i="5"/>
  <c r="AX65" i="5"/>
  <c r="AT65" i="5"/>
  <c r="ED65" i="5" s="1"/>
  <c r="AP65" i="5"/>
  <c r="AL65" i="5"/>
  <c r="AH65" i="5"/>
  <c r="AD65" i="5"/>
  <c r="Z65" i="5"/>
  <c r="V65" i="5"/>
  <c r="R65" i="5"/>
  <c r="N65" i="5"/>
  <c r="J65" i="5"/>
  <c r="EC64" i="5"/>
  <c r="EB64" i="5"/>
  <c r="DZ64" i="5"/>
  <c r="DV64" i="5"/>
  <c r="DR64" i="5"/>
  <c r="DN64" i="5"/>
  <c r="DJ64" i="5"/>
  <c r="DF64" i="5"/>
  <c r="DB64" i="5"/>
  <c r="CX64" i="5"/>
  <c r="CT64" i="5"/>
  <c r="CP64" i="5"/>
  <c r="CL64" i="5"/>
  <c r="CH64" i="5"/>
  <c r="CD64" i="5"/>
  <c r="BZ64" i="5"/>
  <c r="BV64" i="5"/>
  <c r="BR64" i="5"/>
  <c r="BN64" i="5"/>
  <c r="BJ64" i="5"/>
  <c r="BF64" i="5"/>
  <c r="BB64" i="5"/>
  <c r="AX64" i="5"/>
  <c r="AT64" i="5"/>
  <c r="AP64" i="5"/>
  <c r="AL64" i="5"/>
  <c r="ED64" i="5" s="1"/>
  <c r="AH64" i="5"/>
  <c r="AD64" i="5"/>
  <c r="Z64" i="5"/>
  <c r="V64" i="5"/>
  <c r="R64" i="5"/>
  <c r="N64" i="5"/>
  <c r="J64" i="5"/>
  <c r="EC63" i="5"/>
  <c r="EB63" i="5"/>
  <c r="DZ63" i="5"/>
  <c r="DV63" i="5"/>
  <c r="DR63" i="5"/>
  <c r="DN63" i="5"/>
  <c r="DJ63" i="5"/>
  <c r="DF63" i="5"/>
  <c r="DB63" i="5"/>
  <c r="CX63" i="5"/>
  <c r="CT63" i="5"/>
  <c r="CP63" i="5"/>
  <c r="CL63" i="5"/>
  <c r="CH63" i="5"/>
  <c r="CD63" i="5"/>
  <c r="BZ63" i="5"/>
  <c r="BV63" i="5"/>
  <c r="BR63" i="5"/>
  <c r="BN63" i="5"/>
  <c r="BJ63" i="5"/>
  <c r="BF63" i="5"/>
  <c r="BB63" i="5"/>
  <c r="AX63" i="5"/>
  <c r="AT63" i="5"/>
  <c r="AP63" i="5"/>
  <c r="AL63" i="5"/>
  <c r="AH63" i="5"/>
  <c r="AD63" i="5"/>
  <c r="Z63" i="5"/>
  <c r="V63" i="5"/>
  <c r="R63" i="5"/>
  <c r="ED63" i="5" s="1"/>
  <c r="N63" i="5"/>
  <c r="J63" i="5"/>
  <c r="EC62" i="5"/>
  <c r="EB62" i="5"/>
  <c r="DZ62" i="5"/>
  <c r="DV62" i="5"/>
  <c r="DR62" i="5"/>
  <c r="DN62" i="5"/>
  <c r="DJ62" i="5"/>
  <c r="DF62" i="5"/>
  <c r="DB62" i="5"/>
  <c r="CX62" i="5"/>
  <c r="CT62" i="5"/>
  <c r="CP62" i="5"/>
  <c r="CL62" i="5"/>
  <c r="CH62" i="5"/>
  <c r="CD62" i="5"/>
  <c r="BZ62" i="5"/>
  <c r="BV62" i="5"/>
  <c r="BR62" i="5"/>
  <c r="BN62" i="5"/>
  <c r="BJ62" i="5"/>
  <c r="BF62" i="5"/>
  <c r="BB62" i="5"/>
  <c r="AX62" i="5"/>
  <c r="AT62" i="5"/>
  <c r="AP62" i="5"/>
  <c r="AL62" i="5"/>
  <c r="AH62" i="5"/>
  <c r="AD62" i="5"/>
  <c r="Z62" i="5"/>
  <c r="V62" i="5"/>
  <c r="ED62" i="5" s="1"/>
  <c r="R62" i="5"/>
  <c r="N62" i="5"/>
  <c r="J62" i="5"/>
  <c r="EC61" i="5"/>
  <c r="EB61" i="5"/>
  <c r="DZ61" i="5"/>
  <c r="DV61" i="5"/>
  <c r="DR61" i="5"/>
  <c r="DN61" i="5"/>
  <c r="DJ61" i="5"/>
  <c r="DF61" i="5"/>
  <c r="DB61" i="5"/>
  <c r="CX61" i="5"/>
  <c r="CT61" i="5"/>
  <c r="CP61" i="5"/>
  <c r="CL61" i="5"/>
  <c r="CH61" i="5"/>
  <c r="CD61" i="5"/>
  <c r="BZ61" i="5"/>
  <c r="BV61" i="5"/>
  <c r="BR61" i="5"/>
  <c r="BN61" i="5"/>
  <c r="BJ61" i="5"/>
  <c r="BF61" i="5"/>
  <c r="BB61" i="5"/>
  <c r="AX61" i="5"/>
  <c r="AT61" i="5"/>
  <c r="AP61" i="5"/>
  <c r="AL61" i="5"/>
  <c r="AH61" i="5"/>
  <c r="AD61" i="5"/>
  <c r="Z61" i="5"/>
  <c r="V61" i="5"/>
  <c r="R61" i="5"/>
  <c r="N61" i="5"/>
  <c r="J61" i="5"/>
  <c r="ED61" i="5" s="1"/>
  <c r="EC60" i="5"/>
  <c r="EB60" i="5"/>
  <c r="DZ60" i="5"/>
  <c r="DV60" i="5"/>
  <c r="DR60" i="5"/>
  <c r="DN60" i="5"/>
  <c r="DJ60" i="5"/>
  <c r="DF60" i="5"/>
  <c r="DB60" i="5"/>
  <c r="CX60" i="5"/>
  <c r="CT60" i="5"/>
  <c r="CP60" i="5"/>
  <c r="CL60" i="5"/>
  <c r="CH60" i="5"/>
  <c r="CD60" i="5"/>
  <c r="BZ60" i="5"/>
  <c r="BV60" i="5"/>
  <c r="BR60" i="5"/>
  <c r="BN60" i="5"/>
  <c r="BJ60" i="5"/>
  <c r="BF60" i="5"/>
  <c r="BB60" i="5"/>
  <c r="AX60" i="5"/>
  <c r="AT60" i="5"/>
  <c r="AP60" i="5"/>
  <c r="AL60" i="5"/>
  <c r="AH60" i="5"/>
  <c r="AD60" i="5"/>
  <c r="Z60" i="5"/>
  <c r="V60" i="5"/>
  <c r="R60" i="5"/>
  <c r="N60" i="5"/>
  <c r="J60" i="5"/>
  <c r="ED60" i="5" s="1"/>
  <c r="EC59" i="5"/>
  <c r="EB59" i="5"/>
  <c r="DZ59" i="5"/>
  <c r="DV59" i="5"/>
  <c r="DR59" i="5"/>
  <c r="DN59" i="5"/>
  <c r="DJ59" i="5"/>
  <c r="DF59" i="5"/>
  <c r="DB59" i="5"/>
  <c r="CX59" i="5"/>
  <c r="CT59" i="5"/>
  <c r="CP59" i="5"/>
  <c r="CL59" i="5"/>
  <c r="CH59" i="5"/>
  <c r="CD59" i="5"/>
  <c r="BZ59" i="5"/>
  <c r="BV59" i="5"/>
  <c r="BR59" i="5"/>
  <c r="BN59" i="5"/>
  <c r="BJ59" i="5"/>
  <c r="BF59" i="5"/>
  <c r="BB59" i="5"/>
  <c r="AX59" i="5"/>
  <c r="AT59" i="5"/>
  <c r="ED59" i="5" s="1"/>
  <c r="AP59" i="5"/>
  <c r="AL59" i="5"/>
  <c r="AH59" i="5"/>
  <c r="AD59" i="5"/>
  <c r="Z59" i="5"/>
  <c r="V59" i="5"/>
  <c r="R59" i="5"/>
  <c r="N59" i="5"/>
  <c r="J59" i="5"/>
  <c r="EC58" i="5"/>
  <c r="EB58" i="5"/>
  <c r="DZ58" i="5"/>
  <c r="DV58" i="5"/>
  <c r="DR58" i="5"/>
  <c r="DN58" i="5"/>
  <c r="DJ58" i="5"/>
  <c r="DF58" i="5"/>
  <c r="DB58" i="5"/>
  <c r="CX58" i="5"/>
  <c r="CT58" i="5"/>
  <c r="CP58" i="5"/>
  <c r="CL58" i="5"/>
  <c r="CH58" i="5"/>
  <c r="CD58" i="5"/>
  <c r="BZ58" i="5"/>
  <c r="BV58" i="5"/>
  <c r="BR58" i="5"/>
  <c r="BN58" i="5"/>
  <c r="BJ58" i="5"/>
  <c r="BF58" i="5"/>
  <c r="BB58" i="5"/>
  <c r="AX58" i="5"/>
  <c r="AT58" i="5"/>
  <c r="AP58" i="5"/>
  <c r="AL58" i="5"/>
  <c r="ED58" i="5" s="1"/>
  <c r="AH58" i="5"/>
  <c r="AD58" i="5"/>
  <c r="Z58" i="5"/>
  <c r="V58" i="5"/>
  <c r="R58" i="5"/>
  <c r="N58" i="5"/>
  <c r="J58" i="5"/>
  <c r="EC57" i="5"/>
  <c r="EB57" i="5"/>
  <c r="DZ57" i="5"/>
  <c r="DV57" i="5"/>
  <c r="DR57" i="5"/>
  <c r="DN57" i="5"/>
  <c r="DJ57" i="5"/>
  <c r="DF57" i="5"/>
  <c r="DB57" i="5"/>
  <c r="CX57" i="5"/>
  <c r="CT57" i="5"/>
  <c r="CP57" i="5"/>
  <c r="CL57" i="5"/>
  <c r="CH57" i="5"/>
  <c r="CD57" i="5"/>
  <c r="BZ57" i="5"/>
  <c r="BV57" i="5"/>
  <c r="BR57" i="5"/>
  <c r="BN57" i="5"/>
  <c r="BJ57" i="5"/>
  <c r="BF57" i="5"/>
  <c r="BB57" i="5"/>
  <c r="AX57" i="5"/>
  <c r="AT57" i="5"/>
  <c r="AP57" i="5"/>
  <c r="AL57" i="5"/>
  <c r="AH57" i="5"/>
  <c r="AD57" i="5"/>
  <c r="Z57" i="5"/>
  <c r="V57" i="5"/>
  <c r="R57" i="5"/>
  <c r="ED57" i="5" s="1"/>
  <c r="N57" i="5"/>
  <c r="J57" i="5"/>
  <c r="EC56" i="5"/>
  <c r="EB56" i="5"/>
  <c r="DZ56" i="5"/>
  <c r="DV56" i="5"/>
  <c r="DR56" i="5"/>
  <c r="DN56" i="5"/>
  <c r="DJ56" i="5"/>
  <c r="DF56" i="5"/>
  <c r="DB56" i="5"/>
  <c r="CX56" i="5"/>
  <c r="CT56" i="5"/>
  <c r="CP56" i="5"/>
  <c r="CL56" i="5"/>
  <c r="CH56" i="5"/>
  <c r="CD56" i="5"/>
  <c r="BZ56" i="5"/>
  <c r="BV56" i="5"/>
  <c r="BR56" i="5"/>
  <c r="BN56" i="5"/>
  <c r="BJ56" i="5"/>
  <c r="BF56" i="5"/>
  <c r="BB56" i="5"/>
  <c r="AX56" i="5"/>
  <c r="AT56" i="5"/>
  <c r="AP56" i="5"/>
  <c r="AL56" i="5"/>
  <c r="AH56" i="5"/>
  <c r="AD56" i="5"/>
  <c r="Z56" i="5"/>
  <c r="V56" i="5"/>
  <c r="ED56" i="5" s="1"/>
  <c r="R56" i="5"/>
  <c r="N56" i="5"/>
  <c r="J56" i="5"/>
  <c r="EC55" i="5"/>
  <c r="EB55" i="5"/>
  <c r="DZ55" i="5"/>
  <c r="DV55" i="5"/>
  <c r="DR55" i="5"/>
  <c r="DN55" i="5"/>
  <c r="DJ55" i="5"/>
  <c r="DF55" i="5"/>
  <c r="DB55" i="5"/>
  <c r="CX55" i="5"/>
  <c r="CT55" i="5"/>
  <c r="CP55" i="5"/>
  <c r="CL55" i="5"/>
  <c r="CH55" i="5"/>
  <c r="CD55" i="5"/>
  <c r="BZ55" i="5"/>
  <c r="BV55" i="5"/>
  <c r="BR55" i="5"/>
  <c r="BN55" i="5"/>
  <c r="BJ55" i="5"/>
  <c r="BF55" i="5"/>
  <c r="BB55" i="5"/>
  <c r="AX55" i="5"/>
  <c r="AT55" i="5"/>
  <c r="AP55" i="5"/>
  <c r="AL55" i="5"/>
  <c r="AH55" i="5"/>
  <c r="AD55" i="5"/>
  <c r="Z55" i="5"/>
  <c r="V55" i="5"/>
  <c r="R55" i="5"/>
  <c r="N55" i="5"/>
  <c r="J55" i="5"/>
  <c r="ED55" i="5" s="1"/>
  <c r="EC54" i="5"/>
  <c r="EB54" i="5"/>
  <c r="DZ54" i="5"/>
  <c r="DV54" i="5"/>
  <c r="DR54" i="5"/>
  <c r="DN54" i="5"/>
  <c r="DJ54" i="5"/>
  <c r="DF54" i="5"/>
  <c r="DB54" i="5"/>
  <c r="CX54" i="5"/>
  <c r="CT54" i="5"/>
  <c r="CP54" i="5"/>
  <c r="CL54" i="5"/>
  <c r="CH54" i="5"/>
  <c r="CD54" i="5"/>
  <c r="BZ54" i="5"/>
  <c r="BV54" i="5"/>
  <c r="BR54" i="5"/>
  <c r="BN54" i="5"/>
  <c r="BJ54" i="5"/>
  <c r="BF54" i="5"/>
  <c r="BB54" i="5"/>
  <c r="AX54" i="5"/>
  <c r="AT54" i="5"/>
  <c r="AP54" i="5"/>
  <c r="AL54" i="5"/>
  <c r="AH54" i="5"/>
  <c r="AD54" i="5"/>
  <c r="Z54" i="5"/>
  <c r="V54" i="5"/>
  <c r="R54" i="5"/>
  <c r="N54" i="5"/>
  <c r="J54" i="5"/>
  <c r="ED54" i="5" s="1"/>
  <c r="EC53" i="5"/>
  <c r="EB53" i="5"/>
  <c r="DZ53" i="5"/>
  <c r="DV53" i="5"/>
  <c r="DR53" i="5"/>
  <c r="DN53" i="5"/>
  <c r="DJ53" i="5"/>
  <c r="DF53" i="5"/>
  <c r="DB53" i="5"/>
  <c r="CX53" i="5"/>
  <c r="CT53" i="5"/>
  <c r="CP53" i="5"/>
  <c r="CL53" i="5"/>
  <c r="CH53" i="5"/>
  <c r="CD53" i="5"/>
  <c r="BZ53" i="5"/>
  <c r="BV53" i="5"/>
  <c r="BR53" i="5"/>
  <c r="BN53" i="5"/>
  <c r="BJ53" i="5"/>
  <c r="BF53" i="5"/>
  <c r="BB53" i="5"/>
  <c r="AX53" i="5"/>
  <c r="AT53" i="5"/>
  <c r="ED53" i="5" s="1"/>
  <c r="AP53" i="5"/>
  <c r="AL53" i="5"/>
  <c r="AH53" i="5"/>
  <c r="AD53" i="5"/>
  <c r="Z53" i="5"/>
  <c r="V53" i="5"/>
  <c r="R53" i="5"/>
  <c r="N53" i="5"/>
  <c r="J53" i="5"/>
  <c r="EC52" i="5"/>
  <c r="EB52" i="5"/>
  <c r="DZ52" i="5"/>
  <c r="DV52" i="5"/>
  <c r="DR52" i="5"/>
  <c r="DN52" i="5"/>
  <c r="DJ52" i="5"/>
  <c r="DF52" i="5"/>
  <c r="DB52" i="5"/>
  <c r="CX52" i="5"/>
  <c r="CT52" i="5"/>
  <c r="CP52" i="5"/>
  <c r="CL52" i="5"/>
  <c r="CH52" i="5"/>
  <c r="CD52" i="5"/>
  <c r="BZ52" i="5"/>
  <c r="BV52" i="5"/>
  <c r="BR52" i="5"/>
  <c r="BN52" i="5"/>
  <c r="BJ52" i="5"/>
  <c r="BF52" i="5"/>
  <c r="BB52" i="5"/>
  <c r="AX52" i="5"/>
  <c r="AT52" i="5"/>
  <c r="AP52" i="5"/>
  <c r="AL52" i="5"/>
  <c r="ED52" i="5" s="1"/>
  <c r="AH52" i="5"/>
  <c r="AD52" i="5"/>
  <c r="Z52" i="5"/>
  <c r="V52" i="5"/>
  <c r="R52" i="5"/>
  <c r="N52" i="5"/>
  <c r="J52" i="5"/>
  <c r="EC51" i="5"/>
  <c r="EB51" i="5"/>
  <c r="DZ51" i="5"/>
  <c r="DV51" i="5"/>
  <c r="DR51" i="5"/>
  <c r="DN51" i="5"/>
  <c r="DJ51" i="5"/>
  <c r="DF51" i="5"/>
  <c r="DB51" i="5"/>
  <c r="CX51" i="5"/>
  <c r="CT51" i="5"/>
  <c r="CP51" i="5"/>
  <c r="CL51" i="5"/>
  <c r="CH51" i="5"/>
  <c r="CD51" i="5"/>
  <c r="BZ51" i="5"/>
  <c r="BV51" i="5"/>
  <c r="BR51" i="5"/>
  <c r="BN51" i="5"/>
  <c r="BJ51" i="5"/>
  <c r="BF51" i="5"/>
  <c r="BB51" i="5"/>
  <c r="AX51" i="5"/>
  <c r="AT51" i="5"/>
  <c r="AP51" i="5"/>
  <c r="AL51" i="5"/>
  <c r="AH51" i="5"/>
  <c r="AD51" i="5"/>
  <c r="Z51" i="5"/>
  <c r="V51" i="5"/>
  <c r="R51" i="5"/>
  <c r="ED51" i="5" s="1"/>
  <c r="N51" i="5"/>
  <c r="J51" i="5"/>
  <c r="EC50" i="5"/>
  <c r="EB50" i="5"/>
  <c r="DZ50" i="5"/>
  <c r="DV50" i="5"/>
  <c r="DR50" i="5"/>
  <c r="DN50" i="5"/>
  <c r="DJ50" i="5"/>
  <c r="DF50" i="5"/>
  <c r="DB50" i="5"/>
  <c r="CX50" i="5"/>
  <c r="CT50" i="5"/>
  <c r="CP50" i="5"/>
  <c r="CL50" i="5"/>
  <c r="CH50" i="5"/>
  <c r="CD50" i="5"/>
  <c r="BZ50" i="5"/>
  <c r="BV50" i="5"/>
  <c r="BR50" i="5"/>
  <c r="BN50" i="5"/>
  <c r="BJ50" i="5"/>
  <c r="BF50" i="5"/>
  <c r="BB50" i="5"/>
  <c r="AX50" i="5"/>
  <c r="AT50" i="5"/>
  <c r="AP50" i="5"/>
  <c r="AL50" i="5"/>
  <c r="AH50" i="5"/>
  <c r="AD50" i="5"/>
  <c r="Z50" i="5"/>
  <c r="V50" i="5"/>
  <c r="ED50" i="5" s="1"/>
  <c r="R50" i="5"/>
  <c r="N50" i="5"/>
  <c r="J50" i="5"/>
  <c r="EC49" i="5"/>
  <c r="EB49" i="5"/>
  <c r="DZ49" i="5"/>
  <c r="DV49" i="5"/>
  <c r="DR49" i="5"/>
  <c r="DN49" i="5"/>
  <c r="DJ49" i="5"/>
  <c r="DF49" i="5"/>
  <c r="DB49" i="5"/>
  <c r="CX49" i="5"/>
  <c r="CT49" i="5"/>
  <c r="CP49" i="5"/>
  <c r="CL49" i="5"/>
  <c r="CH49" i="5"/>
  <c r="CD49" i="5"/>
  <c r="BZ49" i="5"/>
  <c r="BV49" i="5"/>
  <c r="BR49" i="5"/>
  <c r="BN49" i="5"/>
  <c r="BJ49" i="5"/>
  <c r="BF49" i="5"/>
  <c r="BB49" i="5"/>
  <c r="AX49" i="5"/>
  <c r="AT49" i="5"/>
  <c r="AP49" i="5"/>
  <c r="AL49" i="5"/>
  <c r="AH49" i="5"/>
  <c r="AD49" i="5"/>
  <c r="Z49" i="5"/>
  <c r="V49" i="5"/>
  <c r="R49" i="5"/>
  <c r="N49" i="5"/>
  <c r="J49" i="5"/>
  <c r="ED49" i="5" s="1"/>
  <c r="EC48" i="5"/>
  <c r="EB48" i="5"/>
  <c r="DZ48" i="5"/>
  <c r="DV48" i="5"/>
  <c r="DR48" i="5"/>
  <c r="DN48" i="5"/>
  <c r="DJ48" i="5"/>
  <c r="DF48" i="5"/>
  <c r="DB48" i="5"/>
  <c r="CX48" i="5"/>
  <c r="CT48" i="5"/>
  <c r="CP48" i="5"/>
  <c r="CL48" i="5"/>
  <c r="CH48" i="5"/>
  <c r="CD48" i="5"/>
  <c r="BZ48" i="5"/>
  <c r="BV48" i="5"/>
  <c r="BR48" i="5"/>
  <c r="BN48" i="5"/>
  <c r="BJ48" i="5"/>
  <c r="BF48" i="5"/>
  <c r="BB48" i="5"/>
  <c r="AX48" i="5"/>
  <c r="AT48" i="5"/>
  <c r="AP48" i="5"/>
  <c r="AL48" i="5"/>
  <c r="AH48" i="5"/>
  <c r="AD48" i="5"/>
  <c r="Z48" i="5"/>
  <c r="V48" i="5"/>
  <c r="R48" i="5"/>
  <c r="N48" i="5"/>
  <c r="J48" i="5"/>
  <c r="ED48" i="5" s="1"/>
  <c r="EC47" i="5"/>
  <c r="EB47" i="5"/>
  <c r="DZ47" i="5"/>
  <c r="DV47" i="5"/>
  <c r="DR47" i="5"/>
  <c r="DN47" i="5"/>
  <c r="DJ47" i="5"/>
  <c r="DF47" i="5"/>
  <c r="DB47" i="5"/>
  <c r="CX47" i="5"/>
  <c r="CT47" i="5"/>
  <c r="CP47" i="5"/>
  <c r="CL47" i="5"/>
  <c r="CH47" i="5"/>
  <c r="CD47" i="5"/>
  <c r="BZ47" i="5"/>
  <c r="BV47" i="5"/>
  <c r="BR47" i="5"/>
  <c r="BN47" i="5"/>
  <c r="BJ47" i="5"/>
  <c r="BF47" i="5"/>
  <c r="BB47" i="5"/>
  <c r="AX47" i="5"/>
  <c r="AT47" i="5"/>
  <c r="ED47" i="5" s="1"/>
  <c r="AP47" i="5"/>
  <c r="AL47" i="5"/>
  <c r="AH47" i="5"/>
  <c r="AD47" i="5"/>
  <c r="Z47" i="5"/>
  <c r="V47" i="5"/>
  <c r="R47" i="5"/>
  <c r="N47" i="5"/>
  <c r="J47" i="5"/>
  <c r="EC46" i="5"/>
  <c r="EB46" i="5"/>
  <c r="DZ46" i="5"/>
  <c r="DV46" i="5"/>
  <c r="DR46" i="5"/>
  <c r="DN46" i="5"/>
  <c r="DJ46" i="5"/>
  <c r="DF46" i="5"/>
  <c r="DB46" i="5"/>
  <c r="CX46" i="5"/>
  <c r="CT46" i="5"/>
  <c r="CP46" i="5"/>
  <c r="CL46" i="5"/>
  <c r="CH46" i="5"/>
  <c r="CD46" i="5"/>
  <c r="BZ46" i="5"/>
  <c r="BV46" i="5"/>
  <c r="BR46" i="5"/>
  <c r="BN46" i="5"/>
  <c r="BJ46" i="5"/>
  <c r="BF46" i="5"/>
  <c r="BB46" i="5"/>
  <c r="AX46" i="5"/>
  <c r="AT46" i="5"/>
  <c r="AP46" i="5"/>
  <c r="AL46" i="5"/>
  <c r="ED46" i="5" s="1"/>
  <c r="AH46" i="5"/>
  <c r="AD46" i="5"/>
  <c r="Z46" i="5"/>
  <c r="V46" i="5"/>
  <c r="R46" i="5"/>
  <c r="N46" i="5"/>
  <c r="J46" i="5"/>
  <c r="EC45" i="5"/>
  <c r="EB45" i="5"/>
  <c r="DZ45" i="5"/>
  <c r="DV45" i="5"/>
  <c r="DR45" i="5"/>
  <c r="DN45" i="5"/>
  <c r="DJ45" i="5"/>
  <c r="DF45" i="5"/>
  <c r="DB45" i="5"/>
  <c r="CX45" i="5"/>
  <c r="CT45" i="5"/>
  <c r="CP45" i="5"/>
  <c r="CL45" i="5"/>
  <c r="CH45" i="5"/>
  <c r="CD45" i="5"/>
  <c r="BZ45" i="5"/>
  <c r="BV45" i="5"/>
  <c r="BR45" i="5"/>
  <c r="BN45" i="5"/>
  <c r="BJ45" i="5"/>
  <c r="BF45" i="5"/>
  <c r="BB45" i="5"/>
  <c r="AX45" i="5"/>
  <c r="AT45" i="5"/>
  <c r="AP45" i="5"/>
  <c r="AL45" i="5"/>
  <c r="AH45" i="5"/>
  <c r="AD45" i="5"/>
  <c r="Z45" i="5"/>
  <c r="V45" i="5"/>
  <c r="R45" i="5"/>
  <c r="ED45" i="5" s="1"/>
  <c r="N45" i="5"/>
  <c r="J45" i="5"/>
  <c r="EC44" i="5"/>
  <c r="EB44" i="5"/>
  <c r="DZ44" i="5"/>
  <c r="DV44" i="5"/>
  <c r="DR44" i="5"/>
  <c r="DN44" i="5"/>
  <c r="DJ44" i="5"/>
  <c r="DF44" i="5"/>
  <c r="DB44" i="5"/>
  <c r="CX44" i="5"/>
  <c r="CT44" i="5"/>
  <c r="CP44" i="5"/>
  <c r="CL44" i="5"/>
  <c r="CH44" i="5"/>
  <c r="CD44" i="5"/>
  <c r="BZ44" i="5"/>
  <c r="BV44" i="5"/>
  <c r="BR44" i="5"/>
  <c r="BN44" i="5"/>
  <c r="BJ44" i="5"/>
  <c r="BF44" i="5"/>
  <c r="BB44" i="5"/>
  <c r="AX44" i="5"/>
  <c r="AT44" i="5"/>
  <c r="AP44" i="5"/>
  <c r="AL44" i="5"/>
  <c r="AH44" i="5"/>
  <c r="AD44" i="5"/>
  <c r="Z44" i="5"/>
  <c r="V44" i="5"/>
  <c r="ED44" i="5" s="1"/>
  <c r="R44" i="5"/>
  <c r="N44" i="5"/>
  <c r="J44" i="5"/>
  <c r="EC43" i="5"/>
  <c r="EB43" i="5"/>
  <c r="DZ43" i="5"/>
  <c r="DV43" i="5"/>
  <c r="DR43" i="5"/>
  <c r="DN43" i="5"/>
  <c r="DJ43" i="5"/>
  <c r="DF43" i="5"/>
  <c r="DB43" i="5"/>
  <c r="CX43" i="5"/>
  <c r="CT43" i="5"/>
  <c r="CP43" i="5"/>
  <c r="CL43" i="5"/>
  <c r="CH43" i="5"/>
  <c r="CD43" i="5"/>
  <c r="BZ43" i="5"/>
  <c r="BV43" i="5"/>
  <c r="BR43" i="5"/>
  <c r="BN43" i="5"/>
  <c r="BJ43" i="5"/>
  <c r="BF43" i="5"/>
  <c r="BB43" i="5"/>
  <c r="AX43" i="5"/>
  <c r="AT43" i="5"/>
  <c r="AP43" i="5"/>
  <c r="AL43" i="5"/>
  <c r="AH43" i="5"/>
  <c r="AD43" i="5"/>
  <c r="Z43" i="5"/>
  <c r="V43" i="5"/>
  <c r="R43" i="5"/>
  <c r="N43" i="5"/>
  <c r="J43" i="5"/>
  <c r="ED43" i="5" s="1"/>
  <c r="EC42" i="5"/>
  <c r="EB42" i="5"/>
  <c r="DZ42" i="5"/>
  <c r="DV42" i="5"/>
  <c r="DR42" i="5"/>
  <c r="DN42" i="5"/>
  <c r="DJ42" i="5"/>
  <c r="DF42" i="5"/>
  <c r="DB42" i="5"/>
  <c r="CX42" i="5"/>
  <c r="CT42" i="5"/>
  <c r="CP42" i="5"/>
  <c r="CL42" i="5"/>
  <c r="CH42" i="5"/>
  <c r="CD42" i="5"/>
  <c r="BZ42" i="5"/>
  <c r="BV42" i="5"/>
  <c r="BR42" i="5"/>
  <c r="BN42" i="5"/>
  <c r="BJ42" i="5"/>
  <c r="BF42" i="5"/>
  <c r="BB42" i="5"/>
  <c r="AX42" i="5"/>
  <c r="AT42" i="5"/>
  <c r="AP42" i="5"/>
  <c r="AL42" i="5"/>
  <c r="AH42" i="5"/>
  <c r="AD42" i="5"/>
  <c r="Z42" i="5"/>
  <c r="V42" i="5"/>
  <c r="R42" i="5"/>
  <c r="N42" i="5"/>
  <c r="J42" i="5"/>
  <c r="ED42" i="5" s="1"/>
  <c r="EC41" i="5"/>
  <c r="EB41" i="5"/>
  <c r="DZ41" i="5"/>
  <c r="DV41" i="5"/>
  <c r="DR41" i="5"/>
  <c r="DN41" i="5"/>
  <c r="DJ41" i="5"/>
  <c r="DF41" i="5"/>
  <c r="DB41" i="5"/>
  <c r="CX41" i="5"/>
  <c r="CT41" i="5"/>
  <c r="CP41" i="5"/>
  <c r="CL41" i="5"/>
  <c r="CH41" i="5"/>
  <c r="CD41" i="5"/>
  <c r="BZ41" i="5"/>
  <c r="BV41" i="5"/>
  <c r="BR41" i="5"/>
  <c r="BN41" i="5"/>
  <c r="BJ41" i="5"/>
  <c r="BF41" i="5"/>
  <c r="BB41" i="5"/>
  <c r="AX41" i="5"/>
  <c r="AT41" i="5"/>
  <c r="ED41" i="5" s="1"/>
  <c r="AP41" i="5"/>
  <c r="AL41" i="5"/>
  <c r="AH41" i="5"/>
  <c r="AD41" i="5"/>
  <c r="Z41" i="5"/>
  <c r="V41" i="5"/>
  <c r="R41" i="5"/>
  <c r="N41" i="5"/>
  <c r="J41" i="5"/>
  <c r="EC40" i="5"/>
  <c r="EB40" i="5"/>
  <c r="DZ40" i="5"/>
  <c r="DV40" i="5"/>
  <c r="DR40" i="5"/>
  <c r="DN40" i="5"/>
  <c r="DJ40" i="5"/>
  <c r="DF40" i="5"/>
  <c r="DB40" i="5"/>
  <c r="CX40" i="5"/>
  <c r="CT40" i="5"/>
  <c r="CP40" i="5"/>
  <c r="CL40" i="5"/>
  <c r="CH40" i="5"/>
  <c r="CD40" i="5"/>
  <c r="BZ40" i="5"/>
  <c r="BV40" i="5"/>
  <c r="BR40" i="5"/>
  <c r="BN40" i="5"/>
  <c r="BJ40" i="5"/>
  <c r="BF40" i="5"/>
  <c r="BB40" i="5"/>
  <c r="AX40" i="5"/>
  <c r="AT40" i="5"/>
  <c r="AP40" i="5"/>
  <c r="AL40" i="5"/>
  <c r="ED40" i="5" s="1"/>
  <c r="AH40" i="5"/>
  <c r="AD40" i="5"/>
  <c r="Z40" i="5"/>
  <c r="V40" i="5"/>
  <c r="R40" i="5"/>
  <c r="N40" i="5"/>
  <c r="J40" i="5"/>
  <c r="EC39" i="5"/>
  <c r="EB39" i="5"/>
  <c r="DZ39" i="5"/>
  <c r="DV39" i="5"/>
  <c r="DR39" i="5"/>
  <c r="DN39" i="5"/>
  <c r="DJ39" i="5"/>
  <c r="DF39" i="5"/>
  <c r="DB39" i="5"/>
  <c r="CX39" i="5"/>
  <c r="CT39" i="5"/>
  <c r="CP39" i="5"/>
  <c r="CL39" i="5"/>
  <c r="CH39" i="5"/>
  <c r="CD39" i="5"/>
  <c r="BZ39" i="5"/>
  <c r="BV39" i="5"/>
  <c r="BR39" i="5"/>
  <c r="BN39" i="5"/>
  <c r="BJ39" i="5"/>
  <c r="BF39" i="5"/>
  <c r="BB39" i="5"/>
  <c r="AX39" i="5"/>
  <c r="AT39" i="5"/>
  <c r="AP39" i="5"/>
  <c r="AL39" i="5"/>
  <c r="AH39" i="5"/>
  <c r="AD39" i="5"/>
  <c r="Z39" i="5"/>
  <c r="V39" i="5"/>
  <c r="R39" i="5"/>
  <c r="ED39" i="5" s="1"/>
  <c r="N39" i="5"/>
  <c r="J39" i="5"/>
  <c r="EC38" i="5"/>
  <c r="EB38" i="5"/>
  <c r="DZ38" i="5"/>
  <c r="DV38" i="5"/>
  <c r="DR38" i="5"/>
  <c r="DN38" i="5"/>
  <c r="DJ38" i="5"/>
  <c r="DF38" i="5"/>
  <c r="DB38" i="5"/>
  <c r="CX38" i="5"/>
  <c r="CT38" i="5"/>
  <c r="CP38" i="5"/>
  <c r="CL38" i="5"/>
  <c r="CH38" i="5"/>
  <c r="CD38" i="5"/>
  <c r="BZ38" i="5"/>
  <c r="BV38" i="5"/>
  <c r="BR38" i="5"/>
  <c r="BN38" i="5"/>
  <c r="BJ38" i="5"/>
  <c r="BF38" i="5"/>
  <c r="BB38" i="5"/>
  <c r="AX38" i="5"/>
  <c r="AT38" i="5"/>
  <c r="AP38" i="5"/>
  <c r="AL38" i="5"/>
  <c r="AH38" i="5"/>
  <c r="AD38" i="5"/>
  <c r="Z38" i="5"/>
  <c r="V38" i="5"/>
  <c r="ED38" i="5" s="1"/>
  <c r="R38" i="5"/>
  <c r="N38" i="5"/>
  <c r="J38" i="5"/>
  <c r="EC37" i="5"/>
  <c r="EB37" i="5"/>
  <c r="DZ37" i="5"/>
  <c r="DV37" i="5"/>
  <c r="DR37" i="5"/>
  <c r="DN37" i="5"/>
  <c r="DJ37" i="5"/>
  <c r="DF37" i="5"/>
  <c r="DB37" i="5"/>
  <c r="CX37" i="5"/>
  <c r="CT37" i="5"/>
  <c r="CP37" i="5"/>
  <c r="CL37" i="5"/>
  <c r="CH37" i="5"/>
  <c r="CD37" i="5"/>
  <c r="BZ37" i="5"/>
  <c r="BV37" i="5"/>
  <c r="BR37" i="5"/>
  <c r="BN37" i="5"/>
  <c r="BJ37" i="5"/>
  <c r="BF37" i="5"/>
  <c r="BB37" i="5"/>
  <c r="AX37" i="5"/>
  <c r="AT37" i="5"/>
  <c r="AP37" i="5"/>
  <c r="AL37" i="5"/>
  <c r="AH37" i="5"/>
  <c r="AD37" i="5"/>
  <c r="Z37" i="5"/>
  <c r="V37" i="5"/>
  <c r="R37" i="5"/>
  <c r="N37" i="5"/>
  <c r="J37" i="5"/>
  <c r="ED37" i="5" s="1"/>
  <c r="EC36" i="5"/>
  <c r="EB36" i="5"/>
  <c r="DZ36" i="5"/>
  <c r="DV36" i="5"/>
  <c r="DR36" i="5"/>
  <c r="DN36" i="5"/>
  <c r="DJ36" i="5"/>
  <c r="DF36" i="5"/>
  <c r="DB36" i="5"/>
  <c r="CX36" i="5"/>
  <c r="CT36" i="5"/>
  <c r="CP36" i="5"/>
  <c r="CL36" i="5"/>
  <c r="CH36" i="5"/>
  <c r="CD36" i="5"/>
  <c r="BZ36" i="5"/>
  <c r="BV36" i="5"/>
  <c r="BR36" i="5"/>
  <c r="BN36" i="5"/>
  <c r="BJ36" i="5"/>
  <c r="BF36" i="5"/>
  <c r="BB36" i="5"/>
  <c r="AX36" i="5"/>
  <c r="AT36" i="5"/>
  <c r="AP36" i="5"/>
  <c r="AL36" i="5"/>
  <c r="AH36" i="5"/>
  <c r="AD36" i="5"/>
  <c r="Z36" i="5"/>
  <c r="V36" i="5"/>
  <c r="R36" i="5"/>
  <c r="N36" i="5"/>
  <c r="J36" i="5"/>
  <c r="ED36" i="5" s="1"/>
  <c r="EC35" i="5"/>
  <c r="EB35" i="5"/>
  <c r="DZ35" i="5"/>
  <c r="DV35" i="5"/>
  <c r="DR35" i="5"/>
  <c r="DN35" i="5"/>
  <c r="DJ35" i="5"/>
  <c r="DF35" i="5"/>
  <c r="DB35" i="5"/>
  <c r="CX35" i="5"/>
  <c r="CT35" i="5"/>
  <c r="CP35" i="5"/>
  <c r="CL35" i="5"/>
  <c r="CH35" i="5"/>
  <c r="CD35" i="5"/>
  <c r="BZ35" i="5"/>
  <c r="BV35" i="5"/>
  <c r="BR35" i="5"/>
  <c r="BN35" i="5"/>
  <c r="BJ35" i="5"/>
  <c r="BF35" i="5"/>
  <c r="BB35" i="5"/>
  <c r="AX35" i="5"/>
  <c r="AT35" i="5"/>
  <c r="ED35" i="5" s="1"/>
  <c r="AP35" i="5"/>
  <c r="AL35" i="5"/>
  <c r="AH35" i="5"/>
  <c r="AD35" i="5"/>
  <c r="Z35" i="5"/>
  <c r="V35" i="5"/>
  <c r="R35" i="5"/>
  <c r="N35" i="5"/>
  <c r="J35" i="5"/>
  <c r="EC34" i="5"/>
  <c r="EB34" i="5"/>
  <c r="DZ34" i="5"/>
  <c r="DV34" i="5"/>
  <c r="DR34" i="5"/>
  <c r="DN34" i="5"/>
  <c r="DJ34" i="5"/>
  <c r="DF34" i="5"/>
  <c r="DB34" i="5"/>
  <c r="CX34" i="5"/>
  <c r="CT34" i="5"/>
  <c r="CP34" i="5"/>
  <c r="CL34" i="5"/>
  <c r="CH34" i="5"/>
  <c r="CD34" i="5"/>
  <c r="BZ34" i="5"/>
  <c r="BV34" i="5"/>
  <c r="BR34" i="5"/>
  <c r="BN34" i="5"/>
  <c r="BJ34" i="5"/>
  <c r="BF34" i="5"/>
  <c r="BB34" i="5"/>
  <c r="AX34" i="5"/>
  <c r="AT34" i="5"/>
  <c r="AP34" i="5"/>
  <c r="AL34" i="5"/>
  <c r="ED34" i="5" s="1"/>
  <c r="AH34" i="5"/>
  <c r="AD34" i="5"/>
  <c r="Z34" i="5"/>
  <c r="V34" i="5"/>
  <c r="R34" i="5"/>
  <c r="N34" i="5"/>
  <c r="J34" i="5"/>
  <c r="EC33" i="5"/>
  <c r="EB33" i="5"/>
  <c r="DZ33" i="5"/>
  <c r="DV33" i="5"/>
  <c r="DR33" i="5"/>
  <c r="DN33" i="5"/>
  <c r="DJ33" i="5"/>
  <c r="DF33" i="5"/>
  <c r="DB33" i="5"/>
  <c r="CX33" i="5"/>
  <c r="CT33" i="5"/>
  <c r="CP33" i="5"/>
  <c r="CL33" i="5"/>
  <c r="CH33" i="5"/>
  <c r="CD33" i="5"/>
  <c r="BZ33" i="5"/>
  <c r="BV33" i="5"/>
  <c r="BR33" i="5"/>
  <c r="BN33" i="5"/>
  <c r="BJ33" i="5"/>
  <c r="BF33" i="5"/>
  <c r="BB33" i="5"/>
  <c r="AX33" i="5"/>
  <c r="AT33" i="5"/>
  <c r="AP33" i="5"/>
  <c r="AL33" i="5"/>
  <c r="AH33" i="5"/>
  <c r="AD33" i="5"/>
  <c r="Z33" i="5"/>
  <c r="V33" i="5"/>
  <c r="R33" i="5"/>
  <c r="ED33" i="5" s="1"/>
  <c r="N33" i="5"/>
  <c r="J33" i="5"/>
  <c r="EC32" i="5"/>
  <c r="EB32" i="5"/>
  <c r="DZ32" i="5"/>
  <c r="DV32" i="5"/>
  <c r="DR32" i="5"/>
  <c r="DN32" i="5"/>
  <c r="DJ32" i="5"/>
  <c r="DF32" i="5"/>
  <c r="DB32" i="5"/>
  <c r="CX32" i="5"/>
  <c r="CT32" i="5"/>
  <c r="CP32" i="5"/>
  <c r="CL32" i="5"/>
  <c r="CH32" i="5"/>
  <c r="CD32" i="5"/>
  <c r="BZ32" i="5"/>
  <c r="BV32" i="5"/>
  <c r="BR32" i="5"/>
  <c r="BN32" i="5"/>
  <c r="BJ32" i="5"/>
  <c r="BF32" i="5"/>
  <c r="BB32" i="5"/>
  <c r="AX32" i="5"/>
  <c r="AT32" i="5"/>
  <c r="AP32" i="5"/>
  <c r="AL32" i="5"/>
  <c r="AH32" i="5"/>
  <c r="AD32" i="5"/>
  <c r="Z32" i="5"/>
  <c r="V32" i="5"/>
  <c r="ED32" i="5" s="1"/>
  <c r="R32" i="5"/>
  <c r="N32" i="5"/>
  <c r="J32" i="5"/>
  <c r="EC31" i="5"/>
  <c r="EB31" i="5"/>
  <c r="DZ31" i="5"/>
  <c r="DV31" i="5"/>
  <c r="DR31" i="5"/>
  <c r="DN31" i="5"/>
  <c r="DJ31" i="5"/>
  <c r="DF31" i="5"/>
  <c r="DB31" i="5"/>
  <c r="CX31" i="5"/>
  <c r="CT31" i="5"/>
  <c r="CP31" i="5"/>
  <c r="CL31" i="5"/>
  <c r="CH31" i="5"/>
  <c r="CD31" i="5"/>
  <c r="BZ31" i="5"/>
  <c r="BV31" i="5"/>
  <c r="BR31" i="5"/>
  <c r="BN31" i="5"/>
  <c r="BJ31" i="5"/>
  <c r="BF31" i="5"/>
  <c r="BB31" i="5"/>
  <c r="AX31" i="5"/>
  <c r="AT31" i="5"/>
  <c r="AP31" i="5"/>
  <c r="AL31" i="5"/>
  <c r="AH31" i="5"/>
  <c r="AD31" i="5"/>
  <c r="Z31" i="5"/>
  <c r="V31" i="5"/>
  <c r="R31" i="5"/>
  <c r="N31" i="5"/>
  <c r="J31" i="5"/>
  <c r="ED31" i="5" s="1"/>
  <c r="EC30" i="5"/>
  <c r="EB30" i="5"/>
  <c r="DZ30" i="5"/>
  <c r="DV30" i="5"/>
  <c r="DR30" i="5"/>
  <c r="DN30" i="5"/>
  <c r="DJ30" i="5"/>
  <c r="DF30" i="5"/>
  <c r="DB30" i="5"/>
  <c r="CX30" i="5"/>
  <c r="CT30" i="5"/>
  <c r="CP30" i="5"/>
  <c r="CL30" i="5"/>
  <c r="CH30" i="5"/>
  <c r="CD30" i="5"/>
  <c r="BZ30" i="5"/>
  <c r="BV30" i="5"/>
  <c r="BR30" i="5"/>
  <c r="BN30" i="5"/>
  <c r="BJ30" i="5"/>
  <c r="BF30" i="5"/>
  <c r="BB30" i="5"/>
  <c r="AX30" i="5"/>
  <c r="AT30" i="5"/>
  <c r="AP30" i="5"/>
  <c r="AL30" i="5"/>
  <c r="AH30" i="5"/>
  <c r="AD30" i="5"/>
  <c r="Z30" i="5"/>
  <c r="V30" i="5"/>
  <c r="R30" i="5"/>
  <c r="N30" i="5"/>
  <c r="J30" i="5"/>
  <c r="ED30" i="5" s="1"/>
  <c r="EC29" i="5"/>
  <c r="EB29" i="5"/>
  <c r="DZ29" i="5"/>
  <c r="DV29" i="5"/>
  <c r="DR29" i="5"/>
  <c r="DN29" i="5"/>
  <c r="DJ29" i="5"/>
  <c r="DF29" i="5"/>
  <c r="DB29" i="5"/>
  <c r="CX29" i="5"/>
  <c r="CT29" i="5"/>
  <c r="CP29" i="5"/>
  <c r="CL29" i="5"/>
  <c r="CH29" i="5"/>
  <c r="CD29" i="5"/>
  <c r="BZ29" i="5"/>
  <c r="BV29" i="5"/>
  <c r="BR29" i="5"/>
  <c r="BN29" i="5"/>
  <c r="BJ29" i="5"/>
  <c r="BF29" i="5"/>
  <c r="BB29" i="5"/>
  <c r="AX29" i="5"/>
  <c r="AT29" i="5"/>
  <c r="ED29" i="5" s="1"/>
  <c r="AP29" i="5"/>
  <c r="AL29" i="5"/>
  <c r="AH29" i="5"/>
  <c r="AD29" i="5"/>
  <c r="Z29" i="5"/>
  <c r="V29" i="5"/>
  <c r="R29" i="5"/>
  <c r="N29" i="5"/>
  <c r="J29" i="5"/>
  <c r="EC28" i="5"/>
  <c r="EB28" i="5"/>
  <c r="DZ28" i="5"/>
  <c r="DV28" i="5"/>
  <c r="DR28" i="5"/>
  <c r="DN28" i="5"/>
  <c r="DJ28" i="5"/>
  <c r="DF28" i="5"/>
  <c r="DB28" i="5"/>
  <c r="CX28" i="5"/>
  <c r="CT28" i="5"/>
  <c r="CP28" i="5"/>
  <c r="CL28" i="5"/>
  <c r="CH28" i="5"/>
  <c r="CD28" i="5"/>
  <c r="BZ28" i="5"/>
  <c r="BV28" i="5"/>
  <c r="BR28" i="5"/>
  <c r="BN28" i="5"/>
  <c r="BJ28" i="5"/>
  <c r="BF28" i="5"/>
  <c r="BB28" i="5"/>
  <c r="AX28" i="5"/>
  <c r="AT28" i="5"/>
  <c r="AP28" i="5"/>
  <c r="AL28" i="5"/>
  <c r="ED28" i="5" s="1"/>
  <c r="AH28" i="5"/>
  <c r="AD28" i="5"/>
  <c r="Z28" i="5"/>
  <c r="V28" i="5"/>
  <c r="R28" i="5"/>
  <c r="N28" i="5"/>
  <c r="J28" i="5"/>
  <c r="EC27" i="5"/>
  <c r="EB27" i="5"/>
  <c r="DZ27" i="5"/>
  <c r="DV27" i="5"/>
  <c r="DR27" i="5"/>
  <c r="DN27" i="5"/>
  <c r="DJ27" i="5"/>
  <c r="DF27" i="5"/>
  <c r="DB27" i="5"/>
  <c r="CX27" i="5"/>
  <c r="CT27" i="5"/>
  <c r="CP27" i="5"/>
  <c r="CL27" i="5"/>
  <c r="CH27" i="5"/>
  <c r="CD27" i="5"/>
  <c r="BZ27" i="5"/>
  <c r="BV27" i="5"/>
  <c r="BR27" i="5"/>
  <c r="BN27" i="5"/>
  <c r="BJ27" i="5"/>
  <c r="BF27" i="5"/>
  <c r="BB27" i="5"/>
  <c r="AX27" i="5"/>
  <c r="AT27" i="5"/>
  <c r="AP27" i="5"/>
  <c r="AL27" i="5"/>
  <c r="AH27" i="5"/>
  <c r="AD27" i="5"/>
  <c r="Z27" i="5"/>
  <c r="V27" i="5"/>
  <c r="R27" i="5"/>
  <c r="ED27" i="5" s="1"/>
  <c r="N27" i="5"/>
  <c r="J27" i="5"/>
  <c r="EC26" i="5"/>
  <c r="EB26" i="5"/>
  <c r="DZ26" i="5"/>
  <c r="DV26" i="5"/>
  <c r="DR26" i="5"/>
  <c r="DN26" i="5"/>
  <c r="DJ26" i="5"/>
  <c r="DF26" i="5"/>
  <c r="DB26" i="5"/>
  <c r="CX26" i="5"/>
  <c r="CT26" i="5"/>
  <c r="CP26" i="5"/>
  <c r="CL26" i="5"/>
  <c r="CH26" i="5"/>
  <c r="CD26" i="5"/>
  <c r="BZ26" i="5"/>
  <c r="BV26" i="5"/>
  <c r="BR26" i="5"/>
  <c r="BN26" i="5"/>
  <c r="BJ26" i="5"/>
  <c r="BF26" i="5"/>
  <c r="BB26" i="5"/>
  <c r="AX26" i="5"/>
  <c r="AT26" i="5"/>
  <c r="AP26" i="5"/>
  <c r="AL26" i="5"/>
  <c r="AH26" i="5"/>
  <c r="AD26" i="5"/>
  <c r="Z26" i="5"/>
  <c r="V26" i="5"/>
  <c r="R26" i="5"/>
  <c r="N26" i="5"/>
  <c r="J26" i="5"/>
  <c r="EC25" i="5"/>
  <c r="EB25" i="5"/>
  <c r="DZ25" i="5"/>
  <c r="DV25" i="5"/>
  <c r="DR25" i="5"/>
  <c r="DN25" i="5"/>
  <c r="DJ25" i="5"/>
  <c r="DF25" i="5"/>
  <c r="DB25" i="5"/>
  <c r="CX25" i="5"/>
  <c r="CT25" i="5"/>
  <c r="CP25" i="5"/>
  <c r="CL25" i="5"/>
  <c r="CH25" i="5"/>
  <c r="CD25" i="5"/>
  <c r="BZ25" i="5"/>
  <c r="BV25" i="5"/>
  <c r="BR25" i="5"/>
  <c r="BN25" i="5"/>
  <c r="BJ25" i="5"/>
  <c r="BF25" i="5"/>
  <c r="BB25" i="5"/>
  <c r="AX25" i="5"/>
  <c r="AT25" i="5"/>
  <c r="AP25" i="5"/>
  <c r="AL25" i="5"/>
  <c r="AH25" i="5"/>
  <c r="AD25" i="5"/>
  <c r="Z25" i="5"/>
  <c r="V25" i="5"/>
  <c r="R25" i="5"/>
  <c r="N25" i="5"/>
  <c r="J25" i="5"/>
  <c r="ED25" i="5" s="1"/>
  <c r="EC24" i="5"/>
  <c r="EB24" i="5"/>
  <c r="DZ24" i="5"/>
  <c r="DV24" i="5"/>
  <c r="DR24" i="5"/>
  <c r="DN24" i="5"/>
  <c r="DJ24" i="5"/>
  <c r="DF24" i="5"/>
  <c r="DB24" i="5"/>
  <c r="CX24" i="5"/>
  <c r="CT24" i="5"/>
  <c r="CP24" i="5"/>
  <c r="CL24" i="5"/>
  <c r="CH24" i="5"/>
  <c r="CD24" i="5"/>
  <c r="BZ24" i="5"/>
  <c r="BV24" i="5"/>
  <c r="BR24" i="5"/>
  <c r="BN24" i="5"/>
  <c r="BJ24" i="5"/>
  <c r="BF24" i="5"/>
  <c r="BB24" i="5"/>
  <c r="AX24" i="5"/>
  <c r="AT24" i="5"/>
  <c r="AP24" i="5"/>
  <c r="AL24" i="5"/>
  <c r="AH24" i="5"/>
  <c r="AD24" i="5"/>
  <c r="Z24" i="5"/>
  <c r="V24" i="5"/>
  <c r="R24" i="5"/>
  <c r="N24" i="5"/>
  <c r="J24" i="5"/>
  <c r="EC23" i="5"/>
  <c r="EB23" i="5"/>
  <c r="DZ23" i="5"/>
  <c r="DV23" i="5"/>
  <c r="DR23" i="5"/>
  <c r="DN23" i="5"/>
  <c r="DJ23" i="5"/>
  <c r="DF23" i="5"/>
  <c r="DB23" i="5"/>
  <c r="CX23" i="5"/>
  <c r="CT23" i="5"/>
  <c r="CP23" i="5"/>
  <c r="CL23" i="5"/>
  <c r="CH23" i="5"/>
  <c r="CD23" i="5"/>
  <c r="BZ23" i="5"/>
  <c r="BV23" i="5"/>
  <c r="BR23" i="5"/>
  <c r="BN23" i="5"/>
  <c r="BJ23" i="5"/>
  <c r="BF23" i="5"/>
  <c r="BB23" i="5"/>
  <c r="AX23" i="5"/>
  <c r="AT23" i="5"/>
  <c r="ED23" i="5" s="1"/>
  <c r="AP23" i="5"/>
  <c r="AL23" i="5"/>
  <c r="AH23" i="5"/>
  <c r="AD23" i="5"/>
  <c r="Z23" i="5"/>
  <c r="V23" i="5"/>
  <c r="R23" i="5"/>
  <c r="N23" i="5"/>
  <c r="J23" i="5"/>
  <c r="EC22" i="5"/>
  <c r="EB22" i="5"/>
  <c r="DZ22" i="5"/>
  <c r="DV22" i="5"/>
  <c r="DR22" i="5"/>
  <c r="DN22" i="5"/>
  <c r="DJ22" i="5"/>
  <c r="DF22" i="5"/>
  <c r="DB22" i="5"/>
  <c r="CX22" i="5"/>
  <c r="CT22" i="5"/>
  <c r="CP22" i="5"/>
  <c r="CL22" i="5"/>
  <c r="CH22" i="5"/>
  <c r="CD22" i="5"/>
  <c r="BZ22" i="5"/>
  <c r="BV22" i="5"/>
  <c r="BR22" i="5"/>
  <c r="BN22" i="5"/>
  <c r="BJ22" i="5"/>
  <c r="BF22" i="5"/>
  <c r="BB22" i="5"/>
  <c r="AX22" i="5"/>
  <c r="AT22" i="5"/>
  <c r="AP22" i="5"/>
  <c r="AL22" i="5"/>
  <c r="AH22" i="5"/>
  <c r="AD22" i="5"/>
  <c r="Z22" i="5"/>
  <c r="V22" i="5"/>
  <c r="R22" i="5"/>
  <c r="N22" i="5"/>
  <c r="J22" i="5"/>
  <c r="EC21" i="5"/>
  <c r="EB21" i="5"/>
  <c r="DZ21" i="5"/>
  <c r="DV21" i="5"/>
  <c r="DR21" i="5"/>
  <c r="DN21" i="5"/>
  <c r="DJ21" i="5"/>
  <c r="DF21" i="5"/>
  <c r="DB21" i="5"/>
  <c r="CX21" i="5"/>
  <c r="CT21" i="5"/>
  <c r="CP21" i="5"/>
  <c r="CL21" i="5"/>
  <c r="CH21" i="5"/>
  <c r="CD21" i="5"/>
  <c r="BZ21" i="5"/>
  <c r="BV21" i="5"/>
  <c r="BR21" i="5"/>
  <c r="BN21" i="5"/>
  <c r="BJ21" i="5"/>
  <c r="BF21" i="5"/>
  <c r="BB21" i="5"/>
  <c r="AX21" i="5"/>
  <c r="AT21" i="5"/>
  <c r="AP21" i="5"/>
  <c r="AL21" i="5"/>
  <c r="AH21" i="5"/>
  <c r="AD21" i="5"/>
  <c r="Z21" i="5"/>
  <c r="V21" i="5"/>
  <c r="R21" i="5"/>
  <c r="ED21" i="5" s="1"/>
  <c r="N21" i="5"/>
  <c r="J21" i="5"/>
  <c r="EC20" i="5"/>
  <c r="EB20" i="5"/>
  <c r="DZ20" i="5"/>
  <c r="DV20" i="5"/>
  <c r="DR20" i="5"/>
  <c r="DN20" i="5"/>
  <c r="DJ20" i="5"/>
  <c r="DF20" i="5"/>
  <c r="DB20" i="5"/>
  <c r="CX20" i="5"/>
  <c r="CT20" i="5"/>
  <c r="CP20" i="5"/>
  <c r="CL20" i="5"/>
  <c r="CH20" i="5"/>
  <c r="CD20" i="5"/>
  <c r="BZ20" i="5"/>
  <c r="BV20" i="5"/>
  <c r="BR20" i="5"/>
  <c r="BN20" i="1" s="1"/>
  <c r="BN20" i="5"/>
  <c r="BJ20" i="5"/>
  <c r="BF20" i="5"/>
  <c r="BB20" i="5"/>
  <c r="AX20" i="5"/>
  <c r="AT20" i="5"/>
  <c r="AP20" i="5"/>
  <c r="AL20" i="5"/>
  <c r="AH20" i="5"/>
  <c r="AD20" i="5"/>
  <c r="Z20" i="5"/>
  <c r="V20" i="5"/>
  <c r="ED20" i="5" s="1"/>
  <c r="R20" i="5"/>
  <c r="N20" i="5"/>
  <c r="J20" i="5"/>
  <c r="EC19" i="5"/>
  <c r="EB19" i="5"/>
  <c r="DZ19" i="5"/>
  <c r="DV19" i="5"/>
  <c r="DR19" i="5"/>
  <c r="DN19" i="5"/>
  <c r="DJ19" i="5"/>
  <c r="DF19" i="5"/>
  <c r="DB19" i="5"/>
  <c r="CX19" i="5"/>
  <c r="CT19" i="5"/>
  <c r="CP19" i="5"/>
  <c r="CL19" i="5"/>
  <c r="CH19" i="5"/>
  <c r="CD19" i="5"/>
  <c r="BZ19" i="5"/>
  <c r="BV19" i="5"/>
  <c r="BR19" i="5"/>
  <c r="BN19" i="5"/>
  <c r="BJ19" i="5"/>
  <c r="BF19" i="5"/>
  <c r="BB19" i="5"/>
  <c r="AX19" i="5"/>
  <c r="AT19" i="5"/>
  <c r="AP19" i="5"/>
  <c r="AL19" i="5"/>
  <c r="AH19" i="5"/>
  <c r="AD19" i="5"/>
  <c r="Z19" i="5"/>
  <c r="V19" i="5"/>
  <c r="R19" i="5"/>
  <c r="N19" i="5"/>
  <c r="J19" i="5"/>
  <c r="ED19" i="5" s="1"/>
  <c r="EC18" i="5"/>
  <c r="EB18" i="5"/>
  <c r="DZ18" i="5"/>
  <c r="DV18" i="5"/>
  <c r="DR18" i="5"/>
  <c r="DN18" i="5"/>
  <c r="DJ18" i="5"/>
  <c r="DF18" i="5"/>
  <c r="DB18" i="5"/>
  <c r="CX18" i="5"/>
  <c r="CT18" i="5"/>
  <c r="CP18" i="5"/>
  <c r="CL18" i="5"/>
  <c r="CH18" i="5"/>
  <c r="CD18" i="5"/>
  <c r="BZ18" i="5"/>
  <c r="BV18" i="5"/>
  <c r="BR18" i="5"/>
  <c r="BN18" i="5"/>
  <c r="BJ18" i="5"/>
  <c r="BF18" i="5"/>
  <c r="BB18" i="5"/>
  <c r="AX18" i="5"/>
  <c r="AT18" i="5"/>
  <c r="AP18" i="5"/>
  <c r="AL18" i="5"/>
  <c r="AH18" i="5"/>
  <c r="AD18" i="5"/>
  <c r="Z18" i="5"/>
  <c r="V18" i="5"/>
  <c r="R18" i="5"/>
  <c r="N18" i="5"/>
  <c r="J18" i="5"/>
  <c r="EC17" i="5"/>
  <c r="EB17" i="5"/>
  <c r="DZ17" i="5"/>
  <c r="DV17" i="5"/>
  <c r="DR17" i="5"/>
  <c r="DN17" i="5"/>
  <c r="DJ17" i="5"/>
  <c r="DF17" i="5"/>
  <c r="DB17" i="5"/>
  <c r="CX17" i="5"/>
  <c r="CT17" i="5"/>
  <c r="CP17" i="5"/>
  <c r="CL17" i="5"/>
  <c r="CH17" i="5"/>
  <c r="CD17" i="5"/>
  <c r="BZ17" i="5"/>
  <c r="BV17" i="5"/>
  <c r="BR17" i="5"/>
  <c r="BN17" i="5"/>
  <c r="BJ17" i="5"/>
  <c r="BF17" i="5"/>
  <c r="BB17" i="5"/>
  <c r="AX17" i="5"/>
  <c r="AT17" i="5"/>
  <c r="AP17" i="5"/>
  <c r="AL17" i="5"/>
  <c r="AH17" i="5"/>
  <c r="AD17" i="5"/>
  <c r="Z17" i="5"/>
  <c r="V17" i="5"/>
  <c r="R17" i="5"/>
  <c r="N17" i="5"/>
  <c r="J17" i="5"/>
  <c r="EC16" i="5"/>
  <c r="EB16" i="5"/>
  <c r="DZ16" i="5"/>
  <c r="DV16" i="5"/>
  <c r="DR16" i="5"/>
  <c r="DN16" i="5"/>
  <c r="DJ16" i="5"/>
  <c r="DF16" i="5"/>
  <c r="DB16" i="5"/>
  <c r="CX16" i="5"/>
  <c r="CT16" i="5"/>
  <c r="CP16" i="5"/>
  <c r="CL16" i="5"/>
  <c r="CH16" i="5"/>
  <c r="CD16" i="5"/>
  <c r="BZ16" i="5"/>
  <c r="BV16" i="5"/>
  <c r="BR16" i="5"/>
  <c r="BN16" i="5"/>
  <c r="BJ16" i="5"/>
  <c r="BF16" i="5"/>
  <c r="BB16" i="5"/>
  <c r="AX16" i="5"/>
  <c r="AT16" i="5"/>
  <c r="AP16" i="5"/>
  <c r="AL16" i="5"/>
  <c r="AH16" i="5"/>
  <c r="AD16" i="5"/>
  <c r="Z16" i="5"/>
  <c r="V16" i="5"/>
  <c r="R16" i="5"/>
  <c r="N16" i="5"/>
  <c r="J16" i="5"/>
  <c r="EC15" i="5"/>
  <c r="EB15" i="5"/>
  <c r="DZ15" i="5"/>
  <c r="DV15" i="5"/>
  <c r="DR15" i="5"/>
  <c r="CA15" i="1" s="1"/>
  <c r="DN15" i="5"/>
  <c r="DJ15" i="5"/>
  <c r="DF15" i="5"/>
  <c r="DB15" i="5"/>
  <c r="CX15" i="5"/>
  <c r="CT15" i="5"/>
  <c r="CP15" i="5"/>
  <c r="CL15" i="5"/>
  <c r="CH15" i="5"/>
  <c r="CD15" i="5"/>
  <c r="BZ15" i="5"/>
  <c r="BV15" i="5"/>
  <c r="BR15" i="5"/>
  <c r="BN15" i="1" s="1"/>
  <c r="BN15" i="5"/>
  <c r="BJ15" i="5"/>
  <c r="BF15" i="5"/>
  <c r="BB15" i="5"/>
  <c r="AX15" i="5"/>
  <c r="AT15" i="5"/>
  <c r="AP15" i="5"/>
  <c r="AL15" i="5"/>
  <c r="AH15" i="5"/>
  <c r="AD15" i="5"/>
  <c r="Z15" i="5"/>
  <c r="V15" i="5"/>
  <c r="R15" i="5"/>
  <c r="N15" i="5"/>
  <c r="J15" i="5"/>
  <c r="EC14" i="5"/>
  <c r="EB14" i="5"/>
  <c r="DZ14" i="5"/>
  <c r="DV14" i="5"/>
  <c r="DR14" i="5"/>
  <c r="CA14" i="1" s="1"/>
  <c r="DN14" i="5"/>
  <c r="DJ14" i="5"/>
  <c r="DF14" i="5"/>
  <c r="DB14" i="5"/>
  <c r="CX14" i="5"/>
  <c r="CT14" i="5"/>
  <c r="CP14" i="5"/>
  <c r="CL14" i="5"/>
  <c r="CH14" i="5"/>
  <c r="CD14" i="5"/>
  <c r="BZ14" i="5"/>
  <c r="BV14" i="5"/>
  <c r="BR14" i="5"/>
  <c r="BN14" i="1" s="1"/>
  <c r="BN14" i="5"/>
  <c r="BJ14" i="5"/>
  <c r="BF14" i="5"/>
  <c r="BB14" i="5"/>
  <c r="AX14" i="5"/>
  <c r="AT14" i="5"/>
  <c r="AP14" i="5"/>
  <c r="AL14" i="5"/>
  <c r="AH14" i="5"/>
  <c r="AD14" i="5"/>
  <c r="Z14" i="5"/>
  <c r="V14" i="5"/>
  <c r="ED14" i="5" s="1"/>
  <c r="R14" i="5"/>
  <c r="N14" i="5"/>
  <c r="J14" i="5"/>
  <c r="EC13" i="5"/>
  <c r="EB13" i="5"/>
  <c r="DZ13" i="5"/>
  <c r="DV13" i="5"/>
  <c r="DR13" i="5"/>
  <c r="DN13" i="5"/>
  <c r="DJ13" i="5"/>
  <c r="DF13" i="5"/>
  <c r="DB13" i="5"/>
  <c r="CX13" i="5"/>
  <c r="CT13" i="5"/>
  <c r="CP13" i="5"/>
  <c r="CL13" i="5"/>
  <c r="CH13" i="5"/>
  <c r="CD13" i="5"/>
  <c r="BZ13" i="5"/>
  <c r="BV13" i="5"/>
  <c r="BR13" i="5"/>
  <c r="BN13" i="5"/>
  <c r="BJ13" i="5"/>
  <c r="BF13" i="5"/>
  <c r="BB13" i="5"/>
  <c r="AX13" i="5"/>
  <c r="AT13" i="5"/>
  <c r="AP13" i="5"/>
  <c r="AL13" i="5"/>
  <c r="AH13" i="5"/>
  <c r="AD13" i="5"/>
  <c r="Z13" i="5"/>
  <c r="V13" i="5"/>
  <c r="R13" i="5"/>
  <c r="N13" i="5"/>
  <c r="J13" i="5"/>
  <c r="ED13" i="5" s="1"/>
  <c r="EC12" i="5"/>
  <c r="EB12" i="5"/>
  <c r="DZ12" i="5"/>
  <c r="DV12" i="5"/>
  <c r="DR12" i="5"/>
  <c r="DN12" i="5"/>
  <c r="DJ12" i="5"/>
  <c r="DF12" i="5"/>
  <c r="DB12" i="5"/>
  <c r="CX12" i="5"/>
  <c r="CT12" i="5"/>
  <c r="CP12" i="5"/>
  <c r="CL12" i="5"/>
  <c r="CH12" i="5"/>
  <c r="CD12" i="5"/>
  <c r="BZ12" i="5"/>
  <c r="BV12" i="5"/>
  <c r="BR12" i="5"/>
  <c r="BN12" i="5"/>
  <c r="BJ12" i="5"/>
  <c r="BF12" i="5"/>
  <c r="BB12" i="5"/>
  <c r="AX12" i="5"/>
  <c r="AT12" i="5"/>
  <c r="AP12" i="5"/>
  <c r="AL12" i="5"/>
  <c r="AH12" i="5"/>
  <c r="AD12" i="5"/>
  <c r="Z12" i="5"/>
  <c r="V12" i="5"/>
  <c r="R12" i="5"/>
  <c r="N12" i="5"/>
  <c r="J12" i="5"/>
  <c r="ED12" i="5" s="1"/>
  <c r="EC11" i="5"/>
  <c r="EB11" i="5"/>
  <c r="DZ11" i="5"/>
  <c r="DV11" i="5"/>
  <c r="DR11" i="5"/>
  <c r="DN11" i="5"/>
  <c r="DJ11" i="5"/>
  <c r="DF11" i="5"/>
  <c r="DB11" i="5"/>
  <c r="CX11" i="5"/>
  <c r="CT11" i="5"/>
  <c r="CP11" i="5"/>
  <c r="CL11" i="5"/>
  <c r="CH11" i="5"/>
  <c r="CD11" i="5"/>
  <c r="BZ11" i="5"/>
  <c r="BV11" i="5"/>
  <c r="BR11" i="5"/>
  <c r="BN11" i="5"/>
  <c r="BJ11" i="5"/>
  <c r="BF11" i="5"/>
  <c r="BB11" i="5"/>
  <c r="AX11" i="5"/>
  <c r="AT11" i="5"/>
  <c r="ED11" i="5" s="1"/>
  <c r="AP11" i="5"/>
  <c r="AL11" i="5"/>
  <c r="AH11" i="5"/>
  <c r="AD11" i="5"/>
  <c r="Z11" i="5"/>
  <c r="V11" i="5"/>
  <c r="R11" i="5"/>
  <c r="N11" i="5"/>
  <c r="J11" i="5"/>
  <c r="EC10" i="5"/>
  <c r="EB10" i="5"/>
  <c r="DZ10" i="5"/>
  <c r="DV10" i="5"/>
  <c r="DR10" i="5"/>
  <c r="DN10" i="5"/>
  <c r="DJ10" i="5"/>
  <c r="DF10" i="5"/>
  <c r="DB10" i="5"/>
  <c r="CX10" i="5"/>
  <c r="CT10" i="5"/>
  <c r="CP10" i="5"/>
  <c r="CL10" i="5"/>
  <c r="CH10" i="5"/>
  <c r="CD10" i="5"/>
  <c r="BZ10" i="5"/>
  <c r="BV10" i="5"/>
  <c r="BR10" i="5"/>
  <c r="BN10" i="5"/>
  <c r="BJ10" i="5"/>
  <c r="BF10" i="5"/>
  <c r="BB10" i="5"/>
  <c r="AX10" i="5"/>
  <c r="AT10" i="5"/>
  <c r="AP10" i="5"/>
  <c r="AL10" i="5"/>
  <c r="ED10" i="5" s="1"/>
  <c r="AH10" i="5"/>
  <c r="AD10" i="5"/>
  <c r="Z10" i="5"/>
  <c r="V10" i="5"/>
  <c r="R10" i="5"/>
  <c r="N10" i="5"/>
  <c r="J10" i="5"/>
  <c r="EC9" i="5"/>
  <c r="EB9" i="5"/>
  <c r="DZ9" i="5"/>
  <c r="DV9" i="5"/>
  <c r="DR9" i="5"/>
  <c r="DN9" i="5"/>
  <c r="DJ9" i="5"/>
  <c r="DF9" i="5"/>
  <c r="DB9" i="5"/>
  <c r="CX9" i="5"/>
  <c r="CT9" i="5"/>
  <c r="CP9" i="5"/>
  <c r="CL9" i="5"/>
  <c r="CH9" i="5"/>
  <c r="CD9" i="5"/>
  <c r="BZ9" i="5"/>
  <c r="BV9" i="5"/>
  <c r="BR9" i="5"/>
  <c r="BN9" i="5"/>
  <c r="BJ9" i="5"/>
  <c r="BF9" i="5"/>
  <c r="BB9" i="5"/>
  <c r="AX9" i="5"/>
  <c r="AT9" i="5"/>
  <c r="AP9" i="5"/>
  <c r="AL9" i="5"/>
  <c r="AH9" i="5"/>
  <c r="AD9" i="5"/>
  <c r="Z9" i="5"/>
  <c r="V9" i="5"/>
  <c r="R9" i="5"/>
  <c r="ED9" i="5" s="1"/>
  <c r="N9" i="5"/>
  <c r="J9" i="5"/>
  <c r="EC8" i="5"/>
  <c r="EB8" i="5"/>
  <c r="DZ8" i="5"/>
  <c r="DV8" i="5"/>
  <c r="DV109" i="5" s="1"/>
  <c r="DR8" i="5"/>
  <c r="DN8" i="5"/>
  <c r="DJ8" i="5"/>
  <c r="DF8" i="5"/>
  <c r="DB8" i="5"/>
  <c r="CX8" i="5"/>
  <c r="CT8" i="5"/>
  <c r="CP8" i="5"/>
  <c r="CL8" i="5"/>
  <c r="CH8" i="5"/>
  <c r="CD8" i="5"/>
  <c r="BZ8" i="5"/>
  <c r="BZ109" i="5" s="1"/>
  <c r="BV8" i="5"/>
  <c r="BV109" i="5" s="1"/>
  <c r="BR8" i="5"/>
  <c r="BN8" i="5"/>
  <c r="BJ8" i="5"/>
  <c r="BF8" i="5"/>
  <c r="BB8" i="5"/>
  <c r="AX8" i="5"/>
  <c r="AT8" i="5"/>
  <c r="AP8" i="5"/>
  <c r="AL8" i="5"/>
  <c r="AH8" i="5"/>
  <c r="AD8" i="5"/>
  <c r="Z8" i="5"/>
  <c r="Z109" i="5" s="1"/>
  <c r="V8" i="5"/>
  <c r="ED8" i="5" s="1"/>
  <c r="R8" i="5"/>
  <c r="N8" i="5"/>
  <c r="J8" i="5"/>
  <c r="EC7" i="5"/>
  <c r="EB7" i="5"/>
  <c r="DZ7" i="5"/>
  <c r="DV7" i="5"/>
  <c r="DR7" i="5"/>
  <c r="DN7" i="5"/>
  <c r="DJ7" i="5"/>
  <c r="DF7" i="5"/>
  <c r="DB7" i="5"/>
  <c r="CX7" i="5"/>
  <c r="CT7" i="5"/>
  <c r="CP7" i="5"/>
  <c r="CL7" i="5"/>
  <c r="CH7" i="5"/>
  <c r="CD7" i="5"/>
  <c r="BZ7" i="5"/>
  <c r="BV7" i="5"/>
  <c r="BR7" i="5"/>
  <c r="BN7" i="5"/>
  <c r="BJ7" i="5"/>
  <c r="BF7" i="5"/>
  <c r="BB7" i="5"/>
  <c r="AX7" i="5"/>
  <c r="AT7" i="5"/>
  <c r="AP7" i="5"/>
  <c r="AL7" i="5"/>
  <c r="AH7" i="5"/>
  <c r="AD7" i="5"/>
  <c r="Z7" i="5"/>
  <c r="V7" i="5"/>
  <c r="R7" i="5"/>
  <c r="N7" i="5"/>
  <c r="J7" i="5"/>
  <c r="EC6" i="5"/>
  <c r="EB6" i="5"/>
  <c r="DZ6" i="5"/>
  <c r="DV6" i="5"/>
  <c r="DR6" i="5"/>
  <c r="DN6" i="5"/>
  <c r="DJ6" i="5"/>
  <c r="DF6" i="5"/>
  <c r="DF109" i="5" s="1"/>
  <c r="DB6" i="5"/>
  <c r="DB109" i="5" s="1"/>
  <c r="CX6" i="5"/>
  <c r="CT6" i="5"/>
  <c r="CP6" i="5"/>
  <c r="CL6" i="5"/>
  <c r="CH6" i="5"/>
  <c r="CD6" i="5"/>
  <c r="BZ6" i="5"/>
  <c r="BV6" i="5"/>
  <c r="BR6" i="5"/>
  <c r="BN6" i="5"/>
  <c r="BJ6" i="5"/>
  <c r="BJ109" i="5" s="1"/>
  <c r="BF6" i="5"/>
  <c r="BF109" i="5" s="1"/>
  <c r="BB6" i="5"/>
  <c r="AX6" i="5"/>
  <c r="AT6" i="5"/>
  <c r="AP6" i="5"/>
  <c r="AL6" i="5"/>
  <c r="AH6" i="5"/>
  <c r="AD6" i="5"/>
  <c r="Z6" i="5"/>
  <c r="V6" i="5"/>
  <c r="R6" i="5"/>
  <c r="N6" i="5"/>
  <c r="N109" i="5" s="1"/>
  <c r="J6" i="5"/>
  <c r="ED6" i="5" s="1"/>
  <c r="EC5" i="5"/>
  <c r="EB5" i="5"/>
  <c r="DZ5" i="5"/>
  <c r="DV5" i="5"/>
  <c r="DR5" i="5"/>
  <c r="DN5" i="5"/>
  <c r="DJ5" i="5"/>
  <c r="DF5" i="5"/>
  <c r="DB5" i="5"/>
  <c r="CX5" i="5"/>
  <c r="CT5" i="5"/>
  <c r="CP5" i="5"/>
  <c r="CL5" i="5"/>
  <c r="CH5" i="5"/>
  <c r="CD5" i="5"/>
  <c r="BZ5" i="5"/>
  <c r="BV5" i="5"/>
  <c r="BR5" i="5"/>
  <c r="BN5" i="5"/>
  <c r="BJ5" i="5"/>
  <c r="BF5" i="5"/>
  <c r="BB5" i="5"/>
  <c r="AX5" i="5"/>
  <c r="AT5" i="5"/>
  <c r="ED5" i="5" s="1"/>
  <c r="AP5" i="5"/>
  <c r="AL5" i="5"/>
  <c r="AH5" i="5"/>
  <c r="AD5" i="5"/>
  <c r="Z5" i="5"/>
  <c r="V5" i="5"/>
  <c r="R5" i="5"/>
  <c r="N5" i="5"/>
  <c r="J5" i="5"/>
  <c r="EC4" i="5"/>
  <c r="EB4" i="5"/>
  <c r="DZ4" i="5"/>
  <c r="DZ109" i="5" s="1"/>
  <c r="DV4" i="5"/>
  <c r="DR4" i="5"/>
  <c r="DN4" i="5"/>
  <c r="DN109" i="5" s="1"/>
  <c r="DJ4" i="5"/>
  <c r="DJ109" i="5" s="1"/>
  <c r="DF4" i="5"/>
  <c r="DB4" i="5"/>
  <c r="CX4" i="5"/>
  <c r="CX109" i="5" s="1"/>
  <c r="CT4" i="5"/>
  <c r="CT109" i="5" s="1"/>
  <c r="CP4" i="5"/>
  <c r="CP109" i="5" s="1"/>
  <c r="CL4" i="5"/>
  <c r="CL109" i="5" s="1"/>
  <c r="CH4" i="5"/>
  <c r="CH109" i="5" s="1"/>
  <c r="CD4" i="5"/>
  <c r="CD109" i="5" s="1"/>
  <c r="BZ4" i="5"/>
  <c r="BV4" i="5"/>
  <c r="BR4" i="5"/>
  <c r="BN4" i="5"/>
  <c r="BJ4" i="5"/>
  <c r="BF4" i="5"/>
  <c r="BB4" i="5"/>
  <c r="BB109" i="5" s="1"/>
  <c r="AX4" i="5"/>
  <c r="AX109" i="5" s="1"/>
  <c r="AT4" i="5"/>
  <c r="AT109" i="5" s="1"/>
  <c r="AP4" i="5"/>
  <c r="AP109" i="5" s="1"/>
  <c r="AL4" i="5"/>
  <c r="AL109" i="5" s="1"/>
  <c r="AH4" i="5"/>
  <c r="AH109" i="5" s="1"/>
  <c r="AD4" i="5"/>
  <c r="Z4" i="5"/>
  <c r="V4" i="5"/>
  <c r="V109" i="5" s="1"/>
  <c r="R4" i="5"/>
  <c r="R109" i="5" s="1"/>
  <c r="N4" i="5"/>
  <c r="J4" i="5"/>
  <c r="DY109" i="4"/>
  <c r="DX109" i="4"/>
  <c r="DU109" i="4"/>
  <c r="DT109" i="4"/>
  <c r="DQ109" i="4"/>
  <c r="DP109" i="4"/>
  <c r="DM109" i="4"/>
  <c r="DL109" i="4"/>
  <c r="DI109" i="4"/>
  <c r="DH109" i="4"/>
  <c r="DE109" i="4"/>
  <c r="DD109" i="4"/>
  <c r="DA109" i="4"/>
  <c r="CZ109" i="4"/>
  <c r="CW109" i="4"/>
  <c r="CV109" i="4"/>
  <c r="CS109" i="4"/>
  <c r="CR109" i="4"/>
  <c r="CO109" i="4"/>
  <c r="CN109" i="4"/>
  <c r="CK109" i="4"/>
  <c r="CJ109" i="4"/>
  <c r="CG109" i="4"/>
  <c r="CF109" i="4"/>
  <c r="CC109" i="4"/>
  <c r="CB109" i="4"/>
  <c r="BY109" i="4"/>
  <c r="BX109" i="4"/>
  <c r="BU109" i="4"/>
  <c r="BT109" i="4"/>
  <c r="BQ109" i="4"/>
  <c r="BP109" i="4"/>
  <c r="BM109" i="4"/>
  <c r="BL109" i="4"/>
  <c r="BI109" i="4"/>
  <c r="BH109" i="4"/>
  <c r="BE109" i="4"/>
  <c r="BD109" i="4"/>
  <c r="BA109" i="4"/>
  <c r="AZ109" i="4"/>
  <c r="AW109" i="4"/>
  <c r="AV109" i="4"/>
  <c r="AS109" i="4"/>
  <c r="AR109" i="4"/>
  <c r="AO109" i="4"/>
  <c r="AN109" i="4"/>
  <c r="AK109" i="4"/>
  <c r="AJ109" i="4"/>
  <c r="AG109" i="4"/>
  <c r="AF109" i="4"/>
  <c r="AC109" i="4"/>
  <c r="AB109" i="4"/>
  <c r="Y109" i="4"/>
  <c r="X109" i="4"/>
  <c r="U109" i="4"/>
  <c r="T109" i="4"/>
  <c r="Q109" i="4"/>
  <c r="P109" i="4"/>
  <c r="M109" i="4"/>
  <c r="L109" i="4"/>
  <c r="I109" i="4"/>
  <c r="H109" i="4"/>
  <c r="EC108" i="4"/>
  <c r="EB108" i="4"/>
  <c r="DZ108" i="4"/>
  <c r="DV108" i="4"/>
  <c r="DR108" i="4"/>
  <c r="DN108" i="4"/>
  <c r="DJ108" i="4"/>
  <c r="DF108" i="4"/>
  <c r="DB108" i="4"/>
  <c r="CX108" i="4"/>
  <c r="CT108" i="4"/>
  <c r="CP108" i="4"/>
  <c r="CL108" i="4"/>
  <c r="CH108" i="4"/>
  <c r="CD108" i="4"/>
  <c r="BZ108" i="4"/>
  <c r="BV108" i="4"/>
  <c r="BR108" i="4"/>
  <c r="BN108" i="4"/>
  <c r="BJ108" i="4"/>
  <c r="BF108" i="4"/>
  <c r="BB108" i="4"/>
  <c r="AX108" i="4"/>
  <c r="AT108" i="4"/>
  <c r="AP108" i="4"/>
  <c r="AL108" i="4"/>
  <c r="AH108" i="4"/>
  <c r="AD108" i="4"/>
  <c r="Z108" i="4"/>
  <c r="V108" i="4"/>
  <c r="R108" i="4"/>
  <c r="N108" i="4"/>
  <c r="J108" i="4"/>
  <c r="EC107" i="4"/>
  <c r="EB107" i="4"/>
  <c r="DZ107" i="4"/>
  <c r="DV107" i="4"/>
  <c r="DR107" i="4"/>
  <c r="DN107" i="4"/>
  <c r="DJ107" i="4"/>
  <c r="DF107" i="4"/>
  <c r="DB107" i="4"/>
  <c r="CX107" i="4"/>
  <c r="CT107" i="4"/>
  <c r="CP107" i="4"/>
  <c r="CL107" i="4"/>
  <c r="CH107" i="4"/>
  <c r="CD107" i="4"/>
  <c r="BZ107" i="4"/>
  <c r="BV107" i="4"/>
  <c r="BR107" i="4"/>
  <c r="BN107" i="4"/>
  <c r="BJ107" i="4"/>
  <c r="BF107" i="4"/>
  <c r="BB107" i="4"/>
  <c r="AX107" i="4"/>
  <c r="AT107" i="4"/>
  <c r="ED107" i="4" s="1"/>
  <c r="AP107" i="4"/>
  <c r="AL107" i="4"/>
  <c r="AH107" i="4"/>
  <c r="AD107" i="4"/>
  <c r="Z107" i="4"/>
  <c r="V107" i="4"/>
  <c r="R107" i="4"/>
  <c r="N107" i="4"/>
  <c r="J107" i="4"/>
  <c r="EC106" i="4"/>
  <c r="EB106" i="4"/>
  <c r="DZ106" i="4"/>
  <c r="DV106" i="4"/>
  <c r="DR106" i="4"/>
  <c r="DN106" i="4"/>
  <c r="DJ106" i="4"/>
  <c r="DF106" i="4"/>
  <c r="DB106" i="4"/>
  <c r="CX106" i="4"/>
  <c r="CT106" i="4"/>
  <c r="CP106" i="4"/>
  <c r="CL106" i="4"/>
  <c r="CH106" i="4"/>
  <c r="CD106" i="4"/>
  <c r="BZ106" i="4"/>
  <c r="BV106" i="4"/>
  <c r="BR106" i="4"/>
  <c r="BN106" i="4"/>
  <c r="BJ106" i="4"/>
  <c r="BF106" i="4"/>
  <c r="BB106" i="4"/>
  <c r="AX106" i="4"/>
  <c r="AT106" i="4"/>
  <c r="AP106" i="4"/>
  <c r="AL106" i="4"/>
  <c r="AH106" i="4"/>
  <c r="ED106" i="4" s="1"/>
  <c r="AD106" i="4"/>
  <c r="Z106" i="4"/>
  <c r="V106" i="4"/>
  <c r="R106" i="4"/>
  <c r="N106" i="4"/>
  <c r="J106" i="4"/>
  <c r="EC105" i="4"/>
  <c r="EB105" i="4"/>
  <c r="DZ105" i="4"/>
  <c r="DV105" i="4"/>
  <c r="DR105" i="4"/>
  <c r="DN105" i="4"/>
  <c r="DJ105" i="4"/>
  <c r="DF105" i="4"/>
  <c r="DB105" i="4"/>
  <c r="CX105" i="4"/>
  <c r="CT105" i="4"/>
  <c r="CP105" i="4"/>
  <c r="CL105" i="4"/>
  <c r="CH105" i="4"/>
  <c r="CD105" i="4"/>
  <c r="BZ105" i="4"/>
  <c r="BV105" i="4"/>
  <c r="BR105" i="4"/>
  <c r="BN105" i="4"/>
  <c r="BJ105" i="4"/>
  <c r="BF105" i="4"/>
  <c r="BB105" i="4"/>
  <c r="AX105" i="4"/>
  <c r="AT105" i="4"/>
  <c r="AP105" i="4"/>
  <c r="AL105" i="4"/>
  <c r="AH105" i="4"/>
  <c r="AD105" i="4"/>
  <c r="Z105" i="4"/>
  <c r="V105" i="4"/>
  <c r="R105" i="4"/>
  <c r="N105" i="4"/>
  <c r="J105" i="4"/>
  <c r="EC104" i="4"/>
  <c r="EB104" i="4"/>
  <c r="DZ104" i="4"/>
  <c r="DV104" i="4"/>
  <c r="DR104" i="4"/>
  <c r="DN104" i="4"/>
  <c r="DJ104" i="4"/>
  <c r="DF104" i="4"/>
  <c r="DB104" i="4"/>
  <c r="CX104" i="4"/>
  <c r="CT104" i="4"/>
  <c r="CP104" i="4"/>
  <c r="CL104" i="4"/>
  <c r="CH104" i="4"/>
  <c r="CD104" i="4"/>
  <c r="BZ104" i="4"/>
  <c r="BV104" i="4"/>
  <c r="BR104" i="4"/>
  <c r="BN104" i="4"/>
  <c r="BJ104" i="4"/>
  <c r="BF104" i="4"/>
  <c r="BB104" i="4"/>
  <c r="AX104" i="4"/>
  <c r="AT104" i="4"/>
  <c r="AP104" i="4"/>
  <c r="AL104" i="4"/>
  <c r="AH104" i="4"/>
  <c r="AD104" i="4"/>
  <c r="Z104" i="4"/>
  <c r="V104" i="4"/>
  <c r="R104" i="4"/>
  <c r="N104" i="4"/>
  <c r="J104" i="4"/>
  <c r="ED104" i="4" s="1"/>
  <c r="EC103" i="4"/>
  <c r="EB103" i="4"/>
  <c r="DZ103" i="4"/>
  <c r="DV103" i="4"/>
  <c r="DR103" i="4"/>
  <c r="DN103" i="4"/>
  <c r="DJ103" i="4"/>
  <c r="DF103" i="4"/>
  <c r="DB103" i="4"/>
  <c r="CX103" i="4"/>
  <c r="CT103" i="4"/>
  <c r="CP103" i="4"/>
  <c r="CL103" i="4"/>
  <c r="CH103" i="4"/>
  <c r="CD103" i="4"/>
  <c r="BZ103" i="4"/>
  <c r="BV103" i="4"/>
  <c r="BR103" i="4"/>
  <c r="BN103" i="4"/>
  <c r="BJ103" i="4"/>
  <c r="BF103" i="4"/>
  <c r="BB103" i="4"/>
  <c r="AX103" i="4"/>
  <c r="AT103" i="4"/>
  <c r="AP103" i="4"/>
  <c r="AL103" i="4"/>
  <c r="AH103" i="4"/>
  <c r="AD103" i="4"/>
  <c r="Z103" i="4"/>
  <c r="V103" i="4"/>
  <c r="R103" i="4"/>
  <c r="N103" i="4"/>
  <c r="J103" i="4"/>
  <c r="EC102" i="4"/>
  <c r="EB102" i="4"/>
  <c r="DZ102" i="4"/>
  <c r="DV102" i="4"/>
  <c r="DR102" i="4"/>
  <c r="DN102" i="4"/>
  <c r="DJ102" i="4"/>
  <c r="DF102" i="4"/>
  <c r="DB102" i="4"/>
  <c r="CX102" i="4"/>
  <c r="CT102" i="4"/>
  <c r="CP102" i="4"/>
  <c r="CL102" i="4"/>
  <c r="CH102" i="4"/>
  <c r="CD102" i="4"/>
  <c r="BZ102" i="4"/>
  <c r="BV102" i="4"/>
  <c r="BR102" i="4"/>
  <c r="BN102" i="4"/>
  <c r="BJ102" i="4"/>
  <c r="BF102" i="4"/>
  <c r="BB102" i="4"/>
  <c r="AX102" i="4"/>
  <c r="AT102" i="4"/>
  <c r="AP102" i="4"/>
  <c r="AL102" i="4"/>
  <c r="AH102" i="4"/>
  <c r="AD102" i="4"/>
  <c r="Z102" i="4"/>
  <c r="V102" i="4"/>
  <c r="R102" i="4"/>
  <c r="N102" i="4"/>
  <c r="J102" i="4"/>
  <c r="F102" i="4"/>
  <c r="EC101" i="4"/>
  <c r="EB101" i="4"/>
  <c r="DZ101" i="4"/>
  <c r="DV101" i="4"/>
  <c r="DR101" i="4"/>
  <c r="DN101" i="4"/>
  <c r="DJ101" i="4"/>
  <c r="DF101" i="4"/>
  <c r="DB101" i="4"/>
  <c r="CX101" i="4"/>
  <c r="CT101" i="4"/>
  <c r="CP101" i="4"/>
  <c r="CL101" i="4"/>
  <c r="CH101" i="4"/>
  <c r="CD101" i="4"/>
  <c r="BZ101" i="4"/>
  <c r="BV101" i="4"/>
  <c r="BR101" i="4"/>
  <c r="BN101" i="4"/>
  <c r="BJ101" i="4"/>
  <c r="BF101" i="4"/>
  <c r="BB101" i="4"/>
  <c r="AX101" i="4"/>
  <c r="AT101" i="4"/>
  <c r="ED101" i="4" s="1"/>
  <c r="AP101" i="4"/>
  <c r="AL101" i="4"/>
  <c r="AH101" i="4"/>
  <c r="AD101" i="4"/>
  <c r="Z101" i="4"/>
  <c r="V101" i="4"/>
  <c r="R101" i="4"/>
  <c r="N101" i="4"/>
  <c r="J101" i="4"/>
  <c r="EC100" i="4"/>
  <c r="EB100" i="4"/>
  <c r="DZ100" i="4"/>
  <c r="DV100" i="4"/>
  <c r="DR100" i="4"/>
  <c r="DN100" i="4"/>
  <c r="DJ100" i="4"/>
  <c r="DF100" i="4"/>
  <c r="DB100" i="4"/>
  <c r="CX100" i="4"/>
  <c r="CT100" i="4"/>
  <c r="CP100" i="4"/>
  <c r="CL100" i="4"/>
  <c r="CH100" i="4"/>
  <c r="CD100" i="4"/>
  <c r="BZ100" i="4"/>
  <c r="BV100" i="4"/>
  <c r="BR100" i="4"/>
  <c r="BN100" i="4"/>
  <c r="BJ100" i="4"/>
  <c r="BF100" i="4"/>
  <c r="BB100" i="4"/>
  <c r="AX100" i="4"/>
  <c r="AT100" i="4"/>
  <c r="AP100" i="4"/>
  <c r="AL100" i="4"/>
  <c r="ED100" i="4" s="1"/>
  <c r="AH100" i="4"/>
  <c r="AD100" i="4"/>
  <c r="Z100" i="4"/>
  <c r="V100" i="4"/>
  <c r="R100" i="4"/>
  <c r="N100" i="4"/>
  <c r="J100" i="4"/>
  <c r="EC99" i="4"/>
  <c r="EB99" i="4"/>
  <c r="DZ99" i="4"/>
  <c r="DV99" i="4"/>
  <c r="DR99" i="4"/>
  <c r="DN99" i="4"/>
  <c r="DJ99" i="4"/>
  <c r="DF99" i="4"/>
  <c r="DB99" i="4"/>
  <c r="CX99" i="4"/>
  <c r="CT99" i="4"/>
  <c r="CP99" i="4"/>
  <c r="CL99" i="4"/>
  <c r="CH99" i="4"/>
  <c r="CD99" i="4"/>
  <c r="BZ99" i="4"/>
  <c r="BV99" i="4"/>
  <c r="BR99" i="4"/>
  <c r="BN99" i="4"/>
  <c r="BJ99" i="4"/>
  <c r="BF99" i="4"/>
  <c r="BB99" i="4"/>
  <c r="AX99" i="4"/>
  <c r="AT99" i="4"/>
  <c r="AP99" i="4"/>
  <c r="AL99" i="4"/>
  <c r="AH99" i="4"/>
  <c r="AD99" i="4"/>
  <c r="ED99" i="4" s="1"/>
  <c r="Z99" i="4"/>
  <c r="V99" i="4"/>
  <c r="R99" i="4"/>
  <c r="N99" i="4"/>
  <c r="J99" i="4"/>
  <c r="EC98" i="4"/>
  <c r="EB98" i="4"/>
  <c r="DZ98" i="4"/>
  <c r="DV98" i="4"/>
  <c r="DR98" i="4"/>
  <c r="DN98" i="4"/>
  <c r="DJ98" i="4"/>
  <c r="DF98" i="4"/>
  <c r="DB98" i="4"/>
  <c r="CX98" i="4"/>
  <c r="CT98" i="4"/>
  <c r="CP98" i="4"/>
  <c r="CL98" i="4"/>
  <c r="CH98" i="4"/>
  <c r="CD98" i="4"/>
  <c r="BZ98" i="4"/>
  <c r="BV98" i="4"/>
  <c r="BR98" i="4"/>
  <c r="BN98" i="4"/>
  <c r="BJ98" i="4"/>
  <c r="BF98" i="4"/>
  <c r="BB98" i="4"/>
  <c r="AX98" i="4"/>
  <c r="AT98" i="4"/>
  <c r="AP98" i="4"/>
  <c r="AL98" i="4"/>
  <c r="AH98" i="4"/>
  <c r="AD98" i="4"/>
  <c r="Z98" i="4"/>
  <c r="V98" i="4"/>
  <c r="R98" i="4"/>
  <c r="N98" i="4"/>
  <c r="J98" i="4"/>
  <c r="ED98" i="4" s="1"/>
  <c r="EC97" i="4"/>
  <c r="EB97" i="4"/>
  <c r="DZ97" i="4"/>
  <c r="DV97" i="4"/>
  <c r="DR97" i="4"/>
  <c r="DN97" i="4"/>
  <c r="DJ97" i="4"/>
  <c r="DF97" i="4"/>
  <c r="DB97" i="4"/>
  <c r="CX97" i="4"/>
  <c r="CT97" i="4"/>
  <c r="CP97" i="4"/>
  <c r="CL97" i="4"/>
  <c r="CH97" i="4"/>
  <c r="CD97" i="4"/>
  <c r="BZ97" i="4"/>
  <c r="BV97" i="4"/>
  <c r="BR97" i="4"/>
  <c r="BN97" i="4"/>
  <c r="BJ97" i="4"/>
  <c r="BF97" i="4"/>
  <c r="BB97" i="4"/>
  <c r="AX97" i="4"/>
  <c r="AT97" i="4"/>
  <c r="AP97" i="4"/>
  <c r="AL97" i="4"/>
  <c r="AH97" i="4"/>
  <c r="AD97" i="4"/>
  <c r="Z97" i="4"/>
  <c r="V97" i="4"/>
  <c r="R97" i="4"/>
  <c r="N97" i="4"/>
  <c r="J97" i="4"/>
  <c r="ED97" i="4" s="1"/>
  <c r="EC96" i="4"/>
  <c r="EB96" i="4"/>
  <c r="DZ96" i="4"/>
  <c r="DV96" i="4"/>
  <c r="DR96" i="4"/>
  <c r="DN96" i="4"/>
  <c r="DJ96" i="4"/>
  <c r="DF96" i="4"/>
  <c r="DB96" i="4"/>
  <c r="CX96" i="4"/>
  <c r="CT96" i="4"/>
  <c r="CP96" i="4"/>
  <c r="CL96" i="4"/>
  <c r="CH96" i="4"/>
  <c r="CD96" i="4"/>
  <c r="BZ96" i="4"/>
  <c r="BV96" i="4"/>
  <c r="BR96" i="4"/>
  <c r="BN96" i="4"/>
  <c r="BJ96" i="4"/>
  <c r="BF96" i="4"/>
  <c r="BB96" i="4"/>
  <c r="AX96" i="4"/>
  <c r="AT96" i="4"/>
  <c r="AP96" i="4"/>
  <c r="AL96" i="4"/>
  <c r="AH96" i="4"/>
  <c r="AD96" i="4"/>
  <c r="Z96" i="4"/>
  <c r="V96" i="4"/>
  <c r="R96" i="4"/>
  <c r="N96" i="4"/>
  <c r="J96" i="4"/>
  <c r="EC95" i="4"/>
  <c r="EB95" i="4"/>
  <c r="DZ95" i="4"/>
  <c r="DV95" i="4"/>
  <c r="DR95" i="4"/>
  <c r="DN95" i="4"/>
  <c r="DJ95" i="4"/>
  <c r="DF95" i="4"/>
  <c r="DB95" i="4"/>
  <c r="CX95" i="4"/>
  <c r="CT95" i="4"/>
  <c r="CP95" i="4"/>
  <c r="CL95" i="4"/>
  <c r="CH95" i="4"/>
  <c r="CD95" i="4"/>
  <c r="BZ95" i="4"/>
  <c r="BV95" i="4"/>
  <c r="BR95" i="4"/>
  <c r="BN95" i="4"/>
  <c r="BJ95" i="4"/>
  <c r="BF95" i="4"/>
  <c r="BB95" i="4"/>
  <c r="AX95" i="4"/>
  <c r="AT95" i="4"/>
  <c r="ED95" i="4" s="1"/>
  <c r="AP95" i="4"/>
  <c r="AL95" i="4"/>
  <c r="AH95" i="4"/>
  <c r="AD95" i="4"/>
  <c r="Z95" i="4"/>
  <c r="V95" i="4"/>
  <c r="R95" i="4"/>
  <c r="N95" i="4"/>
  <c r="J95" i="4"/>
  <c r="EC94" i="4"/>
  <c r="EB94" i="4"/>
  <c r="DZ94" i="4"/>
  <c r="DV94" i="4"/>
  <c r="DR94" i="4"/>
  <c r="DN94" i="4"/>
  <c r="DJ94" i="4"/>
  <c r="DF94" i="4"/>
  <c r="DB94" i="4"/>
  <c r="CX94" i="4"/>
  <c r="CT94" i="4"/>
  <c r="CP94" i="4"/>
  <c r="CL94" i="4"/>
  <c r="CH94" i="4"/>
  <c r="CD94" i="4"/>
  <c r="BZ94" i="4"/>
  <c r="BV94" i="4"/>
  <c r="BR94" i="4"/>
  <c r="BN94" i="4"/>
  <c r="BJ94" i="4"/>
  <c r="BF94" i="4"/>
  <c r="BB94" i="4"/>
  <c r="AX94" i="4"/>
  <c r="AT94" i="4"/>
  <c r="AP94" i="4"/>
  <c r="AL94" i="4"/>
  <c r="AH94" i="4"/>
  <c r="AD94" i="4"/>
  <c r="Z94" i="4"/>
  <c r="V94" i="4"/>
  <c r="R94" i="4"/>
  <c r="N94" i="4"/>
  <c r="J94" i="4"/>
  <c r="EC93" i="4"/>
  <c r="EB93" i="4"/>
  <c r="DZ93" i="4"/>
  <c r="DV93" i="4"/>
  <c r="DR93" i="4"/>
  <c r="DN93" i="4"/>
  <c r="DJ93" i="4"/>
  <c r="DF93" i="4"/>
  <c r="DB93" i="4"/>
  <c r="CX93" i="4"/>
  <c r="CT93" i="4"/>
  <c r="CP93" i="4"/>
  <c r="CL93" i="4"/>
  <c r="CH93" i="4"/>
  <c r="CD93" i="4"/>
  <c r="BZ93" i="4"/>
  <c r="BV93" i="4"/>
  <c r="BR93" i="4"/>
  <c r="BN93" i="4"/>
  <c r="BJ93" i="4"/>
  <c r="BF93" i="4"/>
  <c r="BB93" i="4"/>
  <c r="AX93" i="4"/>
  <c r="AT93" i="4"/>
  <c r="AP93" i="4"/>
  <c r="AL93" i="4"/>
  <c r="AH93" i="4"/>
  <c r="AD93" i="4"/>
  <c r="Z93" i="4"/>
  <c r="V93" i="4"/>
  <c r="R93" i="4"/>
  <c r="N93" i="4"/>
  <c r="J93" i="4"/>
  <c r="EC92" i="4"/>
  <c r="EB92" i="4"/>
  <c r="DZ92" i="4"/>
  <c r="DV92" i="4"/>
  <c r="DR92" i="4"/>
  <c r="DN92" i="4"/>
  <c r="DJ92" i="4"/>
  <c r="DF92" i="4"/>
  <c r="DB92" i="4"/>
  <c r="CX92" i="4"/>
  <c r="CT92" i="4"/>
  <c r="CP92" i="4"/>
  <c r="CL92" i="4"/>
  <c r="CH92" i="4"/>
  <c r="CD92" i="4"/>
  <c r="BZ92" i="4"/>
  <c r="BV92" i="4"/>
  <c r="BR92" i="4"/>
  <c r="BN92" i="4"/>
  <c r="BJ92" i="4"/>
  <c r="BF92" i="4"/>
  <c r="BB92" i="4"/>
  <c r="AX92" i="4"/>
  <c r="AT92" i="4"/>
  <c r="AP92" i="4"/>
  <c r="AL92" i="4"/>
  <c r="AH92" i="4"/>
  <c r="AD92" i="4"/>
  <c r="Z92" i="4"/>
  <c r="V92" i="4"/>
  <c r="R92" i="4"/>
  <c r="N92" i="4"/>
  <c r="J92" i="4"/>
  <c r="EC91" i="4"/>
  <c r="EB91" i="4"/>
  <c r="DZ91" i="4"/>
  <c r="DV91" i="4"/>
  <c r="DR91" i="4"/>
  <c r="DN91" i="4"/>
  <c r="DJ91" i="4"/>
  <c r="DF91" i="4"/>
  <c r="DB91" i="4"/>
  <c r="CX91" i="4"/>
  <c r="CT91" i="4"/>
  <c r="CP91" i="4"/>
  <c r="CL91" i="4"/>
  <c r="CH91" i="4"/>
  <c r="CD91" i="4"/>
  <c r="BZ91" i="4"/>
  <c r="BV91" i="4"/>
  <c r="BR91" i="4"/>
  <c r="BN91" i="4"/>
  <c r="BJ91" i="4"/>
  <c r="BF91" i="4"/>
  <c r="BB91" i="4"/>
  <c r="AX91" i="4"/>
  <c r="AT91" i="4"/>
  <c r="AP91" i="4"/>
  <c r="AL91" i="4"/>
  <c r="AH91" i="4"/>
  <c r="AD91" i="4"/>
  <c r="Z91" i="4"/>
  <c r="V91" i="4"/>
  <c r="R91" i="4"/>
  <c r="N91" i="4"/>
  <c r="J91" i="4"/>
  <c r="ED91" i="4" s="1"/>
  <c r="EC90" i="4"/>
  <c r="EB90" i="4"/>
  <c r="DZ90" i="4"/>
  <c r="DV90" i="4"/>
  <c r="DR90" i="4"/>
  <c r="DN90" i="4"/>
  <c r="DJ90" i="4"/>
  <c r="DF90" i="4"/>
  <c r="DB90" i="4"/>
  <c r="CX90" i="4"/>
  <c r="CT90" i="4"/>
  <c r="CP90" i="4"/>
  <c r="CL90" i="4"/>
  <c r="CH90" i="4"/>
  <c r="CD90" i="4"/>
  <c r="BZ90" i="4"/>
  <c r="BV90" i="4"/>
  <c r="BR90" i="4"/>
  <c r="BN90" i="4"/>
  <c r="BJ90" i="4"/>
  <c r="BF90" i="4"/>
  <c r="BB90" i="4"/>
  <c r="AX90" i="4"/>
  <c r="AT90" i="4"/>
  <c r="AP90" i="4"/>
  <c r="AL90" i="4"/>
  <c r="AH90" i="4"/>
  <c r="AD90" i="4"/>
  <c r="Z90" i="4"/>
  <c r="V90" i="4"/>
  <c r="R90" i="4"/>
  <c r="N90" i="4"/>
  <c r="J90" i="4"/>
  <c r="EC89" i="4"/>
  <c r="EB89" i="4"/>
  <c r="DZ89" i="4"/>
  <c r="DV89" i="4"/>
  <c r="DR89" i="4"/>
  <c r="DN89" i="4"/>
  <c r="DJ89" i="4"/>
  <c r="DF89" i="4"/>
  <c r="DB89" i="4"/>
  <c r="CX89" i="4"/>
  <c r="CT89" i="4"/>
  <c r="CP89" i="4"/>
  <c r="CL89" i="4"/>
  <c r="CH89" i="4"/>
  <c r="CD89" i="4"/>
  <c r="BZ89" i="4"/>
  <c r="BV89" i="4"/>
  <c r="BR89" i="4"/>
  <c r="BN89" i="4"/>
  <c r="BJ89" i="4"/>
  <c r="BF89" i="4"/>
  <c r="BB89" i="4"/>
  <c r="AX89" i="4"/>
  <c r="AT89" i="4"/>
  <c r="ED89" i="4" s="1"/>
  <c r="AP89" i="4"/>
  <c r="AL89" i="4"/>
  <c r="AH89" i="4"/>
  <c r="AD89" i="4"/>
  <c r="Z89" i="4"/>
  <c r="V89" i="4"/>
  <c r="R89" i="4"/>
  <c r="N89" i="4"/>
  <c r="J89" i="4"/>
  <c r="EC88" i="4"/>
  <c r="EB88" i="4"/>
  <c r="DZ88" i="4"/>
  <c r="DV88" i="4"/>
  <c r="DR88" i="4"/>
  <c r="DN88" i="4"/>
  <c r="DJ88" i="4"/>
  <c r="DF88" i="4"/>
  <c r="DB88" i="4"/>
  <c r="CX88" i="4"/>
  <c r="CT88" i="4"/>
  <c r="CP88" i="4"/>
  <c r="CL88" i="4"/>
  <c r="CH88" i="4"/>
  <c r="CD88" i="4"/>
  <c r="BZ88" i="4"/>
  <c r="BV88" i="4"/>
  <c r="BR88" i="4"/>
  <c r="BN88" i="4"/>
  <c r="BJ88" i="4"/>
  <c r="BF88" i="4"/>
  <c r="BB88" i="4"/>
  <c r="AX88" i="4"/>
  <c r="AT88" i="4"/>
  <c r="AP88" i="4"/>
  <c r="AL88" i="4"/>
  <c r="AH88" i="4"/>
  <c r="AD88" i="4"/>
  <c r="Z88" i="4"/>
  <c r="V88" i="4"/>
  <c r="R88" i="4"/>
  <c r="N88" i="4"/>
  <c r="J88" i="4"/>
  <c r="EC87" i="4"/>
  <c r="EB87" i="4"/>
  <c r="DZ87" i="4"/>
  <c r="DV87" i="4"/>
  <c r="DR87" i="4"/>
  <c r="DN87" i="4"/>
  <c r="DJ87" i="4"/>
  <c r="DF87" i="4"/>
  <c r="DB87" i="4"/>
  <c r="CX87" i="4"/>
  <c r="CT87" i="4"/>
  <c r="CP87" i="4"/>
  <c r="CL87" i="4"/>
  <c r="CH87" i="4"/>
  <c r="CD87" i="4"/>
  <c r="BZ87" i="4"/>
  <c r="BV87" i="4"/>
  <c r="BR87" i="4"/>
  <c r="BN87" i="4"/>
  <c r="BJ87" i="4"/>
  <c r="BF87" i="4"/>
  <c r="BB87" i="4"/>
  <c r="AX87" i="4"/>
  <c r="AT87" i="4"/>
  <c r="AP87" i="4"/>
  <c r="AL87" i="4"/>
  <c r="AH87" i="4"/>
  <c r="AD87" i="4"/>
  <c r="Z87" i="4"/>
  <c r="V87" i="4"/>
  <c r="R87" i="4"/>
  <c r="N87" i="4"/>
  <c r="J87" i="4"/>
  <c r="EC86" i="4"/>
  <c r="EB86" i="4"/>
  <c r="DZ86" i="4"/>
  <c r="DV86" i="4"/>
  <c r="DR86" i="4"/>
  <c r="DN86" i="4"/>
  <c r="DJ86" i="4"/>
  <c r="DF86" i="4"/>
  <c r="DB86" i="4"/>
  <c r="CX86" i="4"/>
  <c r="CT86" i="4"/>
  <c r="CP86" i="4"/>
  <c r="CL86" i="4"/>
  <c r="CH86" i="4"/>
  <c r="CD86" i="4"/>
  <c r="BZ86" i="4"/>
  <c r="BV86" i="4"/>
  <c r="BR86" i="4"/>
  <c r="BN86" i="4"/>
  <c r="BJ86" i="4"/>
  <c r="BF86" i="4"/>
  <c r="BB86" i="4"/>
  <c r="AX86" i="4"/>
  <c r="AT86" i="4"/>
  <c r="AP86" i="4"/>
  <c r="AL86" i="4"/>
  <c r="AH86" i="4"/>
  <c r="AD86" i="4"/>
  <c r="Z86" i="4"/>
  <c r="V86" i="4"/>
  <c r="R86" i="4"/>
  <c r="N86" i="4"/>
  <c r="J86" i="4"/>
  <c r="EC85" i="4"/>
  <c r="EB85" i="4"/>
  <c r="DZ85" i="4"/>
  <c r="DV85" i="4"/>
  <c r="DR85" i="4"/>
  <c r="DN85" i="4"/>
  <c r="DJ85" i="4"/>
  <c r="DF85" i="4"/>
  <c r="DB85" i="4"/>
  <c r="CX85" i="4"/>
  <c r="CT85" i="4"/>
  <c r="CP85" i="4"/>
  <c r="CL85" i="4"/>
  <c r="CH85" i="4"/>
  <c r="CD85" i="4"/>
  <c r="BZ85" i="4"/>
  <c r="BV85" i="4"/>
  <c r="BR85" i="4"/>
  <c r="BN85" i="4"/>
  <c r="BJ85" i="4"/>
  <c r="BF85" i="4"/>
  <c r="BB85" i="4"/>
  <c r="AX85" i="4"/>
  <c r="AT85" i="4"/>
  <c r="AP85" i="4"/>
  <c r="AL85" i="4"/>
  <c r="AH85" i="4"/>
  <c r="AD85" i="4"/>
  <c r="Z85" i="4"/>
  <c r="V85" i="4"/>
  <c r="R85" i="4"/>
  <c r="N85" i="4"/>
  <c r="J85" i="4"/>
  <c r="ED85" i="4" s="1"/>
  <c r="EC84" i="4"/>
  <c r="EB84" i="4"/>
  <c r="DZ84" i="4"/>
  <c r="DV84" i="4"/>
  <c r="DR84" i="4"/>
  <c r="DN84" i="4"/>
  <c r="DJ84" i="4"/>
  <c r="DF84" i="4"/>
  <c r="DB84" i="4"/>
  <c r="CX84" i="4"/>
  <c r="CT84" i="4"/>
  <c r="CP84" i="4"/>
  <c r="CL84" i="4"/>
  <c r="CH84" i="4"/>
  <c r="CD84" i="4"/>
  <c r="BZ84" i="4"/>
  <c r="BV84" i="4"/>
  <c r="BR84" i="4"/>
  <c r="BN84" i="4"/>
  <c r="BJ84" i="4"/>
  <c r="BF84" i="4"/>
  <c r="BB84" i="4"/>
  <c r="AX84" i="4"/>
  <c r="AT84" i="4"/>
  <c r="AP84" i="4"/>
  <c r="AL84" i="4"/>
  <c r="AH84" i="4"/>
  <c r="AD84" i="4"/>
  <c r="Z84" i="4"/>
  <c r="V84" i="4"/>
  <c r="R84" i="4"/>
  <c r="N84" i="4"/>
  <c r="J84" i="4"/>
  <c r="EC83" i="4"/>
  <c r="EB83" i="4"/>
  <c r="DZ83" i="4"/>
  <c r="DV83" i="4"/>
  <c r="DR83" i="4"/>
  <c r="DN83" i="4"/>
  <c r="DJ83" i="4"/>
  <c r="DF83" i="4"/>
  <c r="DB83" i="4"/>
  <c r="CX83" i="4"/>
  <c r="CT83" i="4"/>
  <c r="CP83" i="4"/>
  <c r="CL83" i="4"/>
  <c r="CH83" i="4"/>
  <c r="CD83" i="4"/>
  <c r="BZ83" i="4"/>
  <c r="BV83" i="4"/>
  <c r="BR83" i="4"/>
  <c r="BN83" i="4"/>
  <c r="BJ83" i="4"/>
  <c r="BF83" i="4"/>
  <c r="BB83" i="4"/>
  <c r="AX83" i="4"/>
  <c r="AT83" i="4"/>
  <c r="ED83" i="4" s="1"/>
  <c r="AP83" i="4"/>
  <c r="AL83" i="4"/>
  <c r="AH83" i="4"/>
  <c r="AD83" i="4"/>
  <c r="Z83" i="4"/>
  <c r="V83" i="4"/>
  <c r="R83" i="4"/>
  <c r="N83" i="4"/>
  <c r="J83" i="4"/>
  <c r="EC82" i="4"/>
  <c r="EB82" i="4"/>
  <c r="DZ82" i="4"/>
  <c r="DV82" i="4"/>
  <c r="DR82" i="4"/>
  <c r="DN82" i="4"/>
  <c r="DJ82" i="4"/>
  <c r="DF82" i="4"/>
  <c r="DB82" i="4"/>
  <c r="CX82" i="4"/>
  <c r="CT82" i="4"/>
  <c r="CP82" i="4"/>
  <c r="CL82" i="4"/>
  <c r="CH82" i="4"/>
  <c r="CD82" i="4"/>
  <c r="BZ82" i="4"/>
  <c r="BV82" i="4"/>
  <c r="BR82" i="4"/>
  <c r="BN82" i="4"/>
  <c r="BJ82" i="4"/>
  <c r="BF82" i="4"/>
  <c r="BB82" i="4"/>
  <c r="AX82" i="4"/>
  <c r="AT82" i="4"/>
  <c r="AP82" i="4"/>
  <c r="AL82" i="4"/>
  <c r="ED82" i="4" s="1"/>
  <c r="AH82" i="4"/>
  <c r="AD82" i="4"/>
  <c r="Z82" i="4"/>
  <c r="V82" i="4"/>
  <c r="R82" i="4"/>
  <c r="N82" i="4"/>
  <c r="J82" i="4"/>
  <c r="EC81" i="4"/>
  <c r="EB81" i="4"/>
  <c r="DZ81" i="4"/>
  <c r="DV81" i="4"/>
  <c r="DR81" i="4"/>
  <c r="DN81" i="4"/>
  <c r="DJ81" i="4"/>
  <c r="DF81" i="4"/>
  <c r="DB81" i="4"/>
  <c r="CX81" i="4"/>
  <c r="CT81" i="4"/>
  <c r="CP81" i="4"/>
  <c r="CL81" i="4"/>
  <c r="CH81" i="4"/>
  <c r="CD81" i="4"/>
  <c r="BZ81" i="4"/>
  <c r="BV81" i="4"/>
  <c r="BR81" i="4"/>
  <c r="BN81" i="4"/>
  <c r="BJ81" i="4"/>
  <c r="BF81" i="4"/>
  <c r="BB81" i="4"/>
  <c r="AX81" i="4"/>
  <c r="AT81" i="4"/>
  <c r="AP81" i="4"/>
  <c r="AL81" i="4"/>
  <c r="AH81" i="4"/>
  <c r="AD81" i="4"/>
  <c r="Z81" i="4"/>
  <c r="V81" i="4"/>
  <c r="R81" i="4"/>
  <c r="ED81" i="4" s="1"/>
  <c r="N81" i="4"/>
  <c r="J81" i="4"/>
  <c r="EC80" i="4"/>
  <c r="EB80" i="4"/>
  <c r="DZ80" i="4"/>
  <c r="DV80" i="4"/>
  <c r="DR80" i="4"/>
  <c r="DN80" i="4"/>
  <c r="DJ80" i="4"/>
  <c r="DF80" i="4"/>
  <c r="DB80" i="4"/>
  <c r="CX80" i="4"/>
  <c r="CT80" i="4"/>
  <c r="CP80" i="4"/>
  <c r="CL80" i="4"/>
  <c r="CH80" i="4"/>
  <c r="CD80" i="4"/>
  <c r="BZ80" i="4"/>
  <c r="BV80" i="4"/>
  <c r="BR80" i="4"/>
  <c r="BN80" i="4"/>
  <c r="BJ80" i="4"/>
  <c r="BF80" i="4"/>
  <c r="BB80" i="4"/>
  <c r="AX80" i="4"/>
  <c r="AT80" i="4"/>
  <c r="AP80" i="4"/>
  <c r="AL80" i="4"/>
  <c r="AH80" i="4"/>
  <c r="AD80" i="4"/>
  <c r="Z80" i="4"/>
  <c r="V80" i="4"/>
  <c r="R80" i="4"/>
  <c r="N80" i="4"/>
  <c r="J80" i="4"/>
  <c r="ED80" i="4" s="1"/>
  <c r="EC79" i="4"/>
  <c r="EB79" i="4"/>
  <c r="DZ79" i="4"/>
  <c r="DV79" i="4"/>
  <c r="DR79" i="4"/>
  <c r="DN79" i="4"/>
  <c r="DJ79" i="4"/>
  <c r="DF79" i="4"/>
  <c r="DB79" i="4"/>
  <c r="CX79" i="4"/>
  <c r="CT79" i="4"/>
  <c r="CP79" i="4"/>
  <c r="CL79" i="4"/>
  <c r="CH79" i="4"/>
  <c r="CD79" i="4"/>
  <c r="BZ79" i="4"/>
  <c r="BV79" i="4"/>
  <c r="BR79" i="4"/>
  <c r="BN79" i="4"/>
  <c r="BJ79" i="4"/>
  <c r="BF79" i="4"/>
  <c r="BB79" i="4"/>
  <c r="AX79" i="4"/>
  <c r="AT79" i="4"/>
  <c r="AP79" i="4"/>
  <c r="AL79" i="4"/>
  <c r="AH79" i="4"/>
  <c r="AD79" i="4"/>
  <c r="Z79" i="4"/>
  <c r="V79" i="4"/>
  <c r="R79" i="4"/>
  <c r="N79" i="4"/>
  <c r="J79" i="4"/>
  <c r="EC78" i="4"/>
  <c r="EB78" i="4"/>
  <c r="DZ78" i="4"/>
  <c r="DV78" i="4"/>
  <c r="DR78" i="4"/>
  <c r="DN78" i="4"/>
  <c r="DJ78" i="4"/>
  <c r="DF78" i="4"/>
  <c r="DB78" i="4"/>
  <c r="CX78" i="4"/>
  <c r="CT78" i="4"/>
  <c r="CP78" i="4"/>
  <c r="CL78" i="4"/>
  <c r="CH78" i="4"/>
  <c r="CD78" i="4"/>
  <c r="BZ78" i="4"/>
  <c r="BV78" i="4"/>
  <c r="BR78" i="4"/>
  <c r="BN78" i="4"/>
  <c r="BJ78" i="4"/>
  <c r="BF78" i="4"/>
  <c r="BB78" i="4"/>
  <c r="AX78" i="4"/>
  <c r="AT78" i="4"/>
  <c r="AP78" i="4"/>
  <c r="AL78" i="4"/>
  <c r="AH78" i="4"/>
  <c r="AD78" i="4"/>
  <c r="Z78" i="4"/>
  <c r="V78" i="4"/>
  <c r="R78" i="4"/>
  <c r="N78" i="4"/>
  <c r="J78" i="4"/>
  <c r="EC77" i="4"/>
  <c r="EB77" i="4"/>
  <c r="DZ77" i="4"/>
  <c r="DV77" i="4"/>
  <c r="DR77" i="4"/>
  <c r="DN77" i="4"/>
  <c r="DJ77" i="4"/>
  <c r="DF77" i="4"/>
  <c r="DB77" i="4"/>
  <c r="CX77" i="4"/>
  <c r="CT77" i="4"/>
  <c r="CP77" i="4"/>
  <c r="CL77" i="4"/>
  <c r="CH77" i="4"/>
  <c r="CD77" i="4"/>
  <c r="BZ77" i="4"/>
  <c r="BV77" i="4"/>
  <c r="BR77" i="4"/>
  <c r="BN77" i="4"/>
  <c r="BJ77" i="4"/>
  <c r="BF77" i="4"/>
  <c r="BB77" i="4"/>
  <c r="AX77" i="4"/>
  <c r="AT77" i="4"/>
  <c r="ED77" i="4" s="1"/>
  <c r="AP77" i="4"/>
  <c r="AL77" i="4"/>
  <c r="AH77" i="4"/>
  <c r="AD77" i="4"/>
  <c r="Z77" i="4"/>
  <c r="V77" i="4"/>
  <c r="R77" i="4"/>
  <c r="N77" i="4"/>
  <c r="J77" i="4"/>
  <c r="EC76" i="4"/>
  <c r="EB76" i="4"/>
  <c r="DZ76" i="4"/>
  <c r="DV76" i="4"/>
  <c r="DR76" i="4"/>
  <c r="DN76" i="4"/>
  <c r="DJ76" i="4"/>
  <c r="DF76" i="4"/>
  <c r="DB76" i="4"/>
  <c r="CX76" i="4"/>
  <c r="CT76" i="4"/>
  <c r="CP76" i="4"/>
  <c r="CL76" i="4"/>
  <c r="CH76" i="4"/>
  <c r="CD76" i="4"/>
  <c r="BZ76" i="4"/>
  <c r="BV76" i="4"/>
  <c r="BR76" i="4"/>
  <c r="BN76" i="4"/>
  <c r="BJ76" i="4"/>
  <c r="BF76" i="4"/>
  <c r="BB76" i="4"/>
  <c r="AX76" i="4"/>
  <c r="AT76" i="4"/>
  <c r="AP76" i="4"/>
  <c r="AL76" i="4"/>
  <c r="ED76" i="4" s="1"/>
  <c r="AH76" i="4"/>
  <c r="AD76" i="4"/>
  <c r="Z76" i="4"/>
  <c r="V76" i="4"/>
  <c r="R76" i="4"/>
  <c r="N76" i="4"/>
  <c r="J76" i="4"/>
  <c r="EC75" i="4"/>
  <c r="EB75" i="4"/>
  <c r="DZ75" i="4"/>
  <c r="DV75" i="4"/>
  <c r="DR75" i="4"/>
  <c r="DN75" i="4"/>
  <c r="DJ75" i="4"/>
  <c r="DF75" i="4"/>
  <c r="DB75" i="4"/>
  <c r="CX75" i="4"/>
  <c r="CT75" i="4"/>
  <c r="CP75" i="4"/>
  <c r="CL75" i="4"/>
  <c r="CH75" i="4"/>
  <c r="CD75" i="4"/>
  <c r="BZ75" i="4"/>
  <c r="BV75" i="4"/>
  <c r="BR75" i="4"/>
  <c r="BN75" i="4"/>
  <c r="BJ75" i="4"/>
  <c r="BF75" i="4"/>
  <c r="BB75" i="4"/>
  <c r="AX75" i="4"/>
  <c r="AT75" i="4"/>
  <c r="AP75" i="4"/>
  <c r="AL75" i="4"/>
  <c r="AH75" i="4"/>
  <c r="AD75" i="4"/>
  <c r="Z75" i="4"/>
  <c r="V75" i="4"/>
  <c r="R75" i="4"/>
  <c r="ED75" i="4" s="1"/>
  <c r="N75" i="4"/>
  <c r="J75" i="4"/>
  <c r="EC74" i="4"/>
  <c r="EB74" i="4"/>
  <c r="DZ74" i="4"/>
  <c r="DV74" i="4"/>
  <c r="DR74" i="4"/>
  <c r="DN74" i="4"/>
  <c r="DJ74" i="4"/>
  <c r="DF74" i="4"/>
  <c r="DB74" i="4"/>
  <c r="CX74" i="4"/>
  <c r="CT74" i="4"/>
  <c r="CP74" i="4"/>
  <c r="CL74" i="4"/>
  <c r="CH74" i="4"/>
  <c r="CD74" i="4"/>
  <c r="BZ74" i="4"/>
  <c r="BV74" i="4"/>
  <c r="BR74" i="4"/>
  <c r="BN74" i="4"/>
  <c r="BJ74" i="4"/>
  <c r="BF74" i="4"/>
  <c r="BB74" i="4"/>
  <c r="AX74" i="4"/>
  <c r="AT74" i="4"/>
  <c r="AP74" i="4"/>
  <c r="AL74" i="4"/>
  <c r="AH74" i="4"/>
  <c r="AD74" i="4"/>
  <c r="Z74" i="4"/>
  <c r="V74" i="4"/>
  <c r="R74" i="4"/>
  <c r="N74" i="4"/>
  <c r="J74" i="4"/>
  <c r="EC73" i="4"/>
  <c r="EB73" i="4"/>
  <c r="DZ73" i="4"/>
  <c r="DV73" i="4"/>
  <c r="DR73" i="4"/>
  <c r="DN73" i="4"/>
  <c r="DJ73" i="4"/>
  <c r="DF73" i="4"/>
  <c r="DB73" i="4"/>
  <c r="CX73" i="4"/>
  <c r="CT73" i="4"/>
  <c r="CP73" i="4"/>
  <c r="CL73" i="4"/>
  <c r="CH73" i="4"/>
  <c r="CD73" i="4"/>
  <c r="BZ73" i="4"/>
  <c r="BV73" i="4"/>
  <c r="BR73" i="4"/>
  <c r="BN73" i="4"/>
  <c r="BJ73" i="4"/>
  <c r="BF73" i="4"/>
  <c r="BB73" i="4"/>
  <c r="AX73" i="4"/>
  <c r="AT73" i="4"/>
  <c r="AP73" i="4"/>
  <c r="AL73" i="4"/>
  <c r="AH73" i="4"/>
  <c r="AD73" i="4"/>
  <c r="Z73" i="4"/>
  <c r="V73" i="4"/>
  <c r="R73" i="4"/>
  <c r="N73" i="4"/>
  <c r="J73" i="4"/>
  <c r="EC72" i="4"/>
  <c r="EB72" i="4"/>
  <c r="DZ72" i="4"/>
  <c r="DV72" i="4"/>
  <c r="DR72" i="4"/>
  <c r="DN72" i="4"/>
  <c r="DJ72" i="4"/>
  <c r="DF72" i="4"/>
  <c r="DB72" i="4"/>
  <c r="CX72" i="4"/>
  <c r="CT72" i="4"/>
  <c r="CP72" i="4"/>
  <c r="CL72" i="4"/>
  <c r="CH72" i="4"/>
  <c r="CD72" i="4"/>
  <c r="BZ72" i="4"/>
  <c r="BV72" i="4"/>
  <c r="BR72" i="4"/>
  <c r="BN72" i="4"/>
  <c r="BJ72" i="4"/>
  <c r="BF72" i="4"/>
  <c r="BB72" i="4"/>
  <c r="AX72" i="4"/>
  <c r="AT72" i="4"/>
  <c r="AP72" i="4"/>
  <c r="AL72" i="4"/>
  <c r="AH72" i="4"/>
  <c r="AD72" i="4"/>
  <c r="Z72" i="4"/>
  <c r="V72" i="4"/>
  <c r="R72" i="4"/>
  <c r="N72" i="4"/>
  <c r="J72" i="4"/>
  <c r="EC71" i="4"/>
  <c r="EB71" i="4"/>
  <c r="DZ71" i="4"/>
  <c r="DV71" i="4"/>
  <c r="DR71" i="4"/>
  <c r="DN71" i="4"/>
  <c r="DJ71" i="4"/>
  <c r="DF71" i="4"/>
  <c r="DB71" i="4"/>
  <c r="CX71" i="4"/>
  <c r="CT71" i="4"/>
  <c r="CP71" i="4"/>
  <c r="CL71" i="4"/>
  <c r="CH71" i="4"/>
  <c r="CD71" i="4"/>
  <c r="BZ71" i="4"/>
  <c r="BV71" i="4"/>
  <c r="BR71" i="4"/>
  <c r="BN71" i="4"/>
  <c r="BJ71" i="4"/>
  <c r="BF71" i="4"/>
  <c r="BB71" i="4"/>
  <c r="AX71" i="4"/>
  <c r="AT71" i="4"/>
  <c r="ED71" i="4" s="1"/>
  <c r="AP71" i="4"/>
  <c r="AL71" i="4"/>
  <c r="AH71" i="4"/>
  <c r="AD71" i="4"/>
  <c r="Z71" i="4"/>
  <c r="V71" i="4"/>
  <c r="R71" i="4"/>
  <c r="N71" i="4"/>
  <c r="J71" i="4"/>
  <c r="EC70" i="4"/>
  <c r="EB70" i="4"/>
  <c r="DZ70" i="4"/>
  <c r="DV70" i="4"/>
  <c r="DR70" i="4"/>
  <c r="DN70" i="4"/>
  <c r="DJ70" i="4"/>
  <c r="DF70" i="4"/>
  <c r="DB70" i="4"/>
  <c r="CX70" i="4"/>
  <c r="CT70" i="4"/>
  <c r="CP70" i="4"/>
  <c r="CL70" i="4"/>
  <c r="CH70" i="4"/>
  <c r="CD70" i="4"/>
  <c r="BZ70" i="4"/>
  <c r="BV70" i="4"/>
  <c r="BR70" i="4"/>
  <c r="BN70" i="4"/>
  <c r="BJ70" i="4"/>
  <c r="BF70" i="4"/>
  <c r="BB70" i="4"/>
  <c r="AX70" i="4"/>
  <c r="AT70" i="4"/>
  <c r="AP70" i="4"/>
  <c r="AL70" i="4"/>
  <c r="ED70" i="4" s="1"/>
  <c r="AH70" i="4"/>
  <c r="AD70" i="4"/>
  <c r="Z70" i="4"/>
  <c r="V70" i="4"/>
  <c r="R70" i="4"/>
  <c r="N70" i="4"/>
  <c r="J70" i="4"/>
  <c r="EC69" i="4"/>
  <c r="EB69" i="4"/>
  <c r="DZ69" i="4"/>
  <c r="DV69" i="4"/>
  <c r="DR69" i="4"/>
  <c r="DN69" i="4"/>
  <c r="DJ69" i="4"/>
  <c r="DF69" i="4"/>
  <c r="DB69" i="4"/>
  <c r="CX69" i="4"/>
  <c r="CT69" i="4"/>
  <c r="CP69" i="4"/>
  <c r="CL69" i="4"/>
  <c r="CH69" i="4"/>
  <c r="CD69" i="4"/>
  <c r="BZ69" i="4"/>
  <c r="BV69" i="4"/>
  <c r="BR69" i="4"/>
  <c r="BN69" i="4"/>
  <c r="BJ69" i="4"/>
  <c r="BF69" i="4"/>
  <c r="BB69" i="4"/>
  <c r="AX69" i="4"/>
  <c r="AT69" i="4"/>
  <c r="AP69" i="4"/>
  <c r="AL69" i="4"/>
  <c r="AH69" i="4"/>
  <c r="AD69" i="4"/>
  <c r="Z69" i="4"/>
  <c r="V69" i="4"/>
  <c r="R69" i="4"/>
  <c r="ED69" i="4" s="1"/>
  <c r="N69" i="4"/>
  <c r="J69" i="4"/>
  <c r="EC68" i="4"/>
  <c r="EB68" i="4"/>
  <c r="DZ68" i="4"/>
  <c r="DV68" i="4"/>
  <c r="DR68" i="4"/>
  <c r="DN68" i="4"/>
  <c r="DJ68" i="4"/>
  <c r="DF68" i="4"/>
  <c r="DB68" i="4"/>
  <c r="CX68" i="4"/>
  <c r="CT68" i="4"/>
  <c r="CP68" i="4"/>
  <c r="CL68" i="4"/>
  <c r="CH68" i="4"/>
  <c r="CD68" i="4"/>
  <c r="BZ68" i="4"/>
  <c r="BV68" i="4"/>
  <c r="BR68" i="4"/>
  <c r="BN68" i="4"/>
  <c r="BJ68" i="4"/>
  <c r="BF68" i="4"/>
  <c r="BB68" i="4"/>
  <c r="AX68" i="4"/>
  <c r="AT68" i="4"/>
  <c r="AP68" i="4"/>
  <c r="AL68" i="4"/>
  <c r="AH68" i="4"/>
  <c r="AD68" i="4"/>
  <c r="Z68" i="4"/>
  <c r="V68" i="4"/>
  <c r="R68" i="4"/>
  <c r="N68" i="4"/>
  <c r="J68" i="4"/>
  <c r="ED68" i="4" s="1"/>
  <c r="EC67" i="4"/>
  <c r="EB67" i="4"/>
  <c r="DZ67" i="4"/>
  <c r="DV67" i="4"/>
  <c r="DR67" i="4"/>
  <c r="DN67" i="4"/>
  <c r="DJ67" i="4"/>
  <c r="DF67" i="4"/>
  <c r="DB67" i="4"/>
  <c r="CX67" i="4"/>
  <c r="CT67" i="4"/>
  <c r="CP67" i="4"/>
  <c r="CL67" i="4"/>
  <c r="CH67" i="4"/>
  <c r="CD67" i="4"/>
  <c r="BZ67" i="4"/>
  <c r="BV67" i="4"/>
  <c r="BR67" i="4"/>
  <c r="BN67" i="4"/>
  <c r="BJ67" i="4"/>
  <c r="BF67" i="4"/>
  <c r="BB67" i="4"/>
  <c r="AX67" i="4"/>
  <c r="AT67" i="4"/>
  <c r="AP67" i="4"/>
  <c r="AL67" i="4"/>
  <c r="AH67" i="4"/>
  <c r="AD67" i="4"/>
  <c r="Z67" i="4"/>
  <c r="V67" i="4"/>
  <c r="R67" i="4"/>
  <c r="N67" i="4"/>
  <c r="J67" i="4"/>
  <c r="ED67" i="4" s="1"/>
  <c r="EC66" i="4"/>
  <c r="EB66" i="4"/>
  <c r="DZ66" i="4"/>
  <c r="DV66" i="4"/>
  <c r="DR66" i="4"/>
  <c r="DN66" i="4"/>
  <c r="DJ66" i="4"/>
  <c r="DF66" i="4"/>
  <c r="DB66" i="4"/>
  <c r="CX66" i="4"/>
  <c r="CT66" i="4"/>
  <c r="CP66" i="4"/>
  <c r="CL66" i="4"/>
  <c r="CH66" i="4"/>
  <c r="CD66" i="4"/>
  <c r="BZ66" i="4"/>
  <c r="BV66" i="4"/>
  <c r="BR66" i="4"/>
  <c r="BN66" i="4"/>
  <c r="BJ66" i="4"/>
  <c r="BF66" i="4"/>
  <c r="BB66" i="4"/>
  <c r="AX66" i="4"/>
  <c r="AT66" i="4"/>
  <c r="AP66" i="4"/>
  <c r="AL66" i="4"/>
  <c r="AH66" i="4"/>
  <c r="AD66" i="4"/>
  <c r="Z66" i="4"/>
  <c r="V66" i="4"/>
  <c r="R66" i="4"/>
  <c r="N66" i="4"/>
  <c r="J66" i="4"/>
  <c r="ED66" i="4" s="1"/>
  <c r="EC65" i="4"/>
  <c r="EB65" i="4"/>
  <c r="DZ65" i="4"/>
  <c r="DV65" i="4"/>
  <c r="DR65" i="4"/>
  <c r="DN65" i="4"/>
  <c r="DJ65" i="4"/>
  <c r="DF65" i="4"/>
  <c r="DB65" i="4"/>
  <c r="CX65" i="4"/>
  <c r="CT65" i="4"/>
  <c r="CP65" i="4"/>
  <c r="CL65" i="4"/>
  <c r="CH65" i="4"/>
  <c r="CD65" i="4"/>
  <c r="BZ65" i="4"/>
  <c r="BV65" i="4"/>
  <c r="BR65" i="4"/>
  <c r="BN65" i="4"/>
  <c r="BJ65" i="4"/>
  <c r="BF65" i="4"/>
  <c r="BB65" i="4"/>
  <c r="AX65" i="4"/>
  <c r="AT65" i="4"/>
  <c r="ED65" i="4" s="1"/>
  <c r="AP65" i="4"/>
  <c r="AL65" i="4"/>
  <c r="AH65" i="4"/>
  <c r="AD65" i="4"/>
  <c r="Z65" i="4"/>
  <c r="V65" i="4"/>
  <c r="R65" i="4"/>
  <c r="N65" i="4"/>
  <c r="J65" i="4"/>
  <c r="EC64" i="4"/>
  <c r="EB64" i="4"/>
  <c r="DZ64" i="4"/>
  <c r="DV64" i="4"/>
  <c r="DR64" i="4"/>
  <c r="DN64" i="4"/>
  <c r="DJ64" i="4"/>
  <c r="DF64" i="4"/>
  <c r="DB64" i="4"/>
  <c r="CX64" i="4"/>
  <c r="CT64" i="4"/>
  <c r="CP64" i="4"/>
  <c r="CL64" i="4"/>
  <c r="CH64" i="4"/>
  <c r="CD64" i="4"/>
  <c r="BZ64" i="4"/>
  <c r="BV64" i="4"/>
  <c r="BR64" i="4"/>
  <c r="BN64" i="4"/>
  <c r="BJ64" i="4"/>
  <c r="BF64" i="4"/>
  <c r="BB64" i="4"/>
  <c r="AX64" i="4"/>
  <c r="AT64" i="4"/>
  <c r="AP64" i="4"/>
  <c r="AL64" i="4"/>
  <c r="AH64" i="4"/>
  <c r="AD64" i="4"/>
  <c r="Z64" i="4"/>
  <c r="V64" i="4"/>
  <c r="R64" i="4"/>
  <c r="N64" i="4"/>
  <c r="J64" i="4"/>
  <c r="EC63" i="4"/>
  <c r="EB63" i="4"/>
  <c r="DZ63" i="4"/>
  <c r="DV63" i="4"/>
  <c r="DR63" i="4"/>
  <c r="DN63" i="4"/>
  <c r="DJ63" i="4"/>
  <c r="DF63" i="4"/>
  <c r="DB63" i="4"/>
  <c r="CX63" i="4"/>
  <c r="CT63" i="4"/>
  <c r="CP63" i="4"/>
  <c r="CL63" i="4"/>
  <c r="CH63" i="4"/>
  <c r="CD63" i="4"/>
  <c r="BZ63" i="4"/>
  <c r="BV63" i="4"/>
  <c r="BR63" i="4"/>
  <c r="BN63" i="4"/>
  <c r="BJ63" i="4"/>
  <c r="BF63" i="4"/>
  <c r="BB63" i="4"/>
  <c r="AX63" i="4"/>
  <c r="AT63" i="4"/>
  <c r="AP63" i="4"/>
  <c r="AL63" i="4"/>
  <c r="AH63" i="4"/>
  <c r="AD63" i="4"/>
  <c r="Z63" i="4"/>
  <c r="V63" i="4"/>
  <c r="R63" i="4"/>
  <c r="N63" i="4"/>
  <c r="J63" i="4"/>
  <c r="EC62" i="4"/>
  <c r="EB62" i="4"/>
  <c r="DZ62" i="4"/>
  <c r="DV62" i="4"/>
  <c r="DR62" i="4"/>
  <c r="DN62" i="4"/>
  <c r="DJ62" i="4"/>
  <c r="DF62" i="4"/>
  <c r="DB62" i="4"/>
  <c r="CX62" i="4"/>
  <c r="CT62" i="4"/>
  <c r="CP62" i="4"/>
  <c r="CL62" i="4"/>
  <c r="CH62" i="4"/>
  <c r="CD62" i="4"/>
  <c r="BZ62" i="4"/>
  <c r="BV62" i="4"/>
  <c r="BR62" i="4"/>
  <c r="BN62" i="4"/>
  <c r="BJ62" i="4"/>
  <c r="BF62" i="4"/>
  <c r="BB62" i="4"/>
  <c r="AX62" i="4"/>
  <c r="AT62" i="4"/>
  <c r="AP62" i="4"/>
  <c r="AL62" i="4"/>
  <c r="AH62" i="4"/>
  <c r="AD62" i="4"/>
  <c r="Z62" i="4"/>
  <c r="V62" i="4"/>
  <c r="R62" i="4"/>
  <c r="N62" i="4"/>
  <c r="J62" i="4"/>
  <c r="EC61" i="4"/>
  <c r="EB61" i="4"/>
  <c r="DZ61" i="4"/>
  <c r="DV61" i="4"/>
  <c r="DR61" i="4"/>
  <c r="DN61" i="4"/>
  <c r="DJ61" i="4"/>
  <c r="DF61" i="4"/>
  <c r="DB61" i="4"/>
  <c r="CX61" i="4"/>
  <c r="CT61" i="4"/>
  <c r="CP61" i="4"/>
  <c r="CL61" i="4"/>
  <c r="CH61" i="4"/>
  <c r="CD61" i="4"/>
  <c r="BZ61" i="4"/>
  <c r="BV61" i="4"/>
  <c r="BR61" i="4"/>
  <c r="BN61" i="4"/>
  <c r="BJ61" i="4"/>
  <c r="BF61" i="4"/>
  <c r="BB61" i="4"/>
  <c r="AX61" i="4"/>
  <c r="AT61" i="4"/>
  <c r="AP61" i="4"/>
  <c r="AL61" i="4"/>
  <c r="AH61" i="4"/>
  <c r="AD61" i="4"/>
  <c r="Z61" i="4"/>
  <c r="V61" i="4"/>
  <c r="R61" i="4"/>
  <c r="N61" i="4"/>
  <c r="J61" i="4"/>
  <c r="ED61" i="4" s="1"/>
  <c r="EC60" i="4"/>
  <c r="EB60" i="4"/>
  <c r="DZ60" i="4"/>
  <c r="DV60" i="4"/>
  <c r="DR60" i="4"/>
  <c r="DN60" i="4"/>
  <c r="DJ60" i="4"/>
  <c r="DF60" i="4"/>
  <c r="DB60" i="4"/>
  <c r="CX60" i="4"/>
  <c r="CT60" i="4"/>
  <c r="CP60" i="4"/>
  <c r="CL60" i="4"/>
  <c r="CH60" i="4"/>
  <c r="CD60" i="4"/>
  <c r="BZ60" i="4"/>
  <c r="BV60" i="4"/>
  <c r="BR60" i="4"/>
  <c r="BN60" i="4"/>
  <c r="BJ60" i="4"/>
  <c r="BF60" i="4"/>
  <c r="BB60" i="4"/>
  <c r="AX60" i="4"/>
  <c r="AT60" i="4"/>
  <c r="AP60" i="4"/>
  <c r="AL60" i="4"/>
  <c r="AH60" i="4"/>
  <c r="AD60" i="4"/>
  <c r="Z60" i="4"/>
  <c r="V60" i="4"/>
  <c r="R60" i="4"/>
  <c r="N60" i="4"/>
  <c r="J60" i="4"/>
  <c r="EC59" i="4"/>
  <c r="EB59" i="4"/>
  <c r="DZ59" i="4"/>
  <c r="DV59" i="4"/>
  <c r="DR59" i="4"/>
  <c r="DN59" i="4"/>
  <c r="DJ59" i="4"/>
  <c r="DF59" i="4"/>
  <c r="DB59" i="4"/>
  <c r="CX59" i="4"/>
  <c r="CT59" i="4"/>
  <c r="CP59" i="4"/>
  <c r="CL59" i="4"/>
  <c r="CH59" i="4"/>
  <c r="CD59" i="4"/>
  <c r="BZ59" i="4"/>
  <c r="BV59" i="4"/>
  <c r="BR59" i="4"/>
  <c r="BN59" i="4"/>
  <c r="BJ59" i="4"/>
  <c r="BF59" i="4"/>
  <c r="BB59" i="4"/>
  <c r="AX59" i="4"/>
  <c r="AT59" i="4"/>
  <c r="ED59" i="4" s="1"/>
  <c r="AP59" i="4"/>
  <c r="AL59" i="4"/>
  <c r="AH59" i="4"/>
  <c r="AD59" i="4"/>
  <c r="Z59" i="4"/>
  <c r="V59" i="4"/>
  <c r="R59" i="4"/>
  <c r="N59" i="4"/>
  <c r="J59" i="4"/>
  <c r="EC58" i="4"/>
  <c r="EB58" i="4"/>
  <c r="DZ58" i="4"/>
  <c r="DV58" i="4"/>
  <c r="DR58" i="4"/>
  <c r="DN58" i="4"/>
  <c r="DJ58" i="4"/>
  <c r="DF58" i="4"/>
  <c r="DB58" i="4"/>
  <c r="CX58" i="4"/>
  <c r="CT58" i="4"/>
  <c r="CP58" i="4"/>
  <c r="CL58" i="4"/>
  <c r="CH58" i="4"/>
  <c r="CD58" i="4"/>
  <c r="BZ58" i="4"/>
  <c r="BV58" i="4"/>
  <c r="BR58" i="4"/>
  <c r="BN58" i="4"/>
  <c r="BJ58" i="4"/>
  <c r="BF58" i="4"/>
  <c r="BB58" i="4"/>
  <c r="AX58" i="4"/>
  <c r="AT58" i="4"/>
  <c r="AP58" i="4"/>
  <c r="AL58" i="4"/>
  <c r="ED58" i="4" s="1"/>
  <c r="AH58" i="4"/>
  <c r="AD58" i="4"/>
  <c r="Z58" i="4"/>
  <c r="V58" i="4"/>
  <c r="R58" i="4"/>
  <c r="N58" i="4"/>
  <c r="J58" i="4"/>
  <c r="EC57" i="4"/>
  <c r="EB57" i="4"/>
  <c r="DZ57" i="4"/>
  <c r="DV57" i="4"/>
  <c r="DR57" i="4"/>
  <c r="DN57" i="4"/>
  <c r="DJ57" i="4"/>
  <c r="DF57" i="4"/>
  <c r="DB57" i="4"/>
  <c r="CX57" i="4"/>
  <c r="CT57" i="4"/>
  <c r="CP57" i="4"/>
  <c r="CL57" i="4"/>
  <c r="CH57" i="4"/>
  <c r="CD57" i="4"/>
  <c r="BZ57" i="4"/>
  <c r="BV57" i="4"/>
  <c r="BR57" i="4"/>
  <c r="BN57" i="4"/>
  <c r="BJ57" i="4"/>
  <c r="BF57" i="4"/>
  <c r="BB57" i="4"/>
  <c r="AX57" i="4"/>
  <c r="AT57" i="4"/>
  <c r="AP57" i="4"/>
  <c r="AL57" i="4"/>
  <c r="AH57" i="4"/>
  <c r="AD57" i="4"/>
  <c r="Z57" i="4"/>
  <c r="V57" i="4"/>
  <c r="R57" i="4"/>
  <c r="N57" i="4"/>
  <c r="J57" i="4"/>
  <c r="EC56" i="4"/>
  <c r="EB56" i="4"/>
  <c r="DZ56" i="4"/>
  <c r="DV56" i="4"/>
  <c r="DR56" i="4"/>
  <c r="DN56" i="4"/>
  <c r="DJ56" i="4"/>
  <c r="DF56" i="4"/>
  <c r="DB56" i="4"/>
  <c r="CX56" i="4"/>
  <c r="CT56" i="4"/>
  <c r="CP56" i="4"/>
  <c r="CL56" i="4"/>
  <c r="CH56" i="4"/>
  <c r="CD56" i="4"/>
  <c r="BZ56" i="4"/>
  <c r="BV56" i="4"/>
  <c r="BR56" i="4"/>
  <c r="BN56" i="4"/>
  <c r="BJ56" i="4"/>
  <c r="BF56" i="4"/>
  <c r="BB56" i="4"/>
  <c r="AX56" i="4"/>
  <c r="AT56" i="4"/>
  <c r="AP56" i="4"/>
  <c r="AL56" i="4"/>
  <c r="AH56" i="4"/>
  <c r="AD56" i="4"/>
  <c r="Z56" i="4"/>
  <c r="V56" i="4"/>
  <c r="R56" i="4"/>
  <c r="N56" i="4"/>
  <c r="J56" i="4"/>
  <c r="EC55" i="4"/>
  <c r="EB55" i="4"/>
  <c r="DZ55" i="4"/>
  <c r="DV55" i="4"/>
  <c r="DR55" i="4"/>
  <c r="DN55" i="4"/>
  <c r="DJ55" i="4"/>
  <c r="DF55" i="4"/>
  <c r="DB55" i="4"/>
  <c r="CX55" i="4"/>
  <c r="CT55" i="4"/>
  <c r="CP55" i="4"/>
  <c r="CL55" i="4"/>
  <c r="CH55" i="4"/>
  <c r="CD55" i="4"/>
  <c r="BZ55" i="4"/>
  <c r="BV55" i="4"/>
  <c r="BR55" i="4"/>
  <c r="BN55" i="4"/>
  <c r="BJ55" i="4"/>
  <c r="BF55" i="4"/>
  <c r="BB55" i="4"/>
  <c r="AX55" i="4"/>
  <c r="AT55" i="4"/>
  <c r="AP55" i="4"/>
  <c r="AL55" i="4"/>
  <c r="AH55" i="4"/>
  <c r="AD55" i="4"/>
  <c r="Z55" i="4"/>
  <c r="V55" i="4"/>
  <c r="R55" i="4"/>
  <c r="N55" i="4"/>
  <c r="J55" i="4"/>
  <c r="ED55" i="4" s="1"/>
  <c r="EC54" i="4"/>
  <c r="EB54" i="4"/>
  <c r="DZ54" i="4"/>
  <c r="DV54" i="4"/>
  <c r="DR54" i="4"/>
  <c r="DN54" i="4"/>
  <c r="DJ54" i="4"/>
  <c r="DF54" i="4"/>
  <c r="DB54" i="4"/>
  <c r="CX54" i="4"/>
  <c r="CT54" i="4"/>
  <c r="CP54" i="4"/>
  <c r="CL54" i="4"/>
  <c r="CH54" i="4"/>
  <c r="CD54" i="4"/>
  <c r="BZ54" i="4"/>
  <c r="BV54" i="4"/>
  <c r="BR54" i="4"/>
  <c r="BN54" i="4"/>
  <c r="BJ54" i="4"/>
  <c r="BF54" i="4"/>
  <c r="BB54" i="4"/>
  <c r="AX54" i="4"/>
  <c r="AT54" i="4"/>
  <c r="AP54" i="4"/>
  <c r="AL54" i="4"/>
  <c r="AH54" i="4"/>
  <c r="AD54" i="4"/>
  <c r="Z54" i="4"/>
  <c r="V54" i="4"/>
  <c r="R54" i="4"/>
  <c r="N54" i="4"/>
  <c r="J54" i="4"/>
  <c r="EC53" i="4"/>
  <c r="EB53" i="4"/>
  <c r="DZ53" i="4"/>
  <c r="DV53" i="4"/>
  <c r="DR53" i="4"/>
  <c r="DN53" i="4"/>
  <c r="DJ53" i="4"/>
  <c r="DF53" i="4"/>
  <c r="DB53" i="4"/>
  <c r="CX53" i="4"/>
  <c r="CT53" i="4"/>
  <c r="CP53" i="4"/>
  <c r="CL53" i="4"/>
  <c r="CH53" i="4"/>
  <c r="CD53" i="4"/>
  <c r="BZ53" i="4"/>
  <c r="BV53" i="4"/>
  <c r="BR53" i="4"/>
  <c r="BN53" i="4"/>
  <c r="BJ53" i="4"/>
  <c r="BF53" i="4"/>
  <c r="BB53" i="4"/>
  <c r="AX53" i="4"/>
  <c r="AT53" i="4"/>
  <c r="ED53" i="4" s="1"/>
  <c r="AP53" i="4"/>
  <c r="AL53" i="4"/>
  <c r="AH53" i="4"/>
  <c r="AD53" i="4"/>
  <c r="Z53" i="4"/>
  <c r="V53" i="4"/>
  <c r="R53" i="4"/>
  <c r="N53" i="4"/>
  <c r="J53" i="4"/>
  <c r="EC52" i="4"/>
  <c r="EB52" i="4"/>
  <c r="DZ52" i="4"/>
  <c r="DV52" i="4"/>
  <c r="DR52" i="4"/>
  <c r="DN52" i="4"/>
  <c r="DJ52" i="4"/>
  <c r="DF52" i="4"/>
  <c r="DB52" i="4"/>
  <c r="CX52" i="4"/>
  <c r="CT52" i="4"/>
  <c r="CP52" i="4"/>
  <c r="CL52" i="4"/>
  <c r="CH52" i="4"/>
  <c r="CD52" i="4"/>
  <c r="BZ52" i="4"/>
  <c r="BV52" i="4"/>
  <c r="BR52" i="4"/>
  <c r="BN52" i="4"/>
  <c r="BJ52" i="4"/>
  <c r="BF52" i="4"/>
  <c r="BB52" i="4"/>
  <c r="AX52" i="4"/>
  <c r="AT52" i="4"/>
  <c r="AP52" i="4"/>
  <c r="AL52" i="4"/>
  <c r="ED52" i="4" s="1"/>
  <c r="AH52" i="4"/>
  <c r="AD52" i="4"/>
  <c r="Z52" i="4"/>
  <c r="V52" i="4"/>
  <c r="R52" i="4"/>
  <c r="N52" i="4"/>
  <c r="J52" i="4"/>
  <c r="EC51" i="4"/>
  <c r="EB51" i="4"/>
  <c r="DZ51" i="4"/>
  <c r="DV51" i="4"/>
  <c r="DR51" i="4"/>
  <c r="DN51" i="4"/>
  <c r="DJ51" i="4"/>
  <c r="DF51" i="4"/>
  <c r="DB51" i="4"/>
  <c r="CX51" i="4"/>
  <c r="CT51" i="4"/>
  <c r="CP51" i="4"/>
  <c r="CL51" i="4"/>
  <c r="CH51" i="4"/>
  <c r="CD51" i="4"/>
  <c r="BZ51" i="4"/>
  <c r="BV51" i="4"/>
  <c r="BR51" i="4"/>
  <c r="BN51" i="4"/>
  <c r="BJ51" i="4"/>
  <c r="BF51" i="4"/>
  <c r="BB51" i="4"/>
  <c r="AX51" i="4"/>
  <c r="AT51" i="4"/>
  <c r="AP51" i="4"/>
  <c r="AL51" i="4"/>
  <c r="AH51" i="4"/>
  <c r="AD51" i="4"/>
  <c r="Z51" i="4"/>
  <c r="V51" i="4"/>
  <c r="R51" i="4"/>
  <c r="ED51" i="4" s="1"/>
  <c r="N51" i="4"/>
  <c r="J51" i="4"/>
  <c r="EC50" i="4"/>
  <c r="EB50" i="4"/>
  <c r="DZ50" i="4"/>
  <c r="DV50" i="4"/>
  <c r="DR50" i="4"/>
  <c r="DN50" i="4"/>
  <c r="DJ50" i="4"/>
  <c r="DF50" i="4"/>
  <c r="DB50" i="4"/>
  <c r="CX50" i="4"/>
  <c r="CT50" i="4"/>
  <c r="CP50" i="4"/>
  <c r="CL50" i="4"/>
  <c r="CH50" i="4"/>
  <c r="CD50" i="4"/>
  <c r="BZ50" i="4"/>
  <c r="BV50" i="4"/>
  <c r="BR50" i="4"/>
  <c r="BN50" i="4"/>
  <c r="BJ50" i="4"/>
  <c r="BF50" i="4"/>
  <c r="BB50" i="4"/>
  <c r="AX50" i="4"/>
  <c r="AT50" i="4"/>
  <c r="AP50" i="4"/>
  <c r="AL50" i="4"/>
  <c r="AH50" i="4"/>
  <c r="AD50" i="4"/>
  <c r="Z50" i="4"/>
  <c r="V50" i="4"/>
  <c r="R50" i="4"/>
  <c r="N50" i="4"/>
  <c r="J50" i="4"/>
  <c r="EC49" i="4"/>
  <c r="EB49" i="4"/>
  <c r="DZ49" i="4"/>
  <c r="DV49" i="4"/>
  <c r="DR49" i="4"/>
  <c r="DN49" i="4"/>
  <c r="DJ49" i="4"/>
  <c r="DF49" i="4"/>
  <c r="DB49" i="4"/>
  <c r="CX49" i="4"/>
  <c r="CT49" i="4"/>
  <c r="CP49" i="4"/>
  <c r="CL49" i="4"/>
  <c r="CH49" i="4"/>
  <c r="CD49" i="4"/>
  <c r="BZ49" i="4"/>
  <c r="BV49" i="4"/>
  <c r="BR49" i="4"/>
  <c r="BN49" i="4"/>
  <c r="BJ49" i="4"/>
  <c r="BF49" i="4"/>
  <c r="BB49" i="4"/>
  <c r="AX49" i="4"/>
  <c r="AT49" i="4"/>
  <c r="AP49" i="4"/>
  <c r="AL49" i="4"/>
  <c r="AH49" i="4"/>
  <c r="AD49" i="4"/>
  <c r="Z49" i="4"/>
  <c r="V49" i="4"/>
  <c r="R49" i="4"/>
  <c r="N49" i="4"/>
  <c r="J49" i="4"/>
  <c r="EC48" i="4"/>
  <c r="EB48" i="4"/>
  <c r="DZ48" i="4"/>
  <c r="DV48" i="4"/>
  <c r="DR48" i="4"/>
  <c r="DN48" i="4"/>
  <c r="DJ48" i="4"/>
  <c r="DF48" i="4"/>
  <c r="DB48" i="4"/>
  <c r="CX48" i="4"/>
  <c r="CT48" i="4"/>
  <c r="CP48" i="4"/>
  <c r="CL48" i="4"/>
  <c r="CH48" i="4"/>
  <c r="CD48" i="4"/>
  <c r="BZ48" i="4"/>
  <c r="BV48" i="4"/>
  <c r="BR48" i="4"/>
  <c r="BN48" i="4"/>
  <c r="BJ48" i="4"/>
  <c r="BF48" i="4"/>
  <c r="BB48" i="4"/>
  <c r="AX48" i="4"/>
  <c r="AT48" i="4"/>
  <c r="AP48" i="4"/>
  <c r="AL48" i="4"/>
  <c r="AH48" i="4"/>
  <c r="AD48" i="4"/>
  <c r="Z48" i="4"/>
  <c r="V48" i="4"/>
  <c r="R48" i="4"/>
  <c r="N48" i="4"/>
  <c r="J48" i="4"/>
  <c r="EC47" i="4"/>
  <c r="EB47" i="4"/>
  <c r="DZ47" i="4"/>
  <c r="DV47" i="4"/>
  <c r="DR47" i="4"/>
  <c r="DN47" i="4"/>
  <c r="DJ47" i="4"/>
  <c r="DF47" i="4"/>
  <c r="DB47" i="4"/>
  <c r="CX47" i="4"/>
  <c r="CT47" i="4"/>
  <c r="CP47" i="4"/>
  <c r="CL47" i="4"/>
  <c r="CH47" i="4"/>
  <c r="CD47" i="4"/>
  <c r="BZ47" i="4"/>
  <c r="BV47" i="4"/>
  <c r="BR47" i="4"/>
  <c r="BN47" i="4"/>
  <c r="BJ47" i="4"/>
  <c r="BF47" i="4"/>
  <c r="BB47" i="4"/>
  <c r="AX47" i="4"/>
  <c r="AT47" i="4"/>
  <c r="ED47" i="4" s="1"/>
  <c r="AP47" i="4"/>
  <c r="AL47" i="4"/>
  <c r="AH47" i="4"/>
  <c r="AD47" i="4"/>
  <c r="Z47" i="4"/>
  <c r="V47" i="4"/>
  <c r="R47" i="4"/>
  <c r="N47" i="4"/>
  <c r="J47" i="4"/>
  <c r="EC46" i="4"/>
  <c r="EB46" i="4"/>
  <c r="DZ46" i="4"/>
  <c r="DV46" i="4"/>
  <c r="DR46" i="4"/>
  <c r="DN46" i="4"/>
  <c r="DJ46" i="4"/>
  <c r="DF46" i="4"/>
  <c r="DB46" i="4"/>
  <c r="CX46" i="4"/>
  <c r="CT46" i="4"/>
  <c r="CP46" i="4"/>
  <c r="CL46" i="4"/>
  <c r="CH46" i="4"/>
  <c r="CD46" i="4"/>
  <c r="BZ46" i="4"/>
  <c r="BV46" i="4"/>
  <c r="BR46" i="4"/>
  <c r="BN46" i="4"/>
  <c r="BJ46" i="4"/>
  <c r="BF46" i="4"/>
  <c r="BB46" i="4"/>
  <c r="AX46" i="4"/>
  <c r="AT46" i="4"/>
  <c r="AP46" i="4"/>
  <c r="AL46" i="4"/>
  <c r="ED46" i="4" s="1"/>
  <c r="AH46" i="4"/>
  <c r="AD46" i="4"/>
  <c r="Z46" i="4"/>
  <c r="V46" i="4"/>
  <c r="R46" i="4"/>
  <c r="N46" i="4"/>
  <c r="J46" i="4"/>
  <c r="EC45" i="4"/>
  <c r="EB45" i="4"/>
  <c r="DZ45" i="4"/>
  <c r="DV45" i="4"/>
  <c r="DR45" i="4"/>
  <c r="DN45" i="4"/>
  <c r="DJ45" i="4"/>
  <c r="DF45" i="4"/>
  <c r="DB45" i="4"/>
  <c r="CX45" i="4"/>
  <c r="CT45" i="4"/>
  <c r="CP45" i="4"/>
  <c r="CL45" i="4"/>
  <c r="CH45" i="4"/>
  <c r="CD45" i="4"/>
  <c r="BZ45" i="4"/>
  <c r="BV45" i="4"/>
  <c r="BR45" i="4"/>
  <c r="BN45" i="4"/>
  <c r="BJ45" i="4"/>
  <c r="BF45" i="4"/>
  <c r="BB45" i="4"/>
  <c r="AX45" i="4"/>
  <c r="AT45" i="4"/>
  <c r="AP45" i="4"/>
  <c r="AL45" i="4"/>
  <c r="AH45" i="4"/>
  <c r="AD45" i="4"/>
  <c r="Z45" i="4"/>
  <c r="V45" i="4"/>
  <c r="R45" i="4"/>
  <c r="N45" i="4"/>
  <c r="J45" i="4"/>
  <c r="EC44" i="4"/>
  <c r="EB44" i="4"/>
  <c r="DZ44" i="4"/>
  <c r="DV44" i="4"/>
  <c r="DR44" i="4"/>
  <c r="DN44" i="4"/>
  <c r="DJ44" i="4"/>
  <c r="DF44" i="4"/>
  <c r="DB44" i="4"/>
  <c r="CX44" i="4"/>
  <c r="CT44" i="4"/>
  <c r="CP44" i="4"/>
  <c r="CL44" i="4"/>
  <c r="CH44" i="4"/>
  <c r="CD44" i="4"/>
  <c r="BZ44" i="4"/>
  <c r="BV44" i="4"/>
  <c r="BR44" i="4"/>
  <c r="BN44" i="4"/>
  <c r="BJ44" i="4"/>
  <c r="BF44" i="4"/>
  <c r="BB44" i="4"/>
  <c r="AX44" i="4"/>
  <c r="AT44" i="4"/>
  <c r="AP44" i="4"/>
  <c r="AL44" i="4"/>
  <c r="AH44" i="4"/>
  <c r="AD44" i="4"/>
  <c r="Z44" i="4"/>
  <c r="V44" i="4"/>
  <c r="R44" i="4"/>
  <c r="N44" i="4"/>
  <c r="J44" i="4"/>
  <c r="EC43" i="4"/>
  <c r="EB43" i="4"/>
  <c r="DZ43" i="4"/>
  <c r="DV43" i="4"/>
  <c r="DR43" i="4"/>
  <c r="DN43" i="4"/>
  <c r="DJ43" i="4"/>
  <c r="DF43" i="4"/>
  <c r="DB43" i="4"/>
  <c r="CX43" i="4"/>
  <c r="CT43" i="4"/>
  <c r="CP43" i="4"/>
  <c r="CL43" i="4"/>
  <c r="CH43" i="4"/>
  <c r="CD43" i="4"/>
  <c r="BZ43" i="4"/>
  <c r="BV43" i="4"/>
  <c r="BR43" i="4"/>
  <c r="BN43" i="4"/>
  <c r="BJ43" i="4"/>
  <c r="BF43" i="4"/>
  <c r="BB43" i="4"/>
  <c r="AX43" i="4"/>
  <c r="AT43" i="4"/>
  <c r="AP43" i="4"/>
  <c r="AL43" i="4"/>
  <c r="AH43" i="4"/>
  <c r="AD43" i="4"/>
  <c r="Z43" i="4"/>
  <c r="V43" i="4"/>
  <c r="R43" i="4"/>
  <c r="N43" i="4"/>
  <c r="J43" i="4"/>
  <c r="ED43" i="4" s="1"/>
  <c r="EC42" i="4"/>
  <c r="EB42" i="4"/>
  <c r="DZ42" i="4"/>
  <c r="DV42" i="4"/>
  <c r="DR42" i="4"/>
  <c r="DN42" i="4"/>
  <c r="DJ42" i="4"/>
  <c r="DF42" i="4"/>
  <c r="DB42" i="4"/>
  <c r="CX42" i="4"/>
  <c r="CT42" i="4"/>
  <c r="CP42" i="4"/>
  <c r="CL42" i="4"/>
  <c r="CH42" i="4"/>
  <c r="CD42" i="4"/>
  <c r="BZ42" i="4"/>
  <c r="BV42" i="4"/>
  <c r="BR42" i="4"/>
  <c r="BN42" i="4"/>
  <c r="BJ42" i="4"/>
  <c r="BF42" i="4"/>
  <c r="BB42" i="4"/>
  <c r="AX42" i="4"/>
  <c r="AT42" i="4"/>
  <c r="AP42" i="4"/>
  <c r="AL42" i="4"/>
  <c r="AH42" i="4"/>
  <c r="AD42" i="4"/>
  <c r="Z42" i="4"/>
  <c r="V42" i="4"/>
  <c r="R42" i="4"/>
  <c r="N42" i="4"/>
  <c r="J42" i="4"/>
  <c r="EC41" i="4"/>
  <c r="EB41" i="4"/>
  <c r="DZ41" i="4"/>
  <c r="DV41" i="4"/>
  <c r="DR41" i="4"/>
  <c r="DN41" i="4"/>
  <c r="DJ41" i="4"/>
  <c r="DF41" i="4"/>
  <c r="DB41" i="4"/>
  <c r="CX41" i="4"/>
  <c r="CT41" i="4"/>
  <c r="CP41" i="4"/>
  <c r="CL41" i="4"/>
  <c r="CH41" i="4"/>
  <c r="CD41" i="4"/>
  <c r="BZ41" i="4"/>
  <c r="BV41" i="4"/>
  <c r="BR41" i="4"/>
  <c r="BN41" i="4"/>
  <c r="BJ41" i="4"/>
  <c r="BF41" i="4"/>
  <c r="BB41" i="4"/>
  <c r="AX41" i="4"/>
  <c r="AT41" i="4"/>
  <c r="ED41" i="4" s="1"/>
  <c r="AP41" i="4"/>
  <c r="AL41" i="4"/>
  <c r="AH41" i="4"/>
  <c r="AD41" i="4"/>
  <c r="Z41" i="4"/>
  <c r="V41" i="4"/>
  <c r="R41" i="4"/>
  <c r="N41" i="4"/>
  <c r="J41" i="4"/>
  <c r="EC40" i="4"/>
  <c r="EB40" i="4"/>
  <c r="DZ40" i="4"/>
  <c r="DV40" i="4"/>
  <c r="DR40" i="4"/>
  <c r="DN40" i="4"/>
  <c r="DJ40" i="4"/>
  <c r="DF40" i="4"/>
  <c r="DB40" i="4"/>
  <c r="CX40" i="4"/>
  <c r="CT40" i="4"/>
  <c r="CP40" i="4"/>
  <c r="CL40" i="4"/>
  <c r="CH40" i="4"/>
  <c r="CD40" i="4"/>
  <c r="BZ40" i="4"/>
  <c r="BV40" i="4"/>
  <c r="BR40" i="4"/>
  <c r="BN40" i="4"/>
  <c r="BJ40" i="4"/>
  <c r="BF40" i="4"/>
  <c r="BB40" i="4"/>
  <c r="AX40" i="4"/>
  <c r="AT40" i="4"/>
  <c r="AP40" i="4"/>
  <c r="AL40" i="4"/>
  <c r="ED40" i="4" s="1"/>
  <c r="AH40" i="4"/>
  <c r="AD40" i="4"/>
  <c r="Z40" i="4"/>
  <c r="V40" i="4"/>
  <c r="R40" i="4"/>
  <c r="N40" i="4"/>
  <c r="J40" i="4"/>
  <c r="EC39" i="4"/>
  <c r="EB39" i="4"/>
  <c r="DZ39" i="4"/>
  <c r="DV39" i="4"/>
  <c r="DR39" i="4"/>
  <c r="DN39" i="4"/>
  <c r="DJ39" i="4"/>
  <c r="DF39" i="4"/>
  <c r="DB39" i="4"/>
  <c r="CX39" i="4"/>
  <c r="CT39" i="4"/>
  <c r="CP39" i="4"/>
  <c r="CL39" i="4"/>
  <c r="CH39" i="4"/>
  <c r="CD39" i="4"/>
  <c r="BZ39" i="4"/>
  <c r="BV39" i="4"/>
  <c r="BR39" i="4"/>
  <c r="BN39" i="4"/>
  <c r="BJ39" i="4"/>
  <c r="BF39" i="4"/>
  <c r="BB39" i="4"/>
  <c r="AX39" i="4"/>
  <c r="AT39" i="4"/>
  <c r="AP39" i="4"/>
  <c r="AL39" i="4"/>
  <c r="AH39" i="4"/>
  <c r="AD39" i="4"/>
  <c r="Z39" i="4"/>
  <c r="V39" i="4"/>
  <c r="R39" i="4"/>
  <c r="ED39" i="4" s="1"/>
  <c r="N39" i="4"/>
  <c r="J39" i="4"/>
  <c r="EC38" i="4"/>
  <c r="EB38" i="4"/>
  <c r="DZ38" i="4"/>
  <c r="DV38" i="4"/>
  <c r="DR38" i="4"/>
  <c r="DN38" i="4"/>
  <c r="DJ38" i="4"/>
  <c r="DF38" i="4"/>
  <c r="DB38" i="4"/>
  <c r="CX38" i="4"/>
  <c r="CT38" i="4"/>
  <c r="CP38" i="4"/>
  <c r="CL38" i="4"/>
  <c r="CH38" i="4"/>
  <c r="CD38" i="4"/>
  <c r="BZ38" i="4"/>
  <c r="BV38" i="4"/>
  <c r="BR38" i="4"/>
  <c r="BN38" i="4"/>
  <c r="BJ38" i="4"/>
  <c r="BF38" i="4"/>
  <c r="BB38" i="4"/>
  <c r="AX38" i="4"/>
  <c r="AT38" i="4"/>
  <c r="AP38" i="4"/>
  <c r="AL38" i="4"/>
  <c r="AH38" i="4"/>
  <c r="AD38" i="4"/>
  <c r="Z38" i="4"/>
  <c r="V38" i="4"/>
  <c r="R38" i="4"/>
  <c r="N38" i="4"/>
  <c r="J38" i="4"/>
  <c r="ED38" i="4" s="1"/>
  <c r="EC37" i="4"/>
  <c r="EB37" i="4"/>
  <c r="DZ37" i="4"/>
  <c r="DV37" i="4"/>
  <c r="DR37" i="4"/>
  <c r="DN37" i="4"/>
  <c r="DJ37" i="4"/>
  <c r="DF37" i="4"/>
  <c r="DB37" i="4"/>
  <c r="CX37" i="4"/>
  <c r="CT37" i="4"/>
  <c r="CP37" i="4"/>
  <c r="CL37" i="4"/>
  <c r="CH37" i="4"/>
  <c r="CD37" i="4"/>
  <c r="BZ37" i="4"/>
  <c r="BV37" i="4"/>
  <c r="BR37" i="4"/>
  <c r="BN37" i="4"/>
  <c r="BJ37" i="4"/>
  <c r="BF37" i="4"/>
  <c r="BB37" i="4"/>
  <c r="AX37" i="4"/>
  <c r="AT37" i="4"/>
  <c r="AP37" i="4"/>
  <c r="AL37" i="4"/>
  <c r="AH37" i="4"/>
  <c r="AD37" i="4"/>
  <c r="Z37" i="4"/>
  <c r="V37" i="4"/>
  <c r="R37" i="4"/>
  <c r="N37" i="4"/>
  <c r="J37" i="4"/>
  <c r="EC36" i="4"/>
  <c r="EB36" i="4"/>
  <c r="DZ36" i="4"/>
  <c r="DV36" i="4"/>
  <c r="DR36" i="4"/>
  <c r="DN36" i="4"/>
  <c r="DJ36" i="4"/>
  <c r="DF36" i="4"/>
  <c r="DB36" i="4"/>
  <c r="CX36" i="4"/>
  <c r="CT36" i="4"/>
  <c r="CP36" i="4"/>
  <c r="CL36" i="4"/>
  <c r="CH36" i="4"/>
  <c r="CD36" i="4"/>
  <c r="BZ36" i="4"/>
  <c r="BV36" i="4"/>
  <c r="BR36" i="4"/>
  <c r="BN36" i="4"/>
  <c r="BJ36" i="4"/>
  <c r="BF36" i="4"/>
  <c r="BB36" i="4"/>
  <c r="AX36" i="4"/>
  <c r="AT36" i="4"/>
  <c r="AP36" i="4"/>
  <c r="AL36" i="4"/>
  <c r="AH36" i="4"/>
  <c r="AD36" i="4"/>
  <c r="Z36" i="4"/>
  <c r="V36" i="4"/>
  <c r="R36" i="4"/>
  <c r="N36" i="4"/>
  <c r="J36" i="4"/>
  <c r="ED36" i="4" s="1"/>
  <c r="EC35" i="4"/>
  <c r="EB35" i="4"/>
  <c r="DZ35" i="4"/>
  <c r="DV35" i="4"/>
  <c r="DR35" i="4"/>
  <c r="DN35" i="4"/>
  <c r="DJ35" i="4"/>
  <c r="DF35" i="4"/>
  <c r="DB35" i="4"/>
  <c r="CX35" i="4"/>
  <c r="CT35" i="4"/>
  <c r="CP35" i="4"/>
  <c r="CL35" i="4"/>
  <c r="CH35" i="4"/>
  <c r="CD35" i="4"/>
  <c r="BZ35" i="4"/>
  <c r="BV35" i="4"/>
  <c r="BR35" i="4"/>
  <c r="BN35" i="4"/>
  <c r="BJ35" i="4"/>
  <c r="BF35" i="4"/>
  <c r="BB35" i="4"/>
  <c r="AX35" i="4"/>
  <c r="AT35" i="4"/>
  <c r="ED35" i="4" s="1"/>
  <c r="AP35" i="4"/>
  <c r="AL35" i="4"/>
  <c r="AH35" i="4"/>
  <c r="AD35" i="4"/>
  <c r="Z35" i="4"/>
  <c r="V35" i="4"/>
  <c r="R35" i="4"/>
  <c r="N35" i="4"/>
  <c r="J35" i="4"/>
  <c r="EC34" i="4"/>
  <c r="EB34" i="4"/>
  <c r="DZ34" i="4"/>
  <c r="DV34" i="4"/>
  <c r="DR34" i="4"/>
  <c r="DN34" i="4"/>
  <c r="DJ34" i="4"/>
  <c r="DF34" i="4"/>
  <c r="DB34" i="4"/>
  <c r="CX34" i="4"/>
  <c r="CT34" i="4"/>
  <c r="CP34" i="4"/>
  <c r="CL34" i="4"/>
  <c r="CH34" i="4"/>
  <c r="CD34" i="4"/>
  <c r="BZ34" i="4"/>
  <c r="BV34" i="4"/>
  <c r="BR34" i="4"/>
  <c r="BN34" i="4"/>
  <c r="BJ34" i="4"/>
  <c r="BF34" i="4"/>
  <c r="BB34" i="4"/>
  <c r="AX34" i="4"/>
  <c r="AT34" i="4"/>
  <c r="AP34" i="4"/>
  <c r="AL34" i="4"/>
  <c r="ED34" i="4" s="1"/>
  <c r="AH34" i="4"/>
  <c r="AD34" i="4"/>
  <c r="Z34" i="4"/>
  <c r="V34" i="4"/>
  <c r="R34" i="4"/>
  <c r="N34" i="4"/>
  <c r="J34" i="4"/>
  <c r="EC33" i="4"/>
  <c r="EB33" i="4"/>
  <c r="DZ33" i="4"/>
  <c r="DV33" i="4"/>
  <c r="DR33" i="4"/>
  <c r="DN33" i="4"/>
  <c r="DJ33" i="4"/>
  <c r="DF33" i="4"/>
  <c r="DB33" i="4"/>
  <c r="CX33" i="4"/>
  <c r="CT33" i="4"/>
  <c r="CP33" i="4"/>
  <c r="CL33" i="4"/>
  <c r="CH33" i="4"/>
  <c r="CD33" i="4"/>
  <c r="BZ33" i="4"/>
  <c r="BV33" i="4"/>
  <c r="BR33" i="4"/>
  <c r="BN33" i="4"/>
  <c r="BJ33" i="4"/>
  <c r="BF33" i="4"/>
  <c r="BB33" i="4"/>
  <c r="AX33" i="4"/>
  <c r="AT33" i="4"/>
  <c r="AP33" i="4"/>
  <c r="AL33" i="4"/>
  <c r="AH33" i="4"/>
  <c r="AD33" i="4"/>
  <c r="Z33" i="4"/>
  <c r="V33" i="4"/>
  <c r="R33" i="4"/>
  <c r="N33" i="4"/>
  <c r="J33" i="4"/>
  <c r="EC32" i="4"/>
  <c r="EB32" i="4"/>
  <c r="DZ32" i="4"/>
  <c r="DV32" i="4"/>
  <c r="DR32" i="4"/>
  <c r="DN32" i="4"/>
  <c r="DJ32" i="4"/>
  <c r="DF32" i="4"/>
  <c r="DB32" i="4"/>
  <c r="CX32" i="4"/>
  <c r="CT32" i="4"/>
  <c r="CP32" i="4"/>
  <c r="CL32" i="4"/>
  <c r="CH32" i="4"/>
  <c r="CD32" i="4"/>
  <c r="BZ32" i="4"/>
  <c r="BV32" i="4"/>
  <c r="BR32" i="4"/>
  <c r="BN32" i="4"/>
  <c r="BJ32" i="4"/>
  <c r="BF32" i="4"/>
  <c r="BB32" i="4"/>
  <c r="AX32" i="4"/>
  <c r="AT32" i="4"/>
  <c r="AP32" i="4"/>
  <c r="AL32" i="4"/>
  <c r="AH32" i="4"/>
  <c r="AD32" i="4"/>
  <c r="Z32" i="4"/>
  <c r="V32" i="4"/>
  <c r="R32" i="4"/>
  <c r="N32" i="4"/>
  <c r="J32" i="4"/>
  <c r="ED32" i="4" s="1"/>
  <c r="EC31" i="4"/>
  <c r="EB31" i="4"/>
  <c r="DZ31" i="4"/>
  <c r="DV31" i="4"/>
  <c r="DR31" i="4"/>
  <c r="DN31" i="4"/>
  <c r="DJ31" i="4"/>
  <c r="DF31" i="4"/>
  <c r="DB31" i="4"/>
  <c r="CX31" i="4"/>
  <c r="CT31" i="4"/>
  <c r="CP31" i="4"/>
  <c r="CL31" i="4"/>
  <c r="CH31" i="4"/>
  <c r="CD31" i="4"/>
  <c r="BZ31" i="4"/>
  <c r="BV31" i="4"/>
  <c r="BR31" i="4"/>
  <c r="BN31" i="4"/>
  <c r="BJ31" i="4"/>
  <c r="BF31" i="4"/>
  <c r="BB31" i="4"/>
  <c r="AX31" i="4"/>
  <c r="AT31" i="4"/>
  <c r="AP31" i="4"/>
  <c r="AL31" i="4"/>
  <c r="AH31" i="4"/>
  <c r="AD31" i="4"/>
  <c r="Z31" i="4"/>
  <c r="V31" i="4"/>
  <c r="R31" i="4"/>
  <c r="N31" i="4"/>
  <c r="J31" i="4"/>
  <c r="EC30" i="4"/>
  <c r="EB30" i="4"/>
  <c r="DZ30" i="4"/>
  <c r="DV30" i="4"/>
  <c r="DR30" i="4"/>
  <c r="DN30" i="4"/>
  <c r="DJ30" i="4"/>
  <c r="DF30" i="4"/>
  <c r="DB30" i="4"/>
  <c r="CX30" i="4"/>
  <c r="CT30" i="4"/>
  <c r="CP30" i="4"/>
  <c r="CL30" i="4"/>
  <c r="CH30" i="4"/>
  <c r="CD30" i="4"/>
  <c r="BZ30" i="4"/>
  <c r="BV30" i="4"/>
  <c r="BR30" i="4"/>
  <c r="BN30" i="4"/>
  <c r="BJ30" i="4"/>
  <c r="BF30" i="4"/>
  <c r="BB30" i="4"/>
  <c r="AX30" i="4"/>
  <c r="AT30" i="4"/>
  <c r="AP30" i="4"/>
  <c r="AL30" i="4"/>
  <c r="AH30" i="4"/>
  <c r="AD30" i="4"/>
  <c r="Z30" i="4"/>
  <c r="V30" i="4"/>
  <c r="R30" i="4"/>
  <c r="N30" i="4"/>
  <c r="J30" i="4"/>
  <c r="EC29" i="4"/>
  <c r="EB29" i="4"/>
  <c r="DZ29" i="4"/>
  <c r="DV29" i="4"/>
  <c r="DR29" i="4"/>
  <c r="DN29" i="4"/>
  <c r="DJ29" i="4"/>
  <c r="DF29" i="4"/>
  <c r="DB29" i="4"/>
  <c r="CX29" i="4"/>
  <c r="CT29" i="4"/>
  <c r="CP29" i="4"/>
  <c r="CL29" i="4"/>
  <c r="CH29" i="4"/>
  <c r="CD29" i="4"/>
  <c r="BZ29" i="4"/>
  <c r="BV29" i="4"/>
  <c r="BR29" i="4"/>
  <c r="BN29" i="4"/>
  <c r="BJ29" i="4"/>
  <c r="BF29" i="4"/>
  <c r="BB29" i="4"/>
  <c r="AX29" i="4"/>
  <c r="AT29" i="4"/>
  <c r="ED29" i="4" s="1"/>
  <c r="AP29" i="4"/>
  <c r="AL29" i="4"/>
  <c r="AH29" i="4"/>
  <c r="AD29" i="4"/>
  <c r="Z29" i="4"/>
  <c r="V29" i="4"/>
  <c r="R29" i="4"/>
  <c r="N29" i="4"/>
  <c r="J29" i="4"/>
  <c r="EC28" i="4"/>
  <c r="EB28" i="4"/>
  <c r="DZ28" i="4"/>
  <c r="DV28" i="4"/>
  <c r="DR28" i="4"/>
  <c r="DN28" i="4"/>
  <c r="DJ28" i="4"/>
  <c r="DF28" i="4"/>
  <c r="DB28" i="4"/>
  <c r="CX28" i="4"/>
  <c r="CT28" i="4"/>
  <c r="CP28" i="4"/>
  <c r="CL28" i="4"/>
  <c r="CH28" i="4"/>
  <c r="CD28" i="4"/>
  <c r="BZ28" i="4"/>
  <c r="BV28" i="4"/>
  <c r="BR28" i="4"/>
  <c r="BN28" i="4"/>
  <c r="BJ28" i="4"/>
  <c r="BF28" i="4"/>
  <c r="BB28" i="4"/>
  <c r="AX28" i="4"/>
  <c r="AT28" i="4"/>
  <c r="AP28" i="4"/>
  <c r="AL28" i="4"/>
  <c r="AH28" i="4"/>
  <c r="AD28" i="4"/>
  <c r="Z28" i="4"/>
  <c r="V28" i="4"/>
  <c r="R28" i="4"/>
  <c r="N28" i="4"/>
  <c r="J28" i="4"/>
  <c r="EC27" i="4"/>
  <c r="EB27" i="4"/>
  <c r="DZ27" i="4"/>
  <c r="DV27" i="4"/>
  <c r="DR27" i="4"/>
  <c r="DN27" i="4"/>
  <c r="DJ27" i="4"/>
  <c r="DF27" i="4"/>
  <c r="DB27" i="4"/>
  <c r="CX27" i="4"/>
  <c r="CT27" i="4"/>
  <c r="CP27" i="4"/>
  <c r="CL27" i="4"/>
  <c r="CH27" i="4"/>
  <c r="CD27" i="4"/>
  <c r="BZ27" i="4"/>
  <c r="BV27" i="4"/>
  <c r="BR27" i="4"/>
  <c r="BN27" i="1" s="1"/>
  <c r="BN27" i="4"/>
  <c r="BJ27" i="4"/>
  <c r="BF27" i="4"/>
  <c r="BB27" i="4"/>
  <c r="AX27" i="4"/>
  <c r="AT27" i="4"/>
  <c r="AP27" i="4"/>
  <c r="AL27" i="4"/>
  <c r="AH27" i="4"/>
  <c r="AD27" i="4"/>
  <c r="Z27" i="4"/>
  <c r="V27" i="4"/>
  <c r="R27" i="4"/>
  <c r="N27" i="4"/>
  <c r="J27" i="4"/>
  <c r="EC26" i="4"/>
  <c r="EB26" i="4"/>
  <c r="DZ26" i="4"/>
  <c r="DV26" i="4"/>
  <c r="DR26" i="4"/>
  <c r="DN26" i="4"/>
  <c r="DJ26" i="4"/>
  <c r="DF26" i="4"/>
  <c r="DB26" i="4"/>
  <c r="CX26" i="4"/>
  <c r="CT26" i="4"/>
  <c r="CP26" i="4"/>
  <c r="CL26" i="4"/>
  <c r="CH26" i="4"/>
  <c r="CD26" i="4"/>
  <c r="BZ26" i="4"/>
  <c r="BV26" i="4"/>
  <c r="BR26" i="4"/>
  <c r="BN26" i="4"/>
  <c r="BJ26" i="4"/>
  <c r="BF26" i="4"/>
  <c r="BB26" i="4"/>
  <c r="AX26" i="4"/>
  <c r="AT26" i="4"/>
  <c r="AP26" i="4"/>
  <c r="AL26" i="4"/>
  <c r="AH26" i="4"/>
  <c r="AD26" i="4"/>
  <c r="Z26" i="4"/>
  <c r="V26" i="4"/>
  <c r="R26" i="4"/>
  <c r="N26" i="4"/>
  <c r="J26" i="4"/>
  <c r="EC25" i="4"/>
  <c r="EB25" i="4"/>
  <c r="DZ25" i="4"/>
  <c r="DV25" i="4"/>
  <c r="DR25" i="4"/>
  <c r="DN25" i="4"/>
  <c r="DJ25" i="4"/>
  <c r="DF25" i="4"/>
  <c r="DB25" i="4"/>
  <c r="CX25" i="4"/>
  <c r="CT25" i="4"/>
  <c r="CP25" i="4"/>
  <c r="CL25" i="4"/>
  <c r="CH25" i="4"/>
  <c r="CD25" i="4"/>
  <c r="BZ25" i="4"/>
  <c r="BV25" i="4"/>
  <c r="BR25" i="4"/>
  <c r="BN25" i="4"/>
  <c r="BJ25" i="4"/>
  <c r="BF25" i="4"/>
  <c r="BB25" i="4"/>
  <c r="AX25" i="4"/>
  <c r="AT25" i="4"/>
  <c r="AP25" i="4"/>
  <c r="AL25" i="4"/>
  <c r="AH25" i="4"/>
  <c r="AD25" i="4"/>
  <c r="Z25" i="4"/>
  <c r="V25" i="4"/>
  <c r="R25" i="4"/>
  <c r="N25" i="4"/>
  <c r="J25" i="4"/>
  <c r="EC24" i="4"/>
  <c r="EB24" i="4"/>
  <c r="DZ24" i="4"/>
  <c r="DV24" i="4"/>
  <c r="DR24" i="4"/>
  <c r="DN24" i="4"/>
  <c r="DJ24" i="4"/>
  <c r="DF24" i="4"/>
  <c r="DB24" i="4"/>
  <c r="CX24" i="4"/>
  <c r="CT24" i="4"/>
  <c r="CP24" i="4"/>
  <c r="CL24" i="4"/>
  <c r="CH24" i="4"/>
  <c r="CD24" i="4"/>
  <c r="BZ24" i="4"/>
  <c r="BV24" i="4"/>
  <c r="BR24" i="4"/>
  <c r="BN24" i="4"/>
  <c r="BJ24" i="4"/>
  <c r="BF24" i="4"/>
  <c r="BB24" i="4"/>
  <c r="AX24" i="4"/>
  <c r="AT24" i="4"/>
  <c r="AP24" i="4"/>
  <c r="AL24" i="4"/>
  <c r="AH24" i="4"/>
  <c r="AD24" i="4"/>
  <c r="Z24" i="4"/>
  <c r="V24" i="4"/>
  <c r="R24" i="4"/>
  <c r="N24" i="4"/>
  <c r="J24" i="4"/>
  <c r="EC23" i="4"/>
  <c r="EB23" i="4"/>
  <c r="DZ23" i="4"/>
  <c r="DV23" i="4"/>
  <c r="DR23" i="4"/>
  <c r="DN23" i="4"/>
  <c r="DJ23" i="4"/>
  <c r="DF23" i="4"/>
  <c r="DB23" i="4"/>
  <c r="CX23" i="4"/>
  <c r="CT23" i="4"/>
  <c r="CP23" i="4"/>
  <c r="CL23" i="4"/>
  <c r="CH23" i="4"/>
  <c r="CD23" i="4"/>
  <c r="BZ23" i="4"/>
  <c r="BV23" i="4"/>
  <c r="BR23" i="4"/>
  <c r="BN23" i="4"/>
  <c r="BJ23" i="4"/>
  <c r="BF23" i="4"/>
  <c r="BB23" i="4"/>
  <c r="AX23" i="4"/>
  <c r="AT23" i="4"/>
  <c r="AP23" i="4"/>
  <c r="AL23" i="4"/>
  <c r="AH23" i="4"/>
  <c r="AD23" i="4"/>
  <c r="Z23" i="4"/>
  <c r="V23" i="4"/>
  <c r="R23" i="4"/>
  <c r="N23" i="4"/>
  <c r="J23" i="4"/>
  <c r="EC22" i="4"/>
  <c r="EB22" i="4"/>
  <c r="DZ22" i="4"/>
  <c r="DV22" i="4"/>
  <c r="DR22" i="4"/>
  <c r="DN22" i="4"/>
  <c r="DJ22" i="4"/>
  <c r="DF22" i="4"/>
  <c r="DB22" i="4"/>
  <c r="CX22" i="4"/>
  <c r="CT22" i="4"/>
  <c r="CP22" i="4"/>
  <c r="CL22" i="4"/>
  <c r="CH22" i="4"/>
  <c r="CD22" i="4"/>
  <c r="BZ22" i="4"/>
  <c r="BV22" i="4"/>
  <c r="BR22" i="4"/>
  <c r="BN22" i="1" s="1"/>
  <c r="CD22" i="1" s="1"/>
  <c r="CI22" i="1" s="1"/>
  <c r="BN22" i="4"/>
  <c r="BJ22" i="4"/>
  <c r="BF22" i="4"/>
  <c r="BB22" i="4"/>
  <c r="AX22" i="4"/>
  <c r="AT22" i="4"/>
  <c r="AP22" i="4"/>
  <c r="AL22" i="4"/>
  <c r="AH22" i="4"/>
  <c r="AD22" i="4"/>
  <c r="Z22" i="4"/>
  <c r="V22" i="4"/>
  <c r="R22" i="4"/>
  <c r="N22" i="4"/>
  <c r="J22" i="4"/>
  <c r="EC21" i="4"/>
  <c r="EB21" i="4"/>
  <c r="DZ21" i="4"/>
  <c r="DV21" i="4"/>
  <c r="DR21" i="4"/>
  <c r="DN21" i="4"/>
  <c r="DJ21" i="4"/>
  <c r="DF21" i="4"/>
  <c r="DB21" i="4"/>
  <c r="CX21" i="4"/>
  <c r="CT21" i="4"/>
  <c r="CP21" i="4"/>
  <c r="CL21" i="4"/>
  <c r="CH21" i="4"/>
  <c r="CD21" i="4"/>
  <c r="BZ21" i="4"/>
  <c r="BV21" i="4"/>
  <c r="BR21" i="4"/>
  <c r="BN21" i="1" s="1"/>
  <c r="BN21" i="4"/>
  <c r="BJ21" i="4"/>
  <c r="BF21" i="4"/>
  <c r="BB21" i="4"/>
  <c r="AX21" i="4"/>
  <c r="AT21" i="4"/>
  <c r="AP21" i="4"/>
  <c r="AL21" i="4"/>
  <c r="AH21" i="4"/>
  <c r="AD21" i="4"/>
  <c r="Z21" i="4"/>
  <c r="V21" i="4"/>
  <c r="R21" i="4"/>
  <c r="N21" i="4"/>
  <c r="J21" i="4"/>
  <c r="EC20" i="4"/>
  <c r="EB20" i="4"/>
  <c r="DZ20" i="4"/>
  <c r="DV20" i="4"/>
  <c r="DR20" i="4"/>
  <c r="DN20" i="4"/>
  <c r="DJ20" i="4"/>
  <c r="DF20" i="4"/>
  <c r="DB20" i="4"/>
  <c r="CX20" i="4"/>
  <c r="CT20" i="4"/>
  <c r="CP20" i="4"/>
  <c r="CL20" i="4"/>
  <c r="CH20" i="4"/>
  <c r="CD20" i="4"/>
  <c r="BZ20" i="4"/>
  <c r="BV20" i="4"/>
  <c r="BR20" i="4"/>
  <c r="BN20" i="4"/>
  <c r="BJ20" i="4"/>
  <c r="BF20" i="4"/>
  <c r="BB20" i="4"/>
  <c r="AX20" i="4"/>
  <c r="AT20" i="4"/>
  <c r="AP20" i="4"/>
  <c r="AL20" i="4"/>
  <c r="AH20" i="4"/>
  <c r="AD20" i="4"/>
  <c r="Z20" i="4"/>
  <c r="V20" i="4"/>
  <c r="R20" i="4"/>
  <c r="N20" i="4"/>
  <c r="J20" i="4"/>
  <c r="EC19" i="4"/>
  <c r="EB19" i="4"/>
  <c r="DZ19" i="4"/>
  <c r="DV19" i="4"/>
  <c r="DR19" i="4"/>
  <c r="DN19" i="4"/>
  <c r="DJ19" i="4"/>
  <c r="DF19" i="4"/>
  <c r="DB19" i="4"/>
  <c r="CX19" i="4"/>
  <c r="CT19" i="4"/>
  <c r="CP19" i="4"/>
  <c r="CL19" i="4"/>
  <c r="CH19" i="4"/>
  <c r="CD19" i="4"/>
  <c r="BZ19" i="4"/>
  <c r="BV19" i="4"/>
  <c r="BR19" i="4"/>
  <c r="BN19" i="1" s="1"/>
  <c r="BN19" i="4"/>
  <c r="BJ19" i="4"/>
  <c r="BF19" i="4"/>
  <c r="BB19" i="4"/>
  <c r="AX19" i="4"/>
  <c r="AT19" i="4"/>
  <c r="AP19" i="4"/>
  <c r="AL19" i="4"/>
  <c r="AH19" i="4"/>
  <c r="AD19" i="4"/>
  <c r="Z19" i="4"/>
  <c r="V19" i="4"/>
  <c r="R19" i="4"/>
  <c r="N19" i="4"/>
  <c r="J19" i="4"/>
  <c r="EC18" i="4"/>
  <c r="EB18" i="4"/>
  <c r="DZ18" i="4"/>
  <c r="DV18" i="4"/>
  <c r="DR18" i="4"/>
  <c r="DN18" i="4"/>
  <c r="DJ18" i="4"/>
  <c r="DF18" i="4"/>
  <c r="DB18" i="4"/>
  <c r="CX18" i="4"/>
  <c r="CT18" i="4"/>
  <c r="CP18" i="4"/>
  <c r="CL18" i="4"/>
  <c r="CH18" i="4"/>
  <c r="CD18" i="4"/>
  <c r="BZ18" i="4"/>
  <c r="BV18" i="4"/>
  <c r="BR18" i="4"/>
  <c r="BN18" i="4"/>
  <c r="BJ18" i="4"/>
  <c r="BF18" i="4"/>
  <c r="BB18" i="4"/>
  <c r="AX18" i="4"/>
  <c r="AT18" i="4"/>
  <c r="AP18" i="4"/>
  <c r="AL18" i="4"/>
  <c r="AH18" i="4"/>
  <c r="AD18" i="4"/>
  <c r="Z18" i="4"/>
  <c r="V18" i="4"/>
  <c r="R18" i="4"/>
  <c r="N18" i="4"/>
  <c r="J18" i="4"/>
  <c r="EC17" i="4"/>
  <c r="EB17" i="4"/>
  <c r="DZ17" i="4"/>
  <c r="DV17" i="4"/>
  <c r="DR17" i="4"/>
  <c r="DN17" i="4"/>
  <c r="DJ17" i="4"/>
  <c r="DF17" i="4"/>
  <c r="DB17" i="4"/>
  <c r="CX17" i="4"/>
  <c r="CT17" i="4"/>
  <c r="CP17" i="4"/>
  <c r="CL17" i="4"/>
  <c r="CH17" i="4"/>
  <c r="CD17" i="4"/>
  <c r="BZ17" i="4"/>
  <c r="BV17" i="4"/>
  <c r="BR17" i="4"/>
  <c r="BN17" i="4"/>
  <c r="BJ17" i="4"/>
  <c r="BF17" i="4"/>
  <c r="BB17" i="4"/>
  <c r="AX17" i="4"/>
  <c r="AT17" i="4"/>
  <c r="ED17" i="4" s="1"/>
  <c r="AP17" i="4"/>
  <c r="AL17" i="4"/>
  <c r="AH17" i="4"/>
  <c r="AD17" i="4"/>
  <c r="Z17" i="4"/>
  <c r="V17" i="4"/>
  <c r="R17" i="4"/>
  <c r="N17" i="4"/>
  <c r="J17" i="4"/>
  <c r="EC16" i="4"/>
  <c r="EB16" i="4"/>
  <c r="DZ16" i="4"/>
  <c r="DV16" i="4"/>
  <c r="DR16" i="4"/>
  <c r="DN16" i="4"/>
  <c r="DJ16" i="4"/>
  <c r="DF16" i="4"/>
  <c r="DB16" i="4"/>
  <c r="CX16" i="4"/>
  <c r="CT16" i="4"/>
  <c r="CP16" i="4"/>
  <c r="CL16" i="4"/>
  <c r="CH16" i="4"/>
  <c r="CD16" i="4"/>
  <c r="BZ16" i="4"/>
  <c r="BV16" i="4"/>
  <c r="BR16" i="4"/>
  <c r="BN16" i="4"/>
  <c r="BJ16" i="4"/>
  <c r="BF16" i="4"/>
  <c r="BB16" i="4"/>
  <c r="AX16" i="4"/>
  <c r="AT16" i="4"/>
  <c r="AP16" i="4"/>
  <c r="AL16" i="4"/>
  <c r="AH16" i="4"/>
  <c r="AD16" i="4"/>
  <c r="Z16" i="4"/>
  <c r="V16" i="4"/>
  <c r="R16" i="4"/>
  <c r="N16" i="4"/>
  <c r="J16" i="4"/>
  <c r="EC15" i="4"/>
  <c r="EB15" i="4"/>
  <c r="DZ15" i="4"/>
  <c r="DV15" i="4"/>
  <c r="DR15" i="4"/>
  <c r="DN15" i="4"/>
  <c r="DJ15" i="4"/>
  <c r="DF15" i="4"/>
  <c r="DB15" i="4"/>
  <c r="CX15" i="4"/>
  <c r="CT15" i="4"/>
  <c r="CP15" i="4"/>
  <c r="CL15" i="4"/>
  <c r="CH15" i="4"/>
  <c r="CD15" i="4"/>
  <c r="BZ15" i="4"/>
  <c r="BV15" i="4"/>
  <c r="BR15" i="4"/>
  <c r="BN15" i="4"/>
  <c r="BJ15" i="4"/>
  <c r="BF15" i="4"/>
  <c r="BB15" i="4"/>
  <c r="AX15" i="4"/>
  <c r="AT15" i="4"/>
  <c r="AP15" i="4"/>
  <c r="AL15" i="4"/>
  <c r="AH15" i="4"/>
  <c r="AD15" i="4"/>
  <c r="Z15" i="4"/>
  <c r="V15" i="4"/>
  <c r="R15" i="4"/>
  <c r="N15" i="4"/>
  <c r="J15" i="4"/>
  <c r="EC14" i="4"/>
  <c r="EB14" i="4"/>
  <c r="DZ14" i="4"/>
  <c r="DV14" i="4"/>
  <c r="DR14" i="4"/>
  <c r="DN14" i="4"/>
  <c r="DJ14" i="4"/>
  <c r="DF14" i="4"/>
  <c r="DB14" i="4"/>
  <c r="CX14" i="4"/>
  <c r="CT14" i="4"/>
  <c r="CP14" i="4"/>
  <c r="CL14" i="4"/>
  <c r="CH14" i="4"/>
  <c r="CD14" i="4"/>
  <c r="BZ14" i="4"/>
  <c r="BV14" i="4"/>
  <c r="BR14" i="4"/>
  <c r="BN14" i="4"/>
  <c r="BJ14" i="4"/>
  <c r="BF14" i="4"/>
  <c r="BB14" i="4"/>
  <c r="AX14" i="4"/>
  <c r="AT14" i="4"/>
  <c r="AP14" i="4"/>
  <c r="AL14" i="4"/>
  <c r="AH14" i="4"/>
  <c r="AD14" i="4"/>
  <c r="Z14" i="4"/>
  <c r="V14" i="4"/>
  <c r="R14" i="4"/>
  <c r="N14" i="4"/>
  <c r="J14" i="4"/>
  <c r="EC13" i="4"/>
  <c r="EB13" i="4"/>
  <c r="DZ13" i="4"/>
  <c r="DV13" i="4"/>
  <c r="DR13" i="4"/>
  <c r="CA13" i="1" s="1"/>
  <c r="DN13" i="4"/>
  <c r="DJ13" i="4"/>
  <c r="DF13" i="4"/>
  <c r="DB13" i="4"/>
  <c r="CX13" i="4"/>
  <c r="CT13" i="4"/>
  <c r="CP13" i="4"/>
  <c r="CL13" i="4"/>
  <c r="CH13" i="4"/>
  <c r="CD13" i="4"/>
  <c r="BZ13" i="4"/>
  <c r="BV13" i="4"/>
  <c r="BR13" i="4"/>
  <c r="BN13" i="4"/>
  <c r="BJ13" i="4"/>
  <c r="BF13" i="4"/>
  <c r="BB13" i="4"/>
  <c r="AX13" i="4"/>
  <c r="AT13" i="4"/>
  <c r="AP13" i="4"/>
  <c r="AL13" i="4"/>
  <c r="AH13" i="4"/>
  <c r="AD13" i="4"/>
  <c r="Z13" i="4"/>
  <c r="V13" i="4"/>
  <c r="R13" i="4"/>
  <c r="N13" i="4"/>
  <c r="J13" i="4"/>
  <c r="EC12" i="4"/>
  <c r="EB12" i="4"/>
  <c r="DZ12" i="4"/>
  <c r="DV12" i="4"/>
  <c r="DR12" i="4"/>
  <c r="DN12" i="4"/>
  <c r="DJ12" i="4"/>
  <c r="DF12" i="4"/>
  <c r="DB12" i="4"/>
  <c r="CX12" i="4"/>
  <c r="CT12" i="4"/>
  <c r="CP12" i="4"/>
  <c r="CL12" i="4"/>
  <c r="CH12" i="4"/>
  <c r="CD12" i="4"/>
  <c r="BZ12" i="4"/>
  <c r="BV12" i="4"/>
  <c r="BR12" i="4"/>
  <c r="BN12" i="4"/>
  <c r="BJ12" i="4"/>
  <c r="BF12" i="4"/>
  <c r="BB12" i="4"/>
  <c r="AX12" i="4"/>
  <c r="AT12" i="4"/>
  <c r="AP12" i="4"/>
  <c r="AL12" i="4"/>
  <c r="AH12" i="4"/>
  <c r="AD12" i="4"/>
  <c r="Z12" i="4"/>
  <c r="V12" i="4"/>
  <c r="R12" i="4"/>
  <c r="N12" i="4"/>
  <c r="J12" i="4"/>
  <c r="EC11" i="4"/>
  <c r="EB11" i="4"/>
  <c r="DZ11" i="4"/>
  <c r="DV11" i="4"/>
  <c r="DR11" i="4"/>
  <c r="DN11" i="4"/>
  <c r="DJ11" i="4"/>
  <c r="DF11" i="4"/>
  <c r="DB11" i="4"/>
  <c r="CX11" i="4"/>
  <c r="CT11" i="4"/>
  <c r="CP11" i="4"/>
  <c r="CL11" i="4"/>
  <c r="CH11" i="4"/>
  <c r="CD11" i="4"/>
  <c r="BZ11" i="4"/>
  <c r="BV11" i="4"/>
  <c r="BR11" i="4"/>
  <c r="BN11" i="4"/>
  <c r="BJ11" i="4"/>
  <c r="BF11" i="4"/>
  <c r="BB11" i="4"/>
  <c r="AX11" i="4"/>
  <c r="AT11" i="4"/>
  <c r="ED11" i="4" s="1"/>
  <c r="AP11" i="4"/>
  <c r="AL11" i="4"/>
  <c r="AH11" i="4"/>
  <c r="AD11" i="4"/>
  <c r="Z11" i="4"/>
  <c r="V11" i="4"/>
  <c r="R11" i="4"/>
  <c r="N11" i="4"/>
  <c r="J11" i="4"/>
  <c r="EC10" i="4"/>
  <c r="EB10" i="4"/>
  <c r="DZ10" i="4"/>
  <c r="DV10" i="4"/>
  <c r="DR10" i="4"/>
  <c r="DN10" i="4"/>
  <c r="DJ10" i="4"/>
  <c r="DF10" i="4"/>
  <c r="DB10" i="4"/>
  <c r="CX10" i="4"/>
  <c r="CT10" i="4"/>
  <c r="CP10" i="4"/>
  <c r="CL10" i="4"/>
  <c r="CH10" i="4"/>
  <c r="CD10" i="4"/>
  <c r="BZ10" i="4"/>
  <c r="BV10" i="4"/>
  <c r="BR10" i="4"/>
  <c r="BN10" i="4"/>
  <c r="BJ10" i="4"/>
  <c r="BF10" i="4"/>
  <c r="BB10" i="4"/>
  <c r="AX10" i="4"/>
  <c r="AT10" i="4"/>
  <c r="AP10" i="4"/>
  <c r="AL10" i="4"/>
  <c r="ED10" i="4" s="1"/>
  <c r="AH10" i="4"/>
  <c r="AD10" i="4"/>
  <c r="Z10" i="4"/>
  <c r="V10" i="4"/>
  <c r="R10" i="4"/>
  <c r="N10" i="4"/>
  <c r="J10" i="4"/>
  <c r="EC9" i="4"/>
  <c r="EB9" i="4"/>
  <c r="DZ9" i="4"/>
  <c r="DV9" i="4"/>
  <c r="DR9" i="4"/>
  <c r="DN9" i="4"/>
  <c r="DJ9" i="4"/>
  <c r="DF9" i="4"/>
  <c r="DB9" i="4"/>
  <c r="CX9" i="4"/>
  <c r="CT9" i="4"/>
  <c r="CP9" i="4"/>
  <c r="CL9" i="4"/>
  <c r="CH9" i="4"/>
  <c r="CD9" i="4"/>
  <c r="BZ9" i="4"/>
  <c r="BV9" i="4"/>
  <c r="BR9" i="4"/>
  <c r="BN9" i="4"/>
  <c r="BJ9" i="4"/>
  <c r="BF9" i="4"/>
  <c r="BB9" i="4"/>
  <c r="AX9" i="4"/>
  <c r="AT9" i="4"/>
  <c r="AP9" i="4"/>
  <c r="AL9" i="4"/>
  <c r="AH9" i="4"/>
  <c r="AD9" i="4"/>
  <c r="Z9" i="4"/>
  <c r="V9" i="4"/>
  <c r="R9" i="4"/>
  <c r="ED9" i="4" s="1"/>
  <c r="N9" i="4"/>
  <c r="J9" i="4"/>
  <c r="EC8" i="4"/>
  <c r="EB8" i="4"/>
  <c r="DZ8" i="4"/>
  <c r="DV8" i="4"/>
  <c r="DR8" i="4"/>
  <c r="DN8" i="4"/>
  <c r="DJ8" i="4"/>
  <c r="DF8" i="4"/>
  <c r="DB8" i="4"/>
  <c r="CX8" i="4"/>
  <c r="CT8" i="4"/>
  <c r="CP8" i="4"/>
  <c r="CL8" i="4"/>
  <c r="CH8" i="4"/>
  <c r="CD8" i="4"/>
  <c r="BZ8" i="4"/>
  <c r="BV8" i="4"/>
  <c r="BR8" i="4"/>
  <c r="BN8" i="4"/>
  <c r="BJ8" i="4"/>
  <c r="BF8" i="4"/>
  <c r="BB8" i="4"/>
  <c r="AX8" i="4"/>
  <c r="AT8" i="4"/>
  <c r="AP8" i="4"/>
  <c r="AL8" i="4"/>
  <c r="AH8" i="4"/>
  <c r="AD8" i="4"/>
  <c r="Z8" i="4"/>
  <c r="V8" i="4"/>
  <c r="R8" i="4"/>
  <c r="N8" i="4"/>
  <c r="J8" i="4"/>
  <c r="ED8" i="4" s="1"/>
  <c r="EC7" i="4"/>
  <c r="EB7" i="4"/>
  <c r="DZ7" i="4"/>
  <c r="DV7" i="4"/>
  <c r="DR7" i="4"/>
  <c r="DN7" i="4"/>
  <c r="DJ7" i="4"/>
  <c r="DF7" i="4"/>
  <c r="DB7" i="4"/>
  <c r="CX7" i="4"/>
  <c r="CT7" i="4"/>
  <c r="CP7" i="4"/>
  <c r="CL7" i="4"/>
  <c r="CH7" i="4"/>
  <c r="CD7" i="4"/>
  <c r="BZ7" i="4"/>
  <c r="BV7" i="4"/>
  <c r="BR7" i="4"/>
  <c r="BN7" i="4"/>
  <c r="BJ7" i="4"/>
  <c r="BF7" i="4"/>
  <c r="BB7" i="4"/>
  <c r="AX7" i="4"/>
  <c r="AT7" i="4"/>
  <c r="AP7" i="4"/>
  <c r="AL7" i="4"/>
  <c r="AH7" i="4"/>
  <c r="AD7" i="4"/>
  <c r="Z7" i="4"/>
  <c r="V7" i="4"/>
  <c r="R7" i="4"/>
  <c r="N7" i="4"/>
  <c r="J7" i="4"/>
  <c r="EC6" i="4"/>
  <c r="EB6" i="4"/>
  <c r="DZ6" i="4"/>
  <c r="DV6" i="4"/>
  <c r="DR6" i="4"/>
  <c r="DN6" i="4"/>
  <c r="DJ6" i="4"/>
  <c r="DF6" i="4"/>
  <c r="DB6" i="4"/>
  <c r="CX6" i="4"/>
  <c r="CT6" i="4"/>
  <c r="CP6" i="4"/>
  <c r="CL6" i="4"/>
  <c r="CH6" i="4"/>
  <c r="CD6" i="4"/>
  <c r="BZ6" i="4"/>
  <c r="BV6" i="4"/>
  <c r="BR6" i="4"/>
  <c r="BN6" i="4"/>
  <c r="BJ6" i="4"/>
  <c r="BF6" i="4"/>
  <c r="BB6" i="4"/>
  <c r="AX6" i="4"/>
  <c r="AT6" i="4"/>
  <c r="AP6" i="4"/>
  <c r="AL6" i="4"/>
  <c r="AH6" i="4"/>
  <c r="AD6" i="4"/>
  <c r="Z6" i="4"/>
  <c r="V6" i="4"/>
  <c r="R6" i="4"/>
  <c r="N6" i="4"/>
  <c r="J6" i="4"/>
  <c r="EC5" i="4"/>
  <c r="EB5" i="4"/>
  <c r="DZ5" i="4"/>
  <c r="DV5" i="4"/>
  <c r="DR5" i="4"/>
  <c r="DN5" i="4"/>
  <c r="DJ5" i="4"/>
  <c r="DF5" i="4"/>
  <c r="DB5" i="4"/>
  <c r="CX5" i="4"/>
  <c r="CT5" i="4"/>
  <c r="CP5" i="4"/>
  <c r="CL5" i="4"/>
  <c r="CH5" i="4"/>
  <c r="CD5" i="4"/>
  <c r="BZ5" i="4"/>
  <c r="BV5" i="4"/>
  <c r="BR5" i="4"/>
  <c r="BN5" i="4"/>
  <c r="BJ5" i="4"/>
  <c r="BF5" i="4"/>
  <c r="BB5" i="4"/>
  <c r="AX5" i="4"/>
  <c r="AT5" i="4"/>
  <c r="ED5" i="4" s="1"/>
  <c r="AP5" i="4"/>
  <c r="AL5" i="4"/>
  <c r="AH5" i="4"/>
  <c r="AD5" i="4"/>
  <c r="Z5" i="4"/>
  <c r="V5" i="4"/>
  <c r="R5" i="4"/>
  <c r="N5" i="4"/>
  <c r="J5" i="4"/>
  <c r="EC4" i="4"/>
  <c r="EB4" i="4"/>
  <c r="DZ4" i="4"/>
  <c r="DV4" i="4"/>
  <c r="DR4" i="4"/>
  <c r="DN4" i="4"/>
  <c r="DJ4" i="4"/>
  <c r="DF4" i="4"/>
  <c r="DB4" i="4"/>
  <c r="CX4" i="4"/>
  <c r="CT4" i="4"/>
  <c r="CP4" i="4"/>
  <c r="CL4" i="4"/>
  <c r="CH4" i="4"/>
  <c r="CD4" i="4"/>
  <c r="BZ4" i="4"/>
  <c r="BV4" i="4"/>
  <c r="BR4" i="4"/>
  <c r="BN4" i="4"/>
  <c r="BJ4" i="4"/>
  <c r="BF4" i="4"/>
  <c r="BB4" i="4"/>
  <c r="AX4" i="4"/>
  <c r="AT4" i="4"/>
  <c r="AP4" i="4"/>
  <c r="AL4" i="4"/>
  <c r="AH4" i="4"/>
  <c r="AD4" i="4"/>
  <c r="Z4" i="4"/>
  <c r="V4" i="4"/>
  <c r="R4" i="4"/>
  <c r="N4" i="4"/>
  <c r="J4" i="4"/>
  <c r="DY109" i="3"/>
  <c r="DX109" i="3"/>
  <c r="DU109" i="3"/>
  <c r="DT109" i="3"/>
  <c r="DQ109" i="3"/>
  <c r="DP109" i="3"/>
  <c r="DM109" i="3"/>
  <c r="DL109" i="3"/>
  <c r="DI109" i="3"/>
  <c r="DH109" i="3"/>
  <c r="DE109" i="3"/>
  <c r="DD109" i="3"/>
  <c r="DA109" i="3"/>
  <c r="CZ109" i="3"/>
  <c r="CW109" i="3"/>
  <c r="CV109" i="3"/>
  <c r="CS109" i="3"/>
  <c r="CR109" i="3"/>
  <c r="CO109" i="3"/>
  <c r="CN109" i="3"/>
  <c r="CK109" i="3"/>
  <c r="CJ109" i="3"/>
  <c r="CG109" i="3"/>
  <c r="CF109" i="3"/>
  <c r="CC109" i="3"/>
  <c r="CB109" i="3"/>
  <c r="BY109" i="3"/>
  <c r="BX109" i="3"/>
  <c r="BU109" i="3"/>
  <c r="BT109" i="3"/>
  <c r="BQ109" i="3"/>
  <c r="BP109" i="3"/>
  <c r="BM109" i="3"/>
  <c r="BL109" i="3"/>
  <c r="BI109" i="3"/>
  <c r="BH109" i="3"/>
  <c r="BE109" i="3"/>
  <c r="BD109" i="3"/>
  <c r="BA109" i="3"/>
  <c r="AZ109" i="3"/>
  <c r="AW109" i="3"/>
  <c r="AV109" i="3"/>
  <c r="AS109" i="3"/>
  <c r="AR109" i="3"/>
  <c r="AO109" i="3"/>
  <c r="AN109" i="3"/>
  <c r="AK109" i="3"/>
  <c r="AJ109" i="3"/>
  <c r="AG109" i="3"/>
  <c r="AF109" i="3"/>
  <c r="AC109" i="3"/>
  <c r="AB109" i="3"/>
  <c r="Y109" i="3"/>
  <c r="X109" i="3"/>
  <c r="U109" i="3"/>
  <c r="T109" i="3"/>
  <c r="Q109" i="3"/>
  <c r="P109" i="3"/>
  <c r="M109" i="3"/>
  <c r="L109" i="3"/>
  <c r="I109" i="3"/>
  <c r="H109" i="3"/>
  <c r="EC108" i="3"/>
  <c r="EB108" i="3"/>
  <c r="DZ108" i="3"/>
  <c r="DV108" i="3"/>
  <c r="DR108" i="3"/>
  <c r="DN108" i="3"/>
  <c r="DJ108" i="3"/>
  <c r="DF108" i="3"/>
  <c r="DB108" i="3"/>
  <c r="CX108" i="3"/>
  <c r="CT108" i="3"/>
  <c r="CP108" i="3"/>
  <c r="CL108" i="3"/>
  <c r="CH108" i="3"/>
  <c r="CD108" i="3"/>
  <c r="BZ108" i="3"/>
  <c r="BV108" i="3"/>
  <c r="BR108" i="3"/>
  <c r="BN108" i="3"/>
  <c r="BJ108" i="3"/>
  <c r="BF108" i="3"/>
  <c r="BB108" i="3"/>
  <c r="AX108" i="3"/>
  <c r="AT108" i="3"/>
  <c r="AP108" i="3"/>
  <c r="AL108" i="3"/>
  <c r="AH108" i="3"/>
  <c r="AD108" i="3"/>
  <c r="Z108" i="3"/>
  <c r="V108" i="3"/>
  <c r="R108" i="3"/>
  <c r="N108" i="3"/>
  <c r="J108" i="3"/>
  <c r="ED108" i="3" s="1"/>
  <c r="EC107" i="3"/>
  <c r="EB107" i="3"/>
  <c r="DZ107" i="3"/>
  <c r="DV107" i="3"/>
  <c r="DR107" i="3"/>
  <c r="DN107" i="3"/>
  <c r="DJ107" i="3"/>
  <c r="DF107" i="3"/>
  <c r="DB107" i="3"/>
  <c r="CX107" i="3"/>
  <c r="CT107" i="3"/>
  <c r="CP107" i="3"/>
  <c r="CL107" i="3"/>
  <c r="CH107" i="3"/>
  <c r="CD107" i="3"/>
  <c r="BZ107" i="3"/>
  <c r="BV107" i="3"/>
  <c r="BR107" i="3"/>
  <c r="BN107" i="3"/>
  <c r="BJ107" i="3"/>
  <c r="BF107" i="3"/>
  <c r="BB107" i="3"/>
  <c r="AX107" i="3"/>
  <c r="AT107" i="3"/>
  <c r="AP107" i="3"/>
  <c r="ED107" i="3" s="1"/>
  <c r="AL107" i="3"/>
  <c r="AH107" i="3"/>
  <c r="AD107" i="3"/>
  <c r="Z107" i="3"/>
  <c r="V107" i="3"/>
  <c r="R107" i="3"/>
  <c r="N107" i="3"/>
  <c r="J107" i="3"/>
  <c r="EC106" i="3"/>
  <c r="EB106" i="3"/>
  <c r="DZ106" i="3"/>
  <c r="DV106" i="3"/>
  <c r="DR106" i="3"/>
  <c r="DN106" i="3"/>
  <c r="DJ106" i="3"/>
  <c r="DF106" i="3"/>
  <c r="DB106" i="3"/>
  <c r="CX106" i="3"/>
  <c r="CT106" i="3"/>
  <c r="CP106" i="3"/>
  <c r="CL106" i="3"/>
  <c r="CH106" i="3"/>
  <c r="CD106" i="3"/>
  <c r="BZ106" i="3"/>
  <c r="BV106" i="3"/>
  <c r="BR106" i="3"/>
  <c r="BN106" i="3"/>
  <c r="BJ106" i="3"/>
  <c r="BF106" i="3"/>
  <c r="BB106" i="3"/>
  <c r="AX106" i="3"/>
  <c r="AT106" i="3"/>
  <c r="AP106" i="3"/>
  <c r="AL106" i="3"/>
  <c r="AH106" i="3"/>
  <c r="ED106" i="3" s="1"/>
  <c r="AD106" i="3"/>
  <c r="Z106" i="3"/>
  <c r="V106" i="3"/>
  <c r="R106" i="3"/>
  <c r="N106" i="3"/>
  <c r="J106" i="3"/>
  <c r="EC105" i="3"/>
  <c r="EB105" i="3"/>
  <c r="DZ105" i="3"/>
  <c r="DV105" i="3"/>
  <c r="DR105" i="3"/>
  <c r="DN105" i="3"/>
  <c r="DJ105" i="3"/>
  <c r="DF105" i="3"/>
  <c r="DB105" i="3"/>
  <c r="CX105" i="3"/>
  <c r="CT105" i="3"/>
  <c r="CP105" i="3"/>
  <c r="CL105" i="3"/>
  <c r="CH105" i="3"/>
  <c r="CD105" i="3"/>
  <c r="BZ105" i="3"/>
  <c r="BV105" i="3"/>
  <c r="BR105" i="3"/>
  <c r="BN105" i="3"/>
  <c r="BJ105" i="3"/>
  <c r="BF105" i="3"/>
  <c r="BB105" i="3"/>
  <c r="AX105" i="3"/>
  <c r="AT105" i="3"/>
  <c r="AP105" i="3"/>
  <c r="AL105" i="3"/>
  <c r="AH105" i="3"/>
  <c r="AD105" i="3"/>
  <c r="Z105" i="3"/>
  <c r="ED105" i="3" s="1"/>
  <c r="V105" i="3"/>
  <c r="R105" i="3"/>
  <c r="N105" i="3"/>
  <c r="J105" i="3"/>
  <c r="EC104" i="3"/>
  <c r="EB104" i="3"/>
  <c r="DZ104" i="3"/>
  <c r="DV104" i="3"/>
  <c r="DR104" i="3"/>
  <c r="DN104" i="3"/>
  <c r="DJ104" i="3"/>
  <c r="DF104" i="3"/>
  <c r="DB104" i="3"/>
  <c r="CX104" i="3"/>
  <c r="CT104" i="3"/>
  <c r="CP104" i="3"/>
  <c r="CL104" i="3"/>
  <c r="CH104" i="3"/>
  <c r="CD104" i="3"/>
  <c r="BZ104" i="3"/>
  <c r="BV104" i="3"/>
  <c r="BR104" i="3"/>
  <c r="BN104" i="3"/>
  <c r="BJ104" i="3"/>
  <c r="BF104" i="3"/>
  <c r="BB104" i="3"/>
  <c r="AX104" i="3"/>
  <c r="AT104" i="3"/>
  <c r="AP104" i="3"/>
  <c r="AL104" i="3"/>
  <c r="AH104" i="3"/>
  <c r="AD104" i="3"/>
  <c r="Z104" i="3"/>
  <c r="V104" i="3"/>
  <c r="R104" i="3"/>
  <c r="ED104" i="3" s="1"/>
  <c r="N104" i="3"/>
  <c r="J104" i="3"/>
  <c r="EC103" i="3"/>
  <c r="EB103" i="3"/>
  <c r="DZ103" i="3"/>
  <c r="DV103" i="3"/>
  <c r="DR103" i="3"/>
  <c r="DN103" i="3"/>
  <c r="DJ103" i="3"/>
  <c r="DF103" i="3"/>
  <c r="DB103" i="3"/>
  <c r="CX103" i="3"/>
  <c r="CT103" i="3"/>
  <c r="CP103" i="3"/>
  <c r="CL103" i="3"/>
  <c r="CH103" i="3"/>
  <c r="CD103" i="3"/>
  <c r="BZ103" i="3"/>
  <c r="BV103" i="3"/>
  <c r="BR103" i="3"/>
  <c r="BN103" i="3"/>
  <c r="BJ103" i="3"/>
  <c r="BF103" i="3"/>
  <c r="BB103" i="3"/>
  <c r="AX103" i="3"/>
  <c r="AT103" i="3"/>
  <c r="AP103" i="3"/>
  <c r="AL103" i="3"/>
  <c r="AH103" i="3"/>
  <c r="AD103" i="3"/>
  <c r="Z103" i="3"/>
  <c r="V103" i="3"/>
  <c r="R103" i="3"/>
  <c r="N103" i="3"/>
  <c r="J103" i="3"/>
  <c r="ED103" i="3" s="1"/>
  <c r="EC102" i="3"/>
  <c r="EB102" i="3"/>
  <c r="DZ102" i="3"/>
  <c r="DV102" i="3"/>
  <c r="DR102" i="3"/>
  <c r="DN102" i="3"/>
  <c r="DJ102" i="3"/>
  <c r="DF102" i="3"/>
  <c r="DB102" i="3"/>
  <c r="CX102" i="3"/>
  <c r="CT102" i="3"/>
  <c r="CP102" i="3"/>
  <c r="CL102" i="3"/>
  <c r="CH102" i="3"/>
  <c r="CD102" i="3"/>
  <c r="BZ102" i="3"/>
  <c r="BV102" i="3"/>
  <c r="BR102" i="3"/>
  <c r="BN102" i="3"/>
  <c r="BJ102" i="3"/>
  <c r="BF102" i="3"/>
  <c r="BB102" i="3"/>
  <c r="AX102" i="3"/>
  <c r="AT102" i="3"/>
  <c r="AP102" i="3"/>
  <c r="AL102" i="3"/>
  <c r="AH102" i="3"/>
  <c r="AD102" i="3"/>
  <c r="Z102" i="3"/>
  <c r="V102" i="3"/>
  <c r="R102" i="3"/>
  <c r="N102" i="3"/>
  <c r="J102" i="3"/>
  <c r="ED102" i="3" s="1"/>
  <c r="F102" i="3"/>
  <c r="EC101" i="3"/>
  <c r="EB101" i="3"/>
  <c r="DZ101" i="3"/>
  <c r="DV101" i="3"/>
  <c r="DR101" i="3"/>
  <c r="DN101" i="3"/>
  <c r="DJ101" i="3"/>
  <c r="DF101" i="3"/>
  <c r="DB101" i="3"/>
  <c r="CX101" i="3"/>
  <c r="CT101" i="3"/>
  <c r="CP101" i="3"/>
  <c r="CL101" i="3"/>
  <c r="CH101" i="3"/>
  <c r="CD101" i="3"/>
  <c r="BZ101" i="3"/>
  <c r="BV101" i="3"/>
  <c r="BR101" i="3"/>
  <c r="BN101" i="3"/>
  <c r="BJ101" i="3"/>
  <c r="BF101" i="3"/>
  <c r="BB101" i="3"/>
  <c r="AX101" i="3"/>
  <c r="AT101" i="3"/>
  <c r="ED101" i="3" s="1"/>
  <c r="AP101" i="3"/>
  <c r="AL101" i="3"/>
  <c r="AH101" i="3"/>
  <c r="AD101" i="3"/>
  <c r="Z101" i="3"/>
  <c r="V101" i="3"/>
  <c r="R101" i="3"/>
  <c r="N101" i="3"/>
  <c r="J101" i="3"/>
  <c r="EC100" i="3"/>
  <c r="EB100" i="3"/>
  <c r="DZ100" i="3"/>
  <c r="DV100" i="3"/>
  <c r="DR100" i="3"/>
  <c r="DN100" i="3"/>
  <c r="DJ100" i="3"/>
  <c r="DF100" i="3"/>
  <c r="DB100" i="3"/>
  <c r="CX100" i="3"/>
  <c r="CT100" i="3"/>
  <c r="CP100" i="3"/>
  <c r="CL100" i="3"/>
  <c r="CH100" i="3"/>
  <c r="CD100" i="3"/>
  <c r="BZ100" i="3"/>
  <c r="BV100" i="3"/>
  <c r="BR100" i="3"/>
  <c r="BN100" i="3"/>
  <c r="BJ100" i="3"/>
  <c r="BF100" i="3"/>
  <c r="BB100" i="3"/>
  <c r="AX100" i="3"/>
  <c r="AT100" i="3"/>
  <c r="AP100" i="3"/>
  <c r="AL100" i="3"/>
  <c r="ED100" i="3" s="1"/>
  <c r="AH100" i="3"/>
  <c r="AD100" i="3"/>
  <c r="Z100" i="3"/>
  <c r="V100" i="3"/>
  <c r="R100" i="3"/>
  <c r="N100" i="3"/>
  <c r="J100" i="3"/>
  <c r="EC99" i="3"/>
  <c r="EB99" i="3"/>
  <c r="DZ99" i="3"/>
  <c r="DV99" i="3"/>
  <c r="DR99" i="3"/>
  <c r="DN99" i="3"/>
  <c r="DJ99" i="3"/>
  <c r="DF99" i="3"/>
  <c r="DB99" i="3"/>
  <c r="CX99" i="3"/>
  <c r="CT99" i="3"/>
  <c r="CP99" i="3"/>
  <c r="CL99" i="3"/>
  <c r="CH99" i="3"/>
  <c r="CD99" i="3"/>
  <c r="BZ99" i="3"/>
  <c r="BV99" i="3"/>
  <c r="BR99" i="3"/>
  <c r="BN99" i="3"/>
  <c r="BJ99" i="3"/>
  <c r="BF99" i="3"/>
  <c r="BB99" i="3"/>
  <c r="AX99" i="3"/>
  <c r="AT99" i="3"/>
  <c r="AP99" i="3"/>
  <c r="AL99" i="3"/>
  <c r="AH99" i="3"/>
  <c r="AD99" i="3"/>
  <c r="ED99" i="3" s="1"/>
  <c r="Z99" i="3"/>
  <c r="V99" i="3"/>
  <c r="R99" i="3"/>
  <c r="N99" i="3"/>
  <c r="J99" i="3"/>
  <c r="EC98" i="3"/>
  <c r="EB98" i="3"/>
  <c r="DZ98" i="3"/>
  <c r="DV98" i="3"/>
  <c r="DR98" i="3"/>
  <c r="DN98" i="3"/>
  <c r="DJ98" i="3"/>
  <c r="DF98" i="3"/>
  <c r="DB98" i="3"/>
  <c r="CX98" i="3"/>
  <c r="CT98" i="3"/>
  <c r="CP98" i="3"/>
  <c r="CL98" i="3"/>
  <c r="CH98" i="3"/>
  <c r="CD98" i="3"/>
  <c r="BZ98" i="3"/>
  <c r="BV98" i="3"/>
  <c r="BR98" i="3"/>
  <c r="BN98" i="3"/>
  <c r="BJ98" i="3"/>
  <c r="BF98" i="3"/>
  <c r="BB98" i="3"/>
  <c r="AX98" i="3"/>
  <c r="AT98" i="3"/>
  <c r="AP98" i="3"/>
  <c r="AL98" i="3"/>
  <c r="AH98" i="3"/>
  <c r="AD98" i="3"/>
  <c r="Z98" i="3"/>
  <c r="V98" i="3"/>
  <c r="ED98" i="3" s="1"/>
  <c r="R98" i="3"/>
  <c r="N98" i="3"/>
  <c r="J98" i="3"/>
  <c r="EC97" i="3"/>
  <c r="EB97" i="3"/>
  <c r="DZ97" i="3"/>
  <c r="DV97" i="3"/>
  <c r="DR97" i="3"/>
  <c r="DN97" i="3"/>
  <c r="DJ97" i="3"/>
  <c r="DF97" i="3"/>
  <c r="DB97" i="3"/>
  <c r="CX97" i="3"/>
  <c r="CT97" i="3"/>
  <c r="CP97" i="3"/>
  <c r="CL97" i="3"/>
  <c r="CH97" i="3"/>
  <c r="CD97" i="3"/>
  <c r="BZ97" i="3"/>
  <c r="BV97" i="3"/>
  <c r="BR97" i="3"/>
  <c r="BN97" i="3"/>
  <c r="BJ97" i="3"/>
  <c r="BF97" i="3"/>
  <c r="BB97" i="3"/>
  <c r="AX97" i="3"/>
  <c r="AT97" i="3"/>
  <c r="AP97" i="3"/>
  <c r="AL97" i="3"/>
  <c r="AH97" i="3"/>
  <c r="AD97" i="3"/>
  <c r="Z97" i="3"/>
  <c r="V97" i="3"/>
  <c r="R97" i="3"/>
  <c r="N97" i="3"/>
  <c r="J97" i="3"/>
  <c r="ED97" i="3" s="1"/>
  <c r="EC96" i="3"/>
  <c r="EB96" i="3"/>
  <c r="DZ96" i="3"/>
  <c r="DV96" i="3"/>
  <c r="DR96" i="3"/>
  <c r="DN96" i="3"/>
  <c r="DJ96" i="3"/>
  <c r="DF96" i="3"/>
  <c r="DB96" i="3"/>
  <c r="CX96" i="3"/>
  <c r="CT96" i="3"/>
  <c r="CP96" i="3"/>
  <c r="CL96" i="3"/>
  <c r="CH96" i="3"/>
  <c r="CD96" i="3"/>
  <c r="BZ96" i="3"/>
  <c r="BV96" i="3"/>
  <c r="BR96" i="3"/>
  <c r="BN96" i="3"/>
  <c r="BJ96" i="3"/>
  <c r="BF96" i="3"/>
  <c r="BB96" i="3"/>
  <c r="AX96" i="3"/>
  <c r="AT96" i="3"/>
  <c r="AP96" i="3"/>
  <c r="AL96" i="3"/>
  <c r="AH96" i="3"/>
  <c r="AD96" i="3"/>
  <c r="Z96" i="3"/>
  <c r="V96" i="3"/>
  <c r="R96" i="3"/>
  <c r="N96" i="3"/>
  <c r="J96" i="3"/>
  <c r="ED96" i="3" s="1"/>
  <c r="EC95" i="3"/>
  <c r="EB95" i="3"/>
  <c r="DZ95" i="3"/>
  <c r="DV95" i="3"/>
  <c r="DR95" i="3"/>
  <c r="DN95" i="3"/>
  <c r="DJ95" i="3"/>
  <c r="DF95" i="3"/>
  <c r="DB95" i="3"/>
  <c r="CX95" i="3"/>
  <c r="CT95" i="3"/>
  <c r="CP95" i="3"/>
  <c r="CL95" i="3"/>
  <c r="CH95" i="3"/>
  <c r="CD95" i="3"/>
  <c r="BZ95" i="3"/>
  <c r="BV95" i="3"/>
  <c r="BR95" i="3"/>
  <c r="BN95" i="3"/>
  <c r="BJ95" i="3"/>
  <c r="BF95" i="3"/>
  <c r="BB95" i="3"/>
  <c r="AX95" i="3"/>
  <c r="AT95" i="3"/>
  <c r="ED95" i="3" s="1"/>
  <c r="AP95" i="3"/>
  <c r="AL95" i="3"/>
  <c r="AH95" i="3"/>
  <c r="AD95" i="3"/>
  <c r="Z95" i="3"/>
  <c r="V95" i="3"/>
  <c r="R95" i="3"/>
  <c r="N95" i="3"/>
  <c r="J95" i="3"/>
  <c r="EC94" i="3"/>
  <c r="EB94" i="3"/>
  <c r="DZ94" i="3"/>
  <c r="DV94" i="3"/>
  <c r="DR94" i="3"/>
  <c r="DN94" i="3"/>
  <c r="DJ94" i="3"/>
  <c r="DF94" i="3"/>
  <c r="DB94" i="3"/>
  <c r="CX94" i="3"/>
  <c r="CT94" i="3"/>
  <c r="CP94" i="3"/>
  <c r="CL94" i="3"/>
  <c r="CH94" i="3"/>
  <c r="CD94" i="3"/>
  <c r="BZ94" i="3"/>
  <c r="BV94" i="3"/>
  <c r="BR94" i="3"/>
  <c r="BN94" i="3"/>
  <c r="BJ94" i="3"/>
  <c r="BF94" i="3"/>
  <c r="BB94" i="3"/>
  <c r="AX94" i="3"/>
  <c r="AT94" i="3"/>
  <c r="AP94" i="3"/>
  <c r="AL94" i="3"/>
  <c r="ED94" i="3" s="1"/>
  <c r="AH94" i="3"/>
  <c r="AD94" i="3"/>
  <c r="Z94" i="3"/>
  <c r="V94" i="3"/>
  <c r="R94" i="3"/>
  <c r="N94" i="3"/>
  <c r="J94" i="3"/>
  <c r="EC93" i="3"/>
  <c r="EB93" i="3"/>
  <c r="DZ93" i="3"/>
  <c r="DV93" i="3"/>
  <c r="DR93" i="3"/>
  <c r="DN93" i="3"/>
  <c r="DJ93" i="3"/>
  <c r="DF93" i="3"/>
  <c r="DB93" i="3"/>
  <c r="CX93" i="3"/>
  <c r="CT93" i="3"/>
  <c r="CP93" i="3"/>
  <c r="CL93" i="3"/>
  <c r="CH93" i="3"/>
  <c r="CD93" i="3"/>
  <c r="BZ93" i="3"/>
  <c r="BV93" i="3"/>
  <c r="BR93" i="3"/>
  <c r="BN93" i="3"/>
  <c r="BJ93" i="3"/>
  <c r="BF93" i="3"/>
  <c r="BB93" i="3"/>
  <c r="AX93" i="3"/>
  <c r="AT93" i="3"/>
  <c r="AP93" i="3"/>
  <c r="AL93" i="3"/>
  <c r="AH93" i="3"/>
  <c r="AD93" i="3"/>
  <c r="ED93" i="3" s="1"/>
  <c r="Z93" i="3"/>
  <c r="V93" i="3"/>
  <c r="R93" i="3"/>
  <c r="N93" i="3"/>
  <c r="J93" i="3"/>
  <c r="EC92" i="3"/>
  <c r="EB92" i="3"/>
  <c r="DZ92" i="3"/>
  <c r="DV92" i="3"/>
  <c r="DR92" i="3"/>
  <c r="DN92" i="3"/>
  <c r="DJ92" i="3"/>
  <c r="DF92" i="3"/>
  <c r="DB92" i="3"/>
  <c r="CX92" i="3"/>
  <c r="CT92" i="3"/>
  <c r="CP92" i="3"/>
  <c r="CL92" i="3"/>
  <c r="CH92" i="3"/>
  <c r="CD92" i="3"/>
  <c r="BZ92" i="3"/>
  <c r="BV92" i="3"/>
  <c r="BR92" i="3"/>
  <c r="BN92" i="3"/>
  <c r="BJ92" i="3"/>
  <c r="BF92" i="3"/>
  <c r="BB92" i="3"/>
  <c r="AX92" i="3"/>
  <c r="AT92" i="3"/>
  <c r="AP92" i="3"/>
  <c r="AL92" i="3"/>
  <c r="AH92" i="3"/>
  <c r="AD92" i="3"/>
  <c r="Z92" i="3"/>
  <c r="V92" i="3"/>
  <c r="ED92" i="3" s="1"/>
  <c r="R92" i="3"/>
  <c r="N92" i="3"/>
  <c r="J92" i="3"/>
  <c r="EC91" i="3"/>
  <c r="EB91" i="3"/>
  <c r="DZ91" i="3"/>
  <c r="DV91" i="3"/>
  <c r="DR91" i="3"/>
  <c r="DN91" i="3"/>
  <c r="DJ91" i="3"/>
  <c r="DF91" i="3"/>
  <c r="DB91" i="3"/>
  <c r="CX91" i="3"/>
  <c r="CT91" i="3"/>
  <c r="CP91" i="3"/>
  <c r="CL91" i="3"/>
  <c r="CH91" i="3"/>
  <c r="CD91" i="3"/>
  <c r="BZ91" i="3"/>
  <c r="BV91" i="3"/>
  <c r="BR91" i="3"/>
  <c r="BN91" i="3"/>
  <c r="BJ91" i="3"/>
  <c r="BF91" i="3"/>
  <c r="BB91" i="3"/>
  <c r="AX91" i="3"/>
  <c r="AT91" i="3"/>
  <c r="AP91" i="3"/>
  <c r="AL91" i="3"/>
  <c r="AH91" i="3"/>
  <c r="AD91" i="3"/>
  <c r="Z91" i="3"/>
  <c r="V91" i="3"/>
  <c r="R91" i="3"/>
  <c r="N91" i="3"/>
  <c r="J91" i="3"/>
  <c r="ED91" i="3" s="1"/>
  <c r="EC90" i="3"/>
  <c r="EB90" i="3"/>
  <c r="DZ90" i="3"/>
  <c r="DV90" i="3"/>
  <c r="DR90" i="3"/>
  <c r="DN90" i="3"/>
  <c r="DJ90" i="3"/>
  <c r="DF90" i="3"/>
  <c r="DB90" i="3"/>
  <c r="CX90" i="3"/>
  <c r="CT90" i="3"/>
  <c r="CP90" i="3"/>
  <c r="CL90" i="3"/>
  <c r="CH90" i="3"/>
  <c r="CD90" i="3"/>
  <c r="BZ90" i="3"/>
  <c r="BV90" i="3"/>
  <c r="BR90" i="3"/>
  <c r="BN90" i="3"/>
  <c r="BJ90" i="3"/>
  <c r="BF90" i="3"/>
  <c r="BB90" i="3"/>
  <c r="AX90" i="3"/>
  <c r="AT90" i="3"/>
  <c r="AP90" i="3"/>
  <c r="AL90" i="3"/>
  <c r="AH90" i="3"/>
  <c r="AD90" i="3"/>
  <c r="Z90" i="3"/>
  <c r="V90" i="3"/>
  <c r="R90" i="3"/>
  <c r="N90" i="3"/>
  <c r="J90" i="3"/>
  <c r="ED90" i="3" s="1"/>
  <c r="EC89" i="3"/>
  <c r="EB89" i="3"/>
  <c r="DZ89" i="3"/>
  <c r="DV89" i="3"/>
  <c r="DR89" i="3"/>
  <c r="DN89" i="3"/>
  <c r="DJ89" i="3"/>
  <c r="DF89" i="3"/>
  <c r="DB89" i="3"/>
  <c r="CX89" i="3"/>
  <c r="CT89" i="3"/>
  <c r="CP89" i="3"/>
  <c r="CL89" i="3"/>
  <c r="CH89" i="3"/>
  <c r="CD89" i="3"/>
  <c r="BZ89" i="3"/>
  <c r="BV89" i="3"/>
  <c r="BR89" i="3"/>
  <c r="BN89" i="3"/>
  <c r="BJ89" i="3"/>
  <c r="BF89" i="3"/>
  <c r="BB89" i="3"/>
  <c r="AX89" i="3"/>
  <c r="AT89" i="3"/>
  <c r="ED89" i="3" s="1"/>
  <c r="AP89" i="3"/>
  <c r="AL89" i="3"/>
  <c r="AH89" i="3"/>
  <c r="AD89" i="3"/>
  <c r="Z89" i="3"/>
  <c r="V89" i="3"/>
  <c r="R89" i="3"/>
  <c r="N89" i="3"/>
  <c r="J89" i="3"/>
  <c r="EC88" i="3"/>
  <c r="EB88" i="3"/>
  <c r="DZ88" i="3"/>
  <c r="DV88" i="3"/>
  <c r="DR88" i="3"/>
  <c r="DN88" i="3"/>
  <c r="DJ88" i="3"/>
  <c r="DF88" i="3"/>
  <c r="DB88" i="3"/>
  <c r="CX88" i="3"/>
  <c r="CT88" i="3"/>
  <c r="CP88" i="3"/>
  <c r="CL88" i="3"/>
  <c r="CH88" i="3"/>
  <c r="CD88" i="3"/>
  <c r="BZ88" i="3"/>
  <c r="BV88" i="3"/>
  <c r="BR88" i="3"/>
  <c r="BN88" i="3"/>
  <c r="BJ88" i="3"/>
  <c r="BF88" i="3"/>
  <c r="BB88" i="3"/>
  <c r="AX88" i="3"/>
  <c r="AT88" i="3"/>
  <c r="AP88" i="3"/>
  <c r="AL88" i="3"/>
  <c r="ED88" i="3" s="1"/>
  <c r="AH88" i="3"/>
  <c r="AD88" i="3"/>
  <c r="Z88" i="3"/>
  <c r="V88" i="3"/>
  <c r="R88" i="3"/>
  <c r="N88" i="3"/>
  <c r="J88" i="3"/>
  <c r="EC87" i="3"/>
  <c r="EB87" i="3"/>
  <c r="DZ87" i="3"/>
  <c r="DV87" i="3"/>
  <c r="DR87" i="3"/>
  <c r="DN87" i="3"/>
  <c r="DJ87" i="3"/>
  <c r="DF87" i="3"/>
  <c r="DB87" i="3"/>
  <c r="CX87" i="3"/>
  <c r="CT87" i="3"/>
  <c r="CP87" i="3"/>
  <c r="CL87" i="3"/>
  <c r="CH87" i="3"/>
  <c r="CD87" i="3"/>
  <c r="BZ87" i="3"/>
  <c r="BV87" i="3"/>
  <c r="BR87" i="3"/>
  <c r="BN87" i="3"/>
  <c r="BJ87" i="3"/>
  <c r="BF87" i="3"/>
  <c r="BB87" i="3"/>
  <c r="AX87" i="3"/>
  <c r="AT87" i="3"/>
  <c r="AP87" i="3"/>
  <c r="AL87" i="3"/>
  <c r="AH87" i="3"/>
  <c r="AD87" i="3"/>
  <c r="ED87" i="3" s="1"/>
  <c r="Z87" i="3"/>
  <c r="V87" i="3"/>
  <c r="R87" i="3"/>
  <c r="N87" i="3"/>
  <c r="J87" i="3"/>
  <c r="EC86" i="3"/>
  <c r="EB86" i="3"/>
  <c r="DZ86" i="3"/>
  <c r="DV86" i="3"/>
  <c r="DR86" i="3"/>
  <c r="DN86" i="3"/>
  <c r="DJ86" i="3"/>
  <c r="DF86" i="3"/>
  <c r="DB86" i="3"/>
  <c r="CX86" i="3"/>
  <c r="CT86" i="3"/>
  <c r="CP86" i="3"/>
  <c r="CL86" i="3"/>
  <c r="CH86" i="3"/>
  <c r="CD86" i="3"/>
  <c r="BZ86" i="3"/>
  <c r="BV86" i="3"/>
  <c r="BR86" i="3"/>
  <c r="BN86" i="3"/>
  <c r="BJ86" i="3"/>
  <c r="BF86" i="3"/>
  <c r="BB86" i="3"/>
  <c r="AX86" i="3"/>
  <c r="AT86" i="3"/>
  <c r="AP86" i="3"/>
  <c r="AL86" i="3"/>
  <c r="AH86" i="3"/>
  <c r="AD86" i="3"/>
  <c r="Z86" i="3"/>
  <c r="V86" i="3"/>
  <c r="ED86" i="3" s="1"/>
  <c r="R86" i="3"/>
  <c r="N86" i="3"/>
  <c r="J86" i="3"/>
  <c r="EC85" i="3"/>
  <c r="EB85" i="3"/>
  <c r="DZ85" i="3"/>
  <c r="DV85" i="3"/>
  <c r="DR85" i="3"/>
  <c r="DN85" i="3"/>
  <c r="DJ85" i="3"/>
  <c r="DF85" i="3"/>
  <c r="DB85" i="3"/>
  <c r="CX85" i="3"/>
  <c r="CT85" i="3"/>
  <c r="CP85" i="3"/>
  <c r="CL85" i="3"/>
  <c r="CH85" i="3"/>
  <c r="CD85" i="3"/>
  <c r="BZ85" i="3"/>
  <c r="BV85" i="3"/>
  <c r="BR85" i="3"/>
  <c r="BN85" i="3"/>
  <c r="BJ85" i="3"/>
  <c r="BF85" i="3"/>
  <c r="BB85" i="3"/>
  <c r="AX85" i="3"/>
  <c r="AT85" i="3"/>
  <c r="AP85" i="3"/>
  <c r="AL85" i="3"/>
  <c r="AH85" i="3"/>
  <c r="AD85" i="3"/>
  <c r="Z85" i="3"/>
  <c r="V85" i="3"/>
  <c r="R85" i="3"/>
  <c r="N85" i="3"/>
  <c r="J85" i="3"/>
  <c r="ED85" i="3" s="1"/>
  <c r="EC84" i="3"/>
  <c r="EB84" i="3"/>
  <c r="DZ84" i="3"/>
  <c r="DV84" i="3"/>
  <c r="DR84" i="3"/>
  <c r="DN84" i="3"/>
  <c r="DJ84" i="3"/>
  <c r="DF84" i="3"/>
  <c r="DB84" i="3"/>
  <c r="CX84" i="3"/>
  <c r="CT84" i="3"/>
  <c r="CP84" i="3"/>
  <c r="CL84" i="3"/>
  <c r="CH84" i="3"/>
  <c r="CD84" i="3"/>
  <c r="BZ84" i="3"/>
  <c r="BV84" i="3"/>
  <c r="BR84" i="3"/>
  <c r="BN84" i="3"/>
  <c r="BJ84" i="3"/>
  <c r="BF84" i="3"/>
  <c r="BB84" i="3"/>
  <c r="AX84" i="3"/>
  <c r="AT84" i="3"/>
  <c r="AP84" i="3"/>
  <c r="AL84" i="3"/>
  <c r="AH84" i="3"/>
  <c r="AD84" i="3"/>
  <c r="Z84" i="3"/>
  <c r="V84" i="3"/>
  <c r="R84" i="3"/>
  <c r="N84" i="3"/>
  <c r="J84" i="3"/>
  <c r="ED84" i="3" s="1"/>
  <c r="EC83" i="3"/>
  <c r="EB83" i="3"/>
  <c r="DZ83" i="3"/>
  <c r="DV83" i="3"/>
  <c r="DR83" i="3"/>
  <c r="DN83" i="3"/>
  <c r="DJ83" i="3"/>
  <c r="DF83" i="3"/>
  <c r="DB83" i="3"/>
  <c r="CX83" i="3"/>
  <c r="CT83" i="3"/>
  <c r="CP83" i="3"/>
  <c r="CL83" i="3"/>
  <c r="CH83" i="3"/>
  <c r="CD83" i="3"/>
  <c r="BZ83" i="3"/>
  <c r="BV83" i="3"/>
  <c r="BR83" i="3"/>
  <c r="BN83" i="3"/>
  <c r="BJ83" i="3"/>
  <c r="BF83" i="3"/>
  <c r="BB83" i="3"/>
  <c r="AX83" i="3"/>
  <c r="AT83" i="3"/>
  <c r="ED83" i="3" s="1"/>
  <c r="AP83" i="3"/>
  <c r="AL83" i="3"/>
  <c r="AH83" i="3"/>
  <c r="AD83" i="3"/>
  <c r="Z83" i="3"/>
  <c r="V83" i="3"/>
  <c r="R83" i="3"/>
  <c r="N83" i="3"/>
  <c r="J83" i="3"/>
  <c r="EC82" i="3"/>
  <c r="EB82" i="3"/>
  <c r="DZ82" i="3"/>
  <c r="DV82" i="3"/>
  <c r="DR82" i="3"/>
  <c r="DN82" i="3"/>
  <c r="DJ82" i="3"/>
  <c r="DF82" i="3"/>
  <c r="DB82" i="3"/>
  <c r="CX82" i="3"/>
  <c r="CT82" i="3"/>
  <c r="CP82" i="3"/>
  <c r="CL82" i="3"/>
  <c r="CH82" i="3"/>
  <c r="CD82" i="3"/>
  <c r="BZ82" i="3"/>
  <c r="BV82" i="3"/>
  <c r="BR82" i="3"/>
  <c r="BN82" i="3"/>
  <c r="BJ82" i="3"/>
  <c r="BF82" i="3"/>
  <c r="BB82" i="3"/>
  <c r="AX82" i="3"/>
  <c r="AT82" i="3"/>
  <c r="AP82" i="3"/>
  <c r="AL82" i="3"/>
  <c r="ED82" i="3" s="1"/>
  <c r="AH82" i="3"/>
  <c r="AD82" i="3"/>
  <c r="Z82" i="3"/>
  <c r="V82" i="3"/>
  <c r="R82" i="3"/>
  <c r="N82" i="3"/>
  <c r="J82" i="3"/>
  <c r="EC81" i="3"/>
  <c r="EB81" i="3"/>
  <c r="DZ81" i="3"/>
  <c r="DV81" i="3"/>
  <c r="DR81" i="3"/>
  <c r="DN81" i="3"/>
  <c r="DJ81" i="3"/>
  <c r="DF81" i="3"/>
  <c r="DB81" i="3"/>
  <c r="CX81" i="3"/>
  <c r="CT81" i="3"/>
  <c r="CP81" i="3"/>
  <c r="CL81" i="3"/>
  <c r="CH81" i="3"/>
  <c r="CD81" i="3"/>
  <c r="BZ81" i="3"/>
  <c r="BV81" i="3"/>
  <c r="BR81" i="3"/>
  <c r="BN81" i="3"/>
  <c r="BJ81" i="3"/>
  <c r="BF81" i="3"/>
  <c r="BB81" i="3"/>
  <c r="AX81" i="3"/>
  <c r="AT81" i="3"/>
  <c r="AP81" i="3"/>
  <c r="AL81" i="3"/>
  <c r="AH81" i="3"/>
  <c r="AD81" i="3"/>
  <c r="ED81" i="3" s="1"/>
  <c r="Z81" i="3"/>
  <c r="V81" i="3"/>
  <c r="R81" i="3"/>
  <c r="N81" i="3"/>
  <c r="J81" i="3"/>
  <c r="EC80" i="3"/>
  <c r="EB80" i="3"/>
  <c r="DZ80" i="3"/>
  <c r="DV80" i="3"/>
  <c r="DR80" i="3"/>
  <c r="DN80" i="3"/>
  <c r="DJ80" i="3"/>
  <c r="DF80" i="3"/>
  <c r="DB80" i="3"/>
  <c r="CX80" i="3"/>
  <c r="CT80" i="3"/>
  <c r="CP80" i="3"/>
  <c r="CL80" i="3"/>
  <c r="CH80" i="3"/>
  <c r="CD80" i="3"/>
  <c r="BZ80" i="3"/>
  <c r="BV80" i="3"/>
  <c r="BR80" i="3"/>
  <c r="BN80" i="3"/>
  <c r="BJ80" i="3"/>
  <c r="BF80" i="3"/>
  <c r="BB80" i="3"/>
  <c r="AX80" i="3"/>
  <c r="AT80" i="3"/>
  <c r="AP80" i="3"/>
  <c r="AL80" i="3"/>
  <c r="AH80" i="3"/>
  <c r="AD80" i="3"/>
  <c r="Z80" i="3"/>
  <c r="V80" i="3"/>
  <c r="ED80" i="3" s="1"/>
  <c r="R80" i="3"/>
  <c r="N80" i="3"/>
  <c r="J80" i="3"/>
  <c r="EC79" i="3"/>
  <c r="EB79" i="3"/>
  <c r="DZ79" i="3"/>
  <c r="DV79" i="3"/>
  <c r="DR79" i="3"/>
  <c r="DN79" i="3"/>
  <c r="DJ79" i="3"/>
  <c r="DF79" i="3"/>
  <c r="DB79" i="3"/>
  <c r="CX79" i="3"/>
  <c r="CT79" i="3"/>
  <c r="CP79" i="3"/>
  <c r="CL79" i="3"/>
  <c r="CH79" i="3"/>
  <c r="CD79" i="3"/>
  <c r="BZ79" i="3"/>
  <c r="BV79" i="3"/>
  <c r="BR79" i="3"/>
  <c r="BN79" i="3"/>
  <c r="BJ79" i="3"/>
  <c r="BF79" i="3"/>
  <c r="BB79" i="3"/>
  <c r="AX79" i="3"/>
  <c r="AT79" i="3"/>
  <c r="AP79" i="3"/>
  <c r="AL79" i="3"/>
  <c r="AH79" i="3"/>
  <c r="AD79" i="3"/>
  <c r="Z79" i="3"/>
  <c r="V79" i="3"/>
  <c r="R79" i="3"/>
  <c r="N79" i="3"/>
  <c r="J79" i="3"/>
  <c r="ED79" i="3" s="1"/>
  <c r="EC78" i="3"/>
  <c r="EB78" i="3"/>
  <c r="DZ78" i="3"/>
  <c r="DV78" i="3"/>
  <c r="DR78" i="3"/>
  <c r="DN78" i="3"/>
  <c r="DJ78" i="3"/>
  <c r="DF78" i="3"/>
  <c r="DB78" i="3"/>
  <c r="CX78" i="3"/>
  <c r="CT78" i="3"/>
  <c r="CP78" i="3"/>
  <c r="CL78" i="3"/>
  <c r="CH78" i="3"/>
  <c r="CD78" i="3"/>
  <c r="BZ78" i="3"/>
  <c r="BV78" i="3"/>
  <c r="BR78" i="3"/>
  <c r="BN78" i="3"/>
  <c r="BJ78" i="3"/>
  <c r="BF78" i="3"/>
  <c r="BB78" i="3"/>
  <c r="AX78" i="3"/>
  <c r="AT78" i="3"/>
  <c r="AP78" i="3"/>
  <c r="AL78" i="3"/>
  <c r="AH78" i="3"/>
  <c r="AD78" i="3"/>
  <c r="Z78" i="3"/>
  <c r="V78" i="3"/>
  <c r="R78" i="3"/>
  <c r="N78" i="3"/>
  <c r="J78" i="3"/>
  <c r="ED78" i="3" s="1"/>
  <c r="EC77" i="3"/>
  <c r="EB77" i="3"/>
  <c r="DZ77" i="3"/>
  <c r="DV77" i="3"/>
  <c r="DR77" i="3"/>
  <c r="DN77" i="3"/>
  <c r="DJ77" i="3"/>
  <c r="DF77" i="3"/>
  <c r="DB77" i="3"/>
  <c r="CX77" i="3"/>
  <c r="CT77" i="3"/>
  <c r="CP77" i="3"/>
  <c r="CL77" i="3"/>
  <c r="CH77" i="3"/>
  <c r="CD77" i="3"/>
  <c r="BZ77" i="3"/>
  <c r="BV77" i="3"/>
  <c r="BR77" i="3"/>
  <c r="BN77" i="3"/>
  <c r="BJ77" i="3"/>
  <c r="BF77" i="3"/>
  <c r="BB77" i="3"/>
  <c r="AX77" i="3"/>
  <c r="AT77" i="3"/>
  <c r="ED77" i="3" s="1"/>
  <c r="AP77" i="3"/>
  <c r="AL77" i="3"/>
  <c r="AH77" i="3"/>
  <c r="AD77" i="3"/>
  <c r="Z77" i="3"/>
  <c r="V77" i="3"/>
  <c r="R77" i="3"/>
  <c r="N77" i="3"/>
  <c r="J77" i="3"/>
  <c r="EC76" i="3"/>
  <c r="EB76" i="3"/>
  <c r="DZ76" i="3"/>
  <c r="DV76" i="3"/>
  <c r="DR76" i="3"/>
  <c r="DN76" i="3"/>
  <c r="DJ76" i="3"/>
  <c r="DF76" i="3"/>
  <c r="DB76" i="3"/>
  <c r="CX76" i="3"/>
  <c r="CT76" i="3"/>
  <c r="CP76" i="3"/>
  <c r="CL76" i="3"/>
  <c r="CH76" i="3"/>
  <c r="CD76" i="3"/>
  <c r="BZ76" i="3"/>
  <c r="BV76" i="3"/>
  <c r="BR76" i="3"/>
  <c r="BN76" i="3"/>
  <c r="BJ76" i="3"/>
  <c r="BF76" i="3"/>
  <c r="BB76" i="3"/>
  <c r="AX76" i="3"/>
  <c r="AT76" i="3"/>
  <c r="AP76" i="3"/>
  <c r="AL76" i="3"/>
  <c r="ED76" i="3" s="1"/>
  <c r="AH76" i="3"/>
  <c r="AD76" i="3"/>
  <c r="Z76" i="3"/>
  <c r="V76" i="3"/>
  <c r="R76" i="3"/>
  <c r="N76" i="3"/>
  <c r="J76" i="3"/>
  <c r="EC75" i="3"/>
  <c r="EB75" i="3"/>
  <c r="DZ75" i="3"/>
  <c r="DV75" i="3"/>
  <c r="DR75" i="3"/>
  <c r="DN75" i="3"/>
  <c r="DJ75" i="3"/>
  <c r="DF75" i="3"/>
  <c r="DB75" i="3"/>
  <c r="CX75" i="3"/>
  <c r="CT75" i="3"/>
  <c r="CP75" i="3"/>
  <c r="CL75" i="3"/>
  <c r="CH75" i="3"/>
  <c r="CD75" i="3"/>
  <c r="BZ75" i="3"/>
  <c r="BV75" i="3"/>
  <c r="BR75" i="3"/>
  <c r="BN75" i="3"/>
  <c r="BJ75" i="3"/>
  <c r="BF75" i="3"/>
  <c r="BB75" i="3"/>
  <c r="AX75" i="3"/>
  <c r="AT75" i="3"/>
  <c r="AP75" i="3"/>
  <c r="AL75" i="3"/>
  <c r="AH75" i="3"/>
  <c r="AD75" i="3"/>
  <c r="ED75" i="3" s="1"/>
  <c r="Z75" i="3"/>
  <c r="V75" i="3"/>
  <c r="R75" i="3"/>
  <c r="N75" i="3"/>
  <c r="J75" i="3"/>
  <c r="EC74" i="3"/>
  <c r="EB74" i="3"/>
  <c r="DZ74" i="3"/>
  <c r="DV74" i="3"/>
  <c r="DR74" i="3"/>
  <c r="DN74" i="3"/>
  <c r="DJ74" i="3"/>
  <c r="DF74" i="3"/>
  <c r="DB74" i="3"/>
  <c r="CX74" i="3"/>
  <c r="CT74" i="3"/>
  <c r="CP74" i="3"/>
  <c r="CL74" i="3"/>
  <c r="CH74" i="3"/>
  <c r="CD74" i="3"/>
  <c r="BZ74" i="3"/>
  <c r="BV74" i="3"/>
  <c r="BR74" i="3"/>
  <c r="BN74" i="3"/>
  <c r="BJ74" i="3"/>
  <c r="BF74" i="3"/>
  <c r="BB74" i="3"/>
  <c r="AX74" i="3"/>
  <c r="AT74" i="3"/>
  <c r="AP74" i="3"/>
  <c r="AL74" i="3"/>
  <c r="AH74" i="3"/>
  <c r="AD74" i="3"/>
  <c r="Z74" i="3"/>
  <c r="V74" i="3"/>
  <c r="ED74" i="3" s="1"/>
  <c r="R74" i="3"/>
  <c r="N74" i="3"/>
  <c r="J74" i="3"/>
  <c r="EC73" i="3"/>
  <c r="EB73" i="3"/>
  <c r="DZ73" i="3"/>
  <c r="DV73" i="3"/>
  <c r="DR73" i="3"/>
  <c r="DN73" i="3"/>
  <c r="DJ73" i="3"/>
  <c r="DF73" i="3"/>
  <c r="DB73" i="3"/>
  <c r="CX73" i="3"/>
  <c r="CT73" i="3"/>
  <c r="CP73" i="3"/>
  <c r="CL73" i="3"/>
  <c r="CH73" i="3"/>
  <c r="CD73" i="3"/>
  <c r="BZ73" i="3"/>
  <c r="BV73" i="3"/>
  <c r="BR73" i="3"/>
  <c r="BN73" i="3"/>
  <c r="BJ73" i="3"/>
  <c r="BF73" i="3"/>
  <c r="BB73" i="3"/>
  <c r="AX73" i="3"/>
  <c r="AT73" i="3"/>
  <c r="AP73" i="3"/>
  <c r="AL73" i="3"/>
  <c r="AH73" i="3"/>
  <c r="AD73" i="3"/>
  <c r="Z73" i="3"/>
  <c r="V73" i="3"/>
  <c r="R73" i="3"/>
  <c r="N73" i="3"/>
  <c r="J73" i="3"/>
  <c r="ED73" i="3" s="1"/>
  <c r="EC72" i="3"/>
  <c r="EB72" i="3"/>
  <c r="DZ72" i="3"/>
  <c r="DV72" i="3"/>
  <c r="DR72" i="3"/>
  <c r="DN72" i="3"/>
  <c r="DJ72" i="3"/>
  <c r="DF72" i="3"/>
  <c r="DB72" i="3"/>
  <c r="CX72" i="3"/>
  <c r="CT72" i="3"/>
  <c r="CP72" i="3"/>
  <c r="CL72" i="3"/>
  <c r="CH72" i="3"/>
  <c r="CD72" i="3"/>
  <c r="BZ72" i="3"/>
  <c r="BV72" i="3"/>
  <c r="BR72" i="3"/>
  <c r="BN72" i="3"/>
  <c r="BJ72" i="3"/>
  <c r="BF72" i="3"/>
  <c r="BB72" i="3"/>
  <c r="AX72" i="3"/>
  <c r="AT72" i="3"/>
  <c r="AP72" i="3"/>
  <c r="AL72" i="3"/>
  <c r="AH72" i="3"/>
  <c r="AD72" i="3"/>
  <c r="Z72" i="3"/>
  <c r="V72" i="3"/>
  <c r="R72" i="3"/>
  <c r="N72" i="3"/>
  <c r="J72" i="3"/>
  <c r="ED72" i="3" s="1"/>
  <c r="EC71" i="3"/>
  <c r="EB71" i="3"/>
  <c r="DZ71" i="3"/>
  <c r="DV71" i="3"/>
  <c r="DR71" i="3"/>
  <c r="DN71" i="3"/>
  <c r="DJ71" i="3"/>
  <c r="DF71" i="3"/>
  <c r="DB71" i="3"/>
  <c r="CX71" i="3"/>
  <c r="CT71" i="3"/>
  <c r="CP71" i="3"/>
  <c r="CL71" i="3"/>
  <c r="CH71" i="3"/>
  <c r="CD71" i="3"/>
  <c r="BZ71" i="3"/>
  <c r="BV71" i="3"/>
  <c r="BR71" i="3"/>
  <c r="BN71" i="3"/>
  <c r="BJ71" i="3"/>
  <c r="BF71" i="3"/>
  <c r="BB71" i="3"/>
  <c r="AX71" i="3"/>
  <c r="AT71" i="3"/>
  <c r="ED71" i="3" s="1"/>
  <c r="AP71" i="3"/>
  <c r="AL71" i="3"/>
  <c r="AH71" i="3"/>
  <c r="AD71" i="3"/>
  <c r="Z71" i="3"/>
  <c r="V71" i="3"/>
  <c r="R71" i="3"/>
  <c r="N71" i="3"/>
  <c r="J71" i="3"/>
  <c r="EC70" i="3"/>
  <c r="EB70" i="3"/>
  <c r="DZ70" i="3"/>
  <c r="DV70" i="3"/>
  <c r="DR70" i="3"/>
  <c r="DN70" i="3"/>
  <c r="DJ70" i="3"/>
  <c r="DF70" i="3"/>
  <c r="DB70" i="3"/>
  <c r="CX70" i="3"/>
  <c r="CT70" i="3"/>
  <c r="CP70" i="3"/>
  <c r="CL70" i="3"/>
  <c r="CH70" i="3"/>
  <c r="CD70" i="3"/>
  <c r="BZ70" i="3"/>
  <c r="BV70" i="3"/>
  <c r="BR70" i="3"/>
  <c r="BN70" i="3"/>
  <c r="BJ70" i="3"/>
  <c r="BF70" i="3"/>
  <c r="BB70" i="3"/>
  <c r="AX70" i="3"/>
  <c r="AT70" i="3"/>
  <c r="AP70" i="3"/>
  <c r="AL70" i="3"/>
  <c r="ED70" i="3" s="1"/>
  <c r="AH70" i="3"/>
  <c r="AD70" i="3"/>
  <c r="Z70" i="3"/>
  <c r="V70" i="3"/>
  <c r="R70" i="3"/>
  <c r="N70" i="3"/>
  <c r="J70" i="3"/>
  <c r="EC69" i="3"/>
  <c r="EB69" i="3"/>
  <c r="DZ69" i="3"/>
  <c r="DV69" i="3"/>
  <c r="DR69" i="3"/>
  <c r="DN69" i="3"/>
  <c r="DJ69" i="3"/>
  <c r="DF69" i="3"/>
  <c r="DB69" i="3"/>
  <c r="CX69" i="3"/>
  <c r="CT69" i="3"/>
  <c r="CP69" i="3"/>
  <c r="CL69" i="3"/>
  <c r="CH69" i="3"/>
  <c r="CD69" i="3"/>
  <c r="BZ69" i="3"/>
  <c r="BV69" i="3"/>
  <c r="BR69" i="3"/>
  <c r="BN69" i="3"/>
  <c r="BJ69" i="3"/>
  <c r="BF69" i="3"/>
  <c r="BB69" i="3"/>
  <c r="AX69" i="3"/>
  <c r="AT69" i="3"/>
  <c r="AP69" i="3"/>
  <c r="AL69" i="3"/>
  <c r="AH69" i="3"/>
  <c r="AD69" i="3"/>
  <c r="ED69" i="3" s="1"/>
  <c r="Z69" i="3"/>
  <c r="V69" i="3"/>
  <c r="R69" i="3"/>
  <c r="N69" i="3"/>
  <c r="J69" i="3"/>
  <c r="EC68" i="3"/>
  <c r="EB68" i="3"/>
  <c r="DZ68" i="3"/>
  <c r="DV68" i="3"/>
  <c r="DR68" i="3"/>
  <c r="DN68" i="3"/>
  <c r="DJ68" i="3"/>
  <c r="DF68" i="3"/>
  <c r="DB68" i="3"/>
  <c r="CX68" i="3"/>
  <c r="CT68" i="3"/>
  <c r="CP68" i="3"/>
  <c r="CL68" i="3"/>
  <c r="CH68" i="3"/>
  <c r="CD68" i="3"/>
  <c r="BZ68" i="3"/>
  <c r="BV68" i="3"/>
  <c r="BR68" i="3"/>
  <c r="BN68" i="3"/>
  <c r="BJ68" i="3"/>
  <c r="BF68" i="3"/>
  <c r="BB68" i="3"/>
  <c r="AX68" i="3"/>
  <c r="AT68" i="3"/>
  <c r="AP68" i="3"/>
  <c r="AL68" i="3"/>
  <c r="AH68" i="3"/>
  <c r="AD68" i="3"/>
  <c r="Z68" i="3"/>
  <c r="V68" i="3"/>
  <c r="ED68" i="3" s="1"/>
  <c r="R68" i="3"/>
  <c r="N68" i="3"/>
  <c r="J68" i="3"/>
  <c r="EC67" i="3"/>
  <c r="EB67" i="3"/>
  <c r="DZ67" i="3"/>
  <c r="DV67" i="3"/>
  <c r="DR67" i="3"/>
  <c r="DN67" i="3"/>
  <c r="DJ67" i="3"/>
  <c r="DF67" i="3"/>
  <c r="DB67" i="3"/>
  <c r="CX67" i="3"/>
  <c r="CT67" i="3"/>
  <c r="CP67" i="3"/>
  <c r="CL67" i="3"/>
  <c r="CH67" i="3"/>
  <c r="CD67" i="3"/>
  <c r="BZ67" i="3"/>
  <c r="BV67" i="3"/>
  <c r="BR67" i="3"/>
  <c r="BN67" i="3"/>
  <c r="BJ67" i="3"/>
  <c r="BF67" i="3"/>
  <c r="BB67" i="3"/>
  <c r="AX67" i="3"/>
  <c r="AT67" i="3"/>
  <c r="AP67" i="3"/>
  <c r="AL67" i="3"/>
  <c r="AH67" i="3"/>
  <c r="AD67" i="3"/>
  <c r="Z67" i="3"/>
  <c r="V67" i="3"/>
  <c r="R67" i="3"/>
  <c r="N67" i="3"/>
  <c r="J67" i="3"/>
  <c r="ED67" i="3" s="1"/>
  <c r="EC66" i="3"/>
  <c r="EB66" i="3"/>
  <c r="DZ66" i="3"/>
  <c r="DV66" i="3"/>
  <c r="DR66" i="3"/>
  <c r="DN66" i="3"/>
  <c r="DJ66" i="3"/>
  <c r="DF66" i="3"/>
  <c r="DB66" i="3"/>
  <c r="CX66" i="3"/>
  <c r="CT66" i="3"/>
  <c r="CP66" i="3"/>
  <c r="CL66" i="3"/>
  <c r="CH66" i="3"/>
  <c r="CD66" i="3"/>
  <c r="BZ66" i="3"/>
  <c r="BV66" i="3"/>
  <c r="BR66" i="3"/>
  <c r="BN66" i="3"/>
  <c r="BJ66" i="3"/>
  <c r="BF66" i="3"/>
  <c r="BB66" i="3"/>
  <c r="AX66" i="3"/>
  <c r="AT66" i="3"/>
  <c r="AP66" i="3"/>
  <c r="AL66" i="3"/>
  <c r="AH66" i="3"/>
  <c r="AD66" i="3"/>
  <c r="Z66" i="3"/>
  <c r="V66" i="3"/>
  <c r="R66" i="3"/>
  <c r="N66" i="3"/>
  <c r="J66" i="3"/>
  <c r="ED66" i="3" s="1"/>
  <c r="EC65" i="3"/>
  <c r="EB65" i="3"/>
  <c r="DZ65" i="3"/>
  <c r="DV65" i="3"/>
  <c r="DR65" i="3"/>
  <c r="DN65" i="3"/>
  <c r="DJ65" i="3"/>
  <c r="DF65" i="3"/>
  <c r="DB65" i="3"/>
  <c r="CX65" i="3"/>
  <c r="CT65" i="3"/>
  <c r="CP65" i="3"/>
  <c r="CL65" i="3"/>
  <c r="CH65" i="3"/>
  <c r="CD65" i="3"/>
  <c r="BZ65" i="3"/>
  <c r="BV65" i="3"/>
  <c r="BR65" i="3"/>
  <c r="BN65" i="3"/>
  <c r="BJ65" i="3"/>
  <c r="BF65" i="3"/>
  <c r="BB65" i="3"/>
  <c r="AX65" i="3"/>
  <c r="AT65" i="3"/>
  <c r="ED65" i="3" s="1"/>
  <c r="AP65" i="3"/>
  <c r="AL65" i="3"/>
  <c r="AH65" i="3"/>
  <c r="AD65" i="3"/>
  <c r="Z65" i="3"/>
  <c r="V65" i="3"/>
  <c r="R65" i="3"/>
  <c r="N65" i="3"/>
  <c r="J65" i="3"/>
  <c r="EC64" i="3"/>
  <c r="EB64" i="3"/>
  <c r="DZ64" i="3"/>
  <c r="DV64" i="3"/>
  <c r="DR64" i="3"/>
  <c r="DN64" i="3"/>
  <c r="DJ64" i="3"/>
  <c r="DF64" i="3"/>
  <c r="DB64" i="3"/>
  <c r="CX64" i="3"/>
  <c r="CT64" i="3"/>
  <c r="CP64" i="3"/>
  <c r="CL64" i="3"/>
  <c r="CH64" i="3"/>
  <c r="CD64" i="3"/>
  <c r="BZ64" i="3"/>
  <c r="BV64" i="3"/>
  <c r="BR64" i="3"/>
  <c r="BN64" i="3"/>
  <c r="BJ64" i="3"/>
  <c r="BF64" i="3"/>
  <c r="BB64" i="3"/>
  <c r="AX64" i="3"/>
  <c r="AT64" i="3"/>
  <c r="AP64" i="3"/>
  <c r="AL64" i="3"/>
  <c r="ED64" i="3" s="1"/>
  <c r="AH64" i="3"/>
  <c r="AD64" i="3"/>
  <c r="Z64" i="3"/>
  <c r="V64" i="3"/>
  <c r="R64" i="3"/>
  <c r="N64" i="3"/>
  <c r="J64" i="3"/>
  <c r="EC63" i="3"/>
  <c r="EB63" i="3"/>
  <c r="DZ63" i="3"/>
  <c r="DV63" i="3"/>
  <c r="DR63" i="3"/>
  <c r="DN63" i="3"/>
  <c r="DJ63" i="3"/>
  <c r="DF63" i="3"/>
  <c r="DB63" i="3"/>
  <c r="CX63" i="3"/>
  <c r="CT63" i="3"/>
  <c r="CP63" i="3"/>
  <c r="CL63" i="3"/>
  <c r="CH63" i="3"/>
  <c r="CD63" i="3"/>
  <c r="BZ63" i="3"/>
  <c r="BV63" i="3"/>
  <c r="BR63" i="3"/>
  <c r="BN63" i="3"/>
  <c r="BJ63" i="3"/>
  <c r="BF63" i="3"/>
  <c r="BB63" i="3"/>
  <c r="AX63" i="3"/>
  <c r="AT63" i="3"/>
  <c r="AP63" i="3"/>
  <c r="AL63" i="3"/>
  <c r="AH63" i="3"/>
  <c r="AD63" i="3"/>
  <c r="ED63" i="3" s="1"/>
  <c r="Z63" i="3"/>
  <c r="V63" i="3"/>
  <c r="R63" i="3"/>
  <c r="N63" i="3"/>
  <c r="J63" i="3"/>
  <c r="EC62" i="3"/>
  <c r="EB62" i="3"/>
  <c r="DZ62" i="3"/>
  <c r="DV62" i="3"/>
  <c r="DR62" i="3"/>
  <c r="DN62" i="3"/>
  <c r="DJ62" i="3"/>
  <c r="DF62" i="3"/>
  <c r="DB62" i="3"/>
  <c r="CX62" i="3"/>
  <c r="CT62" i="3"/>
  <c r="CP62" i="3"/>
  <c r="CL62" i="3"/>
  <c r="CH62" i="3"/>
  <c r="CD62" i="3"/>
  <c r="BZ62" i="3"/>
  <c r="BV62" i="3"/>
  <c r="BR62" i="3"/>
  <c r="BN62" i="3"/>
  <c r="BJ62" i="3"/>
  <c r="BF62" i="3"/>
  <c r="BB62" i="3"/>
  <c r="AX62" i="3"/>
  <c r="AT62" i="3"/>
  <c r="AP62" i="3"/>
  <c r="AL62" i="3"/>
  <c r="AH62" i="3"/>
  <c r="AD62" i="3"/>
  <c r="Z62" i="3"/>
  <c r="V62" i="3"/>
  <c r="ED62" i="3" s="1"/>
  <c r="R62" i="3"/>
  <c r="N62" i="3"/>
  <c r="J62" i="3"/>
  <c r="EC61" i="3"/>
  <c r="EB61" i="3"/>
  <c r="DZ61" i="3"/>
  <c r="DV61" i="3"/>
  <c r="DR61" i="3"/>
  <c r="DN61" i="3"/>
  <c r="DJ61" i="3"/>
  <c r="DF61" i="3"/>
  <c r="DB61" i="3"/>
  <c r="CX61" i="3"/>
  <c r="CT61" i="3"/>
  <c r="CP61" i="3"/>
  <c r="CL61" i="3"/>
  <c r="CH61" i="3"/>
  <c r="CD61" i="3"/>
  <c r="BZ61" i="3"/>
  <c r="BV61" i="3"/>
  <c r="BR61" i="3"/>
  <c r="BN61" i="3"/>
  <c r="BJ61" i="3"/>
  <c r="BF61" i="3"/>
  <c r="BB61" i="3"/>
  <c r="AX61" i="3"/>
  <c r="AT61" i="3"/>
  <c r="AP61" i="3"/>
  <c r="AL61" i="3"/>
  <c r="AH61" i="3"/>
  <c r="AD61" i="3"/>
  <c r="Z61" i="3"/>
  <c r="V61" i="3"/>
  <c r="R61" i="3"/>
  <c r="N61" i="3"/>
  <c r="J61" i="3"/>
  <c r="ED61" i="3" s="1"/>
  <c r="EC60" i="3"/>
  <c r="EB60" i="3"/>
  <c r="DZ60" i="3"/>
  <c r="DV60" i="3"/>
  <c r="DR60" i="3"/>
  <c r="DN60" i="3"/>
  <c r="DJ60" i="3"/>
  <c r="DF60" i="3"/>
  <c r="DB60" i="3"/>
  <c r="CX60" i="3"/>
  <c r="CT60" i="3"/>
  <c r="CP60" i="3"/>
  <c r="CL60" i="3"/>
  <c r="CH60" i="3"/>
  <c r="CD60" i="3"/>
  <c r="BZ60" i="3"/>
  <c r="BV60" i="3"/>
  <c r="BR60" i="3"/>
  <c r="BN60" i="3"/>
  <c r="BJ60" i="3"/>
  <c r="BF60" i="3"/>
  <c r="BB60" i="3"/>
  <c r="AX60" i="3"/>
  <c r="AT60" i="3"/>
  <c r="AP60" i="3"/>
  <c r="AL60" i="3"/>
  <c r="AH60" i="3"/>
  <c r="AD60" i="3"/>
  <c r="Z60" i="3"/>
  <c r="V60" i="3"/>
  <c r="R60" i="3"/>
  <c r="N60" i="3"/>
  <c r="J60" i="3"/>
  <c r="ED60" i="3" s="1"/>
  <c r="EC59" i="3"/>
  <c r="EB59" i="3"/>
  <c r="DZ59" i="3"/>
  <c r="DV59" i="3"/>
  <c r="DR59" i="3"/>
  <c r="DN59" i="3"/>
  <c r="DJ59" i="3"/>
  <c r="DF59" i="3"/>
  <c r="DB59" i="3"/>
  <c r="CX59" i="3"/>
  <c r="CT59" i="3"/>
  <c r="CP59" i="3"/>
  <c r="CL59" i="3"/>
  <c r="CH59" i="3"/>
  <c r="CD59" i="3"/>
  <c r="BZ59" i="3"/>
  <c r="BV59" i="3"/>
  <c r="BR59" i="3"/>
  <c r="BN59" i="3"/>
  <c r="BJ59" i="3"/>
  <c r="BF59" i="3"/>
  <c r="BB59" i="3"/>
  <c r="AX59" i="3"/>
  <c r="AT59" i="3"/>
  <c r="ED59" i="3" s="1"/>
  <c r="AP59" i="3"/>
  <c r="AL59" i="3"/>
  <c r="AH59" i="3"/>
  <c r="AD59" i="3"/>
  <c r="Z59" i="3"/>
  <c r="V59" i="3"/>
  <c r="R59" i="3"/>
  <c r="N59" i="3"/>
  <c r="J59" i="3"/>
  <c r="EC58" i="3"/>
  <c r="EB58" i="3"/>
  <c r="DZ58" i="3"/>
  <c r="DV58" i="3"/>
  <c r="DR58" i="3"/>
  <c r="DN58" i="3"/>
  <c r="DJ58" i="3"/>
  <c r="DF58" i="3"/>
  <c r="DB58" i="3"/>
  <c r="CX58" i="3"/>
  <c r="CT58" i="3"/>
  <c r="CP58" i="3"/>
  <c r="CL58" i="3"/>
  <c r="CH58" i="3"/>
  <c r="CD58" i="3"/>
  <c r="BZ58" i="3"/>
  <c r="BV58" i="3"/>
  <c r="BR58" i="3"/>
  <c r="BN58" i="3"/>
  <c r="BJ58" i="3"/>
  <c r="BF58" i="3"/>
  <c r="BB58" i="3"/>
  <c r="AX58" i="3"/>
  <c r="AT58" i="3"/>
  <c r="AP58" i="3"/>
  <c r="AL58" i="3"/>
  <c r="ED58" i="3" s="1"/>
  <c r="AH58" i="3"/>
  <c r="AD58" i="3"/>
  <c r="Z58" i="3"/>
  <c r="V58" i="3"/>
  <c r="R58" i="3"/>
  <c r="N58" i="3"/>
  <c r="J58" i="3"/>
  <c r="EC57" i="3"/>
  <c r="EB57" i="3"/>
  <c r="DZ57" i="3"/>
  <c r="DV57" i="3"/>
  <c r="DR57" i="3"/>
  <c r="DN57" i="3"/>
  <c r="DJ57" i="3"/>
  <c r="DF57" i="3"/>
  <c r="DB57" i="3"/>
  <c r="CX57" i="3"/>
  <c r="CT57" i="3"/>
  <c r="CP57" i="3"/>
  <c r="CL57" i="3"/>
  <c r="CH57" i="3"/>
  <c r="CD57" i="3"/>
  <c r="BZ57" i="3"/>
  <c r="BV57" i="3"/>
  <c r="BR57" i="3"/>
  <c r="BN57" i="3"/>
  <c r="BJ57" i="3"/>
  <c r="BF57" i="3"/>
  <c r="BB57" i="3"/>
  <c r="AX57" i="3"/>
  <c r="AT57" i="3"/>
  <c r="AP57" i="3"/>
  <c r="AL57" i="3"/>
  <c r="AH57" i="3"/>
  <c r="AD57" i="3"/>
  <c r="ED57" i="3" s="1"/>
  <c r="Z57" i="3"/>
  <c r="V57" i="3"/>
  <c r="R57" i="3"/>
  <c r="N57" i="3"/>
  <c r="J57" i="3"/>
  <c r="EC56" i="3"/>
  <c r="EB56" i="3"/>
  <c r="DZ56" i="3"/>
  <c r="DV56" i="3"/>
  <c r="DR56" i="3"/>
  <c r="DN56" i="3"/>
  <c r="DJ56" i="3"/>
  <c r="DF56" i="3"/>
  <c r="DB56" i="3"/>
  <c r="CX56" i="3"/>
  <c r="CT56" i="3"/>
  <c r="CP56" i="3"/>
  <c r="CL56" i="3"/>
  <c r="CH56" i="3"/>
  <c r="CD56" i="3"/>
  <c r="BZ56" i="3"/>
  <c r="BV56" i="3"/>
  <c r="BR56" i="3"/>
  <c r="BN56" i="3"/>
  <c r="BJ56" i="3"/>
  <c r="BF56" i="3"/>
  <c r="BB56" i="3"/>
  <c r="AX56" i="3"/>
  <c r="AT56" i="3"/>
  <c r="AP56" i="3"/>
  <c r="AL56" i="3"/>
  <c r="AH56" i="3"/>
  <c r="AD56" i="3"/>
  <c r="Z56" i="3"/>
  <c r="V56" i="3"/>
  <c r="ED56" i="3" s="1"/>
  <c r="R56" i="3"/>
  <c r="N56" i="3"/>
  <c r="J56" i="3"/>
  <c r="EC55" i="3"/>
  <c r="EB55" i="3"/>
  <c r="DZ55" i="3"/>
  <c r="DV55" i="3"/>
  <c r="DR55" i="3"/>
  <c r="DN55" i="3"/>
  <c r="DJ55" i="3"/>
  <c r="DF55" i="3"/>
  <c r="DB55" i="3"/>
  <c r="CX55" i="3"/>
  <c r="CT55" i="3"/>
  <c r="CP55" i="3"/>
  <c r="CL55" i="3"/>
  <c r="CH55" i="3"/>
  <c r="CD55" i="3"/>
  <c r="BZ55" i="3"/>
  <c r="BV55" i="3"/>
  <c r="BR55" i="3"/>
  <c r="BN55" i="3"/>
  <c r="BJ55" i="3"/>
  <c r="BF55" i="3"/>
  <c r="BB55" i="3"/>
  <c r="AX55" i="3"/>
  <c r="AT55" i="3"/>
  <c r="AP55" i="3"/>
  <c r="AL55" i="3"/>
  <c r="AH55" i="3"/>
  <c r="AD55" i="3"/>
  <c r="Z55" i="3"/>
  <c r="V55" i="3"/>
  <c r="R55" i="3"/>
  <c r="N55" i="3"/>
  <c r="J55" i="3"/>
  <c r="ED55" i="3" s="1"/>
  <c r="EC54" i="3"/>
  <c r="EB54" i="3"/>
  <c r="DZ54" i="3"/>
  <c r="DV54" i="3"/>
  <c r="DR54" i="3"/>
  <c r="DN54" i="3"/>
  <c r="DJ54" i="3"/>
  <c r="DF54" i="3"/>
  <c r="DB54" i="3"/>
  <c r="CX54" i="3"/>
  <c r="CT54" i="3"/>
  <c r="CP54" i="3"/>
  <c r="CL54" i="3"/>
  <c r="CH54" i="3"/>
  <c r="CD54" i="3"/>
  <c r="BZ54" i="3"/>
  <c r="BV54" i="3"/>
  <c r="BR54" i="3"/>
  <c r="BN54" i="3"/>
  <c r="BJ54" i="3"/>
  <c r="BF54" i="3"/>
  <c r="BB54" i="3"/>
  <c r="AX54" i="3"/>
  <c r="AT54" i="3"/>
  <c r="AP54" i="3"/>
  <c r="AL54" i="3"/>
  <c r="AH54" i="3"/>
  <c r="AD54" i="3"/>
  <c r="Z54" i="3"/>
  <c r="V54" i="3"/>
  <c r="R54" i="3"/>
  <c r="N54" i="3"/>
  <c r="J54" i="3"/>
  <c r="ED54" i="3" s="1"/>
  <c r="EC53" i="3"/>
  <c r="EB53" i="3"/>
  <c r="DZ53" i="3"/>
  <c r="DV53" i="3"/>
  <c r="DR53" i="3"/>
  <c r="DN53" i="3"/>
  <c r="DJ53" i="3"/>
  <c r="DF53" i="3"/>
  <c r="DB53" i="3"/>
  <c r="CX53" i="3"/>
  <c r="CT53" i="3"/>
  <c r="CP53" i="3"/>
  <c r="CL53" i="3"/>
  <c r="CH53" i="3"/>
  <c r="CD53" i="3"/>
  <c r="BZ53" i="3"/>
  <c r="BV53" i="3"/>
  <c r="BR53" i="3"/>
  <c r="BN53" i="3"/>
  <c r="BJ53" i="3"/>
  <c r="BF53" i="3"/>
  <c r="BB53" i="3"/>
  <c r="AX53" i="3"/>
  <c r="AT53" i="3"/>
  <c r="ED53" i="3" s="1"/>
  <c r="AP53" i="3"/>
  <c r="AL53" i="3"/>
  <c r="AH53" i="3"/>
  <c r="AD53" i="3"/>
  <c r="Z53" i="3"/>
  <c r="V53" i="3"/>
  <c r="R53" i="3"/>
  <c r="N53" i="3"/>
  <c r="J53" i="3"/>
  <c r="EC52" i="3"/>
  <c r="EB52" i="3"/>
  <c r="DZ52" i="3"/>
  <c r="DV52" i="3"/>
  <c r="DR52" i="3"/>
  <c r="DN52" i="3"/>
  <c r="DJ52" i="3"/>
  <c r="DF52" i="3"/>
  <c r="DB52" i="3"/>
  <c r="CX52" i="3"/>
  <c r="CT52" i="3"/>
  <c r="CP52" i="3"/>
  <c r="CL52" i="3"/>
  <c r="CH52" i="3"/>
  <c r="CD52" i="3"/>
  <c r="BZ52" i="3"/>
  <c r="BV52" i="3"/>
  <c r="BR52" i="3"/>
  <c r="BN52" i="3"/>
  <c r="BJ52" i="3"/>
  <c r="BF52" i="3"/>
  <c r="BB52" i="3"/>
  <c r="AX52" i="3"/>
  <c r="AT52" i="3"/>
  <c r="AP52" i="3"/>
  <c r="AL52" i="3"/>
  <c r="ED52" i="3" s="1"/>
  <c r="AH52" i="3"/>
  <c r="AD52" i="3"/>
  <c r="Z52" i="3"/>
  <c r="V52" i="3"/>
  <c r="R52" i="3"/>
  <c r="N52" i="3"/>
  <c r="J52" i="3"/>
  <c r="EC51" i="3"/>
  <c r="EB51" i="3"/>
  <c r="DZ51" i="3"/>
  <c r="DV51" i="3"/>
  <c r="DR51" i="3"/>
  <c r="DN51" i="3"/>
  <c r="DJ51" i="3"/>
  <c r="DF51" i="3"/>
  <c r="DB51" i="3"/>
  <c r="CX51" i="3"/>
  <c r="CT51" i="3"/>
  <c r="CP51" i="3"/>
  <c r="CL51" i="3"/>
  <c r="CH51" i="3"/>
  <c r="CD51" i="3"/>
  <c r="BZ51" i="3"/>
  <c r="BV51" i="3"/>
  <c r="BR51" i="3"/>
  <c r="BN51" i="3"/>
  <c r="BJ51" i="3"/>
  <c r="BF51" i="3"/>
  <c r="BB51" i="3"/>
  <c r="AX51" i="3"/>
  <c r="AT51" i="3"/>
  <c r="AP51" i="3"/>
  <c r="AL51" i="3"/>
  <c r="AH51" i="3"/>
  <c r="AD51" i="3"/>
  <c r="ED51" i="3" s="1"/>
  <c r="Z51" i="3"/>
  <c r="V51" i="3"/>
  <c r="R51" i="3"/>
  <c r="N51" i="3"/>
  <c r="J51" i="3"/>
  <c r="EC50" i="3"/>
  <c r="EB50" i="3"/>
  <c r="DZ50" i="3"/>
  <c r="DV50" i="3"/>
  <c r="DR50" i="3"/>
  <c r="DN50" i="3"/>
  <c r="DJ50" i="3"/>
  <c r="DF50" i="3"/>
  <c r="DB50" i="3"/>
  <c r="CX50" i="3"/>
  <c r="CT50" i="3"/>
  <c r="CP50" i="3"/>
  <c r="CL50" i="3"/>
  <c r="CH50" i="3"/>
  <c r="CD50" i="3"/>
  <c r="BZ50" i="3"/>
  <c r="BV50" i="3"/>
  <c r="BR50" i="3"/>
  <c r="BN50" i="3"/>
  <c r="BJ50" i="3"/>
  <c r="BF50" i="3"/>
  <c r="BB50" i="3"/>
  <c r="AX50" i="3"/>
  <c r="AT50" i="3"/>
  <c r="AP50" i="3"/>
  <c r="AL50" i="3"/>
  <c r="AH50" i="3"/>
  <c r="AD50" i="3"/>
  <c r="Z50" i="3"/>
  <c r="V50" i="3"/>
  <c r="ED50" i="3" s="1"/>
  <c r="R50" i="3"/>
  <c r="N50" i="3"/>
  <c r="J50" i="3"/>
  <c r="EC49" i="3"/>
  <c r="EB49" i="3"/>
  <c r="DZ49" i="3"/>
  <c r="DV49" i="3"/>
  <c r="DR49" i="3"/>
  <c r="DN49" i="3"/>
  <c r="DJ49" i="3"/>
  <c r="DF49" i="3"/>
  <c r="DB49" i="3"/>
  <c r="CX49" i="3"/>
  <c r="CT49" i="3"/>
  <c r="CP49" i="3"/>
  <c r="CL49" i="3"/>
  <c r="CH49" i="3"/>
  <c r="CD49" i="3"/>
  <c r="BZ49" i="3"/>
  <c r="BV49" i="3"/>
  <c r="BR49" i="3"/>
  <c r="BN49" i="3"/>
  <c r="BJ49" i="3"/>
  <c r="BF49" i="3"/>
  <c r="BB49" i="3"/>
  <c r="AX49" i="3"/>
  <c r="AT49" i="3"/>
  <c r="AP49" i="3"/>
  <c r="AL49" i="3"/>
  <c r="AH49" i="3"/>
  <c r="AD49" i="3"/>
  <c r="Z49" i="3"/>
  <c r="V49" i="3"/>
  <c r="R49" i="3"/>
  <c r="N49" i="3"/>
  <c r="J49" i="3"/>
  <c r="ED49" i="3" s="1"/>
  <c r="EC48" i="3"/>
  <c r="EB48" i="3"/>
  <c r="DZ48" i="3"/>
  <c r="DV48" i="3"/>
  <c r="DR48" i="3"/>
  <c r="DN48" i="3"/>
  <c r="DJ48" i="3"/>
  <c r="DF48" i="3"/>
  <c r="DB48" i="3"/>
  <c r="CX48" i="3"/>
  <c r="CT48" i="3"/>
  <c r="CP48" i="3"/>
  <c r="CL48" i="3"/>
  <c r="CH48" i="3"/>
  <c r="CD48" i="3"/>
  <c r="BZ48" i="3"/>
  <c r="BV48" i="3"/>
  <c r="BR48" i="3"/>
  <c r="BN48" i="3"/>
  <c r="BJ48" i="3"/>
  <c r="BF48" i="3"/>
  <c r="BB48" i="3"/>
  <c r="AX48" i="3"/>
  <c r="AT48" i="3"/>
  <c r="AP48" i="3"/>
  <c r="AL48" i="3"/>
  <c r="AH48" i="3"/>
  <c r="AD48" i="3"/>
  <c r="Z48" i="3"/>
  <c r="V48" i="3"/>
  <c r="R48" i="3"/>
  <c r="N48" i="3"/>
  <c r="J48" i="3"/>
  <c r="ED48" i="3" s="1"/>
  <c r="EC47" i="3"/>
  <c r="EB47" i="3"/>
  <c r="DZ47" i="3"/>
  <c r="DV47" i="3"/>
  <c r="DR47" i="3"/>
  <c r="DN47" i="3"/>
  <c r="DJ47" i="3"/>
  <c r="DF47" i="3"/>
  <c r="DB47" i="3"/>
  <c r="CX47" i="3"/>
  <c r="CT47" i="3"/>
  <c r="CP47" i="3"/>
  <c r="CL47" i="3"/>
  <c r="CH47" i="3"/>
  <c r="CD47" i="3"/>
  <c r="BZ47" i="3"/>
  <c r="BV47" i="3"/>
  <c r="BR47" i="3"/>
  <c r="BN47" i="3"/>
  <c r="BJ47" i="3"/>
  <c r="BF47" i="3"/>
  <c r="BB47" i="3"/>
  <c r="AX47" i="3"/>
  <c r="AT47" i="3"/>
  <c r="ED47" i="3" s="1"/>
  <c r="AP47" i="3"/>
  <c r="AL47" i="3"/>
  <c r="AH47" i="3"/>
  <c r="AD47" i="3"/>
  <c r="Z47" i="3"/>
  <c r="V47" i="3"/>
  <c r="R47" i="3"/>
  <c r="N47" i="3"/>
  <c r="J47" i="3"/>
  <c r="EC46" i="3"/>
  <c r="EB46" i="3"/>
  <c r="DZ46" i="3"/>
  <c r="DV46" i="3"/>
  <c r="DR46" i="3"/>
  <c r="DN46" i="3"/>
  <c r="DJ46" i="3"/>
  <c r="DF46" i="3"/>
  <c r="DB46" i="3"/>
  <c r="CX46" i="3"/>
  <c r="CT46" i="3"/>
  <c r="CP46" i="3"/>
  <c r="CL46" i="3"/>
  <c r="CH46" i="3"/>
  <c r="CD46" i="3"/>
  <c r="BZ46" i="3"/>
  <c r="BV46" i="3"/>
  <c r="BR46" i="3"/>
  <c r="BN46" i="3"/>
  <c r="BJ46" i="3"/>
  <c r="BF46" i="3"/>
  <c r="BB46" i="3"/>
  <c r="AX46" i="3"/>
  <c r="AT46" i="3"/>
  <c r="AP46" i="3"/>
  <c r="AL46" i="3"/>
  <c r="ED46" i="3" s="1"/>
  <c r="AH46" i="3"/>
  <c r="AD46" i="3"/>
  <c r="Z46" i="3"/>
  <c r="V46" i="3"/>
  <c r="R46" i="3"/>
  <c r="N46" i="3"/>
  <c r="J46" i="3"/>
  <c r="EC45" i="3"/>
  <c r="EB45" i="3"/>
  <c r="DZ45" i="3"/>
  <c r="DV45" i="3"/>
  <c r="DR45" i="3"/>
  <c r="DN45" i="3"/>
  <c r="DJ45" i="3"/>
  <c r="DF45" i="3"/>
  <c r="DB45" i="3"/>
  <c r="CX45" i="3"/>
  <c r="CT45" i="3"/>
  <c r="CP45" i="3"/>
  <c r="CL45" i="3"/>
  <c r="CH45" i="3"/>
  <c r="CD45" i="3"/>
  <c r="BZ45" i="3"/>
  <c r="BV45" i="3"/>
  <c r="BR45" i="3"/>
  <c r="BN45" i="3"/>
  <c r="BJ45" i="3"/>
  <c r="BF45" i="3"/>
  <c r="BB45" i="3"/>
  <c r="AX45" i="3"/>
  <c r="AT45" i="3"/>
  <c r="AP45" i="3"/>
  <c r="AL45" i="3"/>
  <c r="AH45" i="3"/>
  <c r="AD45" i="3"/>
  <c r="ED45" i="3" s="1"/>
  <c r="Z45" i="3"/>
  <c r="V45" i="3"/>
  <c r="R45" i="3"/>
  <c r="N45" i="3"/>
  <c r="J45" i="3"/>
  <c r="EC44" i="3"/>
  <c r="EB44" i="3"/>
  <c r="DZ44" i="3"/>
  <c r="DV44" i="3"/>
  <c r="DR44" i="3"/>
  <c r="DN44" i="3"/>
  <c r="DJ44" i="3"/>
  <c r="DF44" i="3"/>
  <c r="DB44" i="3"/>
  <c r="CX44" i="3"/>
  <c r="CT44" i="3"/>
  <c r="CP44" i="3"/>
  <c r="CL44" i="3"/>
  <c r="CH44" i="3"/>
  <c r="CD44" i="3"/>
  <c r="BZ44" i="3"/>
  <c r="BV44" i="3"/>
  <c r="BR44" i="3"/>
  <c r="BN44" i="3"/>
  <c r="BJ44" i="3"/>
  <c r="BF44" i="3"/>
  <c r="BB44" i="3"/>
  <c r="AX44" i="3"/>
  <c r="AT44" i="3"/>
  <c r="AP44" i="3"/>
  <c r="AL44" i="3"/>
  <c r="AH44" i="3"/>
  <c r="AD44" i="3"/>
  <c r="Z44" i="3"/>
  <c r="V44" i="3"/>
  <c r="ED44" i="3" s="1"/>
  <c r="R44" i="3"/>
  <c r="N44" i="3"/>
  <c r="J44" i="3"/>
  <c r="EC43" i="3"/>
  <c r="EB43" i="3"/>
  <c r="DZ43" i="3"/>
  <c r="DV43" i="3"/>
  <c r="DR43" i="3"/>
  <c r="DN43" i="3"/>
  <c r="DJ43" i="3"/>
  <c r="DF43" i="3"/>
  <c r="DB43" i="3"/>
  <c r="CX43" i="3"/>
  <c r="CT43" i="3"/>
  <c r="CP43" i="3"/>
  <c r="CL43" i="3"/>
  <c r="CH43" i="3"/>
  <c r="CD43" i="3"/>
  <c r="BZ43" i="3"/>
  <c r="BV43" i="3"/>
  <c r="BR43" i="3"/>
  <c r="BN43" i="3"/>
  <c r="BJ43" i="3"/>
  <c r="BF43" i="3"/>
  <c r="BB43" i="3"/>
  <c r="AX43" i="3"/>
  <c r="AT43" i="3"/>
  <c r="AP43" i="3"/>
  <c r="AL43" i="3"/>
  <c r="AH43" i="3"/>
  <c r="AD43" i="3"/>
  <c r="Z43" i="3"/>
  <c r="V43" i="3"/>
  <c r="R43" i="3"/>
  <c r="N43" i="3"/>
  <c r="J43" i="3"/>
  <c r="ED43" i="3" s="1"/>
  <c r="EC42" i="3"/>
  <c r="EB42" i="3"/>
  <c r="DZ42" i="3"/>
  <c r="DV42" i="3"/>
  <c r="DR42" i="3"/>
  <c r="DN42" i="3"/>
  <c r="DJ42" i="3"/>
  <c r="DF42" i="3"/>
  <c r="DB42" i="3"/>
  <c r="CX42" i="3"/>
  <c r="CT42" i="3"/>
  <c r="CP42" i="3"/>
  <c r="CL42" i="3"/>
  <c r="CH42" i="3"/>
  <c r="CD42" i="3"/>
  <c r="BZ42" i="3"/>
  <c r="BV42" i="3"/>
  <c r="BR42" i="3"/>
  <c r="BN42" i="3"/>
  <c r="BJ42" i="3"/>
  <c r="BF42" i="3"/>
  <c r="BB42" i="3"/>
  <c r="AX42" i="3"/>
  <c r="AT42" i="3"/>
  <c r="AP42" i="3"/>
  <c r="AL42" i="3"/>
  <c r="AH42" i="3"/>
  <c r="AD42" i="3"/>
  <c r="Z42" i="3"/>
  <c r="V42" i="3"/>
  <c r="R42" i="3"/>
  <c r="N42" i="3"/>
  <c r="J42" i="3"/>
  <c r="ED42" i="3" s="1"/>
  <c r="EC41" i="3"/>
  <c r="EB41" i="3"/>
  <c r="DZ41" i="3"/>
  <c r="DV41" i="3"/>
  <c r="DR41" i="3"/>
  <c r="DN41" i="3"/>
  <c r="DJ41" i="3"/>
  <c r="DF41" i="3"/>
  <c r="DB41" i="3"/>
  <c r="CX41" i="3"/>
  <c r="CT41" i="3"/>
  <c r="CP41" i="3"/>
  <c r="CL41" i="3"/>
  <c r="CH41" i="3"/>
  <c r="CD41" i="3"/>
  <c r="BZ41" i="3"/>
  <c r="BV41" i="3"/>
  <c r="BR41" i="3"/>
  <c r="BN41" i="3"/>
  <c r="BJ41" i="3"/>
  <c r="BF41" i="3"/>
  <c r="BB41" i="3"/>
  <c r="AX41" i="3"/>
  <c r="AT41" i="3"/>
  <c r="ED41" i="3" s="1"/>
  <c r="AP41" i="3"/>
  <c r="AL41" i="3"/>
  <c r="AH41" i="3"/>
  <c r="AD41" i="3"/>
  <c r="Z41" i="3"/>
  <c r="V41" i="3"/>
  <c r="R41" i="3"/>
  <c r="N41" i="3"/>
  <c r="J41" i="3"/>
  <c r="EC40" i="3"/>
  <c r="EB40" i="3"/>
  <c r="DZ40" i="3"/>
  <c r="DV40" i="3"/>
  <c r="DR40" i="3"/>
  <c r="DN40" i="3"/>
  <c r="DJ40" i="3"/>
  <c r="DF40" i="3"/>
  <c r="DB40" i="3"/>
  <c r="CX40" i="3"/>
  <c r="CT40" i="3"/>
  <c r="CP40" i="3"/>
  <c r="CL40" i="3"/>
  <c r="CH40" i="3"/>
  <c r="CD40" i="3"/>
  <c r="BZ40" i="3"/>
  <c r="BV40" i="3"/>
  <c r="BR40" i="3"/>
  <c r="BN40" i="3"/>
  <c r="BJ40" i="3"/>
  <c r="BF40" i="3"/>
  <c r="BB40" i="3"/>
  <c r="AX40" i="3"/>
  <c r="AT40" i="3"/>
  <c r="AP40" i="3"/>
  <c r="AL40" i="3"/>
  <c r="ED40" i="3" s="1"/>
  <c r="AH40" i="3"/>
  <c r="AD40" i="3"/>
  <c r="Z40" i="3"/>
  <c r="V40" i="3"/>
  <c r="R40" i="3"/>
  <c r="N40" i="3"/>
  <c r="J40" i="3"/>
  <c r="EC39" i="3"/>
  <c r="EB39" i="3"/>
  <c r="DZ39" i="3"/>
  <c r="DV39" i="3"/>
  <c r="DR39" i="3"/>
  <c r="DN39" i="3"/>
  <c r="DJ39" i="3"/>
  <c r="DF39" i="3"/>
  <c r="DB39" i="3"/>
  <c r="CX39" i="3"/>
  <c r="CT39" i="3"/>
  <c r="CP39" i="3"/>
  <c r="CL39" i="3"/>
  <c r="CH39" i="3"/>
  <c r="CD39" i="3"/>
  <c r="BZ39" i="3"/>
  <c r="BV39" i="3"/>
  <c r="BR39" i="3"/>
  <c r="BN39" i="3"/>
  <c r="BJ39" i="3"/>
  <c r="BF39" i="3"/>
  <c r="BB39" i="3"/>
  <c r="AX39" i="3"/>
  <c r="AT39" i="3"/>
  <c r="AP39" i="3"/>
  <c r="AL39" i="3"/>
  <c r="AH39" i="3"/>
  <c r="AD39" i="3"/>
  <c r="ED39" i="3" s="1"/>
  <c r="Z39" i="3"/>
  <c r="V39" i="3"/>
  <c r="R39" i="3"/>
  <c r="N39" i="3"/>
  <c r="J39" i="3"/>
  <c r="EC38" i="3"/>
  <c r="EB38" i="3"/>
  <c r="DZ38" i="3"/>
  <c r="DV38" i="3"/>
  <c r="DR38" i="3"/>
  <c r="DN38" i="3"/>
  <c r="DJ38" i="3"/>
  <c r="DF38" i="3"/>
  <c r="DB38" i="3"/>
  <c r="CX38" i="3"/>
  <c r="CT38" i="3"/>
  <c r="CP38" i="3"/>
  <c r="CL38" i="3"/>
  <c r="CH38" i="3"/>
  <c r="CD38" i="3"/>
  <c r="BZ38" i="3"/>
  <c r="BV38" i="3"/>
  <c r="BR38" i="3"/>
  <c r="BN38" i="3"/>
  <c r="BJ38" i="3"/>
  <c r="BF38" i="3"/>
  <c r="BB38" i="3"/>
  <c r="AX38" i="3"/>
  <c r="AT38" i="3"/>
  <c r="AP38" i="3"/>
  <c r="AL38" i="3"/>
  <c r="AH38" i="3"/>
  <c r="AD38" i="3"/>
  <c r="Z38" i="3"/>
  <c r="V38" i="3"/>
  <c r="ED38" i="3" s="1"/>
  <c r="R38" i="3"/>
  <c r="N38" i="3"/>
  <c r="J38" i="3"/>
  <c r="EC37" i="3"/>
  <c r="EB37" i="3"/>
  <c r="DZ37" i="3"/>
  <c r="DV37" i="3"/>
  <c r="DR37" i="3"/>
  <c r="DN37" i="3"/>
  <c r="DJ37" i="3"/>
  <c r="DF37" i="3"/>
  <c r="DB37" i="3"/>
  <c r="CX37" i="3"/>
  <c r="CT37" i="3"/>
  <c r="CP37" i="3"/>
  <c r="CL37" i="3"/>
  <c r="CH37" i="3"/>
  <c r="CD37" i="3"/>
  <c r="BZ37" i="3"/>
  <c r="BV37" i="3"/>
  <c r="BR37" i="3"/>
  <c r="BN37" i="3"/>
  <c r="BJ37" i="3"/>
  <c r="BF37" i="3"/>
  <c r="BB37" i="3"/>
  <c r="AX37" i="3"/>
  <c r="AT37" i="3"/>
  <c r="AP37" i="3"/>
  <c r="AL37" i="3"/>
  <c r="AH37" i="3"/>
  <c r="AD37" i="3"/>
  <c r="Z37" i="3"/>
  <c r="V37" i="3"/>
  <c r="R37" i="3"/>
  <c r="N37" i="3"/>
  <c r="J37" i="3"/>
  <c r="ED37" i="3" s="1"/>
  <c r="EC36" i="3"/>
  <c r="EB36" i="3"/>
  <c r="DZ36" i="3"/>
  <c r="DV36" i="3"/>
  <c r="DR36" i="3"/>
  <c r="DN36" i="3"/>
  <c r="DJ36" i="3"/>
  <c r="DF36" i="3"/>
  <c r="DB36" i="3"/>
  <c r="CX36" i="3"/>
  <c r="CT36" i="3"/>
  <c r="CP36" i="3"/>
  <c r="CL36" i="3"/>
  <c r="CH36" i="3"/>
  <c r="CD36" i="3"/>
  <c r="BZ36" i="3"/>
  <c r="BV36" i="3"/>
  <c r="BR36" i="3"/>
  <c r="BN36" i="3"/>
  <c r="BJ36" i="3"/>
  <c r="BF36" i="3"/>
  <c r="BB36" i="3"/>
  <c r="AX36" i="3"/>
  <c r="AT36" i="3"/>
  <c r="AP36" i="3"/>
  <c r="AL36" i="3"/>
  <c r="AH36" i="3"/>
  <c r="AD36" i="3"/>
  <c r="Z36" i="3"/>
  <c r="V36" i="3"/>
  <c r="R36" i="3"/>
  <c r="N36" i="3"/>
  <c r="J36" i="3"/>
  <c r="ED36" i="3" s="1"/>
  <c r="EC35" i="3"/>
  <c r="EB35" i="3"/>
  <c r="DZ35" i="3"/>
  <c r="DV35" i="3"/>
  <c r="DR35" i="3"/>
  <c r="DN35" i="3"/>
  <c r="DJ35" i="3"/>
  <c r="DF35" i="3"/>
  <c r="DB35" i="3"/>
  <c r="CX35" i="3"/>
  <c r="CT35" i="3"/>
  <c r="CP35" i="3"/>
  <c r="CL35" i="3"/>
  <c r="CH35" i="3"/>
  <c r="CD35" i="3"/>
  <c r="BZ35" i="3"/>
  <c r="BV35" i="3"/>
  <c r="BR35" i="3"/>
  <c r="BN35" i="3"/>
  <c r="BJ35" i="3"/>
  <c r="BF35" i="3"/>
  <c r="BB35" i="3"/>
  <c r="AX35" i="3"/>
  <c r="AT35" i="3"/>
  <c r="ED35" i="3" s="1"/>
  <c r="AP35" i="3"/>
  <c r="AL35" i="3"/>
  <c r="AH35" i="3"/>
  <c r="AD35" i="3"/>
  <c r="Z35" i="3"/>
  <c r="V35" i="3"/>
  <c r="R35" i="3"/>
  <c r="N35" i="3"/>
  <c r="J35" i="3"/>
  <c r="EC34" i="3"/>
  <c r="EB34" i="3"/>
  <c r="DZ34" i="3"/>
  <c r="DV34" i="3"/>
  <c r="DR34" i="3"/>
  <c r="DN34" i="3"/>
  <c r="DJ34" i="3"/>
  <c r="DF34" i="3"/>
  <c r="DB34" i="3"/>
  <c r="CX34" i="3"/>
  <c r="CT34" i="3"/>
  <c r="CP34" i="3"/>
  <c r="CL34" i="3"/>
  <c r="CH34" i="3"/>
  <c r="CD34" i="3"/>
  <c r="BZ34" i="3"/>
  <c r="BV34" i="3"/>
  <c r="BR34" i="3"/>
  <c r="BN34" i="3"/>
  <c r="BJ34" i="3"/>
  <c r="BF34" i="3"/>
  <c r="BB34" i="3"/>
  <c r="AX34" i="3"/>
  <c r="AT34" i="3"/>
  <c r="AP34" i="3"/>
  <c r="AL34" i="3"/>
  <c r="ED34" i="3" s="1"/>
  <c r="AH34" i="3"/>
  <c r="AD34" i="3"/>
  <c r="Z34" i="3"/>
  <c r="V34" i="3"/>
  <c r="R34" i="3"/>
  <c r="N34" i="3"/>
  <c r="J34" i="3"/>
  <c r="EC33" i="3"/>
  <c r="EB33" i="3"/>
  <c r="DZ33" i="3"/>
  <c r="DV33" i="3"/>
  <c r="DR33" i="3"/>
  <c r="DN33" i="3"/>
  <c r="DJ33" i="3"/>
  <c r="DF33" i="3"/>
  <c r="DB33" i="3"/>
  <c r="CX33" i="3"/>
  <c r="CT33" i="3"/>
  <c r="CP33" i="3"/>
  <c r="CL33" i="3"/>
  <c r="CH33" i="3"/>
  <c r="CD33" i="3"/>
  <c r="BZ33" i="3"/>
  <c r="BV33" i="3"/>
  <c r="BR33" i="3"/>
  <c r="BN33" i="3"/>
  <c r="BJ33" i="3"/>
  <c r="BF33" i="3"/>
  <c r="BB33" i="3"/>
  <c r="AX33" i="3"/>
  <c r="AT33" i="3"/>
  <c r="AP33" i="3"/>
  <c r="AL33" i="3"/>
  <c r="AH33" i="3"/>
  <c r="AD33" i="3"/>
  <c r="ED33" i="3" s="1"/>
  <c r="Z33" i="3"/>
  <c r="V33" i="3"/>
  <c r="R33" i="3"/>
  <c r="N33" i="3"/>
  <c r="J33" i="3"/>
  <c r="EC32" i="3"/>
  <c r="EB32" i="3"/>
  <c r="DZ32" i="3"/>
  <c r="DV32" i="3"/>
  <c r="DR32" i="3"/>
  <c r="DN32" i="3"/>
  <c r="DJ32" i="3"/>
  <c r="DF32" i="3"/>
  <c r="DB32" i="3"/>
  <c r="CX32" i="3"/>
  <c r="CT32" i="3"/>
  <c r="CP32" i="3"/>
  <c r="CL32" i="3"/>
  <c r="CH32" i="3"/>
  <c r="CD32" i="3"/>
  <c r="BZ32" i="3"/>
  <c r="BV32" i="3"/>
  <c r="BR32" i="3"/>
  <c r="BN32" i="3"/>
  <c r="BJ32" i="3"/>
  <c r="BF32" i="3"/>
  <c r="BB32" i="3"/>
  <c r="AX32" i="3"/>
  <c r="AT32" i="3"/>
  <c r="AP32" i="3"/>
  <c r="AL32" i="3"/>
  <c r="AH32" i="3"/>
  <c r="AD32" i="3"/>
  <c r="Z32" i="3"/>
  <c r="V32" i="3"/>
  <c r="ED32" i="3" s="1"/>
  <c r="R32" i="3"/>
  <c r="N32" i="3"/>
  <c r="J32" i="3"/>
  <c r="EC31" i="3"/>
  <c r="EB31" i="3"/>
  <c r="DZ31" i="3"/>
  <c r="DV31" i="3"/>
  <c r="DR31" i="3"/>
  <c r="DN31" i="3"/>
  <c r="DJ31" i="3"/>
  <c r="DF31" i="3"/>
  <c r="DB31" i="3"/>
  <c r="CX31" i="3"/>
  <c r="CT31" i="3"/>
  <c r="CP31" i="3"/>
  <c r="CL31" i="3"/>
  <c r="CH31" i="3"/>
  <c r="CD31" i="3"/>
  <c r="BZ31" i="3"/>
  <c r="BV31" i="3"/>
  <c r="BR31" i="3"/>
  <c r="BN31" i="3"/>
  <c r="BJ31" i="3"/>
  <c r="BF31" i="3"/>
  <c r="BB31" i="3"/>
  <c r="AX31" i="3"/>
  <c r="AT31" i="3"/>
  <c r="AP31" i="3"/>
  <c r="AL31" i="3"/>
  <c r="AH31" i="3"/>
  <c r="AD31" i="3"/>
  <c r="Z31" i="3"/>
  <c r="V31" i="3"/>
  <c r="R31" i="3"/>
  <c r="N31" i="3"/>
  <c r="J31" i="3"/>
  <c r="ED31" i="3" s="1"/>
  <c r="EC30" i="3"/>
  <c r="EB30" i="3"/>
  <c r="DZ30" i="3"/>
  <c r="DV30" i="3"/>
  <c r="DR30" i="3"/>
  <c r="DN30" i="3"/>
  <c r="DJ30" i="3"/>
  <c r="DF30" i="3"/>
  <c r="DB30" i="3"/>
  <c r="CX30" i="3"/>
  <c r="CT30" i="3"/>
  <c r="CP30" i="3"/>
  <c r="CL30" i="3"/>
  <c r="CH30" i="3"/>
  <c r="CD30" i="3"/>
  <c r="BZ30" i="3"/>
  <c r="BV30" i="3"/>
  <c r="BR30" i="3"/>
  <c r="BN30" i="3"/>
  <c r="BJ30" i="3"/>
  <c r="BF30" i="3"/>
  <c r="BB30" i="3"/>
  <c r="AX30" i="3"/>
  <c r="AT30" i="3"/>
  <c r="AP30" i="3"/>
  <c r="AL30" i="3"/>
  <c r="AH30" i="3"/>
  <c r="AD30" i="3"/>
  <c r="Z30" i="3"/>
  <c r="V30" i="3"/>
  <c r="R30" i="3"/>
  <c r="N30" i="3"/>
  <c r="J30" i="3"/>
  <c r="ED30" i="3" s="1"/>
  <c r="EC29" i="3"/>
  <c r="EB29" i="3"/>
  <c r="DZ29" i="3"/>
  <c r="DV29" i="3"/>
  <c r="DR29" i="3"/>
  <c r="DN29" i="3"/>
  <c r="DJ29" i="3"/>
  <c r="DF29" i="3"/>
  <c r="DB29" i="3"/>
  <c r="CX29" i="3"/>
  <c r="CT29" i="3"/>
  <c r="CP29" i="3"/>
  <c r="CL29" i="3"/>
  <c r="CH29" i="3"/>
  <c r="CD29" i="3"/>
  <c r="BZ29" i="3"/>
  <c r="BV29" i="3"/>
  <c r="BR29" i="3"/>
  <c r="BN29" i="3"/>
  <c r="BJ29" i="3"/>
  <c r="BF29" i="3"/>
  <c r="BB29" i="3"/>
  <c r="AX29" i="3"/>
  <c r="AT29" i="3"/>
  <c r="ED29" i="3" s="1"/>
  <c r="AP29" i="3"/>
  <c r="AL29" i="3"/>
  <c r="AH29" i="3"/>
  <c r="AD29" i="3"/>
  <c r="Z29" i="3"/>
  <c r="V29" i="3"/>
  <c r="R29" i="3"/>
  <c r="N29" i="3"/>
  <c r="J29" i="3"/>
  <c r="EC28" i="3"/>
  <c r="EB28" i="3"/>
  <c r="DZ28" i="3"/>
  <c r="DV28" i="3"/>
  <c r="DR28" i="3"/>
  <c r="DN28" i="3"/>
  <c r="DJ28" i="3"/>
  <c r="DF28" i="3"/>
  <c r="DB28" i="3"/>
  <c r="CX28" i="3"/>
  <c r="CT28" i="3"/>
  <c r="CP28" i="3"/>
  <c r="CL28" i="3"/>
  <c r="CH28" i="3"/>
  <c r="CD28" i="3"/>
  <c r="BZ28" i="3"/>
  <c r="BV28" i="3"/>
  <c r="BR28" i="3"/>
  <c r="BN28" i="3"/>
  <c r="BJ28" i="3"/>
  <c r="BF28" i="3"/>
  <c r="BB28" i="3"/>
  <c r="AX28" i="3"/>
  <c r="AT28" i="3"/>
  <c r="AP28" i="3"/>
  <c r="AL28" i="3"/>
  <c r="ED28" i="3" s="1"/>
  <c r="AH28" i="3"/>
  <c r="AD28" i="3"/>
  <c r="Z28" i="3"/>
  <c r="V28" i="3"/>
  <c r="R28" i="3"/>
  <c r="N28" i="3"/>
  <c r="J28" i="3"/>
  <c r="EC27" i="3"/>
  <c r="EB27" i="3"/>
  <c r="DZ27" i="3"/>
  <c r="DV27" i="3"/>
  <c r="DR27" i="3"/>
  <c r="DN27" i="3"/>
  <c r="DJ27" i="3"/>
  <c r="DF27" i="3"/>
  <c r="DB27" i="3"/>
  <c r="CX27" i="3"/>
  <c r="CT27" i="3"/>
  <c r="CP27" i="3"/>
  <c r="CL27" i="3"/>
  <c r="CH27" i="3"/>
  <c r="CD27" i="3"/>
  <c r="BZ27" i="3"/>
  <c r="BV27" i="3"/>
  <c r="BR27" i="3"/>
  <c r="BN27" i="3"/>
  <c r="BJ27" i="3"/>
  <c r="BF27" i="3"/>
  <c r="BB27" i="3"/>
  <c r="AX27" i="3"/>
  <c r="AT27" i="3"/>
  <c r="AP27" i="3"/>
  <c r="AL27" i="3"/>
  <c r="AH27" i="3"/>
  <c r="AD27" i="3"/>
  <c r="ED27" i="3" s="1"/>
  <c r="Z27" i="3"/>
  <c r="V27" i="3"/>
  <c r="R27" i="3"/>
  <c r="N27" i="3"/>
  <c r="J27" i="3"/>
  <c r="EC26" i="3"/>
  <c r="EB26" i="3"/>
  <c r="DZ26" i="3"/>
  <c r="DV26" i="3"/>
  <c r="DR26" i="3"/>
  <c r="DN26" i="3"/>
  <c r="DJ26" i="3"/>
  <c r="DF26" i="3"/>
  <c r="DB26" i="3"/>
  <c r="CX26" i="3"/>
  <c r="CT26" i="3"/>
  <c r="CP26" i="3"/>
  <c r="CL26" i="3"/>
  <c r="CH26" i="3"/>
  <c r="CD26" i="3"/>
  <c r="BZ26" i="3"/>
  <c r="BV26" i="3"/>
  <c r="BR26" i="3"/>
  <c r="BN26" i="3"/>
  <c r="BJ26" i="3"/>
  <c r="BF26" i="3"/>
  <c r="BB26" i="3"/>
  <c r="AX26" i="3"/>
  <c r="AT26" i="3"/>
  <c r="AP26" i="3"/>
  <c r="AL26" i="3"/>
  <c r="AH26" i="3"/>
  <c r="AD26" i="3"/>
  <c r="Z26" i="3"/>
  <c r="V26" i="3"/>
  <c r="ED26" i="3" s="1"/>
  <c r="R26" i="3"/>
  <c r="N26" i="3"/>
  <c r="J26" i="3"/>
  <c r="EC25" i="3"/>
  <c r="EB25" i="3"/>
  <c r="DZ25" i="3"/>
  <c r="DV25" i="3"/>
  <c r="DR25" i="3"/>
  <c r="DN25" i="3"/>
  <c r="DJ25" i="3"/>
  <c r="DF25" i="3"/>
  <c r="DB25" i="3"/>
  <c r="CX25" i="3"/>
  <c r="CT25" i="3"/>
  <c r="CP25" i="3"/>
  <c r="CL25" i="3"/>
  <c r="CH25" i="3"/>
  <c r="CD25" i="3"/>
  <c r="BZ25" i="3"/>
  <c r="BV25" i="3"/>
  <c r="BR25" i="3"/>
  <c r="BN25" i="3"/>
  <c r="BJ25" i="3"/>
  <c r="BF25" i="3"/>
  <c r="BB25" i="3"/>
  <c r="AX25" i="3"/>
  <c r="AT25" i="3"/>
  <c r="AP25" i="3"/>
  <c r="AL25" i="3"/>
  <c r="AH25" i="3"/>
  <c r="AD25" i="3"/>
  <c r="Z25" i="3"/>
  <c r="V25" i="3"/>
  <c r="R25" i="3"/>
  <c r="N25" i="3"/>
  <c r="J25" i="3"/>
  <c r="ED25" i="3" s="1"/>
  <c r="EC24" i="3"/>
  <c r="EB24" i="3"/>
  <c r="DZ24" i="3"/>
  <c r="DV24" i="3"/>
  <c r="DR24" i="3"/>
  <c r="DN24" i="3"/>
  <c r="DJ24" i="3"/>
  <c r="DF24" i="3"/>
  <c r="DB24" i="3"/>
  <c r="CX24" i="3"/>
  <c r="CT24" i="3"/>
  <c r="CP24" i="3"/>
  <c r="CL24" i="3"/>
  <c r="CH24" i="3"/>
  <c r="CD24" i="3"/>
  <c r="BZ24" i="3"/>
  <c r="BV24" i="3"/>
  <c r="BR24" i="3"/>
  <c r="BN24" i="3"/>
  <c r="BJ24" i="3"/>
  <c r="BF24" i="3"/>
  <c r="BB24" i="3"/>
  <c r="AX24" i="3"/>
  <c r="AT24" i="3"/>
  <c r="AP24" i="3"/>
  <c r="AL24" i="3"/>
  <c r="AH24" i="3"/>
  <c r="AD24" i="3"/>
  <c r="Z24" i="3"/>
  <c r="V24" i="3"/>
  <c r="R24" i="3"/>
  <c r="N24" i="3"/>
  <c r="J24" i="3"/>
  <c r="ED24" i="3" s="1"/>
  <c r="EC23" i="3"/>
  <c r="EB23" i="3"/>
  <c r="DZ23" i="3"/>
  <c r="DV23" i="3"/>
  <c r="DR23" i="3"/>
  <c r="DN23" i="3"/>
  <c r="DJ23" i="3"/>
  <c r="DF23" i="3"/>
  <c r="DB23" i="3"/>
  <c r="CX23" i="3"/>
  <c r="CT23" i="3"/>
  <c r="CP23" i="3"/>
  <c r="CL23" i="3"/>
  <c r="CH23" i="3"/>
  <c r="CD23" i="3"/>
  <c r="BZ23" i="3"/>
  <c r="BV23" i="3"/>
  <c r="BR23" i="3"/>
  <c r="BN23" i="3"/>
  <c r="BJ23" i="3"/>
  <c r="BF23" i="3"/>
  <c r="BB23" i="3"/>
  <c r="AX23" i="3"/>
  <c r="AT23" i="3"/>
  <c r="ED23" i="3" s="1"/>
  <c r="AP23" i="3"/>
  <c r="AL23" i="3"/>
  <c r="AH23" i="3"/>
  <c r="AD23" i="3"/>
  <c r="Z23" i="3"/>
  <c r="V23" i="3"/>
  <c r="R23" i="3"/>
  <c r="N23" i="3"/>
  <c r="J23" i="3"/>
  <c r="EC22" i="3"/>
  <c r="EB22" i="3"/>
  <c r="DZ22" i="3"/>
  <c r="DV22" i="3"/>
  <c r="DR22" i="3"/>
  <c r="DN22" i="3"/>
  <c r="DJ22" i="3"/>
  <c r="DF22" i="3"/>
  <c r="DB22" i="3"/>
  <c r="CX22" i="3"/>
  <c r="CT22" i="3"/>
  <c r="CP22" i="3"/>
  <c r="CL22" i="3"/>
  <c r="CH22" i="3"/>
  <c r="CD22" i="3"/>
  <c r="BZ22" i="3"/>
  <c r="BV22" i="3"/>
  <c r="BR22" i="3"/>
  <c r="BN22" i="3"/>
  <c r="BJ22" i="3"/>
  <c r="BF22" i="3"/>
  <c r="BB22" i="3"/>
  <c r="AX22" i="3"/>
  <c r="AT22" i="3"/>
  <c r="AP22" i="3"/>
  <c r="AL22" i="3"/>
  <c r="ED22" i="3" s="1"/>
  <c r="AH22" i="3"/>
  <c r="AD22" i="3"/>
  <c r="Z22" i="3"/>
  <c r="V22" i="3"/>
  <c r="R22" i="3"/>
  <c r="N22" i="3"/>
  <c r="J22" i="3"/>
  <c r="EC21" i="3"/>
  <c r="EB21" i="3"/>
  <c r="DZ21" i="3"/>
  <c r="DV21" i="3"/>
  <c r="DR21" i="3"/>
  <c r="DN21" i="3"/>
  <c r="DJ21" i="3"/>
  <c r="DF21" i="3"/>
  <c r="DB21" i="3"/>
  <c r="CX21" i="3"/>
  <c r="CT21" i="3"/>
  <c r="CP21" i="3"/>
  <c r="CL21" i="3"/>
  <c r="CH21" i="3"/>
  <c r="CD21" i="3"/>
  <c r="BZ21" i="3"/>
  <c r="BV21" i="3"/>
  <c r="BR21" i="3"/>
  <c r="BN21" i="3"/>
  <c r="BJ21" i="3"/>
  <c r="BF21" i="3"/>
  <c r="BB21" i="3"/>
  <c r="AX21" i="3"/>
  <c r="AT21" i="3"/>
  <c r="AP21" i="3"/>
  <c r="AL21" i="3"/>
  <c r="AH21" i="3"/>
  <c r="AD21" i="3"/>
  <c r="ED21" i="3" s="1"/>
  <c r="Z21" i="3"/>
  <c r="V21" i="3"/>
  <c r="R21" i="3"/>
  <c r="N21" i="3"/>
  <c r="J21" i="3"/>
  <c r="EC20" i="3"/>
  <c r="EB20" i="3"/>
  <c r="DZ20" i="3"/>
  <c r="DV20" i="3"/>
  <c r="DR20" i="3"/>
  <c r="DN20" i="3"/>
  <c r="DJ20" i="3"/>
  <c r="DF20" i="3"/>
  <c r="DB20" i="3"/>
  <c r="CX20" i="3"/>
  <c r="CT20" i="3"/>
  <c r="CP20" i="3"/>
  <c r="CL20" i="3"/>
  <c r="CH20" i="3"/>
  <c r="CD20" i="3"/>
  <c r="BZ20" i="3"/>
  <c r="BV20" i="3"/>
  <c r="BR20" i="3"/>
  <c r="BN20" i="3"/>
  <c r="BJ20" i="3"/>
  <c r="BF20" i="3"/>
  <c r="BB20" i="3"/>
  <c r="AX20" i="3"/>
  <c r="AT20" i="3"/>
  <c r="AP20" i="3"/>
  <c r="AL20" i="3"/>
  <c r="AH20" i="3"/>
  <c r="AD20" i="3"/>
  <c r="Z20" i="3"/>
  <c r="V20" i="3"/>
  <c r="ED20" i="3" s="1"/>
  <c r="R20" i="3"/>
  <c r="N20" i="3"/>
  <c r="J20" i="3"/>
  <c r="EC19" i="3"/>
  <c r="EB19" i="3"/>
  <c r="DZ19" i="3"/>
  <c r="DV19" i="3"/>
  <c r="DR19" i="3"/>
  <c r="DN19" i="3"/>
  <c r="DJ19" i="3"/>
  <c r="DF19" i="3"/>
  <c r="DB19" i="3"/>
  <c r="CX19" i="3"/>
  <c r="CT19" i="3"/>
  <c r="CP19" i="3"/>
  <c r="CL19" i="3"/>
  <c r="CH19" i="3"/>
  <c r="CD19" i="3"/>
  <c r="BZ19" i="3"/>
  <c r="BV19" i="3"/>
  <c r="BR19" i="3"/>
  <c r="BN19" i="3"/>
  <c r="BJ19" i="3"/>
  <c r="BF19" i="3"/>
  <c r="BB19" i="3"/>
  <c r="AX19" i="3"/>
  <c r="AT19" i="3"/>
  <c r="AP19" i="3"/>
  <c r="AL19" i="3"/>
  <c r="AH19" i="3"/>
  <c r="AD19" i="3"/>
  <c r="Z19" i="3"/>
  <c r="V19" i="3"/>
  <c r="R19" i="3"/>
  <c r="N19" i="3"/>
  <c r="J19" i="3"/>
  <c r="ED19" i="3" s="1"/>
  <c r="EC18" i="3"/>
  <c r="EB18" i="3"/>
  <c r="DZ18" i="3"/>
  <c r="DV18" i="3"/>
  <c r="DR18" i="3"/>
  <c r="DN18" i="3"/>
  <c r="DJ18" i="3"/>
  <c r="DF18" i="3"/>
  <c r="DB18" i="3"/>
  <c r="CX18" i="3"/>
  <c r="CT18" i="3"/>
  <c r="CP18" i="3"/>
  <c r="CL18" i="3"/>
  <c r="CH18" i="3"/>
  <c r="CD18" i="3"/>
  <c r="BZ18" i="3"/>
  <c r="BV18" i="3"/>
  <c r="BR18" i="3"/>
  <c r="BN18" i="3"/>
  <c r="BJ18" i="3"/>
  <c r="BF18" i="3"/>
  <c r="BB18" i="3"/>
  <c r="AX18" i="3"/>
  <c r="AT18" i="3"/>
  <c r="AP18" i="3"/>
  <c r="AL18" i="3"/>
  <c r="AH18" i="3"/>
  <c r="AD18" i="3"/>
  <c r="Z18" i="3"/>
  <c r="V18" i="3"/>
  <c r="R18" i="3"/>
  <c r="N18" i="3"/>
  <c r="J18" i="3"/>
  <c r="ED18" i="3" s="1"/>
  <c r="EC17" i="3"/>
  <c r="EB17" i="3"/>
  <c r="DZ17" i="3"/>
  <c r="DV17" i="3"/>
  <c r="DR17" i="3"/>
  <c r="DN17" i="3"/>
  <c r="DJ17" i="3"/>
  <c r="DF17" i="3"/>
  <c r="DB17" i="3"/>
  <c r="CX17" i="3"/>
  <c r="CT17" i="3"/>
  <c r="CP17" i="3"/>
  <c r="CL17" i="3"/>
  <c r="CH17" i="3"/>
  <c r="CD17" i="3"/>
  <c r="BZ17" i="3"/>
  <c r="BV17" i="3"/>
  <c r="BR17" i="3"/>
  <c r="BN17" i="3"/>
  <c r="BJ17" i="3"/>
  <c r="BF17" i="3"/>
  <c r="BB17" i="3"/>
  <c r="AX17" i="3"/>
  <c r="AT17" i="3"/>
  <c r="ED17" i="3" s="1"/>
  <c r="AP17" i="3"/>
  <c r="AL17" i="3"/>
  <c r="AH17" i="3"/>
  <c r="AD17" i="3"/>
  <c r="Z17" i="3"/>
  <c r="V17" i="3"/>
  <c r="R17" i="3"/>
  <c r="N17" i="3"/>
  <c r="J17" i="3"/>
  <c r="EC16" i="3"/>
  <c r="EB16" i="3"/>
  <c r="DZ16" i="3"/>
  <c r="DV16" i="3"/>
  <c r="DR16" i="3"/>
  <c r="DN16" i="3"/>
  <c r="DJ16" i="3"/>
  <c r="DF16" i="3"/>
  <c r="DB16" i="3"/>
  <c r="CX16" i="3"/>
  <c r="CT16" i="3"/>
  <c r="CP16" i="3"/>
  <c r="CL16" i="3"/>
  <c r="CH16" i="3"/>
  <c r="CD16" i="3"/>
  <c r="BZ16" i="3"/>
  <c r="BV16" i="3"/>
  <c r="BR16" i="3"/>
  <c r="BN16" i="3"/>
  <c r="BJ16" i="3"/>
  <c r="BF16" i="3"/>
  <c r="BB16" i="3"/>
  <c r="AX16" i="3"/>
  <c r="AT16" i="3"/>
  <c r="AP16" i="3"/>
  <c r="AL16" i="3"/>
  <c r="ED16" i="3" s="1"/>
  <c r="AH16" i="3"/>
  <c r="AD16" i="3"/>
  <c r="Z16" i="3"/>
  <c r="V16" i="3"/>
  <c r="R16" i="3"/>
  <c r="N16" i="3"/>
  <c r="J16" i="3"/>
  <c r="EC15" i="3"/>
  <c r="EB15" i="3"/>
  <c r="DZ15" i="3"/>
  <c r="DV15" i="3"/>
  <c r="DR15" i="3"/>
  <c r="DN15" i="3"/>
  <c r="DJ15" i="3"/>
  <c r="DF15" i="3"/>
  <c r="DB15" i="3"/>
  <c r="CX15" i="3"/>
  <c r="CT15" i="3"/>
  <c r="CP15" i="3"/>
  <c r="CL15" i="3"/>
  <c r="CH15" i="3"/>
  <c r="CD15" i="3"/>
  <c r="BZ15" i="3"/>
  <c r="BV15" i="3"/>
  <c r="BR15" i="3"/>
  <c r="BN15" i="3"/>
  <c r="BJ15" i="3"/>
  <c r="BF15" i="3"/>
  <c r="BB15" i="3"/>
  <c r="AX15" i="3"/>
  <c r="AT15" i="3"/>
  <c r="AP15" i="3"/>
  <c r="AL15" i="3"/>
  <c r="AH15" i="3"/>
  <c r="AD15" i="3"/>
  <c r="ED15" i="3" s="1"/>
  <c r="Z15" i="3"/>
  <c r="V15" i="3"/>
  <c r="R15" i="3"/>
  <c r="N15" i="3"/>
  <c r="J15" i="3"/>
  <c r="EC14" i="3"/>
  <c r="EB14" i="3"/>
  <c r="DZ14" i="3"/>
  <c r="DV14" i="3"/>
  <c r="DR14" i="3"/>
  <c r="DN14" i="3"/>
  <c r="DJ14" i="3"/>
  <c r="DF14" i="3"/>
  <c r="DB14" i="3"/>
  <c r="CX14" i="3"/>
  <c r="CT14" i="3"/>
  <c r="CP14" i="3"/>
  <c r="CL14" i="3"/>
  <c r="CH14" i="3"/>
  <c r="CD14" i="3"/>
  <c r="BZ14" i="3"/>
  <c r="BV14" i="3"/>
  <c r="BR14" i="3"/>
  <c r="BN14" i="3"/>
  <c r="BJ14" i="3"/>
  <c r="BF14" i="3"/>
  <c r="BB14" i="3"/>
  <c r="AX14" i="3"/>
  <c r="AT14" i="3"/>
  <c r="AP14" i="3"/>
  <c r="AL14" i="3"/>
  <c r="AH14" i="3"/>
  <c r="AD14" i="3"/>
  <c r="Z14" i="3"/>
  <c r="V14" i="3"/>
  <c r="ED14" i="3" s="1"/>
  <c r="R14" i="3"/>
  <c r="N14" i="3"/>
  <c r="J14" i="3"/>
  <c r="EC13" i="3"/>
  <c r="EB13" i="3"/>
  <c r="DZ13" i="3"/>
  <c r="DV13" i="3"/>
  <c r="DR13" i="3"/>
  <c r="DN13" i="3"/>
  <c r="DJ13" i="3"/>
  <c r="DF13" i="3"/>
  <c r="DB13" i="3"/>
  <c r="CX13" i="3"/>
  <c r="CT13" i="3"/>
  <c r="CP13" i="3"/>
  <c r="CL13" i="3"/>
  <c r="CH13" i="3"/>
  <c r="CD13" i="3"/>
  <c r="BZ13" i="3"/>
  <c r="BV13" i="3"/>
  <c r="BR13" i="3"/>
  <c r="BN13" i="3"/>
  <c r="BJ13" i="3"/>
  <c r="BF13" i="3"/>
  <c r="BB13" i="3"/>
  <c r="AX13" i="3"/>
  <c r="AT13" i="3"/>
  <c r="AP13" i="3"/>
  <c r="AL13" i="3"/>
  <c r="AH13" i="3"/>
  <c r="AD13" i="3"/>
  <c r="Z13" i="3"/>
  <c r="V13" i="3"/>
  <c r="R13" i="3"/>
  <c r="N13" i="3"/>
  <c r="J13" i="3"/>
  <c r="ED13" i="3" s="1"/>
  <c r="EC12" i="3"/>
  <c r="EB12" i="3"/>
  <c r="DZ12" i="3"/>
  <c r="DV12" i="3"/>
  <c r="DR12" i="3"/>
  <c r="DN12" i="3"/>
  <c r="DJ12" i="3"/>
  <c r="DF12" i="3"/>
  <c r="DB12" i="3"/>
  <c r="CX12" i="3"/>
  <c r="CT12" i="3"/>
  <c r="CP12" i="3"/>
  <c r="CL12" i="3"/>
  <c r="CH12" i="3"/>
  <c r="CD12" i="3"/>
  <c r="BZ12" i="3"/>
  <c r="BV12" i="3"/>
  <c r="BR12" i="3"/>
  <c r="BN12" i="3"/>
  <c r="BJ12" i="3"/>
  <c r="BF12" i="3"/>
  <c r="BB12" i="3"/>
  <c r="AX12" i="3"/>
  <c r="AT12" i="3"/>
  <c r="AP12" i="3"/>
  <c r="AL12" i="3"/>
  <c r="AH12" i="3"/>
  <c r="AD12" i="3"/>
  <c r="Z12" i="3"/>
  <c r="V12" i="3"/>
  <c r="R12" i="3"/>
  <c r="N12" i="3"/>
  <c r="J12" i="3"/>
  <c r="EC11" i="3"/>
  <c r="EB11" i="3"/>
  <c r="DZ11" i="3"/>
  <c r="DV11" i="3"/>
  <c r="DR11" i="3"/>
  <c r="CA11" i="1" s="1"/>
  <c r="DN11" i="3"/>
  <c r="DJ11" i="3"/>
  <c r="DF11" i="3"/>
  <c r="DB11" i="3"/>
  <c r="CX11" i="3"/>
  <c r="CT11" i="3"/>
  <c r="CP11" i="3"/>
  <c r="CL11" i="3"/>
  <c r="CH11" i="3"/>
  <c r="CD11" i="3"/>
  <c r="BZ11" i="3"/>
  <c r="BV11" i="3"/>
  <c r="BR11" i="3"/>
  <c r="BN11" i="3"/>
  <c r="BJ11" i="3"/>
  <c r="BF11" i="3"/>
  <c r="BB11" i="3"/>
  <c r="AX11" i="3"/>
  <c r="AT11" i="3"/>
  <c r="AP11" i="3"/>
  <c r="AL11" i="3"/>
  <c r="AH11" i="3"/>
  <c r="AD11" i="3"/>
  <c r="Z11" i="3"/>
  <c r="V11" i="3"/>
  <c r="R11" i="3"/>
  <c r="N11" i="3"/>
  <c r="J11" i="3"/>
  <c r="EC10" i="3"/>
  <c r="EB10" i="3"/>
  <c r="DZ10" i="3"/>
  <c r="DV10" i="3"/>
  <c r="DR10" i="3"/>
  <c r="DN10" i="3"/>
  <c r="DJ10" i="3"/>
  <c r="DF10" i="3"/>
  <c r="DB10" i="3"/>
  <c r="CX10" i="3"/>
  <c r="CT10" i="3"/>
  <c r="CP10" i="3"/>
  <c r="CL10" i="3"/>
  <c r="CH10" i="3"/>
  <c r="CD10" i="3"/>
  <c r="BZ10" i="3"/>
  <c r="BV10" i="3"/>
  <c r="BR10" i="3"/>
  <c r="BN10" i="1" s="1"/>
  <c r="CD10" i="1" s="1"/>
  <c r="CI10" i="1" s="1"/>
  <c r="BN10" i="3"/>
  <c r="BJ10" i="3"/>
  <c r="BF10" i="3"/>
  <c r="BB10" i="3"/>
  <c r="AX10" i="3"/>
  <c r="AT10" i="3"/>
  <c r="AP10" i="3"/>
  <c r="AL10" i="3"/>
  <c r="AH10" i="3"/>
  <c r="AD10" i="3"/>
  <c r="Z10" i="3"/>
  <c r="V10" i="3"/>
  <c r="R10" i="3"/>
  <c r="N10" i="3"/>
  <c r="J10" i="3"/>
  <c r="EC9" i="3"/>
  <c r="EB9" i="3"/>
  <c r="DZ9" i="3"/>
  <c r="DV9" i="3"/>
  <c r="DR9" i="3"/>
  <c r="DN9" i="3"/>
  <c r="DJ9" i="3"/>
  <c r="DF9" i="3"/>
  <c r="DB9" i="3"/>
  <c r="CX9" i="3"/>
  <c r="CT9" i="3"/>
  <c r="CP9" i="3"/>
  <c r="CL9" i="3"/>
  <c r="CH9" i="3"/>
  <c r="CD9" i="3"/>
  <c r="BZ9" i="3"/>
  <c r="BV9" i="3"/>
  <c r="BR9" i="3"/>
  <c r="BN9" i="1" s="1"/>
  <c r="BN9" i="3"/>
  <c r="BM9" i="1" s="1"/>
  <c r="BJ9" i="3"/>
  <c r="BF9" i="3"/>
  <c r="BB9" i="3"/>
  <c r="AX9" i="3"/>
  <c r="AT9" i="3"/>
  <c r="AP9" i="3"/>
  <c r="AL9" i="3"/>
  <c r="AH9" i="3"/>
  <c r="AD9" i="3"/>
  <c r="Z9" i="3"/>
  <c r="V9" i="3"/>
  <c r="R9" i="3"/>
  <c r="N9" i="3"/>
  <c r="J9" i="3"/>
  <c r="EC8" i="3"/>
  <c r="EB8" i="3"/>
  <c r="DZ8" i="3"/>
  <c r="DV8" i="3"/>
  <c r="DR8" i="3"/>
  <c r="DN8" i="3"/>
  <c r="DJ8" i="3"/>
  <c r="DF8" i="3"/>
  <c r="DB8" i="3"/>
  <c r="CX8" i="3"/>
  <c r="CT8" i="3"/>
  <c r="CP8" i="3"/>
  <c r="CL8" i="3"/>
  <c r="CH8" i="3"/>
  <c r="CD8" i="3"/>
  <c r="BZ8" i="3"/>
  <c r="BV8" i="3"/>
  <c r="BV109" i="3" s="1"/>
  <c r="BR8" i="3"/>
  <c r="BN8" i="3"/>
  <c r="BJ8" i="3"/>
  <c r="BF8" i="3"/>
  <c r="BB8" i="3"/>
  <c r="AX8" i="3"/>
  <c r="AT8" i="3"/>
  <c r="AP8" i="3"/>
  <c r="AL8" i="3"/>
  <c r="AH8" i="3"/>
  <c r="AD8" i="3"/>
  <c r="Z8" i="3"/>
  <c r="Z109" i="3" s="1"/>
  <c r="V8" i="3"/>
  <c r="R8" i="3"/>
  <c r="N8" i="3"/>
  <c r="J8" i="3"/>
  <c r="EC7" i="3"/>
  <c r="EB7" i="3"/>
  <c r="DZ7" i="3"/>
  <c r="DV7" i="3"/>
  <c r="DV109" i="3" s="1"/>
  <c r="DR7" i="3"/>
  <c r="DN7" i="3"/>
  <c r="DJ7" i="3"/>
  <c r="DF7" i="3"/>
  <c r="DB7" i="3"/>
  <c r="CX7" i="3"/>
  <c r="CT7" i="3"/>
  <c r="CP7" i="3"/>
  <c r="CL7" i="3"/>
  <c r="CH7" i="3"/>
  <c r="CD7" i="3"/>
  <c r="BZ7" i="3"/>
  <c r="BZ109" i="3" s="1"/>
  <c r="BV7" i="3"/>
  <c r="BR7" i="3"/>
  <c r="BN7" i="1" s="1"/>
  <c r="BN7" i="3"/>
  <c r="BJ7" i="3"/>
  <c r="BF7" i="3"/>
  <c r="BB7" i="3"/>
  <c r="AX7" i="3"/>
  <c r="AT7" i="3"/>
  <c r="AP7" i="3"/>
  <c r="AL7" i="3"/>
  <c r="AH7" i="3"/>
  <c r="AD7" i="3"/>
  <c r="Z7" i="3"/>
  <c r="V7" i="3"/>
  <c r="R7" i="3"/>
  <c r="N7" i="3"/>
  <c r="J7" i="3"/>
  <c r="EC6" i="3"/>
  <c r="EB6" i="3"/>
  <c r="DZ6" i="3"/>
  <c r="DV6" i="3"/>
  <c r="DR6" i="3"/>
  <c r="DN6" i="3"/>
  <c r="DJ6" i="3"/>
  <c r="DF6" i="3"/>
  <c r="DB6" i="3"/>
  <c r="DB109" i="3" s="1"/>
  <c r="CX6" i="3"/>
  <c r="CT6" i="3"/>
  <c r="CP6" i="3"/>
  <c r="CL6" i="3"/>
  <c r="CH6" i="3"/>
  <c r="CD6" i="3"/>
  <c r="BZ6" i="3"/>
  <c r="BV6" i="3"/>
  <c r="BR6" i="3"/>
  <c r="BN6" i="1" s="1"/>
  <c r="BN6" i="3"/>
  <c r="BJ6" i="3"/>
  <c r="BF6" i="3"/>
  <c r="BF109" i="3" s="1"/>
  <c r="BB6" i="3"/>
  <c r="AX6" i="3"/>
  <c r="AT6" i="3"/>
  <c r="AP6" i="3"/>
  <c r="AL6" i="3"/>
  <c r="AH6" i="3"/>
  <c r="AD6" i="3"/>
  <c r="Z6" i="3"/>
  <c r="V6" i="3"/>
  <c r="R6" i="3"/>
  <c r="N6" i="3"/>
  <c r="J6" i="3"/>
  <c r="J109" i="3" s="1"/>
  <c r="EC5" i="3"/>
  <c r="EB5" i="3"/>
  <c r="DZ5" i="3"/>
  <c r="DV5" i="3"/>
  <c r="DR5" i="3"/>
  <c r="DN5" i="3"/>
  <c r="DJ5" i="3"/>
  <c r="DF5" i="3"/>
  <c r="DF109" i="3" s="1"/>
  <c r="DB5" i="3"/>
  <c r="CX5" i="3"/>
  <c r="CT5" i="3"/>
  <c r="CP5" i="3"/>
  <c r="CL5" i="3"/>
  <c r="CH5" i="3"/>
  <c r="CD5" i="3"/>
  <c r="BZ5" i="3"/>
  <c r="BV5" i="3"/>
  <c r="BR5" i="3"/>
  <c r="BN5" i="1" s="1"/>
  <c r="BN5" i="3"/>
  <c r="BJ5" i="3"/>
  <c r="BJ109" i="3" s="1"/>
  <c r="BF5" i="3"/>
  <c r="BB5" i="3"/>
  <c r="AX5" i="3"/>
  <c r="AT5" i="3"/>
  <c r="AP5" i="3"/>
  <c r="AL5" i="3"/>
  <c r="AH5" i="3"/>
  <c r="AD5" i="3"/>
  <c r="Z5" i="3"/>
  <c r="V5" i="3"/>
  <c r="R5" i="3"/>
  <c r="N5" i="3"/>
  <c r="J5" i="3"/>
  <c r="EC4" i="3"/>
  <c r="EB4" i="3"/>
  <c r="DZ4" i="3"/>
  <c r="DZ109" i="3" s="1"/>
  <c r="DV4" i="3"/>
  <c r="DR4" i="3"/>
  <c r="DN4" i="3"/>
  <c r="DN109" i="3" s="1"/>
  <c r="DJ4" i="3"/>
  <c r="DJ109" i="3" s="1"/>
  <c r="DF4" i="3"/>
  <c r="DB4" i="3"/>
  <c r="CX4" i="3"/>
  <c r="CX109" i="3" s="1"/>
  <c r="CT4" i="3"/>
  <c r="CT109" i="3" s="1"/>
  <c r="CP4" i="3"/>
  <c r="CP109" i="3" s="1"/>
  <c r="CL4" i="3"/>
  <c r="CL109" i="3" s="1"/>
  <c r="CH4" i="3"/>
  <c r="CH109" i="3" s="1"/>
  <c r="CD4" i="3"/>
  <c r="CD109" i="3" s="1"/>
  <c r="BZ4" i="3"/>
  <c r="BV4" i="3"/>
  <c r="BR4" i="3"/>
  <c r="BN4" i="3"/>
  <c r="BJ4" i="3"/>
  <c r="BF4" i="3"/>
  <c r="BB4" i="3"/>
  <c r="BB109" i="3" s="1"/>
  <c r="AX4" i="3"/>
  <c r="AX109" i="3" s="1"/>
  <c r="AT4" i="3"/>
  <c r="AT109" i="3" s="1"/>
  <c r="AP4" i="3"/>
  <c r="AP109" i="3" s="1"/>
  <c r="AL4" i="3"/>
  <c r="AL109" i="3" s="1"/>
  <c r="AH4" i="3"/>
  <c r="AH109" i="3" s="1"/>
  <c r="AD4" i="3"/>
  <c r="Z4" i="3"/>
  <c r="V4" i="3"/>
  <c r="V109" i="3" s="1"/>
  <c r="R4" i="3"/>
  <c r="R109" i="3" s="1"/>
  <c r="N4" i="3"/>
  <c r="J4" i="3"/>
  <c r="AD4" i="2"/>
  <c r="ED108" i="2"/>
  <c r="ED107" i="2"/>
  <c r="ED106" i="2"/>
  <c r="ED105" i="2"/>
  <c r="ED104" i="2"/>
  <c r="ED103" i="2"/>
  <c r="ED102" i="2"/>
  <c r="ED101" i="2"/>
  <c r="ED100" i="2"/>
  <c r="ED99" i="2"/>
  <c r="ED98" i="2"/>
  <c r="ED97" i="2"/>
  <c r="ED96" i="2"/>
  <c r="ED95" i="2"/>
  <c r="ED94" i="2"/>
  <c r="ED93" i="2"/>
  <c r="ED92" i="2"/>
  <c r="ED91" i="2"/>
  <c r="ED90" i="2"/>
  <c r="ED89" i="2"/>
  <c r="ED88" i="2"/>
  <c r="ED82" i="2"/>
  <c r="ED81" i="2"/>
  <c r="ED80" i="2"/>
  <c r="ED70" i="2"/>
  <c r="ED69" i="2"/>
  <c r="ED68" i="2"/>
  <c r="ED58" i="2"/>
  <c r="ED57" i="2"/>
  <c r="ED56" i="2"/>
  <c r="ED46" i="2"/>
  <c r="ED45" i="2"/>
  <c r="ED44" i="2"/>
  <c r="ED34" i="2"/>
  <c r="ED33" i="2"/>
  <c r="ED32" i="2"/>
  <c r="ED22" i="2"/>
  <c r="ED21" i="2"/>
  <c r="ED20" i="2"/>
  <c r="ED5" i="2"/>
  <c r="EC108" i="2"/>
  <c r="EC107" i="2"/>
  <c r="EC106" i="2"/>
  <c r="EC105" i="2"/>
  <c r="EC104" i="2"/>
  <c r="EC103" i="2"/>
  <c r="EC102" i="2"/>
  <c r="EC101" i="2"/>
  <c r="EC100" i="2"/>
  <c r="EC99" i="2"/>
  <c r="EC98" i="2"/>
  <c r="EC97" i="2"/>
  <c r="EC96" i="2"/>
  <c r="EC95" i="2"/>
  <c r="EC94" i="2"/>
  <c r="EC93" i="2"/>
  <c r="EC92" i="2"/>
  <c r="EC91" i="2"/>
  <c r="EC90" i="2"/>
  <c r="EC89" i="2"/>
  <c r="EC88" i="2"/>
  <c r="EC87" i="2"/>
  <c r="EC86" i="2"/>
  <c r="EC85" i="2"/>
  <c r="EC84" i="2"/>
  <c r="EC83" i="2"/>
  <c r="EC82" i="2"/>
  <c r="EC81" i="2"/>
  <c r="EC80" i="2"/>
  <c r="EC79" i="2"/>
  <c r="EC78" i="2"/>
  <c r="EC77" i="2"/>
  <c r="EC76" i="2"/>
  <c r="EC75" i="2"/>
  <c r="EC74" i="2"/>
  <c r="EC73" i="2"/>
  <c r="EC72" i="2"/>
  <c r="EC71" i="2"/>
  <c r="EC70" i="2"/>
  <c r="EC69" i="2"/>
  <c r="EC68" i="2"/>
  <c r="EC67" i="2"/>
  <c r="EC66" i="2"/>
  <c r="EC65" i="2"/>
  <c r="EC64" i="2"/>
  <c r="EC63" i="2"/>
  <c r="EC62" i="2"/>
  <c r="EC61" i="2"/>
  <c r="EC60" i="2"/>
  <c r="EC59" i="2"/>
  <c r="EC58" i="2"/>
  <c r="EC57" i="2"/>
  <c r="EC56" i="2"/>
  <c r="EC55" i="2"/>
  <c r="EC54" i="2"/>
  <c r="EC53" i="2"/>
  <c r="EC52" i="2"/>
  <c r="EC51" i="2"/>
  <c r="EC50" i="2"/>
  <c r="EC49" i="2"/>
  <c r="EC48" i="2"/>
  <c r="EC47" i="2"/>
  <c r="EC46" i="2"/>
  <c r="EC45" i="2"/>
  <c r="EC44" i="2"/>
  <c r="EC43" i="2"/>
  <c r="EC42" i="2"/>
  <c r="EC41" i="2"/>
  <c r="EC40" i="2"/>
  <c r="EC39" i="2"/>
  <c r="EC38" i="2"/>
  <c r="EC37" i="2"/>
  <c r="EC36" i="2"/>
  <c r="EC35" i="2"/>
  <c r="EC34" i="2"/>
  <c r="EC33" i="2"/>
  <c r="EC32" i="2"/>
  <c r="EC31" i="2"/>
  <c r="EC30" i="2"/>
  <c r="EC29" i="2"/>
  <c r="EC28" i="2"/>
  <c r="EC27" i="2"/>
  <c r="EC26" i="2"/>
  <c r="EC25" i="2"/>
  <c r="EC24" i="2"/>
  <c r="EC23" i="2"/>
  <c r="EC22" i="2"/>
  <c r="EC21" i="2"/>
  <c r="EC20" i="2"/>
  <c r="EC19" i="2"/>
  <c r="EC18" i="2"/>
  <c r="EC17" i="2"/>
  <c r="EC16" i="2"/>
  <c r="EC15" i="2"/>
  <c r="EC14" i="2"/>
  <c r="EC13" i="2"/>
  <c r="EC12" i="2"/>
  <c r="EC11" i="2"/>
  <c r="EC10" i="2"/>
  <c r="EC9" i="2"/>
  <c r="EC8" i="2"/>
  <c r="EC7" i="2"/>
  <c r="EC6" i="2"/>
  <c r="EC5" i="2"/>
  <c r="EC4" i="2"/>
  <c r="EB108" i="2"/>
  <c r="EB107" i="2"/>
  <c r="EB106" i="2"/>
  <c r="EB105" i="2"/>
  <c r="EB104" i="2"/>
  <c r="EB103" i="2"/>
  <c r="EB102" i="2"/>
  <c r="EB101" i="2"/>
  <c r="EB100" i="2"/>
  <c r="EB99" i="2"/>
  <c r="EB98" i="2"/>
  <c r="EB97" i="2"/>
  <c r="EB96" i="2"/>
  <c r="EB95" i="2"/>
  <c r="EB94" i="2"/>
  <c r="EB93" i="2"/>
  <c r="EB92" i="2"/>
  <c r="EB91" i="2"/>
  <c r="EB90" i="2"/>
  <c r="EB89" i="2"/>
  <c r="EB88" i="2"/>
  <c r="EB87" i="2"/>
  <c r="EB86" i="2"/>
  <c r="EB85" i="2"/>
  <c r="EB84" i="2"/>
  <c r="EB83" i="2"/>
  <c r="EB82" i="2"/>
  <c r="EB81" i="2"/>
  <c r="EB80" i="2"/>
  <c r="EB79" i="2"/>
  <c r="EB78" i="2"/>
  <c r="EB77" i="2"/>
  <c r="EB76" i="2"/>
  <c r="EB75" i="2"/>
  <c r="EB74" i="2"/>
  <c r="EB73" i="2"/>
  <c r="EB72" i="2"/>
  <c r="EB71" i="2"/>
  <c r="EB70" i="2"/>
  <c r="EB69" i="2"/>
  <c r="EB68" i="2"/>
  <c r="EB67" i="2"/>
  <c r="EB66" i="2"/>
  <c r="EB65" i="2"/>
  <c r="EB64" i="2"/>
  <c r="EB63" i="2"/>
  <c r="EB62" i="2"/>
  <c r="EB61" i="2"/>
  <c r="EB60" i="2"/>
  <c r="EB59" i="2"/>
  <c r="EB58" i="2"/>
  <c r="EB57" i="2"/>
  <c r="EB56" i="2"/>
  <c r="EB55" i="2"/>
  <c r="EB54" i="2"/>
  <c r="EB53" i="2"/>
  <c r="EB52" i="2"/>
  <c r="EB51" i="2"/>
  <c r="EB50" i="2"/>
  <c r="EB49" i="2"/>
  <c r="EB48" i="2"/>
  <c r="EB47" i="2"/>
  <c r="EB46" i="2"/>
  <c r="EB45" i="2"/>
  <c r="EB44" i="2"/>
  <c r="EB43" i="2"/>
  <c r="EB42" i="2"/>
  <c r="EB41" i="2"/>
  <c r="EB40" i="2"/>
  <c r="EB39" i="2"/>
  <c r="EB38" i="2"/>
  <c r="EB37" i="2"/>
  <c r="EB36" i="2"/>
  <c r="EB35" i="2"/>
  <c r="EB34" i="2"/>
  <c r="EB33" i="2"/>
  <c r="EB32" i="2"/>
  <c r="EB31" i="2"/>
  <c r="EB30" i="2"/>
  <c r="EB29" i="2"/>
  <c r="EB28" i="2"/>
  <c r="EB27" i="2"/>
  <c r="EB26" i="2"/>
  <c r="EB25" i="2"/>
  <c r="EB24" i="2"/>
  <c r="EB23" i="2"/>
  <c r="EB22" i="2"/>
  <c r="EB21" i="2"/>
  <c r="EB20" i="2"/>
  <c r="EB19" i="2"/>
  <c r="EB18" i="2"/>
  <c r="EB17" i="2"/>
  <c r="EB16" i="2"/>
  <c r="EB15" i="2"/>
  <c r="EB14" i="2"/>
  <c r="EB13" i="2"/>
  <c r="EB12" i="2"/>
  <c r="EB11" i="2"/>
  <c r="EB10" i="2"/>
  <c r="EB9" i="2"/>
  <c r="EB8" i="2"/>
  <c r="EB7" i="2"/>
  <c r="EB6" i="2"/>
  <c r="EB5" i="2"/>
  <c r="EB4" i="2"/>
  <c r="DY109" i="2"/>
  <c r="DX109" i="2"/>
  <c r="DU109" i="2"/>
  <c r="DT109" i="2"/>
  <c r="DQ109" i="2"/>
  <c r="DP109" i="2"/>
  <c r="DN109" i="2"/>
  <c r="DM109" i="2"/>
  <c r="DL109" i="2"/>
  <c r="DI109" i="2"/>
  <c r="DH109" i="2"/>
  <c r="DE109" i="2"/>
  <c r="DD109" i="2"/>
  <c r="DA109" i="2"/>
  <c r="CZ109" i="2"/>
  <c r="CW109" i="2"/>
  <c r="CV109" i="2"/>
  <c r="CS109" i="2"/>
  <c r="CR109" i="2"/>
  <c r="CO109" i="2"/>
  <c r="CN109" i="2"/>
  <c r="CD108" i="2"/>
  <c r="CD107" i="2"/>
  <c r="CD106" i="2"/>
  <c r="CD105" i="2"/>
  <c r="CD104" i="2"/>
  <c r="CD103" i="2"/>
  <c r="CD102" i="2"/>
  <c r="CD101" i="2"/>
  <c r="CD100" i="2"/>
  <c r="CD99" i="2"/>
  <c r="CD98" i="2"/>
  <c r="CD97" i="2"/>
  <c r="CD96" i="2"/>
  <c r="CD95" i="2"/>
  <c r="CD94" i="2"/>
  <c r="CD93" i="2"/>
  <c r="CD92" i="2"/>
  <c r="CD91" i="2"/>
  <c r="CD90" i="2"/>
  <c r="CD89" i="2"/>
  <c r="CD88" i="2"/>
  <c r="CD87" i="2"/>
  <c r="CD86" i="2"/>
  <c r="CD85" i="2"/>
  <c r="CD84" i="2"/>
  <c r="CD83" i="2"/>
  <c r="CD82" i="2"/>
  <c r="CD81" i="2"/>
  <c r="CD80" i="2"/>
  <c r="CD79" i="2"/>
  <c r="CD78" i="2"/>
  <c r="CD77" i="2"/>
  <c r="CD76" i="2"/>
  <c r="CD75" i="2"/>
  <c r="CD74" i="2"/>
  <c r="CD73" i="2"/>
  <c r="CD72" i="2"/>
  <c r="CD71" i="2"/>
  <c r="CD70" i="2"/>
  <c r="CD69" i="2"/>
  <c r="CD68" i="2"/>
  <c r="CD67" i="2"/>
  <c r="CD66" i="2"/>
  <c r="CD65" i="2"/>
  <c r="CD64" i="2"/>
  <c r="CD63" i="2"/>
  <c r="CD62" i="2"/>
  <c r="CD61" i="2"/>
  <c r="CD60" i="2"/>
  <c r="CD59" i="2"/>
  <c r="CD58" i="2"/>
  <c r="CD57" i="2"/>
  <c r="CD56" i="2"/>
  <c r="CD55" i="2"/>
  <c r="CD54" i="2"/>
  <c r="CD53" i="2"/>
  <c r="CD52" i="2"/>
  <c r="CD51" i="2"/>
  <c r="CD50" i="2"/>
  <c r="CD49" i="2"/>
  <c r="CD48" i="2"/>
  <c r="CD47" i="2"/>
  <c r="CD46" i="2"/>
  <c r="CD45" i="2"/>
  <c r="CD44" i="2"/>
  <c r="CD43" i="2"/>
  <c r="CD42" i="2"/>
  <c r="CD41" i="2"/>
  <c r="CD40" i="2"/>
  <c r="CD39" i="2"/>
  <c r="CD38" i="2"/>
  <c r="CD37" i="2"/>
  <c r="CD36" i="2"/>
  <c r="CD35" i="2"/>
  <c r="CD34" i="2"/>
  <c r="CD33" i="2"/>
  <c r="CD32" i="2"/>
  <c r="CD31" i="2"/>
  <c r="CD30" i="2"/>
  <c r="CD29" i="2"/>
  <c r="CD28" i="2"/>
  <c r="CD27" i="2"/>
  <c r="CD26" i="2"/>
  <c r="CD25" i="2"/>
  <c r="CD24" i="2"/>
  <c r="CD23" i="2"/>
  <c r="CD22" i="2"/>
  <c r="CD21" i="2"/>
  <c r="CD20" i="2"/>
  <c r="CD19" i="2"/>
  <c r="CD18" i="2"/>
  <c r="CD17" i="2"/>
  <c r="CD16" i="2"/>
  <c r="CD15" i="2"/>
  <c r="CD14" i="2"/>
  <c r="CD13" i="2"/>
  <c r="CD12" i="2"/>
  <c r="CD11" i="2"/>
  <c r="CD10" i="2"/>
  <c r="CD9" i="2"/>
  <c r="CD8" i="2"/>
  <c r="CD7" i="2"/>
  <c r="CD6" i="2"/>
  <c r="CD5" i="2"/>
  <c r="CH108" i="2"/>
  <c r="CH107" i="2"/>
  <c r="CH106" i="2"/>
  <c r="CH105" i="2"/>
  <c r="CH104" i="2"/>
  <c r="CH103" i="2"/>
  <c r="CH102" i="2"/>
  <c r="CH101" i="2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H79" i="2"/>
  <c r="CH78" i="2"/>
  <c r="CH77" i="2"/>
  <c r="CH76" i="2"/>
  <c r="CH75" i="2"/>
  <c r="CH74" i="2"/>
  <c r="CH73" i="2"/>
  <c r="CH72" i="2"/>
  <c r="CH71" i="2"/>
  <c r="CH70" i="2"/>
  <c r="CH69" i="2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H55" i="2"/>
  <c r="CH54" i="2"/>
  <c r="CH53" i="2"/>
  <c r="CH52" i="2"/>
  <c r="CH51" i="2"/>
  <c r="CH50" i="2"/>
  <c r="CH49" i="2"/>
  <c r="CH48" i="2"/>
  <c r="CH47" i="2"/>
  <c r="CH46" i="2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L108" i="2"/>
  <c r="CL107" i="2"/>
  <c r="CL106" i="2"/>
  <c r="CL105" i="2"/>
  <c r="CL104" i="2"/>
  <c r="CL103" i="2"/>
  <c r="CL102" i="2"/>
  <c r="CL101" i="2"/>
  <c r="CL100" i="2"/>
  <c r="CL99" i="2"/>
  <c r="CL98" i="2"/>
  <c r="CL97" i="2"/>
  <c r="CL96" i="2"/>
  <c r="CL95" i="2"/>
  <c r="CL94" i="2"/>
  <c r="CL93" i="2"/>
  <c r="CL92" i="2"/>
  <c r="CL91" i="2"/>
  <c r="CL90" i="2"/>
  <c r="CL89" i="2"/>
  <c r="CL88" i="2"/>
  <c r="CL87" i="2"/>
  <c r="CL86" i="2"/>
  <c r="CL85" i="2"/>
  <c r="CL84" i="2"/>
  <c r="CL83" i="2"/>
  <c r="CL82" i="2"/>
  <c r="CL81" i="2"/>
  <c r="CL80" i="2"/>
  <c r="CL79" i="2"/>
  <c r="CL78" i="2"/>
  <c r="CL77" i="2"/>
  <c r="CL76" i="2"/>
  <c r="CL75" i="2"/>
  <c r="CL74" i="2"/>
  <c r="CL73" i="2"/>
  <c r="CL72" i="2"/>
  <c r="CL71" i="2"/>
  <c r="CL70" i="2"/>
  <c r="CL69" i="2"/>
  <c r="CL68" i="2"/>
  <c r="CL67" i="2"/>
  <c r="CL66" i="2"/>
  <c r="CL65" i="2"/>
  <c r="CL64" i="2"/>
  <c r="CL63" i="2"/>
  <c r="CL62" i="2"/>
  <c r="CL61" i="2"/>
  <c r="CL60" i="2"/>
  <c r="CL59" i="2"/>
  <c r="CL58" i="2"/>
  <c r="CL57" i="2"/>
  <c r="CL56" i="2"/>
  <c r="CL55" i="2"/>
  <c r="CL54" i="2"/>
  <c r="CL53" i="2"/>
  <c r="CL52" i="2"/>
  <c r="CL51" i="2"/>
  <c r="CL50" i="2"/>
  <c r="CL49" i="2"/>
  <c r="CL48" i="2"/>
  <c r="CL47" i="2"/>
  <c r="CL46" i="2"/>
  <c r="CL45" i="2"/>
  <c r="CL44" i="2"/>
  <c r="CL43" i="2"/>
  <c r="CL42" i="2"/>
  <c r="CL41" i="2"/>
  <c r="CL40" i="2"/>
  <c r="CL39" i="2"/>
  <c r="CL38" i="2"/>
  <c r="CL37" i="2"/>
  <c r="CL36" i="2"/>
  <c r="CL35" i="2"/>
  <c r="CL34" i="2"/>
  <c r="CL33" i="2"/>
  <c r="CL32" i="2"/>
  <c r="CL31" i="2"/>
  <c r="CL30" i="2"/>
  <c r="CL29" i="2"/>
  <c r="CL28" i="2"/>
  <c r="CL27" i="2"/>
  <c r="CL26" i="2"/>
  <c r="CL25" i="2"/>
  <c r="CL24" i="2"/>
  <c r="CL23" i="2"/>
  <c r="CL22" i="2"/>
  <c r="CL21" i="2"/>
  <c r="CL20" i="2"/>
  <c r="CL19" i="2"/>
  <c r="CL18" i="2"/>
  <c r="CL17" i="2"/>
  <c r="CL16" i="2"/>
  <c r="CL15" i="2"/>
  <c r="CL14" i="2"/>
  <c r="CL13" i="2"/>
  <c r="CL12" i="2"/>
  <c r="CL11" i="2"/>
  <c r="CL10" i="2"/>
  <c r="CL9" i="2"/>
  <c r="CL8" i="2"/>
  <c r="CL7" i="2"/>
  <c r="CL6" i="2"/>
  <c r="CL5" i="2"/>
  <c r="CP108" i="2"/>
  <c r="CP107" i="2"/>
  <c r="CP106" i="2"/>
  <c r="CP105" i="2"/>
  <c r="CP104" i="2"/>
  <c r="CP103" i="2"/>
  <c r="CP102" i="2"/>
  <c r="CP101" i="2"/>
  <c r="CP100" i="2"/>
  <c r="CP99" i="2"/>
  <c r="CP98" i="2"/>
  <c r="CP97" i="2"/>
  <c r="CP96" i="2"/>
  <c r="CP95" i="2"/>
  <c r="CP94" i="2"/>
  <c r="CP93" i="2"/>
  <c r="CP92" i="2"/>
  <c r="CP91" i="2"/>
  <c r="CP90" i="2"/>
  <c r="CP89" i="2"/>
  <c r="CP88" i="2"/>
  <c r="CP87" i="2"/>
  <c r="CP86" i="2"/>
  <c r="CP85" i="2"/>
  <c r="CP84" i="2"/>
  <c r="CP83" i="2"/>
  <c r="CP82" i="2"/>
  <c r="CP81" i="2"/>
  <c r="CP80" i="2"/>
  <c r="CP79" i="2"/>
  <c r="CP78" i="2"/>
  <c r="CP77" i="2"/>
  <c r="CP76" i="2"/>
  <c r="CP75" i="2"/>
  <c r="CP74" i="2"/>
  <c r="CP73" i="2"/>
  <c r="CP72" i="2"/>
  <c r="CP71" i="2"/>
  <c r="CP70" i="2"/>
  <c r="CP69" i="2"/>
  <c r="CP68" i="2"/>
  <c r="CP67" i="2"/>
  <c r="CP66" i="2"/>
  <c r="CP65" i="2"/>
  <c r="CP64" i="2"/>
  <c r="CP63" i="2"/>
  <c r="CP62" i="2"/>
  <c r="CP61" i="2"/>
  <c r="CP60" i="2"/>
  <c r="CP59" i="2"/>
  <c r="CP58" i="2"/>
  <c r="CP57" i="2"/>
  <c r="CP56" i="2"/>
  <c r="CP55" i="2"/>
  <c r="CP54" i="2"/>
  <c r="CP53" i="2"/>
  <c r="CP52" i="2"/>
  <c r="CP51" i="2"/>
  <c r="CP50" i="2"/>
  <c r="CP49" i="2"/>
  <c r="CP48" i="2"/>
  <c r="CP47" i="2"/>
  <c r="CP46" i="2"/>
  <c r="CP45" i="2"/>
  <c r="CP44" i="2"/>
  <c r="CP43" i="2"/>
  <c r="CP42" i="2"/>
  <c r="CP41" i="2"/>
  <c r="CP40" i="2"/>
  <c r="CP39" i="2"/>
  <c r="CP38" i="2"/>
  <c r="CP37" i="2"/>
  <c r="CP36" i="2"/>
  <c r="CP35" i="2"/>
  <c r="CP34" i="2"/>
  <c r="CP33" i="2"/>
  <c r="CP32" i="2"/>
  <c r="CP31" i="2"/>
  <c r="CP30" i="2"/>
  <c r="CP29" i="2"/>
  <c r="CP28" i="2"/>
  <c r="CP27" i="2"/>
  <c r="CP26" i="2"/>
  <c r="CP25" i="2"/>
  <c r="CP24" i="2"/>
  <c r="CP23" i="2"/>
  <c r="CP22" i="2"/>
  <c r="CP21" i="2"/>
  <c r="CP20" i="2"/>
  <c r="CP19" i="2"/>
  <c r="CP18" i="2"/>
  <c r="CP17" i="2"/>
  <c r="CP16" i="2"/>
  <c r="CP15" i="2"/>
  <c r="CP14" i="2"/>
  <c r="CP13" i="2"/>
  <c r="CP12" i="2"/>
  <c r="CP11" i="2"/>
  <c r="CP10" i="2"/>
  <c r="CP9" i="2"/>
  <c r="CP8" i="2"/>
  <c r="CP7" i="2"/>
  <c r="CP6" i="2"/>
  <c r="CP5" i="2"/>
  <c r="CT108" i="2"/>
  <c r="CT107" i="2"/>
  <c r="CT106" i="2"/>
  <c r="CT105" i="2"/>
  <c r="CT104" i="2"/>
  <c r="CT103" i="2"/>
  <c r="CT102" i="2"/>
  <c r="CT101" i="2"/>
  <c r="CT100" i="2"/>
  <c r="CT99" i="2"/>
  <c r="CT98" i="2"/>
  <c r="CT97" i="2"/>
  <c r="CT96" i="2"/>
  <c r="CT95" i="2"/>
  <c r="CT94" i="2"/>
  <c r="CT93" i="2"/>
  <c r="CT92" i="2"/>
  <c r="CT91" i="2"/>
  <c r="CT90" i="2"/>
  <c r="CT89" i="2"/>
  <c r="CT88" i="2"/>
  <c r="CT87" i="2"/>
  <c r="CT86" i="2"/>
  <c r="CT85" i="2"/>
  <c r="CT84" i="2"/>
  <c r="CT83" i="2"/>
  <c r="CT82" i="2"/>
  <c r="CT81" i="2"/>
  <c r="CT80" i="2"/>
  <c r="CT79" i="2"/>
  <c r="CT78" i="2"/>
  <c r="CT77" i="2"/>
  <c r="CT76" i="2"/>
  <c r="CT75" i="2"/>
  <c r="CT74" i="2"/>
  <c r="CT73" i="2"/>
  <c r="CT72" i="2"/>
  <c r="CT71" i="2"/>
  <c r="CT70" i="2"/>
  <c r="CT69" i="2"/>
  <c r="CT68" i="2"/>
  <c r="CT67" i="2"/>
  <c r="CT66" i="2"/>
  <c r="CT65" i="2"/>
  <c r="CT64" i="2"/>
  <c r="CT63" i="2"/>
  <c r="CT62" i="2"/>
  <c r="CT61" i="2"/>
  <c r="CT60" i="2"/>
  <c r="CT59" i="2"/>
  <c r="CT58" i="2"/>
  <c r="CT57" i="2"/>
  <c r="CT56" i="2"/>
  <c r="CT55" i="2"/>
  <c r="CT54" i="2"/>
  <c r="CT53" i="2"/>
  <c r="CT52" i="2"/>
  <c r="CT51" i="2"/>
  <c r="CT50" i="2"/>
  <c r="CT49" i="2"/>
  <c r="CT48" i="2"/>
  <c r="CT47" i="2"/>
  <c r="CT46" i="2"/>
  <c r="CT45" i="2"/>
  <c r="CT44" i="2"/>
  <c r="CT43" i="2"/>
  <c r="CT42" i="2"/>
  <c r="CT41" i="2"/>
  <c r="CT40" i="2"/>
  <c r="CT39" i="2"/>
  <c r="CT38" i="2"/>
  <c r="CT37" i="2"/>
  <c r="CT36" i="2"/>
  <c r="CT35" i="2"/>
  <c r="CT34" i="2"/>
  <c r="CT33" i="2"/>
  <c r="CT32" i="2"/>
  <c r="CT31" i="2"/>
  <c r="CT30" i="2"/>
  <c r="CT29" i="2"/>
  <c r="CT28" i="2"/>
  <c r="CT27" i="2"/>
  <c r="CT26" i="2"/>
  <c r="CT25" i="2"/>
  <c r="CT24" i="2"/>
  <c r="CT23" i="2"/>
  <c r="CT22" i="2"/>
  <c r="CT21" i="2"/>
  <c r="CT20" i="2"/>
  <c r="CT19" i="2"/>
  <c r="CT18" i="2"/>
  <c r="CT17" i="2"/>
  <c r="CT16" i="2"/>
  <c r="CT15" i="2"/>
  <c r="CT14" i="2"/>
  <c r="CT13" i="2"/>
  <c r="CT12" i="2"/>
  <c r="CT11" i="2"/>
  <c r="CT10" i="2"/>
  <c r="CT9" i="2"/>
  <c r="CT8" i="2"/>
  <c r="CT7" i="2"/>
  <c r="CT6" i="2"/>
  <c r="CT5" i="2"/>
  <c r="CX108" i="2"/>
  <c r="CX107" i="2"/>
  <c r="CX106" i="2"/>
  <c r="CX105" i="2"/>
  <c r="CX104" i="2"/>
  <c r="CX103" i="2"/>
  <c r="CX102" i="2"/>
  <c r="CX101" i="2"/>
  <c r="CX100" i="2"/>
  <c r="CX99" i="2"/>
  <c r="CX98" i="2"/>
  <c r="CX97" i="2"/>
  <c r="CX96" i="2"/>
  <c r="CX95" i="2"/>
  <c r="CX94" i="2"/>
  <c r="CX93" i="2"/>
  <c r="CX92" i="2"/>
  <c r="CX91" i="2"/>
  <c r="CX90" i="2"/>
  <c r="CX89" i="2"/>
  <c r="CX88" i="2"/>
  <c r="CX87" i="2"/>
  <c r="CX86" i="2"/>
  <c r="CX85" i="2"/>
  <c r="CX84" i="2"/>
  <c r="CX83" i="2"/>
  <c r="CX82" i="2"/>
  <c r="CX81" i="2"/>
  <c r="CX80" i="2"/>
  <c r="CX79" i="2"/>
  <c r="CX78" i="2"/>
  <c r="CX77" i="2"/>
  <c r="CX76" i="2"/>
  <c r="CX75" i="2"/>
  <c r="CX74" i="2"/>
  <c r="CX73" i="2"/>
  <c r="CX72" i="2"/>
  <c r="CX71" i="2"/>
  <c r="CX70" i="2"/>
  <c r="CX69" i="2"/>
  <c r="CX68" i="2"/>
  <c r="CX67" i="2"/>
  <c r="CX66" i="2"/>
  <c r="CX65" i="2"/>
  <c r="CX64" i="2"/>
  <c r="CX63" i="2"/>
  <c r="CX62" i="2"/>
  <c r="CX61" i="2"/>
  <c r="CX60" i="2"/>
  <c r="CX59" i="2"/>
  <c r="CX58" i="2"/>
  <c r="CX57" i="2"/>
  <c r="CX56" i="2"/>
  <c r="CX55" i="2"/>
  <c r="CX54" i="2"/>
  <c r="CX53" i="2"/>
  <c r="CX52" i="2"/>
  <c r="CX51" i="2"/>
  <c r="CX50" i="2"/>
  <c r="CX49" i="2"/>
  <c r="CX48" i="2"/>
  <c r="CX47" i="2"/>
  <c r="CX46" i="2"/>
  <c r="CX45" i="2"/>
  <c r="CX44" i="2"/>
  <c r="CX43" i="2"/>
  <c r="CX42" i="2"/>
  <c r="CX41" i="2"/>
  <c r="CX40" i="2"/>
  <c r="CX39" i="2"/>
  <c r="CX38" i="2"/>
  <c r="CX37" i="2"/>
  <c r="CX36" i="2"/>
  <c r="CX35" i="2"/>
  <c r="CX34" i="2"/>
  <c r="CX33" i="2"/>
  <c r="CX32" i="2"/>
  <c r="CX31" i="2"/>
  <c r="CX30" i="2"/>
  <c r="CX29" i="2"/>
  <c r="CX28" i="2"/>
  <c r="CX27" i="2"/>
  <c r="CX26" i="2"/>
  <c r="CX25" i="2"/>
  <c r="CX24" i="2"/>
  <c r="CX23" i="2"/>
  <c r="CX22" i="2"/>
  <c r="CX21" i="2"/>
  <c r="CX20" i="2"/>
  <c r="CX19" i="2"/>
  <c r="CX18" i="2"/>
  <c r="CX17" i="2"/>
  <c r="CX16" i="2"/>
  <c r="CX15" i="2"/>
  <c r="CX14" i="2"/>
  <c r="CX13" i="2"/>
  <c r="CX12" i="2"/>
  <c r="CX11" i="2"/>
  <c r="CX10" i="2"/>
  <c r="CX9" i="2"/>
  <c r="CX8" i="2"/>
  <c r="CX7" i="2"/>
  <c r="CX6" i="2"/>
  <c r="CX5" i="2"/>
  <c r="DB108" i="2"/>
  <c r="DB107" i="2"/>
  <c r="DB106" i="2"/>
  <c r="DB105" i="2"/>
  <c r="DB104" i="2"/>
  <c r="DB103" i="2"/>
  <c r="DB102" i="2"/>
  <c r="DB101" i="2"/>
  <c r="DB100" i="2"/>
  <c r="DB99" i="2"/>
  <c r="DB98" i="2"/>
  <c r="DB97" i="2"/>
  <c r="DB96" i="2"/>
  <c r="DB95" i="2"/>
  <c r="DB94" i="2"/>
  <c r="DB93" i="2"/>
  <c r="DB92" i="2"/>
  <c r="DB91" i="2"/>
  <c r="DB90" i="2"/>
  <c r="DB89" i="2"/>
  <c r="DB88" i="2"/>
  <c r="DB87" i="2"/>
  <c r="DB86" i="2"/>
  <c r="DB85" i="2"/>
  <c r="DB84" i="2"/>
  <c r="DB83" i="2"/>
  <c r="DB82" i="2"/>
  <c r="DB81" i="2"/>
  <c r="DB80" i="2"/>
  <c r="DB79" i="2"/>
  <c r="DB78" i="2"/>
  <c r="DB77" i="2"/>
  <c r="DB76" i="2"/>
  <c r="DB75" i="2"/>
  <c r="DB74" i="2"/>
  <c r="DB73" i="2"/>
  <c r="DB72" i="2"/>
  <c r="DB71" i="2"/>
  <c r="DB70" i="2"/>
  <c r="DB69" i="2"/>
  <c r="DB68" i="2"/>
  <c r="DB67" i="2"/>
  <c r="DB66" i="2"/>
  <c r="DB65" i="2"/>
  <c r="DB64" i="2"/>
  <c r="DB63" i="2"/>
  <c r="DB62" i="2"/>
  <c r="DB61" i="2"/>
  <c r="DB60" i="2"/>
  <c r="DB59" i="2"/>
  <c r="DB58" i="2"/>
  <c r="DB57" i="2"/>
  <c r="DB56" i="2"/>
  <c r="DB55" i="2"/>
  <c r="DB54" i="2"/>
  <c r="DB53" i="2"/>
  <c r="DB52" i="2"/>
  <c r="DB51" i="2"/>
  <c r="DB50" i="2"/>
  <c r="DB49" i="2"/>
  <c r="DB48" i="2"/>
  <c r="DB47" i="2"/>
  <c r="DB46" i="2"/>
  <c r="DB45" i="2"/>
  <c r="DB44" i="2"/>
  <c r="DB43" i="2"/>
  <c r="DB42" i="2"/>
  <c r="DB41" i="2"/>
  <c r="DB40" i="2"/>
  <c r="DB39" i="2"/>
  <c r="DB38" i="2"/>
  <c r="DB37" i="2"/>
  <c r="DB36" i="2"/>
  <c r="DB35" i="2"/>
  <c r="DB34" i="2"/>
  <c r="DB33" i="2"/>
  <c r="DB32" i="2"/>
  <c r="DB31" i="2"/>
  <c r="DB30" i="2"/>
  <c r="DB29" i="2"/>
  <c r="DB28" i="2"/>
  <c r="DB27" i="2"/>
  <c r="DB26" i="2"/>
  <c r="DB25" i="2"/>
  <c r="DB24" i="2"/>
  <c r="DB23" i="2"/>
  <c r="DB22" i="2"/>
  <c r="DB21" i="2"/>
  <c r="DB20" i="2"/>
  <c r="DB19" i="2"/>
  <c r="DB18" i="2"/>
  <c r="DB17" i="2"/>
  <c r="DB16" i="2"/>
  <c r="DB15" i="2"/>
  <c r="DB14" i="2"/>
  <c r="DB13" i="2"/>
  <c r="DB12" i="2"/>
  <c r="DB11" i="2"/>
  <c r="DB10" i="2"/>
  <c r="DB9" i="2"/>
  <c r="DB8" i="2"/>
  <c r="DB7" i="2"/>
  <c r="DB6" i="2"/>
  <c r="DB5" i="2"/>
  <c r="DF108" i="2"/>
  <c r="DF107" i="2"/>
  <c r="DF106" i="2"/>
  <c r="DF105" i="2"/>
  <c r="DF104" i="2"/>
  <c r="DF103" i="2"/>
  <c r="DF102" i="2"/>
  <c r="DF101" i="2"/>
  <c r="DF100" i="2"/>
  <c r="DF99" i="2"/>
  <c r="DF98" i="2"/>
  <c r="DF97" i="2"/>
  <c r="DF96" i="2"/>
  <c r="DF95" i="2"/>
  <c r="DF94" i="2"/>
  <c r="DF93" i="2"/>
  <c r="DF92" i="2"/>
  <c r="DF91" i="2"/>
  <c r="DF90" i="2"/>
  <c r="DF89" i="2"/>
  <c r="DF88" i="2"/>
  <c r="DF87" i="2"/>
  <c r="DF86" i="2"/>
  <c r="DF85" i="2"/>
  <c r="DF84" i="2"/>
  <c r="DF83" i="2"/>
  <c r="DF82" i="2"/>
  <c r="DF81" i="2"/>
  <c r="DF80" i="2"/>
  <c r="DF79" i="2"/>
  <c r="DF78" i="2"/>
  <c r="DF77" i="2"/>
  <c r="DF76" i="2"/>
  <c r="DF75" i="2"/>
  <c r="DF74" i="2"/>
  <c r="DF73" i="2"/>
  <c r="DF72" i="2"/>
  <c r="DF71" i="2"/>
  <c r="DF70" i="2"/>
  <c r="DF69" i="2"/>
  <c r="DF68" i="2"/>
  <c r="DF67" i="2"/>
  <c r="DF66" i="2"/>
  <c r="DF65" i="2"/>
  <c r="DF64" i="2"/>
  <c r="DF63" i="2"/>
  <c r="DF62" i="2"/>
  <c r="DF61" i="2"/>
  <c r="DF60" i="2"/>
  <c r="DF59" i="2"/>
  <c r="DF58" i="2"/>
  <c r="DF57" i="2"/>
  <c r="DF56" i="2"/>
  <c r="DF55" i="2"/>
  <c r="DF54" i="2"/>
  <c r="DF53" i="2"/>
  <c r="DF52" i="2"/>
  <c r="DF51" i="2"/>
  <c r="DF50" i="2"/>
  <c r="DF49" i="2"/>
  <c r="DF48" i="2"/>
  <c r="DF47" i="2"/>
  <c r="DF46" i="2"/>
  <c r="DF45" i="2"/>
  <c r="DF44" i="2"/>
  <c r="DF43" i="2"/>
  <c r="DF42" i="2"/>
  <c r="DF41" i="2"/>
  <c r="DF40" i="2"/>
  <c r="DF39" i="2"/>
  <c r="DF38" i="2"/>
  <c r="DF37" i="2"/>
  <c r="DF36" i="2"/>
  <c r="DF35" i="2"/>
  <c r="DF34" i="2"/>
  <c r="DF33" i="2"/>
  <c r="DF32" i="2"/>
  <c r="DF31" i="2"/>
  <c r="DF30" i="2"/>
  <c r="DF29" i="2"/>
  <c r="DF28" i="2"/>
  <c r="DF27" i="2"/>
  <c r="DF26" i="2"/>
  <c r="DF25" i="2"/>
  <c r="DF24" i="2"/>
  <c r="DF23" i="2"/>
  <c r="DF22" i="2"/>
  <c r="DF21" i="2"/>
  <c r="DF20" i="2"/>
  <c r="DF19" i="2"/>
  <c r="DF18" i="2"/>
  <c r="DF17" i="2"/>
  <c r="DF16" i="2"/>
  <c r="DF15" i="2"/>
  <c r="DF14" i="2"/>
  <c r="DF13" i="2"/>
  <c r="DF12" i="2"/>
  <c r="DF11" i="2"/>
  <c r="DF10" i="2"/>
  <c r="DF9" i="2"/>
  <c r="DF8" i="2"/>
  <c r="DF7" i="2"/>
  <c r="DF6" i="2"/>
  <c r="DF5" i="2"/>
  <c r="DJ108" i="2"/>
  <c r="DJ107" i="2"/>
  <c r="DJ106" i="2"/>
  <c r="DJ105" i="2"/>
  <c r="DJ104" i="2"/>
  <c r="DJ103" i="2"/>
  <c r="DJ102" i="2"/>
  <c r="DJ101" i="2"/>
  <c r="DJ100" i="2"/>
  <c r="DJ99" i="2"/>
  <c r="DJ98" i="2"/>
  <c r="DJ97" i="2"/>
  <c r="DJ96" i="2"/>
  <c r="DJ95" i="2"/>
  <c r="DJ94" i="2"/>
  <c r="DJ93" i="2"/>
  <c r="DJ92" i="2"/>
  <c r="DJ91" i="2"/>
  <c r="DJ90" i="2"/>
  <c r="DJ89" i="2"/>
  <c r="DJ88" i="2"/>
  <c r="DJ87" i="2"/>
  <c r="DJ86" i="2"/>
  <c r="DJ85" i="2"/>
  <c r="DJ84" i="2"/>
  <c r="DJ83" i="2"/>
  <c r="DJ82" i="2"/>
  <c r="DJ81" i="2"/>
  <c r="DJ80" i="2"/>
  <c r="DJ79" i="2"/>
  <c r="DJ78" i="2"/>
  <c r="DJ77" i="2"/>
  <c r="DJ76" i="2"/>
  <c r="DJ75" i="2"/>
  <c r="DJ74" i="2"/>
  <c r="DJ73" i="2"/>
  <c r="DJ72" i="2"/>
  <c r="DJ71" i="2"/>
  <c r="DJ70" i="2"/>
  <c r="DJ69" i="2"/>
  <c r="DJ68" i="2"/>
  <c r="DJ67" i="2"/>
  <c r="DJ66" i="2"/>
  <c r="DJ65" i="2"/>
  <c r="DJ64" i="2"/>
  <c r="DJ63" i="2"/>
  <c r="DJ62" i="2"/>
  <c r="DJ61" i="2"/>
  <c r="DJ60" i="2"/>
  <c r="DJ59" i="2"/>
  <c r="DJ58" i="2"/>
  <c r="DJ57" i="2"/>
  <c r="DJ56" i="2"/>
  <c r="DJ55" i="2"/>
  <c r="DJ54" i="2"/>
  <c r="DJ53" i="2"/>
  <c r="DJ52" i="2"/>
  <c r="DJ51" i="2"/>
  <c r="DJ50" i="2"/>
  <c r="DJ49" i="2"/>
  <c r="DJ48" i="2"/>
  <c r="DJ47" i="2"/>
  <c r="DJ46" i="2"/>
  <c r="DJ45" i="2"/>
  <c r="DJ44" i="2"/>
  <c r="DJ43" i="2"/>
  <c r="DJ42" i="2"/>
  <c r="DJ41" i="2"/>
  <c r="DJ40" i="2"/>
  <c r="DJ39" i="2"/>
  <c r="DJ38" i="2"/>
  <c r="DJ37" i="2"/>
  <c r="DJ36" i="2"/>
  <c r="DJ35" i="2"/>
  <c r="DJ34" i="2"/>
  <c r="DJ33" i="2"/>
  <c r="DJ32" i="2"/>
  <c r="DJ31" i="2"/>
  <c r="DJ30" i="2"/>
  <c r="DJ29" i="2"/>
  <c r="DJ28" i="2"/>
  <c r="DJ27" i="2"/>
  <c r="DJ26" i="2"/>
  <c r="DJ25" i="2"/>
  <c r="DJ24" i="2"/>
  <c r="DJ23" i="2"/>
  <c r="DJ22" i="2"/>
  <c r="DJ21" i="2"/>
  <c r="DJ20" i="2"/>
  <c r="DJ19" i="2"/>
  <c r="DJ18" i="2"/>
  <c r="DJ17" i="2"/>
  <c r="DJ16" i="2"/>
  <c r="DJ15" i="2"/>
  <c r="DJ14" i="2"/>
  <c r="DJ13" i="2"/>
  <c r="DJ12" i="2"/>
  <c r="DJ11" i="2"/>
  <c r="DJ10" i="2"/>
  <c r="DJ9" i="2"/>
  <c r="DJ8" i="2"/>
  <c r="DJ7" i="2"/>
  <c r="DJ6" i="2"/>
  <c r="DJ5" i="2"/>
  <c r="DN108" i="2"/>
  <c r="DN107" i="2"/>
  <c r="DN106" i="2"/>
  <c r="DN105" i="2"/>
  <c r="DN104" i="2"/>
  <c r="DN103" i="2"/>
  <c r="DN102" i="2"/>
  <c r="DN101" i="2"/>
  <c r="DN100" i="2"/>
  <c r="DN99" i="2"/>
  <c r="DN98" i="2"/>
  <c r="DN97" i="2"/>
  <c r="DN96" i="2"/>
  <c r="DN95" i="2"/>
  <c r="DN94" i="2"/>
  <c r="DN93" i="2"/>
  <c r="DN92" i="2"/>
  <c r="DN91" i="2"/>
  <c r="DN90" i="2"/>
  <c r="DN89" i="2"/>
  <c r="DN88" i="2"/>
  <c r="DN87" i="2"/>
  <c r="DN86" i="2"/>
  <c r="DN85" i="2"/>
  <c r="DN84" i="2"/>
  <c r="DN83" i="2"/>
  <c r="DN82" i="2"/>
  <c r="DN81" i="2"/>
  <c r="DN80" i="2"/>
  <c r="DN79" i="2"/>
  <c r="DN78" i="2"/>
  <c r="DN77" i="2"/>
  <c r="DN76" i="2"/>
  <c r="DN75" i="2"/>
  <c r="DN74" i="2"/>
  <c r="DN73" i="2"/>
  <c r="DN72" i="2"/>
  <c r="DN71" i="2"/>
  <c r="DN70" i="2"/>
  <c r="DN69" i="2"/>
  <c r="DN68" i="2"/>
  <c r="DN67" i="2"/>
  <c r="DN66" i="2"/>
  <c r="DN65" i="2"/>
  <c r="DN64" i="2"/>
  <c r="DN63" i="2"/>
  <c r="DN62" i="2"/>
  <c r="DN61" i="2"/>
  <c r="DN60" i="2"/>
  <c r="DN59" i="2"/>
  <c r="DN58" i="2"/>
  <c r="DN57" i="2"/>
  <c r="DN56" i="2"/>
  <c r="DN55" i="2"/>
  <c r="DN54" i="2"/>
  <c r="DN53" i="2"/>
  <c r="DN52" i="2"/>
  <c r="DN51" i="2"/>
  <c r="DN50" i="2"/>
  <c r="DN49" i="2"/>
  <c r="DN48" i="2"/>
  <c r="DN47" i="2"/>
  <c r="DN46" i="2"/>
  <c r="DN45" i="2"/>
  <c r="DN44" i="2"/>
  <c r="DN43" i="2"/>
  <c r="DN42" i="2"/>
  <c r="DN41" i="2"/>
  <c r="DN40" i="2"/>
  <c r="DN39" i="2"/>
  <c r="DN38" i="2"/>
  <c r="DN37" i="2"/>
  <c r="DN36" i="2"/>
  <c r="DN35" i="2"/>
  <c r="DN34" i="2"/>
  <c r="DN33" i="2"/>
  <c r="DN32" i="2"/>
  <c r="DN31" i="2"/>
  <c r="DN30" i="2"/>
  <c r="DN29" i="2"/>
  <c r="DN28" i="2"/>
  <c r="DN27" i="2"/>
  <c r="DN26" i="2"/>
  <c r="DN25" i="2"/>
  <c r="DN24" i="2"/>
  <c r="DN23" i="2"/>
  <c r="DN22" i="2"/>
  <c r="DN21" i="2"/>
  <c r="DN20" i="2"/>
  <c r="DN19" i="2"/>
  <c r="DN18" i="2"/>
  <c r="DN17" i="2"/>
  <c r="DN16" i="2"/>
  <c r="DN15" i="2"/>
  <c r="DN14" i="2"/>
  <c r="DN13" i="2"/>
  <c r="DN12" i="2"/>
  <c r="DN11" i="2"/>
  <c r="DN10" i="2"/>
  <c r="DN9" i="2"/>
  <c r="DN8" i="2"/>
  <c r="DN7" i="2"/>
  <c r="DN6" i="2"/>
  <c r="DN5" i="2"/>
  <c r="DR108" i="2"/>
  <c r="DR107" i="2"/>
  <c r="DR106" i="2"/>
  <c r="DR105" i="2"/>
  <c r="DR104" i="2"/>
  <c r="DR103" i="2"/>
  <c r="DR102" i="2"/>
  <c r="DR101" i="2"/>
  <c r="DR100" i="2"/>
  <c r="DR99" i="2"/>
  <c r="DR98" i="2"/>
  <c r="DR97" i="2"/>
  <c r="DR96" i="2"/>
  <c r="DR95" i="2"/>
  <c r="DR94" i="2"/>
  <c r="DR93" i="2"/>
  <c r="DR92" i="2"/>
  <c r="DR91" i="2"/>
  <c r="DR90" i="2"/>
  <c r="DR89" i="2"/>
  <c r="DR88" i="2"/>
  <c r="DR87" i="2"/>
  <c r="DR86" i="2"/>
  <c r="DR85" i="2"/>
  <c r="DR84" i="2"/>
  <c r="DR83" i="2"/>
  <c r="DR82" i="2"/>
  <c r="DR81" i="2"/>
  <c r="DR80" i="2"/>
  <c r="DR79" i="2"/>
  <c r="DR78" i="2"/>
  <c r="DR77" i="2"/>
  <c r="DR76" i="2"/>
  <c r="DR75" i="2"/>
  <c r="DR74" i="2"/>
  <c r="DR73" i="2"/>
  <c r="DR72" i="2"/>
  <c r="DR71" i="2"/>
  <c r="DR70" i="2"/>
  <c r="DR69" i="2"/>
  <c r="DR68" i="2"/>
  <c r="DR67" i="2"/>
  <c r="DR66" i="2"/>
  <c r="DR65" i="2"/>
  <c r="DR64" i="2"/>
  <c r="DR63" i="2"/>
  <c r="DR62" i="2"/>
  <c r="DR61" i="2"/>
  <c r="DR60" i="2"/>
  <c r="DR59" i="2"/>
  <c r="DR58" i="2"/>
  <c r="DR57" i="2"/>
  <c r="DR56" i="2"/>
  <c r="DR55" i="2"/>
  <c r="DR54" i="2"/>
  <c r="DR53" i="2"/>
  <c r="DR52" i="2"/>
  <c r="DR51" i="2"/>
  <c r="DR50" i="2"/>
  <c r="DR49" i="2"/>
  <c r="DR48" i="2"/>
  <c r="DR47" i="2"/>
  <c r="DR46" i="2"/>
  <c r="DR45" i="2"/>
  <c r="DR44" i="2"/>
  <c r="DR43" i="2"/>
  <c r="DR42" i="2"/>
  <c r="DR41" i="2"/>
  <c r="DR40" i="2"/>
  <c r="DR39" i="2"/>
  <c r="DR38" i="2"/>
  <c r="DR37" i="2"/>
  <c r="DR36" i="2"/>
  <c r="DR35" i="2"/>
  <c r="DR34" i="2"/>
  <c r="DR33" i="2"/>
  <c r="DR32" i="2"/>
  <c r="DR31" i="2"/>
  <c r="DR30" i="2"/>
  <c r="DR29" i="2"/>
  <c r="DR28" i="2"/>
  <c r="DR27" i="2"/>
  <c r="DR26" i="2"/>
  <c r="DR25" i="2"/>
  <c r="DR24" i="2"/>
  <c r="DR23" i="2"/>
  <c r="DR22" i="2"/>
  <c r="DR21" i="2"/>
  <c r="DR20" i="2"/>
  <c r="DR19" i="2"/>
  <c r="DR18" i="2"/>
  <c r="DR17" i="2"/>
  <c r="DR16" i="2"/>
  <c r="DR15" i="2"/>
  <c r="DR14" i="2"/>
  <c r="DR13" i="2"/>
  <c r="DR12" i="2"/>
  <c r="DR11" i="2"/>
  <c r="DR10" i="2"/>
  <c r="DR9" i="2"/>
  <c r="DR8" i="2"/>
  <c r="ED8" i="2" s="1"/>
  <c r="DR7" i="2"/>
  <c r="DR6" i="2"/>
  <c r="DR5" i="2"/>
  <c r="DV108" i="2"/>
  <c r="DV107" i="2"/>
  <c r="DV106" i="2"/>
  <c r="DV105" i="2"/>
  <c r="DV104" i="2"/>
  <c r="DV103" i="2"/>
  <c r="DV102" i="2"/>
  <c r="DV101" i="2"/>
  <c r="DV100" i="2"/>
  <c r="DV99" i="2"/>
  <c r="DV98" i="2"/>
  <c r="DV97" i="2"/>
  <c r="DV96" i="2"/>
  <c r="DV95" i="2"/>
  <c r="DV94" i="2"/>
  <c r="DV93" i="2"/>
  <c r="DV92" i="2"/>
  <c r="DV91" i="2"/>
  <c r="DV90" i="2"/>
  <c r="DV89" i="2"/>
  <c r="DV88" i="2"/>
  <c r="DV87" i="2"/>
  <c r="DV86" i="2"/>
  <c r="DV85" i="2"/>
  <c r="DV84" i="2"/>
  <c r="DV83" i="2"/>
  <c r="DV82" i="2"/>
  <c r="DV81" i="2"/>
  <c r="DV80" i="2"/>
  <c r="DV79" i="2"/>
  <c r="DV78" i="2"/>
  <c r="DV77" i="2"/>
  <c r="DV76" i="2"/>
  <c r="DV75" i="2"/>
  <c r="DV74" i="2"/>
  <c r="DV73" i="2"/>
  <c r="DV72" i="2"/>
  <c r="DV71" i="2"/>
  <c r="DV70" i="2"/>
  <c r="DV69" i="2"/>
  <c r="DV68" i="2"/>
  <c r="DV67" i="2"/>
  <c r="DV66" i="2"/>
  <c r="DV65" i="2"/>
  <c r="DV64" i="2"/>
  <c r="DV63" i="2"/>
  <c r="DV62" i="2"/>
  <c r="DV61" i="2"/>
  <c r="DV60" i="2"/>
  <c r="DV59" i="2"/>
  <c r="DV58" i="2"/>
  <c r="DV57" i="2"/>
  <c r="DV56" i="2"/>
  <c r="DV55" i="2"/>
  <c r="DV54" i="2"/>
  <c r="DV53" i="2"/>
  <c r="DV52" i="2"/>
  <c r="DV51" i="2"/>
  <c r="DV50" i="2"/>
  <c r="DV49" i="2"/>
  <c r="DV48" i="2"/>
  <c r="DV47" i="2"/>
  <c r="DV46" i="2"/>
  <c r="DV45" i="2"/>
  <c r="DV44" i="2"/>
  <c r="DV43" i="2"/>
  <c r="DV42" i="2"/>
  <c r="DV41" i="2"/>
  <c r="DV40" i="2"/>
  <c r="DV39" i="2"/>
  <c r="DV38" i="2"/>
  <c r="DV37" i="2"/>
  <c r="DV36" i="2"/>
  <c r="DV35" i="2"/>
  <c r="DV34" i="2"/>
  <c r="DV33" i="2"/>
  <c r="DV32" i="2"/>
  <c r="DV31" i="2"/>
  <c r="DV30" i="2"/>
  <c r="DV29" i="2"/>
  <c r="DV28" i="2"/>
  <c r="DV27" i="2"/>
  <c r="DV26" i="2"/>
  <c r="DV25" i="2"/>
  <c r="DV24" i="2"/>
  <c r="DV23" i="2"/>
  <c r="DV22" i="2"/>
  <c r="DV21" i="2"/>
  <c r="DV20" i="2"/>
  <c r="DV19" i="2"/>
  <c r="DV18" i="2"/>
  <c r="DV17" i="2"/>
  <c r="DV16" i="2"/>
  <c r="DV15" i="2"/>
  <c r="DV14" i="2"/>
  <c r="DV13" i="2"/>
  <c r="DV12" i="2"/>
  <c r="DV11" i="2"/>
  <c r="DV10" i="2"/>
  <c r="DV9" i="2"/>
  <c r="DV8" i="2"/>
  <c r="DV7" i="2"/>
  <c r="DV6" i="2"/>
  <c r="DV5" i="2"/>
  <c r="DZ108" i="2"/>
  <c r="DZ107" i="2"/>
  <c r="DZ106" i="2"/>
  <c r="DZ105" i="2"/>
  <c r="DZ104" i="2"/>
  <c r="DZ103" i="2"/>
  <c r="DZ102" i="2"/>
  <c r="DZ101" i="2"/>
  <c r="DZ100" i="2"/>
  <c r="DZ99" i="2"/>
  <c r="DZ98" i="2"/>
  <c r="DZ97" i="2"/>
  <c r="DZ96" i="2"/>
  <c r="DZ95" i="2"/>
  <c r="DZ94" i="2"/>
  <c r="DZ93" i="2"/>
  <c r="DZ92" i="2"/>
  <c r="DZ91" i="2"/>
  <c r="DZ90" i="2"/>
  <c r="DZ89" i="2"/>
  <c r="DZ88" i="2"/>
  <c r="DZ87" i="2"/>
  <c r="DZ86" i="2"/>
  <c r="DZ85" i="2"/>
  <c r="DZ84" i="2"/>
  <c r="DZ83" i="2"/>
  <c r="DZ82" i="2"/>
  <c r="DZ81" i="2"/>
  <c r="DZ80" i="2"/>
  <c r="DZ79" i="2"/>
  <c r="DZ78" i="2"/>
  <c r="DZ77" i="2"/>
  <c r="DZ76" i="2"/>
  <c r="DZ75" i="2"/>
  <c r="DZ74" i="2"/>
  <c r="DZ73" i="2"/>
  <c r="DZ72" i="2"/>
  <c r="DZ71" i="2"/>
  <c r="DZ70" i="2"/>
  <c r="DZ69" i="2"/>
  <c r="DZ68" i="2"/>
  <c r="DZ67" i="2"/>
  <c r="DZ66" i="2"/>
  <c r="DZ65" i="2"/>
  <c r="DZ64" i="2"/>
  <c r="DZ63" i="2"/>
  <c r="DZ62" i="2"/>
  <c r="DZ61" i="2"/>
  <c r="DZ60" i="2"/>
  <c r="DZ59" i="2"/>
  <c r="DZ58" i="2"/>
  <c r="DZ57" i="2"/>
  <c r="DZ56" i="2"/>
  <c r="DZ55" i="2"/>
  <c r="DZ54" i="2"/>
  <c r="DZ53" i="2"/>
  <c r="DZ52" i="2"/>
  <c r="DZ51" i="2"/>
  <c r="DZ50" i="2"/>
  <c r="DZ49" i="2"/>
  <c r="DZ48" i="2"/>
  <c r="DZ47" i="2"/>
  <c r="DZ46" i="2"/>
  <c r="DZ45" i="2"/>
  <c r="DZ44" i="2"/>
  <c r="DZ43" i="2"/>
  <c r="DZ42" i="2"/>
  <c r="DZ41" i="2"/>
  <c r="DZ40" i="2"/>
  <c r="DZ39" i="2"/>
  <c r="DZ38" i="2"/>
  <c r="DZ37" i="2"/>
  <c r="DZ36" i="2"/>
  <c r="DZ35" i="2"/>
  <c r="DZ34" i="2"/>
  <c r="DZ33" i="2"/>
  <c r="DZ32" i="2"/>
  <c r="DZ31" i="2"/>
  <c r="DZ30" i="2"/>
  <c r="DZ29" i="2"/>
  <c r="DZ28" i="2"/>
  <c r="DZ27" i="2"/>
  <c r="DZ26" i="2"/>
  <c r="DZ25" i="2"/>
  <c r="DZ24" i="2"/>
  <c r="DZ23" i="2"/>
  <c r="DZ22" i="2"/>
  <c r="DZ21" i="2"/>
  <c r="DZ20" i="2"/>
  <c r="DZ19" i="2"/>
  <c r="DZ18" i="2"/>
  <c r="DZ17" i="2"/>
  <c r="DZ16" i="2"/>
  <c r="DZ15" i="2"/>
  <c r="DZ14" i="2"/>
  <c r="DZ13" i="2"/>
  <c r="DZ12" i="2"/>
  <c r="DZ11" i="2"/>
  <c r="DZ10" i="2"/>
  <c r="DZ9" i="2"/>
  <c r="DZ8" i="2"/>
  <c r="DZ7" i="2"/>
  <c r="DZ6" i="2"/>
  <c r="DZ5" i="2"/>
  <c r="CP4" i="2"/>
  <c r="CT4" i="2"/>
  <c r="CT109" i="2" s="1"/>
  <c r="CX4" i="2"/>
  <c r="CX109" i="2" s="1"/>
  <c r="DB4" i="2"/>
  <c r="DB109" i="2" s="1"/>
  <c r="DF4" i="2"/>
  <c r="DF109" i="2" s="1"/>
  <c r="DJ4" i="2"/>
  <c r="DJ109" i="2" s="1"/>
  <c r="DN4" i="2"/>
  <c r="DR4" i="2"/>
  <c r="DV4" i="2"/>
  <c r="DV109" i="2" s="1"/>
  <c r="DZ4" i="2"/>
  <c r="CL4" i="2"/>
  <c r="CH4" i="2"/>
  <c r="CD4" i="2"/>
  <c r="BZ108" i="2"/>
  <c r="BZ107" i="2"/>
  <c r="BZ106" i="2"/>
  <c r="BZ105" i="2"/>
  <c r="BZ104" i="2"/>
  <c r="BZ103" i="2"/>
  <c r="BZ102" i="2"/>
  <c r="BZ101" i="2"/>
  <c r="BZ100" i="2"/>
  <c r="BZ99" i="2"/>
  <c r="BZ98" i="2"/>
  <c r="BZ97" i="2"/>
  <c r="BZ96" i="2"/>
  <c r="BZ95" i="2"/>
  <c r="BZ94" i="2"/>
  <c r="BZ93" i="2"/>
  <c r="BZ92" i="2"/>
  <c r="BZ91" i="2"/>
  <c r="BZ90" i="2"/>
  <c r="BZ89" i="2"/>
  <c r="BZ88" i="2"/>
  <c r="BZ87" i="2"/>
  <c r="BZ86" i="2"/>
  <c r="BZ85" i="2"/>
  <c r="BZ84" i="2"/>
  <c r="BZ83" i="2"/>
  <c r="BZ82" i="2"/>
  <c r="BZ81" i="2"/>
  <c r="BZ80" i="2"/>
  <c r="BZ79" i="2"/>
  <c r="BZ78" i="2"/>
  <c r="BZ77" i="2"/>
  <c r="BZ76" i="2"/>
  <c r="BZ75" i="2"/>
  <c r="BZ74" i="2"/>
  <c r="BZ73" i="2"/>
  <c r="BZ72" i="2"/>
  <c r="BZ71" i="2"/>
  <c r="BZ70" i="2"/>
  <c r="BZ69" i="2"/>
  <c r="BZ68" i="2"/>
  <c r="BZ67" i="2"/>
  <c r="BZ66" i="2"/>
  <c r="BZ65" i="2"/>
  <c r="BZ64" i="2"/>
  <c r="BZ63" i="2"/>
  <c r="BZ62" i="2"/>
  <c r="BZ61" i="2"/>
  <c r="BZ60" i="2"/>
  <c r="BZ59" i="2"/>
  <c r="BZ58" i="2"/>
  <c r="BZ57" i="2"/>
  <c r="BZ56" i="2"/>
  <c r="BZ55" i="2"/>
  <c r="BZ54" i="2"/>
  <c r="BZ53" i="2"/>
  <c r="BZ52" i="2"/>
  <c r="BZ51" i="2"/>
  <c r="BZ50" i="2"/>
  <c r="BZ49" i="2"/>
  <c r="BZ48" i="2"/>
  <c r="BZ47" i="2"/>
  <c r="BZ46" i="2"/>
  <c r="BZ45" i="2"/>
  <c r="BZ44" i="2"/>
  <c r="BZ43" i="2"/>
  <c r="BZ42" i="2"/>
  <c r="BZ41" i="2"/>
  <c r="BZ40" i="2"/>
  <c r="BZ39" i="2"/>
  <c r="BZ38" i="2"/>
  <c r="BZ37" i="2"/>
  <c r="BZ36" i="2"/>
  <c r="BZ35" i="2"/>
  <c r="BZ34" i="2"/>
  <c r="BZ33" i="2"/>
  <c r="BZ32" i="2"/>
  <c r="BZ31" i="2"/>
  <c r="BZ30" i="2"/>
  <c r="BZ29" i="2"/>
  <c r="BZ28" i="2"/>
  <c r="BZ27" i="2"/>
  <c r="BZ26" i="2"/>
  <c r="BZ25" i="2"/>
  <c r="BZ24" i="2"/>
  <c r="BZ23" i="2"/>
  <c r="BZ22" i="2"/>
  <c r="BZ21" i="2"/>
  <c r="BZ20" i="2"/>
  <c r="BZ19" i="2"/>
  <c r="BZ18" i="2"/>
  <c r="BZ17" i="2"/>
  <c r="BZ16" i="2"/>
  <c r="BZ15" i="2"/>
  <c r="BZ14" i="2"/>
  <c r="BZ13" i="2"/>
  <c r="BZ109" i="2" s="1"/>
  <c r="BZ12" i="2"/>
  <c r="BZ11" i="2"/>
  <c r="BZ10" i="2"/>
  <c r="BZ9" i="2"/>
  <c r="BZ8" i="2"/>
  <c r="BZ7" i="2"/>
  <c r="BZ6" i="2"/>
  <c r="BZ5" i="2"/>
  <c r="BZ4" i="2"/>
  <c r="BV108" i="2"/>
  <c r="BV107" i="2"/>
  <c r="BV106" i="2"/>
  <c r="BV105" i="2"/>
  <c r="BV104" i="2"/>
  <c r="BV103" i="2"/>
  <c r="BV102" i="2"/>
  <c r="BV101" i="2"/>
  <c r="BV100" i="2"/>
  <c r="BV99" i="2"/>
  <c r="BV98" i="2"/>
  <c r="BV97" i="2"/>
  <c r="BV96" i="2"/>
  <c r="BV95" i="2"/>
  <c r="BV94" i="2"/>
  <c r="BV93" i="2"/>
  <c r="BV92" i="2"/>
  <c r="BV91" i="2"/>
  <c r="BV90" i="2"/>
  <c r="BV89" i="2"/>
  <c r="BV88" i="2"/>
  <c r="BV87" i="2"/>
  <c r="BV86" i="2"/>
  <c r="BV85" i="2"/>
  <c r="BV84" i="2"/>
  <c r="BV83" i="2"/>
  <c r="BV82" i="2"/>
  <c r="BV81" i="2"/>
  <c r="BV80" i="2"/>
  <c r="BV79" i="2"/>
  <c r="BV78" i="2"/>
  <c r="BV77" i="2"/>
  <c r="BV76" i="2"/>
  <c r="BV75" i="2"/>
  <c r="BV74" i="2"/>
  <c r="BV73" i="2"/>
  <c r="BV72" i="2"/>
  <c r="BV71" i="2"/>
  <c r="BV70" i="2"/>
  <c r="BV69" i="2"/>
  <c r="BV68" i="2"/>
  <c r="BV67" i="2"/>
  <c r="BV66" i="2"/>
  <c r="BV65" i="2"/>
  <c r="BV64" i="2"/>
  <c r="BV63" i="2"/>
  <c r="BV62" i="2"/>
  <c r="BV61" i="2"/>
  <c r="BV60" i="2"/>
  <c r="BV59" i="2"/>
  <c r="BV58" i="2"/>
  <c r="BV57" i="2"/>
  <c r="BV56" i="2"/>
  <c r="BV55" i="2"/>
  <c r="BV54" i="2"/>
  <c r="BV53" i="2"/>
  <c r="BV52" i="2"/>
  <c r="BV51" i="2"/>
  <c r="BV50" i="2"/>
  <c r="BV49" i="2"/>
  <c r="BV48" i="2"/>
  <c r="BV47" i="2"/>
  <c r="BV46" i="2"/>
  <c r="BV45" i="2"/>
  <c r="BV44" i="2"/>
  <c r="BV43" i="2"/>
  <c r="BV42" i="2"/>
  <c r="BV41" i="2"/>
  <c r="BV40" i="2"/>
  <c r="BV39" i="2"/>
  <c r="BV38" i="2"/>
  <c r="BV37" i="2"/>
  <c r="BV36" i="2"/>
  <c r="BV35" i="2"/>
  <c r="BV34" i="2"/>
  <c r="BV33" i="2"/>
  <c r="BV32" i="2"/>
  <c r="BV31" i="2"/>
  <c r="BV30" i="2"/>
  <c r="BV29" i="2"/>
  <c r="BV28" i="2"/>
  <c r="BV27" i="2"/>
  <c r="BV26" i="2"/>
  <c r="BV25" i="2"/>
  <c r="BV24" i="2"/>
  <c r="BV23" i="2"/>
  <c r="BV22" i="2"/>
  <c r="BV21" i="2"/>
  <c r="BV20" i="2"/>
  <c r="BV19" i="2"/>
  <c r="BV18" i="2"/>
  <c r="BV17" i="2"/>
  <c r="BV16" i="2"/>
  <c r="BV15" i="2"/>
  <c r="BV14" i="2"/>
  <c r="BV13" i="2"/>
  <c r="BV12" i="2"/>
  <c r="BV11" i="2"/>
  <c r="BV10" i="2"/>
  <c r="BV9" i="2"/>
  <c r="BV8" i="2"/>
  <c r="BV7" i="2"/>
  <c r="BV6" i="2"/>
  <c r="BV5" i="2"/>
  <c r="BR108" i="2"/>
  <c r="BR107" i="2"/>
  <c r="BR106" i="2"/>
  <c r="BR105" i="2"/>
  <c r="BR104" i="2"/>
  <c r="BR103" i="2"/>
  <c r="BR102" i="2"/>
  <c r="BR101" i="2"/>
  <c r="BR100" i="2"/>
  <c r="BR99" i="2"/>
  <c r="BR98" i="2"/>
  <c r="BR97" i="2"/>
  <c r="BR96" i="2"/>
  <c r="BR95" i="2"/>
  <c r="BR94" i="2"/>
  <c r="BR93" i="2"/>
  <c r="BR92" i="2"/>
  <c r="BR91" i="2"/>
  <c r="BR90" i="2"/>
  <c r="BR89" i="2"/>
  <c r="BR88" i="2"/>
  <c r="BR87" i="2"/>
  <c r="ED87" i="2" s="1"/>
  <c r="BR86" i="2"/>
  <c r="ED86" i="2" s="1"/>
  <c r="BR85" i="2"/>
  <c r="ED85" i="2" s="1"/>
  <c r="BR84" i="2"/>
  <c r="BN84" i="1" s="1"/>
  <c r="CD84" i="1" s="1"/>
  <c r="CI84" i="1" s="1"/>
  <c r="BR83" i="2"/>
  <c r="BN83" i="1" s="1"/>
  <c r="CD83" i="1" s="1"/>
  <c r="CI83" i="1" s="1"/>
  <c r="BR82" i="2"/>
  <c r="BN82" i="1" s="1"/>
  <c r="CD82" i="1" s="1"/>
  <c r="CI82" i="1" s="1"/>
  <c r="BR81" i="2"/>
  <c r="BR80" i="2"/>
  <c r="BR79" i="2"/>
  <c r="ED79" i="2" s="1"/>
  <c r="BR78" i="2"/>
  <c r="ED78" i="2" s="1"/>
  <c r="BR77" i="2"/>
  <c r="ED77" i="2" s="1"/>
  <c r="BR76" i="2"/>
  <c r="ED76" i="2" s="1"/>
  <c r="BR75" i="2"/>
  <c r="ED75" i="2" s="1"/>
  <c r="BR74" i="2"/>
  <c r="ED74" i="2" s="1"/>
  <c r="BR73" i="2"/>
  <c r="ED73" i="2" s="1"/>
  <c r="BR72" i="2"/>
  <c r="BN72" i="1" s="1"/>
  <c r="CD72" i="1" s="1"/>
  <c r="CI72" i="1" s="1"/>
  <c r="BR71" i="2"/>
  <c r="BN71" i="1" s="1"/>
  <c r="CD71" i="1" s="1"/>
  <c r="CI71" i="1" s="1"/>
  <c r="BR70" i="2"/>
  <c r="BN70" i="1" s="1"/>
  <c r="CD70" i="1" s="1"/>
  <c r="CI70" i="1" s="1"/>
  <c r="BR69" i="2"/>
  <c r="BR68" i="2"/>
  <c r="BR67" i="2"/>
  <c r="ED67" i="2" s="1"/>
  <c r="BR66" i="2"/>
  <c r="ED66" i="2" s="1"/>
  <c r="BR65" i="2"/>
  <c r="ED65" i="2" s="1"/>
  <c r="BR64" i="2"/>
  <c r="ED64" i="2" s="1"/>
  <c r="BR63" i="2"/>
  <c r="ED63" i="2" s="1"/>
  <c r="BR62" i="2"/>
  <c r="ED62" i="2" s="1"/>
  <c r="BR61" i="2"/>
  <c r="ED61" i="2" s="1"/>
  <c r="BR60" i="2"/>
  <c r="BN60" i="1" s="1"/>
  <c r="CD60" i="1" s="1"/>
  <c r="CI60" i="1" s="1"/>
  <c r="BR59" i="2"/>
  <c r="BN59" i="1" s="1"/>
  <c r="CD59" i="1" s="1"/>
  <c r="CI59" i="1" s="1"/>
  <c r="BR58" i="2"/>
  <c r="BN58" i="1" s="1"/>
  <c r="CD58" i="1" s="1"/>
  <c r="CI58" i="1" s="1"/>
  <c r="BR57" i="2"/>
  <c r="BR56" i="2"/>
  <c r="BR55" i="2"/>
  <c r="ED55" i="2" s="1"/>
  <c r="BR54" i="2"/>
  <c r="ED54" i="2" s="1"/>
  <c r="BR53" i="2"/>
  <c r="ED53" i="2" s="1"/>
  <c r="BR52" i="2"/>
  <c r="ED52" i="2" s="1"/>
  <c r="BR51" i="2"/>
  <c r="ED51" i="2" s="1"/>
  <c r="BR50" i="2"/>
  <c r="ED50" i="2" s="1"/>
  <c r="BR49" i="2"/>
  <c r="ED49" i="2" s="1"/>
  <c r="BR48" i="2"/>
  <c r="BN48" i="1" s="1"/>
  <c r="CD48" i="1" s="1"/>
  <c r="CI48" i="1" s="1"/>
  <c r="BR47" i="2"/>
  <c r="BN47" i="1" s="1"/>
  <c r="CD47" i="1" s="1"/>
  <c r="CI47" i="1" s="1"/>
  <c r="BR46" i="2"/>
  <c r="BN46" i="1" s="1"/>
  <c r="CD46" i="1" s="1"/>
  <c r="CI46" i="1" s="1"/>
  <c r="BR45" i="2"/>
  <c r="BR44" i="2"/>
  <c r="BR43" i="2"/>
  <c r="ED43" i="2" s="1"/>
  <c r="BR42" i="2"/>
  <c r="ED42" i="2" s="1"/>
  <c r="BR41" i="2"/>
  <c r="ED41" i="2" s="1"/>
  <c r="BR40" i="2"/>
  <c r="ED40" i="2" s="1"/>
  <c r="BR39" i="2"/>
  <c r="ED39" i="2" s="1"/>
  <c r="BR38" i="2"/>
  <c r="ED38" i="2" s="1"/>
  <c r="BR37" i="2"/>
  <c r="ED37" i="2" s="1"/>
  <c r="BR36" i="2"/>
  <c r="BN36" i="1" s="1"/>
  <c r="CD36" i="1" s="1"/>
  <c r="CI36" i="1" s="1"/>
  <c r="BR35" i="2"/>
  <c r="ED35" i="2" s="1"/>
  <c r="BR34" i="2"/>
  <c r="BN34" i="1" s="1"/>
  <c r="CD34" i="1" s="1"/>
  <c r="CI34" i="1" s="1"/>
  <c r="BR33" i="2"/>
  <c r="BR32" i="2"/>
  <c r="BR31" i="2"/>
  <c r="ED31" i="2" s="1"/>
  <c r="BR30" i="2"/>
  <c r="ED30" i="2" s="1"/>
  <c r="BR29" i="2"/>
  <c r="ED29" i="2" s="1"/>
  <c r="BR28" i="2"/>
  <c r="ED28" i="2" s="1"/>
  <c r="BR27" i="2"/>
  <c r="ED27" i="2" s="1"/>
  <c r="BR26" i="2"/>
  <c r="BR25" i="2"/>
  <c r="ED25" i="2" s="1"/>
  <c r="BR24" i="2"/>
  <c r="ED24" i="2" s="1"/>
  <c r="BR23" i="2"/>
  <c r="ED23" i="2" s="1"/>
  <c r="BR22" i="2"/>
  <c r="BR21" i="2"/>
  <c r="BR20" i="2"/>
  <c r="BR19" i="2"/>
  <c r="ED19" i="2" s="1"/>
  <c r="BR18" i="2"/>
  <c r="ED18" i="2" s="1"/>
  <c r="BR17" i="2"/>
  <c r="ED17" i="2" s="1"/>
  <c r="BR16" i="2"/>
  <c r="ED16" i="2" s="1"/>
  <c r="BR15" i="2"/>
  <c r="ED15" i="2" s="1"/>
  <c r="BR14" i="2"/>
  <c r="ED14" i="2" s="1"/>
  <c r="BR13" i="2"/>
  <c r="ED13" i="2" s="1"/>
  <c r="BR12" i="2"/>
  <c r="ED12" i="2" s="1"/>
  <c r="BR11" i="2"/>
  <c r="BR10" i="2"/>
  <c r="ED10" i="2" s="1"/>
  <c r="BR9" i="2"/>
  <c r="ED9" i="2" s="1"/>
  <c r="BR8" i="2"/>
  <c r="BR7" i="2"/>
  <c r="BR6" i="2"/>
  <c r="BR5" i="2"/>
  <c r="BN108" i="2"/>
  <c r="BN107" i="2"/>
  <c r="BN106" i="2"/>
  <c r="BN105" i="2"/>
  <c r="BN104" i="2"/>
  <c r="BN103" i="2"/>
  <c r="BN102" i="2"/>
  <c r="BN101" i="2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J108" i="2"/>
  <c r="BJ107" i="2"/>
  <c r="BJ106" i="2"/>
  <c r="BJ105" i="2"/>
  <c r="BJ104" i="2"/>
  <c r="BJ103" i="2"/>
  <c r="BJ102" i="2"/>
  <c r="BJ101" i="2"/>
  <c r="BJ100" i="2"/>
  <c r="BJ99" i="2"/>
  <c r="BJ98" i="2"/>
  <c r="BJ97" i="2"/>
  <c r="BJ96" i="2"/>
  <c r="BJ95" i="2"/>
  <c r="BJ94" i="2"/>
  <c r="BJ93" i="2"/>
  <c r="BJ92" i="2"/>
  <c r="BJ91" i="2"/>
  <c r="BJ90" i="2"/>
  <c r="BJ89" i="2"/>
  <c r="BJ88" i="2"/>
  <c r="BJ87" i="2"/>
  <c r="BJ86" i="2"/>
  <c r="BJ85" i="2"/>
  <c r="BJ84" i="2"/>
  <c r="BJ83" i="2"/>
  <c r="BJ82" i="2"/>
  <c r="BJ81" i="2"/>
  <c r="BJ80" i="2"/>
  <c r="BJ79" i="2"/>
  <c r="BJ78" i="2"/>
  <c r="BJ77" i="2"/>
  <c r="BJ76" i="2"/>
  <c r="BJ75" i="2"/>
  <c r="BJ74" i="2"/>
  <c r="BJ73" i="2"/>
  <c r="BJ72" i="2"/>
  <c r="BJ71" i="2"/>
  <c r="BJ70" i="2"/>
  <c r="BJ69" i="2"/>
  <c r="BJ68" i="2"/>
  <c r="BJ67" i="2"/>
  <c r="BJ66" i="2"/>
  <c r="BJ65" i="2"/>
  <c r="BJ64" i="2"/>
  <c r="BJ63" i="2"/>
  <c r="BJ62" i="2"/>
  <c r="BJ61" i="2"/>
  <c r="BJ60" i="2"/>
  <c r="BJ59" i="2"/>
  <c r="BJ58" i="2"/>
  <c r="BJ57" i="2"/>
  <c r="BJ56" i="2"/>
  <c r="BJ55" i="2"/>
  <c r="BJ54" i="2"/>
  <c r="BJ53" i="2"/>
  <c r="BJ52" i="2"/>
  <c r="BJ51" i="2"/>
  <c r="BJ50" i="2"/>
  <c r="BJ49" i="2"/>
  <c r="BJ48" i="2"/>
  <c r="BJ47" i="2"/>
  <c r="BJ46" i="2"/>
  <c r="BJ45" i="2"/>
  <c r="BJ44" i="2"/>
  <c r="BJ43" i="2"/>
  <c r="BJ42" i="2"/>
  <c r="BJ41" i="2"/>
  <c r="BJ40" i="2"/>
  <c r="BJ39" i="2"/>
  <c r="BJ38" i="2"/>
  <c r="BJ37" i="2"/>
  <c r="BJ36" i="2"/>
  <c r="BJ35" i="2"/>
  <c r="BJ34" i="2"/>
  <c r="BJ33" i="2"/>
  <c r="BJ32" i="2"/>
  <c r="BJ31" i="2"/>
  <c r="BJ30" i="2"/>
  <c r="BJ29" i="2"/>
  <c r="BJ28" i="2"/>
  <c r="BJ27" i="2"/>
  <c r="BJ26" i="2"/>
  <c r="BJ25" i="2"/>
  <c r="BJ24" i="2"/>
  <c r="BJ23" i="2"/>
  <c r="BJ22" i="2"/>
  <c r="BJ21" i="2"/>
  <c r="BJ20" i="2"/>
  <c r="BJ19" i="2"/>
  <c r="BJ18" i="2"/>
  <c r="BJ17" i="2"/>
  <c r="BJ16" i="2"/>
  <c r="BJ15" i="2"/>
  <c r="BJ14" i="2"/>
  <c r="BJ13" i="2"/>
  <c r="BJ12" i="2"/>
  <c r="BJ11" i="2"/>
  <c r="BJ10" i="2"/>
  <c r="BJ9" i="2"/>
  <c r="BJ8" i="2"/>
  <c r="BJ7" i="2"/>
  <c r="BJ6" i="2"/>
  <c r="BJ5" i="2"/>
  <c r="BF108" i="2"/>
  <c r="BF107" i="2"/>
  <c r="BF106" i="2"/>
  <c r="BF105" i="2"/>
  <c r="BF104" i="2"/>
  <c r="BF103" i="2"/>
  <c r="BF102" i="2"/>
  <c r="BF101" i="2"/>
  <c r="BF100" i="2"/>
  <c r="BF99" i="2"/>
  <c r="BF98" i="2"/>
  <c r="BF97" i="2"/>
  <c r="BF96" i="2"/>
  <c r="BF95" i="2"/>
  <c r="BF94" i="2"/>
  <c r="BF93" i="2"/>
  <c r="BF92" i="2"/>
  <c r="BF91" i="2"/>
  <c r="BF90" i="2"/>
  <c r="BF89" i="2"/>
  <c r="BF88" i="2"/>
  <c r="BF87" i="2"/>
  <c r="BF86" i="2"/>
  <c r="BF85" i="2"/>
  <c r="BF84" i="2"/>
  <c r="BF83" i="2"/>
  <c r="BF82" i="2"/>
  <c r="BF81" i="2"/>
  <c r="BF80" i="2"/>
  <c r="BF79" i="2"/>
  <c r="BF78" i="2"/>
  <c r="BF77" i="2"/>
  <c r="BF76" i="2"/>
  <c r="BF75" i="2"/>
  <c r="BF74" i="2"/>
  <c r="BF73" i="2"/>
  <c r="BF72" i="2"/>
  <c r="BF71" i="2"/>
  <c r="BF70" i="2"/>
  <c r="BF69" i="2"/>
  <c r="BF68" i="2"/>
  <c r="BF67" i="2"/>
  <c r="BF66" i="2"/>
  <c r="BF65" i="2"/>
  <c r="BF64" i="2"/>
  <c r="BF63" i="2"/>
  <c r="BF62" i="2"/>
  <c r="BF61" i="2"/>
  <c r="BF60" i="2"/>
  <c r="BF59" i="2"/>
  <c r="BF58" i="2"/>
  <c r="BF57" i="2"/>
  <c r="BF56" i="2"/>
  <c r="BF55" i="2"/>
  <c r="BF54" i="2"/>
  <c r="BF53" i="2"/>
  <c r="BF52" i="2"/>
  <c r="BF51" i="2"/>
  <c r="BF50" i="2"/>
  <c r="BF49" i="2"/>
  <c r="BF48" i="2"/>
  <c r="BF47" i="2"/>
  <c r="BF46" i="2"/>
  <c r="BF45" i="2"/>
  <c r="BF44" i="2"/>
  <c r="BF43" i="2"/>
  <c r="BF42" i="2"/>
  <c r="BF41" i="2"/>
  <c r="BF40" i="2"/>
  <c r="BF39" i="2"/>
  <c r="BF38" i="2"/>
  <c r="BF37" i="2"/>
  <c r="BF36" i="2"/>
  <c r="BF35" i="2"/>
  <c r="BF34" i="2"/>
  <c r="BF33" i="2"/>
  <c r="BF32" i="2"/>
  <c r="BF31" i="2"/>
  <c r="BF30" i="2"/>
  <c r="BF29" i="2"/>
  <c r="BF28" i="2"/>
  <c r="BF27" i="2"/>
  <c r="BF26" i="2"/>
  <c r="BF25" i="2"/>
  <c r="BF24" i="2"/>
  <c r="BF23" i="2"/>
  <c r="BF22" i="2"/>
  <c r="BF21" i="2"/>
  <c r="BF20" i="2"/>
  <c r="BF19" i="2"/>
  <c r="BF18" i="2"/>
  <c r="BF17" i="2"/>
  <c r="BF16" i="2"/>
  <c r="BF15" i="2"/>
  <c r="BF14" i="2"/>
  <c r="BF13" i="2"/>
  <c r="BF12" i="2"/>
  <c r="BF11" i="2"/>
  <c r="BF10" i="2"/>
  <c r="BF9" i="2"/>
  <c r="BF8" i="2"/>
  <c r="BF7" i="2"/>
  <c r="BF6" i="2"/>
  <c r="BF5" i="2"/>
  <c r="BB108" i="2"/>
  <c r="BB107" i="2"/>
  <c r="BB106" i="2"/>
  <c r="BB105" i="2"/>
  <c r="BB104" i="2"/>
  <c r="BB103" i="2"/>
  <c r="BB102" i="2"/>
  <c r="BB101" i="2"/>
  <c r="BB100" i="2"/>
  <c r="BB99" i="2"/>
  <c r="BB98" i="2"/>
  <c r="BB97" i="2"/>
  <c r="BB96" i="2"/>
  <c r="BB95" i="2"/>
  <c r="BB94" i="2"/>
  <c r="BB93" i="2"/>
  <c r="BB92" i="2"/>
  <c r="BB91" i="2"/>
  <c r="BB90" i="2"/>
  <c r="BB89" i="2"/>
  <c r="BB88" i="2"/>
  <c r="BB87" i="2"/>
  <c r="BB86" i="2"/>
  <c r="BB85" i="2"/>
  <c r="BB84" i="2"/>
  <c r="BB83" i="2"/>
  <c r="BB82" i="2"/>
  <c r="BB81" i="2"/>
  <c r="BB80" i="2"/>
  <c r="BB79" i="2"/>
  <c r="BB78" i="2"/>
  <c r="BB77" i="2"/>
  <c r="BB76" i="2"/>
  <c r="BB75" i="2"/>
  <c r="BB74" i="2"/>
  <c r="BB73" i="2"/>
  <c r="BB72" i="2"/>
  <c r="BB71" i="2"/>
  <c r="BB70" i="2"/>
  <c r="BB69" i="2"/>
  <c r="BB68" i="2"/>
  <c r="BB67" i="2"/>
  <c r="BB66" i="2"/>
  <c r="BB65" i="2"/>
  <c r="BB64" i="2"/>
  <c r="BB63" i="2"/>
  <c r="BB62" i="2"/>
  <c r="BB61" i="2"/>
  <c r="BB60" i="2"/>
  <c r="BB59" i="2"/>
  <c r="BB58" i="2"/>
  <c r="BB57" i="2"/>
  <c r="BB56" i="2"/>
  <c r="BB55" i="2"/>
  <c r="BB54" i="2"/>
  <c r="BB53" i="2"/>
  <c r="BB52" i="2"/>
  <c r="BB51" i="2"/>
  <c r="BB50" i="2"/>
  <c r="BB49" i="2"/>
  <c r="BB48" i="2"/>
  <c r="BB47" i="2"/>
  <c r="BB46" i="2"/>
  <c r="BB45" i="2"/>
  <c r="BB44" i="2"/>
  <c r="BB43" i="2"/>
  <c r="BB42" i="2"/>
  <c r="BB41" i="2"/>
  <c r="BB40" i="2"/>
  <c r="BB39" i="2"/>
  <c r="BB38" i="2"/>
  <c r="BB37" i="2"/>
  <c r="BB36" i="2"/>
  <c r="BB35" i="2"/>
  <c r="BB34" i="2"/>
  <c r="BB33" i="2"/>
  <c r="BB32" i="2"/>
  <c r="BB31" i="2"/>
  <c r="BB30" i="2"/>
  <c r="BB29" i="2"/>
  <c r="BB28" i="2"/>
  <c r="BB27" i="2"/>
  <c r="BB26" i="2"/>
  <c r="BB25" i="2"/>
  <c r="BB24" i="2"/>
  <c r="BB23" i="2"/>
  <c r="BB22" i="2"/>
  <c r="BB21" i="2"/>
  <c r="BB20" i="2"/>
  <c r="BB19" i="2"/>
  <c r="BB18" i="2"/>
  <c r="BB17" i="2"/>
  <c r="BB16" i="2"/>
  <c r="BB15" i="2"/>
  <c r="BB14" i="2"/>
  <c r="BB13" i="2"/>
  <c r="BB12" i="2"/>
  <c r="BB11" i="2"/>
  <c r="BB10" i="2"/>
  <c r="BB9" i="2"/>
  <c r="BB8" i="2"/>
  <c r="BB7" i="2"/>
  <c r="BB6" i="2"/>
  <c r="BB5" i="2"/>
  <c r="AX108" i="2"/>
  <c r="AX107" i="2"/>
  <c r="AX106" i="2"/>
  <c r="AX105" i="2"/>
  <c r="AX104" i="2"/>
  <c r="AX103" i="2"/>
  <c r="AX102" i="2"/>
  <c r="AX101" i="2"/>
  <c r="AX100" i="2"/>
  <c r="AX99" i="2"/>
  <c r="AX98" i="2"/>
  <c r="AX97" i="2"/>
  <c r="AX96" i="2"/>
  <c r="AX95" i="2"/>
  <c r="AX94" i="2"/>
  <c r="AX93" i="2"/>
  <c r="AX92" i="2"/>
  <c r="AX91" i="2"/>
  <c r="AX90" i="2"/>
  <c r="AX89" i="2"/>
  <c r="AX88" i="2"/>
  <c r="AX87" i="2"/>
  <c r="AX86" i="2"/>
  <c r="AX85" i="2"/>
  <c r="AX84" i="2"/>
  <c r="AX83" i="2"/>
  <c r="AX82" i="2"/>
  <c r="AX81" i="2"/>
  <c r="AX80" i="2"/>
  <c r="AX79" i="2"/>
  <c r="AX78" i="2"/>
  <c r="AX77" i="2"/>
  <c r="AX76" i="2"/>
  <c r="AX75" i="2"/>
  <c r="AX74" i="2"/>
  <c r="AX73" i="2"/>
  <c r="AX72" i="2"/>
  <c r="AX71" i="2"/>
  <c r="AX70" i="2"/>
  <c r="AX69" i="2"/>
  <c r="AX68" i="2"/>
  <c r="AX67" i="2"/>
  <c r="AX66" i="2"/>
  <c r="AX65" i="2"/>
  <c r="AX64" i="2"/>
  <c r="AX63" i="2"/>
  <c r="AX62" i="2"/>
  <c r="AX61" i="2"/>
  <c r="AX60" i="2"/>
  <c r="AX59" i="2"/>
  <c r="AX58" i="2"/>
  <c r="AX57" i="2"/>
  <c r="AX56" i="2"/>
  <c r="AX55" i="2"/>
  <c r="AX54" i="2"/>
  <c r="AX53" i="2"/>
  <c r="AX52" i="2"/>
  <c r="AX51" i="2"/>
  <c r="AX50" i="2"/>
  <c r="AX49" i="2"/>
  <c r="AX48" i="2"/>
  <c r="AX47" i="2"/>
  <c r="AX46" i="2"/>
  <c r="AX45" i="2"/>
  <c r="AX44" i="2"/>
  <c r="AX43" i="2"/>
  <c r="AX42" i="2"/>
  <c r="AX41" i="2"/>
  <c r="AX40" i="2"/>
  <c r="AX39" i="2"/>
  <c r="AX38" i="2"/>
  <c r="AX37" i="2"/>
  <c r="AX36" i="2"/>
  <c r="AX35" i="2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8" i="2"/>
  <c r="AX7" i="2"/>
  <c r="AX6" i="2"/>
  <c r="AX5" i="2"/>
  <c r="AT108" i="2"/>
  <c r="AT107" i="2"/>
  <c r="AT106" i="2"/>
  <c r="AT105" i="2"/>
  <c r="AT104" i="2"/>
  <c r="AT103" i="2"/>
  <c r="AT102" i="2"/>
  <c r="AT101" i="2"/>
  <c r="AT100" i="2"/>
  <c r="AT99" i="2"/>
  <c r="AT98" i="2"/>
  <c r="AT97" i="2"/>
  <c r="AT96" i="2"/>
  <c r="AT95" i="2"/>
  <c r="AT94" i="2"/>
  <c r="AT93" i="2"/>
  <c r="AT92" i="2"/>
  <c r="AT91" i="2"/>
  <c r="AT90" i="2"/>
  <c r="AT89" i="2"/>
  <c r="AT88" i="2"/>
  <c r="AT87" i="2"/>
  <c r="AT86" i="2"/>
  <c r="AT85" i="2"/>
  <c r="AT84" i="2"/>
  <c r="AT83" i="2"/>
  <c r="AT82" i="2"/>
  <c r="AT81" i="2"/>
  <c r="AT80" i="2"/>
  <c r="AT79" i="2"/>
  <c r="AT78" i="2"/>
  <c r="AT77" i="2"/>
  <c r="AT76" i="2"/>
  <c r="AT75" i="2"/>
  <c r="AT74" i="2"/>
  <c r="AT73" i="2"/>
  <c r="AT72" i="2"/>
  <c r="AT71" i="2"/>
  <c r="AT70" i="2"/>
  <c r="AT69" i="2"/>
  <c r="AT68" i="2"/>
  <c r="AT67" i="2"/>
  <c r="AT66" i="2"/>
  <c r="AT65" i="2"/>
  <c r="AT64" i="2"/>
  <c r="AT63" i="2"/>
  <c r="AT62" i="2"/>
  <c r="AT61" i="2"/>
  <c r="AT60" i="2"/>
  <c r="AT59" i="2"/>
  <c r="AT58" i="2"/>
  <c r="AT57" i="2"/>
  <c r="AT56" i="2"/>
  <c r="AT55" i="2"/>
  <c r="AT54" i="2"/>
  <c r="AT53" i="2"/>
  <c r="AT52" i="2"/>
  <c r="AT51" i="2"/>
  <c r="AT50" i="2"/>
  <c r="AT49" i="2"/>
  <c r="AT48" i="2"/>
  <c r="AT47" i="2"/>
  <c r="AT46" i="2"/>
  <c r="AT45" i="2"/>
  <c r="AT44" i="2"/>
  <c r="AT43" i="2"/>
  <c r="AT42" i="2"/>
  <c r="AT41" i="2"/>
  <c r="AT40" i="2"/>
  <c r="AT39" i="2"/>
  <c r="AT38" i="2"/>
  <c r="AT37" i="2"/>
  <c r="AT36" i="2"/>
  <c r="AT35" i="2"/>
  <c r="AT34" i="2"/>
  <c r="AT33" i="2"/>
  <c r="AT32" i="2"/>
  <c r="AT31" i="2"/>
  <c r="AT30" i="2"/>
  <c r="AT29" i="2"/>
  <c r="AT28" i="2"/>
  <c r="AT27" i="2"/>
  <c r="AT26" i="2"/>
  <c r="AT25" i="2"/>
  <c r="AT24" i="2"/>
  <c r="AT23" i="2"/>
  <c r="AT22" i="2"/>
  <c r="AT21" i="2"/>
  <c r="AT20" i="2"/>
  <c r="AT19" i="2"/>
  <c r="AT18" i="2"/>
  <c r="AT17" i="2"/>
  <c r="AT16" i="2"/>
  <c r="AT15" i="2"/>
  <c r="AT14" i="2"/>
  <c r="AT13" i="2"/>
  <c r="AT12" i="2"/>
  <c r="AT11" i="2"/>
  <c r="AT10" i="2"/>
  <c r="AT9" i="2"/>
  <c r="AT8" i="2"/>
  <c r="AT7" i="2"/>
  <c r="AT6" i="2"/>
  <c r="AT109" i="2" s="1"/>
  <c r="AT5" i="2"/>
  <c r="AP108" i="2"/>
  <c r="AP107" i="2"/>
  <c r="AP106" i="2"/>
  <c r="AP105" i="2"/>
  <c r="AP104" i="2"/>
  <c r="AP103" i="2"/>
  <c r="AP102" i="2"/>
  <c r="AP101" i="2"/>
  <c r="AP100" i="2"/>
  <c r="AP99" i="2"/>
  <c r="AP98" i="2"/>
  <c r="AP97" i="2"/>
  <c r="AP96" i="2"/>
  <c r="AP95" i="2"/>
  <c r="AP94" i="2"/>
  <c r="AP93" i="2"/>
  <c r="AP92" i="2"/>
  <c r="AP91" i="2"/>
  <c r="AP90" i="2"/>
  <c r="AP89" i="2"/>
  <c r="AP88" i="2"/>
  <c r="AP87" i="2"/>
  <c r="AP86" i="2"/>
  <c r="AP85" i="2"/>
  <c r="AP84" i="2"/>
  <c r="AP83" i="2"/>
  <c r="AP82" i="2"/>
  <c r="AP81" i="2"/>
  <c r="AP80" i="2"/>
  <c r="AP79" i="2"/>
  <c r="AP78" i="2"/>
  <c r="AP77" i="2"/>
  <c r="AP76" i="2"/>
  <c r="AP75" i="2"/>
  <c r="AP74" i="2"/>
  <c r="AP73" i="2"/>
  <c r="AP72" i="2"/>
  <c r="AP71" i="2"/>
  <c r="AP70" i="2"/>
  <c r="AP69" i="2"/>
  <c r="AP68" i="2"/>
  <c r="AP67" i="2"/>
  <c r="AP66" i="2"/>
  <c r="AP65" i="2"/>
  <c r="AP64" i="2"/>
  <c r="AP63" i="2"/>
  <c r="AP62" i="2"/>
  <c r="AP61" i="2"/>
  <c r="AP60" i="2"/>
  <c r="AP59" i="2"/>
  <c r="AP58" i="2"/>
  <c r="AP57" i="2"/>
  <c r="AP56" i="2"/>
  <c r="AP55" i="2"/>
  <c r="AP54" i="2"/>
  <c r="AP53" i="2"/>
  <c r="AP52" i="2"/>
  <c r="AP51" i="2"/>
  <c r="AP50" i="2"/>
  <c r="AP49" i="2"/>
  <c r="AP48" i="2"/>
  <c r="AP47" i="2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L108" i="2"/>
  <c r="AL107" i="2"/>
  <c r="AL106" i="2"/>
  <c r="AL105" i="2"/>
  <c r="AL104" i="2"/>
  <c r="AL103" i="2"/>
  <c r="AL102" i="2"/>
  <c r="AL101" i="2"/>
  <c r="AL100" i="2"/>
  <c r="AL99" i="2"/>
  <c r="AL98" i="2"/>
  <c r="AL97" i="2"/>
  <c r="AL96" i="2"/>
  <c r="AL95" i="2"/>
  <c r="AL94" i="2"/>
  <c r="AL93" i="2"/>
  <c r="AL92" i="2"/>
  <c r="AL91" i="2"/>
  <c r="AL90" i="2"/>
  <c r="AL89" i="2"/>
  <c r="AL88" i="2"/>
  <c r="AL87" i="2"/>
  <c r="AL86" i="2"/>
  <c r="AL85" i="2"/>
  <c r="AL84" i="2"/>
  <c r="AL83" i="2"/>
  <c r="AL82" i="2"/>
  <c r="AL81" i="2"/>
  <c r="AL80" i="2"/>
  <c r="AL79" i="2"/>
  <c r="AL78" i="2"/>
  <c r="AL77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H108" i="2"/>
  <c r="AH107" i="2"/>
  <c r="AH106" i="2"/>
  <c r="AH105" i="2"/>
  <c r="AH104" i="2"/>
  <c r="AH103" i="2"/>
  <c r="AH102" i="2"/>
  <c r="AH101" i="2"/>
  <c r="AH100" i="2"/>
  <c r="AH99" i="2"/>
  <c r="AH98" i="2"/>
  <c r="AH97" i="2"/>
  <c r="AH96" i="2"/>
  <c r="AH95" i="2"/>
  <c r="AH94" i="2"/>
  <c r="AH93" i="2"/>
  <c r="AH92" i="2"/>
  <c r="AH91" i="2"/>
  <c r="AH90" i="2"/>
  <c r="AH89" i="2"/>
  <c r="AH88" i="2"/>
  <c r="AH87" i="2"/>
  <c r="AH86" i="2"/>
  <c r="AH85" i="2"/>
  <c r="AH84" i="2"/>
  <c r="AH83" i="2"/>
  <c r="AH82" i="2"/>
  <c r="AH81" i="2"/>
  <c r="AH80" i="2"/>
  <c r="AH79" i="2"/>
  <c r="AH78" i="2"/>
  <c r="AH77" i="2"/>
  <c r="AH76" i="2"/>
  <c r="AH75" i="2"/>
  <c r="AH74" i="2"/>
  <c r="AH73" i="2"/>
  <c r="AH72" i="2"/>
  <c r="AH71" i="2"/>
  <c r="AH70" i="2"/>
  <c r="AH69" i="2"/>
  <c r="AH68" i="2"/>
  <c r="AH67" i="2"/>
  <c r="AH66" i="2"/>
  <c r="AH65" i="2"/>
  <c r="AH64" i="2"/>
  <c r="AH63" i="2"/>
  <c r="AH62" i="2"/>
  <c r="AH61" i="2"/>
  <c r="AH60" i="2"/>
  <c r="AH59" i="2"/>
  <c r="AH58" i="2"/>
  <c r="AH57" i="2"/>
  <c r="AH56" i="2"/>
  <c r="AH55" i="2"/>
  <c r="AH54" i="2"/>
  <c r="AH53" i="2"/>
  <c r="AH52" i="2"/>
  <c r="AH51" i="2"/>
  <c r="AH50" i="2"/>
  <c r="AH49" i="2"/>
  <c r="AH48" i="2"/>
  <c r="AH47" i="2"/>
  <c r="AH46" i="2"/>
  <c r="AH45" i="2"/>
  <c r="AH44" i="2"/>
  <c r="AH43" i="2"/>
  <c r="AH42" i="2"/>
  <c r="AH41" i="2"/>
  <c r="AH40" i="2"/>
  <c r="AH39" i="2"/>
  <c r="AH38" i="2"/>
  <c r="AH37" i="2"/>
  <c r="AH36" i="2"/>
  <c r="AH35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109" i="2" s="1"/>
  <c r="AH5" i="2"/>
  <c r="AD108" i="2"/>
  <c r="AD107" i="2"/>
  <c r="AD106" i="2"/>
  <c r="AD105" i="2"/>
  <c r="AD104" i="2"/>
  <c r="AD103" i="2"/>
  <c r="AD102" i="2"/>
  <c r="AD101" i="2"/>
  <c r="AD100" i="2"/>
  <c r="AD99" i="2"/>
  <c r="AD98" i="2"/>
  <c r="AD97" i="2"/>
  <c r="AD96" i="2"/>
  <c r="AD95" i="2"/>
  <c r="AD94" i="2"/>
  <c r="AD93" i="2"/>
  <c r="AD92" i="2"/>
  <c r="AD91" i="2"/>
  <c r="AD90" i="2"/>
  <c r="AD89" i="2"/>
  <c r="AD88" i="2"/>
  <c r="AD87" i="2"/>
  <c r="AD86" i="2"/>
  <c r="AD85" i="2"/>
  <c r="AD84" i="2"/>
  <c r="AD83" i="2"/>
  <c r="AD82" i="2"/>
  <c r="AD81" i="2"/>
  <c r="AD80" i="2"/>
  <c r="AD79" i="2"/>
  <c r="AD78" i="2"/>
  <c r="AD77" i="2"/>
  <c r="AD76" i="2"/>
  <c r="AD75" i="2"/>
  <c r="AD74" i="2"/>
  <c r="AD73" i="2"/>
  <c r="AD72" i="2"/>
  <c r="AD71" i="2"/>
  <c r="AD70" i="2"/>
  <c r="AD69" i="2"/>
  <c r="AD68" i="2"/>
  <c r="AD67" i="2"/>
  <c r="AD66" i="2"/>
  <c r="AD65" i="2"/>
  <c r="AD64" i="2"/>
  <c r="AD63" i="2"/>
  <c r="AD62" i="2"/>
  <c r="AD61" i="2"/>
  <c r="AD60" i="2"/>
  <c r="AD59" i="2"/>
  <c r="AD58" i="2"/>
  <c r="AD57" i="2"/>
  <c r="AD56" i="2"/>
  <c r="AD55" i="2"/>
  <c r="AD54" i="2"/>
  <c r="AD53" i="2"/>
  <c r="AD52" i="2"/>
  <c r="AD51" i="2"/>
  <c r="AD50" i="2"/>
  <c r="AD49" i="2"/>
  <c r="AD48" i="2"/>
  <c r="AD47" i="2"/>
  <c r="AD46" i="2"/>
  <c r="AD45" i="2"/>
  <c r="AD44" i="2"/>
  <c r="AD43" i="2"/>
  <c r="AD42" i="2"/>
  <c r="AD41" i="2"/>
  <c r="AD40" i="2"/>
  <c r="AD39" i="2"/>
  <c r="AD38" i="2"/>
  <c r="AD37" i="2"/>
  <c r="AD36" i="2"/>
  <c r="AD35" i="2"/>
  <c r="AD34" i="2"/>
  <c r="AD33" i="2"/>
  <c r="AD32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BV4" i="2"/>
  <c r="BR4" i="2"/>
  <c r="BN4" i="2"/>
  <c r="BJ4" i="2"/>
  <c r="BF4" i="2"/>
  <c r="BB4" i="2"/>
  <c r="AX4" i="2"/>
  <c r="AT4" i="2"/>
  <c r="AP4" i="2"/>
  <c r="AL4" i="2"/>
  <c r="AH4" i="2"/>
  <c r="CK109" i="2"/>
  <c r="CJ109" i="2"/>
  <c r="CG109" i="2"/>
  <c r="CF109" i="2"/>
  <c r="CC109" i="2"/>
  <c r="CB109" i="2"/>
  <c r="BY109" i="2"/>
  <c r="BX109" i="2"/>
  <c r="BU109" i="2"/>
  <c r="BT109" i="2"/>
  <c r="BQ109" i="2"/>
  <c r="BP109" i="2"/>
  <c r="BM109" i="2"/>
  <c r="BL109" i="2"/>
  <c r="BI109" i="2"/>
  <c r="BH109" i="2"/>
  <c r="BE109" i="2"/>
  <c r="BD109" i="2"/>
  <c r="BA109" i="2"/>
  <c r="AZ109" i="2"/>
  <c r="AW109" i="2"/>
  <c r="AV109" i="2"/>
  <c r="AS109" i="2"/>
  <c r="AR109" i="2"/>
  <c r="AO109" i="2"/>
  <c r="AN109" i="2"/>
  <c r="AK109" i="2"/>
  <c r="AJ109" i="2"/>
  <c r="Z108" i="2"/>
  <c r="Z107" i="2"/>
  <c r="Z106" i="2"/>
  <c r="Z105" i="2"/>
  <c r="Z104" i="2"/>
  <c r="Z103" i="2"/>
  <c r="Z102" i="2"/>
  <c r="Z101" i="2"/>
  <c r="Z100" i="2"/>
  <c r="Z99" i="2"/>
  <c r="Z98" i="2"/>
  <c r="Z97" i="2"/>
  <c r="Z96" i="2"/>
  <c r="Z95" i="2"/>
  <c r="Z94" i="2"/>
  <c r="Z93" i="2"/>
  <c r="Z92" i="2"/>
  <c r="Z91" i="2"/>
  <c r="Z90" i="2"/>
  <c r="Z89" i="2"/>
  <c r="Z88" i="2"/>
  <c r="Z87" i="2"/>
  <c r="Z86" i="2"/>
  <c r="Z85" i="2"/>
  <c r="Z84" i="2"/>
  <c r="Z83" i="2"/>
  <c r="Z82" i="2"/>
  <c r="Z81" i="2"/>
  <c r="Z80" i="2"/>
  <c r="Z79" i="2"/>
  <c r="Z78" i="2"/>
  <c r="Z77" i="2"/>
  <c r="Z76" i="2"/>
  <c r="Z75" i="2"/>
  <c r="Z74" i="2"/>
  <c r="Z73" i="2"/>
  <c r="Z72" i="2"/>
  <c r="Z71" i="2"/>
  <c r="Z70" i="2"/>
  <c r="Z69" i="2"/>
  <c r="Z68" i="2"/>
  <c r="Z67" i="2"/>
  <c r="Z66" i="2"/>
  <c r="Z65" i="2"/>
  <c r="Z64" i="2"/>
  <c r="Z63" i="2"/>
  <c r="Z62" i="2"/>
  <c r="Z61" i="2"/>
  <c r="Z60" i="2"/>
  <c r="Z59" i="2"/>
  <c r="Z58" i="2"/>
  <c r="Z57" i="2"/>
  <c r="Z56" i="2"/>
  <c r="Z55" i="2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Z4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AG109" i="2"/>
  <c r="AF109" i="2"/>
  <c r="AC109" i="2"/>
  <c r="AB109" i="2"/>
  <c r="Y109" i="2"/>
  <c r="X109" i="2"/>
  <c r="U109" i="2"/>
  <c r="T109" i="2"/>
  <c r="Q109" i="2"/>
  <c r="P109" i="2"/>
  <c r="M109" i="2"/>
  <c r="L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AY4" i="1" s="1"/>
  <c r="I109" i="2"/>
  <c r="CD108" i="1"/>
  <c r="CI108" i="1" s="1"/>
  <c r="CD107" i="1"/>
  <c r="CI107" i="1" s="1"/>
  <c r="CD96" i="1"/>
  <c r="CI96" i="1" s="1"/>
  <c r="CD95" i="1"/>
  <c r="CI95" i="1" s="1"/>
  <c r="CD94" i="1"/>
  <c r="CI94" i="1" s="1"/>
  <c r="CG84" i="1"/>
  <c r="CH84" i="1" s="1"/>
  <c r="CG48" i="1"/>
  <c r="CH48" i="1" s="1"/>
  <c r="CG36" i="1"/>
  <c r="CH36" i="1" s="1"/>
  <c r="CG12" i="1"/>
  <c r="CH12" i="1" s="1"/>
  <c r="BK109" i="1"/>
  <c r="BH109" i="1"/>
  <c r="AW108" i="1"/>
  <c r="CG108" i="1" s="1"/>
  <c r="CH108" i="1" s="1"/>
  <c r="AW107" i="1"/>
  <c r="CG107" i="1" s="1"/>
  <c r="CH107" i="1" s="1"/>
  <c r="AW106" i="1"/>
  <c r="CG106" i="1" s="1"/>
  <c r="CH106" i="1" s="1"/>
  <c r="AW105" i="1"/>
  <c r="CG105" i="1" s="1"/>
  <c r="CH105" i="1" s="1"/>
  <c r="AW104" i="1"/>
  <c r="CG104" i="1" s="1"/>
  <c r="CH104" i="1" s="1"/>
  <c r="AW103" i="1"/>
  <c r="CG103" i="1" s="1"/>
  <c r="CH103" i="1" s="1"/>
  <c r="AW102" i="1"/>
  <c r="CG102" i="1" s="1"/>
  <c r="CH102" i="1" s="1"/>
  <c r="AW101" i="1"/>
  <c r="CG101" i="1" s="1"/>
  <c r="CH101" i="1" s="1"/>
  <c r="AW100" i="1"/>
  <c r="CG100" i="1" s="1"/>
  <c r="CH100" i="1" s="1"/>
  <c r="AW96" i="1"/>
  <c r="CG96" i="1" s="1"/>
  <c r="CH96" i="1" s="1"/>
  <c r="AW95" i="1"/>
  <c r="CG95" i="1" s="1"/>
  <c r="CH95" i="1" s="1"/>
  <c r="AW94" i="1"/>
  <c r="CG94" i="1" s="1"/>
  <c r="CH94" i="1" s="1"/>
  <c r="AW93" i="1"/>
  <c r="CG93" i="1" s="1"/>
  <c r="CH93" i="1" s="1"/>
  <c r="AW92" i="1"/>
  <c r="CG92" i="1" s="1"/>
  <c r="CH92" i="1" s="1"/>
  <c r="AW91" i="1"/>
  <c r="CG91" i="1" s="1"/>
  <c r="CH91" i="1" s="1"/>
  <c r="AW90" i="1"/>
  <c r="CG90" i="1" s="1"/>
  <c r="CH90" i="1" s="1"/>
  <c r="AW89" i="1"/>
  <c r="CG89" i="1" s="1"/>
  <c r="CH89" i="1" s="1"/>
  <c r="AW88" i="1"/>
  <c r="CG88" i="1" s="1"/>
  <c r="CH88" i="1" s="1"/>
  <c r="AW84" i="1"/>
  <c r="AW83" i="1"/>
  <c r="CG83" i="1" s="1"/>
  <c r="CH83" i="1" s="1"/>
  <c r="AW82" i="1"/>
  <c r="CG82" i="1" s="1"/>
  <c r="CH82" i="1" s="1"/>
  <c r="AW81" i="1"/>
  <c r="CG81" i="1" s="1"/>
  <c r="CH81" i="1" s="1"/>
  <c r="AW80" i="1"/>
  <c r="CG80" i="1" s="1"/>
  <c r="CH80" i="1" s="1"/>
  <c r="AW79" i="1"/>
  <c r="CG79" i="1" s="1"/>
  <c r="CH79" i="1" s="1"/>
  <c r="AW78" i="1"/>
  <c r="CG78" i="1" s="1"/>
  <c r="CH78" i="1" s="1"/>
  <c r="AW77" i="1"/>
  <c r="CG77" i="1" s="1"/>
  <c r="CH77" i="1" s="1"/>
  <c r="AW76" i="1"/>
  <c r="CG76" i="1" s="1"/>
  <c r="CH76" i="1" s="1"/>
  <c r="AW72" i="1"/>
  <c r="CG72" i="1" s="1"/>
  <c r="CH72" i="1" s="1"/>
  <c r="AW71" i="1"/>
  <c r="CG71" i="1" s="1"/>
  <c r="CH71" i="1" s="1"/>
  <c r="AW70" i="1"/>
  <c r="CG70" i="1" s="1"/>
  <c r="CH70" i="1" s="1"/>
  <c r="AW69" i="1"/>
  <c r="CG69" i="1" s="1"/>
  <c r="CH69" i="1" s="1"/>
  <c r="AW68" i="1"/>
  <c r="CG68" i="1" s="1"/>
  <c r="CH68" i="1" s="1"/>
  <c r="AW67" i="1"/>
  <c r="CG67" i="1" s="1"/>
  <c r="CH67" i="1" s="1"/>
  <c r="AW66" i="1"/>
  <c r="CG66" i="1" s="1"/>
  <c r="CH66" i="1" s="1"/>
  <c r="AW65" i="1"/>
  <c r="CG65" i="1" s="1"/>
  <c r="CH65" i="1" s="1"/>
  <c r="AW64" i="1"/>
  <c r="CG64" i="1" s="1"/>
  <c r="CH64" i="1" s="1"/>
  <c r="AW60" i="1"/>
  <c r="CG60" i="1" s="1"/>
  <c r="CH60" i="1" s="1"/>
  <c r="AW59" i="1"/>
  <c r="CG59" i="1" s="1"/>
  <c r="CH59" i="1" s="1"/>
  <c r="AW58" i="1"/>
  <c r="CG58" i="1" s="1"/>
  <c r="CH58" i="1" s="1"/>
  <c r="AW57" i="1"/>
  <c r="CG57" i="1" s="1"/>
  <c r="CH57" i="1" s="1"/>
  <c r="AW56" i="1"/>
  <c r="CG56" i="1" s="1"/>
  <c r="CH56" i="1" s="1"/>
  <c r="AW55" i="1"/>
  <c r="CG55" i="1" s="1"/>
  <c r="CH55" i="1" s="1"/>
  <c r="AW54" i="1"/>
  <c r="CG54" i="1" s="1"/>
  <c r="CH54" i="1" s="1"/>
  <c r="AW53" i="1"/>
  <c r="CG53" i="1" s="1"/>
  <c r="CH53" i="1" s="1"/>
  <c r="AW52" i="1"/>
  <c r="CG52" i="1" s="1"/>
  <c r="CH52" i="1" s="1"/>
  <c r="AW48" i="1"/>
  <c r="AW47" i="1"/>
  <c r="CG47" i="1" s="1"/>
  <c r="CH47" i="1" s="1"/>
  <c r="AW46" i="1"/>
  <c r="CG46" i="1" s="1"/>
  <c r="CH46" i="1" s="1"/>
  <c r="AW45" i="1"/>
  <c r="CG45" i="1" s="1"/>
  <c r="CH45" i="1" s="1"/>
  <c r="AW44" i="1"/>
  <c r="CG44" i="1" s="1"/>
  <c r="CH44" i="1" s="1"/>
  <c r="AW43" i="1"/>
  <c r="CG43" i="1" s="1"/>
  <c r="CH43" i="1" s="1"/>
  <c r="AW42" i="1"/>
  <c r="CG42" i="1" s="1"/>
  <c r="CH42" i="1" s="1"/>
  <c r="AW41" i="1"/>
  <c r="CG41" i="1" s="1"/>
  <c r="CH41" i="1" s="1"/>
  <c r="AW40" i="1"/>
  <c r="CG40" i="1" s="1"/>
  <c r="CH40" i="1" s="1"/>
  <c r="AW36" i="1"/>
  <c r="AW35" i="1"/>
  <c r="CG35" i="1" s="1"/>
  <c r="CH35" i="1" s="1"/>
  <c r="AW34" i="1"/>
  <c r="CG34" i="1" s="1"/>
  <c r="CH34" i="1" s="1"/>
  <c r="AW33" i="1"/>
  <c r="CG33" i="1" s="1"/>
  <c r="CH33" i="1" s="1"/>
  <c r="AW32" i="1"/>
  <c r="CG32" i="1" s="1"/>
  <c r="CH32" i="1" s="1"/>
  <c r="AW31" i="1"/>
  <c r="CG31" i="1" s="1"/>
  <c r="CH31" i="1" s="1"/>
  <c r="AW30" i="1"/>
  <c r="CG30" i="1" s="1"/>
  <c r="CH30" i="1" s="1"/>
  <c r="AW29" i="1"/>
  <c r="CG29" i="1" s="1"/>
  <c r="CH29" i="1" s="1"/>
  <c r="AW28" i="1"/>
  <c r="CG28" i="1" s="1"/>
  <c r="CH28" i="1" s="1"/>
  <c r="AW24" i="1"/>
  <c r="CG24" i="1" s="1"/>
  <c r="CH24" i="1" s="1"/>
  <c r="AW23" i="1"/>
  <c r="CG23" i="1" s="1"/>
  <c r="CH23" i="1" s="1"/>
  <c r="AW22" i="1"/>
  <c r="CG22" i="1" s="1"/>
  <c r="CH22" i="1" s="1"/>
  <c r="AW21" i="1"/>
  <c r="CG21" i="1" s="1"/>
  <c r="CH21" i="1" s="1"/>
  <c r="AW20" i="1"/>
  <c r="CG20" i="1" s="1"/>
  <c r="CH20" i="1" s="1"/>
  <c r="AW19" i="1"/>
  <c r="CG19" i="1" s="1"/>
  <c r="CH19" i="1" s="1"/>
  <c r="AW18" i="1"/>
  <c r="CG18" i="1" s="1"/>
  <c r="CH18" i="1" s="1"/>
  <c r="AW17" i="1"/>
  <c r="CG17" i="1" s="1"/>
  <c r="CH17" i="1" s="1"/>
  <c r="AW16" i="1"/>
  <c r="CG16" i="1" s="1"/>
  <c r="CH16" i="1" s="1"/>
  <c r="AW12" i="1"/>
  <c r="AW11" i="1"/>
  <c r="CG11" i="1" s="1"/>
  <c r="CH11" i="1" s="1"/>
  <c r="AW10" i="1"/>
  <c r="CG10" i="1" s="1"/>
  <c r="CH10" i="1" s="1"/>
  <c r="AW9" i="1"/>
  <c r="CG9" i="1" s="1"/>
  <c r="CH9" i="1" s="1"/>
  <c r="AW8" i="1"/>
  <c r="CG8" i="1" s="1"/>
  <c r="CH8" i="1" s="1"/>
  <c r="AW7" i="1"/>
  <c r="CG7" i="1" s="1"/>
  <c r="CH7" i="1" s="1"/>
  <c r="AW6" i="1"/>
  <c r="CG6" i="1" s="1"/>
  <c r="CH6" i="1" s="1"/>
  <c r="AW5" i="1"/>
  <c r="CG5" i="1" s="1"/>
  <c r="CH5" i="1" s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CF109" i="1"/>
  <c r="CF108" i="1"/>
  <c r="CF107" i="1"/>
  <c r="CF106" i="1"/>
  <c r="CF105" i="1"/>
  <c r="CF104" i="1"/>
  <c r="CF103" i="1"/>
  <c r="CF102" i="1"/>
  <c r="CF101" i="1"/>
  <c r="CF100" i="1"/>
  <c r="CF99" i="1"/>
  <c r="CF98" i="1"/>
  <c r="CF97" i="1"/>
  <c r="CF96" i="1"/>
  <c r="CF95" i="1"/>
  <c r="CF94" i="1"/>
  <c r="CF93" i="1"/>
  <c r="CF92" i="1"/>
  <c r="CF91" i="1"/>
  <c r="CF90" i="1"/>
  <c r="CF89" i="1"/>
  <c r="CF88" i="1"/>
  <c r="CF87" i="1"/>
  <c r="CF86" i="1"/>
  <c r="CF85" i="1"/>
  <c r="CF84" i="1"/>
  <c r="CF83" i="1"/>
  <c r="CF82" i="1"/>
  <c r="CF81" i="1"/>
  <c r="CF80" i="1"/>
  <c r="CF79" i="1"/>
  <c r="CF78" i="1"/>
  <c r="CF77" i="1"/>
  <c r="CF76" i="1"/>
  <c r="CF75" i="1"/>
  <c r="CF74" i="1"/>
  <c r="CF73" i="1"/>
  <c r="CF72" i="1"/>
  <c r="CF71" i="1"/>
  <c r="CF70" i="1"/>
  <c r="CF69" i="1"/>
  <c r="CF68" i="1"/>
  <c r="CF67" i="1"/>
  <c r="CF66" i="1"/>
  <c r="CF65" i="1"/>
  <c r="CF64" i="1"/>
  <c r="CF63" i="1"/>
  <c r="CF62" i="1"/>
  <c r="CF61" i="1"/>
  <c r="CF60" i="1"/>
  <c r="CF59" i="1"/>
  <c r="CF58" i="1"/>
  <c r="CF57" i="1"/>
  <c r="CF56" i="1"/>
  <c r="CF55" i="1"/>
  <c r="CF54" i="1"/>
  <c r="CF53" i="1"/>
  <c r="CF52" i="1"/>
  <c r="CF51" i="1"/>
  <c r="CF50" i="1"/>
  <c r="CF49" i="1"/>
  <c r="CF48" i="1"/>
  <c r="CF47" i="1"/>
  <c r="CF46" i="1"/>
  <c r="CF45" i="1"/>
  <c r="CF44" i="1"/>
  <c r="CF43" i="1"/>
  <c r="CF42" i="1"/>
  <c r="CF41" i="1"/>
  <c r="CF40" i="1"/>
  <c r="CF39" i="1"/>
  <c r="CF38" i="1"/>
  <c r="CF37" i="1"/>
  <c r="CF36" i="1"/>
  <c r="CF35" i="1"/>
  <c r="CF34" i="1"/>
  <c r="CF33" i="1"/>
  <c r="CF32" i="1"/>
  <c r="CF31" i="1"/>
  <c r="CF30" i="1"/>
  <c r="CF29" i="1"/>
  <c r="CF28" i="1"/>
  <c r="CF27" i="1"/>
  <c r="CF26" i="1"/>
  <c r="CF25" i="1"/>
  <c r="CF24" i="1"/>
  <c r="CF23" i="1"/>
  <c r="CF22" i="1"/>
  <c r="CF21" i="1"/>
  <c r="CF20" i="1"/>
  <c r="CF19" i="1"/>
  <c r="CF18" i="1"/>
  <c r="CF17" i="1"/>
  <c r="CF16" i="1"/>
  <c r="CF15" i="1"/>
  <c r="CF14" i="1"/>
  <c r="CF13" i="1"/>
  <c r="CF12" i="1"/>
  <c r="CF11" i="1"/>
  <c r="CF10" i="1"/>
  <c r="CF9" i="1"/>
  <c r="CF8" i="1"/>
  <c r="CF7" i="1"/>
  <c r="CF6" i="1"/>
  <c r="CF5" i="1"/>
  <c r="CF4" i="1"/>
  <c r="F102" i="2"/>
  <c r="J109" i="1"/>
  <c r="I109" i="1"/>
  <c r="O108" i="1"/>
  <c r="P108" i="1" s="1"/>
  <c r="L108" i="1"/>
  <c r="M107" i="1"/>
  <c r="N107" i="1" s="1"/>
  <c r="O107" i="1" s="1"/>
  <c r="P107" i="1" s="1"/>
  <c r="L107" i="1"/>
  <c r="M106" i="1"/>
  <c r="N106" i="1" s="1"/>
  <c r="O106" i="1" s="1"/>
  <c r="P106" i="1" s="1"/>
  <c r="L106" i="1"/>
  <c r="M105" i="1"/>
  <c r="N105" i="1" s="1"/>
  <c r="O105" i="1" s="1"/>
  <c r="P105" i="1" s="1"/>
  <c r="L105" i="1"/>
  <c r="M104" i="1"/>
  <c r="N104" i="1" s="1"/>
  <c r="O104" i="1" s="1"/>
  <c r="P104" i="1" s="1"/>
  <c r="L104" i="1"/>
  <c r="N103" i="1"/>
  <c r="O103" i="1" s="1"/>
  <c r="P103" i="1" s="1"/>
  <c r="M103" i="1"/>
  <c r="L103" i="1"/>
  <c r="M102" i="1"/>
  <c r="N102" i="1" s="1"/>
  <c r="O102" i="1" s="1"/>
  <c r="L102" i="1"/>
  <c r="F102" i="1"/>
  <c r="M101" i="1"/>
  <c r="N101" i="1" s="1"/>
  <c r="O101" i="1" s="1"/>
  <c r="P101" i="1" s="1"/>
  <c r="L101" i="1"/>
  <c r="M100" i="1"/>
  <c r="N100" i="1" s="1"/>
  <c r="O100" i="1" s="1"/>
  <c r="P100" i="1" s="1"/>
  <c r="L100" i="1"/>
  <c r="M99" i="1"/>
  <c r="N99" i="1" s="1"/>
  <c r="O99" i="1" s="1"/>
  <c r="P99" i="1" s="1"/>
  <c r="L99" i="1"/>
  <c r="M98" i="1"/>
  <c r="N98" i="1" s="1"/>
  <c r="O98" i="1" s="1"/>
  <c r="P98" i="1" s="1"/>
  <c r="L98" i="1"/>
  <c r="M97" i="1"/>
  <c r="N97" i="1" s="1"/>
  <c r="O97" i="1" s="1"/>
  <c r="P97" i="1" s="1"/>
  <c r="L97" i="1"/>
  <c r="M96" i="1"/>
  <c r="N96" i="1" s="1"/>
  <c r="O96" i="1" s="1"/>
  <c r="P96" i="1" s="1"/>
  <c r="L96" i="1"/>
  <c r="M95" i="1"/>
  <c r="N95" i="1" s="1"/>
  <c r="O95" i="1" s="1"/>
  <c r="P95" i="1" s="1"/>
  <c r="L95" i="1"/>
  <c r="M94" i="1"/>
  <c r="N94" i="1" s="1"/>
  <c r="O94" i="1" s="1"/>
  <c r="P94" i="1" s="1"/>
  <c r="L94" i="1"/>
  <c r="M93" i="1"/>
  <c r="N93" i="1" s="1"/>
  <c r="O93" i="1" s="1"/>
  <c r="P93" i="1" s="1"/>
  <c r="L93" i="1"/>
  <c r="M92" i="1"/>
  <c r="N92" i="1" s="1"/>
  <c r="O92" i="1" s="1"/>
  <c r="P92" i="1" s="1"/>
  <c r="L92" i="1"/>
  <c r="M91" i="1"/>
  <c r="N91" i="1" s="1"/>
  <c r="O91" i="1" s="1"/>
  <c r="P91" i="1" s="1"/>
  <c r="L91" i="1"/>
  <c r="M90" i="1"/>
  <c r="N90" i="1" s="1"/>
  <c r="O90" i="1" s="1"/>
  <c r="P90" i="1" s="1"/>
  <c r="L90" i="1"/>
  <c r="M89" i="1"/>
  <c r="N89" i="1" s="1"/>
  <c r="O89" i="1" s="1"/>
  <c r="P89" i="1" s="1"/>
  <c r="L89" i="1"/>
  <c r="M88" i="1"/>
  <c r="N88" i="1" s="1"/>
  <c r="O88" i="1" s="1"/>
  <c r="P88" i="1" s="1"/>
  <c r="L88" i="1"/>
  <c r="M87" i="1"/>
  <c r="N87" i="1" s="1"/>
  <c r="O87" i="1" s="1"/>
  <c r="P87" i="1" s="1"/>
  <c r="L87" i="1"/>
  <c r="M86" i="1"/>
  <c r="N86" i="1" s="1"/>
  <c r="O86" i="1" s="1"/>
  <c r="P86" i="1" s="1"/>
  <c r="L86" i="1"/>
  <c r="M85" i="1"/>
  <c r="N85" i="1" s="1"/>
  <c r="O85" i="1" s="1"/>
  <c r="P85" i="1" s="1"/>
  <c r="L85" i="1"/>
  <c r="M84" i="1"/>
  <c r="N84" i="1" s="1"/>
  <c r="O84" i="1" s="1"/>
  <c r="P84" i="1" s="1"/>
  <c r="L84" i="1"/>
  <c r="M83" i="1"/>
  <c r="N83" i="1" s="1"/>
  <c r="O83" i="1" s="1"/>
  <c r="P83" i="1" s="1"/>
  <c r="L83" i="1"/>
  <c r="M82" i="1"/>
  <c r="N82" i="1" s="1"/>
  <c r="O82" i="1" s="1"/>
  <c r="P82" i="1" s="1"/>
  <c r="L82" i="1"/>
  <c r="M81" i="1"/>
  <c r="N81" i="1" s="1"/>
  <c r="O81" i="1" s="1"/>
  <c r="P81" i="1" s="1"/>
  <c r="L81" i="1"/>
  <c r="M80" i="1"/>
  <c r="N80" i="1" s="1"/>
  <c r="O80" i="1" s="1"/>
  <c r="P80" i="1" s="1"/>
  <c r="L80" i="1"/>
  <c r="M79" i="1"/>
  <c r="N79" i="1" s="1"/>
  <c r="O79" i="1" s="1"/>
  <c r="P79" i="1" s="1"/>
  <c r="L79" i="1"/>
  <c r="M78" i="1"/>
  <c r="N78" i="1" s="1"/>
  <c r="O78" i="1" s="1"/>
  <c r="P78" i="1" s="1"/>
  <c r="L78" i="1"/>
  <c r="M77" i="1"/>
  <c r="L77" i="1"/>
  <c r="H77" i="1"/>
  <c r="M76" i="1"/>
  <c r="N76" i="1" s="1"/>
  <c r="O76" i="1" s="1"/>
  <c r="P76" i="1" s="1"/>
  <c r="L76" i="1"/>
  <c r="M75" i="1"/>
  <c r="N75" i="1" s="1"/>
  <c r="O75" i="1" s="1"/>
  <c r="P75" i="1" s="1"/>
  <c r="L75" i="1"/>
  <c r="M74" i="1"/>
  <c r="N74" i="1" s="1"/>
  <c r="O74" i="1" s="1"/>
  <c r="P74" i="1" s="1"/>
  <c r="L74" i="1"/>
  <c r="M73" i="1"/>
  <c r="N73" i="1" s="1"/>
  <c r="O73" i="1" s="1"/>
  <c r="P73" i="1" s="1"/>
  <c r="L73" i="1"/>
  <c r="H73" i="1"/>
  <c r="M72" i="1"/>
  <c r="N72" i="1" s="1"/>
  <c r="O72" i="1" s="1"/>
  <c r="P72" i="1" s="1"/>
  <c r="L72" i="1"/>
  <c r="M71" i="1"/>
  <c r="N71" i="1" s="1"/>
  <c r="O71" i="1" s="1"/>
  <c r="P71" i="1" s="1"/>
  <c r="L71" i="1"/>
  <c r="M70" i="1"/>
  <c r="N70" i="1" s="1"/>
  <c r="O70" i="1" s="1"/>
  <c r="P70" i="1" s="1"/>
  <c r="L70" i="1"/>
  <c r="M69" i="1"/>
  <c r="N69" i="1" s="1"/>
  <c r="O69" i="1" s="1"/>
  <c r="P69" i="1" s="1"/>
  <c r="L69" i="1"/>
  <c r="M68" i="1"/>
  <c r="N68" i="1" s="1"/>
  <c r="O68" i="1" s="1"/>
  <c r="P68" i="1" s="1"/>
  <c r="L68" i="1"/>
  <c r="M67" i="1"/>
  <c r="N67" i="1" s="1"/>
  <c r="O67" i="1" s="1"/>
  <c r="P67" i="1" s="1"/>
  <c r="L67" i="1"/>
  <c r="M66" i="1"/>
  <c r="N66" i="1" s="1"/>
  <c r="O66" i="1" s="1"/>
  <c r="P66" i="1" s="1"/>
  <c r="L66" i="1"/>
  <c r="M65" i="1"/>
  <c r="N65" i="1" s="1"/>
  <c r="O65" i="1" s="1"/>
  <c r="P65" i="1" s="1"/>
  <c r="L65" i="1"/>
  <c r="M64" i="1"/>
  <c r="N64" i="1" s="1"/>
  <c r="O64" i="1" s="1"/>
  <c r="P64" i="1" s="1"/>
  <c r="L64" i="1"/>
  <c r="M63" i="1"/>
  <c r="N63" i="1" s="1"/>
  <c r="O63" i="1" s="1"/>
  <c r="P63" i="1" s="1"/>
  <c r="L63" i="1"/>
  <c r="M62" i="1"/>
  <c r="N62" i="1" s="1"/>
  <c r="O62" i="1" s="1"/>
  <c r="P62" i="1" s="1"/>
  <c r="L62" i="1"/>
  <c r="M61" i="1"/>
  <c r="N61" i="1" s="1"/>
  <c r="O61" i="1" s="1"/>
  <c r="P61" i="1" s="1"/>
  <c r="L61" i="1"/>
  <c r="M60" i="1"/>
  <c r="N60" i="1" s="1"/>
  <c r="O60" i="1" s="1"/>
  <c r="P60" i="1" s="1"/>
  <c r="L60" i="1"/>
  <c r="M59" i="1"/>
  <c r="N59" i="1" s="1"/>
  <c r="O59" i="1" s="1"/>
  <c r="P59" i="1" s="1"/>
  <c r="L59" i="1"/>
  <c r="M58" i="1"/>
  <c r="N58" i="1" s="1"/>
  <c r="O58" i="1" s="1"/>
  <c r="P58" i="1" s="1"/>
  <c r="L58" i="1"/>
  <c r="M57" i="1"/>
  <c r="N57" i="1" s="1"/>
  <c r="O57" i="1" s="1"/>
  <c r="P57" i="1" s="1"/>
  <c r="L57" i="1"/>
  <c r="M56" i="1"/>
  <c r="N56" i="1" s="1"/>
  <c r="O56" i="1" s="1"/>
  <c r="P56" i="1" s="1"/>
  <c r="L56" i="1"/>
  <c r="M55" i="1"/>
  <c r="N55" i="1" s="1"/>
  <c r="O55" i="1" s="1"/>
  <c r="P55" i="1" s="1"/>
  <c r="L55" i="1"/>
  <c r="M54" i="1"/>
  <c r="N54" i="1" s="1"/>
  <c r="O54" i="1" s="1"/>
  <c r="P54" i="1" s="1"/>
  <c r="L54" i="1"/>
  <c r="M53" i="1"/>
  <c r="N53" i="1" s="1"/>
  <c r="O53" i="1" s="1"/>
  <c r="P53" i="1" s="1"/>
  <c r="L53" i="1"/>
  <c r="N52" i="1"/>
  <c r="O52" i="1" s="1"/>
  <c r="P52" i="1" s="1"/>
  <c r="M52" i="1"/>
  <c r="L52" i="1"/>
  <c r="M51" i="1"/>
  <c r="N51" i="1" s="1"/>
  <c r="O51" i="1" s="1"/>
  <c r="P51" i="1" s="1"/>
  <c r="L51" i="1"/>
  <c r="M50" i="1"/>
  <c r="N50" i="1" s="1"/>
  <c r="O50" i="1" s="1"/>
  <c r="P50" i="1" s="1"/>
  <c r="L50" i="1"/>
  <c r="M49" i="1"/>
  <c r="N49" i="1" s="1"/>
  <c r="O49" i="1" s="1"/>
  <c r="P49" i="1" s="1"/>
  <c r="L49" i="1"/>
  <c r="M48" i="1"/>
  <c r="N48" i="1" s="1"/>
  <c r="O48" i="1" s="1"/>
  <c r="P48" i="1" s="1"/>
  <c r="L48" i="1"/>
  <c r="M47" i="1"/>
  <c r="N47" i="1" s="1"/>
  <c r="O47" i="1" s="1"/>
  <c r="P47" i="1" s="1"/>
  <c r="L47" i="1"/>
  <c r="M46" i="1"/>
  <c r="N46" i="1" s="1"/>
  <c r="O46" i="1" s="1"/>
  <c r="P46" i="1" s="1"/>
  <c r="L46" i="1"/>
  <c r="M45" i="1"/>
  <c r="N45" i="1" s="1"/>
  <c r="O45" i="1" s="1"/>
  <c r="P45" i="1" s="1"/>
  <c r="L45" i="1"/>
  <c r="M44" i="1"/>
  <c r="N44" i="1" s="1"/>
  <c r="O44" i="1" s="1"/>
  <c r="P44" i="1" s="1"/>
  <c r="L44" i="1"/>
  <c r="M43" i="1"/>
  <c r="N43" i="1" s="1"/>
  <c r="O43" i="1" s="1"/>
  <c r="P43" i="1" s="1"/>
  <c r="L43" i="1"/>
  <c r="N42" i="1"/>
  <c r="O42" i="1" s="1"/>
  <c r="P42" i="1" s="1"/>
  <c r="M42" i="1"/>
  <c r="L42" i="1"/>
  <c r="M41" i="1"/>
  <c r="N41" i="1" s="1"/>
  <c r="O41" i="1" s="1"/>
  <c r="P41" i="1" s="1"/>
  <c r="L41" i="1"/>
  <c r="M40" i="1"/>
  <c r="N40" i="1" s="1"/>
  <c r="O40" i="1" s="1"/>
  <c r="P40" i="1" s="1"/>
  <c r="L40" i="1"/>
  <c r="M39" i="1"/>
  <c r="N39" i="1" s="1"/>
  <c r="O39" i="1" s="1"/>
  <c r="P39" i="1" s="1"/>
  <c r="L39" i="1"/>
  <c r="M38" i="1"/>
  <c r="N38" i="1" s="1"/>
  <c r="O38" i="1" s="1"/>
  <c r="P38" i="1" s="1"/>
  <c r="L38" i="1"/>
  <c r="M37" i="1"/>
  <c r="N37" i="1" s="1"/>
  <c r="O37" i="1" s="1"/>
  <c r="P37" i="1" s="1"/>
  <c r="L37" i="1"/>
  <c r="M36" i="1"/>
  <c r="N36" i="1" s="1"/>
  <c r="O36" i="1" s="1"/>
  <c r="P36" i="1" s="1"/>
  <c r="L36" i="1"/>
  <c r="M35" i="1"/>
  <c r="N35" i="1" s="1"/>
  <c r="O35" i="1" s="1"/>
  <c r="P35" i="1" s="1"/>
  <c r="L35" i="1"/>
  <c r="N34" i="1"/>
  <c r="O34" i="1" s="1"/>
  <c r="P34" i="1" s="1"/>
  <c r="M34" i="1"/>
  <c r="L34" i="1"/>
  <c r="M33" i="1"/>
  <c r="N33" i="1" s="1"/>
  <c r="O33" i="1" s="1"/>
  <c r="P33" i="1" s="1"/>
  <c r="L33" i="1"/>
  <c r="M32" i="1"/>
  <c r="N32" i="1" s="1"/>
  <c r="O32" i="1" s="1"/>
  <c r="P32" i="1" s="1"/>
  <c r="L32" i="1"/>
  <c r="M31" i="1"/>
  <c r="N31" i="1" s="1"/>
  <c r="O31" i="1" s="1"/>
  <c r="P31" i="1" s="1"/>
  <c r="L31" i="1"/>
  <c r="M30" i="1"/>
  <c r="N30" i="1" s="1"/>
  <c r="O30" i="1" s="1"/>
  <c r="P30" i="1" s="1"/>
  <c r="L30" i="1"/>
  <c r="M29" i="1"/>
  <c r="N29" i="1" s="1"/>
  <c r="O29" i="1" s="1"/>
  <c r="P29" i="1" s="1"/>
  <c r="L29" i="1"/>
  <c r="M28" i="1"/>
  <c r="N28" i="1" s="1"/>
  <c r="O28" i="1" s="1"/>
  <c r="P28" i="1" s="1"/>
  <c r="L28" i="1"/>
  <c r="M27" i="1"/>
  <c r="N27" i="1" s="1"/>
  <c r="O27" i="1" s="1"/>
  <c r="P27" i="1" s="1"/>
  <c r="L27" i="1"/>
  <c r="M26" i="1"/>
  <c r="N26" i="1" s="1"/>
  <c r="O26" i="1" s="1"/>
  <c r="P26" i="1" s="1"/>
  <c r="L26" i="1"/>
  <c r="M25" i="1"/>
  <c r="N25" i="1" s="1"/>
  <c r="O25" i="1" s="1"/>
  <c r="P25" i="1" s="1"/>
  <c r="L25" i="1"/>
  <c r="M24" i="1"/>
  <c r="N24" i="1" s="1"/>
  <c r="O24" i="1" s="1"/>
  <c r="P24" i="1" s="1"/>
  <c r="L24" i="1"/>
  <c r="M23" i="1"/>
  <c r="N23" i="1" s="1"/>
  <c r="O23" i="1" s="1"/>
  <c r="P23" i="1" s="1"/>
  <c r="L23" i="1"/>
  <c r="M22" i="1"/>
  <c r="N22" i="1" s="1"/>
  <c r="O22" i="1" s="1"/>
  <c r="P22" i="1" s="1"/>
  <c r="L22" i="1"/>
  <c r="M21" i="1"/>
  <c r="N21" i="1" s="1"/>
  <c r="O21" i="1" s="1"/>
  <c r="P21" i="1" s="1"/>
  <c r="L21" i="1"/>
  <c r="M20" i="1"/>
  <c r="N20" i="1" s="1"/>
  <c r="O20" i="1" s="1"/>
  <c r="P20" i="1" s="1"/>
  <c r="L20" i="1"/>
  <c r="M19" i="1"/>
  <c r="N19" i="1" s="1"/>
  <c r="O19" i="1" s="1"/>
  <c r="P19" i="1" s="1"/>
  <c r="L19" i="1"/>
  <c r="M18" i="1"/>
  <c r="N18" i="1" s="1"/>
  <c r="O18" i="1" s="1"/>
  <c r="P18" i="1" s="1"/>
  <c r="L18" i="1"/>
  <c r="M17" i="1"/>
  <c r="N17" i="1" s="1"/>
  <c r="O17" i="1" s="1"/>
  <c r="P17" i="1" s="1"/>
  <c r="L17" i="1"/>
  <c r="M16" i="1"/>
  <c r="N16" i="1" s="1"/>
  <c r="O16" i="1" s="1"/>
  <c r="P16" i="1" s="1"/>
  <c r="L16" i="1"/>
  <c r="M15" i="1"/>
  <c r="N15" i="1" s="1"/>
  <c r="O15" i="1" s="1"/>
  <c r="P15" i="1" s="1"/>
  <c r="L15" i="1"/>
  <c r="M14" i="1"/>
  <c r="N14" i="1" s="1"/>
  <c r="O14" i="1" s="1"/>
  <c r="P14" i="1" s="1"/>
  <c r="L14" i="1"/>
  <c r="M13" i="1"/>
  <c r="N13" i="1" s="1"/>
  <c r="O13" i="1" s="1"/>
  <c r="P13" i="1" s="1"/>
  <c r="L13" i="1"/>
  <c r="M12" i="1"/>
  <c r="N12" i="1" s="1"/>
  <c r="O12" i="1" s="1"/>
  <c r="P12" i="1" s="1"/>
  <c r="L12" i="1"/>
  <c r="M11" i="1"/>
  <c r="N11" i="1" s="1"/>
  <c r="O11" i="1" s="1"/>
  <c r="P11" i="1" s="1"/>
  <c r="L11" i="1"/>
  <c r="M10" i="1"/>
  <c r="N10" i="1" s="1"/>
  <c r="O10" i="1" s="1"/>
  <c r="P10" i="1" s="1"/>
  <c r="L10" i="1"/>
  <c r="M9" i="1"/>
  <c r="N9" i="1" s="1"/>
  <c r="O9" i="1" s="1"/>
  <c r="P9" i="1" s="1"/>
  <c r="L9" i="1"/>
  <c r="M8" i="1"/>
  <c r="N8" i="1" s="1"/>
  <c r="O8" i="1" s="1"/>
  <c r="P8" i="1" s="1"/>
  <c r="L8" i="1"/>
  <c r="M7" i="1"/>
  <c r="N7" i="1" s="1"/>
  <c r="O7" i="1" s="1"/>
  <c r="P7" i="1" s="1"/>
  <c r="L7" i="1"/>
  <c r="M6" i="1"/>
  <c r="N6" i="1" s="1"/>
  <c r="O6" i="1" s="1"/>
  <c r="P6" i="1" s="1"/>
  <c r="L6" i="1"/>
  <c r="M5" i="1"/>
  <c r="N5" i="1" s="1"/>
  <c r="O5" i="1" s="1"/>
  <c r="P5" i="1" s="1"/>
  <c r="L5" i="1"/>
  <c r="M4" i="1"/>
  <c r="L4" i="1"/>
  <c r="AD109" i="6" l="1"/>
  <c r="BM7" i="1"/>
  <c r="BN109" i="6"/>
  <c r="DR109" i="6"/>
  <c r="BD4" i="1"/>
  <c r="BD109" i="1" s="1"/>
  <c r="ED20" i="6"/>
  <c r="ED15" i="5"/>
  <c r="DR109" i="5"/>
  <c r="ED13" i="4"/>
  <c r="DR109" i="3"/>
  <c r="CA8" i="1"/>
  <c r="DR109" i="2"/>
  <c r="CA109" i="1"/>
  <c r="BN109" i="5"/>
  <c r="ED7" i="5"/>
  <c r="BN109" i="3"/>
  <c r="BM109" i="1"/>
  <c r="ED7" i="2"/>
  <c r="CD45" i="1"/>
  <c r="CI45" i="1" s="1"/>
  <c r="CJ45" i="1" s="1"/>
  <c r="BF109" i="1"/>
  <c r="AD109" i="5"/>
  <c r="AD109" i="3"/>
  <c r="CD77" i="1"/>
  <c r="CI77" i="1" s="1"/>
  <c r="CJ77" i="1" s="1"/>
  <c r="CD53" i="1"/>
  <c r="CI53" i="1" s="1"/>
  <c r="CJ53" i="1" s="1"/>
  <c r="BA4" i="1"/>
  <c r="ED4" i="4"/>
  <c r="CD93" i="1"/>
  <c r="CI93" i="1" s="1"/>
  <c r="CJ93" i="1" s="1"/>
  <c r="N109" i="3"/>
  <c r="N109" i="2"/>
  <c r="AZ109" i="1" s="1"/>
  <c r="CD29" i="1"/>
  <c r="CI29" i="1" s="1"/>
  <c r="CJ29" i="1" s="1"/>
  <c r="CD44" i="1"/>
  <c r="CI44" i="1" s="1"/>
  <c r="CJ44" i="1" s="1"/>
  <c r="CD9" i="1"/>
  <c r="CI9" i="1" s="1"/>
  <c r="CJ9" i="1" s="1"/>
  <c r="CD21" i="1"/>
  <c r="CI21" i="1" s="1"/>
  <c r="CJ21" i="1" s="1"/>
  <c r="CD104" i="1"/>
  <c r="CI104" i="1" s="1"/>
  <c r="CJ104" i="1" s="1"/>
  <c r="CD33" i="1"/>
  <c r="CI33" i="1" s="1"/>
  <c r="CJ33" i="1" s="1"/>
  <c r="CD81" i="1"/>
  <c r="CI81" i="1" s="1"/>
  <c r="CJ81" i="1" s="1"/>
  <c r="CD105" i="1"/>
  <c r="CI105" i="1" s="1"/>
  <c r="CJ105" i="1" s="1"/>
  <c r="CD20" i="1"/>
  <c r="CI20" i="1" s="1"/>
  <c r="CJ20" i="1" s="1"/>
  <c r="CD68" i="1"/>
  <c r="CI68" i="1" s="1"/>
  <c r="CJ68" i="1" s="1"/>
  <c r="CD57" i="1"/>
  <c r="CI57" i="1" s="1"/>
  <c r="CJ57" i="1" s="1"/>
  <c r="CD69" i="1"/>
  <c r="CI69" i="1" s="1"/>
  <c r="CJ69" i="1" s="1"/>
  <c r="CD31" i="1"/>
  <c r="CI31" i="1" s="1"/>
  <c r="CJ31" i="1" s="1"/>
  <c r="CD30" i="1"/>
  <c r="CI30" i="1" s="1"/>
  <c r="CJ30" i="1" s="1"/>
  <c r="CD32" i="1"/>
  <c r="CI32" i="1" s="1"/>
  <c r="CJ32" i="1" s="1"/>
  <c r="CD80" i="1"/>
  <c r="CI80" i="1" s="1"/>
  <c r="CJ80" i="1" s="1"/>
  <c r="CD92" i="1"/>
  <c r="CI92" i="1" s="1"/>
  <c r="CJ92" i="1" s="1"/>
  <c r="CD99" i="1"/>
  <c r="CI99" i="1" s="1"/>
  <c r="CJ99" i="1" s="1"/>
  <c r="CD54" i="1"/>
  <c r="CI54" i="1" s="1"/>
  <c r="CJ54" i="1" s="1"/>
  <c r="CD78" i="1"/>
  <c r="CI78" i="1" s="1"/>
  <c r="CJ78" i="1" s="1"/>
  <c r="CD52" i="1"/>
  <c r="CI52" i="1" s="1"/>
  <c r="CJ52" i="1" s="1"/>
  <c r="CD64" i="1"/>
  <c r="CI64" i="1" s="1"/>
  <c r="CJ64" i="1" s="1"/>
  <c r="CD76" i="1"/>
  <c r="CI76" i="1" s="1"/>
  <c r="CJ76" i="1" s="1"/>
  <c r="CD88" i="1"/>
  <c r="CI88" i="1" s="1"/>
  <c r="CJ88" i="1" s="1"/>
  <c r="CD100" i="1"/>
  <c r="CI100" i="1" s="1"/>
  <c r="CJ100" i="1" s="1"/>
  <c r="CD55" i="1"/>
  <c r="CI55" i="1" s="1"/>
  <c r="CJ55" i="1" s="1"/>
  <c r="CD79" i="1"/>
  <c r="CI79" i="1" s="1"/>
  <c r="CJ79" i="1" s="1"/>
  <c r="CD41" i="1"/>
  <c r="CI41" i="1" s="1"/>
  <c r="CJ41" i="1" s="1"/>
  <c r="CD65" i="1"/>
  <c r="CI65" i="1" s="1"/>
  <c r="CJ65" i="1" s="1"/>
  <c r="CD89" i="1"/>
  <c r="CI89" i="1" s="1"/>
  <c r="CJ89" i="1" s="1"/>
  <c r="CD101" i="1"/>
  <c r="CI101" i="1" s="1"/>
  <c r="CJ101" i="1" s="1"/>
  <c r="CD56" i="1"/>
  <c r="CI56" i="1" s="1"/>
  <c r="CJ56" i="1" s="1"/>
  <c r="CD7" i="1"/>
  <c r="CI7" i="1" s="1"/>
  <c r="CJ7" i="1" s="1"/>
  <c r="CD19" i="1"/>
  <c r="CI19" i="1" s="1"/>
  <c r="CJ19" i="1" s="1"/>
  <c r="CD27" i="1"/>
  <c r="CI27" i="1" s="1"/>
  <c r="CJ27" i="1" s="1"/>
  <c r="CD15" i="1"/>
  <c r="CI15" i="1" s="1"/>
  <c r="CJ15" i="1" s="1"/>
  <c r="CD49" i="1"/>
  <c r="CI49" i="1" s="1"/>
  <c r="CJ49" i="1" s="1"/>
  <c r="CD97" i="1"/>
  <c r="CI97" i="1" s="1"/>
  <c r="CJ97" i="1" s="1"/>
  <c r="CD50" i="1"/>
  <c r="CI50" i="1" s="1"/>
  <c r="CJ50" i="1" s="1"/>
  <c r="CD98" i="1"/>
  <c r="CI98" i="1" s="1"/>
  <c r="CJ98" i="1" s="1"/>
  <c r="CD42" i="1"/>
  <c r="CI42" i="1" s="1"/>
  <c r="CJ42" i="1" s="1"/>
  <c r="CD66" i="1"/>
  <c r="CI66" i="1" s="1"/>
  <c r="CJ66" i="1" s="1"/>
  <c r="CD90" i="1"/>
  <c r="CI90" i="1" s="1"/>
  <c r="CJ90" i="1" s="1"/>
  <c r="CD102" i="1"/>
  <c r="CI102" i="1" s="1"/>
  <c r="CJ102" i="1" s="1"/>
  <c r="CD6" i="1"/>
  <c r="CI6" i="1" s="1"/>
  <c r="CJ6" i="1" s="1"/>
  <c r="CD43" i="1"/>
  <c r="CI43" i="1" s="1"/>
  <c r="CJ43" i="1" s="1"/>
  <c r="CD67" i="1"/>
  <c r="CI67" i="1" s="1"/>
  <c r="CJ67" i="1" s="1"/>
  <c r="CD91" i="1"/>
  <c r="CI91" i="1" s="1"/>
  <c r="CJ91" i="1" s="1"/>
  <c r="CD103" i="1"/>
  <c r="CI103" i="1" s="1"/>
  <c r="CJ103" i="1" s="1"/>
  <c r="CD37" i="1"/>
  <c r="CI37" i="1" s="1"/>
  <c r="CJ37" i="1" s="1"/>
  <c r="CD74" i="1"/>
  <c r="CI74" i="1" s="1"/>
  <c r="CJ74" i="1" s="1"/>
  <c r="CD51" i="1"/>
  <c r="CI51" i="1" s="1"/>
  <c r="CJ51" i="1" s="1"/>
  <c r="CD85" i="1"/>
  <c r="CI85" i="1" s="1"/>
  <c r="CJ85" i="1" s="1"/>
  <c r="CD17" i="1"/>
  <c r="CI17" i="1" s="1"/>
  <c r="CJ17" i="1" s="1"/>
  <c r="CD75" i="1"/>
  <c r="CI75" i="1" s="1"/>
  <c r="CJ75" i="1" s="1"/>
  <c r="CD14" i="1"/>
  <c r="CI14" i="1" s="1"/>
  <c r="CJ14" i="1" s="1"/>
  <c r="CD73" i="1"/>
  <c r="CI73" i="1" s="1"/>
  <c r="CJ73" i="1" s="1"/>
  <c r="CD61" i="1"/>
  <c r="CI61" i="1" s="1"/>
  <c r="CJ61" i="1" s="1"/>
  <c r="CD38" i="1"/>
  <c r="CI38" i="1" s="1"/>
  <c r="CJ38" i="1" s="1"/>
  <c r="CD86" i="1"/>
  <c r="CI86" i="1" s="1"/>
  <c r="CJ86" i="1" s="1"/>
  <c r="CD39" i="1"/>
  <c r="CI39" i="1" s="1"/>
  <c r="CJ39" i="1" s="1"/>
  <c r="CD87" i="1"/>
  <c r="CI87" i="1" s="1"/>
  <c r="CJ87" i="1" s="1"/>
  <c r="CD62" i="1"/>
  <c r="CI62" i="1" s="1"/>
  <c r="CJ62" i="1" s="1"/>
  <c r="CD5" i="1"/>
  <c r="CI5" i="1" s="1"/>
  <c r="CJ5" i="1" s="1"/>
  <c r="CD63" i="1"/>
  <c r="CI63" i="1" s="1"/>
  <c r="CJ63" i="1" s="1"/>
  <c r="ED26" i="2"/>
  <c r="ED17" i="6"/>
  <c r="ED21" i="6"/>
  <c r="ED24" i="5"/>
  <c r="EC109" i="5"/>
  <c r="ED8" i="3"/>
  <c r="BN11" i="1"/>
  <c r="CD11" i="1" s="1"/>
  <c r="CI11" i="1" s="1"/>
  <c r="CJ11" i="1" s="1"/>
  <c r="BN23" i="1"/>
  <c r="CD23" i="1" s="1"/>
  <c r="CI23" i="1" s="1"/>
  <c r="CJ23" i="1" s="1"/>
  <c r="ED47" i="2"/>
  <c r="ED71" i="2"/>
  <c r="ED36" i="2"/>
  <c r="ED48" i="2"/>
  <c r="ED60" i="2"/>
  <c r="ED72" i="2"/>
  <c r="ED84" i="2"/>
  <c r="CJ70" i="1"/>
  <c r="BN8" i="1"/>
  <c r="CD8" i="1" s="1"/>
  <c r="CI8" i="1" s="1"/>
  <c r="CJ8" i="1" s="1"/>
  <c r="BN12" i="1"/>
  <c r="CD12" i="1" s="1"/>
  <c r="CI12" i="1" s="1"/>
  <c r="CJ12" i="1" s="1"/>
  <c r="BN24" i="1"/>
  <c r="CD24" i="1" s="1"/>
  <c r="CI24" i="1" s="1"/>
  <c r="CJ24" i="1" s="1"/>
  <c r="BN28" i="1"/>
  <c r="CD28" i="1" s="1"/>
  <c r="CI28" i="1" s="1"/>
  <c r="CJ28" i="1" s="1"/>
  <c r="BN16" i="1"/>
  <c r="CD16" i="1" s="1"/>
  <c r="CI16" i="1" s="1"/>
  <c r="CJ16" i="1" s="1"/>
  <c r="ED59" i="2"/>
  <c r="ED83" i="2"/>
  <c r="BN26" i="1"/>
  <c r="CD26" i="1" s="1"/>
  <c r="CI26" i="1" s="1"/>
  <c r="CJ26" i="1" s="1"/>
  <c r="BN25" i="1"/>
  <c r="CD25" i="1" s="1"/>
  <c r="CI25" i="1" s="1"/>
  <c r="CJ25" i="1" s="1"/>
  <c r="BN13" i="1"/>
  <c r="CD13" i="1" s="1"/>
  <c r="CI13" i="1" s="1"/>
  <c r="CJ13" i="1" s="1"/>
  <c r="BN35" i="1"/>
  <c r="CD35" i="1" s="1"/>
  <c r="CI35" i="1" s="1"/>
  <c r="CJ35" i="1" s="1"/>
  <c r="ED16" i="6"/>
  <c r="BN18" i="1"/>
  <c r="CD18" i="1" s="1"/>
  <c r="CI18" i="1" s="1"/>
  <c r="CJ18" i="1" s="1"/>
  <c r="ED18" i="6"/>
  <c r="ED15" i="6"/>
  <c r="ED14" i="6"/>
  <c r="BR109" i="6"/>
  <c r="ED26" i="5"/>
  <c r="ED22" i="5"/>
  <c r="ED18" i="5"/>
  <c r="ED17" i="5"/>
  <c r="EB109" i="5"/>
  <c r="ED16" i="5"/>
  <c r="BR109" i="5"/>
  <c r="ED26" i="4"/>
  <c r="ED28" i="4"/>
  <c r="ED25" i="4"/>
  <c r="ED23" i="4"/>
  <c r="CJ22" i="1"/>
  <c r="ED19" i="4"/>
  <c r="EC109" i="3"/>
  <c r="ED11" i="3"/>
  <c r="ED10" i="3"/>
  <c r="ED5" i="3"/>
  <c r="ED12" i="3"/>
  <c r="ED9" i="3"/>
  <c r="BR109" i="3"/>
  <c r="ED7" i="3"/>
  <c r="EB109" i="3"/>
  <c r="BN4" i="1"/>
  <c r="CJ46" i="1"/>
  <c r="CJ94" i="1"/>
  <c r="CJ34" i="1"/>
  <c r="CJ82" i="1"/>
  <c r="CJ58" i="1"/>
  <c r="CJ10" i="1"/>
  <c r="ED11" i="2"/>
  <c r="BR109" i="2"/>
  <c r="ED6" i="2"/>
  <c r="CJ59" i="1"/>
  <c r="CJ36" i="1"/>
  <c r="CJ84" i="1"/>
  <c r="CJ108" i="1"/>
  <c r="CJ106" i="1"/>
  <c r="CJ47" i="1"/>
  <c r="CJ95" i="1"/>
  <c r="CJ107" i="1"/>
  <c r="CJ48" i="1"/>
  <c r="CJ71" i="1"/>
  <c r="CJ72" i="1"/>
  <c r="CJ96" i="1"/>
  <c r="CJ83" i="1"/>
  <c r="CJ60" i="1"/>
  <c r="AW4" i="1"/>
  <c r="R109" i="1"/>
  <c r="EC109" i="6"/>
  <c r="J109" i="6"/>
  <c r="EB109" i="6"/>
  <c r="ED5" i="6"/>
  <c r="ED4" i="6"/>
  <c r="N109" i="6"/>
  <c r="J109" i="5"/>
  <c r="ED4" i="5"/>
  <c r="ED30" i="4"/>
  <c r="R109" i="4"/>
  <c r="DJ109" i="4"/>
  <c r="AP109" i="4"/>
  <c r="CL109" i="4"/>
  <c r="EC109" i="4"/>
  <c r="ED6" i="4"/>
  <c r="J109" i="4"/>
  <c r="BF109" i="4"/>
  <c r="DB109" i="4"/>
  <c r="ED45" i="4"/>
  <c r="ED74" i="4"/>
  <c r="AT109" i="4"/>
  <c r="CP109" i="4"/>
  <c r="ED15" i="4"/>
  <c r="ED44" i="4"/>
  <c r="ED78" i="4"/>
  <c r="ED87" i="4"/>
  <c r="ED108" i="4"/>
  <c r="AX109" i="4"/>
  <c r="CT109" i="4"/>
  <c r="AD109" i="4"/>
  <c r="BZ109" i="4"/>
  <c r="DV109" i="4"/>
  <c r="ED14" i="4"/>
  <c r="ED31" i="4"/>
  <c r="ED48" i="4"/>
  <c r="ED57" i="4"/>
  <c r="ED86" i="4"/>
  <c r="BB109" i="4"/>
  <c r="CX109" i="4"/>
  <c r="N109" i="4"/>
  <c r="BJ109" i="4"/>
  <c r="DF109" i="4"/>
  <c r="ED16" i="4"/>
  <c r="ED18" i="4"/>
  <c r="ED27" i="4"/>
  <c r="ED56" i="4"/>
  <c r="ED73" i="4"/>
  <c r="ED88" i="4"/>
  <c r="ED90" i="4"/>
  <c r="ED103" i="4"/>
  <c r="ED21" i="4"/>
  <c r="ED50" i="4"/>
  <c r="ED84" i="4"/>
  <c r="ED7" i="4"/>
  <c r="ED20" i="4"/>
  <c r="ED37" i="4"/>
  <c r="ED54" i="4"/>
  <c r="ED63" i="4"/>
  <c r="ED92" i="4"/>
  <c r="AH109" i="4"/>
  <c r="CD109" i="4"/>
  <c r="DZ109" i="4"/>
  <c r="Z109" i="4"/>
  <c r="BV109" i="4"/>
  <c r="DR109" i="4"/>
  <c r="ED22" i="4"/>
  <c r="ED24" i="4"/>
  <c r="ED33" i="4"/>
  <c r="ED62" i="4"/>
  <c r="ED79" i="4"/>
  <c r="ED94" i="4"/>
  <c r="ED96" i="4"/>
  <c r="ED105" i="4"/>
  <c r="ED60" i="4"/>
  <c r="BN109" i="4"/>
  <c r="ED72" i="4"/>
  <c r="ED102" i="4"/>
  <c r="V109" i="4"/>
  <c r="BR109" i="4"/>
  <c r="DN109" i="4"/>
  <c r="ED42" i="4"/>
  <c r="ED12" i="4"/>
  <c r="AL109" i="4"/>
  <c r="CH109" i="4"/>
  <c r="EB109" i="4"/>
  <c r="ED49" i="4"/>
  <c r="ED64" i="4"/>
  <c r="ED93" i="4"/>
  <c r="ED6" i="3"/>
  <c r="ED4" i="3"/>
  <c r="AX109" i="2"/>
  <c r="ED4" i="2"/>
  <c r="EC109" i="2"/>
  <c r="BB109" i="2"/>
  <c r="BF109" i="2"/>
  <c r="DZ109" i="2"/>
  <c r="EB109" i="2"/>
  <c r="R109" i="2"/>
  <c r="Z109" i="2"/>
  <c r="AD109" i="2"/>
  <c r="AL109" i="2"/>
  <c r="AP109" i="2"/>
  <c r="BJ109" i="2"/>
  <c r="BN109" i="2"/>
  <c r="BV109" i="2"/>
  <c r="CD109" i="2"/>
  <c r="CL109" i="2"/>
  <c r="CP109" i="2"/>
  <c r="CH109" i="2"/>
  <c r="V109" i="2"/>
  <c r="J109" i="2"/>
  <c r="AY109" i="1" s="1"/>
  <c r="H109" i="2"/>
  <c r="H109" i="1"/>
  <c r="N77" i="1"/>
  <c r="O77" i="1" s="1"/>
  <c r="P77" i="1" s="1"/>
  <c r="M109" i="1"/>
  <c r="P102" i="1"/>
  <c r="N4" i="1"/>
  <c r="O4" i="1" s="1"/>
  <c r="O109" i="1" s="1"/>
  <c r="BA109" i="1" l="1"/>
  <c r="CD4" i="1"/>
  <c r="CI4" i="1" s="1"/>
  <c r="CD40" i="1"/>
  <c r="CI40" i="1" s="1"/>
  <c r="CJ40" i="1" s="1"/>
  <c r="ED109" i="5"/>
  <c r="ED109" i="2"/>
  <c r="ED109" i="4"/>
  <c r="ED109" i="3"/>
  <c r="BN109" i="1"/>
  <c r="CG4" i="1"/>
  <c r="AW109" i="1"/>
  <c r="ED109" i="6"/>
  <c r="P4" i="1"/>
  <c r="P109" i="1" s="1"/>
  <c r="N109" i="1"/>
  <c r="CD109" i="1" l="1"/>
  <c r="CI109" i="1"/>
  <c r="CH4" i="1"/>
  <c r="CG109" i="1"/>
  <c r="CJ4" i="1" l="1"/>
  <c r="CJ109" i="1" s="1"/>
  <c r="CH109" i="1"/>
</calcChain>
</file>

<file path=xl/sharedStrings.xml><?xml version="1.0" encoding="utf-8"?>
<sst xmlns="http://schemas.openxmlformats.org/spreadsheetml/2006/main" count="1394" uniqueCount="155">
  <si>
    <t>Code</t>
  </si>
  <si>
    <t>Description</t>
  </si>
  <si>
    <t>Pack Size</t>
  </si>
  <si>
    <t>List Price</t>
  </si>
  <si>
    <t>CTN</t>
  </si>
  <si>
    <t>BOX</t>
  </si>
  <si>
    <t>PCS</t>
  </si>
  <si>
    <t>Damage</t>
  </si>
  <si>
    <t>Total Box</t>
  </si>
  <si>
    <t>Amount</t>
  </si>
  <si>
    <t>JELLY ABC 48 BAGS (party pack)</t>
  </si>
  <si>
    <t>AMROOD JELLY 48 BAGS RS 50 (PARTY PACK)</t>
  </si>
  <si>
    <t>BOTTLE JELLY 48 BAGS RS 50 (PARTY PACK)</t>
  </si>
  <si>
    <t>SWEET BEAR JELLY RS 20 18 BAGS X 18 BOX</t>
  </si>
  <si>
    <t>FIZZY O JELLY 48 BAGS RS 50 (PARTY PACK)</t>
  </si>
  <si>
    <t>FIZZY O JELLY RS 10 24 BAGS X 24 BOXES</t>
  </si>
  <si>
    <t>JELLY CHILLI MILLI 48 BAGS (PARTY PACK)</t>
  </si>
  <si>
    <t>CHILLI MILLI RS10 24 BAGS X 24 BOXES</t>
  </si>
  <si>
    <t>ABC JELLY RS10 24 BAGS X 24 BOXES</t>
  </si>
  <si>
    <t>SOUR BITES JELLY RS10 24 BAGS X 24 BOXES</t>
  </si>
  <si>
    <t>SWEET BURGER JELLY RS 10 24 PC X 12 BOX</t>
  </si>
  <si>
    <t>DINO JELLY RS 20 18 BAGS X 18 BOX</t>
  </si>
  <si>
    <t>PREMIUM PEACH RING JELLY RS 50 12BGX8BX</t>
  </si>
  <si>
    <t>PREMIUM WATERMELON JELLY RS50 12BGX8BX</t>
  </si>
  <si>
    <t>PREMIUM NEON CRAWLER JELY RS50 12BGX8BX</t>
  </si>
  <si>
    <t>PREMIUM COLA BOTTLE JELY RS50 12BGX8BX</t>
  </si>
  <si>
    <t>Mango - Premium - Rs. 50 - (12X8) - Box</t>
  </si>
  <si>
    <t>BUBBLE YOUR NAME RS 5 100 PC/JARX12 JARS</t>
  </si>
  <si>
    <t>Bubble Yr Name - Rs. 5 - (50 x 18) - Box</t>
  </si>
  <si>
    <t>BUBBLE POP GUM RS 5 50 PC X 18 BOX</t>
  </si>
  <si>
    <t>Bubble Pop Classic -Rs.5-(50x18) - Box</t>
  </si>
  <si>
    <t>Dewy Chewy Strawberry-Rs.5-(50 x 18)-Jar</t>
  </si>
  <si>
    <t>Ooze - B/C - Rs. 5 - (50 x 18) - Jar</t>
  </si>
  <si>
    <t>Monster Chew – Rs  50 – (12x8) – Box</t>
  </si>
  <si>
    <t>Eclair Rs 5  50Pc X 18 Box</t>
  </si>
  <si>
    <t>Now - Rs. 10 - (24 x 18) - Box - Xtra</t>
  </si>
  <si>
    <t>NOW PASTE RS 10 (50 Pcs X 12 Jars)</t>
  </si>
  <si>
    <t>NOW PASTE RS 05 70 PCS X 18 BOXES</t>
  </si>
  <si>
    <t>Paradise - Rs. 10 - (24x18) - Box - Xtra</t>
  </si>
  <si>
    <t>Sonnet - Rs. 10 - (24 x 18) - Box - Xtra</t>
  </si>
  <si>
    <t>CLOUD 9 CHOCOLATE 24 PC X 24 BOXES</t>
  </si>
  <si>
    <t>CLOUD 9 CHOCOLATE RS 20 18 PC X 18 BOXES</t>
  </si>
  <si>
    <t>BISCA CHOCOLATE ENROBBED BISCUIT 12 X 24</t>
  </si>
  <si>
    <t>BISCA CHOCOLATE RS 50 12 X 12</t>
  </si>
  <si>
    <t>CHOC-OH RS 20/= 12 PC X 12 BOX</t>
  </si>
  <si>
    <t>CROWN HAZELNUT 24 PC X 18 BOX</t>
  </si>
  <si>
    <t>CROWN MANGO 24 PC X 18 BOX</t>
  </si>
  <si>
    <t>CROWN COCONUT 24 PC X 18 BOX</t>
  </si>
  <si>
    <t>Sonnet - Rs. 20 - (12 x 24) - Box - Xtra</t>
  </si>
  <si>
    <t>Now - Rs. 20 - (12 x 24) - Box – Xtra</t>
  </si>
  <si>
    <t>Paradise - Rs. 20 - (12x24) - Box - Xtra</t>
  </si>
  <si>
    <t>Cosmo - Rs. 100 – (6 x 12) – Box</t>
  </si>
  <si>
    <t>Flick - Rs. 100 – (6 x 12) – Box</t>
  </si>
  <si>
    <t>Bliss - Rs. 100 – (6 x 12) – Box</t>
  </si>
  <si>
    <t>NOW CHOCOLATE RS 50 12P X 12 BOXES</t>
  </si>
  <si>
    <t>PARADISE CHOCOLATE RS 50 12 X 12  BOXES</t>
  </si>
  <si>
    <t>FUNNY BUNNY RS 10 25PC X 24 BAGS</t>
  </si>
  <si>
    <t>FUNNY BUNNY RS 10 100 PC/JAR X 12 JARS</t>
  </si>
  <si>
    <t>BUTTONS CHOCOLATE RS 30 12 BAGS X 24 BOX</t>
  </si>
  <si>
    <t>Puff - Rainbow - Rs. 50 - (1X60) - Bag</t>
  </si>
  <si>
    <t>Puff - Party - Rs. 50 - (1X60) - Bag</t>
  </si>
  <si>
    <t>JUNIOR PUFF PARTY 18PCS X 18 BOXES</t>
  </si>
  <si>
    <t>JUNIOR PUFF RAINBOW 18PCS X 18 BOXES</t>
  </si>
  <si>
    <t>Super Twister - Rs. 10 - (24X18) - Box</t>
  </si>
  <si>
    <t>MELLO BAR STRAWBERRY 24PCS X 18 BOXES</t>
  </si>
  <si>
    <t>MELLO BAR VANILLA 24PCS X 18 BOXES</t>
  </si>
  <si>
    <t>Choco Jammin-Strawb-Rs.30-(12x24) - Box</t>
  </si>
  <si>
    <t>YOU MILK CHOCOLATE 18X18 RS 30</t>
  </si>
  <si>
    <t>YOU MILK CHOCOLATE 18x18 Rs 50</t>
  </si>
  <si>
    <t>YUMS FRUITY RS.20 (12PCS X 18BOX)</t>
  </si>
  <si>
    <t>Yums - Fruity - CP - Rs.10 -(24x18)- Box</t>
  </si>
  <si>
    <t>YUMS SWEET Rs 50 FUN PACK 48 pouch/ctn</t>
  </si>
  <si>
    <t>YUMS SOUR Rs 50 FUN PACK 48 pouch/ctn</t>
  </si>
  <si>
    <t>YUMS SOUR RS.20 (12PCS X 18BOX)</t>
  </si>
  <si>
    <t>Yums - Sour - CP - Rs.10 - (24x18) - Box</t>
  </si>
  <si>
    <t>Pebbles - Rs 50 - (12x8)-Box</t>
  </si>
  <si>
    <t>Punch candy-Rs 5-(25x36)-bag</t>
  </si>
  <si>
    <t>Punch Candy - CP - Rs. 5- (50x18) - Jar</t>
  </si>
  <si>
    <t>Butter scotch candy-Rs 5-25x36 bag</t>
  </si>
  <si>
    <t>Butter Scotch - CP - Rs.5 - (50x18) -Jar</t>
  </si>
  <si>
    <t>Cola candy-Rs 5-(25x36)- bag</t>
  </si>
  <si>
    <t>Cola Candy - CP - Rs. 5 - (50x18) - Jar</t>
  </si>
  <si>
    <t>Fanty candy-Rs 5-(25x36)-bag</t>
  </si>
  <si>
    <t>Fanty - CP - Rs. 5 - (50x18) - Jar</t>
  </si>
  <si>
    <t>Flip black currant candy-Rs 5-(25x36)bag</t>
  </si>
  <si>
    <t>Flip - B/C - CP - Rs. 5 - (50x18) - Jar</t>
  </si>
  <si>
    <t>AMROOD JELLY RS 10 24 BAGS  X 24 BOXES</t>
  </si>
  <si>
    <t>SWEET BEAR JELLY RS10 24 BAGS X 24 BOXES</t>
  </si>
  <si>
    <t>FIZZY O JELLY RS 20 18 BAGS X 18 BOXES</t>
  </si>
  <si>
    <t>JELLY BEANS 18 X18 BOXES Rs.10</t>
  </si>
  <si>
    <t>Eclair Rs 5  25Pc X 24 Bag</t>
  </si>
  <si>
    <t>Chili Mili - Premium -Rs.50-(12 x 8)-Box</t>
  </si>
  <si>
    <t>Yums - Fruity - CP - Rs.10 -(24x18)-Box</t>
  </si>
  <si>
    <t>YUMS MINT RS.10 (18PCSX18BOX)</t>
  </si>
  <si>
    <t>Yums - Sour - CP - Rs.10 - (24x18) -Box</t>
  </si>
  <si>
    <t>SUPER FANTY CANDY RS 5 50 PC X 18 JAR</t>
  </si>
  <si>
    <t>BOTTLE JELLY RS10 24 BAGS X 24 BOXES</t>
  </si>
  <si>
    <t>Bear - Premium - Rs. 50 - (12 x 8) -Box</t>
  </si>
  <si>
    <t>NOW CHOCOLATE RS 10 24P X 18 BOXES</t>
  </si>
  <si>
    <t>Bisca - Rs. 20 - (12 x 18) - Box</t>
  </si>
  <si>
    <t>MANGO PUNCH CANDY RS 5 50 PC X 18 JAR</t>
  </si>
  <si>
    <t>BUTTER SCOTCH CANDY RS 5 50 PC X 18 JAR</t>
  </si>
  <si>
    <t>SUPER COLA CANDY RS 5 50 PC X 18 JAR</t>
  </si>
  <si>
    <t>Flip black currant candy-Rs5-(50x18)-Jar</t>
  </si>
  <si>
    <t>FROOBLE GUM RS 5 50 PC X 18 BOX</t>
  </si>
  <si>
    <t>STICKS GUM SPEARMINT RS 25 12 PKX12 TRAYS</t>
  </si>
  <si>
    <t>STICKS GUM TUTTI FRUITY RS25 12 PK X 12 TRAY</t>
  </si>
  <si>
    <t>SONNET CHOCOLATE RS 50 12P X 12 BOXES</t>
  </si>
  <si>
    <t>Mega Mallows RS 200 01 PC X 40 BAGS</t>
  </si>
  <si>
    <t>DINO JELLY RS 10 24 BAGS X 24 BOXES</t>
  </si>
  <si>
    <t>Bubble Pop - CP - Rs. 5 - (75 x 18) -Jar</t>
  </si>
  <si>
    <t>CROWN COCONUT RS 10 36 PC X 18 BOX</t>
  </si>
  <si>
    <t>Bounce - Rs. 10 - (20 x 18) - Box</t>
  </si>
  <si>
    <t>106619</t>
  </si>
  <si>
    <t>Rush - Rs. 100 – (6 X 12) – Box</t>
  </si>
  <si>
    <t>Adjesment</t>
  </si>
  <si>
    <t>Total</t>
  </si>
  <si>
    <t>Opening</t>
  </si>
  <si>
    <t>Receiving</t>
  </si>
  <si>
    <t>Secondary</t>
  </si>
  <si>
    <t>Total Primary</t>
  </si>
  <si>
    <t>Total Secondary</t>
  </si>
  <si>
    <t>Closing</t>
  </si>
  <si>
    <t>Day-1</t>
  </si>
  <si>
    <t>Day-2</t>
  </si>
  <si>
    <t>Day-3</t>
  </si>
  <si>
    <t>Day-4</t>
  </si>
  <si>
    <t>Day-5</t>
  </si>
  <si>
    <t>Day-6</t>
  </si>
  <si>
    <t>Day-7</t>
  </si>
  <si>
    <t>Day-8</t>
  </si>
  <si>
    <t>Day-9</t>
  </si>
  <si>
    <t>Day-10</t>
  </si>
  <si>
    <t>Day-11</t>
  </si>
  <si>
    <t>Day-12</t>
  </si>
  <si>
    <t>Day-13</t>
  </si>
  <si>
    <t>Day-14</t>
  </si>
  <si>
    <t>Day-15</t>
  </si>
  <si>
    <t>Day-16</t>
  </si>
  <si>
    <t>Day-17</t>
  </si>
  <si>
    <t>Total CTN</t>
  </si>
  <si>
    <t>Day-18</t>
  </si>
  <si>
    <t>Day-19</t>
  </si>
  <si>
    <t>Day-20</t>
  </si>
  <si>
    <t>Day-21</t>
  </si>
  <si>
    <t>Day-31</t>
  </si>
  <si>
    <t>Day-30</t>
  </si>
  <si>
    <t>Day-29</t>
  </si>
  <si>
    <t>Day-28</t>
  </si>
  <si>
    <t>Day-27</t>
  </si>
  <si>
    <t>Day-26</t>
  </si>
  <si>
    <t>Day-25</t>
  </si>
  <si>
    <t>Day-24</t>
  </si>
  <si>
    <t>Day-23</t>
  </si>
  <si>
    <t>Day-22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</si>
</sst>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;\(#,##0\);&quot;-&quot;"/>
    <numFmt numFmtId="165" formatCode="[$-10409]#,##0.00;\(#,##0.00\);&quot;-&quot;"/>
    <numFmt numFmtId="167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5F5F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5" fillId="2" borderId="1" xfId="0" applyFont="1" applyFill="1" applyBorder="1" applyAlignment="1">
      <alignment horizontal="left" vertical="center" wrapText="1" readingOrder="1"/>
    </xf>
    <xf numFmtId="164" fontId="5" fillId="2" borderId="1" xfId="0" applyNumberFormat="1" applyFont="1" applyFill="1" applyBorder="1" applyAlignment="1">
      <alignment horizontal="left" vertical="center" wrapText="1" readingOrder="1"/>
    </xf>
    <xf numFmtId="165" fontId="5" fillId="2" borderId="1" xfId="0" applyNumberFormat="1" applyFont="1" applyFill="1" applyBorder="1" applyAlignment="1">
      <alignment horizontal="left" vertical="center" wrapText="1" readingOrder="1"/>
    </xf>
    <xf numFmtId="165" fontId="5" fillId="2" borderId="0" xfId="0" applyNumberFormat="1" applyFont="1" applyFill="1" applyAlignment="1">
      <alignment horizontal="left" vertical="center" wrapText="1" readingOrder="1"/>
    </xf>
    <xf numFmtId="0" fontId="2" fillId="3" borderId="1" xfId="0" applyFont="1" applyFill="1" applyBorder="1"/>
    <xf numFmtId="2" fontId="2" fillId="0" borderId="0" xfId="0" applyNumberFormat="1" applyFont="1"/>
    <xf numFmtId="2" fontId="2" fillId="0" borderId="1" xfId="0" applyNumberFormat="1" applyFont="1" applyBorder="1"/>
    <xf numFmtId="2" fontId="2" fillId="3" borderId="1" xfId="0" applyNumberFormat="1" applyFont="1" applyFill="1" applyBorder="1"/>
    <xf numFmtId="1" fontId="2" fillId="0" borderId="1" xfId="0" applyNumberFormat="1" applyFont="1" applyBorder="1"/>
    <xf numFmtId="0" fontId="2" fillId="4" borderId="1" xfId="0" applyFont="1" applyFill="1" applyBorder="1"/>
    <xf numFmtId="0" fontId="5" fillId="5" borderId="1" xfId="0" applyFont="1" applyFill="1" applyBorder="1" applyAlignment="1">
      <alignment horizontal="left" vertical="center" wrapText="1" readingOrder="1"/>
    </xf>
    <xf numFmtId="1" fontId="5" fillId="2" borderId="2" xfId="0" applyNumberFormat="1" applyFont="1" applyFill="1" applyBorder="1" applyAlignment="1">
      <alignment horizontal="left" vertical="center" wrapText="1" readingOrder="1"/>
    </xf>
    <xf numFmtId="165" fontId="2" fillId="0" borderId="0" xfId="0" applyNumberFormat="1" applyFont="1"/>
    <xf numFmtId="0" fontId="0" fillId="0" borderId="1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 readingOrder="1"/>
    </xf>
    <xf numFmtId="2" fontId="0" fillId="0" borderId="1" xfId="0" applyNumberFormat="1" applyBorder="1"/>
    <xf numFmtId="2" fontId="0" fillId="0" borderId="0" xfId="0" applyNumberFormat="1"/>
    <xf numFmtId="0" fontId="1" fillId="6" borderId="1" xfId="0" applyFont="1" applyFill="1" applyBorder="1" applyAlignment="1">
      <alignment horizontal="center"/>
    </xf>
    <xf numFmtId="0" fontId="0" fillId="6" borderId="1" xfId="0" applyFill="1" applyBorder="1"/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2" fontId="0" fillId="7" borderId="1" xfId="0" applyNumberFormat="1" applyFill="1" applyBorder="1"/>
    <xf numFmtId="2" fontId="0" fillId="7" borderId="4" xfId="0" applyNumberFormat="1" applyFill="1" applyBorder="1"/>
    <xf numFmtId="0" fontId="0" fillId="9" borderId="4" xfId="0" applyFill="1" applyBorder="1"/>
    <xf numFmtId="0" fontId="1" fillId="7" borderId="5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10" borderId="10" xfId="0" applyFont="1" applyFill="1" applyBorder="1" applyAlignment="1">
      <alignment horizontal="center"/>
    </xf>
    <xf numFmtId="0" fontId="1" fillId="10" borderId="1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2" fontId="0" fillId="3" borderId="4" xfId="0" applyNumberFormat="1" applyFill="1" applyBorder="1"/>
    <xf numFmtId="2" fontId="0" fillId="10" borderId="4" xfId="0" applyNumberFormat="1" applyFill="1" applyBorder="1"/>
    <xf numFmtId="0" fontId="6" fillId="2" borderId="1" xfId="0" applyFont="1" applyFill="1" applyBorder="1" applyAlignment="1">
      <alignment horizontal="center" vertical="center" wrapText="1" readingOrder="1"/>
    </xf>
    <xf numFmtId="0" fontId="3" fillId="0" borderId="0" xfId="0" applyFont="1"/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/>
    <xf numFmtId="165" fontId="2" fillId="0" borderId="0" xfId="0" applyNumberFormat="1" applyFont="1" applyFill="1"/>
    <xf numFmtId="0" fontId="0" fillId="0" borderId="0" xfId="0" applyFill="1"/>
    <xf numFmtId="0" fontId="2" fillId="0" borderId="1" xfId="0" applyFont="1" applyFill="1" applyBorder="1"/>
    <xf numFmtId="2" fontId="2" fillId="0" borderId="1" xfId="0" applyNumberFormat="1" applyFont="1" applyFill="1" applyBorder="1"/>
    <xf numFmtId="0" fontId="3" fillId="0" borderId="0" xfId="0" applyFont="1" applyFill="1" applyBorder="1" applyAlignment="1"/>
    <xf numFmtId="167" fontId="0" fillId="0" borderId="0" xfId="0" applyNumberFormat="1"/>
    <xf numFmtId="2" fontId="0" fillId="8" borderId="4" xfId="0" applyNumberFormat="1" applyFill="1" applyBorder="1"/>
    <xf numFmtId="2" fontId="0" fillId="8" borderId="1" xfId="0" applyNumberFormat="1" applyFill="1" applyBorder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4FAC-9D72-40E5-A1E2-799B39F9DFF5}">
  <dimension ref="B1:CK109"/>
  <sheetViews>
    <sheetView workbookViewId="0">
      <pane xSplit="6" ySplit="3" topLeftCell="CC4" activePane="bottomRight" state="frozen"/>
      <selection pane="topRight" activeCell="G1" sqref="G1"/>
      <selection pane="bottomLeft" activeCell="A4" sqref="A4"/>
      <selection pane="bottomRight" activeCell="CH4" sqref="CH4"/>
    </sheetView>
  </sheetViews>
  <sheetFormatPr defaultRowHeight="14.5" x14ac:dyDescent="0.35"/>
  <cols>
    <col min="3" max="3" width="34.6328125" customWidth="1"/>
    <col min="7" max="7" width="3.1796875" customWidth="1"/>
    <col min="8" max="15" width="8.7265625" customWidth="1"/>
    <col min="16" max="16" width="12.1796875" customWidth="1"/>
    <col min="17" max="17" width="4.26953125" customWidth="1"/>
    <col min="18" max="83" width="8.7265625" customWidth="1"/>
    <col min="85" max="85" width="11.36328125" bestFit="1" customWidth="1"/>
    <col min="86" max="86" width="11.36328125" customWidth="1"/>
    <col min="87" max="87" width="13.7265625" bestFit="1" customWidth="1"/>
  </cols>
  <sheetData>
    <row r="1" spans="2:89" ht="15" thickBot="1" x14ac:dyDescent="0.4">
      <c r="R1" s="18" t="s">
        <v>118</v>
      </c>
      <c r="AY1" t="s">
        <v>119</v>
      </c>
    </row>
    <row r="2" spans="2:89" ht="15" thickBot="1" x14ac:dyDescent="0.4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5" t="s">
        <v>117</v>
      </c>
      <c r="N2" s="25"/>
      <c r="O2" s="25"/>
      <c r="P2" s="25"/>
      <c r="R2" s="23">
        <v>1</v>
      </c>
      <c r="S2" s="23">
        <v>2</v>
      </c>
      <c r="T2" s="23">
        <v>3</v>
      </c>
      <c r="U2" s="23">
        <v>4</v>
      </c>
      <c r="V2" s="23">
        <v>5</v>
      </c>
      <c r="W2" s="23">
        <v>6</v>
      </c>
      <c r="X2" s="23">
        <v>7</v>
      </c>
      <c r="Y2" s="23">
        <v>8</v>
      </c>
      <c r="Z2" s="23">
        <v>9</v>
      </c>
      <c r="AA2" s="23">
        <v>10</v>
      </c>
      <c r="AB2" s="23">
        <v>11</v>
      </c>
      <c r="AC2" s="23">
        <v>12</v>
      </c>
      <c r="AD2" s="23">
        <v>13</v>
      </c>
      <c r="AE2" s="23">
        <v>14</v>
      </c>
      <c r="AF2" s="23">
        <v>15</v>
      </c>
      <c r="AG2" s="23">
        <v>16</v>
      </c>
      <c r="AH2" s="23">
        <v>17</v>
      </c>
      <c r="AI2" s="23">
        <v>18</v>
      </c>
      <c r="AJ2" s="23">
        <v>19</v>
      </c>
      <c r="AK2" s="23">
        <v>20</v>
      </c>
      <c r="AL2" s="23">
        <v>21</v>
      </c>
      <c r="AM2" s="23">
        <v>22</v>
      </c>
      <c r="AN2" s="23">
        <v>23</v>
      </c>
      <c r="AO2" s="23">
        <v>24</v>
      </c>
      <c r="AP2" s="23">
        <v>25</v>
      </c>
      <c r="AQ2" s="23">
        <v>26</v>
      </c>
      <c r="AR2" s="23">
        <v>27</v>
      </c>
      <c r="AS2" s="23">
        <v>28</v>
      </c>
      <c r="AT2" s="23">
        <v>29</v>
      </c>
      <c r="AU2" s="23">
        <v>30</v>
      </c>
      <c r="AV2" s="23">
        <v>31</v>
      </c>
      <c r="AW2" s="23" t="s">
        <v>116</v>
      </c>
      <c r="AX2" s="19"/>
      <c r="AY2" s="27">
        <v>1</v>
      </c>
      <c r="AZ2" s="27">
        <v>2</v>
      </c>
      <c r="BA2" s="27">
        <v>3</v>
      </c>
      <c r="BB2" s="27">
        <v>4</v>
      </c>
      <c r="BC2" s="27">
        <v>5</v>
      </c>
      <c r="BD2" s="27">
        <v>6</v>
      </c>
      <c r="BE2" s="27">
        <v>7</v>
      </c>
      <c r="BF2" s="27">
        <v>8</v>
      </c>
      <c r="BG2" s="27">
        <v>9</v>
      </c>
      <c r="BH2" s="27">
        <v>10</v>
      </c>
      <c r="BI2" s="27">
        <v>11</v>
      </c>
      <c r="BJ2" s="27">
        <v>12</v>
      </c>
      <c r="BK2" s="27">
        <v>13</v>
      </c>
      <c r="BL2" s="27">
        <v>14</v>
      </c>
      <c r="BM2" s="27">
        <v>15</v>
      </c>
      <c r="BN2" s="27">
        <v>16</v>
      </c>
      <c r="BO2" s="27">
        <v>17</v>
      </c>
      <c r="BP2" s="27">
        <v>18</v>
      </c>
      <c r="BQ2" s="27">
        <v>19</v>
      </c>
      <c r="BR2" s="27">
        <v>20</v>
      </c>
      <c r="BS2" s="27">
        <v>21</v>
      </c>
      <c r="BT2" s="27">
        <v>22</v>
      </c>
      <c r="BU2" s="27">
        <v>23</v>
      </c>
      <c r="BV2" s="27">
        <v>24</v>
      </c>
      <c r="BW2" s="27">
        <v>25</v>
      </c>
      <c r="BX2" s="27">
        <v>26</v>
      </c>
      <c r="BY2" s="27">
        <v>27</v>
      </c>
      <c r="BZ2" s="27">
        <v>28</v>
      </c>
      <c r="CA2" s="27">
        <v>29</v>
      </c>
      <c r="CB2" s="27">
        <v>30</v>
      </c>
      <c r="CC2" s="27">
        <v>31</v>
      </c>
      <c r="CD2" s="27" t="s">
        <v>116</v>
      </c>
      <c r="CF2" s="31" t="s">
        <v>117</v>
      </c>
      <c r="CG2" s="33" t="s">
        <v>120</v>
      </c>
      <c r="CH2" s="35" t="s">
        <v>116</v>
      </c>
      <c r="CI2" s="39" t="s">
        <v>121</v>
      </c>
      <c r="CJ2" s="37" t="s">
        <v>122</v>
      </c>
    </row>
    <row r="3" spans="2:89" ht="15" thickBot="1" x14ac:dyDescent="0.4">
      <c r="B3" s="43" t="s">
        <v>0</v>
      </c>
      <c r="C3" s="43" t="s">
        <v>1</v>
      </c>
      <c r="D3" s="43" t="s">
        <v>2</v>
      </c>
      <c r="E3" s="43" t="s">
        <v>2</v>
      </c>
      <c r="F3" s="43" t="s">
        <v>3</v>
      </c>
      <c r="G3" s="44"/>
      <c r="H3" s="2" t="s">
        <v>4</v>
      </c>
      <c r="I3" s="2" t="s">
        <v>5</v>
      </c>
      <c r="J3" s="2" t="s">
        <v>6</v>
      </c>
      <c r="K3" s="2" t="s">
        <v>7</v>
      </c>
      <c r="L3" s="1"/>
      <c r="M3" s="26" t="s">
        <v>4</v>
      </c>
      <c r="N3" s="26" t="s">
        <v>4</v>
      </c>
      <c r="O3" s="26" t="s">
        <v>8</v>
      </c>
      <c r="P3" s="26" t="s">
        <v>9</v>
      </c>
      <c r="R3" s="23" t="s">
        <v>4</v>
      </c>
      <c r="S3" s="23" t="s">
        <v>4</v>
      </c>
      <c r="T3" s="23" t="s">
        <v>4</v>
      </c>
      <c r="U3" s="23" t="s">
        <v>4</v>
      </c>
      <c r="V3" s="23" t="s">
        <v>4</v>
      </c>
      <c r="W3" s="23" t="s">
        <v>4</v>
      </c>
      <c r="X3" s="23" t="s">
        <v>4</v>
      </c>
      <c r="Y3" s="23" t="s">
        <v>4</v>
      </c>
      <c r="Z3" s="23" t="s">
        <v>4</v>
      </c>
      <c r="AA3" s="23" t="s">
        <v>4</v>
      </c>
      <c r="AB3" s="23" t="s">
        <v>4</v>
      </c>
      <c r="AC3" s="23" t="s">
        <v>4</v>
      </c>
      <c r="AD3" s="23" t="s">
        <v>4</v>
      </c>
      <c r="AE3" s="23" t="s">
        <v>4</v>
      </c>
      <c r="AF3" s="23" t="s">
        <v>4</v>
      </c>
      <c r="AG3" s="23" t="s">
        <v>4</v>
      </c>
      <c r="AH3" s="23" t="s">
        <v>4</v>
      </c>
      <c r="AI3" s="23" t="s">
        <v>4</v>
      </c>
      <c r="AJ3" s="23" t="s">
        <v>4</v>
      </c>
      <c r="AK3" s="23" t="s">
        <v>4</v>
      </c>
      <c r="AL3" s="23" t="s">
        <v>4</v>
      </c>
      <c r="AM3" s="23" t="s">
        <v>4</v>
      </c>
      <c r="AN3" s="23" t="s">
        <v>4</v>
      </c>
      <c r="AO3" s="23" t="s">
        <v>4</v>
      </c>
      <c r="AP3" s="23" t="s">
        <v>4</v>
      </c>
      <c r="AQ3" s="23" t="s">
        <v>4</v>
      </c>
      <c r="AR3" s="23" t="s">
        <v>4</v>
      </c>
      <c r="AS3" s="23" t="s">
        <v>4</v>
      </c>
      <c r="AT3" s="23" t="s">
        <v>4</v>
      </c>
      <c r="AU3" s="23" t="s">
        <v>4</v>
      </c>
      <c r="AV3" s="23" t="s">
        <v>4</v>
      </c>
      <c r="AW3" s="23" t="s">
        <v>4</v>
      </c>
      <c r="AX3" s="19"/>
      <c r="AY3" s="27" t="s">
        <v>4</v>
      </c>
      <c r="AZ3" s="27" t="s">
        <v>4</v>
      </c>
      <c r="BA3" s="27" t="s">
        <v>4</v>
      </c>
      <c r="BB3" s="27" t="s">
        <v>4</v>
      </c>
      <c r="BC3" s="27" t="s">
        <v>4</v>
      </c>
      <c r="BD3" s="27" t="s">
        <v>4</v>
      </c>
      <c r="BE3" s="27" t="s">
        <v>4</v>
      </c>
      <c r="BF3" s="27" t="s">
        <v>4</v>
      </c>
      <c r="BG3" s="27" t="s">
        <v>4</v>
      </c>
      <c r="BH3" s="27" t="s">
        <v>4</v>
      </c>
      <c r="BI3" s="27" t="s">
        <v>4</v>
      </c>
      <c r="BJ3" s="27" t="s">
        <v>4</v>
      </c>
      <c r="BK3" s="27" t="s">
        <v>4</v>
      </c>
      <c r="BL3" s="27" t="s">
        <v>4</v>
      </c>
      <c r="BM3" s="27" t="s">
        <v>4</v>
      </c>
      <c r="BN3" s="27" t="s">
        <v>4</v>
      </c>
      <c r="BO3" s="27" t="s">
        <v>4</v>
      </c>
      <c r="BP3" s="27" t="s">
        <v>4</v>
      </c>
      <c r="BQ3" s="27" t="s">
        <v>4</v>
      </c>
      <c r="BR3" s="27" t="s">
        <v>4</v>
      </c>
      <c r="BS3" s="27" t="s">
        <v>4</v>
      </c>
      <c r="BT3" s="27" t="s">
        <v>4</v>
      </c>
      <c r="BU3" s="27" t="s">
        <v>4</v>
      </c>
      <c r="BV3" s="27" t="s">
        <v>4</v>
      </c>
      <c r="BW3" s="27" t="s">
        <v>4</v>
      </c>
      <c r="BX3" s="27" t="s">
        <v>4</v>
      </c>
      <c r="BY3" s="27" t="s">
        <v>4</v>
      </c>
      <c r="BZ3" s="27" t="s">
        <v>4</v>
      </c>
      <c r="CA3" s="27" t="s">
        <v>4</v>
      </c>
      <c r="CB3" s="27" t="s">
        <v>4</v>
      </c>
      <c r="CC3" s="27" t="s">
        <v>4</v>
      </c>
      <c r="CD3" s="27" t="s">
        <v>4</v>
      </c>
      <c r="CF3" s="32" t="s">
        <v>4</v>
      </c>
      <c r="CG3" s="34" t="s">
        <v>4</v>
      </c>
      <c r="CH3" s="36" t="s">
        <v>4</v>
      </c>
      <c r="CI3" s="40" t="s">
        <v>4</v>
      </c>
      <c r="CJ3" s="38" t="s">
        <v>4</v>
      </c>
      <c r="CK3" t="s">
        <v>5</v>
      </c>
    </row>
    <row r="4" spans="2:89" ht="12.5" customHeight="1" x14ac:dyDescent="0.35">
      <c r="B4" s="4">
        <v>101003</v>
      </c>
      <c r="C4" s="4" t="s">
        <v>10</v>
      </c>
      <c r="D4" s="4">
        <v>1</v>
      </c>
      <c r="E4" s="5">
        <v>48</v>
      </c>
      <c r="F4" s="6">
        <v>39.4372481296</v>
      </c>
      <c r="G4" s="7"/>
      <c r="H4" s="8">
        <v>31</v>
      </c>
      <c r="I4" s="8"/>
      <c r="J4" s="8"/>
      <c r="K4" s="3"/>
      <c r="L4" s="9">
        <f>I4/E4</f>
        <v>0</v>
      </c>
      <c r="M4" s="10">
        <f>I4/E4</f>
        <v>0</v>
      </c>
      <c r="N4" s="11">
        <f>M4+H4</f>
        <v>31</v>
      </c>
      <c r="O4" s="3">
        <f>N4*E4</f>
        <v>1488</v>
      </c>
      <c r="P4" s="12">
        <f>O4*F4</f>
        <v>58682.625216844797</v>
      </c>
      <c r="R4" s="21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24">
        <f>SUM(R4:AV4)</f>
        <v>0</v>
      </c>
      <c r="AY4" s="21">
        <f>Asghar!J4+shahzad!J4+Fahad!J4+Asif!J4+sumair!J4</f>
        <v>0</v>
      </c>
      <c r="AZ4" s="21">
        <f>Asghar!N4+shahzad!N4+Fahad!N4+Asif!N4+sumair!N4</f>
        <v>0</v>
      </c>
      <c r="BA4" s="21">
        <f>Asghar!R4+shahzad!R4+Fahad!R4+Asif!R4+sumair!R4</f>
        <v>0</v>
      </c>
      <c r="BB4" s="21">
        <f>Asghar!V4+shahzad!V4+Fahad!V4+Asif!V4+sumair!V4</f>
        <v>0</v>
      </c>
      <c r="BC4" s="21">
        <f>Asghar!Z4+shahzad!Z4+Fahad!Z4+Asif!Z4+sumair!Z4</f>
        <v>0</v>
      </c>
      <c r="BD4" s="21">
        <f>Asghar!AD4+shahzad!AD4+Fahad!AD4+Asif!AD4+sumair!AD4</f>
        <v>0</v>
      </c>
      <c r="BE4" s="21">
        <f>Asghar!AH4+shahzad!AH4+Fahad!AH4+Asif!AH4+sumair!AH4</f>
        <v>0</v>
      </c>
      <c r="BF4" s="21">
        <f>Asghar!AL4+shahzad!AL4+Fahad!AL4+Asif!AL4+sumair!AL4</f>
        <v>0</v>
      </c>
      <c r="BG4" s="21">
        <f>Asghar!AP4+shahzad!AP4+Fahad!AP4+Asif!AP4+sumair!AP4</f>
        <v>0</v>
      </c>
      <c r="BH4" s="21">
        <f>Asghar!AT4+shahzad!AT4+Fahad!AT4+Asif!AT4+sumair!AT4</f>
        <v>0</v>
      </c>
      <c r="BI4" s="21">
        <f>Asghar!AX4+shahzad!AX4+Fahad!AX4+Asif!AX4+sumair!AX4</f>
        <v>0</v>
      </c>
      <c r="BJ4" s="21">
        <f>Asghar!BB4+shahzad!BB4+Fahad!BB4+Asif!BB4+sumair!BB4</f>
        <v>0</v>
      </c>
      <c r="BK4" s="21">
        <f>Asghar!BF4+shahzad!BF4+Fahad!BF4+Asif!BF4+sumair!BF4</f>
        <v>0</v>
      </c>
      <c r="BL4" s="21">
        <f>Asghar!BJ4+shahzad!BJ4+Fahad!BJ4+Asif!BJ4+sumair!BJ4</f>
        <v>0</v>
      </c>
      <c r="BM4" s="21">
        <f>Asghar!BN4+shahzad!BN4+Fahad!BN4+Asif!BN4+sumair!BN4</f>
        <v>0</v>
      </c>
      <c r="BN4" s="21">
        <f>Asghar!BR4+shahzad!BR4+Fahad!BR4+Asif!BR4+sumair!BR4</f>
        <v>0</v>
      </c>
      <c r="BO4" s="21">
        <f>Asghar!BV4+shahzad!BV4+Fahad!BV4+Asif!BV4+sumair!BV4</f>
        <v>0</v>
      </c>
      <c r="BP4" s="21">
        <f>Asghar!BZ4+shahzad!BZ4+Fahad!BZ4+Asif!BZ4+sumair!BZ4</f>
        <v>0</v>
      </c>
      <c r="BQ4" s="21">
        <f>Asghar!CD4+shahzad!CD4+Fahad!CD4+Asif!CD4+sumair!CD4</f>
        <v>0</v>
      </c>
      <c r="BR4" s="21">
        <f>Asghar!CH4+shahzad!CH4+Fahad!CH4+Asif!CH4+sumair!CH4</f>
        <v>0</v>
      </c>
      <c r="BS4" s="21">
        <f>Asghar!CL4+shahzad!CL4+Fahad!CL4+Asif!CL4+sumair!CL4</f>
        <v>0</v>
      </c>
      <c r="BT4" s="21">
        <f>Asghar!CP4+shahzad!CP4+Fahad!CP4+Asif!CP4+sumair!CP4</f>
        <v>0</v>
      </c>
      <c r="BU4" s="21">
        <f>Asghar!CT4+shahzad!CT4+Fahad!CT4+Asif!CT4+sumair!CT4</f>
        <v>0</v>
      </c>
      <c r="BV4" s="21">
        <f>Asghar!CX4+shahzad!CX4+Fahad!CX4+Asif!CX4+sumair!CX4</f>
        <v>0</v>
      </c>
      <c r="BW4" s="21">
        <f>Asghar!DB4+shahzad!DB4+Fahad!DB4+Asif!DB4+sumair!DB4</f>
        <v>0</v>
      </c>
      <c r="BX4" s="21">
        <f>Asghar!DF4+shahzad!DF4+Fahad!DF4+Asif!DF4+sumair!DF4</f>
        <v>0</v>
      </c>
      <c r="BY4" s="21">
        <f>Asghar!DJ4+shahzad!DJ4+Fahad!DJ4+Asif!DJ4+sumair!DJ4</f>
        <v>0</v>
      </c>
      <c r="BZ4" s="21">
        <f>Asghar!DN4+shahzad!DN4+Fahad!DN4+Asif!DN4+sumair!DN4</f>
        <v>0</v>
      </c>
      <c r="CA4" s="21">
        <f>Asghar!DR4+shahzad!DR4+Fahad!DR4+Asif!DR4+sumair!DR4</f>
        <v>0</v>
      </c>
      <c r="CB4" s="21">
        <f>Asghar!DV4+shahzad!DV4+Fahad!DV4+Asif!DV4+sumair!DV4</f>
        <v>0</v>
      </c>
      <c r="CC4" s="21">
        <f>Asghar!DZ4+shahzad!DZ4+Fahad!DZ4+Asif!DZ4+sumair!DZ4</f>
        <v>0</v>
      </c>
      <c r="CD4" s="54">
        <f>SUM(AY4:CC4)</f>
        <v>0</v>
      </c>
      <c r="CF4" s="29">
        <f>N4</f>
        <v>31</v>
      </c>
      <c r="CG4" s="30">
        <f>AW4</f>
        <v>0</v>
      </c>
      <c r="CH4" s="41">
        <f>CG4+CF4</f>
        <v>31</v>
      </c>
      <c r="CI4" s="53">
        <f>CD4</f>
        <v>0</v>
      </c>
      <c r="CJ4" s="42">
        <f>CH4-CI4</f>
        <v>31</v>
      </c>
    </row>
    <row r="5" spans="2:89" ht="12.5" customHeight="1" x14ac:dyDescent="0.35">
      <c r="B5" s="4">
        <v>101017</v>
      </c>
      <c r="C5" s="4" t="s">
        <v>11</v>
      </c>
      <c r="D5" s="4">
        <v>1</v>
      </c>
      <c r="E5" s="5">
        <v>48</v>
      </c>
      <c r="F5" s="6">
        <v>39.4372481296</v>
      </c>
      <c r="G5" s="7"/>
      <c r="H5" s="13"/>
      <c r="I5" s="13">
        <v>2</v>
      </c>
      <c r="J5" s="13"/>
      <c r="K5" s="3"/>
      <c r="L5" s="9">
        <f t="shared" ref="L5:L68" si="0">I5/E5</f>
        <v>4.1666666666666664E-2</v>
      </c>
      <c r="M5" s="10">
        <f t="shared" ref="M5:M68" si="1">I5/E5</f>
        <v>4.1666666666666664E-2</v>
      </c>
      <c r="N5" s="11">
        <f t="shared" ref="N5:N68" si="2">M5+H5</f>
        <v>4.1666666666666664E-2</v>
      </c>
      <c r="O5" s="3">
        <f t="shared" ref="O5:P68" si="3">N5*E5</f>
        <v>2</v>
      </c>
      <c r="P5" s="12">
        <f t="shared" si="3"/>
        <v>78.874496259200001</v>
      </c>
      <c r="R5" s="21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24">
        <f t="shared" ref="AW5:AW68" si="4">SUM(R5:AV5)</f>
        <v>0</v>
      </c>
      <c r="AY5" s="21">
        <f>Asghar!J5+shahzad!J5+Fahad!J5+Asif!J5+sumair!J5</f>
        <v>0</v>
      </c>
      <c r="AZ5" s="21">
        <f>Asghar!N5+shahzad!N5+Fahad!N5+Asif!N5+sumair!N5</f>
        <v>0</v>
      </c>
      <c r="BA5" s="21">
        <f>Asghar!R5+shahzad!R5+Fahad!R5+Asif!R5+sumair!R5</f>
        <v>0</v>
      </c>
      <c r="BB5" s="21">
        <f>Asghar!V5+shahzad!V5+Fahad!V5+Asif!V5+sumair!V5</f>
        <v>0</v>
      </c>
      <c r="BC5" s="21">
        <f>Asghar!Z5+shahzad!Z5+Fahad!Z5+Asif!Z5+sumair!Z5</f>
        <v>0</v>
      </c>
      <c r="BD5" s="21">
        <f>Asghar!AD5+shahzad!AD5+Fahad!AD5+Asif!AD5+sumair!AD5</f>
        <v>0</v>
      </c>
      <c r="BE5" s="21">
        <f>Asghar!AH5+shahzad!AH5+Fahad!AH5+Asif!AH5+sumair!AH5</f>
        <v>0</v>
      </c>
      <c r="BF5" s="21">
        <f>Asghar!AL5+shahzad!AL5+Fahad!AL5+Asif!AL5+sumair!AL5</f>
        <v>0</v>
      </c>
      <c r="BG5" s="21">
        <f>Asghar!AP5+shahzad!AP5+Fahad!AP5+Asif!AP5+sumair!AP5</f>
        <v>0</v>
      </c>
      <c r="BH5" s="21">
        <f>Asghar!AT5+shahzad!AT5+Fahad!AT5+Asif!AT5+sumair!AT5</f>
        <v>0</v>
      </c>
      <c r="BI5" s="21">
        <f>Asghar!AX5+shahzad!AX5+Fahad!AX5+Asif!AX5+sumair!AX5</f>
        <v>0</v>
      </c>
      <c r="BJ5" s="21">
        <f>Asghar!BB5+shahzad!BB5+Fahad!BB5+Asif!BB5+sumair!BB5</f>
        <v>0</v>
      </c>
      <c r="BK5" s="21">
        <f>Asghar!BF5+shahzad!BF5+Fahad!BF5+Asif!BF5+sumair!BF5</f>
        <v>0</v>
      </c>
      <c r="BL5" s="21">
        <f>Asghar!BJ5+shahzad!BJ5+Fahad!BJ5+Asif!BJ5+sumair!BJ5</f>
        <v>0</v>
      </c>
      <c r="BM5" s="21">
        <f>Asghar!BN5+shahzad!BN5+Fahad!BN5+Asif!BN5+sumair!BN5</f>
        <v>0</v>
      </c>
      <c r="BN5" s="21">
        <f>Asghar!BR5+shahzad!BR5+Fahad!BR5+Asif!BR5+sumair!BR5</f>
        <v>0</v>
      </c>
      <c r="BO5" s="21">
        <f>Asghar!BV5+shahzad!BV5+Fahad!BV5+Asif!BV5+sumair!BV5</f>
        <v>0</v>
      </c>
      <c r="BP5" s="21">
        <f>Asghar!BZ5+shahzad!BZ5+Fahad!BZ5+Asif!BZ5+sumair!BZ5</f>
        <v>0</v>
      </c>
      <c r="BQ5" s="21">
        <f>Asghar!CD5+shahzad!CD5+Fahad!CD5+Asif!CD5+sumair!CD5</f>
        <v>0</v>
      </c>
      <c r="BR5" s="21">
        <f>Asghar!CH5+shahzad!CH5+Fahad!CH5+Asif!CH5+sumair!CH5</f>
        <v>0</v>
      </c>
      <c r="BS5" s="21">
        <f>Asghar!CL5+shahzad!CL5+Fahad!CL5+Asif!CL5+sumair!CL5</f>
        <v>0</v>
      </c>
      <c r="BT5" s="21">
        <f>Asghar!CP5+shahzad!CP5+Fahad!CP5+Asif!CP5+sumair!CP5</f>
        <v>0</v>
      </c>
      <c r="BU5" s="21">
        <f>Asghar!CT5+shahzad!CT5+Fahad!CT5+Asif!CT5+sumair!CT5</f>
        <v>0</v>
      </c>
      <c r="BV5" s="21">
        <f>Asghar!CX5+shahzad!CX5+Fahad!CX5+Asif!CX5+sumair!CX5</f>
        <v>0</v>
      </c>
      <c r="BW5" s="21">
        <f>Asghar!DB5+shahzad!DB5+Fahad!DB5+Asif!DB5+sumair!DB5</f>
        <v>0</v>
      </c>
      <c r="BX5" s="21">
        <f>Asghar!DF5+shahzad!DF5+Fahad!DF5+Asif!DF5+sumair!DF5</f>
        <v>0</v>
      </c>
      <c r="BY5" s="21">
        <f>Asghar!DJ5+shahzad!DJ5+Fahad!DJ5+Asif!DJ5+sumair!DJ5</f>
        <v>0</v>
      </c>
      <c r="BZ5" s="21">
        <f>Asghar!DN5+shahzad!DN5+Fahad!DN5+Asif!DN5+sumair!DN5</f>
        <v>0</v>
      </c>
      <c r="CA5" s="21">
        <f>Asghar!DR5+shahzad!DR5+Fahad!DR5+Asif!DR5+sumair!DR5</f>
        <v>0</v>
      </c>
      <c r="CB5" s="21">
        <f>Asghar!DV5+shahzad!DV5+Fahad!DV5+Asif!DV5+sumair!DV5</f>
        <v>0</v>
      </c>
      <c r="CC5" s="21">
        <f>Asghar!DZ5+shahzad!DZ5+Fahad!DZ5+Asif!DZ5+sumair!DZ5</f>
        <v>0</v>
      </c>
      <c r="CD5" s="54">
        <f t="shared" ref="CD5:CD68" si="5">SUM(AY5:CC5)</f>
        <v>0</v>
      </c>
      <c r="CF5" s="28">
        <f t="shared" ref="CF5:CF68" si="6">N5</f>
        <v>4.1666666666666664E-2</v>
      </c>
      <c r="CG5" s="30">
        <f t="shared" ref="CG5:CG68" si="7">AW5</f>
        <v>0</v>
      </c>
      <c r="CH5" s="41">
        <f t="shared" ref="CH5:CH68" si="8">CG5+CF5</f>
        <v>4.1666666666666664E-2</v>
      </c>
      <c r="CI5" s="53">
        <f t="shared" ref="CI5:CI68" si="9">CD5</f>
        <v>0</v>
      </c>
      <c r="CJ5" s="42">
        <f t="shared" ref="CJ5:CJ68" si="10">CH5-CI5</f>
        <v>4.1666666666666664E-2</v>
      </c>
    </row>
    <row r="6" spans="2:89" ht="12.5" customHeight="1" x14ac:dyDescent="0.35">
      <c r="B6" s="4">
        <v>101037</v>
      </c>
      <c r="C6" s="4" t="s">
        <v>12</v>
      </c>
      <c r="D6" s="4">
        <v>1</v>
      </c>
      <c r="E6" s="5">
        <v>48</v>
      </c>
      <c r="F6" s="6">
        <v>39.4372481296</v>
      </c>
      <c r="G6" s="7"/>
      <c r="H6" s="13">
        <v>10</v>
      </c>
      <c r="I6" s="13">
        <v>41</v>
      </c>
      <c r="J6" s="13"/>
      <c r="K6" s="3"/>
      <c r="L6" s="9">
        <f t="shared" si="0"/>
        <v>0.85416666666666663</v>
      </c>
      <c r="M6" s="10">
        <f t="shared" si="1"/>
        <v>0.85416666666666663</v>
      </c>
      <c r="N6" s="11">
        <f t="shared" si="2"/>
        <v>10.854166666666666</v>
      </c>
      <c r="O6" s="3">
        <f t="shared" si="3"/>
        <v>521</v>
      </c>
      <c r="P6" s="12">
        <f t="shared" si="3"/>
        <v>20546.806275521601</v>
      </c>
      <c r="R6" s="21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24">
        <f t="shared" si="4"/>
        <v>0</v>
      </c>
      <c r="AY6" s="21">
        <f>Asghar!J6+shahzad!J6+Fahad!J6+Asif!J6+sumair!J6</f>
        <v>0</v>
      </c>
      <c r="AZ6" s="21">
        <f>Asghar!N6+shahzad!N6+Fahad!N6+Asif!N6+sumair!N6</f>
        <v>0</v>
      </c>
      <c r="BA6" s="21">
        <f>Asghar!R6+shahzad!R6+Fahad!R6+Asif!R6+sumair!R6</f>
        <v>0</v>
      </c>
      <c r="BB6" s="21">
        <f>Asghar!V6+shahzad!V6+Fahad!V6+Asif!V6+sumair!V6</f>
        <v>0</v>
      </c>
      <c r="BC6" s="21">
        <f>Asghar!Z6+shahzad!Z6+Fahad!Z6+Asif!Z6+sumair!Z6</f>
        <v>0</v>
      </c>
      <c r="BD6" s="21">
        <f>Asghar!AD6+shahzad!AD6+Fahad!AD6+Asif!AD6+sumair!AD6</f>
        <v>0</v>
      </c>
      <c r="BE6" s="21">
        <f>Asghar!AH6+shahzad!AH6+Fahad!AH6+Asif!AH6+sumair!AH6</f>
        <v>0</v>
      </c>
      <c r="BF6" s="21">
        <f>Asghar!AL6+shahzad!AL6+Fahad!AL6+Asif!AL6+sumair!AL6</f>
        <v>0</v>
      </c>
      <c r="BG6" s="21">
        <f>Asghar!AP6+shahzad!AP6+Fahad!AP6+Asif!AP6+sumair!AP6</f>
        <v>0</v>
      </c>
      <c r="BH6" s="21">
        <f>Asghar!AT6+shahzad!AT6+Fahad!AT6+Asif!AT6+sumair!AT6</f>
        <v>0</v>
      </c>
      <c r="BI6" s="21">
        <f>Asghar!AX6+shahzad!AX6+Fahad!AX6+Asif!AX6+sumair!AX6</f>
        <v>0</v>
      </c>
      <c r="BJ6" s="21">
        <f>Asghar!BB6+shahzad!BB6+Fahad!BB6+Asif!BB6+sumair!BB6</f>
        <v>0</v>
      </c>
      <c r="BK6" s="21">
        <f>Asghar!BF6+shahzad!BF6+Fahad!BF6+Asif!BF6+sumair!BF6</f>
        <v>0</v>
      </c>
      <c r="BL6" s="21">
        <f>Asghar!BJ6+shahzad!BJ6+Fahad!BJ6+Asif!BJ6+sumair!BJ6</f>
        <v>0</v>
      </c>
      <c r="BM6" s="21">
        <f>Asghar!BN6+shahzad!BN6+Fahad!BN6+Asif!BN6+sumair!BN6</f>
        <v>0</v>
      </c>
      <c r="BN6" s="21">
        <f>Asghar!BR6+shahzad!BR6+Fahad!BR6+Asif!BR6+sumair!BR6</f>
        <v>0</v>
      </c>
      <c r="BO6" s="21">
        <f>Asghar!BV6+shahzad!BV6+Fahad!BV6+Asif!BV6+sumair!BV6</f>
        <v>0</v>
      </c>
      <c r="BP6" s="21">
        <f>Asghar!BZ6+shahzad!BZ6+Fahad!BZ6+Asif!BZ6+sumair!BZ6</f>
        <v>0</v>
      </c>
      <c r="BQ6" s="21">
        <f>Asghar!CD6+shahzad!CD6+Fahad!CD6+Asif!CD6+sumair!CD6</f>
        <v>0</v>
      </c>
      <c r="BR6" s="21">
        <f>Asghar!CH6+shahzad!CH6+Fahad!CH6+Asif!CH6+sumair!CH6</f>
        <v>0</v>
      </c>
      <c r="BS6" s="21">
        <f>Asghar!CL6+shahzad!CL6+Fahad!CL6+Asif!CL6+sumair!CL6</f>
        <v>0</v>
      </c>
      <c r="BT6" s="21">
        <f>Asghar!CP6+shahzad!CP6+Fahad!CP6+Asif!CP6+sumair!CP6</f>
        <v>0</v>
      </c>
      <c r="BU6" s="21">
        <f>Asghar!CT6+shahzad!CT6+Fahad!CT6+Asif!CT6+sumair!CT6</f>
        <v>0</v>
      </c>
      <c r="BV6" s="21">
        <f>Asghar!CX6+shahzad!CX6+Fahad!CX6+Asif!CX6+sumair!CX6</f>
        <v>0</v>
      </c>
      <c r="BW6" s="21">
        <f>Asghar!DB6+shahzad!DB6+Fahad!DB6+Asif!DB6+sumair!DB6</f>
        <v>0</v>
      </c>
      <c r="BX6" s="21">
        <f>Asghar!DF6+shahzad!DF6+Fahad!DF6+Asif!DF6+sumair!DF6</f>
        <v>0</v>
      </c>
      <c r="BY6" s="21">
        <f>Asghar!DJ6+shahzad!DJ6+Fahad!DJ6+Asif!DJ6+sumair!DJ6</f>
        <v>0</v>
      </c>
      <c r="BZ6" s="21">
        <f>Asghar!DN6+shahzad!DN6+Fahad!DN6+Asif!DN6+sumair!DN6</f>
        <v>0</v>
      </c>
      <c r="CA6" s="21">
        <f>Asghar!DR6+shahzad!DR6+Fahad!DR6+Asif!DR6+sumair!DR6</f>
        <v>0</v>
      </c>
      <c r="CB6" s="21">
        <f>Asghar!DV6+shahzad!DV6+Fahad!DV6+Asif!DV6+sumair!DV6</f>
        <v>0</v>
      </c>
      <c r="CC6" s="21">
        <f>Asghar!DZ6+shahzad!DZ6+Fahad!DZ6+Asif!DZ6+sumair!DZ6</f>
        <v>0</v>
      </c>
      <c r="CD6" s="54">
        <f t="shared" si="5"/>
        <v>0</v>
      </c>
      <c r="CF6" s="28">
        <f t="shared" si="6"/>
        <v>10.854166666666666</v>
      </c>
      <c r="CG6" s="30">
        <f t="shared" si="7"/>
        <v>0</v>
      </c>
      <c r="CH6" s="41">
        <f t="shared" si="8"/>
        <v>10.854166666666666</v>
      </c>
      <c r="CI6" s="53">
        <f t="shared" si="9"/>
        <v>0</v>
      </c>
      <c r="CJ6" s="42">
        <f t="shared" si="10"/>
        <v>10.854166666666666</v>
      </c>
    </row>
    <row r="7" spans="2:89" ht="12.5" customHeight="1" x14ac:dyDescent="0.35">
      <c r="B7" s="4">
        <v>101045</v>
      </c>
      <c r="C7" s="4" t="s">
        <v>13</v>
      </c>
      <c r="D7" s="4">
        <v>18</v>
      </c>
      <c r="E7" s="5">
        <v>18</v>
      </c>
      <c r="F7" s="6">
        <v>288.68044392000002</v>
      </c>
      <c r="G7" s="7"/>
      <c r="H7" s="13"/>
      <c r="I7" s="8"/>
      <c r="J7" s="13"/>
      <c r="K7" s="3"/>
      <c r="L7" s="9">
        <f t="shared" si="0"/>
        <v>0</v>
      </c>
      <c r="M7" s="10">
        <f t="shared" si="1"/>
        <v>0</v>
      </c>
      <c r="N7" s="11">
        <f t="shared" si="2"/>
        <v>0</v>
      </c>
      <c r="O7" s="3">
        <f t="shared" si="3"/>
        <v>0</v>
      </c>
      <c r="P7" s="12">
        <f t="shared" si="3"/>
        <v>0</v>
      </c>
      <c r="R7" s="21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24">
        <f t="shared" si="4"/>
        <v>0</v>
      </c>
      <c r="AY7" s="21">
        <f>Asghar!J7+shahzad!J7+Fahad!J7+Asif!J7+sumair!J7</f>
        <v>0</v>
      </c>
      <c r="AZ7" s="21">
        <f>Asghar!N7+shahzad!N7+Fahad!N7+Asif!N7+sumair!N7</f>
        <v>0</v>
      </c>
      <c r="BA7" s="21">
        <f>Asghar!R7+shahzad!R7+Fahad!R7+Asif!R7+sumair!R7</f>
        <v>0</v>
      </c>
      <c r="BB7" s="21">
        <f>Asghar!V7+shahzad!V7+Fahad!V7+Asif!V7+sumair!V7</f>
        <v>0</v>
      </c>
      <c r="BC7" s="21">
        <f>Asghar!Z7+shahzad!Z7+Fahad!Z7+Asif!Z7+sumair!Z7</f>
        <v>0</v>
      </c>
      <c r="BD7" s="21">
        <f>Asghar!AD7+shahzad!AD7+Fahad!AD7+Asif!AD7+sumair!AD7</f>
        <v>0</v>
      </c>
      <c r="BE7" s="21">
        <f>Asghar!AH7+shahzad!AH7+Fahad!AH7+Asif!AH7+sumair!AH7</f>
        <v>0</v>
      </c>
      <c r="BF7" s="21">
        <f>Asghar!AL7+shahzad!AL7+Fahad!AL7+Asif!AL7+sumair!AL7</f>
        <v>0</v>
      </c>
      <c r="BG7" s="21">
        <f>Asghar!AP7+shahzad!AP7+Fahad!AP7+Asif!AP7+sumair!AP7</f>
        <v>0</v>
      </c>
      <c r="BH7" s="21">
        <f>Asghar!AT7+shahzad!AT7+Fahad!AT7+Asif!AT7+sumair!AT7</f>
        <v>0</v>
      </c>
      <c r="BI7" s="21">
        <f>Asghar!AX7+shahzad!AX7+Fahad!AX7+Asif!AX7+sumair!AX7</f>
        <v>0</v>
      </c>
      <c r="BJ7" s="21">
        <f>Asghar!BB7+shahzad!BB7+Fahad!BB7+Asif!BB7+sumair!BB7</f>
        <v>0</v>
      </c>
      <c r="BK7" s="21">
        <f>Asghar!BF7+shahzad!BF7+Fahad!BF7+Asif!BF7+sumair!BF7</f>
        <v>0</v>
      </c>
      <c r="BL7" s="21">
        <f>Asghar!BJ7+shahzad!BJ7+Fahad!BJ7+Asif!BJ7+sumair!BJ7</f>
        <v>0</v>
      </c>
      <c r="BM7" s="21">
        <f>Asghar!BN7+shahzad!BN7+Fahad!BN7+Asif!BN7+sumair!BN7</f>
        <v>0</v>
      </c>
      <c r="BN7" s="21">
        <f>Asghar!BR7+shahzad!BR7+Fahad!BR7+Asif!BR7+sumair!BR7</f>
        <v>0</v>
      </c>
      <c r="BO7" s="21">
        <f>Asghar!BV7+shahzad!BV7+Fahad!BV7+Asif!BV7+sumair!BV7</f>
        <v>0</v>
      </c>
      <c r="BP7" s="21">
        <f>Asghar!BZ7+shahzad!BZ7+Fahad!BZ7+Asif!BZ7+sumair!BZ7</f>
        <v>0</v>
      </c>
      <c r="BQ7" s="21">
        <f>Asghar!CD7+shahzad!CD7+Fahad!CD7+Asif!CD7+sumair!CD7</f>
        <v>0</v>
      </c>
      <c r="BR7" s="21">
        <f>Asghar!CH7+shahzad!CH7+Fahad!CH7+Asif!CH7+sumair!CH7</f>
        <v>0</v>
      </c>
      <c r="BS7" s="21">
        <f>Asghar!CL7+shahzad!CL7+Fahad!CL7+Asif!CL7+sumair!CL7</f>
        <v>0</v>
      </c>
      <c r="BT7" s="21">
        <f>Asghar!CP7+shahzad!CP7+Fahad!CP7+Asif!CP7+sumair!CP7</f>
        <v>0</v>
      </c>
      <c r="BU7" s="21">
        <f>Asghar!CT7+shahzad!CT7+Fahad!CT7+Asif!CT7+sumair!CT7</f>
        <v>0</v>
      </c>
      <c r="BV7" s="21">
        <f>Asghar!CX7+shahzad!CX7+Fahad!CX7+Asif!CX7+sumair!CX7</f>
        <v>0</v>
      </c>
      <c r="BW7" s="21">
        <f>Asghar!DB7+shahzad!DB7+Fahad!DB7+Asif!DB7+sumair!DB7</f>
        <v>0</v>
      </c>
      <c r="BX7" s="21">
        <f>Asghar!DF7+shahzad!DF7+Fahad!DF7+Asif!DF7+sumair!DF7</f>
        <v>0</v>
      </c>
      <c r="BY7" s="21">
        <f>Asghar!DJ7+shahzad!DJ7+Fahad!DJ7+Asif!DJ7+sumair!DJ7</f>
        <v>0</v>
      </c>
      <c r="BZ7" s="21">
        <f>Asghar!DN7+shahzad!DN7+Fahad!DN7+Asif!DN7+sumair!DN7</f>
        <v>0</v>
      </c>
      <c r="CA7" s="21">
        <f>Asghar!DR7+shahzad!DR7+Fahad!DR7+Asif!DR7+sumair!DR7</f>
        <v>0</v>
      </c>
      <c r="CB7" s="21">
        <f>Asghar!DV7+shahzad!DV7+Fahad!DV7+Asif!DV7+sumair!DV7</f>
        <v>0</v>
      </c>
      <c r="CC7" s="21">
        <f>Asghar!DZ7+shahzad!DZ7+Fahad!DZ7+Asif!DZ7+sumair!DZ7</f>
        <v>0</v>
      </c>
      <c r="CD7" s="54">
        <f t="shared" si="5"/>
        <v>0</v>
      </c>
      <c r="CF7" s="28">
        <f t="shared" si="6"/>
        <v>0</v>
      </c>
      <c r="CG7" s="30">
        <f t="shared" si="7"/>
        <v>0</v>
      </c>
      <c r="CH7" s="41">
        <f t="shared" si="8"/>
        <v>0</v>
      </c>
      <c r="CI7" s="53">
        <f t="shared" si="9"/>
        <v>0</v>
      </c>
      <c r="CJ7" s="42">
        <f t="shared" si="10"/>
        <v>0</v>
      </c>
    </row>
    <row r="8" spans="2:89" ht="12.5" customHeight="1" x14ac:dyDescent="0.35">
      <c r="B8" s="4">
        <v>101057</v>
      </c>
      <c r="C8" s="4" t="s">
        <v>14</v>
      </c>
      <c r="D8" s="4">
        <v>1</v>
      </c>
      <c r="E8" s="5">
        <v>48</v>
      </c>
      <c r="F8" s="6">
        <v>39.4372481296</v>
      </c>
      <c r="G8" s="7"/>
      <c r="H8" s="8">
        <v>4</v>
      </c>
      <c r="I8" s="8">
        <v>23</v>
      </c>
      <c r="J8" s="8"/>
      <c r="K8" s="3"/>
      <c r="L8" s="9">
        <f t="shared" si="0"/>
        <v>0.47916666666666669</v>
      </c>
      <c r="M8" s="10">
        <f t="shared" si="1"/>
        <v>0.47916666666666669</v>
      </c>
      <c r="N8" s="11">
        <f t="shared" si="2"/>
        <v>4.479166666666667</v>
      </c>
      <c r="O8" s="3">
        <f t="shared" si="3"/>
        <v>215</v>
      </c>
      <c r="P8" s="12">
        <f t="shared" si="3"/>
        <v>8479.0083478640008</v>
      </c>
      <c r="R8" s="21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24">
        <f t="shared" si="4"/>
        <v>0</v>
      </c>
      <c r="AY8" s="21">
        <f>Asghar!J8+shahzad!J8+Fahad!J8+Asif!J8+sumair!J8</f>
        <v>0</v>
      </c>
      <c r="AZ8" s="21">
        <f>Asghar!N8+shahzad!N8+Fahad!N8+Asif!N8+sumair!N8</f>
        <v>0</v>
      </c>
      <c r="BA8" s="21">
        <f>Asghar!R8+shahzad!R8+Fahad!R8+Asif!R8+sumair!R8</f>
        <v>0</v>
      </c>
      <c r="BB8" s="21">
        <f>Asghar!V8+shahzad!V8+Fahad!V8+Asif!V8+sumair!V8</f>
        <v>0</v>
      </c>
      <c r="BC8" s="21">
        <f>Asghar!Z8+shahzad!Z8+Fahad!Z8+Asif!Z8+sumair!Z8</f>
        <v>0</v>
      </c>
      <c r="BD8" s="21">
        <f>Asghar!AD8+shahzad!AD8+Fahad!AD8+Asif!AD8+sumair!AD8</f>
        <v>0</v>
      </c>
      <c r="BE8" s="21">
        <f>Asghar!AH8+shahzad!AH8+Fahad!AH8+Asif!AH8+sumair!AH8</f>
        <v>0</v>
      </c>
      <c r="BF8" s="21">
        <f>Asghar!AL8+shahzad!AL8+Fahad!AL8+Asif!AL8+sumair!AL8</f>
        <v>0</v>
      </c>
      <c r="BG8" s="21">
        <f>Asghar!AP8+shahzad!AP8+Fahad!AP8+Asif!AP8+sumair!AP8</f>
        <v>0</v>
      </c>
      <c r="BH8" s="21">
        <f>Asghar!AT8+shahzad!AT8+Fahad!AT8+Asif!AT8+sumair!AT8</f>
        <v>0</v>
      </c>
      <c r="BI8" s="21">
        <f>Asghar!AX8+shahzad!AX8+Fahad!AX8+Asif!AX8+sumair!AX8</f>
        <v>0</v>
      </c>
      <c r="BJ8" s="21">
        <f>Asghar!BB8+shahzad!BB8+Fahad!BB8+Asif!BB8+sumair!BB8</f>
        <v>0</v>
      </c>
      <c r="BK8" s="21">
        <f>Asghar!BF8+shahzad!BF8+Fahad!BF8+Asif!BF8+sumair!BF8</f>
        <v>0</v>
      </c>
      <c r="BL8" s="21">
        <f>Asghar!BJ8+shahzad!BJ8+Fahad!BJ8+Asif!BJ8+sumair!BJ8</f>
        <v>0</v>
      </c>
      <c r="BM8" s="21">
        <f>Asghar!BN8+shahzad!BN8+Fahad!BN8+Asif!BN8+sumair!BN8</f>
        <v>0</v>
      </c>
      <c r="BN8" s="21">
        <f>Asghar!BR8+shahzad!BR8+Fahad!BR8+Asif!BR8+sumair!BR8</f>
        <v>0</v>
      </c>
      <c r="BO8" s="21">
        <f>Asghar!BV8+shahzad!BV8+Fahad!BV8+Asif!BV8+sumair!BV8</f>
        <v>0</v>
      </c>
      <c r="BP8" s="21">
        <f>Asghar!BZ8+shahzad!BZ8+Fahad!BZ8+Asif!BZ8+sumair!BZ8</f>
        <v>0</v>
      </c>
      <c r="BQ8" s="21">
        <f>Asghar!CD8+shahzad!CD8+Fahad!CD8+Asif!CD8+sumair!CD8</f>
        <v>0</v>
      </c>
      <c r="BR8" s="21">
        <f>Asghar!CH8+shahzad!CH8+Fahad!CH8+Asif!CH8+sumair!CH8</f>
        <v>0</v>
      </c>
      <c r="BS8" s="21">
        <f>Asghar!CL8+shahzad!CL8+Fahad!CL8+Asif!CL8+sumair!CL8</f>
        <v>0</v>
      </c>
      <c r="BT8" s="21">
        <f>Asghar!CP8+shahzad!CP8+Fahad!CP8+Asif!CP8+sumair!CP8</f>
        <v>0</v>
      </c>
      <c r="BU8" s="21">
        <f>Asghar!CT8+shahzad!CT8+Fahad!CT8+Asif!CT8+sumair!CT8</f>
        <v>0</v>
      </c>
      <c r="BV8" s="21">
        <f>Asghar!CX8+shahzad!CX8+Fahad!CX8+Asif!CX8+sumair!CX8</f>
        <v>0</v>
      </c>
      <c r="BW8" s="21">
        <f>Asghar!DB8+shahzad!DB8+Fahad!DB8+Asif!DB8+sumair!DB8</f>
        <v>0</v>
      </c>
      <c r="BX8" s="21">
        <f>Asghar!DF8+shahzad!DF8+Fahad!DF8+Asif!DF8+sumair!DF8</f>
        <v>0</v>
      </c>
      <c r="BY8" s="21">
        <f>Asghar!DJ8+shahzad!DJ8+Fahad!DJ8+Asif!DJ8+sumair!DJ8</f>
        <v>0</v>
      </c>
      <c r="BZ8" s="21">
        <f>Asghar!DN8+shahzad!DN8+Fahad!DN8+Asif!DN8+sumair!DN8</f>
        <v>0</v>
      </c>
      <c r="CA8" s="21">
        <f>Asghar!DR8+shahzad!DR8+Fahad!DR8+Asif!DR8+sumair!DR8</f>
        <v>0</v>
      </c>
      <c r="CB8" s="21">
        <f>Asghar!DV8+shahzad!DV8+Fahad!DV8+Asif!DV8+sumair!DV8</f>
        <v>0</v>
      </c>
      <c r="CC8" s="21">
        <f>Asghar!DZ8+shahzad!DZ8+Fahad!DZ8+Asif!DZ8+sumair!DZ8</f>
        <v>0</v>
      </c>
      <c r="CD8" s="54">
        <f t="shared" si="5"/>
        <v>0</v>
      </c>
      <c r="CF8" s="28">
        <f t="shared" si="6"/>
        <v>4.479166666666667</v>
      </c>
      <c r="CG8" s="30">
        <f t="shared" si="7"/>
        <v>0</v>
      </c>
      <c r="CH8" s="41">
        <f t="shared" si="8"/>
        <v>4.479166666666667</v>
      </c>
      <c r="CI8" s="53">
        <f t="shared" si="9"/>
        <v>0</v>
      </c>
      <c r="CJ8" s="42">
        <f t="shared" si="10"/>
        <v>4.479166666666667</v>
      </c>
    </row>
    <row r="9" spans="2:89" ht="12.5" customHeight="1" x14ac:dyDescent="0.35">
      <c r="B9" s="4">
        <v>101058</v>
      </c>
      <c r="C9" s="4" t="s">
        <v>15</v>
      </c>
      <c r="D9" s="4">
        <v>24</v>
      </c>
      <c r="E9" s="5">
        <v>24</v>
      </c>
      <c r="F9" s="6">
        <v>189.29879107400001</v>
      </c>
      <c r="G9" s="7"/>
      <c r="H9" s="8">
        <v>5</v>
      </c>
      <c r="I9" s="8">
        <v>13</v>
      </c>
      <c r="J9" s="13"/>
      <c r="K9" s="3"/>
      <c r="L9" s="9">
        <f t="shared" si="0"/>
        <v>0.54166666666666663</v>
      </c>
      <c r="M9" s="10">
        <f t="shared" si="1"/>
        <v>0.54166666666666663</v>
      </c>
      <c r="N9" s="11">
        <f t="shared" si="2"/>
        <v>5.541666666666667</v>
      </c>
      <c r="O9" s="3">
        <f t="shared" si="3"/>
        <v>133</v>
      </c>
      <c r="P9" s="12">
        <f t="shared" si="3"/>
        <v>25176.739212842</v>
      </c>
      <c r="R9" s="21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24">
        <f t="shared" si="4"/>
        <v>0</v>
      </c>
      <c r="AY9" s="21">
        <f>Asghar!J9+shahzad!J9+Fahad!J9+Asif!J9+sumair!J9</f>
        <v>0</v>
      </c>
      <c r="AZ9" s="21">
        <f>Asghar!N9+shahzad!N9+Fahad!N9+Asif!N9+sumair!N9</f>
        <v>0</v>
      </c>
      <c r="BA9" s="21">
        <f>Asghar!R9+shahzad!R9+Fahad!R9+Asif!R9+sumair!R9</f>
        <v>0</v>
      </c>
      <c r="BB9" s="21">
        <f>Asghar!V9+shahzad!V9+Fahad!V9+Asif!V9+sumair!V9</f>
        <v>0</v>
      </c>
      <c r="BC9" s="21">
        <f>Asghar!Z9+shahzad!Z9+Fahad!Z9+Asif!Z9+sumair!Z9</f>
        <v>0</v>
      </c>
      <c r="BD9" s="21">
        <f>Asghar!AD9+shahzad!AD9+Fahad!AD9+Asif!AD9+sumair!AD9</f>
        <v>0</v>
      </c>
      <c r="BE9" s="21">
        <f>Asghar!AH9+shahzad!AH9+Fahad!AH9+Asif!AH9+sumair!AH9</f>
        <v>0</v>
      </c>
      <c r="BF9" s="21">
        <f>Asghar!AL9+shahzad!AL9+Fahad!AL9+Asif!AL9+sumair!AL9</f>
        <v>0</v>
      </c>
      <c r="BG9" s="21">
        <f>Asghar!AP9+shahzad!AP9+Fahad!AP9+Asif!AP9+sumair!AP9</f>
        <v>0</v>
      </c>
      <c r="BH9" s="21">
        <f>Asghar!AT9+shahzad!AT9+Fahad!AT9+Asif!AT9+sumair!AT9</f>
        <v>0</v>
      </c>
      <c r="BI9" s="21">
        <f>Asghar!AX9+shahzad!AX9+Fahad!AX9+Asif!AX9+sumair!AX9</f>
        <v>0</v>
      </c>
      <c r="BJ9" s="21">
        <f>Asghar!BB9+shahzad!BB9+Fahad!BB9+Asif!BB9+sumair!BB9</f>
        <v>0</v>
      </c>
      <c r="BK9" s="21">
        <f>Asghar!BF9+shahzad!BF9+Fahad!BF9+Asif!BF9+sumair!BF9</f>
        <v>0</v>
      </c>
      <c r="BL9" s="21">
        <f>Asghar!BJ9+shahzad!BJ9+Fahad!BJ9+Asif!BJ9+sumair!BJ9</f>
        <v>0</v>
      </c>
      <c r="BM9" s="21">
        <f>Asghar!BN9+shahzad!BN9+Fahad!BN9+Asif!BN9+sumair!BN9</f>
        <v>0</v>
      </c>
      <c r="BN9" s="21">
        <f>Asghar!BR9+shahzad!BR9+Fahad!BR9+Asif!BR9+sumair!BR9</f>
        <v>0</v>
      </c>
      <c r="BO9" s="21">
        <f>Asghar!BV9+shahzad!BV9+Fahad!BV9+Asif!BV9+sumair!BV9</f>
        <v>0</v>
      </c>
      <c r="BP9" s="21">
        <f>Asghar!BZ9+shahzad!BZ9+Fahad!BZ9+Asif!BZ9+sumair!BZ9</f>
        <v>0</v>
      </c>
      <c r="BQ9" s="21">
        <f>Asghar!CD9+shahzad!CD9+Fahad!CD9+Asif!CD9+sumair!CD9</f>
        <v>0</v>
      </c>
      <c r="BR9" s="21">
        <f>Asghar!CH9+shahzad!CH9+Fahad!CH9+Asif!CH9+sumair!CH9</f>
        <v>0</v>
      </c>
      <c r="BS9" s="21">
        <f>Asghar!CL9+shahzad!CL9+Fahad!CL9+Asif!CL9+sumair!CL9</f>
        <v>0</v>
      </c>
      <c r="BT9" s="21">
        <f>Asghar!CP9+shahzad!CP9+Fahad!CP9+Asif!CP9+sumair!CP9</f>
        <v>0</v>
      </c>
      <c r="BU9" s="21">
        <f>Asghar!CT9+shahzad!CT9+Fahad!CT9+Asif!CT9+sumair!CT9</f>
        <v>0</v>
      </c>
      <c r="BV9" s="21">
        <f>Asghar!CX9+shahzad!CX9+Fahad!CX9+Asif!CX9+sumair!CX9</f>
        <v>0</v>
      </c>
      <c r="BW9" s="21">
        <f>Asghar!DB9+shahzad!DB9+Fahad!DB9+Asif!DB9+sumair!DB9</f>
        <v>0</v>
      </c>
      <c r="BX9" s="21">
        <f>Asghar!DF9+shahzad!DF9+Fahad!DF9+Asif!DF9+sumair!DF9</f>
        <v>0</v>
      </c>
      <c r="BY9" s="21">
        <f>Asghar!DJ9+shahzad!DJ9+Fahad!DJ9+Asif!DJ9+sumair!DJ9</f>
        <v>0</v>
      </c>
      <c r="BZ9" s="21">
        <f>Asghar!DN9+shahzad!DN9+Fahad!DN9+Asif!DN9+sumair!DN9</f>
        <v>0</v>
      </c>
      <c r="CA9" s="21">
        <f>Asghar!DR9+shahzad!DR9+Fahad!DR9+Asif!DR9+sumair!DR9</f>
        <v>0</v>
      </c>
      <c r="CB9" s="21">
        <f>Asghar!DV9+shahzad!DV9+Fahad!DV9+Asif!DV9+sumair!DV9</f>
        <v>0</v>
      </c>
      <c r="CC9" s="21">
        <f>Asghar!DZ9+shahzad!DZ9+Fahad!DZ9+Asif!DZ9+sumair!DZ9</f>
        <v>0</v>
      </c>
      <c r="CD9" s="54">
        <f t="shared" si="5"/>
        <v>0</v>
      </c>
      <c r="CF9" s="28">
        <f t="shared" si="6"/>
        <v>5.541666666666667</v>
      </c>
      <c r="CG9" s="30">
        <f t="shared" si="7"/>
        <v>0</v>
      </c>
      <c r="CH9" s="41">
        <f t="shared" si="8"/>
        <v>5.541666666666667</v>
      </c>
      <c r="CI9" s="53">
        <f t="shared" si="9"/>
        <v>0</v>
      </c>
      <c r="CJ9" s="42">
        <f t="shared" si="10"/>
        <v>5.541666666666667</v>
      </c>
    </row>
    <row r="10" spans="2:89" ht="12.5" customHeight="1" x14ac:dyDescent="0.35">
      <c r="B10" s="4">
        <v>101205</v>
      </c>
      <c r="C10" s="4" t="s">
        <v>16</v>
      </c>
      <c r="D10" s="4">
        <v>1</v>
      </c>
      <c r="E10" s="5">
        <v>48</v>
      </c>
      <c r="F10" s="6">
        <v>39.4372481296</v>
      </c>
      <c r="G10" s="7"/>
      <c r="H10" s="8">
        <v>27</v>
      </c>
      <c r="I10" s="8">
        <v>16</v>
      </c>
      <c r="J10" s="8"/>
      <c r="K10" s="3"/>
      <c r="L10" s="9">
        <f t="shared" si="0"/>
        <v>0.33333333333333331</v>
      </c>
      <c r="M10" s="10">
        <f t="shared" si="1"/>
        <v>0.33333333333333331</v>
      </c>
      <c r="N10" s="11">
        <f t="shared" si="2"/>
        <v>27.333333333333332</v>
      </c>
      <c r="O10" s="3">
        <f t="shared" si="3"/>
        <v>1312</v>
      </c>
      <c r="P10" s="12">
        <f t="shared" si="3"/>
        <v>51741.669546035198</v>
      </c>
      <c r="R10" s="21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24">
        <f t="shared" si="4"/>
        <v>0</v>
      </c>
      <c r="AY10" s="21">
        <f>Asghar!J10+shahzad!J10+Fahad!J10+Asif!J10+sumair!J10</f>
        <v>0</v>
      </c>
      <c r="AZ10" s="21">
        <f>Asghar!N10+shahzad!N10+Fahad!N10+Asif!N10+sumair!N10</f>
        <v>0</v>
      </c>
      <c r="BA10" s="21">
        <f>Asghar!R10+shahzad!R10+Fahad!R10+Asif!R10+sumair!R10</f>
        <v>0</v>
      </c>
      <c r="BB10" s="21">
        <f>Asghar!V10+shahzad!V10+Fahad!V10+Asif!V10+sumair!V10</f>
        <v>0</v>
      </c>
      <c r="BC10" s="21">
        <f>Asghar!Z10+shahzad!Z10+Fahad!Z10+Asif!Z10+sumair!Z10</f>
        <v>0</v>
      </c>
      <c r="BD10" s="21">
        <f>Asghar!AD10+shahzad!AD10+Fahad!AD10+Asif!AD10+sumair!AD10</f>
        <v>0</v>
      </c>
      <c r="BE10" s="21">
        <f>Asghar!AH10+shahzad!AH10+Fahad!AH10+Asif!AH10+sumair!AH10</f>
        <v>0</v>
      </c>
      <c r="BF10" s="21">
        <f>Asghar!AL10+shahzad!AL10+Fahad!AL10+Asif!AL10+sumair!AL10</f>
        <v>0</v>
      </c>
      <c r="BG10" s="21">
        <f>Asghar!AP10+shahzad!AP10+Fahad!AP10+Asif!AP10+sumair!AP10</f>
        <v>0</v>
      </c>
      <c r="BH10" s="21">
        <f>Asghar!AT10+shahzad!AT10+Fahad!AT10+Asif!AT10+sumair!AT10</f>
        <v>0</v>
      </c>
      <c r="BI10" s="21">
        <f>Asghar!AX10+shahzad!AX10+Fahad!AX10+Asif!AX10+sumair!AX10</f>
        <v>0</v>
      </c>
      <c r="BJ10" s="21">
        <f>Asghar!BB10+shahzad!BB10+Fahad!BB10+Asif!BB10+sumair!BB10</f>
        <v>0</v>
      </c>
      <c r="BK10" s="21">
        <f>Asghar!BF10+shahzad!BF10+Fahad!BF10+Asif!BF10+sumair!BF10</f>
        <v>0</v>
      </c>
      <c r="BL10" s="21">
        <f>Asghar!BJ10+shahzad!BJ10+Fahad!BJ10+Asif!BJ10+sumair!BJ10</f>
        <v>0</v>
      </c>
      <c r="BM10" s="21">
        <f>Asghar!BN10+shahzad!BN10+Fahad!BN10+Asif!BN10+sumair!BN10</f>
        <v>0</v>
      </c>
      <c r="BN10" s="21">
        <f>Asghar!BR10+shahzad!BR10+Fahad!BR10+Asif!BR10+sumair!BR10</f>
        <v>0</v>
      </c>
      <c r="BO10" s="21">
        <f>Asghar!BV10+shahzad!BV10+Fahad!BV10+Asif!BV10+sumair!BV10</f>
        <v>0</v>
      </c>
      <c r="BP10" s="21">
        <f>Asghar!BZ10+shahzad!BZ10+Fahad!BZ10+Asif!BZ10+sumair!BZ10</f>
        <v>0</v>
      </c>
      <c r="BQ10" s="21">
        <f>Asghar!CD10+shahzad!CD10+Fahad!CD10+Asif!CD10+sumair!CD10</f>
        <v>0</v>
      </c>
      <c r="BR10" s="21">
        <f>Asghar!CH10+shahzad!CH10+Fahad!CH10+Asif!CH10+sumair!CH10</f>
        <v>0</v>
      </c>
      <c r="BS10" s="21">
        <f>Asghar!CL10+shahzad!CL10+Fahad!CL10+Asif!CL10+sumair!CL10</f>
        <v>0</v>
      </c>
      <c r="BT10" s="21">
        <f>Asghar!CP10+shahzad!CP10+Fahad!CP10+Asif!CP10+sumair!CP10</f>
        <v>0</v>
      </c>
      <c r="BU10" s="21">
        <f>Asghar!CT10+shahzad!CT10+Fahad!CT10+Asif!CT10+sumair!CT10</f>
        <v>0</v>
      </c>
      <c r="BV10" s="21">
        <f>Asghar!CX10+shahzad!CX10+Fahad!CX10+Asif!CX10+sumair!CX10</f>
        <v>0</v>
      </c>
      <c r="BW10" s="21">
        <f>Asghar!DB10+shahzad!DB10+Fahad!DB10+Asif!DB10+sumair!DB10</f>
        <v>0</v>
      </c>
      <c r="BX10" s="21">
        <f>Asghar!DF10+shahzad!DF10+Fahad!DF10+Asif!DF10+sumair!DF10</f>
        <v>0</v>
      </c>
      <c r="BY10" s="21">
        <f>Asghar!DJ10+shahzad!DJ10+Fahad!DJ10+Asif!DJ10+sumair!DJ10</f>
        <v>0</v>
      </c>
      <c r="BZ10" s="21">
        <f>Asghar!DN10+shahzad!DN10+Fahad!DN10+Asif!DN10+sumair!DN10</f>
        <v>0</v>
      </c>
      <c r="CA10" s="21">
        <f>Asghar!DR10+shahzad!DR10+Fahad!DR10+Asif!DR10+sumair!DR10</f>
        <v>0</v>
      </c>
      <c r="CB10" s="21">
        <f>Asghar!DV10+shahzad!DV10+Fahad!DV10+Asif!DV10+sumair!DV10</f>
        <v>0</v>
      </c>
      <c r="CC10" s="21">
        <f>Asghar!DZ10+shahzad!DZ10+Fahad!DZ10+Asif!DZ10+sumair!DZ10</f>
        <v>0</v>
      </c>
      <c r="CD10" s="54">
        <f t="shared" si="5"/>
        <v>0</v>
      </c>
      <c r="CF10" s="28">
        <f t="shared" si="6"/>
        <v>27.333333333333332</v>
      </c>
      <c r="CG10" s="30">
        <f t="shared" si="7"/>
        <v>0</v>
      </c>
      <c r="CH10" s="41">
        <f t="shared" si="8"/>
        <v>27.333333333333332</v>
      </c>
      <c r="CI10" s="53">
        <f t="shared" si="9"/>
        <v>0</v>
      </c>
      <c r="CJ10" s="42">
        <f t="shared" si="10"/>
        <v>27.333333333333332</v>
      </c>
    </row>
    <row r="11" spans="2:89" ht="12.5" customHeight="1" x14ac:dyDescent="0.35">
      <c r="B11" s="4">
        <v>101333</v>
      </c>
      <c r="C11" s="4" t="s">
        <v>17</v>
      </c>
      <c r="D11" s="4">
        <v>24</v>
      </c>
      <c r="E11" s="5">
        <v>24</v>
      </c>
      <c r="F11" s="6">
        <v>189.29879107400001</v>
      </c>
      <c r="G11" s="7"/>
      <c r="H11" s="8">
        <v>60</v>
      </c>
      <c r="I11" s="8">
        <v>19</v>
      </c>
      <c r="J11" s="13"/>
      <c r="K11" s="3"/>
      <c r="L11" s="9">
        <f t="shared" si="0"/>
        <v>0.79166666666666663</v>
      </c>
      <c r="M11" s="10">
        <f t="shared" si="1"/>
        <v>0.79166666666666663</v>
      </c>
      <c r="N11" s="11">
        <f t="shared" si="2"/>
        <v>60.791666666666664</v>
      </c>
      <c r="O11" s="3">
        <f t="shared" si="3"/>
        <v>1459</v>
      </c>
      <c r="P11" s="12">
        <f t="shared" si="3"/>
        <v>276186.936176966</v>
      </c>
      <c r="R11" s="21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24">
        <f t="shared" si="4"/>
        <v>0</v>
      </c>
      <c r="AY11" s="21">
        <f>Asghar!J11+shahzad!J11+Fahad!J11+Asif!J11+sumair!J11</f>
        <v>0</v>
      </c>
      <c r="AZ11" s="21">
        <f>Asghar!N11+shahzad!N11+Fahad!N11+Asif!N11+sumair!N11</f>
        <v>0</v>
      </c>
      <c r="BA11" s="21">
        <f>Asghar!R11+shahzad!R11+Fahad!R11+Asif!R11+sumair!R11</f>
        <v>0</v>
      </c>
      <c r="BB11" s="21">
        <f>Asghar!V11+shahzad!V11+Fahad!V11+Asif!V11+sumair!V11</f>
        <v>0</v>
      </c>
      <c r="BC11" s="21">
        <f>Asghar!Z11+shahzad!Z11+Fahad!Z11+Asif!Z11+sumair!Z11</f>
        <v>0</v>
      </c>
      <c r="BD11" s="21">
        <f>Asghar!AD11+shahzad!AD11+Fahad!AD11+Asif!AD11+sumair!AD11</f>
        <v>0</v>
      </c>
      <c r="BE11" s="21">
        <f>Asghar!AH11+shahzad!AH11+Fahad!AH11+Asif!AH11+sumair!AH11</f>
        <v>0</v>
      </c>
      <c r="BF11" s="21">
        <f>Asghar!AL11+shahzad!AL11+Fahad!AL11+Asif!AL11+sumair!AL11</f>
        <v>0</v>
      </c>
      <c r="BG11" s="21">
        <f>Asghar!AP11+shahzad!AP11+Fahad!AP11+Asif!AP11+sumair!AP11</f>
        <v>0</v>
      </c>
      <c r="BH11" s="21">
        <f>Asghar!AT11+shahzad!AT11+Fahad!AT11+Asif!AT11+sumair!AT11</f>
        <v>0</v>
      </c>
      <c r="BI11" s="21">
        <f>Asghar!AX11+shahzad!AX11+Fahad!AX11+Asif!AX11+sumair!AX11</f>
        <v>0</v>
      </c>
      <c r="BJ11" s="21">
        <f>Asghar!BB11+shahzad!BB11+Fahad!BB11+Asif!BB11+sumair!BB11</f>
        <v>0</v>
      </c>
      <c r="BK11" s="21">
        <f>Asghar!BF11+shahzad!BF11+Fahad!BF11+Asif!BF11+sumair!BF11</f>
        <v>0</v>
      </c>
      <c r="BL11" s="21">
        <f>Asghar!BJ11+shahzad!BJ11+Fahad!BJ11+Asif!BJ11+sumair!BJ11</f>
        <v>0</v>
      </c>
      <c r="BM11" s="21">
        <f>Asghar!BN11+shahzad!BN11+Fahad!BN11+Asif!BN11+sumair!BN11</f>
        <v>0</v>
      </c>
      <c r="BN11" s="21">
        <f>Asghar!BR11+shahzad!BR11+Fahad!BR11+Asif!BR11+sumair!BR11</f>
        <v>0</v>
      </c>
      <c r="BO11" s="21">
        <f>Asghar!BV11+shahzad!BV11+Fahad!BV11+Asif!BV11+sumair!BV11</f>
        <v>0</v>
      </c>
      <c r="BP11" s="21">
        <f>Asghar!BZ11+shahzad!BZ11+Fahad!BZ11+Asif!BZ11+sumair!BZ11</f>
        <v>0</v>
      </c>
      <c r="BQ11" s="21">
        <f>Asghar!CD11+shahzad!CD11+Fahad!CD11+Asif!CD11+sumair!CD11</f>
        <v>0</v>
      </c>
      <c r="BR11" s="21">
        <f>Asghar!CH11+shahzad!CH11+Fahad!CH11+Asif!CH11+sumair!CH11</f>
        <v>0</v>
      </c>
      <c r="BS11" s="21">
        <f>Asghar!CL11+shahzad!CL11+Fahad!CL11+Asif!CL11+sumair!CL11</f>
        <v>0</v>
      </c>
      <c r="BT11" s="21">
        <f>Asghar!CP11+shahzad!CP11+Fahad!CP11+Asif!CP11+sumair!CP11</f>
        <v>0</v>
      </c>
      <c r="BU11" s="21">
        <f>Asghar!CT11+shahzad!CT11+Fahad!CT11+Asif!CT11+sumair!CT11</f>
        <v>0</v>
      </c>
      <c r="BV11" s="21">
        <f>Asghar!CX11+shahzad!CX11+Fahad!CX11+Asif!CX11+sumair!CX11</f>
        <v>0</v>
      </c>
      <c r="BW11" s="21">
        <f>Asghar!DB11+shahzad!DB11+Fahad!DB11+Asif!DB11+sumair!DB11</f>
        <v>0</v>
      </c>
      <c r="BX11" s="21">
        <f>Asghar!DF11+shahzad!DF11+Fahad!DF11+Asif!DF11+sumair!DF11</f>
        <v>0</v>
      </c>
      <c r="BY11" s="21">
        <f>Asghar!DJ11+shahzad!DJ11+Fahad!DJ11+Asif!DJ11+sumair!DJ11</f>
        <v>0</v>
      </c>
      <c r="BZ11" s="21">
        <f>Asghar!DN11+shahzad!DN11+Fahad!DN11+Asif!DN11+sumair!DN11</f>
        <v>0</v>
      </c>
      <c r="CA11" s="21">
        <f>Asghar!DR11+shahzad!DR11+Fahad!DR11+Asif!DR11+sumair!DR11</f>
        <v>0</v>
      </c>
      <c r="CB11" s="21">
        <f>Asghar!DV11+shahzad!DV11+Fahad!DV11+Asif!DV11+sumair!DV11</f>
        <v>0</v>
      </c>
      <c r="CC11" s="21">
        <f>Asghar!DZ11+shahzad!DZ11+Fahad!DZ11+Asif!DZ11+sumair!DZ11</f>
        <v>0</v>
      </c>
      <c r="CD11" s="54">
        <f t="shared" si="5"/>
        <v>0</v>
      </c>
      <c r="CF11" s="28">
        <f t="shared" si="6"/>
        <v>60.791666666666664</v>
      </c>
      <c r="CG11" s="30">
        <f t="shared" si="7"/>
        <v>0</v>
      </c>
      <c r="CH11" s="41">
        <f t="shared" si="8"/>
        <v>60.791666666666664</v>
      </c>
      <c r="CI11" s="53">
        <f t="shared" si="9"/>
        <v>0</v>
      </c>
      <c r="CJ11" s="42">
        <f t="shared" si="10"/>
        <v>60.791666666666664</v>
      </c>
    </row>
    <row r="12" spans="2:89" ht="12.5" customHeight="1" x14ac:dyDescent="0.35">
      <c r="B12" s="4">
        <v>101354</v>
      </c>
      <c r="C12" s="4" t="s">
        <v>18</v>
      </c>
      <c r="D12" s="4">
        <v>24</v>
      </c>
      <c r="E12" s="5">
        <v>24</v>
      </c>
      <c r="F12" s="6">
        <v>189.29879107400001</v>
      </c>
      <c r="G12" s="7"/>
      <c r="H12" s="8">
        <v>42</v>
      </c>
      <c r="I12" s="8">
        <v>10</v>
      </c>
      <c r="J12" s="13"/>
      <c r="K12" s="3"/>
      <c r="L12" s="9">
        <f t="shared" si="0"/>
        <v>0.41666666666666669</v>
      </c>
      <c r="M12" s="10">
        <f t="shared" si="1"/>
        <v>0.41666666666666669</v>
      </c>
      <c r="N12" s="11">
        <f t="shared" si="2"/>
        <v>42.416666666666664</v>
      </c>
      <c r="O12" s="3">
        <f t="shared" si="3"/>
        <v>1018</v>
      </c>
      <c r="P12" s="12">
        <f t="shared" si="3"/>
        <v>192706.16931333201</v>
      </c>
      <c r="R12" s="21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24">
        <f t="shared" si="4"/>
        <v>0</v>
      </c>
      <c r="AY12" s="21">
        <f>Asghar!J12+shahzad!J12+Fahad!J12+Asif!J12+sumair!J12</f>
        <v>0</v>
      </c>
      <c r="AZ12" s="21">
        <f>Asghar!N12+shahzad!N12+Fahad!N12+Asif!N12+sumair!N12</f>
        <v>0</v>
      </c>
      <c r="BA12" s="21">
        <f>Asghar!R12+shahzad!R12+Fahad!R12+Asif!R12+sumair!R12</f>
        <v>0</v>
      </c>
      <c r="BB12" s="21">
        <f>Asghar!V12+shahzad!V12+Fahad!V12+Asif!V12+sumair!V12</f>
        <v>0</v>
      </c>
      <c r="BC12" s="21">
        <f>Asghar!Z12+shahzad!Z12+Fahad!Z12+Asif!Z12+sumair!Z12</f>
        <v>0</v>
      </c>
      <c r="BD12" s="21">
        <f>Asghar!AD12+shahzad!AD12+Fahad!AD12+Asif!AD12+sumair!AD12</f>
        <v>0</v>
      </c>
      <c r="BE12" s="21">
        <f>Asghar!AH12+shahzad!AH12+Fahad!AH12+Asif!AH12+sumair!AH12</f>
        <v>0</v>
      </c>
      <c r="BF12" s="21">
        <f>Asghar!AL12+shahzad!AL12+Fahad!AL12+Asif!AL12+sumair!AL12</f>
        <v>0</v>
      </c>
      <c r="BG12" s="21">
        <f>Asghar!AP12+shahzad!AP12+Fahad!AP12+Asif!AP12+sumair!AP12</f>
        <v>0</v>
      </c>
      <c r="BH12" s="21">
        <f>Asghar!AT12+shahzad!AT12+Fahad!AT12+Asif!AT12+sumair!AT12</f>
        <v>0</v>
      </c>
      <c r="BI12" s="21">
        <f>Asghar!AX12+shahzad!AX12+Fahad!AX12+Asif!AX12+sumair!AX12</f>
        <v>0</v>
      </c>
      <c r="BJ12" s="21">
        <f>Asghar!BB12+shahzad!BB12+Fahad!BB12+Asif!BB12+sumair!BB12</f>
        <v>0</v>
      </c>
      <c r="BK12" s="21">
        <f>Asghar!BF12+shahzad!BF12+Fahad!BF12+Asif!BF12+sumair!BF12</f>
        <v>0</v>
      </c>
      <c r="BL12" s="21">
        <f>Asghar!BJ12+shahzad!BJ12+Fahad!BJ12+Asif!BJ12+sumair!BJ12</f>
        <v>0</v>
      </c>
      <c r="BM12" s="21">
        <f>Asghar!BN12+shahzad!BN12+Fahad!BN12+Asif!BN12+sumair!BN12</f>
        <v>0</v>
      </c>
      <c r="BN12" s="21">
        <f>Asghar!BR12+shahzad!BR12+Fahad!BR12+Asif!BR12+sumair!BR12</f>
        <v>0</v>
      </c>
      <c r="BO12" s="21">
        <f>Asghar!BV12+shahzad!BV12+Fahad!BV12+Asif!BV12+sumair!BV12</f>
        <v>0</v>
      </c>
      <c r="BP12" s="21">
        <f>Asghar!BZ12+shahzad!BZ12+Fahad!BZ12+Asif!BZ12+sumair!BZ12</f>
        <v>0</v>
      </c>
      <c r="BQ12" s="21">
        <f>Asghar!CD12+shahzad!CD12+Fahad!CD12+Asif!CD12+sumair!CD12</f>
        <v>0</v>
      </c>
      <c r="BR12" s="21">
        <f>Asghar!CH12+shahzad!CH12+Fahad!CH12+Asif!CH12+sumair!CH12</f>
        <v>0</v>
      </c>
      <c r="BS12" s="21">
        <f>Asghar!CL12+shahzad!CL12+Fahad!CL12+Asif!CL12+sumair!CL12</f>
        <v>0</v>
      </c>
      <c r="BT12" s="21">
        <f>Asghar!CP12+shahzad!CP12+Fahad!CP12+Asif!CP12+sumair!CP12</f>
        <v>0</v>
      </c>
      <c r="BU12" s="21">
        <f>Asghar!CT12+shahzad!CT12+Fahad!CT12+Asif!CT12+sumair!CT12</f>
        <v>0</v>
      </c>
      <c r="BV12" s="21">
        <f>Asghar!CX12+shahzad!CX12+Fahad!CX12+Asif!CX12+sumair!CX12</f>
        <v>0</v>
      </c>
      <c r="BW12" s="21">
        <f>Asghar!DB12+shahzad!DB12+Fahad!DB12+Asif!DB12+sumair!DB12</f>
        <v>0</v>
      </c>
      <c r="BX12" s="21">
        <f>Asghar!DF12+shahzad!DF12+Fahad!DF12+Asif!DF12+sumair!DF12</f>
        <v>0</v>
      </c>
      <c r="BY12" s="21">
        <f>Asghar!DJ12+shahzad!DJ12+Fahad!DJ12+Asif!DJ12+sumair!DJ12</f>
        <v>0</v>
      </c>
      <c r="BZ12" s="21">
        <f>Asghar!DN12+shahzad!DN12+Fahad!DN12+Asif!DN12+sumair!DN12</f>
        <v>0</v>
      </c>
      <c r="CA12" s="21">
        <f>Asghar!DR12+shahzad!DR12+Fahad!DR12+Asif!DR12+sumair!DR12</f>
        <v>0</v>
      </c>
      <c r="CB12" s="21">
        <f>Asghar!DV12+shahzad!DV12+Fahad!DV12+Asif!DV12+sumair!DV12</f>
        <v>0</v>
      </c>
      <c r="CC12" s="21">
        <f>Asghar!DZ12+shahzad!DZ12+Fahad!DZ12+Asif!DZ12+sumair!DZ12</f>
        <v>0</v>
      </c>
      <c r="CD12" s="54">
        <f t="shared" si="5"/>
        <v>0</v>
      </c>
      <c r="CF12" s="28">
        <f t="shared" si="6"/>
        <v>42.416666666666664</v>
      </c>
      <c r="CG12" s="30">
        <f t="shared" si="7"/>
        <v>0</v>
      </c>
      <c r="CH12" s="41">
        <f t="shared" si="8"/>
        <v>42.416666666666664</v>
      </c>
      <c r="CI12" s="53">
        <f t="shared" si="9"/>
        <v>0</v>
      </c>
      <c r="CJ12" s="42">
        <f t="shared" si="10"/>
        <v>42.416666666666664</v>
      </c>
    </row>
    <row r="13" spans="2:89" ht="12.5" customHeight="1" x14ac:dyDescent="0.35">
      <c r="B13" s="4">
        <v>101835</v>
      </c>
      <c r="C13" s="4" t="s">
        <v>19</v>
      </c>
      <c r="D13" s="4">
        <v>24</v>
      </c>
      <c r="E13" s="5">
        <v>24</v>
      </c>
      <c r="F13" s="6">
        <v>192.453575</v>
      </c>
      <c r="G13" s="7"/>
      <c r="H13" s="13">
        <v>18</v>
      </c>
      <c r="I13" s="13"/>
      <c r="J13" s="13"/>
      <c r="K13" s="3"/>
      <c r="L13" s="9">
        <f t="shared" si="0"/>
        <v>0</v>
      </c>
      <c r="M13" s="10">
        <f t="shared" si="1"/>
        <v>0</v>
      </c>
      <c r="N13" s="11">
        <f t="shared" si="2"/>
        <v>18</v>
      </c>
      <c r="O13" s="3">
        <f t="shared" si="3"/>
        <v>432</v>
      </c>
      <c r="P13" s="12">
        <f t="shared" si="3"/>
        <v>83139.944400000008</v>
      </c>
      <c r="R13" s="21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24">
        <f t="shared" si="4"/>
        <v>0</v>
      </c>
      <c r="AY13" s="21">
        <f>Asghar!J13+shahzad!J13+Fahad!J13+Asif!J13+sumair!J13</f>
        <v>0</v>
      </c>
      <c r="AZ13" s="21">
        <f>Asghar!N13+shahzad!N13+Fahad!N13+Asif!N13+sumair!N13</f>
        <v>0</v>
      </c>
      <c r="BA13" s="21">
        <f>Asghar!R13+shahzad!R13+Fahad!R13+Asif!R13+sumair!R13</f>
        <v>0</v>
      </c>
      <c r="BB13" s="21">
        <f>Asghar!V13+shahzad!V13+Fahad!V13+Asif!V13+sumair!V13</f>
        <v>0</v>
      </c>
      <c r="BC13" s="21">
        <f>Asghar!Z13+shahzad!Z13+Fahad!Z13+Asif!Z13+sumair!Z13</f>
        <v>0</v>
      </c>
      <c r="BD13" s="21">
        <f>Asghar!AD13+shahzad!AD13+Fahad!AD13+Asif!AD13+sumair!AD13</f>
        <v>0</v>
      </c>
      <c r="BE13" s="21">
        <f>Asghar!AH13+shahzad!AH13+Fahad!AH13+Asif!AH13+sumair!AH13</f>
        <v>0</v>
      </c>
      <c r="BF13" s="21">
        <f>Asghar!AL13+shahzad!AL13+Fahad!AL13+Asif!AL13+sumair!AL13</f>
        <v>0</v>
      </c>
      <c r="BG13" s="21">
        <f>Asghar!AP13+shahzad!AP13+Fahad!AP13+Asif!AP13+sumair!AP13</f>
        <v>0</v>
      </c>
      <c r="BH13" s="21">
        <f>Asghar!AT13+shahzad!AT13+Fahad!AT13+Asif!AT13+sumair!AT13</f>
        <v>0</v>
      </c>
      <c r="BI13" s="21">
        <f>Asghar!AX13+shahzad!AX13+Fahad!AX13+Asif!AX13+sumair!AX13</f>
        <v>0</v>
      </c>
      <c r="BJ13" s="21">
        <f>Asghar!BB13+shahzad!BB13+Fahad!BB13+Asif!BB13+sumair!BB13</f>
        <v>0</v>
      </c>
      <c r="BK13" s="21">
        <f>Asghar!BF13+shahzad!BF13+Fahad!BF13+Asif!BF13+sumair!BF13</f>
        <v>0</v>
      </c>
      <c r="BL13" s="21">
        <f>Asghar!BJ13+shahzad!BJ13+Fahad!BJ13+Asif!BJ13+sumair!BJ13</f>
        <v>0</v>
      </c>
      <c r="BM13" s="21">
        <f>Asghar!BN13+shahzad!BN13+Fahad!BN13+Asif!BN13+sumair!BN13</f>
        <v>0</v>
      </c>
      <c r="BN13" s="21">
        <f>Asghar!BR13+shahzad!BR13+Fahad!BR13+Asif!BR13+sumair!BR13</f>
        <v>0</v>
      </c>
      <c r="BO13" s="21">
        <f>Asghar!BV13+shahzad!BV13+Fahad!BV13+Asif!BV13+sumair!BV13</f>
        <v>0</v>
      </c>
      <c r="BP13" s="21">
        <f>Asghar!BZ13+shahzad!BZ13+Fahad!BZ13+Asif!BZ13+sumair!BZ13</f>
        <v>0</v>
      </c>
      <c r="BQ13" s="21">
        <f>Asghar!CD13+shahzad!CD13+Fahad!CD13+Asif!CD13+sumair!CD13</f>
        <v>0</v>
      </c>
      <c r="BR13" s="21">
        <f>Asghar!CH13+shahzad!CH13+Fahad!CH13+Asif!CH13+sumair!CH13</f>
        <v>0</v>
      </c>
      <c r="BS13" s="21">
        <f>Asghar!CL13+shahzad!CL13+Fahad!CL13+Asif!CL13+sumair!CL13</f>
        <v>0</v>
      </c>
      <c r="BT13" s="21">
        <f>Asghar!CP13+shahzad!CP13+Fahad!CP13+Asif!CP13+sumair!CP13</f>
        <v>0</v>
      </c>
      <c r="BU13" s="21">
        <f>Asghar!CT13+shahzad!CT13+Fahad!CT13+Asif!CT13+sumair!CT13</f>
        <v>0</v>
      </c>
      <c r="BV13" s="21">
        <f>Asghar!CX13+shahzad!CX13+Fahad!CX13+Asif!CX13+sumair!CX13</f>
        <v>0</v>
      </c>
      <c r="BW13" s="21">
        <f>Asghar!DB13+shahzad!DB13+Fahad!DB13+Asif!DB13+sumair!DB13</f>
        <v>0</v>
      </c>
      <c r="BX13" s="21">
        <f>Asghar!DF13+shahzad!DF13+Fahad!DF13+Asif!DF13+sumair!DF13</f>
        <v>0</v>
      </c>
      <c r="BY13" s="21">
        <f>Asghar!DJ13+shahzad!DJ13+Fahad!DJ13+Asif!DJ13+sumair!DJ13</f>
        <v>0</v>
      </c>
      <c r="BZ13" s="21">
        <f>Asghar!DN13+shahzad!DN13+Fahad!DN13+Asif!DN13+sumair!DN13</f>
        <v>0</v>
      </c>
      <c r="CA13" s="21">
        <f>Asghar!DR13+shahzad!DR13+Fahad!DR13+Asif!DR13+sumair!DR13</f>
        <v>0</v>
      </c>
      <c r="CB13" s="21">
        <f>Asghar!DV13+shahzad!DV13+Fahad!DV13+Asif!DV13+sumair!DV13</f>
        <v>0</v>
      </c>
      <c r="CC13" s="21">
        <f>Asghar!DZ13+shahzad!DZ13+Fahad!DZ13+Asif!DZ13+sumair!DZ13</f>
        <v>0</v>
      </c>
      <c r="CD13" s="54">
        <f t="shared" si="5"/>
        <v>0</v>
      </c>
      <c r="CF13" s="28">
        <f t="shared" si="6"/>
        <v>18</v>
      </c>
      <c r="CG13" s="30">
        <f t="shared" si="7"/>
        <v>0</v>
      </c>
      <c r="CH13" s="41">
        <f t="shared" si="8"/>
        <v>18</v>
      </c>
      <c r="CI13" s="53">
        <f t="shared" si="9"/>
        <v>0</v>
      </c>
      <c r="CJ13" s="42">
        <f t="shared" si="10"/>
        <v>18</v>
      </c>
    </row>
    <row r="14" spans="2:89" ht="12.5" customHeight="1" x14ac:dyDescent="0.35">
      <c r="B14" s="4">
        <v>101861</v>
      </c>
      <c r="C14" s="4" t="s">
        <v>20</v>
      </c>
      <c r="D14" s="4">
        <v>24</v>
      </c>
      <c r="E14" s="5">
        <v>12</v>
      </c>
      <c r="F14" s="6">
        <v>187.195471164</v>
      </c>
      <c r="G14" s="7"/>
      <c r="H14" s="8">
        <v>11</v>
      </c>
      <c r="I14" s="8">
        <v>9</v>
      </c>
      <c r="J14" s="13"/>
      <c r="K14" s="3"/>
      <c r="L14" s="9">
        <f t="shared" si="0"/>
        <v>0.75</v>
      </c>
      <c r="M14" s="10">
        <f t="shared" si="1"/>
        <v>0.75</v>
      </c>
      <c r="N14" s="11">
        <f t="shared" si="2"/>
        <v>11.75</v>
      </c>
      <c r="O14" s="3">
        <f t="shared" si="3"/>
        <v>141</v>
      </c>
      <c r="P14" s="12">
        <f t="shared" si="3"/>
        <v>26394.561434124</v>
      </c>
      <c r="R14" s="21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24">
        <f t="shared" si="4"/>
        <v>0</v>
      </c>
      <c r="AY14" s="21">
        <f>Asghar!J14+shahzad!J14+Fahad!J14+Asif!J14+sumair!J14</f>
        <v>0</v>
      </c>
      <c r="AZ14" s="21">
        <f>Asghar!N14+shahzad!N14+Fahad!N14+Asif!N14+sumair!N14</f>
        <v>0</v>
      </c>
      <c r="BA14" s="21">
        <f>Asghar!R14+shahzad!R14+Fahad!R14+Asif!R14+sumair!R14</f>
        <v>0</v>
      </c>
      <c r="BB14" s="21">
        <f>Asghar!V14+shahzad!V14+Fahad!V14+Asif!V14+sumair!V14</f>
        <v>0</v>
      </c>
      <c r="BC14" s="21">
        <f>Asghar!Z14+shahzad!Z14+Fahad!Z14+Asif!Z14+sumair!Z14</f>
        <v>0</v>
      </c>
      <c r="BD14" s="21">
        <f>Asghar!AD14+shahzad!AD14+Fahad!AD14+Asif!AD14+sumair!AD14</f>
        <v>0</v>
      </c>
      <c r="BE14" s="21">
        <f>Asghar!AH14+shahzad!AH14+Fahad!AH14+Asif!AH14+sumair!AH14</f>
        <v>0</v>
      </c>
      <c r="BF14" s="21">
        <f>Asghar!AL14+shahzad!AL14+Fahad!AL14+Asif!AL14+sumair!AL14</f>
        <v>0</v>
      </c>
      <c r="BG14" s="21">
        <f>Asghar!AP14+shahzad!AP14+Fahad!AP14+Asif!AP14+sumair!AP14</f>
        <v>0</v>
      </c>
      <c r="BH14" s="21">
        <f>Asghar!AT14+shahzad!AT14+Fahad!AT14+Asif!AT14+sumair!AT14</f>
        <v>0</v>
      </c>
      <c r="BI14" s="21">
        <f>Asghar!AX14+shahzad!AX14+Fahad!AX14+Asif!AX14+sumair!AX14</f>
        <v>0</v>
      </c>
      <c r="BJ14" s="21">
        <f>Asghar!BB14+shahzad!BB14+Fahad!BB14+Asif!BB14+sumair!BB14</f>
        <v>0</v>
      </c>
      <c r="BK14" s="21">
        <f>Asghar!BF14+shahzad!BF14+Fahad!BF14+Asif!BF14+sumair!BF14</f>
        <v>0</v>
      </c>
      <c r="BL14" s="21">
        <f>Asghar!BJ14+shahzad!BJ14+Fahad!BJ14+Asif!BJ14+sumair!BJ14</f>
        <v>0</v>
      </c>
      <c r="BM14" s="21">
        <f>Asghar!BN14+shahzad!BN14+Fahad!BN14+Asif!BN14+sumair!BN14</f>
        <v>0</v>
      </c>
      <c r="BN14" s="21">
        <f>Asghar!BR14+shahzad!BR14+Fahad!BR14+Asif!BR14+sumair!BR14</f>
        <v>0</v>
      </c>
      <c r="BO14" s="21">
        <f>Asghar!BV14+shahzad!BV14+Fahad!BV14+Asif!BV14+sumair!BV14</f>
        <v>0</v>
      </c>
      <c r="BP14" s="21">
        <f>Asghar!BZ14+shahzad!BZ14+Fahad!BZ14+Asif!BZ14+sumair!BZ14</f>
        <v>0</v>
      </c>
      <c r="BQ14" s="21">
        <f>Asghar!CD14+shahzad!CD14+Fahad!CD14+Asif!CD14+sumair!CD14</f>
        <v>0</v>
      </c>
      <c r="BR14" s="21">
        <f>Asghar!CH14+shahzad!CH14+Fahad!CH14+Asif!CH14+sumair!CH14</f>
        <v>0</v>
      </c>
      <c r="BS14" s="21">
        <f>Asghar!CL14+shahzad!CL14+Fahad!CL14+Asif!CL14+sumair!CL14</f>
        <v>0</v>
      </c>
      <c r="BT14" s="21">
        <f>Asghar!CP14+shahzad!CP14+Fahad!CP14+Asif!CP14+sumair!CP14</f>
        <v>0</v>
      </c>
      <c r="BU14" s="21">
        <f>Asghar!CT14+shahzad!CT14+Fahad!CT14+Asif!CT14+sumair!CT14</f>
        <v>0</v>
      </c>
      <c r="BV14" s="21">
        <f>Asghar!CX14+shahzad!CX14+Fahad!CX14+Asif!CX14+sumair!CX14</f>
        <v>0</v>
      </c>
      <c r="BW14" s="21">
        <f>Asghar!DB14+shahzad!DB14+Fahad!DB14+Asif!DB14+sumair!DB14</f>
        <v>0</v>
      </c>
      <c r="BX14" s="21">
        <f>Asghar!DF14+shahzad!DF14+Fahad!DF14+Asif!DF14+sumair!DF14</f>
        <v>0</v>
      </c>
      <c r="BY14" s="21">
        <f>Asghar!DJ14+shahzad!DJ14+Fahad!DJ14+Asif!DJ14+sumair!DJ14</f>
        <v>0</v>
      </c>
      <c r="BZ14" s="21">
        <f>Asghar!DN14+shahzad!DN14+Fahad!DN14+Asif!DN14+sumair!DN14</f>
        <v>0</v>
      </c>
      <c r="CA14" s="21">
        <f>Asghar!DR14+shahzad!DR14+Fahad!DR14+Asif!DR14+sumair!DR14</f>
        <v>0</v>
      </c>
      <c r="CB14" s="21">
        <f>Asghar!DV14+shahzad!DV14+Fahad!DV14+Asif!DV14+sumair!DV14</f>
        <v>0</v>
      </c>
      <c r="CC14" s="21">
        <f>Asghar!DZ14+shahzad!DZ14+Fahad!DZ14+Asif!DZ14+sumair!DZ14</f>
        <v>0</v>
      </c>
      <c r="CD14" s="54">
        <f t="shared" si="5"/>
        <v>0</v>
      </c>
      <c r="CF14" s="28">
        <f t="shared" si="6"/>
        <v>11.75</v>
      </c>
      <c r="CG14" s="30">
        <f t="shared" si="7"/>
        <v>0</v>
      </c>
      <c r="CH14" s="41">
        <f t="shared" si="8"/>
        <v>11.75</v>
      </c>
      <c r="CI14" s="53">
        <f t="shared" si="9"/>
        <v>0</v>
      </c>
      <c r="CJ14" s="42">
        <f t="shared" si="10"/>
        <v>11.75</v>
      </c>
    </row>
    <row r="15" spans="2:89" ht="12.5" customHeight="1" x14ac:dyDescent="0.35">
      <c r="B15" s="4">
        <v>101879</v>
      </c>
      <c r="C15" s="4" t="s">
        <v>21</v>
      </c>
      <c r="D15" s="4">
        <v>18</v>
      </c>
      <c r="E15" s="5">
        <v>18</v>
      </c>
      <c r="F15" s="6">
        <v>288.68044392000002</v>
      </c>
      <c r="G15" s="7"/>
      <c r="H15" s="8">
        <v>7</v>
      </c>
      <c r="I15" s="8">
        <v>10</v>
      </c>
      <c r="J15" s="13"/>
      <c r="K15" s="3"/>
      <c r="L15" s="9">
        <f t="shared" si="0"/>
        <v>0.55555555555555558</v>
      </c>
      <c r="M15" s="10">
        <f t="shared" si="1"/>
        <v>0.55555555555555558</v>
      </c>
      <c r="N15" s="11">
        <f t="shared" si="2"/>
        <v>7.5555555555555554</v>
      </c>
      <c r="O15" s="3">
        <f t="shared" si="3"/>
        <v>136</v>
      </c>
      <c r="P15" s="12">
        <f t="shared" si="3"/>
        <v>39260.540373120006</v>
      </c>
      <c r="R15" s="21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24">
        <f t="shared" si="4"/>
        <v>0</v>
      </c>
      <c r="AY15" s="21">
        <f>Asghar!J15+shahzad!J15+Fahad!J15+Asif!J15+sumair!J15</f>
        <v>0</v>
      </c>
      <c r="AZ15" s="21">
        <f>Asghar!N15+shahzad!N15+Fahad!N15+Asif!N15+sumair!N15</f>
        <v>0</v>
      </c>
      <c r="BA15" s="21">
        <f>Asghar!R15+shahzad!R15+Fahad!R15+Asif!R15+sumair!R15</f>
        <v>0</v>
      </c>
      <c r="BB15" s="21">
        <f>Asghar!V15+shahzad!V15+Fahad!V15+Asif!V15+sumair!V15</f>
        <v>0</v>
      </c>
      <c r="BC15" s="21">
        <f>Asghar!Z15+shahzad!Z15+Fahad!Z15+Asif!Z15+sumair!Z15</f>
        <v>0</v>
      </c>
      <c r="BD15" s="21">
        <f>Asghar!AD15+shahzad!AD15+Fahad!AD15+Asif!AD15+sumair!AD15</f>
        <v>0</v>
      </c>
      <c r="BE15" s="21">
        <f>Asghar!AH15+shahzad!AH15+Fahad!AH15+Asif!AH15+sumair!AH15</f>
        <v>0</v>
      </c>
      <c r="BF15" s="21">
        <f>Asghar!AL15+shahzad!AL15+Fahad!AL15+Asif!AL15+sumair!AL15</f>
        <v>0</v>
      </c>
      <c r="BG15" s="21">
        <f>Asghar!AP15+shahzad!AP15+Fahad!AP15+Asif!AP15+sumair!AP15</f>
        <v>0</v>
      </c>
      <c r="BH15" s="21">
        <f>Asghar!AT15+shahzad!AT15+Fahad!AT15+Asif!AT15+sumair!AT15</f>
        <v>0</v>
      </c>
      <c r="BI15" s="21">
        <f>Asghar!AX15+shahzad!AX15+Fahad!AX15+Asif!AX15+sumair!AX15</f>
        <v>0</v>
      </c>
      <c r="BJ15" s="21">
        <f>Asghar!BB15+shahzad!BB15+Fahad!BB15+Asif!BB15+sumair!BB15</f>
        <v>0</v>
      </c>
      <c r="BK15" s="21">
        <f>Asghar!BF15+shahzad!BF15+Fahad!BF15+Asif!BF15+sumair!BF15</f>
        <v>0</v>
      </c>
      <c r="BL15" s="21">
        <f>Asghar!BJ15+shahzad!BJ15+Fahad!BJ15+Asif!BJ15+sumair!BJ15</f>
        <v>0</v>
      </c>
      <c r="BM15" s="21">
        <f>Asghar!BN15+shahzad!BN15+Fahad!BN15+Asif!BN15+sumair!BN15</f>
        <v>0</v>
      </c>
      <c r="BN15" s="21">
        <f>Asghar!BR15+shahzad!BR15+Fahad!BR15+Asif!BR15+sumair!BR15</f>
        <v>0</v>
      </c>
      <c r="BO15" s="21">
        <f>Asghar!BV15+shahzad!BV15+Fahad!BV15+Asif!BV15+sumair!BV15</f>
        <v>0</v>
      </c>
      <c r="BP15" s="21">
        <f>Asghar!BZ15+shahzad!BZ15+Fahad!BZ15+Asif!BZ15+sumair!BZ15</f>
        <v>0</v>
      </c>
      <c r="BQ15" s="21">
        <f>Asghar!CD15+shahzad!CD15+Fahad!CD15+Asif!CD15+sumair!CD15</f>
        <v>0</v>
      </c>
      <c r="BR15" s="21">
        <f>Asghar!CH15+shahzad!CH15+Fahad!CH15+Asif!CH15+sumair!CH15</f>
        <v>0</v>
      </c>
      <c r="BS15" s="21">
        <f>Asghar!CL15+shahzad!CL15+Fahad!CL15+Asif!CL15+sumair!CL15</f>
        <v>0</v>
      </c>
      <c r="BT15" s="21">
        <f>Asghar!CP15+shahzad!CP15+Fahad!CP15+Asif!CP15+sumair!CP15</f>
        <v>0</v>
      </c>
      <c r="BU15" s="21">
        <f>Asghar!CT15+shahzad!CT15+Fahad!CT15+Asif!CT15+sumair!CT15</f>
        <v>0</v>
      </c>
      <c r="BV15" s="21">
        <f>Asghar!CX15+shahzad!CX15+Fahad!CX15+Asif!CX15+sumair!CX15</f>
        <v>0</v>
      </c>
      <c r="BW15" s="21">
        <f>Asghar!DB15+shahzad!DB15+Fahad!DB15+Asif!DB15+sumair!DB15</f>
        <v>0</v>
      </c>
      <c r="BX15" s="21">
        <f>Asghar!DF15+shahzad!DF15+Fahad!DF15+Asif!DF15+sumair!DF15</f>
        <v>0</v>
      </c>
      <c r="BY15" s="21">
        <f>Asghar!DJ15+shahzad!DJ15+Fahad!DJ15+Asif!DJ15+sumair!DJ15</f>
        <v>0</v>
      </c>
      <c r="BZ15" s="21">
        <f>Asghar!DN15+shahzad!DN15+Fahad!DN15+Asif!DN15+sumair!DN15</f>
        <v>0</v>
      </c>
      <c r="CA15" s="21">
        <f>Asghar!DR15+shahzad!DR15+Fahad!DR15+Asif!DR15+sumair!DR15</f>
        <v>0</v>
      </c>
      <c r="CB15" s="21">
        <f>Asghar!DV15+shahzad!DV15+Fahad!DV15+Asif!DV15+sumair!DV15</f>
        <v>0</v>
      </c>
      <c r="CC15" s="21">
        <f>Asghar!DZ15+shahzad!DZ15+Fahad!DZ15+Asif!DZ15+sumair!DZ15</f>
        <v>0</v>
      </c>
      <c r="CD15" s="54">
        <f t="shared" si="5"/>
        <v>0</v>
      </c>
      <c r="CF15" s="28">
        <f t="shared" si="6"/>
        <v>7.5555555555555554</v>
      </c>
      <c r="CG15" s="30">
        <f t="shared" si="7"/>
        <v>0</v>
      </c>
      <c r="CH15" s="41">
        <f t="shared" si="8"/>
        <v>7.5555555555555554</v>
      </c>
      <c r="CI15" s="53">
        <f t="shared" si="9"/>
        <v>0</v>
      </c>
      <c r="CJ15" s="42">
        <f t="shared" si="10"/>
        <v>7.5555555555555554</v>
      </c>
    </row>
    <row r="16" spans="2:89" ht="12.5" customHeight="1" x14ac:dyDescent="0.35">
      <c r="B16" s="4">
        <v>101930</v>
      </c>
      <c r="C16" s="4" t="s">
        <v>22</v>
      </c>
      <c r="D16" s="4">
        <v>12</v>
      </c>
      <c r="E16" s="5">
        <v>8</v>
      </c>
      <c r="F16" s="6">
        <v>481.13467500000002</v>
      </c>
      <c r="G16" s="7"/>
      <c r="H16" s="8">
        <v>9</v>
      </c>
      <c r="I16" s="13">
        <v>4</v>
      </c>
      <c r="J16" s="13"/>
      <c r="K16" s="3"/>
      <c r="L16" s="9">
        <f t="shared" si="0"/>
        <v>0.5</v>
      </c>
      <c r="M16" s="10">
        <f t="shared" si="1"/>
        <v>0.5</v>
      </c>
      <c r="N16" s="11">
        <f t="shared" si="2"/>
        <v>9.5</v>
      </c>
      <c r="O16" s="3">
        <f t="shared" si="3"/>
        <v>76</v>
      </c>
      <c r="P16" s="12">
        <f t="shared" si="3"/>
        <v>36566.2353</v>
      </c>
      <c r="R16" s="21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24">
        <f t="shared" si="4"/>
        <v>0</v>
      </c>
      <c r="AY16" s="21">
        <f>Asghar!J16+shahzad!J16+Fahad!J16+Asif!J16+sumair!J16</f>
        <v>0</v>
      </c>
      <c r="AZ16" s="21">
        <f>Asghar!N16+shahzad!N16+Fahad!N16+Asif!N16+sumair!N16</f>
        <v>0</v>
      </c>
      <c r="BA16" s="21">
        <f>Asghar!R16+shahzad!R16+Fahad!R16+Asif!R16+sumair!R16</f>
        <v>0</v>
      </c>
      <c r="BB16" s="21">
        <f>Asghar!V16+shahzad!V16+Fahad!V16+Asif!V16+sumair!V16</f>
        <v>0</v>
      </c>
      <c r="BC16" s="21">
        <f>Asghar!Z16+shahzad!Z16+Fahad!Z16+Asif!Z16+sumair!Z16</f>
        <v>0</v>
      </c>
      <c r="BD16" s="21">
        <f>Asghar!AD16+shahzad!AD16+Fahad!AD16+Asif!AD16+sumair!AD16</f>
        <v>0</v>
      </c>
      <c r="BE16" s="21">
        <f>Asghar!AH16+shahzad!AH16+Fahad!AH16+Asif!AH16+sumair!AH16</f>
        <v>0</v>
      </c>
      <c r="BF16" s="21">
        <f>Asghar!AL16+shahzad!AL16+Fahad!AL16+Asif!AL16+sumair!AL16</f>
        <v>0</v>
      </c>
      <c r="BG16" s="21">
        <f>Asghar!AP16+shahzad!AP16+Fahad!AP16+Asif!AP16+sumair!AP16</f>
        <v>0</v>
      </c>
      <c r="BH16" s="21">
        <f>Asghar!AT16+shahzad!AT16+Fahad!AT16+Asif!AT16+sumair!AT16</f>
        <v>0</v>
      </c>
      <c r="BI16" s="21">
        <f>Asghar!AX16+shahzad!AX16+Fahad!AX16+Asif!AX16+sumair!AX16</f>
        <v>0</v>
      </c>
      <c r="BJ16" s="21">
        <f>Asghar!BB16+shahzad!BB16+Fahad!BB16+Asif!BB16+sumair!BB16</f>
        <v>0</v>
      </c>
      <c r="BK16" s="21">
        <f>Asghar!BF16+shahzad!BF16+Fahad!BF16+Asif!BF16+sumair!BF16</f>
        <v>0</v>
      </c>
      <c r="BL16" s="21">
        <f>Asghar!BJ16+shahzad!BJ16+Fahad!BJ16+Asif!BJ16+sumair!BJ16</f>
        <v>0</v>
      </c>
      <c r="BM16" s="21">
        <f>Asghar!BN16+shahzad!BN16+Fahad!BN16+Asif!BN16+sumair!BN16</f>
        <v>0</v>
      </c>
      <c r="BN16" s="21">
        <f>Asghar!BR16+shahzad!BR16+Fahad!BR16+Asif!BR16+sumair!BR16</f>
        <v>0</v>
      </c>
      <c r="BO16" s="21">
        <f>Asghar!BV16+shahzad!BV16+Fahad!BV16+Asif!BV16+sumair!BV16</f>
        <v>0</v>
      </c>
      <c r="BP16" s="21">
        <f>Asghar!BZ16+shahzad!BZ16+Fahad!BZ16+Asif!BZ16+sumair!BZ16</f>
        <v>0</v>
      </c>
      <c r="BQ16" s="21">
        <f>Asghar!CD16+shahzad!CD16+Fahad!CD16+Asif!CD16+sumair!CD16</f>
        <v>0</v>
      </c>
      <c r="BR16" s="21">
        <f>Asghar!CH16+shahzad!CH16+Fahad!CH16+Asif!CH16+sumair!CH16</f>
        <v>0</v>
      </c>
      <c r="BS16" s="21">
        <f>Asghar!CL16+shahzad!CL16+Fahad!CL16+Asif!CL16+sumair!CL16</f>
        <v>0</v>
      </c>
      <c r="BT16" s="21">
        <f>Asghar!CP16+shahzad!CP16+Fahad!CP16+Asif!CP16+sumair!CP16</f>
        <v>0</v>
      </c>
      <c r="BU16" s="21">
        <f>Asghar!CT16+shahzad!CT16+Fahad!CT16+Asif!CT16+sumair!CT16</f>
        <v>0</v>
      </c>
      <c r="BV16" s="21">
        <f>Asghar!CX16+shahzad!CX16+Fahad!CX16+Asif!CX16+sumair!CX16</f>
        <v>0</v>
      </c>
      <c r="BW16" s="21">
        <f>Asghar!DB16+shahzad!DB16+Fahad!DB16+Asif!DB16+sumair!DB16</f>
        <v>0</v>
      </c>
      <c r="BX16" s="21">
        <f>Asghar!DF16+shahzad!DF16+Fahad!DF16+Asif!DF16+sumair!DF16</f>
        <v>0</v>
      </c>
      <c r="BY16" s="21">
        <f>Asghar!DJ16+shahzad!DJ16+Fahad!DJ16+Asif!DJ16+sumair!DJ16</f>
        <v>0</v>
      </c>
      <c r="BZ16" s="21">
        <f>Asghar!DN16+shahzad!DN16+Fahad!DN16+Asif!DN16+sumair!DN16</f>
        <v>0</v>
      </c>
      <c r="CA16" s="21">
        <f>Asghar!DR16+shahzad!DR16+Fahad!DR16+Asif!DR16+sumair!DR16</f>
        <v>0</v>
      </c>
      <c r="CB16" s="21">
        <f>Asghar!DV16+shahzad!DV16+Fahad!DV16+Asif!DV16+sumair!DV16</f>
        <v>0</v>
      </c>
      <c r="CC16" s="21">
        <f>Asghar!DZ16+shahzad!DZ16+Fahad!DZ16+Asif!DZ16+sumair!DZ16</f>
        <v>0</v>
      </c>
      <c r="CD16" s="54">
        <f t="shared" si="5"/>
        <v>0</v>
      </c>
      <c r="CF16" s="28">
        <f t="shared" si="6"/>
        <v>9.5</v>
      </c>
      <c r="CG16" s="30">
        <f t="shared" si="7"/>
        <v>0</v>
      </c>
      <c r="CH16" s="41">
        <f t="shared" si="8"/>
        <v>9.5</v>
      </c>
      <c r="CI16" s="53">
        <f t="shared" si="9"/>
        <v>0</v>
      </c>
      <c r="CJ16" s="42">
        <f t="shared" si="10"/>
        <v>9.5</v>
      </c>
    </row>
    <row r="17" spans="2:88" ht="12.5" customHeight="1" x14ac:dyDescent="0.35">
      <c r="B17" s="4">
        <v>101931</v>
      </c>
      <c r="C17" s="4" t="s">
        <v>23</v>
      </c>
      <c r="D17" s="4">
        <v>12</v>
      </c>
      <c r="E17" s="5">
        <v>8</v>
      </c>
      <c r="F17" s="6">
        <v>481.13467500000002</v>
      </c>
      <c r="G17" s="7"/>
      <c r="H17" s="8">
        <v>19</v>
      </c>
      <c r="I17" s="8">
        <v>5</v>
      </c>
      <c r="J17" s="13"/>
      <c r="K17" s="3"/>
      <c r="L17" s="9">
        <f t="shared" si="0"/>
        <v>0.625</v>
      </c>
      <c r="M17" s="10">
        <f t="shared" si="1"/>
        <v>0.625</v>
      </c>
      <c r="N17" s="11">
        <f t="shared" si="2"/>
        <v>19.625</v>
      </c>
      <c r="O17" s="3">
        <f t="shared" si="3"/>
        <v>157</v>
      </c>
      <c r="P17" s="12">
        <f t="shared" si="3"/>
        <v>75538.143974999999</v>
      </c>
      <c r="R17" s="21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24">
        <f t="shared" si="4"/>
        <v>0</v>
      </c>
      <c r="AY17" s="21">
        <f>Asghar!J17+shahzad!J17+Fahad!J17+Asif!J17+sumair!J17</f>
        <v>0</v>
      </c>
      <c r="AZ17" s="21">
        <f>Asghar!N17+shahzad!N17+Fahad!N17+Asif!N17+sumair!N17</f>
        <v>0</v>
      </c>
      <c r="BA17" s="21">
        <f>Asghar!R17+shahzad!R17+Fahad!R17+Asif!R17+sumair!R17</f>
        <v>0</v>
      </c>
      <c r="BB17" s="21">
        <f>Asghar!V17+shahzad!V17+Fahad!V17+Asif!V17+sumair!V17</f>
        <v>0</v>
      </c>
      <c r="BC17" s="21">
        <f>Asghar!Z17+shahzad!Z17+Fahad!Z17+Asif!Z17+sumair!Z17</f>
        <v>0</v>
      </c>
      <c r="BD17" s="21">
        <f>Asghar!AD17+shahzad!AD17+Fahad!AD17+Asif!AD17+sumair!AD17</f>
        <v>0</v>
      </c>
      <c r="BE17" s="21">
        <f>Asghar!AH17+shahzad!AH17+Fahad!AH17+Asif!AH17+sumair!AH17</f>
        <v>0</v>
      </c>
      <c r="BF17" s="21">
        <f>Asghar!AL17+shahzad!AL17+Fahad!AL17+Asif!AL17+sumair!AL17</f>
        <v>0</v>
      </c>
      <c r="BG17" s="21">
        <f>Asghar!AP17+shahzad!AP17+Fahad!AP17+Asif!AP17+sumair!AP17</f>
        <v>0</v>
      </c>
      <c r="BH17" s="21">
        <f>Asghar!AT17+shahzad!AT17+Fahad!AT17+Asif!AT17+sumair!AT17</f>
        <v>0</v>
      </c>
      <c r="BI17" s="21">
        <f>Asghar!AX17+shahzad!AX17+Fahad!AX17+Asif!AX17+sumair!AX17</f>
        <v>0</v>
      </c>
      <c r="BJ17" s="21">
        <f>Asghar!BB17+shahzad!BB17+Fahad!BB17+Asif!BB17+sumair!BB17</f>
        <v>0</v>
      </c>
      <c r="BK17" s="21">
        <f>Asghar!BF17+shahzad!BF17+Fahad!BF17+Asif!BF17+sumair!BF17</f>
        <v>0</v>
      </c>
      <c r="BL17" s="21">
        <f>Asghar!BJ17+shahzad!BJ17+Fahad!BJ17+Asif!BJ17+sumair!BJ17</f>
        <v>0</v>
      </c>
      <c r="BM17" s="21">
        <f>Asghar!BN17+shahzad!BN17+Fahad!BN17+Asif!BN17+sumair!BN17</f>
        <v>0</v>
      </c>
      <c r="BN17" s="21">
        <f>Asghar!BR17+shahzad!BR17+Fahad!BR17+Asif!BR17+sumair!BR17</f>
        <v>0</v>
      </c>
      <c r="BO17" s="21">
        <f>Asghar!BV17+shahzad!BV17+Fahad!BV17+Asif!BV17+sumair!BV17</f>
        <v>0</v>
      </c>
      <c r="BP17" s="21">
        <f>Asghar!BZ17+shahzad!BZ17+Fahad!BZ17+Asif!BZ17+sumair!BZ17</f>
        <v>0</v>
      </c>
      <c r="BQ17" s="21">
        <f>Asghar!CD17+shahzad!CD17+Fahad!CD17+Asif!CD17+sumair!CD17</f>
        <v>0</v>
      </c>
      <c r="BR17" s="21">
        <f>Asghar!CH17+shahzad!CH17+Fahad!CH17+Asif!CH17+sumair!CH17</f>
        <v>0</v>
      </c>
      <c r="BS17" s="21">
        <f>Asghar!CL17+shahzad!CL17+Fahad!CL17+Asif!CL17+sumair!CL17</f>
        <v>0</v>
      </c>
      <c r="BT17" s="21">
        <f>Asghar!CP17+shahzad!CP17+Fahad!CP17+Asif!CP17+sumair!CP17</f>
        <v>0</v>
      </c>
      <c r="BU17" s="21">
        <f>Asghar!CT17+shahzad!CT17+Fahad!CT17+Asif!CT17+sumair!CT17</f>
        <v>0</v>
      </c>
      <c r="BV17" s="21">
        <f>Asghar!CX17+shahzad!CX17+Fahad!CX17+Asif!CX17+sumair!CX17</f>
        <v>0</v>
      </c>
      <c r="BW17" s="21">
        <f>Asghar!DB17+shahzad!DB17+Fahad!DB17+Asif!DB17+sumair!DB17</f>
        <v>0</v>
      </c>
      <c r="BX17" s="21">
        <f>Asghar!DF17+shahzad!DF17+Fahad!DF17+Asif!DF17+sumair!DF17</f>
        <v>0</v>
      </c>
      <c r="BY17" s="21">
        <f>Asghar!DJ17+shahzad!DJ17+Fahad!DJ17+Asif!DJ17+sumair!DJ17</f>
        <v>0</v>
      </c>
      <c r="BZ17" s="21">
        <f>Asghar!DN17+shahzad!DN17+Fahad!DN17+Asif!DN17+sumair!DN17</f>
        <v>0</v>
      </c>
      <c r="CA17" s="21">
        <f>Asghar!DR17+shahzad!DR17+Fahad!DR17+Asif!DR17+sumair!DR17</f>
        <v>0</v>
      </c>
      <c r="CB17" s="21">
        <f>Asghar!DV17+shahzad!DV17+Fahad!DV17+Asif!DV17+sumair!DV17</f>
        <v>0</v>
      </c>
      <c r="CC17" s="21">
        <f>Asghar!DZ17+shahzad!DZ17+Fahad!DZ17+Asif!DZ17+sumair!DZ17</f>
        <v>0</v>
      </c>
      <c r="CD17" s="54">
        <f t="shared" si="5"/>
        <v>0</v>
      </c>
      <c r="CF17" s="28">
        <f t="shared" si="6"/>
        <v>19.625</v>
      </c>
      <c r="CG17" s="30">
        <f t="shared" si="7"/>
        <v>0</v>
      </c>
      <c r="CH17" s="41">
        <f t="shared" si="8"/>
        <v>19.625</v>
      </c>
      <c r="CI17" s="53">
        <f t="shared" si="9"/>
        <v>0</v>
      </c>
      <c r="CJ17" s="42">
        <f t="shared" si="10"/>
        <v>19.625</v>
      </c>
    </row>
    <row r="18" spans="2:88" ht="12.5" customHeight="1" x14ac:dyDescent="0.35">
      <c r="B18" s="4">
        <v>101932</v>
      </c>
      <c r="C18" s="4" t="s">
        <v>24</v>
      </c>
      <c r="D18" s="4">
        <v>12</v>
      </c>
      <c r="E18" s="5">
        <v>8</v>
      </c>
      <c r="F18" s="6">
        <v>481.13467500000002</v>
      </c>
      <c r="G18" s="7"/>
      <c r="H18" s="13"/>
      <c r="I18" s="8">
        <v>7</v>
      </c>
      <c r="J18" s="13"/>
      <c r="K18" s="3"/>
      <c r="L18" s="9">
        <f t="shared" si="0"/>
        <v>0.875</v>
      </c>
      <c r="M18" s="10">
        <f t="shared" si="1"/>
        <v>0.875</v>
      </c>
      <c r="N18" s="11">
        <f t="shared" si="2"/>
        <v>0.875</v>
      </c>
      <c r="O18" s="3">
        <f t="shared" si="3"/>
        <v>7</v>
      </c>
      <c r="P18" s="12">
        <f t="shared" si="3"/>
        <v>3367.9427249999999</v>
      </c>
      <c r="R18" s="21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24">
        <f t="shared" si="4"/>
        <v>0</v>
      </c>
      <c r="AY18" s="21">
        <f>Asghar!J18+shahzad!J18+Fahad!J18+Asif!J18+sumair!J18</f>
        <v>0</v>
      </c>
      <c r="AZ18" s="21">
        <f>Asghar!N18+shahzad!N18+Fahad!N18+Asif!N18+sumair!N18</f>
        <v>0</v>
      </c>
      <c r="BA18" s="21">
        <f>Asghar!R18+shahzad!R18+Fahad!R18+Asif!R18+sumair!R18</f>
        <v>0</v>
      </c>
      <c r="BB18" s="21">
        <f>Asghar!V18+shahzad!V18+Fahad!V18+Asif!V18+sumair!V18</f>
        <v>0</v>
      </c>
      <c r="BC18" s="21">
        <f>Asghar!Z18+shahzad!Z18+Fahad!Z18+Asif!Z18+sumair!Z18</f>
        <v>0</v>
      </c>
      <c r="BD18" s="21">
        <f>Asghar!AD18+shahzad!AD18+Fahad!AD18+Asif!AD18+sumair!AD18</f>
        <v>0</v>
      </c>
      <c r="BE18" s="21">
        <f>Asghar!AH18+shahzad!AH18+Fahad!AH18+Asif!AH18+sumair!AH18</f>
        <v>0</v>
      </c>
      <c r="BF18" s="21">
        <f>Asghar!AL18+shahzad!AL18+Fahad!AL18+Asif!AL18+sumair!AL18</f>
        <v>0</v>
      </c>
      <c r="BG18" s="21">
        <f>Asghar!AP18+shahzad!AP18+Fahad!AP18+Asif!AP18+sumair!AP18</f>
        <v>0</v>
      </c>
      <c r="BH18" s="21">
        <f>Asghar!AT18+shahzad!AT18+Fahad!AT18+Asif!AT18+sumair!AT18</f>
        <v>0</v>
      </c>
      <c r="BI18" s="21">
        <f>Asghar!AX18+shahzad!AX18+Fahad!AX18+Asif!AX18+sumair!AX18</f>
        <v>0</v>
      </c>
      <c r="BJ18" s="21">
        <f>Asghar!BB18+shahzad!BB18+Fahad!BB18+Asif!BB18+sumair!BB18</f>
        <v>0</v>
      </c>
      <c r="BK18" s="21">
        <f>Asghar!BF18+shahzad!BF18+Fahad!BF18+Asif!BF18+sumair!BF18</f>
        <v>0</v>
      </c>
      <c r="BL18" s="21">
        <f>Asghar!BJ18+shahzad!BJ18+Fahad!BJ18+Asif!BJ18+sumair!BJ18</f>
        <v>0</v>
      </c>
      <c r="BM18" s="21">
        <f>Asghar!BN18+shahzad!BN18+Fahad!BN18+Asif!BN18+sumair!BN18</f>
        <v>0</v>
      </c>
      <c r="BN18" s="21">
        <f>Asghar!BR18+shahzad!BR18+Fahad!BR18+Asif!BR18+sumair!BR18</f>
        <v>0</v>
      </c>
      <c r="BO18" s="21">
        <f>Asghar!BV18+shahzad!BV18+Fahad!BV18+Asif!BV18+sumair!BV18</f>
        <v>0</v>
      </c>
      <c r="BP18" s="21">
        <f>Asghar!BZ18+shahzad!BZ18+Fahad!BZ18+Asif!BZ18+sumair!BZ18</f>
        <v>0</v>
      </c>
      <c r="BQ18" s="21">
        <f>Asghar!CD18+shahzad!CD18+Fahad!CD18+Asif!CD18+sumair!CD18</f>
        <v>0</v>
      </c>
      <c r="BR18" s="21">
        <f>Asghar!CH18+shahzad!CH18+Fahad!CH18+Asif!CH18+sumair!CH18</f>
        <v>0</v>
      </c>
      <c r="BS18" s="21">
        <f>Asghar!CL18+shahzad!CL18+Fahad!CL18+Asif!CL18+sumair!CL18</f>
        <v>0</v>
      </c>
      <c r="BT18" s="21">
        <f>Asghar!CP18+shahzad!CP18+Fahad!CP18+Asif!CP18+sumair!CP18</f>
        <v>0</v>
      </c>
      <c r="BU18" s="21">
        <f>Asghar!CT18+shahzad!CT18+Fahad!CT18+Asif!CT18+sumair!CT18</f>
        <v>0</v>
      </c>
      <c r="BV18" s="21">
        <f>Asghar!CX18+shahzad!CX18+Fahad!CX18+Asif!CX18+sumair!CX18</f>
        <v>0</v>
      </c>
      <c r="BW18" s="21">
        <f>Asghar!DB18+shahzad!DB18+Fahad!DB18+Asif!DB18+sumair!DB18</f>
        <v>0</v>
      </c>
      <c r="BX18" s="21">
        <f>Asghar!DF18+shahzad!DF18+Fahad!DF18+Asif!DF18+sumair!DF18</f>
        <v>0</v>
      </c>
      <c r="BY18" s="21">
        <f>Asghar!DJ18+shahzad!DJ18+Fahad!DJ18+Asif!DJ18+sumair!DJ18</f>
        <v>0</v>
      </c>
      <c r="BZ18" s="21">
        <f>Asghar!DN18+shahzad!DN18+Fahad!DN18+Asif!DN18+sumair!DN18</f>
        <v>0</v>
      </c>
      <c r="CA18" s="21">
        <f>Asghar!DR18+shahzad!DR18+Fahad!DR18+Asif!DR18+sumair!DR18</f>
        <v>0</v>
      </c>
      <c r="CB18" s="21">
        <f>Asghar!DV18+shahzad!DV18+Fahad!DV18+Asif!DV18+sumair!DV18</f>
        <v>0</v>
      </c>
      <c r="CC18" s="21">
        <f>Asghar!DZ18+shahzad!DZ18+Fahad!DZ18+Asif!DZ18+sumair!DZ18</f>
        <v>0</v>
      </c>
      <c r="CD18" s="54">
        <f t="shared" si="5"/>
        <v>0</v>
      </c>
      <c r="CF18" s="28">
        <f t="shared" si="6"/>
        <v>0.875</v>
      </c>
      <c r="CG18" s="30">
        <f t="shared" si="7"/>
        <v>0</v>
      </c>
      <c r="CH18" s="41">
        <f t="shared" si="8"/>
        <v>0.875</v>
      </c>
      <c r="CI18" s="53">
        <f t="shared" si="9"/>
        <v>0</v>
      </c>
      <c r="CJ18" s="42">
        <f t="shared" si="10"/>
        <v>0.875</v>
      </c>
    </row>
    <row r="19" spans="2:88" ht="12.5" customHeight="1" x14ac:dyDescent="0.35">
      <c r="B19" s="4">
        <v>101933</v>
      </c>
      <c r="C19" s="4" t="s">
        <v>25</v>
      </c>
      <c r="D19" s="4">
        <v>12</v>
      </c>
      <c r="E19" s="5">
        <v>8</v>
      </c>
      <c r="F19" s="6">
        <v>481.13467500000002</v>
      </c>
      <c r="G19" s="7"/>
      <c r="H19" s="8">
        <v>18</v>
      </c>
      <c r="I19" s="8">
        <v>2</v>
      </c>
      <c r="J19" s="13"/>
      <c r="K19" s="3"/>
      <c r="L19" s="9">
        <f t="shared" si="0"/>
        <v>0.25</v>
      </c>
      <c r="M19" s="10">
        <f t="shared" si="1"/>
        <v>0.25</v>
      </c>
      <c r="N19" s="11">
        <f t="shared" si="2"/>
        <v>18.25</v>
      </c>
      <c r="O19" s="3">
        <f t="shared" si="3"/>
        <v>146</v>
      </c>
      <c r="P19" s="12">
        <f t="shared" si="3"/>
        <v>70245.662550000008</v>
      </c>
      <c r="R19" s="21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24">
        <f t="shared" si="4"/>
        <v>0</v>
      </c>
      <c r="AY19" s="21">
        <f>Asghar!J19+shahzad!J19+Fahad!J19+Asif!J19+sumair!J19</f>
        <v>0</v>
      </c>
      <c r="AZ19" s="21">
        <f>Asghar!N19+shahzad!N19+Fahad!N19+Asif!N19+sumair!N19</f>
        <v>0</v>
      </c>
      <c r="BA19" s="21">
        <f>Asghar!R19+shahzad!R19+Fahad!R19+Asif!R19+sumair!R19</f>
        <v>0</v>
      </c>
      <c r="BB19" s="21">
        <f>Asghar!V19+shahzad!V19+Fahad!V19+Asif!V19+sumair!V19</f>
        <v>0</v>
      </c>
      <c r="BC19" s="21">
        <f>Asghar!Z19+shahzad!Z19+Fahad!Z19+Asif!Z19+sumair!Z19</f>
        <v>0</v>
      </c>
      <c r="BD19" s="21">
        <f>Asghar!AD19+shahzad!AD19+Fahad!AD19+Asif!AD19+sumair!AD19</f>
        <v>0</v>
      </c>
      <c r="BE19" s="21">
        <f>Asghar!AH19+shahzad!AH19+Fahad!AH19+Asif!AH19+sumair!AH19</f>
        <v>0</v>
      </c>
      <c r="BF19" s="21">
        <f>Asghar!AL19+shahzad!AL19+Fahad!AL19+Asif!AL19+sumair!AL19</f>
        <v>0</v>
      </c>
      <c r="BG19" s="21">
        <f>Asghar!AP19+shahzad!AP19+Fahad!AP19+Asif!AP19+sumair!AP19</f>
        <v>0</v>
      </c>
      <c r="BH19" s="21">
        <f>Asghar!AT19+shahzad!AT19+Fahad!AT19+Asif!AT19+sumair!AT19</f>
        <v>0</v>
      </c>
      <c r="BI19" s="21">
        <f>Asghar!AX19+shahzad!AX19+Fahad!AX19+Asif!AX19+sumair!AX19</f>
        <v>0</v>
      </c>
      <c r="BJ19" s="21">
        <f>Asghar!BB19+shahzad!BB19+Fahad!BB19+Asif!BB19+sumair!BB19</f>
        <v>0</v>
      </c>
      <c r="BK19" s="21">
        <f>Asghar!BF19+shahzad!BF19+Fahad!BF19+Asif!BF19+sumair!BF19</f>
        <v>0</v>
      </c>
      <c r="BL19" s="21">
        <f>Asghar!BJ19+shahzad!BJ19+Fahad!BJ19+Asif!BJ19+sumair!BJ19</f>
        <v>0</v>
      </c>
      <c r="BM19" s="21">
        <f>Asghar!BN19+shahzad!BN19+Fahad!BN19+Asif!BN19+sumair!BN19</f>
        <v>0</v>
      </c>
      <c r="BN19" s="21">
        <f>Asghar!BR19+shahzad!BR19+Fahad!BR19+Asif!BR19+sumair!BR19</f>
        <v>0</v>
      </c>
      <c r="BO19" s="21">
        <f>Asghar!BV19+shahzad!BV19+Fahad!BV19+Asif!BV19+sumair!BV19</f>
        <v>0</v>
      </c>
      <c r="BP19" s="21">
        <f>Asghar!BZ19+shahzad!BZ19+Fahad!BZ19+Asif!BZ19+sumair!BZ19</f>
        <v>0</v>
      </c>
      <c r="BQ19" s="21">
        <f>Asghar!CD19+shahzad!CD19+Fahad!CD19+Asif!CD19+sumair!CD19</f>
        <v>0</v>
      </c>
      <c r="BR19" s="21">
        <f>Asghar!CH19+shahzad!CH19+Fahad!CH19+Asif!CH19+sumair!CH19</f>
        <v>0</v>
      </c>
      <c r="BS19" s="21">
        <f>Asghar!CL19+shahzad!CL19+Fahad!CL19+Asif!CL19+sumair!CL19</f>
        <v>0</v>
      </c>
      <c r="BT19" s="21">
        <f>Asghar!CP19+shahzad!CP19+Fahad!CP19+Asif!CP19+sumair!CP19</f>
        <v>0</v>
      </c>
      <c r="BU19" s="21">
        <f>Asghar!CT19+shahzad!CT19+Fahad!CT19+Asif!CT19+sumair!CT19</f>
        <v>0</v>
      </c>
      <c r="BV19" s="21">
        <f>Asghar!CX19+shahzad!CX19+Fahad!CX19+Asif!CX19+sumair!CX19</f>
        <v>0</v>
      </c>
      <c r="BW19" s="21">
        <f>Asghar!DB19+shahzad!DB19+Fahad!DB19+Asif!DB19+sumair!DB19</f>
        <v>0</v>
      </c>
      <c r="BX19" s="21">
        <f>Asghar!DF19+shahzad!DF19+Fahad!DF19+Asif!DF19+sumair!DF19</f>
        <v>0</v>
      </c>
      <c r="BY19" s="21">
        <f>Asghar!DJ19+shahzad!DJ19+Fahad!DJ19+Asif!DJ19+sumair!DJ19</f>
        <v>0</v>
      </c>
      <c r="BZ19" s="21">
        <f>Asghar!DN19+shahzad!DN19+Fahad!DN19+Asif!DN19+sumair!DN19</f>
        <v>0</v>
      </c>
      <c r="CA19" s="21">
        <f>Asghar!DR19+shahzad!DR19+Fahad!DR19+Asif!DR19+sumair!DR19</f>
        <v>0</v>
      </c>
      <c r="CB19" s="21">
        <f>Asghar!DV19+shahzad!DV19+Fahad!DV19+Asif!DV19+sumair!DV19</f>
        <v>0</v>
      </c>
      <c r="CC19" s="21">
        <f>Asghar!DZ19+shahzad!DZ19+Fahad!DZ19+Asif!DZ19+sumair!DZ19</f>
        <v>0</v>
      </c>
      <c r="CD19" s="54">
        <f t="shared" si="5"/>
        <v>0</v>
      </c>
      <c r="CF19" s="28">
        <f t="shared" si="6"/>
        <v>18.25</v>
      </c>
      <c r="CG19" s="30">
        <f t="shared" si="7"/>
        <v>0</v>
      </c>
      <c r="CH19" s="41">
        <f t="shared" si="8"/>
        <v>18.25</v>
      </c>
      <c r="CI19" s="53">
        <f t="shared" si="9"/>
        <v>0</v>
      </c>
      <c r="CJ19" s="42">
        <f t="shared" si="10"/>
        <v>18.25</v>
      </c>
    </row>
    <row r="20" spans="2:88" ht="12.5" customHeight="1" x14ac:dyDescent="0.35">
      <c r="B20" s="4">
        <v>101934</v>
      </c>
      <c r="C20" s="4" t="s">
        <v>26</v>
      </c>
      <c r="D20" s="4">
        <v>12</v>
      </c>
      <c r="E20" s="5">
        <v>8</v>
      </c>
      <c r="F20" s="6">
        <v>481.13467500000002</v>
      </c>
      <c r="G20" s="7"/>
      <c r="H20" s="13"/>
      <c r="I20" s="13"/>
      <c r="J20" s="13"/>
      <c r="K20" s="3"/>
      <c r="L20" s="9">
        <f t="shared" si="0"/>
        <v>0</v>
      </c>
      <c r="M20" s="10">
        <f t="shared" si="1"/>
        <v>0</v>
      </c>
      <c r="N20" s="11">
        <f t="shared" si="2"/>
        <v>0</v>
      </c>
      <c r="O20" s="3">
        <f t="shared" si="3"/>
        <v>0</v>
      </c>
      <c r="P20" s="12">
        <f t="shared" si="3"/>
        <v>0</v>
      </c>
      <c r="R20" s="21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24">
        <f t="shared" si="4"/>
        <v>0</v>
      </c>
      <c r="AY20" s="21">
        <f>Asghar!J20+shahzad!J20+Fahad!J20+Asif!J20+sumair!J20</f>
        <v>0</v>
      </c>
      <c r="AZ20" s="21">
        <f>Asghar!N20+shahzad!N20+Fahad!N20+Asif!N20+sumair!N20</f>
        <v>0</v>
      </c>
      <c r="BA20" s="21">
        <f>Asghar!R20+shahzad!R20+Fahad!R20+Asif!R20+sumair!R20</f>
        <v>0</v>
      </c>
      <c r="BB20" s="21">
        <f>Asghar!V20+shahzad!V20+Fahad!V20+Asif!V20+sumair!V20</f>
        <v>0</v>
      </c>
      <c r="BC20" s="21">
        <f>Asghar!Z20+shahzad!Z20+Fahad!Z20+Asif!Z20+sumair!Z20</f>
        <v>0</v>
      </c>
      <c r="BD20" s="21">
        <f>Asghar!AD20+shahzad!AD20+Fahad!AD20+Asif!AD20+sumair!AD20</f>
        <v>0</v>
      </c>
      <c r="BE20" s="21">
        <f>Asghar!AH20+shahzad!AH20+Fahad!AH20+Asif!AH20+sumair!AH20</f>
        <v>0</v>
      </c>
      <c r="BF20" s="21">
        <f>Asghar!AL20+shahzad!AL20+Fahad!AL20+Asif!AL20+sumair!AL20</f>
        <v>0</v>
      </c>
      <c r="BG20" s="21">
        <f>Asghar!AP20+shahzad!AP20+Fahad!AP20+Asif!AP20+sumair!AP20</f>
        <v>0</v>
      </c>
      <c r="BH20" s="21">
        <f>Asghar!AT20+shahzad!AT20+Fahad!AT20+Asif!AT20+sumair!AT20</f>
        <v>0</v>
      </c>
      <c r="BI20" s="21">
        <f>Asghar!AX20+shahzad!AX20+Fahad!AX20+Asif!AX20+sumair!AX20</f>
        <v>0</v>
      </c>
      <c r="BJ20" s="21">
        <f>Asghar!BB20+shahzad!BB20+Fahad!BB20+Asif!BB20+sumair!BB20</f>
        <v>0</v>
      </c>
      <c r="BK20" s="21">
        <f>Asghar!BF20+shahzad!BF20+Fahad!BF20+Asif!BF20+sumair!BF20</f>
        <v>0</v>
      </c>
      <c r="BL20" s="21">
        <f>Asghar!BJ20+shahzad!BJ20+Fahad!BJ20+Asif!BJ20+sumair!BJ20</f>
        <v>0</v>
      </c>
      <c r="BM20" s="21">
        <f>Asghar!BN20+shahzad!BN20+Fahad!BN20+Asif!BN20+sumair!BN20</f>
        <v>0</v>
      </c>
      <c r="BN20" s="21">
        <f>Asghar!BR20+shahzad!BR20+Fahad!BR20+Asif!BR20+sumair!BR20</f>
        <v>0</v>
      </c>
      <c r="BO20" s="21">
        <f>Asghar!BV20+shahzad!BV20+Fahad!BV20+Asif!BV20+sumair!BV20</f>
        <v>0</v>
      </c>
      <c r="BP20" s="21">
        <f>Asghar!BZ20+shahzad!BZ20+Fahad!BZ20+Asif!BZ20+sumair!BZ20</f>
        <v>0</v>
      </c>
      <c r="BQ20" s="21">
        <f>Asghar!CD20+shahzad!CD20+Fahad!CD20+Asif!CD20+sumair!CD20</f>
        <v>0</v>
      </c>
      <c r="BR20" s="21">
        <f>Asghar!CH20+shahzad!CH20+Fahad!CH20+Asif!CH20+sumair!CH20</f>
        <v>0</v>
      </c>
      <c r="BS20" s="21">
        <f>Asghar!CL20+shahzad!CL20+Fahad!CL20+Asif!CL20+sumair!CL20</f>
        <v>0</v>
      </c>
      <c r="BT20" s="21">
        <f>Asghar!CP20+shahzad!CP20+Fahad!CP20+Asif!CP20+sumair!CP20</f>
        <v>0</v>
      </c>
      <c r="BU20" s="21">
        <f>Asghar!CT20+shahzad!CT20+Fahad!CT20+Asif!CT20+sumair!CT20</f>
        <v>0</v>
      </c>
      <c r="BV20" s="21">
        <f>Asghar!CX20+shahzad!CX20+Fahad!CX20+Asif!CX20+sumair!CX20</f>
        <v>0</v>
      </c>
      <c r="BW20" s="21">
        <f>Asghar!DB20+shahzad!DB20+Fahad!DB20+Asif!DB20+sumair!DB20</f>
        <v>0</v>
      </c>
      <c r="BX20" s="21">
        <f>Asghar!DF20+shahzad!DF20+Fahad!DF20+Asif!DF20+sumair!DF20</f>
        <v>0</v>
      </c>
      <c r="BY20" s="21">
        <f>Asghar!DJ20+shahzad!DJ20+Fahad!DJ20+Asif!DJ20+sumair!DJ20</f>
        <v>0</v>
      </c>
      <c r="BZ20" s="21">
        <f>Asghar!DN20+shahzad!DN20+Fahad!DN20+Asif!DN20+sumair!DN20</f>
        <v>0</v>
      </c>
      <c r="CA20" s="21">
        <f>Asghar!DR20+shahzad!DR20+Fahad!DR20+Asif!DR20+sumair!DR20</f>
        <v>0</v>
      </c>
      <c r="CB20" s="21">
        <f>Asghar!DV20+shahzad!DV20+Fahad!DV20+Asif!DV20+sumair!DV20</f>
        <v>0</v>
      </c>
      <c r="CC20" s="21">
        <f>Asghar!DZ20+shahzad!DZ20+Fahad!DZ20+Asif!DZ20+sumair!DZ20</f>
        <v>0</v>
      </c>
      <c r="CD20" s="54">
        <f t="shared" si="5"/>
        <v>0</v>
      </c>
      <c r="CF20" s="28">
        <f t="shared" si="6"/>
        <v>0</v>
      </c>
      <c r="CG20" s="30">
        <f t="shared" si="7"/>
        <v>0</v>
      </c>
      <c r="CH20" s="41">
        <f t="shared" si="8"/>
        <v>0</v>
      </c>
      <c r="CI20" s="53">
        <f t="shared" si="9"/>
        <v>0</v>
      </c>
      <c r="CJ20" s="42">
        <f t="shared" si="10"/>
        <v>0</v>
      </c>
    </row>
    <row r="21" spans="2:88" ht="12.5" customHeight="1" x14ac:dyDescent="0.35">
      <c r="B21" s="4">
        <v>102155</v>
      </c>
      <c r="C21" s="4" t="s">
        <v>27</v>
      </c>
      <c r="D21" s="4">
        <v>1</v>
      </c>
      <c r="E21" s="5">
        <v>12</v>
      </c>
      <c r="F21" s="6">
        <v>394.37248129599999</v>
      </c>
      <c r="G21" s="7"/>
      <c r="H21" s="8">
        <v>5</v>
      </c>
      <c r="I21" s="8">
        <v>10</v>
      </c>
      <c r="J21" s="13"/>
      <c r="K21" s="3"/>
      <c r="L21" s="9">
        <f t="shared" si="0"/>
        <v>0.83333333333333337</v>
      </c>
      <c r="M21" s="10">
        <f t="shared" si="1"/>
        <v>0.83333333333333337</v>
      </c>
      <c r="N21" s="11">
        <f t="shared" si="2"/>
        <v>5.833333333333333</v>
      </c>
      <c r="O21" s="3">
        <f t="shared" si="3"/>
        <v>70</v>
      </c>
      <c r="P21" s="12">
        <f t="shared" si="3"/>
        <v>27606.073690720001</v>
      </c>
      <c r="R21" s="21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24">
        <f t="shared" si="4"/>
        <v>0</v>
      </c>
      <c r="AY21" s="21">
        <f>Asghar!J21+shahzad!J21+Fahad!J21+Asif!J21+sumair!J21</f>
        <v>0</v>
      </c>
      <c r="AZ21" s="21">
        <f>Asghar!N21+shahzad!N21+Fahad!N21+Asif!N21+sumair!N21</f>
        <v>0</v>
      </c>
      <c r="BA21" s="21">
        <f>Asghar!R21+shahzad!R21+Fahad!R21+Asif!R21+sumair!R21</f>
        <v>0</v>
      </c>
      <c r="BB21" s="21">
        <f>Asghar!V21+shahzad!V21+Fahad!V21+Asif!V21+sumair!V21</f>
        <v>0</v>
      </c>
      <c r="BC21" s="21">
        <f>Asghar!Z21+shahzad!Z21+Fahad!Z21+Asif!Z21+sumair!Z21</f>
        <v>0</v>
      </c>
      <c r="BD21" s="21">
        <f>Asghar!AD21+shahzad!AD21+Fahad!AD21+Asif!AD21+sumair!AD21</f>
        <v>0</v>
      </c>
      <c r="BE21" s="21">
        <f>Asghar!AH21+shahzad!AH21+Fahad!AH21+Asif!AH21+sumair!AH21</f>
        <v>0</v>
      </c>
      <c r="BF21" s="21">
        <f>Asghar!AL21+shahzad!AL21+Fahad!AL21+Asif!AL21+sumair!AL21</f>
        <v>0</v>
      </c>
      <c r="BG21" s="21">
        <f>Asghar!AP21+shahzad!AP21+Fahad!AP21+Asif!AP21+sumair!AP21</f>
        <v>0</v>
      </c>
      <c r="BH21" s="21">
        <f>Asghar!AT21+shahzad!AT21+Fahad!AT21+Asif!AT21+sumair!AT21</f>
        <v>0</v>
      </c>
      <c r="BI21" s="21">
        <f>Asghar!AX21+shahzad!AX21+Fahad!AX21+Asif!AX21+sumair!AX21</f>
        <v>0</v>
      </c>
      <c r="BJ21" s="21">
        <f>Asghar!BB21+shahzad!BB21+Fahad!BB21+Asif!BB21+sumair!BB21</f>
        <v>0</v>
      </c>
      <c r="BK21" s="21">
        <f>Asghar!BF21+shahzad!BF21+Fahad!BF21+Asif!BF21+sumair!BF21</f>
        <v>0</v>
      </c>
      <c r="BL21" s="21">
        <f>Asghar!BJ21+shahzad!BJ21+Fahad!BJ21+Asif!BJ21+sumair!BJ21</f>
        <v>0</v>
      </c>
      <c r="BM21" s="21">
        <f>Asghar!BN21+shahzad!BN21+Fahad!BN21+Asif!BN21+sumair!BN21</f>
        <v>0</v>
      </c>
      <c r="BN21" s="21">
        <f>Asghar!BR21+shahzad!BR21+Fahad!BR21+Asif!BR21+sumair!BR21</f>
        <v>0</v>
      </c>
      <c r="BO21" s="21">
        <f>Asghar!BV21+shahzad!BV21+Fahad!BV21+Asif!BV21+sumair!BV21</f>
        <v>0</v>
      </c>
      <c r="BP21" s="21">
        <f>Asghar!BZ21+shahzad!BZ21+Fahad!BZ21+Asif!BZ21+sumair!BZ21</f>
        <v>0</v>
      </c>
      <c r="BQ21" s="21">
        <f>Asghar!CD21+shahzad!CD21+Fahad!CD21+Asif!CD21+sumair!CD21</f>
        <v>0</v>
      </c>
      <c r="BR21" s="21">
        <f>Asghar!CH21+shahzad!CH21+Fahad!CH21+Asif!CH21+sumair!CH21</f>
        <v>0</v>
      </c>
      <c r="BS21" s="21">
        <f>Asghar!CL21+shahzad!CL21+Fahad!CL21+Asif!CL21+sumair!CL21</f>
        <v>0</v>
      </c>
      <c r="BT21" s="21">
        <f>Asghar!CP21+shahzad!CP21+Fahad!CP21+Asif!CP21+sumair!CP21</f>
        <v>0</v>
      </c>
      <c r="BU21" s="21">
        <f>Asghar!CT21+shahzad!CT21+Fahad!CT21+Asif!CT21+sumair!CT21</f>
        <v>0</v>
      </c>
      <c r="BV21" s="21">
        <f>Asghar!CX21+shahzad!CX21+Fahad!CX21+Asif!CX21+sumair!CX21</f>
        <v>0</v>
      </c>
      <c r="BW21" s="21">
        <f>Asghar!DB21+shahzad!DB21+Fahad!DB21+Asif!DB21+sumair!DB21</f>
        <v>0</v>
      </c>
      <c r="BX21" s="21">
        <f>Asghar!DF21+shahzad!DF21+Fahad!DF21+Asif!DF21+sumair!DF21</f>
        <v>0</v>
      </c>
      <c r="BY21" s="21">
        <f>Asghar!DJ21+shahzad!DJ21+Fahad!DJ21+Asif!DJ21+sumair!DJ21</f>
        <v>0</v>
      </c>
      <c r="BZ21" s="21">
        <f>Asghar!DN21+shahzad!DN21+Fahad!DN21+Asif!DN21+sumair!DN21</f>
        <v>0</v>
      </c>
      <c r="CA21" s="21">
        <f>Asghar!DR21+shahzad!DR21+Fahad!DR21+Asif!DR21+sumair!DR21</f>
        <v>0</v>
      </c>
      <c r="CB21" s="21">
        <f>Asghar!DV21+shahzad!DV21+Fahad!DV21+Asif!DV21+sumair!DV21</f>
        <v>0</v>
      </c>
      <c r="CC21" s="21">
        <f>Asghar!DZ21+shahzad!DZ21+Fahad!DZ21+Asif!DZ21+sumair!DZ21</f>
        <v>0</v>
      </c>
      <c r="CD21" s="54">
        <f t="shared" si="5"/>
        <v>0</v>
      </c>
      <c r="CF21" s="28">
        <f t="shared" si="6"/>
        <v>5.833333333333333</v>
      </c>
      <c r="CG21" s="30">
        <f t="shared" si="7"/>
        <v>0</v>
      </c>
      <c r="CH21" s="41">
        <f t="shared" si="8"/>
        <v>5.833333333333333</v>
      </c>
      <c r="CI21" s="53">
        <f t="shared" si="9"/>
        <v>0</v>
      </c>
      <c r="CJ21" s="42">
        <f t="shared" si="10"/>
        <v>5.833333333333333</v>
      </c>
    </row>
    <row r="22" spans="2:88" ht="12.5" customHeight="1" x14ac:dyDescent="0.35">
      <c r="B22" s="4">
        <v>102157</v>
      </c>
      <c r="C22" s="4" t="s">
        <v>28</v>
      </c>
      <c r="D22" s="4">
        <v>50</v>
      </c>
      <c r="E22" s="5">
        <v>18</v>
      </c>
      <c r="F22" s="6">
        <v>200.47282196</v>
      </c>
      <c r="G22" s="7"/>
      <c r="H22" s="13">
        <v>4</v>
      </c>
      <c r="I22" s="8">
        <v>9</v>
      </c>
      <c r="J22" s="13"/>
      <c r="K22" s="3"/>
      <c r="L22" s="9">
        <f t="shared" si="0"/>
        <v>0.5</v>
      </c>
      <c r="M22" s="10">
        <f t="shared" si="1"/>
        <v>0.5</v>
      </c>
      <c r="N22" s="11">
        <f t="shared" si="2"/>
        <v>4.5</v>
      </c>
      <c r="O22" s="3">
        <f t="shared" si="3"/>
        <v>81</v>
      </c>
      <c r="P22" s="12">
        <f t="shared" si="3"/>
        <v>16238.298578760001</v>
      </c>
      <c r="R22" s="21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24">
        <f t="shared" si="4"/>
        <v>0</v>
      </c>
      <c r="AY22" s="21">
        <f>Asghar!J22+shahzad!J22+Fahad!J22+Asif!J22+sumair!J22</f>
        <v>0</v>
      </c>
      <c r="AZ22" s="21">
        <f>Asghar!N22+shahzad!N22+Fahad!N22+Asif!N22+sumair!N22</f>
        <v>0</v>
      </c>
      <c r="BA22" s="21">
        <f>Asghar!R22+shahzad!R22+Fahad!R22+Asif!R22+sumair!R22</f>
        <v>0</v>
      </c>
      <c r="BB22" s="21">
        <f>Asghar!V22+shahzad!V22+Fahad!V22+Asif!V22+sumair!V22</f>
        <v>0</v>
      </c>
      <c r="BC22" s="21">
        <f>Asghar!Z22+shahzad!Z22+Fahad!Z22+Asif!Z22+sumair!Z22</f>
        <v>0</v>
      </c>
      <c r="BD22" s="21">
        <f>Asghar!AD22+shahzad!AD22+Fahad!AD22+Asif!AD22+sumair!AD22</f>
        <v>0</v>
      </c>
      <c r="BE22" s="21">
        <f>Asghar!AH22+shahzad!AH22+Fahad!AH22+Asif!AH22+sumair!AH22</f>
        <v>0</v>
      </c>
      <c r="BF22" s="21">
        <f>Asghar!AL22+shahzad!AL22+Fahad!AL22+Asif!AL22+sumair!AL22</f>
        <v>0</v>
      </c>
      <c r="BG22" s="21">
        <f>Asghar!AP22+shahzad!AP22+Fahad!AP22+Asif!AP22+sumair!AP22</f>
        <v>0</v>
      </c>
      <c r="BH22" s="21">
        <f>Asghar!AT22+shahzad!AT22+Fahad!AT22+Asif!AT22+sumair!AT22</f>
        <v>0</v>
      </c>
      <c r="BI22" s="21">
        <f>Asghar!AX22+shahzad!AX22+Fahad!AX22+Asif!AX22+sumair!AX22</f>
        <v>0</v>
      </c>
      <c r="BJ22" s="21">
        <f>Asghar!BB22+shahzad!BB22+Fahad!BB22+Asif!BB22+sumair!BB22</f>
        <v>0</v>
      </c>
      <c r="BK22" s="21">
        <f>Asghar!BF22+shahzad!BF22+Fahad!BF22+Asif!BF22+sumair!BF22</f>
        <v>0</v>
      </c>
      <c r="BL22" s="21">
        <f>Asghar!BJ22+shahzad!BJ22+Fahad!BJ22+Asif!BJ22+sumair!BJ22</f>
        <v>0</v>
      </c>
      <c r="BM22" s="21">
        <f>Asghar!BN22+shahzad!BN22+Fahad!BN22+Asif!BN22+sumair!BN22</f>
        <v>0</v>
      </c>
      <c r="BN22" s="21">
        <f>Asghar!BR22+shahzad!BR22+Fahad!BR22+Asif!BR22+sumair!BR22</f>
        <v>0</v>
      </c>
      <c r="BO22" s="21">
        <f>Asghar!BV22+shahzad!BV22+Fahad!BV22+Asif!BV22+sumair!BV22</f>
        <v>0</v>
      </c>
      <c r="BP22" s="21">
        <f>Asghar!BZ22+shahzad!BZ22+Fahad!BZ22+Asif!BZ22+sumair!BZ22</f>
        <v>0</v>
      </c>
      <c r="BQ22" s="21">
        <f>Asghar!CD22+shahzad!CD22+Fahad!CD22+Asif!CD22+sumair!CD22</f>
        <v>0</v>
      </c>
      <c r="BR22" s="21">
        <f>Asghar!CH22+shahzad!CH22+Fahad!CH22+Asif!CH22+sumair!CH22</f>
        <v>0</v>
      </c>
      <c r="BS22" s="21">
        <f>Asghar!CL22+shahzad!CL22+Fahad!CL22+Asif!CL22+sumair!CL22</f>
        <v>0</v>
      </c>
      <c r="BT22" s="21">
        <f>Asghar!CP22+shahzad!CP22+Fahad!CP22+Asif!CP22+sumair!CP22</f>
        <v>0</v>
      </c>
      <c r="BU22" s="21">
        <f>Asghar!CT22+shahzad!CT22+Fahad!CT22+Asif!CT22+sumair!CT22</f>
        <v>0</v>
      </c>
      <c r="BV22" s="21">
        <f>Asghar!CX22+shahzad!CX22+Fahad!CX22+Asif!CX22+sumair!CX22</f>
        <v>0</v>
      </c>
      <c r="BW22" s="21">
        <f>Asghar!DB22+shahzad!DB22+Fahad!DB22+Asif!DB22+sumair!DB22</f>
        <v>0</v>
      </c>
      <c r="BX22" s="21">
        <f>Asghar!DF22+shahzad!DF22+Fahad!DF22+Asif!DF22+sumair!DF22</f>
        <v>0</v>
      </c>
      <c r="BY22" s="21">
        <f>Asghar!DJ22+shahzad!DJ22+Fahad!DJ22+Asif!DJ22+sumair!DJ22</f>
        <v>0</v>
      </c>
      <c r="BZ22" s="21">
        <f>Asghar!DN22+shahzad!DN22+Fahad!DN22+Asif!DN22+sumair!DN22</f>
        <v>0</v>
      </c>
      <c r="CA22" s="21">
        <f>Asghar!DR22+shahzad!DR22+Fahad!DR22+Asif!DR22+sumair!DR22</f>
        <v>0</v>
      </c>
      <c r="CB22" s="21">
        <f>Asghar!DV22+shahzad!DV22+Fahad!DV22+Asif!DV22+sumair!DV22</f>
        <v>0</v>
      </c>
      <c r="CC22" s="21">
        <f>Asghar!DZ22+shahzad!DZ22+Fahad!DZ22+Asif!DZ22+sumair!DZ22</f>
        <v>0</v>
      </c>
      <c r="CD22" s="54">
        <f t="shared" si="5"/>
        <v>0</v>
      </c>
      <c r="CF22" s="28">
        <f t="shared" si="6"/>
        <v>4.5</v>
      </c>
      <c r="CG22" s="30">
        <f t="shared" si="7"/>
        <v>0</v>
      </c>
      <c r="CH22" s="41">
        <f t="shared" si="8"/>
        <v>4.5</v>
      </c>
      <c r="CI22" s="53">
        <f t="shared" si="9"/>
        <v>0</v>
      </c>
      <c r="CJ22" s="42">
        <f t="shared" si="10"/>
        <v>4.5</v>
      </c>
    </row>
    <row r="23" spans="2:88" ht="12.5" customHeight="1" x14ac:dyDescent="0.35">
      <c r="B23" s="4">
        <v>102926</v>
      </c>
      <c r="C23" s="4" t="s">
        <v>29</v>
      </c>
      <c r="D23" s="4">
        <v>50</v>
      </c>
      <c r="E23" s="5">
        <v>18</v>
      </c>
      <c r="F23" s="6">
        <v>197.18624064799999</v>
      </c>
      <c r="G23" s="7"/>
      <c r="H23" s="13">
        <v>68</v>
      </c>
      <c r="I23" s="8"/>
      <c r="J23" s="13"/>
      <c r="K23" s="3"/>
      <c r="L23" s="9">
        <f t="shared" si="0"/>
        <v>0</v>
      </c>
      <c r="M23" s="10">
        <f t="shared" si="1"/>
        <v>0</v>
      </c>
      <c r="N23" s="11">
        <f t="shared" si="2"/>
        <v>68</v>
      </c>
      <c r="O23" s="3">
        <f t="shared" si="3"/>
        <v>1224</v>
      </c>
      <c r="P23" s="12">
        <f t="shared" si="3"/>
        <v>241355.95855315198</v>
      </c>
      <c r="R23" s="21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24">
        <f t="shared" si="4"/>
        <v>0</v>
      </c>
      <c r="AY23" s="21">
        <f>Asghar!J23+shahzad!J23+Fahad!J23+Asif!J23+sumair!J23</f>
        <v>0</v>
      </c>
      <c r="AZ23" s="21">
        <f>Asghar!N23+shahzad!N23+Fahad!N23+Asif!N23+sumair!N23</f>
        <v>0</v>
      </c>
      <c r="BA23" s="21">
        <f>Asghar!R23+shahzad!R23+Fahad!R23+Asif!R23+sumair!R23</f>
        <v>0</v>
      </c>
      <c r="BB23" s="21">
        <f>Asghar!V23+shahzad!V23+Fahad!V23+Asif!V23+sumair!V23</f>
        <v>0</v>
      </c>
      <c r="BC23" s="21">
        <f>Asghar!Z23+shahzad!Z23+Fahad!Z23+Asif!Z23+sumair!Z23</f>
        <v>0</v>
      </c>
      <c r="BD23" s="21">
        <f>Asghar!AD23+shahzad!AD23+Fahad!AD23+Asif!AD23+sumair!AD23</f>
        <v>0</v>
      </c>
      <c r="BE23" s="21">
        <f>Asghar!AH23+shahzad!AH23+Fahad!AH23+Asif!AH23+sumair!AH23</f>
        <v>0</v>
      </c>
      <c r="BF23" s="21">
        <f>Asghar!AL23+shahzad!AL23+Fahad!AL23+Asif!AL23+sumair!AL23</f>
        <v>0</v>
      </c>
      <c r="BG23" s="21">
        <f>Asghar!AP23+shahzad!AP23+Fahad!AP23+Asif!AP23+sumair!AP23</f>
        <v>0</v>
      </c>
      <c r="BH23" s="21">
        <f>Asghar!AT23+shahzad!AT23+Fahad!AT23+Asif!AT23+sumair!AT23</f>
        <v>0</v>
      </c>
      <c r="BI23" s="21">
        <f>Asghar!AX23+shahzad!AX23+Fahad!AX23+Asif!AX23+sumair!AX23</f>
        <v>0</v>
      </c>
      <c r="BJ23" s="21">
        <f>Asghar!BB23+shahzad!BB23+Fahad!BB23+Asif!BB23+sumair!BB23</f>
        <v>0</v>
      </c>
      <c r="BK23" s="21">
        <f>Asghar!BF23+shahzad!BF23+Fahad!BF23+Asif!BF23+sumair!BF23</f>
        <v>0</v>
      </c>
      <c r="BL23" s="21">
        <f>Asghar!BJ23+shahzad!BJ23+Fahad!BJ23+Asif!BJ23+sumair!BJ23</f>
        <v>0</v>
      </c>
      <c r="BM23" s="21">
        <f>Asghar!BN23+shahzad!BN23+Fahad!BN23+Asif!BN23+sumair!BN23</f>
        <v>0</v>
      </c>
      <c r="BN23" s="21">
        <f>Asghar!BR23+shahzad!BR23+Fahad!BR23+Asif!BR23+sumair!BR23</f>
        <v>0</v>
      </c>
      <c r="BO23" s="21">
        <f>Asghar!BV23+shahzad!BV23+Fahad!BV23+Asif!BV23+sumair!BV23</f>
        <v>0</v>
      </c>
      <c r="BP23" s="21">
        <f>Asghar!BZ23+shahzad!BZ23+Fahad!BZ23+Asif!BZ23+sumair!BZ23</f>
        <v>0</v>
      </c>
      <c r="BQ23" s="21">
        <f>Asghar!CD23+shahzad!CD23+Fahad!CD23+Asif!CD23+sumair!CD23</f>
        <v>0</v>
      </c>
      <c r="BR23" s="21">
        <f>Asghar!CH23+shahzad!CH23+Fahad!CH23+Asif!CH23+sumair!CH23</f>
        <v>0</v>
      </c>
      <c r="BS23" s="21">
        <f>Asghar!CL23+shahzad!CL23+Fahad!CL23+Asif!CL23+sumair!CL23</f>
        <v>0</v>
      </c>
      <c r="BT23" s="21">
        <f>Asghar!CP23+shahzad!CP23+Fahad!CP23+Asif!CP23+sumair!CP23</f>
        <v>0</v>
      </c>
      <c r="BU23" s="21">
        <f>Asghar!CT23+shahzad!CT23+Fahad!CT23+Asif!CT23+sumair!CT23</f>
        <v>0</v>
      </c>
      <c r="BV23" s="21">
        <f>Asghar!CX23+shahzad!CX23+Fahad!CX23+Asif!CX23+sumair!CX23</f>
        <v>0</v>
      </c>
      <c r="BW23" s="21">
        <f>Asghar!DB23+shahzad!DB23+Fahad!DB23+Asif!DB23+sumair!DB23</f>
        <v>0</v>
      </c>
      <c r="BX23" s="21">
        <f>Asghar!DF23+shahzad!DF23+Fahad!DF23+Asif!DF23+sumair!DF23</f>
        <v>0</v>
      </c>
      <c r="BY23" s="21">
        <f>Asghar!DJ23+shahzad!DJ23+Fahad!DJ23+Asif!DJ23+sumair!DJ23</f>
        <v>0</v>
      </c>
      <c r="BZ23" s="21">
        <f>Asghar!DN23+shahzad!DN23+Fahad!DN23+Asif!DN23+sumair!DN23</f>
        <v>0</v>
      </c>
      <c r="CA23" s="21">
        <f>Asghar!DR23+shahzad!DR23+Fahad!DR23+Asif!DR23+sumair!DR23</f>
        <v>0</v>
      </c>
      <c r="CB23" s="21">
        <f>Asghar!DV23+shahzad!DV23+Fahad!DV23+Asif!DV23+sumair!DV23</f>
        <v>0</v>
      </c>
      <c r="CC23" s="21">
        <f>Asghar!DZ23+shahzad!DZ23+Fahad!DZ23+Asif!DZ23+sumair!DZ23</f>
        <v>0</v>
      </c>
      <c r="CD23" s="54">
        <f t="shared" si="5"/>
        <v>0</v>
      </c>
      <c r="CF23" s="28">
        <f t="shared" si="6"/>
        <v>68</v>
      </c>
      <c r="CG23" s="30">
        <f t="shared" si="7"/>
        <v>0</v>
      </c>
      <c r="CH23" s="41">
        <f t="shared" si="8"/>
        <v>68</v>
      </c>
      <c r="CI23" s="53">
        <f t="shared" si="9"/>
        <v>0</v>
      </c>
      <c r="CJ23" s="42">
        <f t="shared" si="10"/>
        <v>68</v>
      </c>
    </row>
    <row r="24" spans="2:88" ht="12.5" customHeight="1" x14ac:dyDescent="0.35">
      <c r="B24" s="4">
        <v>102929</v>
      </c>
      <c r="C24" s="4" t="s">
        <v>30</v>
      </c>
      <c r="D24" s="4">
        <v>50</v>
      </c>
      <c r="E24" s="5">
        <v>18</v>
      </c>
      <c r="F24" s="6">
        <v>200.47282196</v>
      </c>
      <c r="G24" s="7"/>
      <c r="H24" s="8">
        <v>16</v>
      </c>
      <c r="I24" s="13">
        <v>8</v>
      </c>
      <c r="J24" s="13"/>
      <c r="K24" s="3"/>
      <c r="L24" s="9">
        <f t="shared" si="0"/>
        <v>0.44444444444444442</v>
      </c>
      <c r="M24" s="10">
        <f t="shared" si="1"/>
        <v>0.44444444444444442</v>
      </c>
      <c r="N24" s="11">
        <f t="shared" si="2"/>
        <v>16.444444444444443</v>
      </c>
      <c r="O24" s="3">
        <f t="shared" si="3"/>
        <v>296</v>
      </c>
      <c r="P24" s="12">
        <f t="shared" si="3"/>
        <v>59339.95530016</v>
      </c>
      <c r="R24" s="21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24">
        <f t="shared" si="4"/>
        <v>0</v>
      </c>
      <c r="AY24" s="21">
        <f>Asghar!J24+shahzad!J24+Fahad!J24+Asif!J24+sumair!J24</f>
        <v>0</v>
      </c>
      <c r="AZ24" s="21">
        <f>Asghar!N24+shahzad!N24+Fahad!N24+Asif!N24+sumair!N24</f>
        <v>0</v>
      </c>
      <c r="BA24" s="21">
        <f>Asghar!R24+shahzad!R24+Fahad!R24+Asif!R24+sumair!R24</f>
        <v>0</v>
      </c>
      <c r="BB24" s="21">
        <f>Asghar!V24+shahzad!V24+Fahad!V24+Asif!V24+sumair!V24</f>
        <v>0</v>
      </c>
      <c r="BC24" s="21">
        <f>Asghar!Z24+shahzad!Z24+Fahad!Z24+Asif!Z24+sumair!Z24</f>
        <v>0</v>
      </c>
      <c r="BD24" s="21">
        <f>Asghar!AD24+shahzad!AD24+Fahad!AD24+Asif!AD24+sumair!AD24</f>
        <v>0</v>
      </c>
      <c r="BE24" s="21">
        <f>Asghar!AH24+shahzad!AH24+Fahad!AH24+Asif!AH24+sumair!AH24</f>
        <v>0</v>
      </c>
      <c r="BF24" s="21">
        <f>Asghar!AL24+shahzad!AL24+Fahad!AL24+Asif!AL24+sumair!AL24</f>
        <v>0</v>
      </c>
      <c r="BG24" s="21">
        <f>Asghar!AP24+shahzad!AP24+Fahad!AP24+Asif!AP24+sumair!AP24</f>
        <v>0</v>
      </c>
      <c r="BH24" s="21">
        <f>Asghar!AT24+shahzad!AT24+Fahad!AT24+Asif!AT24+sumair!AT24</f>
        <v>0</v>
      </c>
      <c r="BI24" s="21">
        <f>Asghar!AX24+shahzad!AX24+Fahad!AX24+Asif!AX24+sumair!AX24</f>
        <v>0</v>
      </c>
      <c r="BJ24" s="21">
        <f>Asghar!BB24+shahzad!BB24+Fahad!BB24+Asif!BB24+sumair!BB24</f>
        <v>0</v>
      </c>
      <c r="BK24" s="21">
        <f>Asghar!BF24+shahzad!BF24+Fahad!BF24+Asif!BF24+sumair!BF24</f>
        <v>0</v>
      </c>
      <c r="BL24" s="21">
        <f>Asghar!BJ24+shahzad!BJ24+Fahad!BJ24+Asif!BJ24+sumair!BJ24</f>
        <v>0</v>
      </c>
      <c r="BM24" s="21">
        <f>Asghar!BN24+shahzad!BN24+Fahad!BN24+Asif!BN24+sumair!BN24</f>
        <v>0</v>
      </c>
      <c r="BN24" s="21">
        <f>Asghar!BR24+shahzad!BR24+Fahad!BR24+Asif!BR24+sumair!BR24</f>
        <v>0</v>
      </c>
      <c r="BO24" s="21">
        <f>Asghar!BV24+shahzad!BV24+Fahad!BV24+Asif!BV24+sumair!BV24</f>
        <v>0</v>
      </c>
      <c r="BP24" s="21">
        <f>Asghar!BZ24+shahzad!BZ24+Fahad!BZ24+Asif!BZ24+sumair!BZ24</f>
        <v>0</v>
      </c>
      <c r="BQ24" s="21">
        <f>Asghar!CD24+shahzad!CD24+Fahad!CD24+Asif!CD24+sumair!CD24</f>
        <v>0</v>
      </c>
      <c r="BR24" s="21">
        <f>Asghar!CH24+shahzad!CH24+Fahad!CH24+Asif!CH24+sumair!CH24</f>
        <v>0</v>
      </c>
      <c r="BS24" s="21">
        <f>Asghar!CL24+shahzad!CL24+Fahad!CL24+Asif!CL24+sumair!CL24</f>
        <v>0</v>
      </c>
      <c r="BT24" s="21">
        <f>Asghar!CP24+shahzad!CP24+Fahad!CP24+Asif!CP24+sumair!CP24</f>
        <v>0</v>
      </c>
      <c r="BU24" s="21">
        <f>Asghar!CT24+shahzad!CT24+Fahad!CT24+Asif!CT24+sumair!CT24</f>
        <v>0</v>
      </c>
      <c r="BV24" s="21">
        <f>Asghar!CX24+shahzad!CX24+Fahad!CX24+Asif!CX24+sumair!CX24</f>
        <v>0</v>
      </c>
      <c r="BW24" s="21">
        <f>Asghar!DB24+shahzad!DB24+Fahad!DB24+Asif!DB24+sumair!DB24</f>
        <v>0</v>
      </c>
      <c r="BX24" s="21">
        <f>Asghar!DF24+shahzad!DF24+Fahad!DF24+Asif!DF24+sumair!DF24</f>
        <v>0</v>
      </c>
      <c r="BY24" s="21">
        <f>Asghar!DJ24+shahzad!DJ24+Fahad!DJ24+Asif!DJ24+sumair!DJ24</f>
        <v>0</v>
      </c>
      <c r="BZ24" s="21">
        <f>Asghar!DN24+shahzad!DN24+Fahad!DN24+Asif!DN24+sumair!DN24</f>
        <v>0</v>
      </c>
      <c r="CA24" s="21">
        <f>Asghar!DR24+shahzad!DR24+Fahad!DR24+Asif!DR24+sumair!DR24</f>
        <v>0</v>
      </c>
      <c r="CB24" s="21">
        <f>Asghar!DV24+shahzad!DV24+Fahad!DV24+Asif!DV24+sumair!DV24</f>
        <v>0</v>
      </c>
      <c r="CC24" s="21">
        <f>Asghar!DZ24+shahzad!DZ24+Fahad!DZ24+Asif!DZ24+sumair!DZ24</f>
        <v>0</v>
      </c>
      <c r="CD24" s="54">
        <f t="shared" si="5"/>
        <v>0</v>
      </c>
      <c r="CF24" s="28">
        <f t="shared" si="6"/>
        <v>16.444444444444443</v>
      </c>
      <c r="CG24" s="30">
        <f t="shared" si="7"/>
        <v>0</v>
      </c>
      <c r="CH24" s="41">
        <f t="shared" si="8"/>
        <v>16.444444444444443</v>
      </c>
      <c r="CI24" s="53">
        <f t="shared" si="9"/>
        <v>0</v>
      </c>
      <c r="CJ24" s="42">
        <f t="shared" si="10"/>
        <v>16.444444444444443</v>
      </c>
    </row>
    <row r="25" spans="2:88" ht="12.5" customHeight="1" x14ac:dyDescent="0.35">
      <c r="B25" s="4">
        <v>103008</v>
      </c>
      <c r="C25" s="4" t="s">
        <v>31</v>
      </c>
      <c r="D25" s="4">
        <v>18</v>
      </c>
      <c r="E25" s="5">
        <v>18</v>
      </c>
      <c r="F25" s="6">
        <v>198.24262196000001</v>
      </c>
      <c r="G25" s="7"/>
      <c r="H25" s="8">
        <v>40</v>
      </c>
      <c r="I25" s="13">
        <v>12</v>
      </c>
      <c r="J25" s="13"/>
      <c r="K25" s="3"/>
      <c r="L25" s="9">
        <f t="shared" si="0"/>
        <v>0.66666666666666663</v>
      </c>
      <c r="M25" s="10">
        <f t="shared" si="1"/>
        <v>0.66666666666666663</v>
      </c>
      <c r="N25" s="11">
        <f t="shared" si="2"/>
        <v>40.666666666666664</v>
      </c>
      <c r="O25" s="3">
        <f t="shared" si="3"/>
        <v>732</v>
      </c>
      <c r="P25" s="12">
        <f t="shared" si="3"/>
        <v>145113.59927472001</v>
      </c>
      <c r="R25" s="21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24">
        <f t="shared" si="4"/>
        <v>0</v>
      </c>
      <c r="AY25" s="21">
        <f>Asghar!J25+shahzad!J25+Fahad!J25+Asif!J25+sumair!J25</f>
        <v>0</v>
      </c>
      <c r="AZ25" s="21">
        <f>Asghar!N25+shahzad!N25+Fahad!N25+Asif!N25+sumair!N25</f>
        <v>0</v>
      </c>
      <c r="BA25" s="21">
        <f>Asghar!R25+shahzad!R25+Fahad!R25+Asif!R25+sumair!R25</f>
        <v>0</v>
      </c>
      <c r="BB25" s="21">
        <f>Asghar!V25+shahzad!V25+Fahad!V25+Asif!V25+sumair!V25</f>
        <v>0</v>
      </c>
      <c r="BC25" s="21">
        <f>Asghar!Z25+shahzad!Z25+Fahad!Z25+Asif!Z25+sumair!Z25</f>
        <v>0</v>
      </c>
      <c r="BD25" s="21">
        <f>Asghar!AD25+shahzad!AD25+Fahad!AD25+Asif!AD25+sumair!AD25</f>
        <v>0</v>
      </c>
      <c r="BE25" s="21">
        <f>Asghar!AH25+shahzad!AH25+Fahad!AH25+Asif!AH25+sumair!AH25</f>
        <v>0</v>
      </c>
      <c r="BF25" s="21">
        <f>Asghar!AL25+shahzad!AL25+Fahad!AL25+Asif!AL25+sumair!AL25</f>
        <v>0</v>
      </c>
      <c r="BG25" s="21">
        <f>Asghar!AP25+shahzad!AP25+Fahad!AP25+Asif!AP25+sumair!AP25</f>
        <v>0</v>
      </c>
      <c r="BH25" s="21">
        <f>Asghar!AT25+shahzad!AT25+Fahad!AT25+Asif!AT25+sumair!AT25</f>
        <v>0</v>
      </c>
      <c r="BI25" s="21">
        <f>Asghar!AX25+shahzad!AX25+Fahad!AX25+Asif!AX25+sumair!AX25</f>
        <v>0</v>
      </c>
      <c r="BJ25" s="21">
        <f>Asghar!BB25+shahzad!BB25+Fahad!BB25+Asif!BB25+sumair!BB25</f>
        <v>0</v>
      </c>
      <c r="BK25" s="21">
        <f>Asghar!BF25+shahzad!BF25+Fahad!BF25+Asif!BF25+sumair!BF25</f>
        <v>0</v>
      </c>
      <c r="BL25" s="21">
        <f>Asghar!BJ25+shahzad!BJ25+Fahad!BJ25+Asif!BJ25+sumair!BJ25</f>
        <v>0</v>
      </c>
      <c r="BM25" s="21">
        <f>Asghar!BN25+shahzad!BN25+Fahad!BN25+Asif!BN25+sumair!BN25</f>
        <v>0</v>
      </c>
      <c r="BN25" s="21">
        <f>Asghar!BR25+shahzad!BR25+Fahad!BR25+Asif!BR25+sumair!BR25</f>
        <v>0</v>
      </c>
      <c r="BO25" s="21">
        <f>Asghar!BV25+shahzad!BV25+Fahad!BV25+Asif!BV25+sumair!BV25</f>
        <v>0</v>
      </c>
      <c r="BP25" s="21">
        <f>Asghar!BZ25+shahzad!BZ25+Fahad!BZ25+Asif!BZ25+sumair!BZ25</f>
        <v>0</v>
      </c>
      <c r="BQ25" s="21">
        <f>Asghar!CD25+shahzad!CD25+Fahad!CD25+Asif!CD25+sumair!CD25</f>
        <v>0</v>
      </c>
      <c r="BR25" s="21">
        <f>Asghar!CH25+shahzad!CH25+Fahad!CH25+Asif!CH25+sumair!CH25</f>
        <v>0</v>
      </c>
      <c r="BS25" s="21">
        <f>Asghar!CL25+shahzad!CL25+Fahad!CL25+Asif!CL25+sumair!CL25</f>
        <v>0</v>
      </c>
      <c r="BT25" s="21">
        <f>Asghar!CP25+shahzad!CP25+Fahad!CP25+Asif!CP25+sumair!CP25</f>
        <v>0</v>
      </c>
      <c r="BU25" s="21">
        <f>Asghar!CT25+shahzad!CT25+Fahad!CT25+Asif!CT25+sumair!CT25</f>
        <v>0</v>
      </c>
      <c r="BV25" s="21">
        <f>Asghar!CX25+shahzad!CX25+Fahad!CX25+Asif!CX25+sumair!CX25</f>
        <v>0</v>
      </c>
      <c r="BW25" s="21">
        <f>Asghar!DB25+shahzad!DB25+Fahad!DB25+Asif!DB25+sumair!DB25</f>
        <v>0</v>
      </c>
      <c r="BX25" s="21">
        <f>Asghar!DF25+shahzad!DF25+Fahad!DF25+Asif!DF25+sumair!DF25</f>
        <v>0</v>
      </c>
      <c r="BY25" s="21">
        <f>Asghar!DJ25+shahzad!DJ25+Fahad!DJ25+Asif!DJ25+sumair!DJ25</f>
        <v>0</v>
      </c>
      <c r="BZ25" s="21">
        <f>Asghar!DN25+shahzad!DN25+Fahad!DN25+Asif!DN25+sumair!DN25</f>
        <v>0</v>
      </c>
      <c r="CA25" s="21">
        <f>Asghar!DR25+shahzad!DR25+Fahad!DR25+Asif!DR25+sumair!DR25</f>
        <v>0</v>
      </c>
      <c r="CB25" s="21">
        <f>Asghar!DV25+shahzad!DV25+Fahad!DV25+Asif!DV25+sumair!DV25</f>
        <v>0</v>
      </c>
      <c r="CC25" s="21">
        <f>Asghar!DZ25+shahzad!DZ25+Fahad!DZ25+Asif!DZ25+sumair!DZ25</f>
        <v>0</v>
      </c>
      <c r="CD25" s="54">
        <f t="shared" si="5"/>
        <v>0</v>
      </c>
      <c r="CF25" s="28">
        <f t="shared" si="6"/>
        <v>40.666666666666664</v>
      </c>
      <c r="CG25" s="30">
        <f t="shared" si="7"/>
        <v>0</v>
      </c>
      <c r="CH25" s="41">
        <f t="shared" si="8"/>
        <v>40.666666666666664</v>
      </c>
      <c r="CI25" s="53">
        <f t="shared" si="9"/>
        <v>0</v>
      </c>
      <c r="CJ25" s="42">
        <f t="shared" si="10"/>
        <v>40.666666666666664</v>
      </c>
    </row>
    <row r="26" spans="2:88" ht="12.5" customHeight="1" x14ac:dyDescent="0.35">
      <c r="B26" s="4">
        <v>103012</v>
      </c>
      <c r="C26" s="4" t="s">
        <v>32</v>
      </c>
      <c r="D26" s="4">
        <v>50</v>
      </c>
      <c r="E26" s="5">
        <v>18</v>
      </c>
      <c r="F26" s="6">
        <v>198.24262196000001</v>
      </c>
      <c r="G26" s="7"/>
      <c r="H26" s="8">
        <v>2</v>
      </c>
      <c r="I26" s="13">
        <v>2</v>
      </c>
      <c r="J26" s="13"/>
      <c r="K26" s="3"/>
      <c r="L26" s="9">
        <f t="shared" si="0"/>
        <v>0.1111111111111111</v>
      </c>
      <c r="M26" s="10">
        <f t="shared" si="1"/>
        <v>0.1111111111111111</v>
      </c>
      <c r="N26" s="11">
        <f t="shared" si="2"/>
        <v>2.1111111111111112</v>
      </c>
      <c r="O26" s="3">
        <f t="shared" si="3"/>
        <v>38</v>
      </c>
      <c r="P26" s="12">
        <f t="shared" si="3"/>
        <v>7533.2196344800004</v>
      </c>
      <c r="R26" s="21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24">
        <f t="shared" si="4"/>
        <v>0</v>
      </c>
      <c r="AY26" s="21">
        <f>Asghar!J26+shahzad!J26+Fahad!J26+Asif!J26+sumair!J26</f>
        <v>0</v>
      </c>
      <c r="AZ26" s="21">
        <f>Asghar!N26+shahzad!N26+Fahad!N26+Asif!N26+sumair!N26</f>
        <v>0</v>
      </c>
      <c r="BA26" s="21">
        <f>Asghar!R26+shahzad!R26+Fahad!R26+Asif!R26+sumair!R26</f>
        <v>0</v>
      </c>
      <c r="BB26" s="21">
        <f>Asghar!V26+shahzad!V26+Fahad!V26+Asif!V26+sumair!V26</f>
        <v>0</v>
      </c>
      <c r="BC26" s="21">
        <f>Asghar!Z26+shahzad!Z26+Fahad!Z26+Asif!Z26+sumair!Z26</f>
        <v>0</v>
      </c>
      <c r="BD26" s="21">
        <f>Asghar!AD26+shahzad!AD26+Fahad!AD26+Asif!AD26+sumair!AD26</f>
        <v>0</v>
      </c>
      <c r="BE26" s="21">
        <f>Asghar!AH26+shahzad!AH26+Fahad!AH26+Asif!AH26+sumair!AH26</f>
        <v>0</v>
      </c>
      <c r="BF26" s="21">
        <f>Asghar!AL26+shahzad!AL26+Fahad!AL26+Asif!AL26+sumair!AL26</f>
        <v>0</v>
      </c>
      <c r="BG26" s="21">
        <f>Asghar!AP26+shahzad!AP26+Fahad!AP26+Asif!AP26+sumair!AP26</f>
        <v>0</v>
      </c>
      <c r="BH26" s="21">
        <f>Asghar!AT26+shahzad!AT26+Fahad!AT26+Asif!AT26+sumair!AT26</f>
        <v>0</v>
      </c>
      <c r="BI26" s="21">
        <f>Asghar!AX26+shahzad!AX26+Fahad!AX26+Asif!AX26+sumair!AX26</f>
        <v>0</v>
      </c>
      <c r="BJ26" s="21">
        <f>Asghar!BB26+shahzad!BB26+Fahad!BB26+Asif!BB26+sumair!BB26</f>
        <v>0</v>
      </c>
      <c r="BK26" s="21">
        <f>Asghar!BF26+shahzad!BF26+Fahad!BF26+Asif!BF26+sumair!BF26</f>
        <v>0</v>
      </c>
      <c r="BL26" s="21">
        <f>Asghar!BJ26+shahzad!BJ26+Fahad!BJ26+Asif!BJ26+sumair!BJ26</f>
        <v>0</v>
      </c>
      <c r="BM26" s="21">
        <f>Asghar!BN26+shahzad!BN26+Fahad!BN26+Asif!BN26+sumair!BN26</f>
        <v>0</v>
      </c>
      <c r="BN26" s="21">
        <f>Asghar!BR26+shahzad!BR26+Fahad!BR26+Asif!BR26+sumair!BR26</f>
        <v>0</v>
      </c>
      <c r="BO26" s="21">
        <f>Asghar!BV26+shahzad!BV26+Fahad!BV26+Asif!BV26+sumair!BV26</f>
        <v>0</v>
      </c>
      <c r="BP26" s="21">
        <f>Asghar!BZ26+shahzad!BZ26+Fahad!BZ26+Asif!BZ26+sumair!BZ26</f>
        <v>0</v>
      </c>
      <c r="BQ26" s="21">
        <f>Asghar!CD26+shahzad!CD26+Fahad!CD26+Asif!CD26+sumair!CD26</f>
        <v>0</v>
      </c>
      <c r="BR26" s="21">
        <f>Asghar!CH26+shahzad!CH26+Fahad!CH26+Asif!CH26+sumair!CH26</f>
        <v>0</v>
      </c>
      <c r="BS26" s="21">
        <f>Asghar!CL26+shahzad!CL26+Fahad!CL26+Asif!CL26+sumair!CL26</f>
        <v>0</v>
      </c>
      <c r="BT26" s="21">
        <f>Asghar!CP26+shahzad!CP26+Fahad!CP26+Asif!CP26+sumair!CP26</f>
        <v>0</v>
      </c>
      <c r="BU26" s="21">
        <f>Asghar!CT26+shahzad!CT26+Fahad!CT26+Asif!CT26+sumair!CT26</f>
        <v>0</v>
      </c>
      <c r="BV26" s="21">
        <f>Asghar!CX26+shahzad!CX26+Fahad!CX26+Asif!CX26+sumair!CX26</f>
        <v>0</v>
      </c>
      <c r="BW26" s="21">
        <f>Asghar!DB26+shahzad!DB26+Fahad!DB26+Asif!DB26+sumair!DB26</f>
        <v>0</v>
      </c>
      <c r="BX26" s="21">
        <f>Asghar!DF26+shahzad!DF26+Fahad!DF26+Asif!DF26+sumair!DF26</f>
        <v>0</v>
      </c>
      <c r="BY26" s="21">
        <f>Asghar!DJ26+shahzad!DJ26+Fahad!DJ26+Asif!DJ26+sumair!DJ26</f>
        <v>0</v>
      </c>
      <c r="BZ26" s="21">
        <f>Asghar!DN26+shahzad!DN26+Fahad!DN26+Asif!DN26+sumair!DN26</f>
        <v>0</v>
      </c>
      <c r="CA26" s="21">
        <f>Asghar!DR26+shahzad!DR26+Fahad!DR26+Asif!DR26+sumair!DR26</f>
        <v>0</v>
      </c>
      <c r="CB26" s="21">
        <f>Asghar!DV26+shahzad!DV26+Fahad!DV26+Asif!DV26+sumair!DV26</f>
        <v>0</v>
      </c>
      <c r="CC26" s="21">
        <f>Asghar!DZ26+shahzad!DZ26+Fahad!DZ26+Asif!DZ26+sumair!DZ26</f>
        <v>0</v>
      </c>
      <c r="CD26" s="54">
        <f t="shared" si="5"/>
        <v>0</v>
      </c>
      <c r="CF26" s="28">
        <f t="shared" si="6"/>
        <v>2.1111111111111112</v>
      </c>
      <c r="CG26" s="30">
        <f t="shared" si="7"/>
        <v>0</v>
      </c>
      <c r="CH26" s="41">
        <f t="shared" si="8"/>
        <v>2.1111111111111112</v>
      </c>
      <c r="CI26" s="53">
        <f t="shared" si="9"/>
        <v>0</v>
      </c>
      <c r="CJ26" s="42">
        <f t="shared" si="10"/>
        <v>2.1111111111111112</v>
      </c>
    </row>
    <row r="27" spans="2:88" ht="12.5" customHeight="1" x14ac:dyDescent="0.35">
      <c r="B27" s="4">
        <v>103020</v>
      </c>
      <c r="C27" s="4" t="s">
        <v>33</v>
      </c>
      <c r="D27" s="4">
        <v>12</v>
      </c>
      <c r="E27" s="5">
        <v>8</v>
      </c>
      <c r="F27" s="6">
        <v>481.09632499999998</v>
      </c>
      <c r="G27" s="7"/>
      <c r="H27" s="8">
        <v>3</v>
      </c>
      <c r="I27" s="8">
        <v>3</v>
      </c>
      <c r="J27" s="13"/>
      <c r="K27" s="3"/>
      <c r="L27" s="9">
        <f t="shared" si="0"/>
        <v>0.375</v>
      </c>
      <c r="M27" s="10">
        <f t="shared" si="1"/>
        <v>0.375</v>
      </c>
      <c r="N27" s="11">
        <f t="shared" si="2"/>
        <v>3.375</v>
      </c>
      <c r="O27" s="3">
        <f t="shared" si="3"/>
        <v>27</v>
      </c>
      <c r="P27" s="12">
        <f t="shared" si="3"/>
        <v>12989.600774999999</v>
      </c>
      <c r="R27" s="21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24">
        <f t="shared" si="4"/>
        <v>0</v>
      </c>
      <c r="AY27" s="21">
        <f>Asghar!J27+shahzad!J27+Fahad!J27+Asif!J27+sumair!J27</f>
        <v>0</v>
      </c>
      <c r="AZ27" s="21">
        <f>Asghar!N27+shahzad!N27+Fahad!N27+Asif!N27+sumair!N27</f>
        <v>0</v>
      </c>
      <c r="BA27" s="21">
        <f>Asghar!R27+shahzad!R27+Fahad!R27+Asif!R27+sumair!R27</f>
        <v>0</v>
      </c>
      <c r="BB27" s="21">
        <f>Asghar!V27+shahzad!V27+Fahad!V27+Asif!V27+sumair!V27</f>
        <v>0</v>
      </c>
      <c r="BC27" s="21">
        <f>Asghar!Z27+shahzad!Z27+Fahad!Z27+Asif!Z27+sumair!Z27</f>
        <v>0</v>
      </c>
      <c r="BD27" s="21">
        <f>Asghar!AD27+shahzad!AD27+Fahad!AD27+Asif!AD27+sumair!AD27</f>
        <v>0</v>
      </c>
      <c r="BE27" s="21">
        <f>Asghar!AH27+shahzad!AH27+Fahad!AH27+Asif!AH27+sumair!AH27</f>
        <v>0</v>
      </c>
      <c r="BF27" s="21">
        <f>Asghar!AL27+shahzad!AL27+Fahad!AL27+Asif!AL27+sumair!AL27</f>
        <v>0</v>
      </c>
      <c r="BG27" s="21">
        <f>Asghar!AP27+shahzad!AP27+Fahad!AP27+Asif!AP27+sumair!AP27</f>
        <v>0</v>
      </c>
      <c r="BH27" s="21">
        <f>Asghar!AT27+shahzad!AT27+Fahad!AT27+Asif!AT27+sumair!AT27</f>
        <v>0</v>
      </c>
      <c r="BI27" s="21">
        <f>Asghar!AX27+shahzad!AX27+Fahad!AX27+Asif!AX27+sumair!AX27</f>
        <v>0</v>
      </c>
      <c r="BJ27" s="21">
        <f>Asghar!BB27+shahzad!BB27+Fahad!BB27+Asif!BB27+sumair!BB27</f>
        <v>0</v>
      </c>
      <c r="BK27" s="21">
        <f>Asghar!BF27+shahzad!BF27+Fahad!BF27+Asif!BF27+sumair!BF27</f>
        <v>0</v>
      </c>
      <c r="BL27" s="21">
        <f>Asghar!BJ27+shahzad!BJ27+Fahad!BJ27+Asif!BJ27+sumair!BJ27</f>
        <v>0</v>
      </c>
      <c r="BM27" s="21">
        <f>Asghar!BN27+shahzad!BN27+Fahad!BN27+Asif!BN27+sumair!BN27</f>
        <v>0</v>
      </c>
      <c r="BN27" s="21">
        <f>Asghar!BR27+shahzad!BR27+Fahad!BR27+Asif!BR27+sumair!BR27</f>
        <v>0</v>
      </c>
      <c r="BO27" s="21">
        <f>Asghar!BV27+shahzad!BV27+Fahad!BV27+Asif!BV27+sumair!BV27</f>
        <v>0</v>
      </c>
      <c r="BP27" s="21">
        <f>Asghar!BZ27+shahzad!BZ27+Fahad!BZ27+Asif!BZ27+sumair!BZ27</f>
        <v>0</v>
      </c>
      <c r="BQ27" s="21">
        <f>Asghar!CD27+shahzad!CD27+Fahad!CD27+Asif!CD27+sumair!CD27</f>
        <v>0</v>
      </c>
      <c r="BR27" s="21">
        <f>Asghar!CH27+shahzad!CH27+Fahad!CH27+Asif!CH27+sumair!CH27</f>
        <v>0</v>
      </c>
      <c r="BS27" s="21">
        <f>Asghar!CL27+shahzad!CL27+Fahad!CL27+Asif!CL27+sumair!CL27</f>
        <v>0</v>
      </c>
      <c r="BT27" s="21">
        <f>Asghar!CP27+shahzad!CP27+Fahad!CP27+Asif!CP27+sumair!CP27</f>
        <v>0</v>
      </c>
      <c r="BU27" s="21">
        <f>Asghar!CT27+shahzad!CT27+Fahad!CT27+Asif!CT27+sumair!CT27</f>
        <v>0</v>
      </c>
      <c r="BV27" s="21">
        <f>Asghar!CX27+shahzad!CX27+Fahad!CX27+Asif!CX27+sumair!CX27</f>
        <v>0</v>
      </c>
      <c r="BW27" s="21">
        <f>Asghar!DB27+shahzad!DB27+Fahad!DB27+Asif!DB27+sumair!DB27</f>
        <v>0</v>
      </c>
      <c r="BX27" s="21">
        <f>Asghar!DF27+shahzad!DF27+Fahad!DF27+Asif!DF27+sumair!DF27</f>
        <v>0</v>
      </c>
      <c r="BY27" s="21">
        <f>Asghar!DJ27+shahzad!DJ27+Fahad!DJ27+Asif!DJ27+sumair!DJ27</f>
        <v>0</v>
      </c>
      <c r="BZ27" s="21">
        <f>Asghar!DN27+shahzad!DN27+Fahad!DN27+Asif!DN27+sumair!DN27</f>
        <v>0</v>
      </c>
      <c r="CA27" s="21">
        <f>Asghar!DR27+shahzad!DR27+Fahad!DR27+Asif!DR27+sumair!DR27</f>
        <v>0</v>
      </c>
      <c r="CB27" s="21">
        <f>Asghar!DV27+shahzad!DV27+Fahad!DV27+Asif!DV27+sumair!DV27</f>
        <v>0</v>
      </c>
      <c r="CC27" s="21">
        <f>Asghar!DZ27+shahzad!DZ27+Fahad!DZ27+Asif!DZ27+sumair!DZ27</f>
        <v>0</v>
      </c>
      <c r="CD27" s="54">
        <f t="shared" si="5"/>
        <v>0</v>
      </c>
      <c r="CF27" s="28">
        <f t="shared" si="6"/>
        <v>3.375</v>
      </c>
      <c r="CG27" s="30">
        <f t="shared" si="7"/>
        <v>0</v>
      </c>
      <c r="CH27" s="41">
        <f t="shared" si="8"/>
        <v>3.375</v>
      </c>
      <c r="CI27" s="53">
        <f t="shared" si="9"/>
        <v>0</v>
      </c>
      <c r="CJ27" s="42">
        <f t="shared" si="10"/>
        <v>3.375</v>
      </c>
    </row>
    <row r="28" spans="2:88" ht="12.5" customHeight="1" x14ac:dyDescent="0.35">
      <c r="B28" s="4">
        <v>104056</v>
      </c>
      <c r="C28" s="4" t="s">
        <v>34</v>
      </c>
      <c r="D28" s="4">
        <v>50</v>
      </c>
      <c r="E28" s="5">
        <v>18</v>
      </c>
      <c r="F28" s="6">
        <v>200.47282196</v>
      </c>
      <c r="G28" s="7"/>
      <c r="H28" s="8">
        <v>43</v>
      </c>
      <c r="I28" s="8">
        <v>3</v>
      </c>
      <c r="J28" s="13"/>
      <c r="K28" s="3"/>
      <c r="L28" s="9">
        <f t="shared" si="0"/>
        <v>0.16666666666666666</v>
      </c>
      <c r="M28" s="10">
        <f t="shared" si="1"/>
        <v>0.16666666666666666</v>
      </c>
      <c r="N28" s="11">
        <f t="shared" si="2"/>
        <v>43.166666666666664</v>
      </c>
      <c r="O28" s="3">
        <f t="shared" si="3"/>
        <v>777</v>
      </c>
      <c r="P28" s="12">
        <f t="shared" si="3"/>
        <v>155767.38266291999</v>
      </c>
      <c r="R28" s="21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24">
        <f t="shared" si="4"/>
        <v>0</v>
      </c>
      <c r="AY28" s="21">
        <f>Asghar!J28+shahzad!J28+Fahad!J28+Asif!J28+sumair!J28</f>
        <v>0</v>
      </c>
      <c r="AZ28" s="21">
        <f>Asghar!N28+shahzad!N28+Fahad!N28+Asif!N28+sumair!N28</f>
        <v>0</v>
      </c>
      <c r="BA28" s="21">
        <f>Asghar!R28+shahzad!R28+Fahad!R28+Asif!R28+sumair!R28</f>
        <v>0</v>
      </c>
      <c r="BB28" s="21">
        <f>Asghar!V28+shahzad!V28+Fahad!V28+Asif!V28+sumair!V28</f>
        <v>0</v>
      </c>
      <c r="BC28" s="21">
        <f>Asghar!Z28+shahzad!Z28+Fahad!Z28+Asif!Z28+sumair!Z28</f>
        <v>0</v>
      </c>
      <c r="BD28" s="21">
        <f>Asghar!AD28+shahzad!AD28+Fahad!AD28+Asif!AD28+sumair!AD28</f>
        <v>0</v>
      </c>
      <c r="BE28" s="21">
        <f>Asghar!AH28+shahzad!AH28+Fahad!AH28+Asif!AH28+sumair!AH28</f>
        <v>0</v>
      </c>
      <c r="BF28" s="21">
        <f>Asghar!AL28+shahzad!AL28+Fahad!AL28+Asif!AL28+sumair!AL28</f>
        <v>0</v>
      </c>
      <c r="BG28" s="21">
        <f>Asghar!AP28+shahzad!AP28+Fahad!AP28+Asif!AP28+sumair!AP28</f>
        <v>0</v>
      </c>
      <c r="BH28" s="21">
        <f>Asghar!AT28+shahzad!AT28+Fahad!AT28+Asif!AT28+sumair!AT28</f>
        <v>0</v>
      </c>
      <c r="BI28" s="21">
        <f>Asghar!AX28+shahzad!AX28+Fahad!AX28+Asif!AX28+sumair!AX28</f>
        <v>0</v>
      </c>
      <c r="BJ28" s="21">
        <f>Asghar!BB28+shahzad!BB28+Fahad!BB28+Asif!BB28+sumair!BB28</f>
        <v>0</v>
      </c>
      <c r="BK28" s="21">
        <f>Asghar!BF28+shahzad!BF28+Fahad!BF28+Asif!BF28+sumair!BF28</f>
        <v>0</v>
      </c>
      <c r="BL28" s="21">
        <f>Asghar!BJ28+shahzad!BJ28+Fahad!BJ28+Asif!BJ28+sumair!BJ28</f>
        <v>0</v>
      </c>
      <c r="BM28" s="21">
        <f>Asghar!BN28+shahzad!BN28+Fahad!BN28+Asif!BN28+sumair!BN28</f>
        <v>0</v>
      </c>
      <c r="BN28" s="21">
        <f>Asghar!BR28+shahzad!BR28+Fahad!BR28+Asif!BR28+sumair!BR28</f>
        <v>0</v>
      </c>
      <c r="BO28" s="21">
        <f>Asghar!BV28+shahzad!BV28+Fahad!BV28+Asif!BV28+sumair!BV28</f>
        <v>0</v>
      </c>
      <c r="BP28" s="21">
        <f>Asghar!BZ28+shahzad!BZ28+Fahad!BZ28+Asif!BZ28+sumair!BZ28</f>
        <v>0</v>
      </c>
      <c r="BQ28" s="21">
        <f>Asghar!CD28+shahzad!CD28+Fahad!CD28+Asif!CD28+sumair!CD28</f>
        <v>0</v>
      </c>
      <c r="BR28" s="21">
        <f>Asghar!CH28+shahzad!CH28+Fahad!CH28+Asif!CH28+sumair!CH28</f>
        <v>0</v>
      </c>
      <c r="BS28" s="21">
        <f>Asghar!CL28+shahzad!CL28+Fahad!CL28+Asif!CL28+sumair!CL28</f>
        <v>0</v>
      </c>
      <c r="BT28" s="21">
        <f>Asghar!CP28+shahzad!CP28+Fahad!CP28+Asif!CP28+sumair!CP28</f>
        <v>0</v>
      </c>
      <c r="BU28" s="21">
        <f>Asghar!CT28+shahzad!CT28+Fahad!CT28+Asif!CT28+sumair!CT28</f>
        <v>0</v>
      </c>
      <c r="BV28" s="21">
        <f>Asghar!CX28+shahzad!CX28+Fahad!CX28+Asif!CX28+sumair!CX28</f>
        <v>0</v>
      </c>
      <c r="BW28" s="21">
        <f>Asghar!DB28+shahzad!DB28+Fahad!DB28+Asif!DB28+sumair!DB28</f>
        <v>0</v>
      </c>
      <c r="BX28" s="21">
        <f>Asghar!DF28+shahzad!DF28+Fahad!DF28+Asif!DF28+sumair!DF28</f>
        <v>0</v>
      </c>
      <c r="BY28" s="21">
        <f>Asghar!DJ28+shahzad!DJ28+Fahad!DJ28+Asif!DJ28+sumair!DJ28</f>
        <v>0</v>
      </c>
      <c r="BZ28" s="21">
        <f>Asghar!DN28+shahzad!DN28+Fahad!DN28+Asif!DN28+sumair!DN28</f>
        <v>0</v>
      </c>
      <c r="CA28" s="21">
        <f>Asghar!DR28+shahzad!DR28+Fahad!DR28+Asif!DR28+sumair!DR28</f>
        <v>0</v>
      </c>
      <c r="CB28" s="21">
        <f>Asghar!DV28+shahzad!DV28+Fahad!DV28+Asif!DV28+sumair!DV28</f>
        <v>0</v>
      </c>
      <c r="CC28" s="21">
        <f>Asghar!DZ28+shahzad!DZ28+Fahad!DZ28+Asif!DZ28+sumair!DZ28</f>
        <v>0</v>
      </c>
      <c r="CD28" s="54">
        <f t="shared" si="5"/>
        <v>0</v>
      </c>
      <c r="CF28" s="28">
        <f t="shared" si="6"/>
        <v>43.166666666666664</v>
      </c>
      <c r="CG28" s="30">
        <f t="shared" si="7"/>
        <v>0</v>
      </c>
      <c r="CH28" s="41">
        <f t="shared" si="8"/>
        <v>43.166666666666664</v>
      </c>
      <c r="CI28" s="53">
        <f t="shared" si="9"/>
        <v>0</v>
      </c>
      <c r="CJ28" s="42">
        <f t="shared" si="10"/>
        <v>43.166666666666664</v>
      </c>
    </row>
    <row r="29" spans="2:88" ht="12.5" customHeight="1" x14ac:dyDescent="0.35">
      <c r="B29" s="4">
        <v>106023</v>
      </c>
      <c r="C29" s="4" t="s">
        <v>35</v>
      </c>
      <c r="D29" s="4">
        <v>24</v>
      </c>
      <c r="E29" s="5">
        <v>18</v>
      </c>
      <c r="F29" s="6">
        <v>192.45406706</v>
      </c>
      <c r="G29" s="7"/>
      <c r="H29" s="8">
        <v>36</v>
      </c>
      <c r="I29" s="8">
        <v>6</v>
      </c>
      <c r="J29" s="13"/>
      <c r="K29" s="3"/>
      <c r="L29" s="9">
        <f t="shared" si="0"/>
        <v>0.33333333333333331</v>
      </c>
      <c r="M29" s="10">
        <f t="shared" si="1"/>
        <v>0.33333333333333331</v>
      </c>
      <c r="N29" s="11">
        <f t="shared" si="2"/>
        <v>36.333333333333336</v>
      </c>
      <c r="O29" s="3">
        <f t="shared" si="3"/>
        <v>654</v>
      </c>
      <c r="P29" s="12">
        <f t="shared" si="3"/>
        <v>125864.95985724</v>
      </c>
      <c r="R29" s="21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24">
        <f t="shared" si="4"/>
        <v>0</v>
      </c>
      <c r="AY29" s="21">
        <f>Asghar!J29+shahzad!J29+Fahad!J29+Asif!J29+sumair!J29</f>
        <v>0</v>
      </c>
      <c r="AZ29" s="21">
        <f>Asghar!N29+shahzad!N29+Fahad!N29+Asif!N29+sumair!N29</f>
        <v>0</v>
      </c>
      <c r="BA29" s="21">
        <f>Asghar!R29+shahzad!R29+Fahad!R29+Asif!R29+sumair!R29</f>
        <v>0</v>
      </c>
      <c r="BB29" s="21">
        <f>Asghar!V29+shahzad!V29+Fahad!V29+Asif!V29+sumair!V29</f>
        <v>0</v>
      </c>
      <c r="BC29" s="21">
        <f>Asghar!Z29+shahzad!Z29+Fahad!Z29+Asif!Z29+sumair!Z29</f>
        <v>0</v>
      </c>
      <c r="BD29" s="21">
        <f>Asghar!AD29+shahzad!AD29+Fahad!AD29+Asif!AD29+sumair!AD29</f>
        <v>0</v>
      </c>
      <c r="BE29" s="21">
        <f>Asghar!AH29+shahzad!AH29+Fahad!AH29+Asif!AH29+sumair!AH29</f>
        <v>0</v>
      </c>
      <c r="BF29" s="21">
        <f>Asghar!AL29+shahzad!AL29+Fahad!AL29+Asif!AL29+sumair!AL29</f>
        <v>0</v>
      </c>
      <c r="BG29" s="21">
        <f>Asghar!AP29+shahzad!AP29+Fahad!AP29+Asif!AP29+sumair!AP29</f>
        <v>0</v>
      </c>
      <c r="BH29" s="21">
        <f>Asghar!AT29+shahzad!AT29+Fahad!AT29+Asif!AT29+sumair!AT29</f>
        <v>0</v>
      </c>
      <c r="BI29" s="21">
        <f>Asghar!AX29+shahzad!AX29+Fahad!AX29+Asif!AX29+sumair!AX29</f>
        <v>0</v>
      </c>
      <c r="BJ29" s="21">
        <f>Asghar!BB29+shahzad!BB29+Fahad!BB29+Asif!BB29+sumair!BB29</f>
        <v>0</v>
      </c>
      <c r="BK29" s="21">
        <f>Asghar!BF29+shahzad!BF29+Fahad!BF29+Asif!BF29+sumair!BF29</f>
        <v>0</v>
      </c>
      <c r="BL29" s="21">
        <f>Asghar!BJ29+shahzad!BJ29+Fahad!BJ29+Asif!BJ29+sumair!BJ29</f>
        <v>0</v>
      </c>
      <c r="BM29" s="21">
        <f>Asghar!BN29+shahzad!BN29+Fahad!BN29+Asif!BN29+sumair!BN29</f>
        <v>0</v>
      </c>
      <c r="BN29" s="21">
        <f>Asghar!BR29+shahzad!BR29+Fahad!BR29+Asif!BR29+sumair!BR29</f>
        <v>0</v>
      </c>
      <c r="BO29" s="21">
        <f>Asghar!BV29+shahzad!BV29+Fahad!BV29+Asif!BV29+sumair!BV29</f>
        <v>0</v>
      </c>
      <c r="BP29" s="21">
        <f>Asghar!BZ29+shahzad!BZ29+Fahad!BZ29+Asif!BZ29+sumair!BZ29</f>
        <v>0</v>
      </c>
      <c r="BQ29" s="21">
        <f>Asghar!CD29+shahzad!CD29+Fahad!CD29+Asif!CD29+sumair!CD29</f>
        <v>0</v>
      </c>
      <c r="BR29" s="21">
        <f>Asghar!CH29+shahzad!CH29+Fahad!CH29+Asif!CH29+sumair!CH29</f>
        <v>0</v>
      </c>
      <c r="BS29" s="21">
        <f>Asghar!CL29+shahzad!CL29+Fahad!CL29+Asif!CL29+sumair!CL29</f>
        <v>0</v>
      </c>
      <c r="BT29" s="21">
        <f>Asghar!CP29+shahzad!CP29+Fahad!CP29+Asif!CP29+sumair!CP29</f>
        <v>0</v>
      </c>
      <c r="BU29" s="21">
        <f>Asghar!CT29+shahzad!CT29+Fahad!CT29+Asif!CT29+sumair!CT29</f>
        <v>0</v>
      </c>
      <c r="BV29" s="21">
        <f>Asghar!CX29+shahzad!CX29+Fahad!CX29+Asif!CX29+sumair!CX29</f>
        <v>0</v>
      </c>
      <c r="BW29" s="21">
        <f>Asghar!DB29+shahzad!DB29+Fahad!DB29+Asif!DB29+sumair!DB29</f>
        <v>0</v>
      </c>
      <c r="BX29" s="21">
        <f>Asghar!DF29+shahzad!DF29+Fahad!DF29+Asif!DF29+sumair!DF29</f>
        <v>0</v>
      </c>
      <c r="BY29" s="21">
        <f>Asghar!DJ29+shahzad!DJ29+Fahad!DJ29+Asif!DJ29+sumair!DJ29</f>
        <v>0</v>
      </c>
      <c r="BZ29" s="21">
        <f>Asghar!DN29+shahzad!DN29+Fahad!DN29+Asif!DN29+sumair!DN29</f>
        <v>0</v>
      </c>
      <c r="CA29" s="21">
        <f>Asghar!DR29+shahzad!DR29+Fahad!DR29+Asif!DR29+sumair!DR29</f>
        <v>0</v>
      </c>
      <c r="CB29" s="21">
        <f>Asghar!DV29+shahzad!DV29+Fahad!DV29+Asif!DV29+sumair!DV29</f>
        <v>0</v>
      </c>
      <c r="CC29" s="21">
        <f>Asghar!DZ29+shahzad!DZ29+Fahad!DZ29+Asif!DZ29+sumair!DZ29</f>
        <v>0</v>
      </c>
      <c r="CD29" s="54">
        <f t="shared" si="5"/>
        <v>0</v>
      </c>
      <c r="CF29" s="28">
        <f t="shared" si="6"/>
        <v>36.333333333333336</v>
      </c>
      <c r="CG29" s="30">
        <f t="shared" si="7"/>
        <v>0</v>
      </c>
      <c r="CH29" s="41">
        <f t="shared" si="8"/>
        <v>36.333333333333336</v>
      </c>
      <c r="CI29" s="53">
        <f t="shared" si="9"/>
        <v>0</v>
      </c>
      <c r="CJ29" s="42">
        <f t="shared" si="10"/>
        <v>36.333333333333336</v>
      </c>
    </row>
    <row r="30" spans="2:88" ht="12.5" customHeight="1" x14ac:dyDescent="0.35">
      <c r="B30" s="4">
        <v>106054</v>
      </c>
      <c r="C30" s="4" t="s">
        <v>36</v>
      </c>
      <c r="D30" s="4">
        <v>1</v>
      </c>
      <c r="E30" s="5">
        <v>12</v>
      </c>
      <c r="F30" s="6">
        <v>400.62864317399999</v>
      </c>
      <c r="G30" s="7"/>
      <c r="H30" s="8">
        <v>34</v>
      </c>
      <c r="I30" s="8">
        <v>4</v>
      </c>
      <c r="J30" s="13"/>
      <c r="K30" s="3"/>
      <c r="L30" s="9">
        <f t="shared" si="0"/>
        <v>0.33333333333333331</v>
      </c>
      <c r="M30" s="10">
        <f t="shared" si="1"/>
        <v>0.33333333333333331</v>
      </c>
      <c r="N30" s="11">
        <f t="shared" si="2"/>
        <v>34.333333333333336</v>
      </c>
      <c r="O30" s="3">
        <f t="shared" si="3"/>
        <v>412</v>
      </c>
      <c r="P30" s="12">
        <f t="shared" si="3"/>
        <v>165059.00098768799</v>
      </c>
      <c r="R30" s="21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24">
        <f t="shared" si="4"/>
        <v>0</v>
      </c>
      <c r="AY30" s="21">
        <f>Asghar!J30+shahzad!J30+Fahad!J30+Asif!J30+sumair!J30</f>
        <v>0</v>
      </c>
      <c r="AZ30" s="21">
        <f>Asghar!N30+shahzad!N30+Fahad!N30+Asif!N30+sumair!N30</f>
        <v>0</v>
      </c>
      <c r="BA30" s="21">
        <f>Asghar!R30+shahzad!R30+Fahad!R30+Asif!R30+sumair!R30</f>
        <v>0</v>
      </c>
      <c r="BB30" s="21">
        <f>Asghar!V30+shahzad!V30+Fahad!V30+Asif!V30+sumair!V30</f>
        <v>0</v>
      </c>
      <c r="BC30" s="21">
        <f>Asghar!Z30+shahzad!Z30+Fahad!Z30+Asif!Z30+sumair!Z30</f>
        <v>0</v>
      </c>
      <c r="BD30" s="21">
        <f>Asghar!AD30+shahzad!AD30+Fahad!AD30+Asif!AD30+sumair!AD30</f>
        <v>0</v>
      </c>
      <c r="BE30" s="21">
        <f>Asghar!AH30+shahzad!AH30+Fahad!AH30+Asif!AH30+sumair!AH30</f>
        <v>0</v>
      </c>
      <c r="BF30" s="21">
        <f>Asghar!AL30+shahzad!AL30+Fahad!AL30+Asif!AL30+sumair!AL30</f>
        <v>0</v>
      </c>
      <c r="BG30" s="21">
        <f>Asghar!AP30+shahzad!AP30+Fahad!AP30+Asif!AP30+sumair!AP30</f>
        <v>0</v>
      </c>
      <c r="BH30" s="21">
        <f>Asghar!AT30+shahzad!AT30+Fahad!AT30+Asif!AT30+sumair!AT30</f>
        <v>0</v>
      </c>
      <c r="BI30" s="21">
        <f>Asghar!AX30+shahzad!AX30+Fahad!AX30+Asif!AX30+sumair!AX30</f>
        <v>0</v>
      </c>
      <c r="BJ30" s="21">
        <f>Asghar!BB30+shahzad!BB30+Fahad!BB30+Asif!BB30+sumair!BB30</f>
        <v>0</v>
      </c>
      <c r="BK30" s="21">
        <f>Asghar!BF30+shahzad!BF30+Fahad!BF30+Asif!BF30+sumair!BF30</f>
        <v>0</v>
      </c>
      <c r="BL30" s="21">
        <f>Asghar!BJ30+shahzad!BJ30+Fahad!BJ30+Asif!BJ30+sumair!BJ30</f>
        <v>0</v>
      </c>
      <c r="BM30" s="21">
        <f>Asghar!BN30+shahzad!BN30+Fahad!BN30+Asif!BN30+sumair!BN30</f>
        <v>0</v>
      </c>
      <c r="BN30" s="21">
        <f>Asghar!BR30+shahzad!BR30+Fahad!BR30+Asif!BR30+sumair!BR30</f>
        <v>0</v>
      </c>
      <c r="BO30" s="21">
        <f>Asghar!BV30+shahzad!BV30+Fahad!BV30+Asif!BV30+sumair!BV30</f>
        <v>0</v>
      </c>
      <c r="BP30" s="21">
        <f>Asghar!BZ30+shahzad!BZ30+Fahad!BZ30+Asif!BZ30+sumair!BZ30</f>
        <v>0</v>
      </c>
      <c r="BQ30" s="21">
        <f>Asghar!CD30+shahzad!CD30+Fahad!CD30+Asif!CD30+sumair!CD30</f>
        <v>0</v>
      </c>
      <c r="BR30" s="21">
        <f>Asghar!CH30+shahzad!CH30+Fahad!CH30+Asif!CH30+sumair!CH30</f>
        <v>0</v>
      </c>
      <c r="BS30" s="21">
        <f>Asghar!CL30+shahzad!CL30+Fahad!CL30+Asif!CL30+sumair!CL30</f>
        <v>0</v>
      </c>
      <c r="BT30" s="21">
        <f>Asghar!CP30+shahzad!CP30+Fahad!CP30+Asif!CP30+sumair!CP30</f>
        <v>0</v>
      </c>
      <c r="BU30" s="21">
        <f>Asghar!CT30+shahzad!CT30+Fahad!CT30+Asif!CT30+sumair!CT30</f>
        <v>0</v>
      </c>
      <c r="BV30" s="21">
        <f>Asghar!CX30+shahzad!CX30+Fahad!CX30+Asif!CX30+sumair!CX30</f>
        <v>0</v>
      </c>
      <c r="BW30" s="21">
        <f>Asghar!DB30+shahzad!DB30+Fahad!DB30+Asif!DB30+sumair!DB30</f>
        <v>0</v>
      </c>
      <c r="BX30" s="21">
        <f>Asghar!DF30+shahzad!DF30+Fahad!DF30+Asif!DF30+sumair!DF30</f>
        <v>0</v>
      </c>
      <c r="BY30" s="21">
        <f>Asghar!DJ30+shahzad!DJ30+Fahad!DJ30+Asif!DJ30+sumair!DJ30</f>
        <v>0</v>
      </c>
      <c r="BZ30" s="21">
        <f>Asghar!DN30+shahzad!DN30+Fahad!DN30+Asif!DN30+sumair!DN30</f>
        <v>0</v>
      </c>
      <c r="CA30" s="21">
        <f>Asghar!DR30+shahzad!DR30+Fahad!DR30+Asif!DR30+sumair!DR30</f>
        <v>0</v>
      </c>
      <c r="CB30" s="21">
        <f>Asghar!DV30+shahzad!DV30+Fahad!DV30+Asif!DV30+sumair!DV30</f>
        <v>0</v>
      </c>
      <c r="CC30" s="21">
        <f>Asghar!DZ30+shahzad!DZ30+Fahad!DZ30+Asif!DZ30+sumair!DZ30</f>
        <v>0</v>
      </c>
      <c r="CD30" s="54">
        <f t="shared" si="5"/>
        <v>0</v>
      </c>
      <c r="CF30" s="28">
        <f t="shared" si="6"/>
        <v>34.333333333333336</v>
      </c>
      <c r="CG30" s="30">
        <f t="shared" si="7"/>
        <v>0</v>
      </c>
      <c r="CH30" s="41">
        <f t="shared" si="8"/>
        <v>34.333333333333336</v>
      </c>
      <c r="CI30" s="53">
        <f t="shared" si="9"/>
        <v>0</v>
      </c>
      <c r="CJ30" s="42">
        <f t="shared" si="10"/>
        <v>34.333333333333336</v>
      </c>
    </row>
    <row r="31" spans="2:88" ht="12.5" customHeight="1" x14ac:dyDescent="0.35">
      <c r="B31" s="4">
        <v>106057</v>
      </c>
      <c r="C31" s="4" t="s">
        <v>37</v>
      </c>
      <c r="D31" s="4">
        <v>70</v>
      </c>
      <c r="E31" s="5">
        <v>18</v>
      </c>
      <c r="F31" s="6">
        <v>280.44265340800001</v>
      </c>
      <c r="G31" s="7"/>
      <c r="H31" s="13"/>
      <c r="I31" s="13"/>
      <c r="J31" s="13"/>
      <c r="K31" s="3"/>
      <c r="L31" s="9">
        <f t="shared" si="0"/>
        <v>0</v>
      </c>
      <c r="M31" s="10">
        <f t="shared" si="1"/>
        <v>0</v>
      </c>
      <c r="N31" s="11">
        <f t="shared" si="2"/>
        <v>0</v>
      </c>
      <c r="O31" s="3">
        <f t="shared" si="3"/>
        <v>0</v>
      </c>
      <c r="P31" s="12">
        <f t="shared" si="3"/>
        <v>0</v>
      </c>
      <c r="R31" s="21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24">
        <f t="shared" si="4"/>
        <v>0</v>
      </c>
      <c r="AY31" s="21">
        <f>Asghar!J31+shahzad!J31+Fahad!J31+Asif!J31+sumair!J31</f>
        <v>0</v>
      </c>
      <c r="AZ31" s="21">
        <f>Asghar!N31+shahzad!N31+Fahad!N31+Asif!N31+sumair!N31</f>
        <v>0</v>
      </c>
      <c r="BA31" s="21">
        <f>Asghar!R31+shahzad!R31+Fahad!R31+Asif!R31+sumair!R31</f>
        <v>0</v>
      </c>
      <c r="BB31" s="21">
        <f>Asghar!V31+shahzad!V31+Fahad!V31+Asif!V31+sumair!V31</f>
        <v>0</v>
      </c>
      <c r="BC31" s="21">
        <f>Asghar!Z31+shahzad!Z31+Fahad!Z31+Asif!Z31+sumair!Z31</f>
        <v>0</v>
      </c>
      <c r="BD31" s="21">
        <f>Asghar!AD31+shahzad!AD31+Fahad!AD31+Asif!AD31+sumair!AD31</f>
        <v>0</v>
      </c>
      <c r="BE31" s="21">
        <f>Asghar!AH31+shahzad!AH31+Fahad!AH31+Asif!AH31+sumair!AH31</f>
        <v>0</v>
      </c>
      <c r="BF31" s="21">
        <f>Asghar!AL31+shahzad!AL31+Fahad!AL31+Asif!AL31+sumair!AL31</f>
        <v>0</v>
      </c>
      <c r="BG31" s="21">
        <f>Asghar!AP31+shahzad!AP31+Fahad!AP31+Asif!AP31+sumair!AP31</f>
        <v>0</v>
      </c>
      <c r="BH31" s="21">
        <f>Asghar!AT31+shahzad!AT31+Fahad!AT31+Asif!AT31+sumair!AT31</f>
        <v>0</v>
      </c>
      <c r="BI31" s="21">
        <f>Asghar!AX31+shahzad!AX31+Fahad!AX31+Asif!AX31+sumair!AX31</f>
        <v>0</v>
      </c>
      <c r="BJ31" s="21">
        <f>Asghar!BB31+shahzad!BB31+Fahad!BB31+Asif!BB31+sumair!BB31</f>
        <v>0</v>
      </c>
      <c r="BK31" s="21">
        <f>Asghar!BF31+shahzad!BF31+Fahad!BF31+Asif!BF31+sumair!BF31</f>
        <v>0</v>
      </c>
      <c r="BL31" s="21">
        <f>Asghar!BJ31+shahzad!BJ31+Fahad!BJ31+Asif!BJ31+sumair!BJ31</f>
        <v>0</v>
      </c>
      <c r="BM31" s="21">
        <f>Asghar!BN31+shahzad!BN31+Fahad!BN31+Asif!BN31+sumair!BN31</f>
        <v>0</v>
      </c>
      <c r="BN31" s="21">
        <f>Asghar!BR31+shahzad!BR31+Fahad!BR31+Asif!BR31+sumair!BR31</f>
        <v>0</v>
      </c>
      <c r="BO31" s="21">
        <f>Asghar!BV31+shahzad!BV31+Fahad!BV31+Asif!BV31+sumair!BV31</f>
        <v>0</v>
      </c>
      <c r="BP31" s="21">
        <f>Asghar!BZ31+shahzad!BZ31+Fahad!BZ31+Asif!BZ31+sumair!BZ31</f>
        <v>0</v>
      </c>
      <c r="BQ31" s="21">
        <f>Asghar!CD31+shahzad!CD31+Fahad!CD31+Asif!CD31+sumair!CD31</f>
        <v>0</v>
      </c>
      <c r="BR31" s="21">
        <f>Asghar!CH31+shahzad!CH31+Fahad!CH31+Asif!CH31+sumair!CH31</f>
        <v>0</v>
      </c>
      <c r="BS31" s="21">
        <f>Asghar!CL31+shahzad!CL31+Fahad!CL31+Asif!CL31+sumair!CL31</f>
        <v>0</v>
      </c>
      <c r="BT31" s="21">
        <f>Asghar!CP31+shahzad!CP31+Fahad!CP31+Asif!CP31+sumair!CP31</f>
        <v>0</v>
      </c>
      <c r="BU31" s="21">
        <f>Asghar!CT31+shahzad!CT31+Fahad!CT31+Asif!CT31+sumair!CT31</f>
        <v>0</v>
      </c>
      <c r="BV31" s="21">
        <f>Asghar!CX31+shahzad!CX31+Fahad!CX31+Asif!CX31+sumair!CX31</f>
        <v>0</v>
      </c>
      <c r="BW31" s="21">
        <f>Asghar!DB31+shahzad!DB31+Fahad!DB31+Asif!DB31+sumair!DB31</f>
        <v>0</v>
      </c>
      <c r="BX31" s="21">
        <f>Asghar!DF31+shahzad!DF31+Fahad!DF31+Asif!DF31+sumair!DF31</f>
        <v>0</v>
      </c>
      <c r="BY31" s="21">
        <f>Asghar!DJ31+shahzad!DJ31+Fahad!DJ31+Asif!DJ31+sumair!DJ31</f>
        <v>0</v>
      </c>
      <c r="BZ31" s="21">
        <f>Asghar!DN31+shahzad!DN31+Fahad!DN31+Asif!DN31+sumair!DN31</f>
        <v>0</v>
      </c>
      <c r="CA31" s="21">
        <f>Asghar!DR31+shahzad!DR31+Fahad!DR31+Asif!DR31+sumair!DR31</f>
        <v>0</v>
      </c>
      <c r="CB31" s="21">
        <f>Asghar!DV31+shahzad!DV31+Fahad!DV31+Asif!DV31+sumair!DV31</f>
        <v>0</v>
      </c>
      <c r="CC31" s="21">
        <f>Asghar!DZ31+shahzad!DZ31+Fahad!DZ31+Asif!DZ31+sumair!DZ31</f>
        <v>0</v>
      </c>
      <c r="CD31" s="54">
        <f t="shared" si="5"/>
        <v>0</v>
      </c>
      <c r="CF31" s="28">
        <f t="shared" si="6"/>
        <v>0</v>
      </c>
      <c r="CG31" s="30">
        <f t="shared" si="7"/>
        <v>0</v>
      </c>
      <c r="CH31" s="41">
        <f t="shared" si="8"/>
        <v>0</v>
      </c>
      <c r="CI31" s="53">
        <f t="shared" si="9"/>
        <v>0</v>
      </c>
      <c r="CJ31" s="42">
        <f t="shared" si="10"/>
        <v>0</v>
      </c>
    </row>
    <row r="32" spans="2:88" ht="12.5" customHeight="1" x14ac:dyDescent="0.35">
      <c r="B32" s="4">
        <v>106221</v>
      </c>
      <c r="C32" s="4" t="s">
        <v>38</v>
      </c>
      <c r="D32" s="4">
        <v>24</v>
      </c>
      <c r="E32" s="5">
        <v>18</v>
      </c>
      <c r="F32" s="6">
        <v>192.45406706</v>
      </c>
      <c r="G32" s="7"/>
      <c r="H32" s="8">
        <v>42</v>
      </c>
      <c r="I32" s="8"/>
      <c r="J32" s="13"/>
      <c r="K32" s="3"/>
      <c r="L32" s="9">
        <f t="shared" si="0"/>
        <v>0</v>
      </c>
      <c r="M32" s="10">
        <f t="shared" si="1"/>
        <v>0</v>
      </c>
      <c r="N32" s="11">
        <f t="shared" si="2"/>
        <v>42</v>
      </c>
      <c r="O32" s="3">
        <f t="shared" si="3"/>
        <v>756</v>
      </c>
      <c r="P32" s="12">
        <f t="shared" si="3"/>
        <v>145495.27469736</v>
      </c>
      <c r="R32" s="21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24">
        <f t="shared" si="4"/>
        <v>0</v>
      </c>
      <c r="AY32" s="21">
        <f>Asghar!J32+shahzad!J32+Fahad!J32+Asif!J32+sumair!J32</f>
        <v>0</v>
      </c>
      <c r="AZ32" s="21">
        <f>Asghar!N32+shahzad!N32+Fahad!N32+Asif!N32+sumair!N32</f>
        <v>0</v>
      </c>
      <c r="BA32" s="21">
        <f>Asghar!R32+shahzad!R32+Fahad!R32+Asif!R32+sumair!R32</f>
        <v>0</v>
      </c>
      <c r="BB32" s="21">
        <f>Asghar!V32+shahzad!V32+Fahad!V32+Asif!V32+sumair!V32</f>
        <v>0</v>
      </c>
      <c r="BC32" s="21">
        <f>Asghar!Z32+shahzad!Z32+Fahad!Z32+Asif!Z32+sumair!Z32</f>
        <v>0</v>
      </c>
      <c r="BD32" s="21">
        <f>Asghar!AD32+shahzad!AD32+Fahad!AD32+Asif!AD32+sumair!AD32</f>
        <v>0</v>
      </c>
      <c r="BE32" s="21">
        <f>Asghar!AH32+shahzad!AH32+Fahad!AH32+Asif!AH32+sumair!AH32</f>
        <v>0</v>
      </c>
      <c r="BF32" s="21">
        <f>Asghar!AL32+shahzad!AL32+Fahad!AL32+Asif!AL32+sumair!AL32</f>
        <v>0</v>
      </c>
      <c r="BG32" s="21">
        <f>Asghar!AP32+shahzad!AP32+Fahad!AP32+Asif!AP32+sumair!AP32</f>
        <v>0</v>
      </c>
      <c r="BH32" s="21">
        <f>Asghar!AT32+shahzad!AT32+Fahad!AT32+Asif!AT32+sumair!AT32</f>
        <v>0</v>
      </c>
      <c r="BI32" s="21">
        <f>Asghar!AX32+shahzad!AX32+Fahad!AX32+Asif!AX32+sumair!AX32</f>
        <v>0</v>
      </c>
      <c r="BJ32" s="21">
        <f>Asghar!BB32+shahzad!BB32+Fahad!BB32+Asif!BB32+sumair!BB32</f>
        <v>0</v>
      </c>
      <c r="BK32" s="21">
        <f>Asghar!BF32+shahzad!BF32+Fahad!BF32+Asif!BF32+sumair!BF32</f>
        <v>0</v>
      </c>
      <c r="BL32" s="21">
        <f>Asghar!BJ32+shahzad!BJ32+Fahad!BJ32+Asif!BJ32+sumair!BJ32</f>
        <v>0</v>
      </c>
      <c r="BM32" s="21">
        <f>Asghar!BN32+shahzad!BN32+Fahad!BN32+Asif!BN32+sumair!BN32</f>
        <v>0</v>
      </c>
      <c r="BN32" s="21">
        <f>Asghar!BR32+shahzad!BR32+Fahad!BR32+Asif!BR32+sumair!BR32</f>
        <v>0</v>
      </c>
      <c r="BO32" s="21">
        <f>Asghar!BV32+shahzad!BV32+Fahad!BV32+Asif!BV32+sumair!BV32</f>
        <v>0</v>
      </c>
      <c r="BP32" s="21">
        <f>Asghar!BZ32+shahzad!BZ32+Fahad!BZ32+Asif!BZ32+sumair!BZ32</f>
        <v>0</v>
      </c>
      <c r="BQ32" s="21">
        <f>Asghar!CD32+shahzad!CD32+Fahad!CD32+Asif!CD32+sumair!CD32</f>
        <v>0</v>
      </c>
      <c r="BR32" s="21">
        <f>Asghar!CH32+shahzad!CH32+Fahad!CH32+Asif!CH32+sumair!CH32</f>
        <v>0</v>
      </c>
      <c r="BS32" s="21">
        <f>Asghar!CL32+shahzad!CL32+Fahad!CL32+Asif!CL32+sumair!CL32</f>
        <v>0</v>
      </c>
      <c r="BT32" s="21">
        <f>Asghar!CP32+shahzad!CP32+Fahad!CP32+Asif!CP32+sumair!CP32</f>
        <v>0</v>
      </c>
      <c r="BU32" s="21">
        <f>Asghar!CT32+shahzad!CT32+Fahad!CT32+Asif!CT32+sumair!CT32</f>
        <v>0</v>
      </c>
      <c r="BV32" s="21">
        <f>Asghar!CX32+shahzad!CX32+Fahad!CX32+Asif!CX32+sumair!CX32</f>
        <v>0</v>
      </c>
      <c r="BW32" s="21">
        <f>Asghar!DB32+shahzad!DB32+Fahad!DB32+Asif!DB32+sumair!DB32</f>
        <v>0</v>
      </c>
      <c r="BX32" s="21">
        <f>Asghar!DF32+shahzad!DF32+Fahad!DF32+Asif!DF32+sumair!DF32</f>
        <v>0</v>
      </c>
      <c r="BY32" s="21">
        <f>Asghar!DJ32+shahzad!DJ32+Fahad!DJ32+Asif!DJ32+sumair!DJ32</f>
        <v>0</v>
      </c>
      <c r="BZ32" s="21">
        <f>Asghar!DN32+shahzad!DN32+Fahad!DN32+Asif!DN32+sumair!DN32</f>
        <v>0</v>
      </c>
      <c r="CA32" s="21">
        <f>Asghar!DR32+shahzad!DR32+Fahad!DR32+Asif!DR32+sumair!DR32</f>
        <v>0</v>
      </c>
      <c r="CB32" s="21">
        <f>Asghar!DV32+shahzad!DV32+Fahad!DV32+Asif!DV32+sumair!DV32</f>
        <v>0</v>
      </c>
      <c r="CC32" s="21">
        <f>Asghar!DZ32+shahzad!DZ32+Fahad!DZ32+Asif!DZ32+sumair!DZ32</f>
        <v>0</v>
      </c>
      <c r="CD32" s="54">
        <f t="shared" si="5"/>
        <v>0</v>
      </c>
      <c r="CF32" s="28">
        <f t="shared" si="6"/>
        <v>42</v>
      </c>
      <c r="CG32" s="30">
        <f t="shared" si="7"/>
        <v>0</v>
      </c>
      <c r="CH32" s="41">
        <f t="shared" si="8"/>
        <v>42</v>
      </c>
      <c r="CI32" s="53">
        <f t="shared" si="9"/>
        <v>0</v>
      </c>
      <c r="CJ32" s="42">
        <f t="shared" si="10"/>
        <v>42</v>
      </c>
    </row>
    <row r="33" spans="2:88" ht="12.5" customHeight="1" x14ac:dyDescent="0.35">
      <c r="B33" s="4">
        <v>106318</v>
      </c>
      <c r="C33" s="4" t="s">
        <v>39</v>
      </c>
      <c r="D33" s="4">
        <v>24</v>
      </c>
      <c r="E33" s="5">
        <v>18</v>
      </c>
      <c r="F33" s="6">
        <v>192.45406706</v>
      </c>
      <c r="G33" s="7"/>
      <c r="H33" s="8">
        <v>1</v>
      </c>
      <c r="I33" s="8">
        <v>1</v>
      </c>
      <c r="J33" s="13"/>
      <c r="K33" s="3"/>
      <c r="L33" s="9">
        <f t="shared" si="0"/>
        <v>5.5555555555555552E-2</v>
      </c>
      <c r="M33" s="10">
        <f t="shared" si="1"/>
        <v>5.5555555555555552E-2</v>
      </c>
      <c r="N33" s="11">
        <f t="shared" si="2"/>
        <v>1.0555555555555556</v>
      </c>
      <c r="O33" s="3">
        <f t="shared" si="3"/>
        <v>19</v>
      </c>
      <c r="P33" s="12">
        <f t="shared" si="3"/>
        <v>3656.6272741399998</v>
      </c>
      <c r="R33" s="21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24">
        <f t="shared" si="4"/>
        <v>0</v>
      </c>
      <c r="AY33" s="21">
        <f>Asghar!J33+shahzad!J33+Fahad!J33+Asif!J33+sumair!J33</f>
        <v>0</v>
      </c>
      <c r="AZ33" s="21">
        <f>Asghar!N33+shahzad!N33+Fahad!N33+Asif!N33+sumair!N33</f>
        <v>0</v>
      </c>
      <c r="BA33" s="21">
        <f>Asghar!R33+shahzad!R33+Fahad!R33+Asif!R33+sumair!R33</f>
        <v>0</v>
      </c>
      <c r="BB33" s="21">
        <f>Asghar!V33+shahzad!V33+Fahad!V33+Asif!V33+sumair!V33</f>
        <v>0</v>
      </c>
      <c r="BC33" s="21">
        <f>Asghar!Z33+shahzad!Z33+Fahad!Z33+Asif!Z33+sumair!Z33</f>
        <v>0</v>
      </c>
      <c r="BD33" s="21">
        <f>Asghar!AD33+shahzad!AD33+Fahad!AD33+Asif!AD33+sumair!AD33</f>
        <v>0</v>
      </c>
      <c r="BE33" s="21">
        <f>Asghar!AH33+shahzad!AH33+Fahad!AH33+Asif!AH33+sumair!AH33</f>
        <v>0</v>
      </c>
      <c r="BF33" s="21">
        <f>Asghar!AL33+shahzad!AL33+Fahad!AL33+Asif!AL33+sumair!AL33</f>
        <v>0</v>
      </c>
      <c r="BG33" s="21">
        <f>Asghar!AP33+shahzad!AP33+Fahad!AP33+Asif!AP33+sumair!AP33</f>
        <v>0</v>
      </c>
      <c r="BH33" s="21">
        <f>Asghar!AT33+shahzad!AT33+Fahad!AT33+Asif!AT33+sumair!AT33</f>
        <v>0</v>
      </c>
      <c r="BI33" s="21">
        <f>Asghar!AX33+shahzad!AX33+Fahad!AX33+Asif!AX33+sumair!AX33</f>
        <v>0</v>
      </c>
      <c r="BJ33" s="21">
        <f>Asghar!BB33+shahzad!BB33+Fahad!BB33+Asif!BB33+sumair!BB33</f>
        <v>0</v>
      </c>
      <c r="BK33" s="21">
        <f>Asghar!BF33+shahzad!BF33+Fahad!BF33+Asif!BF33+sumair!BF33</f>
        <v>0</v>
      </c>
      <c r="BL33" s="21">
        <f>Asghar!BJ33+shahzad!BJ33+Fahad!BJ33+Asif!BJ33+sumair!BJ33</f>
        <v>0</v>
      </c>
      <c r="BM33" s="21">
        <f>Asghar!BN33+shahzad!BN33+Fahad!BN33+Asif!BN33+sumair!BN33</f>
        <v>0</v>
      </c>
      <c r="BN33" s="21">
        <f>Asghar!BR33+shahzad!BR33+Fahad!BR33+Asif!BR33+sumair!BR33</f>
        <v>0</v>
      </c>
      <c r="BO33" s="21">
        <f>Asghar!BV33+shahzad!BV33+Fahad!BV33+Asif!BV33+sumair!BV33</f>
        <v>0</v>
      </c>
      <c r="BP33" s="21">
        <f>Asghar!BZ33+shahzad!BZ33+Fahad!BZ33+Asif!BZ33+sumair!BZ33</f>
        <v>0</v>
      </c>
      <c r="BQ33" s="21">
        <f>Asghar!CD33+shahzad!CD33+Fahad!CD33+Asif!CD33+sumair!CD33</f>
        <v>0</v>
      </c>
      <c r="BR33" s="21">
        <f>Asghar!CH33+shahzad!CH33+Fahad!CH33+Asif!CH33+sumair!CH33</f>
        <v>0</v>
      </c>
      <c r="BS33" s="21">
        <f>Asghar!CL33+shahzad!CL33+Fahad!CL33+Asif!CL33+sumair!CL33</f>
        <v>0</v>
      </c>
      <c r="BT33" s="21">
        <f>Asghar!CP33+shahzad!CP33+Fahad!CP33+Asif!CP33+sumair!CP33</f>
        <v>0</v>
      </c>
      <c r="BU33" s="21">
        <f>Asghar!CT33+shahzad!CT33+Fahad!CT33+Asif!CT33+sumair!CT33</f>
        <v>0</v>
      </c>
      <c r="BV33" s="21">
        <f>Asghar!CX33+shahzad!CX33+Fahad!CX33+Asif!CX33+sumair!CX33</f>
        <v>0</v>
      </c>
      <c r="BW33" s="21">
        <f>Asghar!DB33+shahzad!DB33+Fahad!DB33+Asif!DB33+sumair!DB33</f>
        <v>0</v>
      </c>
      <c r="BX33" s="21">
        <f>Asghar!DF33+shahzad!DF33+Fahad!DF33+Asif!DF33+sumair!DF33</f>
        <v>0</v>
      </c>
      <c r="BY33" s="21">
        <f>Asghar!DJ33+shahzad!DJ33+Fahad!DJ33+Asif!DJ33+sumair!DJ33</f>
        <v>0</v>
      </c>
      <c r="BZ33" s="21">
        <f>Asghar!DN33+shahzad!DN33+Fahad!DN33+Asif!DN33+sumair!DN33</f>
        <v>0</v>
      </c>
      <c r="CA33" s="21">
        <f>Asghar!DR33+shahzad!DR33+Fahad!DR33+Asif!DR33+sumair!DR33</f>
        <v>0</v>
      </c>
      <c r="CB33" s="21">
        <f>Asghar!DV33+shahzad!DV33+Fahad!DV33+Asif!DV33+sumair!DV33</f>
        <v>0</v>
      </c>
      <c r="CC33" s="21">
        <f>Asghar!DZ33+shahzad!DZ33+Fahad!DZ33+Asif!DZ33+sumair!DZ33</f>
        <v>0</v>
      </c>
      <c r="CD33" s="54">
        <f t="shared" si="5"/>
        <v>0</v>
      </c>
      <c r="CF33" s="28">
        <f t="shared" si="6"/>
        <v>1.0555555555555556</v>
      </c>
      <c r="CG33" s="30">
        <f t="shared" si="7"/>
        <v>0</v>
      </c>
      <c r="CH33" s="41">
        <f t="shared" si="8"/>
        <v>1.0555555555555556</v>
      </c>
      <c r="CI33" s="53">
        <f t="shared" si="9"/>
        <v>0</v>
      </c>
      <c r="CJ33" s="42">
        <f t="shared" si="10"/>
        <v>1.0555555555555556</v>
      </c>
    </row>
    <row r="34" spans="2:88" ht="12.5" customHeight="1" x14ac:dyDescent="0.35">
      <c r="B34" s="4">
        <v>106506</v>
      </c>
      <c r="C34" s="4" t="s">
        <v>40</v>
      </c>
      <c r="D34" s="4">
        <v>24</v>
      </c>
      <c r="E34" s="5">
        <v>24</v>
      </c>
      <c r="F34" s="6">
        <v>189.29879107400001</v>
      </c>
      <c r="G34" s="7"/>
      <c r="H34" s="8"/>
      <c r="I34" s="13">
        <v>1</v>
      </c>
      <c r="J34" s="13"/>
      <c r="K34" s="3"/>
      <c r="L34" s="9">
        <f t="shared" si="0"/>
        <v>4.1666666666666664E-2</v>
      </c>
      <c r="M34" s="10">
        <f t="shared" si="1"/>
        <v>4.1666666666666664E-2</v>
      </c>
      <c r="N34" s="11">
        <f t="shared" si="2"/>
        <v>4.1666666666666664E-2</v>
      </c>
      <c r="O34" s="3">
        <f t="shared" si="3"/>
        <v>1</v>
      </c>
      <c r="P34" s="12">
        <f t="shared" si="3"/>
        <v>189.29879107400001</v>
      </c>
      <c r="R34" s="21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24">
        <f t="shared" si="4"/>
        <v>0</v>
      </c>
      <c r="AY34" s="21">
        <f>Asghar!J34+shahzad!J34+Fahad!J34+Asif!J34+sumair!J34</f>
        <v>0</v>
      </c>
      <c r="AZ34" s="21">
        <f>Asghar!N34+shahzad!N34+Fahad!N34+Asif!N34+sumair!N34</f>
        <v>0</v>
      </c>
      <c r="BA34" s="21">
        <f>Asghar!R34+shahzad!R34+Fahad!R34+Asif!R34+sumair!R34</f>
        <v>0</v>
      </c>
      <c r="BB34" s="21">
        <f>Asghar!V34+shahzad!V34+Fahad!V34+Asif!V34+sumair!V34</f>
        <v>0</v>
      </c>
      <c r="BC34" s="21">
        <f>Asghar!Z34+shahzad!Z34+Fahad!Z34+Asif!Z34+sumair!Z34</f>
        <v>0</v>
      </c>
      <c r="BD34" s="21">
        <f>Asghar!AD34+shahzad!AD34+Fahad!AD34+Asif!AD34+sumair!AD34</f>
        <v>0</v>
      </c>
      <c r="BE34" s="21">
        <f>Asghar!AH34+shahzad!AH34+Fahad!AH34+Asif!AH34+sumair!AH34</f>
        <v>0</v>
      </c>
      <c r="BF34" s="21">
        <f>Asghar!AL34+shahzad!AL34+Fahad!AL34+Asif!AL34+sumair!AL34</f>
        <v>0</v>
      </c>
      <c r="BG34" s="21">
        <f>Asghar!AP34+shahzad!AP34+Fahad!AP34+Asif!AP34+sumair!AP34</f>
        <v>0</v>
      </c>
      <c r="BH34" s="21">
        <f>Asghar!AT34+shahzad!AT34+Fahad!AT34+Asif!AT34+sumair!AT34</f>
        <v>0</v>
      </c>
      <c r="BI34" s="21">
        <f>Asghar!AX34+shahzad!AX34+Fahad!AX34+Asif!AX34+sumair!AX34</f>
        <v>0</v>
      </c>
      <c r="BJ34" s="21">
        <f>Asghar!BB34+shahzad!BB34+Fahad!BB34+Asif!BB34+sumair!BB34</f>
        <v>0</v>
      </c>
      <c r="BK34" s="21">
        <f>Asghar!BF34+shahzad!BF34+Fahad!BF34+Asif!BF34+sumair!BF34</f>
        <v>0</v>
      </c>
      <c r="BL34" s="21">
        <f>Asghar!BJ34+shahzad!BJ34+Fahad!BJ34+Asif!BJ34+sumair!BJ34</f>
        <v>0</v>
      </c>
      <c r="BM34" s="21">
        <f>Asghar!BN34+shahzad!BN34+Fahad!BN34+Asif!BN34+sumair!BN34</f>
        <v>0</v>
      </c>
      <c r="BN34" s="21">
        <f>Asghar!BR34+shahzad!BR34+Fahad!BR34+Asif!BR34+sumair!BR34</f>
        <v>0</v>
      </c>
      <c r="BO34" s="21">
        <f>Asghar!BV34+shahzad!BV34+Fahad!BV34+Asif!BV34+sumair!BV34</f>
        <v>0</v>
      </c>
      <c r="BP34" s="21">
        <f>Asghar!BZ34+shahzad!BZ34+Fahad!BZ34+Asif!BZ34+sumair!BZ34</f>
        <v>0</v>
      </c>
      <c r="BQ34" s="21">
        <f>Asghar!CD34+shahzad!CD34+Fahad!CD34+Asif!CD34+sumair!CD34</f>
        <v>0</v>
      </c>
      <c r="BR34" s="21">
        <f>Asghar!CH34+shahzad!CH34+Fahad!CH34+Asif!CH34+sumair!CH34</f>
        <v>0</v>
      </c>
      <c r="BS34" s="21">
        <f>Asghar!CL34+shahzad!CL34+Fahad!CL34+Asif!CL34+sumair!CL34</f>
        <v>0</v>
      </c>
      <c r="BT34" s="21">
        <f>Asghar!CP34+shahzad!CP34+Fahad!CP34+Asif!CP34+sumair!CP34</f>
        <v>0</v>
      </c>
      <c r="BU34" s="21">
        <f>Asghar!CT34+shahzad!CT34+Fahad!CT34+Asif!CT34+sumair!CT34</f>
        <v>0</v>
      </c>
      <c r="BV34" s="21">
        <f>Asghar!CX34+shahzad!CX34+Fahad!CX34+Asif!CX34+sumair!CX34</f>
        <v>0</v>
      </c>
      <c r="BW34" s="21">
        <f>Asghar!DB34+shahzad!DB34+Fahad!DB34+Asif!DB34+sumair!DB34</f>
        <v>0</v>
      </c>
      <c r="BX34" s="21">
        <f>Asghar!DF34+shahzad!DF34+Fahad!DF34+Asif!DF34+sumair!DF34</f>
        <v>0</v>
      </c>
      <c r="BY34" s="21">
        <f>Asghar!DJ34+shahzad!DJ34+Fahad!DJ34+Asif!DJ34+sumair!DJ34</f>
        <v>0</v>
      </c>
      <c r="BZ34" s="21">
        <f>Asghar!DN34+shahzad!DN34+Fahad!DN34+Asif!DN34+sumair!DN34</f>
        <v>0</v>
      </c>
      <c r="CA34" s="21">
        <f>Asghar!DR34+shahzad!DR34+Fahad!DR34+Asif!DR34+sumair!DR34</f>
        <v>0</v>
      </c>
      <c r="CB34" s="21">
        <f>Asghar!DV34+shahzad!DV34+Fahad!DV34+Asif!DV34+sumair!DV34</f>
        <v>0</v>
      </c>
      <c r="CC34" s="21">
        <f>Asghar!DZ34+shahzad!DZ34+Fahad!DZ34+Asif!DZ34+sumair!DZ34</f>
        <v>0</v>
      </c>
      <c r="CD34" s="54">
        <f t="shared" si="5"/>
        <v>0</v>
      </c>
      <c r="CF34" s="28">
        <f t="shared" si="6"/>
        <v>4.1666666666666664E-2</v>
      </c>
      <c r="CG34" s="30">
        <f t="shared" si="7"/>
        <v>0</v>
      </c>
      <c r="CH34" s="41">
        <f t="shared" si="8"/>
        <v>4.1666666666666664E-2</v>
      </c>
      <c r="CI34" s="53">
        <f t="shared" si="9"/>
        <v>0</v>
      </c>
      <c r="CJ34" s="42">
        <f t="shared" si="10"/>
        <v>4.1666666666666664E-2</v>
      </c>
    </row>
    <row r="35" spans="2:88" ht="12.5" customHeight="1" x14ac:dyDescent="0.35">
      <c r="B35" s="4">
        <v>106507</v>
      </c>
      <c r="C35" s="4" t="s">
        <v>41</v>
      </c>
      <c r="D35" s="4">
        <v>18</v>
      </c>
      <c r="E35" s="5">
        <v>18</v>
      </c>
      <c r="F35" s="6">
        <v>288.68044392000002</v>
      </c>
      <c r="G35" s="7"/>
      <c r="H35" s="8"/>
      <c r="I35" s="8"/>
      <c r="J35" s="13"/>
      <c r="K35" s="3"/>
      <c r="L35" s="9">
        <f t="shared" si="0"/>
        <v>0</v>
      </c>
      <c r="M35" s="10">
        <f t="shared" si="1"/>
        <v>0</v>
      </c>
      <c r="N35" s="11">
        <f t="shared" si="2"/>
        <v>0</v>
      </c>
      <c r="O35" s="3">
        <f t="shared" si="3"/>
        <v>0</v>
      </c>
      <c r="P35" s="12">
        <f t="shared" si="3"/>
        <v>0</v>
      </c>
      <c r="R35" s="21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24">
        <f t="shared" si="4"/>
        <v>0</v>
      </c>
      <c r="AY35" s="21">
        <f>Asghar!J35+shahzad!J35+Fahad!J35+Asif!J35+sumair!J35</f>
        <v>0</v>
      </c>
      <c r="AZ35" s="21">
        <f>Asghar!N35+shahzad!N35+Fahad!N35+Asif!N35+sumair!N35</f>
        <v>0</v>
      </c>
      <c r="BA35" s="21">
        <f>Asghar!R35+shahzad!R35+Fahad!R35+Asif!R35+sumair!R35</f>
        <v>0</v>
      </c>
      <c r="BB35" s="21">
        <f>Asghar!V35+shahzad!V35+Fahad!V35+Asif!V35+sumair!V35</f>
        <v>0</v>
      </c>
      <c r="BC35" s="21">
        <f>Asghar!Z35+shahzad!Z35+Fahad!Z35+Asif!Z35+sumair!Z35</f>
        <v>0</v>
      </c>
      <c r="BD35" s="21">
        <f>Asghar!AD35+shahzad!AD35+Fahad!AD35+Asif!AD35+sumair!AD35</f>
        <v>0</v>
      </c>
      <c r="BE35" s="21">
        <f>Asghar!AH35+shahzad!AH35+Fahad!AH35+Asif!AH35+sumair!AH35</f>
        <v>0</v>
      </c>
      <c r="BF35" s="21">
        <f>Asghar!AL35+shahzad!AL35+Fahad!AL35+Asif!AL35+sumair!AL35</f>
        <v>0</v>
      </c>
      <c r="BG35" s="21">
        <f>Asghar!AP35+shahzad!AP35+Fahad!AP35+Asif!AP35+sumair!AP35</f>
        <v>0</v>
      </c>
      <c r="BH35" s="21">
        <f>Asghar!AT35+shahzad!AT35+Fahad!AT35+Asif!AT35+sumair!AT35</f>
        <v>0</v>
      </c>
      <c r="BI35" s="21">
        <f>Asghar!AX35+shahzad!AX35+Fahad!AX35+Asif!AX35+sumair!AX35</f>
        <v>0</v>
      </c>
      <c r="BJ35" s="21">
        <f>Asghar!BB35+shahzad!BB35+Fahad!BB35+Asif!BB35+sumair!BB35</f>
        <v>0</v>
      </c>
      <c r="BK35" s="21">
        <f>Asghar!BF35+shahzad!BF35+Fahad!BF35+Asif!BF35+sumair!BF35</f>
        <v>0</v>
      </c>
      <c r="BL35" s="21">
        <f>Asghar!BJ35+shahzad!BJ35+Fahad!BJ35+Asif!BJ35+sumair!BJ35</f>
        <v>0</v>
      </c>
      <c r="BM35" s="21">
        <f>Asghar!BN35+shahzad!BN35+Fahad!BN35+Asif!BN35+sumair!BN35</f>
        <v>0</v>
      </c>
      <c r="BN35" s="21">
        <f>Asghar!BR35+shahzad!BR35+Fahad!BR35+Asif!BR35+sumair!BR35</f>
        <v>0</v>
      </c>
      <c r="BO35" s="21">
        <f>Asghar!BV35+shahzad!BV35+Fahad!BV35+Asif!BV35+sumair!BV35</f>
        <v>0</v>
      </c>
      <c r="BP35" s="21">
        <f>Asghar!BZ35+shahzad!BZ35+Fahad!BZ35+Asif!BZ35+sumair!BZ35</f>
        <v>0</v>
      </c>
      <c r="BQ35" s="21">
        <f>Asghar!CD35+shahzad!CD35+Fahad!CD35+Asif!CD35+sumair!CD35</f>
        <v>0</v>
      </c>
      <c r="BR35" s="21">
        <f>Asghar!CH35+shahzad!CH35+Fahad!CH35+Asif!CH35+sumair!CH35</f>
        <v>0</v>
      </c>
      <c r="BS35" s="21">
        <f>Asghar!CL35+shahzad!CL35+Fahad!CL35+Asif!CL35+sumair!CL35</f>
        <v>0</v>
      </c>
      <c r="BT35" s="21">
        <f>Asghar!CP35+shahzad!CP35+Fahad!CP35+Asif!CP35+sumair!CP35</f>
        <v>0</v>
      </c>
      <c r="BU35" s="21">
        <f>Asghar!CT35+shahzad!CT35+Fahad!CT35+Asif!CT35+sumair!CT35</f>
        <v>0</v>
      </c>
      <c r="BV35" s="21">
        <f>Asghar!CX35+shahzad!CX35+Fahad!CX35+Asif!CX35+sumair!CX35</f>
        <v>0</v>
      </c>
      <c r="BW35" s="21">
        <f>Asghar!DB35+shahzad!DB35+Fahad!DB35+Asif!DB35+sumair!DB35</f>
        <v>0</v>
      </c>
      <c r="BX35" s="21">
        <f>Asghar!DF35+shahzad!DF35+Fahad!DF35+Asif!DF35+sumair!DF35</f>
        <v>0</v>
      </c>
      <c r="BY35" s="21">
        <f>Asghar!DJ35+shahzad!DJ35+Fahad!DJ35+Asif!DJ35+sumair!DJ35</f>
        <v>0</v>
      </c>
      <c r="BZ35" s="21">
        <f>Asghar!DN35+shahzad!DN35+Fahad!DN35+Asif!DN35+sumair!DN35</f>
        <v>0</v>
      </c>
      <c r="CA35" s="21">
        <f>Asghar!DR35+shahzad!DR35+Fahad!DR35+Asif!DR35+sumair!DR35</f>
        <v>0</v>
      </c>
      <c r="CB35" s="21">
        <f>Asghar!DV35+shahzad!DV35+Fahad!DV35+Asif!DV35+sumair!DV35</f>
        <v>0</v>
      </c>
      <c r="CC35" s="21">
        <f>Asghar!DZ35+shahzad!DZ35+Fahad!DZ35+Asif!DZ35+sumair!DZ35</f>
        <v>0</v>
      </c>
      <c r="CD35" s="54">
        <f t="shared" si="5"/>
        <v>0</v>
      </c>
      <c r="CF35" s="28">
        <f t="shared" si="6"/>
        <v>0</v>
      </c>
      <c r="CG35" s="30">
        <f t="shared" si="7"/>
        <v>0</v>
      </c>
      <c r="CH35" s="41">
        <f t="shared" si="8"/>
        <v>0</v>
      </c>
      <c r="CI35" s="53">
        <f t="shared" si="9"/>
        <v>0</v>
      </c>
      <c r="CJ35" s="42">
        <f t="shared" si="10"/>
        <v>0</v>
      </c>
    </row>
    <row r="36" spans="2:88" ht="12.5" customHeight="1" x14ac:dyDescent="0.35">
      <c r="B36" s="4">
        <v>106508</v>
      </c>
      <c r="C36" s="4" t="s">
        <v>42</v>
      </c>
      <c r="D36" s="4">
        <v>12</v>
      </c>
      <c r="E36" s="5">
        <v>12</v>
      </c>
      <c r="F36" s="6">
        <v>187.195471164</v>
      </c>
      <c r="G36" s="7"/>
      <c r="H36" s="13"/>
      <c r="I36" s="13"/>
      <c r="J36" s="13"/>
      <c r="K36" s="3"/>
      <c r="L36" s="9">
        <f t="shared" si="0"/>
        <v>0</v>
      </c>
      <c r="M36" s="10">
        <f t="shared" si="1"/>
        <v>0</v>
      </c>
      <c r="N36" s="11">
        <f t="shared" si="2"/>
        <v>0</v>
      </c>
      <c r="O36" s="3">
        <f t="shared" si="3"/>
        <v>0</v>
      </c>
      <c r="P36" s="12">
        <f t="shared" si="3"/>
        <v>0</v>
      </c>
      <c r="R36" s="21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24">
        <f t="shared" si="4"/>
        <v>0</v>
      </c>
      <c r="AY36" s="21">
        <f>Asghar!J36+shahzad!J36+Fahad!J36+Asif!J36+sumair!J36</f>
        <v>0</v>
      </c>
      <c r="AZ36" s="21">
        <f>Asghar!N36+shahzad!N36+Fahad!N36+Asif!N36+sumair!N36</f>
        <v>0</v>
      </c>
      <c r="BA36" s="21">
        <f>Asghar!R36+shahzad!R36+Fahad!R36+Asif!R36+sumair!R36</f>
        <v>0</v>
      </c>
      <c r="BB36" s="21">
        <f>Asghar!V36+shahzad!V36+Fahad!V36+Asif!V36+sumair!V36</f>
        <v>0</v>
      </c>
      <c r="BC36" s="21">
        <f>Asghar!Z36+shahzad!Z36+Fahad!Z36+Asif!Z36+sumair!Z36</f>
        <v>0</v>
      </c>
      <c r="BD36" s="21">
        <f>Asghar!AD36+shahzad!AD36+Fahad!AD36+Asif!AD36+sumair!AD36</f>
        <v>0</v>
      </c>
      <c r="BE36" s="21">
        <f>Asghar!AH36+shahzad!AH36+Fahad!AH36+Asif!AH36+sumair!AH36</f>
        <v>0</v>
      </c>
      <c r="BF36" s="21">
        <f>Asghar!AL36+shahzad!AL36+Fahad!AL36+Asif!AL36+sumair!AL36</f>
        <v>0</v>
      </c>
      <c r="BG36" s="21">
        <f>Asghar!AP36+shahzad!AP36+Fahad!AP36+Asif!AP36+sumair!AP36</f>
        <v>0</v>
      </c>
      <c r="BH36" s="21">
        <f>Asghar!AT36+shahzad!AT36+Fahad!AT36+Asif!AT36+sumair!AT36</f>
        <v>0</v>
      </c>
      <c r="BI36" s="21">
        <f>Asghar!AX36+shahzad!AX36+Fahad!AX36+Asif!AX36+sumair!AX36</f>
        <v>0</v>
      </c>
      <c r="BJ36" s="21">
        <f>Asghar!BB36+shahzad!BB36+Fahad!BB36+Asif!BB36+sumair!BB36</f>
        <v>0</v>
      </c>
      <c r="BK36" s="21">
        <f>Asghar!BF36+shahzad!BF36+Fahad!BF36+Asif!BF36+sumair!BF36</f>
        <v>0</v>
      </c>
      <c r="BL36" s="21">
        <f>Asghar!BJ36+shahzad!BJ36+Fahad!BJ36+Asif!BJ36+sumair!BJ36</f>
        <v>0</v>
      </c>
      <c r="BM36" s="21">
        <f>Asghar!BN36+shahzad!BN36+Fahad!BN36+Asif!BN36+sumair!BN36</f>
        <v>0</v>
      </c>
      <c r="BN36" s="21">
        <f>Asghar!BR36+shahzad!BR36+Fahad!BR36+Asif!BR36+sumair!BR36</f>
        <v>0</v>
      </c>
      <c r="BO36" s="21">
        <f>Asghar!BV36+shahzad!BV36+Fahad!BV36+Asif!BV36+sumair!BV36</f>
        <v>0</v>
      </c>
      <c r="BP36" s="21">
        <f>Asghar!BZ36+shahzad!BZ36+Fahad!BZ36+Asif!BZ36+sumair!BZ36</f>
        <v>0</v>
      </c>
      <c r="BQ36" s="21">
        <f>Asghar!CD36+shahzad!CD36+Fahad!CD36+Asif!CD36+sumair!CD36</f>
        <v>0</v>
      </c>
      <c r="BR36" s="21">
        <f>Asghar!CH36+shahzad!CH36+Fahad!CH36+Asif!CH36+sumair!CH36</f>
        <v>0</v>
      </c>
      <c r="BS36" s="21">
        <f>Asghar!CL36+shahzad!CL36+Fahad!CL36+Asif!CL36+sumair!CL36</f>
        <v>0</v>
      </c>
      <c r="BT36" s="21">
        <f>Asghar!CP36+shahzad!CP36+Fahad!CP36+Asif!CP36+sumair!CP36</f>
        <v>0</v>
      </c>
      <c r="BU36" s="21">
        <f>Asghar!CT36+shahzad!CT36+Fahad!CT36+Asif!CT36+sumair!CT36</f>
        <v>0</v>
      </c>
      <c r="BV36" s="21">
        <f>Asghar!CX36+shahzad!CX36+Fahad!CX36+Asif!CX36+sumair!CX36</f>
        <v>0</v>
      </c>
      <c r="BW36" s="21">
        <f>Asghar!DB36+shahzad!DB36+Fahad!DB36+Asif!DB36+sumair!DB36</f>
        <v>0</v>
      </c>
      <c r="BX36" s="21">
        <f>Asghar!DF36+shahzad!DF36+Fahad!DF36+Asif!DF36+sumair!DF36</f>
        <v>0</v>
      </c>
      <c r="BY36" s="21">
        <f>Asghar!DJ36+shahzad!DJ36+Fahad!DJ36+Asif!DJ36+sumair!DJ36</f>
        <v>0</v>
      </c>
      <c r="BZ36" s="21">
        <f>Asghar!DN36+shahzad!DN36+Fahad!DN36+Asif!DN36+sumair!DN36</f>
        <v>0</v>
      </c>
      <c r="CA36" s="21">
        <f>Asghar!DR36+shahzad!DR36+Fahad!DR36+Asif!DR36+sumair!DR36</f>
        <v>0</v>
      </c>
      <c r="CB36" s="21">
        <f>Asghar!DV36+shahzad!DV36+Fahad!DV36+Asif!DV36+sumair!DV36</f>
        <v>0</v>
      </c>
      <c r="CC36" s="21">
        <f>Asghar!DZ36+shahzad!DZ36+Fahad!DZ36+Asif!DZ36+sumair!DZ36</f>
        <v>0</v>
      </c>
      <c r="CD36" s="54">
        <f t="shared" si="5"/>
        <v>0</v>
      </c>
      <c r="CF36" s="28">
        <f t="shared" si="6"/>
        <v>0</v>
      </c>
      <c r="CG36" s="30">
        <f t="shared" si="7"/>
        <v>0</v>
      </c>
      <c r="CH36" s="41">
        <f t="shared" si="8"/>
        <v>0</v>
      </c>
      <c r="CI36" s="53">
        <f t="shared" si="9"/>
        <v>0</v>
      </c>
      <c r="CJ36" s="42">
        <f t="shared" si="10"/>
        <v>0</v>
      </c>
    </row>
    <row r="37" spans="2:88" ht="12.5" customHeight="1" x14ac:dyDescent="0.35">
      <c r="B37" s="4">
        <v>106509</v>
      </c>
      <c r="C37" s="4" t="s">
        <v>43</v>
      </c>
      <c r="D37" s="4">
        <v>12</v>
      </c>
      <c r="E37" s="5">
        <v>12</v>
      </c>
      <c r="F37" s="6">
        <v>475.78878293999998</v>
      </c>
      <c r="G37" s="7"/>
      <c r="H37" s="13"/>
      <c r="I37" s="13"/>
      <c r="J37" s="13"/>
      <c r="K37" s="3"/>
      <c r="L37" s="9">
        <f t="shared" si="0"/>
        <v>0</v>
      </c>
      <c r="M37" s="10">
        <f t="shared" si="1"/>
        <v>0</v>
      </c>
      <c r="N37" s="11">
        <f t="shared" si="2"/>
        <v>0</v>
      </c>
      <c r="O37" s="3">
        <f t="shared" si="3"/>
        <v>0</v>
      </c>
      <c r="P37" s="12">
        <f t="shared" si="3"/>
        <v>0</v>
      </c>
      <c r="R37" s="21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24">
        <f t="shared" si="4"/>
        <v>0</v>
      </c>
      <c r="AY37" s="21">
        <f>Asghar!J37+shahzad!J37+Fahad!J37+Asif!J37+sumair!J37</f>
        <v>0</v>
      </c>
      <c r="AZ37" s="21">
        <f>Asghar!N37+shahzad!N37+Fahad!N37+Asif!N37+sumair!N37</f>
        <v>0</v>
      </c>
      <c r="BA37" s="21">
        <f>Asghar!R37+shahzad!R37+Fahad!R37+Asif!R37+sumair!R37</f>
        <v>0</v>
      </c>
      <c r="BB37" s="21">
        <f>Asghar!V37+shahzad!V37+Fahad!V37+Asif!V37+sumair!V37</f>
        <v>0</v>
      </c>
      <c r="BC37" s="21">
        <f>Asghar!Z37+shahzad!Z37+Fahad!Z37+Asif!Z37+sumair!Z37</f>
        <v>0</v>
      </c>
      <c r="BD37" s="21">
        <f>Asghar!AD37+shahzad!AD37+Fahad!AD37+Asif!AD37+sumair!AD37</f>
        <v>0</v>
      </c>
      <c r="BE37" s="21">
        <f>Asghar!AH37+shahzad!AH37+Fahad!AH37+Asif!AH37+sumair!AH37</f>
        <v>0</v>
      </c>
      <c r="BF37" s="21">
        <f>Asghar!AL37+shahzad!AL37+Fahad!AL37+Asif!AL37+sumair!AL37</f>
        <v>0</v>
      </c>
      <c r="BG37" s="21">
        <f>Asghar!AP37+shahzad!AP37+Fahad!AP37+Asif!AP37+sumair!AP37</f>
        <v>0</v>
      </c>
      <c r="BH37" s="21">
        <f>Asghar!AT37+shahzad!AT37+Fahad!AT37+Asif!AT37+sumair!AT37</f>
        <v>0</v>
      </c>
      <c r="BI37" s="21">
        <f>Asghar!AX37+shahzad!AX37+Fahad!AX37+Asif!AX37+sumair!AX37</f>
        <v>0</v>
      </c>
      <c r="BJ37" s="21">
        <f>Asghar!BB37+shahzad!BB37+Fahad!BB37+Asif!BB37+sumair!BB37</f>
        <v>0</v>
      </c>
      <c r="BK37" s="21">
        <f>Asghar!BF37+shahzad!BF37+Fahad!BF37+Asif!BF37+sumair!BF37</f>
        <v>0</v>
      </c>
      <c r="BL37" s="21">
        <f>Asghar!BJ37+shahzad!BJ37+Fahad!BJ37+Asif!BJ37+sumair!BJ37</f>
        <v>0</v>
      </c>
      <c r="BM37" s="21">
        <f>Asghar!BN37+shahzad!BN37+Fahad!BN37+Asif!BN37+sumair!BN37</f>
        <v>0</v>
      </c>
      <c r="BN37" s="21">
        <f>Asghar!BR37+shahzad!BR37+Fahad!BR37+Asif!BR37+sumair!BR37</f>
        <v>0</v>
      </c>
      <c r="BO37" s="21">
        <f>Asghar!BV37+shahzad!BV37+Fahad!BV37+Asif!BV37+sumair!BV37</f>
        <v>0</v>
      </c>
      <c r="BP37" s="21">
        <f>Asghar!BZ37+shahzad!BZ37+Fahad!BZ37+Asif!BZ37+sumair!BZ37</f>
        <v>0</v>
      </c>
      <c r="BQ37" s="21">
        <f>Asghar!CD37+shahzad!CD37+Fahad!CD37+Asif!CD37+sumair!CD37</f>
        <v>0</v>
      </c>
      <c r="BR37" s="21">
        <f>Asghar!CH37+shahzad!CH37+Fahad!CH37+Asif!CH37+sumair!CH37</f>
        <v>0</v>
      </c>
      <c r="BS37" s="21">
        <f>Asghar!CL37+shahzad!CL37+Fahad!CL37+Asif!CL37+sumair!CL37</f>
        <v>0</v>
      </c>
      <c r="BT37" s="21">
        <f>Asghar!CP37+shahzad!CP37+Fahad!CP37+Asif!CP37+sumair!CP37</f>
        <v>0</v>
      </c>
      <c r="BU37" s="21">
        <f>Asghar!CT37+shahzad!CT37+Fahad!CT37+Asif!CT37+sumair!CT37</f>
        <v>0</v>
      </c>
      <c r="BV37" s="21">
        <f>Asghar!CX37+shahzad!CX37+Fahad!CX37+Asif!CX37+sumair!CX37</f>
        <v>0</v>
      </c>
      <c r="BW37" s="21">
        <f>Asghar!DB37+shahzad!DB37+Fahad!DB37+Asif!DB37+sumair!DB37</f>
        <v>0</v>
      </c>
      <c r="BX37" s="21">
        <f>Asghar!DF37+shahzad!DF37+Fahad!DF37+Asif!DF37+sumair!DF37</f>
        <v>0</v>
      </c>
      <c r="BY37" s="21">
        <f>Asghar!DJ37+shahzad!DJ37+Fahad!DJ37+Asif!DJ37+sumair!DJ37</f>
        <v>0</v>
      </c>
      <c r="BZ37" s="21">
        <f>Asghar!DN37+shahzad!DN37+Fahad!DN37+Asif!DN37+sumair!DN37</f>
        <v>0</v>
      </c>
      <c r="CA37" s="21">
        <f>Asghar!DR37+shahzad!DR37+Fahad!DR37+Asif!DR37+sumair!DR37</f>
        <v>0</v>
      </c>
      <c r="CB37" s="21">
        <f>Asghar!DV37+shahzad!DV37+Fahad!DV37+Asif!DV37+sumair!DV37</f>
        <v>0</v>
      </c>
      <c r="CC37" s="21">
        <f>Asghar!DZ37+shahzad!DZ37+Fahad!DZ37+Asif!DZ37+sumair!DZ37</f>
        <v>0</v>
      </c>
      <c r="CD37" s="54">
        <f t="shared" si="5"/>
        <v>0</v>
      </c>
      <c r="CF37" s="28">
        <f t="shared" si="6"/>
        <v>0</v>
      </c>
      <c r="CG37" s="30">
        <f t="shared" si="7"/>
        <v>0</v>
      </c>
      <c r="CH37" s="41">
        <f t="shared" si="8"/>
        <v>0</v>
      </c>
      <c r="CI37" s="53">
        <f t="shared" si="9"/>
        <v>0</v>
      </c>
      <c r="CJ37" s="42">
        <f t="shared" si="10"/>
        <v>0</v>
      </c>
    </row>
    <row r="38" spans="2:88" ht="12.5" customHeight="1" x14ac:dyDescent="0.35">
      <c r="B38" s="4">
        <v>106515</v>
      </c>
      <c r="C38" s="4" t="s">
        <v>44</v>
      </c>
      <c r="D38" s="4">
        <v>12</v>
      </c>
      <c r="E38" s="5">
        <v>12</v>
      </c>
      <c r="F38" s="6">
        <v>190.17517436</v>
      </c>
      <c r="G38" s="7"/>
      <c r="H38" s="13"/>
      <c r="I38" s="13"/>
      <c r="J38" s="13"/>
      <c r="K38" s="3"/>
      <c r="L38" s="9">
        <f t="shared" si="0"/>
        <v>0</v>
      </c>
      <c r="M38" s="10">
        <f t="shared" si="1"/>
        <v>0</v>
      </c>
      <c r="N38" s="11">
        <f t="shared" si="2"/>
        <v>0</v>
      </c>
      <c r="O38" s="3">
        <f t="shared" si="3"/>
        <v>0</v>
      </c>
      <c r="P38" s="12">
        <f t="shared" si="3"/>
        <v>0</v>
      </c>
      <c r="R38" s="21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24">
        <f t="shared" si="4"/>
        <v>0</v>
      </c>
      <c r="AY38" s="21">
        <f>Asghar!J38+shahzad!J38+Fahad!J38+Asif!J38+sumair!J38</f>
        <v>0</v>
      </c>
      <c r="AZ38" s="21">
        <f>Asghar!N38+shahzad!N38+Fahad!N38+Asif!N38+sumair!N38</f>
        <v>0</v>
      </c>
      <c r="BA38" s="21">
        <f>Asghar!R38+shahzad!R38+Fahad!R38+Asif!R38+sumair!R38</f>
        <v>0</v>
      </c>
      <c r="BB38" s="21">
        <f>Asghar!V38+shahzad!V38+Fahad!V38+Asif!V38+sumair!V38</f>
        <v>0</v>
      </c>
      <c r="BC38" s="21">
        <f>Asghar!Z38+shahzad!Z38+Fahad!Z38+Asif!Z38+sumair!Z38</f>
        <v>0</v>
      </c>
      <c r="BD38" s="21">
        <f>Asghar!AD38+shahzad!AD38+Fahad!AD38+Asif!AD38+sumair!AD38</f>
        <v>0</v>
      </c>
      <c r="BE38" s="21">
        <f>Asghar!AH38+shahzad!AH38+Fahad!AH38+Asif!AH38+sumair!AH38</f>
        <v>0</v>
      </c>
      <c r="BF38" s="21">
        <f>Asghar!AL38+shahzad!AL38+Fahad!AL38+Asif!AL38+sumair!AL38</f>
        <v>0</v>
      </c>
      <c r="BG38" s="21">
        <f>Asghar!AP38+shahzad!AP38+Fahad!AP38+Asif!AP38+sumair!AP38</f>
        <v>0</v>
      </c>
      <c r="BH38" s="21">
        <f>Asghar!AT38+shahzad!AT38+Fahad!AT38+Asif!AT38+sumair!AT38</f>
        <v>0</v>
      </c>
      <c r="BI38" s="21">
        <f>Asghar!AX38+shahzad!AX38+Fahad!AX38+Asif!AX38+sumair!AX38</f>
        <v>0</v>
      </c>
      <c r="BJ38" s="21">
        <f>Asghar!BB38+shahzad!BB38+Fahad!BB38+Asif!BB38+sumair!BB38</f>
        <v>0</v>
      </c>
      <c r="BK38" s="21">
        <f>Asghar!BF38+shahzad!BF38+Fahad!BF38+Asif!BF38+sumair!BF38</f>
        <v>0</v>
      </c>
      <c r="BL38" s="21">
        <f>Asghar!BJ38+shahzad!BJ38+Fahad!BJ38+Asif!BJ38+sumair!BJ38</f>
        <v>0</v>
      </c>
      <c r="BM38" s="21">
        <f>Asghar!BN38+shahzad!BN38+Fahad!BN38+Asif!BN38+sumair!BN38</f>
        <v>0</v>
      </c>
      <c r="BN38" s="21">
        <f>Asghar!BR38+shahzad!BR38+Fahad!BR38+Asif!BR38+sumair!BR38</f>
        <v>0</v>
      </c>
      <c r="BO38" s="21">
        <f>Asghar!BV38+shahzad!BV38+Fahad!BV38+Asif!BV38+sumair!BV38</f>
        <v>0</v>
      </c>
      <c r="BP38" s="21">
        <f>Asghar!BZ38+shahzad!BZ38+Fahad!BZ38+Asif!BZ38+sumair!BZ38</f>
        <v>0</v>
      </c>
      <c r="BQ38" s="21">
        <f>Asghar!CD38+shahzad!CD38+Fahad!CD38+Asif!CD38+sumair!CD38</f>
        <v>0</v>
      </c>
      <c r="BR38" s="21">
        <f>Asghar!CH38+shahzad!CH38+Fahad!CH38+Asif!CH38+sumair!CH38</f>
        <v>0</v>
      </c>
      <c r="BS38" s="21">
        <f>Asghar!CL38+shahzad!CL38+Fahad!CL38+Asif!CL38+sumair!CL38</f>
        <v>0</v>
      </c>
      <c r="BT38" s="21">
        <f>Asghar!CP38+shahzad!CP38+Fahad!CP38+Asif!CP38+sumair!CP38</f>
        <v>0</v>
      </c>
      <c r="BU38" s="21">
        <f>Asghar!CT38+shahzad!CT38+Fahad!CT38+Asif!CT38+sumair!CT38</f>
        <v>0</v>
      </c>
      <c r="BV38" s="21">
        <f>Asghar!CX38+shahzad!CX38+Fahad!CX38+Asif!CX38+sumair!CX38</f>
        <v>0</v>
      </c>
      <c r="BW38" s="21">
        <f>Asghar!DB38+shahzad!DB38+Fahad!DB38+Asif!DB38+sumair!DB38</f>
        <v>0</v>
      </c>
      <c r="BX38" s="21">
        <f>Asghar!DF38+shahzad!DF38+Fahad!DF38+Asif!DF38+sumair!DF38</f>
        <v>0</v>
      </c>
      <c r="BY38" s="21">
        <f>Asghar!DJ38+shahzad!DJ38+Fahad!DJ38+Asif!DJ38+sumair!DJ38</f>
        <v>0</v>
      </c>
      <c r="BZ38" s="21">
        <f>Asghar!DN38+shahzad!DN38+Fahad!DN38+Asif!DN38+sumair!DN38</f>
        <v>0</v>
      </c>
      <c r="CA38" s="21">
        <f>Asghar!DR38+shahzad!DR38+Fahad!DR38+Asif!DR38+sumair!DR38</f>
        <v>0</v>
      </c>
      <c r="CB38" s="21">
        <f>Asghar!DV38+shahzad!DV38+Fahad!DV38+Asif!DV38+sumair!DV38</f>
        <v>0</v>
      </c>
      <c r="CC38" s="21">
        <f>Asghar!DZ38+shahzad!DZ38+Fahad!DZ38+Asif!DZ38+sumair!DZ38</f>
        <v>0</v>
      </c>
      <c r="CD38" s="54">
        <f t="shared" si="5"/>
        <v>0</v>
      </c>
      <c r="CF38" s="28">
        <f t="shared" si="6"/>
        <v>0</v>
      </c>
      <c r="CG38" s="30">
        <f t="shared" si="7"/>
        <v>0</v>
      </c>
      <c r="CH38" s="41">
        <f t="shared" si="8"/>
        <v>0</v>
      </c>
      <c r="CI38" s="53">
        <f t="shared" si="9"/>
        <v>0</v>
      </c>
      <c r="CJ38" s="42">
        <f t="shared" si="10"/>
        <v>0</v>
      </c>
    </row>
    <row r="39" spans="2:88" ht="12.5" customHeight="1" x14ac:dyDescent="0.35">
      <c r="B39" s="4">
        <v>106526</v>
      </c>
      <c r="C39" s="4" t="s">
        <v>45</v>
      </c>
      <c r="D39" s="4">
        <v>24</v>
      </c>
      <c r="E39" s="5">
        <v>18</v>
      </c>
      <c r="F39" s="6">
        <v>189.29879107400001</v>
      </c>
      <c r="G39" s="7"/>
      <c r="H39" s="8">
        <v>11</v>
      </c>
      <c r="I39" s="8">
        <v>9</v>
      </c>
      <c r="J39" s="13"/>
      <c r="K39" s="3"/>
      <c r="L39" s="9">
        <f t="shared" si="0"/>
        <v>0.5</v>
      </c>
      <c r="M39" s="10">
        <f t="shared" si="1"/>
        <v>0.5</v>
      </c>
      <c r="N39" s="11">
        <f t="shared" si="2"/>
        <v>11.5</v>
      </c>
      <c r="O39" s="3">
        <f t="shared" si="3"/>
        <v>207</v>
      </c>
      <c r="P39" s="12">
        <f t="shared" si="3"/>
        <v>39184.849752318005</v>
      </c>
      <c r="R39" s="21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24">
        <f t="shared" si="4"/>
        <v>0</v>
      </c>
      <c r="AY39" s="21">
        <f>Asghar!J39+shahzad!J39+Fahad!J39+Asif!J39+sumair!J39</f>
        <v>0</v>
      </c>
      <c r="AZ39" s="21">
        <f>Asghar!N39+shahzad!N39+Fahad!N39+Asif!N39+sumair!N39</f>
        <v>0</v>
      </c>
      <c r="BA39" s="21">
        <f>Asghar!R39+shahzad!R39+Fahad!R39+Asif!R39+sumair!R39</f>
        <v>0</v>
      </c>
      <c r="BB39" s="21">
        <f>Asghar!V39+shahzad!V39+Fahad!V39+Asif!V39+sumair!V39</f>
        <v>0</v>
      </c>
      <c r="BC39" s="21">
        <f>Asghar!Z39+shahzad!Z39+Fahad!Z39+Asif!Z39+sumair!Z39</f>
        <v>0</v>
      </c>
      <c r="BD39" s="21">
        <f>Asghar!AD39+shahzad!AD39+Fahad!AD39+Asif!AD39+sumair!AD39</f>
        <v>0</v>
      </c>
      <c r="BE39" s="21">
        <f>Asghar!AH39+shahzad!AH39+Fahad!AH39+Asif!AH39+sumair!AH39</f>
        <v>0</v>
      </c>
      <c r="BF39" s="21">
        <f>Asghar!AL39+shahzad!AL39+Fahad!AL39+Asif!AL39+sumair!AL39</f>
        <v>0</v>
      </c>
      <c r="BG39" s="21">
        <f>Asghar!AP39+shahzad!AP39+Fahad!AP39+Asif!AP39+sumair!AP39</f>
        <v>0</v>
      </c>
      <c r="BH39" s="21">
        <f>Asghar!AT39+shahzad!AT39+Fahad!AT39+Asif!AT39+sumair!AT39</f>
        <v>0</v>
      </c>
      <c r="BI39" s="21">
        <f>Asghar!AX39+shahzad!AX39+Fahad!AX39+Asif!AX39+sumair!AX39</f>
        <v>0</v>
      </c>
      <c r="BJ39" s="21">
        <f>Asghar!BB39+shahzad!BB39+Fahad!BB39+Asif!BB39+sumair!BB39</f>
        <v>0</v>
      </c>
      <c r="BK39" s="21">
        <f>Asghar!BF39+shahzad!BF39+Fahad!BF39+Asif!BF39+sumair!BF39</f>
        <v>0</v>
      </c>
      <c r="BL39" s="21">
        <f>Asghar!BJ39+shahzad!BJ39+Fahad!BJ39+Asif!BJ39+sumair!BJ39</f>
        <v>0</v>
      </c>
      <c r="BM39" s="21">
        <f>Asghar!BN39+shahzad!BN39+Fahad!BN39+Asif!BN39+sumair!BN39</f>
        <v>0</v>
      </c>
      <c r="BN39" s="21">
        <f>Asghar!BR39+shahzad!BR39+Fahad!BR39+Asif!BR39+sumair!BR39</f>
        <v>0</v>
      </c>
      <c r="BO39" s="21">
        <f>Asghar!BV39+shahzad!BV39+Fahad!BV39+Asif!BV39+sumair!BV39</f>
        <v>0</v>
      </c>
      <c r="BP39" s="21">
        <f>Asghar!BZ39+shahzad!BZ39+Fahad!BZ39+Asif!BZ39+sumair!BZ39</f>
        <v>0</v>
      </c>
      <c r="BQ39" s="21">
        <f>Asghar!CD39+shahzad!CD39+Fahad!CD39+Asif!CD39+sumair!CD39</f>
        <v>0</v>
      </c>
      <c r="BR39" s="21">
        <f>Asghar!CH39+shahzad!CH39+Fahad!CH39+Asif!CH39+sumair!CH39</f>
        <v>0</v>
      </c>
      <c r="BS39" s="21">
        <f>Asghar!CL39+shahzad!CL39+Fahad!CL39+Asif!CL39+sumair!CL39</f>
        <v>0</v>
      </c>
      <c r="BT39" s="21">
        <f>Asghar!CP39+shahzad!CP39+Fahad!CP39+Asif!CP39+sumair!CP39</f>
        <v>0</v>
      </c>
      <c r="BU39" s="21">
        <f>Asghar!CT39+shahzad!CT39+Fahad!CT39+Asif!CT39+sumair!CT39</f>
        <v>0</v>
      </c>
      <c r="BV39" s="21">
        <f>Asghar!CX39+shahzad!CX39+Fahad!CX39+Asif!CX39+sumair!CX39</f>
        <v>0</v>
      </c>
      <c r="BW39" s="21">
        <f>Asghar!DB39+shahzad!DB39+Fahad!DB39+Asif!DB39+sumair!DB39</f>
        <v>0</v>
      </c>
      <c r="BX39" s="21">
        <f>Asghar!DF39+shahzad!DF39+Fahad!DF39+Asif!DF39+sumair!DF39</f>
        <v>0</v>
      </c>
      <c r="BY39" s="21">
        <f>Asghar!DJ39+shahzad!DJ39+Fahad!DJ39+Asif!DJ39+sumair!DJ39</f>
        <v>0</v>
      </c>
      <c r="BZ39" s="21">
        <f>Asghar!DN39+shahzad!DN39+Fahad!DN39+Asif!DN39+sumair!DN39</f>
        <v>0</v>
      </c>
      <c r="CA39" s="21">
        <f>Asghar!DR39+shahzad!DR39+Fahad!DR39+Asif!DR39+sumair!DR39</f>
        <v>0</v>
      </c>
      <c r="CB39" s="21">
        <f>Asghar!DV39+shahzad!DV39+Fahad!DV39+Asif!DV39+sumair!DV39</f>
        <v>0</v>
      </c>
      <c r="CC39" s="21">
        <f>Asghar!DZ39+shahzad!DZ39+Fahad!DZ39+Asif!DZ39+sumair!DZ39</f>
        <v>0</v>
      </c>
      <c r="CD39" s="54">
        <f t="shared" si="5"/>
        <v>0</v>
      </c>
      <c r="CF39" s="28">
        <f t="shared" si="6"/>
        <v>11.5</v>
      </c>
      <c r="CG39" s="30">
        <f t="shared" si="7"/>
        <v>0</v>
      </c>
      <c r="CH39" s="41">
        <f t="shared" si="8"/>
        <v>11.5</v>
      </c>
      <c r="CI39" s="53">
        <f t="shared" si="9"/>
        <v>0</v>
      </c>
      <c r="CJ39" s="42">
        <f t="shared" si="10"/>
        <v>11.5</v>
      </c>
    </row>
    <row r="40" spans="2:88" ht="12.5" customHeight="1" x14ac:dyDescent="0.35">
      <c r="B40" s="4">
        <v>106527</v>
      </c>
      <c r="C40" s="4" t="s">
        <v>46</v>
      </c>
      <c r="D40" s="4">
        <v>24</v>
      </c>
      <c r="E40" s="5">
        <v>18</v>
      </c>
      <c r="F40" s="6">
        <v>189.29879107400001</v>
      </c>
      <c r="G40" s="7"/>
      <c r="H40" s="8">
        <v>7</v>
      </c>
      <c r="I40" s="13">
        <v>16</v>
      </c>
      <c r="J40" s="13"/>
      <c r="K40" s="3"/>
      <c r="L40" s="9">
        <f t="shared" si="0"/>
        <v>0.88888888888888884</v>
      </c>
      <c r="M40" s="10">
        <f t="shared" si="1"/>
        <v>0.88888888888888884</v>
      </c>
      <c r="N40" s="11">
        <f t="shared" si="2"/>
        <v>7.8888888888888893</v>
      </c>
      <c r="O40" s="3">
        <f t="shared" si="3"/>
        <v>142</v>
      </c>
      <c r="P40" s="12">
        <f t="shared" si="3"/>
        <v>26880.428332508</v>
      </c>
      <c r="R40" s="21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24">
        <f t="shared" si="4"/>
        <v>0</v>
      </c>
      <c r="AY40" s="21">
        <f>Asghar!J40+shahzad!J40+Fahad!J40+Asif!J40+sumair!J40</f>
        <v>0</v>
      </c>
      <c r="AZ40" s="21">
        <f>Asghar!N40+shahzad!N40+Fahad!N40+Asif!N40+sumair!N40</f>
        <v>0</v>
      </c>
      <c r="BA40" s="21">
        <f>Asghar!R40+shahzad!R40+Fahad!R40+Asif!R40+sumair!R40</f>
        <v>0</v>
      </c>
      <c r="BB40" s="21">
        <f>Asghar!V40+shahzad!V40+Fahad!V40+Asif!V40+sumair!V40</f>
        <v>0</v>
      </c>
      <c r="BC40" s="21">
        <f>Asghar!Z40+shahzad!Z40+Fahad!Z40+Asif!Z40+sumair!Z40</f>
        <v>0</v>
      </c>
      <c r="BD40" s="21">
        <f>Asghar!AD40+shahzad!AD40+Fahad!AD40+Asif!AD40+sumair!AD40</f>
        <v>0</v>
      </c>
      <c r="BE40" s="21">
        <f>Asghar!AH40+shahzad!AH40+Fahad!AH40+Asif!AH40+sumair!AH40</f>
        <v>0</v>
      </c>
      <c r="BF40" s="21">
        <f>Asghar!AL40+shahzad!AL40+Fahad!AL40+Asif!AL40+sumair!AL40</f>
        <v>0</v>
      </c>
      <c r="BG40" s="21">
        <f>Asghar!AP40+shahzad!AP40+Fahad!AP40+Asif!AP40+sumair!AP40</f>
        <v>0</v>
      </c>
      <c r="BH40" s="21">
        <f>Asghar!AT40+shahzad!AT40+Fahad!AT40+Asif!AT40+sumair!AT40</f>
        <v>0</v>
      </c>
      <c r="BI40" s="21">
        <f>Asghar!AX40+shahzad!AX40+Fahad!AX40+Asif!AX40+sumair!AX40</f>
        <v>0</v>
      </c>
      <c r="BJ40" s="21">
        <f>Asghar!BB40+shahzad!BB40+Fahad!BB40+Asif!BB40+sumair!BB40</f>
        <v>0</v>
      </c>
      <c r="BK40" s="21">
        <f>Asghar!BF40+shahzad!BF40+Fahad!BF40+Asif!BF40+sumair!BF40</f>
        <v>0</v>
      </c>
      <c r="BL40" s="21">
        <f>Asghar!BJ40+shahzad!BJ40+Fahad!BJ40+Asif!BJ40+sumair!BJ40</f>
        <v>0</v>
      </c>
      <c r="BM40" s="21">
        <f>Asghar!BN40+shahzad!BN40+Fahad!BN40+Asif!BN40+sumair!BN40</f>
        <v>0</v>
      </c>
      <c r="BN40" s="21">
        <f>Asghar!BR40+shahzad!BR40+Fahad!BR40+Asif!BR40+sumair!BR40</f>
        <v>0</v>
      </c>
      <c r="BO40" s="21">
        <f>Asghar!BV40+shahzad!BV40+Fahad!BV40+Asif!BV40+sumair!BV40</f>
        <v>0</v>
      </c>
      <c r="BP40" s="21">
        <f>Asghar!BZ40+shahzad!BZ40+Fahad!BZ40+Asif!BZ40+sumair!BZ40</f>
        <v>0</v>
      </c>
      <c r="BQ40" s="21">
        <f>Asghar!CD40+shahzad!CD40+Fahad!CD40+Asif!CD40+sumair!CD40</f>
        <v>0</v>
      </c>
      <c r="BR40" s="21">
        <f>Asghar!CH40+shahzad!CH40+Fahad!CH40+Asif!CH40+sumair!CH40</f>
        <v>0</v>
      </c>
      <c r="BS40" s="21">
        <f>Asghar!CL40+shahzad!CL40+Fahad!CL40+Asif!CL40+sumair!CL40</f>
        <v>0</v>
      </c>
      <c r="BT40" s="21">
        <f>Asghar!CP40+shahzad!CP40+Fahad!CP40+Asif!CP40+sumair!CP40</f>
        <v>0</v>
      </c>
      <c r="BU40" s="21">
        <f>Asghar!CT40+shahzad!CT40+Fahad!CT40+Asif!CT40+sumair!CT40</f>
        <v>0</v>
      </c>
      <c r="BV40" s="21">
        <f>Asghar!CX40+shahzad!CX40+Fahad!CX40+Asif!CX40+sumair!CX40</f>
        <v>0</v>
      </c>
      <c r="BW40" s="21">
        <f>Asghar!DB40+shahzad!DB40+Fahad!DB40+Asif!DB40+sumair!DB40</f>
        <v>0</v>
      </c>
      <c r="BX40" s="21">
        <f>Asghar!DF40+shahzad!DF40+Fahad!DF40+Asif!DF40+sumair!DF40</f>
        <v>0</v>
      </c>
      <c r="BY40" s="21">
        <f>Asghar!DJ40+shahzad!DJ40+Fahad!DJ40+Asif!DJ40+sumair!DJ40</f>
        <v>0</v>
      </c>
      <c r="BZ40" s="21">
        <f>Asghar!DN40+shahzad!DN40+Fahad!DN40+Asif!DN40+sumair!DN40</f>
        <v>0</v>
      </c>
      <c r="CA40" s="21">
        <f>Asghar!DR40+shahzad!DR40+Fahad!DR40+Asif!DR40+sumair!DR40</f>
        <v>0</v>
      </c>
      <c r="CB40" s="21">
        <f>Asghar!DV40+shahzad!DV40+Fahad!DV40+Asif!DV40+sumair!DV40</f>
        <v>0</v>
      </c>
      <c r="CC40" s="21">
        <f>Asghar!DZ40+shahzad!DZ40+Fahad!DZ40+Asif!DZ40+sumair!DZ40</f>
        <v>0</v>
      </c>
      <c r="CD40" s="54">
        <f t="shared" si="5"/>
        <v>0</v>
      </c>
      <c r="CF40" s="28">
        <f t="shared" si="6"/>
        <v>7.8888888888888893</v>
      </c>
      <c r="CG40" s="30">
        <f t="shared" si="7"/>
        <v>0</v>
      </c>
      <c r="CH40" s="41">
        <f t="shared" si="8"/>
        <v>7.8888888888888893</v>
      </c>
      <c r="CI40" s="53">
        <f t="shared" si="9"/>
        <v>0</v>
      </c>
      <c r="CJ40" s="42">
        <f t="shared" si="10"/>
        <v>7.8888888888888893</v>
      </c>
    </row>
    <row r="41" spans="2:88" ht="12.5" customHeight="1" x14ac:dyDescent="0.35">
      <c r="B41" s="4">
        <v>106528</v>
      </c>
      <c r="C41" s="4" t="s">
        <v>47</v>
      </c>
      <c r="D41" s="4">
        <v>24</v>
      </c>
      <c r="E41" s="5">
        <v>18</v>
      </c>
      <c r="F41" s="6">
        <v>189.29879107400001</v>
      </c>
      <c r="G41" s="7"/>
      <c r="H41" s="8">
        <v>4</v>
      </c>
      <c r="I41" s="8">
        <v>3</v>
      </c>
      <c r="J41" s="13"/>
      <c r="K41" s="3"/>
      <c r="L41" s="9">
        <f t="shared" si="0"/>
        <v>0.16666666666666666</v>
      </c>
      <c r="M41" s="10">
        <f t="shared" si="1"/>
        <v>0.16666666666666666</v>
      </c>
      <c r="N41" s="11">
        <f t="shared" si="2"/>
        <v>4.166666666666667</v>
      </c>
      <c r="O41" s="3">
        <f t="shared" si="3"/>
        <v>75</v>
      </c>
      <c r="P41" s="12">
        <f t="shared" si="3"/>
        <v>14197.409330550001</v>
      </c>
      <c r="R41" s="21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24">
        <f t="shared" si="4"/>
        <v>0</v>
      </c>
      <c r="AY41" s="21">
        <f>Asghar!J41+shahzad!J41+Fahad!J41+Asif!J41+sumair!J41</f>
        <v>0</v>
      </c>
      <c r="AZ41" s="21">
        <f>Asghar!N41+shahzad!N41+Fahad!N41+Asif!N41+sumair!N41</f>
        <v>0</v>
      </c>
      <c r="BA41" s="21">
        <f>Asghar!R41+shahzad!R41+Fahad!R41+Asif!R41+sumair!R41</f>
        <v>0</v>
      </c>
      <c r="BB41" s="21">
        <f>Asghar!V41+shahzad!V41+Fahad!V41+Asif!V41+sumair!V41</f>
        <v>0</v>
      </c>
      <c r="BC41" s="21">
        <f>Asghar!Z41+shahzad!Z41+Fahad!Z41+Asif!Z41+sumair!Z41</f>
        <v>0</v>
      </c>
      <c r="BD41" s="21">
        <f>Asghar!AD41+shahzad!AD41+Fahad!AD41+Asif!AD41+sumair!AD41</f>
        <v>0</v>
      </c>
      <c r="BE41" s="21">
        <f>Asghar!AH41+shahzad!AH41+Fahad!AH41+Asif!AH41+sumair!AH41</f>
        <v>0</v>
      </c>
      <c r="BF41" s="21">
        <f>Asghar!AL41+shahzad!AL41+Fahad!AL41+Asif!AL41+sumair!AL41</f>
        <v>0</v>
      </c>
      <c r="BG41" s="21">
        <f>Asghar!AP41+shahzad!AP41+Fahad!AP41+Asif!AP41+sumair!AP41</f>
        <v>0</v>
      </c>
      <c r="BH41" s="21">
        <f>Asghar!AT41+shahzad!AT41+Fahad!AT41+Asif!AT41+sumair!AT41</f>
        <v>0</v>
      </c>
      <c r="BI41" s="21">
        <f>Asghar!AX41+shahzad!AX41+Fahad!AX41+Asif!AX41+sumair!AX41</f>
        <v>0</v>
      </c>
      <c r="BJ41" s="21">
        <f>Asghar!BB41+shahzad!BB41+Fahad!BB41+Asif!BB41+sumair!BB41</f>
        <v>0</v>
      </c>
      <c r="BK41" s="21">
        <f>Asghar!BF41+shahzad!BF41+Fahad!BF41+Asif!BF41+sumair!BF41</f>
        <v>0</v>
      </c>
      <c r="BL41" s="21">
        <f>Asghar!BJ41+shahzad!BJ41+Fahad!BJ41+Asif!BJ41+sumair!BJ41</f>
        <v>0</v>
      </c>
      <c r="BM41" s="21">
        <f>Asghar!BN41+shahzad!BN41+Fahad!BN41+Asif!BN41+sumair!BN41</f>
        <v>0</v>
      </c>
      <c r="BN41" s="21">
        <f>Asghar!BR41+shahzad!BR41+Fahad!BR41+Asif!BR41+sumair!BR41</f>
        <v>0</v>
      </c>
      <c r="BO41" s="21">
        <f>Asghar!BV41+shahzad!BV41+Fahad!BV41+Asif!BV41+sumair!BV41</f>
        <v>0</v>
      </c>
      <c r="BP41" s="21">
        <f>Asghar!BZ41+shahzad!BZ41+Fahad!BZ41+Asif!BZ41+sumair!BZ41</f>
        <v>0</v>
      </c>
      <c r="BQ41" s="21">
        <f>Asghar!CD41+shahzad!CD41+Fahad!CD41+Asif!CD41+sumair!CD41</f>
        <v>0</v>
      </c>
      <c r="BR41" s="21">
        <f>Asghar!CH41+shahzad!CH41+Fahad!CH41+Asif!CH41+sumair!CH41</f>
        <v>0</v>
      </c>
      <c r="BS41" s="21">
        <f>Asghar!CL41+shahzad!CL41+Fahad!CL41+Asif!CL41+sumair!CL41</f>
        <v>0</v>
      </c>
      <c r="BT41" s="21">
        <f>Asghar!CP41+shahzad!CP41+Fahad!CP41+Asif!CP41+sumair!CP41</f>
        <v>0</v>
      </c>
      <c r="BU41" s="21">
        <f>Asghar!CT41+shahzad!CT41+Fahad!CT41+Asif!CT41+sumair!CT41</f>
        <v>0</v>
      </c>
      <c r="BV41" s="21">
        <f>Asghar!CX41+shahzad!CX41+Fahad!CX41+Asif!CX41+sumair!CX41</f>
        <v>0</v>
      </c>
      <c r="BW41" s="21">
        <f>Asghar!DB41+shahzad!DB41+Fahad!DB41+Asif!DB41+sumair!DB41</f>
        <v>0</v>
      </c>
      <c r="BX41" s="21">
        <f>Asghar!DF41+shahzad!DF41+Fahad!DF41+Asif!DF41+sumair!DF41</f>
        <v>0</v>
      </c>
      <c r="BY41" s="21">
        <f>Asghar!DJ41+shahzad!DJ41+Fahad!DJ41+Asif!DJ41+sumair!DJ41</f>
        <v>0</v>
      </c>
      <c r="BZ41" s="21">
        <f>Asghar!DN41+shahzad!DN41+Fahad!DN41+Asif!DN41+sumair!DN41</f>
        <v>0</v>
      </c>
      <c r="CA41" s="21">
        <f>Asghar!DR41+shahzad!DR41+Fahad!DR41+Asif!DR41+sumair!DR41</f>
        <v>0</v>
      </c>
      <c r="CB41" s="21">
        <f>Asghar!DV41+shahzad!DV41+Fahad!DV41+Asif!DV41+sumair!DV41</f>
        <v>0</v>
      </c>
      <c r="CC41" s="21">
        <f>Asghar!DZ41+shahzad!DZ41+Fahad!DZ41+Asif!DZ41+sumair!DZ41</f>
        <v>0</v>
      </c>
      <c r="CD41" s="54">
        <f t="shared" si="5"/>
        <v>0</v>
      </c>
      <c r="CF41" s="28">
        <f t="shared" si="6"/>
        <v>4.166666666666667</v>
      </c>
      <c r="CG41" s="30">
        <f t="shared" si="7"/>
        <v>0</v>
      </c>
      <c r="CH41" s="41">
        <f t="shared" si="8"/>
        <v>4.166666666666667</v>
      </c>
      <c r="CI41" s="53">
        <f t="shared" si="9"/>
        <v>0</v>
      </c>
      <c r="CJ41" s="42">
        <f t="shared" si="10"/>
        <v>4.166666666666667</v>
      </c>
    </row>
    <row r="42" spans="2:88" ht="12.5" customHeight="1" x14ac:dyDescent="0.35">
      <c r="B42" s="4">
        <v>106608</v>
      </c>
      <c r="C42" s="4" t="s">
        <v>48</v>
      </c>
      <c r="D42" s="4">
        <v>12</v>
      </c>
      <c r="E42" s="5">
        <v>24</v>
      </c>
      <c r="F42" s="6">
        <v>190.671775</v>
      </c>
      <c r="G42" s="7"/>
      <c r="H42" s="13">
        <v>5</v>
      </c>
      <c r="I42" s="13">
        <v>22</v>
      </c>
      <c r="J42" s="13"/>
      <c r="K42" s="3"/>
      <c r="L42" s="9">
        <f t="shared" si="0"/>
        <v>0.91666666666666663</v>
      </c>
      <c r="M42" s="10">
        <f t="shared" si="1"/>
        <v>0.91666666666666663</v>
      </c>
      <c r="N42" s="11">
        <f t="shared" si="2"/>
        <v>5.916666666666667</v>
      </c>
      <c r="O42" s="3">
        <f t="shared" si="3"/>
        <v>142</v>
      </c>
      <c r="P42" s="12">
        <f t="shared" si="3"/>
        <v>27075.392049999999</v>
      </c>
      <c r="R42" s="21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24">
        <f t="shared" si="4"/>
        <v>0</v>
      </c>
      <c r="AY42" s="21">
        <f>Asghar!J42+shahzad!J42+Fahad!J42+Asif!J42+sumair!J42</f>
        <v>0</v>
      </c>
      <c r="AZ42" s="21">
        <f>Asghar!N42+shahzad!N42+Fahad!N42+Asif!N42+sumair!N42</f>
        <v>0</v>
      </c>
      <c r="BA42" s="21">
        <f>Asghar!R42+shahzad!R42+Fahad!R42+Asif!R42+sumair!R42</f>
        <v>0</v>
      </c>
      <c r="BB42" s="21">
        <f>Asghar!V42+shahzad!V42+Fahad!V42+Asif!V42+sumair!V42</f>
        <v>0</v>
      </c>
      <c r="BC42" s="21">
        <f>Asghar!Z42+shahzad!Z42+Fahad!Z42+Asif!Z42+sumair!Z42</f>
        <v>0</v>
      </c>
      <c r="BD42" s="21">
        <f>Asghar!AD42+shahzad!AD42+Fahad!AD42+Asif!AD42+sumair!AD42</f>
        <v>0</v>
      </c>
      <c r="BE42" s="21">
        <f>Asghar!AH42+shahzad!AH42+Fahad!AH42+Asif!AH42+sumair!AH42</f>
        <v>0</v>
      </c>
      <c r="BF42" s="21">
        <f>Asghar!AL42+shahzad!AL42+Fahad!AL42+Asif!AL42+sumair!AL42</f>
        <v>0</v>
      </c>
      <c r="BG42" s="21">
        <f>Asghar!AP42+shahzad!AP42+Fahad!AP42+Asif!AP42+sumair!AP42</f>
        <v>0</v>
      </c>
      <c r="BH42" s="21">
        <f>Asghar!AT42+shahzad!AT42+Fahad!AT42+Asif!AT42+sumair!AT42</f>
        <v>0</v>
      </c>
      <c r="BI42" s="21">
        <f>Asghar!AX42+shahzad!AX42+Fahad!AX42+Asif!AX42+sumair!AX42</f>
        <v>0</v>
      </c>
      <c r="BJ42" s="21">
        <f>Asghar!BB42+shahzad!BB42+Fahad!BB42+Asif!BB42+sumair!BB42</f>
        <v>0</v>
      </c>
      <c r="BK42" s="21">
        <f>Asghar!BF42+shahzad!BF42+Fahad!BF42+Asif!BF42+sumair!BF42</f>
        <v>0</v>
      </c>
      <c r="BL42" s="21">
        <f>Asghar!BJ42+shahzad!BJ42+Fahad!BJ42+Asif!BJ42+sumair!BJ42</f>
        <v>0</v>
      </c>
      <c r="BM42" s="21">
        <f>Asghar!BN42+shahzad!BN42+Fahad!BN42+Asif!BN42+sumair!BN42</f>
        <v>0</v>
      </c>
      <c r="BN42" s="21">
        <f>Asghar!BR42+shahzad!BR42+Fahad!BR42+Asif!BR42+sumair!BR42</f>
        <v>0</v>
      </c>
      <c r="BO42" s="21">
        <f>Asghar!BV42+shahzad!BV42+Fahad!BV42+Asif!BV42+sumair!BV42</f>
        <v>0</v>
      </c>
      <c r="BP42" s="21">
        <f>Asghar!BZ42+shahzad!BZ42+Fahad!BZ42+Asif!BZ42+sumair!BZ42</f>
        <v>0</v>
      </c>
      <c r="BQ42" s="21">
        <f>Asghar!CD42+shahzad!CD42+Fahad!CD42+Asif!CD42+sumair!CD42</f>
        <v>0</v>
      </c>
      <c r="BR42" s="21">
        <f>Asghar!CH42+shahzad!CH42+Fahad!CH42+Asif!CH42+sumair!CH42</f>
        <v>0</v>
      </c>
      <c r="BS42" s="21">
        <f>Asghar!CL42+shahzad!CL42+Fahad!CL42+Asif!CL42+sumair!CL42</f>
        <v>0</v>
      </c>
      <c r="BT42" s="21">
        <f>Asghar!CP42+shahzad!CP42+Fahad!CP42+Asif!CP42+sumair!CP42</f>
        <v>0</v>
      </c>
      <c r="BU42" s="21">
        <f>Asghar!CT42+shahzad!CT42+Fahad!CT42+Asif!CT42+sumair!CT42</f>
        <v>0</v>
      </c>
      <c r="BV42" s="21">
        <f>Asghar!CX42+shahzad!CX42+Fahad!CX42+Asif!CX42+sumair!CX42</f>
        <v>0</v>
      </c>
      <c r="BW42" s="21">
        <f>Asghar!DB42+shahzad!DB42+Fahad!DB42+Asif!DB42+sumair!DB42</f>
        <v>0</v>
      </c>
      <c r="BX42" s="21">
        <f>Asghar!DF42+shahzad!DF42+Fahad!DF42+Asif!DF42+sumair!DF42</f>
        <v>0</v>
      </c>
      <c r="BY42" s="21">
        <f>Asghar!DJ42+shahzad!DJ42+Fahad!DJ42+Asif!DJ42+sumair!DJ42</f>
        <v>0</v>
      </c>
      <c r="BZ42" s="21">
        <f>Asghar!DN42+shahzad!DN42+Fahad!DN42+Asif!DN42+sumair!DN42</f>
        <v>0</v>
      </c>
      <c r="CA42" s="21">
        <f>Asghar!DR42+shahzad!DR42+Fahad!DR42+Asif!DR42+sumair!DR42</f>
        <v>0</v>
      </c>
      <c r="CB42" s="21">
        <f>Asghar!DV42+shahzad!DV42+Fahad!DV42+Asif!DV42+sumair!DV42</f>
        <v>0</v>
      </c>
      <c r="CC42" s="21">
        <f>Asghar!DZ42+shahzad!DZ42+Fahad!DZ42+Asif!DZ42+sumair!DZ42</f>
        <v>0</v>
      </c>
      <c r="CD42" s="54">
        <f t="shared" si="5"/>
        <v>0</v>
      </c>
      <c r="CF42" s="28">
        <f t="shared" si="6"/>
        <v>5.916666666666667</v>
      </c>
      <c r="CG42" s="30">
        <f t="shared" si="7"/>
        <v>0</v>
      </c>
      <c r="CH42" s="41">
        <f t="shared" si="8"/>
        <v>5.916666666666667</v>
      </c>
      <c r="CI42" s="53">
        <f t="shared" si="9"/>
        <v>0</v>
      </c>
      <c r="CJ42" s="42">
        <f t="shared" si="10"/>
        <v>5.916666666666667</v>
      </c>
    </row>
    <row r="43" spans="2:88" ht="12.5" customHeight="1" x14ac:dyDescent="0.35">
      <c r="B43" s="4">
        <v>106609</v>
      </c>
      <c r="C43" s="4" t="s">
        <v>49</v>
      </c>
      <c r="D43" s="4">
        <v>12</v>
      </c>
      <c r="E43" s="5">
        <v>24</v>
      </c>
      <c r="F43" s="6">
        <v>190.671775</v>
      </c>
      <c r="G43" s="7"/>
      <c r="H43" s="8">
        <v>8</v>
      </c>
      <c r="I43" s="13">
        <v>13</v>
      </c>
      <c r="J43" s="13"/>
      <c r="K43" s="3"/>
      <c r="L43" s="9">
        <f t="shared" si="0"/>
        <v>0.54166666666666663</v>
      </c>
      <c r="M43" s="10">
        <f t="shared" si="1"/>
        <v>0.54166666666666663</v>
      </c>
      <c r="N43" s="11">
        <f t="shared" si="2"/>
        <v>8.5416666666666661</v>
      </c>
      <c r="O43" s="3">
        <f t="shared" si="3"/>
        <v>205</v>
      </c>
      <c r="P43" s="12">
        <f t="shared" si="3"/>
        <v>39087.713875000001</v>
      </c>
      <c r="R43" s="21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24">
        <f t="shared" si="4"/>
        <v>0</v>
      </c>
      <c r="AY43" s="21">
        <f>Asghar!J43+shahzad!J43+Fahad!J43+Asif!J43+sumair!J43</f>
        <v>0</v>
      </c>
      <c r="AZ43" s="21">
        <f>Asghar!N43+shahzad!N43+Fahad!N43+Asif!N43+sumair!N43</f>
        <v>0</v>
      </c>
      <c r="BA43" s="21">
        <f>Asghar!R43+shahzad!R43+Fahad!R43+Asif!R43+sumair!R43</f>
        <v>0</v>
      </c>
      <c r="BB43" s="21">
        <f>Asghar!V43+shahzad!V43+Fahad!V43+Asif!V43+sumair!V43</f>
        <v>0</v>
      </c>
      <c r="BC43" s="21">
        <f>Asghar!Z43+shahzad!Z43+Fahad!Z43+Asif!Z43+sumair!Z43</f>
        <v>0</v>
      </c>
      <c r="BD43" s="21">
        <f>Asghar!AD43+shahzad!AD43+Fahad!AD43+Asif!AD43+sumair!AD43</f>
        <v>0</v>
      </c>
      <c r="BE43" s="21">
        <f>Asghar!AH43+shahzad!AH43+Fahad!AH43+Asif!AH43+sumair!AH43</f>
        <v>0</v>
      </c>
      <c r="BF43" s="21">
        <f>Asghar!AL43+shahzad!AL43+Fahad!AL43+Asif!AL43+sumair!AL43</f>
        <v>0</v>
      </c>
      <c r="BG43" s="21">
        <f>Asghar!AP43+shahzad!AP43+Fahad!AP43+Asif!AP43+sumair!AP43</f>
        <v>0</v>
      </c>
      <c r="BH43" s="21">
        <f>Asghar!AT43+shahzad!AT43+Fahad!AT43+Asif!AT43+sumair!AT43</f>
        <v>0</v>
      </c>
      <c r="BI43" s="21">
        <f>Asghar!AX43+shahzad!AX43+Fahad!AX43+Asif!AX43+sumair!AX43</f>
        <v>0</v>
      </c>
      <c r="BJ43" s="21">
        <f>Asghar!BB43+shahzad!BB43+Fahad!BB43+Asif!BB43+sumair!BB43</f>
        <v>0</v>
      </c>
      <c r="BK43" s="21">
        <f>Asghar!BF43+shahzad!BF43+Fahad!BF43+Asif!BF43+sumair!BF43</f>
        <v>0</v>
      </c>
      <c r="BL43" s="21">
        <f>Asghar!BJ43+shahzad!BJ43+Fahad!BJ43+Asif!BJ43+sumair!BJ43</f>
        <v>0</v>
      </c>
      <c r="BM43" s="21">
        <f>Asghar!BN43+shahzad!BN43+Fahad!BN43+Asif!BN43+sumair!BN43</f>
        <v>0</v>
      </c>
      <c r="BN43" s="21">
        <f>Asghar!BR43+shahzad!BR43+Fahad!BR43+Asif!BR43+sumair!BR43</f>
        <v>0</v>
      </c>
      <c r="BO43" s="21">
        <f>Asghar!BV43+shahzad!BV43+Fahad!BV43+Asif!BV43+sumair!BV43</f>
        <v>0</v>
      </c>
      <c r="BP43" s="21">
        <f>Asghar!BZ43+shahzad!BZ43+Fahad!BZ43+Asif!BZ43+sumair!BZ43</f>
        <v>0</v>
      </c>
      <c r="BQ43" s="21">
        <f>Asghar!CD43+shahzad!CD43+Fahad!CD43+Asif!CD43+sumair!CD43</f>
        <v>0</v>
      </c>
      <c r="BR43" s="21">
        <f>Asghar!CH43+shahzad!CH43+Fahad!CH43+Asif!CH43+sumair!CH43</f>
        <v>0</v>
      </c>
      <c r="BS43" s="21">
        <f>Asghar!CL43+shahzad!CL43+Fahad!CL43+Asif!CL43+sumair!CL43</f>
        <v>0</v>
      </c>
      <c r="BT43" s="21">
        <f>Asghar!CP43+shahzad!CP43+Fahad!CP43+Asif!CP43+sumair!CP43</f>
        <v>0</v>
      </c>
      <c r="BU43" s="21">
        <f>Asghar!CT43+shahzad!CT43+Fahad!CT43+Asif!CT43+sumair!CT43</f>
        <v>0</v>
      </c>
      <c r="BV43" s="21">
        <f>Asghar!CX43+shahzad!CX43+Fahad!CX43+Asif!CX43+sumair!CX43</f>
        <v>0</v>
      </c>
      <c r="BW43" s="21">
        <f>Asghar!DB43+shahzad!DB43+Fahad!DB43+Asif!DB43+sumair!DB43</f>
        <v>0</v>
      </c>
      <c r="BX43" s="21">
        <f>Asghar!DF43+shahzad!DF43+Fahad!DF43+Asif!DF43+sumair!DF43</f>
        <v>0</v>
      </c>
      <c r="BY43" s="21">
        <f>Asghar!DJ43+shahzad!DJ43+Fahad!DJ43+Asif!DJ43+sumair!DJ43</f>
        <v>0</v>
      </c>
      <c r="BZ43" s="21">
        <f>Asghar!DN43+shahzad!DN43+Fahad!DN43+Asif!DN43+sumair!DN43</f>
        <v>0</v>
      </c>
      <c r="CA43" s="21">
        <f>Asghar!DR43+shahzad!DR43+Fahad!DR43+Asif!DR43+sumair!DR43</f>
        <v>0</v>
      </c>
      <c r="CB43" s="21">
        <f>Asghar!DV43+shahzad!DV43+Fahad!DV43+Asif!DV43+sumair!DV43</f>
        <v>0</v>
      </c>
      <c r="CC43" s="21">
        <f>Asghar!DZ43+shahzad!DZ43+Fahad!DZ43+Asif!DZ43+sumair!DZ43</f>
        <v>0</v>
      </c>
      <c r="CD43" s="54">
        <f t="shared" si="5"/>
        <v>0</v>
      </c>
      <c r="CF43" s="28">
        <f t="shared" si="6"/>
        <v>8.5416666666666661</v>
      </c>
      <c r="CG43" s="30">
        <f t="shared" si="7"/>
        <v>0</v>
      </c>
      <c r="CH43" s="41">
        <f t="shared" si="8"/>
        <v>8.5416666666666661</v>
      </c>
      <c r="CI43" s="53">
        <f t="shared" si="9"/>
        <v>0</v>
      </c>
      <c r="CJ43" s="42">
        <f t="shared" si="10"/>
        <v>8.5416666666666661</v>
      </c>
    </row>
    <row r="44" spans="2:88" ht="12.5" customHeight="1" x14ac:dyDescent="0.35">
      <c r="B44" s="4">
        <v>106611</v>
      </c>
      <c r="C44" s="4" t="s">
        <v>50</v>
      </c>
      <c r="D44" s="4">
        <v>12</v>
      </c>
      <c r="E44" s="5">
        <v>24</v>
      </c>
      <c r="F44" s="6">
        <v>190.671775</v>
      </c>
      <c r="G44" s="7"/>
      <c r="H44" s="13">
        <v>5</v>
      </c>
      <c r="I44" s="8">
        <v>23</v>
      </c>
      <c r="J44" s="13"/>
      <c r="K44" s="3"/>
      <c r="L44" s="9">
        <f t="shared" si="0"/>
        <v>0.95833333333333337</v>
      </c>
      <c r="M44" s="10">
        <f t="shared" si="1"/>
        <v>0.95833333333333337</v>
      </c>
      <c r="N44" s="11">
        <f t="shared" si="2"/>
        <v>5.958333333333333</v>
      </c>
      <c r="O44" s="3">
        <f t="shared" si="3"/>
        <v>143</v>
      </c>
      <c r="P44" s="12">
        <f t="shared" si="3"/>
        <v>27266.063825000001</v>
      </c>
      <c r="R44" s="21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24">
        <f t="shared" si="4"/>
        <v>0</v>
      </c>
      <c r="AY44" s="21">
        <f>Asghar!J44+shahzad!J44+Fahad!J44+Asif!J44+sumair!J44</f>
        <v>0</v>
      </c>
      <c r="AZ44" s="21">
        <f>Asghar!N44+shahzad!N44+Fahad!N44+Asif!N44+sumair!N44</f>
        <v>0</v>
      </c>
      <c r="BA44" s="21">
        <f>Asghar!R44+shahzad!R44+Fahad!R44+Asif!R44+sumair!R44</f>
        <v>0</v>
      </c>
      <c r="BB44" s="21">
        <f>Asghar!V44+shahzad!V44+Fahad!V44+Asif!V44+sumair!V44</f>
        <v>0</v>
      </c>
      <c r="BC44" s="21">
        <f>Asghar!Z44+shahzad!Z44+Fahad!Z44+Asif!Z44+sumair!Z44</f>
        <v>0</v>
      </c>
      <c r="BD44" s="21">
        <f>Asghar!AD44+shahzad!AD44+Fahad!AD44+Asif!AD44+sumair!AD44</f>
        <v>0</v>
      </c>
      <c r="BE44" s="21">
        <f>Asghar!AH44+shahzad!AH44+Fahad!AH44+Asif!AH44+sumair!AH44</f>
        <v>0</v>
      </c>
      <c r="BF44" s="21">
        <f>Asghar!AL44+shahzad!AL44+Fahad!AL44+Asif!AL44+sumair!AL44</f>
        <v>0</v>
      </c>
      <c r="BG44" s="21">
        <f>Asghar!AP44+shahzad!AP44+Fahad!AP44+Asif!AP44+sumair!AP44</f>
        <v>0</v>
      </c>
      <c r="BH44" s="21">
        <f>Asghar!AT44+shahzad!AT44+Fahad!AT44+Asif!AT44+sumair!AT44</f>
        <v>0</v>
      </c>
      <c r="BI44" s="21">
        <f>Asghar!AX44+shahzad!AX44+Fahad!AX44+Asif!AX44+sumair!AX44</f>
        <v>0</v>
      </c>
      <c r="BJ44" s="21">
        <f>Asghar!BB44+shahzad!BB44+Fahad!BB44+Asif!BB44+sumair!BB44</f>
        <v>0</v>
      </c>
      <c r="BK44" s="21">
        <f>Asghar!BF44+shahzad!BF44+Fahad!BF44+Asif!BF44+sumair!BF44</f>
        <v>0</v>
      </c>
      <c r="BL44" s="21">
        <f>Asghar!BJ44+shahzad!BJ44+Fahad!BJ44+Asif!BJ44+sumair!BJ44</f>
        <v>0</v>
      </c>
      <c r="BM44" s="21">
        <f>Asghar!BN44+shahzad!BN44+Fahad!BN44+Asif!BN44+sumair!BN44</f>
        <v>0</v>
      </c>
      <c r="BN44" s="21">
        <f>Asghar!BR44+shahzad!BR44+Fahad!BR44+Asif!BR44+sumair!BR44</f>
        <v>0</v>
      </c>
      <c r="BO44" s="21">
        <f>Asghar!BV44+shahzad!BV44+Fahad!BV44+Asif!BV44+sumair!BV44</f>
        <v>0</v>
      </c>
      <c r="BP44" s="21">
        <f>Asghar!BZ44+shahzad!BZ44+Fahad!BZ44+Asif!BZ44+sumair!BZ44</f>
        <v>0</v>
      </c>
      <c r="BQ44" s="21">
        <f>Asghar!CD44+shahzad!CD44+Fahad!CD44+Asif!CD44+sumair!CD44</f>
        <v>0</v>
      </c>
      <c r="BR44" s="21">
        <f>Asghar!CH44+shahzad!CH44+Fahad!CH44+Asif!CH44+sumair!CH44</f>
        <v>0</v>
      </c>
      <c r="BS44" s="21">
        <f>Asghar!CL44+shahzad!CL44+Fahad!CL44+Asif!CL44+sumair!CL44</f>
        <v>0</v>
      </c>
      <c r="BT44" s="21">
        <f>Asghar!CP44+shahzad!CP44+Fahad!CP44+Asif!CP44+sumair!CP44</f>
        <v>0</v>
      </c>
      <c r="BU44" s="21">
        <f>Asghar!CT44+shahzad!CT44+Fahad!CT44+Asif!CT44+sumair!CT44</f>
        <v>0</v>
      </c>
      <c r="BV44" s="21">
        <f>Asghar!CX44+shahzad!CX44+Fahad!CX44+Asif!CX44+sumair!CX44</f>
        <v>0</v>
      </c>
      <c r="BW44" s="21">
        <f>Asghar!DB44+shahzad!DB44+Fahad!DB44+Asif!DB44+sumair!DB44</f>
        <v>0</v>
      </c>
      <c r="BX44" s="21">
        <f>Asghar!DF44+shahzad!DF44+Fahad!DF44+Asif!DF44+sumair!DF44</f>
        <v>0</v>
      </c>
      <c r="BY44" s="21">
        <f>Asghar!DJ44+shahzad!DJ44+Fahad!DJ44+Asif!DJ44+sumair!DJ44</f>
        <v>0</v>
      </c>
      <c r="BZ44" s="21">
        <f>Asghar!DN44+shahzad!DN44+Fahad!DN44+Asif!DN44+sumair!DN44</f>
        <v>0</v>
      </c>
      <c r="CA44" s="21">
        <f>Asghar!DR44+shahzad!DR44+Fahad!DR44+Asif!DR44+sumair!DR44</f>
        <v>0</v>
      </c>
      <c r="CB44" s="21">
        <f>Asghar!DV44+shahzad!DV44+Fahad!DV44+Asif!DV44+sumair!DV44</f>
        <v>0</v>
      </c>
      <c r="CC44" s="21">
        <f>Asghar!DZ44+shahzad!DZ44+Fahad!DZ44+Asif!DZ44+sumair!DZ44</f>
        <v>0</v>
      </c>
      <c r="CD44" s="54">
        <f t="shared" si="5"/>
        <v>0</v>
      </c>
      <c r="CF44" s="28">
        <f t="shared" si="6"/>
        <v>5.958333333333333</v>
      </c>
      <c r="CG44" s="30">
        <f t="shared" si="7"/>
        <v>0</v>
      </c>
      <c r="CH44" s="41">
        <f t="shared" si="8"/>
        <v>5.958333333333333</v>
      </c>
      <c r="CI44" s="53">
        <f t="shared" si="9"/>
        <v>0</v>
      </c>
      <c r="CJ44" s="42">
        <f t="shared" si="10"/>
        <v>5.958333333333333</v>
      </c>
    </row>
    <row r="45" spans="2:88" ht="12.5" customHeight="1" x14ac:dyDescent="0.35">
      <c r="B45" s="4">
        <v>106616</v>
      </c>
      <c r="C45" s="4" t="s">
        <v>51</v>
      </c>
      <c r="D45" s="4">
        <v>6</v>
      </c>
      <c r="E45" s="5">
        <v>12</v>
      </c>
      <c r="F45" s="6">
        <v>476.67968294000002</v>
      </c>
      <c r="G45" s="7"/>
      <c r="H45" s="13">
        <v>9</v>
      </c>
      <c r="I45" s="8">
        <v>4</v>
      </c>
      <c r="J45" s="13"/>
      <c r="K45" s="3"/>
      <c r="L45" s="9">
        <f t="shared" si="0"/>
        <v>0.33333333333333331</v>
      </c>
      <c r="M45" s="10">
        <f t="shared" si="1"/>
        <v>0.33333333333333331</v>
      </c>
      <c r="N45" s="11">
        <f t="shared" si="2"/>
        <v>9.3333333333333339</v>
      </c>
      <c r="O45" s="3">
        <f t="shared" si="3"/>
        <v>112</v>
      </c>
      <c r="P45" s="12">
        <f t="shared" si="3"/>
        <v>53388.124489280002</v>
      </c>
      <c r="R45" s="21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24">
        <f t="shared" si="4"/>
        <v>0</v>
      </c>
      <c r="AY45" s="21">
        <f>Asghar!J45+shahzad!J45+Fahad!J45+Asif!J45+sumair!J45</f>
        <v>0</v>
      </c>
      <c r="AZ45" s="21">
        <f>Asghar!N45+shahzad!N45+Fahad!N45+Asif!N45+sumair!N45</f>
        <v>0</v>
      </c>
      <c r="BA45" s="21">
        <f>Asghar!R45+shahzad!R45+Fahad!R45+Asif!R45+sumair!R45</f>
        <v>0</v>
      </c>
      <c r="BB45" s="21">
        <f>Asghar!V45+shahzad!V45+Fahad!V45+Asif!V45+sumair!V45</f>
        <v>0</v>
      </c>
      <c r="BC45" s="21">
        <f>Asghar!Z45+shahzad!Z45+Fahad!Z45+Asif!Z45+sumair!Z45</f>
        <v>0</v>
      </c>
      <c r="BD45" s="21">
        <f>Asghar!AD45+shahzad!AD45+Fahad!AD45+Asif!AD45+sumair!AD45</f>
        <v>0</v>
      </c>
      <c r="BE45" s="21">
        <f>Asghar!AH45+shahzad!AH45+Fahad!AH45+Asif!AH45+sumair!AH45</f>
        <v>0</v>
      </c>
      <c r="BF45" s="21">
        <f>Asghar!AL45+shahzad!AL45+Fahad!AL45+Asif!AL45+sumair!AL45</f>
        <v>0</v>
      </c>
      <c r="BG45" s="21">
        <f>Asghar!AP45+shahzad!AP45+Fahad!AP45+Asif!AP45+sumair!AP45</f>
        <v>0</v>
      </c>
      <c r="BH45" s="21">
        <f>Asghar!AT45+shahzad!AT45+Fahad!AT45+Asif!AT45+sumair!AT45</f>
        <v>0</v>
      </c>
      <c r="BI45" s="21">
        <f>Asghar!AX45+shahzad!AX45+Fahad!AX45+Asif!AX45+sumair!AX45</f>
        <v>0</v>
      </c>
      <c r="BJ45" s="21">
        <f>Asghar!BB45+shahzad!BB45+Fahad!BB45+Asif!BB45+sumair!BB45</f>
        <v>0</v>
      </c>
      <c r="BK45" s="21">
        <f>Asghar!BF45+shahzad!BF45+Fahad!BF45+Asif!BF45+sumair!BF45</f>
        <v>0</v>
      </c>
      <c r="BL45" s="21">
        <f>Asghar!BJ45+shahzad!BJ45+Fahad!BJ45+Asif!BJ45+sumair!BJ45</f>
        <v>0</v>
      </c>
      <c r="BM45" s="21">
        <f>Asghar!BN45+shahzad!BN45+Fahad!BN45+Asif!BN45+sumair!BN45</f>
        <v>0</v>
      </c>
      <c r="BN45" s="21">
        <f>Asghar!BR45+shahzad!BR45+Fahad!BR45+Asif!BR45+sumair!BR45</f>
        <v>0</v>
      </c>
      <c r="BO45" s="21">
        <f>Asghar!BV45+shahzad!BV45+Fahad!BV45+Asif!BV45+sumair!BV45</f>
        <v>0</v>
      </c>
      <c r="BP45" s="21">
        <f>Asghar!BZ45+shahzad!BZ45+Fahad!BZ45+Asif!BZ45+sumair!BZ45</f>
        <v>0</v>
      </c>
      <c r="BQ45" s="21">
        <f>Asghar!CD45+shahzad!CD45+Fahad!CD45+Asif!CD45+sumair!CD45</f>
        <v>0</v>
      </c>
      <c r="BR45" s="21">
        <f>Asghar!CH45+shahzad!CH45+Fahad!CH45+Asif!CH45+sumair!CH45</f>
        <v>0</v>
      </c>
      <c r="BS45" s="21">
        <f>Asghar!CL45+shahzad!CL45+Fahad!CL45+Asif!CL45+sumair!CL45</f>
        <v>0</v>
      </c>
      <c r="BT45" s="21">
        <f>Asghar!CP45+shahzad!CP45+Fahad!CP45+Asif!CP45+sumair!CP45</f>
        <v>0</v>
      </c>
      <c r="BU45" s="21">
        <f>Asghar!CT45+shahzad!CT45+Fahad!CT45+Asif!CT45+sumair!CT45</f>
        <v>0</v>
      </c>
      <c r="BV45" s="21">
        <f>Asghar!CX45+shahzad!CX45+Fahad!CX45+Asif!CX45+sumair!CX45</f>
        <v>0</v>
      </c>
      <c r="BW45" s="21">
        <f>Asghar!DB45+shahzad!DB45+Fahad!DB45+Asif!DB45+sumair!DB45</f>
        <v>0</v>
      </c>
      <c r="BX45" s="21">
        <f>Asghar!DF45+shahzad!DF45+Fahad!DF45+Asif!DF45+sumair!DF45</f>
        <v>0</v>
      </c>
      <c r="BY45" s="21">
        <f>Asghar!DJ45+shahzad!DJ45+Fahad!DJ45+Asif!DJ45+sumair!DJ45</f>
        <v>0</v>
      </c>
      <c r="BZ45" s="21">
        <f>Asghar!DN45+shahzad!DN45+Fahad!DN45+Asif!DN45+sumair!DN45</f>
        <v>0</v>
      </c>
      <c r="CA45" s="21">
        <f>Asghar!DR45+shahzad!DR45+Fahad!DR45+Asif!DR45+sumair!DR45</f>
        <v>0</v>
      </c>
      <c r="CB45" s="21">
        <f>Asghar!DV45+shahzad!DV45+Fahad!DV45+Asif!DV45+sumair!DV45</f>
        <v>0</v>
      </c>
      <c r="CC45" s="21">
        <f>Asghar!DZ45+shahzad!DZ45+Fahad!DZ45+Asif!DZ45+sumair!DZ45</f>
        <v>0</v>
      </c>
      <c r="CD45" s="54">
        <f t="shared" si="5"/>
        <v>0</v>
      </c>
      <c r="CF45" s="28">
        <f t="shared" si="6"/>
        <v>9.3333333333333339</v>
      </c>
      <c r="CG45" s="30">
        <f t="shared" si="7"/>
        <v>0</v>
      </c>
      <c r="CH45" s="41">
        <f t="shared" si="8"/>
        <v>9.3333333333333339</v>
      </c>
      <c r="CI45" s="53">
        <f t="shared" si="9"/>
        <v>0</v>
      </c>
      <c r="CJ45" s="42">
        <f t="shared" si="10"/>
        <v>9.3333333333333339</v>
      </c>
    </row>
    <row r="46" spans="2:88" ht="12.5" customHeight="1" x14ac:dyDescent="0.35">
      <c r="B46" s="4">
        <v>106617</v>
      </c>
      <c r="C46" s="4" t="s">
        <v>52</v>
      </c>
      <c r="D46" s="4">
        <v>6</v>
      </c>
      <c r="E46" s="5">
        <v>12</v>
      </c>
      <c r="F46" s="6">
        <v>476.67968294000002</v>
      </c>
      <c r="G46" s="7"/>
      <c r="H46" s="13">
        <v>2</v>
      </c>
      <c r="I46" s="13"/>
      <c r="J46" s="13"/>
      <c r="K46" s="3"/>
      <c r="L46" s="9">
        <f t="shared" si="0"/>
        <v>0</v>
      </c>
      <c r="M46" s="10">
        <f t="shared" si="1"/>
        <v>0</v>
      </c>
      <c r="N46" s="11">
        <f t="shared" si="2"/>
        <v>2</v>
      </c>
      <c r="O46" s="3">
        <f t="shared" si="3"/>
        <v>24</v>
      </c>
      <c r="P46" s="12">
        <f t="shared" si="3"/>
        <v>11440.31239056</v>
      </c>
      <c r="R46" s="21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24">
        <f t="shared" si="4"/>
        <v>0</v>
      </c>
      <c r="AY46" s="21">
        <f>Asghar!J46+shahzad!J46+Fahad!J46+Asif!J46+sumair!J46</f>
        <v>0</v>
      </c>
      <c r="AZ46" s="21">
        <f>Asghar!N46+shahzad!N46+Fahad!N46+Asif!N46+sumair!N46</f>
        <v>0</v>
      </c>
      <c r="BA46" s="21">
        <f>Asghar!R46+shahzad!R46+Fahad!R46+Asif!R46+sumair!R46</f>
        <v>0</v>
      </c>
      <c r="BB46" s="21">
        <f>Asghar!V46+shahzad!V46+Fahad!V46+Asif!V46+sumair!V46</f>
        <v>0</v>
      </c>
      <c r="BC46" s="21">
        <f>Asghar!Z46+shahzad!Z46+Fahad!Z46+Asif!Z46+sumair!Z46</f>
        <v>0</v>
      </c>
      <c r="BD46" s="21">
        <f>Asghar!AD46+shahzad!AD46+Fahad!AD46+Asif!AD46+sumair!AD46</f>
        <v>0</v>
      </c>
      <c r="BE46" s="21">
        <f>Asghar!AH46+shahzad!AH46+Fahad!AH46+Asif!AH46+sumair!AH46</f>
        <v>0</v>
      </c>
      <c r="BF46" s="21">
        <f>Asghar!AL46+shahzad!AL46+Fahad!AL46+Asif!AL46+sumair!AL46</f>
        <v>0</v>
      </c>
      <c r="BG46" s="21">
        <f>Asghar!AP46+shahzad!AP46+Fahad!AP46+Asif!AP46+sumair!AP46</f>
        <v>0</v>
      </c>
      <c r="BH46" s="21">
        <f>Asghar!AT46+shahzad!AT46+Fahad!AT46+Asif!AT46+sumair!AT46</f>
        <v>0</v>
      </c>
      <c r="BI46" s="21">
        <f>Asghar!AX46+shahzad!AX46+Fahad!AX46+Asif!AX46+sumair!AX46</f>
        <v>0</v>
      </c>
      <c r="BJ46" s="21">
        <f>Asghar!BB46+shahzad!BB46+Fahad!BB46+Asif!BB46+sumair!BB46</f>
        <v>0</v>
      </c>
      <c r="BK46" s="21">
        <f>Asghar!BF46+shahzad!BF46+Fahad!BF46+Asif!BF46+sumair!BF46</f>
        <v>0</v>
      </c>
      <c r="BL46" s="21">
        <f>Asghar!BJ46+shahzad!BJ46+Fahad!BJ46+Asif!BJ46+sumair!BJ46</f>
        <v>0</v>
      </c>
      <c r="BM46" s="21">
        <f>Asghar!BN46+shahzad!BN46+Fahad!BN46+Asif!BN46+sumair!BN46</f>
        <v>0</v>
      </c>
      <c r="BN46" s="21">
        <f>Asghar!BR46+shahzad!BR46+Fahad!BR46+Asif!BR46+sumair!BR46</f>
        <v>0</v>
      </c>
      <c r="BO46" s="21">
        <f>Asghar!BV46+shahzad!BV46+Fahad!BV46+Asif!BV46+sumair!BV46</f>
        <v>0</v>
      </c>
      <c r="BP46" s="21">
        <f>Asghar!BZ46+shahzad!BZ46+Fahad!BZ46+Asif!BZ46+sumair!BZ46</f>
        <v>0</v>
      </c>
      <c r="BQ46" s="21">
        <f>Asghar!CD46+shahzad!CD46+Fahad!CD46+Asif!CD46+sumair!CD46</f>
        <v>0</v>
      </c>
      <c r="BR46" s="21">
        <f>Asghar!CH46+shahzad!CH46+Fahad!CH46+Asif!CH46+sumair!CH46</f>
        <v>0</v>
      </c>
      <c r="BS46" s="21">
        <f>Asghar!CL46+shahzad!CL46+Fahad!CL46+Asif!CL46+sumair!CL46</f>
        <v>0</v>
      </c>
      <c r="BT46" s="21">
        <f>Asghar!CP46+shahzad!CP46+Fahad!CP46+Asif!CP46+sumair!CP46</f>
        <v>0</v>
      </c>
      <c r="BU46" s="21">
        <f>Asghar!CT46+shahzad!CT46+Fahad!CT46+Asif!CT46+sumair!CT46</f>
        <v>0</v>
      </c>
      <c r="BV46" s="21">
        <f>Asghar!CX46+shahzad!CX46+Fahad!CX46+Asif!CX46+sumair!CX46</f>
        <v>0</v>
      </c>
      <c r="BW46" s="21">
        <f>Asghar!DB46+shahzad!DB46+Fahad!DB46+Asif!DB46+sumair!DB46</f>
        <v>0</v>
      </c>
      <c r="BX46" s="21">
        <f>Asghar!DF46+shahzad!DF46+Fahad!DF46+Asif!DF46+sumair!DF46</f>
        <v>0</v>
      </c>
      <c r="BY46" s="21">
        <f>Asghar!DJ46+shahzad!DJ46+Fahad!DJ46+Asif!DJ46+sumair!DJ46</f>
        <v>0</v>
      </c>
      <c r="BZ46" s="21">
        <f>Asghar!DN46+shahzad!DN46+Fahad!DN46+Asif!DN46+sumair!DN46</f>
        <v>0</v>
      </c>
      <c r="CA46" s="21">
        <f>Asghar!DR46+shahzad!DR46+Fahad!DR46+Asif!DR46+sumair!DR46</f>
        <v>0</v>
      </c>
      <c r="CB46" s="21">
        <f>Asghar!DV46+shahzad!DV46+Fahad!DV46+Asif!DV46+sumair!DV46</f>
        <v>0</v>
      </c>
      <c r="CC46" s="21">
        <f>Asghar!DZ46+shahzad!DZ46+Fahad!DZ46+Asif!DZ46+sumair!DZ46</f>
        <v>0</v>
      </c>
      <c r="CD46" s="54">
        <f t="shared" si="5"/>
        <v>0</v>
      </c>
      <c r="CF46" s="28">
        <f t="shared" si="6"/>
        <v>2</v>
      </c>
      <c r="CG46" s="30">
        <f t="shared" si="7"/>
        <v>0</v>
      </c>
      <c r="CH46" s="41">
        <f t="shared" si="8"/>
        <v>2</v>
      </c>
      <c r="CI46" s="53">
        <f t="shared" si="9"/>
        <v>0</v>
      </c>
      <c r="CJ46" s="42">
        <f t="shared" si="10"/>
        <v>2</v>
      </c>
    </row>
    <row r="47" spans="2:88" ht="12.5" customHeight="1" x14ac:dyDescent="0.35">
      <c r="B47" s="4">
        <v>106618</v>
      </c>
      <c r="C47" s="4" t="s">
        <v>53</v>
      </c>
      <c r="D47" s="4">
        <v>6</v>
      </c>
      <c r="E47" s="5">
        <v>12</v>
      </c>
      <c r="F47" s="6">
        <v>476.67968294000002</v>
      </c>
      <c r="G47" s="7"/>
      <c r="H47" s="13">
        <v>9</v>
      </c>
      <c r="I47" s="13">
        <v>6</v>
      </c>
      <c r="J47" s="13"/>
      <c r="K47" s="3"/>
      <c r="L47" s="9">
        <f t="shared" si="0"/>
        <v>0.5</v>
      </c>
      <c r="M47" s="10">
        <f t="shared" si="1"/>
        <v>0.5</v>
      </c>
      <c r="N47" s="11">
        <f t="shared" si="2"/>
        <v>9.5</v>
      </c>
      <c r="O47" s="3">
        <f t="shared" si="3"/>
        <v>114</v>
      </c>
      <c r="P47" s="12">
        <f t="shared" si="3"/>
        <v>54341.483855160004</v>
      </c>
      <c r="R47" s="21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24">
        <f t="shared" si="4"/>
        <v>0</v>
      </c>
      <c r="AY47" s="21">
        <f>Asghar!J47+shahzad!J47+Fahad!J47+Asif!J47+sumair!J47</f>
        <v>0</v>
      </c>
      <c r="AZ47" s="21">
        <f>Asghar!N47+shahzad!N47+Fahad!N47+Asif!N47+sumair!N47</f>
        <v>0</v>
      </c>
      <c r="BA47" s="21">
        <f>Asghar!R47+shahzad!R47+Fahad!R47+Asif!R47+sumair!R47</f>
        <v>0</v>
      </c>
      <c r="BB47" s="21">
        <f>Asghar!V47+shahzad!V47+Fahad!V47+Asif!V47+sumair!V47</f>
        <v>0</v>
      </c>
      <c r="BC47" s="21">
        <f>Asghar!Z47+shahzad!Z47+Fahad!Z47+Asif!Z47+sumair!Z47</f>
        <v>0</v>
      </c>
      <c r="BD47" s="21">
        <f>Asghar!AD47+shahzad!AD47+Fahad!AD47+Asif!AD47+sumair!AD47</f>
        <v>0</v>
      </c>
      <c r="BE47" s="21">
        <f>Asghar!AH47+shahzad!AH47+Fahad!AH47+Asif!AH47+sumair!AH47</f>
        <v>0</v>
      </c>
      <c r="BF47" s="21">
        <f>Asghar!AL47+shahzad!AL47+Fahad!AL47+Asif!AL47+sumair!AL47</f>
        <v>0</v>
      </c>
      <c r="BG47" s="21">
        <f>Asghar!AP47+shahzad!AP47+Fahad!AP47+Asif!AP47+sumair!AP47</f>
        <v>0</v>
      </c>
      <c r="BH47" s="21">
        <f>Asghar!AT47+shahzad!AT47+Fahad!AT47+Asif!AT47+sumair!AT47</f>
        <v>0</v>
      </c>
      <c r="BI47" s="21">
        <f>Asghar!AX47+shahzad!AX47+Fahad!AX47+Asif!AX47+sumair!AX47</f>
        <v>0</v>
      </c>
      <c r="BJ47" s="21">
        <f>Asghar!BB47+shahzad!BB47+Fahad!BB47+Asif!BB47+sumair!BB47</f>
        <v>0</v>
      </c>
      <c r="BK47" s="21">
        <f>Asghar!BF47+shahzad!BF47+Fahad!BF47+Asif!BF47+sumair!BF47</f>
        <v>0</v>
      </c>
      <c r="BL47" s="21">
        <f>Asghar!BJ47+shahzad!BJ47+Fahad!BJ47+Asif!BJ47+sumair!BJ47</f>
        <v>0</v>
      </c>
      <c r="BM47" s="21">
        <f>Asghar!BN47+shahzad!BN47+Fahad!BN47+Asif!BN47+sumair!BN47</f>
        <v>0</v>
      </c>
      <c r="BN47" s="21">
        <f>Asghar!BR47+shahzad!BR47+Fahad!BR47+Asif!BR47+sumair!BR47</f>
        <v>0</v>
      </c>
      <c r="BO47" s="21">
        <f>Asghar!BV47+shahzad!BV47+Fahad!BV47+Asif!BV47+sumair!BV47</f>
        <v>0</v>
      </c>
      <c r="BP47" s="21">
        <f>Asghar!BZ47+shahzad!BZ47+Fahad!BZ47+Asif!BZ47+sumair!BZ47</f>
        <v>0</v>
      </c>
      <c r="BQ47" s="21">
        <f>Asghar!CD47+shahzad!CD47+Fahad!CD47+Asif!CD47+sumair!CD47</f>
        <v>0</v>
      </c>
      <c r="BR47" s="21">
        <f>Asghar!CH47+shahzad!CH47+Fahad!CH47+Asif!CH47+sumair!CH47</f>
        <v>0</v>
      </c>
      <c r="BS47" s="21">
        <f>Asghar!CL47+shahzad!CL47+Fahad!CL47+Asif!CL47+sumair!CL47</f>
        <v>0</v>
      </c>
      <c r="BT47" s="21">
        <f>Asghar!CP47+shahzad!CP47+Fahad!CP47+Asif!CP47+sumair!CP47</f>
        <v>0</v>
      </c>
      <c r="BU47" s="21">
        <f>Asghar!CT47+shahzad!CT47+Fahad!CT47+Asif!CT47+sumair!CT47</f>
        <v>0</v>
      </c>
      <c r="BV47" s="21">
        <f>Asghar!CX47+shahzad!CX47+Fahad!CX47+Asif!CX47+sumair!CX47</f>
        <v>0</v>
      </c>
      <c r="BW47" s="21">
        <f>Asghar!DB47+shahzad!DB47+Fahad!DB47+Asif!DB47+sumair!DB47</f>
        <v>0</v>
      </c>
      <c r="BX47" s="21">
        <f>Asghar!DF47+shahzad!DF47+Fahad!DF47+Asif!DF47+sumair!DF47</f>
        <v>0</v>
      </c>
      <c r="BY47" s="21">
        <f>Asghar!DJ47+shahzad!DJ47+Fahad!DJ47+Asif!DJ47+sumair!DJ47</f>
        <v>0</v>
      </c>
      <c r="BZ47" s="21">
        <f>Asghar!DN47+shahzad!DN47+Fahad!DN47+Asif!DN47+sumair!DN47</f>
        <v>0</v>
      </c>
      <c r="CA47" s="21">
        <f>Asghar!DR47+shahzad!DR47+Fahad!DR47+Asif!DR47+sumair!DR47</f>
        <v>0</v>
      </c>
      <c r="CB47" s="21">
        <f>Asghar!DV47+shahzad!DV47+Fahad!DV47+Asif!DV47+sumair!DV47</f>
        <v>0</v>
      </c>
      <c r="CC47" s="21">
        <f>Asghar!DZ47+shahzad!DZ47+Fahad!DZ47+Asif!DZ47+sumair!DZ47</f>
        <v>0</v>
      </c>
      <c r="CD47" s="54">
        <f t="shared" si="5"/>
        <v>0</v>
      </c>
      <c r="CF47" s="28">
        <f t="shared" si="6"/>
        <v>9.5</v>
      </c>
      <c r="CG47" s="30">
        <f t="shared" si="7"/>
        <v>0</v>
      </c>
      <c r="CH47" s="41">
        <f t="shared" si="8"/>
        <v>9.5</v>
      </c>
      <c r="CI47" s="53">
        <f t="shared" si="9"/>
        <v>0</v>
      </c>
      <c r="CJ47" s="42">
        <f t="shared" si="10"/>
        <v>9.5</v>
      </c>
    </row>
    <row r="48" spans="2:88" ht="12.5" customHeight="1" x14ac:dyDescent="0.35">
      <c r="B48" s="4">
        <v>106620</v>
      </c>
      <c r="C48" s="4" t="s">
        <v>54</v>
      </c>
      <c r="D48" s="4">
        <v>12</v>
      </c>
      <c r="E48" s="5">
        <v>12</v>
      </c>
      <c r="F48" s="6">
        <v>468.865061078</v>
      </c>
      <c r="G48" s="7"/>
      <c r="H48" s="8">
        <v>19</v>
      </c>
      <c r="I48" s="8"/>
      <c r="J48" s="13"/>
      <c r="K48" s="3"/>
      <c r="L48" s="9">
        <f t="shared" si="0"/>
        <v>0</v>
      </c>
      <c r="M48" s="10">
        <f t="shared" si="1"/>
        <v>0</v>
      </c>
      <c r="N48" s="11">
        <f t="shared" si="2"/>
        <v>19</v>
      </c>
      <c r="O48" s="3">
        <f t="shared" si="3"/>
        <v>228</v>
      </c>
      <c r="P48" s="12">
        <f t="shared" si="3"/>
        <v>106901.23392578399</v>
      </c>
      <c r="R48" s="21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24">
        <f t="shared" si="4"/>
        <v>0</v>
      </c>
      <c r="AY48" s="21">
        <f>Asghar!J48+shahzad!J48+Fahad!J48+Asif!J48+sumair!J48</f>
        <v>0</v>
      </c>
      <c r="AZ48" s="21">
        <f>Asghar!N48+shahzad!N48+Fahad!N48+Asif!N48+sumair!N48</f>
        <v>0</v>
      </c>
      <c r="BA48" s="21">
        <f>Asghar!R48+shahzad!R48+Fahad!R48+Asif!R48+sumair!R48</f>
        <v>0</v>
      </c>
      <c r="BB48" s="21">
        <f>Asghar!V48+shahzad!V48+Fahad!V48+Asif!V48+sumair!V48</f>
        <v>0</v>
      </c>
      <c r="BC48" s="21">
        <f>Asghar!Z48+shahzad!Z48+Fahad!Z48+Asif!Z48+sumair!Z48</f>
        <v>0</v>
      </c>
      <c r="BD48" s="21">
        <f>Asghar!AD48+shahzad!AD48+Fahad!AD48+Asif!AD48+sumair!AD48</f>
        <v>0</v>
      </c>
      <c r="BE48" s="21">
        <f>Asghar!AH48+shahzad!AH48+Fahad!AH48+Asif!AH48+sumair!AH48</f>
        <v>0</v>
      </c>
      <c r="BF48" s="21">
        <f>Asghar!AL48+shahzad!AL48+Fahad!AL48+Asif!AL48+sumair!AL48</f>
        <v>0</v>
      </c>
      <c r="BG48" s="21">
        <f>Asghar!AP48+shahzad!AP48+Fahad!AP48+Asif!AP48+sumair!AP48</f>
        <v>0</v>
      </c>
      <c r="BH48" s="21">
        <f>Asghar!AT48+shahzad!AT48+Fahad!AT48+Asif!AT48+sumair!AT48</f>
        <v>0</v>
      </c>
      <c r="BI48" s="21">
        <f>Asghar!AX48+shahzad!AX48+Fahad!AX48+Asif!AX48+sumair!AX48</f>
        <v>0</v>
      </c>
      <c r="BJ48" s="21">
        <f>Asghar!BB48+shahzad!BB48+Fahad!BB48+Asif!BB48+sumair!BB48</f>
        <v>0</v>
      </c>
      <c r="BK48" s="21">
        <f>Asghar!BF48+shahzad!BF48+Fahad!BF48+Asif!BF48+sumair!BF48</f>
        <v>0</v>
      </c>
      <c r="BL48" s="21">
        <f>Asghar!BJ48+shahzad!BJ48+Fahad!BJ48+Asif!BJ48+sumair!BJ48</f>
        <v>0</v>
      </c>
      <c r="BM48" s="21">
        <f>Asghar!BN48+shahzad!BN48+Fahad!BN48+Asif!BN48+sumair!BN48</f>
        <v>0</v>
      </c>
      <c r="BN48" s="21">
        <f>Asghar!BR48+shahzad!BR48+Fahad!BR48+Asif!BR48+sumair!BR48</f>
        <v>0</v>
      </c>
      <c r="BO48" s="21">
        <f>Asghar!BV48+shahzad!BV48+Fahad!BV48+Asif!BV48+sumair!BV48</f>
        <v>0</v>
      </c>
      <c r="BP48" s="21">
        <f>Asghar!BZ48+shahzad!BZ48+Fahad!BZ48+Asif!BZ48+sumair!BZ48</f>
        <v>0</v>
      </c>
      <c r="BQ48" s="21">
        <f>Asghar!CD48+shahzad!CD48+Fahad!CD48+Asif!CD48+sumair!CD48</f>
        <v>0</v>
      </c>
      <c r="BR48" s="21">
        <f>Asghar!CH48+shahzad!CH48+Fahad!CH48+Asif!CH48+sumair!CH48</f>
        <v>0</v>
      </c>
      <c r="BS48" s="21">
        <f>Asghar!CL48+shahzad!CL48+Fahad!CL48+Asif!CL48+sumair!CL48</f>
        <v>0</v>
      </c>
      <c r="BT48" s="21">
        <f>Asghar!CP48+shahzad!CP48+Fahad!CP48+Asif!CP48+sumair!CP48</f>
        <v>0</v>
      </c>
      <c r="BU48" s="21">
        <f>Asghar!CT48+shahzad!CT48+Fahad!CT48+Asif!CT48+sumair!CT48</f>
        <v>0</v>
      </c>
      <c r="BV48" s="21">
        <f>Asghar!CX48+shahzad!CX48+Fahad!CX48+Asif!CX48+sumair!CX48</f>
        <v>0</v>
      </c>
      <c r="BW48" s="21">
        <f>Asghar!DB48+shahzad!DB48+Fahad!DB48+Asif!DB48+sumair!DB48</f>
        <v>0</v>
      </c>
      <c r="BX48" s="21">
        <f>Asghar!DF48+shahzad!DF48+Fahad!DF48+Asif!DF48+sumair!DF48</f>
        <v>0</v>
      </c>
      <c r="BY48" s="21">
        <f>Asghar!DJ48+shahzad!DJ48+Fahad!DJ48+Asif!DJ48+sumair!DJ48</f>
        <v>0</v>
      </c>
      <c r="BZ48" s="21">
        <f>Asghar!DN48+shahzad!DN48+Fahad!DN48+Asif!DN48+sumair!DN48</f>
        <v>0</v>
      </c>
      <c r="CA48" s="21">
        <f>Asghar!DR48+shahzad!DR48+Fahad!DR48+Asif!DR48+sumair!DR48</f>
        <v>0</v>
      </c>
      <c r="CB48" s="21">
        <f>Asghar!DV48+shahzad!DV48+Fahad!DV48+Asif!DV48+sumair!DV48</f>
        <v>0</v>
      </c>
      <c r="CC48" s="21">
        <f>Asghar!DZ48+shahzad!DZ48+Fahad!DZ48+Asif!DZ48+sumair!DZ48</f>
        <v>0</v>
      </c>
      <c r="CD48" s="54">
        <f t="shared" si="5"/>
        <v>0</v>
      </c>
      <c r="CF48" s="28">
        <f t="shared" si="6"/>
        <v>19</v>
      </c>
      <c r="CG48" s="30">
        <f t="shared" si="7"/>
        <v>0</v>
      </c>
      <c r="CH48" s="41">
        <f t="shared" si="8"/>
        <v>19</v>
      </c>
      <c r="CI48" s="53">
        <f t="shared" si="9"/>
        <v>0</v>
      </c>
      <c r="CJ48" s="42">
        <f t="shared" si="10"/>
        <v>19</v>
      </c>
    </row>
    <row r="49" spans="2:88" ht="12.5" customHeight="1" x14ac:dyDescent="0.35">
      <c r="B49" s="4">
        <v>106622</v>
      </c>
      <c r="C49" s="4" t="s">
        <v>55</v>
      </c>
      <c r="D49" s="4">
        <v>12</v>
      </c>
      <c r="E49" s="5">
        <v>12</v>
      </c>
      <c r="F49" s="6">
        <v>468.865061078</v>
      </c>
      <c r="G49" s="7"/>
      <c r="H49" s="8"/>
      <c r="I49" s="8">
        <v>1</v>
      </c>
      <c r="J49" s="13"/>
      <c r="K49" s="3"/>
      <c r="L49" s="9">
        <f t="shared" si="0"/>
        <v>8.3333333333333329E-2</v>
      </c>
      <c r="M49" s="10">
        <f t="shared" si="1"/>
        <v>8.3333333333333329E-2</v>
      </c>
      <c r="N49" s="11">
        <f t="shared" si="2"/>
        <v>8.3333333333333329E-2</v>
      </c>
      <c r="O49" s="3">
        <f t="shared" si="3"/>
        <v>1</v>
      </c>
      <c r="P49" s="12">
        <f t="shared" si="3"/>
        <v>468.865061078</v>
      </c>
      <c r="R49" s="21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24">
        <f t="shared" si="4"/>
        <v>0</v>
      </c>
      <c r="AY49" s="21">
        <f>Asghar!J49+shahzad!J49+Fahad!J49+Asif!J49+sumair!J49</f>
        <v>0</v>
      </c>
      <c r="AZ49" s="21">
        <f>Asghar!N49+shahzad!N49+Fahad!N49+Asif!N49+sumair!N49</f>
        <v>0</v>
      </c>
      <c r="BA49" s="21">
        <f>Asghar!R49+shahzad!R49+Fahad!R49+Asif!R49+sumair!R49</f>
        <v>0</v>
      </c>
      <c r="BB49" s="21">
        <f>Asghar!V49+shahzad!V49+Fahad!V49+Asif!V49+sumair!V49</f>
        <v>0</v>
      </c>
      <c r="BC49" s="21">
        <f>Asghar!Z49+shahzad!Z49+Fahad!Z49+Asif!Z49+sumair!Z49</f>
        <v>0</v>
      </c>
      <c r="BD49" s="21">
        <f>Asghar!AD49+shahzad!AD49+Fahad!AD49+Asif!AD49+sumair!AD49</f>
        <v>0</v>
      </c>
      <c r="BE49" s="21">
        <f>Asghar!AH49+shahzad!AH49+Fahad!AH49+Asif!AH49+sumair!AH49</f>
        <v>0</v>
      </c>
      <c r="BF49" s="21">
        <f>Asghar!AL49+shahzad!AL49+Fahad!AL49+Asif!AL49+sumair!AL49</f>
        <v>0</v>
      </c>
      <c r="BG49" s="21">
        <f>Asghar!AP49+shahzad!AP49+Fahad!AP49+Asif!AP49+sumair!AP49</f>
        <v>0</v>
      </c>
      <c r="BH49" s="21">
        <f>Asghar!AT49+shahzad!AT49+Fahad!AT49+Asif!AT49+sumair!AT49</f>
        <v>0</v>
      </c>
      <c r="BI49" s="21">
        <f>Asghar!AX49+shahzad!AX49+Fahad!AX49+Asif!AX49+sumair!AX49</f>
        <v>0</v>
      </c>
      <c r="BJ49" s="21">
        <f>Asghar!BB49+shahzad!BB49+Fahad!BB49+Asif!BB49+sumair!BB49</f>
        <v>0</v>
      </c>
      <c r="BK49" s="21">
        <f>Asghar!BF49+shahzad!BF49+Fahad!BF49+Asif!BF49+sumair!BF49</f>
        <v>0</v>
      </c>
      <c r="BL49" s="21">
        <f>Asghar!BJ49+shahzad!BJ49+Fahad!BJ49+Asif!BJ49+sumair!BJ49</f>
        <v>0</v>
      </c>
      <c r="BM49" s="21">
        <f>Asghar!BN49+shahzad!BN49+Fahad!BN49+Asif!BN49+sumair!BN49</f>
        <v>0</v>
      </c>
      <c r="BN49" s="21">
        <f>Asghar!BR49+shahzad!BR49+Fahad!BR49+Asif!BR49+sumair!BR49</f>
        <v>0</v>
      </c>
      <c r="BO49" s="21">
        <f>Asghar!BV49+shahzad!BV49+Fahad!BV49+Asif!BV49+sumair!BV49</f>
        <v>0</v>
      </c>
      <c r="BP49" s="21">
        <f>Asghar!BZ49+shahzad!BZ49+Fahad!BZ49+Asif!BZ49+sumair!BZ49</f>
        <v>0</v>
      </c>
      <c r="BQ49" s="21">
        <f>Asghar!CD49+shahzad!CD49+Fahad!CD49+Asif!CD49+sumair!CD49</f>
        <v>0</v>
      </c>
      <c r="BR49" s="21">
        <f>Asghar!CH49+shahzad!CH49+Fahad!CH49+Asif!CH49+sumair!CH49</f>
        <v>0</v>
      </c>
      <c r="BS49" s="21">
        <f>Asghar!CL49+shahzad!CL49+Fahad!CL49+Asif!CL49+sumair!CL49</f>
        <v>0</v>
      </c>
      <c r="BT49" s="21">
        <f>Asghar!CP49+shahzad!CP49+Fahad!CP49+Asif!CP49+sumair!CP49</f>
        <v>0</v>
      </c>
      <c r="BU49" s="21">
        <f>Asghar!CT49+shahzad!CT49+Fahad!CT49+Asif!CT49+sumair!CT49</f>
        <v>0</v>
      </c>
      <c r="BV49" s="21">
        <f>Asghar!CX49+shahzad!CX49+Fahad!CX49+Asif!CX49+sumair!CX49</f>
        <v>0</v>
      </c>
      <c r="BW49" s="21">
        <f>Asghar!DB49+shahzad!DB49+Fahad!DB49+Asif!DB49+sumair!DB49</f>
        <v>0</v>
      </c>
      <c r="BX49" s="21">
        <f>Asghar!DF49+shahzad!DF49+Fahad!DF49+Asif!DF49+sumair!DF49</f>
        <v>0</v>
      </c>
      <c r="BY49" s="21">
        <f>Asghar!DJ49+shahzad!DJ49+Fahad!DJ49+Asif!DJ49+sumair!DJ49</f>
        <v>0</v>
      </c>
      <c r="BZ49" s="21">
        <f>Asghar!DN49+shahzad!DN49+Fahad!DN49+Asif!DN49+sumair!DN49</f>
        <v>0</v>
      </c>
      <c r="CA49" s="21">
        <f>Asghar!DR49+shahzad!DR49+Fahad!DR49+Asif!DR49+sumair!DR49</f>
        <v>0</v>
      </c>
      <c r="CB49" s="21">
        <f>Asghar!DV49+shahzad!DV49+Fahad!DV49+Asif!DV49+sumair!DV49</f>
        <v>0</v>
      </c>
      <c r="CC49" s="21">
        <f>Asghar!DZ49+shahzad!DZ49+Fahad!DZ49+Asif!DZ49+sumair!DZ49</f>
        <v>0</v>
      </c>
      <c r="CD49" s="54">
        <f t="shared" si="5"/>
        <v>0</v>
      </c>
      <c r="CF49" s="28">
        <f t="shared" si="6"/>
        <v>8.3333333333333329E-2</v>
      </c>
      <c r="CG49" s="30">
        <f t="shared" si="7"/>
        <v>0</v>
      </c>
      <c r="CH49" s="41">
        <f t="shared" si="8"/>
        <v>8.3333333333333329E-2</v>
      </c>
      <c r="CI49" s="53">
        <f t="shared" si="9"/>
        <v>0</v>
      </c>
      <c r="CJ49" s="42">
        <f t="shared" si="10"/>
        <v>8.3333333333333329E-2</v>
      </c>
    </row>
    <row r="50" spans="2:88" ht="12.5" customHeight="1" x14ac:dyDescent="0.35">
      <c r="B50" s="4">
        <v>107013</v>
      </c>
      <c r="C50" s="4" t="s">
        <v>56</v>
      </c>
      <c r="D50" s="4">
        <v>1</v>
      </c>
      <c r="E50" s="5">
        <v>24</v>
      </c>
      <c r="F50" s="6">
        <v>197.18624064799999</v>
      </c>
      <c r="G50" s="7"/>
      <c r="H50" s="8">
        <v>31</v>
      </c>
      <c r="I50" s="8">
        <v>15</v>
      </c>
      <c r="J50" s="13"/>
      <c r="K50" s="3"/>
      <c r="L50" s="9">
        <f t="shared" si="0"/>
        <v>0.625</v>
      </c>
      <c r="M50" s="10">
        <f t="shared" si="1"/>
        <v>0.625</v>
      </c>
      <c r="N50" s="11">
        <f t="shared" si="2"/>
        <v>31.625</v>
      </c>
      <c r="O50" s="3">
        <f t="shared" si="3"/>
        <v>759</v>
      </c>
      <c r="P50" s="12">
        <f t="shared" si="3"/>
        <v>149664.356651832</v>
      </c>
      <c r="R50" s="21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24">
        <f t="shared" si="4"/>
        <v>0</v>
      </c>
      <c r="AY50" s="21">
        <f>Asghar!J50+shahzad!J50+Fahad!J50+Asif!J50+sumair!J50</f>
        <v>0</v>
      </c>
      <c r="AZ50" s="21">
        <f>Asghar!N50+shahzad!N50+Fahad!N50+Asif!N50+sumair!N50</f>
        <v>0</v>
      </c>
      <c r="BA50" s="21">
        <f>Asghar!R50+shahzad!R50+Fahad!R50+Asif!R50+sumair!R50</f>
        <v>0</v>
      </c>
      <c r="BB50" s="21">
        <f>Asghar!V50+shahzad!V50+Fahad!V50+Asif!V50+sumair!V50</f>
        <v>0</v>
      </c>
      <c r="BC50" s="21">
        <f>Asghar!Z50+shahzad!Z50+Fahad!Z50+Asif!Z50+sumair!Z50</f>
        <v>0</v>
      </c>
      <c r="BD50" s="21">
        <f>Asghar!AD50+shahzad!AD50+Fahad!AD50+Asif!AD50+sumair!AD50</f>
        <v>0</v>
      </c>
      <c r="BE50" s="21">
        <f>Asghar!AH50+shahzad!AH50+Fahad!AH50+Asif!AH50+sumair!AH50</f>
        <v>0</v>
      </c>
      <c r="BF50" s="21">
        <f>Asghar!AL50+shahzad!AL50+Fahad!AL50+Asif!AL50+sumair!AL50</f>
        <v>0</v>
      </c>
      <c r="BG50" s="21">
        <f>Asghar!AP50+shahzad!AP50+Fahad!AP50+Asif!AP50+sumair!AP50</f>
        <v>0</v>
      </c>
      <c r="BH50" s="21">
        <f>Asghar!AT50+shahzad!AT50+Fahad!AT50+Asif!AT50+sumair!AT50</f>
        <v>0</v>
      </c>
      <c r="BI50" s="21">
        <f>Asghar!AX50+shahzad!AX50+Fahad!AX50+Asif!AX50+sumair!AX50</f>
        <v>0</v>
      </c>
      <c r="BJ50" s="21">
        <f>Asghar!BB50+shahzad!BB50+Fahad!BB50+Asif!BB50+sumair!BB50</f>
        <v>0</v>
      </c>
      <c r="BK50" s="21">
        <f>Asghar!BF50+shahzad!BF50+Fahad!BF50+Asif!BF50+sumair!BF50</f>
        <v>0</v>
      </c>
      <c r="BL50" s="21">
        <f>Asghar!BJ50+shahzad!BJ50+Fahad!BJ50+Asif!BJ50+sumair!BJ50</f>
        <v>0</v>
      </c>
      <c r="BM50" s="21">
        <f>Asghar!BN50+shahzad!BN50+Fahad!BN50+Asif!BN50+sumair!BN50</f>
        <v>0</v>
      </c>
      <c r="BN50" s="21">
        <f>Asghar!BR50+shahzad!BR50+Fahad!BR50+Asif!BR50+sumair!BR50</f>
        <v>0</v>
      </c>
      <c r="BO50" s="21">
        <f>Asghar!BV50+shahzad!BV50+Fahad!BV50+Asif!BV50+sumair!BV50</f>
        <v>0</v>
      </c>
      <c r="BP50" s="21">
        <f>Asghar!BZ50+shahzad!BZ50+Fahad!BZ50+Asif!BZ50+sumair!BZ50</f>
        <v>0</v>
      </c>
      <c r="BQ50" s="21">
        <f>Asghar!CD50+shahzad!CD50+Fahad!CD50+Asif!CD50+sumair!CD50</f>
        <v>0</v>
      </c>
      <c r="BR50" s="21">
        <f>Asghar!CH50+shahzad!CH50+Fahad!CH50+Asif!CH50+sumair!CH50</f>
        <v>0</v>
      </c>
      <c r="BS50" s="21">
        <f>Asghar!CL50+shahzad!CL50+Fahad!CL50+Asif!CL50+sumair!CL50</f>
        <v>0</v>
      </c>
      <c r="BT50" s="21">
        <f>Asghar!CP50+shahzad!CP50+Fahad!CP50+Asif!CP50+sumair!CP50</f>
        <v>0</v>
      </c>
      <c r="BU50" s="21">
        <f>Asghar!CT50+shahzad!CT50+Fahad!CT50+Asif!CT50+sumair!CT50</f>
        <v>0</v>
      </c>
      <c r="BV50" s="21">
        <f>Asghar!CX50+shahzad!CX50+Fahad!CX50+Asif!CX50+sumair!CX50</f>
        <v>0</v>
      </c>
      <c r="BW50" s="21">
        <f>Asghar!DB50+shahzad!DB50+Fahad!DB50+Asif!DB50+sumair!DB50</f>
        <v>0</v>
      </c>
      <c r="BX50" s="21">
        <f>Asghar!DF50+shahzad!DF50+Fahad!DF50+Asif!DF50+sumair!DF50</f>
        <v>0</v>
      </c>
      <c r="BY50" s="21">
        <f>Asghar!DJ50+shahzad!DJ50+Fahad!DJ50+Asif!DJ50+sumair!DJ50</f>
        <v>0</v>
      </c>
      <c r="BZ50" s="21">
        <f>Asghar!DN50+shahzad!DN50+Fahad!DN50+Asif!DN50+sumair!DN50</f>
        <v>0</v>
      </c>
      <c r="CA50" s="21">
        <f>Asghar!DR50+shahzad!DR50+Fahad!DR50+Asif!DR50+sumair!DR50</f>
        <v>0</v>
      </c>
      <c r="CB50" s="21">
        <f>Asghar!DV50+shahzad!DV50+Fahad!DV50+Asif!DV50+sumair!DV50</f>
        <v>0</v>
      </c>
      <c r="CC50" s="21">
        <f>Asghar!DZ50+shahzad!DZ50+Fahad!DZ50+Asif!DZ50+sumair!DZ50</f>
        <v>0</v>
      </c>
      <c r="CD50" s="54">
        <f t="shared" si="5"/>
        <v>0</v>
      </c>
      <c r="CF50" s="28">
        <f t="shared" si="6"/>
        <v>31.625</v>
      </c>
      <c r="CG50" s="30">
        <f t="shared" si="7"/>
        <v>0</v>
      </c>
      <c r="CH50" s="41">
        <f t="shared" si="8"/>
        <v>31.625</v>
      </c>
      <c r="CI50" s="53">
        <f t="shared" si="9"/>
        <v>0</v>
      </c>
      <c r="CJ50" s="42">
        <f t="shared" si="10"/>
        <v>31.625</v>
      </c>
    </row>
    <row r="51" spans="2:88" ht="12.5" customHeight="1" x14ac:dyDescent="0.35">
      <c r="B51" s="4">
        <v>107017</v>
      </c>
      <c r="C51" s="4" t="s">
        <v>57</v>
      </c>
      <c r="D51" s="4">
        <v>100</v>
      </c>
      <c r="E51" s="5">
        <v>12</v>
      </c>
      <c r="F51" s="6">
        <v>801.89063294000005</v>
      </c>
      <c r="G51" s="7"/>
      <c r="H51" s="13">
        <v>12</v>
      </c>
      <c r="I51" s="8">
        <v>1</v>
      </c>
      <c r="J51" s="13"/>
      <c r="K51" s="3"/>
      <c r="L51" s="9">
        <f t="shared" si="0"/>
        <v>8.3333333333333329E-2</v>
      </c>
      <c r="M51" s="10">
        <f t="shared" si="1"/>
        <v>8.3333333333333329E-2</v>
      </c>
      <c r="N51" s="11">
        <f t="shared" si="2"/>
        <v>12.083333333333334</v>
      </c>
      <c r="O51" s="3">
        <f t="shared" si="3"/>
        <v>145</v>
      </c>
      <c r="P51" s="12">
        <f t="shared" si="3"/>
        <v>116274.14177630001</v>
      </c>
      <c r="R51" s="21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24">
        <f t="shared" si="4"/>
        <v>0</v>
      </c>
      <c r="AY51" s="21">
        <f>Asghar!J51+shahzad!J51+Fahad!J51+Asif!J51+sumair!J51</f>
        <v>0</v>
      </c>
      <c r="AZ51" s="21">
        <f>Asghar!N51+shahzad!N51+Fahad!N51+Asif!N51+sumair!N51</f>
        <v>0</v>
      </c>
      <c r="BA51" s="21">
        <f>Asghar!R51+shahzad!R51+Fahad!R51+Asif!R51+sumair!R51</f>
        <v>0</v>
      </c>
      <c r="BB51" s="21">
        <f>Asghar!V51+shahzad!V51+Fahad!V51+Asif!V51+sumair!V51</f>
        <v>0</v>
      </c>
      <c r="BC51" s="21">
        <f>Asghar!Z51+shahzad!Z51+Fahad!Z51+Asif!Z51+sumair!Z51</f>
        <v>0</v>
      </c>
      <c r="BD51" s="21">
        <f>Asghar!AD51+shahzad!AD51+Fahad!AD51+Asif!AD51+sumair!AD51</f>
        <v>0</v>
      </c>
      <c r="BE51" s="21">
        <f>Asghar!AH51+shahzad!AH51+Fahad!AH51+Asif!AH51+sumair!AH51</f>
        <v>0</v>
      </c>
      <c r="BF51" s="21">
        <f>Asghar!AL51+shahzad!AL51+Fahad!AL51+Asif!AL51+sumair!AL51</f>
        <v>0</v>
      </c>
      <c r="BG51" s="21">
        <f>Asghar!AP51+shahzad!AP51+Fahad!AP51+Asif!AP51+sumair!AP51</f>
        <v>0</v>
      </c>
      <c r="BH51" s="21">
        <f>Asghar!AT51+shahzad!AT51+Fahad!AT51+Asif!AT51+sumair!AT51</f>
        <v>0</v>
      </c>
      <c r="BI51" s="21">
        <f>Asghar!AX51+shahzad!AX51+Fahad!AX51+Asif!AX51+sumair!AX51</f>
        <v>0</v>
      </c>
      <c r="BJ51" s="21">
        <f>Asghar!BB51+shahzad!BB51+Fahad!BB51+Asif!BB51+sumair!BB51</f>
        <v>0</v>
      </c>
      <c r="BK51" s="21">
        <f>Asghar!BF51+shahzad!BF51+Fahad!BF51+Asif!BF51+sumair!BF51</f>
        <v>0</v>
      </c>
      <c r="BL51" s="21">
        <f>Asghar!BJ51+shahzad!BJ51+Fahad!BJ51+Asif!BJ51+sumair!BJ51</f>
        <v>0</v>
      </c>
      <c r="BM51" s="21">
        <f>Asghar!BN51+shahzad!BN51+Fahad!BN51+Asif!BN51+sumair!BN51</f>
        <v>0</v>
      </c>
      <c r="BN51" s="21">
        <f>Asghar!BR51+shahzad!BR51+Fahad!BR51+Asif!BR51+sumair!BR51</f>
        <v>0</v>
      </c>
      <c r="BO51" s="21">
        <f>Asghar!BV51+shahzad!BV51+Fahad!BV51+Asif!BV51+sumair!BV51</f>
        <v>0</v>
      </c>
      <c r="BP51" s="21">
        <f>Asghar!BZ51+shahzad!BZ51+Fahad!BZ51+Asif!BZ51+sumair!BZ51</f>
        <v>0</v>
      </c>
      <c r="BQ51" s="21">
        <f>Asghar!CD51+shahzad!CD51+Fahad!CD51+Asif!CD51+sumair!CD51</f>
        <v>0</v>
      </c>
      <c r="BR51" s="21">
        <f>Asghar!CH51+shahzad!CH51+Fahad!CH51+Asif!CH51+sumair!CH51</f>
        <v>0</v>
      </c>
      <c r="BS51" s="21">
        <f>Asghar!CL51+shahzad!CL51+Fahad!CL51+Asif!CL51+sumair!CL51</f>
        <v>0</v>
      </c>
      <c r="BT51" s="21">
        <f>Asghar!CP51+shahzad!CP51+Fahad!CP51+Asif!CP51+sumair!CP51</f>
        <v>0</v>
      </c>
      <c r="BU51" s="21">
        <f>Asghar!CT51+shahzad!CT51+Fahad!CT51+Asif!CT51+sumair!CT51</f>
        <v>0</v>
      </c>
      <c r="BV51" s="21">
        <f>Asghar!CX51+shahzad!CX51+Fahad!CX51+Asif!CX51+sumair!CX51</f>
        <v>0</v>
      </c>
      <c r="BW51" s="21">
        <f>Asghar!DB51+shahzad!DB51+Fahad!DB51+Asif!DB51+sumair!DB51</f>
        <v>0</v>
      </c>
      <c r="BX51" s="21">
        <f>Asghar!DF51+shahzad!DF51+Fahad!DF51+Asif!DF51+sumair!DF51</f>
        <v>0</v>
      </c>
      <c r="BY51" s="21">
        <f>Asghar!DJ51+shahzad!DJ51+Fahad!DJ51+Asif!DJ51+sumair!DJ51</f>
        <v>0</v>
      </c>
      <c r="BZ51" s="21">
        <f>Asghar!DN51+shahzad!DN51+Fahad!DN51+Asif!DN51+sumair!DN51</f>
        <v>0</v>
      </c>
      <c r="CA51" s="21">
        <f>Asghar!DR51+shahzad!DR51+Fahad!DR51+Asif!DR51+sumair!DR51</f>
        <v>0</v>
      </c>
      <c r="CB51" s="21">
        <f>Asghar!DV51+shahzad!DV51+Fahad!DV51+Asif!DV51+sumair!DV51</f>
        <v>0</v>
      </c>
      <c r="CC51" s="21">
        <f>Asghar!DZ51+shahzad!DZ51+Fahad!DZ51+Asif!DZ51+sumair!DZ51</f>
        <v>0</v>
      </c>
      <c r="CD51" s="54">
        <f t="shared" si="5"/>
        <v>0</v>
      </c>
      <c r="CF51" s="28">
        <f t="shared" si="6"/>
        <v>12.083333333333334</v>
      </c>
      <c r="CG51" s="30">
        <f t="shared" si="7"/>
        <v>0</v>
      </c>
      <c r="CH51" s="41">
        <f t="shared" si="8"/>
        <v>12.083333333333334</v>
      </c>
      <c r="CI51" s="53">
        <f t="shared" si="9"/>
        <v>0</v>
      </c>
      <c r="CJ51" s="42">
        <f t="shared" si="10"/>
        <v>12.083333333333334</v>
      </c>
    </row>
    <row r="52" spans="2:88" ht="12.5" customHeight="1" x14ac:dyDescent="0.35">
      <c r="B52" s="4">
        <v>107511</v>
      </c>
      <c r="C52" s="4" t="s">
        <v>58</v>
      </c>
      <c r="D52" s="4">
        <v>12</v>
      </c>
      <c r="E52" s="5">
        <v>24</v>
      </c>
      <c r="F52" s="6">
        <v>288.68257499999999</v>
      </c>
      <c r="G52" s="7"/>
      <c r="H52" s="8">
        <v>12</v>
      </c>
      <c r="I52" s="13">
        <v>2</v>
      </c>
      <c r="J52" s="13"/>
      <c r="K52" s="3"/>
      <c r="L52" s="9">
        <f t="shared" si="0"/>
        <v>8.3333333333333329E-2</v>
      </c>
      <c r="M52" s="10">
        <f t="shared" si="1"/>
        <v>8.3333333333333329E-2</v>
      </c>
      <c r="N52" s="11">
        <f t="shared" si="2"/>
        <v>12.083333333333334</v>
      </c>
      <c r="O52" s="3">
        <f t="shared" si="3"/>
        <v>290</v>
      </c>
      <c r="P52" s="12">
        <f t="shared" si="3"/>
        <v>83717.946750000003</v>
      </c>
      <c r="R52" s="21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24">
        <f t="shared" si="4"/>
        <v>0</v>
      </c>
      <c r="AY52" s="21">
        <f>Asghar!J52+shahzad!J52+Fahad!J52+Asif!J52+sumair!J52</f>
        <v>0</v>
      </c>
      <c r="AZ52" s="21">
        <f>Asghar!N52+shahzad!N52+Fahad!N52+Asif!N52+sumair!N52</f>
        <v>0</v>
      </c>
      <c r="BA52" s="21">
        <f>Asghar!R52+shahzad!R52+Fahad!R52+Asif!R52+sumair!R52</f>
        <v>0</v>
      </c>
      <c r="BB52" s="21">
        <f>Asghar!V52+shahzad!V52+Fahad!V52+Asif!V52+sumair!V52</f>
        <v>0</v>
      </c>
      <c r="BC52" s="21">
        <f>Asghar!Z52+shahzad!Z52+Fahad!Z52+Asif!Z52+sumair!Z52</f>
        <v>0</v>
      </c>
      <c r="BD52" s="21">
        <f>Asghar!AD52+shahzad!AD52+Fahad!AD52+Asif!AD52+sumair!AD52</f>
        <v>0</v>
      </c>
      <c r="BE52" s="21">
        <f>Asghar!AH52+shahzad!AH52+Fahad!AH52+Asif!AH52+sumair!AH52</f>
        <v>0</v>
      </c>
      <c r="BF52" s="21">
        <f>Asghar!AL52+shahzad!AL52+Fahad!AL52+Asif!AL52+sumair!AL52</f>
        <v>0</v>
      </c>
      <c r="BG52" s="21">
        <f>Asghar!AP52+shahzad!AP52+Fahad!AP52+Asif!AP52+sumair!AP52</f>
        <v>0</v>
      </c>
      <c r="BH52" s="21">
        <f>Asghar!AT52+shahzad!AT52+Fahad!AT52+Asif!AT52+sumair!AT52</f>
        <v>0</v>
      </c>
      <c r="BI52" s="21">
        <f>Asghar!AX52+shahzad!AX52+Fahad!AX52+Asif!AX52+sumair!AX52</f>
        <v>0</v>
      </c>
      <c r="BJ52" s="21">
        <f>Asghar!BB52+shahzad!BB52+Fahad!BB52+Asif!BB52+sumair!BB52</f>
        <v>0</v>
      </c>
      <c r="BK52" s="21">
        <f>Asghar!BF52+shahzad!BF52+Fahad!BF52+Asif!BF52+sumair!BF52</f>
        <v>0</v>
      </c>
      <c r="BL52" s="21">
        <f>Asghar!BJ52+shahzad!BJ52+Fahad!BJ52+Asif!BJ52+sumair!BJ52</f>
        <v>0</v>
      </c>
      <c r="BM52" s="21">
        <f>Asghar!BN52+shahzad!BN52+Fahad!BN52+Asif!BN52+sumair!BN52</f>
        <v>0</v>
      </c>
      <c r="BN52" s="21">
        <f>Asghar!BR52+shahzad!BR52+Fahad!BR52+Asif!BR52+sumair!BR52</f>
        <v>0</v>
      </c>
      <c r="BO52" s="21">
        <f>Asghar!BV52+shahzad!BV52+Fahad!BV52+Asif!BV52+sumair!BV52</f>
        <v>0</v>
      </c>
      <c r="BP52" s="21">
        <f>Asghar!BZ52+shahzad!BZ52+Fahad!BZ52+Asif!BZ52+sumair!BZ52</f>
        <v>0</v>
      </c>
      <c r="BQ52" s="21">
        <f>Asghar!CD52+shahzad!CD52+Fahad!CD52+Asif!CD52+sumair!CD52</f>
        <v>0</v>
      </c>
      <c r="BR52" s="21">
        <f>Asghar!CH52+shahzad!CH52+Fahad!CH52+Asif!CH52+sumair!CH52</f>
        <v>0</v>
      </c>
      <c r="BS52" s="21">
        <f>Asghar!CL52+shahzad!CL52+Fahad!CL52+Asif!CL52+sumair!CL52</f>
        <v>0</v>
      </c>
      <c r="BT52" s="21">
        <f>Asghar!CP52+shahzad!CP52+Fahad!CP52+Asif!CP52+sumair!CP52</f>
        <v>0</v>
      </c>
      <c r="BU52" s="21">
        <f>Asghar!CT52+shahzad!CT52+Fahad!CT52+Asif!CT52+sumair!CT52</f>
        <v>0</v>
      </c>
      <c r="BV52" s="21">
        <f>Asghar!CX52+shahzad!CX52+Fahad!CX52+Asif!CX52+sumair!CX52</f>
        <v>0</v>
      </c>
      <c r="BW52" s="21">
        <f>Asghar!DB52+shahzad!DB52+Fahad!DB52+Asif!DB52+sumair!DB52</f>
        <v>0</v>
      </c>
      <c r="BX52" s="21">
        <f>Asghar!DF52+shahzad!DF52+Fahad!DF52+Asif!DF52+sumair!DF52</f>
        <v>0</v>
      </c>
      <c r="BY52" s="21">
        <f>Asghar!DJ52+shahzad!DJ52+Fahad!DJ52+Asif!DJ52+sumair!DJ52</f>
        <v>0</v>
      </c>
      <c r="BZ52" s="21">
        <f>Asghar!DN52+shahzad!DN52+Fahad!DN52+Asif!DN52+sumair!DN52</f>
        <v>0</v>
      </c>
      <c r="CA52" s="21">
        <f>Asghar!DR52+shahzad!DR52+Fahad!DR52+Asif!DR52+sumair!DR52</f>
        <v>0</v>
      </c>
      <c r="CB52" s="21">
        <f>Asghar!DV52+shahzad!DV52+Fahad!DV52+Asif!DV52+sumair!DV52</f>
        <v>0</v>
      </c>
      <c r="CC52" s="21">
        <f>Asghar!DZ52+shahzad!DZ52+Fahad!DZ52+Asif!DZ52+sumair!DZ52</f>
        <v>0</v>
      </c>
      <c r="CD52" s="54">
        <f t="shared" si="5"/>
        <v>0</v>
      </c>
      <c r="CF52" s="28">
        <f t="shared" si="6"/>
        <v>12.083333333333334</v>
      </c>
      <c r="CG52" s="30">
        <f t="shared" si="7"/>
        <v>0</v>
      </c>
      <c r="CH52" s="41">
        <f t="shared" si="8"/>
        <v>12.083333333333334</v>
      </c>
      <c r="CI52" s="53">
        <f t="shared" si="9"/>
        <v>0</v>
      </c>
      <c r="CJ52" s="42">
        <f t="shared" si="10"/>
        <v>12.083333333333334</v>
      </c>
    </row>
    <row r="53" spans="2:88" ht="12.5" customHeight="1" x14ac:dyDescent="0.35">
      <c r="B53" s="4">
        <v>109014</v>
      </c>
      <c r="C53" s="4" t="s">
        <v>59</v>
      </c>
      <c r="D53" s="4">
        <v>1</v>
      </c>
      <c r="E53" s="5">
        <v>60</v>
      </c>
      <c r="F53" s="6">
        <v>40.540080000000003</v>
      </c>
      <c r="G53" s="7"/>
      <c r="H53" s="8">
        <v>15</v>
      </c>
      <c r="I53" s="8">
        <v>35</v>
      </c>
      <c r="J53" s="13"/>
      <c r="K53" s="3"/>
      <c r="L53" s="9">
        <f t="shared" si="0"/>
        <v>0.58333333333333337</v>
      </c>
      <c r="M53" s="10">
        <f t="shared" si="1"/>
        <v>0.58333333333333337</v>
      </c>
      <c r="N53" s="11">
        <f t="shared" si="2"/>
        <v>15.583333333333334</v>
      </c>
      <c r="O53" s="3">
        <f t="shared" si="3"/>
        <v>935</v>
      </c>
      <c r="P53" s="12">
        <f t="shared" si="3"/>
        <v>37904.974800000004</v>
      </c>
      <c r="R53" s="21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24">
        <f t="shared" si="4"/>
        <v>0</v>
      </c>
      <c r="AY53" s="21">
        <f>Asghar!J53+shahzad!J53+Fahad!J53+Asif!J53+sumair!J53</f>
        <v>0</v>
      </c>
      <c r="AZ53" s="21">
        <f>Asghar!N53+shahzad!N53+Fahad!N53+Asif!N53+sumair!N53</f>
        <v>0</v>
      </c>
      <c r="BA53" s="21">
        <f>Asghar!R53+shahzad!R53+Fahad!R53+Asif!R53+sumair!R53</f>
        <v>0</v>
      </c>
      <c r="BB53" s="21">
        <f>Asghar!V53+shahzad!V53+Fahad!V53+Asif!V53+sumair!V53</f>
        <v>0</v>
      </c>
      <c r="BC53" s="21">
        <f>Asghar!Z53+shahzad!Z53+Fahad!Z53+Asif!Z53+sumair!Z53</f>
        <v>0</v>
      </c>
      <c r="BD53" s="21">
        <f>Asghar!AD53+shahzad!AD53+Fahad!AD53+Asif!AD53+sumair!AD53</f>
        <v>0</v>
      </c>
      <c r="BE53" s="21">
        <f>Asghar!AH53+shahzad!AH53+Fahad!AH53+Asif!AH53+sumair!AH53</f>
        <v>0</v>
      </c>
      <c r="BF53" s="21">
        <f>Asghar!AL53+shahzad!AL53+Fahad!AL53+Asif!AL53+sumair!AL53</f>
        <v>0</v>
      </c>
      <c r="BG53" s="21">
        <f>Asghar!AP53+shahzad!AP53+Fahad!AP53+Asif!AP53+sumair!AP53</f>
        <v>0</v>
      </c>
      <c r="BH53" s="21">
        <f>Asghar!AT53+shahzad!AT53+Fahad!AT53+Asif!AT53+sumair!AT53</f>
        <v>0</v>
      </c>
      <c r="BI53" s="21">
        <f>Asghar!AX53+shahzad!AX53+Fahad!AX53+Asif!AX53+sumair!AX53</f>
        <v>0</v>
      </c>
      <c r="BJ53" s="21">
        <f>Asghar!BB53+shahzad!BB53+Fahad!BB53+Asif!BB53+sumair!BB53</f>
        <v>0</v>
      </c>
      <c r="BK53" s="21">
        <f>Asghar!BF53+shahzad!BF53+Fahad!BF53+Asif!BF53+sumair!BF53</f>
        <v>0</v>
      </c>
      <c r="BL53" s="21">
        <f>Asghar!BJ53+shahzad!BJ53+Fahad!BJ53+Asif!BJ53+sumair!BJ53</f>
        <v>0</v>
      </c>
      <c r="BM53" s="21">
        <f>Asghar!BN53+shahzad!BN53+Fahad!BN53+Asif!BN53+sumair!BN53</f>
        <v>0</v>
      </c>
      <c r="BN53" s="21">
        <f>Asghar!BR53+shahzad!BR53+Fahad!BR53+Asif!BR53+sumair!BR53</f>
        <v>0</v>
      </c>
      <c r="BO53" s="21">
        <f>Asghar!BV53+shahzad!BV53+Fahad!BV53+Asif!BV53+sumair!BV53</f>
        <v>0</v>
      </c>
      <c r="BP53" s="21">
        <f>Asghar!BZ53+shahzad!BZ53+Fahad!BZ53+Asif!BZ53+sumair!BZ53</f>
        <v>0</v>
      </c>
      <c r="BQ53" s="21">
        <f>Asghar!CD53+shahzad!CD53+Fahad!CD53+Asif!CD53+sumair!CD53</f>
        <v>0</v>
      </c>
      <c r="BR53" s="21">
        <f>Asghar!CH53+shahzad!CH53+Fahad!CH53+Asif!CH53+sumair!CH53</f>
        <v>0</v>
      </c>
      <c r="BS53" s="21">
        <f>Asghar!CL53+shahzad!CL53+Fahad!CL53+Asif!CL53+sumair!CL53</f>
        <v>0</v>
      </c>
      <c r="BT53" s="21">
        <f>Asghar!CP53+shahzad!CP53+Fahad!CP53+Asif!CP53+sumair!CP53</f>
        <v>0</v>
      </c>
      <c r="BU53" s="21">
        <f>Asghar!CT53+shahzad!CT53+Fahad!CT53+Asif!CT53+sumair!CT53</f>
        <v>0</v>
      </c>
      <c r="BV53" s="21">
        <f>Asghar!CX53+shahzad!CX53+Fahad!CX53+Asif!CX53+sumair!CX53</f>
        <v>0</v>
      </c>
      <c r="BW53" s="21">
        <f>Asghar!DB53+shahzad!DB53+Fahad!DB53+Asif!DB53+sumair!DB53</f>
        <v>0</v>
      </c>
      <c r="BX53" s="21">
        <f>Asghar!DF53+shahzad!DF53+Fahad!DF53+Asif!DF53+sumair!DF53</f>
        <v>0</v>
      </c>
      <c r="BY53" s="21">
        <f>Asghar!DJ53+shahzad!DJ53+Fahad!DJ53+Asif!DJ53+sumair!DJ53</f>
        <v>0</v>
      </c>
      <c r="BZ53" s="21">
        <f>Asghar!DN53+shahzad!DN53+Fahad!DN53+Asif!DN53+sumair!DN53</f>
        <v>0</v>
      </c>
      <c r="CA53" s="21">
        <f>Asghar!DR53+shahzad!DR53+Fahad!DR53+Asif!DR53+sumair!DR53</f>
        <v>0</v>
      </c>
      <c r="CB53" s="21">
        <f>Asghar!DV53+shahzad!DV53+Fahad!DV53+Asif!DV53+sumair!DV53</f>
        <v>0</v>
      </c>
      <c r="CC53" s="21">
        <f>Asghar!DZ53+shahzad!DZ53+Fahad!DZ53+Asif!DZ53+sumair!DZ53</f>
        <v>0</v>
      </c>
      <c r="CD53" s="54">
        <f t="shared" si="5"/>
        <v>0</v>
      </c>
      <c r="CF53" s="28">
        <f t="shared" si="6"/>
        <v>15.583333333333334</v>
      </c>
      <c r="CG53" s="30">
        <f t="shared" si="7"/>
        <v>0</v>
      </c>
      <c r="CH53" s="41">
        <f t="shared" si="8"/>
        <v>15.583333333333334</v>
      </c>
      <c r="CI53" s="53">
        <f t="shared" si="9"/>
        <v>0</v>
      </c>
      <c r="CJ53" s="42">
        <f t="shared" si="10"/>
        <v>15.583333333333334</v>
      </c>
    </row>
    <row r="54" spans="2:88" ht="12.5" customHeight="1" x14ac:dyDescent="0.35">
      <c r="B54" s="4">
        <v>109015</v>
      </c>
      <c r="C54" s="4" t="s">
        <v>60</v>
      </c>
      <c r="D54" s="4">
        <v>1</v>
      </c>
      <c r="E54" s="5">
        <v>60</v>
      </c>
      <c r="F54" s="6">
        <v>40.540080000000003</v>
      </c>
      <c r="G54" s="7"/>
      <c r="H54" s="8">
        <v>10</v>
      </c>
      <c r="I54" s="8"/>
      <c r="J54" s="13"/>
      <c r="K54" s="3"/>
      <c r="L54" s="9">
        <f t="shared" si="0"/>
        <v>0</v>
      </c>
      <c r="M54" s="10">
        <f t="shared" si="1"/>
        <v>0</v>
      </c>
      <c r="N54" s="11">
        <f t="shared" si="2"/>
        <v>10</v>
      </c>
      <c r="O54" s="3">
        <f t="shared" si="3"/>
        <v>600</v>
      </c>
      <c r="P54" s="12">
        <f t="shared" si="3"/>
        <v>24324.048000000003</v>
      </c>
      <c r="R54" s="21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24">
        <f t="shared" si="4"/>
        <v>0</v>
      </c>
      <c r="AY54" s="21">
        <f>Asghar!J54+shahzad!J54+Fahad!J54+Asif!J54+sumair!J54</f>
        <v>0</v>
      </c>
      <c r="AZ54" s="21">
        <f>Asghar!N54+shahzad!N54+Fahad!N54+Asif!N54+sumair!N54</f>
        <v>0</v>
      </c>
      <c r="BA54" s="21">
        <f>Asghar!R54+shahzad!R54+Fahad!R54+Asif!R54+sumair!R54</f>
        <v>0</v>
      </c>
      <c r="BB54" s="21">
        <f>Asghar!V54+shahzad!V54+Fahad!V54+Asif!V54+sumair!V54</f>
        <v>0</v>
      </c>
      <c r="BC54" s="21">
        <f>Asghar!Z54+shahzad!Z54+Fahad!Z54+Asif!Z54+sumair!Z54</f>
        <v>0</v>
      </c>
      <c r="BD54" s="21">
        <f>Asghar!AD54+shahzad!AD54+Fahad!AD54+Asif!AD54+sumair!AD54</f>
        <v>0</v>
      </c>
      <c r="BE54" s="21">
        <f>Asghar!AH54+shahzad!AH54+Fahad!AH54+Asif!AH54+sumair!AH54</f>
        <v>0</v>
      </c>
      <c r="BF54" s="21">
        <f>Asghar!AL54+shahzad!AL54+Fahad!AL54+Asif!AL54+sumair!AL54</f>
        <v>0</v>
      </c>
      <c r="BG54" s="21">
        <f>Asghar!AP54+shahzad!AP54+Fahad!AP54+Asif!AP54+sumair!AP54</f>
        <v>0</v>
      </c>
      <c r="BH54" s="21">
        <f>Asghar!AT54+shahzad!AT54+Fahad!AT54+Asif!AT54+sumair!AT54</f>
        <v>0</v>
      </c>
      <c r="BI54" s="21">
        <f>Asghar!AX54+shahzad!AX54+Fahad!AX54+Asif!AX54+sumair!AX54</f>
        <v>0</v>
      </c>
      <c r="BJ54" s="21">
        <f>Asghar!BB54+shahzad!BB54+Fahad!BB54+Asif!BB54+sumair!BB54</f>
        <v>0</v>
      </c>
      <c r="BK54" s="21">
        <f>Asghar!BF54+shahzad!BF54+Fahad!BF54+Asif!BF54+sumair!BF54</f>
        <v>0</v>
      </c>
      <c r="BL54" s="21">
        <f>Asghar!BJ54+shahzad!BJ54+Fahad!BJ54+Asif!BJ54+sumair!BJ54</f>
        <v>0</v>
      </c>
      <c r="BM54" s="21">
        <f>Asghar!BN54+shahzad!BN54+Fahad!BN54+Asif!BN54+sumair!BN54</f>
        <v>0</v>
      </c>
      <c r="BN54" s="21">
        <f>Asghar!BR54+shahzad!BR54+Fahad!BR54+Asif!BR54+sumair!BR54</f>
        <v>0</v>
      </c>
      <c r="BO54" s="21">
        <f>Asghar!BV54+shahzad!BV54+Fahad!BV54+Asif!BV54+sumair!BV54</f>
        <v>0</v>
      </c>
      <c r="BP54" s="21">
        <f>Asghar!BZ54+shahzad!BZ54+Fahad!BZ54+Asif!BZ54+sumair!BZ54</f>
        <v>0</v>
      </c>
      <c r="BQ54" s="21">
        <f>Asghar!CD54+shahzad!CD54+Fahad!CD54+Asif!CD54+sumair!CD54</f>
        <v>0</v>
      </c>
      <c r="BR54" s="21">
        <f>Asghar!CH54+shahzad!CH54+Fahad!CH54+Asif!CH54+sumair!CH54</f>
        <v>0</v>
      </c>
      <c r="BS54" s="21">
        <f>Asghar!CL54+shahzad!CL54+Fahad!CL54+Asif!CL54+sumair!CL54</f>
        <v>0</v>
      </c>
      <c r="BT54" s="21">
        <f>Asghar!CP54+shahzad!CP54+Fahad!CP54+Asif!CP54+sumair!CP54</f>
        <v>0</v>
      </c>
      <c r="BU54" s="21">
        <f>Asghar!CT54+shahzad!CT54+Fahad!CT54+Asif!CT54+sumair!CT54</f>
        <v>0</v>
      </c>
      <c r="BV54" s="21">
        <f>Asghar!CX54+shahzad!CX54+Fahad!CX54+Asif!CX54+sumair!CX54</f>
        <v>0</v>
      </c>
      <c r="BW54" s="21">
        <f>Asghar!DB54+shahzad!DB54+Fahad!DB54+Asif!DB54+sumair!DB54</f>
        <v>0</v>
      </c>
      <c r="BX54" s="21">
        <f>Asghar!DF54+shahzad!DF54+Fahad!DF54+Asif!DF54+sumair!DF54</f>
        <v>0</v>
      </c>
      <c r="BY54" s="21">
        <f>Asghar!DJ54+shahzad!DJ54+Fahad!DJ54+Asif!DJ54+sumair!DJ54</f>
        <v>0</v>
      </c>
      <c r="BZ54" s="21">
        <f>Asghar!DN54+shahzad!DN54+Fahad!DN54+Asif!DN54+sumair!DN54</f>
        <v>0</v>
      </c>
      <c r="CA54" s="21">
        <f>Asghar!DR54+shahzad!DR54+Fahad!DR54+Asif!DR54+sumair!DR54</f>
        <v>0</v>
      </c>
      <c r="CB54" s="21">
        <f>Asghar!DV54+shahzad!DV54+Fahad!DV54+Asif!DV54+sumair!DV54</f>
        <v>0</v>
      </c>
      <c r="CC54" s="21">
        <f>Asghar!DZ54+shahzad!DZ54+Fahad!DZ54+Asif!DZ54+sumair!DZ54</f>
        <v>0</v>
      </c>
      <c r="CD54" s="54">
        <f t="shared" si="5"/>
        <v>0</v>
      </c>
      <c r="CF54" s="28">
        <f t="shared" si="6"/>
        <v>10</v>
      </c>
      <c r="CG54" s="30">
        <f t="shared" si="7"/>
        <v>0</v>
      </c>
      <c r="CH54" s="41">
        <f t="shared" si="8"/>
        <v>10</v>
      </c>
      <c r="CI54" s="53">
        <f t="shared" si="9"/>
        <v>0</v>
      </c>
      <c r="CJ54" s="42">
        <f t="shared" si="10"/>
        <v>10</v>
      </c>
    </row>
    <row r="55" spans="2:88" ht="12.5" customHeight="1" x14ac:dyDescent="0.35">
      <c r="B55" s="4">
        <v>109025</v>
      </c>
      <c r="C55" s="4" t="s">
        <v>61</v>
      </c>
      <c r="D55" s="4">
        <v>18</v>
      </c>
      <c r="E55" s="5">
        <v>18</v>
      </c>
      <c r="F55" s="6">
        <v>140.22132670400001</v>
      </c>
      <c r="G55" s="7"/>
      <c r="H55" s="13"/>
      <c r="I55" s="13">
        <v>10</v>
      </c>
      <c r="J55" s="13"/>
      <c r="K55" s="3"/>
      <c r="L55" s="9">
        <f t="shared" si="0"/>
        <v>0.55555555555555558</v>
      </c>
      <c r="M55" s="10">
        <f t="shared" si="1"/>
        <v>0.55555555555555558</v>
      </c>
      <c r="N55" s="11">
        <f t="shared" si="2"/>
        <v>0.55555555555555558</v>
      </c>
      <c r="O55" s="3">
        <f t="shared" si="3"/>
        <v>10</v>
      </c>
      <c r="P55" s="12">
        <f t="shared" si="3"/>
        <v>1402.2132670400001</v>
      </c>
      <c r="R55" s="21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24">
        <f t="shared" si="4"/>
        <v>0</v>
      </c>
      <c r="AY55" s="21">
        <f>Asghar!J55+shahzad!J55+Fahad!J55+Asif!J55+sumair!J55</f>
        <v>0</v>
      </c>
      <c r="AZ55" s="21">
        <f>Asghar!N55+shahzad!N55+Fahad!N55+Asif!N55+sumair!N55</f>
        <v>0</v>
      </c>
      <c r="BA55" s="21">
        <f>Asghar!R55+shahzad!R55+Fahad!R55+Asif!R55+sumair!R55</f>
        <v>0</v>
      </c>
      <c r="BB55" s="21">
        <f>Asghar!V55+shahzad!V55+Fahad!V55+Asif!V55+sumair!V55</f>
        <v>0</v>
      </c>
      <c r="BC55" s="21">
        <f>Asghar!Z55+shahzad!Z55+Fahad!Z55+Asif!Z55+sumair!Z55</f>
        <v>0</v>
      </c>
      <c r="BD55" s="21">
        <f>Asghar!AD55+shahzad!AD55+Fahad!AD55+Asif!AD55+sumair!AD55</f>
        <v>0</v>
      </c>
      <c r="BE55" s="21">
        <f>Asghar!AH55+shahzad!AH55+Fahad!AH55+Asif!AH55+sumair!AH55</f>
        <v>0</v>
      </c>
      <c r="BF55" s="21">
        <f>Asghar!AL55+shahzad!AL55+Fahad!AL55+Asif!AL55+sumair!AL55</f>
        <v>0</v>
      </c>
      <c r="BG55" s="21">
        <f>Asghar!AP55+shahzad!AP55+Fahad!AP55+Asif!AP55+sumair!AP55</f>
        <v>0</v>
      </c>
      <c r="BH55" s="21">
        <f>Asghar!AT55+shahzad!AT55+Fahad!AT55+Asif!AT55+sumair!AT55</f>
        <v>0</v>
      </c>
      <c r="BI55" s="21">
        <f>Asghar!AX55+shahzad!AX55+Fahad!AX55+Asif!AX55+sumair!AX55</f>
        <v>0</v>
      </c>
      <c r="BJ55" s="21">
        <f>Asghar!BB55+shahzad!BB55+Fahad!BB55+Asif!BB55+sumair!BB55</f>
        <v>0</v>
      </c>
      <c r="BK55" s="21">
        <f>Asghar!BF55+shahzad!BF55+Fahad!BF55+Asif!BF55+sumair!BF55</f>
        <v>0</v>
      </c>
      <c r="BL55" s="21">
        <f>Asghar!BJ55+shahzad!BJ55+Fahad!BJ55+Asif!BJ55+sumair!BJ55</f>
        <v>0</v>
      </c>
      <c r="BM55" s="21">
        <f>Asghar!BN55+shahzad!BN55+Fahad!BN55+Asif!BN55+sumair!BN55</f>
        <v>0</v>
      </c>
      <c r="BN55" s="21">
        <f>Asghar!BR55+shahzad!BR55+Fahad!BR55+Asif!BR55+sumair!BR55</f>
        <v>0</v>
      </c>
      <c r="BO55" s="21">
        <f>Asghar!BV55+shahzad!BV55+Fahad!BV55+Asif!BV55+sumair!BV55</f>
        <v>0</v>
      </c>
      <c r="BP55" s="21">
        <f>Asghar!BZ55+shahzad!BZ55+Fahad!BZ55+Asif!BZ55+sumair!BZ55</f>
        <v>0</v>
      </c>
      <c r="BQ55" s="21">
        <f>Asghar!CD55+shahzad!CD55+Fahad!CD55+Asif!CD55+sumair!CD55</f>
        <v>0</v>
      </c>
      <c r="BR55" s="21">
        <f>Asghar!CH55+shahzad!CH55+Fahad!CH55+Asif!CH55+sumair!CH55</f>
        <v>0</v>
      </c>
      <c r="BS55" s="21">
        <f>Asghar!CL55+shahzad!CL55+Fahad!CL55+Asif!CL55+sumair!CL55</f>
        <v>0</v>
      </c>
      <c r="BT55" s="21">
        <f>Asghar!CP55+shahzad!CP55+Fahad!CP55+Asif!CP55+sumair!CP55</f>
        <v>0</v>
      </c>
      <c r="BU55" s="21">
        <f>Asghar!CT55+shahzad!CT55+Fahad!CT55+Asif!CT55+sumair!CT55</f>
        <v>0</v>
      </c>
      <c r="BV55" s="21">
        <f>Asghar!CX55+shahzad!CX55+Fahad!CX55+Asif!CX55+sumair!CX55</f>
        <v>0</v>
      </c>
      <c r="BW55" s="21">
        <f>Asghar!DB55+shahzad!DB55+Fahad!DB55+Asif!DB55+sumair!DB55</f>
        <v>0</v>
      </c>
      <c r="BX55" s="21">
        <f>Asghar!DF55+shahzad!DF55+Fahad!DF55+Asif!DF55+sumair!DF55</f>
        <v>0</v>
      </c>
      <c r="BY55" s="21">
        <f>Asghar!DJ55+shahzad!DJ55+Fahad!DJ55+Asif!DJ55+sumair!DJ55</f>
        <v>0</v>
      </c>
      <c r="BZ55" s="21">
        <f>Asghar!DN55+shahzad!DN55+Fahad!DN55+Asif!DN55+sumair!DN55</f>
        <v>0</v>
      </c>
      <c r="CA55" s="21">
        <f>Asghar!DR55+shahzad!DR55+Fahad!DR55+Asif!DR55+sumair!DR55</f>
        <v>0</v>
      </c>
      <c r="CB55" s="21">
        <f>Asghar!DV55+shahzad!DV55+Fahad!DV55+Asif!DV55+sumair!DV55</f>
        <v>0</v>
      </c>
      <c r="CC55" s="21">
        <f>Asghar!DZ55+shahzad!DZ55+Fahad!DZ55+Asif!DZ55+sumair!DZ55</f>
        <v>0</v>
      </c>
      <c r="CD55" s="54">
        <f t="shared" si="5"/>
        <v>0</v>
      </c>
      <c r="CF55" s="28">
        <f t="shared" si="6"/>
        <v>0.55555555555555558</v>
      </c>
      <c r="CG55" s="30">
        <f t="shared" si="7"/>
        <v>0</v>
      </c>
      <c r="CH55" s="41">
        <f t="shared" si="8"/>
        <v>0.55555555555555558</v>
      </c>
      <c r="CI55" s="53">
        <f t="shared" si="9"/>
        <v>0</v>
      </c>
      <c r="CJ55" s="42">
        <f t="shared" si="10"/>
        <v>0.55555555555555558</v>
      </c>
    </row>
    <row r="56" spans="2:88" ht="12.5" customHeight="1" x14ac:dyDescent="0.35">
      <c r="B56" s="4">
        <v>109026</v>
      </c>
      <c r="C56" s="4" t="s">
        <v>62</v>
      </c>
      <c r="D56" s="4">
        <v>18</v>
      </c>
      <c r="E56" s="5">
        <v>18</v>
      </c>
      <c r="F56" s="6">
        <v>140.22132670400001</v>
      </c>
      <c r="G56" s="7"/>
      <c r="H56" s="8">
        <v>23</v>
      </c>
      <c r="I56" s="8">
        <v>3</v>
      </c>
      <c r="J56" s="13"/>
      <c r="K56" s="3"/>
      <c r="L56" s="9">
        <f t="shared" si="0"/>
        <v>0.16666666666666666</v>
      </c>
      <c r="M56" s="10">
        <f t="shared" si="1"/>
        <v>0.16666666666666666</v>
      </c>
      <c r="N56" s="11">
        <f t="shared" si="2"/>
        <v>23.166666666666668</v>
      </c>
      <c r="O56" s="3">
        <f t="shared" si="3"/>
        <v>417</v>
      </c>
      <c r="P56" s="12">
        <f t="shared" si="3"/>
        <v>58472.293235568002</v>
      </c>
      <c r="R56" s="21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24">
        <f t="shared" si="4"/>
        <v>0</v>
      </c>
      <c r="AY56" s="21">
        <f>Asghar!J56+shahzad!J56+Fahad!J56+Asif!J56+sumair!J56</f>
        <v>0</v>
      </c>
      <c r="AZ56" s="21">
        <f>Asghar!N56+shahzad!N56+Fahad!N56+Asif!N56+sumair!N56</f>
        <v>0</v>
      </c>
      <c r="BA56" s="21">
        <f>Asghar!R56+shahzad!R56+Fahad!R56+Asif!R56+sumair!R56</f>
        <v>0</v>
      </c>
      <c r="BB56" s="21">
        <f>Asghar!V56+shahzad!V56+Fahad!V56+Asif!V56+sumair!V56</f>
        <v>0</v>
      </c>
      <c r="BC56" s="21">
        <f>Asghar!Z56+shahzad!Z56+Fahad!Z56+Asif!Z56+sumair!Z56</f>
        <v>0</v>
      </c>
      <c r="BD56" s="21">
        <f>Asghar!AD56+shahzad!AD56+Fahad!AD56+Asif!AD56+sumair!AD56</f>
        <v>0</v>
      </c>
      <c r="BE56" s="21">
        <f>Asghar!AH56+shahzad!AH56+Fahad!AH56+Asif!AH56+sumair!AH56</f>
        <v>0</v>
      </c>
      <c r="BF56" s="21">
        <f>Asghar!AL56+shahzad!AL56+Fahad!AL56+Asif!AL56+sumair!AL56</f>
        <v>0</v>
      </c>
      <c r="BG56" s="21">
        <f>Asghar!AP56+shahzad!AP56+Fahad!AP56+Asif!AP56+sumair!AP56</f>
        <v>0</v>
      </c>
      <c r="BH56" s="21">
        <f>Asghar!AT56+shahzad!AT56+Fahad!AT56+Asif!AT56+sumair!AT56</f>
        <v>0</v>
      </c>
      <c r="BI56" s="21">
        <f>Asghar!AX56+shahzad!AX56+Fahad!AX56+Asif!AX56+sumair!AX56</f>
        <v>0</v>
      </c>
      <c r="BJ56" s="21">
        <f>Asghar!BB56+shahzad!BB56+Fahad!BB56+Asif!BB56+sumair!BB56</f>
        <v>0</v>
      </c>
      <c r="BK56" s="21">
        <f>Asghar!BF56+shahzad!BF56+Fahad!BF56+Asif!BF56+sumair!BF56</f>
        <v>0</v>
      </c>
      <c r="BL56" s="21">
        <f>Asghar!BJ56+shahzad!BJ56+Fahad!BJ56+Asif!BJ56+sumair!BJ56</f>
        <v>0</v>
      </c>
      <c r="BM56" s="21">
        <f>Asghar!BN56+shahzad!BN56+Fahad!BN56+Asif!BN56+sumair!BN56</f>
        <v>0</v>
      </c>
      <c r="BN56" s="21">
        <f>Asghar!BR56+shahzad!BR56+Fahad!BR56+Asif!BR56+sumair!BR56</f>
        <v>0</v>
      </c>
      <c r="BO56" s="21">
        <f>Asghar!BV56+shahzad!BV56+Fahad!BV56+Asif!BV56+sumair!BV56</f>
        <v>0</v>
      </c>
      <c r="BP56" s="21">
        <f>Asghar!BZ56+shahzad!BZ56+Fahad!BZ56+Asif!BZ56+sumair!BZ56</f>
        <v>0</v>
      </c>
      <c r="BQ56" s="21">
        <f>Asghar!CD56+shahzad!CD56+Fahad!CD56+Asif!CD56+sumair!CD56</f>
        <v>0</v>
      </c>
      <c r="BR56" s="21">
        <f>Asghar!CH56+shahzad!CH56+Fahad!CH56+Asif!CH56+sumair!CH56</f>
        <v>0</v>
      </c>
      <c r="BS56" s="21">
        <f>Asghar!CL56+shahzad!CL56+Fahad!CL56+Asif!CL56+sumair!CL56</f>
        <v>0</v>
      </c>
      <c r="BT56" s="21">
        <f>Asghar!CP56+shahzad!CP56+Fahad!CP56+Asif!CP56+sumair!CP56</f>
        <v>0</v>
      </c>
      <c r="BU56" s="21">
        <f>Asghar!CT56+shahzad!CT56+Fahad!CT56+Asif!CT56+sumair!CT56</f>
        <v>0</v>
      </c>
      <c r="BV56" s="21">
        <f>Asghar!CX56+shahzad!CX56+Fahad!CX56+Asif!CX56+sumair!CX56</f>
        <v>0</v>
      </c>
      <c r="BW56" s="21">
        <f>Asghar!DB56+shahzad!DB56+Fahad!DB56+Asif!DB56+sumair!DB56</f>
        <v>0</v>
      </c>
      <c r="BX56" s="21">
        <f>Asghar!DF56+shahzad!DF56+Fahad!DF56+Asif!DF56+sumair!DF56</f>
        <v>0</v>
      </c>
      <c r="BY56" s="21">
        <f>Asghar!DJ56+shahzad!DJ56+Fahad!DJ56+Asif!DJ56+sumair!DJ56</f>
        <v>0</v>
      </c>
      <c r="BZ56" s="21">
        <f>Asghar!DN56+shahzad!DN56+Fahad!DN56+Asif!DN56+sumair!DN56</f>
        <v>0</v>
      </c>
      <c r="CA56" s="21">
        <f>Asghar!DR56+shahzad!DR56+Fahad!DR56+Asif!DR56+sumair!DR56</f>
        <v>0</v>
      </c>
      <c r="CB56" s="21">
        <f>Asghar!DV56+shahzad!DV56+Fahad!DV56+Asif!DV56+sumair!DV56</f>
        <v>0</v>
      </c>
      <c r="CC56" s="21">
        <f>Asghar!DZ56+shahzad!DZ56+Fahad!DZ56+Asif!DZ56+sumair!DZ56</f>
        <v>0</v>
      </c>
      <c r="CD56" s="54">
        <f t="shared" si="5"/>
        <v>0</v>
      </c>
      <c r="CF56" s="28">
        <f t="shared" si="6"/>
        <v>23.166666666666668</v>
      </c>
      <c r="CG56" s="30">
        <f t="shared" si="7"/>
        <v>0</v>
      </c>
      <c r="CH56" s="41">
        <f t="shared" si="8"/>
        <v>23.166666666666668</v>
      </c>
      <c r="CI56" s="53">
        <f t="shared" si="9"/>
        <v>0</v>
      </c>
      <c r="CJ56" s="42">
        <f t="shared" si="10"/>
        <v>23.166666666666668</v>
      </c>
    </row>
    <row r="57" spans="2:88" ht="12.5" customHeight="1" x14ac:dyDescent="0.35">
      <c r="B57" s="4">
        <v>109207</v>
      </c>
      <c r="C57" s="4" t="s">
        <v>63</v>
      </c>
      <c r="D57" s="4">
        <v>24</v>
      </c>
      <c r="E57" s="5">
        <v>18</v>
      </c>
      <c r="F57" s="6">
        <v>194.23586706</v>
      </c>
      <c r="G57" s="7"/>
      <c r="H57" s="8">
        <v>20</v>
      </c>
      <c r="I57" s="8">
        <v>8</v>
      </c>
      <c r="J57" s="13"/>
      <c r="K57" s="3"/>
      <c r="L57" s="9">
        <f t="shared" si="0"/>
        <v>0.44444444444444442</v>
      </c>
      <c r="M57" s="10">
        <f t="shared" si="1"/>
        <v>0.44444444444444442</v>
      </c>
      <c r="N57" s="11">
        <f t="shared" si="2"/>
        <v>20.444444444444443</v>
      </c>
      <c r="O57" s="3">
        <f t="shared" si="3"/>
        <v>368</v>
      </c>
      <c r="P57" s="12">
        <f t="shared" si="3"/>
        <v>71478.799078080003</v>
      </c>
      <c r="R57" s="21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24">
        <f t="shared" si="4"/>
        <v>0</v>
      </c>
      <c r="AY57" s="21">
        <f>Asghar!J57+shahzad!J57+Fahad!J57+Asif!J57+sumair!J57</f>
        <v>0</v>
      </c>
      <c r="AZ57" s="21">
        <f>Asghar!N57+shahzad!N57+Fahad!N57+Asif!N57+sumair!N57</f>
        <v>0</v>
      </c>
      <c r="BA57" s="21">
        <f>Asghar!R57+shahzad!R57+Fahad!R57+Asif!R57+sumair!R57</f>
        <v>0</v>
      </c>
      <c r="BB57" s="21">
        <f>Asghar!V57+shahzad!V57+Fahad!V57+Asif!V57+sumair!V57</f>
        <v>0</v>
      </c>
      <c r="BC57" s="21">
        <f>Asghar!Z57+shahzad!Z57+Fahad!Z57+Asif!Z57+sumair!Z57</f>
        <v>0</v>
      </c>
      <c r="BD57" s="21">
        <f>Asghar!AD57+shahzad!AD57+Fahad!AD57+Asif!AD57+sumair!AD57</f>
        <v>0</v>
      </c>
      <c r="BE57" s="21">
        <f>Asghar!AH57+shahzad!AH57+Fahad!AH57+Asif!AH57+sumair!AH57</f>
        <v>0</v>
      </c>
      <c r="BF57" s="21">
        <f>Asghar!AL57+shahzad!AL57+Fahad!AL57+Asif!AL57+sumair!AL57</f>
        <v>0</v>
      </c>
      <c r="BG57" s="21">
        <f>Asghar!AP57+shahzad!AP57+Fahad!AP57+Asif!AP57+sumair!AP57</f>
        <v>0</v>
      </c>
      <c r="BH57" s="21">
        <f>Asghar!AT57+shahzad!AT57+Fahad!AT57+Asif!AT57+sumair!AT57</f>
        <v>0</v>
      </c>
      <c r="BI57" s="21">
        <f>Asghar!AX57+shahzad!AX57+Fahad!AX57+Asif!AX57+sumair!AX57</f>
        <v>0</v>
      </c>
      <c r="BJ57" s="21">
        <f>Asghar!BB57+shahzad!BB57+Fahad!BB57+Asif!BB57+sumair!BB57</f>
        <v>0</v>
      </c>
      <c r="BK57" s="21">
        <f>Asghar!BF57+shahzad!BF57+Fahad!BF57+Asif!BF57+sumair!BF57</f>
        <v>0</v>
      </c>
      <c r="BL57" s="21">
        <f>Asghar!BJ57+shahzad!BJ57+Fahad!BJ57+Asif!BJ57+sumair!BJ57</f>
        <v>0</v>
      </c>
      <c r="BM57" s="21">
        <f>Asghar!BN57+shahzad!BN57+Fahad!BN57+Asif!BN57+sumair!BN57</f>
        <v>0</v>
      </c>
      <c r="BN57" s="21">
        <f>Asghar!BR57+shahzad!BR57+Fahad!BR57+Asif!BR57+sumair!BR57</f>
        <v>0</v>
      </c>
      <c r="BO57" s="21">
        <f>Asghar!BV57+shahzad!BV57+Fahad!BV57+Asif!BV57+sumair!BV57</f>
        <v>0</v>
      </c>
      <c r="BP57" s="21">
        <f>Asghar!BZ57+shahzad!BZ57+Fahad!BZ57+Asif!BZ57+sumair!BZ57</f>
        <v>0</v>
      </c>
      <c r="BQ57" s="21">
        <f>Asghar!CD57+shahzad!CD57+Fahad!CD57+Asif!CD57+sumair!CD57</f>
        <v>0</v>
      </c>
      <c r="BR57" s="21">
        <f>Asghar!CH57+shahzad!CH57+Fahad!CH57+Asif!CH57+sumair!CH57</f>
        <v>0</v>
      </c>
      <c r="BS57" s="21">
        <f>Asghar!CL57+shahzad!CL57+Fahad!CL57+Asif!CL57+sumair!CL57</f>
        <v>0</v>
      </c>
      <c r="BT57" s="21">
        <f>Asghar!CP57+shahzad!CP57+Fahad!CP57+Asif!CP57+sumair!CP57</f>
        <v>0</v>
      </c>
      <c r="BU57" s="21">
        <f>Asghar!CT57+shahzad!CT57+Fahad!CT57+Asif!CT57+sumair!CT57</f>
        <v>0</v>
      </c>
      <c r="BV57" s="21">
        <f>Asghar!CX57+shahzad!CX57+Fahad!CX57+Asif!CX57+sumair!CX57</f>
        <v>0</v>
      </c>
      <c r="BW57" s="21">
        <f>Asghar!DB57+shahzad!DB57+Fahad!DB57+Asif!DB57+sumair!DB57</f>
        <v>0</v>
      </c>
      <c r="BX57" s="21">
        <f>Asghar!DF57+shahzad!DF57+Fahad!DF57+Asif!DF57+sumair!DF57</f>
        <v>0</v>
      </c>
      <c r="BY57" s="21">
        <f>Asghar!DJ57+shahzad!DJ57+Fahad!DJ57+Asif!DJ57+sumair!DJ57</f>
        <v>0</v>
      </c>
      <c r="BZ57" s="21">
        <f>Asghar!DN57+shahzad!DN57+Fahad!DN57+Asif!DN57+sumair!DN57</f>
        <v>0</v>
      </c>
      <c r="CA57" s="21">
        <f>Asghar!DR57+shahzad!DR57+Fahad!DR57+Asif!DR57+sumair!DR57</f>
        <v>0</v>
      </c>
      <c r="CB57" s="21">
        <f>Asghar!DV57+shahzad!DV57+Fahad!DV57+Asif!DV57+sumair!DV57</f>
        <v>0</v>
      </c>
      <c r="CC57" s="21">
        <f>Asghar!DZ57+shahzad!DZ57+Fahad!DZ57+Asif!DZ57+sumair!DZ57</f>
        <v>0</v>
      </c>
      <c r="CD57" s="54">
        <f t="shared" si="5"/>
        <v>0</v>
      </c>
      <c r="CF57" s="28">
        <f t="shared" si="6"/>
        <v>20.444444444444443</v>
      </c>
      <c r="CG57" s="30">
        <f t="shared" si="7"/>
        <v>0</v>
      </c>
      <c r="CH57" s="41">
        <f t="shared" si="8"/>
        <v>20.444444444444443</v>
      </c>
      <c r="CI57" s="53">
        <f t="shared" si="9"/>
        <v>0</v>
      </c>
      <c r="CJ57" s="42">
        <f t="shared" si="10"/>
        <v>20.444444444444443</v>
      </c>
    </row>
    <row r="58" spans="2:88" ht="12.5" customHeight="1" x14ac:dyDescent="0.35">
      <c r="B58" s="4">
        <v>109503</v>
      </c>
      <c r="C58" s="4" t="s">
        <v>64</v>
      </c>
      <c r="D58" s="4">
        <v>24</v>
      </c>
      <c r="E58" s="5">
        <v>18</v>
      </c>
      <c r="F58" s="6">
        <v>189.29879107400001</v>
      </c>
      <c r="G58" s="7"/>
      <c r="H58" s="8">
        <v>2</v>
      </c>
      <c r="I58" s="8">
        <v>1</v>
      </c>
      <c r="J58" s="13"/>
      <c r="K58" s="3"/>
      <c r="L58" s="9">
        <f t="shared" si="0"/>
        <v>5.5555555555555552E-2</v>
      </c>
      <c r="M58" s="10">
        <f t="shared" si="1"/>
        <v>5.5555555555555552E-2</v>
      </c>
      <c r="N58" s="11">
        <f t="shared" si="2"/>
        <v>2.0555555555555554</v>
      </c>
      <c r="O58" s="3">
        <f t="shared" si="3"/>
        <v>37</v>
      </c>
      <c r="P58" s="12">
        <f t="shared" si="3"/>
        <v>7004.0552697379999</v>
      </c>
      <c r="R58" s="21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24">
        <f t="shared" si="4"/>
        <v>0</v>
      </c>
      <c r="AY58" s="21">
        <f>Asghar!J58+shahzad!J58+Fahad!J58+Asif!J58+sumair!J58</f>
        <v>0</v>
      </c>
      <c r="AZ58" s="21">
        <f>Asghar!N58+shahzad!N58+Fahad!N58+Asif!N58+sumair!N58</f>
        <v>0</v>
      </c>
      <c r="BA58" s="21">
        <f>Asghar!R58+shahzad!R58+Fahad!R58+Asif!R58+sumair!R58</f>
        <v>0</v>
      </c>
      <c r="BB58" s="21">
        <f>Asghar!V58+shahzad!V58+Fahad!V58+Asif!V58+sumair!V58</f>
        <v>0</v>
      </c>
      <c r="BC58" s="21">
        <f>Asghar!Z58+shahzad!Z58+Fahad!Z58+Asif!Z58+sumair!Z58</f>
        <v>0</v>
      </c>
      <c r="BD58" s="21">
        <f>Asghar!AD58+shahzad!AD58+Fahad!AD58+Asif!AD58+sumair!AD58</f>
        <v>0</v>
      </c>
      <c r="BE58" s="21">
        <f>Asghar!AH58+shahzad!AH58+Fahad!AH58+Asif!AH58+sumair!AH58</f>
        <v>0</v>
      </c>
      <c r="BF58" s="21">
        <f>Asghar!AL58+shahzad!AL58+Fahad!AL58+Asif!AL58+sumair!AL58</f>
        <v>0</v>
      </c>
      <c r="BG58" s="21">
        <f>Asghar!AP58+shahzad!AP58+Fahad!AP58+Asif!AP58+sumair!AP58</f>
        <v>0</v>
      </c>
      <c r="BH58" s="21">
        <f>Asghar!AT58+shahzad!AT58+Fahad!AT58+Asif!AT58+sumair!AT58</f>
        <v>0</v>
      </c>
      <c r="BI58" s="21">
        <f>Asghar!AX58+shahzad!AX58+Fahad!AX58+Asif!AX58+sumair!AX58</f>
        <v>0</v>
      </c>
      <c r="BJ58" s="21">
        <f>Asghar!BB58+shahzad!BB58+Fahad!BB58+Asif!BB58+sumair!BB58</f>
        <v>0</v>
      </c>
      <c r="BK58" s="21">
        <f>Asghar!BF58+shahzad!BF58+Fahad!BF58+Asif!BF58+sumair!BF58</f>
        <v>0</v>
      </c>
      <c r="BL58" s="21">
        <f>Asghar!BJ58+shahzad!BJ58+Fahad!BJ58+Asif!BJ58+sumair!BJ58</f>
        <v>0</v>
      </c>
      <c r="BM58" s="21">
        <f>Asghar!BN58+shahzad!BN58+Fahad!BN58+Asif!BN58+sumair!BN58</f>
        <v>0</v>
      </c>
      <c r="BN58" s="21">
        <f>Asghar!BR58+shahzad!BR58+Fahad!BR58+Asif!BR58+sumair!BR58</f>
        <v>0</v>
      </c>
      <c r="BO58" s="21">
        <f>Asghar!BV58+shahzad!BV58+Fahad!BV58+Asif!BV58+sumair!BV58</f>
        <v>0</v>
      </c>
      <c r="BP58" s="21">
        <f>Asghar!BZ58+shahzad!BZ58+Fahad!BZ58+Asif!BZ58+sumair!BZ58</f>
        <v>0</v>
      </c>
      <c r="BQ58" s="21">
        <f>Asghar!CD58+shahzad!CD58+Fahad!CD58+Asif!CD58+sumair!CD58</f>
        <v>0</v>
      </c>
      <c r="BR58" s="21">
        <f>Asghar!CH58+shahzad!CH58+Fahad!CH58+Asif!CH58+sumair!CH58</f>
        <v>0</v>
      </c>
      <c r="BS58" s="21">
        <f>Asghar!CL58+shahzad!CL58+Fahad!CL58+Asif!CL58+sumair!CL58</f>
        <v>0</v>
      </c>
      <c r="BT58" s="21">
        <f>Asghar!CP58+shahzad!CP58+Fahad!CP58+Asif!CP58+sumair!CP58</f>
        <v>0</v>
      </c>
      <c r="BU58" s="21">
        <f>Asghar!CT58+shahzad!CT58+Fahad!CT58+Asif!CT58+sumair!CT58</f>
        <v>0</v>
      </c>
      <c r="BV58" s="21">
        <f>Asghar!CX58+shahzad!CX58+Fahad!CX58+Asif!CX58+sumair!CX58</f>
        <v>0</v>
      </c>
      <c r="BW58" s="21">
        <f>Asghar!DB58+shahzad!DB58+Fahad!DB58+Asif!DB58+sumair!DB58</f>
        <v>0</v>
      </c>
      <c r="BX58" s="21">
        <f>Asghar!DF58+shahzad!DF58+Fahad!DF58+Asif!DF58+sumair!DF58</f>
        <v>0</v>
      </c>
      <c r="BY58" s="21">
        <f>Asghar!DJ58+shahzad!DJ58+Fahad!DJ58+Asif!DJ58+sumair!DJ58</f>
        <v>0</v>
      </c>
      <c r="BZ58" s="21">
        <f>Asghar!DN58+shahzad!DN58+Fahad!DN58+Asif!DN58+sumair!DN58</f>
        <v>0</v>
      </c>
      <c r="CA58" s="21">
        <f>Asghar!DR58+shahzad!DR58+Fahad!DR58+Asif!DR58+sumair!DR58</f>
        <v>0</v>
      </c>
      <c r="CB58" s="21">
        <f>Asghar!DV58+shahzad!DV58+Fahad!DV58+Asif!DV58+sumair!DV58</f>
        <v>0</v>
      </c>
      <c r="CC58" s="21">
        <f>Asghar!DZ58+shahzad!DZ58+Fahad!DZ58+Asif!DZ58+sumair!DZ58</f>
        <v>0</v>
      </c>
      <c r="CD58" s="54">
        <f t="shared" si="5"/>
        <v>0</v>
      </c>
      <c r="CF58" s="28">
        <f t="shared" si="6"/>
        <v>2.0555555555555554</v>
      </c>
      <c r="CG58" s="30">
        <f t="shared" si="7"/>
        <v>0</v>
      </c>
      <c r="CH58" s="41">
        <f t="shared" si="8"/>
        <v>2.0555555555555554</v>
      </c>
      <c r="CI58" s="53">
        <f t="shared" si="9"/>
        <v>0</v>
      </c>
      <c r="CJ58" s="42">
        <f t="shared" si="10"/>
        <v>2.0555555555555554</v>
      </c>
    </row>
    <row r="59" spans="2:88" ht="12.5" customHeight="1" x14ac:dyDescent="0.35">
      <c r="B59" s="4">
        <v>109504</v>
      </c>
      <c r="C59" s="4" t="s">
        <v>65</v>
      </c>
      <c r="D59" s="4">
        <v>24</v>
      </c>
      <c r="E59" s="5">
        <v>18</v>
      </c>
      <c r="F59" s="6">
        <v>189.29879107400001</v>
      </c>
      <c r="G59" s="7"/>
      <c r="H59" s="8">
        <v>7</v>
      </c>
      <c r="I59" s="8"/>
      <c r="J59" s="13"/>
      <c r="K59" s="3"/>
      <c r="L59" s="9">
        <f t="shared" si="0"/>
        <v>0</v>
      </c>
      <c r="M59" s="10">
        <f t="shared" si="1"/>
        <v>0</v>
      </c>
      <c r="N59" s="11">
        <f t="shared" si="2"/>
        <v>7</v>
      </c>
      <c r="O59" s="3">
        <f t="shared" si="3"/>
        <v>126</v>
      </c>
      <c r="P59" s="12">
        <f t="shared" si="3"/>
        <v>23851.647675324002</v>
      </c>
      <c r="R59" s="21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24">
        <f t="shared" si="4"/>
        <v>0</v>
      </c>
      <c r="AY59" s="21">
        <f>Asghar!J59+shahzad!J59+Fahad!J59+Asif!J59+sumair!J59</f>
        <v>0</v>
      </c>
      <c r="AZ59" s="21">
        <f>Asghar!N59+shahzad!N59+Fahad!N59+Asif!N59+sumair!N59</f>
        <v>0</v>
      </c>
      <c r="BA59" s="21">
        <f>Asghar!R59+shahzad!R59+Fahad!R59+Asif!R59+sumair!R59</f>
        <v>0</v>
      </c>
      <c r="BB59" s="21">
        <f>Asghar!V59+shahzad!V59+Fahad!V59+Asif!V59+sumair!V59</f>
        <v>0</v>
      </c>
      <c r="BC59" s="21">
        <f>Asghar!Z59+shahzad!Z59+Fahad!Z59+Asif!Z59+sumair!Z59</f>
        <v>0</v>
      </c>
      <c r="BD59" s="21">
        <f>Asghar!AD59+shahzad!AD59+Fahad!AD59+Asif!AD59+sumair!AD59</f>
        <v>0</v>
      </c>
      <c r="BE59" s="21">
        <f>Asghar!AH59+shahzad!AH59+Fahad!AH59+Asif!AH59+sumair!AH59</f>
        <v>0</v>
      </c>
      <c r="BF59" s="21">
        <f>Asghar!AL59+shahzad!AL59+Fahad!AL59+Asif!AL59+sumair!AL59</f>
        <v>0</v>
      </c>
      <c r="BG59" s="21">
        <f>Asghar!AP59+shahzad!AP59+Fahad!AP59+Asif!AP59+sumair!AP59</f>
        <v>0</v>
      </c>
      <c r="BH59" s="21">
        <f>Asghar!AT59+shahzad!AT59+Fahad!AT59+Asif!AT59+sumair!AT59</f>
        <v>0</v>
      </c>
      <c r="BI59" s="21">
        <f>Asghar!AX59+shahzad!AX59+Fahad!AX59+Asif!AX59+sumair!AX59</f>
        <v>0</v>
      </c>
      <c r="BJ59" s="21">
        <f>Asghar!BB59+shahzad!BB59+Fahad!BB59+Asif!BB59+sumair!BB59</f>
        <v>0</v>
      </c>
      <c r="BK59" s="21">
        <f>Asghar!BF59+shahzad!BF59+Fahad!BF59+Asif!BF59+sumair!BF59</f>
        <v>0</v>
      </c>
      <c r="BL59" s="21">
        <f>Asghar!BJ59+shahzad!BJ59+Fahad!BJ59+Asif!BJ59+sumair!BJ59</f>
        <v>0</v>
      </c>
      <c r="BM59" s="21">
        <f>Asghar!BN59+shahzad!BN59+Fahad!BN59+Asif!BN59+sumair!BN59</f>
        <v>0</v>
      </c>
      <c r="BN59" s="21">
        <f>Asghar!BR59+shahzad!BR59+Fahad!BR59+Asif!BR59+sumair!BR59</f>
        <v>0</v>
      </c>
      <c r="BO59" s="21">
        <f>Asghar!BV59+shahzad!BV59+Fahad!BV59+Asif!BV59+sumair!BV59</f>
        <v>0</v>
      </c>
      <c r="BP59" s="21">
        <f>Asghar!BZ59+shahzad!BZ59+Fahad!BZ59+Asif!BZ59+sumair!BZ59</f>
        <v>0</v>
      </c>
      <c r="BQ59" s="21">
        <f>Asghar!CD59+shahzad!CD59+Fahad!CD59+Asif!CD59+sumair!CD59</f>
        <v>0</v>
      </c>
      <c r="BR59" s="21">
        <f>Asghar!CH59+shahzad!CH59+Fahad!CH59+Asif!CH59+sumair!CH59</f>
        <v>0</v>
      </c>
      <c r="BS59" s="21">
        <f>Asghar!CL59+shahzad!CL59+Fahad!CL59+Asif!CL59+sumair!CL59</f>
        <v>0</v>
      </c>
      <c r="BT59" s="21">
        <f>Asghar!CP59+shahzad!CP59+Fahad!CP59+Asif!CP59+sumair!CP59</f>
        <v>0</v>
      </c>
      <c r="BU59" s="21">
        <f>Asghar!CT59+shahzad!CT59+Fahad!CT59+Asif!CT59+sumair!CT59</f>
        <v>0</v>
      </c>
      <c r="BV59" s="21">
        <f>Asghar!CX59+shahzad!CX59+Fahad!CX59+Asif!CX59+sumair!CX59</f>
        <v>0</v>
      </c>
      <c r="BW59" s="21">
        <f>Asghar!DB59+shahzad!DB59+Fahad!DB59+Asif!DB59+sumair!DB59</f>
        <v>0</v>
      </c>
      <c r="BX59" s="21">
        <f>Asghar!DF59+shahzad!DF59+Fahad!DF59+Asif!DF59+sumair!DF59</f>
        <v>0</v>
      </c>
      <c r="BY59" s="21">
        <f>Asghar!DJ59+shahzad!DJ59+Fahad!DJ59+Asif!DJ59+sumair!DJ59</f>
        <v>0</v>
      </c>
      <c r="BZ59" s="21">
        <f>Asghar!DN59+shahzad!DN59+Fahad!DN59+Asif!DN59+sumair!DN59</f>
        <v>0</v>
      </c>
      <c r="CA59" s="21">
        <f>Asghar!DR59+shahzad!DR59+Fahad!DR59+Asif!DR59+sumair!DR59</f>
        <v>0</v>
      </c>
      <c r="CB59" s="21">
        <f>Asghar!DV59+shahzad!DV59+Fahad!DV59+Asif!DV59+sumair!DV59</f>
        <v>0</v>
      </c>
      <c r="CC59" s="21">
        <f>Asghar!DZ59+shahzad!DZ59+Fahad!DZ59+Asif!DZ59+sumair!DZ59</f>
        <v>0</v>
      </c>
      <c r="CD59" s="54">
        <f t="shared" si="5"/>
        <v>0</v>
      </c>
      <c r="CF59" s="28">
        <f t="shared" si="6"/>
        <v>7</v>
      </c>
      <c r="CG59" s="30">
        <f t="shared" si="7"/>
        <v>0</v>
      </c>
      <c r="CH59" s="41">
        <f t="shared" si="8"/>
        <v>7</v>
      </c>
      <c r="CI59" s="53">
        <f t="shared" si="9"/>
        <v>0</v>
      </c>
      <c r="CJ59" s="42">
        <f t="shared" si="10"/>
        <v>7</v>
      </c>
    </row>
    <row r="60" spans="2:88" ht="12.5" customHeight="1" x14ac:dyDescent="0.35">
      <c r="B60" s="4">
        <v>109517</v>
      </c>
      <c r="C60" s="4" t="s">
        <v>66</v>
      </c>
      <c r="D60" s="4">
        <v>12</v>
      </c>
      <c r="E60" s="5">
        <v>24</v>
      </c>
      <c r="F60" s="6">
        <v>286.53841705999997</v>
      </c>
      <c r="G60" s="7"/>
      <c r="H60" s="13"/>
      <c r="I60" s="13"/>
      <c r="J60" s="13"/>
      <c r="K60" s="3"/>
      <c r="L60" s="9">
        <f t="shared" si="0"/>
        <v>0</v>
      </c>
      <c r="M60" s="10">
        <f t="shared" si="1"/>
        <v>0</v>
      </c>
      <c r="N60" s="11">
        <f t="shared" si="2"/>
        <v>0</v>
      </c>
      <c r="O60" s="3">
        <f t="shared" si="3"/>
        <v>0</v>
      </c>
      <c r="P60" s="12">
        <f t="shared" si="3"/>
        <v>0</v>
      </c>
      <c r="R60" s="21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24">
        <f t="shared" si="4"/>
        <v>0</v>
      </c>
      <c r="AY60" s="21">
        <f>Asghar!J60+shahzad!J60+Fahad!J60+Asif!J60+sumair!J60</f>
        <v>0</v>
      </c>
      <c r="AZ60" s="21">
        <f>Asghar!N60+shahzad!N60+Fahad!N60+Asif!N60+sumair!N60</f>
        <v>0</v>
      </c>
      <c r="BA60" s="21">
        <f>Asghar!R60+shahzad!R60+Fahad!R60+Asif!R60+sumair!R60</f>
        <v>0</v>
      </c>
      <c r="BB60" s="21">
        <f>Asghar!V60+shahzad!V60+Fahad!V60+Asif!V60+sumair!V60</f>
        <v>0</v>
      </c>
      <c r="BC60" s="21">
        <f>Asghar!Z60+shahzad!Z60+Fahad!Z60+Asif!Z60+sumair!Z60</f>
        <v>0</v>
      </c>
      <c r="BD60" s="21">
        <f>Asghar!AD60+shahzad!AD60+Fahad!AD60+Asif!AD60+sumair!AD60</f>
        <v>0</v>
      </c>
      <c r="BE60" s="21">
        <f>Asghar!AH60+shahzad!AH60+Fahad!AH60+Asif!AH60+sumair!AH60</f>
        <v>0</v>
      </c>
      <c r="BF60" s="21">
        <f>Asghar!AL60+shahzad!AL60+Fahad!AL60+Asif!AL60+sumair!AL60</f>
        <v>0</v>
      </c>
      <c r="BG60" s="21">
        <f>Asghar!AP60+shahzad!AP60+Fahad!AP60+Asif!AP60+sumair!AP60</f>
        <v>0</v>
      </c>
      <c r="BH60" s="21">
        <f>Asghar!AT60+shahzad!AT60+Fahad!AT60+Asif!AT60+sumair!AT60</f>
        <v>0</v>
      </c>
      <c r="BI60" s="21">
        <f>Asghar!AX60+shahzad!AX60+Fahad!AX60+Asif!AX60+sumair!AX60</f>
        <v>0</v>
      </c>
      <c r="BJ60" s="21">
        <f>Asghar!BB60+shahzad!BB60+Fahad!BB60+Asif!BB60+sumair!BB60</f>
        <v>0</v>
      </c>
      <c r="BK60" s="21">
        <f>Asghar!BF60+shahzad!BF60+Fahad!BF60+Asif!BF60+sumair!BF60</f>
        <v>0</v>
      </c>
      <c r="BL60" s="21">
        <f>Asghar!BJ60+shahzad!BJ60+Fahad!BJ60+Asif!BJ60+sumair!BJ60</f>
        <v>0</v>
      </c>
      <c r="BM60" s="21">
        <f>Asghar!BN60+shahzad!BN60+Fahad!BN60+Asif!BN60+sumair!BN60</f>
        <v>0</v>
      </c>
      <c r="BN60" s="21">
        <f>Asghar!BR60+shahzad!BR60+Fahad!BR60+Asif!BR60+sumair!BR60</f>
        <v>0</v>
      </c>
      <c r="BO60" s="21">
        <f>Asghar!BV60+shahzad!BV60+Fahad!BV60+Asif!BV60+sumair!BV60</f>
        <v>0</v>
      </c>
      <c r="BP60" s="21">
        <f>Asghar!BZ60+shahzad!BZ60+Fahad!BZ60+Asif!BZ60+sumair!BZ60</f>
        <v>0</v>
      </c>
      <c r="BQ60" s="21">
        <f>Asghar!CD60+shahzad!CD60+Fahad!CD60+Asif!CD60+sumair!CD60</f>
        <v>0</v>
      </c>
      <c r="BR60" s="21">
        <f>Asghar!CH60+shahzad!CH60+Fahad!CH60+Asif!CH60+sumair!CH60</f>
        <v>0</v>
      </c>
      <c r="BS60" s="21">
        <f>Asghar!CL60+shahzad!CL60+Fahad!CL60+Asif!CL60+sumair!CL60</f>
        <v>0</v>
      </c>
      <c r="BT60" s="21">
        <f>Asghar!CP60+shahzad!CP60+Fahad!CP60+Asif!CP60+sumair!CP60</f>
        <v>0</v>
      </c>
      <c r="BU60" s="21">
        <f>Asghar!CT60+shahzad!CT60+Fahad!CT60+Asif!CT60+sumair!CT60</f>
        <v>0</v>
      </c>
      <c r="BV60" s="21">
        <f>Asghar!CX60+shahzad!CX60+Fahad!CX60+Asif!CX60+sumair!CX60</f>
        <v>0</v>
      </c>
      <c r="BW60" s="21">
        <f>Asghar!DB60+shahzad!DB60+Fahad!DB60+Asif!DB60+sumair!DB60</f>
        <v>0</v>
      </c>
      <c r="BX60" s="21">
        <f>Asghar!DF60+shahzad!DF60+Fahad!DF60+Asif!DF60+sumair!DF60</f>
        <v>0</v>
      </c>
      <c r="BY60" s="21">
        <f>Asghar!DJ60+shahzad!DJ60+Fahad!DJ60+Asif!DJ60+sumair!DJ60</f>
        <v>0</v>
      </c>
      <c r="BZ60" s="21">
        <f>Asghar!DN60+shahzad!DN60+Fahad!DN60+Asif!DN60+sumair!DN60</f>
        <v>0</v>
      </c>
      <c r="CA60" s="21">
        <f>Asghar!DR60+shahzad!DR60+Fahad!DR60+Asif!DR60+sumair!DR60</f>
        <v>0</v>
      </c>
      <c r="CB60" s="21">
        <f>Asghar!DV60+shahzad!DV60+Fahad!DV60+Asif!DV60+sumair!DV60</f>
        <v>0</v>
      </c>
      <c r="CC60" s="21">
        <f>Asghar!DZ60+shahzad!DZ60+Fahad!DZ60+Asif!DZ60+sumair!DZ60</f>
        <v>0</v>
      </c>
      <c r="CD60" s="54">
        <f t="shared" si="5"/>
        <v>0</v>
      </c>
      <c r="CF60" s="28">
        <f t="shared" si="6"/>
        <v>0</v>
      </c>
      <c r="CG60" s="30">
        <f t="shared" si="7"/>
        <v>0</v>
      </c>
      <c r="CH60" s="41">
        <f t="shared" si="8"/>
        <v>0</v>
      </c>
      <c r="CI60" s="53">
        <f t="shared" si="9"/>
        <v>0</v>
      </c>
      <c r="CJ60" s="42">
        <f t="shared" si="10"/>
        <v>0</v>
      </c>
    </row>
    <row r="61" spans="2:88" ht="12.5" customHeight="1" x14ac:dyDescent="0.35">
      <c r="B61" s="4">
        <v>110151</v>
      </c>
      <c r="C61" s="4" t="s">
        <v>67</v>
      </c>
      <c r="D61" s="4">
        <v>18</v>
      </c>
      <c r="E61" s="5">
        <v>18</v>
      </c>
      <c r="F61" s="6">
        <v>425.922279828</v>
      </c>
      <c r="G61" s="7"/>
      <c r="H61" s="8">
        <v>9</v>
      </c>
      <c r="I61" s="8">
        <v>1</v>
      </c>
      <c r="J61" s="13"/>
      <c r="K61" s="3"/>
      <c r="L61" s="9">
        <f t="shared" si="0"/>
        <v>5.5555555555555552E-2</v>
      </c>
      <c r="M61" s="10">
        <f t="shared" si="1"/>
        <v>5.5555555555555552E-2</v>
      </c>
      <c r="N61" s="11">
        <f t="shared" si="2"/>
        <v>9.0555555555555554</v>
      </c>
      <c r="O61" s="3">
        <f t="shared" si="3"/>
        <v>163</v>
      </c>
      <c r="P61" s="12">
        <f t="shared" si="3"/>
        <v>69425.331611963993</v>
      </c>
      <c r="R61" s="21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24">
        <f t="shared" si="4"/>
        <v>0</v>
      </c>
      <c r="AY61" s="21">
        <f>Asghar!J61+shahzad!J61+Fahad!J61+Asif!J61+sumair!J61</f>
        <v>0</v>
      </c>
      <c r="AZ61" s="21">
        <f>Asghar!N61+shahzad!N61+Fahad!N61+Asif!N61+sumair!N61</f>
        <v>0</v>
      </c>
      <c r="BA61" s="21">
        <f>Asghar!R61+shahzad!R61+Fahad!R61+Asif!R61+sumair!R61</f>
        <v>0</v>
      </c>
      <c r="BB61" s="21">
        <f>Asghar!V61+shahzad!V61+Fahad!V61+Asif!V61+sumair!V61</f>
        <v>0</v>
      </c>
      <c r="BC61" s="21">
        <f>Asghar!Z61+shahzad!Z61+Fahad!Z61+Asif!Z61+sumair!Z61</f>
        <v>0</v>
      </c>
      <c r="BD61" s="21">
        <f>Asghar!AD61+shahzad!AD61+Fahad!AD61+Asif!AD61+sumair!AD61</f>
        <v>0</v>
      </c>
      <c r="BE61" s="21">
        <f>Asghar!AH61+shahzad!AH61+Fahad!AH61+Asif!AH61+sumair!AH61</f>
        <v>0</v>
      </c>
      <c r="BF61" s="21">
        <f>Asghar!AL61+shahzad!AL61+Fahad!AL61+Asif!AL61+sumair!AL61</f>
        <v>0</v>
      </c>
      <c r="BG61" s="21">
        <f>Asghar!AP61+shahzad!AP61+Fahad!AP61+Asif!AP61+sumair!AP61</f>
        <v>0</v>
      </c>
      <c r="BH61" s="21">
        <f>Asghar!AT61+shahzad!AT61+Fahad!AT61+Asif!AT61+sumair!AT61</f>
        <v>0</v>
      </c>
      <c r="BI61" s="21">
        <f>Asghar!AX61+shahzad!AX61+Fahad!AX61+Asif!AX61+sumair!AX61</f>
        <v>0</v>
      </c>
      <c r="BJ61" s="21">
        <f>Asghar!BB61+shahzad!BB61+Fahad!BB61+Asif!BB61+sumair!BB61</f>
        <v>0</v>
      </c>
      <c r="BK61" s="21">
        <f>Asghar!BF61+shahzad!BF61+Fahad!BF61+Asif!BF61+sumair!BF61</f>
        <v>0</v>
      </c>
      <c r="BL61" s="21">
        <f>Asghar!BJ61+shahzad!BJ61+Fahad!BJ61+Asif!BJ61+sumair!BJ61</f>
        <v>0</v>
      </c>
      <c r="BM61" s="21">
        <f>Asghar!BN61+shahzad!BN61+Fahad!BN61+Asif!BN61+sumair!BN61</f>
        <v>0</v>
      </c>
      <c r="BN61" s="21">
        <f>Asghar!BR61+shahzad!BR61+Fahad!BR61+Asif!BR61+sumair!BR61</f>
        <v>0</v>
      </c>
      <c r="BO61" s="21">
        <f>Asghar!BV61+shahzad!BV61+Fahad!BV61+Asif!BV61+sumair!BV61</f>
        <v>0</v>
      </c>
      <c r="BP61" s="21">
        <f>Asghar!BZ61+shahzad!BZ61+Fahad!BZ61+Asif!BZ61+sumair!BZ61</f>
        <v>0</v>
      </c>
      <c r="BQ61" s="21">
        <f>Asghar!CD61+shahzad!CD61+Fahad!CD61+Asif!CD61+sumair!CD61</f>
        <v>0</v>
      </c>
      <c r="BR61" s="21">
        <f>Asghar!CH61+shahzad!CH61+Fahad!CH61+Asif!CH61+sumair!CH61</f>
        <v>0</v>
      </c>
      <c r="BS61" s="21">
        <f>Asghar!CL61+shahzad!CL61+Fahad!CL61+Asif!CL61+sumair!CL61</f>
        <v>0</v>
      </c>
      <c r="BT61" s="21">
        <f>Asghar!CP61+shahzad!CP61+Fahad!CP61+Asif!CP61+sumair!CP61</f>
        <v>0</v>
      </c>
      <c r="BU61" s="21">
        <f>Asghar!CT61+shahzad!CT61+Fahad!CT61+Asif!CT61+sumair!CT61</f>
        <v>0</v>
      </c>
      <c r="BV61" s="21">
        <f>Asghar!CX61+shahzad!CX61+Fahad!CX61+Asif!CX61+sumair!CX61</f>
        <v>0</v>
      </c>
      <c r="BW61" s="21">
        <f>Asghar!DB61+shahzad!DB61+Fahad!DB61+Asif!DB61+sumair!DB61</f>
        <v>0</v>
      </c>
      <c r="BX61" s="21">
        <f>Asghar!DF61+shahzad!DF61+Fahad!DF61+Asif!DF61+sumair!DF61</f>
        <v>0</v>
      </c>
      <c r="BY61" s="21">
        <f>Asghar!DJ61+shahzad!DJ61+Fahad!DJ61+Asif!DJ61+sumair!DJ61</f>
        <v>0</v>
      </c>
      <c r="BZ61" s="21">
        <f>Asghar!DN61+shahzad!DN61+Fahad!DN61+Asif!DN61+sumair!DN61</f>
        <v>0</v>
      </c>
      <c r="CA61" s="21">
        <f>Asghar!DR61+shahzad!DR61+Fahad!DR61+Asif!DR61+sumair!DR61</f>
        <v>0</v>
      </c>
      <c r="CB61" s="21">
        <f>Asghar!DV61+shahzad!DV61+Fahad!DV61+Asif!DV61+sumair!DV61</f>
        <v>0</v>
      </c>
      <c r="CC61" s="21">
        <f>Asghar!DZ61+shahzad!DZ61+Fahad!DZ61+Asif!DZ61+sumair!DZ61</f>
        <v>0</v>
      </c>
      <c r="CD61" s="54">
        <f t="shared" si="5"/>
        <v>0</v>
      </c>
      <c r="CF61" s="28">
        <f t="shared" si="6"/>
        <v>9.0555555555555554</v>
      </c>
      <c r="CG61" s="30">
        <f t="shared" si="7"/>
        <v>0</v>
      </c>
      <c r="CH61" s="41">
        <f t="shared" si="8"/>
        <v>9.0555555555555554</v>
      </c>
      <c r="CI61" s="53">
        <f t="shared" si="9"/>
        <v>0</v>
      </c>
      <c r="CJ61" s="42">
        <f t="shared" si="10"/>
        <v>9.0555555555555554</v>
      </c>
    </row>
    <row r="62" spans="2:88" ht="12.5" customHeight="1" x14ac:dyDescent="0.35">
      <c r="B62" s="4">
        <v>110157</v>
      </c>
      <c r="C62" s="4" t="s">
        <v>68</v>
      </c>
      <c r="D62" s="4">
        <v>18</v>
      </c>
      <c r="E62" s="5">
        <v>18</v>
      </c>
      <c r="F62" s="6">
        <v>721.70176705999995</v>
      </c>
      <c r="G62" s="7"/>
      <c r="H62" s="8">
        <v>31</v>
      </c>
      <c r="I62" s="8">
        <v>14</v>
      </c>
      <c r="J62" s="13"/>
      <c r="K62" s="3"/>
      <c r="L62" s="9">
        <f t="shared" si="0"/>
        <v>0.77777777777777779</v>
      </c>
      <c r="M62" s="10">
        <f t="shared" si="1"/>
        <v>0.77777777777777779</v>
      </c>
      <c r="N62" s="11">
        <f t="shared" si="2"/>
        <v>31.777777777777779</v>
      </c>
      <c r="O62" s="3">
        <f t="shared" si="3"/>
        <v>572</v>
      </c>
      <c r="P62" s="12">
        <f t="shared" si="3"/>
        <v>412813.41075831995</v>
      </c>
      <c r="R62" s="21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24">
        <f t="shared" si="4"/>
        <v>0</v>
      </c>
      <c r="AY62" s="21">
        <f>Asghar!J62+shahzad!J62+Fahad!J62+Asif!J62+sumair!J62</f>
        <v>0</v>
      </c>
      <c r="AZ62" s="21">
        <f>Asghar!N62+shahzad!N62+Fahad!N62+Asif!N62+sumair!N62</f>
        <v>0</v>
      </c>
      <c r="BA62" s="21">
        <f>Asghar!R62+shahzad!R62+Fahad!R62+Asif!R62+sumair!R62</f>
        <v>0</v>
      </c>
      <c r="BB62" s="21">
        <f>Asghar!V62+shahzad!V62+Fahad!V62+Asif!V62+sumair!V62</f>
        <v>0</v>
      </c>
      <c r="BC62" s="21">
        <f>Asghar!Z62+shahzad!Z62+Fahad!Z62+Asif!Z62+sumair!Z62</f>
        <v>0</v>
      </c>
      <c r="BD62" s="21">
        <f>Asghar!AD62+shahzad!AD62+Fahad!AD62+Asif!AD62+sumair!AD62</f>
        <v>0</v>
      </c>
      <c r="BE62" s="21">
        <f>Asghar!AH62+shahzad!AH62+Fahad!AH62+Asif!AH62+sumair!AH62</f>
        <v>0</v>
      </c>
      <c r="BF62" s="21">
        <f>Asghar!AL62+shahzad!AL62+Fahad!AL62+Asif!AL62+sumair!AL62</f>
        <v>0</v>
      </c>
      <c r="BG62" s="21">
        <f>Asghar!AP62+shahzad!AP62+Fahad!AP62+Asif!AP62+sumair!AP62</f>
        <v>0</v>
      </c>
      <c r="BH62" s="21">
        <f>Asghar!AT62+shahzad!AT62+Fahad!AT62+Asif!AT62+sumair!AT62</f>
        <v>0</v>
      </c>
      <c r="BI62" s="21">
        <f>Asghar!AX62+shahzad!AX62+Fahad!AX62+Asif!AX62+sumair!AX62</f>
        <v>0</v>
      </c>
      <c r="BJ62" s="21">
        <f>Asghar!BB62+shahzad!BB62+Fahad!BB62+Asif!BB62+sumair!BB62</f>
        <v>0</v>
      </c>
      <c r="BK62" s="21">
        <f>Asghar!BF62+shahzad!BF62+Fahad!BF62+Asif!BF62+sumair!BF62</f>
        <v>0</v>
      </c>
      <c r="BL62" s="21">
        <f>Asghar!BJ62+shahzad!BJ62+Fahad!BJ62+Asif!BJ62+sumair!BJ62</f>
        <v>0</v>
      </c>
      <c r="BM62" s="21">
        <f>Asghar!BN62+shahzad!BN62+Fahad!BN62+Asif!BN62+sumair!BN62</f>
        <v>0</v>
      </c>
      <c r="BN62" s="21">
        <f>Asghar!BR62+shahzad!BR62+Fahad!BR62+Asif!BR62+sumair!BR62</f>
        <v>0</v>
      </c>
      <c r="BO62" s="21">
        <f>Asghar!BV62+shahzad!BV62+Fahad!BV62+Asif!BV62+sumair!BV62</f>
        <v>0</v>
      </c>
      <c r="BP62" s="21">
        <f>Asghar!BZ62+shahzad!BZ62+Fahad!BZ62+Asif!BZ62+sumair!BZ62</f>
        <v>0</v>
      </c>
      <c r="BQ62" s="21">
        <f>Asghar!CD62+shahzad!CD62+Fahad!CD62+Asif!CD62+sumair!CD62</f>
        <v>0</v>
      </c>
      <c r="BR62" s="21">
        <f>Asghar!CH62+shahzad!CH62+Fahad!CH62+Asif!CH62+sumair!CH62</f>
        <v>0</v>
      </c>
      <c r="BS62" s="21">
        <f>Asghar!CL62+shahzad!CL62+Fahad!CL62+Asif!CL62+sumair!CL62</f>
        <v>0</v>
      </c>
      <c r="BT62" s="21">
        <f>Asghar!CP62+shahzad!CP62+Fahad!CP62+Asif!CP62+sumair!CP62</f>
        <v>0</v>
      </c>
      <c r="BU62" s="21">
        <f>Asghar!CT62+shahzad!CT62+Fahad!CT62+Asif!CT62+sumair!CT62</f>
        <v>0</v>
      </c>
      <c r="BV62" s="21">
        <f>Asghar!CX62+shahzad!CX62+Fahad!CX62+Asif!CX62+sumair!CX62</f>
        <v>0</v>
      </c>
      <c r="BW62" s="21">
        <f>Asghar!DB62+shahzad!DB62+Fahad!DB62+Asif!DB62+sumair!DB62</f>
        <v>0</v>
      </c>
      <c r="BX62" s="21">
        <f>Asghar!DF62+shahzad!DF62+Fahad!DF62+Asif!DF62+sumair!DF62</f>
        <v>0</v>
      </c>
      <c r="BY62" s="21">
        <f>Asghar!DJ62+shahzad!DJ62+Fahad!DJ62+Asif!DJ62+sumair!DJ62</f>
        <v>0</v>
      </c>
      <c r="BZ62" s="21">
        <f>Asghar!DN62+shahzad!DN62+Fahad!DN62+Asif!DN62+sumair!DN62</f>
        <v>0</v>
      </c>
      <c r="CA62" s="21">
        <f>Asghar!DR62+shahzad!DR62+Fahad!DR62+Asif!DR62+sumair!DR62</f>
        <v>0</v>
      </c>
      <c r="CB62" s="21">
        <f>Asghar!DV62+shahzad!DV62+Fahad!DV62+Asif!DV62+sumair!DV62</f>
        <v>0</v>
      </c>
      <c r="CC62" s="21">
        <f>Asghar!DZ62+shahzad!DZ62+Fahad!DZ62+Asif!DZ62+sumair!DZ62</f>
        <v>0</v>
      </c>
      <c r="CD62" s="54">
        <f t="shared" si="5"/>
        <v>0</v>
      </c>
      <c r="CF62" s="28">
        <f t="shared" si="6"/>
        <v>31.777777777777779</v>
      </c>
      <c r="CG62" s="30">
        <f t="shared" si="7"/>
        <v>0</v>
      </c>
      <c r="CH62" s="41">
        <f t="shared" si="8"/>
        <v>31.777777777777779</v>
      </c>
      <c r="CI62" s="53">
        <f t="shared" si="9"/>
        <v>0</v>
      </c>
      <c r="CJ62" s="42">
        <f t="shared" si="10"/>
        <v>31.777777777777779</v>
      </c>
    </row>
    <row r="63" spans="2:88" ht="12.5" customHeight="1" x14ac:dyDescent="0.35">
      <c r="B63" s="4">
        <v>111002</v>
      </c>
      <c r="C63" s="4" t="s">
        <v>69</v>
      </c>
      <c r="D63" s="4">
        <v>12</v>
      </c>
      <c r="E63" s="5">
        <v>18</v>
      </c>
      <c r="F63" s="6">
        <v>190.46151740799999</v>
      </c>
      <c r="G63" s="7"/>
      <c r="H63" s="8"/>
      <c r="I63" s="8">
        <v>8</v>
      </c>
      <c r="J63" s="13"/>
      <c r="K63" s="3"/>
      <c r="L63" s="9">
        <f t="shared" si="0"/>
        <v>0.44444444444444442</v>
      </c>
      <c r="M63" s="10">
        <f t="shared" si="1"/>
        <v>0.44444444444444442</v>
      </c>
      <c r="N63" s="11">
        <f t="shared" si="2"/>
        <v>0.44444444444444442</v>
      </c>
      <c r="O63" s="3">
        <f t="shared" si="3"/>
        <v>8</v>
      </c>
      <c r="P63" s="12">
        <f t="shared" si="3"/>
        <v>1523.6921392639999</v>
      </c>
      <c r="R63" s="21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24">
        <f t="shared" si="4"/>
        <v>0</v>
      </c>
      <c r="AY63" s="21">
        <f>Asghar!J63+shahzad!J63+Fahad!J63+Asif!J63+sumair!J63</f>
        <v>0</v>
      </c>
      <c r="AZ63" s="21">
        <f>Asghar!N63+shahzad!N63+Fahad!N63+Asif!N63+sumair!N63</f>
        <v>0</v>
      </c>
      <c r="BA63" s="21">
        <f>Asghar!R63+shahzad!R63+Fahad!R63+Asif!R63+sumair!R63</f>
        <v>0</v>
      </c>
      <c r="BB63" s="21">
        <f>Asghar!V63+shahzad!V63+Fahad!V63+Asif!V63+sumair!V63</f>
        <v>0</v>
      </c>
      <c r="BC63" s="21">
        <f>Asghar!Z63+shahzad!Z63+Fahad!Z63+Asif!Z63+sumair!Z63</f>
        <v>0</v>
      </c>
      <c r="BD63" s="21">
        <f>Asghar!AD63+shahzad!AD63+Fahad!AD63+Asif!AD63+sumair!AD63</f>
        <v>0</v>
      </c>
      <c r="BE63" s="21">
        <f>Asghar!AH63+shahzad!AH63+Fahad!AH63+Asif!AH63+sumair!AH63</f>
        <v>0</v>
      </c>
      <c r="BF63" s="21">
        <f>Asghar!AL63+shahzad!AL63+Fahad!AL63+Asif!AL63+sumair!AL63</f>
        <v>0</v>
      </c>
      <c r="BG63" s="21">
        <f>Asghar!AP63+shahzad!AP63+Fahad!AP63+Asif!AP63+sumair!AP63</f>
        <v>0</v>
      </c>
      <c r="BH63" s="21">
        <f>Asghar!AT63+shahzad!AT63+Fahad!AT63+Asif!AT63+sumair!AT63</f>
        <v>0</v>
      </c>
      <c r="BI63" s="21">
        <f>Asghar!AX63+shahzad!AX63+Fahad!AX63+Asif!AX63+sumair!AX63</f>
        <v>0</v>
      </c>
      <c r="BJ63" s="21">
        <f>Asghar!BB63+shahzad!BB63+Fahad!BB63+Asif!BB63+sumair!BB63</f>
        <v>0</v>
      </c>
      <c r="BK63" s="21">
        <f>Asghar!BF63+shahzad!BF63+Fahad!BF63+Asif!BF63+sumair!BF63</f>
        <v>0</v>
      </c>
      <c r="BL63" s="21">
        <f>Asghar!BJ63+shahzad!BJ63+Fahad!BJ63+Asif!BJ63+sumair!BJ63</f>
        <v>0</v>
      </c>
      <c r="BM63" s="21">
        <f>Asghar!BN63+shahzad!BN63+Fahad!BN63+Asif!BN63+sumair!BN63</f>
        <v>0</v>
      </c>
      <c r="BN63" s="21">
        <f>Asghar!BR63+shahzad!BR63+Fahad!BR63+Asif!BR63+sumair!BR63</f>
        <v>0</v>
      </c>
      <c r="BO63" s="21">
        <f>Asghar!BV63+shahzad!BV63+Fahad!BV63+Asif!BV63+sumair!BV63</f>
        <v>0</v>
      </c>
      <c r="BP63" s="21">
        <f>Asghar!BZ63+shahzad!BZ63+Fahad!BZ63+Asif!BZ63+sumair!BZ63</f>
        <v>0</v>
      </c>
      <c r="BQ63" s="21">
        <f>Asghar!CD63+shahzad!CD63+Fahad!CD63+Asif!CD63+sumair!CD63</f>
        <v>0</v>
      </c>
      <c r="BR63" s="21">
        <f>Asghar!CH63+shahzad!CH63+Fahad!CH63+Asif!CH63+sumair!CH63</f>
        <v>0</v>
      </c>
      <c r="BS63" s="21">
        <f>Asghar!CL63+shahzad!CL63+Fahad!CL63+Asif!CL63+sumair!CL63</f>
        <v>0</v>
      </c>
      <c r="BT63" s="21">
        <f>Asghar!CP63+shahzad!CP63+Fahad!CP63+Asif!CP63+sumair!CP63</f>
        <v>0</v>
      </c>
      <c r="BU63" s="21">
        <f>Asghar!CT63+shahzad!CT63+Fahad!CT63+Asif!CT63+sumair!CT63</f>
        <v>0</v>
      </c>
      <c r="BV63" s="21">
        <f>Asghar!CX63+shahzad!CX63+Fahad!CX63+Asif!CX63+sumair!CX63</f>
        <v>0</v>
      </c>
      <c r="BW63" s="21">
        <f>Asghar!DB63+shahzad!DB63+Fahad!DB63+Asif!DB63+sumair!DB63</f>
        <v>0</v>
      </c>
      <c r="BX63" s="21">
        <f>Asghar!DF63+shahzad!DF63+Fahad!DF63+Asif!DF63+sumair!DF63</f>
        <v>0</v>
      </c>
      <c r="BY63" s="21">
        <f>Asghar!DJ63+shahzad!DJ63+Fahad!DJ63+Asif!DJ63+sumair!DJ63</f>
        <v>0</v>
      </c>
      <c r="BZ63" s="21">
        <f>Asghar!DN63+shahzad!DN63+Fahad!DN63+Asif!DN63+sumair!DN63</f>
        <v>0</v>
      </c>
      <c r="CA63" s="21">
        <f>Asghar!DR63+shahzad!DR63+Fahad!DR63+Asif!DR63+sumair!DR63</f>
        <v>0</v>
      </c>
      <c r="CB63" s="21">
        <f>Asghar!DV63+shahzad!DV63+Fahad!DV63+Asif!DV63+sumair!DV63</f>
        <v>0</v>
      </c>
      <c r="CC63" s="21">
        <f>Asghar!DZ63+shahzad!DZ63+Fahad!DZ63+Asif!DZ63+sumair!DZ63</f>
        <v>0</v>
      </c>
      <c r="CD63" s="54">
        <f t="shared" si="5"/>
        <v>0</v>
      </c>
      <c r="CF63" s="28">
        <f t="shared" si="6"/>
        <v>0.44444444444444442</v>
      </c>
      <c r="CG63" s="30">
        <f t="shared" si="7"/>
        <v>0</v>
      </c>
      <c r="CH63" s="41">
        <f t="shared" si="8"/>
        <v>0.44444444444444442</v>
      </c>
      <c r="CI63" s="53">
        <f t="shared" si="9"/>
        <v>0</v>
      </c>
      <c r="CJ63" s="42">
        <f t="shared" si="10"/>
        <v>0.44444444444444442</v>
      </c>
    </row>
    <row r="64" spans="2:88" ht="12.5" customHeight="1" x14ac:dyDescent="0.35">
      <c r="B64" s="4">
        <v>111006</v>
      </c>
      <c r="C64" s="4" t="s">
        <v>70</v>
      </c>
      <c r="D64" s="4">
        <v>24</v>
      </c>
      <c r="E64" s="5">
        <v>18</v>
      </c>
      <c r="F64" s="6">
        <v>193.64193294</v>
      </c>
      <c r="G64" s="7"/>
      <c r="H64" s="8">
        <v>49</v>
      </c>
      <c r="I64" s="8">
        <v>3</v>
      </c>
      <c r="J64" s="13"/>
      <c r="K64" s="3"/>
      <c r="L64" s="9">
        <f t="shared" si="0"/>
        <v>0.16666666666666666</v>
      </c>
      <c r="M64" s="10">
        <f t="shared" si="1"/>
        <v>0.16666666666666666</v>
      </c>
      <c r="N64" s="11">
        <f t="shared" si="2"/>
        <v>49.166666666666664</v>
      </c>
      <c r="O64" s="3">
        <f t="shared" si="3"/>
        <v>885</v>
      </c>
      <c r="P64" s="12">
        <f t="shared" si="3"/>
        <v>171373.1106519</v>
      </c>
      <c r="R64" s="21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24">
        <f t="shared" si="4"/>
        <v>0</v>
      </c>
      <c r="AY64" s="21">
        <f>Asghar!J64+shahzad!J64+Fahad!J64+Asif!J64+sumair!J64</f>
        <v>0</v>
      </c>
      <c r="AZ64" s="21">
        <f>Asghar!N64+shahzad!N64+Fahad!N64+Asif!N64+sumair!N64</f>
        <v>0</v>
      </c>
      <c r="BA64" s="21">
        <f>Asghar!R64+shahzad!R64+Fahad!R64+Asif!R64+sumair!R64</f>
        <v>0</v>
      </c>
      <c r="BB64" s="21">
        <f>Asghar!V64+shahzad!V64+Fahad!V64+Asif!V64+sumair!V64</f>
        <v>0</v>
      </c>
      <c r="BC64" s="21">
        <f>Asghar!Z64+shahzad!Z64+Fahad!Z64+Asif!Z64+sumair!Z64</f>
        <v>0</v>
      </c>
      <c r="BD64" s="21">
        <f>Asghar!AD64+shahzad!AD64+Fahad!AD64+Asif!AD64+sumair!AD64</f>
        <v>0</v>
      </c>
      <c r="BE64" s="21">
        <f>Asghar!AH64+shahzad!AH64+Fahad!AH64+Asif!AH64+sumair!AH64</f>
        <v>0</v>
      </c>
      <c r="BF64" s="21">
        <f>Asghar!AL64+shahzad!AL64+Fahad!AL64+Asif!AL64+sumair!AL64</f>
        <v>0</v>
      </c>
      <c r="BG64" s="21">
        <f>Asghar!AP64+shahzad!AP64+Fahad!AP64+Asif!AP64+sumair!AP64</f>
        <v>0</v>
      </c>
      <c r="BH64" s="21">
        <f>Asghar!AT64+shahzad!AT64+Fahad!AT64+Asif!AT64+sumair!AT64</f>
        <v>0</v>
      </c>
      <c r="BI64" s="21">
        <f>Asghar!AX64+shahzad!AX64+Fahad!AX64+Asif!AX64+sumair!AX64</f>
        <v>0</v>
      </c>
      <c r="BJ64" s="21">
        <f>Asghar!BB64+shahzad!BB64+Fahad!BB64+Asif!BB64+sumair!BB64</f>
        <v>0</v>
      </c>
      <c r="BK64" s="21">
        <f>Asghar!BF64+shahzad!BF64+Fahad!BF64+Asif!BF64+sumair!BF64</f>
        <v>0</v>
      </c>
      <c r="BL64" s="21">
        <f>Asghar!BJ64+shahzad!BJ64+Fahad!BJ64+Asif!BJ64+sumair!BJ64</f>
        <v>0</v>
      </c>
      <c r="BM64" s="21">
        <f>Asghar!BN64+shahzad!BN64+Fahad!BN64+Asif!BN64+sumair!BN64</f>
        <v>0</v>
      </c>
      <c r="BN64" s="21">
        <f>Asghar!BR64+shahzad!BR64+Fahad!BR64+Asif!BR64+sumair!BR64</f>
        <v>0</v>
      </c>
      <c r="BO64" s="21">
        <f>Asghar!BV64+shahzad!BV64+Fahad!BV64+Asif!BV64+sumair!BV64</f>
        <v>0</v>
      </c>
      <c r="BP64" s="21">
        <f>Asghar!BZ64+shahzad!BZ64+Fahad!BZ64+Asif!BZ64+sumair!BZ64</f>
        <v>0</v>
      </c>
      <c r="BQ64" s="21">
        <f>Asghar!CD64+shahzad!CD64+Fahad!CD64+Asif!CD64+sumair!CD64</f>
        <v>0</v>
      </c>
      <c r="BR64" s="21">
        <f>Asghar!CH64+shahzad!CH64+Fahad!CH64+Asif!CH64+sumair!CH64</f>
        <v>0</v>
      </c>
      <c r="BS64" s="21">
        <f>Asghar!CL64+shahzad!CL64+Fahad!CL64+Asif!CL64+sumair!CL64</f>
        <v>0</v>
      </c>
      <c r="BT64" s="21">
        <f>Asghar!CP64+shahzad!CP64+Fahad!CP64+Asif!CP64+sumair!CP64</f>
        <v>0</v>
      </c>
      <c r="BU64" s="21">
        <f>Asghar!CT64+shahzad!CT64+Fahad!CT64+Asif!CT64+sumair!CT64</f>
        <v>0</v>
      </c>
      <c r="BV64" s="21">
        <f>Asghar!CX64+shahzad!CX64+Fahad!CX64+Asif!CX64+sumair!CX64</f>
        <v>0</v>
      </c>
      <c r="BW64" s="21">
        <f>Asghar!DB64+shahzad!DB64+Fahad!DB64+Asif!DB64+sumair!DB64</f>
        <v>0</v>
      </c>
      <c r="BX64" s="21">
        <f>Asghar!DF64+shahzad!DF64+Fahad!DF64+Asif!DF64+sumair!DF64</f>
        <v>0</v>
      </c>
      <c r="BY64" s="21">
        <f>Asghar!DJ64+shahzad!DJ64+Fahad!DJ64+Asif!DJ64+sumair!DJ64</f>
        <v>0</v>
      </c>
      <c r="BZ64" s="21">
        <f>Asghar!DN64+shahzad!DN64+Fahad!DN64+Asif!DN64+sumair!DN64</f>
        <v>0</v>
      </c>
      <c r="CA64" s="21">
        <f>Asghar!DR64+shahzad!DR64+Fahad!DR64+Asif!DR64+sumair!DR64</f>
        <v>0</v>
      </c>
      <c r="CB64" s="21">
        <f>Asghar!DV64+shahzad!DV64+Fahad!DV64+Asif!DV64+sumair!DV64</f>
        <v>0</v>
      </c>
      <c r="CC64" s="21">
        <f>Asghar!DZ64+shahzad!DZ64+Fahad!DZ64+Asif!DZ64+sumair!DZ64</f>
        <v>0</v>
      </c>
      <c r="CD64" s="54">
        <f t="shared" si="5"/>
        <v>0</v>
      </c>
      <c r="CF64" s="28">
        <f t="shared" si="6"/>
        <v>49.166666666666664</v>
      </c>
      <c r="CG64" s="30">
        <f t="shared" si="7"/>
        <v>0</v>
      </c>
      <c r="CH64" s="41">
        <f t="shared" si="8"/>
        <v>49.166666666666664</v>
      </c>
      <c r="CI64" s="53">
        <f t="shared" si="9"/>
        <v>0</v>
      </c>
      <c r="CJ64" s="42">
        <f t="shared" si="10"/>
        <v>49.166666666666664</v>
      </c>
    </row>
    <row r="65" spans="2:88" ht="12.5" customHeight="1" x14ac:dyDescent="0.35">
      <c r="B65" s="4">
        <v>111107</v>
      </c>
      <c r="C65" s="4" t="s">
        <v>71</v>
      </c>
      <c r="D65" s="4">
        <v>1</v>
      </c>
      <c r="E65" s="5">
        <v>48</v>
      </c>
      <c r="F65" s="6">
        <v>39.4372481296</v>
      </c>
      <c r="G65" s="7"/>
      <c r="H65" s="13">
        <v>4</v>
      </c>
      <c r="I65" s="8">
        <v>38</v>
      </c>
      <c r="J65" s="13"/>
      <c r="K65" s="3"/>
      <c r="L65" s="9">
        <f t="shared" si="0"/>
        <v>0.79166666666666663</v>
      </c>
      <c r="M65" s="10">
        <f t="shared" si="1"/>
        <v>0.79166666666666663</v>
      </c>
      <c r="N65" s="11">
        <f t="shared" si="2"/>
        <v>4.791666666666667</v>
      </c>
      <c r="O65" s="3">
        <f t="shared" si="3"/>
        <v>230</v>
      </c>
      <c r="P65" s="12">
        <f t="shared" si="3"/>
        <v>9070.5670698079994</v>
      </c>
      <c r="R65" s="21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24">
        <f t="shared" si="4"/>
        <v>0</v>
      </c>
      <c r="AY65" s="21">
        <f>Asghar!J65+shahzad!J65+Fahad!J65+Asif!J65+sumair!J65</f>
        <v>0</v>
      </c>
      <c r="AZ65" s="21">
        <f>Asghar!N65+shahzad!N65+Fahad!N65+Asif!N65+sumair!N65</f>
        <v>0</v>
      </c>
      <c r="BA65" s="21">
        <f>Asghar!R65+shahzad!R65+Fahad!R65+Asif!R65+sumair!R65</f>
        <v>0</v>
      </c>
      <c r="BB65" s="21">
        <f>Asghar!V65+shahzad!V65+Fahad!V65+Asif!V65+sumair!V65</f>
        <v>0</v>
      </c>
      <c r="BC65" s="21">
        <f>Asghar!Z65+shahzad!Z65+Fahad!Z65+Asif!Z65+sumair!Z65</f>
        <v>0</v>
      </c>
      <c r="BD65" s="21">
        <f>Asghar!AD65+shahzad!AD65+Fahad!AD65+Asif!AD65+sumair!AD65</f>
        <v>0</v>
      </c>
      <c r="BE65" s="21">
        <f>Asghar!AH65+shahzad!AH65+Fahad!AH65+Asif!AH65+sumair!AH65</f>
        <v>0</v>
      </c>
      <c r="BF65" s="21">
        <f>Asghar!AL65+shahzad!AL65+Fahad!AL65+Asif!AL65+sumair!AL65</f>
        <v>0</v>
      </c>
      <c r="BG65" s="21">
        <f>Asghar!AP65+shahzad!AP65+Fahad!AP65+Asif!AP65+sumair!AP65</f>
        <v>0</v>
      </c>
      <c r="BH65" s="21">
        <f>Asghar!AT65+shahzad!AT65+Fahad!AT65+Asif!AT65+sumair!AT65</f>
        <v>0</v>
      </c>
      <c r="BI65" s="21">
        <f>Asghar!AX65+shahzad!AX65+Fahad!AX65+Asif!AX65+sumair!AX65</f>
        <v>0</v>
      </c>
      <c r="BJ65" s="21">
        <f>Asghar!BB65+shahzad!BB65+Fahad!BB65+Asif!BB65+sumair!BB65</f>
        <v>0</v>
      </c>
      <c r="BK65" s="21">
        <f>Asghar!BF65+shahzad!BF65+Fahad!BF65+Asif!BF65+sumair!BF65</f>
        <v>0</v>
      </c>
      <c r="BL65" s="21">
        <f>Asghar!BJ65+shahzad!BJ65+Fahad!BJ65+Asif!BJ65+sumair!BJ65</f>
        <v>0</v>
      </c>
      <c r="BM65" s="21">
        <f>Asghar!BN65+shahzad!BN65+Fahad!BN65+Asif!BN65+sumair!BN65</f>
        <v>0</v>
      </c>
      <c r="BN65" s="21">
        <f>Asghar!BR65+shahzad!BR65+Fahad!BR65+Asif!BR65+sumair!BR65</f>
        <v>0</v>
      </c>
      <c r="BO65" s="21">
        <f>Asghar!BV65+shahzad!BV65+Fahad!BV65+Asif!BV65+sumair!BV65</f>
        <v>0</v>
      </c>
      <c r="BP65" s="21">
        <f>Asghar!BZ65+shahzad!BZ65+Fahad!BZ65+Asif!BZ65+sumair!BZ65</f>
        <v>0</v>
      </c>
      <c r="BQ65" s="21">
        <f>Asghar!CD65+shahzad!CD65+Fahad!CD65+Asif!CD65+sumair!CD65</f>
        <v>0</v>
      </c>
      <c r="BR65" s="21">
        <f>Asghar!CH65+shahzad!CH65+Fahad!CH65+Asif!CH65+sumair!CH65</f>
        <v>0</v>
      </c>
      <c r="BS65" s="21">
        <f>Asghar!CL65+shahzad!CL65+Fahad!CL65+Asif!CL65+sumair!CL65</f>
        <v>0</v>
      </c>
      <c r="BT65" s="21">
        <f>Asghar!CP65+shahzad!CP65+Fahad!CP65+Asif!CP65+sumair!CP65</f>
        <v>0</v>
      </c>
      <c r="BU65" s="21">
        <f>Asghar!CT65+shahzad!CT65+Fahad!CT65+Asif!CT65+sumair!CT65</f>
        <v>0</v>
      </c>
      <c r="BV65" s="21">
        <f>Asghar!CX65+shahzad!CX65+Fahad!CX65+Asif!CX65+sumair!CX65</f>
        <v>0</v>
      </c>
      <c r="BW65" s="21">
        <f>Asghar!DB65+shahzad!DB65+Fahad!DB65+Asif!DB65+sumair!DB65</f>
        <v>0</v>
      </c>
      <c r="BX65" s="21">
        <f>Asghar!DF65+shahzad!DF65+Fahad!DF65+Asif!DF65+sumair!DF65</f>
        <v>0</v>
      </c>
      <c r="BY65" s="21">
        <f>Asghar!DJ65+shahzad!DJ65+Fahad!DJ65+Asif!DJ65+sumair!DJ65</f>
        <v>0</v>
      </c>
      <c r="BZ65" s="21">
        <f>Asghar!DN65+shahzad!DN65+Fahad!DN65+Asif!DN65+sumair!DN65</f>
        <v>0</v>
      </c>
      <c r="CA65" s="21">
        <f>Asghar!DR65+shahzad!DR65+Fahad!DR65+Asif!DR65+sumair!DR65</f>
        <v>0</v>
      </c>
      <c r="CB65" s="21">
        <f>Asghar!DV65+shahzad!DV65+Fahad!DV65+Asif!DV65+sumair!DV65</f>
        <v>0</v>
      </c>
      <c r="CC65" s="21">
        <f>Asghar!DZ65+shahzad!DZ65+Fahad!DZ65+Asif!DZ65+sumair!DZ65</f>
        <v>0</v>
      </c>
      <c r="CD65" s="54">
        <f t="shared" si="5"/>
        <v>0</v>
      </c>
      <c r="CF65" s="28">
        <f t="shared" si="6"/>
        <v>4.791666666666667</v>
      </c>
      <c r="CG65" s="30">
        <f t="shared" si="7"/>
        <v>0</v>
      </c>
      <c r="CH65" s="41">
        <f t="shared" si="8"/>
        <v>4.791666666666667</v>
      </c>
      <c r="CI65" s="53">
        <f t="shared" si="9"/>
        <v>0</v>
      </c>
      <c r="CJ65" s="42">
        <f t="shared" si="10"/>
        <v>4.791666666666667</v>
      </c>
    </row>
    <row r="66" spans="2:88" ht="12.5" customHeight="1" x14ac:dyDescent="0.35">
      <c r="B66" s="4">
        <v>111108</v>
      </c>
      <c r="C66" s="4" t="s">
        <v>72</v>
      </c>
      <c r="D66" s="4">
        <v>1</v>
      </c>
      <c r="E66" s="5">
        <v>48</v>
      </c>
      <c r="F66" s="6">
        <v>39.4372481296</v>
      </c>
      <c r="G66" s="7"/>
      <c r="H66" s="13">
        <v>5</v>
      </c>
      <c r="I66" s="13">
        <v>18</v>
      </c>
      <c r="J66" s="13"/>
      <c r="K66" s="3"/>
      <c r="L66" s="9">
        <f t="shared" si="0"/>
        <v>0.375</v>
      </c>
      <c r="M66" s="10">
        <f t="shared" si="1"/>
        <v>0.375</v>
      </c>
      <c r="N66" s="11">
        <f t="shared" si="2"/>
        <v>5.375</v>
      </c>
      <c r="O66" s="3">
        <f t="shared" si="3"/>
        <v>258</v>
      </c>
      <c r="P66" s="12">
        <f t="shared" si="3"/>
        <v>10174.810017436801</v>
      </c>
      <c r="R66" s="21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24">
        <f t="shared" si="4"/>
        <v>0</v>
      </c>
      <c r="AY66" s="21">
        <f>Asghar!J66+shahzad!J66+Fahad!J66+Asif!J66+sumair!J66</f>
        <v>0</v>
      </c>
      <c r="AZ66" s="21">
        <f>Asghar!N66+shahzad!N66+Fahad!N66+Asif!N66+sumair!N66</f>
        <v>0</v>
      </c>
      <c r="BA66" s="21">
        <f>Asghar!R66+shahzad!R66+Fahad!R66+Asif!R66+sumair!R66</f>
        <v>0</v>
      </c>
      <c r="BB66" s="21">
        <f>Asghar!V66+shahzad!V66+Fahad!V66+Asif!V66+sumair!V66</f>
        <v>0</v>
      </c>
      <c r="BC66" s="21">
        <f>Asghar!Z66+shahzad!Z66+Fahad!Z66+Asif!Z66+sumair!Z66</f>
        <v>0</v>
      </c>
      <c r="BD66" s="21">
        <f>Asghar!AD66+shahzad!AD66+Fahad!AD66+Asif!AD66+sumair!AD66</f>
        <v>0</v>
      </c>
      <c r="BE66" s="21">
        <f>Asghar!AH66+shahzad!AH66+Fahad!AH66+Asif!AH66+sumair!AH66</f>
        <v>0</v>
      </c>
      <c r="BF66" s="21">
        <f>Asghar!AL66+shahzad!AL66+Fahad!AL66+Asif!AL66+sumair!AL66</f>
        <v>0</v>
      </c>
      <c r="BG66" s="21">
        <f>Asghar!AP66+shahzad!AP66+Fahad!AP66+Asif!AP66+sumair!AP66</f>
        <v>0</v>
      </c>
      <c r="BH66" s="21">
        <f>Asghar!AT66+shahzad!AT66+Fahad!AT66+Asif!AT66+sumair!AT66</f>
        <v>0</v>
      </c>
      <c r="BI66" s="21">
        <f>Asghar!AX66+shahzad!AX66+Fahad!AX66+Asif!AX66+sumair!AX66</f>
        <v>0</v>
      </c>
      <c r="BJ66" s="21">
        <f>Asghar!BB66+shahzad!BB66+Fahad!BB66+Asif!BB66+sumair!BB66</f>
        <v>0</v>
      </c>
      <c r="BK66" s="21">
        <f>Asghar!BF66+shahzad!BF66+Fahad!BF66+Asif!BF66+sumair!BF66</f>
        <v>0</v>
      </c>
      <c r="BL66" s="21">
        <f>Asghar!BJ66+shahzad!BJ66+Fahad!BJ66+Asif!BJ66+sumair!BJ66</f>
        <v>0</v>
      </c>
      <c r="BM66" s="21">
        <f>Asghar!BN66+shahzad!BN66+Fahad!BN66+Asif!BN66+sumair!BN66</f>
        <v>0</v>
      </c>
      <c r="BN66" s="21">
        <f>Asghar!BR66+shahzad!BR66+Fahad!BR66+Asif!BR66+sumair!BR66</f>
        <v>0</v>
      </c>
      <c r="BO66" s="21">
        <f>Asghar!BV66+shahzad!BV66+Fahad!BV66+Asif!BV66+sumair!BV66</f>
        <v>0</v>
      </c>
      <c r="BP66" s="21">
        <f>Asghar!BZ66+shahzad!BZ66+Fahad!BZ66+Asif!BZ66+sumair!BZ66</f>
        <v>0</v>
      </c>
      <c r="BQ66" s="21">
        <f>Asghar!CD66+shahzad!CD66+Fahad!CD66+Asif!CD66+sumair!CD66</f>
        <v>0</v>
      </c>
      <c r="BR66" s="21">
        <f>Asghar!CH66+shahzad!CH66+Fahad!CH66+Asif!CH66+sumair!CH66</f>
        <v>0</v>
      </c>
      <c r="BS66" s="21">
        <f>Asghar!CL66+shahzad!CL66+Fahad!CL66+Asif!CL66+sumair!CL66</f>
        <v>0</v>
      </c>
      <c r="BT66" s="21">
        <f>Asghar!CP66+shahzad!CP66+Fahad!CP66+Asif!CP66+sumair!CP66</f>
        <v>0</v>
      </c>
      <c r="BU66" s="21">
        <f>Asghar!CT66+shahzad!CT66+Fahad!CT66+Asif!CT66+sumair!CT66</f>
        <v>0</v>
      </c>
      <c r="BV66" s="21">
        <f>Asghar!CX66+shahzad!CX66+Fahad!CX66+Asif!CX66+sumair!CX66</f>
        <v>0</v>
      </c>
      <c r="BW66" s="21">
        <f>Asghar!DB66+shahzad!DB66+Fahad!DB66+Asif!DB66+sumair!DB66</f>
        <v>0</v>
      </c>
      <c r="BX66" s="21">
        <f>Asghar!DF66+shahzad!DF66+Fahad!DF66+Asif!DF66+sumair!DF66</f>
        <v>0</v>
      </c>
      <c r="BY66" s="21">
        <f>Asghar!DJ66+shahzad!DJ66+Fahad!DJ66+Asif!DJ66+sumair!DJ66</f>
        <v>0</v>
      </c>
      <c r="BZ66" s="21">
        <f>Asghar!DN66+shahzad!DN66+Fahad!DN66+Asif!DN66+sumair!DN66</f>
        <v>0</v>
      </c>
      <c r="CA66" s="21">
        <f>Asghar!DR66+shahzad!DR66+Fahad!DR66+Asif!DR66+sumair!DR66</f>
        <v>0</v>
      </c>
      <c r="CB66" s="21">
        <f>Asghar!DV66+shahzad!DV66+Fahad!DV66+Asif!DV66+sumair!DV66</f>
        <v>0</v>
      </c>
      <c r="CC66" s="21">
        <f>Asghar!DZ66+shahzad!DZ66+Fahad!DZ66+Asif!DZ66+sumair!DZ66</f>
        <v>0</v>
      </c>
      <c r="CD66" s="54">
        <f t="shared" si="5"/>
        <v>0</v>
      </c>
      <c r="CF66" s="28">
        <f t="shared" si="6"/>
        <v>5.375</v>
      </c>
      <c r="CG66" s="30">
        <f t="shared" si="7"/>
        <v>0</v>
      </c>
      <c r="CH66" s="41">
        <f t="shared" si="8"/>
        <v>5.375</v>
      </c>
      <c r="CI66" s="53">
        <f t="shared" si="9"/>
        <v>0</v>
      </c>
      <c r="CJ66" s="42">
        <f t="shared" si="10"/>
        <v>5.375</v>
      </c>
    </row>
    <row r="67" spans="2:88" ht="12.5" customHeight="1" x14ac:dyDescent="0.35">
      <c r="B67" s="4">
        <v>111109</v>
      </c>
      <c r="C67" s="4" t="s">
        <v>73</v>
      </c>
      <c r="D67" s="4">
        <v>12</v>
      </c>
      <c r="E67" s="5">
        <v>18</v>
      </c>
      <c r="F67" s="6">
        <v>190.46151740799999</v>
      </c>
      <c r="G67" s="7"/>
      <c r="H67" s="8"/>
      <c r="I67" s="13">
        <v>6</v>
      </c>
      <c r="J67" s="13"/>
      <c r="K67" s="3"/>
      <c r="L67" s="9">
        <f t="shared" si="0"/>
        <v>0.33333333333333331</v>
      </c>
      <c r="M67" s="10">
        <f t="shared" si="1"/>
        <v>0.33333333333333331</v>
      </c>
      <c r="N67" s="11">
        <f t="shared" si="2"/>
        <v>0.33333333333333331</v>
      </c>
      <c r="O67" s="3">
        <f t="shared" si="3"/>
        <v>6</v>
      </c>
      <c r="P67" s="12">
        <f t="shared" si="3"/>
        <v>1142.769104448</v>
      </c>
      <c r="R67" s="21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24">
        <f t="shared" si="4"/>
        <v>0</v>
      </c>
      <c r="AY67" s="21">
        <f>Asghar!J67+shahzad!J67+Fahad!J67+Asif!J67+sumair!J67</f>
        <v>0</v>
      </c>
      <c r="AZ67" s="21">
        <f>Asghar!N67+shahzad!N67+Fahad!N67+Asif!N67+sumair!N67</f>
        <v>0</v>
      </c>
      <c r="BA67" s="21">
        <f>Asghar!R67+shahzad!R67+Fahad!R67+Asif!R67+sumair!R67</f>
        <v>0</v>
      </c>
      <c r="BB67" s="21">
        <f>Asghar!V67+shahzad!V67+Fahad!V67+Asif!V67+sumair!V67</f>
        <v>0</v>
      </c>
      <c r="BC67" s="21">
        <f>Asghar!Z67+shahzad!Z67+Fahad!Z67+Asif!Z67+sumair!Z67</f>
        <v>0</v>
      </c>
      <c r="BD67" s="21">
        <f>Asghar!AD67+shahzad!AD67+Fahad!AD67+Asif!AD67+sumair!AD67</f>
        <v>0</v>
      </c>
      <c r="BE67" s="21">
        <f>Asghar!AH67+shahzad!AH67+Fahad!AH67+Asif!AH67+sumair!AH67</f>
        <v>0</v>
      </c>
      <c r="BF67" s="21">
        <f>Asghar!AL67+shahzad!AL67+Fahad!AL67+Asif!AL67+sumair!AL67</f>
        <v>0</v>
      </c>
      <c r="BG67" s="21">
        <f>Asghar!AP67+shahzad!AP67+Fahad!AP67+Asif!AP67+sumair!AP67</f>
        <v>0</v>
      </c>
      <c r="BH67" s="21">
        <f>Asghar!AT67+shahzad!AT67+Fahad!AT67+Asif!AT67+sumair!AT67</f>
        <v>0</v>
      </c>
      <c r="BI67" s="21">
        <f>Asghar!AX67+shahzad!AX67+Fahad!AX67+Asif!AX67+sumair!AX67</f>
        <v>0</v>
      </c>
      <c r="BJ67" s="21">
        <f>Asghar!BB67+shahzad!BB67+Fahad!BB67+Asif!BB67+sumair!BB67</f>
        <v>0</v>
      </c>
      <c r="BK67" s="21">
        <f>Asghar!BF67+shahzad!BF67+Fahad!BF67+Asif!BF67+sumair!BF67</f>
        <v>0</v>
      </c>
      <c r="BL67" s="21">
        <f>Asghar!BJ67+shahzad!BJ67+Fahad!BJ67+Asif!BJ67+sumair!BJ67</f>
        <v>0</v>
      </c>
      <c r="BM67" s="21">
        <f>Asghar!BN67+shahzad!BN67+Fahad!BN67+Asif!BN67+sumair!BN67</f>
        <v>0</v>
      </c>
      <c r="BN67" s="21">
        <f>Asghar!BR67+shahzad!BR67+Fahad!BR67+Asif!BR67+sumair!BR67</f>
        <v>0</v>
      </c>
      <c r="BO67" s="21">
        <f>Asghar!BV67+shahzad!BV67+Fahad!BV67+Asif!BV67+sumair!BV67</f>
        <v>0</v>
      </c>
      <c r="BP67" s="21">
        <f>Asghar!BZ67+shahzad!BZ67+Fahad!BZ67+Asif!BZ67+sumair!BZ67</f>
        <v>0</v>
      </c>
      <c r="BQ67" s="21">
        <f>Asghar!CD67+shahzad!CD67+Fahad!CD67+Asif!CD67+sumair!CD67</f>
        <v>0</v>
      </c>
      <c r="BR67" s="21">
        <f>Asghar!CH67+shahzad!CH67+Fahad!CH67+Asif!CH67+sumair!CH67</f>
        <v>0</v>
      </c>
      <c r="BS67" s="21">
        <f>Asghar!CL67+shahzad!CL67+Fahad!CL67+Asif!CL67+sumair!CL67</f>
        <v>0</v>
      </c>
      <c r="BT67" s="21">
        <f>Asghar!CP67+shahzad!CP67+Fahad!CP67+Asif!CP67+sumair!CP67</f>
        <v>0</v>
      </c>
      <c r="BU67" s="21">
        <f>Asghar!CT67+shahzad!CT67+Fahad!CT67+Asif!CT67+sumair!CT67</f>
        <v>0</v>
      </c>
      <c r="BV67" s="21">
        <f>Asghar!CX67+shahzad!CX67+Fahad!CX67+Asif!CX67+sumair!CX67</f>
        <v>0</v>
      </c>
      <c r="BW67" s="21">
        <f>Asghar!DB67+shahzad!DB67+Fahad!DB67+Asif!DB67+sumair!DB67</f>
        <v>0</v>
      </c>
      <c r="BX67" s="21">
        <f>Asghar!DF67+shahzad!DF67+Fahad!DF67+Asif!DF67+sumair!DF67</f>
        <v>0</v>
      </c>
      <c r="BY67" s="21">
        <f>Asghar!DJ67+shahzad!DJ67+Fahad!DJ67+Asif!DJ67+sumair!DJ67</f>
        <v>0</v>
      </c>
      <c r="BZ67" s="21">
        <f>Asghar!DN67+shahzad!DN67+Fahad!DN67+Asif!DN67+sumair!DN67</f>
        <v>0</v>
      </c>
      <c r="CA67" s="21">
        <f>Asghar!DR67+shahzad!DR67+Fahad!DR67+Asif!DR67+sumair!DR67</f>
        <v>0</v>
      </c>
      <c r="CB67" s="21">
        <f>Asghar!DV67+shahzad!DV67+Fahad!DV67+Asif!DV67+sumair!DV67</f>
        <v>0</v>
      </c>
      <c r="CC67" s="21">
        <f>Asghar!DZ67+shahzad!DZ67+Fahad!DZ67+Asif!DZ67+sumair!DZ67</f>
        <v>0</v>
      </c>
      <c r="CD67" s="54">
        <f t="shared" si="5"/>
        <v>0</v>
      </c>
      <c r="CF67" s="28">
        <f t="shared" si="6"/>
        <v>0.33333333333333331</v>
      </c>
      <c r="CG67" s="30">
        <f t="shared" si="7"/>
        <v>0</v>
      </c>
      <c r="CH67" s="41">
        <f t="shared" si="8"/>
        <v>0.33333333333333331</v>
      </c>
      <c r="CI67" s="53">
        <f t="shared" si="9"/>
        <v>0</v>
      </c>
      <c r="CJ67" s="42">
        <f t="shared" si="10"/>
        <v>0.33333333333333331</v>
      </c>
    </row>
    <row r="68" spans="2:88" ht="12.5" customHeight="1" x14ac:dyDescent="0.35">
      <c r="B68" s="4">
        <v>111124</v>
      </c>
      <c r="C68" s="4" t="s">
        <v>74</v>
      </c>
      <c r="D68" s="4">
        <v>24</v>
      </c>
      <c r="E68" s="5">
        <v>18</v>
      </c>
      <c r="F68" s="6">
        <v>193.64193294</v>
      </c>
      <c r="G68" s="7"/>
      <c r="H68" s="8">
        <v>36</v>
      </c>
      <c r="I68" s="8">
        <v>7</v>
      </c>
      <c r="J68" s="13"/>
      <c r="K68" s="3"/>
      <c r="L68" s="9">
        <f t="shared" si="0"/>
        <v>0.3888888888888889</v>
      </c>
      <c r="M68" s="10">
        <f t="shared" si="1"/>
        <v>0.3888888888888889</v>
      </c>
      <c r="N68" s="11">
        <f t="shared" si="2"/>
        <v>36.388888888888886</v>
      </c>
      <c r="O68" s="3">
        <f t="shared" si="3"/>
        <v>655</v>
      </c>
      <c r="P68" s="12">
        <f t="shared" si="3"/>
        <v>126835.46607570001</v>
      </c>
      <c r="R68" s="21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24">
        <f t="shared" si="4"/>
        <v>0</v>
      </c>
      <c r="AY68" s="21">
        <f>Asghar!J68+shahzad!J68+Fahad!J68+Asif!J68+sumair!J68</f>
        <v>0</v>
      </c>
      <c r="AZ68" s="21">
        <f>Asghar!N68+shahzad!N68+Fahad!N68+Asif!N68+sumair!N68</f>
        <v>0</v>
      </c>
      <c r="BA68" s="21">
        <f>Asghar!R68+shahzad!R68+Fahad!R68+Asif!R68+sumair!R68</f>
        <v>0</v>
      </c>
      <c r="BB68" s="21">
        <f>Asghar!V68+shahzad!V68+Fahad!V68+Asif!V68+sumair!V68</f>
        <v>0</v>
      </c>
      <c r="BC68" s="21">
        <f>Asghar!Z68+shahzad!Z68+Fahad!Z68+Asif!Z68+sumair!Z68</f>
        <v>0</v>
      </c>
      <c r="BD68" s="21">
        <f>Asghar!AD68+shahzad!AD68+Fahad!AD68+Asif!AD68+sumair!AD68</f>
        <v>0</v>
      </c>
      <c r="BE68" s="21">
        <f>Asghar!AH68+shahzad!AH68+Fahad!AH68+Asif!AH68+sumair!AH68</f>
        <v>0</v>
      </c>
      <c r="BF68" s="21">
        <f>Asghar!AL68+shahzad!AL68+Fahad!AL68+Asif!AL68+sumair!AL68</f>
        <v>0</v>
      </c>
      <c r="BG68" s="21">
        <f>Asghar!AP68+shahzad!AP68+Fahad!AP68+Asif!AP68+sumair!AP68</f>
        <v>0</v>
      </c>
      <c r="BH68" s="21">
        <f>Asghar!AT68+shahzad!AT68+Fahad!AT68+Asif!AT68+sumair!AT68</f>
        <v>0</v>
      </c>
      <c r="BI68" s="21">
        <f>Asghar!AX68+shahzad!AX68+Fahad!AX68+Asif!AX68+sumair!AX68</f>
        <v>0</v>
      </c>
      <c r="BJ68" s="21">
        <f>Asghar!BB68+shahzad!BB68+Fahad!BB68+Asif!BB68+sumair!BB68</f>
        <v>0</v>
      </c>
      <c r="BK68" s="21">
        <f>Asghar!BF68+shahzad!BF68+Fahad!BF68+Asif!BF68+sumair!BF68</f>
        <v>0</v>
      </c>
      <c r="BL68" s="21">
        <f>Asghar!BJ68+shahzad!BJ68+Fahad!BJ68+Asif!BJ68+sumair!BJ68</f>
        <v>0</v>
      </c>
      <c r="BM68" s="21">
        <f>Asghar!BN68+shahzad!BN68+Fahad!BN68+Asif!BN68+sumair!BN68</f>
        <v>0</v>
      </c>
      <c r="BN68" s="21">
        <f>Asghar!BR68+shahzad!BR68+Fahad!BR68+Asif!BR68+sumair!BR68</f>
        <v>0</v>
      </c>
      <c r="BO68" s="21">
        <f>Asghar!BV68+shahzad!BV68+Fahad!BV68+Asif!BV68+sumair!BV68</f>
        <v>0</v>
      </c>
      <c r="BP68" s="21">
        <f>Asghar!BZ68+shahzad!BZ68+Fahad!BZ68+Asif!BZ68+sumair!BZ68</f>
        <v>0</v>
      </c>
      <c r="BQ68" s="21">
        <f>Asghar!CD68+shahzad!CD68+Fahad!CD68+Asif!CD68+sumair!CD68</f>
        <v>0</v>
      </c>
      <c r="BR68" s="21">
        <f>Asghar!CH68+shahzad!CH68+Fahad!CH68+Asif!CH68+sumair!CH68</f>
        <v>0</v>
      </c>
      <c r="BS68" s="21">
        <f>Asghar!CL68+shahzad!CL68+Fahad!CL68+Asif!CL68+sumair!CL68</f>
        <v>0</v>
      </c>
      <c r="BT68" s="21">
        <f>Asghar!CP68+shahzad!CP68+Fahad!CP68+Asif!CP68+sumair!CP68</f>
        <v>0</v>
      </c>
      <c r="BU68" s="21">
        <f>Asghar!CT68+shahzad!CT68+Fahad!CT68+Asif!CT68+sumair!CT68</f>
        <v>0</v>
      </c>
      <c r="BV68" s="21">
        <f>Asghar!CX68+shahzad!CX68+Fahad!CX68+Asif!CX68+sumair!CX68</f>
        <v>0</v>
      </c>
      <c r="BW68" s="21">
        <f>Asghar!DB68+shahzad!DB68+Fahad!DB68+Asif!DB68+sumair!DB68</f>
        <v>0</v>
      </c>
      <c r="BX68" s="21">
        <f>Asghar!DF68+shahzad!DF68+Fahad!DF68+Asif!DF68+sumair!DF68</f>
        <v>0</v>
      </c>
      <c r="BY68" s="21">
        <f>Asghar!DJ68+shahzad!DJ68+Fahad!DJ68+Asif!DJ68+sumair!DJ68</f>
        <v>0</v>
      </c>
      <c r="BZ68" s="21">
        <f>Asghar!DN68+shahzad!DN68+Fahad!DN68+Asif!DN68+sumair!DN68</f>
        <v>0</v>
      </c>
      <c r="CA68" s="21">
        <f>Asghar!DR68+shahzad!DR68+Fahad!DR68+Asif!DR68+sumair!DR68</f>
        <v>0</v>
      </c>
      <c r="CB68" s="21">
        <f>Asghar!DV68+shahzad!DV68+Fahad!DV68+Asif!DV68+sumair!DV68</f>
        <v>0</v>
      </c>
      <c r="CC68" s="21">
        <f>Asghar!DZ68+shahzad!DZ68+Fahad!DZ68+Asif!DZ68+sumair!DZ68</f>
        <v>0</v>
      </c>
      <c r="CD68" s="54">
        <f t="shared" si="5"/>
        <v>0</v>
      </c>
      <c r="CF68" s="28">
        <f t="shared" si="6"/>
        <v>36.388888888888886</v>
      </c>
      <c r="CG68" s="30">
        <f t="shared" si="7"/>
        <v>0</v>
      </c>
      <c r="CH68" s="41">
        <f t="shared" si="8"/>
        <v>36.388888888888886</v>
      </c>
      <c r="CI68" s="53">
        <f t="shared" si="9"/>
        <v>0</v>
      </c>
      <c r="CJ68" s="42">
        <f t="shared" si="10"/>
        <v>36.388888888888886</v>
      </c>
    </row>
    <row r="69" spans="2:88" ht="12.5" customHeight="1" x14ac:dyDescent="0.35">
      <c r="B69" s="4">
        <v>111131</v>
      </c>
      <c r="C69" s="4" t="s">
        <v>75</v>
      </c>
      <c r="D69" s="4">
        <v>12</v>
      </c>
      <c r="E69" s="5">
        <v>8</v>
      </c>
      <c r="F69" s="6">
        <v>481.09632499999998</v>
      </c>
      <c r="G69" s="7"/>
      <c r="H69" s="8"/>
      <c r="I69" s="13"/>
      <c r="J69" s="13"/>
      <c r="K69" s="3"/>
      <c r="L69" s="9">
        <f t="shared" ref="L69:L108" si="11">I69/E69</f>
        <v>0</v>
      </c>
      <c r="M69" s="10">
        <f t="shared" ref="M69:M107" si="12">I69/E69</f>
        <v>0</v>
      </c>
      <c r="N69" s="11">
        <f t="shared" ref="N69:N107" si="13">M69+H69</f>
        <v>0</v>
      </c>
      <c r="O69" s="3">
        <f t="shared" ref="O69:P84" si="14">N69*E69</f>
        <v>0</v>
      </c>
      <c r="P69" s="12">
        <f t="shared" si="14"/>
        <v>0</v>
      </c>
      <c r="R69" s="21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24">
        <f t="shared" ref="AW69:AW108" si="15">SUM(R69:AV69)</f>
        <v>0</v>
      </c>
      <c r="AY69" s="21">
        <f>Asghar!J69+shahzad!J69+Fahad!J69+Asif!J69+sumair!J69</f>
        <v>0</v>
      </c>
      <c r="AZ69" s="21">
        <f>Asghar!N69+shahzad!N69+Fahad!N69+Asif!N69+sumair!N69</f>
        <v>0</v>
      </c>
      <c r="BA69" s="21">
        <f>Asghar!R69+shahzad!R69+Fahad!R69+Asif!R69+sumair!R69</f>
        <v>0</v>
      </c>
      <c r="BB69" s="21">
        <f>Asghar!V69+shahzad!V69+Fahad!V69+Asif!V69+sumair!V69</f>
        <v>0</v>
      </c>
      <c r="BC69" s="21">
        <f>Asghar!Z69+shahzad!Z69+Fahad!Z69+Asif!Z69+sumair!Z69</f>
        <v>0</v>
      </c>
      <c r="BD69" s="21">
        <f>Asghar!AD69+shahzad!AD69+Fahad!AD69+Asif!AD69+sumair!AD69</f>
        <v>0</v>
      </c>
      <c r="BE69" s="21">
        <f>Asghar!AH69+shahzad!AH69+Fahad!AH69+Asif!AH69+sumair!AH69</f>
        <v>0</v>
      </c>
      <c r="BF69" s="21">
        <f>Asghar!AL69+shahzad!AL69+Fahad!AL69+Asif!AL69+sumair!AL69</f>
        <v>0</v>
      </c>
      <c r="BG69" s="21">
        <f>Asghar!AP69+shahzad!AP69+Fahad!AP69+Asif!AP69+sumair!AP69</f>
        <v>0</v>
      </c>
      <c r="BH69" s="21">
        <f>Asghar!AT69+shahzad!AT69+Fahad!AT69+Asif!AT69+sumair!AT69</f>
        <v>0</v>
      </c>
      <c r="BI69" s="21">
        <f>Asghar!AX69+shahzad!AX69+Fahad!AX69+Asif!AX69+sumair!AX69</f>
        <v>0</v>
      </c>
      <c r="BJ69" s="21">
        <f>Asghar!BB69+shahzad!BB69+Fahad!BB69+Asif!BB69+sumair!BB69</f>
        <v>0</v>
      </c>
      <c r="BK69" s="21">
        <f>Asghar!BF69+shahzad!BF69+Fahad!BF69+Asif!BF69+sumair!BF69</f>
        <v>0</v>
      </c>
      <c r="BL69" s="21">
        <f>Asghar!BJ69+shahzad!BJ69+Fahad!BJ69+Asif!BJ69+sumair!BJ69</f>
        <v>0</v>
      </c>
      <c r="BM69" s="21">
        <f>Asghar!BN69+shahzad!BN69+Fahad!BN69+Asif!BN69+sumair!BN69</f>
        <v>0</v>
      </c>
      <c r="BN69" s="21">
        <f>Asghar!BR69+shahzad!BR69+Fahad!BR69+Asif!BR69+sumair!BR69</f>
        <v>0</v>
      </c>
      <c r="BO69" s="21">
        <f>Asghar!BV69+shahzad!BV69+Fahad!BV69+Asif!BV69+sumair!BV69</f>
        <v>0</v>
      </c>
      <c r="BP69" s="21">
        <f>Asghar!BZ69+shahzad!BZ69+Fahad!BZ69+Asif!BZ69+sumair!BZ69</f>
        <v>0</v>
      </c>
      <c r="BQ69" s="21">
        <f>Asghar!CD69+shahzad!CD69+Fahad!CD69+Asif!CD69+sumair!CD69</f>
        <v>0</v>
      </c>
      <c r="BR69" s="21">
        <f>Asghar!CH69+shahzad!CH69+Fahad!CH69+Asif!CH69+sumair!CH69</f>
        <v>0</v>
      </c>
      <c r="BS69" s="21">
        <f>Asghar!CL69+shahzad!CL69+Fahad!CL69+Asif!CL69+sumair!CL69</f>
        <v>0</v>
      </c>
      <c r="BT69" s="21">
        <f>Asghar!CP69+shahzad!CP69+Fahad!CP69+Asif!CP69+sumair!CP69</f>
        <v>0</v>
      </c>
      <c r="BU69" s="21">
        <f>Asghar!CT69+shahzad!CT69+Fahad!CT69+Asif!CT69+sumair!CT69</f>
        <v>0</v>
      </c>
      <c r="BV69" s="21">
        <f>Asghar!CX69+shahzad!CX69+Fahad!CX69+Asif!CX69+sumair!CX69</f>
        <v>0</v>
      </c>
      <c r="BW69" s="21">
        <f>Asghar!DB69+shahzad!DB69+Fahad!DB69+Asif!DB69+sumair!DB69</f>
        <v>0</v>
      </c>
      <c r="BX69" s="21">
        <f>Asghar!DF69+shahzad!DF69+Fahad!DF69+Asif!DF69+sumair!DF69</f>
        <v>0</v>
      </c>
      <c r="BY69" s="21">
        <f>Asghar!DJ69+shahzad!DJ69+Fahad!DJ69+Asif!DJ69+sumair!DJ69</f>
        <v>0</v>
      </c>
      <c r="BZ69" s="21">
        <f>Asghar!DN69+shahzad!DN69+Fahad!DN69+Asif!DN69+sumair!DN69</f>
        <v>0</v>
      </c>
      <c r="CA69" s="21">
        <f>Asghar!DR69+shahzad!DR69+Fahad!DR69+Asif!DR69+sumair!DR69</f>
        <v>0</v>
      </c>
      <c r="CB69" s="21">
        <f>Asghar!DV69+shahzad!DV69+Fahad!DV69+Asif!DV69+sumair!DV69</f>
        <v>0</v>
      </c>
      <c r="CC69" s="21">
        <f>Asghar!DZ69+shahzad!DZ69+Fahad!DZ69+Asif!DZ69+sumair!DZ69</f>
        <v>0</v>
      </c>
      <c r="CD69" s="54">
        <f t="shared" ref="CD69:CD108" si="16">SUM(AY69:CC69)</f>
        <v>0</v>
      </c>
      <c r="CF69" s="28">
        <f t="shared" ref="CF69:CF108" si="17">N69</f>
        <v>0</v>
      </c>
      <c r="CG69" s="30">
        <f t="shared" ref="CG69:CG108" si="18">AW69</f>
        <v>0</v>
      </c>
      <c r="CH69" s="41">
        <f t="shared" ref="CH69:CH108" si="19">CG69+CF69</f>
        <v>0</v>
      </c>
      <c r="CI69" s="53">
        <f t="shared" ref="CI69:CI108" si="20">CD69</f>
        <v>0</v>
      </c>
      <c r="CJ69" s="42">
        <f t="shared" ref="CJ69:CJ108" si="21">CH69-CI69</f>
        <v>0</v>
      </c>
    </row>
    <row r="70" spans="2:88" ht="12.5" customHeight="1" x14ac:dyDescent="0.35">
      <c r="B70" s="4">
        <v>111202</v>
      </c>
      <c r="C70" s="4" t="s">
        <v>76</v>
      </c>
      <c r="D70" s="4">
        <v>25</v>
      </c>
      <c r="E70" s="5">
        <v>36</v>
      </c>
      <c r="F70" s="6">
        <v>99.122261960000003</v>
      </c>
      <c r="G70" s="7"/>
      <c r="H70" s="8"/>
      <c r="I70" s="8"/>
      <c r="J70" s="13"/>
      <c r="K70" s="3"/>
      <c r="L70" s="9">
        <f t="shared" si="11"/>
        <v>0</v>
      </c>
      <c r="M70" s="10">
        <f t="shared" si="12"/>
        <v>0</v>
      </c>
      <c r="N70" s="11">
        <f t="shared" si="13"/>
        <v>0</v>
      </c>
      <c r="O70" s="3">
        <f t="shared" si="14"/>
        <v>0</v>
      </c>
      <c r="P70" s="12">
        <f t="shared" si="14"/>
        <v>0</v>
      </c>
      <c r="R70" s="21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24">
        <f t="shared" si="15"/>
        <v>0</v>
      </c>
      <c r="AY70" s="21">
        <f>Asghar!J70+shahzad!J70+Fahad!J70+Asif!J70+sumair!J70</f>
        <v>0</v>
      </c>
      <c r="AZ70" s="21">
        <f>Asghar!N70+shahzad!N70+Fahad!N70+Asif!N70+sumair!N70</f>
        <v>0</v>
      </c>
      <c r="BA70" s="21">
        <f>Asghar!R70+shahzad!R70+Fahad!R70+Asif!R70+sumair!R70</f>
        <v>0</v>
      </c>
      <c r="BB70" s="21">
        <f>Asghar!V70+shahzad!V70+Fahad!V70+Asif!V70+sumair!V70</f>
        <v>0</v>
      </c>
      <c r="BC70" s="21">
        <f>Asghar!Z70+shahzad!Z70+Fahad!Z70+Asif!Z70+sumair!Z70</f>
        <v>0</v>
      </c>
      <c r="BD70" s="21">
        <f>Asghar!AD70+shahzad!AD70+Fahad!AD70+Asif!AD70+sumair!AD70</f>
        <v>0</v>
      </c>
      <c r="BE70" s="21">
        <f>Asghar!AH70+shahzad!AH70+Fahad!AH70+Asif!AH70+sumair!AH70</f>
        <v>0</v>
      </c>
      <c r="BF70" s="21">
        <f>Asghar!AL70+shahzad!AL70+Fahad!AL70+Asif!AL70+sumair!AL70</f>
        <v>0</v>
      </c>
      <c r="BG70" s="21">
        <f>Asghar!AP70+shahzad!AP70+Fahad!AP70+Asif!AP70+sumair!AP70</f>
        <v>0</v>
      </c>
      <c r="BH70" s="21">
        <f>Asghar!AT70+shahzad!AT70+Fahad!AT70+Asif!AT70+sumair!AT70</f>
        <v>0</v>
      </c>
      <c r="BI70" s="21">
        <f>Asghar!AX70+shahzad!AX70+Fahad!AX70+Asif!AX70+sumair!AX70</f>
        <v>0</v>
      </c>
      <c r="BJ70" s="21">
        <f>Asghar!BB70+shahzad!BB70+Fahad!BB70+Asif!BB70+sumair!BB70</f>
        <v>0</v>
      </c>
      <c r="BK70" s="21">
        <f>Asghar!BF70+shahzad!BF70+Fahad!BF70+Asif!BF70+sumair!BF70</f>
        <v>0</v>
      </c>
      <c r="BL70" s="21">
        <f>Asghar!BJ70+shahzad!BJ70+Fahad!BJ70+Asif!BJ70+sumair!BJ70</f>
        <v>0</v>
      </c>
      <c r="BM70" s="21">
        <f>Asghar!BN70+shahzad!BN70+Fahad!BN70+Asif!BN70+sumair!BN70</f>
        <v>0</v>
      </c>
      <c r="BN70" s="21">
        <f>Asghar!BR70+shahzad!BR70+Fahad!BR70+Asif!BR70+sumair!BR70</f>
        <v>0</v>
      </c>
      <c r="BO70" s="21">
        <f>Asghar!BV70+shahzad!BV70+Fahad!BV70+Asif!BV70+sumair!BV70</f>
        <v>0</v>
      </c>
      <c r="BP70" s="21">
        <f>Asghar!BZ70+shahzad!BZ70+Fahad!BZ70+Asif!BZ70+sumair!BZ70</f>
        <v>0</v>
      </c>
      <c r="BQ70" s="21">
        <f>Asghar!CD70+shahzad!CD70+Fahad!CD70+Asif!CD70+sumair!CD70</f>
        <v>0</v>
      </c>
      <c r="BR70" s="21">
        <f>Asghar!CH70+shahzad!CH70+Fahad!CH70+Asif!CH70+sumair!CH70</f>
        <v>0</v>
      </c>
      <c r="BS70" s="21">
        <f>Asghar!CL70+shahzad!CL70+Fahad!CL70+Asif!CL70+sumair!CL70</f>
        <v>0</v>
      </c>
      <c r="BT70" s="21">
        <f>Asghar!CP70+shahzad!CP70+Fahad!CP70+Asif!CP70+sumair!CP70</f>
        <v>0</v>
      </c>
      <c r="BU70" s="21">
        <f>Asghar!CT70+shahzad!CT70+Fahad!CT70+Asif!CT70+sumair!CT70</f>
        <v>0</v>
      </c>
      <c r="BV70" s="21">
        <f>Asghar!CX70+shahzad!CX70+Fahad!CX70+Asif!CX70+sumair!CX70</f>
        <v>0</v>
      </c>
      <c r="BW70" s="21">
        <f>Asghar!DB70+shahzad!DB70+Fahad!DB70+Asif!DB70+sumair!DB70</f>
        <v>0</v>
      </c>
      <c r="BX70" s="21">
        <f>Asghar!DF70+shahzad!DF70+Fahad!DF70+Asif!DF70+sumair!DF70</f>
        <v>0</v>
      </c>
      <c r="BY70" s="21">
        <f>Asghar!DJ70+shahzad!DJ70+Fahad!DJ70+Asif!DJ70+sumair!DJ70</f>
        <v>0</v>
      </c>
      <c r="BZ70" s="21">
        <f>Asghar!DN70+shahzad!DN70+Fahad!DN70+Asif!DN70+sumair!DN70</f>
        <v>0</v>
      </c>
      <c r="CA70" s="21">
        <f>Asghar!DR70+shahzad!DR70+Fahad!DR70+Asif!DR70+sumair!DR70</f>
        <v>0</v>
      </c>
      <c r="CB70" s="21">
        <f>Asghar!DV70+shahzad!DV70+Fahad!DV70+Asif!DV70+sumair!DV70</f>
        <v>0</v>
      </c>
      <c r="CC70" s="21">
        <f>Asghar!DZ70+shahzad!DZ70+Fahad!DZ70+Asif!DZ70+sumair!DZ70</f>
        <v>0</v>
      </c>
      <c r="CD70" s="54">
        <f t="shared" si="16"/>
        <v>0</v>
      </c>
      <c r="CF70" s="28">
        <f t="shared" si="17"/>
        <v>0</v>
      </c>
      <c r="CG70" s="30">
        <f t="shared" si="18"/>
        <v>0</v>
      </c>
      <c r="CH70" s="41">
        <f t="shared" si="19"/>
        <v>0</v>
      </c>
      <c r="CI70" s="53">
        <f t="shared" si="20"/>
        <v>0</v>
      </c>
      <c r="CJ70" s="42">
        <f t="shared" si="21"/>
        <v>0</v>
      </c>
    </row>
    <row r="71" spans="2:88" ht="12.5" customHeight="1" x14ac:dyDescent="0.35">
      <c r="B71" s="4">
        <v>111203</v>
      </c>
      <c r="C71" s="4" t="s">
        <v>77</v>
      </c>
      <c r="D71" s="4">
        <v>50</v>
      </c>
      <c r="E71" s="5">
        <v>18</v>
      </c>
      <c r="F71" s="6">
        <v>198.24524392000001</v>
      </c>
      <c r="G71" s="7"/>
      <c r="H71" s="8">
        <v>25</v>
      </c>
      <c r="I71" s="8">
        <v>3</v>
      </c>
      <c r="J71" s="13"/>
      <c r="K71" s="3"/>
      <c r="L71" s="9">
        <f t="shared" si="11"/>
        <v>0.16666666666666666</v>
      </c>
      <c r="M71" s="10">
        <f t="shared" si="12"/>
        <v>0.16666666666666666</v>
      </c>
      <c r="N71" s="11">
        <f t="shared" si="13"/>
        <v>25.166666666666668</v>
      </c>
      <c r="O71" s="3">
        <f t="shared" si="14"/>
        <v>453</v>
      </c>
      <c r="P71" s="12">
        <f t="shared" si="14"/>
        <v>89805.095495760004</v>
      </c>
      <c r="R71" s="21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24">
        <f t="shared" si="15"/>
        <v>0</v>
      </c>
      <c r="AY71" s="21">
        <f>Asghar!J71+shahzad!J71+Fahad!J71+Asif!J71+sumair!J71</f>
        <v>0</v>
      </c>
      <c r="AZ71" s="21">
        <f>Asghar!N71+shahzad!N71+Fahad!N71+Asif!N71+sumair!N71</f>
        <v>0</v>
      </c>
      <c r="BA71" s="21">
        <f>Asghar!R71+shahzad!R71+Fahad!R71+Asif!R71+sumair!R71</f>
        <v>0</v>
      </c>
      <c r="BB71" s="21">
        <f>Asghar!V71+shahzad!V71+Fahad!V71+Asif!V71+sumair!V71</f>
        <v>0</v>
      </c>
      <c r="BC71" s="21">
        <f>Asghar!Z71+shahzad!Z71+Fahad!Z71+Asif!Z71+sumair!Z71</f>
        <v>0</v>
      </c>
      <c r="BD71" s="21">
        <f>Asghar!AD71+shahzad!AD71+Fahad!AD71+Asif!AD71+sumair!AD71</f>
        <v>0</v>
      </c>
      <c r="BE71" s="21">
        <f>Asghar!AH71+shahzad!AH71+Fahad!AH71+Asif!AH71+sumair!AH71</f>
        <v>0</v>
      </c>
      <c r="BF71" s="21">
        <f>Asghar!AL71+shahzad!AL71+Fahad!AL71+Asif!AL71+sumair!AL71</f>
        <v>0</v>
      </c>
      <c r="BG71" s="21">
        <f>Asghar!AP71+shahzad!AP71+Fahad!AP71+Asif!AP71+sumair!AP71</f>
        <v>0</v>
      </c>
      <c r="BH71" s="21">
        <f>Asghar!AT71+shahzad!AT71+Fahad!AT71+Asif!AT71+sumair!AT71</f>
        <v>0</v>
      </c>
      <c r="BI71" s="21">
        <f>Asghar!AX71+shahzad!AX71+Fahad!AX71+Asif!AX71+sumair!AX71</f>
        <v>0</v>
      </c>
      <c r="BJ71" s="21">
        <f>Asghar!BB71+shahzad!BB71+Fahad!BB71+Asif!BB71+sumair!BB71</f>
        <v>0</v>
      </c>
      <c r="BK71" s="21">
        <f>Asghar!BF71+shahzad!BF71+Fahad!BF71+Asif!BF71+sumair!BF71</f>
        <v>0</v>
      </c>
      <c r="BL71" s="21">
        <f>Asghar!BJ71+shahzad!BJ71+Fahad!BJ71+Asif!BJ71+sumair!BJ71</f>
        <v>0</v>
      </c>
      <c r="BM71" s="21">
        <f>Asghar!BN71+shahzad!BN71+Fahad!BN71+Asif!BN71+sumair!BN71</f>
        <v>0</v>
      </c>
      <c r="BN71" s="21">
        <f>Asghar!BR71+shahzad!BR71+Fahad!BR71+Asif!BR71+sumair!BR71</f>
        <v>0</v>
      </c>
      <c r="BO71" s="21">
        <f>Asghar!BV71+shahzad!BV71+Fahad!BV71+Asif!BV71+sumair!BV71</f>
        <v>0</v>
      </c>
      <c r="BP71" s="21">
        <f>Asghar!BZ71+shahzad!BZ71+Fahad!BZ71+Asif!BZ71+sumair!BZ71</f>
        <v>0</v>
      </c>
      <c r="BQ71" s="21">
        <f>Asghar!CD71+shahzad!CD71+Fahad!CD71+Asif!CD71+sumair!CD71</f>
        <v>0</v>
      </c>
      <c r="BR71" s="21">
        <f>Asghar!CH71+shahzad!CH71+Fahad!CH71+Asif!CH71+sumair!CH71</f>
        <v>0</v>
      </c>
      <c r="BS71" s="21">
        <f>Asghar!CL71+shahzad!CL71+Fahad!CL71+Asif!CL71+sumair!CL71</f>
        <v>0</v>
      </c>
      <c r="BT71" s="21">
        <f>Asghar!CP71+shahzad!CP71+Fahad!CP71+Asif!CP71+sumair!CP71</f>
        <v>0</v>
      </c>
      <c r="BU71" s="21">
        <f>Asghar!CT71+shahzad!CT71+Fahad!CT71+Asif!CT71+sumair!CT71</f>
        <v>0</v>
      </c>
      <c r="BV71" s="21">
        <f>Asghar!CX71+shahzad!CX71+Fahad!CX71+Asif!CX71+sumair!CX71</f>
        <v>0</v>
      </c>
      <c r="BW71" s="21">
        <f>Asghar!DB71+shahzad!DB71+Fahad!DB71+Asif!DB71+sumair!DB71</f>
        <v>0</v>
      </c>
      <c r="BX71" s="21">
        <f>Asghar!DF71+shahzad!DF71+Fahad!DF71+Asif!DF71+sumair!DF71</f>
        <v>0</v>
      </c>
      <c r="BY71" s="21">
        <f>Asghar!DJ71+shahzad!DJ71+Fahad!DJ71+Asif!DJ71+sumair!DJ71</f>
        <v>0</v>
      </c>
      <c r="BZ71" s="21">
        <f>Asghar!DN71+shahzad!DN71+Fahad!DN71+Asif!DN71+sumair!DN71</f>
        <v>0</v>
      </c>
      <c r="CA71" s="21">
        <f>Asghar!DR71+shahzad!DR71+Fahad!DR71+Asif!DR71+sumair!DR71</f>
        <v>0</v>
      </c>
      <c r="CB71" s="21">
        <f>Asghar!DV71+shahzad!DV71+Fahad!DV71+Asif!DV71+sumair!DV71</f>
        <v>0</v>
      </c>
      <c r="CC71" s="21">
        <f>Asghar!DZ71+shahzad!DZ71+Fahad!DZ71+Asif!DZ71+sumair!DZ71</f>
        <v>0</v>
      </c>
      <c r="CD71" s="54">
        <f t="shared" si="16"/>
        <v>0</v>
      </c>
      <c r="CF71" s="28">
        <f t="shared" si="17"/>
        <v>25.166666666666668</v>
      </c>
      <c r="CG71" s="30">
        <f t="shared" si="18"/>
        <v>0</v>
      </c>
      <c r="CH71" s="41">
        <f t="shared" si="19"/>
        <v>25.166666666666668</v>
      </c>
      <c r="CI71" s="53">
        <f t="shared" si="20"/>
        <v>0</v>
      </c>
      <c r="CJ71" s="42">
        <f t="shared" si="21"/>
        <v>25.166666666666668</v>
      </c>
    </row>
    <row r="72" spans="2:88" ht="12.5" customHeight="1" x14ac:dyDescent="0.35">
      <c r="B72" s="4">
        <v>111212</v>
      </c>
      <c r="C72" s="4" t="s">
        <v>78</v>
      </c>
      <c r="D72" s="4">
        <v>25</v>
      </c>
      <c r="E72" s="5">
        <v>36</v>
      </c>
      <c r="F72" s="6">
        <v>99.122621960000004</v>
      </c>
      <c r="G72" s="7"/>
      <c r="H72" s="8"/>
      <c r="I72" s="8"/>
      <c r="J72" s="13"/>
      <c r="K72" s="3"/>
      <c r="L72" s="9">
        <f t="shared" si="11"/>
        <v>0</v>
      </c>
      <c r="M72" s="10">
        <f t="shared" si="12"/>
        <v>0</v>
      </c>
      <c r="N72" s="11">
        <f t="shared" si="13"/>
        <v>0</v>
      </c>
      <c r="O72" s="3">
        <f t="shared" si="14"/>
        <v>0</v>
      </c>
      <c r="P72" s="12">
        <f t="shared" si="14"/>
        <v>0</v>
      </c>
      <c r="R72" s="21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24">
        <f t="shared" si="15"/>
        <v>0</v>
      </c>
      <c r="AY72" s="21">
        <f>Asghar!J72+shahzad!J72+Fahad!J72+Asif!J72+sumair!J72</f>
        <v>0</v>
      </c>
      <c r="AZ72" s="21">
        <f>Asghar!N72+shahzad!N72+Fahad!N72+Asif!N72+sumair!N72</f>
        <v>0</v>
      </c>
      <c r="BA72" s="21">
        <f>Asghar!R72+shahzad!R72+Fahad!R72+Asif!R72+sumair!R72</f>
        <v>0</v>
      </c>
      <c r="BB72" s="21">
        <f>Asghar!V72+shahzad!V72+Fahad!V72+Asif!V72+sumair!V72</f>
        <v>0</v>
      </c>
      <c r="BC72" s="21">
        <f>Asghar!Z72+shahzad!Z72+Fahad!Z72+Asif!Z72+sumair!Z72</f>
        <v>0</v>
      </c>
      <c r="BD72" s="21">
        <f>Asghar!AD72+shahzad!AD72+Fahad!AD72+Asif!AD72+sumair!AD72</f>
        <v>0</v>
      </c>
      <c r="BE72" s="21">
        <f>Asghar!AH72+shahzad!AH72+Fahad!AH72+Asif!AH72+sumair!AH72</f>
        <v>0</v>
      </c>
      <c r="BF72" s="21">
        <f>Asghar!AL72+shahzad!AL72+Fahad!AL72+Asif!AL72+sumair!AL72</f>
        <v>0</v>
      </c>
      <c r="BG72" s="21">
        <f>Asghar!AP72+shahzad!AP72+Fahad!AP72+Asif!AP72+sumair!AP72</f>
        <v>0</v>
      </c>
      <c r="BH72" s="21">
        <f>Asghar!AT72+shahzad!AT72+Fahad!AT72+Asif!AT72+sumair!AT72</f>
        <v>0</v>
      </c>
      <c r="BI72" s="21">
        <f>Asghar!AX72+shahzad!AX72+Fahad!AX72+Asif!AX72+sumair!AX72</f>
        <v>0</v>
      </c>
      <c r="BJ72" s="21">
        <f>Asghar!BB72+shahzad!BB72+Fahad!BB72+Asif!BB72+sumair!BB72</f>
        <v>0</v>
      </c>
      <c r="BK72" s="21">
        <f>Asghar!BF72+shahzad!BF72+Fahad!BF72+Asif!BF72+sumair!BF72</f>
        <v>0</v>
      </c>
      <c r="BL72" s="21">
        <f>Asghar!BJ72+shahzad!BJ72+Fahad!BJ72+Asif!BJ72+sumair!BJ72</f>
        <v>0</v>
      </c>
      <c r="BM72" s="21">
        <f>Asghar!BN72+shahzad!BN72+Fahad!BN72+Asif!BN72+sumair!BN72</f>
        <v>0</v>
      </c>
      <c r="BN72" s="21">
        <f>Asghar!BR72+shahzad!BR72+Fahad!BR72+Asif!BR72+sumair!BR72</f>
        <v>0</v>
      </c>
      <c r="BO72" s="21">
        <f>Asghar!BV72+shahzad!BV72+Fahad!BV72+Asif!BV72+sumair!BV72</f>
        <v>0</v>
      </c>
      <c r="BP72" s="21">
        <f>Asghar!BZ72+shahzad!BZ72+Fahad!BZ72+Asif!BZ72+sumair!BZ72</f>
        <v>0</v>
      </c>
      <c r="BQ72" s="21">
        <f>Asghar!CD72+shahzad!CD72+Fahad!CD72+Asif!CD72+sumair!CD72</f>
        <v>0</v>
      </c>
      <c r="BR72" s="21">
        <f>Asghar!CH72+shahzad!CH72+Fahad!CH72+Asif!CH72+sumair!CH72</f>
        <v>0</v>
      </c>
      <c r="BS72" s="21">
        <f>Asghar!CL72+shahzad!CL72+Fahad!CL72+Asif!CL72+sumair!CL72</f>
        <v>0</v>
      </c>
      <c r="BT72" s="21">
        <f>Asghar!CP72+shahzad!CP72+Fahad!CP72+Asif!CP72+sumair!CP72</f>
        <v>0</v>
      </c>
      <c r="BU72" s="21">
        <f>Asghar!CT72+shahzad!CT72+Fahad!CT72+Asif!CT72+sumair!CT72</f>
        <v>0</v>
      </c>
      <c r="BV72" s="21">
        <f>Asghar!CX72+shahzad!CX72+Fahad!CX72+Asif!CX72+sumair!CX72</f>
        <v>0</v>
      </c>
      <c r="BW72" s="21">
        <f>Asghar!DB72+shahzad!DB72+Fahad!DB72+Asif!DB72+sumair!DB72</f>
        <v>0</v>
      </c>
      <c r="BX72" s="21">
        <f>Asghar!DF72+shahzad!DF72+Fahad!DF72+Asif!DF72+sumair!DF72</f>
        <v>0</v>
      </c>
      <c r="BY72" s="21">
        <f>Asghar!DJ72+shahzad!DJ72+Fahad!DJ72+Asif!DJ72+sumair!DJ72</f>
        <v>0</v>
      </c>
      <c r="BZ72" s="21">
        <f>Asghar!DN72+shahzad!DN72+Fahad!DN72+Asif!DN72+sumair!DN72</f>
        <v>0</v>
      </c>
      <c r="CA72" s="21">
        <f>Asghar!DR72+shahzad!DR72+Fahad!DR72+Asif!DR72+sumair!DR72</f>
        <v>0</v>
      </c>
      <c r="CB72" s="21">
        <f>Asghar!DV72+shahzad!DV72+Fahad!DV72+Asif!DV72+sumair!DV72</f>
        <v>0</v>
      </c>
      <c r="CC72" s="21">
        <f>Asghar!DZ72+shahzad!DZ72+Fahad!DZ72+Asif!DZ72+sumair!DZ72</f>
        <v>0</v>
      </c>
      <c r="CD72" s="54">
        <f t="shared" si="16"/>
        <v>0</v>
      </c>
      <c r="CF72" s="28">
        <f t="shared" si="17"/>
        <v>0</v>
      </c>
      <c r="CG72" s="30">
        <f t="shared" si="18"/>
        <v>0</v>
      </c>
      <c r="CH72" s="41">
        <f t="shared" si="19"/>
        <v>0</v>
      </c>
      <c r="CI72" s="53">
        <f t="shared" si="20"/>
        <v>0</v>
      </c>
      <c r="CJ72" s="42">
        <f t="shared" si="21"/>
        <v>0</v>
      </c>
    </row>
    <row r="73" spans="2:88" ht="12.5" customHeight="1" x14ac:dyDescent="0.35">
      <c r="B73" s="4">
        <v>111213</v>
      </c>
      <c r="C73" s="4" t="s">
        <v>79</v>
      </c>
      <c r="D73" s="4">
        <v>50</v>
      </c>
      <c r="E73" s="5">
        <v>18</v>
      </c>
      <c r="F73" s="6">
        <v>198.24524392000001</v>
      </c>
      <c r="G73" s="7"/>
      <c r="H73" s="8">
        <f>56+91</f>
        <v>147</v>
      </c>
      <c r="I73" s="13">
        <v>7</v>
      </c>
      <c r="J73" s="13"/>
      <c r="K73" s="3"/>
      <c r="L73" s="9">
        <f t="shared" si="11"/>
        <v>0.3888888888888889</v>
      </c>
      <c r="M73" s="10">
        <f t="shared" si="12"/>
        <v>0.3888888888888889</v>
      </c>
      <c r="N73" s="11">
        <f t="shared" si="13"/>
        <v>147.38888888888889</v>
      </c>
      <c r="O73" s="3">
        <f t="shared" si="14"/>
        <v>2653</v>
      </c>
      <c r="P73" s="12">
        <f t="shared" si="14"/>
        <v>525944.63211976003</v>
      </c>
      <c r="R73" s="21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24">
        <f t="shared" si="15"/>
        <v>0</v>
      </c>
      <c r="AY73" s="21">
        <f>Asghar!J73+shahzad!J73+Fahad!J73+Asif!J73+sumair!J73</f>
        <v>0</v>
      </c>
      <c r="AZ73" s="21">
        <f>Asghar!N73+shahzad!N73+Fahad!N73+Asif!N73+sumair!N73</f>
        <v>0</v>
      </c>
      <c r="BA73" s="21">
        <f>Asghar!R73+shahzad!R73+Fahad!R73+Asif!R73+sumair!R73</f>
        <v>0</v>
      </c>
      <c r="BB73" s="21">
        <f>Asghar!V73+shahzad!V73+Fahad!V73+Asif!V73+sumair!V73</f>
        <v>0</v>
      </c>
      <c r="BC73" s="21">
        <f>Asghar!Z73+shahzad!Z73+Fahad!Z73+Asif!Z73+sumair!Z73</f>
        <v>0</v>
      </c>
      <c r="BD73" s="21">
        <f>Asghar!AD73+shahzad!AD73+Fahad!AD73+Asif!AD73+sumair!AD73</f>
        <v>0</v>
      </c>
      <c r="BE73" s="21">
        <f>Asghar!AH73+shahzad!AH73+Fahad!AH73+Asif!AH73+sumair!AH73</f>
        <v>0</v>
      </c>
      <c r="BF73" s="21">
        <f>Asghar!AL73+shahzad!AL73+Fahad!AL73+Asif!AL73+sumair!AL73</f>
        <v>0</v>
      </c>
      <c r="BG73" s="21">
        <f>Asghar!AP73+shahzad!AP73+Fahad!AP73+Asif!AP73+sumair!AP73</f>
        <v>0</v>
      </c>
      <c r="BH73" s="21">
        <f>Asghar!AT73+shahzad!AT73+Fahad!AT73+Asif!AT73+sumair!AT73</f>
        <v>0</v>
      </c>
      <c r="BI73" s="21">
        <f>Asghar!AX73+shahzad!AX73+Fahad!AX73+Asif!AX73+sumair!AX73</f>
        <v>0</v>
      </c>
      <c r="BJ73" s="21">
        <f>Asghar!BB73+shahzad!BB73+Fahad!BB73+Asif!BB73+sumair!BB73</f>
        <v>0</v>
      </c>
      <c r="BK73" s="21">
        <f>Asghar!BF73+shahzad!BF73+Fahad!BF73+Asif!BF73+sumair!BF73</f>
        <v>0</v>
      </c>
      <c r="BL73" s="21">
        <f>Asghar!BJ73+shahzad!BJ73+Fahad!BJ73+Asif!BJ73+sumair!BJ73</f>
        <v>0</v>
      </c>
      <c r="BM73" s="21">
        <f>Asghar!BN73+shahzad!BN73+Fahad!BN73+Asif!BN73+sumair!BN73</f>
        <v>0</v>
      </c>
      <c r="BN73" s="21">
        <f>Asghar!BR73+shahzad!BR73+Fahad!BR73+Asif!BR73+sumair!BR73</f>
        <v>0</v>
      </c>
      <c r="BO73" s="21">
        <f>Asghar!BV73+shahzad!BV73+Fahad!BV73+Asif!BV73+sumair!BV73</f>
        <v>0</v>
      </c>
      <c r="BP73" s="21">
        <f>Asghar!BZ73+shahzad!BZ73+Fahad!BZ73+Asif!BZ73+sumair!BZ73</f>
        <v>0</v>
      </c>
      <c r="BQ73" s="21">
        <f>Asghar!CD73+shahzad!CD73+Fahad!CD73+Asif!CD73+sumair!CD73</f>
        <v>0</v>
      </c>
      <c r="BR73" s="21">
        <f>Asghar!CH73+shahzad!CH73+Fahad!CH73+Asif!CH73+sumair!CH73</f>
        <v>0</v>
      </c>
      <c r="BS73" s="21">
        <f>Asghar!CL73+shahzad!CL73+Fahad!CL73+Asif!CL73+sumair!CL73</f>
        <v>0</v>
      </c>
      <c r="BT73" s="21">
        <f>Asghar!CP73+shahzad!CP73+Fahad!CP73+Asif!CP73+sumair!CP73</f>
        <v>0</v>
      </c>
      <c r="BU73" s="21">
        <f>Asghar!CT73+shahzad!CT73+Fahad!CT73+Asif!CT73+sumair!CT73</f>
        <v>0</v>
      </c>
      <c r="BV73" s="21">
        <f>Asghar!CX73+shahzad!CX73+Fahad!CX73+Asif!CX73+sumair!CX73</f>
        <v>0</v>
      </c>
      <c r="BW73" s="21">
        <f>Asghar!DB73+shahzad!DB73+Fahad!DB73+Asif!DB73+sumair!DB73</f>
        <v>0</v>
      </c>
      <c r="BX73" s="21">
        <f>Asghar!DF73+shahzad!DF73+Fahad!DF73+Asif!DF73+sumair!DF73</f>
        <v>0</v>
      </c>
      <c r="BY73" s="21">
        <f>Asghar!DJ73+shahzad!DJ73+Fahad!DJ73+Asif!DJ73+sumair!DJ73</f>
        <v>0</v>
      </c>
      <c r="BZ73" s="21">
        <f>Asghar!DN73+shahzad!DN73+Fahad!DN73+Asif!DN73+sumair!DN73</f>
        <v>0</v>
      </c>
      <c r="CA73" s="21">
        <f>Asghar!DR73+shahzad!DR73+Fahad!DR73+Asif!DR73+sumair!DR73</f>
        <v>0</v>
      </c>
      <c r="CB73" s="21">
        <f>Asghar!DV73+shahzad!DV73+Fahad!DV73+Asif!DV73+sumair!DV73</f>
        <v>0</v>
      </c>
      <c r="CC73" s="21">
        <f>Asghar!DZ73+shahzad!DZ73+Fahad!DZ73+Asif!DZ73+sumair!DZ73</f>
        <v>0</v>
      </c>
      <c r="CD73" s="54">
        <f t="shared" si="16"/>
        <v>0</v>
      </c>
      <c r="CF73" s="28">
        <f t="shared" si="17"/>
        <v>147.38888888888889</v>
      </c>
      <c r="CG73" s="30">
        <f t="shared" si="18"/>
        <v>0</v>
      </c>
      <c r="CH73" s="41">
        <f t="shared" si="19"/>
        <v>147.38888888888889</v>
      </c>
      <c r="CI73" s="53">
        <f t="shared" si="20"/>
        <v>0</v>
      </c>
      <c r="CJ73" s="42">
        <f t="shared" si="21"/>
        <v>147.38888888888889</v>
      </c>
    </row>
    <row r="74" spans="2:88" ht="12.5" customHeight="1" x14ac:dyDescent="0.35">
      <c r="B74" s="4">
        <v>111222</v>
      </c>
      <c r="C74" s="4" t="s">
        <v>80</v>
      </c>
      <c r="D74" s="4">
        <v>25</v>
      </c>
      <c r="E74" s="5">
        <v>36</v>
      </c>
      <c r="F74" s="6">
        <v>99.122621960000004</v>
      </c>
      <c r="G74" s="7"/>
      <c r="H74" s="8"/>
      <c r="I74" s="8"/>
      <c r="J74" s="13"/>
      <c r="K74" s="3"/>
      <c r="L74" s="9">
        <f t="shared" si="11"/>
        <v>0</v>
      </c>
      <c r="M74" s="10">
        <f t="shared" si="12"/>
        <v>0</v>
      </c>
      <c r="N74" s="11">
        <f t="shared" si="13"/>
        <v>0</v>
      </c>
      <c r="O74" s="3">
        <f t="shared" si="14"/>
        <v>0</v>
      </c>
      <c r="P74" s="12">
        <f t="shared" si="14"/>
        <v>0</v>
      </c>
      <c r="R74" s="21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24">
        <f t="shared" si="15"/>
        <v>0</v>
      </c>
      <c r="AY74" s="21">
        <f>Asghar!J74+shahzad!J74+Fahad!J74+Asif!J74+sumair!J74</f>
        <v>0</v>
      </c>
      <c r="AZ74" s="21">
        <f>Asghar!N74+shahzad!N74+Fahad!N74+Asif!N74+sumair!N74</f>
        <v>0</v>
      </c>
      <c r="BA74" s="21">
        <f>Asghar!R74+shahzad!R74+Fahad!R74+Asif!R74+sumair!R74</f>
        <v>0</v>
      </c>
      <c r="BB74" s="21">
        <f>Asghar!V74+shahzad!V74+Fahad!V74+Asif!V74+sumair!V74</f>
        <v>0</v>
      </c>
      <c r="BC74" s="21">
        <f>Asghar!Z74+shahzad!Z74+Fahad!Z74+Asif!Z74+sumair!Z74</f>
        <v>0</v>
      </c>
      <c r="BD74" s="21">
        <f>Asghar!AD74+shahzad!AD74+Fahad!AD74+Asif!AD74+sumair!AD74</f>
        <v>0</v>
      </c>
      <c r="BE74" s="21">
        <f>Asghar!AH74+shahzad!AH74+Fahad!AH74+Asif!AH74+sumair!AH74</f>
        <v>0</v>
      </c>
      <c r="BF74" s="21">
        <f>Asghar!AL74+shahzad!AL74+Fahad!AL74+Asif!AL74+sumair!AL74</f>
        <v>0</v>
      </c>
      <c r="BG74" s="21">
        <f>Asghar!AP74+shahzad!AP74+Fahad!AP74+Asif!AP74+sumair!AP74</f>
        <v>0</v>
      </c>
      <c r="BH74" s="21">
        <f>Asghar!AT74+shahzad!AT74+Fahad!AT74+Asif!AT74+sumair!AT74</f>
        <v>0</v>
      </c>
      <c r="BI74" s="21">
        <f>Asghar!AX74+shahzad!AX74+Fahad!AX74+Asif!AX74+sumair!AX74</f>
        <v>0</v>
      </c>
      <c r="BJ74" s="21">
        <f>Asghar!BB74+shahzad!BB74+Fahad!BB74+Asif!BB74+sumair!BB74</f>
        <v>0</v>
      </c>
      <c r="BK74" s="21">
        <f>Asghar!BF74+shahzad!BF74+Fahad!BF74+Asif!BF74+sumair!BF74</f>
        <v>0</v>
      </c>
      <c r="BL74" s="21">
        <f>Asghar!BJ74+shahzad!BJ74+Fahad!BJ74+Asif!BJ74+sumair!BJ74</f>
        <v>0</v>
      </c>
      <c r="BM74" s="21">
        <f>Asghar!BN74+shahzad!BN74+Fahad!BN74+Asif!BN74+sumair!BN74</f>
        <v>0</v>
      </c>
      <c r="BN74" s="21">
        <f>Asghar!BR74+shahzad!BR74+Fahad!BR74+Asif!BR74+sumair!BR74</f>
        <v>0</v>
      </c>
      <c r="BO74" s="21">
        <f>Asghar!BV74+shahzad!BV74+Fahad!BV74+Asif!BV74+sumair!BV74</f>
        <v>0</v>
      </c>
      <c r="BP74" s="21">
        <f>Asghar!BZ74+shahzad!BZ74+Fahad!BZ74+Asif!BZ74+sumair!BZ74</f>
        <v>0</v>
      </c>
      <c r="BQ74" s="21">
        <f>Asghar!CD74+shahzad!CD74+Fahad!CD74+Asif!CD74+sumair!CD74</f>
        <v>0</v>
      </c>
      <c r="BR74" s="21">
        <f>Asghar!CH74+shahzad!CH74+Fahad!CH74+Asif!CH74+sumair!CH74</f>
        <v>0</v>
      </c>
      <c r="BS74" s="21">
        <f>Asghar!CL74+shahzad!CL74+Fahad!CL74+Asif!CL74+sumair!CL74</f>
        <v>0</v>
      </c>
      <c r="BT74" s="21">
        <f>Asghar!CP74+shahzad!CP74+Fahad!CP74+Asif!CP74+sumair!CP74</f>
        <v>0</v>
      </c>
      <c r="BU74" s="21">
        <f>Asghar!CT74+shahzad!CT74+Fahad!CT74+Asif!CT74+sumair!CT74</f>
        <v>0</v>
      </c>
      <c r="BV74" s="21">
        <f>Asghar!CX74+shahzad!CX74+Fahad!CX74+Asif!CX74+sumair!CX74</f>
        <v>0</v>
      </c>
      <c r="BW74" s="21">
        <f>Asghar!DB74+shahzad!DB74+Fahad!DB74+Asif!DB74+sumair!DB74</f>
        <v>0</v>
      </c>
      <c r="BX74" s="21">
        <f>Asghar!DF74+shahzad!DF74+Fahad!DF74+Asif!DF74+sumair!DF74</f>
        <v>0</v>
      </c>
      <c r="BY74" s="21">
        <f>Asghar!DJ74+shahzad!DJ74+Fahad!DJ74+Asif!DJ74+sumair!DJ74</f>
        <v>0</v>
      </c>
      <c r="BZ74" s="21">
        <f>Asghar!DN74+shahzad!DN74+Fahad!DN74+Asif!DN74+sumair!DN74</f>
        <v>0</v>
      </c>
      <c r="CA74" s="21">
        <f>Asghar!DR74+shahzad!DR74+Fahad!DR74+Asif!DR74+sumair!DR74</f>
        <v>0</v>
      </c>
      <c r="CB74" s="21">
        <f>Asghar!DV74+shahzad!DV74+Fahad!DV74+Asif!DV74+sumair!DV74</f>
        <v>0</v>
      </c>
      <c r="CC74" s="21">
        <f>Asghar!DZ74+shahzad!DZ74+Fahad!DZ74+Asif!DZ74+sumair!DZ74</f>
        <v>0</v>
      </c>
      <c r="CD74" s="54">
        <f t="shared" si="16"/>
        <v>0</v>
      </c>
      <c r="CF74" s="28">
        <f t="shared" si="17"/>
        <v>0</v>
      </c>
      <c r="CG74" s="30">
        <f t="shared" si="18"/>
        <v>0</v>
      </c>
      <c r="CH74" s="41">
        <f t="shared" si="19"/>
        <v>0</v>
      </c>
      <c r="CI74" s="53">
        <f t="shared" si="20"/>
        <v>0</v>
      </c>
      <c r="CJ74" s="42">
        <f t="shared" si="21"/>
        <v>0</v>
      </c>
    </row>
    <row r="75" spans="2:88" ht="12.5" customHeight="1" x14ac:dyDescent="0.35">
      <c r="B75" s="4">
        <v>111223</v>
      </c>
      <c r="C75" s="4" t="s">
        <v>81</v>
      </c>
      <c r="D75" s="4">
        <v>50</v>
      </c>
      <c r="E75" s="5">
        <v>18</v>
      </c>
      <c r="F75" s="6">
        <v>198.24524392000001</v>
      </c>
      <c r="G75" s="7"/>
      <c r="H75" s="8">
        <v>32</v>
      </c>
      <c r="I75" s="13">
        <v>1</v>
      </c>
      <c r="J75" s="13"/>
      <c r="K75" s="3"/>
      <c r="L75" s="9">
        <f t="shared" si="11"/>
        <v>5.5555555555555552E-2</v>
      </c>
      <c r="M75" s="10">
        <f t="shared" si="12"/>
        <v>5.5555555555555552E-2</v>
      </c>
      <c r="N75" s="11">
        <f t="shared" si="13"/>
        <v>32.055555555555557</v>
      </c>
      <c r="O75" s="3">
        <f t="shared" si="14"/>
        <v>577</v>
      </c>
      <c r="P75" s="12">
        <f t="shared" si="14"/>
        <v>114387.50574184001</v>
      </c>
      <c r="R75" s="21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24">
        <f t="shared" si="15"/>
        <v>0</v>
      </c>
      <c r="AY75" s="21">
        <f>Asghar!J75+shahzad!J75+Fahad!J75+Asif!J75+sumair!J75</f>
        <v>0</v>
      </c>
      <c r="AZ75" s="21">
        <f>Asghar!N75+shahzad!N75+Fahad!N75+Asif!N75+sumair!N75</f>
        <v>0</v>
      </c>
      <c r="BA75" s="21">
        <f>Asghar!R75+shahzad!R75+Fahad!R75+Asif!R75+sumair!R75</f>
        <v>0</v>
      </c>
      <c r="BB75" s="21">
        <f>Asghar!V75+shahzad!V75+Fahad!V75+Asif!V75+sumair!V75</f>
        <v>0</v>
      </c>
      <c r="BC75" s="21">
        <f>Asghar!Z75+shahzad!Z75+Fahad!Z75+Asif!Z75+sumair!Z75</f>
        <v>0</v>
      </c>
      <c r="BD75" s="21">
        <f>Asghar!AD75+shahzad!AD75+Fahad!AD75+Asif!AD75+sumair!AD75</f>
        <v>0</v>
      </c>
      <c r="BE75" s="21">
        <f>Asghar!AH75+shahzad!AH75+Fahad!AH75+Asif!AH75+sumair!AH75</f>
        <v>0</v>
      </c>
      <c r="BF75" s="21">
        <f>Asghar!AL75+shahzad!AL75+Fahad!AL75+Asif!AL75+sumair!AL75</f>
        <v>0</v>
      </c>
      <c r="BG75" s="21">
        <f>Asghar!AP75+shahzad!AP75+Fahad!AP75+Asif!AP75+sumair!AP75</f>
        <v>0</v>
      </c>
      <c r="BH75" s="21">
        <f>Asghar!AT75+shahzad!AT75+Fahad!AT75+Asif!AT75+sumair!AT75</f>
        <v>0</v>
      </c>
      <c r="BI75" s="21">
        <f>Asghar!AX75+shahzad!AX75+Fahad!AX75+Asif!AX75+sumair!AX75</f>
        <v>0</v>
      </c>
      <c r="BJ75" s="21">
        <f>Asghar!BB75+shahzad!BB75+Fahad!BB75+Asif!BB75+sumair!BB75</f>
        <v>0</v>
      </c>
      <c r="BK75" s="21">
        <f>Asghar!BF75+shahzad!BF75+Fahad!BF75+Asif!BF75+sumair!BF75</f>
        <v>0</v>
      </c>
      <c r="BL75" s="21">
        <f>Asghar!BJ75+shahzad!BJ75+Fahad!BJ75+Asif!BJ75+sumair!BJ75</f>
        <v>0</v>
      </c>
      <c r="BM75" s="21">
        <f>Asghar!BN75+shahzad!BN75+Fahad!BN75+Asif!BN75+sumair!BN75</f>
        <v>0</v>
      </c>
      <c r="BN75" s="21">
        <f>Asghar!BR75+shahzad!BR75+Fahad!BR75+Asif!BR75+sumair!BR75</f>
        <v>0</v>
      </c>
      <c r="BO75" s="21">
        <f>Asghar!BV75+shahzad!BV75+Fahad!BV75+Asif!BV75+sumair!BV75</f>
        <v>0</v>
      </c>
      <c r="BP75" s="21">
        <f>Asghar!BZ75+shahzad!BZ75+Fahad!BZ75+Asif!BZ75+sumair!BZ75</f>
        <v>0</v>
      </c>
      <c r="BQ75" s="21">
        <f>Asghar!CD75+shahzad!CD75+Fahad!CD75+Asif!CD75+sumair!CD75</f>
        <v>0</v>
      </c>
      <c r="BR75" s="21">
        <f>Asghar!CH75+shahzad!CH75+Fahad!CH75+Asif!CH75+sumair!CH75</f>
        <v>0</v>
      </c>
      <c r="BS75" s="21">
        <f>Asghar!CL75+shahzad!CL75+Fahad!CL75+Asif!CL75+sumair!CL75</f>
        <v>0</v>
      </c>
      <c r="BT75" s="21">
        <f>Asghar!CP75+shahzad!CP75+Fahad!CP75+Asif!CP75+sumair!CP75</f>
        <v>0</v>
      </c>
      <c r="BU75" s="21">
        <f>Asghar!CT75+shahzad!CT75+Fahad!CT75+Asif!CT75+sumair!CT75</f>
        <v>0</v>
      </c>
      <c r="BV75" s="21">
        <f>Asghar!CX75+shahzad!CX75+Fahad!CX75+Asif!CX75+sumair!CX75</f>
        <v>0</v>
      </c>
      <c r="BW75" s="21">
        <f>Asghar!DB75+shahzad!DB75+Fahad!DB75+Asif!DB75+sumair!DB75</f>
        <v>0</v>
      </c>
      <c r="BX75" s="21">
        <f>Asghar!DF75+shahzad!DF75+Fahad!DF75+Asif!DF75+sumair!DF75</f>
        <v>0</v>
      </c>
      <c r="BY75" s="21">
        <f>Asghar!DJ75+shahzad!DJ75+Fahad!DJ75+Asif!DJ75+sumair!DJ75</f>
        <v>0</v>
      </c>
      <c r="BZ75" s="21">
        <f>Asghar!DN75+shahzad!DN75+Fahad!DN75+Asif!DN75+sumair!DN75</f>
        <v>0</v>
      </c>
      <c r="CA75" s="21">
        <f>Asghar!DR75+shahzad!DR75+Fahad!DR75+Asif!DR75+sumair!DR75</f>
        <v>0</v>
      </c>
      <c r="CB75" s="21">
        <f>Asghar!DV75+shahzad!DV75+Fahad!DV75+Asif!DV75+sumair!DV75</f>
        <v>0</v>
      </c>
      <c r="CC75" s="21">
        <f>Asghar!DZ75+shahzad!DZ75+Fahad!DZ75+Asif!DZ75+sumair!DZ75</f>
        <v>0</v>
      </c>
      <c r="CD75" s="54">
        <f t="shared" si="16"/>
        <v>0</v>
      </c>
      <c r="CF75" s="28">
        <f t="shared" si="17"/>
        <v>32.055555555555557</v>
      </c>
      <c r="CG75" s="30">
        <f t="shared" si="18"/>
        <v>0</v>
      </c>
      <c r="CH75" s="41">
        <f t="shared" si="19"/>
        <v>32.055555555555557</v>
      </c>
      <c r="CI75" s="53">
        <f t="shared" si="20"/>
        <v>0</v>
      </c>
      <c r="CJ75" s="42">
        <f t="shared" si="21"/>
        <v>32.055555555555557</v>
      </c>
    </row>
    <row r="76" spans="2:88" ht="12.5" customHeight="1" x14ac:dyDescent="0.35">
      <c r="B76" s="4">
        <v>111232</v>
      </c>
      <c r="C76" s="4" t="s">
        <v>82</v>
      </c>
      <c r="D76" s="4">
        <v>25</v>
      </c>
      <c r="E76" s="5">
        <v>36</v>
      </c>
      <c r="F76" s="6">
        <v>99.122621960000004</v>
      </c>
      <c r="G76" s="7"/>
      <c r="H76" s="13"/>
      <c r="I76" s="8"/>
      <c r="J76" s="13"/>
      <c r="K76" s="3"/>
      <c r="L76" s="9">
        <f t="shared" si="11"/>
        <v>0</v>
      </c>
      <c r="M76" s="10">
        <f t="shared" si="12"/>
        <v>0</v>
      </c>
      <c r="N76" s="11">
        <f t="shared" si="13"/>
        <v>0</v>
      </c>
      <c r="O76" s="3">
        <f t="shared" si="14"/>
        <v>0</v>
      </c>
      <c r="P76" s="12">
        <f t="shared" si="14"/>
        <v>0</v>
      </c>
      <c r="R76" s="21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24">
        <f t="shared" si="15"/>
        <v>0</v>
      </c>
      <c r="AY76" s="21">
        <f>Asghar!J76+shahzad!J76+Fahad!J76+Asif!J76+sumair!J76</f>
        <v>0</v>
      </c>
      <c r="AZ76" s="21">
        <f>Asghar!N76+shahzad!N76+Fahad!N76+Asif!N76+sumair!N76</f>
        <v>0</v>
      </c>
      <c r="BA76" s="21">
        <f>Asghar!R76+shahzad!R76+Fahad!R76+Asif!R76+sumair!R76</f>
        <v>0</v>
      </c>
      <c r="BB76" s="21">
        <f>Asghar!V76+shahzad!V76+Fahad!V76+Asif!V76+sumair!V76</f>
        <v>0</v>
      </c>
      <c r="BC76" s="21">
        <f>Asghar!Z76+shahzad!Z76+Fahad!Z76+Asif!Z76+sumair!Z76</f>
        <v>0</v>
      </c>
      <c r="BD76" s="21">
        <f>Asghar!AD76+shahzad!AD76+Fahad!AD76+Asif!AD76+sumair!AD76</f>
        <v>0</v>
      </c>
      <c r="BE76" s="21">
        <f>Asghar!AH76+shahzad!AH76+Fahad!AH76+Asif!AH76+sumair!AH76</f>
        <v>0</v>
      </c>
      <c r="BF76" s="21">
        <f>Asghar!AL76+shahzad!AL76+Fahad!AL76+Asif!AL76+sumair!AL76</f>
        <v>0</v>
      </c>
      <c r="BG76" s="21">
        <f>Asghar!AP76+shahzad!AP76+Fahad!AP76+Asif!AP76+sumair!AP76</f>
        <v>0</v>
      </c>
      <c r="BH76" s="21">
        <f>Asghar!AT76+shahzad!AT76+Fahad!AT76+Asif!AT76+sumair!AT76</f>
        <v>0</v>
      </c>
      <c r="BI76" s="21">
        <f>Asghar!AX76+shahzad!AX76+Fahad!AX76+Asif!AX76+sumair!AX76</f>
        <v>0</v>
      </c>
      <c r="BJ76" s="21">
        <f>Asghar!BB76+shahzad!BB76+Fahad!BB76+Asif!BB76+sumair!BB76</f>
        <v>0</v>
      </c>
      <c r="BK76" s="21">
        <f>Asghar!BF76+shahzad!BF76+Fahad!BF76+Asif!BF76+sumair!BF76</f>
        <v>0</v>
      </c>
      <c r="BL76" s="21">
        <f>Asghar!BJ76+shahzad!BJ76+Fahad!BJ76+Asif!BJ76+sumair!BJ76</f>
        <v>0</v>
      </c>
      <c r="BM76" s="21">
        <f>Asghar!BN76+shahzad!BN76+Fahad!BN76+Asif!BN76+sumair!BN76</f>
        <v>0</v>
      </c>
      <c r="BN76" s="21">
        <f>Asghar!BR76+shahzad!BR76+Fahad!BR76+Asif!BR76+sumair!BR76</f>
        <v>0</v>
      </c>
      <c r="BO76" s="21">
        <f>Asghar!BV76+shahzad!BV76+Fahad!BV76+Asif!BV76+sumair!BV76</f>
        <v>0</v>
      </c>
      <c r="BP76" s="21">
        <f>Asghar!BZ76+shahzad!BZ76+Fahad!BZ76+Asif!BZ76+sumair!BZ76</f>
        <v>0</v>
      </c>
      <c r="BQ76" s="21">
        <f>Asghar!CD76+shahzad!CD76+Fahad!CD76+Asif!CD76+sumair!CD76</f>
        <v>0</v>
      </c>
      <c r="BR76" s="21">
        <f>Asghar!CH76+shahzad!CH76+Fahad!CH76+Asif!CH76+sumair!CH76</f>
        <v>0</v>
      </c>
      <c r="BS76" s="21">
        <f>Asghar!CL76+shahzad!CL76+Fahad!CL76+Asif!CL76+sumair!CL76</f>
        <v>0</v>
      </c>
      <c r="BT76" s="21">
        <f>Asghar!CP76+shahzad!CP76+Fahad!CP76+Asif!CP76+sumair!CP76</f>
        <v>0</v>
      </c>
      <c r="BU76" s="21">
        <f>Asghar!CT76+shahzad!CT76+Fahad!CT76+Asif!CT76+sumair!CT76</f>
        <v>0</v>
      </c>
      <c r="BV76" s="21">
        <f>Asghar!CX76+shahzad!CX76+Fahad!CX76+Asif!CX76+sumair!CX76</f>
        <v>0</v>
      </c>
      <c r="BW76" s="21">
        <f>Asghar!DB76+shahzad!DB76+Fahad!DB76+Asif!DB76+sumair!DB76</f>
        <v>0</v>
      </c>
      <c r="BX76" s="21">
        <f>Asghar!DF76+shahzad!DF76+Fahad!DF76+Asif!DF76+sumair!DF76</f>
        <v>0</v>
      </c>
      <c r="BY76" s="21">
        <f>Asghar!DJ76+shahzad!DJ76+Fahad!DJ76+Asif!DJ76+sumair!DJ76</f>
        <v>0</v>
      </c>
      <c r="BZ76" s="21">
        <f>Asghar!DN76+shahzad!DN76+Fahad!DN76+Asif!DN76+sumair!DN76</f>
        <v>0</v>
      </c>
      <c r="CA76" s="21">
        <f>Asghar!DR76+shahzad!DR76+Fahad!DR76+Asif!DR76+sumair!DR76</f>
        <v>0</v>
      </c>
      <c r="CB76" s="21">
        <f>Asghar!DV76+shahzad!DV76+Fahad!DV76+Asif!DV76+sumair!DV76</f>
        <v>0</v>
      </c>
      <c r="CC76" s="21">
        <f>Asghar!DZ76+shahzad!DZ76+Fahad!DZ76+Asif!DZ76+sumair!DZ76</f>
        <v>0</v>
      </c>
      <c r="CD76" s="54">
        <f t="shared" si="16"/>
        <v>0</v>
      </c>
      <c r="CF76" s="28">
        <f t="shared" si="17"/>
        <v>0</v>
      </c>
      <c r="CG76" s="30">
        <f t="shared" si="18"/>
        <v>0</v>
      </c>
      <c r="CH76" s="41">
        <f t="shared" si="19"/>
        <v>0</v>
      </c>
      <c r="CI76" s="53">
        <f t="shared" si="20"/>
        <v>0</v>
      </c>
      <c r="CJ76" s="42">
        <f t="shared" si="21"/>
        <v>0</v>
      </c>
    </row>
    <row r="77" spans="2:88" ht="12.5" customHeight="1" x14ac:dyDescent="0.35">
      <c r="B77" s="4">
        <v>111233</v>
      </c>
      <c r="C77" s="4" t="s">
        <v>83</v>
      </c>
      <c r="D77" s="4">
        <v>50</v>
      </c>
      <c r="E77" s="5">
        <v>18</v>
      </c>
      <c r="F77" s="6">
        <v>198.24524392000001</v>
      </c>
      <c r="G77" s="7"/>
      <c r="H77" s="8">
        <f>28+29</f>
        <v>57</v>
      </c>
      <c r="I77" s="13">
        <v>5</v>
      </c>
      <c r="J77" s="13"/>
      <c r="K77" s="3"/>
      <c r="L77" s="9">
        <f t="shared" si="11"/>
        <v>0.27777777777777779</v>
      </c>
      <c r="M77" s="10">
        <f t="shared" si="12"/>
        <v>0.27777777777777779</v>
      </c>
      <c r="N77" s="11">
        <f t="shared" si="13"/>
        <v>57.277777777777779</v>
      </c>
      <c r="O77" s="3">
        <f t="shared" si="14"/>
        <v>1031</v>
      </c>
      <c r="P77" s="12">
        <f t="shared" si="14"/>
        <v>204390.84648152001</v>
      </c>
      <c r="R77" s="21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24">
        <f t="shared" si="15"/>
        <v>0</v>
      </c>
      <c r="AY77" s="21">
        <f>Asghar!J77+shahzad!J77+Fahad!J77+Asif!J77+sumair!J77</f>
        <v>0</v>
      </c>
      <c r="AZ77" s="21">
        <f>Asghar!N77+shahzad!N77+Fahad!N77+Asif!N77+sumair!N77</f>
        <v>0</v>
      </c>
      <c r="BA77" s="21">
        <f>Asghar!R77+shahzad!R77+Fahad!R77+Asif!R77+sumair!R77</f>
        <v>0</v>
      </c>
      <c r="BB77" s="21">
        <f>Asghar!V77+shahzad!V77+Fahad!V77+Asif!V77+sumair!V77</f>
        <v>0</v>
      </c>
      <c r="BC77" s="21">
        <f>Asghar!Z77+shahzad!Z77+Fahad!Z77+Asif!Z77+sumair!Z77</f>
        <v>0</v>
      </c>
      <c r="BD77" s="21">
        <f>Asghar!AD77+shahzad!AD77+Fahad!AD77+Asif!AD77+sumair!AD77</f>
        <v>0</v>
      </c>
      <c r="BE77" s="21">
        <f>Asghar!AH77+shahzad!AH77+Fahad!AH77+Asif!AH77+sumair!AH77</f>
        <v>0</v>
      </c>
      <c r="BF77" s="21">
        <f>Asghar!AL77+shahzad!AL77+Fahad!AL77+Asif!AL77+sumair!AL77</f>
        <v>0</v>
      </c>
      <c r="BG77" s="21">
        <f>Asghar!AP77+shahzad!AP77+Fahad!AP77+Asif!AP77+sumair!AP77</f>
        <v>0</v>
      </c>
      <c r="BH77" s="21">
        <f>Asghar!AT77+shahzad!AT77+Fahad!AT77+Asif!AT77+sumair!AT77</f>
        <v>0</v>
      </c>
      <c r="BI77" s="21">
        <f>Asghar!AX77+shahzad!AX77+Fahad!AX77+Asif!AX77+sumair!AX77</f>
        <v>0</v>
      </c>
      <c r="BJ77" s="21">
        <f>Asghar!BB77+shahzad!BB77+Fahad!BB77+Asif!BB77+sumair!BB77</f>
        <v>0</v>
      </c>
      <c r="BK77" s="21">
        <f>Asghar!BF77+shahzad!BF77+Fahad!BF77+Asif!BF77+sumair!BF77</f>
        <v>0</v>
      </c>
      <c r="BL77" s="21">
        <f>Asghar!BJ77+shahzad!BJ77+Fahad!BJ77+Asif!BJ77+sumair!BJ77</f>
        <v>0</v>
      </c>
      <c r="BM77" s="21">
        <f>Asghar!BN77+shahzad!BN77+Fahad!BN77+Asif!BN77+sumair!BN77</f>
        <v>0</v>
      </c>
      <c r="BN77" s="21">
        <f>Asghar!BR77+shahzad!BR77+Fahad!BR77+Asif!BR77+sumair!BR77</f>
        <v>0</v>
      </c>
      <c r="BO77" s="21">
        <f>Asghar!BV77+shahzad!BV77+Fahad!BV77+Asif!BV77+sumair!BV77</f>
        <v>0</v>
      </c>
      <c r="BP77" s="21">
        <f>Asghar!BZ77+shahzad!BZ77+Fahad!BZ77+Asif!BZ77+sumair!BZ77</f>
        <v>0</v>
      </c>
      <c r="BQ77" s="21">
        <f>Asghar!CD77+shahzad!CD77+Fahad!CD77+Asif!CD77+sumair!CD77</f>
        <v>0</v>
      </c>
      <c r="BR77" s="21">
        <f>Asghar!CH77+shahzad!CH77+Fahad!CH77+Asif!CH77+sumair!CH77</f>
        <v>0</v>
      </c>
      <c r="BS77" s="21">
        <f>Asghar!CL77+shahzad!CL77+Fahad!CL77+Asif!CL77+sumair!CL77</f>
        <v>0</v>
      </c>
      <c r="BT77" s="21">
        <f>Asghar!CP77+shahzad!CP77+Fahad!CP77+Asif!CP77+sumair!CP77</f>
        <v>0</v>
      </c>
      <c r="BU77" s="21">
        <f>Asghar!CT77+shahzad!CT77+Fahad!CT77+Asif!CT77+sumair!CT77</f>
        <v>0</v>
      </c>
      <c r="BV77" s="21">
        <f>Asghar!CX77+shahzad!CX77+Fahad!CX77+Asif!CX77+sumair!CX77</f>
        <v>0</v>
      </c>
      <c r="BW77" s="21">
        <f>Asghar!DB77+shahzad!DB77+Fahad!DB77+Asif!DB77+sumair!DB77</f>
        <v>0</v>
      </c>
      <c r="BX77" s="21">
        <f>Asghar!DF77+shahzad!DF77+Fahad!DF77+Asif!DF77+sumair!DF77</f>
        <v>0</v>
      </c>
      <c r="BY77" s="21">
        <f>Asghar!DJ77+shahzad!DJ77+Fahad!DJ77+Asif!DJ77+sumair!DJ77</f>
        <v>0</v>
      </c>
      <c r="BZ77" s="21">
        <f>Asghar!DN77+shahzad!DN77+Fahad!DN77+Asif!DN77+sumair!DN77</f>
        <v>0</v>
      </c>
      <c r="CA77" s="21">
        <f>Asghar!DR77+shahzad!DR77+Fahad!DR77+Asif!DR77+sumair!DR77</f>
        <v>0</v>
      </c>
      <c r="CB77" s="21">
        <f>Asghar!DV77+shahzad!DV77+Fahad!DV77+Asif!DV77+sumair!DV77</f>
        <v>0</v>
      </c>
      <c r="CC77" s="21">
        <f>Asghar!DZ77+shahzad!DZ77+Fahad!DZ77+Asif!DZ77+sumair!DZ77</f>
        <v>0</v>
      </c>
      <c r="CD77" s="54">
        <f t="shared" si="16"/>
        <v>0</v>
      </c>
      <c r="CF77" s="28">
        <f t="shared" si="17"/>
        <v>57.277777777777779</v>
      </c>
      <c r="CG77" s="30">
        <f t="shared" si="18"/>
        <v>0</v>
      </c>
      <c r="CH77" s="41">
        <f t="shared" si="19"/>
        <v>57.277777777777779</v>
      </c>
      <c r="CI77" s="53">
        <f t="shared" si="20"/>
        <v>0</v>
      </c>
      <c r="CJ77" s="42">
        <f t="shared" si="21"/>
        <v>57.277777777777779</v>
      </c>
    </row>
    <row r="78" spans="2:88" ht="12.5" customHeight="1" x14ac:dyDescent="0.35">
      <c r="B78" s="4">
        <v>111252</v>
      </c>
      <c r="C78" s="4" t="s">
        <v>84</v>
      </c>
      <c r="D78" s="4">
        <v>25</v>
      </c>
      <c r="E78" s="5">
        <v>36</v>
      </c>
      <c r="F78" s="6">
        <v>99.122621960000004</v>
      </c>
      <c r="G78" s="7"/>
      <c r="H78" s="13">
        <v>9</v>
      </c>
      <c r="I78" s="13">
        <v>22</v>
      </c>
      <c r="J78" s="13"/>
      <c r="K78" s="3"/>
      <c r="L78" s="9">
        <f t="shared" si="11"/>
        <v>0.61111111111111116</v>
      </c>
      <c r="M78" s="10">
        <f t="shared" si="12"/>
        <v>0.61111111111111116</v>
      </c>
      <c r="N78" s="11">
        <f t="shared" si="13"/>
        <v>9.6111111111111107</v>
      </c>
      <c r="O78" s="3">
        <f t="shared" si="14"/>
        <v>346</v>
      </c>
      <c r="P78" s="12">
        <f t="shared" si="14"/>
        <v>34296.427198160003</v>
      </c>
      <c r="R78" s="21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24">
        <f t="shared" si="15"/>
        <v>0</v>
      </c>
      <c r="AY78" s="21">
        <f>Asghar!J78+shahzad!J78+Fahad!J78+Asif!J78+sumair!J78</f>
        <v>0</v>
      </c>
      <c r="AZ78" s="21">
        <f>Asghar!N78+shahzad!N78+Fahad!N78+Asif!N78+sumair!N78</f>
        <v>0</v>
      </c>
      <c r="BA78" s="21">
        <f>Asghar!R78+shahzad!R78+Fahad!R78+Asif!R78+sumair!R78</f>
        <v>0</v>
      </c>
      <c r="BB78" s="21">
        <f>Asghar!V78+shahzad!V78+Fahad!V78+Asif!V78+sumair!V78</f>
        <v>0</v>
      </c>
      <c r="BC78" s="21">
        <f>Asghar!Z78+shahzad!Z78+Fahad!Z78+Asif!Z78+sumair!Z78</f>
        <v>0</v>
      </c>
      <c r="BD78" s="21">
        <f>Asghar!AD78+shahzad!AD78+Fahad!AD78+Asif!AD78+sumair!AD78</f>
        <v>0</v>
      </c>
      <c r="BE78" s="21">
        <f>Asghar!AH78+shahzad!AH78+Fahad!AH78+Asif!AH78+sumair!AH78</f>
        <v>0</v>
      </c>
      <c r="BF78" s="21">
        <f>Asghar!AL78+shahzad!AL78+Fahad!AL78+Asif!AL78+sumair!AL78</f>
        <v>0</v>
      </c>
      <c r="BG78" s="21">
        <f>Asghar!AP78+shahzad!AP78+Fahad!AP78+Asif!AP78+sumair!AP78</f>
        <v>0</v>
      </c>
      <c r="BH78" s="21">
        <f>Asghar!AT78+shahzad!AT78+Fahad!AT78+Asif!AT78+sumair!AT78</f>
        <v>0</v>
      </c>
      <c r="BI78" s="21">
        <f>Asghar!AX78+shahzad!AX78+Fahad!AX78+Asif!AX78+sumair!AX78</f>
        <v>0</v>
      </c>
      <c r="BJ78" s="21">
        <f>Asghar!BB78+shahzad!BB78+Fahad!BB78+Asif!BB78+sumair!BB78</f>
        <v>0</v>
      </c>
      <c r="BK78" s="21">
        <f>Asghar!BF78+shahzad!BF78+Fahad!BF78+Asif!BF78+sumair!BF78</f>
        <v>0</v>
      </c>
      <c r="BL78" s="21">
        <f>Asghar!BJ78+shahzad!BJ78+Fahad!BJ78+Asif!BJ78+sumair!BJ78</f>
        <v>0</v>
      </c>
      <c r="BM78" s="21">
        <f>Asghar!BN78+shahzad!BN78+Fahad!BN78+Asif!BN78+sumair!BN78</f>
        <v>0</v>
      </c>
      <c r="BN78" s="21">
        <f>Asghar!BR78+shahzad!BR78+Fahad!BR78+Asif!BR78+sumair!BR78</f>
        <v>0</v>
      </c>
      <c r="BO78" s="21">
        <f>Asghar!BV78+shahzad!BV78+Fahad!BV78+Asif!BV78+sumair!BV78</f>
        <v>0</v>
      </c>
      <c r="BP78" s="21">
        <f>Asghar!BZ78+shahzad!BZ78+Fahad!BZ78+Asif!BZ78+sumair!BZ78</f>
        <v>0</v>
      </c>
      <c r="BQ78" s="21">
        <f>Asghar!CD78+shahzad!CD78+Fahad!CD78+Asif!CD78+sumair!CD78</f>
        <v>0</v>
      </c>
      <c r="BR78" s="21">
        <f>Asghar!CH78+shahzad!CH78+Fahad!CH78+Asif!CH78+sumair!CH78</f>
        <v>0</v>
      </c>
      <c r="BS78" s="21">
        <f>Asghar!CL78+shahzad!CL78+Fahad!CL78+Asif!CL78+sumair!CL78</f>
        <v>0</v>
      </c>
      <c r="BT78" s="21">
        <f>Asghar!CP78+shahzad!CP78+Fahad!CP78+Asif!CP78+sumair!CP78</f>
        <v>0</v>
      </c>
      <c r="BU78" s="21">
        <f>Asghar!CT78+shahzad!CT78+Fahad!CT78+Asif!CT78+sumair!CT78</f>
        <v>0</v>
      </c>
      <c r="BV78" s="21">
        <f>Asghar!CX78+shahzad!CX78+Fahad!CX78+Asif!CX78+sumair!CX78</f>
        <v>0</v>
      </c>
      <c r="BW78" s="21">
        <f>Asghar!DB78+shahzad!DB78+Fahad!DB78+Asif!DB78+sumair!DB78</f>
        <v>0</v>
      </c>
      <c r="BX78" s="21">
        <f>Asghar!DF78+shahzad!DF78+Fahad!DF78+Asif!DF78+sumair!DF78</f>
        <v>0</v>
      </c>
      <c r="BY78" s="21">
        <f>Asghar!DJ78+shahzad!DJ78+Fahad!DJ78+Asif!DJ78+sumair!DJ78</f>
        <v>0</v>
      </c>
      <c r="BZ78" s="21">
        <f>Asghar!DN78+shahzad!DN78+Fahad!DN78+Asif!DN78+sumair!DN78</f>
        <v>0</v>
      </c>
      <c r="CA78" s="21">
        <f>Asghar!DR78+shahzad!DR78+Fahad!DR78+Asif!DR78+sumair!DR78</f>
        <v>0</v>
      </c>
      <c r="CB78" s="21">
        <f>Asghar!DV78+shahzad!DV78+Fahad!DV78+Asif!DV78+sumair!DV78</f>
        <v>0</v>
      </c>
      <c r="CC78" s="21">
        <f>Asghar!DZ78+shahzad!DZ78+Fahad!DZ78+Asif!DZ78+sumair!DZ78</f>
        <v>0</v>
      </c>
      <c r="CD78" s="54">
        <f t="shared" si="16"/>
        <v>0</v>
      </c>
      <c r="CF78" s="28">
        <f t="shared" si="17"/>
        <v>9.6111111111111107</v>
      </c>
      <c r="CG78" s="30">
        <f t="shared" si="18"/>
        <v>0</v>
      </c>
      <c r="CH78" s="41">
        <f t="shared" si="19"/>
        <v>9.6111111111111107</v>
      </c>
      <c r="CI78" s="53">
        <f t="shared" si="20"/>
        <v>0</v>
      </c>
      <c r="CJ78" s="42">
        <f t="shared" si="21"/>
        <v>9.6111111111111107</v>
      </c>
    </row>
    <row r="79" spans="2:88" ht="12.5" customHeight="1" x14ac:dyDescent="0.35">
      <c r="B79" s="4">
        <v>111254</v>
      </c>
      <c r="C79" s="4" t="s">
        <v>85</v>
      </c>
      <c r="D79" s="4">
        <v>50</v>
      </c>
      <c r="E79" s="5">
        <v>18</v>
      </c>
      <c r="F79" s="6">
        <v>198.24524392000001</v>
      </c>
      <c r="G79" s="7"/>
      <c r="H79" s="8"/>
      <c r="I79" s="13"/>
      <c r="J79" s="13"/>
      <c r="K79" s="3"/>
      <c r="L79" s="9">
        <f t="shared" si="11"/>
        <v>0</v>
      </c>
      <c r="M79" s="10">
        <f t="shared" si="12"/>
        <v>0</v>
      </c>
      <c r="N79" s="11">
        <f t="shared" si="13"/>
        <v>0</v>
      </c>
      <c r="O79" s="3">
        <f t="shared" si="14"/>
        <v>0</v>
      </c>
      <c r="P79" s="12">
        <f t="shared" si="14"/>
        <v>0</v>
      </c>
      <c r="R79" s="21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24">
        <f t="shared" si="15"/>
        <v>0</v>
      </c>
      <c r="AY79" s="21">
        <f>Asghar!J79+shahzad!J79+Fahad!J79+Asif!J79+sumair!J79</f>
        <v>0</v>
      </c>
      <c r="AZ79" s="21">
        <f>Asghar!N79+shahzad!N79+Fahad!N79+Asif!N79+sumair!N79</f>
        <v>0</v>
      </c>
      <c r="BA79" s="21">
        <f>Asghar!R79+shahzad!R79+Fahad!R79+Asif!R79+sumair!R79</f>
        <v>0</v>
      </c>
      <c r="BB79" s="21">
        <f>Asghar!V79+shahzad!V79+Fahad!V79+Asif!V79+sumair!V79</f>
        <v>0</v>
      </c>
      <c r="BC79" s="21">
        <f>Asghar!Z79+shahzad!Z79+Fahad!Z79+Asif!Z79+sumair!Z79</f>
        <v>0</v>
      </c>
      <c r="BD79" s="21">
        <f>Asghar!AD79+shahzad!AD79+Fahad!AD79+Asif!AD79+sumair!AD79</f>
        <v>0</v>
      </c>
      <c r="BE79" s="21">
        <f>Asghar!AH79+shahzad!AH79+Fahad!AH79+Asif!AH79+sumair!AH79</f>
        <v>0</v>
      </c>
      <c r="BF79" s="21">
        <f>Asghar!AL79+shahzad!AL79+Fahad!AL79+Asif!AL79+sumair!AL79</f>
        <v>0</v>
      </c>
      <c r="BG79" s="21">
        <f>Asghar!AP79+shahzad!AP79+Fahad!AP79+Asif!AP79+sumair!AP79</f>
        <v>0</v>
      </c>
      <c r="BH79" s="21">
        <f>Asghar!AT79+shahzad!AT79+Fahad!AT79+Asif!AT79+sumair!AT79</f>
        <v>0</v>
      </c>
      <c r="BI79" s="21">
        <f>Asghar!AX79+shahzad!AX79+Fahad!AX79+Asif!AX79+sumair!AX79</f>
        <v>0</v>
      </c>
      <c r="BJ79" s="21">
        <f>Asghar!BB79+shahzad!BB79+Fahad!BB79+Asif!BB79+sumair!BB79</f>
        <v>0</v>
      </c>
      <c r="BK79" s="21">
        <f>Asghar!BF79+shahzad!BF79+Fahad!BF79+Asif!BF79+sumair!BF79</f>
        <v>0</v>
      </c>
      <c r="BL79" s="21">
        <f>Asghar!BJ79+shahzad!BJ79+Fahad!BJ79+Asif!BJ79+sumair!BJ79</f>
        <v>0</v>
      </c>
      <c r="BM79" s="21">
        <f>Asghar!BN79+shahzad!BN79+Fahad!BN79+Asif!BN79+sumair!BN79</f>
        <v>0</v>
      </c>
      <c r="BN79" s="21">
        <f>Asghar!BR79+shahzad!BR79+Fahad!BR79+Asif!BR79+sumair!BR79</f>
        <v>0</v>
      </c>
      <c r="BO79" s="21">
        <f>Asghar!BV79+shahzad!BV79+Fahad!BV79+Asif!BV79+sumair!BV79</f>
        <v>0</v>
      </c>
      <c r="BP79" s="21">
        <f>Asghar!BZ79+shahzad!BZ79+Fahad!BZ79+Asif!BZ79+sumair!BZ79</f>
        <v>0</v>
      </c>
      <c r="BQ79" s="21">
        <f>Asghar!CD79+shahzad!CD79+Fahad!CD79+Asif!CD79+sumair!CD79</f>
        <v>0</v>
      </c>
      <c r="BR79" s="21">
        <f>Asghar!CH79+shahzad!CH79+Fahad!CH79+Asif!CH79+sumair!CH79</f>
        <v>0</v>
      </c>
      <c r="BS79" s="21">
        <f>Asghar!CL79+shahzad!CL79+Fahad!CL79+Asif!CL79+sumair!CL79</f>
        <v>0</v>
      </c>
      <c r="BT79" s="21">
        <f>Asghar!CP79+shahzad!CP79+Fahad!CP79+Asif!CP79+sumair!CP79</f>
        <v>0</v>
      </c>
      <c r="BU79" s="21">
        <f>Asghar!CT79+shahzad!CT79+Fahad!CT79+Asif!CT79+sumair!CT79</f>
        <v>0</v>
      </c>
      <c r="BV79" s="21">
        <f>Asghar!CX79+shahzad!CX79+Fahad!CX79+Asif!CX79+sumair!CX79</f>
        <v>0</v>
      </c>
      <c r="BW79" s="21">
        <f>Asghar!DB79+shahzad!DB79+Fahad!DB79+Asif!DB79+sumair!DB79</f>
        <v>0</v>
      </c>
      <c r="BX79" s="21">
        <f>Asghar!DF79+shahzad!DF79+Fahad!DF79+Asif!DF79+sumair!DF79</f>
        <v>0</v>
      </c>
      <c r="BY79" s="21">
        <f>Asghar!DJ79+shahzad!DJ79+Fahad!DJ79+Asif!DJ79+sumair!DJ79</f>
        <v>0</v>
      </c>
      <c r="BZ79" s="21">
        <f>Asghar!DN79+shahzad!DN79+Fahad!DN79+Asif!DN79+sumair!DN79</f>
        <v>0</v>
      </c>
      <c r="CA79" s="21">
        <f>Asghar!DR79+shahzad!DR79+Fahad!DR79+Asif!DR79+sumair!DR79</f>
        <v>0</v>
      </c>
      <c r="CB79" s="21">
        <f>Asghar!DV79+shahzad!DV79+Fahad!DV79+Asif!DV79+sumair!DV79</f>
        <v>0</v>
      </c>
      <c r="CC79" s="21">
        <f>Asghar!DZ79+shahzad!DZ79+Fahad!DZ79+Asif!DZ79+sumair!DZ79</f>
        <v>0</v>
      </c>
      <c r="CD79" s="54">
        <f t="shared" si="16"/>
        <v>0</v>
      </c>
      <c r="CF79" s="28">
        <f t="shared" si="17"/>
        <v>0</v>
      </c>
      <c r="CG79" s="30">
        <f t="shared" si="18"/>
        <v>0</v>
      </c>
      <c r="CH79" s="41">
        <f t="shared" si="19"/>
        <v>0</v>
      </c>
      <c r="CI79" s="53">
        <f t="shared" si="20"/>
        <v>0</v>
      </c>
      <c r="CJ79" s="42">
        <f t="shared" si="21"/>
        <v>0</v>
      </c>
    </row>
    <row r="80" spans="2:88" ht="12.5" customHeight="1" x14ac:dyDescent="0.35">
      <c r="B80" s="4">
        <v>101018</v>
      </c>
      <c r="C80" s="4" t="s">
        <v>86</v>
      </c>
      <c r="D80" s="4">
        <v>24</v>
      </c>
      <c r="E80" s="5">
        <v>24</v>
      </c>
      <c r="F80" s="6">
        <v>189.29879107400001</v>
      </c>
      <c r="G80" s="1"/>
      <c r="H80" s="13"/>
      <c r="I80" s="13"/>
      <c r="J80" s="13"/>
      <c r="K80" s="3"/>
      <c r="L80" s="9">
        <f t="shared" si="11"/>
        <v>0</v>
      </c>
      <c r="M80" s="10">
        <f t="shared" si="12"/>
        <v>0</v>
      </c>
      <c r="N80" s="11">
        <f t="shared" si="13"/>
        <v>0</v>
      </c>
      <c r="O80" s="3">
        <f t="shared" si="14"/>
        <v>0</v>
      </c>
      <c r="P80" s="12">
        <f t="shared" si="14"/>
        <v>0</v>
      </c>
      <c r="R80" s="21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24">
        <f t="shared" si="15"/>
        <v>0</v>
      </c>
      <c r="AY80" s="21">
        <f>Asghar!J80+shahzad!J80+Fahad!J80+Asif!J80+sumair!J80</f>
        <v>0</v>
      </c>
      <c r="AZ80" s="21">
        <f>Asghar!N80+shahzad!N80+Fahad!N80+Asif!N80+sumair!N80</f>
        <v>0</v>
      </c>
      <c r="BA80" s="21">
        <f>Asghar!R80+shahzad!R80+Fahad!R80+Asif!R80+sumair!R80</f>
        <v>0</v>
      </c>
      <c r="BB80" s="21">
        <f>Asghar!V80+shahzad!V80+Fahad!V80+Asif!V80+sumair!V80</f>
        <v>0</v>
      </c>
      <c r="BC80" s="21">
        <f>Asghar!Z80+shahzad!Z80+Fahad!Z80+Asif!Z80+sumair!Z80</f>
        <v>0</v>
      </c>
      <c r="BD80" s="21">
        <f>Asghar!AD80+shahzad!AD80+Fahad!AD80+Asif!AD80+sumair!AD80</f>
        <v>0</v>
      </c>
      <c r="BE80" s="21">
        <f>Asghar!AH80+shahzad!AH80+Fahad!AH80+Asif!AH80+sumair!AH80</f>
        <v>0</v>
      </c>
      <c r="BF80" s="21">
        <f>Asghar!AL80+shahzad!AL80+Fahad!AL80+Asif!AL80+sumair!AL80</f>
        <v>0</v>
      </c>
      <c r="BG80" s="21">
        <f>Asghar!AP80+shahzad!AP80+Fahad!AP80+Asif!AP80+sumair!AP80</f>
        <v>0</v>
      </c>
      <c r="BH80" s="21">
        <f>Asghar!AT80+shahzad!AT80+Fahad!AT80+Asif!AT80+sumair!AT80</f>
        <v>0</v>
      </c>
      <c r="BI80" s="21">
        <f>Asghar!AX80+shahzad!AX80+Fahad!AX80+Asif!AX80+sumair!AX80</f>
        <v>0</v>
      </c>
      <c r="BJ80" s="21">
        <f>Asghar!BB80+shahzad!BB80+Fahad!BB80+Asif!BB80+sumair!BB80</f>
        <v>0</v>
      </c>
      <c r="BK80" s="21">
        <f>Asghar!BF80+shahzad!BF80+Fahad!BF80+Asif!BF80+sumair!BF80</f>
        <v>0</v>
      </c>
      <c r="BL80" s="21">
        <f>Asghar!BJ80+shahzad!BJ80+Fahad!BJ80+Asif!BJ80+sumair!BJ80</f>
        <v>0</v>
      </c>
      <c r="BM80" s="21">
        <f>Asghar!BN80+shahzad!BN80+Fahad!BN80+Asif!BN80+sumair!BN80</f>
        <v>0</v>
      </c>
      <c r="BN80" s="21">
        <f>Asghar!BR80+shahzad!BR80+Fahad!BR80+Asif!BR80+sumair!BR80</f>
        <v>0</v>
      </c>
      <c r="BO80" s="21">
        <f>Asghar!BV80+shahzad!BV80+Fahad!BV80+Asif!BV80+sumair!BV80</f>
        <v>0</v>
      </c>
      <c r="BP80" s="21">
        <f>Asghar!BZ80+shahzad!BZ80+Fahad!BZ80+Asif!BZ80+sumair!BZ80</f>
        <v>0</v>
      </c>
      <c r="BQ80" s="21">
        <f>Asghar!CD80+shahzad!CD80+Fahad!CD80+Asif!CD80+sumair!CD80</f>
        <v>0</v>
      </c>
      <c r="BR80" s="21">
        <f>Asghar!CH80+shahzad!CH80+Fahad!CH80+Asif!CH80+sumair!CH80</f>
        <v>0</v>
      </c>
      <c r="BS80" s="21">
        <f>Asghar!CL80+shahzad!CL80+Fahad!CL80+Asif!CL80+sumair!CL80</f>
        <v>0</v>
      </c>
      <c r="BT80" s="21">
        <f>Asghar!CP80+shahzad!CP80+Fahad!CP80+Asif!CP80+sumair!CP80</f>
        <v>0</v>
      </c>
      <c r="BU80" s="21">
        <f>Asghar!CT80+shahzad!CT80+Fahad!CT80+Asif!CT80+sumair!CT80</f>
        <v>0</v>
      </c>
      <c r="BV80" s="21">
        <f>Asghar!CX80+shahzad!CX80+Fahad!CX80+Asif!CX80+sumair!CX80</f>
        <v>0</v>
      </c>
      <c r="BW80" s="21">
        <f>Asghar!DB80+shahzad!DB80+Fahad!DB80+Asif!DB80+sumair!DB80</f>
        <v>0</v>
      </c>
      <c r="BX80" s="21">
        <f>Asghar!DF80+shahzad!DF80+Fahad!DF80+Asif!DF80+sumair!DF80</f>
        <v>0</v>
      </c>
      <c r="BY80" s="21">
        <f>Asghar!DJ80+shahzad!DJ80+Fahad!DJ80+Asif!DJ80+sumair!DJ80</f>
        <v>0</v>
      </c>
      <c r="BZ80" s="21">
        <f>Asghar!DN80+shahzad!DN80+Fahad!DN80+Asif!DN80+sumair!DN80</f>
        <v>0</v>
      </c>
      <c r="CA80" s="21">
        <f>Asghar!DR80+shahzad!DR80+Fahad!DR80+Asif!DR80+sumair!DR80</f>
        <v>0</v>
      </c>
      <c r="CB80" s="21">
        <f>Asghar!DV80+shahzad!DV80+Fahad!DV80+Asif!DV80+sumair!DV80</f>
        <v>0</v>
      </c>
      <c r="CC80" s="21">
        <f>Asghar!DZ80+shahzad!DZ80+Fahad!DZ80+Asif!DZ80+sumair!DZ80</f>
        <v>0</v>
      </c>
      <c r="CD80" s="54">
        <f t="shared" si="16"/>
        <v>0</v>
      </c>
      <c r="CF80" s="28">
        <f t="shared" si="17"/>
        <v>0</v>
      </c>
      <c r="CG80" s="30">
        <f t="shared" si="18"/>
        <v>0</v>
      </c>
      <c r="CH80" s="41">
        <f t="shared" si="19"/>
        <v>0</v>
      </c>
      <c r="CI80" s="53">
        <f t="shared" si="20"/>
        <v>0</v>
      </c>
      <c r="CJ80" s="42">
        <f t="shared" si="21"/>
        <v>0</v>
      </c>
    </row>
    <row r="81" spans="2:88" ht="12.5" customHeight="1" x14ac:dyDescent="0.35">
      <c r="B81" s="4">
        <v>101030</v>
      </c>
      <c r="C81" s="4" t="s">
        <v>87</v>
      </c>
      <c r="D81" s="4">
        <v>24</v>
      </c>
      <c r="E81" s="5">
        <v>24</v>
      </c>
      <c r="F81" s="6">
        <v>192.453575</v>
      </c>
      <c r="G81" s="1"/>
      <c r="H81" s="13">
        <v>23</v>
      </c>
      <c r="I81" s="13">
        <v>13</v>
      </c>
      <c r="J81" s="13"/>
      <c r="K81" s="3"/>
      <c r="L81" s="9">
        <f t="shared" si="11"/>
        <v>0.54166666666666663</v>
      </c>
      <c r="M81" s="10">
        <f t="shared" si="12"/>
        <v>0.54166666666666663</v>
      </c>
      <c r="N81" s="11">
        <f t="shared" si="13"/>
        <v>23.541666666666668</v>
      </c>
      <c r="O81" s="3">
        <f t="shared" si="14"/>
        <v>565</v>
      </c>
      <c r="P81" s="12">
        <f t="shared" si="14"/>
        <v>108736.269875</v>
      </c>
      <c r="R81" s="21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24">
        <f t="shared" si="15"/>
        <v>0</v>
      </c>
      <c r="AY81" s="21">
        <f>Asghar!J81+shahzad!J81+Fahad!J81+Asif!J81+sumair!J81</f>
        <v>0</v>
      </c>
      <c r="AZ81" s="21">
        <f>Asghar!N81+shahzad!N81+Fahad!N81+Asif!N81+sumair!N81</f>
        <v>0</v>
      </c>
      <c r="BA81" s="21">
        <f>Asghar!R81+shahzad!R81+Fahad!R81+Asif!R81+sumair!R81</f>
        <v>0</v>
      </c>
      <c r="BB81" s="21">
        <f>Asghar!V81+shahzad!V81+Fahad!V81+Asif!V81+sumair!V81</f>
        <v>0</v>
      </c>
      <c r="BC81" s="21">
        <f>Asghar!Z81+shahzad!Z81+Fahad!Z81+Asif!Z81+sumair!Z81</f>
        <v>0</v>
      </c>
      <c r="BD81" s="21">
        <f>Asghar!AD81+shahzad!AD81+Fahad!AD81+Asif!AD81+sumair!AD81</f>
        <v>0</v>
      </c>
      <c r="BE81" s="21">
        <f>Asghar!AH81+shahzad!AH81+Fahad!AH81+Asif!AH81+sumair!AH81</f>
        <v>0</v>
      </c>
      <c r="BF81" s="21">
        <f>Asghar!AL81+shahzad!AL81+Fahad!AL81+Asif!AL81+sumair!AL81</f>
        <v>0</v>
      </c>
      <c r="BG81" s="21">
        <f>Asghar!AP81+shahzad!AP81+Fahad!AP81+Asif!AP81+sumair!AP81</f>
        <v>0</v>
      </c>
      <c r="BH81" s="21">
        <f>Asghar!AT81+shahzad!AT81+Fahad!AT81+Asif!AT81+sumair!AT81</f>
        <v>0</v>
      </c>
      <c r="BI81" s="21">
        <f>Asghar!AX81+shahzad!AX81+Fahad!AX81+Asif!AX81+sumair!AX81</f>
        <v>0</v>
      </c>
      <c r="BJ81" s="21">
        <f>Asghar!BB81+shahzad!BB81+Fahad!BB81+Asif!BB81+sumair!BB81</f>
        <v>0</v>
      </c>
      <c r="BK81" s="21">
        <f>Asghar!BF81+shahzad!BF81+Fahad!BF81+Asif!BF81+sumair!BF81</f>
        <v>0</v>
      </c>
      <c r="BL81" s="21">
        <f>Asghar!BJ81+shahzad!BJ81+Fahad!BJ81+Asif!BJ81+sumair!BJ81</f>
        <v>0</v>
      </c>
      <c r="BM81" s="21">
        <f>Asghar!BN81+shahzad!BN81+Fahad!BN81+Asif!BN81+sumair!BN81</f>
        <v>0</v>
      </c>
      <c r="BN81" s="21">
        <f>Asghar!BR81+shahzad!BR81+Fahad!BR81+Asif!BR81+sumair!BR81</f>
        <v>0</v>
      </c>
      <c r="BO81" s="21">
        <f>Asghar!BV81+shahzad!BV81+Fahad!BV81+Asif!BV81+sumair!BV81</f>
        <v>0</v>
      </c>
      <c r="BP81" s="21">
        <f>Asghar!BZ81+shahzad!BZ81+Fahad!BZ81+Asif!BZ81+sumair!BZ81</f>
        <v>0</v>
      </c>
      <c r="BQ81" s="21">
        <f>Asghar!CD81+shahzad!CD81+Fahad!CD81+Asif!CD81+sumair!CD81</f>
        <v>0</v>
      </c>
      <c r="BR81" s="21">
        <f>Asghar!CH81+shahzad!CH81+Fahad!CH81+Asif!CH81+sumair!CH81</f>
        <v>0</v>
      </c>
      <c r="BS81" s="21">
        <f>Asghar!CL81+shahzad!CL81+Fahad!CL81+Asif!CL81+sumair!CL81</f>
        <v>0</v>
      </c>
      <c r="BT81" s="21">
        <f>Asghar!CP81+shahzad!CP81+Fahad!CP81+Asif!CP81+sumair!CP81</f>
        <v>0</v>
      </c>
      <c r="BU81" s="21">
        <f>Asghar!CT81+shahzad!CT81+Fahad!CT81+Asif!CT81+sumair!CT81</f>
        <v>0</v>
      </c>
      <c r="BV81" s="21">
        <f>Asghar!CX81+shahzad!CX81+Fahad!CX81+Asif!CX81+sumair!CX81</f>
        <v>0</v>
      </c>
      <c r="BW81" s="21">
        <f>Asghar!DB81+shahzad!DB81+Fahad!DB81+Asif!DB81+sumair!DB81</f>
        <v>0</v>
      </c>
      <c r="BX81" s="21">
        <f>Asghar!DF81+shahzad!DF81+Fahad!DF81+Asif!DF81+sumair!DF81</f>
        <v>0</v>
      </c>
      <c r="BY81" s="21">
        <f>Asghar!DJ81+shahzad!DJ81+Fahad!DJ81+Asif!DJ81+sumair!DJ81</f>
        <v>0</v>
      </c>
      <c r="BZ81" s="21">
        <f>Asghar!DN81+shahzad!DN81+Fahad!DN81+Asif!DN81+sumair!DN81</f>
        <v>0</v>
      </c>
      <c r="CA81" s="21">
        <f>Asghar!DR81+shahzad!DR81+Fahad!DR81+Asif!DR81+sumair!DR81</f>
        <v>0</v>
      </c>
      <c r="CB81" s="21">
        <f>Asghar!DV81+shahzad!DV81+Fahad!DV81+Asif!DV81+sumair!DV81</f>
        <v>0</v>
      </c>
      <c r="CC81" s="21">
        <f>Asghar!DZ81+shahzad!DZ81+Fahad!DZ81+Asif!DZ81+sumair!DZ81</f>
        <v>0</v>
      </c>
      <c r="CD81" s="54">
        <f t="shared" si="16"/>
        <v>0</v>
      </c>
      <c r="CF81" s="28">
        <f t="shared" si="17"/>
        <v>23.541666666666668</v>
      </c>
      <c r="CG81" s="30">
        <f t="shared" si="18"/>
        <v>0</v>
      </c>
      <c r="CH81" s="41">
        <f t="shared" si="19"/>
        <v>23.541666666666668</v>
      </c>
      <c r="CI81" s="53">
        <f t="shared" si="20"/>
        <v>0</v>
      </c>
      <c r="CJ81" s="42">
        <f t="shared" si="21"/>
        <v>23.541666666666668</v>
      </c>
    </row>
    <row r="82" spans="2:88" ht="12.5" customHeight="1" x14ac:dyDescent="0.35">
      <c r="B82" s="4">
        <v>101059</v>
      </c>
      <c r="C82" s="4" t="s">
        <v>88</v>
      </c>
      <c r="D82" s="4">
        <v>18</v>
      </c>
      <c r="E82" s="5">
        <v>18</v>
      </c>
      <c r="F82" s="6">
        <v>189.29879107400001</v>
      </c>
      <c r="G82" s="1"/>
      <c r="H82" s="13"/>
      <c r="I82" s="13"/>
      <c r="J82" s="13"/>
      <c r="K82" s="3"/>
      <c r="L82" s="9">
        <f t="shared" si="11"/>
        <v>0</v>
      </c>
      <c r="M82" s="10">
        <f t="shared" si="12"/>
        <v>0</v>
      </c>
      <c r="N82" s="11">
        <f t="shared" si="13"/>
        <v>0</v>
      </c>
      <c r="O82" s="3">
        <f t="shared" si="14"/>
        <v>0</v>
      </c>
      <c r="P82" s="12">
        <f t="shared" si="14"/>
        <v>0</v>
      </c>
      <c r="R82" s="21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24">
        <f t="shared" si="15"/>
        <v>0</v>
      </c>
      <c r="AY82" s="21">
        <f>Asghar!J82+shahzad!J82+Fahad!J82+Asif!J82+sumair!J82</f>
        <v>0</v>
      </c>
      <c r="AZ82" s="21">
        <f>Asghar!N82+shahzad!N82+Fahad!N82+Asif!N82+sumair!N82</f>
        <v>0</v>
      </c>
      <c r="BA82" s="21">
        <f>Asghar!R82+shahzad!R82+Fahad!R82+Asif!R82+sumair!R82</f>
        <v>0</v>
      </c>
      <c r="BB82" s="21">
        <f>Asghar!V82+shahzad!V82+Fahad!V82+Asif!V82+sumair!V82</f>
        <v>0</v>
      </c>
      <c r="BC82" s="21">
        <f>Asghar!Z82+shahzad!Z82+Fahad!Z82+Asif!Z82+sumair!Z82</f>
        <v>0</v>
      </c>
      <c r="BD82" s="21">
        <f>Asghar!AD82+shahzad!AD82+Fahad!AD82+Asif!AD82+sumair!AD82</f>
        <v>0</v>
      </c>
      <c r="BE82" s="21">
        <f>Asghar!AH82+shahzad!AH82+Fahad!AH82+Asif!AH82+sumair!AH82</f>
        <v>0</v>
      </c>
      <c r="BF82" s="21">
        <f>Asghar!AL82+shahzad!AL82+Fahad!AL82+Asif!AL82+sumair!AL82</f>
        <v>0</v>
      </c>
      <c r="BG82" s="21">
        <f>Asghar!AP82+shahzad!AP82+Fahad!AP82+Asif!AP82+sumair!AP82</f>
        <v>0</v>
      </c>
      <c r="BH82" s="21">
        <f>Asghar!AT82+shahzad!AT82+Fahad!AT82+Asif!AT82+sumair!AT82</f>
        <v>0</v>
      </c>
      <c r="BI82" s="21">
        <f>Asghar!AX82+shahzad!AX82+Fahad!AX82+Asif!AX82+sumair!AX82</f>
        <v>0</v>
      </c>
      <c r="BJ82" s="21">
        <f>Asghar!BB82+shahzad!BB82+Fahad!BB82+Asif!BB82+sumair!BB82</f>
        <v>0</v>
      </c>
      <c r="BK82" s="21">
        <f>Asghar!BF82+shahzad!BF82+Fahad!BF82+Asif!BF82+sumair!BF82</f>
        <v>0</v>
      </c>
      <c r="BL82" s="21">
        <f>Asghar!BJ82+shahzad!BJ82+Fahad!BJ82+Asif!BJ82+sumair!BJ82</f>
        <v>0</v>
      </c>
      <c r="BM82" s="21">
        <f>Asghar!BN82+shahzad!BN82+Fahad!BN82+Asif!BN82+sumair!BN82</f>
        <v>0</v>
      </c>
      <c r="BN82" s="21">
        <f>Asghar!BR82+shahzad!BR82+Fahad!BR82+Asif!BR82+sumair!BR82</f>
        <v>0</v>
      </c>
      <c r="BO82" s="21">
        <f>Asghar!BV82+shahzad!BV82+Fahad!BV82+Asif!BV82+sumair!BV82</f>
        <v>0</v>
      </c>
      <c r="BP82" s="21">
        <f>Asghar!BZ82+shahzad!BZ82+Fahad!BZ82+Asif!BZ82+sumair!BZ82</f>
        <v>0</v>
      </c>
      <c r="BQ82" s="21">
        <f>Asghar!CD82+shahzad!CD82+Fahad!CD82+Asif!CD82+sumair!CD82</f>
        <v>0</v>
      </c>
      <c r="BR82" s="21">
        <f>Asghar!CH82+shahzad!CH82+Fahad!CH82+Asif!CH82+sumair!CH82</f>
        <v>0</v>
      </c>
      <c r="BS82" s="21">
        <f>Asghar!CL82+shahzad!CL82+Fahad!CL82+Asif!CL82+sumair!CL82</f>
        <v>0</v>
      </c>
      <c r="BT82" s="21">
        <f>Asghar!CP82+shahzad!CP82+Fahad!CP82+Asif!CP82+sumair!CP82</f>
        <v>0</v>
      </c>
      <c r="BU82" s="21">
        <f>Asghar!CT82+shahzad!CT82+Fahad!CT82+Asif!CT82+sumair!CT82</f>
        <v>0</v>
      </c>
      <c r="BV82" s="21">
        <f>Asghar!CX82+shahzad!CX82+Fahad!CX82+Asif!CX82+sumair!CX82</f>
        <v>0</v>
      </c>
      <c r="BW82" s="21">
        <f>Asghar!DB82+shahzad!DB82+Fahad!DB82+Asif!DB82+sumair!DB82</f>
        <v>0</v>
      </c>
      <c r="BX82" s="21">
        <f>Asghar!DF82+shahzad!DF82+Fahad!DF82+Asif!DF82+sumair!DF82</f>
        <v>0</v>
      </c>
      <c r="BY82" s="21">
        <f>Asghar!DJ82+shahzad!DJ82+Fahad!DJ82+Asif!DJ82+sumair!DJ82</f>
        <v>0</v>
      </c>
      <c r="BZ82" s="21">
        <f>Asghar!DN82+shahzad!DN82+Fahad!DN82+Asif!DN82+sumair!DN82</f>
        <v>0</v>
      </c>
      <c r="CA82" s="21">
        <f>Asghar!DR82+shahzad!DR82+Fahad!DR82+Asif!DR82+sumair!DR82</f>
        <v>0</v>
      </c>
      <c r="CB82" s="21">
        <f>Asghar!DV82+shahzad!DV82+Fahad!DV82+Asif!DV82+sumair!DV82</f>
        <v>0</v>
      </c>
      <c r="CC82" s="21">
        <f>Asghar!DZ82+shahzad!DZ82+Fahad!DZ82+Asif!DZ82+sumair!DZ82</f>
        <v>0</v>
      </c>
      <c r="CD82" s="54">
        <f t="shared" si="16"/>
        <v>0</v>
      </c>
      <c r="CF82" s="28">
        <f t="shared" si="17"/>
        <v>0</v>
      </c>
      <c r="CG82" s="30">
        <f t="shared" si="18"/>
        <v>0</v>
      </c>
      <c r="CH82" s="41">
        <f t="shared" si="19"/>
        <v>0</v>
      </c>
      <c r="CI82" s="53">
        <f t="shared" si="20"/>
        <v>0</v>
      </c>
      <c r="CJ82" s="42">
        <f t="shared" si="21"/>
        <v>0</v>
      </c>
    </row>
    <row r="83" spans="2:88" ht="12.5" customHeight="1" x14ac:dyDescent="0.35">
      <c r="B83" s="4">
        <v>101404</v>
      </c>
      <c r="C83" s="4" t="s">
        <v>89</v>
      </c>
      <c r="D83" s="4">
        <v>18</v>
      </c>
      <c r="E83" s="5">
        <v>18</v>
      </c>
      <c r="F83" s="6">
        <v>141.97409327599999</v>
      </c>
      <c r="G83" s="1"/>
      <c r="H83" s="13"/>
      <c r="I83" s="8"/>
      <c r="J83" s="13"/>
      <c r="K83" s="3"/>
      <c r="L83" s="9">
        <f t="shared" si="11"/>
        <v>0</v>
      </c>
      <c r="M83" s="10">
        <f t="shared" si="12"/>
        <v>0</v>
      </c>
      <c r="N83" s="11">
        <f t="shared" si="13"/>
        <v>0</v>
      </c>
      <c r="O83" s="3">
        <f t="shared" si="14"/>
        <v>0</v>
      </c>
      <c r="P83" s="12">
        <f t="shared" si="14"/>
        <v>0</v>
      </c>
      <c r="R83" s="21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24">
        <f t="shared" si="15"/>
        <v>0</v>
      </c>
      <c r="AY83" s="21">
        <f>Asghar!J83+shahzad!J83+Fahad!J83+Asif!J83+sumair!J83</f>
        <v>0</v>
      </c>
      <c r="AZ83" s="21">
        <f>Asghar!N83+shahzad!N83+Fahad!N83+Asif!N83+sumair!N83</f>
        <v>0</v>
      </c>
      <c r="BA83" s="21">
        <f>Asghar!R83+shahzad!R83+Fahad!R83+Asif!R83+sumair!R83</f>
        <v>0</v>
      </c>
      <c r="BB83" s="21">
        <f>Asghar!V83+shahzad!V83+Fahad!V83+Asif!V83+sumair!V83</f>
        <v>0</v>
      </c>
      <c r="BC83" s="21">
        <f>Asghar!Z83+shahzad!Z83+Fahad!Z83+Asif!Z83+sumair!Z83</f>
        <v>0</v>
      </c>
      <c r="BD83" s="21">
        <f>Asghar!AD83+shahzad!AD83+Fahad!AD83+Asif!AD83+sumair!AD83</f>
        <v>0</v>
      </c>
      <c r="BE83" s="21">
        <f>Asghar!AH83+shahzad!AH83+Fahad!AH83+Asif!AH83+sumair!AH83</f>
        <v>0</v>
      </c>
      <c r="BF83" s="21">
        <f>Asghar!AL83+shahzad!AL83+Fahad!AL83+Asif!AL83+sumair!AL83</f>
        <v>0</v>
      </c>
      <c r="BG83" s="21">
        <f>Asghar!AP83+shahzad!AP83+Fahad!AP83+Asif!AP83+sumair!AP83</f>
        <v>0</v>
      </c>
      <c r="BH83" s="21">
        <f>Asghar!AT83+shahzad!AT83+Fahad!AT83+Asif!AT83+sumair!AT83</f>
        <v>0</v>
      </c>
      <c r="BI83" s="21">
        <f>Asghar!AX83+shahzad!AX83+Fahad!AX83+Asif!AX83+sumair!AX83</f>
        <v>0</v>
      </c>
      <c r="BJ83" s="21">
        <f>Asghar!BB83+shahzad!BB83+Fahad!BB83+Asif!BB83+sumair!BB83</f>
        <v>0</v>
      </c>
      <c r="BK83" s="21">
        <f>Asghar!BF83+shahzad!BF83+Fahad!BF83+Asif!BF83+sumair!BF83</f>
        <v>0</v>
      </c>
      <c r="BL83" s="21">
        <f>Asghar!BJ83+shahzad!BJ83+Fahad!BJ83+Asif!BJ83+sumair!BJ83</f>
        <v>0</v>
      </c>
      <c r="BM83" s="21">
        <f>Asghar!BN83+shahzad!BN83+Fahad!BN83+Asif!BN83+sumair!BN83</f>
        <v>0</v>
      </c>
      <c r="BN83" s="21">
        <f>Asghar!BR83+shahzad!BR83+Fahad!BR83+Asif!BR83+sumair!BR83</f>
        <v>0</v>
      </c>
      <c r="BO83" s="21">
        <f>Asghar!BV83+shahzad!BV83+Fahad!BV83+Asif!BV83+sumair!BV83</f>
        <v>0</v>
      </c>
      <c r="BP83" s="21">
        <f>Asghar!BZ83+shahzad!BZ83+Fahad!BZ83+Asif!BZ83+sumair!BZ83</f>
        <v>0</v>
      </c>
      <c r="BQ83" s="21">
        <f>Asghar!CD83+shahzad!CD83+Fahad!CD83+Asif!CD83+sumair!CD83</f>
        <v>0</v>
      </c>
      <c r="BR83" s="21">
        <f>Asghar!CH83+shahzad!CH83+Fahad!CH83+Asif!CH83+sumair!CH83</f>
        <v>0</v>
      </c>
      <c r="BS83" s="21">
        <f>Asghar!CL83+shahzad!CL83+Fahad!CL83+Asif!CL83+sumair!CL83</f>
        <v>0</v>
      </c>
      <c r="BT83" s="21">
        <f>Asghar!CP83+shahzad!CP83+Fahad!CP83+Asif!CP83+sumair!CP83</f>
        <v>0</v>
      </c>
      <c r="BU83" s="21">
        <f>Asghar!CT83+shahzad!CT83+Fahad!CT83+Asif!CT83+sumair!CT83</f>
        <v>0</v>
      </c>
      <c r="BV83" s="21">
        <f>Asghar!CX83+shahzad!CX83+Fahad!CX83+Asif!CX83+sumair!CX83</f>
        <v>0</v>
      </c>
      <c r="BW83" s="21">
        <f>Asghar!DB83+shahzad!DB83+Fahad!DB83+Asif!DB83+sumair!DB83</f>
        <v>0</v>
      </c>
      <c r="BX83" s="21">
        <f>Asghar!DF83+shahzad!DF83+Fahad!DF83+Asif!DF83+sumair!DF83</f>
        <v>0</v>
      </c>
      <c r="BY83" s="21">
        <f>Asghar!DJ83+shahzad!DJ83+Fahad!DJ83+Asif!DJ83+sumair!DJ83</f>
        <v>0</v>
      </c>
      <c r="BZ83" s="21">
        <f>Asghar!DN83+shahzad!DN83+Fahad!DN83+Asif!DN83+sumair!DN83</f>
        <v>0</v>
      </c>
      <c r="CA83" s="21">
        <f>Asghar!DR83+shahzad!DR83+Fahad!DR83+Asif!DR83+sumair!DR83</f>
        <v>0</v>
      </c>
      <c r="CB83" s="21">
        <f>Asghar!DV83+shahzad!DV83+Fahad!DV83+Asif!DV83+sumair!DV83</f>
        <v>0</v>
      </c>
      <c r="CC83" s="21">
        <f>Asghar!DZ83+shahzad!DZ83+Fahad!DZ83+Asif!DZ83+sumair!DZ83</f>
        <v>0</v>
      </c>
      <c r="CD83" s="54">
        <f t="shared" si="16"/>
        <v>0</v>
      </c>
      <c r="CF83" s="28">
        <f t="shared" si="17"/>
        <v>0</v>
      </c>
      <c r="CG83" s="30">
        <f t="shared" si="18"/>
        <v>0</v>
      </c>
      <c r="CH83" s="41">
        <f t="shared" si="19"/>
        <v>0</v>
      </c>
      <c r="CI83" s="53">
        <f t="shared" si="20"/>
        <v>0</v>
      </c>
      <c r="CJ83" s="42">
        <f t="shared" si="21"/>
        <v>0</v>
      </c>
    </row>
    <row r="84" spans="2:88" ht="12.5" customHeight="1" x14ac:dyDescent="0.35">
      <c r="B84" s="4">
        <v>104055</v>
      </c>
      <c r="C84" s="4" t="s">
        <v>90</v>
      </c>
      <c r="D84" s="4">
        <v>25</v>
      </c>
      <c r="E84" s="5">
        <v>24</v>
      </c>
      <c r="F84" s="6">
        <v>100.236575</v>
      </c>
      <c r="G84" s="1"/>
      <c r="H84" s="8"/>
      <c r="I84" s="8"/>
      <c r="J84" s="13"/>
      <c r="K84" s="3"/>
      <c r="L84" s="9">
        <f t="shared" si="11"/>
        <v>0</v>
      </c>
      <c r="M84" s="10">
        <f t="shared" si="12"/>
        <v>0</v>
      </c>
      <c r="N84" s="11">
        <f t="shared" si="13"/>
        <v>0</v>
      </c>
      <c r="O84" s="3">
        <f t="shared" si="14"/>
        <v>0</v>
      </c>
      <c r="P84" s="12">
        <f t="shared" si="14"/>
        <v>0</v>
      </c>
      <c r="R84" s="21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24">
        <f t="shared" si="15"/>
        <v>0</v>
      </c>
      <c r="AY84" s="21">
        <f>Asghar!J84+shahzad!J84+Fahad!J84+Asif!J84+sumair!J84</f>
        <v>0</v>
      </c>
      <c r="AZ84" s="21">
        <f>Asghar!N84+shahzad!N84+Fahad!N84+Asif!N84+sumair!N84</f>
        <v>0</v>
      </c>
      <c r="BA84" s="21">
        <f>Asghar!R84+shahzad!R84+Fahad!R84+Asif!R84+sumair!R84</f>
        <v>0</v>
      </c>
      <c r="BB84" s="21">
        <f>Asghar!V84+shahzad!V84+Fahad!V84+Asif!V84+sumair!V84</f>
        <v>0</v>
      </c>
      <c r="BC84" s="21">
        <f>Asghar!Z84+shahzad!Z84+Fahad!Z84+Asif!Z84+sumair!Z84</f>
        <v>0</v>
      </c>
      <c r="BD84" s="21">
        <f>Asghar!AD84+shahzad!AD84+Fahad!AD84+Asif!AD84+sumair!AD84</f>
        <v>0</v>
      </c>
      <c r="BE84" s="21">
        <f>Asghar!AH84+shahzad!AH84+Fahad!AH84+Asif!AH84+sumair!AH84</f>
        <v>0</v>
      </c>
      <c r="BF84" s="21">
        <f>Asghar!AL84+shahzad!AL84+Fahad!AL84+Asif!AL84+sumair!AL84</f>
        <v>0</v>
      </c>
      <c r="BG84" s="21">
        <f>Asghar!AP84+shahzad!AP84+Fahad!AP84+Asif!AP84+sumair!AP84</f>
        <v>0</v>
      </c>
      <c r="BH84" s="21">
        <f>Asghar!AT84+shahzad!AT84+Fahad!AT84+Asif!AT84+sumair!AT84</f>
        <v>0</v>
      </c>
      <c r="BI84" s="21">
        <f>Asghar!AX84+shahzad!AX84+Fahad!AX84+Asif!AX84+sumair!AX84</f>
        <v>0</v>
      </c>
      <c r="BJ84" s="21">
        <f>Asghar!BB84+shahzad!BB84+Fahad!BB84+Asif!BB84+sumair!BB84</f>
        <v>0</v>
      </c>
      <c r="BK84" s="21">
        <f>Asghar!BF84+shahzad!BF84+Fahad!BF84+Asif!BF84+sumair!BF84</f>
        <v>0</v>
      </c>
      <c r="BL84" s="21">
        <f>Asghar!BJ84+shahzad!BJ84+Fahad!BJ84+Asif!BJ84+sumair!BJ84</f>
        <v>0</v>
      </c>
      <c r="BM84" s="21">
        <f>Asghar!BN84+shahzad!BN84+Fahad!BN84+Asif!BN84+sumair!BN84</f>
        <v>0</v>
      </c>
      <c r="BN84" s="21">
        <f>Asghar!BR84+shahzad!BR84+Fahad!BR84+Asif!BR84+sumair!BR84</f>
        <v>0</v>
      </c>
      <c r="BO84" s="21">
        <f>Asghar!BV84+shahzad!BV84+Fahad!BV84+Asif!BV84+sumair!BV84</f>
        <v>0</v>
      </c>
      <c r="BP84" s="21">
        <f>Asghar!BZ84+shahzad!BZ84+Fahad!BZ84+Asif!BZ84+sumair!BZ84</f>
        <v>0</v>
      </c>
      <c r="BQ84" s="21">
        <f>Asghar!CD84+shahzad!CD84+Fahad!CD84+Asif!CD84+sumair!CD84</f>
        <v>0</v>
      </c>
      <c r="BR84" s="21">
        <f>Asghar!CH84+shahzad!CH84+Fahad!CH84+Asif!CH84+sumair!CH84</f>
        <v>0</v>
      </c>
      <c r="BS84" s="21">
        <f>Asghar!CL84+shahzad!CL84+Fahad!CL84+Asif!CL84+sumair!CL84</f>
        <v>0</v>
      </c>
      <c r="BT84" s="21">
        <f>Asghar!CP84+shahzad!CP84+Fahad!CP84+Asif!CP84+sumair!CP84</f>
        <v>0</v>
      </c>
      <c r="BU84" s="21">
        <f>Asghar!CT84+shahzad!CT84+Fahad!CT84+Asif!CT84+sumair!CT84</f>
        <v>0</v>
      </c>
      <c r="BV84" s="21">
        <f>Asghar!CX84+shahzad!CX84+Fahad!CX84+Asif!CX84+sumair!CX84</f>
        <v>0</v>
      </c>
      <c r="BW84" s="21">
        <f>Asghar!DB84+shahzad!DB84+Fahad!DB84+Asif!DB84+sumair!DB84</f>
        <v>0</v>
      </c>
      <c r="BX84" s="21">
        <f>Asghar!DF84+shahzad!DF84+Fahad!DF84+Asif!DF84+sumair!DF84</f>
        <v>0</v>
      </c>
      <c r="BY84" s="21">
        <f>Asghar!DJ84+shahzad!DJ84+Fahad!DJ84+Asif!DJ84+sumair!DJ84</f>
        <v>0</v>
      </c>
      <c r="BZ84" s="21">
        <f>Asghar!DN84+shahzad!DN84+Fahad!DN84+Asif!DN84+sumair!DN84</f>
        <v>0</v>
      </c>
      <c r="CA84" s="21">
        <f>Asghar!DR84+shahzad!DR84+Fahad!DR84+Asif!DR84+sumair!DR84</f>
        <v>0</v>
      </c>
      <c r="CB84" s="21">
        <f>Asghar!DV84+shahzad!DV84+Fahad!DV84+Asif!DV84+sumair!DV84</f>
        <v>0</v>
      </c>
      <c r="CC84" s="21">
        <f>Asghar!DZ84+shahzad!DZ84+Fahad!DZ84+Asif!DZ84+sumair!DZ84</f>
        <v>0</v>
      </c>
      <c r="CD84" s="54">
        <f t="shared" si="16"/>
        <v>0</v>
      </c>
      <c r="CF84" s="28">
        <f t="shared" si="17"/>
        <v>0</v>
      </c>
      <c r="CG84" s="30">
        <f t="shared" si="18"/>
        <v>0</v>
      </c>
      <c r="CH84" s="41">
        <f t="shared" si="19"/>
        <v>0</v>
      </c>
      <c r="CI84" s="53">
        <f t="shared" si="20"/>
        <v>0</v>
      </c>
      <c r="CJ84" s="42">
        <f t="shared" si="21"/>
        <v>0</v>
      </c>
    </row>
    <row r="85" spans="2:88" ht="12.5" customHeight="1" x14ac:dyDescent="0.35">
      <c r="B85" s="4">
        <v>101935</v>
      </c>
      <c r="C85" s="4" t="s">
        <v>91</v>
      </c>
      <c r="D85" s="4">
        <v>12</v>
      </c>
      <c r="E85" s="5">
        <v>8</v>
      </c>
      <c r="F85" s="6">
        <v>39.4372481296</v>
      </c>
      <c r="G85" s="1"/>
      <c r="H85" s="8"/>
      <c r="I85" s="8"/>
      <c r="J85" s="13"/>
      <c r="K85" s="3"/>
      <c r="L85" s="9">
        <f t="shared" si="11"/>
        <v>0</v>
      </c>
      <c r="M85" s="10">
        <f t="shared" si="12"/>
        <v>0</v>
      </c>
      <c r="N85" s="11">
        <f t="shared" si="13"/>
        <v>0</v>
      </c>
      <c r="O85" s="3">
        <f t="shared" ref="O85:P100" si="22">N85*E85</f>
        <v>0</v>
      </c>
      <c r="P85" s="12">
        <f t="shared" si="22"/>
        <v>0</v>
      </c>
      <c r="R85" s="21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24">
        <f t="shared" si="15"/>
        <v>0</v>
      </c>
      <c r="AY85" s="21">
        <f>Asghar!J85+shahzad!J85+Fahad!J85+Asif!J85+sumair!J85</f>
        <v>0</v>
      </c>
      <c r="AZ85" s="21">
        <f>Asghar!N85+shahzad!N85+Fahad!N85+Asif!N85+sumair!N85</f>
        <v>0</v>
      </c>
      <c r="BA85" s="21">
        <f>Asghar!R85+shahzad!R85+Fahad!R85+Asif!R85+sumair!R85</f>
        <v>0</v>
      </c>
      <c r="BB85" s="21">
        <f>Asghar!V85+shahzad!V85+Fahad!V85+Asif!V85+sumair!V85</f>
        <v>0</v>
      </c>
      <c r="BC85" s="21">
        <f>Asghar!Z85+shahzad!Z85+Fahad!Z85+Asif!Z85+sumair!Z85</f>
        <v>0</v>
      </c>
      <c r="BD85" s="21">
        <f>Asghar!AD85+shahzad!AD85+Fahad!AD85+Asif!AD85+sumair!AD85</f>
        <v>0</v>
      </c>
      <c r="BE85" s="21">
        <f>Asghar!AH85+shahzad!AH85+Fahad!AH85+Asif!AH85+sumair!AH85</f>
        <v>0</v>
      </c>
      <c r="BF85" s="21">
        <f>Asghar!AL85+shahzad!AL85+Fahad!AL85+Asif!AL85+sumair!AL85</f>
        <v>0</v>
      </c>
      <c r="BG85" s="21">
        <f>Asghar!AP85+shahzad!AP85+Fahad!AP85+Asif!AP85+sumair!AP85</f>
        <v>0</v>
      </c>
      <c r="BH85" s="21">
        <f>Asghar!AT85+shahzad!AT85+Fahad!AT85+Asif!AT85+sumair!AT85</f>
        <v>0</v>
      </c>
      <c r="BI85" s="21">
        <f>Asghar!AX85+shahzad!AX85+Fahad!AX85+Asif!AX85+sumair!AX85</f>
        <v>0</v>
      </c>
      <c r="BJ85" s="21">
        <f>Asghar!BB85+shahzad!BB85+Fahad!BB85+Asif!BB85+sumair!BB85</f>
        <v>0</v>
      </c>
      <c r="BK85" s="21">
        <f>Asghar!BF85+shahzad!BF85+Fahad!BF85+Asif!BF85+sumair!BF85</f>
        <v>0</v>
      </c>
      <c r="BL85" s="21">
        <f>Asghar!BJ85+shahzad!BJ85+Fahad!BJ85+Asif!BJ85+sumair!BJ85</f>
        <v>0</v>
      </c>
      <c r="BM85" s="21">
        <f>Asghar!BN85+shahzad!BN85+Fahad!BN85+Asif!BN85+sumair!BN85</f>
        <v>0</v>
      </c>
      <c r="BN85" s="21">
        <f>Asghar!BR85+shahzad!BR85+Fahad!BR85+Asif!BR85+sumair!BR85</f>
        <v>0</v>
      </c>
      <c r="BO85" s="21">
        <f>Asghar!BV85+shahzad!BV85+Fahad!BV85+Asif!BV85+sumair!BV85</f>
        <v>0</v>
      </c>
      <c r="BP85" s="21">
        <f>Asghar!BZ85+shahzad!BZ85+Fahad!BZ85+Asif!BZ85+sumair!BZ85</f>
        <v>0</v>
      </c>
      <c r="BQ85" s="21">
        <f>Asghar!CD85+shahzad!CD85+Fahad!CD85+Asif!CD85+sumair!CD85</f>
        <v>0</v>
      </c>
      <c r="BR85" s="21">
        <f>Asghar!CH85+shahzad!CH85+Fahad!CH85+Asif!CH85+sumair!CH85</f>
        <v>0</v>
      </c>
      <c r="BS85" s="21">
        <f>Asghar!CL85+shahzad!CL85+Fahad!CL85+Asif!CL85+sumair!CL85</f>
        <v>0</v>
      </c>
      <c r="BT85" s="21">
        <f>Asghar!CP85+shahzad!CP85+Fahad!CP85+Asif!CP85+sumair!CP85</f>
        <v>0</v>
      </c>
      <c r="BU85" s="21">
        <f>Asghar!CT85+shahzad!CT85+Fahad!CT85+Asif!CT85+sumair!CT85</f>
        <v>0</v>
      </c>
      <c r="BV85" s="21">
        <f>Asghar!CX85+shahzad!CX85+Fahad!CX85+Asif!CX85+sumair!CX85</f>
        <v>0</v>
      </c>
      <c r="BW85" s="21">
        <f>Asghar!DB85+shahzad!DB85+Fahad!DB85+Asif!DB85+sumair!DB85</f>
        <v>0</v>
      </c>
      <c r="BX85" s="21">
        <f>Asghar!DF85+shahzad!DF85+Fahad!DF85+Asif!DF85+sumair!DF85</f>
        <v>0</v>
      </c>
      <c r="BY85" s="21">
        <f>Asghar!DJ85+shahzad!DJ85+Fahad!DJ85+Asif!DJ85+sumair!DJ85</f>
        <v>0</v>
      </c>
      <c r="BZ85" s="21">
        <f>Asghar!DN85+shahzad!DN85+Fahad!DN85+Asif!DN85+sumair!DN85</f>
        <v>0</v>
      </c>
      <c r="CA85" s="21">
        <f>Asghar!DR85+shahzad!DR85+Fahad!DR85+Asif!DR85+sumair!DR85</f>
        <v>0</v>
      </c>
      <c r="CB85" s="21">
        <f>Asghar!DV85+shahzad!DV85+Fahad!DV85+Asif!DV85+sumair!DV85</f>
        <v>0</v>
      </c>
      <c r="CC85" s="21">
        <f>Asghar!DZ85+shahzad!DZ85+Fahad!DZ85+Asif!DZ85+sumair!DZ85</f>
        <v>0</v>
      </c>
      <c r="CD85" s="54">
        <f t="shared" si="16"/>
        <v>0</v>
      </c>
      <c r="CF85" s="28">
        <f t="shared" si="17"/>
        <v>0</v>
      </c>
      <c r="CG85" s="30">
        <f t="shared" si="18"/>
        <v>0</v>
      </c>
      <c r="CH85" s="41">
        <f t="shared" si="19"/>
        <v>0</v>
      </c>
      <c r="CI85" s="53">
        <f t="shared" si="20"/>
        <v>0</v>
      </c>
      <c r="CJ85" s="42">
        <f t="shared" si="21"/>
        <v>0</v>
      </c>
    </row>
    <row r="86" spans="2:88" ht="12.5" customHeight="1" x14ac:dyDescent="0.35">
      <c r="B86" s="4">
        <v>111007</v>
      </c>
      <c r="C86" s="4" t="s">
        <v>92</v>
      </c>
      <c r="D86" s="4">
        <v>24</v>
      </c>
      <c r="E86" s="5">
        <v>18</v>
      </c>
      <c r="F86" s="6">
        <v>193.64193294</v>
      </c>
      <c r="G86" s="1"/>
      <c r="H86" s="13"/>
      <c r="I86" s="13"/>
      <c r="J86" s="13"/>
      <c r="K86" s="3"/>
      <c r="L86" s="9">
        <f t="shared" si="11"/>
        <v>0</v>
      </c>
      <c r="M86" s="10">
        <f t="shared" si="12"/>
        <v>0</v>
      </c>
      <c r="N86" s="11">
        <f t="shared" si="13"/>
        <v>0</v>
      </c>
      <c r="O86" s="3">
        <f t="shared" si="22"/>
        <v>0</v>
      </c>
      <c r="P86" s="12">
        <f t="shared" si="22"/>
        <v>0</v>
      </c>
      <c r="R86" s="21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24">
        <f t="shared" si="15"/>
        <v>0</v>
      </c>
      <c r="AY86" s="21">
        <f>Asghar!J86+shahzad!J86+Fahad!J86+Asif!J86+sumair!J86</f>
        <v>0</v>
      </c>
      <c r="AZ86" s="21">
        <f>Asghar!N86+shahzad!N86+Fahad!N86+Asif!N86+sumair!N86</f>
        <v>0</v>
      </c>
      <c r="BA86" s="21">
        <f>Asghar!R86+shahzad!R86+Fahad!R86+Asif!R86+sumair!R86</f>
        <v>0</v>
      </c>
      <c r="BB86" s="21">
        <f>Asghar!V86+shahzad!V86+Fahad!V86+Asif!V86+sumair!V86</f>
        <v>0</v>
      </c>
      <c r="BC86" s="21">
        <f>Asghar!Z86+shahzad!Z86+Fahad!Z86+Asif!Z86+sumair!Z86</f>
        <v>0</v>
      </c>
      <c r="BD86" s="21">
        <f>Asghar!AD86+shahzad!AD86+Fahad!AD86+Asif!AD86+sumair!AD86</f>
        <v>0</v>
      </c>
      <c r="BE86" s="21">
        <f>Asghar!AH86+shahzad!AH86+Fahad!AH86+Asif!AH86+sumair!AH86</f>
        <v>0</v>
      </c>
      <c r="BF86" s="21">
        <f>Asghar!AL86+shahzad!AL86+Fahad!AL86+Asif!AL86+sumair!AL86</f>
        <v>0</v>
      </c>
      <c r="BG86" s="21">
        <f>Asghar!AP86+shahzad!AP86+Fahad!AP86+Asif!AP86+sumair!AP86</f>
        <v>0</v>
      </c>
      <c r="BH86" s="21">
        <f>Asghar!AT86+shahzad!AT86+Fahad!AT86+Asif!AT86+sumair!AT86</f>
        <v>0</v>
      </c>
      <c r="BI86" s="21">
        <f>Asghar!AX86+shahzad!AX86+Fahad!AX86+Asif!AX86+sumair!AX86</f>
        <v>0</v>
      </c>
      <c r="BJ86" s="21">
        <f>Asghar!BB86+shahzad!BB86+Fahad!BB86+Asif!BB86+sumair!BB86</f>
        <v>0</v>
      </c>
      <c r="BK86" s="21">
        <f>Asghar!BF86+shahzad!BF86+Fahad!BF86+Asif!BF86+sumair!BF86</f>
        <v>0</v>
      </c>
      <c r="BL86" s="21">
        <f>Asghar!BJ86+shahzad!BJ86+Fahad!BJ86+Asif!BJ86+sumair!BJ86</f>
        <v>0</v>
      </c>
      <c r="BM86" s="21">
        <f>Asghar!BN86+shahzad!BN86+Fahad!BN86+Asif!BN86+sumair!BN86</f>
        <v>0</v>
      </c>
      <c r="BN86" s="21">
        <f>Asghar!BR86+shahzad!BR86+Fahad!BR86+Asif!BR86+sumair!BR86</f>
        <v>0</v>
      </c>
      <c r="BO86" s="21">
        <f>Asghar!BV86+shahzad!BV86+Fahad!BV86+Asif!BV86+sumair!BV86</f>
        <v>0</v>
      </c>
      <c r="BP86" s="21">
        <f>Asghar!BZ86+shahzad!BZ86+Fahad!BZ86+Asif!BZ86+sumair!BZ86</f>
        <v>0</v>
      </c>
      <c r="BQ86" s="21">
        <f>Asghar!CD86+shahzad!CD86+Fahad!CD86+Asif!CD86+sumair!CD86</f>
        <v>0</v>
      </c>
      <c r="BR86" s="21">
        <f>Asghar!CH86+shahzad!CH86+Fahad!CH86+Asif!CH86+sumair!CH86</f>
        <v>0</v>
      </c>
      <c r="BS86" s="21">
        <f>Asghar!CL86+shahzad!CL86+Fahad!CL86+Asif!CL86+sumair!CL86</f>
        <v>0</v>
      </c>
      <c r="BT86" s="21">
        <f>Asghar!CP86+shahzad!CP86+Fahad!CP86+Asif!CP86+sumair!CP86</f>
        <v>0</v>
      </c>
      <c r="BU86" s="21">
        <f>Asghar!CT86+shahzad!CT86+Fahad!CT86+Asif!CT86+sumair!CT86</f>
        <v>0</v>
      </c>
      <c r="BV86" s="21">
        <f>Asghar!CX86+shahzad!CX86+Fahad!CX86+Asif!CX86+sumair!CX86</f>
        <v>0</v>
      </c>
      <c r="BW86" s="21">
        <f>Asghar!DB86+shahzad!DB86+Fahad!DB86+Asif!DB86+sumair!DB86</f>
        <v>0</v>
      </c>
      <c r="BX86" s="21">
        <f>Asghar!DF86+shahzad!DF86+Fahad!DF86+Asif!DF86+sumair!DF86</f>
        <v>0</v>
      </c>
      <c r="BY86" s="21">
        <f>Asghar!DJ86+shahzad!DJ86+Fahad!DJ86+Asif!DJ86+sumair!DJ86</f>
        <v>0</v>
      </c>
      <c r="BZ86" s="21">
        <f>Asghar!DN86+shahzad!DN86+Fahad!DN86+Asif!DN86+sumair!DN86</f>
        <v>0</v>
      </c>
      <c r="CA86" s="21">
        <f>Asghar!DR86+shahzad!DR86+Fahad!DR86+Asif!DR86+sumair!DR86</f>
        <v>0</v>
      </c>
      <c r="CB86" s="21">
        <f>Asghar!DV86+shahzad!DV86+Fahad!DV86+Asif!DV86+sumair!DV86</f>
        <v>0</v>
      </c>
      <c r="CC86" s="21">
        <f>Asghar!DZ86+shahzad!DZ86+Fahad!DZ86+Asif!DZ86+sumair!DZ86</f>
        <v>0</v>
      </c>
      <c r="CD86" s="54">
        <f t="shared" si="16"/>
        <v>0</v>
      </c>
      <c r="CF86" s="28">
        <f t="shared" si="17"/>
        <v>0</v>
      </c>
      <c r="CG86" s="30">
        <f t="shared" si="18"/>
        <v>0</v>
      </c>
      <c r="CH86" s="41">
        <f t="shared" si="19"/>
        <v>0</v>
      </c>
      <c r="CI86" s="53">
        <f t="shared" si="20"/>
        <v>0</v>
      </c>
      <c r="CJ86" s="42">
        <f t="shared" si="21"/>
        <v>0</v>
      </c>
    </row>
    <row r="87" spans="2:88" ht="12.5" customHeight="1" x14ac:dyDescent="0.35">
      <c r="B87" s="4">
        <v>111102</v>
      </c>
      <c r="C87" s="14" t="s">
        <v>93</v>
      </c>
      <c r="D87" s="4">
        <v>18</v>
      </c>
      <c r="E87" s="5">
        <v>18</v>
      </c>
      <c r="F87" s="6">
        <v>193.64193294</v>
      </c>
      <c r="G87" s="1"/>
      <c r="H87" s="3"/>
      <c r="I87" s="3"/>
      <c r="J87" s="3"/>
      <c r="K87" s="3"/>
      <c r="L87" s="9">
        <f t="shared" si="11"/>
        <v>0</v>
      </c>
      <c r="M87" s="10">
        <f t="shared" si="12"/>
        <v>0</v>
      </c>
      <c r="N87" s="11">
        <f t="shared" si="13"/>
        <v>0</v>
      </c>
      <c r="O87" s="3">
        <f t="shared" si="22"/>
        <v>0</v>
      </c>
      <c r="P87" s="12">
        <f t="shared" si="22"/>
        <v>0</v>
      </c>
      <c r="R87" s="21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24">
        <f t="shared" si="15"/>
        <v>0</v>
      </c>
      <c r="AY87" s="21">
        <f>Asghar!J87+shahzad!J87+Fahad!J87+Asif!J87+sumair!J87</f>
        <v>0</v>
      </c>
      <c r="AZ87" s="21">
        <f>Asghar!N87+shahzad!N87+Fahad!N87+Asif!N87+sumair!N87</f>
        <v>0</v>
      </c>
      <c r="BA87" s="21">
        <f>Asghar!R87+shahzad!R87+Fahad!R87+Asif!R87+sumair!R87</f>
        <v>0</v>
      </c>
      <c r="BB87" s="21">
        <f>Asghar!V87+shahzad!V87+Fahad!V87+Asif!V87+sumair!V87</f>
        <v>0</v>
      </c>
      <c r="BC87" s="21">
        <f>Asghar!Z87+shahzad!Z87+Fahad!Z87+Asif!Z87+sumair!Z87</f>
        <v>0</v>
      </c>
      <c r="BD87" s="21">
        <f>Asghar!AD87+shahzad!AD87+Fahad!AD87+Asif!AD87+sumair!AD87</f>
        <v>0</v>
      </c>
      <c r="BE87" s="21">
        <f>Asghar!AH87+shahzad!AH87+Fahad!AH87+Asif!AH87+sumair!AH87</f>
        <v>0</v>
      </c>
      <c r="BF87" s="21">
        <f>Asghar!AL87+shahzad!AL87+Fahad!AL87+Asif!AL87+sumair!AL87</f>
        <v>0</v>
      </c>
      <c r="BG87" s="21">
        <f>Asghar!AP87+shahzad!AP87+Fahad!AP87+Asif!AP87+sumair!AP87</f>
        <v>0</v>
      </c>
      <c r="BH87" s="21">
        <f>Asghar!AT87+shahzad!AT87+Fahad!AT87+Asif!AT87+sumair!AT87</f>
        <v>0</v>
      </c>
      <c r="BI87" s="21">
        <f>Asghar!AX87+shahzad!AX87+Fahad!AX87+Asif!AX87+sumair!AX87</f>
        <v>0</v>
      </c>
      <c r="BJ87" s="21">
        <f>Asghar!BB87+shahzad!BB87+Fahad!BB87+Asif!BB87+sumair!BB87</f>
        <v>0</v>
      </c>
      <c r="BK87" s="21">
        <f>Asghar!BF87+shahzad!BF87+Fahad!BF87+Asif!BF87+sumair!BF87</f>
        <v>0</v>
      </c>
      <c r="BL87" s="21">
        <f>Asghar!BJ87+shahzad!BJ87+Fahad!BJ87+Asif!BJ87+sumair!BJ87</f>
        <v>0</v>
      </c>
      <c r="BM87" s="21">
        <f>Asghar!BN87+shahzad!BN87+Fahad!BN87+Asif!BN87+sumair!BN87</f>
        <v>0</v>
      </c>
      <c r="BN87" s="21">
        <f>Asghar!BR87+shahzad!BR87+Fahad!BR87+Asif!BR87+sumair!BR87</f>
        <v>0</v>
      </c>
      <c r="BO87" s="21">
        <f>Asghar!BV87+shahzad!BV87+Fahad!BV87+Asif!BV87+sumair!BV87</f>
        <v>0</v>
      </c>
      <c r="BP87" s="21">
        <f>Asghar!BZ87+shahzad!BZ87+Fahad!BZ87+Asif!BZ87+sumair!BZ87</f>
        <v>0</v>
      </c>
      <c r="BQ87" s="21">
        <f>Asghar!CD87+shahzad!CD87+Fahad!CD87+Asif!CD87+sumair!CD87</f>
        <v>0</v>
      </c>
      <c r="BR87" s="21">
        <f>Asghar!CH87+shahzad!CH87+Fahad!CH87+Asif!CH87+sumair!CH87</f>
        <v>0</v>
      </c>
      <c r="BS87" s="21">
        <f>Asghar!CL87+shahzad!CL87+Fahad!CL87+Asif!CL87+sumair!CL87</f>
        <v>0</v>
      </c>
      <c r="BT87" s="21">
        <f>Asghar!CP87+shahzad!CP87+Fahad!CP87+Asif!CP87+sumair!CP87</f>
        <v>0</v>
      </c>
      <c r="BU87" s="21">
        <f>Asghar!CT87+shahzad!CT87+Fahad!CT87+Asif!CT87+sumair!CT87</f>
        <v>0</v>
      </c>
      <c r="BV87" s="21">
        <f>Asghar!CX87+shahzad!CX87+Fahad!CX87+Asif!CX87+sumair!CX87</f>
        <v>0</v>
      </c>
      <c r="BW87" s="21">
        <f>Asghar!DB87+shahzad!DB87+Fahad!DB87+Asif!DB87+sumair!DB87</f>
        <v>0</v>
      </c>
      <c r="BX87" s="21">
        <f>Asghar!DF87+shahzad!DF87+Fahad!DF87+Asif!DF87+sumair!DF87</f>
        <v>0</v>
      </c>
      <c r="BY87" s="21">
        <f>Asghar!DJ87+shahzad!DJ87+Fahad!DJ87+Asif!DJ87+sumair!DJ87</f>
        <v>0</v>
      </c>
      <c r="BZ87" s="21">
        <f>Asghar!DN87+shahzad!DN87+Fahad!DN87+Asif!DN87+sumair!DN87</f>
        <v>0</v>
      </c>
      <c r="CA87" s="21">
        <f>Asghar!DR87+shahzad!DR87+Fahad!DR87+Asif!DR87+sumair!DR87</f>
        <v>0</v>
      </c>
      <c r="CB87" s="21">
        <f>Asghar!DV87+shahzad!DV87+Fahad!DV87+Asif!DV87+sumair!DV87</f>
        <v>0</v>
      </c>
      <c r="CC87" s="21">
        <f>Asghar!DZ87+shahzad!DZ87+Fahad!DZ87+Asif!DZ87+sumair!DZ87</f>
        <v>0</v>
      </c>
      <c r="CD87" s="54">
        <f t="shared" si="16"/>
        <v>0</v>
      </c>
      <c r="CF87" s="28">
        <f t="shared" si="17"/>
        <v>0</v>
      </c>
      <c r="CG87" s="30">
        <f t="shared" si="18"/>
        <v>0</v>
      </c>
      <c r="CH87" s="41">
        <f t="shared" si="19"/>
        <v>0</v>
      </c>
      <c r="CI87" s="53">
        <f t="shared" si="20"/>
        <v>0</v>
      </c>
      <c r="CJ87" s="42">
        <f t="shared" si="21"/>
        <v>0</v>
      </c>
    </row>
    <row r="88" spans="2:88" ht="12.5" customHeight="1" x14ac:dyDescent="0.35">
      <c r="B88" s="4">
        <v>111130</v>
      </c>
      <c r="C88" s="4" t="s">
        <v>94</v>
      </c>
      <c r="D88" s="4">
        <v>24</v>
      </c>
      <c r="E88" s="5">
        <v>18</v>
      </c>
      <c r="F88" s="6">
        <v>193.64193294</v>
      </c>
      <c r="G88" s="1"/>
      <c r="H88" s="3"/>
      <c r="I88" s="3"/>
      <c r="J88" s="3"/>
      <c r="K88" s="3"/>
      <c r="L88" s="9">
        <f t="shared" si="11"/>
        <v>0</v>
      </c>
      <c r="M88" s="10">
        <f t="shared" si="12"/>
        <v>0</v>
      </c>
      <c r="N88" s="11">
        <f t="shared" si="13"/>
        <v>0</v>
      </c>
      <c r="O88" s="3">
        <f t="shared" si="22"/>
        <v>0</v>
      </c>
      <c r="P88" s="12">
        <f t="shared" si="22"/>
        <v>0</v>
      </c>
      <c r="R88" s="21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24">
        <f t="shared" si="15"/>
        <v>0</v>
      </c>
      <c r="AY88" s="21">
        <f>Asghar!J88+shahzad!J88+Fahad!J88+Asif!J88+sumair!J88</f>
        <v>0</v>
      </c>
      <c r="AZ88" s="21">
        <f>Asghar!N88+shahzad!N88+Fahad!N88+Asif!N88+sumair!N88</f>
        <v>0</v>
      </c>
      <c r="BA88" s="21">
        <f>Asghar!R88+shahzad!R88+Fahad!R88+Asif!R88+sumair!R88</f>
        <v>0</v>
      </c>
      <c r="BB88" s="21">
        <f>Asghar!V88+shahzad!V88+Fahad!V88+Asif!V88+sumair!V88</f>
        <v>0</v>
      </c>
      <c r="BC88" s="21">
        <f>Asghar!Z88+shahzad!Z88+Fahad!Z88+Asif!Z88+sumair!Z88</f>
        <v>0</v>
      </c>
      <c r="BD88" s="21">
        <f>Asghar!AD88+shahzad!AD88+Fahad!AD88+Asif!AD88+sumair!AD88</f>
        <v>0</v>
      </c>
      <c r="BE88" s="21">
        <f>Asghar!AH88+shahzad!AH88+Fahad!AH88+Asif!AH88+sumair!AH88</f>
        <v>0</v>
      </c>
      <c r="BF88" s="21">
        <f>Asghar!AL88+shahzad!AL88+Fahad!AL88+Asif!AL88+sumair!AL88</f>
        <v>0</v>
      </c>
      <c r="BG88" s="21">
        <f>Asghar!AP88+shahzad!AP88+Fahad!AP88+Asif!AP88+sumair!AP88</f>
        <v>0</v>
      </c>
      <c r="BH88" s="21">
        <f>Asghar!AT88+shahzad!AT88+Fahad!AT88+Asif!AT88+sumair!AT88</f>
        <v>0</v>
      </c>
      <c r="BI88" s="21">
        <f>Asghar!AX88+shahzad!AX88+Fahad!AX88+Asif!AX88+sumair!AX88</f>
        <v>0</v>
      </c>
      <c r="BJ88" s="21">
        <f>Asghar!BB88+shahzad!BB88+Fahad!BB88+Asif!BB88+sumair!BB88</f>
        <v>0</v>
      </c>
      <c r="BK88" s="21">
        <f>Asghar!BF88+shahzad!BF88+Fahad!BF88+Asif!BF88+sumair!BF88</f>
        <v>0</v>
      </c>
      <c r="BL88" s="21">
        <f>Asghar!BJ88+shahzad!BJ88+Fahad!BJ88+Asif!BJ88+sumair!BJ88</f>
        <v>0</v>
      </c>
      <c r="BM88" s="21">
        <f>Asghar!BN88+shahzad!BN88+Fahad!BN88+Asif!BN88+sumair!BN88</f>
        <v>0</v>
      </c>
      <c r="BN88" s="21">
        <f>Asghar!BR88+shahzad!BR88+Fahad!BR88+Asif!BR88+sumair!BR88</f>
        <v>0</v>
      </c>
      <c r="BO88" s="21">
        <f>Asghar!BV88+shahzad!BV88+Fahad!BV88+Asif!BV88+sumair!BV88</f>
        <v>0</v>
      </c>
      <c r="BP88" s="21">
        <f>Asghar!BZ88+shahzad!BZ88+Fahad!BZ88+Asif!BZ88+sumair!BZ88</f>
        <v>0</v>
      </c>
      <c r="BQ88" s="21">
        <f>Asghar!CD88+shahzad!CD88+Fahad!CD88+Asif!CD88+sumair!CD88</f>
        <v>0</v>
      </c>
      <c r="BR88" s="21">
        <f>Asghar!CH88+shahzad!CH88+Fahad!CH88+Asif!CH88+sumair!CH88</f>
        <v>0</v>
      </c>
      <c r="BS88" s="21">
        <f>Asghar!CL88+shahzad!CL88+Fahad!CL88+Asif!CL88+sumair!CL88</f>
        <v>0</v>
      </c>
      <c r="BT88" s="21">
        <f>Asghar!CP88+shahzad!CP88+Fahad!CP88+Asif!CP88+sumair!CP88</f>
        <v>0</v>
      </c>
      <c r="BU88" s="21">
        <f>Asghar!CT88+shahzad!CT88+Fahad!CT88+Asif!CT88+sumair!CT88</f>
        <v>0</v>
      </c>
      <c r="BV88" s="21">
        <f>Asghar!CX88+shahzad!CX88+Fahad!CX88+Asif!CX88+sumair!CX88</f>
        <v>0</v>
      </c>
      <c r="BW88" s="21">
        <f>Asghar!DB88+shahzad!DB88+Fahad!DB88+Asif!DB88+sumair!DB88</f>
        <v>0</v>
      </c>
      <c r="BX88" s="21">
        <f>Asghar!DF88+shahzad!DF88+Fahad!DF88+Asif!DF88+sumair!DF88</f>
        <v>0</v>
      </c>
      <c r="BY88" s="21">
        <f>Asghar!DJ88+shahzad!DJ88+Fahad!DJ88+Asif!DJ88+sumair!DJ88</f>
        <v>0</v>
      </c>
      <c r="BZ88" s="21">
        <f>Asghar!DN88+shahzad!DN88+Fahad!DN88+Asif!DN88+sumair!DN88</f>
        <v>0</v>
      </c>
      <c r="CA88" s="21">
        <f>Asghar!DR88+shahzad!DR88+Fahad!DR88+Asif!DR88+sumair!DR88</f>
        <v>0</v>
      </c>
      <c r="CB88" s="21">
        <f>Asghar!DV88+shahzad!DV88+Fahad!DV88+Asif!DV88+sumair!DV88</f>
        <v>0</v>
      </c>
      <c r="CC88" s="21">
        <f>Asghar!DZ88+shahzad!DZ88+Fahad!DZ88+Asif!DZ88+sumair!DZ88</f>
        <v>0</v>
      </c>
      <c r="CD88" s="54">
        <f t="shared" si="16"/>
        <v>0</v>
      </c>
      <c r="CF88" s="28">
        <f t="shared" si="17"/>
        <v>0</v>
      </c>
      <c r="CG88" s="30">
        <f t="shared" si="18"/>
        <v>0</v>
      </c>
      <c r="CH88" s="41">
        <f t="shared" si="19"/>
        <v>0</v>
      </c>
      <c r="CI88" s="53">
        <f t="shared" si="20"/>
        <v>0</v>
      </c>
      <c r="CJ88" s="42">
        <f t="shared" si="21"/>
        <v>0</v>
      </c>
    </row>
    <row r="89" spans="2:88" ht="12.5" customHeight="1" x14ac:dyDescent="0.35">
      <c r="B89" s="4">
        <v>111231</v>
      </c>
      <c r="C89" s="14" t="s">
        <v>95</v>
      </c>
      <c r="D89" s="4">
        <v>50</v>
      </c>
      <c r="E89" s="5">
        <v>18</v>
      </c>
      <c r="F89" s="6">
        <v>198.24524392000001</v>
      </c>
      <c r="G89" s="1"/>
      <c r="H89" s="3"/>
      <c r="I89" s="3"/>
      <c r="J89" s="3"/>
      <c r="K89" s="3"/>
      <c r="L89" s="9">
        <f t="shared" si="11"/>
        <v>0</v>
      </c>
      <c r="M89" s="10">
        <f t="shared" si="12"/>
        <v>0</v>
      </c>
      <c r="N89" s="11">
        <f t="shared" si="13"/>
        <v>0</v>
      </c>
      <c r="O89" s="3">
        <f t="shared" si="22"/>
        <v>0</v>
      </c>
      <c r="P89" s="12">
        <f t="shared" si="22"/>
        <v>0</v>
      </c>
      <c r="R89" s="21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24">
        <f t="shared" si="15"/>
        <v>0</v>
      </c>
      <c r="AY89" s="21">
        <f>Asghar!J89+shahzad!J89+Fahad!J89+Asif!J89+sumair!J89</f>
        <v>0</v>
      </c>
      <c r="AZ89" s="21">
        <f>Asghar!N89+shahzad!N89+Fahad!N89+Asif!N89+sumair!N89</f>
        <v>0</v>
      </c>
      <c r="BA89" s="21">
        <f>Asghar!R89+shahzad!R89+Fahad!R89+Asif!R89+sumair!R89</f>
        <v>0</v>
      </c>
      <c r="BB89" s="21">
        <f>Asghar!V89+shahzad!V89+Fahad!V89+Asif!V89+sumair!V89</f>
        <v>0</v>
      </c>
      <c r="BC89" s="21">
        <f>Asghar!Z89+shahzad!Z89+Fahad!Z89+Asif!Z89+sumair!Z89</f>
        <v>0</v>
      </c>
      <c r="BD89" s="21">
        <f>Asghar!AD89+shahzad!AD89+Fahad!AD89+Asif!AD89+sumair!AD89</f>
        <v>0</v>
      </c>
      <c r="BE89" s="21">
        <f>Asghar!AH89+shahzad!AH89+Fahad!AH89+Asif!AH89+sumair!AH89</f>
        <v>0</v>
      </c>
      <c r="BF89" s="21">
        <f>Asghar!AL89+shahzad!AL89+Fahad!AL89+Asif!AL89+sumair!AL89</f>
        <v>0</v>
      </c>
      <c r="BG89" s="21">
        <f>Asghar!AP89+shahzad!AP89+Fahad!AP89+Asif!AP89+sumair!AP89</f>
        <v>0</v>
      </c>
      <c r="BH89" s="21">
        <f>Asghar!AT89+shahzad!AT89+Fahad!AT89+Asif!AT89+sumair!AT89</f>
        <v>0</v>
      </c>
      <c r="BI89" s="21">
        <f>Asghar!AX89+shahzad!AX89+Fahad!AX89+Asif!AX89+sumair!AX89</f>
        <v>0</v>
      </c>
      <c r="BJ89" s="21">
        <f>Asghar!BB89+shahzad!BB89+Fahad!BB89+Asif!BB89+sumair!BB89</f>
        <v>0</v>
      </c>
      <c r="BK89" s="21">
        <f>Asghar!BF89+shahzad!BF89+Fahad!BF89+Asif!BF89+sumair!BF89</f>
        <v>0</v>
      </c>
      <c r="BL89" s="21">
        <f>Asghar!BJ89+shahzad!BJ89+Fahad!BJ89+Asif!BJ89+sumair!BJ89</f>
        <v>0</v>
      </c>
      <c r="BM89" s="21">
        <f>Asghar!BN89+shahzad!BN89+Fahad!BN89+Asif!BN89+sumair!BN89</f>
        <v>0</v>
      </c>
      <c r="BN89" s="21">
        <f>Asghar!BR89+shahzad!BR89+Fahad!BR89+Asif!BR89+sumair!BR89</f>
        <v>0</v>
      </c>
      <c r="BO89" s="21">
        <f>Asghar!BV89+shahzad!BV89+Fahad!BV89+Asif!BV89+sumair!BV89</f>
        <v>0</v>
      </c>
      <c r="BP89" s="21">
        <f>Asghar!BZ89+shahzad!BZ89+Fahad!BZ89+Asif!BZ89+sumair!BZ89</f>
        <v>0</v>
      </c>
      <c r="BQ89" s="21">
        <f>Asghar!CD89+shahzad!CD89+Fahad!CD89+Asif!CD89+sumair!CD89</f>
        <v>0</v>
      </c>
      <c r="BR89" s="21">
        <f>Asghar!CH89+shahzad!CH89+Fahad!CH89+Asif!CH89+sumair!CH89</f>
        <v>0</v>
      </c>
      <c r="BS89" s="21">
        <f>Asghar!CL89+shahzad!CL89+Fahad!CL89+Asif!CL89+sumair!CL89</f>
        <v>0</v>
      </c>
      <c r="BT89" s="21">
        <f>Asghar!CP89+shahzad!CP89+Fahad!CP89+Asif!CP89+sumair!CP89</f>
        <v>0</v>
      </c>
      <c r="BU89" s="21">
        <f>Asghar!CT89+shahzad!CT89+Fahad!CT89+Asif!CT89+sumair!CT89</f>
        <v>0</v>
      </c>
      <c r="BV89" s="21">
        <f>Asghar!CX89+shahzad!CX89+Fahad!CX89+Asif!CX89+sumair!CX89</f>
        <v>0</v>
      </c>
      <c r="BW89" s="21">
        <f>Asghar!DB89+shahzad!DB89+Fahad!DB89+Asif!DB89+sumair!DB89</f>
        <v>0</v>
      </c>
      <c r="BX89" s="21">
        <f>Asghar!DF89+shahzad!DF89+Fahad!DF89+Asif!DF89+sumair!DF89</f>
        <v>0</v>
      </c>
      <c r="BY89" s="21">
        <f>Asghar!DJ89+shahzad!DJ89+Fahad!DJ89+Asif!DJ89+sumair!DJ89</f>
        <v>0</v>
      </c>
      <c r="BZ89" s="21">
        <f>Asghar!DN89+shahzad!DN89+Fahad!DN89+Asif!DN89+sumair!DN89</f>
        <v>0</v>
      </c>
      <c r="CA89" s="21">
        <f>Asghar!DR89+shahzad!DR89+Fahad!DR89+Asif!DR89+sumair!DR89</f>
        <v>0</v>
      </c>
      <c r="CB89" s="21">
        <f>Asghar!DV89+shahzad!DV89+Fahad!DV89+Asif!DV89+sumair!DV89</f>
        <v>0</v>
      </c>
      <c r="CC89" s="21">
        <f>Asghar!DZ89+shahzad!DZ89+Fahad!DZ89+Asif!DZ89+sumair!DZ89</f>
        <v>0</v>
      </c>
      <c r="CD89" s="54">
        <f t="shared" si="16"/>
        <v>0</v>
      </c>
      <c r="CF89" s="28">
        <f t="shared" si="17"/>
        <v>0</v>
      </c>
      <c r="CG89" s="30">
        <f t="shared" si="18"/>
        <v>0</v>
      </c>
      <c r="CH89" s="41">
        <f t="shared" si="19"/>
        <v>0</v>
      </c>
      <c r="CI89" s="53">
        <f t="shared" si="20"/>
        <v>0</v>
      </c>
      <c r="CJ89" s="42">
        <f t="shared" si="21"/>
        <v>0</v>
      </c>
    </row>
    <row r="90" spans="2:88" ht="12.5" customHeight="1" x14ac:dyDescent="0.35">
      <c r="B90" s="4">
        <v>101038</v>
      </c>
      <c r="C90" s="14" t="s">
        <v>96</v>
      </c>
      <c r="D90" s="4">
        <v>24</v>
      </c>
      <c r="E90" s="5">
        <v>24</v>
      </c>
      <c r="F90" s="6">
        <v>189.29879107400001</v>
      </c>
      <c r="G90" s="1"/>
      <c r="H90" s="3"/>
      <c r="I90" s="3">
        <v>10</v>
      </c>
      <c r="J90" s="3"/>
      <c r="K90" s="3"/>
      <c r="L90" s="9">
        <f t="shared" si="11"/>
        <v>0.41666666666666669</v>
      </c>
      <c r="M90" s="10">
        <f t="shared" si="12"/>
        <v>0.41666666666666669</v>
      </c>
      <c r="N90" s="11">
        <f t="shared" si="13"/>
        <v>0.41666666666666669</v>
      </c>
      <c r="O90" s="3">
        <f t="shared" si="22"/>
        <v>10</v>
      </c>
      <c r="P90" s="12">
        <f t="shared" si="22"/>
        <v>1892.9879107400002</v>
      </c>
      <c r="R90" s="21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24">
        <f t="shared" si="15"/>
        <v>0</v>
      </c>
      <c r="AY90" s="21">
        <f>Asghar!J90+shahzad!J90+Fahad!J90+Asif!J90+sumair!J90</f>
        <v>0</v>
      </c>
      <c r="AZ90" s="21">
        <f>Asghar!N90+shahzad!N90+Fahad!N90+Asif!N90+sumair!N90</f>
        <v>0</v>
      </c>
      <c r="BA90" s="21">
        <f>Asghar!R90+shahzad!R90+Fahad!R90+Asif!R90+sumair!R90</f>
        <v>0</v>
      </c>
      <c r="BB90" s="21">
        <f>Asghar!V90+shahzad!V90+Fahad!V90+Asif!V90+sumair!V90</f>
        <v>0</v>
      </c>
      <c r="BC90" s="21">
        <f>Asghar!Z90+shahzad!Z90+Fahad!Z90+Asif!Z90+sumair!Z90</f>
        <v>0</v>
      </c>
      <c r="BD90" s="21">
        <f>Asghar!AD90+shahzad!AD90+Fahad!AD90+Asif!AD90+sumair!AD90</f>
        <v>0</v>
      </c>
      <c r="BE90" s="21">
        <f>Asghar!AH90+shahzad!AH90+Fahad!AH90+Asif!AH90+sumair!AH90</f>
        <v>0</v>
      </c>
      <c r="BF90" s="21">
        <f>Asghar!AL90+shahzad!AL90+Fahad!AL90+Asif!AL90+sumair!AL90</f>
        <v>0</v>
      </c>
      <c r="BG90" s="21">
        <f>Asghar!AP90+shahzad!AP90+Fahad!AP90+Asif!AP90+sumair!AP90</f>
        <v>0</v>
      </c>
      <c r="BH90" s="21">
        <f>Asghar!AT90+shahzad!AT90+Fahad!AT90+Asif!AT90+sumair!AT90</f>
        <v>0</v>
      </c>
      <c r="BI90" s="21">
        <f>Asghar!AX90+shahzad!AX90+Fahad!AX90+Asif!AX90+sumair!AX90</f>
        <v>0</v>
      </c>
      <c r="BJ90" s="21">
        <f>Asghar!BB90+shahzad!BB90+Fahad!BB90+Asif!BB90+sumair!BB90</f>
        <v>0</v>
      </c>
      <c r="BK90" s="21">
        <f>Asghar!BF90+shahzad!BF90+Fahad!BF90+Asif!BF90+sumair!BF90</f>
        <v>0</v>
      </c>
      <c r="BL90" s="21">
        <f>Asghar!BJ90+shahzad!BJ90+Fahad!BJ90+Asif!BJ90+sumair!BJ90</f>
        <v>0</v>
      </c>
      <c r="BM90" s="21">
        <f>Asghar!BN90+shahzad!BN90+Fahad!BN90+Asif!BN90+sumair!BN90</f>
        <v>0</v>
      </c>
      <c r="BN90" s="21">
        <f>Asghar!BR90+shahzad!BR90+Fahad!BR90+Asif!BR90+sumair!BR90</f>
        <v>0</v>
      </c>
      <c r="BO90" s="21">
        <f>Asghar!BV90+shahzad!BV90+Fahad!BV90+Asif!BV90+sumair!BV90</f>
        <v>0</v>
      </c>
      <c r="BP90" s="21">
        <f>Asghar!BZ90+shahzad!BZ90+Fahad!BZ90+Asif!BZ90+sumair!BZ90</f>
        <v>0</v>
      </c>
      <c r="BQ90" s="21">
        <f>Asghar!CD90+shahzad!CD90+Fahad!CD90+Asif!CD90+sumair!CD90</f>
        <v>0</v>
      </c>
      <c r="BR90" s="21">
        <f>Asghar!CH90+shahzad!CH90+Fahad!CH90+Asif!CH90+sumair!CH90</f>
        <v>0</v>
      </c>
      <c r="BS90" s="21">
        <f>Asghar!CL90+shahzad!CL90+Fahad!CL90+Asif!CL90+sumair!CL90</f>
        <v>0</v>
      </c>
      <c r="BT90" s="21">
        <f>Asghar!CP90+shahzad!CP90+Fahad!CP90+Asif!CP90+sumair!CP90</f>
        <v>0</v>
      </c>
      <c r="BU90" s="21">
        <f>Asghar!CT90+shahzad!CT90+Fahad!CT90+Asif!CT90+sumair!CT90</f>
        <v>0</v>
      </c>
      <c r="BV90" s="21">
        <f>Asghar!CX90+shahzad!CX90+Fahad!CX90+Asif!CX90+sumair!CX90</f>
        <v>0</v>
      </c>
      <c r="BW90" s="21">
        <f>Asghar!DB90+shahzad!DB90+Fahad!DB90+Asif!DB90+sumair!DB90</f>
        <v>0</v>
      </c>
      <c r="BX90" s="21">
        <f>Asghar!DF90+shahzad!DF90+Fahad!DF90+Asif!DF90+sumair!DF90</f>
        <v>0</v>
      </c>
      <c r="BY90" s="21">
        <f>Asghar!DJ90+shahzad!DJ90+Fahad!DJ90+Asif!DJ90+sumair!DJ90</f>
        <v>0</v>
      </c>
      <c r="BZ90" s="21">
        <f>Asghar!DN90+shahzad!DN90+Fahad!DN90+Asif!DN90+sumair!DN90</f>
        <v>0</v>
      </c>
      <c r="CA90" s="21">
        <f>Asghar!DR90+shahzad!DR90+Fahad!DR90+Asif!DR90+sumair!DR90</f>
        <v>0</v>
      </c>
      <c r="CB90" s="21">
        <f>Asghar!DV90+shahzad!DV90+Fahad!DV90+Asif!DV90+sumair!DV90</f>
        <v>0</v>
      </c>
      <c r="CC90" s="21">
        <f>Asghar!DZ90+shahzad!DZ90+Fahad!DZ90+Asif!DZ90+sumair!DZ90</f>
        <v>0</v>
      </c>
      <c r="CD90" s="54">
        <f t="shared" si="16"/>
        <v>0</v>
      </c>
      <c r="CF90" s="28">
        <f t="shared" si="17"/>
        <v>0.41666666666666669</v>
      </c>
      <c r="CG90" s="30">
        <f t="shared" si="18"/>
        <v>0</v>
      </c>
      <c r="CH90" s="41">
        <f t="shared" si="19"/>
        <v>0.41666666666666669</v>
      </c>
      <c r="CI90" s="53">
        <f t="shared" si="20"/>
        <v>0</v>
      </c>
      <c r="CJ90" s="42">
        <f t="shared" si="21"/>
        <v>0.41666666666666669</v>
      </c>
    </row>
    <row r="91" spans="2:88" ht="12.5" customHeight="1" x14ac:dyDescent="0.35">
      <c r="B91" s="4">
        <v>101936</v>
      </c>
      <c r="C91" s="14" t="s">
        <v>97</v>
      </c>
      <c r="D91" s="4">
        <v>12</v>
      </c>
      <c r="E91" s="5">
        <v>8</v>
      </c>
      <c r="F91" s="6">
        <v>481.09632499999998</v>
      </c>
      <c r="G91" s="1"/>
      <c r="H91" s="3">
        <v>1</v>
      </c>
      <c r="I91" s="3">
        <v>7</v>
      </c>
      <c r="J91" s="3"/>
      <c r="K91" s="3"/>
      <c r="L91" s="9">
        <f t="shared" si="11"/>
        <v>0.875</v>
      </c>
      <c r="M91" s="10">
        <f t="shared" si="12"/>
        <v>0.875</v>
      </c>
      <c r="N91" s="11">
        <f t="shared" si="13"/>
        <v>1.875</v>
      </c>
      <c r="O91" s="3">
        <f t="shared" si="22"/>
        <v>15</v>
      </c>
      <c r="P91" s="12">
        <f t="shared" si="22"/>
        <v>7216.4448749999992</v>
      </c>
      <c r="R91" s="21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24">
        <f t="shared" si="15"/>
        <v>0</v>
      </c>
      <c r="AY91" s="21">
        <f>Asghar!J91+shahzad!J91+Fahad!J91+Asif!J91+sumair!J91</f>
        <v>0</v>
      </c>
      <c r="AZ91" s="21">
        <f>Asghar!N91+shahzad!N91+Fahad!N91+Asif!N91+sumair!N91</f>
        <v>0</v>
      </c>
      <c r="BA91" s="21">
        <f>Asghar!R91+shahzad!R91+Fahad!R91+Asif!R91+sumair!R91</f>
        <v>0</v>
      </c>
      <c r="BB91" s="21">
        <f>Asghar!V91+shahzad!V91+Fahad!V91+Asif!V91+sumair!V91</f>
        <v>0</v>
      </c>
      <c r="BC91" s="21">
        <f>Asghar!Z91+shahzad!Z91+Fahad!Z91+Asif!Z91+sumair!Z91</f>
        <v>0</v>
      </c>
      <c r="BD91" s="21">
        <f>Asghar!AD91+shahzad!AD91+Fahad!AD91+Asif!AD91+sumair!AD91</f>
        <v>0</v>
      </c>
      <c r="BE91" s="21">
        <f>Asghar!AH91+shahzad!AH91+Fahad!AH91+Asif!AH91+sumair!AH91</f>
        <v>0</v>
      </c>
      <c r="BF91" s="21">
        <f>Asghar!AL91+shahzad!AL91+Fahad!AL91+Asif!AL91+sumair!AL91</f>
        <v>0</v>
      </c>
      <c r="BG91" s="21">
        <f>Asghar!AP91+shahzad!AP91+Fahad!AP91+Asif!AP91+sumair!AP91</f>
        <v>0</v>
      </c>
      <c r="BH91" s="21">
        <f>Asghar!AT91+shahzad!AT91+Fahad!AT91+Asif!AT91+sumair!AT91</f>
        <v>0</v>
      </c>
      <c r="BI91" s="21">
        <f>Asghar!AX91+shahzad!AX91+Fahad!AX91+Asif!AX91+sumair!AX91</f>
        <v>0</v>
      </c>
      <c r="BJ91" s="21">
        <f>Asghar!BB91+shahzad!BB91+Fahad!BB91+Asif!BB91+sumair!BB91</f>
        <v>0</v>
      </c>
      <c r="BK91" s="21">
        <f>Asghar!BF91+shahzad!BF91+Fahad!BF91+Asif!BF91+sumair!BF91</f>
        <v>0</v>
      </c>
      <c r="BL91" s="21">
        <f>Asghar!BJ91+shahzad!BJ91+Fahad!BJ91+Asif!BJ91+sumair!BJ91</f>
        <v>0</v>
      </c>
      <c r="BM91" s="21">
        <f>Asghar!BN91+shahzad!BN91+Fahad!BN91+Asif!BN91+sumair!BN91</f>
        <v>0</v>
      </c>
      <c r="BN91" s="21">
        <f>Asghar!BR91+shahzad!BR91+Fahad!BR91+Asif!BR91+sumair!BR91</f>
        <v>0</v>
      </c>
      <c r="BO91" s="21">
        <f>Asghar!BV91+shahzad!BV91+Fahad!BV91+Asif!BV91+sumair!BV91</f>
        <v>0</v>
      </c>
      <c r="BP91" s="21">
        <f>Asghar!BZ91+shahzad!BZ91+Fahad!BZ91+Asif!BZ91+sumair!BZ91</f>
        <v>0</v>
      </c>
      <c r="BQ91" s="21">
        <f>Asghar!CD91+shahzad!CD91+Fahad!CD91+Asif!CD91+sumair!CD91</f>
        <v>0</v>
      </c>
      <c r="BR91" s="21">
        <f>Asghar!CH91+shahzad!CH91+Fahad!CH91+Asif!CH91+sumair!CH91</f>
        <v>0</v>
      </c>
      <c r="BS91" s="21">
        <f>Asghar!CL91+shahzad!CL91+Fahad!CL91+Asif!CL91+sumair!CL91</f>
        <v>0</v>
      </c>
      <c r="BT91" s="21">
        <f>Asghar!CP91+shahzad!CP91+Fahad!CP91+Asif!CP91+sumair!CP91</f>
        <v>0</v>
      </c>
      <c r="BU91" s="21">
        <f>Asghar!CT91+shahzad!CT91+Fahad!CT91+Asif!CT91+sumair!CT91</f>
        <v>0</v>
      </c>
      <c r="BV91" s="21">
        <f>Asghar!CX91+shahzad!CX91+Fahad!CX91+Asif!CX91+sumair!CX91</f>
        <v>0</v>
      </c>
      <c r="BW91" s="21">
        <f>Asghar!DB91+shahzad!DB91+Fahad!DB91+Asif!DB91+sumair!DB91</f>
        <v>0</v>
      </c>
      <c r="BX91" s="21">
        <f>Asghar!DF91+shahzad!DF91+Fahad!DF91+Asif!DF91+sumair!DF91</f>
        <v>0</v>
      </c>
      <c r="BY91" s="21">
        <f>Asghar!DJ91+shahzad!DJ91+Fahad!DJ91+Asif!DJ91+sumair!DJ91</f>
        <v>0</v>
      </c>
      <c r="BZ91" s="21">
        <f>Asghar!DN91+shahzad!DN91+Fahad!DN91+Asif!DN91+sumair!DN91</f>
        <v>0</v>
      </c>
      <c r="CA91" s="21">
        <f>Asghar!DR91+shahzad!DR91+Fahad!DR91+Asif!DR91+sumair!DR91</f>
        <v>0</v>
      </c>
      <c r="CB91" s="21">
        <f>Asghar!DV91+shahzad!DV91+Fahad!DV91+Asif!DV91+sumair!DV91</f>
        <v>0</v>
      </c>
      <c r="CC91" s="21">
        <f>Asghar!DZ91+shahzad!DZ91+Fahad!DZ91+Asif!DZ91+sumair!DZ91</f>
        <v>0</v>
      </c>
      <c r="CD91" s="54">
        <f t="shared" si="16"/>
        <v>0</v>
      </c>
      <c r="CF91" s="28">
        <f t="shared" si="17"/>
        <v>1.875</v>
      </c>
      <c r="CG91" s="30">
        <f t="shared" si="18"/>
        <v>0</v>
      </c>
      <c r="CH91" s="41">
        <f t="shared" si="19"/>
        <v>1.875</v>
      </c>
      <c r="CI91" s="53">
        <f t="shared" si="20"/>
        <v>0</v>
      </c>
      <c r="CJ91" s="42">
        <f t="shared" si="21"/>
        <v>1.875</v>
      </c>
    </row>
    <row r="92" spans="2:88" ht="12.5" customHeight="1" x14ac:dyDescent="0.35">
      <c r="B92" s="4">
        <v>106021</v>
      </c>
      <c r="C92" s="14" t="s">
        <v>98</v>
      </c>
      <c r="D92" s="4">
        <v>24</v>
      </c>
      <c r="E92" s="5">
        <v>18</v>
      </c>
      <c r="F92" s="6">
        <v>189.29879107400001</v>
      </c>
      <c r="G92" s="1"/>
      <c r="H92" s="3"/>
      <c r="I92" s="3"/>
      <c r="J92" s="3"/>
      <c r="K92" s="3"/>
      <c r="L92" s="9">
        <f t="shared" si="11"/>
        <v>0</v>
      </c>
      <c r="M92" s="10">
        <f t="shared" si="12"/>
        <v>0</v>
      </c>
      <c r="N92" s="11">
        <f t="shared" si="13"/>
        <v>0</v>
      </c>
      <c r="O92" s="3">
        <f t="shared" si="22"/>
        <v>0</v>
      </c>
      <c r="P92" s="12">
        <f t="shared" si="22"/>
        <v>0</v>
      </c>
      <c r="R92" s="21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24">
        <f t="shared" si="15"/>
        <v>0</v>
      </c>
      <c r="AY92" s="21">
        <f>Asghar!J92+shahzad!J92+Fahad!J92+Asif!J92+sumair!J92</f>
        <v>0</v>
      </c>
      <c r="AZ92" s="21">
        <f>Asghar!N92+shahzad!N92+Fahad!N92+Asif!N92+sumair!N92</f>
        <v>0</v>
      </c>
      <c r="BA92" s="21">
        <f>Asghar!R92+shahzad!R92+Fahad!R92+Asif!R92+sumair!R92</f>
        <v>0</v>
      </c>
      <c r="BB92" s="21">
        <f>Asghar!V92+shahzad!V92+Fahad!V92+Asif!V92+sumair!V92</f>
        <v>0</v>
      </c>
      <c r="BC92" s="21">
        <f>Asghar!Z92+shahzad!Z92+Fahad!Z92+Asif!Z92+sumair!Z92</f>
        <v>0</v>
      </c>
      <c r="BD92" s="21">
        <f>Asghar!AD92+shahzad!AD92+Fahad!AD92+Asif!AD92+sumair!AD92</f>
        <v>0</v>
      </c>
      <c r="BE92" s="21">
        <f>Asghar!AH92+shahzad!AH92+Fahad!AH92+Asif!AH92+sumair!AH92</f>
        <v>0</v>
      </c>
      <c r="BF92" s="21">
        <f>Asghar!AL92+shahzad!AL92+Fahad!AL92+Asif!AL92+sumair!AL92</f>
        <v>0</v>
      </c>
      <c r="BG92" s="21">
        <f>Asghar!AP92+shahzad!AP92+Fahad!AP92+Asif!AP92+sumair!AP92</f>
        <v>0</v>
      </c>
      <c r="BH92" s="21">
        <f>Asghar!AT92+shahzad!AT92+Fahad!AT92+Asif!AT92+sumair!AT92</f>
        <v>0</v>
      </c>
      <c r="BI92" s="21">
        <f>Asghar!AX92+shahzad!AX92+Fahad!AX92+Asif!AX92+sumair!AX92</f>
        <v>0</v>
      </c>
      <c r="BJ92" s="21">
        <f>Asghar!BB92+shahzad!BB92+Fahad!BB92+Asif!BB92+sumair!BB92</f>
        <v>0</v>
      </c>
      <c r="BK92" s="21">
        <f>Asghar!BF92+shahzad!BF92+Fahad!BF92+Asif!BF92+sumair!BF92</f>
        <v>0</v>
      </c>
      <c r="BL92" s="21">
        <f>Asghar!BJ92+shahzad!BJ92+Fahad!BJ92+Asif!BJ92+sumair!BJ92</f>
        <v>0</v>
      </c>
      <c r="BM92" s="21">
        <f>Asghar!BN92+shahzad!BN92+Fahad!BN92+Asif!BN92+sumair!BN92</f>
        <v>0</v>
      </c>
      <c r="BN92" s="21">
        <f>Asghar!BR92+shahzad!BR92+Fahad!BR92+Asif!BR92+sumair!BR92</f>
        <v>0</v>
      </c>
      <c r="BO92" s="21">
        <f>Asghar!BV92+shahzad!BV92+Fahad!BV92+Asif!BV92+sumair!BV92</f>
        <v>0</v>
      </c>
      <c r="BP92" s="21">
        <f>Asghar!BZ92+shahzad!BZ92+Fahad!BZ92+Asif!BZ92+sumair!BZ92</f>
        <v>0</v>
      </c>
      <c r="BQ92" s="21">
        <f>Asghar!CD92+shahzad!CD92+Fahad!CD92+Asif!CD92+sumair!CD92</f>
        <v>0</v>
      </c>
      <c r="BR92" s="21">
        <f>Asghar!CH92+shahzad!CH92+Fahad!CH92+Asif!CH92+sumair!CH92</f>
        <v>0</v>
      </c>
      <c r="BS92" s="21">
        <f>Asghar!CL92+shahzad!CL92+Fahad!CL92+Asif!CL92+sumair!CL92</f>
        <v>0</v>
      </c>
      <c r="BT92" s="21">
        <f>Asghar!CP92+shahzad!CP92+Fahad!CP92+Asif!CP92+sumair!CP92</f>
        <v>0</v>
      </c>
      <c r="BU92" s="21">
        <f>Asghar!CT92+shahzad!CT92+Fahad!CT92+Asif!CT92+sumair!CT92</f>
        <v>0</v>
      </c>
      <c r="BV92" s="21">
        <f>Asghar!CX92+shahzad!CX92+Fahad!CX92+Asif!CX92+sumair!CX92</f>
        <v>0</v>
      </c>
      <c r="BW92" s="21">
        <f>Asghar!DB92+shahzad!DB92+Fahad!DB92+Asif!DB92+sumair!DB92</f>
        <v>0</v>
      </c>
      <c r="BX92" s="21">
        <f>Asghar!DF92+shahzad!DF92+Fahad!DF92+Asif!DF92+sumair!DF92</f>
        <v>0</v>
      </c>
      <c r="BY92" s="21">
        <f>Asghar!DJ92+shahzad!DJ92+Fahad!DJ92+Asif!DJ92+sumair!DJ92</f>
        <v>0</v>
      </c>
      <c r="BZ92" s="21">
        <f>Asghar!DN92+shahzad!DN92+Fahad!DN92+Asif!DN92+sumair!DN92</f>
        <v>0</v>
      </c>
      <c r="CA92" s="21">
        <f>Asghar!DR92+shahzad!DR92+Fahad!DR92+Asif!DR92+sumair!DR92</f>
        <v>0</v>
      </c>
      <c r="CB92" s="21">
        <f>Asghar!DV92+shahzad!DV92+Fahad!DV92+Asif!DV92+sumair!DV92</f>
        <v>0</v>
      </c>
      <c r="CC92" s="21">
        <f>Asghar!DZ92+shahzad!DZ92+Fahad!DZ92+Asif!DZ92+sumair!DZ92</f>
        <v>0</v>
      </c>
      <c r="CD92" s="54">
        <f t="shared" si="16"/>
        <v>0</v>
      </c>
      <c r="CF92" s="28">
        <f t="shared" si="17"/>
        <v>0</v>
      </c>
      <c r="CG92" s="30">
        <f t="shared" si="18"/>
        <v>0</v>
      </c>
      <c r="CH92" s="41">
        <f t="shared" si="19"/>
        <v>0</v>
      </c>
      <c r="CI92" s="53">
        <f t="shared" si="20"/>
        <v>0</v>
      </c>
      <c r="CJ92" s="42">
        <f t="shared" si="21"/>
        <v>0</v>
      </c>
    </row>
    <row r="93" spans="2:88" ht="12.5" customHeight="1" x14ac:dyDescent="0.35">
      <c r="B93" s="4">
        <v>106510</v>
      </c>
      <c r="C93" s="14" t="s">
        <v>99</v>
      </c>
      <c r="D93" s="4">
        <v>12</v>
      </c>
      <c r="E93" s="5">
        <v>18</v>
      </c>
      <c r="F93" s="6">
        <v>190.31564392000001</v>
      </c>
      <c r="G93" s="1"/>
      <c r="H93" s="3">
        <v>17</v>
      </c>
      <c r="I93" s="3">
        <v>15</v>
      </c>
      <c r="J93" s="3"/>
      <c r="K93" s="3"/>
      <c r="L93" s="9">
        <f t="shared" si="11"/>
        <v>0.83333333333333337</v>
      </c>
      <c r="M93" s="10">
        <f t="shared" si="12"/>
        <v>0.83333333333333337</v>
      </c>
      <c r="N93" s="11">
        <f t="shared" si="13"/>
        <v>17.833333333333332</v>
      </c>
      <c r="O93" s="3">
        <f t="shared" si="22"/>
        <v>321</v>
      </c>
      <c r="P93" s="12">
        <f t="shared" si="22"/>
        <v>61091.321698320004</v>
      </c>
      <c r="R93" s="21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24">
        <f t="shared" si="15"/>
        <v>0</v>
      </c>
      <c r="AY93" s="21">
        <f>Asghar!J93+shahzad!J93+Fahad!J93+Asif!J93+sumair!J93</f>
        <v>0</v>
      </c>
      <c r="AZ93" s="21">
        <f>Asghar!N93+shahzad!N93+Fahad!N93+Asif!N93+sumair!N93</f>
        <v>0</v>
      </c>
      <c r="BA93" s="21">
        <f>Asghar!R93+shahzad!R93+Fahad!R93+Asif!R93+sumair!R93</f>
        <v>0</v>
      </c>
      <c r="BB93" s="21">
        <f>Asghar!V93+shahzad!V93+Fahad!V93+Asif!V93+sumair!V93</f>
        <v>0</v>
      </c>
      <c r="BC93" s="21">
        <f>Asghar!Z93+shahzad!Z93+Fahad!Z93+Asif!Z93+sumair!Z93</f>
        <v>0</v>
      </c>
      <c r="BD93" s="21">
        <f>Asghar!AD93+shahzad!AD93+Fahad!AD93+Asif!AD93+sumair!AD93</f>
        <v>0</v>
      </c>
      <c r="BE93" s="21">
        <f>Asghar!AH93+shahzad!AH93+Fahad!AH93+Asif!AH93+sumair!AH93</f>
        <v>0</v>
      </c>
      <c r="BF93" s="21">
        <f>Asghar!AL93+shahzad!AL93+Fahad!AL93+Asif!AL93+sumair!AL93</f>
        <v>0</v>
      </c>
      <c r="BG93" s="21">
        <f>Asghar!AP93+shahzad!AP93+Fahad!AP93+Asif!AP93+sumair!AP93</f>
        <v>0</v>
      </c>
      <c r="BH93" s="21">
        <f>Asghar!AT93+shahzad!AT93+Fahad!AT93+Asif!AT93+sumair!AT93</f>
        <v>0</v>
      </c>
      <c r="BI93" s="21">
        <f>Asghar!AX93+shahzad!AX93+Fahad!AX93+Asif!AX93+sumair!AX93</f>
        <v>0</v>
      </c>
      <c r="BJ93" s="21">
        <f>Asghar!BB93+shahzad!BB93+Fahad!BB93+Asif!BB93+sumair!BB93</f>
        <v>0</v>
      </c>
      <c r="BK93" s="21">
        <f>Asghar!BF93+shahzad!BF93+Fahad!BF93+Asif!BF93+sumair!BF93</f>
        <v>0</v>
      </c>
      <c r="BL93" s="21">
        <f>Asghar!BJ93+shahzad!BJ93+Fahad!BJ93+Asif!BJ93+sumair!BJ93</f>
        <v>0</v>
      </c>
      <c r="BM93" s="21">
        <f>Asghar!BN93+shahzad!BN93+Fahad!BN93+Asif!BN93+sumair!BN93</f>
        <v>0</v>
      </c>
      <c r="BN93" s="21">
        <f>Asghar!BR93+shahzad!BR93+Fahad!BR93+Asif!BR93+sumair!BR93</f>
        <v>0</v>
      </c>
      <c r="BO93" s="21">
        <f>Asghar!BV93+shahzad!BV93+Fahad!BV93+Asif!BV93+sumair!BV93</f>
        <v>0</v>
      </c>
      <c r="BP93" s="21">
        <f>Asghar!BZ93+shahzad!BZ93+Fahad!BZ93+Asif!BZ93+sumair!BZ93</f>
        <v>0</v>
      </c>
      <c r="BQ93" s="21">
        <f>Asghar!CD93+shahzad!CD93+Fahad!CD93+Asif!CD93+sumair!CD93</f>
        <v>0</v>
      </c>
      <c r="BR93" s="21">
        <f>Asghar!CH93+shahzad!CH93+Fahad!CH93+Asif!CH93+sumair!CH93</f>
        <v>0</v>
      </c>
      <c r="BS93" s="21">
        <f>Asghar!CL93+shahzad!CL93+Fahad!CL93+Asif!CL93+sumair!CL93</f>
        <v>0</v>
      </c>
      <c r="BT93" s="21">
        <f>Asghar!CP93+shahzad!CP93+Fahad!CP93+Asif!CP93+sumair!CP93</f>
        <v>0</v>
      </c>
      <c r="BU93" s="21">
        <f>Asghar!CT93+shahzad!CT93+Fahad!CT93+Asif!CT93+sumair!CT93</f>
        <v>0</v>
      </c>
      <c r="BV93" s="21">
        <f>Asghar!CX93+shahzad!CX93+Fahad!CX93+Asif!CX93+sumair!CX93</f>
        <v>0</v>
      </c>
      <c r="BW93" s="21">
        <f>Asghar!DB93+shahzad!DB93+Fahad!DB93+Asif!DB93+sumair!DB93</f>
        <v>0</v>
      </c>
      <c r="BX93" s="21">
        <f>Asghar!DF93+shahzad!DF93+Fahad!DF93+Asif!DF93+sumair!DF93</f>
        <v>0</v>
      </c>
      <c r="BY93" s="21">
        <f>Asghar!DJ93+shahzad!DJ93+Fahad!DJ93+Asif!DJ93+sumair!DJ93</f>
        <v>0</v>
      </c>
      <c r="BZ93" s="21">
        <f>Asghar!DN93+shahzad!DN93+Fahad!DN93+Asif!DN93+sumair!DN93</f>
        <v>0</v>
      </c>
      <c r="CA93" s="21">
        <f>Asghar!DR93+shahzad!DR93+Fahad!DR93+Asif!DR93+sumair!DR93</f>
        <v>0</v>
      </c>
      <c r="CB93" s="21">
        <f>Asghar!DV93+shahzad!DV93+Fahad!DV93+Asif!DV93+sumair!DV93</f>
        <v>0</v>
      </c>
      <c r="CC93" s="21">
        <f>Asghar!DZ93+shahzad!DZ93+Fahad!DZ93+Asif!DZ93+sumair!DZ93</f>
        <v>0</v>
      </c>
      <c r="CD93" s="54">
        <f t="shared" si="16"/>
        <v>0</v>
      </c>
      <c r="CF93" s="28">
        <f t="shared" si="17"/>
        <v>17.833333333333332</v>
      </c>
      <c r="CG93" s="30">
        <f t="shared" si="18"/>
        <v>0</v>
      </c>
      <c r="CH93" s="41">
        <f t="shared" si="19"/>
        <v>17.833333333333332</v>
      </c>
      <c r="CI93" s="53">
        <f t="shared" si="20"/>
        <v>0</v>
      </c>
      <c r="CJ93" s="42">
        <f t="shared" si="21"/>
        <v>17.833333333333332</v>
      </c>
    </row>
    <row r="94" spans="2:88" ht="12.5" customHeight="1" x14ac:dyDescent="0.35">
      <c r="B94" s="4">
        <v>111201</v>
      </c>
      <c r="C94" s="14" t="s">
        <v>100</v>
      </c>
      <c r="D94" s="4">
        <v>50</v>
      </c>
      <c r="E94" s="5">
        <v>18</v>
      </c>
      <c r="F94" s="6">
        <v>198.24524392000001</v>
      </c>
      <c r="G94" s="1"/>
      <c r="H94" s="3"/>
      <c r="I94" s="3"/>
      <c r="J94" s="3"/>
      <c r="K94" s="3"/>
      <c r="L94" s="9">
        <f t="shared" si="11"/>
        <v>0</v>
      </c>
      <c r="M94" s="10">
        <f t="shared" si="12"/>
        <v>0</v>
      </c>
      <c r="N94" s="11">
        <f t="shared" si="13"/>
        <v>0</v>
      </c>
      <c r="O94" s="3">
        <f t="shared" si="22"/>
        <v>0</v>
      </c>
      <c r="P94" s="12">
        <f t="shared" si="22"/>
        <v>0</v>
      </c>
      <c r="R94" s="21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24">
        <f t="shared" si="15"/>
        <v>0</v>
      </c>
      <c r="AY94" s="21">
        <f>Asghar!J94+shahzad!J94+Fahad!J94+Asif!J94+sumair!J94</f>
        <v>0</v>
      </c>
      <c r="AZ94" s="21">
        <f>Asghar!N94+shahzad!N94+Fahad!N94+Asif!N94+sumair!N94</f>
        <v>0</v>
      </c>
      <c r="BA94" s="21">
        <f>Asghar!R94+shahzad!R94+Fahad!R94+Asif!R94+sumair!R94</f>
        <v>0</v>
      </c>
      <c r="BB94" s="21">
        <f>Asghar!V94+shahzad!V94+Fahad!V94+Asif!V94+sumair!V94</f>
        <v>0</v>
      </c>
      <c r="BC94" s="21">
        <f>Asghar!Z94+shahzad!Z94+Fahad!Z94+Asif!Z94+sumair!Z94</f>
        <v>0</v>
      </c>
      <c r="BD94" s="21">
        <f>Asghar!AD94+shahzad!AD94+Fahad!AD94+Asif!AD94+sumair!AD94</f>
        <v>0</v>
      </c>
      <c r="BE94" s="21">
        <f>Asghar!AH94+shahzad!AH94+Fahad!AH94+Asif!AH94+sumair!AH94</f>
        <v>0</v>
      </c>
      <c r="BF94" s="21">
        <f>Asghar!AL94+shahzad!AL94+Fahad!AL94+Asif!AL94+sumair!AL94</f>
        <v>0</v>
      </c>
      <c r="BG94" s="21">
        <f>Asghar!AP94+shahzad!AP94+Fahad!AP94+Asif!AP94+sumair!AP94</f>
        <v>0</v>
      </c>
      <c r="BH94" s="21">
        <f>Asghar!AT94+shahzad!AT94+Fahad!AT94+Asif!AT94+sumair!AT94</f>
        <v>0</v>
      </c>
      <c r="BI94" s="21">
        <f>Asghar!AX94+shahzad!AX94+Fahad!AX94+Asif!AX94+sumair!AX94</f>
        <v>0</v>
      </c>
      <c r="BJ94" s="21">
        <f>Asghar!BB94+shahzad!BB94+Fahad!BB94+Asif!BB94+sumair!BB94</f>
        <v>0</v>
      </c>
      <c r="BK94" s="21">
        <f>Asghar!BF94+shahzad!BF94+Fahad!BF94+Asif!BF94+sumair!BF94</f>
        <v>0</v>
      </c>
      <c r="BL94" s="21">
        <f>Asghar!BJ94+shahzad!BJ94+Fahad!BJ94+Asif!BJ94+sumair!BJ94</f>
        <v>0</v>
      </c>
      <c r="BM94" s="21">
        <f>Asghar!BN94+shahzad!BN94+Fahad!BN94+Asif!BN94+sumair!BN94</f>
        <v>0</v>
      </c>
      <c r="BN94" s="21">
        <f>Asghar!BR94+shahzad!BR94+Fahad!BR94+Asif!BR94+sumair!BR94</f>
        <v>0</v>
      </c>
      <c r="BO94" s="21">
        <f>Asghar!BV94+shahzad!BV94+Fahad!BV94+Asif!BV94+sumair!BV94</f>
        <v>0</v>
      </c>
      <c r="BP94" s="21">
        <f>Asghar!BZ94+shahzad!BZ94+Fahad!BZ94+Asif!BZ94+sumair!BZ94</f>
        <v>0</v>
      </c>
      <c r="BQ94" s="21">
        <f>Asghar!CD94+shahzad!CD94+Fahad!CD94+Asif!CD94+sumair!CD94</f>
        <v>0</v>
      </c>
      <c r="BR94" s="21">
        <f>Asghar!CH94+shahzad!CH94+Fahad!CH94+Asif!CH94+sumair!CH94</f>
        <v>0</v>
      </c>
      <c r="BS94" s="21">
        <f>Asghar!CL94+shahzad!CL94+Fahad!CL94+Asif!CL94+sumair!CL94</f>
        <v>0</v>
      </c>
      <c r="BT94" s="21">
        <f>Asghar!CP94+shahzad!CP94+Fahad!CP94+Asif!CP94+sumair!CP94</f>
        <v>0</v>
      </c>
      <c r="BU94" s="21">
        <f>Asghar!CT94+shahzad!CT94+Fahad!CT94+Asif!CT94+sumair!CT94</f>
        <v>0</v>
      </c>
      <c r="BV94" s="21">
        <f>Asghar!CX94+shahzad!CX94+Fahad!CX94+Asif!CX94+sumair!CX94</f>
        <v>0</v>
      </c>
      <c r="BW94" s="21">
        <f>Asghar!DB94+shahzad!DB94+Fahad!DB94+Asif!DB94+sumair!DB94</f>
        <v>0</v>
      </c>
      <c r="BX94" s="21">
        <f>Asghar!DF94+shahzad!DF94+Fahad!DF94+Asif!DF94+sumair!DF94</f>
        <v>0</v>
      </c>
      <c r="BY94" s="21">
        <f>Asghar!DJ94+shahzad!DJ94+Fahad!DJ94+Asif!DJ94+sumair!DJ94</f>
        <v>0</v>
      </c>
      <c r="BZ94" s="21">
        <f>Asghar!DN94+shahzad!DN94+Fahad!DN94+Asif!DN94+sumair!DN94</f>
        <v>0</v>
      </c>
      <c r="CA94" s="21">
        <f>Asghar!DR94+shahzad!DR94+Fahad!DR94+Asif!DR94+sumair!DR94</f>
        <v>0</v>
      </c>
      <c r="CB94" s="21">
        <f>Asghar!DV94+shahzad!DV94+Fahad!DV94+Asif!DV94+sumair!DV94</f>
        <v>0</v>
      </c>
      <c r="CC94" s="21">
        <f>Asghar!DZ94+shahzad!DZ94+Fahad!DZ94+Asif!DZ94+sumair!DZ94</f>
        <v>0</v>
      </c>
      <c r="CD94" s="54">
        <f t="shared" si="16"/>
        <v>0</v>
      </c>
      <c r="CF94" s="28">
        <f t="shared" si="17"/>
        <v>0</v>
      </c>
      <c r="CG94" s="30">
        <f t="shared" si="18"/>
        <v>0</v>
      </c>
      <c r="CH94" s="41">
        <f t="shared" si="19"/>
        <v>0</v>
      </c>
      <c r="CI94" s="53">
        <f t="shared" si="20"/>
        <v>0</v>
      </c>
      <c r="CJ94" s="42">
        <f t="shared" si="21"/>
        <v>0</v>
      </c>
    </row>
    <row r="95" spans="2:88" ht="12.5" customHeight="1" x14ac:dyDescent="0.35">
      <c r="B95" s="4">
        <v>111211</v>
      </c>
      <c r="C95" s="14" t="s">
        <v>101</v>
      </c>
      <c r="D95" s="4">
        <v>50</v>
      </c>
      <c r="E95" s="5">
        <v>18</v>
      </c>
      <c r="F95" s="6">
        <v>198.24524392000001</v>
      </c>
      <c r="G95" s="1"/>
      <c r="H95" s="3"/>
      <c r="I95" s="3"/>
      <c r="J95" s="3"/>
      <c r="K95" s="3"/>
      <c r="L95" s="9">
        <f t="shared" si="11"/>
        <v>0</v>
      </c>
      <c r="M95" s="10">
        <f t="shared" si="12"/>
        <v>0</v>
      </c>
      <c r="N95" s="11">
        <f t="shared" si="13"/>
        <v>0</v>
      </c>
      <c r="O95" s="3">
        <f t="shared" si="22"/>
        <v>0</v>
      </c>
      <c r="P95" s="12">
        <f t="shared" si="22"/>
        <v>0</v>
      </c>
      <c r="R95" s="21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24">
        <f t="shared" si="15"/>
        <v>0</v>
      </c>
      <c r="AY95" s="21">
        <f>Asghar!J95+shahzad!J95+Fahad!J95+Asif!J95+sumair!J95</f>
        <v>0</v>
      </c>
      <c r="AZ95" s="21">
        <f>Asghar!N95+shahzad!N95+Fahad!N95+Asif!N95+sumair!N95</f>
        <v>0</v>
      </c>
      <c r="BA95" s="21">
        <f>Asghar!R95+shahzad!R95+Fahad!R95+Asif!R95+sumair!R95</f>
        <v>0</v>
      </c>
      <c r="BB95" s="21">
        <f>Asghar!V95+shahzad!V95+Fahad!V95+Asif!V95+sumair!V95</f>
        <v>0</v>
      </c>
      <c r="BC95" s="21">
        <f>Asghar!Z95+shahzad!Z95+Fahad!Z95+Asif!Z95+sumair!Z95</f>
        <v>0</v>
      </c>
      <c r="BD95" s="21">
        <f>Asghar!AD95+shahzad!AD95+Fahad!AD95+Asif!AD95+sumair!AD95</f>
        <v>0</v>
      </c>
      <c r="BE95" s="21">
        <f>Asghar!AH95+shahzad!AH95+Fahad!AH95+Asif!AH95+sumair!AH95</f>
        <v>0</v>
      </c>
      <c r="BF95" s="21">
        <f>Asghar!AL95+shahzad!AL95+Fahad!AL95+Asif!AL95+sumair!AL95</f>
        <v>0</v>
      </c>
      <c r="BG95" s="21">
        <f>Asghar!AP95+shahzad!AP95+Fahad!AP95+Asif!AP95+sumair!AP95</f>
        <v>0</v>
      </c>
      <c r="BH95" s="21">
        <f>Asghar!AT95+shahzad!AT95+Fahad!AT95+Asif!AT95+sumair!AT95</f>
        <v>0</v>
      </c>
      <c r="BI95" s="21">
        <f>Asghar!AX95+shahzad!AX95+Fahad!AX95+Asif!AX95+sumair!AX95</f>
        <v>0</v>
      </c>
      <c r="BJ95" s="21">
        <f>Asghar!BB95+shahzad!BB95+Fahad!BB95+Asif!BB95+sumair!BB95</f>
        <v>0</v>
      </c>
      <c r="BK95" s="21">
        <f>Asghar!BF95+shahzad!BF95+Fahad!BF95+Asif!BF95+sumair!BF95</f>
        <v>0</v>
      </c>
      <c r="BL95" s="21">
        <f>Asghar!BJ95+shahzad!BJ95+Fahad!BJ95+Asif!BJ95+sumair!BJ95</f>
        <v>0</v>
      </c>
      <c r="BM95" s="21">
        <f>Asghar!BN95+shahzad!BN95+Fahad!BN95+Asif!BN95+sumair!BN95</f>
        <v>0</v>
      </c>
      <c r="BN95" s="21">
        <f>Asghar!BR95+shahzad!BR95+Fahad!BR95+Asif!BR95+sumair!BR95</f>
        <v>0</v>
      </c>
      <c r="BO95" s="21">
        <f>Asghar!BV95+shahzad!BV95+Fahad!BV95+Asif!BV95+sumair!BV95</f>
        <v>0</v>
      </c>
      <c r="BP95" s="21">
        <f>Asghar!BZ95+shahzad!BZ95+Fahad!BZ95+Asif!BZ95+sumair!BZ95</f>
        <v>0</v>
      </c>
      <c r="BQ95" s="21">
        <f>Asghar!CD95+shahzad!CD95+Fahad!CD95+Asif!CD95+sumair!CD95</f>
        <v>0</v>
      </c>
      <c r="BR95" s="21">
        <f>Asghar!CH95+shahzad!CH95+Fahad!CH95+Asif!CH95+sumair!CH95</f>
        <v>0</v>
      </c>
      <c r="BS95" s="21">
        <f>Asghar!CL95+shahzad!CL95+Fahad!CL95+Asif!CL95+sumair!CL95</f>
        <v>0</v>
      </c>
      <c r="BT95" s="21">
        <f>Asghar!CP95+shahzad!CP95+Fahad!CP95+Asif!CP95+sumair!CP95</f>
        <v>0</v>
      </c>
      <c r="BU95" s="21">
        <f>Asghar!CT95+shahzad!CT95+Fahad!CT95+Asif!CT95+sumair!CT95</f>
        <v>0</v>
      </c>
      <c r="BV95" s="21">
        <f>Asghar!CX95+shahzad!CX95+Fahad!CX95+Asif!CX95+sumair!CX95</f>
        <v>0</v>
      </c>
      <c r="BW95" s="21">
        <f>Asghar!DB95+shahzad!DB95+Fahad!DB95+Asif!DB95+sumair!DB95</f>
        <v>0</v>
      </c>
      <c r="BX95" s="21">
        <f>Asghar!DF95+shahzad!DF95+Fahad!DF95+Asif!DF95+sumair!DF95</f>
        <v>0</v>
      </c>
      <c r="BY95" s="21">
        <f>Asghar!DJ95+shahzad!DJ95+Fahad!DJ95+Asif!DJ95+sumair!DJ95</f>
        <v>0</v>
      </c>
      <c r="BZ95" s="21">
        <f>Asghar!DN95+shahzad!DN95+Fahad!DN95+Asif!DN95+sumair!DN95</f>
        <v>0</v>
      </c>
      <c r="CA95" s="21">
        <f>Asghar!DR95+shahzad!DR95+Fahad!DR95+Asif!DR95+sumair!DR95</f>
        <v>0</v>
      </c>
      <c r="CB95" s="21">
        <f>Asghar!DV95+shahzad!DV95+Fahad!DV95+Asif!DV95+sumair!DV95</f>
        <v>0</v>
      </c>
      <c r="CC95" s="21">
        <f>Asghar!DZ95+shahzad!DZ95+Fahad!DZ95+Asif!DZ95+sumair!DZ95</f>
        <v>0</v>
      </c>
      <c r="CD95" s="54">
        <f t="shared" si="16"/>
        <v>0</v>
      </c>
      <c r="CF95" s="28">
        <f t="shared" si="17"/>
        <v>0</v>
      </c>
      <c r="CG95" s="30">
        <f t="shared" si="18"/>
        <v>0</v>
      </c>
      <c r="CH95" s="41">
        <f t="shared" si="19"/>
        <v>0</v>
      </c>
      <c r="CI95" s="53">
        <f t="shared" si="20"/>
        <v>0</v>
      </c>
      <c r="CJ95" s="42">
        <f t="shared" si="21"/>
        <v>0</v>
      </c>
    </row>
    <row r="96" spans="2:88" ht="12.5" customHeight="1" x14ac:dyDescent="0.35">
      <c r="B96" s="4">
        <v>111221</v>
      </c>
      <c r="C96" s="14" t="s">
        <v>102</v>
      </c>
      <c r="D96" s="4">
        <v>50</v>
      </c>
      <c r="E96" s="5">
        <v>18</v>
      </c>
      <c r="F96" s="6">
        <v>198.24524392000001</v>
      </c>
      <c r="G96" s="1"/>
      <c r="H96" s="3"/>
      <c r="I96" s="3"/>
      <c r="J96" s="3"/>
      <c r="K96" s="3"/>
      <c r="L96" s="9">
        <f t="shared" si="11"/>
        <v>0</v>
      </c>
      <c r="M96" s="10">
        <f t="shared" si="12"/>
        <v>0</v>
      </c>
      <c r="N96" s="11">
        <f t="shared" si="13"/>
        <v>0</v>
      </c>
      <c r="O96" s="3">
        <f t="shared" si="22"/>
        <v>0</v>
      </c>
      <c r="P96" s="12">
        <f t="shared" si="22"/>
        <v>0</v>
      </c>
      <c r="R96" s="21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24">
        <f t="shared" si="15"/>
        <v>0</v>
      </c>
      <c r="AY96" s="21">
        <f>Asghar!J96+shahzad!J96+Fahad!J96+Asif!J96+sumair!J96</f>
        <v>0</v>
      </c>
      <c r="AZ96" s="21">
        <f>Asghar!N96+shahzad!N96+Fahad!N96+Asif!N96+sumair!N96</f>
        <v>0</v>
      </c>
      <c r="BA96" s="21">
        <f>Asghar!R96+shahzad!R96+Fahad!R96+Asif!R96+sumair!R96</f>
        <v>0</v>
      </c>
      <c r="BB96" s="21">
        <f>Asghar!V96+shahzad!V96+Fahad!V96+Asif!V96+sumair!V96</f>
        <v>0</v>
      </c>
      <c r="BC96" s="21">
        <f>Asghar!Z96+shahzad!Z96+Fahad!Z96+Asif!Z96+sumair!Z96</f>
        <v>0</v>
      </c>
      <c r="BD96" s="21">
        <f>Asghar!AD96+shahzad!AD96+Fahad!AD96+Asif!AD96+sumair!AD96</f>
        <v>0</v>
      </c>
      <c r="BE96" s="21">
        <f>Asghar!AH96+shahzad!AH96+Fahad!AH96+Asif!AH96+sumair!AH96</f>
        <v>0</v>
      </c>
      <c r="BF96" s="21">
        <f>Asghar!AL96+shahzad!AL96+Fahad!AL96+Asif!AL96+sumair!AL96</f>
        <v>0</v>
      </c>
      <c r="BG96" s="21">
        <f>Asghar!AP96+shahzad!AP96+Fahad!AP96+Asif!AP96+sumair!AP96</f>
        <v>0</v>
      </c>
      <c r="BH96" s="21">
        <f>Asghar!AT96+shahzad!AT96+Fahad!AT96+Asif!AT96+sumair!AT96</f>
        <v>0</v>
      </c>
      <c r="BI96" s="21">
        <f>Asghar!AX96+shahzad!AX96+Fahad!AX96+Asif!AX96+sumair!AX96</f>
        <v>0</v>
      </c>
      <c r="BJ96" s="21">
        <f>Asghar!BB96+shahzad!BB96+Fahad!BB96+Asif!BB96+sumair!BB96</f>
        <v>0</v>
      </c>
      <c r="BK96" s="21">
        <f>Asghar!BF96+shahzad!BF96+Fahad!BF96+Asif!BF96+sumair!BF96</f>
        <v>0</v>
      </c>
      <c r="BL96" s="21">
        <f>Asghar!BJ96+shahzad!BJ96+Fahad!BJ96+Asif!BJ96+sumair!BJ96</f>
        <v>0</v>
      </c>
      <c r="BM96" s="21">
        <f>Asghar!BN96+shahzad!BN96+Fahad!BN96+Asif!BN96+sumair!BN96</f>
        <v>0</v>
      </c>
      <c r="BN96" s="21">
        <f>Asghar!BR96+shahzad!BR96+Fahad!BR96+Asif!BR96+sumair!BR96</f>
        <v>0</v>
      </c>
      <c r="BO96" s="21">
        <f>Asghar!BV96+shahzad!BV96+Fahad!BV96+Asif!BV96+sumair!BV96</f>
        <v>0</v>
      </c>
      <c r="BP96" s="21">
        <f>Asghar!BZ96+shahzad!BZ96+Fahad!BZ96+Asif!BZ96+sumair!BZ96</f>
        <v>0</v>
      </c>
      <c r="BQ96" s="21">
        <f>Asghar!CD96+shahzad!CD96+Fahad!CD96+Asif!CD96+sumair!CD96</f>
        <v>0</v>
      </c>
      <c r="BR96" s="21">
        <f>Asghar!CH96+shahzad!CH96+Fahad!CH96+Asif!CH96+sumair!CH96</f>
        <v>0</v>
      </c>
      <c r="BS96" s="21">
        <f>Asghar!CL96+shahzad!CL96+Fahad!CL96+Asif!CL96+sumair!CL96</f>
        <v>0</v>
      </c>
      <c r="BT96" s="21">
        <f>Asghar!CP96+shahzad!CP96+Fahad!CP96+Asif!CP96+sumair!CP96</f>
        <v>0</v>
      </c>
      <c r="BU96" s="21">
        <f>Asghar!CT96+shahzad!CT96+Fahad!CT96+Asif!CT96+sumair!CT96</f>
        <v>0</v>
      </c>
      <c r="BV96" s="21">
        <f>Asghar!CX96+shahzad!CX96+Fahad!CX96+Asif!CX96+sumair!CX96</f>
        <v>0</v>
      </c>
      <c r="BW96" s="21">
        <f>Asghar!DB96+shahzad!DB96+Fahad!DB96+Asif!DB96+sumair!DB96</f>
        <v>0</v>
      </c>
      <c r="BX96" s="21">
        <f>Asghar!DF96+shahzad!DF96+Fahad!DF96+Asif!DF96+sumair!DF96</f>
        <v>0</v>
      </c>
      <c r="BY96" s="21">
        <f>Asghar!DJ96+shahzad!DJ96+Fahad!DJ96+Asif!DJ96+sumair!DJ96</f>
        <v>0</v>
      </c>
      <c r="BZ96" s="21">
        <f>Asghar!DN96+shahzad!DN96+Fahad!DN96+Asif!DN96+sumair!DN96</f>
        <v>0</v>
      </c>
      <c r="CA96" s="21">
        <f>Asghar!DR96+shahzad!DR96+Fahad!DR96+Asif!DR96+sumair!DR96</f>
        <v>0</v>
      </c>
      <c r="CB96" s="21">
        <f>Asghar!DV96+shahzad!DV96+Fahad!DV96+Asif!DV96+sumair!DV96</f>
        <v>0</v>
      </c>
      <c r="CC96" s="21">
        <f>Asghar!DZ96+shahzad!DZ96+Fahad!DZ96+Asif!DZ96+sumair!DZ96</f>
        <v>0</v>
      </c>
      <c r="CD96" s="54">
        <f t="shared" si="16"/>
        <v>0</v>
      </c>
      <c r="CF96" s="28">
        <f t="shared" si="17"/>
        <v>0</v>
      </c>
      <c r="CG96" s="30">
        <f t="shared" si="18"/>
        <v>0</v>
      </c>
      <c r="CH96" s="41">
        <f t="shared" si="19"/>
        <v>0</v>
      </c>
      <c r="CI96" s="53">
        <f t="shared" si="20"/>
        <v>0</v>
      </c>
      <c r="CJ96" s="42">
        <f t="shared" si="21"/>
        <v>0</v>
      </c>
    </row>
    <row r="97" spans="2:88" ht="12.5" customHeight="1" x14ac:dyDescent="0.35">
      <c r="B97" s="4">
        <v>111251</v>
      </c>
      <c r="C97" s="14" t="s">
        <v>103</v>
      </c>
      <c r="D97" s="4">
        <v>50</v>
      </c>
      <c r="E97" s="5">
        <v>18</v>
      </c>
      <c r="F97" s="6">
        <v>198.24524392000001</v>
      </c>
      <c r="G97" s="1"/>
      <c r="H97" s="3">
        <v>42</v>
      </c>
      <c r="I97" s="3"/>
      <c r="J97" s="3"/>
      <c r="K97" s="3"/>
      <c r="L97" s="9">
        <f t="shared" si="11"/>
        <v>0</v>
      </c>
      <c r="M97" s="10">
        <f t="shared" si="12"/>
        <v>0</v>
      </c>
      <c r="N97" s="11">
        <f t="shared" si="13"/>
        <v>42</v>
      </c>
      <c r="O97" s="3">
        <f t="shared" si="22"/>
        <v>756</v>
      </c>
      <c r="P97" s="12">
        <f t="shared" si="22"/>
        <v>149873.40440351999</v>
      </c>
      <c r="R97" s="21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24">
        <f t="shared" si="15"/>
        <v>0</v>
      </c>
      <c r="AY97" s="21">
        <f>Asghar!J97+shahzad!J97+Fahad!J97+Asif!J97+sumair!J97</f>
        <v>0</v>
      </c>
      <c r="AZ97" s="21">
        <f>Asghar!N97+shahzad!N97+Fahad!N97+Asif!N97+sumair!N97</f>
        <v>0</v>
      </c>
      <c r="BA97" s="21">
        <f>Asghar!R97+shahzad!R97+Fahad!R97+Asif!R97+sumair!R97</f>
        <v>0</v>
      </c>
      <c r="BB97" s="21">
        <f>Asghar!V97+shahzad!V97+Fahad!V97+Asif!V97+sumair!V97</f>
        <v>0</v>
      </c>
      <c r="BC97" s="21">
        <f>Asghar!Z97+shahzad!Z97+Fahad!Z97+Asif!Z97+sumair!Z97</f>
        <v>0</v>
      </c>
      <c r="BD97" s="21">
        <f>Asghar!AD97+shahzad!AD97+Fahad!AD97+Asif!AD97+sumair!AD97</f>
        <v>0</v>
      </c>
      <c r="BE97" s="21">
        <f>Asghar!AH97+shahzad!AH97+Fahad!AH97+Asif!AH97+sumair!AH97</f>
        <v>0</v>
      </c>
      <c r="BF97" s="21">
        <f>Asghar!AL97+shahzad!AL97+Fahad!AL97+Asif!AL97+sumair!AL97</f>
        <v>0</v>
      </c>
      <c r="BG97" s="21">
        <f>Asghar!AP97+shahzad!AP97+Fahad!AP97+Asif!AP97+sumair!AP97</f>
        <v>0</v>
      </c>
      <c r="BH97" s="21">
        <f>Asghar!AT97+shahzad!AT97+Fahad!AT97+Asif!AT97+sumair!AT97</f>
        <v>0</v>
      </c>
      <c r="BI97" s="21">
        <f>Asghar!AX97+shahzad!AX97+Fahad!AX97+Asif!AX97+sumair!AX97</f>
        <v>0</v>
      </c>
      <c r="BJ97" s="21">
        <f>Asghar!BB97+shahzad!BB97+Fahad!BB97+Asif!BB97+sumair!BB97</f>
        <v>0</v>
      </c>
      <c r="BK97" s="21">
        <f>Asghar!BF97+shahzad!BF97+Fahad!BF97+Asif!BF97+sumair!BF97</f>
        <v>0</v>
      </c>
      <c r="BL97" s="21">
        <f>Asghar!BJ97+shahzad!BJ97+Fahad!BJ97+Asif!BJ97+sumair!BJ97</f>
        <v>0</v>
      </c>
      <c r="BM97" s="21">
        <f>Asghar!BN97+shahzad!BN97+Fahad!BN97+Asif!BN97+sumair!BN97</f>
        <v>0</v>
      </c>
      <c r="BN97" s="21">
        <f>Asghar!BR97+shahzad!BR97+Fahad!BR97+Asif!BR97+sumair!BR97</f>
        <v>0</v>
      </c>
      <c r="BO97" s="21">
        <f>Asghar!BV97+shahzad!BV97+Fahad!BV97+Asif!BV97+sumair!BV97</f>
        <v>0</v>
      </c>
      <c r="BP97" s="21">
        <f>Asghar!BZ97+shahzad!BZ97+Fahad!BZ97+Asif!BZ97+sumair!BZ97</f>
        <v>0</v>
      </c>
      <c r="BQ97" s="21">
        <f>Asghar!CD97+shahzad!CD97+Fahad!CD97+Asif!CD97+sumair!CD97</f>
        <v>0</v>
      </c>
      <c r="BR97" s="21">
        <f>Asghar!CH97+shahzad!CH97+Fahad!CH97+Asif!CH97+sumair!CH97</f>
        <v>0</v>
      </c>
      <c r="BS97" s="21">
        <f>Asghar!CL97+shahzad!CL97+Fahad!CL97+Asif!CL97+sumair!CL97</f>
        <v>0</v>
      </c>
      <c r="BT97" s="21">
        <f>Asghar!CP97+shahzad!CP97+Fahad!CP97+Asif!CP97+sumair!CP97</f>
        <v>0</v>
      </c>
      <c r="BU97" s="21">
        <f>Asghar!CT97+shahzad!CT97+Fahad!CT97+Asif!CT97+sumair!CT97</f>
        <v>0</v>
      </c>
      <c r="BV97" s="21">
        <f>Asghar!CX97+shahzad!CX97+Fahad!CX97+Asif!CX97+sumair!CX97</f>
        <v>0</v>
      </c>
      <c r="BW97" s="21">
        <f>Asghar!DB97+shahzad!DB97+Fahad!DB97+Asif!DB97+sumair!DB97</f>
        <v>0</v>
      </c>
      <c r="BX97" s="21">
        <f>Asghar!DF97+shahzad!DF97+Fahad!DF97+Asif!DF97+sumair!DF97</f>
        <v>0</v>
      </c>
      <c r="BY97" s="21">
        <f>Asghar!DJ97+shahzad!DJ97+Fahad!DJ97+Asif!DJ97+sumair!DJ97</f>
        <v>0</v>
      </c>
      <c r="BZ97" s="21">
        <f>Asghar!DN97+shahzad!DN97+Fahad!DN97+Asif!DN97+sumair!DN97</f>
        <v>0</v>
      </c>
      <c r="CA97" s="21">
        <f>Asghar!DR97+shahzad!DR97+Fahad!DR97+Asif!DR97+sumair!DR97</f>
        <v>0</v>
      </c>
      <c r="CB97" s="21">
        <f>Asghar!DV97+shahzad!DV97+Fahad!DV97+Asif!DV97+sumair!DV97</f>
        <v>0</v>
      </c>
      <c r="CC97" s="21">
        <f>Asghar!DZ97+shahzad!DZ97+Fahad!DZ97+Asif!DZ97+sumair!DZ97</f>
        <v>0</v>
      </c>
      <c r="CD97" s="54">
        <f t="shared" si="16"/>
        <v>0</v>
      </c>
      <c r="CF97" s="28">
        <f t="shared" si="17"/>
        <v>42</v>
      </c>
      <c r="CG97" s="30">
        <f t="shared" si="18"/>
        <v>0</v>
      </c>
      <c r="CH97" s="41">
        <f t="shared" si="19"/>
        <v>42</v>
      </c>
      <c r="CI97" s="53">
        <f t="shared" si="20"/>
        <v>0</v>
      </c>
      <c r="CJ97" s="42">
        <f t="shared" si="21"/>
        <v>42</v>
      </c>
    </row>
    <row r="98" spans="2:88" ht="12.5" customHeight="1" x14ac:dyDescent="0.35">
      <c r="B98" s="4">
        <v>102162</v>
      </c>
      <c r="C98" s="14" t="s">
        <v>104</v>
      </c>
      <c r="D98" s="4">
        <v>50</v>
      </c>
      <c r="E98" s="5">
        <v>18</v>
      </c>
      <c r="F98" s="6">
        <v>200.47</v>
      </c>
      <c r="G98" s="1"/>
      <c r="H98" s="3">
        <v>3</v>
      </c>
      <c r="I98" s="3">
        <v>8</v>
      </c>
      <c r="J98" s="3"/>
      <c r="K98" s="3"/>
      <c r="L98" s="9">
        <f t="shared" si="11"/>
        <v>0.44444444444444442</v>
      </c>
      <c r="M98" s="10">
        <f t="shared" si="12"/>
        <v>0.44444444444444442</v>
      </c>
      <c r="N98" s="11">
        <f t="shared" si="13"/>
        <v>3.4444444444444446</v>
      </c>
      <c r="O98" s="3">
        <f t="shared" si="22"/>
        <v>62</v>
      </c>
      <c r="P98" s="12">
        <f t="shared" si="22"/>
        <v>12429.14</v>
      </c>
      <c r="R98" s="21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24">
        <f t="shared" si="15"/>
        <v>0</v>
      </c>
      <c r="AY98" s="21">
        <f>Asghar!J98+shahzad!J98+Fahad!J98+Asif!J98+sumair!J98</f>
        <v>0</v>
      </c>
      <c r="AZ98" s="21">
        <f>Asghar!N98+shahzad!N98+Fahad!N98+Asif!N98+sumair!N98</f>
        <v>0</v>
      </c>
      <c r="BA98" s="21">
        <f>Asghar!R98+shahzad!R98+Fahad!R98+Asif!R98+sumair!R98</f>
        <v>0</v>
      </c>
      <c r="BB98" s="21">
        <f>Asghar!V98+shahzad!V98+Fahad!V98+Asif!V98+sumair!V98</f>
        <v>0</v>
      </c>
      <c r="BC98" s="21">
        <f>Asghar!Z98+shahzad!Z98+Fahad!Z98+Asif!Z98+sumair!Z98</f>
        <v>0</v>
      </c>
      <c r="BD98" s="21">
        <f>Asghar!AD98+shahzad!AD98+Fahad!AD98+Asif!AD98+sumair!AD98</f>
        <v>0</v>
      </c>
      <c r="BE98" s="21">
        <f>Asghar!AH98+shahzad!AH98+Fahad!AH98+Asif!AH98+sumair!AH98</f>
        <v>0</v>
      </c>
      <c r="BF98" s="21">
        <f>Asghar!AL98+shahzad!AL98+Fahad!AL98+Asif!AL98+sumair!AL98</f>
        <v>0</v>
      </c>
      <c r="BG98" s="21">
        <f>Asghar!AP98+shahzad!AP98+Fahad!AP98+Asif!AP98+sumair!AP98</f>
        <v>0</v>
      </c>
      <c r="BH98" s="21">
        <f>Asghar!AT98+shahzad!AT98+Fahad!AT98+Asif!AT98+sumair!AT98</f>
        <v>0</v>
      </c>
      <c r="BI98" s="21">
        <f>Asghar!AX98+shahzad!AX98+Fahad!AX98+Asif!AX98+sumair!AX98</f>
        <v>0</v>
      </c>
      <c r="BJ98" s="21">
        <f>Asghar!BB98+shahzad!BB98+Fahad!BB98+Asif!BB98+sumair!BB98</f>
        <v>0</v>
      </c>
      <c r="BK98" s="21">
        <f>Asghar!BF98+shahzad!BF98+Fahad!BF98+Asif!BF98+sumair!BF98</f>
        <v>0</v>
      </c>
      <c r="BL98" s="21">
        <f>Asghar!BJ98+shahzad!BJ98+Fahad!BJ98+Asif!BJ98+sumair!BJ98</f>
        <v>0</v>
      </c>
      <c r="BM98" s="21">
        <f>Asghar!BN98+shahzad!BN98+Fahad!BN98+Asif!BN98+sumair!BN98</f>
        <v>0</v>
      </c>
      <c r="BN98" s="21">
        <f>Asghar!BR98+shahzad!BR98+Fahad!BR98+Asif!BR98+sumair!BR98</f>
        <v>0</v>
      </c>
      <c r="BO98" s="21">
        <f>Asghar!BV98+shahzad!BV98+Fahad!BV98+Asif!BV98+sumair!BV98</f>
        <v>0</v>
      </c>
      <c r="BP98" s="21">
        <f>Asghar!BZ98+shahzad!BZ98+Fahad!BZ98+Asif!BZ98+sumair!BZ98</f>
        <v>0</v>
      </c>
      <c r="BQ98" s="21">
        <f>Asghar!CD98+shahzad!CD98+Fahad!CD98+Asif!CD98+sumair!CD98</f>
        <v>0</v>
      </c>
      <c r="BR98" s="21">
        <f>Asghar!CH98+shahzad!CH98+Fahad!CH98+Asif!CH98+sumair!CH98</f>
        <v>0</v>
      </c>
      <c r="BS98" s="21">
        <f>Asghar!CL98+shahzad!CL98+Fahad!CL98+Asif!CL98+sumair!CL98</f>
        <v>0</v>
      </c>
      <c r="BT98" s="21">
        <f>Asghar!CP98+shahzad!CP98+Fahad!CP98+Asif!CP98+sumair!CP98</f>
        <v>0</v>
      </c>
      <c r="BU98" s="21">
        <f>Asghar!CT98+shahzad!CT98+Fahad!CT98+Asif!CT98+sumair!CT98</f>
        <v>0</v>
      </c>
      <c r="BV98" s="21">
        <f>Asghar!CX98+shahzad!CX98+Fahad!CX98+Asif!CX98+sumair!CX98</f>
        <v>0</v>
      </c>
      <c r="BW98" s="21">
        <f>Asghar!DB98+shahzad!DB98+Fahad!DB98+Asif!DB98+sumair!DB98</f>
        <v>0</v>
      </c>
      <c r="BX98" s="21">
        <f>Asghar!DF98+shahzad!DF98+Fahad!DF98+Asif!DF98+sumair!DF98</f>
        <v>0</v>
      </c>
      <c r="BY98" s="21">
        <f>Asghar!DJ98+shahzad!DJ98+Fahad!DJ98+Asif!DJ98+sumair!DJ98</f>
        <v>0</v>
      </c>
      <c r="BZ98" s="21">
        <f>Asghar!DN98+shahzad!DN98+Fahad!DN98+Asif!DN98+sumair!DN98</f>
        <v>0</v>
      </c>
      <c r="CA98" s="21">
        <f>Asghar!DR98+shahzad!DR98+Fahad!DR98+Asif!DR98+sumair!DR98</f>
        <v>0</v>
      </c>
      <c r="CB98" s="21">
        <f>Asghar!DV98+shahzad!DV98+Fahad!DV98+Asif!DV98+sumair!DV98</f>
        <v>0</v>
      </c>
      <c r="CC98" s="21">
        <f>Asghar!DZ98+shahzad!DZ98+Fahad!DZ98+Asif!DZ98+sumair!DZ98</f>
        <v>0</v>
      </c>
      <c r="CD98" s="54">
        <f t="shared" si="16"/>
        <v>0</v>
      </c>
      <c r="CF98" s="28">
        <f t="shared" si="17"/>
        <v>3.4444444444444446</v>
      </c>
      <c r="CG98" s="30">
        <f t="shared" si="18"/>
        <v>0</v>
      </c>
      <c r="CH98" s="41">
        <f t="shared" si="19"/>
        <v>3.4444444444444446</v>
      </c>
      <c r="CI98" s="53">
        <f t="shared" si="20"/>
        <v>0</v>
      </c>
      <c r="CJ98" s="42">
        <f t="shared" si="21"/>
        <v>3.4444444444444446</v>
      </c>
    </row>
    <row r="99" spans="2:88" ht="12.5" customHeight="1" x14ac:dyDescent="0.35">
      <c r="B99" s="4">
        <v>102944</v>
      </c>
      <c r="C99" s="14" t="s">
        <v>105</v>
      </c>
      <c r="D99" s="4">
        <v>12</v>
      </c>
      <c r="E99" s="5">
        <v>12</v>
      </c>
      <c r="F99" s="6">
        <v>237.3</v>
      </c>
      <c r="G99" s="1"/>
      <c r="H99" s="3">
        <v>1</v>
      </c>
      <c r="I99" s="3"/>
      <c r="J99" s="3"/>
      <c r="K99" s="3"/>
      <c r="L99" s="9">
        <f t="shared" si="11"/>
        <v>0</v>
      </c>
      <c r="M99" s="10">
        <f t="shared" si="12"/>
        <v>0</v>
      </c>
      <c r="N99" s="11">
        <f t="shared" si="13"/>
        <v>1</v>
      </c>
      <c r="O99" s="3">
        <f t="shared" si="22"/>
        <v>12</v>
      </c>
      <c r="P99" s="12">
        <f t="shared" si="22"/>
        <v>2847.6000000000004</v>
      </c>
      <c r="R99" s="21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24">
        <f t="shared" si="15"/>
        <v>0</v>
      </c>
      <c r="AY99" s="21">
        <f>Asghar!J99+shahzad!J99+Fahad!J99+Asif!J99+sumair!J99</f>
        <v>0</v>
      </c>
      <c r="AZ99" s="21">
        <f>Asghar!N99+shahzad!N99+Fahad!N99+Asif!N99+sumair!N99</f>
        <v>0</v>
      </c>
      <c r="BA99" s="21">
        <f>Asghar!R99+shahzad!R99+Fahad!R99+Asif!R99+sumair!R99</f>
        <v>0</v>
      </c>
      <c r="BB99" s="21">
        <f>Asghar!V99+shahzad!V99+Fahad!V99+Asif!V99+sumair!V99</f>
        <v>0</v>
      </c>
      <c r="BC99" s="21">
        <f>Asghar!Z99+shahzad!Z99+Fahad!Z99+Asif!Z99+sumair!Z99</f>
        <v>0</v>
      </c>
      <c r="BD99" s="21">
        <f>Asghar!AD99+shahzad!AD99+Fahad!AD99+Asif!AD99+sumair!AD99</f>
        <v>0</v>
      </c>
      <c r="BE99" s="21">
        <f>Asghar!AH99+shahzad!AH99+Fahad!AH99+Asif!AH99+sumair!AH99</f>
        <v>0</v>
      </c>
      <c r="BF99" s="21">
        <f>Asghar!AL99+shahzad!AL99+Fahad!AL99+Asif!AL99+sumair!AL99</f>
        <v>0</v>
      </c>
      <c r="BG99" s="21">
        <f>Asghar!AP99+shahzad!AP99+Fahad!AP99+Asif!AP99+sumair!AP99</f>
        <v>0</v>
      </c>
      <c r="BH99" s="21">
        <f>Asghar!AT99+shahzad!AT99+Fahad!AT99+Asif!AT99+sumair!AT99</f>
        <v>0</v>
      </c>
      <c r="BI99" s="21">
        <f>Asghar!AX99+shahzad!AX99+Fahad!AX99+Asif!AX99+sumair!AX99</f>
        <v>0</v>
      </c>
      <c r="BJ99" s="21">
        <f>Asghar!BB99+shahzad!BB99+Fahad!BB99+Asif!BB99+sumair!BB99</f>
        <v>0</v>
      </c>
      <c r="BK99" s="21">
        <f>Asghar!BF99+shahzad!BF99+Fahad!BF99+Asif!BF99+sumair!BF99</f>
        <v>0</v>
      </c>
      <c r="BL99" s="21">
        <f>Asghar!BJ99+shahzad!BJ99+Fahad!BJ99+Asif!BJ99+sumair!BJ99</f>
        <v>0</v>
      </c>
      <c r="BM99" s="21">
        <f>Asghar!BN99+shahzad!BN99+Fahad!BN99+Asif!BN99+sumair!BN99</f>
        <v>0</v>
      </c>
      <c r="BN99" s="21">
        <f>Asghar!BR99+shahzad!BR99+Fahad!BR99+Asif!BR99+sumair!BR99</f>
        <v>0</v>
      </c>
      <c r="BO99" s="21">
        <f>Asghar!BV99+shahzad!BV99+Fahad!BV99+Asif!BV99+sumair!BV99</f>
        <v>0</v>
      </c>
      <c r="BP99" s="21">
        <f>Asghar!BZ99+shahzad!BZ99+Fahad!BZ99+Asif!BZ99+sumair!BZ99</f>
        <v>0</v>
      </c>
      <c r="BQ99" s="21">
        <f>Asghar!CD99+shahzad!CD99+Fahad!CD99+Asif!CD99+sumair!CD99</f>
        <v>0</v>
      </c>
      <c r="BR99" s="21">
        <f>Asghar!CH99+shahzad!CH99+Fahad!CH99+Asif!CH99+sumair!CH99</f>
        <v>0</v>
      </c>
      <c r="BS99" s="21">
        <f>Asghar!CL99+shahzad!CL99+Fahad!CL99+Asif!CL99+sumair!CL99</f>
        <v>0</v>
      </c>
      <c r="BT99" s="21">
        <f>Asghar!CP99+shahzad!CP99+Fahad!CP99+Asif!CP99+sumair!CP99</f>
        <v>0</v>
      </c>
      <c r="BU99" s="21">
        <f>Asghar!CT99+shahzad!CT99+Fahad!CT99+Asif!CT99+sumair!CT99</f>
        <v>0</v>
      </c>
      <c r="BV99" s="21">
        <f>Asghar!CX99+shahzad!CX99+Fahad!CX99+Asif!CX99+sumair!CX99</f>
        <v>0</v>
      </c>
      <c r="BW99" s="21">
        <f>Asghar!DB99+shahzad!DB99+Fahad!DB99+Asif!DB99+sumair!DB99</f>
        <v>0</v>
      </c>
      <c r="BX99" s="21">
        <f>Asghar!DF99+shahzad!DF99+Fahad!DF99+Asif!DF99+sumair!DF99</f>
        <v>0</v>
      </c>
      <c r="BY99" s="21">
        <f>Asghar!DJ99+shahzad!DJ99+Fahad!DJ99+Asif!DJ99+sumair!DJ99</f>
        <v>0</v>
      </c>
      <c r="BZ99" s="21">
        <f>Asghar!DN99+shahzad!DN99+Fahad!DN99+Asif!DN99+sumair!DN99</f>
        <v>0</v>
      </c>
      <c r="CA99" s="21">
        <f>Asghar!DR99+shahzad!DR99+Fahad!DR99+Asif!DR99+sumair!DR99</f>
        <v>0</v>
      </c>
      <c r="CB99" s="21">
        <f>Asghar!DV99+shahzad!DV99+Fahad!DV99+Asif!DV99+sumair!DV99</f>
        <v>0</v>
      </c>
      <c r="CC99" s="21">
        <f>Asghar!DZ99+shahzad!DZ99+Fahad!DZ99+Asif!DZ99+sumair!DZ99</f>
        <v>0</v>
      </c>
      <c r="CD99" s="54">
        <f t="shared" si="16"/>
        <v>0</v>
      </c>
      <c r="CF99" s="28">
        <f t="shared" si="17"/>
        <v>1</v>
      </c>
      <c r="CG99" s="30">
        <f t="shared" si="18"/>
        <v>0</v>
      </c>
      <c r="CH99" s="41">
        <f t="shared" si="19"/>
        <v>1</v>
      </c>
      <c r="CI99" s="53">
        <f t="shared" si="20"/>
        <v>0</v>
      </c>
      <c r="CJ99" s="42">
        <f t="shared" si="21"/>
        <v>1</v>
      </c>
    </row>
    <row r="100" spans="2:88" ht="12.5" customHeight="1" x14ac:dyDescent="0.35">
      <c r="B100" s="4">
        <v>102945</v>
      </c>
      <c r="C100" s="14" t="s">
        <v>106</v>
      </c>
      <c r="D100" s="4">
        <v>12</v>
      </c>
      <c r="E100" s="5">
        <v>12</v>
      </c>
      <c r="F100" s="6">
        <v>237.3</v>
      </c>
      <c r="G100" s="1"/>
      <c r="H100" s="3"/>
      <c r="I100" s="3"/>
      <c r="J100" s="3"/>
      <c r="K100" s="3"/>
      <c r="L100" s="9">
        <f t="shared" si="11"/>
        <v>0</v>
      </c>
      <c r="M100" s="10">
        <f t="shared" si="12"/>
        <v>0</v>
      </c>
      <c r="N100" s="11">
        <f t="shared" si="13"/>
        <v>0</v>
      </c>
      <c r="O100" s="3">
        <f t="shared" si="22"/>
        <v>0</v>
      </c>
      <c r="P100" s="12">
        <f t="shared" si="22"/>
        <v>0</v>
      </c>
      <c r="R100" s="21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24">
        <f t="shared" si="15"/>
        <v>0</v>
      </c>
      <c r="AY100" s="21">
        <f>Asghar!J100+shahzad!J100+Fahad!J100+Asif!J100+sumair!J100</f>
        <v>0</v>
      </c>
      <c r="AZ100" s="21">
        <f>Asghar!N100+shahzad!N100+Fahad!N100+Asif!N100+sumair!N100</f>
        <v>0</v>
      </c>
      <c r="BA100" s="21">
        <f>Asghar!R100+shahzad!R100+Fahad!R100+Asif!R100+sumair!R100</f>
        <v>0</v>
      </c>
      <c r="BB100" s="21">
        <f>Asghar!V100+shahzad!V100+Fahad!V100+Asif!V100+sumair!V100</f>
        <v>0</v>
      </c>
      <c r="BC100" s="21">
        <f>Asghar!Z100+shahzad!Z100+Fahad!Z100+Asif!Z100+sumair!Z100</f>
        <v>0</v>
      </c>
      <c r="BD100" s="21">
        <f>Asghar!AD100+shahzad!AD100+Fahad!AD100+Asif!AD100+sumair!AD100</f>
        <v>0</v>
      </c>
      <c r="BE100" s="21">
        <f>Asghar!AH100+shahzad!AH100+Fahad!AH100+Asif!AH100+sumair!AH100</f>
        <v>0</v>
      </c>
      <c r="BF100" s="21">
        <f>Asghar!AL100+shahzad!AL100+Fahad!AL100+Asif!AL100+sumair!AL100</f>
        <v>0</v>
      </c>
      <c r="BG100" s="21">
        <f>Asghar!AP100+shahzad!AP100+Fahad!AP100+Asif!AP100+sumair!AP100</f>
        <v>0</v>
      </c>
      <c r="BH100" s="21">
        <f>Asghar!AT100+shahzad!AT100+Fahad!AT100+Asif!AT100+sumair!AT100</f>
        <v>0</v>
      </c>
      <c r="BI100" s="21">
        <f>Asghar!AX100+shahzad!AX100+Fahad!AX100+Asif!AX100+sumair!AX100</f>
        <v>0</v>
      </c>
      <c r="BJ100" s="21">
        <f>Asghar!BB100+shahzad!BB100+Fahad!BB100+Asif!BB100+sumair!BB100</f>
        <v>0</v>
      </c>
      <c r="BK100" s="21">
        <f>Asghar!BF100+shahzad!BF100+Fahad!BF100+Asif!BF100+sumair!BF100</f>
        <v>0</v>
      </c>
      <c r="BL100" s="21">
        <f>Asghar!BJ100+shahzad!BJ100+Fahad!BJ100+Asif!BJ100+sumair!BJ100</f>
        <v>0</v>
      </c>
      <c r="BM100" s="21">
        <f>Asghar!BN100+shahzad!BN100+Fahad!BN100+Asif!BN100+sumair!BN100</f>
        <v>0</v>
      </c>
      <c r="BN100" s="21">
        <f>Asghar!BR100+shahzad!BR100+Fahad!BR100+Asif!BR100+sumair!BR100</f>
        <v>0</v>
      </c>
      <c r="BO100" s="21">
        <f>Asghar!BV100+shahzad!BV100+Fahad!BV100+Asif!BV100+sumair!BV100</f>
        <v>0</v>
      </c>
      <c r="BP100" s="21">
        <f>Asghar!BZ100+shahzad!BZ100+Fahad!BZ100+Asif!BZ100+sumair!BZ100</f>
        <v>0</v>
      </c>
      <c r="BQ100" s="21">
        <f>Asghar!CD100+shahzad!CD100+Fahad!CD100+Asif!CD100+sumair!CD100</f>
        <v>0</v>
      </c>
      <c r="BR100" s="21">
        <f>Asghar!CH100+shahzad!CH100+Fahad!CH100+Asif!CH100+sumair!CH100</f>
        <v>0</v>
      </c>
      <c r="BS100" s="21">
        <f>Asghar!CL100+shahzad!CL100+Fahad!CL100+Asif!CL100+sumair!CL100</f>
        <v>0</v>
      </c>
      <c r="BT100" s="21">
        <f>Asghar!CP100+shahzad!CP100+Fahad!CP100+Asif!CP100+sumair!CP100</f>
        <v>0</v>
      </c>
      <c r="BU100" s="21">
        <f>Asghar!CT100+shahzad!CT100+Fahad!CT100+Asif!CT100+sumair!CT100</f>
        <v>0</v>
      </c>
      <c r="BV100" s="21">
        <f>Asghar!CX100+shahzad!CX100+Fahad!CX100+Asif!CX100+sumair!CX100</f>
        <v>0</v>
      </c>
      <c r="BW100" s="21">
        <f>Asghar!DB100+shahzad!DB100+Fahad!DB100+Asif!DB100+sumair!DB100</f>
        <v>0</v>
      </c>
      <c r="BX100" s="21">
        <f>Asghar!DF100+shahzad!DF100+Fahad!DF100+Asif!DF100+sumair!DF100</f>
        <v>0</v>
      </c>
      <c r="BY100" s="21">
        <f>Asghar!DJ100+shahzad!DJ100+Fahad!DJ100+Asif!DJ100+sumair!DJ100</f>
        <v>0</v>
      </c>
      <c r="BZ100" s="21">
        <f>Asghar!DN100+shahzad!DN100+Fahad!DN100+Asif!DN100+sumair!DN100</f>
        <v>0</v>
      </c>
      <c r="CA100" s="21">
        <f>Asghar!DR100+shahzad!DR100+Fahad!DR100+Asif!DR100+sumair!DR100</f>
        <v>0</v>
      </c>
      <c r="CB100" s="21">
        <f>Asghar!DV100+shahzad!DV100+Fahad!DV100+Asif!DV100+sumair!DV100</f>
        <v>0</v>
      </c>
      <c r="CC100" s="21">
        <f>Asghar!DZ100+shahzad!DZ100+Fahad!DZ100+Asif!DZ100+sumair!DZ100</f>
        <v>0</v>
      </c>
      <c r="CD100" s="54">
        <f t="shared" si="16"/>
        <v>0</v>
      </c>
      <c r="CF100" s="28">
        <f t="shared" si="17"/>
        <v>0</v>
      </c>
      <c r="CG100" s="30">
        <f t="shared" si="18"/>
        <v>0</v>
      </c>
      <c r="CH100" s="41">
        <f t="shared" si="19"/>
        <v>0</v>
      </c>
      <c r="CI100" s="53">
        <f t="shared" si="20"/>
        <v>0</v>
      </c>
      <c r="CJ100" s="42">
        <f t="shared" si="21"/>
        <v>0</v>
      </c>
    </row>
    <row r="101" spans="2:88" ht="12.5" customHeight="1" x14ac:dyDescent="0.35">
      <c r="B101" s="4">
        <v>106621</v>
      </c>
      <c r="C101" s="14" t="s">
        <v>107</v>
      </c>
      <c r="D101" s="4">
        <v>12</v>
      </c>
      <c r="E101" s="5">
        <v>12</v>
      </c>
      <c r="F101" s="6">
        <v>468.865061078</v>
      </c>
      <c r="G101" s="1"/>
      <c r="H101" s="3">
        <v>6</v>
      </c>
      <c r="I101" s="3">
        <v>6</v>
      </c>
      <c r="J101" s="3"/>
      <c r="K101" s="3"/>
      <c r="L101" s="9">
        <f t="shared" si="11"/>
        <v>0.5</v>
      </c>
      <c r="M101" s="10">
        <f t="shared" si="12"/>
        <v>0.5</v>
      </c>
      <c r="N101" s="11">
        <f t="shared" si="13"/>
        <v>6.5</v>
      </c>
      <c r="O101" s="3">
        <f t="shared" ref="O101:P108" si="23">N101*E101</f>
        <v>78</v>
      </c>
      <c r="P101" s="12">
        <f t="shared" si="23"/>
        <v>36571.474764084</v>
      </c>
      <c r="R101" s="21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24">
        <f t="shared" si="15"/>
        <v>0</v>
      </c>
      <c r="AY101" s="21">
        <f>Asghar!J101+shahzad!J101+Fahad!J101+Asif!J101+sumair!J101</f>
        <v>0</v>
      </c>
      <c r="AZ101" s="21">
        <f>Asghar!N101+shahzad!N101+Fahad!N101+Asif!N101+sumair!N101</f>
        <v>0</v>
      </c>
      <c r="BA101" s="21">
        <f>Asghar!R101+shahzad!R101+Fahad!R101+Asif!R101+sumair!R101</f>
        <v>0</v>
      </c>
      <c r="BB101" s="21">
        <f>Asghar!V101+shahzad!V101+Fahad!V101+Asif!V101+sumair!V101</f>
        <v>0</v>
      </c>
      <c r="BC101" s="21">
        <f>Asghar!Z101+shahzad!Z101+Fahad!Z101+Asif!Z101+sumair!Z101</f>
        <v>0</v>
      </c>
      <c r="BD101" s="21">
        <f>Asghar!AD101+shahzad!AD101+Fahad!AD101+Asif!AD101+sumair!AD101</f>
        <v>0</v>
      </c>
      <c r="BE101" s="21">
        <f>Asghar!AH101+shahzad!AH101+Fahad!AH101+Asif!AH101+sumair!AH101</f>
        <v>0</v>
      </c>
      <c r="BF101" s="21">
        <f>Asghar!AL101+shahzad!AL101+Fahad!AL101+Asif!AL101+sumair!AL101</f>
        <v>0</v>
      </c>
      <c r="BG101" s="21">
        <f>Asghar!AP101+shahzad!AP101+Fahad!AP101+Asif!AP101+sumair!AP101</f>
        <v>0</v>
      </c>
      <c r="BH101" s="21">
        <f>Asghar!AT101+shahzad!AT101+Fahad!AT101+Asif!AT101+sumair!AT101</f>
        <v>0</v>
      </c>
      <c r="BI101" s="21">
        <f>Asghar!AX101+shahzad!AX101+Fahad!AX101+Asif!AX101+sumair!AX101</f>
        <v>0</v>
      </c>
      <c r="BJ101" s="21">
        <f>Asghar!BB101+shahzad!BB101+Fahad!BB101+Asif!BB101+sumair!BB101</f>
        <v>0</v>
      </c>
      <c r="BK101" s="21">
        <f>Asghar!BF101+shahzad!BF101+Fahad!BF101+Asif!BF101+sumair!BF101</f>
        <v>0</v>
      </c>
      <c r="BL101" s="21">
        <f>Asghar!BJ101+shahzad!BJ101+Fahad!BJ101+Asif!BJ101+sumair!BJ101</f>
        <v>0</v>
      </c>
      <c r="BM101" s="21">
        <f>Asghar!BN101+shahzad!BN101+Fahad!BN101+Asif!BN101+sumair!BN101</f>
        <v>0</v>
      </c>
      <c r="BN101" s="21">
        <f>Asghar!BR101+shahzad!BR101+Fahad!BR101+Asif!BR101+sumair!BR101</f>
        <v>0</v>
      </c>
      <c r="BO101" s="21">
        <f>Asghar!BV101+shahzad!BV101+Fahad!BV101+Asif!BV101+sumair!BV101</f>
        <v>0</v>
      </c>
      <c r="BP101" s="21">
        <f>Asghar!BZ101+shahzad!BZ101+Fahad!BZ101+Asif!BZ101+sumair!BZ101</f>
        <v>0</v>
      </c>
      <c r="BQ101" s="21">
        <f>Asghar!CD101+shahzad!CD101+Fahad!CD101+Asif!CD101+sumair!CD101</f>
        <v>0</v>
      </c>
      <c r="BR101" s="21">
        <f>Asghar!CH101+shahzad!CH101+Fahad!CH101+Asif!CH101+sumair!CH101</f>
        <v>0</v>
      </c>
      <c r="BS101" s="21">
        <f>Asghar!CL101+shahzad!CL101+Fahad!CL101+Asif!CL101+sumair!CL101</f>
        <v>0</v>
      </c>
      <c r="BT101" s="21">
        <f>Asghar!CP101+shahzad!CP101+Fahad!CP101+Asif!CP101+sumair!CP101</f>
        <v>0</v>
      </c>
      <c r="BU101" s="21">
        <f>Asghar!CT101+shahzad!CT101+Fahad!CT101+Asif!CT101+sumair!CT101</f>
        <v>0</v>
      </c>
      <c r="BV101" s="21">
        <f>Asghar!CX101+shahzad!CX101+Fahad!CX101+Asif!CX101+sumair!CX101</f>
        <v>0</v>
      </c>
      <c r="BW101" s="21">
        <f>Asghar!DB101+shahzad!DB101+Fahad!DB101+Asif!DB101+sumair!DB101</f>
        <v>0</v>
      </c>
      <c r="BX101" s="21">
        <f>Asghar!DF101+shahzad!DF101+Fahad!DF101+Asif!DF101+sumair!DF101</f>
        <v>0</v>
      </c>
      <c r="BY101" s="21">
        <f>Asghar!DJ101+shahzad!DJ101+Fahad!DJ101+Asif!DJ101+sumair!DJ101</f>
        <v>0</v>
      </c>
      <c r="BZ101" s="21">
        <f>Asghar!DN101+shahzad!DN101+Fahad!DN101+Asif!DN101+sumair!DN101</f>
        <v>0</v>
      </c>
      <c r="CA101" s="21">
        <f>Asghar!DR101+shahzad!DR101+Fahad!DR101+Asif!DR101+sumair!DR101</f>
        <v>0</v>
      </c>
      <c r="CB101" s="21">
        <f>Asghar!DV101+shahzad!DV101+Fahad!DV101+Asif!DV101+sumair!DV101</f>
        <v>0</v>
      </c>
      <c r="CC101" s="21">
        <f>Asghar!DZ101+shahzad!DZ101+Fahad!DZ101+Asif!DZ101+sumair!DZ101</f>
        <v>0</v>
      </c>
      <c r="CD101" s="54">
        <f t="shared" si="16"/>
        <v>0</v>
      </c>
      <c r="CF101" s="28">
        <f t="shared" si="17"/>
        <v>6.5</v>
      </c>
      <c r="CG101" s="30">
        <f t="shared" si="18"/>
        <v>0</v>
      </c>
      <c r="CH101" s="41">
        <f t="shared" si="19"/>
        <v>6.5</v>
      </c>
      <c r="CI101" s="53">
        <f t="shared" si="20"/>
        <v>0</v>
      </c>
      <c r="CJ101" s="42">
        <f t="shared" si="21"/>
        <v>6.5</v>
      </c>
    </row>
    <row r="102" spans="2:88" ht="12.5" customHeight="1" x14ac:dyDescent="0.35">
      <c r="B102" s="4">
        <v>109016</v>
      </c>
      <c r="C102" s="14" t="s">
        <v>108</v>
      </c>
      <c r="D102" s="4">
        <v>30</v>
      </c>
      <c r="E102" s="5">
        <v>40</v>
      </c>
      <c r="F102" s="6">
        <f>81.08016*2</f>
        <v>162.16032000000001</v>
      </c>
      <c r="G102" s="1"/>
      <c r="H102" s="3">
        <v>1</v>
      </c>
      <c r="I102" s="3">
        <v>30</v>
      </c>
      <c r="J102" s="3"/>
      <c r="K102" s="3"/>
      <c r="L102" s="9">
        <f t="shared" si="11"/>
        <v>0.75</v>
      </c>
      <c r="M102" s="10">
        <f t="shared" si="12"/>
        <v>0.75</v>
      </c>
      <c r="N102" s="11">
        <f t="shared" si="13"/>
        <v>1.75</v>
      </c>
      <c r="O102" s="3">
        <f t="shared" si="23"/>
        <v>70</v>
      </c>
      <c r="P102" s="12">
        <f t="shared" si="23"/>
        <v>11351.222400000001</v>
      </c>
      <c r="R102" s="21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24">
        <f t="shared" si="15"/>
        <v>0</v>
      </c>
      <c r="AY102" s="21">
        <f>Asghar!J102+shahzad!J102+Fahad!J102+Asif!J102+sumair!J102</f>
        <v>0</v>
      </c>
      <c r="AZ102" s="21">
        <f>Asghar!N102+shahzad!N102+Fahad!N102+Asif!N102+sumair!N102</f>
        <v>0</v>
      </c>
      <c r="BA102" s="21">
        <f>Asghar!R102+shahzad!R102+Fahad!R102+Asif!R102+sumair!R102</f>
        <v>0</v>
      </c>
      <c r="BB102" s="21">
        <f>Asghar!V102+shahzad!V102+Fahad!V102+Asif!V102+sumair!V102</f>
        <v>0</v>
      </c>
      <c r="BC102" s="21">
        <f>Asghar!Z102+shahzad!Z102+Fahad!Z102+Asif!Z102+sumair!Z102</f>
        <v>0</v>
      </c>
      <c r="BD102" s="21">
        <f>Asghar!AD102+shahzad!AD102+Fahad!AD102+Asif!AD102+sumair!AD102</f>
        <v>0</v>
      </c>
      <c r="BE102" s="21">
        <f>Asghar!AH102+shahzad!AH102+Fahad!AH102+Asif!AH102+sumair!AH102</f>
        <v>0</v>
      </c>
      <c r="BF102" s="21">
        <f>Asghar!AL102+shahzad!AL102+Fahad!AL102+Asif!AL102+sumair!AL102</f>
        <v>0</v>
      </c>
      <c r="BG102" s="21">
        <f>Asghar!AP102+shahzad!AP102+Fahad!AP102+Asif!AP102+sumair!AP102</f>
        <v>0</v>
      </c>
      <c r="BH102" s="21">
        <f>Asghar!AT102+shahzad!AT102+Fahad!AT102+Asif!AT102+sumair!AT102</f>
        <v>0</v>
      </c>
      <c r="BI102" s="21">
        <f>Asghar!AX102+shahzad!AX102+Fahad!AX102+Asif!AX102+sumair!AX102</f>
        <v>0</v>
      </c>
      <c r="BJ102" s="21">
        <f>Asghar!BB102+shahzad!BB102+Fahad!BB102+Asif!BB102+sumair!BB102</f>
        <v>0</v>
      </c>
      <c r="BK102" s="21">
        <f>Asghar!BF102+shahzad!BF102+Fahad!BF102+Asif!BF102+sumair!BF102</f>
        <v>0</v>
      </c>
      <c r="BL102" s="21">
        <f>Asghar!BJ102+shahzad!BJ102+Fahad!BJ102+Asif!BJ102+sumair!BJ102</f>
        <v>0</v>
      </c>
      <c r="BM102" s="21">
        <f>Asghar!BN102+shahzad!BN102+Fahad!BN102+Asif!BN102+sumair!BN102</f>
        <v>0</v>
      </c>
      <c r="BN102" s="21">
        <f>Asghar!BR102+shahzad!BR102+Fahad!BR102+Asif!BR102+sumair!BR102</f>
        <v>0</v>
      </c>
      <c r="BO102" s="21">
        <f>Asghar!BV102+shahzad!BV102+Fahad!BV102+Asif!BV102+sumair!BV102</f>
        <v>0</v>
      </c>
      <c r="BP102" s="21">
        <f>Asghar!BZ102+shahzad!BZ102+Fahad!BZ102+Asif!BZ102+sumair!BZ102</f>
        <v>0</v>
      </c>
      <c r="BQ102" s="21">
        <f>Asghar!CD102+shahzad!CD102+Fahad!CD102+Asif!CD102+sumair!CD102</f>
        <v>0</v>
      </c>
      <c r="BR102" s="21">
        <f>Asghar!CH102+shahzad!CH102+Fahad!CH102+Asif!CH102+sumair!CH102</f>
        <v>0</v>
      </c>
      <c r="BS102" s="21">
        <f>Asghar!CL102+shahzad!CL102+Fahad!CL102+Asif!CL102+sumair!CL102</f>
        <v>0</v>
      </c>
      <c r="BT102" s="21">
        <f>Asghar!CP102+shahzad!CP102+Fahad!CP102+Asif!CP102+sumair!CP102</f>
        <v>0</v>
      </c>
      <c r="BU102" s="21">
        <f>Asghar!CT102+shahzad!CT102+Fahad!CT102+Asif!CT102+sumair!CT102</f>
        <v>0</v>
      </c>
      <c r="BV102" s="21">
        <f>Asghar!CX102+shahzad!CX102+Fahad!CX102+Asif!CX102+sumair!CX102</f>
        <v>0</v>
      </c>
      <c r="BW102" s="21">
        <f>Asghar!DB102+shahzad!DB102+Fahad!DB102+Asif!DB102+sumair!DB102</f>
        <v>0</v>
      </c>
      <c r="BX102" s="21">
        <f>Asghar!DF102+shahzad!DF102+Fahad!DF102+Asif!DF102+sumair!DF102</f>
        <v>0</v>
      </c>
      <c r="BY102" s="21">
        <f>Asghar!DJ102+shahzad!DJ102+Fahad!DJ102+Asif!DJ102+sumair!DJ102</f>
        <v>0</v>
      </c>
      <c r="BZ102" s="21">
        <f>Asghar!DN102+shahzad!DN102+Fahad!DN102+Asif!DN102+sumair!DN102</f>
        <v>0</v>
      </c>
      <c r="CA102" s="21">
        <f>Asghar!DR102+shahzad!DR102+Fahad!DR102+Asif!DR102+sumair!DR102</f>
        <v>0</v>
      </c>
      <c r="CB102" s="21">
        <f>Asghar!DV102+shahzad!DV102+Fahad!DV102+Asif!DV102+sumair!DV102</f>
        <v>0</v>
      </c>
      <c r="CC102" s="21">
        <f>Asghar!DZ102+shahzad!DZ102+Fahad!DZ102+Asif!DZ102+sumair!DZ102</f>
        <v>0</v>
      </c>
      <c r="CD102" s="54">
        <f t="shared" si="16"/>
        <v>0</v>
      </c>
      <c r="CF102" s="28">
        <f t="shared" si="17"/>
        <v>1.75</v>
      </c>
      <c r="CG102" s="30">
        <f t="shared" si="18"/>
        <v>0</v>
      </c>
      <c r="CH102" s="41">
        <f t="shared" si="19"/>
        <v>1.75</v>
      </c>
      <c r="CI102" s="53">
        <f t="shared" si="20"/>
        <v>0</v>
      </c>
      <c r="CJ102" s="42">
        <f t="shared" si="21"/>
        <v>1.75</v>
      </c>
    </row>
    <row r="103" spans="2:88" ht="12.5" customHeight="1" x14ac:dyDescent="0.35">
      <c r="B103" s="4">
        <v>101878</v>
      </c>
      <c r="C103" s="14" t="s">
        <v>109</v>
      </c>
      <c r="D103" s="4">
        <v>24</v>
      </c>
      <c r="E103" s="5">
        <v>24</v>
      </c>
      <c r="F103" s="6">
        <v>189.29879107400001</v>
      </c>
      <c r="G103" s="1"/>
      <c r="H103" s="3"/>
      <c r="I103" s="3">
        <v>1</v>
      </c>
      <c r="J103" s="3"/>
      <c r="K103" s="3"/>
      <c r="L103" s="9">
        <f t="shared" si="11"/>
        <v>4.1666666666666664E-2</v>
      </c>
      <c r="M103" s="10">
        <f t="shared" si="12"/>
        <v>4.1666666666666664E-2</v>
      </c>
      <c r="N103" s="11">
        <f t="shared" si="13"/>
        <v>4.1666666666666664E-2</v>
      </c>
      <c r="O103" s="3">
        <f t="shared" si="23"/>
        <v>1</v>
      </c>
      <c r="P103" s="12">
        <f t="shared" si="23"/>
        <v>189.29879107400001</v>
      </c>
      <c r="R103" s="21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24">
        <f t="shared" si="15"/>
        <v>0</v>
      </c>
      <c r="AY103" s="21">
        <f>Asghar!J103+shahzad!J103+Fahad!J103+Asif!J103+sumair!J103</f>
        <v>0</v>
      </c>
      <c r="AZ103" s="21">
        <f>Asghar!N103+shahzad!N103+Fahad!N103+Asif!N103+sumair!N103</f>
        <v>0</v>
      </c>
      <c r="BA103" s="21">
        <f>Asghar!R103+shahzad!R103+Fahad!R103+Asif!R103+sumair!R103</f>
        <v>0</v>
      </c>
      <c r="BB103" s="21">
        <f>Asghar!V103+shahzad!V103+Fahad!V103+Asif!V103+sumair!V103</f>
        <v>0</v>
      </c>
      <c r="BC103" s="21">
        <f>Asghar!Z103+shahzad!Z103+Fahad!Z103+Asif!Z103+sumair!Z103</f>
        <v>0</v>
      </c>
      <c r="BD103" s="21">
        <f>Asghar!AD103+shahzad!AD103+Fahad!AD103+Asif!AD103+sumair!AD103</f>
        <v>0</v>
      </c>
      <c r="BE103" s="21">
        <f>Asghar!AH103+shahzad!AH103+Fahad!AH103+Asif!AH103+sumair!AH103</f>
        <v>0</v>
      </c>
      <c r="BF103" s="21">
        <f>Asghar!AL103+shahzad!AL103+Fahad!AL103+Asif!AL103+sumair!AL103</f>
        <v>0</v>
      </c>
      <c r="BG103" s="21">
        <f>Asghar!AP103+shahzad!AP103+Fahad!AP103+Asif!AP103+sumair!AP103</f>
        <v>0</v>
      </c>
      <c r="BH103" s="21">
        <f>Asghar!AT103+shahzad!AT103+Fahad!AT103+Asif!AT103+sumair!AT103</f>
        <v>0</v>
      </c>
      <c r="BI103" s="21">
        <f>Asghar!AX103+shahzad!AX103+Fahad!AX103+Asif!AX103+sumair!AX103</f>
        <v>0</v>
      </c>
      <c r="BJ103" s="21">
        <f>Asghar!BB103+shahzad!BB103+Fahad!BB103+Asif!BB103+sumair!BB103</f>
        <v>0</v>
      </c>
      <c r="BK103" s="21">
        <f>Asghar!BF103+shahzad!BF103+Fahad!BF103+Asif!BF103+sumair!BF103</f>
        <v>0</v>
      </c>
      <c r="BL103" s="21">
        <f>Asghar!BJ103+shahzad!BJ103+Fahad!BJ103+Asif!BJ103+sumair!BJ103</f>
        <v>0</v>
      </c>
      <c r="BM103" s="21">
        <f>Asghar!BN103+shahzad!BN103+Fahad!BN103+Asif!BN103+sumair!BN103</f>
        <v>0</v>
      </c>
      <c r="BN103" s="21">
        <f>Asghar!BR103+shahzad!BR103+Fahad!BR103+Asif!BR103+sumair!BR103</f>
        <v>0</v>
      </c>
      <c r="BO103" s="21">
        <f>Asghar!BV103+shahzad!BV103+Fahad!BV103+Asif!BV103+sumair!BV103</f>
        <v>0</v>
      </c>
      <c r="BP103" s="21">
        <f>Asghar!BZ103+shahzad!BZ103+Fahad!BZ103+Asif!BZ103+sumair!BZ103</f>
        <v>0</v>
      </c>
      <c r="BQ103" s="21">
        <f>Asghar!CD103+shahzad!CD103+Fahad!CD103+Asif!CD103+sumair!CD103</f>
        <v>0</v>
      </c>
      <c r="BR103" s="21">
        <f>Asghar!CH103+shahzad!CH103+Fahad!CH103+Asif!CH103+sumair!CH103</f>
        <v>0</v>
      </c>
      <c r="BS103" s="21">
        <f>Asghar!CL103+shahzad!CL103+Fahad!CL103+Asif!CL103+sumair!CL103</f>
        <v>0</v>
      </c>
      <c r="BT103" s="21">
        <f>Asghar!CP103+shahzad!CP103+Fahad!CP103+Asif!CP103+sumair!CP103</f>
        <v>0</v>
      </c>
      <c r="BU103" s="21">
        <f>Asghar!CT103+shahzad!CT103+Fahad!CT103+Asif!CT103+sumair!CT103</f>
        <v>0</v>
      </c>
      <c r="BV103" s="21">
        <f>Asghar!CX103+shahzad!CX103+Fahad!CX103+Asif!CX103+sumair!CX103</f>
        <v>0</v>
      </c>
      <c r="BW103" s="21">
        <f>Asghar!DB103+shahzad!DB103+Fahad!DB103+Asif!DB103+sumair!DB103</f>
        <v>0</v>
      </c>
      <c r="BX103" s="21">
        <f>Asghar!DF103+shahzad!DF103+Fahad!DF103+Asif!DF103+sumair!DF103</f>
        <v>0</v>
      </c>
      <c r="BY103" s="21">
        <f>Asghar!DJ103+shahzad!DJ103+Fahad!DJ103+Asif!DJ103+sumair!DJ103</f>
        <v>0</v>
      </c>
      <c r="BZ103" s="21">
        <f>Asghar!DN103+shahzad!DN103+Fahad!DN103+Asif!DN103+sumair!DN103</f>
        <v>0</v>
      </c>
      <c r="CA103" s="21">
        <f>Asghar!DR103+shahzad!DR103+Fahad!DR103+Asif!DR103+sumair!DR103</f>
        <v>0</v>
      </c>
      <c r="CB103" s="21">
        <f>Asghar!DV103+shahzad!DV103+Fahad!DV103+Asif!DV103+sumair!DV103</f>
        <v>0</v>
      </c>
      <c r="CC103" s="21">
        <f>Asghar!DZ103+shahzad!DZ103+Fahad!DZ103+Asif!DZ103+sumair!DZ103</f>
        <v>0</v>
      </c>
      <c r="CD103" s="54">
        <f t="shared" si="16"/>
        <v>0</v>
      </c>
      <c r="CF103" s="28">
        <f t="shared" si="17"/>
        <v>4.1666666666666664E-2</v>
      </c>
      <c r="CG103" s="30">
        <f t="shared" si="18"/>
        <v>0</v>
      </c>
      <c r="CH103" s="41">
        <f t="shared" si="19"/>
        <v>4.1666666666666664E-2</v>
      </c>
      <c r="CI103" s="53">
        <f t="shared" si="20"/>
        <v>0</v>
      </c>
      <c r="CJ103" s="42">
        <f t="shared" si="21"/>
        <v>4.1666666666666664E-2</v>
      </c>
    </row>
    <row r="104" spans="2:88" ht="12.5" customHeight="1" x14ac:dyDescent="0.35">
      <c r="B104" s="4">
        <v>102932</v>
      </c>
      <c r="C104" s="14" t="s">
        <v>110</v>
      </c>
      <c r="D104" s="4">
        <v>75</v>
      </c>
      <c r="E104" s="5">
        <v>18</v>
      </c>
      <c r="F104" s="6">
        <v>315</v>
      </c>
      <c r="G104" s="1"/>
      <c r="H104" s="3">
        <v>13</v>
      </c>
      <c r="I104" s="3">
        <v>7</v>
      </c>
      <c r="J104" s="3"/>
      <c r="K104" s="3"/>
      <c r="L104" s="9">
        <f t="shared" si="11"/>
        <v>0.3888888888888889</v>
      </c>
      <c r="M104" s="10">
        <f t="shared" si="12"/>
        <v>0.3888888888888889</v>
      </c>
      <c r="N104" s="11">
        <f t="shared" si="13"/>
        <v>13.388888888888889</v>
      </c>
      <c r="O104" s="3">
        <f t="shared" si="23"/>
        <v>241</v>
      </c>
      <c r="P104" s="12">
        <f t="shared" si="23"/>
        <v>75915</v>
      </c>
      <c r="R104" s="21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24">
        <f t="shared" si="15"/>
        <v>0</v>
      </c>
      <c r="AY104" s="21">
        <f>Asghar!J104+shahzad!J104+Fahad!J104+Asif!J104+sumair!J104</f>
        <v>0</v>
      </c>
      <c r="AZ104" s="21">
        <f>Asghar!N104+shahzad!N104+Fahad!N104+Asif!N104+sumair!N104</f>
        <v>0</v>
      </c>
      <c r="BA104" s="21">
        <f>Asghar!R104+shahzad!R104+Fahad!R104+Asif!R104+sumair!R104</f>
        <v>0</v>
      </c>
      <c r="BB104" s="21">
        <f>Asghar!V104+shahzad!V104+Fahad!V104+Asif!V104+sumair!V104</f>
        <v>0</v>
      </c>
      <c r="BC104" s="21">
        <f>Asghar!Z104+shahzad!Z104+Fahad!Z104+Asif!Z104+sumair!Z104</f>
        <v>0</v>
      </c>
      <c r="BD104" s="21">
        <f>Asghar!AD104+shahzad!AD104+Fahad!AD104+Asif!AD104+sumair!AD104</f>
        <v>0</v>
      </c>
      <c r="BE104" s="21">
        <f>Asghar!AH104+shahzad!AH104+Fahad!AH104+Asif!AH104+sumair!AH104</f>
        <v>0</v>
      </c>
      <c r="BF104" s="21">
        <f>Asghar!AL104+shahzad!AL104+Fahad!AL104+Asif!AL104+sumair!AL104</f>
        <v>0</v>
      </c>
      <c r="BG104" s="21">
        <f>Asghar!AP104+shahzad!AP104+Fahad!AP104+Asif!AP104+sumair!AP104</f>
        <v>0</v>
      </c>
      <c r="BH104" s="21">
        <f>Asghar!AT104+shahzad!AT104+Fahad!AT104+Asif!AT104+sumair!AT104</f>
        <v>0</v>
      </c>
      <c r="BI104" s="21">
        <f>Asghar!AX104+shahzad!AX104+Fahad!AX104+Asif!AX104+sumair!AX104</f>
        <v>0</v>
      </c>
      <c r="BJ104" s="21">
        <f>Asghar!BB104+shahzad!BB104+Fahad!BB104+Asif!BB104+sumair!BB104</f>
        <v>0</v>
      </c>
      <c r="BK104" s="21">
        <f>Asghar!BF104+shahzad!BF104+Fahad!BF104+Asif!BF104+sumair!BF104</f>
        <v>0</v>
      </c>
      <c r="BL104" s="21">
        <f>Asghar!BJ104+shahzad!BJ104+Fahad!BJ104+Asif!BJ104+sumair!BJ104</f>
        <v>0</v>
      </c>
      <c r="BM104" s="21">
        <f>Asghar!BN104+shahzad!BN104+Fahad!BN104+Asif!BN104+sumair!BN104</f>
        <v>0</v>
      </c>
      <c r="BN104" s="21">
        <f>Asghar!BR104+shahzad!BR104+Fahad!BR104+Asif!BR104+sumair!BR104</f>
        <v>0</v>
      </c>
      <c r="BO104" s="21">
        <f>Asghar!BV104+shahzad!BV104+Fahad!BV104+Asif!BV104+sumair!BV104</f>
        <v>0</v>
      </c>
      <c r="BP104" s="21">
        <f>Asghar!BZ104+shahzad!BZ104+Fahad!BZ104+Asif!BZ104+sumair!BZ104</f>
        <v>0</v>
      </c>
      <c r="BQ104" s="21">
        <f>Asghar!CD104+shahzad!CD104+Fahad!CD104+Asif!CD104+sumair!CD104</f>
        <v>0</v>
      </c>
      <c r="BR104" s="21">
        <f>Asghar!CH104+shahzad!CH104+Fahad!CH104+Asif!CH104+sumair!CH104</f>
        <v>0</v>
      </c>
      <c r="BS104" s="21">
        <f>Asghar!CL104+shahzad!CL104+Fahad!CL104+Asif!CL104+sumair!CL104</f>
        <v>0</v>
      </c>
      <c r="BT104" s="21">
        <f>Asghar!CP104+shahzad!CP104+Fahad!CP104+Asif!CP104+sumair!CP104</f>
        <v>0</v>
      </c>
      <c r="BU104" s="21">
        <f>Asghar!CT104+shahzad!CT104+Fahad!CT104+Asif!CT104+sumair!CT104</f>
        <v>0</v>
      </c>
      <c r="BV104" s="21">
        <f>Asghar!CX104+shahzad!CX104+Fahad!CX104+Asif!CX104+sumair!CX104</f>
        <v>0</v>
      </c>
      <c r="BW104" s="21">
        <f>Asghar!DB104+shahzad!DB104+Fahad!DB104+Asif!DB104+sumair!DB104</f>
        <v>0</v>
      </c>
      <c r="BX104" s="21">
        <f>Asghar!DF104+shahzad!DF104+Fahad!DF104+Asif!DF104+sumair!DF104</f>
        <v>0</v>
      </c>
      <c r="BY104" s="21">
        <f>Asghar!DJ104+shahzad!DJ104+Fahad!DJ104+Asif!DJ104+sumair!DJ104</f>
        <v>0</v>
      </c>
      <c r="BZ104" s="21">
        <f>Asghar!DN104+shahzad!DN104+Fahad!DN104+Asif!DN104+sumair!DN104</f>
        <v>0</v>
      </c>
      <c r="CA104" s="21">
        <f>Asghar!DR104+shahzad!DR104+Fahad!DR104+Asif!DR104+sumair!DR104</f>
        <v>0</v>
      </c>
      <c r="CB104" s="21">
        <f>Asghar!DV104+shahzad!DV104+Fahad!DV104+Asif!DV104+sumair!DV104</f>
        <v>0</v>
      </c>
      <c r="CC104" s="21">
        <f>Asghar!DZ104+shahzad!DZ104+Fahad!DZ104+Asif!DZ104+sumair!DZ104</f>
        <v>0</v>
      </c>
      <c r="CD104" s="54">
        <f t="shared" si="16"/>
        <v>0</v>
      </c>
      <c r="CF104" s="28">
        <f t="shared" si="17"/>
        <v>13.388888888888889</v>
      </c>
      <c r="CG104" s="30">
        <f t="shared" si="18"/>
        <v>0</v>
      </c>
      <c r="CH104" s="41">
        <f t="shared" si="19"/>
        <v>13.388888888888889</v>
      </c>
      <c r="CI104" s="53">
        <f t="shared" si="20"/>
        <v>0</v>
      </c>
      <c r="CJ104" s="42">
        <f t="shared" si="21"/>
        <v>13.388888888888889</v>
      </c>
    </row>
    <row r="105" spans="2:88" ht="12.5" customHeight="1" x14ac:dyDescent="0.35">
      <c r="B105" s="4">
        <v>106531</v>
      </c>
      <c r="C105" s="14" t="s">
        <v>111</v>
      </c>
      <c r="D105" s="4">
        <v>36</v>
      </c>
      <c r="E105" s="5">
        <v>18</v>
      </c>
      <c r="F105" s="6">
        <v>189.29879107400001</v>
      </c>
      <c r="G105" s="1"/>
      <c r="H105" s="3">
        <v>1</v>
      </c>
      <c r="I105" s="3">
        <v>16</v>
      </c>
      <c r="J105" s="3"/>
      <c r="K105" s="3"/>
      <c r="L105" s="9">
        <f t="shared" si="11"/>
        <v>0.88888888888888884</v>
      </c>
      <c r="M105" s="10">
        <f t="shared" si="12"/>
        <v>0.88888888888888884</v>
      </c>
      <c r="N105" s="11">
        <f t="shared" si="13"/>
        <v>1.8888888888888888</v>
      </c>
      <c r="O105" s="3">
        <f t="shared" si="23"/>
        <v>34</v>
      </c>
      <c r="P105" s="12">
        <f t="shared" si="23"/>
        <v>6436.1588965159999</v>
      </c>
      <c r="R105" s="21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24">
        <f t="shared" si="15"/>
        <v>0</v>
      </c>
      <c r="AY105" s="21">
        <f>Asghar!J105+shahzad!J105+Fahad!J105+Asif!J105+sumair!J105</f>
        <v>0</v>
      </c>
      <c r="AZ105" s="21">
        <f>Asghar!N105+shahzad!N105+Fahad!N105+Asif!N105+sumair!N105</f>
        <v>0</v>
      </c>
      <c r="BA105" s="21">
        <f>Asghar!R105+shahzad!R105+Fahad!R105+Asif!R105+sumair!R105</f>
        <v>0</v>
      </c>
      <c r="BB105" s="21">
        <f>Asghar!V105+shahzad!V105+Fahad!V105+Asif!V105+sumair!V105</f>
        <v>0</v>
      </c>
      <c r="BC105" s="21">
        <f>Asghar!Z105+shahzad!Z105+Fahad!Z105+Asif!Z105+sumair!Z105</f>
        <v>0</v>
      </c>
      <c r="BD105" s="21">
        <f>Asghar!AD105+shahzad!AD105+Fahad!AD105+Asif!AD105+sumair!AD105</f>
        <v>0</v>
      </c>
      <c r="BE105" s="21">
        <f>Asghar!AH105+shahzad!AH105+Fahad!AH105+Asif!AH105+sumair!AH105</f>
        <v>0</v>
      </c>
      <c r="BF105" s="21">
        <f>Asghar!AL105+shahzad!AL105+Fahad!AL105+Asif!AL105+sumair!AL105</f>
        <v>0</v>
      </c>
      <c r="BG105" s="21">
        <f>Asghar!AP105+shahzad!AP105+Fahad!AP105+Asif!AP105+sumair!AP105</f>
        <v>0</v>
      </c>
      <c r="BH105" s="21">
        <f>Asghar!AT105+shahzad!AT105+Fahad!AT105+Asif!AT105+sumair!AT105</f>
        <v>0</v>
      </c>
      <c r="BI105" s="21">
        <f>Asghar!AX105+shahzad!AX105+Fahad!AX105+Asif!AX105+sumair!AX105</f>
        <v>0</v>
      </c>
      <c r="BJ105" s="21">
        <f>Asghar!BB105+shahzad!BB105+Fahad!BB105+Asif!BB105+sumair!BB105</f>
        <v>0</v>
      </c>
      <c r="BK105" s="21">
        <f>Asghar!BF105+shahzad!BF105+Fahad!BF105+Asif!BF105+sumair!BF105</f>
        <v>0</v>
      </c>
      <c r="BL105" s="21">
        <f>Asghar!BJ105+shahzad!BJ105+Fahad!BJ105+Asif!BJ105+sumair!BJ105</f>
        <v>0</v>
      </c>
      <c r="BM105" s="21">
        <f>Asghar!BN105+shahzad!BN105+Fahad!BN105+Asif!BN105+sumair!BN105</f>
        <v>0</v>
      </c>
      <c r="BN105" s="21">
        <f>Asghar!BR105+shahzad!BR105+Fahad!BR105+Asif!BR105+sumair!BR105</f>
        <v>0</v>
      </c>
      <c r="BO105" s="21">
        <f>Asghar!BV105+shahzad!BV105+Fahad!BV105+Asif!BV105+sumair!BV105</f>
        <v>0</v>
      </c>
      <c r="BP105" s="21">
        <f>Asghar!BZ105+shahzad!BZ105+Fahad!BZ105+Asif!BZ105+sumair!BZ105</f>
        <v>0</v>
      </c>
      <c r="BQ105" s="21">
        <f>Asghar!CD105+shahzad!CD105+Fahad!CD105+Asif!CD105+sumair!CD105</f>
        <v>0</v>
      </c>
      <c r="BR105" s="21">
        <f>Asghar!CH105+shahzad!CH105+Fahad!CH105+Asif!CH105+sumair!CH105</f>
        <v>0</v>
      </c>
      <c r="BS105" s="21">
        <f>Asghar!CL105+shahzad!CL105+Fahad!CL105+Asif!CL105+sumair!CL105</f>
        <v>0</v>
      </c>
      <c r="BT105" s="21">
        <f>Asghar!CP105+shahzad!CP105+Fahad!CP105+Asif!CP105+sumair!CP105</f>
        <v>0</v>
      </c>
      <c r="BU105" s="21">
        <f>Asghar!CT105+shahzad!CT105+Fahad!CT105+Asif!CT105+sumair!CT105</f>
        <v>0</v>
      </c>
      <c r="BV105" s="21">
        <f>Asghar!CX105+shahzad!CX105+Fahad!CX105+Asif!CX105+sumair!CX105</f>
        <v>0</v>
      </c>
      <c r="BW105" s="21">
        <f>Asghar!DB105+shahzad!DB105+Fahad!DB105+Asif!DB105+sumair!DB105</f>
        <v>0</v>
      </c>
      <c r="BX105" s="21">
        <f>Asghar!DF105+shahzad!DF105+Fahad!DF105+Asif!DF105+sumair!DF105</f>
        <v>0</v>
      </c>
      <c r="BY105" s="21">
        <f>Asghar!DJ105+shahzad!DJ105+Fahad!DJ105+Asif!DJ105+sumair!DJ105</f>
        <v>0</v>
      </c>
      <c r="BZ105" s="21">
        <f>Asghar!DN105+shahzad!DN105+Fahad!DN105+Asif!DN105+sumair!DN105</f>
        <v>0</v>
      </c>
      <c r="CA105" s="21">
        <f>Asghar!DR105+shahzad!DR105+Fahad!DR105+Asif!DR105+sumair!DR105</f>
        <v>0</v>
      </c>
      <c r="CB105" s="21">
        <f>Asghar!DV105+shahzad!DV105+Fahad!DV105+Asif!DV105+sumair!DV105</f>
        <v>0</v>
      </c>
      <c r="CC105" s="21">
        <f>Asghar!DZ105+shahzad!DZ105+Fahad!DZ105+Asif!DZ105+sumair!DZ105</f>
        <v>0</v>
      </c>
      <c r="CD105" s="54">
        <f t="shared" si="16"/>
        <v>0</v>
      </c>
      <c r="CF105" s="28">
        <f t="shared" si="17"/>
        <v>1.8888888888888888</v>
      </c>
      <c r="CG105" s="30">
        <f t="shared" si="18"/>
        <v>0</v>
      </c>
      <c r="CH105" s="41">
        <f t="shared" si="19"/>
        <v>1.8888888888888888</v>
      </c>
      <c r="CI105" s="53">
        <f t="shared" si="20"/>
        <v>0</v>
      </c>
      <c r="CJ105" s="42">
        <f t="shared" si="21"/>
        <v>1.8888888888888888</v>
      </c>
    </row>
    <row r="106" spans="2:88" ht="12.5" customHeight="1" x14ac:dyDescent="0.35">
      <c r="B106" s="4">
        <v>109410</v>
      </c>
      <c r="C106" s="14" t="s">
        <v>112</v>
      </c>
      <c r="D106" s="4">
        <v>20</v>
      </c>
      <c r="E106" s="5">
        <v>18</v>
      </c>
      <c r="F106" s="6">
        <v>20.277777</v>
      </c>
      <c r="G106" s="1"/>
      <c r="H106" s="3">
        <v>14</v>
      </c>
      <c r="I106" s="3">
        <v>2</v>
      </c>
      <c r="J106" s="3"/>
      <c r="K106" s="3"/>
      <c r="L106" s="9">
        <f t="shared" si="11"/>
        <v>0.1111111111111111</v>
      </c>
      <c r="M106" s="10">
        <f t="shared" si="12"/>
        <v>0.1111111111111111</v>
      </c>
      <c r="N106" s="11">
        <f t="shared" si="13"/>
        <v>14.111111111111111</v>
      </c>
      <c r="O106" s="3">
        <f t="shared" si="23"/>
        <v>254</v>
      </c>
      <c r="P106" s="12">
        <f t="shared" si="23"/>
        <v>5150.5553580000005</v>
      </c>
      <c r="R106" s="21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24">
        <f t="shared" si="15"/>
        <v>0</v>
      </c>
      <c r="AY106" s="21">
        <f>Asghar!J106+shahzad!J106+Fahad!J106+Asif!J106+sumair!J106</f>
        <v>0</v>
      </c>
      <c r="AZ106" s="21">
        <f>Asghar!N106+shahzad!N106+Fahad!N106+Asif!N106+sumair!N106</f>
        <v>0</v>
      </c>
      <c r="BA106" s="21">
        <f>Asghar!R106+shahzad!R106+Fahad!R106+Asif!R106+sumair!R106</f>
        <v>0</v>
      </c>
      <c r="BB106" s="21">
        <f>Asghar!V106+shahzad!V106+Fahad!V106+Asif!V106+sumair!V106</f>
        <v>0</v>
      </c>
      <c r="BC106" s="21">
        <f>Asghar!Z106+shahzad!Z106+Fahad!Z106+Asif!Z106+sumair!Z106</f>
        <v>0</v>
      </c>
      <c r="BD106" s="21">
        <f>Asghar!AD106+shahzad!AD106+Fahad!AD106+Asif!AD106+sumair!AD106</f>
        <v>0</v>
      </c>
      <c r="BE106" s="21">
        <f>Asghar!AH106+shahzad!AH106+Fahad!AH106+Asif!AH106+sumair!AH106</f>
        <v>0</v>
      </c>
      <c r="BF106" s="21">
        <f>Asghar!AL106+shahzad!AL106+Fahad!AL106+Asif!AL106+sumair!AL106</f>
        <v>0</v>
      </c>
      <c r="BG106" s="21">
        <f>Asghar!AP106+shahzad!AP106+Fahad!AP106+Asif!AP106+sumair!AP106</f>
        <v>0</v>
      </c>
      <c r="BH106" s="21">
        <f>Asghar!AT106+shahzad!AT106+Fahad!AT106+Asif!AT106+sumair!AT106</f>
        <v>0</v>
      </c>
      <c r="BI106" s="21">
        <f>Asghar!AX106+shahzad!AX106+Fahad!AX106+Asif!AX106+sumair!AX106</f>
        <v>0</v>
      </c>
      <c r="BJ106" s="21">
        <f>Asghar!BB106+shahzad!BB106+Fahad!BB106+Asif!BB106+sumair!BB106</f>
        <v>0</v>
      </c>
      <c r="BK106" s="21">
        <f>Asghar!BF106+shahzad!BF106+Fahad!BF106+Asif!BF106+sumair!BF106</f>
        <v>0</v>
      </c>
      <c r="BL106" s="21">
        <f>Asghar!BJ106+shahzad!BJ106+Fahad!BJ106+Asif!BJ106+sumair!BJ106</f>
        <v>0</v>
      </c>
      <c r="BM106" s="21">
        <f>Asghar!BN106+shahzad!BN106+Fahad!BN106+Asif!BN106+sumair!BN106</f>
        <v>0</v>
      </c>
      <c r="BN106" s="21">
        <f>Asghar!BR106+shahzad!BR106+Fahad!BR106+Asif!BR106+sumair!BR106</f>
        <v>0</v>
      </c>
      <c r="BO106" s="21">
        <f>Asghar!BV106+shahzad!BV106+Fahad!BV106+Asif!BV106+sumair!BV106</f>
        <v>0</v>
      </c>
      <c r="BP106" s="21">
        <f>Asghar!BZ106+shahzad!BZ106+Fahad!BZ106+Asif!BZ106+sumair!BZ106</f>
        <v>0</v>
      </c>
      <c r="BQ106" s="21">
        <f>Asghar!CD106+shahzad!CD106+Fahad!CD106+Asif!CD106+sumair!CD106</f>
        <v>0</v>
      </c>
      <c r="BR106" s="21">
        <f>Asghar!CH106+shahzad!CH106+Fahad!CH106+Asif!CH106+sumair!CH106</f>
        <v>0</v>
      </c>
      <c r="BS106" s="21">
        <f>Asghar!CL106+shahzad!CL106+Fahad!CL106+Asif!CL106+sumair!CL106</f>
        <v>0</v>
      </c>
      <c r="BT106" s="21">
        <f>Asghar!CP106+shahzad!CP106+Fahad!CP106+Asif!CP106+sumair!CP106</f>
        <v>0</v>
      </c>
      <c r="BU106" s="21">
        <f>Asghar!CT106+shahzad!CT106+Fahad!CT106+Asif!CT106+sumair!CT106</f>
        <v>0</v>
      </c>
      <c r="BV106" s="21">
        <f>Asghar!CX106+shahzad!CX106+Fahad!CX106+Asif!CX106+sumair!CX106</f>
        <v>0</v>
      </c>
      <c r="BW106" s="21">
        <f>Asghar!DB106+shahzad!DB106+Fahad!DB106+Asif!DB106+sumair!DB106</f>
        <v>0</v>
      </c>
      <c r="BX106" s="21">
        <f>Asghar!DF106+shahzad!DF106+Fahad!DF106+Asif!DF106+sumair!DF106</f>
        <v>0</v>
      </c>
      <c r="BY106" s="21">
        <f>Asghar!DJ106+shahzad!DJ106+Fahad!DJ106+Asif!DJ106+sumair!DJ106</f>
        <v>0</v>
      </c>
      <c r="BZ106" s="21">
        <f>Asghar!DN106+shahzad!DN106+Fahad!DN106+Asif!DN106+sumair!DN106</f>
        <v>0</v>
      </c>
      <c r="CA106" s="21">
        <f>Asghar!DR106+shahzad!DR106+Fahad!DR106+Asif!DR106+sumair!DR106</f>
        <v>0</v>
      </c>
      <c r="CB106" s="21">
        <f>Asghar!DV106+shahzad!DV106+Fahad!DV106+Asif!DV106+sumair!DV106</f>
        <v>0</v>
      </c>
      <c r="CC106" s="21">
        <f>Asghar!DZ106+shahzad!DZ106+Fahad!DZ106+Asif!DZ106+sumair!DZ106</f>
        <v>0</v>
      </c>
      <c r="CD106" s="54">
        <f t="shared" si="16"/>
        <v>0</v>
      </c>
      <c r="CF106" s="28">
        <f t="shared" si="17"/>
        <v>14.111111111111111</v>
      </c>
      <c r="CG106" s="30">
        <f t="shared" si="18"/>
        <v>0</v>
      </c>
      <c r="CH106" s="41">
        <f t="shared" si="19"/>
        <v>14.111111111111111</v>
      </c>
      <c r="CI106" s="53">
        <f t="shared" si="20"/>
        <v>0</v>
      </c>
      <c r="CJ106" s="42">
        <f t="shared" si="21"/>
        <v>14.111111111111111</v>
      </c>
    </row>
    <row r="107" spans="2:88" ht="12.5" customHeight="1" x14ac:dyDescent="0.35">
      <c r="B107" s="4" t="s">
        <v>113</v>
      </c>
      <c r="C107" s="14" t="s">
        <v>114</v>
      </c>
      <c r="D107" s="4">
        <v>6</v>
      </c>
      <c r="E107" s="5">
        <v>12</v>
      </c>
      <c r="F107" s="6">
        <v>484.75580000000002</v>
      </c>
      <c r="G107" s="1"/>
      <c r="H107" s="3">
        <v>8</v>
      </c>
      <c r="I107" s="3">
        <v>1</v>
      </c>
      <c r="J107" s="3"/>
      <c r="K107" s="3"/>
      <c r="L107" s="9">
        <f t="shared" si="11"/>
        <v>8.3333333333333329E-2</v>
      </c>
      <c r="M107" s="10">
        <f t="shared" si="12"/>
        <v>8.3333333333333329E-2</v>
      </c>
      <c r="N107" s="11">
        <f t="shared" si="13"/>
        <v>8.0833333333333339</v>
      </c>
      <c r="O107" s="3">
        <f t="shared" si="23"/>
        <v>97</v>
      </c>
      <c r="P107" s="12">
        <f t="shared" si="23"/>
        <v>47021.312600000005</v>
      </c>
      <c r="R107" s="21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24">
        <f t="shared" si="15"/>
        <v>0</v>
      </c>
      <c r="AY107" s="21">
        <f>Asghar!J107+shahzad!J107+Fahad!J107+Asif!J107+sumair!J107</f>
        <v>0</v>
      </c>
      <c r="AZ107" s="21">
        <f>Asghar!N107+shahzad!N107+Fahad!N107+Asif!N107+sumair!N107</f>
        <v>0</v>
      </c>
      <c r="BA107" s="21">
        <f>Asghar!R107+shahzad!R107+Fahad!R107+Asif!R107+sumair!R107</f>
        <v>0</v>
      </c>
      <c r="BB107" s="21">
        <f>Asghar!V107+shahzad!V107+Fahad!V107+Asif!V107+sumair!V107</f>
        <v>0</v>
      </c>
      <c r="BC107" s="21">
        <f>Asghar!Z107+shahzad!Z107+Fahad!Z107+Asif!Z107+sumair!Z107</f>
        <v>0</v>
      </c>
      <c r="BD107" s="21">
        <f>Asghar!AD107+shahzad!AD107+Fahad!AD107+Asif!AD107+sumair!AD107</f>
        <v>0</v>
      </c>
      <c r="BE107" s="21">
        <f>Asghar!AH107+shahzad!AH107+Fahad!AH107+Asif!AH107+sumair!AH107</f>
        <v>0</v>
      </c>
      <c r="BF107" s="21">
        <f>Asghar!AL107+shahzad!AL107+Fahad!AL107+Asif!AL107+sumair!AL107</f>
        <v>0</v>
      </c>
      <c r="BG107" s="21">
        <f>Asghar!AP107+shahzad!AP107+Fahad!AP107+Asif!AP107+sumair!AP107</f>
        <v>0</v>
      </c>
      <c r="BH107" s="21">
        <f>Asghar!AT107+shahzad!AT107+Fahad!AT107+Asif!AT107+sumair!AT107</f>
        <v>0</v>
      </c>
      <c r="BI107" s="21">
        <f>Asghar!AX107+shahzad!AX107+Fahad!AX107+Asif!AX107+sumair!AX107</f>
        <v>0</v>
      </c>
      <c r="BJ107" s="21">
        <f>Asghar!BB107+shahzad!BB107+Fahad!BB107+Asif!BB107+sumair!BB107</f>
        <v>0</v>
      </c>
      <c r="BK107" s="21">
        <f>Asghar!BF107+shahzad!BF107+Fahad!BF107+Asif!BF107+sumair!BF107</f>
        <v>0</v>
      </c>
      <c r="BL107" s="21">
        <f>Asghar!BJ107+shahzad!BJ107+Fahad!BJ107+Asif!BJ107+sumair!BJ107</f>
        <v>0</v>
      </c>
      <c r="BM107" s="21">
        <f>Asghar!BN107+shahzad!BN107+Fahad!BN107+Asif!BN107+sumair!BN107</f>
        <v>0</v>
      </c>
      <c r="BN107" s="21">
        <f>Asghar!BR107+shahzad!BR107+Fahad!BR107+Asif!BR107+sumair!BR107</f>
        <v>0</v>
      </c>
      <c r="BO107" s="21">
        <f>Asghar!BV107+shahzad!BV107+Fahad!BV107+Asif!BV107+sumair!BV107</f>
        <v>0</v>
      </c>
      <c r="BP107" s="21">
        <f>Asghar!BZ107+shahzad!BZ107+Fahad!BZ107+Asif!BZ107+sumair!BZ107</f>
        <v>0</v>
      </c>
      <c r="BQ107" s="21">
        <f>Asghar!CD107+shahzad!CD107+Fahad!CD107+Asif!CD107+sumair!CD107</f>
        <v>0</v>
      </c>
      <c r="BR107" s="21">
        <f>Asghar!CH107+shahzad!CH107+Fahad!CH107+Asif!CH107+sumair!CH107</f>
        <v>0</v>
      </c>
      <c r="BS107" s="21">
        <f>Asghar!CL107+shahzad!CL107+Fahad!CL107+Asif!CL107+sumair!CL107</f>
        <v>0</v>
      </c>
      <c r="BT107" s="21">
        <f>Asghar!CP107+shahzad!CP107+Fahad!CP107+Asif!CP107+sumair!CP107</f>
        <v>0</v>
      </c>
      <c r="BU107" s="21">
        <f>Asghar!CT107+shahzad!CT107+Fahad!CT107+Asif!CT107+sumair!CT107</f>
        <v>0</v>
      </c>
      <c r="BV107" s="21">
        <f>Asghar!CX107+shahzad!CX107+Fahad!CX107+Asif!CX107+sumair!CX107</f>
        <v>0</v>
      </c>
      <c r="BW107" s="21">
        <f>Asghar!DB107+shahzad!DB107+Fahad!DB107+Asif!DB107+sumair!DB107</f>
        <v>0</v>
      </c>
      <c r="BX107" s="21">
        <f>Asghar!DF107+shahzad!DF107+Fahad!DF107+Asif!DF107+sumair!DF107</f>
        <v>0</v>
      </c>
      <c r="BY107" s="21">
        <f>Asghar!DJ107+shahzad!DJ107+Fahad!DJ107+Asif!DJ107+sumair!DJ107</f>
        <v>0</v>
      </c>
      <c r="BZ107" s="21">
        <f>Asghar!DN107+shahzad!DN107+Fahad!DN107+Asif!DN107+sumair!DN107</f>
        <v>0</v>
      </c>
      <c r="CA107" s="21">
        <f>Asghar!DR107+shahzad!DR107+Fahad!DR107+Asif!DR107+sumair!DR107</f>
        <v>0</v>
      </c>
      <c r="CB107" s="21">
        <f>Asghar!DV107+shahzad!DV107+Fahad!DV107+Asif!DV107+sumair!DV107</f>
        <v>0</v>
      </c>
      <c r="CC107" s="21">
        <f>Asghar!DZ107+shahzad!DZ107+Fahad!DZ107+Asif!DZ107+sumair!DZ107</f>
        <v>0</v>
      </c>
      <c r="CD107" s="54">
        <f t="shared" si="16"/>
        <v>0</v>
      </c>
      <c r="CF107" s="28">
        <f t="shared" si="17"/>
        <v>8.0833333333333339</v>
      </c>
      <c r="CG107" s="30">
        <f t="shared" si="18"/>
        <v>0</v>
      </c>
      <c r="CH107" s="41">
        <f t="shared" si="19"/>
        <v>8.0833333333333339</v>
      </c>
      <c r="CI107" s="53">
        <f t="shared" si="20"/>
        <v>0</v>
      </c>
      <c r="CJ107" s="42">
        <f t="shared" si="21"/>
        <v>8.0833333333333339</v>
      </c>
    </row>
    <row r="108" spans="2:88" ht="12.5" customHeight="1" x14ac:dyDescent="0.35">
      <c r="B108" s="4">
        <v>0</v>
      </c>
      <c r="C108" s="14" t="s">
        <v>115</v>
      </c>
      <c r="D108" s="4">
        <v>50</v>
      </c>
      <c r="E108" s="5">
        <v>18</v>
      </c>
      <c r="F108" s="6">
        <v>198.24524392000001</v>
      </c>
      <c r="G108" s="1"/>
      <c r="H108" s="3"/>
      <c r="I108" s="3"/>
      <c r="J108" s="3"/>
      <c r="K108" s="3"/>
      <c r="L108" s="9">
        <f t="shared" si="11"/>
        <v>0</v>
      </c>
      <c r="M108" s="10"/>
      <c r="N108" s="11"/>
      <c r="O108" s="3">
        <f t="shared" si="23"/>
        <v>0</v>
      </c>
      <c r="P108" s="12">
        <f t="shared" si="23"/>
        <v>0</v>
      </c>
      <c r="R108" s="21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24">
        <f t="shared" si="15"/>
        <v>0</v>
      </c>
      <c r="AY108" s="21">
        <f>Asghar!J108+shahzad!J108+Fahad!J108+Asif!J108+sumair!J108</f>
        <v>0</v>
      </c>
      <c r="AZ108" s="21">
        <f>Asghar!N108+shahzad!N108+Fahad!N108+Asif!N108+sumair!N108</f>
        <v>0</v>
      </c>
      <c r="BA108" s="21">
        <f>Asghar!R108+shahzad!R108+Fahad!R108+Asif!R108+sumair!R108</f>
        <v>0</v>
      </c>
      <c r="BB108" s="21">
        <f>Asghar!V108+shahzad!V108+Fahad!V108+Asif!V108+sumair!V108</f>
        <v>0</v>
      </c>
      <c r="BC108" s="21">
        <f>Asghar!Z108+shahzad!Z108+Fahad!Z108+Asif!Z108+sumair!Z108</f>
        <v>0</v>
      </c>
      <c r="BD108" s="21">
        <f>Asghar!AD108+shahzad!AD108+Fahad!AD108+Asif!AD108+sumair!AD108</f>
        <v>0</v>
      </c>
      <c r="BE108" s="21">
        <f>Asghar!AH108+shahzad!AH108+Fahad!AH108+Asif!AH108+sumair!AH108</f>
        <v>0</v>
      </c>
      <c r="BF108" s="21">
        <f>Asghar!AL108+shahzad!AL108+Fahad!AL108+Asif!AL108+sumair!AL108</f>
        <v>0</v>
      </c>
      <c r="BG108" s="21">
        <f>Asghar!AP108+shahzad!AP108+Fahad!AP108+Asif!AP108+sumair!AP108</f>
        <v>0</v>
      </c>
      <c r="BH108" s="21">
        <f>Asghar!AT108+shahzad!AT108+Fahad!AT108+Asif!AT108+sumair!AT108</f>
        <v>0</v>
      </c>
      <c r="BI108" s="21">
        <f>Asghar!AX108+shahzad!AX108+Fahad!AX108+Asif!AX108+sumair!AX108</f>
        <v>0</v>
      </c>
      <c r="BJ108" s="21">
        <f>Asghar!BB108+shahzad!BB108+Fahad!BB108+Asif!BB108+sumair!BB108</f>
        <v>0</v>
      </c>
      <c r="BK108" s="21">
        <f>Asghar!BF108+shahzad!BF108+Fahad!BF108+Asif!BF108+sumair!BF108</f>
        <v>0</v>
      </c>
      <c r="BL108" s="21">
        <f>Asghar!BJ108+shahzad!BJ108+Fahad!BJ108+Asif!BJ108+sumair!BJ108</f>
        <v>0</v>
      </c>
      <c r="BM108" s="21">
        <f>Asghar!BN108+shahzad!BN108+Fahad!BN108+Asif!BN108+sumair!BN108</f>
        <v>0</v>
      </c>
      <c r="BN108" s="21">
        <f>Asghar!BR108+shahzad!BR108+Fahad!BR108+Asif!BR108+sumair!BR108</f>
        <v>0</v>
      </c>
      <c r="BO108" s="21">
        <f>Asghar!BV108+shahzad!BV108+Fahad!BV108+Asif!BV108+sumair!BV108</f>
        <v>0</v>
      </c>
      <c r="BP108" s="21">
        <f>Asghar!BZ108+shahzad!BZ108+Fahad!BZ108+Asif!BZ108+sumair!BZ108</f>
        <v>0</v>
      </c>
      <c r="BQ108" s="21">
        <f>Asghar!CD108+shahzad!CD108+Fahad!CD108+Asif!CD108+sumair!CD108</f>
        <v>0</v>
      </c>
      <c r="BR108" s="21">
        <f>Asghar!CH108+shahzad!CH108+Fahad!CH108+Asif!CH108+sumair!CH108</f>
        <v>0</v>
      </c>
      <c r="BS108" s="21">
        <f>Asghar!CL108+shahzad!CL108+Fahad!CL108+Asif!CL108+sumair!CL108</f>
        <v>0</v>
      </c>
      <c r="BT108" s="21">
        <f>Asghar!CP108+shahzad!CP108+Fahad!CP108+Asif!CP108+sumair!CP108</f>
        <v>0</v>
      </c>
      <c r="BU108" s="21">
        <f>Asghar!CT108+shahzad!CT108+Fahad!CT108+Asif!CT108+sumair!CT108</f>
        <v>0</v>
      </c>
      <c r="BV108" s="21">
        <f>Asghar!CX108+shahzad!CX108+Fahad!CX108+Asif!CX108+sumair!CX108</f>
        <v>0</v>
      </c>
      <c r="BW108" s="21">
        <f>Asghar!DB108+shahzad!DB108+Fahad!DB108+Asif!DB108+sumair!DB108</f>
        <v>0</v>
      </c>
      <c r="BX108" s="21">
        <f>Asghar!DF108+shahzad!DF108+Fahad!DF108+Asif!DF108+sumair!DF108</f>
        <v>0</v>
      </c>
      <c r="BY108" s="21">
        <f>Asghar!DJ108+shahzad!DJ108+Fahad!DJ108+Asif!DJ108+sumair!DJ108</f>
        <v>0</v>
      </c>
      <c r="BZ108" s="21">
        <f>Asghar!DN108+shahzad!DN108+Fahad!DN108+Asif!DN108+sumair!DN108</f>
        <v>0</v>
      </c>
      <c r="CA108" s="21">
        <f>Asghar!DR108+shahzad!DR108+Fahad!DR108+Asif!DR108+sumair!DR108</f>
        <v>0</v>
      </c>
      <c r="CB108" s="21">
        <f>Asghar!DV108+shahzad!DV108+Fahad!DV108+Asif!DV108+sumair!DV108</f>
        <v>0</v>
      </c>
      <c r="CC108" s="21">
        <f>Asghar!DZ108+shahzad!DZ108+Fahad!DZ108+Asif!DZ108+sumair!DZ108</f>
        <v>0</v>
      </c>
      <c r="CD108" s="54">
        <f t="shared" si="16"/>
        <v>0</v>
      </c>
      <c r="CF108" s="28">
        <f t="shared" si="17"/>
        <v>0</v>
      </c>
      <c r="CG108" s="30">
        <f t="shared" si="18"/>
        <v>0</v>
      </c>
      <c r="CH108" s="41">
        <f t="shared" si="19"/>
        <v>0</v>
      </c>
      <c r="CI108" s="53">
        <f t="shared" si="20"/>
        <v>0</v>
      </c>
      <c r="CJ108" s="42">
        <f t="shared" si="21"/>
        <v>0</v>
      </c>
    </row>
    <row r="109" spans="2:88" x14ac:dyDescent="0.35">
      <c r="B109" s="15"/>
      <c r="C109" s="1"/>
      <c r="D109" s="1"/>
      <c r="E109" s="1"/>
      <c r="F109" s="1"/>
      <c r="G109" s="1"/>
      <c r="H109" s="1">
        <f>SUM(H4:H108)</f>
        <v>1300</v>
      </c>
      <c r="I109" s="1">
        <f>SUM(I4:I89)</f>
        <v>538</v>
      </c>
      <c r="J109" s="1">
        <f>SUM(J4:J89)</f>
        <v>0</v>
      </c>
      <c r="K109" s="1"/>
      <c r="L109" s="1"/>
      <c r="M109" s="16">
        <f>SUM(M4:M108)</f>
        <v>29.069444444444446</v>
      </c>
      <c r="N109" s="16">
        <f>SUM(N4:N108)</f>
        <v>1329.0694444444446</v>
      </c>
      <c r="O109" s="16">
        <f t="shared" ref="O109:P109" si="24">SUM(O4:O107)</f>
        <v>27763</v>
      </c>
      <c r="P109" s="16">
        <f t="shared" si="24"/>
        <v>5346553.3188495794</v>
      </c>
      <c r="R109">
        <f>SUM(R4:R108)</f>
        <v>0</v>
      </c>
      <c r="S109">
        <f t="shared" ref="S109:AW109" si="25">SUM(S4:S108)</f>
        <v>0</v>
      </c>
      <c r="T109">
        <f t="shared" si="25"/>
        <v>0</v>
      </c>
      <c r="U109">
        <f t="shared" si="25"/>
        <v>0</v>
      </c>
      <c r="V109">
        <f t="shared" si="25"/>
        <v>0</v>
      </c>
      <c r="W109">
        <f t="shared" si="25"/>
        <v>0</v>
      </c>
      <c r="X109">
        <f t="shared" si="25"/>
        <v>0</v>
      </c>
      <c r="Y109">
        <f t="shared" si="25"/>
        <v>0</v>
      </c>
      <c r="Z109">
        <f t="shared" si="25"/>
        <v>0</v>
      </c>
      <c r="AA109">
        <f t="shared" si="25"/>
        <v>0</v>
      </c>
      <c r="AB109">
        <f t="shared" si="25"/>
        <v>0</v>
      </c>
      <c r="AC109">
        <f t="shared" si="25"/>
        <v>0</v>
      </c>
      <c r="AD109">
        <f t="shared" si="25"/>
        <v>0</v>
      </c>
      <c r="AE109">
        <f t="shared" si="25"/>
        <v>0</v>
      </c>
      <c r="AF109">
        <f t="shared" si="25"/>
        <v>0</v>
      </c>
      <c r="AG109">
        <f t="shared" si="25"/>
        <v>0</v>
      </c>
      <c r="AH109">
        <f t="shared" si="25"/>
        <v>0</v>
      </c>
      <c r="AI109">
        <f t="shared" si="25"/>
        <v>0</v>
      </c>
      <c r="AJ109">
        <f t="shared" si="25"/>
        <v>0</v>
      </c>
      <c r="AK109">
        <f t="shared" si="25"/>
        <v>0</v>
      </c>
      <c r="AL109">
        <f t="shared" si="25"/>
        <v>0</v>
      </c>
      <c r="AM109">
        <f t="shared" si="25"/>
        <v>0</v>
      </c>
      <c r="AN109">
        <f t="shared" si="25"/>
        <v>0</v>
      </c>
      <c r="AO109">
        <f t="shared" si="25"/>
        <v>0</v>
      </c>
      <c r="AP109">
        <f t="shared" si="25"/>
        <v>0</v>
      </c>
      <c r="AQ109">
        <f t="shared" si="25"/>
        <v>0</v>
      </c>
      <c r="AR109">
        <f t="shared" si="25"/>
        <v>0</v>
      </c>
      <c r="AS109">
        <f t="shared" si="25"/>
        <v>0</v>
      </c>
      <c r="AT109">
        <f t="shared" si="25"/>
        <v>0</v>
      </c>
      <c r="AU109">
        <f t="shared" si="25"/>
        <v>0</v>
      </c>
      <c r="AV109">
        <f t="shared" si="25"/>
        <v>0</v>
      </c>
      <c r="AW109">
        <f t="shared" si="25"/>
        <v>0</v>
      </c>
      <c r="AY109">
        <f t="shared" ref="AY109" si="26">SUM(AY4:AY108)</f>
        <v>0</v>
      </c>
      <c r="AZ109">
        <f t="shared" ref="AZ109" si="27">SUM(AZ4:AZ108)</f>
        <v>0</v>
      </c>
      <c r="BA109">
        <f t="shared" ref="BA109" si="28">SUM(BA4:BA108)</f>
        <v>0</v>
      </c>
      <c r="BB109">
        <f t="shared" ref="BB109" si="29">SUM(BB4:BB108)</f>
        <v>0</v>
      </c>
      <c r="BC109">
        <f t="shared" ref="BC109" si="30">SUM(BC4:BC108)</f>
        <v>0</v>
      </c>
      <c r="BD109">
        <f t="shared" ref="BD109" si="31">SUM(BD4:BD108)</f>
        <v>0</v>
      </c>
      <c r="BE109">
        <f t="shared" ref="BE109" si="32">SUM(BE4:BE108)</f>
        <v>0</v>
      </c>
      <c r="BF109">
        <f t="shared" ref="BF109" si="33">SUM(BF4:BF108)</f>
        <v>0</v>
      </c>
      <c r="BG109">
        <f t="shared" ref="BG109" si="34">SUM(BG4:BG108)</f>
        <v>0</v>
      </c>
      <c r="BH109">
        <f t="shared" ref="BH109" si="35">SUM(BH4:BH108)</f>
        <v>0</v>
      </c>
      <c r="BI109">
        <f t="shared" ref="BI109" si="36">SUM(BI4:BI108)</f>
        <v>0</v>
      </c>
      <c r="BJ109">
        <f t="shared" ref="BJ109" si="37">SUM(BJ4:BJ108)</f>
        <v>0</v>
      </c>
      <c r="BK109">
        <f t="shared" ref="BK109" si="38">SUM(BK4:BK108)</f>
        <v>0</v>
      </c>
      <c r="BL109">
        <f t="shared" ref="BL109" si="39">SUM(BL4:BL108)</f>
        <v>0</v>
      </c>
      <c r="BM109">
        <f t="shared" ref="BM109" si="40">SUM(BM4:BM108)</f>
        <v>0</v>
      </c>
      <c r="BN109" s="52">
        <f t="shared" ref="BN109" si="41">SUM(BN4:BN108)</f>
        <v>0</v>
      </c>
      <c r="BO109">
        <f t="shared" ref="BO109" si="42">SUM(BO4:BO108)</f>
        <v>0</v>
      </c>
      <c r="BP109">
        <f t="shared" ref="BP109" si="43">SUM(BP4:BP108)</f>
        <v>0</v>
      </c>
      <c r="BQ109">
        <f t="shared" ref="BQ109" si="44">SUM(BQ4:BQ108)</f>
        <v>0</v>
      </c>
      <c r="BR109">
        <f t="shared" ref="BR109" si="45">SUM(BR4:BR108)</f>
        <v>0</v>
      </c>
      <c r="BS109">
        <f t="shared" ref="BS109" si="46">SUM(BS4:BS108)</f>
        <v>0</v>
      </c>
      <c r="BT109">
        <f t="shared" ref="BT109" si="47">SUM(BT4:BT108)</f>
        <v>0</v>
      </c>
      <c r="BU109">
        <f t="shared" ref="BU109" si="48">SUM(BU4:BU108)</f>
        <v>0</v>
      </c>
      <c r="BV109">
        <f t="shared" ref="BV109" si="49">SUM(BV4:BV108)</f>
        <v>0</v>
      </c>
      <c r="BW109">
        <f t="shared" ref="BW109" si="50">SUM(BW4:BW108)</f>
        <v>0</v>
      </c>
      <c r="BX109">
        <f t="shared" ref="BX109" si="51">SUM(BX4:BX108)</f>
        <v>0</v>
      </c>
      <c r="BY109">
        <f t="shared" ref="BY109" si="52">SUM(BY4:BY108)</f>
        <v>0</v>
      </c>
      <c r="BZ109">
        <f t="shared" ref="BZ109" si="53">SUM(BZ4:BZ108)</f>
        <v>0</v>
      </c>
      <c r="CA109">
        <f t="shared" ref="CA109" si="54">SUM(CA4:CA108)</f>
        <v>0</v>
      </c>
      <c r="CB109">
        <f t="shared" ref="CB109" si="55">SUM(CB4:CB108)</f>
        <v>0</v>
      </c>
      <c r="CC109">
        <f t="shared" ref="CC109" si="56">SUM(CC4:CC108)</f>
        <v>0</v>
      </c>
      <c r="CD109">
        <f t="shared" ref="CD109" si="57">SUM(CD4:CD108)</f>
        <v>0</v>
      </c>
      <c r="CF109" s="22">
        <f>SUM(CF4:CF108)</f>
        <v>1329.0694444444446</v>
      </c>
      <c r="CG109" s="22">
        <f>SUM(CG4:CG108)</f>
        <v>0</v>
      </c>
      <c r="CH109" s="22">
        <f>SUM(CH4:CH108)</f>
        <v>1329.0694444444446</v>
      </c>
      <c r="CI109" s="22">
        <f>SUM(CI4:CI108)</f>
        <v>0</v>
      </c>
      <c r="CJ109" s="22">
        <f>SUM(CJ4:CJ108)</f>
        <v>1329.0694444444446</v>
      </c>
    </row>
  </sheetData>
  <mergeCells count="1">
    <mergeCell ref="M2:P2"/>
  </mergeCells>
  <conditionalFormatting sqref="B4:B79 B109">
    <cfRule type="duplicateValues" dxfId="29" priority="5"/>
  </conditionalFormatting>
  <conditionalFormatting sqref="B4:B108">
    <cfRule type="duplicateValues" dxfId="28" priority="1"/>
    <cfRule type="duplicateValues" dxfId="27" priority="2"/>
  </conditionalFormatting>
  <conditionalFormatting sqref="B80:B84">
    <cfRule type="duplicateValues" dxfId="26" priority="4"/>
  </conditionalFormatting>
  <conditionalFormatting sqref="B85:B108">
    <cfRule type="duplicateValues" dxfId="25" priority="3"/>
  </conditionalFormatting>
  <printOptions horizontalCentered="1" verticalCentered="1"/>
  <pageMargins left="0.7" right="0.7" top="0.75" bottom="0.75" header="0.3" footer="0.3"/>
  <pageSetup paperSize="9" scale="5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365B-690E-43BF-82E0-C0A310DD5445}">
  <dimension ref="B2:ED126"/>
  <sheetViews>
    <sheetView tabSelected="1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3" sqref="B3"/>
    </sheetView>
  </sheetViews>
  <sheetFormatPr defaultRowHeight="14.5" x14ac:dyDescent="0.35"/>
  <cols>
    <col min="3" max="3" width="38.81640625" customWidth="1"/>
    <col min="7" max="7" width="2.6328125" customWidth="1"/>
    <col min="11" max="11" width="3.26953125" customWidth="1"/>
    <col min="15" max="15" width="3.26953125" customWidth="1"/>
    <col min="19" max="19" width="3.26953125" customWidth="1"/>
    <col min="23" max="23" width="3.26953125" customWidth="1"/>
    <col min="27" max="27" width="3.26953125" customWidth="1"/>
    <col min="31" max="31" width="3.26953125" customWidth="1"/>
    <col min="35" max="35" width="3.26953125" customWidth="1"/>
    <col min="39" max="39" width="3.26953125" customWidth="1"/>
    <col min="43" max="43" width="3.26953125" customWidth="1"/>
    <col min="47" max="47" width="3.26953125" customWidth="1"/>
    <col min="51" max="51" width="3.26953125" customWidth="1"/>
    <col min="55" max="55" width="3.26953125" customWidth="1"/>
    <col min="59" max="59" width="3.26953125" customWidth="1"/>
    <col min="63" max="63" width="3.26953125" customWidth="1"/>
    <col min="67" max="67" width="3.26953125" customWidth="1"/>
    <col min="71" max="71" width="3.26953125" customWidth="1"/>
    <col min="75" max="75" width="3.26953125" customWidth="1"/>
    <col min="79" max="79" width="3.26953125" customWidth="1"/>
    <col min="83" max="83" width="3.26953125" customWidth="1"/>
    <col min="87" max="87" width="3.26953125" customWidth="1"/>
    <col min="91" max="91" width="3.26953125" customWidth="1"/>
    <col min="95" max="95" width="3.26953125" customWidth="1"/>
    <col min="99" max="99" width="3.26953125" customWidth="1"/>
    <col min="103" max="103" width="3.26953125" customWidth="1"/>
    <col min="107" max="107" width="3.26953125" customWidth="1"/>
    <col min="111" max="111" width="3.26953125" customWidth="1"/>
    <col min="115" max="115" width="3.26953125" customWidth="1"/>
    <col min="119" max="119" width="3.26953125" customWidth="1"/>
    <col min="123" max="123" width="3.26953125" customWidth="1"/>
    <col min="127" max="127" width="3.26953125" customWidth="1"/>
    <col min="131" max="131" width="3.26953125" customWidth="1"/>
  </cols>
  <sheetData>
    <row r="2" spans="2:134" x14ac:dyDescent="0.35">
      <c r="B2" s="1"/>
      <c r="C2" s="1"/>
      <c r="D2" s="1"/>
      <c r="E2" s="1"/>
      <c r="F2" s="1"/>
      <c r="G2" s="1"/>
      <c r="H2" s="1" t="s">
        <v>123</v>
      </c>
      <c r="I2" s="1"/>
      <c r="J2" s="1"/>
      <c r="K2" s="1"/>
      <c r="L2" s="1" t="s">
        <v>124</v>
      </c>
      <c r="M2" s="1"/>
      <c r="N2" s="1"/>
      <c r="O2" s="51"/>
      <c r="P2" s="1" t="s">
        <v>125</v>
      </c>
      <c r="Q2" s="1"/>
      <c r="R2" s="1"/>
      <c r="T2" s="1" t="s">
        <v>126</v>
      </c>
      <c r="U2" s="1"/>
      <c r="V2" s="1"/>
      <c r="X2" s="1" t="s">
        <v>127</v>
      </c>
      <c r="Y2" s="1"/>
      <c r="Z2" s="1"/>
      <c r="AB2" s="1" t="s">
        <v>128</v>
      </c>
      <c r="AC2" s="1"/>
      <c r="AD2" s="1"/>
      <c r="AF2" s="1" t="s">
        <v>129</v>
      </c>
      <c r="AG2" s="1"/>
      <c r="AH2" s="1"/>
      <c r="AJ2" s="1" t="s">
        <v>130</v>
      </c>
      <c r="AK2" s="1"/>
      <c r="AL2" s="1"/>
      <c r="AN2" s="1" t="s">
        <v>131</v>
      </c>
      <c r="AO2" s="1"/>
      <c r="AP2" s="1"/>
      <c r="AR2" s="1" t="s">
        <v>132</v>
      </c>
      <c r="AS2" s="1"/>
      <c r="AT2" s="1"/>
      <c r="AV2" s="1" t="s">
        <v>133</v>
      </c>
      <c r="AW2" s="1"/>
      <c r="AX2" s="1"/>
      <c r="AZ2" s="1" t="s">
        <v>134</v>
      </c>
      <c r="BA2" s="1"/>
      <c r="BB2" s="1"/>
      <c r="BD2" s="1" t="s">
        <v>135</v>
      </c>
      <c r="BE2" s="1"/>
      <c r="BF2" s="1"/>
      <c r="BH2" s="1" t="s">
        <v>136</v>
      </c>
      <c r="BI2" s="1"/>
      <c r="BJ2" s="1"/>
      <c r="BL2" s="1" t="s">
        <v>137</v>
      </c>
      <c r="BM2" s="1"/>
      <c r="BN2" s="1"/>
      <c r="BP2" s="1" t="s">
        <v>138</v>
      </c>
      <c r="BQ2" s="1"/>
      <c r="BR2" s="1"/>
      <c r="BT2" s="1" t="s">
        <v>139</v>
      </c>
      <c r="BU2" s="1"/>
      <c r="BV2" s="1"/>
      <c r="BX2" s="1" t="s">
        <v>141</v>
      </c>
      <c r="BY2" s="1"/>
      <c r="BZ2" s="1"/>
      <c r="CB2" s="1" t="s">
        <v>142</v>
      </c>
      <c r="CC2" s="1"/>
      <c r="CD2" s="1"/>
      <c r="CF2" s="1" t="s">
        <v>143</v>
      </c>
      <c r="CG2" s="1"/>
      <c r="CH2" s="1"/>
      <c r="CJ2" s="1" t="s">
        <v>144</v>
      </c>
      <c r="CK2" s="1"/>
      <c r="CL2" s="1"/>
      <c r="CN2" s="1" t="s">
        <v>154</v>
      </c>
      <c r="CO2" s="1"/>
      <c r="CP2" s="1"/>
      <c r="CR2" s="1" t="s">
        <v>153</v>
      </c>
      <c r="CS2" s="1"/>
      <c r="CT2" s="1"/>
      <c r="CV2" s="1" t="s">
        <v>152</v>
      </c>
      <c r="CW2" s="1"/>
      <c r="CX2" s="1"/>
      <c r="CZ2" s="1" t="s">
        <v>151</v>
      </c>
      <c r="DA2" s="1"/>
      <c r="DB2" s="1"/>
      <c r="DD2" s="1" t="s">
        <v>150</v>
      </c>
      <c r="DE2" s="1"/>
      <c r="DF2" s="1"/>
      <c r="DH2" s="1" t="s">
        <v>149</v>
      </c>
      <c r="DI2" s="1"/>
      <c r="DJ2" s="1"/>
      <c r="DL2" s="1" t="s">
        <v>148</v>
      </c>
      <c r="DM2" s="1"/>
      <c r="DN2" s="1"/>
      <c r="DP2" s="1" t="s">
        <v>147</v>
      </c>
      <c r="DQ2" s="1"/>
      <c r="DR2" s="1"/>
      <c r="DT2" s="1" t="s">
        <v>146</v>
      </c>
      <c r="DU2" s="1"/>
      <c r="DV2" s="1"/>
      <c r="DX2" s="1" t="s">
        <v>145</v>
      </c>
      <c r="DY2" s="1"/>
      <c r="DZ2" s="1"/>
      <c r="EB2" s="1" t="s">
        <v>116</v>
      </c>
      <c r="EC2" s="1"/>
      <c r="ED2" s="1"/>
    </row>
    <row r="3" spans="2:134" ht="16" customHeight="1" x14ac:dyDescent="0.35">
      <c r="B3" s="20" t="s">
        <v>0</v>
      </c>
      <c r="C3" s="20" t="s">
        <v>1</v>
      </c>
      <c r="D3" s="20" t="s">
        <v>2</v>
      </c>
      <c r="E3" s="20" t="s">
        <v>2</v>
      </c>
      <c r="F3" s="20" t="s">
        <v>3</v>
      </c>
      <c r="G3" s="1"/>
      <c r="H3" s="2" t="s">
        <v>4</v>
      </c>
      <c r="I3" s="2" t="s">
        <v>5</v>
      </c>
      <c r="J3" s="2" t="s">
        <v>140</v>
      </c>
      <c r="K3" s="1"/>
      <c r="L3" s="2" t="s">
        <v>4</v>
      </c>
      <c r="M3" s="2" t="s">
        <v>5</v>
      </c>
      <c r="N3" s="2" t="s">
        <v>140</v>
      </c>
      <c r="O3" s="45"/>
      <c r="P3" s="2" t="s">
        <v>4</v>
      </c>
      <c r="Q3" s="2" t="s">
        <v>5</v>
      </c>
      <c r="R3" s="2" t="s">
        <v>140</v>
      </c>
      <c r="T3" s="2" t="s">
        <v>4</v>
      </c>
      <c r="U3" s="2" t="s">
        <v>5</v>
      </c>
      <c r="V3" s="2" t="s">
        <v>140</v>
      </c>
      <c r="X3" s="2" t="s">
        <v>4</v>
      </c>
      <c r="Y3" s="2" t="s">
        <v>5</v>
      </c>
      <c r="Z3" s="2" t="s">
        <v>140</v>
      </c>
      <c r="AB3" s="2" t="s">
        <v>4</v>
      </c>
      <c r="AC3" s="2" t="s">
        <v>5</v>
      </c>
      <c r="AD3" s="2" t="s">
        <v>140</v>
      </c>
      <c r="AF3" s="2" t="s">
        <v>4</v>
      </c>
      <c r="AG3" s="2" t="s">
        <v>5</v>
      </c>
      <c r="AH3" s="2" t="s">
        <v>140</v>
      </c>
      <c r="AJ3" s="2" t="s">
        <v>4</v>
      </c>
      <c r="AK3" s="2" t="s">
        <v>5</v>
      </c>
      <c r="AL3" s="2" t="s">
        <v>140</v>
      </c>
      <c r="AN3" s="2" t="s">
        <v>4</v>
      </c>
      <c r="AO3" s="2" t="s">
        <v>5</v>
      </c>
      <c r="AP3" s="2" t="s">
        <v>140</v>
      </c>
      <c r="AR3" s="2" t="s">
        <v>4</v>
      </c>
      <c r="AS3" s="2" t="s">
        <v>5</v>
      </c>
      <c r="AT3" s="2" t="s">
        <v>140</v>
      </c>
      <c r="AV3" s="2" t="s">
        <v>4</v>
      </c>
      <c r="AW3" s="2" t="s">
        <v>5</v>
      </c>
      <c r="AX3" s="2" t="s">
        <v>140</v>
      </c>
      <c r="AZ3" s="2" t="s">
        <v>4</v>
      </c>
      <c r="BA3" s="2" t="s">
        <v>5</v>
      </c>
      <c r="BB3" s="2" t="s">
        <v>140</v>
      </c>
      <c r="BD3" s="2" t="s">
        <v>4</v>
      </c>
      <c r="BE3" s="2" t="s">
        <v>5</v>
      </c>
      <c r="BF3" s="2" t="s">
        <v>140</v>
      </c>
      <c r="BH3" s="2" t="s">
        <v>4</v>
      </c>
      <c r="BI3" s="2" t="s">
        <v>5</v>
      </c>
      <c r="BJ3" s="2" t="s">
        <v>140</v>
      </c>
      <c r="BL3" s="2" t="s">
        <v>4</v>
      </c>
      <c r="BM3" s="2" t="s">
        <v>5</v>
      </c>
      <c r="BN3" s="2" t="s">
        <v>140</v>
      </c>
      <c r="BP3" s="2" t="s">
        <v>4</v>
      </c>
      <c r="BQ3" s="2" t="s">
        <v>5</v>
      </c>
      <c r="BR3" s="2" t="s">
        <v>140</v>
      </c>
      <c r="BT3" s="2" t="s">
        <v>4</v>
      </c>
      <c r="BU3" s="2" t="s">
        <v>5</v>
      </c>
      <c r="BV3" s="2" t="s">
        <v>140</v>
      </c>
      <c r="BX3" s="2" t="s">
        <v>4</v>
      </c>
      <c r="BY3" s="2" t="s">
        <v>5</v>
      </c>
      <c r="BZ3" s="2" t="s">
        <v>140</v>
      </c>
      <c r="CB3" s="2" t="s">
        <v>4</v>
      </c>
      <c r="CC3" s="2" t="s">
        <v>5</v>
      </c>
      <c r="CD3" s="2" t="s">
        <v>140</v>
      </c>
      <c r="CF3" s="2" t="s">
        <v>4</v>
      </c>
      <c r="CG3" s="2" t="s">
        <v>5</v>
      </c>
      <c r="CH3" s="2" t="s">
        <v>140</v>
      </c>
      <c r="CJ3" s="2" t="s">
        <v>4</v>
      </c>
      <c r="CK3" s="2" t="s">
        <v>5</v>
      </c>
      <c r="CL3" s="2" t="s">
        <v>140</v>
      </c>
      <c r="CN3" s="2" t="s">
        <v>4</v>
      </c>
      <c r="CO3" s="2" t="s">
        <v>5</v>
      </c>
      <c r="CP3" s="2" t="s">
        <v>140</v>
      </c>
      <c r="CR3" s="2" t="s">
        <v>4</v>
      </c>
      <c r="CS3" s="2" t="s">
        <v>5</v>
      </c>
      <c r="CT3" s="2" t="s">
        <v>140</v>
      </c>
      <c r="CV3" s="2" t="s">
        <v>4</v>
      </c>
      <c r="CW3" s="2" t="s">
        <v>5</v>
      </c>
      <c r="CX3" s="2" t="s">
        <v>140</v>
      </c>
      <c r="CZ3" s="2" t="s">
        <v>4</v>
      </c>
      <c r="DA3" s="2" t="s">
        <v>5</v>
      </c>
      <c r="DB3" s="2" t="s">
        <v>140</v>
      </c>
      <c r="DD3" s="2" t="s">
        <v>4</v>
      </c>
      <c r="DE3" s="2" t="s">
        <v>5</v>
      </c>
      <c r="DF3" s="2" t="s">
        <v>140</v>
      </c>
      <c r="DH3" s="2" t="s">
        <v>4</v>
      </c>
      <c r="DI3" s="2" t="s">
        <v>5</v>
      </c>
      <c r="DJ3" s="2" t="s">
        <v>140</v>
      </c>
      <c r="DL3" s="2" t="s">
        <v>4</v>
      </c>
      <c r="DM3" s="2" t="s">
        <v>5</v>
      </c>
      <c r="DN3" s="2" t="s">
        <v>140</v>
      </c>
      <c r="DP3" s="2" t="s">
        <v>4</v>
      </c>
      <c r="DQ3" s="2" t="s">
        <v>5</v>
      </c>
      <c r="DR3" s="2" t="s">
        <v>140</v>
      </c>
      <c r="DT3" s="2" t="s">
        <v>4</v>
      </c>
      <c r="DU3" s="2" t="s">
        <v>5</v>
      </c>
      <c r="DV3" s="2" t="s">
        <v>140</v>
      </c>
      <c r="DX3" s="2" t="s">
        <v>4</v>
      </c>
      <c r="DY3" s="2" t="s">
        <v>5</v>
      </c>
      <c r="DZ3" s="2" t="s">
        <v>140</v>
      </c>
      <c r="EB3" s="2" t="s">
        <v>4</v>
      </c>
      <c r="EC3" s="2" t="s">
        <v>5</v>
      </c>
      <c r="ED3" s="2" t="s">
        <v>140</v>
      </c>
    </row>
    <row r="4" spans="2:134" ht="11" customHeight="1" x14ac:dyDescent="0.35">
      <c r="B4" s="4">
        <v>101003</v>
      </c>
      <c r="C4" s="4" t="s">
        <v>10</v>
      </c>
      <c r="D4" s="4">
        <v>1</v>
      </c>
      <c r="E4" s="5">
        <v>48</v>
      </c>
      <c r="F4" s="6">
        <v>39.4372481296</v>
      </c>
      <c r="G4" s="7"/>
      <c r="H4" s="49"/>
      <c r="I4" s="49"/>
      <c r="J4" s="50">
        <f>(I4/E4)+H4</f>
        <v>0</v>
      </c>
      <c r="K4" s="9"/>
      <c r="L4" s="49"/>
      <c r="M4" s="49"/>
      <c r="N4" s="50">
        <f>(M4/E4)+L4</f>
        <v>0</v>
      </c>
      <c r="O4" s="46"/>
      <c r="P4" s="49"/>
      <c r="Q4" s="49"/>
      <c r="R4" s="50">
        <f>(Q4/E4)+P4</f>
        <v>0</v>
      </c>
      <c r="T4" s="49"/>
      <c r="U4" s="49"/>
      <c r="V4" s="50">
        <f>(U4/E4)+T4</f>
        <v>0</v>
      </c>
      <c r="X4" s="49"/>
      <c r="Y4" s="49"/>
      <c r="Z4" s="50">
        <f>(Y4/E4)+X4</f>
        <v>0</v>
      </c>
      <c r="AB4" s="49"/>
      <c r="AC4" s="49"/>
      <c r="AD4" s="50">
        <f>(AC4/E4)+AB4</f>
        <v>0</v>
      </c>
      <c r="AF4" s="49"/>
      <c r="AG4" s="49"/>
      <c r="AH4" s="50">
        <f>(AG4/E4)+AF4</f>
        <v>0</v>
      </c>
      <c r="AJ4" s="49"/>
      <c r="AK4" s="49"/>
      <c r="AL4" s="50">
        <f>(AK4/E4)+AJ4</f>
        <v>0</v>
      </c>
      <c r="AN4" s="49"/>
      <c r="AO4" s="49"/>
      <c r="AP4" s="50">
        <f>(AO4/E4)+AN4</f>
        <v>0</v>
      </c>
      <c r="AR4" s="49"/>
      <c r="AS4" s="49"/>
      <c r="AT4" s="50">
        <f>(AS4/E4)+AR4</f>
        <v>0</v>
      </c>
      <c r="AV4" s="49"/>
      <c r="AW4" s="49"/>
      <c r="AX4" s="50">
        <f>(AW4/E4)+AV4</f>
        <v>0</v>
      </c>
      <c r="AZ4" s="49"/>
      <c r="BA4" s="49"/>
      <c r="BB4" s="50">
        <f>(BA4/E4)+AZ4</f>
        <v>0</v>
      </c>
      <c r="BD4" s="49"/>
      <c r="BE4" s="49"/>
      <c r="BF4" s="50">
        <f>(BE4/E4)+BD4</f>
        <v>0</v>
      </c>
      <c r="BH4" s="49"/>
      <c r="BI4" s="49"/>
      <c r="BJ4" s="50">
        <f>(BI4/E4)+BH4</f>
        <v>0</v>
      </c>
      <c r="BL4" s="49"/>
      <c r="BM4" s="49"/>
      <c r="BN4" s="50">
        <f>(BM4/E4)+BL4</f>
        <v>0</v>
      </c>
      <c r="BP4" s="49"/>
      <c r="BQ4" s="49"/>
      <c r="BR4" s="50">
        <f>(BQ4/E4)+BP4</f>
        <v>0</v>
      </c>
      <c r="BT4" s="49"/>
      <c r="BU4" s="49"/>
      <c r="BV4" s="50">
        <f>(BU4/E4)+BT4</f>
        <v>0</v>
      </c>
      <c r="BX4" s="49"/>
      <c r="BY4" s="49"/>
      <c r="BZ4" s="50">
        <f>(BY4/E4)+BX4</f>
        <v>0</v>
      </c>
      <c r="CB4" s="49"/>
      <c r="CC4" s="49"/>
      <c r="CD4" s="50">
        <f>(CC4/E4)+CB4</f>
        <v>0</v>
      </c>
      <c r="CF4" s="49"/>
      <c r="CG4" s="49"/>
      <c r="CH4" s="50">
        <f>(CG4/E4)+CF4</f>
        <v>0</v>
      </c>
      <c r="CJ4" s="49"/>
      <c r="CK4" s="49"/>
      <c r="CL4" s="50">
        <f>(CK4/E4)+CJ4</f>
        <v>0</v>
      </c>
      <c r="CN4" s="49"/>
      <c r="CO4" s="49"/>
      <c r="CP4" s="50">
        <f>(CO4/E4)+CN4</f>
        <v>0</v>
      </c>
      <c r="CR4" s="49"/>
      <c r="CS4" s="49"/>
      <c r="CT4" s="50">
        <f>(CS4/E4)+CR4</f>
        <v>0</v>
      </c>
      <c r="CV4" s="49"/>
      <c r="CW4" s="49"/>
      <c r="CX4" s="50">
        <f>(CW4/E4)+CV4</f>
        <v>0</v>
      </c>
      <c r="CZ4" s="49"/>
      <c r="DA4" s="49"/>
      <c r="DB4" s="50">
        <f>(DA4/E4)+CZ4</f>
        <v>0</v>
      </c>
      <c r="DD4" s="49"/>
      <c r="DE4" s="49"/>
      <c r="DF4" s="50">
        <f>(DE4/E4)+DD4</f>
        <v>0</v>
      </c>
      <c r="DH4" s="49"/>
      <c r="DI4" s="49"/>
      <c r="DJ4" s="50">
        <f>(DI4/E4)+DH4</f>
        <v>0</v>
      </c>
      <c r="DL4" s="49"/>
      <c r="DM4" s="49"/>
      <c r="DN4" s="50">
        <f>(DM4/E4)+DL4</f>
        <v>0</v>
      </c>
      <c r="DP4" s="49"/>
      <c r="DQ4" s="49"/>
      <c r="DR4" s="50">
        <f>(DQ4/E4)+DP4</f>
        <v>0</v>
      </c>
      <c r="DT4" s="49"/>
      <c r="DU4" s="49"/>
      <c r="DV4" s="50">
        <f>(DU4/E4)+DT4</f>
        <v>0</v>
      </c>
      <c r="DX4" s="49"/>
      <c r="DY4" s="49"/>
      <c r="DZ4" s="50">
        <f>(DY4/E4)+DX4</f>
        <v>0</v>
      </c>
      <c r="EB4" s="49">
        <f>H4+L4+P4+T4+X4+AB4+AF4+AJ4+AN4+AR4+AV4+AZ4+BD4+BH4+BL4+BP4+BT4+BX4+CB4+CF4+CJ4+CN4+CR4+CV4+CZ4+DD4+DH4+DL4+DP4+DT4+DX4</f>
        <v>0</v>
      </c>
      <c r="EC4" s="49">
        <f>I4+M4+Q4+U4+Y4+AC4+AG4+AK4+AO4+AS4+AW4+BA4+BE4+BI4+BM4+BQ4+BU4+BY4+CC4+CG4+CK4+CO4+CS4+CW4+DA4+DE4+DI4+DM4+DQ4+DU4+DY4</f>
        <v>0</v>
      </c>
      <c r="ED4" s="49">
        <f>J4+N4+R4+V4+Z4+AD4+AH4+AL4+AP4+AT4+AX4+BB4+BF4+BJ4+BN4+BR4+BV4+BZ4+CD4+CH4+CL4+CP4+CT4+CX4+DB4+DF4+DJ4+DN4+DR4+DV4+DZ4</f>
        <v>0</v>
      </c>
    </row>
    <row r="5" spans="2:134" ht="11" customHeight="1" x14ac:dyDescent="0.35">
      <c r="B5" s="4">
        <v>101017</v>
      </c>
      <c r="C5" s="4" t="s">
        <v>11</v>
      </c>
      <c r="D5" s="4">
        <v>1</v>
      </c>
      <c r="E5" s="5">
        <v>48</v>
      </c>
      <c r="F5" s="6">
        <v>39.4372481296</v>
      </c>
      <c r="G5" s="7"/>
      <c r="H5" s="49"/>
      <c r="I5" s="49"/>
      <c r="J5" s="50">
        <f>(I5/E5)+H5</f>
        <v>0</v>
      </c>
      <c r="K5" s="9"/>
      <c r="L5" s="49"/>
      <c r="M5" s="49"/>
      <c r="N5" s="50">
        <f t="shared" ref="N5:N68" si="0">(M5/E5)+L5</f>
        <v>0</v>
      </c>
      <c r="O5" s="46"/>
      <c r="P5" s="49"/>
      <c r="Q5" s="49"/>
      <c r="R5" s="50">
        <f t="shared" ref="R5:R68" si="1">(Q5/E5)+P5</f>
        <v>0</v>
      </c>
      <c r="T5" s="49"/>
      <c r="U5" s="49"/>
      <c r="V5" s="50">
        <f t="shared" ref="V5:V68" si="2">(U5/E5)+T5</f>
        <v>0</v>
      </c>
      <c r="X5" s="49"/>
      <c r="Y5" s="49"/>
      <c r="Z5" s="50">
        <f t="shared" ref="Z5:Z68" si="3">(Y5/E5)+X5</f>
        <v>0</v>
      </c>
      <c r="AB5" s="49"/>
      <c r="AC5" s="49"/>
      <c r="AD5" s="50">
        <f t="shared" ref="AD5:AD68" si="4">(AC5/E5)+AB5</f>
        <v>0</v>
      </c>
      <c r="AF5" s="49"/>
      <c r="AG5" s="49"/>
      <c r="AH5" s="50">
        <f t="shared" ref="AH5:AH68" si="5">(AG5/E5)+AF5</f>
        <v>0</v>
      </c>
      <c r="AJ5" s="49"/>
      <c r="AK5" s="49"/>
      <c r="AL5" s="50">
        <f t="shared" ref="AL5:AL68" si="6">(AK5/E5)+AJ5</f>
        <v>0</v>
      </c>
      <c r="AN5" s="49"/>
      <c r="AO5" s="49"/>
      <c r="AP5" s="50">
        <f t="shared" ref="AP5:AP68" si="7">(AO5/E5)+AN5</f>
        <v>0</v>
      </c>
      <c r="AR5" s="49"/>
      <c r="AS5" s="49"/>
      <c r="AT5" s="50">
        <f t="shared" ref="AT5:AT68" si="8">(AS5/E5)+AR5</f>
        <v>0</v>
      </c>
      <c r="AV5" s="49"/>
      <c r="AW5" s="49"/>
      <c r="AX5" s="50">
        <f t="shared" ref="AX5:AX68" si="9">(AW5/E5)+AV5</f>
        <v>0</v>
      </c>
      <c r="AZ5" s="49"/>
      <c r="BA5" s="49"/>
      <c r="BB5" s="50">
        <f t="shared" ref="BB5:BB68" si="10">(BA5/E5)+AZ5</f>
        <v>0</v>
      </c>
      <c r="BD5" s="49"/>
      <c r="BE5" s="49"/>
      <c r="BF5" s="50">
        <f t="shared" ref="BF5:BF68" si="11">(BE5/E5)+BD5</f>
        <v>0</v>
      </c>
      <c r="BH5" s="49"/>
      <c r="BI5" s="49"/>
      <c r="BJ5" s="50">
        <f t="shared" ref="BJ5:BJ68" si="12">(BI5/E5)+BH5</f>
        <v>0</v>
      </c>
      <c r="BL5" s="49"/>
      <c r="BM5" s="49"/>
      <c r="BN5" s="50">
        <f t="shared" ref="BN5:BN68" si="13">(BM5/E5)+BL5</f>
        <v>0</v>
      </c>
      <c r="BP5" s="49"/>
      <c r="BQ5" s="49"/>
      <c r="BR5" s="50">
        <f t="shared" ref="BR5:BR68" si="14">(BQ5/E5)+BP5</f>
        <v>0</v>
      </c>
      <c r="BT5" s="49"/>
      <c r="BU5" s="49"/>
      <c r="BV5" s="50">
        <f t="shared" ref="BV5:BV68" si="15">(BU5/E5)+BT5</f>
        <v>0</v>
      </c>
      <c r="BX5" s="49"/>
      <c r="BY5" s="49"/>
      <c r="BZ5" s="50">
        <f t="shared" ref="BZ5:BZ68" si="16">(BY5/E5)+BX5</f>
        <v>0</v>
      </c>
      <c r="CB5" s="49"/>
      <c r="CC5" s="49"/>
      <c r="CD5" s="50">
        <f t="shared" ref="CD5:CD68" si="17">(CC5/E5)+CB5</f>
        <v>0</v>
      </c>
      <c r="CF5" s="49"/>
      <c r="CG5" s="49"/>
      <c r="CH5" s="50">
        <f t="shared" ref="CH5:CH68" si="18">(CG5/E5)+CF5</f>
        <v>0</v>
      </c>
      <c r="CJ5" s="49"/>
      <c r="CK5" s="49"/>
      <c r="CL5" s="50">
        <f t="shared" ref="CL5:CL68" si="19">(CK5/E5)+CJ5</f>
        <v>0</v>
      </c>
      <c r="CN5" s="49"/>
      <c r="CO5" s="49"/>
      <c r="CP5" s="50">
        <f t="shared" ref="CP5:CP68" si="20">(CO5/E5)+CN5</f>
        <v>0</v>
      </c>
      <c r="CR5" s="49"/>
      <c r="CS5" s="49"/>
      <c r="CT5" s="50">
        <f t="shared" ref="CT5:CT68" si="21">(CS5/E5)+CR5</f>
        <v>0</v>
      </c>
      <c r="CV5" s="49"/>
      <c r="CW5" s="49"/>
      <c r="CX5" s="50">
        <f t="shared" ref="CX5:CX68" si="22">(CW5/E5)+CV5</f>
        <v>0</v>
      </c>
      <c r="CZ5" s="49"/>
      <c r="DA5" s="49"/>
      <c r="DB5" s="50">
        <f t="shared" ref="DB5:DB68" si="23">(DA5/E5)+CZ5</f>
        <v>0</v>
      </c>
      <c r="DD5" s="49"/>
      <c r="DE5" s="49"/>
      <c r="DF5" s="50">
        <f t="shared" ref="DF5:DF68" si="24">(DE5/E5)+DD5</f>
        <v>0</v>
      </c>
      <c r="DH5" s="49"/>
      <c r="DI5" s="49"/>
      <c r="DJ5" s="50">
        <f t="shared" ref="DJ5:DJ68" si="25">(DI5/E5)+DH5</f>
        <v>0</v>
      </c>
      <c r="DL5" s="49"/>
      <c r="DM5" s="49"/>
      <c r="DN5" s="50">
        <f t="shared" ref="DN5:DN68" si="26">(DM5/E5)+DL5</f>
        <v>0</v>
      </c>
      <c r="DP5" s="49"/>
      <c r="DQ5" s="49"/>
      <c r="DR5" s="50">
        <f t="shared" ref="DR5:DR68" si="27">(DQ5/E5)+DP5</f>
        <v>0</v>
      </c>
      <c r="DT5" s="49"/>
      <c r="DU5" s="49"/>
      <c r="DV5" s="50">
        <f t="shared" ref="DV5:DV68" si="28">(DU5/E5)+DT5</f>
        <v>0</v>
      </c>
      <c r="DX5" s="49"/>
      <c r="DY5" s="49"/>
      <c r="DZ5" s="50">
        <f t="shared" ref="DZ5:DZ68" si="29">(DY5/E5)+DX5</f>
        <v>0</v>
      </c>
      <c r="EB5" s="49">
        <f t="shared" ref="EB5:EB68" si="30">H5+L5+P5+T5+X5+AB5+AF5+AJ5+AN5+AR5+AV5+AZ5+BD5+BH5+BL5+BP5+BT5+BX5+CB5+CF5+CJ5+CN5+CR5+CV5+CZ5+DD5+DH5+DL5+DP5+DT5+DX5</f>
        <v>0</v>
      </c>
      <c r="EC5" s="49">
        <f t="shared" ref="EC5:EC68" si="31">I5+M5+Q5+U5+Y5+AC5+AG5+AK5+AO5+AS5+AW5+BA5+BE5+BI5+BM5+BQ5+BU5+BY5+CC5+CG5+CK5+CO5+CS5+CW5+DA5+DE5+DI5+DM5+DQ5+DU5+DY5</f>
        <v>0</v>
      </c>
      <c r="ED5" s="49">
        <f t="shared" ref="ED5:ED68" si="32">J5+N5+R5+V5+Z5+AD5+AH5+AL5+AP5+AT5+AX5+BB5+BF5+BJ5+BN5+BR5+BV5+BZ5+CD5+CH5+CL5+CP5+CT5+CX5+DB5+DF5+DJ5+DN5+DR5+DV5+DZ5</f>
        <v>0</v>
      </c>
    </row>
    <row r="6" spans="2:134" ht="11" customHeight="1" x14ac:dyDescent="0.35">
      <c r="B6" s="4">
        <v>101037</v>
      </c>
      <c r="C6" s="4" t="s">
        <v>12</v>
      </c>
      <c r="D6" s="4">
        <v>1</v>
      </c>
      <c r="E6" s="5">
        <v>48</v>
      </c>
      <c r="F6" s="6">
        <v>39.4372481296</v>
      </c>
      <c r="G6" s="7"/>
      <c r="H6" s="49"/>
      <c r="I6" s="49"/>
      <c r="J6" s="50">
        <f>(I6/E6)+H6</f>
        <v>0</v>
      </c>
      <c r="K6" s="9"/>
      <c r="L6" s="49"/>
      <c r="M6" s="49"/>
      <c r="N6" s="50">
        <f t="shared" si="0"/>
        <v>0</v>
      </c>
      <c r="O6" s="46"/>
      <c r="P6" s="49"/>
      <c r="Q6" s="49"/>
      <c r="R6" s="50">
        <f t="shared" si="1"/>
        <v>0</v>
      </c>
      <c r="T6" s="49"/>
      <c r="U6" s="49"/>
      <c r="V6" s="50">
        <f t="shared" si="2"/>
        <v>0</v>
      </c>
      <c r="X6" s="49"/>
      <c r="Y6" s="49"/>
      <c r="Z6" s="50">
        <f t="shared" si="3"/>
        <v>0</v>
      </c>
      <c r="AB6" s="49"/>
      <c r="AC6" s="49"/>
      <c r="AD6" s="50">
        <f t="shared" si="4"/>
        <v>0</v>
      </c>
      <c r="AF6" s="49"/>
      <c r="AG6" s="49"/>
      <c r="AH6" s="50">
        <f t="shared" si="5"/>
        <v>0</v>
      </c>
      <c r="AJ6" s="49"/>
      <c r="AK6" s="49"/>
      <c r="AL6" s="50">
        <f t="shared" si="6"/>
        <v>0</v>
      </c>
      <c r="AN6" s="49"/>
      <c r="AO6" s="49"/>
      <c r="AP6" s="50">
        <f t="shared" si="7"/>
        <v>0</v>
      </c>
      <c r="AR6" s="49"/>
      <c r="AS6" s="49"/>
      <c r="AT6" s="50">
        <f t="shared" si="8"/>
        <v>0</v>
      </c>
      <c r="AV6" s="49"/>
      <c r="AW6" s="49"/>
      <c r="AX6" s="50">
        <f t="shared" si="9"/>
        <v>0</v>
      </c>
      <c r="AZ6" s="49"/>
      <c r="BA6" s="49"/>
      <c r="BB6" s="50">
        <f t="shared" si="10"/>
        <v>0</v>
      </c>
      <c r="BD6" s="49"/>
      <c r="BE6" s="49"/>
      <c r="BF6" s="50">
        <f t="shared" si="11"/>
        <v>0</v>
      </c>
      <c r="BH6" s="49"/>
      <c r="BI6" s="49"/>
      <c r="BJ6" s="50">
        <f t="shared" si="12"/>
        <v>0</v>
      </c>
      <c r="BL6" s="49"/>
      <c r="BM6" s="49"/>
      <c r="BN6" s="50">
        <f t="shared" si="13"/>
        <v>0</v>
      </c>
      <c r="BP6" s="49"/>
      <c r="BQ6" s="49"/>
      <c r="BR6" s="50">
        <f t="shared" si="14"/>
        <v>0</v>
      </c>
      <c r="BT6" s="49"/>
      <c r="BU6" s="49"/>
      <c r="BV6" s="50">
        <f t="shared" si="15"/>
        <v>0</v>
      </c>
      <c r="BX6" s="49"/>
      <c r="BY6" s="49"/>
      <c r="BZ6" s="50">
        <f t="shared" si="16"/>
        <v>0</v>
      </c>
      <c r="CB6" s="49"/>
      <c r="CC6" s="49"/>
      <c r="CD6" s="50">
        <f t="shared" si="17"/>
        <v>0</v>
      </c>
      <c r="CF6" s="49"/>
      <c r="CG6" s="49"/>
      <c r="CH6" s="50">
        <f t="shared" si="18"/>
        <v>0</v>
      </c>
      <c r="CJ6" s="49"/>
      <c r="CK6" s="49"/>
      <c r="CL6" s="50">
        <f t="shared" si="19"/>
        <v>0</v>
      </c>
      <c r="CN6" s="49"/>
      <c r="CO6" s="49"/>
      <c r="CP6" s="50">
        <f t="shared" si="20"/>
        <v>0</v>
      </c>
      <c r="CR6" s="49"/>
      <c r="CS6" s="49"/>
      <c r="CT6" s="50">
        <f t="shared" si="21"/>
        <v>0</v>
      </c>
      <c r="CV6" s="49"/>
      <c r="CW6" s="49"/>
      <c r="CX6" s="50">
        <f t="shared" si="22"/>
        <v>0</v>
      </c>
      <c r="CZ6" s="49"/>
      <c r="DA6" s="49"/>
      <c r="DB6" s="50">
        <f t="shared" si="23"/>
        <v>0</v>
      </c>
      <c r="DD6" s="49"/>
      <c r="DE6" s="49"/>
      <c r="DF6" s="50">
        <f t="shared" si="24"/>
        <v>0</v>
      </c>
      <c r="DH6" s="49"/>
      <c r="DI6" s="49"/>
      <c r="DJ6" s="50">
        <f t="shared" si="25"/>
        <v>0</v>
      </c>
      <c r="DL6" s="49"/>
      <c r="DM6" s="49"/>
      <c r="DN6" s="50">
        <f t="shared" si="26"/>
        <v>0</v>
      </c>
      <c r="DP6" s="49"/>
      <c r="DQ6" s="49"/>
      <c r="DR6" s="50">
        <f t="shared" si="27"/>
        <v>0</v>
      </c>
      <c r="DT6" s="49"/>
      <c r="DU6" s="49"/>
      <c r="DV6" s="50">
        <f t="shared" si="28"/>
        <v>0</v>
      </c>
      <c r="DX6" s="49"/>
      <c r="DY6" s="49"/>
      <c r="DZ6" s="50">
        <f t="shared" si="29"/>
        <v>0</v>
      </c>
      <c r="EB6" s="49">
        <f t="shared" si="30"/>
        <v>0</v>
      </c>
      <c r="EC6" s="49">
        <f t="shared" si="31"/>
        <v>0</v>
      </c>
      <c r="ED6" s="49">
        <f t="shared" si="32"/>
        <v>0</v>
      </c>
    </row>
    <row r="7" spans="2:134" ht="11" customHeight="1" x14ac:dyDescent="0.35">
      <c r="B7" s="4">
        <v>101045</v>
      </c>
      <c r="C7" s="4" t="s">
        <v>13</v>
      </c>
      <c r="D7" s="4">
        <v>18</v>
      </c>
      <c r="E7" s="5">
        <v>18</v>
      </c>
      <c r="F7" s="6">
        <v>288.68044392000002</v>
      </c>
      <c r="G7" s="7"/>
      <c r="H7" s="49"/>
      <c r="I7" s="49"/>
      <c r="J7" s="50">
        <f t="shared" ref="J7:J70" si="33">(I7/E7)+H7</f>
        <v>0</v>
      </c>
      <c r="K7" s="9"/>
      <c r="L7" s="49"/>
      <c r="M7" s="49"/>
      <c r="N7" s="50">
        <f t="shared" si="0"/>
        <v>0</v>
      </c>
      <c r="O7" s="46"/>
      <c r="P7" s="49"/>
      <c r="Q7" s="49"/>
      <c r="R7" s="50">
        <f t="shared" si="1"/>
        <v>0</v>
      </c>
      <c r="T7" s="49"/>
      <c r="U7" s="49"/>
      <c r="V7" s="50">
        <f t="shared" si="2"/>
        <v>0</v>
      </c>
      <c r="X7" s="49"/>
      <c r="Y7" s="49"/>
      <c r="Z7" s="50">
        <f t="shared" si="3"/>
        <v>0</v>
      </c>
      <c r="AB7" s="49"/>
      <c r="AC7" s="49"/>
      <c r="AD7" s="50">
        <f t="shared" si="4"/>
        <v>0</v>
      </c>
      <c r="AF7" s="49"/>
      <c r="AG7" s="49"/>
      <c r="AH7" s="50">
        <f t="shared" si="5"/>
        <v>0</v>
      </c>
      <c r="AJ7" s="49"/>
      <c r="AK7" s="49"/>
      <c r="AL7" s="50">
        <f t="shared" si="6"/>
        <v>0</v>
      </c>
      <c r="AN7" s="49"/>
      <c r="AO7" s="49"/>
      <c r="AP7" s="50">
        <f t="shared" si="7"/>
        <v>0</v>
      </c>
      <c r="AR7" s="49"/>
      <c r="AS7" s="49"/>
      <c r="AT7" s="50">
        <f t="shared" si="8"/>
        <v>0</v>
      </c>
      <c r="AV7" s="49"/>
      <c r="AW7" s="49"/>
      <c r="AX7" s="50">
        <f t="shared" si="9"/>
        <v>0</v>
      </c>
      <c r="AZ7" s="49"/>
      <c r="BA7" s="49"/>
      <c r="BB7" s="50">
        <f t="shared" si="10"/>
        <v>0</v>
      </c>
      <c r="BD7" s="49"/>
      <c r="BE7" s="49"/>
      <c r="BF7" s="50">
        <f t="shared" si="11"/>
        <v>0</v>
      </c>
      <c r="BH7" s="49"/>
      <c r="BI7" s="49"/>
      <c r="BJ7" s="50">
        <f t="shared" si="12"/>
        <v>0</v>
      </c>
      <c r="BL7" s="49"/>
      <c r="BM7" s="49"/>
      <c r="BN7" s="50">
        <f t="shared" si="13"/>
        <v>0</v>
      </c>
      <c r="BP7" s="49"/>
      <c r="BQ7" s="49"/>
      <c r="BR7" s="50">
        <f t="shared" si="14"/>
        <v>0</v>
      </c>
      <c r="BT7" s="49"/>
      <c r="BU7" s="49"/>
      <c r="BV7" s="50">
        <f t="shared" si="15"/>
        <v>0</v>
      </c>
      <c r="BX7" s="49"/>
      <c r="BY7" s="49"/>
      <c r="BZ7" s="50">
        <f t="shared" si="16"/>
        <v>0</v>
      </c>
      <c r="CB7" s="49"/>
      <c r="CC7" s="49"/>
      <c r="CD7" s="50">
        <f t="shared" si="17"/>
        <v>0</v>
      </c>
      <c r="CF7" s="49"/>
      <c r="CG7" s="49"/>
      <c r="CH7" s="50">
        <f t="shared" si="18"/>
        <v>0</v>
      </c>
      <c r="CJ7" s="49"/>
      <c r="CK7" s="49"/>
      <c r="CL7" s="50">
        <f t="shared" si="19"/>
        <v>0</v>
      </c>
      <c r="CN7" s="49"/>
      <c r="CO7" s="49"/>
      <c r="CP7" s="50">
        <f t="shared" si="20"/>
        <v>0</v>
      </c>
      <c r="CR7" s="49"/>
      <c r="CS7" s="49"/>
      <c r="CT7" s="50">
        <f t="shared" si="21"/>
        <v>0</v>
      </c>
      <c r="CV7" s="49"/>
      <c r="CW7" s="49"/>
      <c r="CX7" s="50">
        <f t="shared" si="22"/>
        <v>0</v>
      </c>
      <c r="CZ7" s="49"/>
      <c r="DA7" s="49"/>
      <c r="DB7" s="50">
        <f t="shared" si="23"/>
        <v>0</v>
      </c>
      <c r="DD7" s="49"/>
      <c r="DE7" s="49"/>
      <c r="DF7" s="50">
        <f t="shared" si="24"/>
        <v>0</v>
      </c>
      <c r="DH7" s="49"/>
      <c r="DI7" s="49"/>
      <c r="DJ7" s="50">
        <f t="shared" si="25"/>
        <v>0</v>
      </c>
      <c r="DL7" s="49"/>
      <c r="DM7" s="49"/>
      <c r="DN7" s="50">
        <f t="shared" si="26"/>
        <v>0</v>
      </c>
      <c r="DP7" s="49"/>
      <c r="DQ7" s="49"/>
      <c r="DR7" s="50">
        <f t="shared" si="27"/>
        <v>0</v>
      </c>
      <c r="DT7" s="49"/>
      <c r="DU7" s="49"/>
      <c r="DV7" s="50">
        <f t="shared" si="28"/>
        <v>0</v>
      </c>
      <c r="DX7" s="49"/>
      <c r="DY7" s="49"/>
      <c r="DZ7" s="50">
        <f t="shared" si="29"/>
        <v>0</v>
      </c>
      <c r="EB7" s="49">
        <f t="shared" si="30"/>
        <v>0</v>
      </c>
      <c r="EC7" s="49">
        <f t="shared" si="31"/>
        <v>0</v>
      </c>
      <c r="ED7" s="49">
        <f t="shared" si="32"/>
        <v>0</v>
      </c>
    </row>
    <row r="8" spans="2:134" ht="11" customHeight="1" x14ac:dyDescent="0.35">
      <c r="B8" s="4">
        <v>101057</v>
      </c>
      <c r="C8" s="4" t="s">
        <v>14</v>
      </c>
      <c r="D8" s="4">
        <v>1</v>
      </c>
      <c r="E8" s="5">
        <v>48</v>
      </c>
      <c r="F8" s="6">
        <v>39.4372481296</v>
      </c>
      <c r="G8" s="7"/>
      <c r="H8" s="49"/>
      <c r="I8" s="49"/>
      <c r="J8" s="50">
        <f t="shared" si="33"/>
        <v>0</v>
      </c>
      <c r="K8" s="9"/>
      <c r="L8" s="49"/>
      <c r="M8" s="49"/>
      <c r="N8" s="50">
        <f t="shared" si="0"/>
        <v>0</v>
      </c>
      <c r="O8" s="46"/>
      <c r="P8" s="49"/>
      <c r="Q8" s="49"/>
      <c r="R8" s="50">
        <f t="shared" si="1"/>
        <v>0</v>
      </c>
      <c r="T8" s="49"/>
      <c r="U8" s="49"/>
      <c r="V8" s="50">
        <f t="shared" si="2"/>
        <v>0</v>
      </c>
      <c r="X8" s="49"/>
      <c r="Y8" s="49"/>
      <c r="Z8" s="50">
        <f t="shared" si="3"/>
        <v>0</v>
      </c>
      <c r="AB8" s="49"/>
      <c r="AC8" s="49"/>
      <c r="AD8" s="50">
        <f t="shared" si="4"/>
        <v>0</v>
      </c>
      <c r="AF8" s="49"/>
      <c r="AG8" s="49"/>
      <c r="AH8" s="50">
        <f t="shared" si="5"/>
        <v>0</v>
      </c>
      <c r="AJ8" s="49"/>
      <c r="AK8" s="49"/>
      <c r="AL8" s="50">
        <f t="shared" si="6"/>
        <v>0</v>
      </c>
      <c r="AN8" s="49"/>
      <c r="AO8" s="49"/>
      <c r="AP8" s="50">
        <f t="shared" si="7"/>
        <v>0</v>
      </c>
      <c r="AR8" s="49"/>
      <c r="AS8" s="49"/>
      <c r="AT8" s="50">
        <f t="shared" si="8"/>
        <v>0</v>
      </c>
      <c r="AV8" s="49"/>
      <c r="AW8" s="49"/>
      <c r="AX8" s="50">
        <f t="shared" si="9"/>
        <v>0</v>
      </c>
      <c r="AZ8" s="49"/>
      <c r="BA8" s="49"/>
      <c r="BB8" s="50">
        <f t="shared" si="10"/>
        <v>0</v>
      </c>
      <c r="BD8" s="49"/>
      <c r="BE8" s="49"/>
      <c r="BF8" s="50">
        <f t="shared" si="11"/>
        <v>0</v>
      </c>
      <c r="BH8" s="49"/>
      <c r="BI8" s="49"/>
      <c r="BJ8" s="50">
        <f t="shared" si="12"/>
        <v>0</v>
      </c>
      <c r="BL8" s="49"/>
      <c r="BM8" s="49"/>
      <c r="BN8" s="50">
        <f t="shared" si="13"/>
        <v>0</v>
      </c>
      <c r="BP8" s="49"/>
      <c r="BQ8" s="49"/>
      <c r="BR8" s="50">
        <f t="shared" si="14"/>
        <v>0</v>
      </c>
      <c r="BT8" s="49"/>
      <c r="BU8" s="49"/>
      <c r="BV8" s="50">
        <f t="shared" si="15"/>
        <v>0</v>
      </c>
      <c r="BX8" s="49"/>
      <c r="BY8" s="49"/>
      <c r="BZ8" s="50">
        <f t="shared" si="16"/>
        <v>0</v>
      </c>
      <c r="CB8" s="49"/>
      <c r="CC8" s="49"/>
      <c r="CD8" s="50">
        <f t="shared" si="17"/>
        <v>0</v>
      </c>
      <c r="CF8" s="49"/>
      <c r="CG8" s="49"/>
      <c r="CH8" s="50">
        <f t="shared" si="18"/>
        <v>0</v>
      </c>
      <c r="CJ8" s="49"/>
      <c r="CK8" s="49"/>
      <c r="CL8" s="50">
        <f t="shared" si="19"/>
        <v>0</v>
      </c>
      <c r="CN8" s="49"/>
      <c r="CO8" s="49"/>
      <c r="CP8" s="50">
        <f t="shared" si="20"/>
        <v>0</v>
      </c>
      <c r="CR8" s="49"/>
      <c r="CS8" s="49"/>
      <c r="CT8" s="50">
        <f t="shared" si="21"/>
        <v>0</v>
      </c>
      <c r="CV8" s="49"/>
      <c r="CW8" s="49"/>
      <c r="CX8" s="50">
        <f t="shared" si="22"/>
        <v>0</v>
      </c>
      <c r="CZ8" s="49"/>
      <c r="DA8" s="49"/>
      <c r="DB8" s="50">
        <f t="shared" si="23"/>
        <v>0</v>
      </c>
      <c r="DD8" s="49"/>
      <c r="DE8" s="49"/>
      <c r="DF8" s="50">
        <f t="shared" si="24"/>
        <v>0</v>
      </c>
      <c r="DH8" s="49"/>
      <c r="DI8" s="49"/>
      <c r="DJ8" s="50">
        <f t="shared" si="25"/>
        <v>0</v>
      </c>
      <c r="DL8" s="49"/>
      <c r="DM8" s="49"/>
      <c r="DN8" s="50">
        <f t="shared" si="26"/>
        <v>0</v>
      </c>
      <c r="DP8" s="49"/>
      <c r="DQ8" s="49"/>
      <c r="DR8" s="50">
        <f t="shared" si="27"/>
        <v>0</v>
      </c>
      <c r="DT8" s="49"/>
      <c r="DU8" s="49"/>
      <c r="DV8" s="50">
        <f t="shared" si="28"/>
        <v>0</v>
      </c>
      <c r="DX8" s="49"/>
      <c r="DY8" s="49"/>
      <c r="DZ8" s="50">
        <f t="shared" si="29"/>
        <v>0</v>
      </c>
      <c r="EB8" s="49">
        <f t="shared" si="30"/>
        <v>0</v>
      </c>
      <c r="EC8" s="49">
        <f t="shared" si="31"/>
        <v>0</v>
      </c>
      <c r="ED8" s="49">
        <f t="shared" si="32"/>
        <v>0</v>
      </c>
    </row>
    <row r="9" spans="2:134" ht="11" customHeight="1" x14ac:dyDescent="0.35">
      <c r="B9" s="4">
        <v>101058</v>
      </c>
      <c r="C9" s="4" t="s">
        <v>15</v>
      </c>
      <c r="D9" s="4">
        <v>24</v>
      </c>
      <c r="E9" s="5">
        <v>24</v>
      </c>
      <c r="F9" s="6">
        <v>189.29879107400001</v>
      </c>
      <c r="G9" s="7"/>
      <c r="H9" s="49"/>
      <c r="I9" s="49"/>
      <c r="J9" s="50">
        <f t="shared" si="33"/>
        <v>0</v>
      </c>
      <c r="K9" s="9"/>
      <c r="L9" s="49"/>
      <c r="M9" s="49"/>
      <c r="N9" s="50">
        <f t="shared" si="0"/>
        <v>0</v>
      </c>
      <c r="O9" s="46"/>
      <c r="P9" s="49"/>
      <c r="Q9" s="49"/>
      <c r="R9" s="50">
        <f t="shared" si="1"/>
        <v>0</v>
      </c>
      <c r="T9" s="49"/>
      <c r="U9" s="49"/>
      <c r="V9" s="50">
        <f t="shared" si="2"/>
        <v>0</v>
      </c>
      <c r="X9" s="49"/>
      <c r="Y9" s="49"/>
      <c r="Z9" s="50">
        <f t="shared" si="3"/>
        <v>0</v>
      </c>
      <c r="AB9" s="49"/>
      <c r="AC9" s="49"/>
      <c r="AD9" s="50">
        <f t="shared" si="4"/>
        <v>0</v>
      </c>
      <c r="AF9" s="49"/>
      <c r="AG9" s="49"/>
      <c r="AH9" s="50">
        <f t="shared" si="5"/>
        <v>0</v>
      </c>
      <c r="AJ9" s="49"/>
      <c r="AK9" s="49"/>
      <c r="AL9" s="50">
        <f t="shared" si="6"/>
        <v>0</v>
      </c>
      <c r="AN9" s="49"/>
      <c r="AO9" s="49"/>
      <c r="AP9" s="50">
        <f t="shared" si="7"/>
        <v>0</v>
      </c>
      <c r="AR9" s="49"/>
      <c r="AS9" s="49"/>
      <c r="AT9" s="50">
        <f t="shared" si="8"/>
        <v>0</v>
      </c>
      <c r="AV9" s="49"/>
      <c r="AW9" s="49"/>
      <c r="AX9" s="50">
        <f t="shared" si="9"/>
        <v>0</v>
      </c>
      <c r="AZ9" s="49"/>
      <c r="BA9" s="49"/>
      <c r="BB9" s="50">
        <f t="shared" si="10"/>
        <v>0</v>
      </c>
      <c r="BD9" s="49"/>
      <c r="BE9" s="49"/>
      <c r="BF9" s="50">
        <f t="shared" si="11"/>
        <v>0</v>
      </c>
      <c r="BH9" s="49"/>
      <c r="BI9" s="49"/>
      <c r="BJ9" s="50">
        <f t="shared" si="12"/>
        <v>0</v>
      </c>
      <c r="BL9" s="49"/>
      <c r="BM9" s="49"/>
      <c r="BN9" s="50">
        <f t="shared" si="13"/>
        <v>0</v>
      </c>
      <c r="BP9" s="49"/>
      <c r="BQ9" s="49"/>
      <c r="BR9" s="50">
        <f t="shared" si="14"/>
        <v>0</v>
      </c>
      <c r="BT9" s="49"/>
      <c r="BU9" s="49"/>
      <c r="BV9" s="50">
        <f t="shared" si="15"/>
        <v>0</v>
      </c>
      <c r="BX9" s="49"/>
      <c r="BY9" s="49"/>
      <c r="BZ9" s="50">
        <f t="shared" si="16"/>
        <v>0</v>
      </c>
      <c r="CB9" s="49"/>
      <c r="CC9" s="49"/>
      <c r="CD9" s="50">
        <f t="shared" si="17"/>
        <v>0</v>
      </c>
      <c r="CF9" s="49"/>
      <c r="CG9" s="49"/>
      <c r="CH9" s="50">
        <f t="shared" si="18"/>
        <v>0</v>
      </c>
      <c r="CJ9" s="49"/>
      <c r="CK9" s="49"/>
      <c r="CL9" s="50">
        <f t="shared" si="19"/>
        <v>0</v>
      </c>
      <c r="CN9" s="49"/>
      <c r="CO9" s="49"/>
      <c r="CP9" s="50">
        <f t="shared" si="20"/>
        <v>0</v>
      </c>
      <c r="CR9" s="49"/>
      <c r="CS9" s="49"/>
      <c r="CT9" s="50">
        <f t="shared" si="21"/>
        <v>0</v>
      </c>
      <c r="CV9" s="49"/>
      <c r="CW9" s="49"/>
      <c r="CX9" s="50">
        <f t="shared" si="22"/>
        <v>0</v>
      </c>
      <c r="CZ9" s="49"/>
      <c r="DA9" s="49"/>
      <c r="DB9" s="50">
        <f t="shared" si="23"/>
        <v>0</v>
      </c>
      <c r="DD9" s="49"/>
      <c r="DE9" s="49"/>
      <c r="DF9" s="50">
        <f t="shared" si="24"/>
        <v>0</v>
      </c>
      <c r="DH9" s="49"/>
      <c r="DI9" s="49"/>
      <c r="DJ9" s="50">
        <f t="shared" si="25"/>
        <v>0</v>
      </c>
      <c r="DL9" s="49"/>
      <c r="DM9" s="49"/>
      <c r="DN9" s="50">
        <f t="shared" si="26"/>
        <v>0</v>
      </c>
      <c r="DP9" s="49"/>
      <c r="DQ9" s="49"/>
      <c r="DR9" s="50">
        <f t="shared" si="27"/>
        <v>0</v>
      </c>
      <c r="DT9" s="49"/>
      <c r="DU9" s="49"/>
      <c r="DV9" s="50">
        <f t="shared" si="28"/>
        <v>0</v>
      </c>
      <c r="DX9" s="49"/>
      <c r="DY9" s="49"/>
      <c r="DZ9" s="50">
        <f t="shared" si="29"/>
        <v>0</v>
      </c>
      <c r="EB9" s="49">
        <f t="shared" si="30"/>
        <v>0</v>
      </c>
      <c r="EC9" s="49">
        <f t="shared" si="31"/>
        <v>0</v>
      </c>
      <c r="ED9" s="49">
        <f t="shared" si="32"/>
        <v>0</v>
      </c>
    </row>
    <row r="10" spans="2:134" ht="11" customHeight="1" x14ac:dyDescent="0.35">
      <c r="B10" s="4">
        <v>101205</v>
      </c>
      <c r="C10" s="4" t="s">
        <v>16</v>
      </c>
      <c r="D10" s="4">
        <v>1</v>
      </c>
      <c r="E10" s="5">
        <v>48</v>
      </c>
      <c r="F10" s="6">
        <v>39.4372481296</v>
      </c>
      <c r="G10" s="7"/>
      <c r="H10" s="49"/>
      <c r="I10" s="49"/>
      <c r="J10" s="50">
        <f t="shared" si="33"/>
        <v>0</v>
      </c>
      <c r="K10" s="9"/>
      <c r="L10" s="49"/>
      <c r="M10" s="49"/>
      <c r="N10" s="50">
        <f t="shared" si="0"/>
        <v>0</v>
      </c>
      <c r="O10" s="46"/>
      <c r="P10" s="49"/>
      <c r="Q10" s="49"/>
      <c r="R10" s="50">
        <f t="shared" si="1"/>
        <v>0</v>
      </c>
      <c r="T10" s="49"/>
      <c r="U10" s="49"/>
      <c r="V10" s="50">
        <f t="shared" si="2"/>
        <v>0</v>
      </c>
      <c r="X10" s="49"/>
      <c r="Y10" s="49"/>
      <c r="Z10" s="50">
        <f t="shared" si="3"/>
        <v>0</v>
      </c>
      <c r="AB10" s="49"/>
      <c r="AC10" s="49"/>
      <c r="AD10" s="50">
        <f t="shared" si="4"/>
        <v>0</v>
      </c>
      <c r="AF10" s="49"/>
      <c r="AG10" s="49"/>
      <c r="AH10" s="50">
        <f t="shared" si="5"/>
        <v>0</v>
      </c>
      <c r="AJ10" s="49"/>
      <c r="AK10" s="49"/>
      <c r="AL10" s="50">
        <f t="shared" si="6"/>
        <v>0</v>
      </c>
      <c r="AN10" s="49"/>
      <c r="AO10" s="49"/>
      <c r="AP10" s="50">
        <f t="shared" si="7"/>
        <v>0</v>
      </c>
      <c r="AR10" s="49"/>
      <c r="AS10" s="49"/>
      <c r="AT10" s="50">
        <f t="shared" si="8"/>
        <v>0</v>
      </c>
      <c r="AV10" s="49"/>
      <c r="AW10" s="49"/>
      <c r="AX10" s="50">
        <f t="shared" si="9"/>
        <v>0</v>
      </c>
      <c r="AZ10" s="49"/>
      <c r="BA10" s="49"/>
      <c r="BB10" s="50">
        <f t="shared" si="10"/>
        <v>0</v>
      </c>
      <c r="BD10" s="49"/>
      <c r="BE10" s="49"/>
      <c r="BF10" s="50">
        <f t="shared" si="11"/>
        <v>0</v>
      </c>
      <c r="BH10" s="49"/>
      <c r="BI10" s="49"/>
      <c r="BJ10" s="50">
        <f t="shared" si="12"/>
        <v>0</v>
      </c>
      <c r="BL10" s="49"/>
      <c r="BM10" s="49"/>
      <c r="BN10" s="50">
        <f t="shared" si="13"/>
        <v>0</v>
      </c>
      <c r="BP10" s="49"/>
      <c r="BQ10" s="49"/>
      <c r="BR10" s="50">
        <f t="shared" si="14"/>
        <v>0</v>
      </c>
      <c r="BT10" s="49"/>
      <c r="BU10" s="49"/>
      <c r="BV10" s="50">
        <f t="shared" si="15"/>
        <v>0</v>
      </c>
      <c r="BX10" s="49"/>
      <c r="BY10" s="49"/>
      <c r="BZ10" s="50">
        <f t="shared" si="16"/>
        <v>0</v>
      </c>
      <c r="CB10" s="49"/>
      <c r="CC10" s="49"/>
      <c r="CD10" s="50">
        <f t="shared" si="17"/>
        <v>0</v>
      </c>
      <c r="CF10" s="49"/>
      <c r="CG10" s="49"/>
      <c r="CH10" s="50">
        <f t="shared" si="18"/>
        <v>0</v>
      </c>
      <c r="CJ10" s="49"/>
      <c r="CK10" s="49"/>
      <c r="CL10" s="50">
        <f t="shared" si="19"/>
        <v>0</v>
      </c>
      <c r="CN10" s="49"/>
      <c r="CO10" s="49"/>
      <c r="CP10" s="50">
        <f t="shared" si="20"/>
        <v>0</v>
      </c>
      <c r="CR10" s="49"/>
      <c r="CS10" s="49"/>
      <c r="CT10" s="50">
        <f t="shared" si="21"/>
        <v>0</v>
      </c>
      <c r="CV10" s="49"/>
      <c r="CW10" s="49"/>
      <c r="CX10" s="50">
        <f t="shared" si="22"/>
        <v>0</v>
      </c>
      <c r="CZ10" s="49"/>
      <c r="DA10" s="49"/>
      <c r="DB10" s="50">
        <f t="shared" si="23"/>
        <v>0</v>
      </c>
      <c r="DD10" s="49"/>
      <c r="DE10" s="49"/>
      <c r="DF10" s="50">
        <f t="shared" si="24"/>
        <v>0</v>
      </c>
      <c r="DH10" s="49"/>
      <c r="DI10" s="49"/>
      <c r="DJ10" s="50">
        <f t="shared" si="25"/>
        <v>0</v>
      </c>
      <c r="DL10" s="49"/>
      <c r="DM10" s="49"/>
      <c r="DN10" s="50">
        <f t="shared" si="26"/>
        <v>0</v>
      </c>
      <c r="DP10" s="49"/>
      <c r="DQ10" s="49"/>
      <c r="DR10" s="50">
        <f t="shared" si="27"/>
        <v>0</v>
      </c>
      <c r="DT10" s="49"/>
      <c r="DU10" s="49"/>
      <c r="DV10" s="50">
        <f t="shared" si="28"/>
        <v>0</v>
      </c>
      <c r="DX10" s="49"/>
      <c r="DY10" s="49"/>
      <c r="DZ10" s="50">
        <f t="shared" si="29"/>
        <v>0</v>
      </c>
      <c r="EB10" s="49">
        <f t="shared" si="30"/>
        <v>0</v>
      </c>
      <c r="EC10" s="49">
        <f t="shared" si="31"/>
        <v>0</v>
      </c>
      <c r="ED10" s="49">
        <f t="shared" si="32"/>
        <v>0</v>
      </c>
    </row>
    <row r="11" spans="2:134" ht="11" customHeight="1" x14ac:dyDescent="0.35">
      <c r="B11" s="4">
        <v>101333</v>
      </c>
      <c r="C11" s="4" t="s">
        <v>17</v>
      </c>
      <c r="D11" s="4">
        <v>24</v>
      </c>
      <c r="E11" s="5">
        <v>24</v>
      </c>
      <c r="F11" s="6">
        <v>189.29879107400001</v>
      </c>
      <c r="G11" s="7"/>
      <c r="H11" s="49"/>
      <c r="I11" s="49"/>
      <c r="J11" s="50">
        <f t="shared" si="33"/>
        <v>0</v>
      </c>
      <c r="K11" s="9"/>
      <c r="L11" s="49"/>
      <c r="M11" s="49"/>
      <c r="N11" s="50">
        <f t="shared" si="0"/>
        <v>0</v>
      </c>
      <c r="O11" s="46"/>
      <c r="P11" s="49"/>
      <c r="Q11" s="49"/>
      <c r="R11" s="50">
        <f t="shared" si="1"/>
        <v>0</v>
      </c>
      <c r="T11" s="49"/>
      <c r="U11" s="49"/>
      <c r="V11" s="50">
        <f t="shared" si="2"/>
        <v>0</v>
      </c>
      <c r="X11" s="49"/>
      <c r="Y11" s="49"/>
      <c r="Z11" s="50">
        <f t="shared" si="3"/>
        <v>0</v>
      </c>
      <c r="AB11" s="49"/>
      <c r="AC11" s="49"/>
      <c r="AD11" s="50">
        <f t="shared" si="4"/>
        <v>0</v>
      </c>
      <c r="AF11" s="49"/>
      <c r="AG11" s="49"/>
      <c r="AH11" s="50">
        <f t="shared" si="5"/>
        <v>0</v>
      </c>
      <c r="AJ11" s="49"/>
      <c r="AK11" s="49"/>
      <c r="AL11" s="50">
        <f t="shared" si="6"/>
        <v>0</v>
      </c>
      <c r="AN11" s="49"/>
      <c r="AO11" s="49"/>
      <c r="AP11" s="50">
        <f t="shared" si="7"/>
        <v>0</v>
      </c>
      <c r="AR11" s="49"/>
      <c r="AS11" s="49"/>
      <c r="AT11" s="50">
        <f t="shared" si="8"/>
        <v>0</v>
      </c>
      <c r="AV11" s="49"/>
      <c r="AW11" s="49"/>
      <c r="AX11" s="50">
        <f t="shared" si="9"/>
        <v>0</v>
      </c>
      <c r="AZ11" s="49"/>
      <c r="BA11" s="49"/>
      <c r="BB11" s="50">
        <f t="shared" si="10"/>
        <v>0</v>
      </c>
      <c r="BD11" s="49"/>
      <c r="BE11" s="49"/>
      <c r="BF11" s="50">
        <f t="shared" si="11"/>
        <v>0</v>
      </c>
      <c r="BH11" s="49"/>
      <c r="BI11" s="49"/>
      <c r="BJ11" s="50">
        <f t="shared" si="12"/>
        <v>0</v>
      </c>
      <c r="BL11" s="49"/>
      <c r="BM11" s="49"/>
      <c r="BN11" s="50">
        <f t="shared" si="13"/>
        <v>0</v>
      </c>
      <c r="BP11" s="49"/>
      <c r="BQ11" s="49"/>
      <c r="BR11" s="50">
        <f t="shared" si="14"/>
        <v>0</v>
      </c>
      <c r="BT11" s="49"/>
      <c r="BU11" s="49"/>
      <c r="BV11" s="50">
        <f t="shared" si="15"/>
        <v>0</v>
      </c>
      <c r="BX11" s="49"/>
      <c r="BY11" s="49"/>
      <c r="BZ11" s="50">
        <f t="shared" si="16"/>
        <v>0</v>
      </c>
      <c r="CB11" s="49"/>
      <c r="CC11" s="49"/>
      <c r="CD11" s="50">
        <f t="shared" si="17"/>
        <v>0</v>
      </c>
      <c r="CF11" s="49"/>
      <c r="CG11" s="49"/>
      <c r="CH11" s="50">
        <f t="shared" si="18"/>
        <v>0</v>
      </c>
      <c r="CJ11" s="49"/>
      <c r="CK11" s="49"/>
      <c r="CL11" s="50">
        <f t="shared" si="19"/>
        <v>0</v>
      </c>
      <c r="CN11" s="49"/>
      <c r="CO11" s="49"/>
      <c r="CP11" s="50">
        <f t="shared" si="20"/>
        <v>0</v>
      </c>
      <c r="CR11" s="49"/>
      <c r="CS11" s="49"/>
      <c r="CT11" s="50">
        <f t="shared" si="21"/>
        <v>0</v>
      </c>
      <c r="CV11" s="49"/>
      <c r="CW11" s="49"/>
      <c r="CX11" s="50">
        <f t="shared" si="22"/>
        <v>0</v>
      </c>
      <c r="CZ11" s="49"/>
      <c r="DA11" s="49"/>
      <c r="DB11" s="50">
        <f t="shared" si="23"/>
        <v>0</v>
      </c>
      <c r="DD11" s="49"/>
      <c r="DE11" s="49"/>
      <c r="DF11" s="50">
        <f t="shared" si="24"/>
        <v>0</v>
      </c>
      <c r="DH11" s="49"/>
      <c r="DI11" s="49"/>
      <c r="DJ11" s="50">
        <f t="shared" si="25"/>
        <v>0</v>
      </c>
      <c r="DL11" s="49"/>
      <c r="DM11" s="49"/>
      <c r="DN11" s="50">
        <f t="shared" si="26"/>
        <v>0</v>
      </c>
      <c r="DP11" s="49"/>
      <c r="DQ11" s="49"/>
      <c r="DR11" s="50">
        <f t="shared" si="27"/>
        <v>0</v>
      </c>
      <c r="DT11" s="49"/>
      <c r="DU11" s="49"/>
      <c r="DV11" s="50">
        <f t="shared" si="28"/>
        <v>0</v>
      </c>
      <c r="DX11" s="49"/>
      <c r="DY11" s="49"/>
      <c r="DZ11" s="50">
        <f t="shared" si="29"/>
        <v>0</v>
      </c>
      <c r="EB11" s="49">
        <f t="shared" si="30"/>
        <v>0</v>
      </c>
      <c r="EC11" s="49">
        <f t="shared" si="31"/>
        <v>0</v>
      </c>
      <c r="ED11" s="49">
        <f t="shared" si="32"/>
        <v>0</v>
      </c>
    </row>
    <row r="12" spans="2:134" ht="11" customHeight="1" x14ac:dyDescent="0.35">
      <c r="B12" s="4">
        <v>101354</v>
      </c>
      <c r="C12" s="4" t="s">
        <v>18</v>
      </c>
      <c r="D12" s="4">
        <v>24</v>
      </c>
      <c r="E12" s="5">
        <v>24</v>
      </c>
      <c r="F12" s="6">
        <v>189.29879107400001</v>
      </c>
      <c r="G12" s="7"/>
      <c r="H12" s="49"/>
      <c r="I12" s="49"/>
      <c r="J12" s="50">
        <f t="shared" si="33"/>
        <v>0</v>
      </c>
      <c r="K12" s="9"/>
      <c r="L12" s="49"/>
      <c r="M12" s="49"/>
      <c r="N12" s="50">
        <f t="shared" si="0"/>
        <v>0</v>
      </c>
      <c r="O12" s="46"/>
      <c r="P12" s="49"/>
      <c r="Q12" s="49"/>
      <c r="R12" s="50">
        <f t="shared" si="1"/>
        <v>0</v>
      </c>
      <c r="T12" s="49"/>
      <c r="U12" s="49"/>
      <c r="V12" s="50">
        <f t="shared" si="2"/>
        <v>0</v>
      </c>
      <c r="X12" s="49"/>
      <c r="Y12" s="49"/>
      <c r="Z12" s="50">
        <f t="shared" si="3"/>
        <v>0</v>
      </c>
      <c r="AB12" s="49"/>
      <c r="AC12" s="49"/>
      <c r="AD12" s="50">
        <f t="shared" si="4"/>
        <v>0</v>
      </c>
      <c r="AF12" s="49"/>
      <c r="AG12" s="49"/>
      <c r="AH12" s="50">
        <f t="shared" si="5"/>
        <v>0</v>
      </c>
      <c r="AJ12" s="49"/>
      <c r="AK12" s="49"/>
      <c r="AL12" s="50">
        <f t="shared" si="6"/>
        <v>0</v>
      </c>
      <c r="AN12" s="49"/>
      <c r="AO12" s="49"/>
      <c r="AP12" s="50">
        <f t="shared" si="7"/>
        <v>0</v>
      </c>
      <c r="AR12" s="49"/>
      <c r="AS12" s="49"/>
      <c r="AT12" s="50">
        <f t="shared" si="8"/>
        <v>0</v>
      </c>
      <c r="AV12" s="49"/>
      <c r="AW12" s="49"/>
      <c r="AX12" s="50">
        <f t="shared" si="9"/>
        <v>0</v>
      </c>
      <c r="AZ12" s="49"/>
      <c r="BA12" s="49"/>
      <c r="BB12" s="50">
        <f t="shared" si="10"/>
        <v>0</v>
      </c>
      <c r="BD12" s="49"/>
      <c r="BE12" s="49"/>
      <c r="BF12" s="50">
        <f t="shared" si="11"/>
        <v>0</v>
      </c>
      <c r="BH12" s="49"/>
      <c r="BI12" s="49"/>
      <c r="BJ12" s="50">
        <f t="shared" si="12"/>
        <v>0</v>
      </c>
      <c r="BL12" s="49"/>
      <c r="BM12" s="49"/>
      <c r="BN12" s="50">
        <f t="shared" si="13"/>
        <v>0</v>
      </c>
      <c r="BP12" s="49"/>
      <c r="BQ12" s="49"/>
      <c r="BR12" s="50">
        <f t="shared" si="14"/>
        <v>0</v>
      </c>
      <c r="BT12" s="49"/>
      <c r="BU12" s="49"/>
      <c r="BV12" s="50">
        <f t="shared" si="15"/>
        <v>0</v>
      </c>
      <c r="BX12" s="49"/>
      <c r="BY12" s="49"/>
      <c r="BZ12" s="50">
        <f t="shared" si="16"/>
        <v>0</v>
      </c>
      <c r="CB12" s="49"/>
      <c r="CC12" s="49"/>
      <c r="CD12" s="50">
        <f t="shared" si="17"/>
        <v>0</v>
      </c>
      <c r="CF12" s="49"/>
      <c r="CG12" s="49"/>
      <c r="CH12" s="50">
        <f t="shared" si="18"/>
        <v>0</v>
      </c>
      <c r="CJ12" s="49"/>
      <c r="CK12" s="49"/>
      <c r="CL12" s="50">
        <f t="shared" si="19"/>
        <v>0</v>
      </c>
      <c r="CN12" s="49"/>
      <c r="CO12" s="49"/>
      <c r="CP12" s="50">
        <f t="shared" si="20"/>
        <v>0</v>
      </c>
      <c r="CR12" s="49"/>
      <c r="CS12" s="49"/>
      <c r="CT12" s="50">
        <f t="shared" si="21"/>
        <v>0</v>
      </c>
      <c r="CV12" s="49"/>
      <c r="CW12" s="49"/>
      <c r="CX12" s="50">
        <f t="shared" si="22"/>
        <v>0</v>
      </c>
      <c r="CZ12" s="49"/>
      <c r="DA12" s="49"/>
      <c r="DB12" s="50">
        <f t="shared" si="23"/>
        <v>0</v>
      </c>
      <c r="DD12" s="49"/>
      <c r="DE12" s="49"/>
      <c r="DF12" s="50">
        <f t="shared" si="24"/>
        <v>0</v>
      </c>
      <c r="DH12" s="49"/>
      <c r="DI12" s="49"/>
      <c r="DJ12" s="50">
        <f t="shared" si="25"/>
        <v>0</v>
      </c>
      <c r="DL12" s="49"/>
      <c r="DM12" s="49"/>
      <c r="DN12" s="50">
        <f t="shared" si="26"/>
        <v>0</v>
      </c>
      <c r="DP12" s="49"/>
      <c r="DQ12" s="49"/>
      <c r="DR12" s="50">
        <f t="shared" si="27"/>
        <v>0</v>
      </c>
      <c r="DT12" s="49"/>
      <c r="DU12" s="49"/>
      <c r="DV12" s="50">
        <f t="shared" si="28"/>
        <v>0</v>
      </c>
      <c r="DX12" s="49"/>
      <c r="DY12" s="49"/>
      <c r="DZ12" s="50">
        <f t="shared" si="29"/>
        <v>0</v>
      </c>
      <c r="EB12" s="49">
        <f t="shared" si="30"/>
        <v>0</v>
      </c>
      <c r="EC12" s="49">
        <f t="shared" si="31"/>
        <v>0</v>
      </c>
      <c r="ED12" s="49">
        <f t="shared" si="32"/>
        <v>0</v>
      </c>
    </row>
    <row r="13" spans="2:134" ht="11" customHeight="1" x14ac:dyDescent="0.35">
      <c r="B13" s="4">
        <v>101835</v>
      </c>
      <c r="C13" s="4" t="s">
        <v>19</v>
      </c>
      <c r="D13" s="4">
        <v>24</v>
      </c>
      <c r="E13" s="5">
        <v>24</v>
      </c>
      <c r="F13" s="6">
        <v>192.453575</v>
      </c>
      <c r="G13" s="7"/>
      <c r="H13" s="49"/>
      <c r="I13" s="49"/>
      <c r="J13" s="50">
        <f t="shared" si="33"/>
        <v>0</v>
      </c>
      <c r="K13" s="9"/>
      <c r="L13" s="49"/>
      <c r="M13" s="49"/>
      <c r="N13" s="50">
        <f t="shared" si="0"/>
        <v>0</v>
      </c>
      <c r="O13" s="46"/>
      <c r="P13" s="49"/>
      <c r="Q13" s="49"/>
      <c r="R13" s="50">
        <f t="shared" si="1"/>
        <v>0</v>
      </c>
      <c r="T13" s="49"/>
      <c r="U13" s="49"/>
      <c r="V13" s="50">
        <f t="shared" si="2"/>
        <v>0</v>
      </c>
      <c r="X13" s="49"/>
      <c r="Y13" s="49"/>
      <c r="Z13" s="50">
        <f t="shared" si="3"/>
        <v>0</v>
      </c>
      <c r="AB13" s="49"/>
      <c r="AC13" s="49"/>
      <c r="AD13" s="50">
        <f t="shared" si="4"/>
        <v>0</v>
      </c>
      <c r="AF13" s="49"/>
      <c r="AG13" s="49"/>
      <c r="AH13" s="50">
        <f t="shared" si="5"/>
        <v>0</v>
      </c>
      <c r="AJ13" s="49"/>
      <c r="AK13" s="49"/>
      <c r="AL13" s="50">
        <f t="shared" si="6"/>
        <v>0</v>
      </c>
      <c r="AN13" s="49"/>
      <c r="AO13" s="49"/>
      <c r="AP13" s="50">
        <f t="shared" si="7"/>
        <v>0</v>
      </c>
      <c r="AR13" s="49"/>
      <c r="AS13" s="49"/>
      <c r="AT13" s="50">
        <f t="shared" si="8"/>
        <v>0</v>
      </c>
      <c r="AV13" s="49"/>
      <c r="AW13" s="49"/>
      <c r="AX13" s="50">
        <f t="shared" si="9"/>
        <v>0</v>
      </c>
      <c r="AZ13" s="49"/>
      <c r="BA13" s="49"/>
      <c r="BB13" s="50">
        <f t="shared" si="10"/>
        <v>0</v>
      </c>
      <c r="BD13" s="49"/>
      <c r="BE13" s="49"/>
      <c r="BF13" s="50">
        <f t="shared" si="11"/>
        <v>0</v>
      </c>
      <c r="BH13" s="49"/>
      <c r="BI13" s="49"/>
      <c r="BJ13" s="50">
        <f t="shared" si="12"/>
        <v>0</v>
      </c>
      <c r="BL13" s="49"/>
      <c r="BM13" s="49"/>
      <c r="BN13" s="50">
        <f t="shared" si="13"/>
        <v>0</v>
      </c>
      <c r="BP13" s="49"/>
      <c r="BQ13" s="49"/>
      <c r="BR13" s="50">
        <f t="shared" si="14"/>
        <v>0</v>
      </c>
      <c r="BT13" s="49"/>
      <c r="BU13" s="49"/>
      <c r="BV13" s="50">
        <f t="shared" si="15"/>
        <v>0</v>
      </c>
      <c r="BX13" s="49"/>
      <c r="BY13" s="49"/>
      <c r="BZ13" s="50">
        <f t="shared" si="16"/>
        <v>0</v>
      </c>
      <c r="CB13" s="49"/>
      <c r="CC13" s="49"/>
      <c r="CD13" s="50">
        <f t="shared" si="17"/>
        <v>0</v>
      </c>
      <c r="CF13" s="49"/>
      <c r="CG13" s="49"/>
      <c r="CH13" s="50">
        <f t="shared" si="18"/>
        <v>0</v>
      </c>
      <c r="CJ13" s="49"/>
      <c r="CK13" s="49"/>
      <c r="CL13" s="50">
        <f t="shared" si="19"/>
        <v>0</v>
      </c>
      <c r="CN13" s="49"/>
      <c r="CO13" s="49"/>
      <c r="CP13" s="50">
        <f t="shared" si="20"/>
        <v>0</v>
      </c>
      <c r="CR13" s="49"/>
      <c r="CS13" s="49"/>
      <c r="CT13" s="50">
        <f t="shared" si="21"/>
        <v>0</v>
      </c>
      <c r="CV13" s="49"/>
      <c r="CW13" s="49"/>
      <c r="CX13" s="50">
        <f t="shared" si="22"/>
        <v>0</v>
      </c>
      <c r="CZ13" s="49"/>
      <c r="DA13" s="49"/>
      <c r="DB13" s="50">
        <f t="shared" si="23"/>
        <v>0</v>
      </c>
      <c r="DD13" s="49"/>
      <c r="DE13" s="49"/>
      <c r="DF13" s="50">
        <f t="shared" si="24"/>
        <v>0</v>
      </c>
      <c r="DH13" s="49"/>
      <c r="DI13" s="49"/>
      <c r="DJ13" s="50">
        <f t="shared" si="25"/>
        <v>0</v>
      </c>
      <c r="DL13" s="49"/>
      <c r="DM13" s="49"/>
      <c r="DN13" s="50">
        <f t="shared" si="26"/>
        <v>0</v>
      </c>
      <c r="DP13" s="49"/>
      <c r="DQ13" s="49"/>
      <c r="DR13" s="50">
        <f t="shared" si="27"/>
        <v>0</v>
      </c>
      <c r="DT13" s="49"/>
      <c r="DU13" s="49"/>
      <c r="DV13" s="50">
        <f t="shared" si="28"/>
        <v>0</v>
      </c>
      <c r="DX13" s="49"/>
      <c r="DY13" s="49"/>
      <c r="DZ13" s="50">
        <f t="shared" si="29"/>
        <v>0</v>
      </c>
      <c r="EB13" s="49">
        <f t="shared" si="30"/>
        <v>0</v>
      </c>
      <c r="EC13" s="49">
        <f t="shared" si="31"/>
        <v>0</v>
      </c>
      <c r="ED13" s="49">
        <f t="shared" si="32"/>
        <v>0</v>
      </c>
    </row>
    <row r="14" spans="2:134" ht="11" customHeight="1" x14ac:dyDescent="0.35">
      <c r="B14" s="4">
        <v>101861</v>
      </c>
      <c r="C14" s="4" t="s">
        <v>20</v>
      </c>
      <c r="D14" s="4">
        <v>24</v>
      </c>
      <c r="E14" s="5">
        <v>12</v>
      </c>
      <c r="F14" s="6">
        <v>187.195471164</v>
      </c>
      <c r="G14" s="7"/>
      <c r="H14" s="49"/>
      <c r="I14" s="49"/>
      <c r="J14" s="50">
        <f t="shared" si="33"/>
        <v>0</v>
      </c>
      <c r="K14" s="9"/>
      <c r="L14" s="49"/>
      <c r="M14" s="49"/>
      <c r="N14" s="50">
        <f t="shared" si="0"/>
        <v>0</v>
      </c>
      <c r="O14" s="46"/>
      <c r="P14" s="49"/>
      <c r="Q14" s="49"/>
      <c r="R14" s="50">
        <f t="shared" si="1"/>
        <v>0</v>
      </c>
      <c r="T14" s="49"/>
      <c r="U14" s="49"/>
      <c r="V14" s="50">
        <f t="shared" si="2"/>
        <v>0</v>
      </c>
      <c r="X14" s="49"/>
      <c r="Y14" s="49"/>
      <c r="Z14" s="50">
        <f t="shared" si="3"/>
        <v>0</v>
      </c>
      <c r="AB14" s="49"/>
      <c r="AC14" s="49"/>
      <c r="AD14" s="50">
        <f t="shared" si="4"/>
        <v>0</v>
      </c>
      <c r="AF14" s="49"/>
      <c r="AG14" s="49"/>
      <c r="AH14" s="50">
        <f t="shared" si="5"/>
        <v>0</v>
      </c>
      <c r="AJ14" s="49"/>
      <c r="AK14" s="49"/>
      <c r="AL14" s="50">
        <f t="shared" si="6"/>
        <v>0</v>
      </c>
      <c r="AN14" s="49"/>
      <c r="AO14" s="49"/>
      <c r="AP14" s="50">
        <f t="shared" si="7"/>
        <v>0</v>
      </c>
      <c r="AR14" s="49"/>
      <c r="AS14" s="49"/>
      <c r="AT14" s="50">
        <f t="shared" si="8"/>
        <v>0</v>
      </c>
      <c r="AV14" s="49"/>
      <c r="AW14" s="49"/>
      <c r="AX14" s="50">
        <f t="shared" si="9"/>
        <v>0</v>
      </c>
      <c r="AZ14" s="49"/>
      <c r="BA14" s="49"/>
      <c r="BB14" s="50">
        <f t="shared" si="10"/>
        <v>0</v>
      </c>
      <c r="BD14" s="49"/>
      <c r="BE14" s="49"/>
      <c r="BF14" s="50">
        <f t="shared" si="11"/>
        <v>0</v>
      </c>
      <c r="BH14" s="49"/>
      <c r="BI14" s="49"/>
      <c r="BJ14" s="50">
        <f t="shared" si="12"/>
        <v>0</v>
      </c>
      <c r="BL14" s="49"/>
      <c r="BM14" s="49"/>
      <c r="BN14" s="50">
        <f t="shared" si="13"/>
        <v>0</v>
      </c>
      <c r="BP14" s="49"/>
      <c r="BQ14" s="49"/>
      <c r="BR14" s="50">
        <f t="shared" si="14"/>
        <v>0</v>
      </c>
      <c r="BT14" s="49"/>
      <c r="BU14" s="49"/>
      <c r="BV14" s="50">
        <f t="shared" si="15"/>
        <v>0</v>
      </c>
      <c r="BX14" s="49"/>
      <c r="BY14" s="49"/>
      <c r="BZ14" s="50">
        <f t="shared" si="16"/>
        <v>0</v>
      </c>
      <c r="CB14" s="49"/>
      <c r="CC14" s="49"/>
      <c r="CD14" s="50">
        <f t="shared" si="17"/>
        <v>0</v>
      </c>
      <c r="CF14" s="49"/>
      <c r="CG14" s="49"/>
      <c r="CH14" s="50">
        <f t="shared" si="18"/>
        <v>0</v>
      </c>
      <c r="CJ14" s="49"/>
      <c r="CK14" s="49"/>
      <c r="CL14" s="50">
        <f t="shared" si="19"/>
        <v>0</v>
      </c>
      <c r="CN14" s="49"/>
      <c r="CO14" s="49"/>
      <c r="CP14" s="50">
        <f t="shared" si="20"/>
        <v>0</v>
      </c>
      <c r="CR14" s="49"/>
      <c r="CS14" s="49"/>
      <c r="CT14" s="50">
        <f t="shared" si="21"/>
        <v>0</v>
      </c>
      <c r="CV14" s="49"/>
      <c r="CW14" s="49"/>
      <c r="CX14" s="50">
        <f t="shared" si="22"/>
        <v>0</v>
      </c>
      <c r="CZ14" s="49"/>
      <c r="DA14" s="49"/>
      <c r="DB14" s="50">
        <f t="shared" si="23"/>
        <v>0</v>
      </c>
      <c r="DD14" s="49"/>
      <c r="DE14" s="49"/>
      <c r="DF14" s="50">
        <f t="shared" si="24"/>
        <v>0</v>
      </c>
      <c r="DH14" s="49"/>
      <c r="DI14" s="49"/>
      <c r="DJ14" s="50">
        <f t="shared" si="25"/>
        <v>0</v>
      </c>
      <c r="DL14" s="49"/>
      <c r="DM14" s="49"/>
      <c r="DN14" s="50">
        <f t="shared" si="26"/>
        <v>0</v>
      </c>
      <c r="DP14" s="49"/>
      <c r="DQ14" s="49"/>
      <c r="DR14" s="50">
        <f t="shared" si="27"/>
        <v>0</v>
      </c>
      <c r="DT14" s="49"/>
      <c r="DU14" s="49"/>
      <c r="DV14" s="50">
        <f t="shared" si="28"/>
        <v>0</v>
      </c>
      <c r="DX14" s="49"/>
      <c r="DY14" s="49"/>
      <c r="DZ14" s="50">
        <f t="shared" si="29"/>
        <v>0</v>
      </c>
      <c r="EB14" s="49">
        <f t="shared" si="30"/>
        <v>0</v>
      </c>
      <c r="EC14" s="49">
        <f t="shared" si="31"/>
        <v>0</v>
      </c>
      <c r="ED14" s="49">
        <f t="shared" si="32"/>
        <v>0</v>
      </c>
    </row>
    <row r="15" spans="2:134" ht="11" customHeight="1" x14ac:dyDescent="0.35">
      <c r="B15" s="4">
        <v>101879</v>
      </c>
      <c r="C15" s="4" t="s">
        <v>21</v>
      </c>
      <c r="D15" s="4">
        <v>18</v>
      </c>
      <c r="E15" s="5">
        <v>18</v>
      </c>
      <c r="F15" s="6">
        <v>288.68044392000002</v>
      </c>
      <c r="G15" s="7"/>
      <c r="H15" s="49"/>
      <c r="I15" s="49"/>
      <c r="J15" s="50">
        <f t="shared" si="33"/>
        <v>0</v>
      </c>
      <c r="K15" s="9"/>
      <c r="L15" s="49"/>
      <c r="M15" s="49"/>
      <c r="N15" s="50">
        <f t="shared" si="0"/>
        <v>0</v>
      </c>
      <c r="O15" s="46"/>
      <c r="P15" s="49"/>
      <c r="Q15" s="49"/>
      <c r="R15" s="50">
        <f t="shared" si="1"/>
        <v>0</v>
      </c>
      <c r="T15" s="49"/>
      <c r="U15" s="49"/>
      <c r="V15" s="50">
        <f t="shared" si="2"/>
        <v>0</v>
      </c>
      <c r="X15" s="49"/>
      <c r="Y15" s="49"/>
      <c r="Z15" s="50">
        <f t="shared" si="3"/>
        <v>0</v>
      </c>
      <c r="AB15" s="49"/>
      <c r="AC15" s="49"/>
      <c r="AD15" s="50">
        <f t="shared" si="4"/>
        <v>0</v>
      </c>
      <c r="AF15" s="49"/>
      <c r="AG15" s="49"/>
      <c r="AH15" s="50">
        <f t="shared" si="5"/>
        <v>0</v>
      </c>
      <c r="AJ15" s="49"/>
      <c r="AK15" s="49"/>
      <c r="AL15" s="50">
        <f t="shared" si="6"/>
        <v>0</v>
      </c>
      <c r="AN15" s="49"/>
      <c r="AO15" s="49"/>
      <c r="AP15" s="50">
        <f t="shared" si="7"/>
        <v>0</v>
      </c>
      <c r="AR15" s="49"/>
      <c r="AS15" s="49"/>
      <c r="AT15" s="50">
        <f t="shared" si="8"/>
        <v>0</v>
      </c>
      <c r="AV15" s="49"/>
      <c r="AW15" s="49"/>
      <c r="AX15" s="50">
        <f t="shared" si="9"/>
        <v>0</v>
      </c>
      <c r="AZ15" s="49"/>
      <c r="BA15" s="49"/>
      <c r="BB15" s="50">
        <f t="shared" si="10"/>
        <v>0</v>
      </c>
      <c r="BD15" s="49"/>
      <c r="BE15" s="49"/>
      <c r="BF15" s="50">
        <f t="shared" si="11"/>
        <v>0</v>
      </c>
      <c r="BH15" s="49"/>
      <c r="BI15" s="49"/>
      <c r="BJ15" s="50">
        <f t="shared" si="12"/>
        <v>0</v>
      </c>
      <c r="BL15" s="49"/>
      <c r="BM15" s="49"/>
      <c r="BN15" s="50">
        <f t="shared" si="13"/>
        <v>0</v>
      </c>
      <c r="BP15" s="49"/>
      <c r="BQ15" s="49"/>
      <c r="BR15" s="50">
        <f t="shared" si="14"/>
        <v>0</v>
      </c>
      <c r="BT15" s="49"/>
      <c r="BU15" s="49"/>
      <c r="BV15" s="50">
        <f t="shared" si="15"/>
        <v>0</v>
      </c>
      <c r="BX15" s="49"/>
      <c r="BY15" s="49"/>
      <c r="BZ15" s="50">
        <f t="shared" si="16"/>
        <v>0</v>
      </c>
      <c r="CB15" s="49"/>
      <c r="CC15" s="49"/>
      <c r="CD15" s="50">
        <f t="shared" si="17"/>
        <v>0</v>
      </c>
      <c r="CF15" s="49"/>
      <c r="CG15" s="49"/>
      <c r="CH15" s="50">
        <f t="shared" si="18"/>
        <v>0</v>
      </c>
      <c r="CJ15" s="49"/>
      <c r="CK15" s="49"/>
      <c r="CL15" s="50">
        <f t="shared" si="19"/>
        <v>0</v>
      </c>
      <c r="CN15" s="49"/>
      <c r="CO15" s="49"/>
      <c r="CP15" s="50">
        <f t="shared" si="20"/>
        <v>0</v>
      </c>
      <c r="CR15" s="49"/>
      <c r="CS15" s="49"/>
      <c r="CT15" s="50">
        <f t="shared" si="21"/>
        <v>0</v>
      </c>
      <c r="CV15" s="49"/>
      <c r="CW15" s="49"/>
      <c r="CX15" s="50">
        <f t="shared" si="22"/>
        <v>0</v>
      </c>
      <c r="CZ15" s="49"/>
      <c r="DA15" s="49"/>
      <c r="DB15" s="50">
        <f t="shared" si="23"/>
        <v>0</v>
      </c>
      <c r="DD15" s="49"/>
      <c r="DE15" s="49"/>
      <c r="DF15" s="50">
        <f t="shared" si="24"/>
        <v>0</v>
      </c>
      <c r="DH15" s="49"/>
      <c r="DI15" s="49"/>
      <c r="DJ15" s="50">
        <f t="shared" si="25"/>
        <v>0</v>
      </c>
      <c r="DL15" s="49"/>
      <c r="DM15" s="49"/>
      <c r="DN15" s="50">
        <f t="shared" si="26"/>
        <v>0</v>
      </c>
      <c r="DP15" s="49"/>
      <c r="DQ15" s="49"/>
      <c r="DR15" s="50">
        <f t="shared" si="27"/>
        <v>0</v>
      </c>
      <c r="DT15" s="49"/>
      <c r="DU15" s="49"/>
      <c r="DV15" s="50">
        <f t="shared" si="28"/>
        <v>0</v>
      </c>
      <c r="DX15" s="49"/>
      <c r="DY15" s="49"/>
      <c r="DZ15" s="50">
        <f t="shared" si="29"/>
        <v>0</v>
      </c>
      <c r="EB15" s="49">
        <f t="shared" si="30"/>
        <v>0</v>
      </c>
      <c r="EC15" s="49">
        <f t="shared" si="31"/>
        <v>0</v>
      </c>
      <c r="ED15" s="49">
        <f t="shared" si="32"/>
        <v>0</v>
      </c>
    </row>
    <row r="16" spans="2:134" ht="11" customHeight="1" x14ac:dyDescent="0.35">
      <c r="B16" s="4">
        <v>101930</v>
      </c>
      <c r="C16" s="4" t="s">
        <v>22</v>
      </c>
      <c r="D16" s="4">
        <v>12</v>
      </c>
      <c r="E16" s="5">
        <v>8</v>
      </c>
      <c r="F16" s="6">
        <v>481.13467500000002</v>
      </c>
      <c r="G16" s="7"/>
      <c r="H16" s="49"/>
      <c r="I16" s="49"/>
      <c r="J16" s="50">
        <f t="shared" si="33"/>
        <v>0</v>
      </c>
      <c r="K16" s="9"/>
      <c r="L16" s="49"/>
      <c r="M16" s="49"/>
      <c r="N16" s="50">
        <f t="shared" si="0"/>
        <v>0</v>
      </c>
      <c r="O16" s="46"/>
      <c r="P16" s="49"/>
      <c r="Q16" s="49"/>
      <c r="R16" s="50">
        <f t="shared" si="1"/>
        <v>0</v>
      </c>
      <c r="T16" s="49"/>
      <c r="U16" s="49"/>
      <c r="V16" s="50">
        <f t="shared" si="2"/>
        <v>0</v>
      </c>
      <c r="X16" s="49"/>
      <c r="Y16" s="49"/>
      <c r="Z16" s="50">
        <f t="shared" si="3"/>
        <v>0</v>
      </c>
      <c r="AB16" s="49"/>
      <c r="AC16" s="49"/>
      <c r="AD16" s="50">
        <f t="shared" si="4"/>
        <v>0</v>
      </c>
      <c r="AF16" s="49"/>
      <c r="AG16" s="49"/>
      <c r="AH16" s="50">
        <f t="shared" si="5"/>
        <v>0</v>
      </c>
      <c r="AJ16" s="49"/>
      <c r="AK16" s="49"/>
      <c r="AL16" s="50">
        <f t="shared" si="6"/>
        <v>0</v>
      </c>
      <c r="AN16" s="49"/>
      <c r="AO16" s="49"/>
      <c r="AP16" s="50">
        <f t="shared" si="7"/>
        <v>0</v>
      </c>
      <c r="AR16" s="49"/>
      <c r="AS16" s="49"/>
      <c r="AT16" s="50">
        <f t="shared" si="8"/>
        <v>0</v>
      </c>
      <c r="AV16" s="49"/>
      <c r="AW16" s="49"/>
      <c r="AX16" s="50">
        <f t="shared" si="9"/>
        <v>0</v>
      </c>
      <c r="AZ16" s="49"/>
      <c r="BA16" s="49"/>
      <c r="BB16" s="50">
        <f t="shared" si="10"/>
        <v>0</v>
      </c>
      <c r="BD16" s="49"/>
      <c r="BE16" s="49"/>
      <c r="BF16" s="50">
        <f t="shared" si="11"/>
        <v>0</v>
      </c>
      <c r="BH16" s="49"/>
      <c r="BI16" s="49"/>
      <c r="BJ16" s="50">
        <f t="shared" si="12"/>
        <v>0</v>
      </c>
      <c r="BL16" s="49"/>
      <c r="BM16" s="49"/>
      <c r="BN16" s="50">
        <f t="shared" si="13"/>
        <v>0</v>
      </c>
      <c r="BP16" s="49"/>
      <c r="BQ16" s="49"/>
      <c r="BR16" s="50">
        <f t="shared" si="14"/>
        <v>0</v>
      </c>
      <c r="BT16" s="49"/>
      <c r="BU16" s="49"/>
      <c r="BV16" s="50">
        <f t="shared" si="15"/>
        <v>0</v>
      </c>
      <c r="BX16" s="49"/>
      <c r="BY16" s="49"/>
      <c r="BZ16" s="50">
        <f t="shared" si="16"/>
        <v>0</v>
      </c>
      <c r="CB16" s="49"/>
      <c r="CC16" s="49"/>
      <c r="CD16" s="50">
        <f t="shared" si="17"/>
        <v>0</v>
      </c>
      <c r="CF16" s="49"/>
      <c r="CG16" s="49"/>
      <c r="CH16" s="50">
        <f t="shared" si="18"/>
        <v>0</v>
      </c>
      <c r="CJ16" s="49"/>
      <c r="CK16" s="49"/>
      <c r="CL16" s="50">
        <f t="shared" si="19"/>
        <v>0</v>
      </c>
      <c r="CN16" s="49"/>
      <c r="CO16" s="49"/>
      <c r="CP16" s="50">
        <f t="shared" si="20"/>
        <v>0</v>
      </c>
      <c r="CR16" s="49"/>
      <c r="CS16" s="49"/>
      <c r="CT16" s="50">
        <f t="shared" si="21"/>
        <v>0</v>
      </c>
      <c r="CV16" s="49"/>
      <c r="CW16" s="49"/>
      <c r="CX16" s="50">
        <f t="shared" si="22"/>
        <v>0</v>
      </c>
      <c r="CZ16" s="49"/>
      <c r="DA16" s="49"/>
      <c r="DB16" s="50">
        <f t="shared" si="23"/>
        <v>0</v>
      </c>
      <c r="DD16" s="49"/>
      <c r="DE16" s="49"/>
      <c r="DF16" s="50">
        <f t="shared" si="24"/>
        <v>0</v>
      </c>
      <c r="DH16" s="49"/>
      <c r="DI16" s="49"/>
      <c r="DJ16" s="50">
        <f t="shared" si="25"/>
        <v>0</v>
      </c>
      <c r="DL16" s="49"/>
      <c r="DM16" s="49"/>
      <c r="DN16" s="50">
        <f t="shared" si="26"/>
        <v>0</v>
      </c>
      <c r="DP16" s="49"/>
      <c r="DQ16" s="49"/>
      <c r="DR16" s="50">
        <f t="shared" si="27"/>
        <v>0</v>
      </c>
      <c r="DT16" s="49"/>
      <c r="DU16" s="49"/>
      <c r="DV16" s="50">
        <f t="shared" si="28"/>
        <v>0</v>
      </c>
      <c r="DX16" s="49"/>
      <c r="DY16" s="49"/>
      <c r="DZ16" s="50">
        <f t="shared" si="29"/>
        <v>0</v>
      </c>
      <c r="EB16" s="49">
        <f t="shared" si="30"/>
        <v>0</v>
      </c>
      <c r="EC16" s="49">
        <f t="shared" si="31"/>
        <v>0</v>
      </c>
      <c r="ED16" s="49">
        <f t="shared" si="32"/>
        <v>0</v>
      </c>
    </row>
    <row r="17" spans="2:134" ht="11" customHeight="1" x14ac:dyDescent="0.35">
      <c r="B17" s="4">
        <v>101931</v>
      </c>
      <c r="C17" s="4" t="s">
        <v>23</v>
      </c>
      <c r="D17" s="4">
        <v>12</v>
      </c>
      <c r="E17" s="5">
        <v>8</v>
      </c>
      <c r="F17" s="6">
        <v>481.13467500000002</v>
      </c>
      <c r="G17" s="7"/>
      <c r="H17" s="49"/>
      <c r="I17" s="49"/>
      <c r="J17" s="50">
        <f t="shared" si="33"/>
        <v>0</v>
      </c>
      <c r="K17" s="9"/>
      <c r="L17" s="49"/>
      <c r="M17" s="49"/>
      <c r="N17" s="50">
        <f t="shared" si="0"/>
        <v>0</v>
      </c>
      <c r="O17" s="46"/>
      <c r="P17" s="49"/>
      <c r="Q17" s="49"/>
      <c r="R17" s="50">
        <f t="shared" si="1"/>
        <v>0</v>
      </c>
      <c r="T17" s="49"/>
      <c r="U17" s="49"/>
      <c r="V17" s="50">
        <f t="shared" si="2"/>
        <v>0</v>
      </c>
      <c r="X17" s="49"/>
      <c r="Y17" s="49"/>
      <c r="Z17" s="50">
        <f t="shared" si="3"/>
        <v>0</v>
      </c>
      <c r="AB17" s="49"/>
      <c r="AC17" s="49"/>
      <c r="AD17" s="50">
        <f t="shared" si="4"/>
        <v>0</v>
      </c>
      <c r="AF17" s="49"/>
      <c r="AG17" s="49"/>
      <c r="AH17" s="50">
        <f t="shared" si="5"/>
        <v>0</v>
      </c>
      <c r="AJ17" s="49"/>
      <c r="AK17" s="49"/>
      <c r="AL17" s="50">
        <f t="shared" si="6"/>
        <v>0</v>
      </c>
      <c r="AN17" s="49"/>
      <c r="AO17" s="49"/>
      <c r="AP17" s="50">
        <f t="shared" si="7"/>
        <v>0</v>
      </c>
      <c r="AR17" s="49"/>
      <c r="AS17" s="49"/>
      <c r="AT17" s="50">
        <f t="shared" si="8"/>
        <v>0</v>
      </c>
      <c r="AV17" s="49"/>
      <c r="AW17" s="49"/>
      <c r="AX17" s="50">
        <f t="shared" si="9"/>
        <v>0</v>
      </c>
      <c r="AZ17" s="49"/>
      <c r="BA17" s="49"/>
      <c r="BB17" s="50">
        <f t="shared" si="10"/>
        <v>0</v>
      </c>
      <c r="BD17" s="49"/>
      <c r="BE17" s="49"/>
      <c r="BF17" s="50">
        <f t="shared" si="11"/>
        <v>0</v>
      </c>
      <c r="BH17" s="49"/>
      <c r="BI17" s="49"/>
      <c r="BJ17" s="50">
        <f t="shared" si="12"/>
        <v>0</v>
      </c>
      <c r="BL17" s="49"/>
      <c r="BM17" s="49"/>
      <c r="BN17" s="50">
        <f t="shared" si="13"/>
        <v>0</v>
      </c>
      <c r="BP17" s="49"/>
      <c r="BQ17" s="49"/>
      <c r="BR17" s="50">
        <f t="shared" si="14"/>
        <v>0</v>
      </c>
      <c r="BT17" s="49"/>
      <c r="BU17" s="49"/>
      <c r="BV17" s="50">
        <f t="shared" si="15"/>
        <v>0</v>
      </c>
      <c r="BX17" s="49"/>
      <c r="BY17" s="49"/>
      <c r="BZ17" s="50">
        <f t="shared" si="16"/>
        <v>0</v>
      </c>
      <c r="CB17" s="49"/>
      <c r="CC17" s="49"/>
      <c r="CD17" s="50">
        <f t="shared" si="17"/>
        <v>0</v>
      </c>
      <c r="CF17" s="49"/>
      <c r="CG17" s="49"/>
      <c r="CH17" s="50">
        <f t="shared" si="18"/>
        <v>0</v>
      </c>
      <c r="CJ17" s="49"/>
      <c r="CK17" s="49"/>
      <c r="CL17" s="50">
        <f t="shared" si="19"/>
        <v>0</v>
      </c>
      <c r="CN17" s="49"/>
      <c r="CO17" s="49"/>
      <c r="CP17" s="50">
        <f t="shared" si="20"/>
        <v>0</v>
      </c>
      <c r="CR17" s="49"/>
      <c r="CS17" s="49"/>
      <c r="CT17" s="50">
        <f t="shared" si="21"/>
        <v>0</v>
      </c>
      <c r="CV17" s="49"/>
      <c r="CW17" s="49"/>
      <c r="CX17" s="50">
        <f t="shared" si="22"/>
        <v>0</v>
      </c>
      <c r="CZ17" s="49"/>
      <c r="DA17" s="49"/>
      <c r="DB17" s="50">
        <f t="shared" si="23"/>
        <v>0</v>
      </c>
      <c r="DD17" s="49"/>
      <c r="DE17" s="49"/>
      <c r="DF17" s="50">
        <f t="shared" si="24"/>
        <v>0</v>
      </c>
      <c r="DH17" s="49"/>
      <c r="DI17" s="49"/>
      <c r="DJ17" s="50">
        <f t="shared" si="25"/>
        <v>0</v>
      </c>
      <c r="DL17" s="49"/>
      <c r="DM17" s="49"/>
      <c r="DN17" s="50">
        <f t="shared" si="26"/>
        <v>0</v>
      </c>
      <c r="DP17" s="49"/>
      <c r="DQ17" s="49"/>
      <c r="DR17" s="50">
        <f t="shared" si="27"/>
        <v>0</v>
      </c>
      <c r="DT17" s="49"/>
      <c r="DU17" s="49"/>
      <c r="DV17" s="50">
        <f t="shared" si="28"/>
        <v>0</v>
      </c>
      <c r="DX17" s="49"/>
      <c r="DY17" s="49"/>
      <c r="DZ17" s="50">
        <f t="shared" si="29"/>
        <v>0</v>
      </c>
      <c r="EB17" s="49">
        <f t="shared" si="30"/>
        <v>0</v>
      </c>
      <c r="EC17" s="49">
        <f t="shared" si="31"/>
        <v>0</v>
      </c>
      <c r="ED17" s="49">
        <f t="shared" si="32"/>
        <v>0</v>
      </c>
    </row>
    <row r="18" spans="2:134" ht="11" customHeight="1" x14ac:dyDescent="0.35">
      <c r="B18" s="4">
        <v>101932</v>
      </c>
      <c r="C18" s="4" t="s">
        <v>24</v>
      </c>
      <c r="D18" s="4">
        <v>12</v>
      </c>
      <c r="E18" s="5">
        <v>8</v>
      </c>
      <c r="F18" s="6">
        <v>481.13467500000002</v>
      </c>
      <c r="G18" s="7"/>
      <c r="H18" s="49"/>
      <c r="I18" s="49"/>
      <c r="J18" s="50">
        <f t="shared" si="33"/>
        <v>0</v>
      </c>
      <c r="K18" s="9"/>
      <c r="L18" s="49"/>
      <c r="M18" s="49"/>
      <c r="N18" s="50">
        <f t="shared" si="0"/>
        <v>0</v>
      </c>
      <c r="O18" s="46"/>
      <c r="P18" s="49"/>
      <c r="Q18" s="49"/>
      <c r="R18" s="50">
        <f t="shared" si="1"/>
        <v>0</v>
      </c>
      <c r="T18" s="49"/>
      <c r="U18" s="49"/>
      <c r="V18" s="50">
        <f t="shared" si="2"/>
        <v>0</v>
      </c>
      <c r="X18" s="49"/>
      <c r="Y18" s="49"/>
      <c r="Z18" s="50">
        <f t="shared" si="3"/>
        <v>0</v>
      </c>
      <c r="AB18" s="49"/>
      <c r="AC18" s="49"/>
      <c r="AD18" s="50">
        <f t="shared" si="4"/>
        <v>0</v>
      </c>
      <c r="AF18" s="49"/>
      <c r="AG18" s="49"/>
      <c r="AH18" s="50">
        <f t="shared" si="5"/>
        <v>0</v>
      </c>
      <c r="AJ18" s="49"/>
      <c r="AK18" s="49"/>
      <c r="AL18" s="50">
        <f t="shared" si="6"/>
        <v>0</v>
      </c>
      <c r="AN18" s="49"/>
      <c r="AO18" s="49"/>
      <c r="AP18" s="50">
        <f t="shared" si="7"/>
        <v>0</v>
      </c>
      <c r="AR18" s="49"/>
      <c r="AS18" s="49"/>
      <c r="AT18" s="50">
        <f t="shared" si="8"/>
        <v>0</v>
      </c>
      <c r="AV18" s="49"/>
      <c r="AW18" s="49"/>
      <c r="AX18" s="50">
        <f t="shared" si="9"/>
        <v>0</v>
      </c>
      <c r="AZ18" s="49"/>
      <c r="BA18" s="49"/>
      <c r="BB18" s="50">
        <f t="shared" si="10"/>
        <v>0</v>
      </c>
      <c r="BD18" s="49"/>
      <c r="BE18" s="49"/>
      <c r="BF18" s="50">
        <f t="shared" si="11"/>
        <v>0</v>
      </c>
      <c r="BH18" s="49"/>
      <c r="BI18" s="49"/>
      <c r="BJ18" s="50">
        <f t="shared" si="12"/>
        <v>0</v>
      </c>
      <c r="BL18" s="49"/>
      <c r="BM18" s="49"/>
      <c r="BN18" s="50">
        <f t="shared" si="13"/>
        <v>0</v>
      </c>
      <c r="BP18" s="49"/>
      <c r="BQ18" s="49"/>
      <c r="BR18" s="50">
        <f t="shared" si="14"/>
        <v>0</v>
      </c>
      <c r="BT18" s="49"/>
      <c r="BU18" s="49"/>
      <c r="BV18" s="50">
        <f t="shared" si="15"/>
        <v>0</v>
      </c>
      <c r="BX18" s="49"/>
      <c r="BY18" s="49"/>
      <c r="BZ18" s="50">
        <f t="shared" si="16"/>
        <v>0</v>
      </c>
      <c r="CB18" s="49"/>
      <c r="CC18" s="49"/>
      <c r="CD18" s="50">
        <f t="shared" si="17"/>
        <v>0</v>
      </c>
      <c r="CF18" s="49"/>
      <c r="CG18" s="49"/>
      <c r="CH18" s="50">
        <f t="shared" si="18"/>
        <v>0</v>
      </c>
      <c r="CJ18" s="49"/>
      <c r="CK18" s="49"/>
      <c r="CL18" s="50">
        <f t="shared" si="19"/>
        <v>0</v>
      </c>
      <c r="CN18" s="49"/>
      <c r="CO18" s="49"/>
      <c r="CP18" s="50">
        <f t="shared" si="20"/>
        <v>0</v>
      </c>
      <c r="CR18" s="49"/>
      <c r="CS18" s="49"/>
      <c r="CT18" s="50">
        <f t="shared" si="21"/>
        <v>0</v>
      </c>
      <c r="CV18" s="49"/>
      <c r="CW18" s="49"/>
      <c r="CX18" s="50">
        <f t="shared" si="22"/>
        <v>0</v>
      </c>
      <c r="CZ18" s="49"/>
      <c r="DA18" s="49"/>
      <c r="DB18" s="50">
        <f t="shared" si="23"/>
        <v>0</v>
      </c>
      <c r="DD18" s="49"/>
      <c r="DE18" s="49"/>
      <c r="DF18" s="50">
        <f t="shared" si="24"/>
        <v>0</v>
      </c>
      <c r="DH18" s="49"/>
      <c r="DI18" s="49"/>
      <c r="DJ18" s="50">
        <f t="shared" si="25"/>
        <v>0</v>
      </c>
      <c r="DL18" s="49"/>
      <c r="DM18" s="49"/>
      <c r="DN18" s="50">
        <f t="shared" si="26"/>
        <v>0</v>
      </c>
      <c r="DP18" s="49"/>
      <c r="DQ18" s="49"/>
      <c r="DR18" s="50">
        <f t="shared" si="27"/>
        <v>0</v>
      </c>
      <c r="DT18" s="49"/>
      <c r="DU18" s="49"/>
      <c r="DV18" s="50">
        <f t="shared" si="28"/>
        <v>0</v>
      </c>
      <c r="DX18" s="49"/>
      <c r="DY18" s="49"/>
      <c r="DZ18" s="50">
        <f t="shared" si="29"/>
        <v>0</v>
      </c>
      <c r="EB18" s="49">
        <f t="shared" si="30"/>
        <v>0</v>
      </c>
      <c r="EC18" s="49">
        <f t="shared" si="31"/>
        <v>0</v>
      </c>
      <c r="ED18" s="49">
        <f t="shared" si="32"/>
        <v>0</v>
      </c>
    </row>
    <row r="19" spans="2:134" ht="11" customHeight="1" x14ac:dyDescent="0.35">
      <c r="B19" s="4">
        <v>101933</v>
      </c>
      <c r="C19" s="4" t="s">
        <v>25</v>
      </c>
      <c r="D19" s="4">
        <v>12</v>
      </c>
      <c r="E19" s="5">
        <v>8</v>
      </c>
      <c r="F19" s="6">
        <v>481.13467500000002</v>
      </c>
      <c r="G19" s="7"/>
      <c r="H19" s="49"/>
      <c r="I19" s="49"/>
      <c r="J19" s="50">
        <f t="shared" si="33"/>
        <v>0</v>
      </c>
      <c r="K19" s="9"/>
      <c r="L19" s="49"/>
      <c r="M19" s="49"/>
      <c r="N19" s="50">
        <f t="shared" si="0"/>
        <v>0</v>
      </c>
      <c r="O19" s="46"/>
      <c r="P19" s="49"/>
      <c r="Q19" s="49"/>
      <c r="R19" s="50">
        <f t="shared" si="1"/>
        <v>0</v>
      </c>
      <c r="T19" s="49"/>
      <c r="U19" s="49"/>
      <c r="V19" s="50">
        <f t="shared" si="2"/>
        <v>0</v>
      </c>
      <c r="X19" s="49"/>
      <c r="Y19" s="49"/>
      <c r="Z19" s="50">
        <f t="shared" si="3"/>
        <v>0</v>
      </c>
      <c r="AB19" s="49"/>
      <c r="AC19" s="49"/>
      <c r="AD19" s="50">
        <f t="shared" si="4"/>
        <v>0</v>
      </c>
      <c r="AF19" s="49"/>
      <c r="AG19" s="49"/>
      <c r="AH19" s="50">
        <f t="shared" si="5"/>
        <v>0</v>
      </c>
      <c r="AJ19" s="49"/>
      <c r="AK19" s="49"/>
      <c r="AL19" s="50">
        <f t="shared" si="6"/>
        <v>0</v>
      </c>
      <c r="AN19" s="49"/>
      <c r="AO19" s="49"/>
      <c r="AP19" s="50">
        <f t="shared" si="7"/>
        <v>0</v>
      </c>
      <c r="AR19" s="49"/>
      <c r="AS19" s="49"/>
      <c r="AT19" s="50">
        <f t="shared" si="8"/>
        <v>0</v>
      </c>
      <c r="AV19" s="49"/>
      <c r="AW19" s="49"/>
      <c r="AX19" s="50">
        <f t="shared" si="9"/>
        <v>0</v>
      </c>
      <c r="AZ19" s="49"/>
      <c r="BA19" s="49"/>
      <c r="BB19" s="50">
        <f t="shared" si="10"/>
        <v>0</v>
      </c>
      <c r="BD19" s="49"/>
      <c r="BE19" s="49"/>
      <c r="BF19" s="50">
        <f t="shared" si="11"/>
        <v>0</v>
      </c>
      <c r="BH19" s="49"/>
      <c r="BI19" s="49"/>
      <c r="BJ19" s="50">
        <f t="shared" si="12"/>
        <v>0</v>
      </c>
      <c r="BL19" s="49"/>
      <c r="BM19" s="49"/>
      <c r="BN19" s="50">
        <f t="shared" si="13"/>
        <v>0</v>
      </c>
      <c r="BP19" s="49"/>
      <c r="BQ19" s="49"/>
      <c r="BR19" s="50">
        <f t="shared" si="14"/>
        <v>0</v>
      </c>
      <c r="BT19" s="49"/>
      <c r="BU19" s="49"/>
      <c r="BV19" s="50">
        <f t="shared" si="15"/>
        <v>0</v>
      </c>
      <c r="BX19" s="49"/>
      <c r="BY19" s="49"/>
      <c r="BZ19" s="50">
        <f t="shared" si="16"/>
        <v>0</v>
      </c>
      <c r="CB19" s="49"/>
      <c r="CC19" s="49"/>
      <c r="CD19" s="50">
        <f t="shared" si="17"/>
        <v>0</v>
      </c>
      <c r="CF19" s="49"/>
      <c r="CG19" s="49"/>
      <c r="CH19" s="50">
        <f t="shared" si="18"/>
        <v>0</v>
      </c>
      <c r="CJ19" s="49"/>
      <c r="CK19" s="49"/>
      <c r="CL19" s="50">
        <f t="shared" si="19"/>
        <v>0</v>
      </c>
      <c r="CN19" s="49"/>
      <c r="CO19" s="49"/>
      <c r="CP19" s="50">
        <f t="shared" si="20"/>
        <v>0</v>
      </c>
      <c r="CR19" s="49"/>
      <c r="CS19" s="49"/>
      <c r="CT19" s="50">
        <f t="shared" si="21"/>
        <v>0</v>
      </c>
      <c r="CV19" s="49"/>
      <c r="CW19" s="49"/>
      <c r="CX19" s="50">
        <f t="shared" si="22"/>
        <v>0</v>
      </c>
      <c r="CZ19" s="49"/>
      <c r="DA19" s="49"/>
      <c r="DB19" s="50">
        <f t="shared" si="23"/>
        <v>0</v>
      </c>
      <c r="DD19" s="49"/>
      <c r="DE19" s="49"/>
      <c r="DF19" s="50">
        <f t="shared" si="24"/>
        <v>0</v>
      </c>
      <c r="DH19" s="49"/>
      <c r="DI19" s="49"/>
      <c r="DJ19" s="50">
        <f t="shared" si="25"/>
        <v>0</v>
      </c>
      <c r="DL19" s="49"/>
      <c r="DM19" s="49"/>
      <c r="DN19" s="50">
        <f t="shared" si="26"/>
        <v>0</v>
      </c>
      <c r="DP19" s="49"/>
      <c r="DQ19" s="49"/>
      <c r="DR19" s="50">
        <f t="shared" si="27"/>
        <v>0</v>
      </c>
      <c r="DT19" s="49"/>
      <c r="DU19" s="49"/>
      <c r="DV19" s="50">
        <f t="shared" si="28"/>
        <v>0</v>
      </c>
      <c r="DX19" s="49"/>
      <c r="DY19" s="49"/>
      <c r="DZ19" s="50">
        <f t="shared" si="29"/>
        <v>0</v>
      </c>
      <c r="EB19" s="49">
        <f t="shared" si="30"/>
        <v>0</v>
      </c>
      <c r="EC19" s="49">
        <f t="shared" si="31"/>
        <v>0</v>
      </c>
      <c r="ED19" s="49">
        <f t="shared" si="32"/>
        <v>0</v>
      </c>
    </row>
    <row r="20" spans="2:134" ht="11" customHeight="1" x14ac:dyDescent="0.35">
      <c r="B20" s="4">
        <v>101934</v>
      </c>
      <c r="C20" s="4" t="s">
        <v>26</v>
      </c>
      <c r="D20" s="4">
        <v>12</v>
      </c>
      <c r="E20" s="5">
        <v>8</v>
      </c>
      <c r="F20" s="6">
        <v>481.13467500000002</v>
      </c>
      <c r="G20" s="7"/>
      <c r="H20" s="49"/>
      <c r="I20" s="49"/>
      <c r="J20" s="50">
        <f t="shared" si="33"/>
        <v>0</v>
      </c>
      <c r="K20" s="9"/>
      <c r="L20" s="49"/>
      <c r="M20" s="49"/>
      <c r="N20" s="50">
        <f t="shared" si="0"/>
        <v>0</v>
      </c>
      <c r="O20" s="46"/>
      <c r="P20" s="49"/>
      <c r="Q20" s="49"/>
      <c r="R20" s="50">
        <f t="shared" si="1"/>
        <v>0</v>
      </c>
      <c r="T20" s="49"/>
      <c r="U20" s="49"/>
      <c r="V20" s="50">
        <f t="shared" si="2"/>
        <v>0</v>
      </c>
      <c r="X20" s="49"/>
      <c r="Y20" s="49"/>
      <c r="Z20" s="50">
        <f t="shared" si="3"/>
        <v>0</v>
      </c>
      <c r="AB20" s="49"/>
      <c r="AC20" s="49"/>
      <c r="AD20" s="50">
        <f t="shared" si="4"/>
        <v>0</v>
      </c>
      <c r="AF20" s="49"/>
      <c r="AG20" s="49"/>
      <c r="AH20" s="50">
        <f t="shared" si="5"/>
        <v>0</v>
      </c>
      <c r="AJ20" s="49"/>
      <c r="AK20" s="49"/>
      <c r="AL20" s="50">
        <f t="shared" si="6"/>
        <v>0</v>
      </c>
      <c r="AN20" s="49"/>
      <c r="AO20" s="49"/>
      <c r="AP20" s="50">
        <f t="shared" si="7"/>
        <v>0</v>
      </c>
      <c r="AR20" s="49"/>
      <c r="AS20" s="49"/>
      <c r="AT20" s="50">
        <f t="shared" si="8"/>
        <v>0</v>
      </c>
      <c r="AV20" s="49"/>
      <c r="AW20" s="49"/>
      <c r="AX20" s="50">
        <f t="shared" si="9"/>
        <v>0</v>
      </c>
      <c r="AZ20" s="49"/>
      <c r="BA20" s="49"/>
      <c r="BB20" s="50">
        <f t="shared" si="10"/>
        <v>0</v>
      </c>
      <c r="BD20" s="49"/>
      <c r="BE20" s="49"/>
      <c r="BF20" s="50">
        <f t="shared" si="11"/>
        <v>0</v>
      </c>
      <c r="BH20" s="49"/>
      <c r="BI20" s="49"/>
      <c r="BJ20" s="50">
        <f t="shared" si="12"/>
        <v>0</v>
      </c>
      <c r="BL20" s="49"/>
      <c r="BM20" s="49"/>
      <c r="BN20" s="50">
        <f t="shared" si="13"/>
        <v>0</v>
      </c>
      <c r="BP20" s="49"/>
      <c r="BQ20" s="49"/>
      <c r="BR20" s="50">
        <f t="shared" si="14"/>
        <v>0</v>
      </c>
      <c r="BT20" s="49"/>
      <c r="BU20" s="49"/>
      <c r="BV20" s="50">
        <f t="shared" si="15"/>
        <v>0</v>
      </c>
      <c r="BX20" s="49"/>
      <c r="BY20" s="49"/>
      <c r="BZ20" s="50">
        <f t="shared" si="16"/>
        <v>0</v>
      </c>
      <c r="CB20" s="49"/>
      <c r="CC20" s="49"/>
      <c r="CD20" s="50">
        <f t="shared" si="17"/>
        <v>0</v>
      </c>
      <c r="CF20" s="49"/>
      <c r="CG20" s="49"/>
      <c r="CH20" s="50">
        <f t="shared" si="18"/>
        <v>0</v>
      </c>
      <c r="CJ20" s="49"/>
      <c r="CK20" s="49"/>
      <c r="CL20" s="50">
        <f t="shared" si="19"/>
        <v>0</v>
      </c>
      <c r="CN20" s="49"/>
      <c r="CO20" s="49"/>
      <c r="CP20" s="50">
        <f t="shared" si="20"/>
        <v>0</v>
      </c>
      <c r="CR20" s="49"/>
      <c r="CS20" s="49"/>
      <c r="CT20" s="50">
        <f t="shared" si="21"/>
        <v>0</v>
      </c>
      <c r="CV20" s="49"/>
      <c r="CW20" s="49"/>
      <c r="CX20" s="50">
        <f t="shared" si="22"/>
        <v>0</v>
      </c>
      <c r="CZ20" s="49"/>
      <c r="DA20" s="49"/>
      <c r="DB20" s="50">
        <f t="shared" si="23"/>
        <v>0</v>
      </c>
      <c r="DD20" s="49"/>
      <c r="DE20" s="49"/>
      <c r="DF20" s="50">
        <f t="shared" si="24"/>
        <v>0</v>
      </c>
      <c r="DH20" s="49"/>
      <c r="DI20" s="49"/>
      <c r="DJ20" s="50">
        <f t="shared" si="25"/>
        <v>0</v>
      </c>
      <c r="DL20" s="49"/>
      <c r="DM20" s="49"/>
      <c r="DN20" s="50">
        <f t="shared" si="26"/>
        <v>0</v>
      </c>
      <c r="DP20" s="49"/>
      <c r="DQ20" s="49"/>
      <c r="DR20" s="50">
        <f t="shared" si="27"/>
        <v>0</v>
      </c>
      <c r="DT20" s="49"/>
      <c r="DU20" s="49"/>
      <c r="DV20" s="50">
        <f t="shared" si="28"/>
        <v>0</v>
      </c>
      <c r="DX20" s="49"/>
      <c r="DY20" s="49"/>
      <c r="DZ20" s="50">
        <f t="shared" si="29"/>
        <v>0</v>
      </c>
      <c r="EB20" s="49">
        <f t="shared" si="30"/>
        <v>0</v>
      </c>
      <c r="EC20" s="49">
        <f t="shared" si="31"/>
        <v>0</v>
      </c>
      <c r="ED20" s="49">
        <f t="shared" si="32"/>
        <v>0</v>
      </c>
    </row>
    <row r="21" spans="2:134" ht="11" customHeight="1" x14ac:dyDescent="0.35">
      <c r="B21" s="4">
        <v>102155</v>
      </c>
      <c r="C21" s="4" t="s">
        <v>27</v>
      </c>
      <c r="D21" s="4">
        <v>1</v>
      </c>
      <c r="E21" s="5">
        <v>12</v>
      </c>
      <c r="F21" s="6">
        <v>394.37248129599999</v>
      </c>
      <c r="G21" s="7"/>
      <c r="H21" s="49"/>
      <c r="I21" s="49"/>
      <c r="J21" s="50">
        <f t="shared" si="33"/>
        <v>0</v>
      </c>
      <c r="K21" s="9"/>
      <c r="L21" s="49"/>
      <c r="M21" s="49"/>
      <c r="N21" s="50">
        <f t="shared" si="0"/>
        <v>0</v>
      </c>
      <c r="O21" s="46"/>
      <c r="P21" s="49"/>
      <c r="Q21" s="49"/>
      <c r="R21" s="50">
        <f t="shared" si="1"/>
        <v>0</v>
      </c>
      <c r="T21" s="49"/>
      <c r="U21" s="49"/>
      <c r="V21" s="50">
        <f t="shared" si="2"/>
        <v>0</v>
      </c>
      <c r="X21" s="49"/>
      <c r="Y21" s="49"/>
      <c r="Z21" s="50">
        <f t="shared" si="3"/>
        <v>0</v>
      </c>
      <c r="AB21" s="49"/>
      <c r="AC21" s="49"/>
      <c r="AD21" s="50">
        <f t="shared" si="4"/>
        <v>0</v>
      </c>
      <c r="AF21" s="49"/>
      <c r="AG21" s="49"/>
      <c r="AH21" s="50">
        <f t="shared" si="5"/>
        <v>0</v>
      </c>
      <c r="AJ21" s="49"/>
      <c r="AK21" s="49"/>
      <c r="AL21" s="50">
        <f t="shared" si="6"/>
        <v>0</v>
      </c>
      <c r="AN21" s="49"/>
      <c r="AO21" s="49"/>
      <c r="AP21" s="50">
        <f t="shared" si="7"/>
        <v>0</v>
      </c>
      <c r="AR21" s="49"/>
      <c r="AS21" s="49"/>
      <c r="AT21" s="50">
        <f t="shared" si="8"/>
        <v>0</v>
      </c>
      <c r="AV21" s="49"/>
      <c r="AW21" s="49"/>
      <c r="AX21" s="50">
        <f t="shared" si="9"/>
        <v>0</v>
      </c>
      <c r="AZ21" s="49"/>
      <c r="BA21" s="49"/>
      <c r="BB21" s="50">
        <f t="shared" si="10"/>
        <v>0</v>
      </c>
      <c r="BD21" s="49"/>
      <c r="BE21" s="49"/>
      <c r="BF21" s="50">
        <f t="shared" si="11"/>
        <v>0</v>
      </c>
      <c r="BH21" s="49"/>
      <c r="BI21" s="49"/>
      <c r="BJ21" s="50">
        <f t="shared" si="12"/>
        <v>0</v>
      </c>
      <c r="BL21" s="49"/>
      <c r="BM21" s="49"/>
      <c r="BN21" s="50">
        <f t="shared" si="13"/>
        <v>0</v>
      </c>
      <c r="BP21" s="49"/>
      <c r="BQ21" s="49"/>
      <c r="BR21" s="50">
        <f t="shared" si="14"/>
        <v>0</v>
      </c>
      <c r="BT21" s="49"/>
      <c r="BU21" s="49"/>
      <c r="BV21" s="50">
        <f t="shared" si="15"/>
        <v>0</v>
      </c>
      <c r="BX21" s="49"/>
      <c r="BY21" s="49"/>
      <c r="BZ21" s="50">
        <f t="shared" si="16"/>
        <v>0</v>
      </c>
      <c r="CB21" s="49"/>
      <c r="CC21" s="49"/>
      <c r="CD21" s="50">
        <f t="shared" si="17"/>
        <v>0</v>
      </c>
      <c r="CF21" s="49"/>
      <c r="CG21" s="49"/>
      <c r="CH21" s="50">
        <f t="shared" si="18"/>
        <v>0</v>
      </c>
      <c r="CJ21" s="49"/>
      <c r="CK21" s="49"/>
      <c r="CL21" s="50">
        <f t="shared" si="19"/>
        <v>0</v>
      </c>
      <c r="CN21" s="49"/>
      <c r="CO21" s="49"/>
      <c r="CP21" s="50">
        <f t="shared" si="20"/>
        <v>0</v>
      </c>
      <c r="CR21" s="49"/>
      <c r="CS21" s="49"/>
      <c r="CT21" s="50">
        <f t="shared" si="21"/>
        <v>0</v>
      </c>
      <c r="CV21" s="49"/>
      <c r="CW21" s="49"/>
      <c r="CX21" s="50">
        <f t="shared" si="22"/>
        <v>0</v>
      </c>
      <c r="CZ21" s="49"/>
      <c r="DA21" s="49"/>
      <c r="DB21" s="50">
        <f t="shared" si="23"/>
        <v>0</v>
      </c>
      <c r="DD21" s="49"/>
      <c r="DE21" s="49"/>
      <c r="DF21" s="50">
        <f t="shared" si="24"/>
        <v>0</v>
      </c>
      <c r="DH21" s="49"/>
      <c r="DI21" s="49"/>
      <c r="DJ21" s="50">
        <f t="shared" si="25"/>
        <v>0</v>
      </c>
      <c r="DL21" s="49"/>
      <c r="DM21" s="49"/>
      <c r="DN21" s="50">
        <f t="shared" si="26"/>
        <v>0</v>
      </c>
      <c r="DP21" s="49"/>
      <c r="DQ21" s="49"/>
      <c r="DR21" s="50">
        <f t="shared" si="27"/>
        <v>0</v>
      </c>
      <c r="DT21" s="49"/>
      <c r="DU21" s="49"/>
      <c r="DV21" s="50">
        <f t="shared" si="28"/>
        <v>0</v>
      </c>
      <c r="DX21" s="49"/>
      <c r="DY21" s="49"/>
      <c r="DZ21" s="50">
        <f t="shared" si="29"/>
        <v>0</v>
      </c>
      <c r="EB21" s="49">
        <f t="shared" si="30"/>
        <v>0</v>
      </c>
      <c r="EC21" s="49">
        <f t="shared" si="31"/>
        <v>0</v>
      </c>
      <c r="ED21" s="49">
        <f t="shared" si="32"/>
        <v>0</v>
      </c>
    </row>
    <row r="22" spans="2:134" ht="11" customHeight="1" x14ac:dyDescent="0.35">
      <c r="B22" s="4">
        <v>102157</v>
      </c>
      <c r="C22" s="4" t="s">
        <v>28</v>
      </c>
      <c r="D22" s="4">
        <v>50</v>
      </c>
      <c r="E22" s="5">
        <v>18</v>
      </c>
      <c r="F22" s="6">
        <v>200.47282196</v>
      </c>
      <c r="G22" s="7"/>
      <c r="H22" s="49"/>
      <c r="I22" s="49"/>
      <c r="J22" s="50">
        <f t="shared" si="33"/>
        <v>0</v>
      </c>
      <c r="K22" s="9"/>
      <c r="L22" s="49"/>
      <c r="M22" s="49"/>
      <c r="N22" s="50">
        <f t="shared" si="0"/>
        <v>0</v>
      </c>
      <c r="O22" s="46"/>
      <c r="P22" s="49"/>
      <c r="Q22" s="49"/>
      <c r="R22" s="50">
        <f t="shared" si="1"/>
        <v>0</v>
      </c>
      <c r="T22" s="49"/>
      <c r="U22" s="49"/>
      <c r="V22" s="50">
        <f t="shared" si="2"/>
        <v>0</v>
      </c>
      <c r="X22" s="49"/>
      <c r="Y22" s="49"/>
      <c r="Z22" s="50">
        <f t="shared" si="3"/>
        <v>0</v>
      </c>
      <c r="AB22" s="49"/>
      <c r="AC22" s="49"/>
      <c r="AD22" s="50">
        <f t="shared" si="4"/>
        <v>0</v>
      </c>
      <c r="AF22" s="49"/>
      <c r="AG22" s="49"/>
      <c r="AH22" s="50">
        <f t="shared" si="5"/>
        <v>0</v>
      </c>
      <c r="AJ22" s="49"/>
      <c r="AK22" s="49"/>
      <c r="AL22" s="50">
        <f t="shared" si="6"/>
        <v>0</v>
      </c>
      <c r="AN22" s="49"/>
      <c r="AO22" s="49"/>
      <c r="AP22" s="50">
        <f t="shared" si="7"/>
        <v>0</v>
      </c>
      <c r="AR22" s="49"/>
      <c r="AS22" s="49"/>
      <c r="AT22" s="50">
        <f t="shared" si="8"/>
        <v>0</v>
      </c>
      <c r="AV22" s="49"/>
      <c r="AW22" s="49"/>
      <c r="AX22" s="50">
        <f t="shared" si="9"/>
        <v>0</v>
      </c>
      <c r="AZ22" s="49"/>
      <c r="BA22" s="49"/>
      <c r="BB22" s="50">
        <f t="shared" si="10"/>
        <v>0</v>
      </c>
      <c r="BD22" s="49"/>
      <c r="BE22" s="49"/>
      <c r="BF22" s="50">
        <f t="shared" si="11"/>
        <v>0</v>
      </c>
      <c r="BH22" s="49"/>
      <c r="BI22" s="49"/>
      <c r="BJ22" s="50">
        <f t="shared" si="12"/>
        <v>0</v>
      </c>
      <c r="BL22" s="49"/>
      <c r="BM22" s="49"/>
      <c r="BN22" s="50">
        <f t="shared" si="13"/>
        <v>0</v>
      </c>
      <c r="BP22" s="49"/>
      <c r="BQ22" s="49"/>
      <c r="BR22" s="50">
        <f t="shared" si="14"/>
        <v>0</v>
      </c>
      <c r="BT22" s="49"/>
      <c r="BU22" s="49"/>
      <c r="BV22" s="50">
        <f t="shared" si="15"/>
        <v>0</v>
      </c>
      <c r="BX22" s="49"/>
      <c r="BY22" s="49"/>
      <c r="BZ22" s="50">
        <f t="shared" si="16"/>
        <v>0</v>
      </c>
      <c r="CB22" s="49"/>
      <c r="CC22" s="49"/>
      <c r="CD22" s="50">
        <f t="shared" si="17"/>
        <v>0</v>
      </c>
      <c r="CF22" s="49"/>
      <c r="CG22" s="49"/>
      <c r="CH22" s="50">
        <f t="shared" si="18"/>
        <v>0</v>
      </c>
      <c r="CJ22" s="49"/>
      <c r="CK22" s="49"/>
      <c r="CL22" s="50">
        <f t="shared" si="19"/>
        <v>0</v>
      </c>
      <c r="CN22" s="49"/>
      <c r="CO22" s="49"/>
      <c r="CP22" s="50">
        <f t="shared" si="20"/>
        <v>0</v>
      </c>
      <c r="CR22" s="49"/>
      <c r="CS22" s="49"/>
      <c r="CT22" s="50">
        <f t="shared" si="21"/>
        <v>0</v>
      </c>
      <c r="CV22" s="49"/>
      <c r="CW22" s="49"/>
      <c r="CX22" s="50">
        <f t="shared" si="22"/>
        <v>0</v>
      </c>
      <c r="CZ22" s="49"/>
      <c r="DA22" s="49"/>
      <c r="DB22" s="50">
        <f t="shared" si="23"/>
        <v>0</v>
      </c>
      <c r="DD22" s="49"/>
      <c r="DE22" s="49"/>
      <c r="DF22" s="50">
        <f t="shared" si="24"/>
        <v>0</v>
      </c>
      <c r="DH22" s="49"/>
      <c r="DI22" s="49"/>
      <c r="DJ22" s="50">
        <f t="shared" si="25"/>
        <v>0</v>
      </c>
      <c r="DL22" s="49"/>
      <c r="DM22" s="49"/>
      <c r="DN22" s="50">
        <f t="shared" si="26"/>
        <v>0</v>
      </c>
      <c r="DP22" s="49"/>
      <c r="DQ22" s="49"/>
      <c r="DR22" s="50">
        <f t="shared" si="27"/>
        <v>0</v>
      </c>
      <c r="DT22" s="49"/>
      <c r="DU22" s="49"/>
      <c r="DV22" s="50">
        <f t="shared" si="28"/>
        <v>0</v>
      </c>
      <c r="DX22" s="49"/>
      <c r="DY22" s="49"/>
      <c r="DZ22" s="50">
        <f t="shared" si="29"/>
        <v>0</v>
      </c>
      <c r="EB22" s="49">
        <f t="shared" si="30"/>
        <v>0</v>
      </c>
      <c r="EC22" s="49">
        <f t="shared" si="31"/>
        <v>0</v>
      </c>
      <c r="ED22" s="49">
        <f t="shared" si="32"/>
        <v>0</v>
      </c>
    </row>
    <row r="23" spans="2:134" ht="11" customHeight="1" x14ac:dyDescent="0.35">
      <c r="B23" s="4">
        <v>102926</v>
      </c>
      <c r="C23" s="4" t="s">
        <v>29</v>
      </c>
      <c r="D23" s="4">
        <v>50</v>
      </c>
      <c r="E23" s="5">
        <v>18</v>
      </c>
      <c r="F23" s="6">
        <v>197.18624064799999</v>
      </c>
      <c r="G23" s="7"/>
      <c r="H23" s="49"/>
      <c r="I23" s="49"/>
      <c r="J23" s="50">
        <f t="shared" si="33"/>
        <v>0</v>
      </c>
      <c r="K23" s="9"/>
      <c r="L23" s="49"/>
      <c r="M23" s="49"/>
      <c r="N23" s="50">
        <f t="shared" si="0"/>
        <v>0</v>
      </c>
      <c r="O23" s="46"/>
      <c r="P23" s="49"/>
      <c r="Q23" s="49"/>
      <c r="R23" s="50">
        <f t="shared" si="1"/>
        <v>0</v>
      </c>
      <c r="T23" s="49"/>
      <c r="U23" s="49"/>
      <c r="V23" s="50">
        <f t="shared" si="2"/>
        <v>0</v>
      </c>
      <c r="X23" s="49"/>
      <c r="Y23" s="49"/>
      <c r="Z23" s="50">
        <f t="shared" si="3"/>
        <v>0</v>
      </c>
      <c r="AB23" s="49"/>
      <c r="AC23" s="49"/>
      <c r="AD23" s="50">
        <f t="shared" si="4"/>
        <v>0</v>
      </c>
      <c r="AF23" s="49"/>
      <c r="AG23" s="49"/>
      <c r="AH23" s="50">
        <f t="shared" si="5"/>
        <v>0</v>
      </c>
      <c r="AJ23" s="49"/>
      <c r="AK23" s="49"/>
      <c r="AL23" s="50">
        <f t="shared" si="6"/>
        <v>0</v>
      </c>
      <c r="AN23" s="49"/>
      <c r="AO23" s="49"/>
      <c r="AP23" s="50">
        <f t="shared" si="7"/>
        <v>0</v>
      </c>
      <c r="AR23" s="49"/>
      <c r="AS23" s="49"/>
      <c r="AT23" s="50">
        <f t="shared" si="8"/>
        <v>0</v>
      </c>
      <c r="AV23" s="49"/>
      <c r="AW23" s="49"/>
      <c r="AX23" s="50">
        <f t="shared" si="9"/>
        <v>0</v>
      </c>
      <c r="AZ23" s="49"/>
      <c r="BA23" s="49"/>
      <c r="BB23" s="50">
        <f t="shared" si="10"/>
        <v>0</v>
      </c>
      <c r="BD23" s="49"/>
      <c r="BE23" s="49"/>
      <c r="BF23" s="50">
        <f t="shared" si="11"/>
        <v>0</v>
      </c>
      <c r="BH23" s="49"/>
      <c r="BI23" s="49"/>
      <c r="BJ23" s="50">
        <f t="shared" si="12"/>
        <v>0</v>
      </c>
      <c r="BL23" s="49"/>
      <c r="BM23" s="49"/>
      <c r="BN23" s="50">
        <f t="shared" si="13"/>
        <v>0</v>
      </c>
      <c r="BP23" s="49"/>
      <c r="BQ23" s="49"/>
      <c r="BR23" s="50">
        <f t="shared" si="14"/>
        <v>0</v>
      </c>
      <c r="BT23" s="49"/>
      <c r="BU23" s="49"/>
      <c r="BV23" s="50">
        <f t="shared" si="15"/>
        <v>0</v>
      </c>
      <c r="BX23" s="49"/>
      <c r="BY23" s="49"/>
      <c r="BZ23" s="50">
        <f t="shared" si="16"/>
        <v>0</v>
      </c>
      <c r="CB23" s="49"/>
      <c r="CC23" s="49"/>
      <c r="CD23" s="50">
        <f t="shared" si="17"/>
        <v>0</v>
      </c>
      <c r="CF23" s="49"/>
      <c r="CG23" s="49"/>
      <c r="CH23" s="50">
        <f t="shared" si="18"/>
        <v>0</v>
      </c>
      <c r="CJ23" s="49"/>
      <c r="CK23" s="49"/>
      <c r="CL23" s="50">
        <f t="shared" si="19"/>
        <v>0</v>
      </c>
      <c r="CN23" s="49"/>
      <c r="CO23" s="49"/>
      <c r="CP23" s="50">
        <f t="shared" si="20"/>
        <v>0</v>
      </c>
      <c r="CR23" s="49"/>
      <c r="CS23" s="49"/>
      <c r="CT23" s="50">
        <f t="shared" si="21"/>
        <v>0</v>
      </c>
      <c r="CV23" s="49"/>
      <c r="CW23" s="49"/>
      <c r="CX23" s="50">
        <f t="shared" si="22"/>
        <v>0</v>
      </c>
      <c r="CZ23" s="49"/>
      <c r="DA23" s="49"/>
      <c r="DB23" s="50">
        <f t="shared" si="23"/>
        <v>0</v>
      </c>
      <c r="DD23" s="49"/>
      <c r="DE23" s="49"/>
      <c r="DF23" s="50">
        <f t="shared" si="24"/>
        <v>0</v>
      </c>
      <c r="DH23" s="49"/>
      <c r="DI23" s="49"/>
      <c r="DJ23" s="50">
        <f t="shared" si="25"/>
        <v>0</v>
      </c>
      <c r="DL23" s="49"/>
      <c r="DM23" s="49"/>
      <c r="DN23" s="50">
        <f t="shared" si="26"/>
        <v>0</v>
      </c>
      <c r="DP23" s="49"/>
      <c r="DQ23" s="49"/>
      <c r="DR23" s="50">
        <f t="shared" si="27"/>
        <v>0</v>
      </c>
      <c r="DT23" s="49"/>
      <c r="DU23" s="49"/>
      <c r="DV23" s="50">
        <f t="shared" si="28"/>
        <v>0</v>
      </c>
      <c r="DX23" s="49"/>
      <c r="DY23" s="49"/>
      <c r="DZ23" s="50">
        <f t="shared" si="29"/>
        <v>0</v>
      </c>
      <c r="EB23" s="49">
        <f t="shared" si="30"/>
        <v>0</v>
      </c>
      <c r="EC23" s="49">
        <f t="shared" si="31"/>
        <v>0</v>
      </c>
      <c r="ED23" s="49">
        <f t="shared" si="32"/>
        <v>0</v>
      </c>
    </row>
    <row r="24" spans="2:134" ht="11" customHeight="1" x14ac:dyDescent="0.35">
      <c r="B24" s="4">
        <v>102929</v>
      </c>
      <c r="C24" s="4" t="s">
        <v>30</v>
      </c>
      <c r="D24" s="4">
        <v>50</v>
      </c>
      <c r="E24" s="5">
        <v>18</v>
      </c>
      <c r="F24" s="6">
        <v>200.47282196</v>
      </c>
      <c r="G24" s="7"/>
      <c r="H24" s="49"/>
      <c r="I24" s="49"/>
      <c r="J24" s="50">
        <f t="shared" si="33"/>
        <v>0</v>
      </c>
      <c r="K24" s="9"/>
      <c r="L24" s="49"/>
      <c r="M24" s="49"/>
      <c r="N24" s="50">
        <f t="shared" si="0"/>
        <v>0</v>
      </c>
      <c r="O24" s="46"/>
      <c r="P24" s="49"/>
      <c r="Q24" s="49"/>
      <c r="R24" s="50">
        <f t="shared" si="1"/>
        <v>0</v>
      </c>
      <c r="T24" s="49"/>
      <c r="U24" s="49"/>
      <c r="V24" s="50">
        <f t="shared" si="2"/>
        <v>0</v>
      </c>
      <c r="X24" s="49"/>
      <c r="Y24" s="49"/>
      <c r="Z24" s="50">
        <f t="shared" si="3"/>
        <v>0</v>
      </c>
      <c r="AB24" s="49"/>
      <c r="AC24" s="49"/>
      <c r="AD24" s="50">
        <f t="shared" si="4"/>
        <v>0</v>
      </c>
      <c r="AF24" s="49"/>
      <c r="AG24" s="49"/>
      <c r="AH24" s="50">
        <f t="shared" si="5"/>
        <v>0</v>
      </c>
      <c r="AJ24" s="49"/>
      <c r="AK24" s="49"/>
      <c r="AL24" s="50">
        <f t="shared" si="6"/>
        <v>0</v>
      </c>
      <c r="AN24" s="49"/>
      <c r="AO24" s="49"/>
      <c r="AP24" s="50">
        <f t="shared" si="7"/>
        <v>0</v>
      </c>
      <c r="AR24" s="49"/>
      <c r="AS24" s="49"/>
      <c r="AT24" s="50">
        <f t="shared" si="8"/>
        <v>0</v>
      </c>
      <c r="AV24" s="49"/>
      <c r="AW24" s="49"/>
      <c r="AX24" s="50">
        <f t="shared" si="9"/>
        <v>0</v>
      </c>
      <c r="AZ24" s="49"/>
      <c r="BA24" s="49"/>
      <c r="BB24" s="50">
        <f t="shared" si="10"/>
        <v>0</v>
      </c>
      <c r="BD24" s="49"/>
      <c r="BE24" s="49"/>
      <c r="BF24" s="50">
        <f t="shared" si="11"/>
        <v>0</v>
      </c>
      <c r="BH24" s="49"/>
      <c r="BI24" s="49"/>
      <c r="BJ24" s="50">
        <f t="shared" si="12"/>
        <v>0</v>
      </c>
      <c r="BL24" s="49"/>
      <c r="BM24" s="49"/>
      <c r="BN24" s="50">
        <f t="shared" si="13"/>
        <v>0</v>
      </c>
      <c r="BP24" s="49"/>
      <c r="BQ24" s="49"/>
      <c r="BR24" s="50">
        <f t="shared" si="14"/>
        <v>0</v>
      </c>
      <c r="BT24" s="49"/>
      <c r="BU24" s="49"/>
      <c r="BV24" s="50">
        <f t="shared" si="15"/>
        <v>0</v>
      </c>
      <c r="BX24" s="49"/>
      <c r="BY24" s="49"/>
      <c r="BZ24" s="50">
        <f t="shared" si="16"/>
        <v>0</v>
      </c>
      <c r="CB24" s="49"/>
      <c r="CC24" s="49"/>
      <c r="CD24" s="50">
        <f t="shared" si="17"/>
        <v>0</v>
      </c>
      <c r="CF24" s="49"/>
      <c r="CG24" s="49"/>
      <c r="CH24" s="50">
        <f t="shared" si="18"/>
        <v>0</v>
      </c>
      <c r="CJ24" s="49"/>
      <c r="CK24" s="49"/>
      <c r="CL24" s="50">
        <f t="shared" si="19"/>
        <v>0</v>
      </c>
      <c r="CN24" s="49"/>
      <c r="CO24" s="49"/>
      <c r="CP24" s="50">
        <f t="shared" si="20"/>
        <v>0</v>
      </c>
      <c r="CR24" s="49"/>
      <c r="CS24" s="49"/>
      <c r="CT24" s="50">
        <f t="shared" si="21"/>
        <v>0</v>
      </c>
      <c r="CV24" s="49"/>
      <c r="CW24" s="49"/>
      <c r="CX24" s="50">
        <f t="shared" si="22"/>
        <v>0</v>
      </c>
      <c r="CZ24" s="49"/>
      <c r="DA24" s="49"/>
      <c r="DB24" s="50">
        <f t="shared" si="23"/>
        <v>0</v>
      </c>
      <c r="DD24" s="49"/>
      <c r="DE24" s="49"/>
      <c r="DF24" s="50">
        <f t="shared" si="24"/>
        <v>0</v>
      </c>
      <c r="DH24" s="49"/>
      <c r="DI24" s="49"/>
      <c r="DJ24" s="50">
        <f t="shared" si="25"/>
        <v>0</v>
      </c>
      <c r="DL24" s="49"/>
      <c r="DM24" s="49"/>
      <c r="DN24" s="50">
        <f t="shared" si="26"/>
        <v>0</v>
      </c>
      <c r="DP24" s="49"/>
      <c r="DQ24" s="49"/>
      <c r="DR24" s="50">
        <f t="shared" si="27"/>
        <v>0</v>
      </c>
      <c r="DT24" s="49"/>
      <c r="DU24" s="49"/>
      <c r="DV24" s="50">
        <f t="shared" si="28"/>
        <v>0</v>
      </c>
      <c r="DX24" s="49"/>
      <c r="DY24" s="49"/>
      <c r="DZ24" s="50">
        <f t="shared" si="29"/>
        <v>0</v>
      </c>
      <c r="EB24" s="49">
        <f t="shared" si="30"/>
        <v>0</v>
      </c>
      <c r="EC24" s="49">
        <f t="shared" si="31"/>
        <v>0</v>
      </c>
      <c r="ED24" s="49">
        <f t="shared" si="32"/>
        <v>0</v>
      </c>
    </row>
    <row r="25" spans="2:134" ht="11" customHeight="1" x14ac:dyDescent="0.35">
      <c r="B25" s="4">
        <v>103008</v>
      </c>
      <c r="C25" s="4" t="s">
        <v>31</v>
      </c>
      <c r="D25" s="4">
        <v>18</v>
      </c>
      <c r="E25" s="5">
        <v>18</v>
      </c>
      <c r="F25" s="6">
        <v>198.24262196000001</v>
      </c>
      <c r="G25" s="7"/>
      <c r="H25" s="49"/>
      <c r="I25" s="49"/>
      <c r="J25" s="50">
        <f t="shared" si="33"/>
        <v>0</v>
      </c>
      <c r="K25" s="9"/>
      <c r="L25" s="49"/>
      <c r="M25" s="49"/>
      <c r="N25" s="50">
        <f t="shared" si="0"/>
        <v>0</v>
      </c>
      <c r="O25" s="46"/>
      <c r="P25" s="49"/>
      <c r="Q25" s="49"/>
      <c r="R25" s="50">
        <f t="shared" si="1"/>
        <v>0</v>
      </c>
      <c r="T25" s="49"/>
      <c r="U25" s="49"/>
      <c r="V25" s="50">
        <f t="shared" si="2"/>
        <v>0</v>
      </c>
      <c r="X25" s="49"/>
      <c r="Y25" s="49"/>
      <c r="Z25" s="50">
        <f t="shared" si="3"/>
        <v>0</v>
      </c>
      <c r="AB25" s="49"/>
      <c r="AC25" s="49"/>
      <c r="AD25" s="50">
        <f t="shared" si="4"/>
        <v>0</v>
      </c>
      <c r="AF25" s="49"/>
      <c r="AG25" s="49"/>
      <c r="AH25" s="50">
        <f t="shared" si="5"/>
        <v>0</v>
      </c>
      <c r="AJ25" s="49"/>
      <c r="AK25" s="49"/>
      <c r="AL25" s="50">
        <f t="shared" si="6"/>
        <v>0</v>
      </c>
      <c r="AN25" s="49"/>
      <c r="AO25" s="49"/>
      <c r="AP25" s="50">
        <f t="shared" si="7"/>
        <v>0</v>
      </c>
      <c r="AR25" s="49"/>
      <c r="AS25" s="49"/>
      <c r="AT25" s="50">
        <f t="shared" si="8"/>
        <v>0</v>
      </c>
      <c r="AV25" s="49"/>
      <c r="AW25" s="49"/>
      <c r="AX25" s="50">
        <f t="shared" si="9"/>
        <v>0</v>
      </c>
      <c r="AZ25" s="49"/>
      <c r="BA25" s="49"/>
      <c r="BB25" s="50">
        <f t="shared" si="10"/>
        <v>0</v>
      </c>
      <c r="BD25" s="49"/>
      <c r="BE25" s="49"/>
      <c r="BF25" s="50">
        <f t="shared" si="11"/>
        <v>0</v>
      </c>
      <c r="BH25" s="49"/>
      <c r="BI25" s="49"/>
      <c r="BJ25" s="50">
        <f t="shared" si="12"/>
        <v>0</v>
      </c>
      <c r="BL25" s="49"/>
      <c r="BM25" s="49"/>
      <c r="BN25" s="50">
        <f t="shared" si="13"/>
        <v>0</v>
      </c>
      <c r="BP25" s="49"/>
      <c r="BQ25" s="49"/>
      <c r="BR25" s="50">
        <f t="shared" si="14"/>
        <v>0</v>
      </c>
      <c r="BT25" s="49"/>
      <c r="BU25" s="49"/>
      <c r="BV25" s="50">
        <f t="shared" si="15"/>
        <v>0</v>
      </c>
      <c r="BX25" s="49"/>
      <c r="BY25" s="49"/>
      <c r="BZ25" s="50">
        <f t="shared" si="16"/>
        <v>0</v>
      </c>
      <c r="CB25" s="49"/>
      <c r="CC25" s="49"/>
      <c r="CD25" s="50">
        <f t="shared" si="17"/>
        <v>0</v>
      </c>
      <c r="CF25" s="49"/>
      <c r="CG25" s="49"/>
      <c r="CH25" s="50">
        <f t="shared" si="18"/>
        <v>0</v>
      </c>
      <c r="CJ25" s="49"/>
      <c r="CK25" s="49"/>
      <c r="CL25" s="50">
        <f t="shared" si="19"/>
        <v>0</v>
      </c>
      <c r="CN25" s="49"/>
      <c r="CO25" s="49"/>
      <c r="CP25" s="50">
        <f t="shared" si="20"/>
        <v>0</v>
      </c>
      <c r="CR25" s="49"/>
      <c r="CS25" s="49"/>
      <c r="CT25" s="50">
        <f t="shared" si="21"/>
        <v>0</v>
      </c>
      <c r="CV25" s="49"/>
      <c r="CW25" s="49"/>
      <c r="CX25" s="50">
        <f t="shared" si="22"/>
        <v>0</v>
      </c>
      <c r="CZ25" s="49"/>
      <c r="DA25" s="49"/>
      <c r="DB25" s="50">
        <f t="shared" si="23"/>
        <v>0</v>
      </c>
      <c r="DD25" s="49"/>
      <c r="DE25" s="49"/>
      <c r="DF25" s="50">
        <f t="shared" si="24"/>
        <v>0</v>
      </c>
      <c r="DH25" s="49"/>
      <c r="DI25" s="49"/>
      <c r="DJ25" s="50">
        <f t="shared" si="25"/>
        <v>0</v>
      </c>
      <c r="DL25" s="49"/>
      <c r="DM25" s="49"/>
      <c r="DN25" s="50">
        <f t="shared" si="26"/>
        <v>0</v>
      </c>
      <c r="DP25" s="49"/>
      <c r="DQ25" s="49"/>
      <c r="DR25" s="50">
        <f t="shared" si="27"/>
        <v>0</v>
      </c>
      <c r="DT25" s="49"/>
      <c r="DU25" s="49"/>
      <c r="DV25" s="50">
        <f t="shared" si="28"/>
        <v>0</v>
      </c>
      <c r="DX25" s="49"/>
      <c r="DY25" s="49"/>
      <c r="DZ25" s="50">
        <f t="shared" si="29"/>
        <v>0</v>
      </c>
      <c r="EB25" s="49">
        <f t="shared" si="30"/>
        <v>0</v>
      </c>
      <c r="EC25" s="49">
        <f t="shared" si="31"/>
        <v>0</v>
      </c>
      <c r="ED25" s="49">
        <f t="shared" si="32"/>
        <v>0</v>
      </c>
    </row>
    <row r="26" spans="2:134" ht="11" customHeight="1" x14ac:dyDescent="0.35">
      <c r="B26" s="4">
        <v>103012</v>
      </c>
      <c r="C26" s="4" t="s">
        <v>32</v>
      </c>
      <c r="D26" s="4">
        <v>50</v>
      </c>
      <c r="E26" s="5">
        <v>18</v>
      </c>
      <c r="F26" s="6">
        <v>198.24262196000001</v>
      </c>
      <c r="G26" s="7"/>
      <c r="H26" s="49"/>
      <c r="I26" s="49"/>
      <c r="J26" s="50">
        <f t="shared" si="33"/>
        <v>0</v>
      </c>
      <c r="K26" s="9"/>
      <c r="L26" s="49"/>
      <c r="M26" s="49"/>
      <c r="N26" s="50">
        <f t="shared" si="0"/>
        <v>0</v>
      </c>
      <c r="O26" s="46"/>
      <c r="P26" s="49"/>
      <c r="Q26" s="49"/>
      <c r="R26" s="50">
        <f t="shared" si="1"/>
        <v>0</v>
      </c>
      <c r="T26" s="49"/>
      <c r="U26" s="49"/>
      <c r="V26" s="50">
        <f t="shared" si="2"/>
        <v>0</v>
      </c>
      <c r="X26" s="49"/>
      <c r="Y26" s="49"/>
      <c r="Z26" s="50">
        <f t="shared" si="3"/>
        <v>0</v>
      </c>
      <c r="AB26" s="49"/>
      <c r="AC26" s="49"/>
      <c r="AD26" s="50">
        <f t="shared" si="4"/>
        <v>0</v>
      </c>
      <c r="AF26" s="49"/>
      <c r="AG26" s="49"/>
      <c r="AH26" s="50">
        <f t="shared" si="5"/>
        <v>0</v>
      </c>
      <c r="AJ26" s="49"/>
      <c r="AK26" s="49"/>
      <c r="AL26" s="50">
        <f t="shared" si="6"/>
        <v>0</v>
      </c>
      <c r="AN26" s="49"/>
      <c r="AO26" s="49"/>
      <c r="AP26" s="50">
        <f t="shared" si="7"/>
        <v>0</v>
      </c>
      <c r="AR26" s="49"/>
      <c r="AS26" s="49"/>
      <c r="AT26" s="50">
        <f t="shared" si="8"/>
        <v>0</v>
      </c>
      <c r="AV26" s="49"/>
      <c r="AW26" s="49"/>
      <c r="AX26" s="50">
        <f t="shared" si="9"/>
        <v>0</v>
      </c>
      <c r="AZ26" s="49"/>
      <c r="BA26" s="49"/>
      <c r="BB26" s="50">
        <f t="shared" si="10"/>
        <v>0</v>
      </c>
      <c r="BD26" s="49"/>
      <c r="BE26" s="49"/>
      <c r="BF26" s="50">
        <f t="shared" si="11"/>
        <v>0</v>
      </c>
      <c r="BH26" s="49"/>
      <c r="BI26" s="49"/>
      <c r="BJ26" s="50">
        <f t="shared" si="12"/>
        <v>0</v>
      </c>
      <c r="BL26" s="49"/>
      <c r="BM26" s="49"/>
      <c r="BN26" s="50">
        <f t="shared" si="13"/>
        <v>0</v>
      </c>
      <c r="BP26" s="49"/>
      <c r="BQ26" s="49"/>
      <c r="BR26" s="50">
        <f t="shared" si="14"/>
        <v>0</v>
      </c>
      <c r="BT26" s="49"/>
      <c r="BU26" s="49"/>
      <c r="BV26" s="50">
        <f t="shared" si="15"/>
        <v>0</v>
      </c>
      <c r="BX26" s="49"/>
      <c r="BY26" s="49"/>
      <c r="BZ26" s="50">
        <f t="shared" si="16"/>
        <v>0</v>
      </c>
      <c r="CB26" s="49"/>
      <c r="CC26" s="49"/>
      <c r="CD26" s="50">
        <f t="shared" si="17"/>
        <v>0</v>
      </c>
      <c r="CF26" s="49"/>
      <c r="CG26" s="49"/>
      <c r="CH26" s="50">
        <f t="shared" si="18"/>
        <v>0</v>
      </c>
      <c r="CJ26" s="49"/>
      <c r="CK26" s="49"/>
      <c r="CL26" s="50">
        <f t="shared" si="19"/>
        <v>0</v>
      </c>
      <c r="CN26" s="49"/>
      <c r="CO26" s="49"/>
      <c r="CP26" s="50">
        <f t="shared" si="20"/>
        <v>0</v>
      </c>
      <c r="CR26" s="49"/>
      <c r="CS26" s="49"/>
      <c r="CT26" s="50">
        <f t="shared" si="21"/>
        <v>0</v>
      </c>
      <c r="CV26" s="49"/>
      <c r="CW26" s="49"/>
      <c r="CX26" s="50">
        <f t="shared" si="22"/>
        <v>0</v>
      </c>
      <c r="CZ26" s="49"/>
      <c r="DA26" s="49"/>
      <c r="DB26" s="50">
        <f t="shared" si="23"/>
        <v>0</v>
      </c>
      <c r="DD26" s="49"/>
      <c r="DE26" s="49"/>
      <c r="DF26" s="50">
        <f t="shared" si="24"/>
        <v>0</v>
      </c>
      <c r="DH26" s="49"/>
      <c r="DI26" s="49"/>
      <c r="DJ26" s="50">
        <f t="shared" si="25"/>
        <v>0</v>
      </c>
      <c r="DL26" s="49"/>
      <c r="DM26" s="49"/>
      <c r="DN26" s="50">
        <f t="shared" si="26"/>
        <v>0</v>
      </c>
      <c r="DP26" s="49"/>
      <c r="DQ26" s="49"/>
      <c r="DR26" s="50">
        <f t="shared" si="27"/>
        <v>0</v>
      </c>
      <c r="DT26" s="49"/>
      <c r="DU26" s="49"/>
      <c r="DV26" s="50">
        <f t="shared" si="28"/>
        <v>0</v>
      </c>
      <c r="DX26" s="49"/>
      <c r="DY26" s="49"/>
      <c r="DZ26" s="50">
        <f t="shared" si="29"/>
        <v>0</v>
      </c>
      <c r="EB26" s="49">
        <f t="shared" si="30"/>
        <v>0</v>
      </c>
      <c r="EC26" s="49">
        <f t="shared" si="31"/>
        <v>0</v>
      </c>
      <c r="ED26" s="49">
        <f t="shared" si="32"/>
        <v>0</v>
      </c>
    </row>
    <row r="27" spans="2:134" ht="11" customHeight="1" x14ac:dyDescent="0.35">
      <c r="B27" s="4">
        <v>103020</v>
      </c>
      <c r="C27" s="4" t="s">
        <v>33</v>
      </c>
      <c r="D27" s="4">
        <v>12</v>
      </c>
      <c r="E27" s="5">
        <v>8</v>
      </c>
      <c r="F27" s="6">
        <v>481.09632499999998</v>
      </c>
      <c r="G27" s="7"/>
      <c r="H27" s="49"/>
      <c r="I27" s="49"/>
      <c r="J27" s="50">
        <f t="shared" si="33"/>
        <v>0</v>
      </c>
      <c r="K27" s="9"/>
      <c r="L27" s="49"/>
      <c r="M27" s="49"/>
      <c r="N27" s="50">
        <f t="shared" si="0"/>
        <v>0</v>
      </c>
      <c r="O27" s="46"/>
      <c r="P27" s="49"/>
      <c r="Q27" s="49"/>
      <c r="R27" s="50">
        <f t="shared" si="1"/>
        <v>0</v>
      </c>
      <c r="T27" s="49"/>
      <c r="U27" s="49"/>
      <c r="V27" s="50">
        <f t="shared" si="2"/>
        <v>0</v>
      </c>
      <c r="X27" s="49"/>
      <c r="Y27" s="49"/>
      <c r="Z27" s="50">
        <f t="shared" si="3"/>
        <v>0</v>
      </c>
      <c r="AB27" s="49"/>
      <c r="AC27" s="49"/>
      <c r="AD27" s="50">
        <f t="shared" si="4"/>
        <v>0</v>
      </c>
      <c r="AF27" s="49"/>
      <c r="AG27" s="49"/>
      <c r="AH27" s="50">
        <f t="shared" si="5"/>
        <v>0</v>
      </c>
      <c r="AJ27" s="49"/>
      <c r="AK27" s="49"/>
      <c r="AL27" s="50">
        <f t="shared" si="6"/>
        <v>0</v>
      </c>
      <c r="AN27" s="49"/>
      <c r="AO27" s="49"/>
      <c r="AP27" s="50">
        <f t="shared" si="7"/>
        <v>0</v>
      </c>
      <c r="AR27" s="49"/>
      <c r="AS27" s="49"/>
      <c r="AT27" s="50">
        <f t="shared" si="8"/>
        <v>0</v>
      </c>
      <c r="AV27" s="49"/>
      <c r="AW27" s="49"/>
      <c r="AX27" s="50">
        <f t="shared" si="9"/>
        <v>0</v>
      </c>
      <c r="AZ27" s="49"/>
      <c r="BA27" s="49"/>
      <c r="BB27" s="50">
        <f t="shared" si="10"/>
        <v>0</v>
      </c>
      <c r="BD27" s="49"/>
      <c r="BE27" s="49"/>
      <c r="BF27" s="50">
        <f t="shared" si="11"/>
        <v>0</v>
      </c>
      <c r="BH27" s="49"/>
      <c r="BI27" s="49"/>
      <c r="BJ27" s="50">
        <f t="shared" si="12"/>
        <v>0</v>
      </c>
      <c r="BL27" s="49"/>
      <c r="BM27" s="49"/>
      <c r="BN27" s="50">
        <f t="shared" si="13"/>
        <v>0</v>
      </c>
      <c r="BP27" s="49"/>
      <c r="BQ27" s="49"/>
      <c r="BR27" s="50">
        <f t="shared" si="14"/>
        <v>0</v>
      </c>
      <c r="BT27" s="49"/>
      <c r="BU27" s="49"/>
      <c r="BV27" s="50">
        <f t="shared" si="15"/>
        <v>0</v>
      </c>
      <c r="BX27" s="49"/>
      <c r="BY27" s="49"/>
      <c r="BZ27" s="50">
        <f t="shared" si="16"/>
        <v>0</v>
      </c>
      <c r="CB27" s="49"/>
      <c r="CC27" s="49"/>
      <c r="CD27" s="50">
        <f t="shared" si="17"/>
        <v>0</v>
      </c>
      <c r="CF27" s="49"/>
      <c r="CG27" s="49"/>
      <c r="CH27" s="50">
        <f t="shared" si="18"/>
        <v>0</v>
      </c>
      <c r="CJ27" s="49"/>
      <c r="CK27" s="49"/>
      <c r="CL27" s="50">
        <f t="shared" si="19"/>
        <v>0</v>
      </c>
      <c r="CN27" s="49"/>
      <c r="CO27" s="49"/>
      <c r="CP27" s="50">
        <f t="shared" si="20"/>
        <v>0</v>
      </c>
      <c r="CR27" s="49"/>
      <c r="CS27" s="49"/>
      <c r="CT27" s="50">
        <f t="shared" si="21"/>
        <v>0</v>
      </c>
      <c r="CV27" s="49"/>
      <c r="CW27" s="49"/>
      <c r="CX27" s="50">
        <f t="shared" si="22"/>
        <v>0</v>
      </c>
      <c r="CZ27" s="49"/>
      <c r="DA27" s="49"/>
      <c r="DB27" s="50">
        <f t="shared" si="23"/>
        <v>0</v>
      </c>
      <c r="DD27" s="49"/>
      <c r="DE27" s="49"/>
      <c r="DF27" s="50">
        <f t="shared" si="24"/>
        <v>0</v>
      </c>
      <c r="DH27" s="49"/>
      <c r="DI27" s="49"/>
      <c r="DJ27" s="50">
        <f t="shared" si="25"/>
        <v>0</v>
      </c>
      <c r="DL27" s="49"/>
      <c r="DM27" s="49"/>
      <c r="DN27" s="50">
        <f t="shared" si="26"/>
        <v>0</v>
      </c>
      <c r="DP27" s="49"/>
      <c r="DQ27" s="49"/>
      <c r="DR27" s="50">
        <f t="shared" si="27"/>
        <v>0</v>
      </c>
      <c r="DT27" s="49"/>
      <c r="DU27" s="49"/>
      <c r="DV27" s="50">
        <f t="shared" si="28"/>
        <v>0</v>
      </c>
      <c r="DX27" s="49"/>
      <c r="DY27" s="49"/>
      <c r="DZ27" s="50">
        <f t="shared" si="29"/>
        <v>0</v>
      </c>
      <c r="EB27" s="49">
        <f t="shared" si="30"/>
        <v>0</v>
      </c>
      <c r="EC27" s="49">
        <f t="shared" si="31"/>
        <v>0</v>
      </c>
      <c r="ED27" s="49">
        <f t="shared" si="32"/>
        <v>0</v>
      </c>
    </row>
    <row r="28" spans="2:134" ht="11" customHeight="1" x14ac:dyDescent="0.35">
      <c r="B28" s="4">
        <v>104056</v>
      </c>
      <c r="C28" s="4" t="s">
        <v>34</v>
      </c>
      <c r="D28" s="4">
        <v>50</v>
      </c>
      <c r="E28" s="5">
        <v>18</v>
      </c>
      <c r="F28" s="6">
        <v>200.47282196</v>
      </c>
      <c r="G28" s="7"/>
      <c r="H28" s="49"/>
      <c r="I28" s="49"/>
      <c r="J28" s="50">
        <f t="shared" si="33"/>
        <v>0</v>
      </c>
      <c r="K28" s="9"/>
      <c r="L28" s="49"/>
      <c r="M28" s="49"/>
      <c r="N28" s="50">
        <f t="shared" si="0"/>
        <v>0</v>
      </c>
      <c r="O28" s="46"/>
      <c r="P28" s="49"/>
      <c r="Q28" s="49"/>
      <c r="R28" s="50">
        <f t="shared" si="1"/>
        <v>0</v>
      </c>
      <c r="T28" s="49"/>
      <c r="U28" s="49"/>
      <c r="V28" s="50">
        <f t="shared" si="2"/>
        <v>0</v>
      </c>
      <c r="X28" s="49"/>
      <c r="Y28" s="49"/>
      <c r="Z28" s="50">
        <f t="shared" si="3"/>
        <v>0</v>
      </c>
      <c r="AB28" s="49"/>
      <c r="AC28" s="49"/>
      <c r="AD28" s="50">
        <f t="shared" si="4"/>
        <v>0</v>
      </c>
      <c r="AF28" s="49"/>
      <c r="AG28" s="49"/>
      <c r="AH28" s="50">
        <f t="shared" si="5"/>
        <v>0</v>
      </c>
      <c r="AJ28" s="49"/>
      <c r="AK28" s="49"/>
      <c r="AL28" s="50">
        <f t="shared" si="6"/>
        <v>0</v>
      </c>
      <c r="AN28" s="49"/>
      <c r="AO28" s="49"/>
      <c r="AP28" s="50">
        <f t="shared" si="7"/>
        <v>0</v>
      </c>
      <c r="AR28" s="49"/>
      <c r="AS28" s="49"/>
      <c r="AT28" s="50">
        <f t="shared" si="8"/>
        <v>0</v>
      </c>
      <c r="AV28" s="49"/>
      <c r="AW28" s="49"/>
      <c r="AX28" s="50">
        <f t="shared" si="9"/>
        <v>0</v>
      </c>
      <c r="AZ28" s="49"/>
      <c r="BA28" s="49"/>
      <c r="BB28" s="50">
        <f t="shared" si="10"/>
        <v>0</v>
      </c>
      <c r="BD28" s="49"/>
      <c r="BE28" s="49"/>
      <c r="BF28" s="50">
        <f t="shared" si="11"/>
        <v>0</v>
      </c>
      <c r="BH28" s="49"/>
      <c r="BI28" s="49"/>
      <c r="BJ28" s="50">
        <f t="shared" si="12"/>
        <v>0</v>
      </c>
      <c r="BL28" s="49"/>
      <c r="BM28" s="49"/>
      <c r="BN28" s="50">
        <f t="shared" si="13"/>
        <v>0</v>
      </c>
      <c r="BP28" s="49"/>
      <c r="BQ28" s="49"/>
      <c r="BR28" s="50">
        <f t="shared" si="14"/>
        <v>0</v>
      </c>
      <c r="BT28" s="49"/>
      <c r="BU28" s="49"/>
      <c r="BV28" s="50">
        <f t="shared" si="15"/>
        <v>0</v>
      </c>
      <c r="BX28" s="49"/>
      <c r="BY28" s="49"/>
      <c r="BZ28" s="50">
        <f t="shared" si="16"/>
        <v>0</v>
      </c>
      <c r="CB28" s="49"/>
      <c r="CC28" s="49"/>
      <c r="CD28" s="50">
        <f t="shared" si="17"/>
        <v>0</v>
      </c>
      <c r="CF28" s="49"/>
      <c r="CG28" s="49"/>
      <c r="CH28" s="50">
        <f t="shared" si="18"/>
        <v>0</v>
      </c>
      <c r="CJ28" s="49"/>
      <c r="CK28" s="49"/>
      <c r="CL28" s="50">
        <f t="shared" si="19"/>
        <v>0</v>
      </c>
      <c r="CN28" s="49"/>
      <c r="CO28" s="49"/>
      <c r="CP28" s="50">
        <f t="shared" si="20"/>
        <v>0</v>
      </c>
      <c r="CR28" s="49"/>
      <c r="CS28" s="49"/>
      <c r="CT28" s="50">
        <f t="shared" si="21"/>
        <v>0</v>
      </c>
      <c r="CV28" s="49"/>
      <c r="CW28" s="49"/>
      <c r="CX28" s="50">
        <f t="shared" si="22"/>
        <v>0</v>
      </c>
      <c r="CZ28" s="49"/>
      <c r="DA28" s="49"/>
      <c r="DB28" s="50">
        <f t="shared" si="23"/>
        <v>0</v>
      </c>
      <c r="DD28" s="49"/>
      <c r="DE28" s="49"/>
      <c r="DF28" s="50">
        <f t="shared" si="24"/>
        <v>0</v>
      </c>
      <c r="DH28" s="49"/>
      <c r="DI28" s="49"/>
      <c r="DJ28" s="50">
        <f t="shared" si="25"/>
        <v>0</v>
      </c>
      <c r="DL28" s="49"/>
      <c r="DM28" s="49"/>
      <c r="DN28" s="50">
        <f t="shared" si="26"/>
        <v>0</v>
      </c>
      <c r="DP28" s="49"/>
      <c r="DQ28" s="49"/>
      <c r="DR28" s="50">
        <f t="shared" si="27"/>
        <v>0</v>
      </c>
      <c r="DT28" s="49"/>
      <c r="DU28" s="49"/>
      <c r="DV28" s="50">
        <f t="shared" si="28"/>
        <v>0</v>
      </c>
      <c r="DX28" s="49"/>
      <c r="DY28" s="49"/>
      <c r="DZ28" s="50">
        <f t="shared" si="29"/>
        <v>0</v>
      </c>
      <c r="EB28" s="49">
        <f t="shared" si="30"/>
        <v>0</v>
      </c>
      <c r="EC28" s="49">
        <f t="shared" si="31"/>
        <v>0</v>
      </c>
      <c r="ED28" s="49">
        <f t="shared" si="32"/>
        <v>0</v>
      </c>
    </row>
    <row r="29" spans="2:134" ht="11" customHeight="1" x14ac:dyDescent="0.35">
      <c r="B29" s="4">
        <v>106023</v>
      </c>
      <c r="C29" s="4" t="s">
        <v>35</v>
      </c>
      <c r="D29" s="4">
        <v>24</v>
      </c>
      <c r="E29" s="5">
        <v>18</v>
      </c>
      <c r="F29" s="6">
        <v>192.45406706</v>
      </c>
      <c r="G29" s="7"/>
      <c r="H29" s="49"/>
      <c r="I29" s="49"/>
      <c r="J29" s="50">
        <f t="shared" si="33"/>
        <v>0</v>
      </c>
      <c r="K29" s="9"/>
      <c r="L29" s="49"/>
      <c r="M29" s="49"/>
      <c r="N29" s="50">
        <f t="shared" si="0"/>
        <v>0</v>
      </c>
      <c r="O29" s="46"/>
      <c r="P29" s="49"/>
      <c r="Q29" s="49"/>
      <c r="R29" s="50">
        <f t="shared" si="1"/>
        <v>0</v>
      </c>
      <c r="T29" s="49"/>
      <c r="U29" s="49"/>
      <c r="V29" s="50">
        <f t="shared" si="2"/>
        <v>0</v>
      </c>
      <c r="X29" s="49"/>
      <c r="Y29" s="49"/>
      <c r="Z29" s="50">
        <f t="shared" si="3"/>
        <v>0</v>
      </c>
      <c r="AB29" s="49"/>
      <c r="AC29" s="49"/>
      <c r="AD29" s="50">
        <f t="shared" si="4"/>
        <v>0</v>
      </c>
      <c r="AF29" s="49"/>
      <c r="AG29" s="49"/>
      <c r="AH29" s="50">
        <f t="shared" si="5"/>
        <v>0</v>
      </c>
      <c r="AJ29" s="49"/>
      <c r="AK29" s="49"/>
      <c r="AL29" s="50">
        <f t="shared" si="6"/>
        <v>0</v>
      </c>
      <c r="AN29" s="49"/>
      <c r="AO29" s="49"/>
      <c r="AP29" s="50">
        <f t="shared" si="7"/>
        <v>0</v>
      </c>
      <c r="AR29" s="49"/>
      <c r="AS29" s="49"/>
      <c r="AT29" s="50">
        <f t="shared" si="8"/>
        <v>0</v>
      </c>
      <c r="AV29" s="49"/>
      <c r="AW29" s="49"/>
      <c r="AX29" s="50">
        <f t="shared" si="9"/>
        <v>0</v>
      </c>
      <c r="AZ29" s="49"/>
      <c r="BA29" s="49"/>
      <c r="BB29" s="50">
        <f t="shared" si="10"/>
        <v>0</v>
      </c>
      <c r="BD29" s="49"/>
      <c r="BE29" s="49"/>
      <c r="BF29" s="50">
        <f t="shared" si="11"/>
        <v>0</v>
      </c>
      <c r="BH29" s="49"/>
      <c r="BI29" s="49"/>
      <c r="BJ29" s="50">
        <f t="shared" si="12"/>
        <v>0</v>
      </c>
      <c r="BL29" s="49"/>
      <c r="BM29" s="49"/>
      <c r="BN29" s="50">
        <f t="shared" si="13"/>
        <v>0</v>
      </c>
      <c r="BP29" s="49"/>
      <c r="BQ29" s="49"/>
      <c r="BR29" s="50">
        <f t="shared" si="14"/>
        <v>0</v>
      </c>
      <c r="BT29" s="49"/>
      <c r="BU29" s="49"/>
      <c r="BV29" s="50">
        <f t="shared" si="15"/>
        <v>0</v>
      </c>
      <c r="BX29" s="49"/>
      <c r="BY29" s="49"/>
      <c r="BZ29" s="50">
        <f t="shared" si="16"/>
        <v>0</v>
      </c>
      <c r="CB29" s="49"/>
      <c r="CC29" s="49"/>
      <c r="CD29" s="50">
        <f t="shared" si="17"/>
        <v>0</v>
      </c>
      <c r="CF29" s="49"/>
      <c r="CG29" s="49"/>
      <c r="CH29" s="50">
        <f t="shared" si="18"/>
        <v>0</v>
      </c>
      <c r="CJ29" s="49"/>
      <c r="CK29" s="49"/>
      <c r="CL29" s="50">
        <f t="shared" si="19"/>
        <v>0</v>
      </c>
      <c r="CN29" s="49"/>
      <c r="CO29" s="49"/>
      <c r="CP29" s="50">
        <f t="shared" si="20"/>
        <v>0</v>
      </c>
      <c r="CR29" s="49"/>
      <c r="CS29" s="49"/>
      <c r="CT29" s="50">
        <f t="shared" si="21"/>
        <v>0</v>
      </c>
      <c r="CV29" s="49"/>
      <c r="CW29" s="49"/>
      <c r="CX29" s="50">
        <f t="shared" si="22"/>
        <v>0</v>
      </c>
      <c r="CZ29" s="49"/>
      <c r="DA29" s="49"/>
      <c r="DB29" s="50">
        <f t="shared" si="23"/>
        <v>0</v>
      </c>
      <c r="DD29" s="49"/>
      <c r="DE29" s="49"/>
      <c r="DF29" s="50">
        <f t="shared" si="24"/>
        <v>0</v>
      </c>
      <c r="DH29" s="49"/>
      <c r="DI29" s="49"/>
      <c r="DJ29" s="50">
        <f t="shared" si="25"/>
        <v>0</v>
      </c>
      <c r="DL29" s="49"/>
      <c r="DM29" s="49"/>
      <c r="DN29" s="50">
        <f t="shared" si="26"/>
        <v>0</v>
      </c>
      <c r="DP29" s="49"/>
      <c r="DQ29" s="49"/>
      <c r="DR29" s="50">
        <f t="shared" si="27"/>
        <v>0</v>
      </c>
      <c r="DT29" s="49"/>
      <c r="DU29" s="49"/>
      <c r="DV29" s="50">
        <f t="shared" si="28"/>
        <v>0</v>
      </c>
      <c r="DX29" s="49"/>
      <c r="DY29" s="49"/>
      <c r="DZ29" s="50">
        <f t="shared" si="29"/>
        <v>0</v>
      </c>
      <c r="EB29" s="49">
        <f t="shared" si="30"/>
        <v>0</v>
      </c>
      <c r="EC29" s="49">
        <f t="shared" si="31"/>
        <v>0</v>
      </c>
      <c r="ED29" s="49">
        <f t="shared" si="32"/>
        <v>0</v>
      </c>
    </row>
    <row r="30" spans="2:134" ht="11" customHeight="1" x14ac:dyDescent="0.35">
      <c r="B30" s="4">
        <v>106054</v>
      </c>
      <c r="C30" s="4" t="s">
        <v>36</v>
      </c>
      <c r="D30" s="4">
        <v>1</v>
      </c>
      <c r="E30" s="5">
        <v>12</v>
      </c>
      <c r="F30" s="6">
        <v>400.62864317399999</v>
      </c>
      <c r="G30" s="7"/>
      <c r="H30" s="49"/>
      <c r="I30" s="49"/>
      <c r="J30" s="50">
        <f t="shared" si="33"/>
        <v>0</v>
      </c>
      <c r="K30" s="9"/>
      <c r="L30" s="49"/>
      <c r="M30" s="49"/>
      <c r="N30" s="50">
        <f t="shared" si="0"/>
        <v>0</v>
      </c>
      <c r="O30" s="46"/>
      <c r="P30" s="49"/>
      <c r="Q30" s="49"/>
      <c r="R30" s="50">
        <f t="shared" si="1"/>
        <v>0</v>
      </c>
      <c r="T30" s="49"/>
      <c r="U30" s="49"/>
      <c r="V30" s="50">
        <f t="shared" si="2"/>
        <v>0</v>
      </c>
      <c r="X30" s="49"/>
      <c r="Y30" s="49"/>
      <c r="Z30" s="50">
        <f t="shared" si="3"/>
        <v>0</v>
      </c>
      <c r="AB30" s="49"/>
      <c r="AC30" s="49"/>
      <c r="AD30" s="50">
        <f t="shared" si="4"/>
        <v>0</v>
      </c>
      <c r="AF30" s="49"/>
      <c r="AG30" s="49"/>
      <c r="AH30" s="50">
        <f t="shared" si="5"/>
        <v>0</v>
      </c>
      <c r="AJ30" s="49"/>
      <c r="AK30" s="49"/>
      <c r="AL30" s="50">
        <f t="shared" si="6"/>
        <v>0</v>
      </c>
      <c r="AN30" s="49"/>
      <c r="AO30" s="49"/>
      <c r="AP30" s="50">
        <f t="shared" si="7"/>
        <v>0</v>
      </c>
      <c r="AR30" s="49"/>
      <c r="AS30" s="49"/>
      <c r="AT30" s="50">
        <f t="shared" si="8"/>
        <v>0</v>
      </c>
      <c r="AV30" s="49"/>
      <c r="AW30" s="49"/>
      <c r="AX30" s="50">
        <f t="shared" si="9"/>
        <v>0</v>
      </c>
      <c r="AZ30" s="49"/>
      <c r="BA30" s="49"/>
      <c r="BB30" s="50">
        <f t="shared" si="10"/>
        <v>0</v>
      </c>
      <c r="BD30" s="49"/>
      <c r="BE30" s="49"/>
      <c r="BF30" s="50">
        <f t="shared" si="11"/>
        <v>0</v>
      </c>
      <c r="BH30" s="49"/>
      <c r="BI30" s="49"/>
      <c r="BJ30" s="50">
        <f t="shared" si="12"/>
        <v>0</v>
      </c>
      <c r="BL30" s="49"/>
      <c r="BM30" s="49"/>
      <c r="BN30" s="50">
        <f t="shared" si="13"/>
        <v>0</v>
      </c>
      <c r="BP30" s="49"/>
      <c r="BQ30" s="49"/>
      <c r="BR30" s="50">
        <f t="shared" si="14"/>
        <v>0</v>
      </c>
      <c r="BT30" s="49"/>
      <c r="BU30" s="49"/>
      <c r="BV30" s="50">
        <f t="shared" si="15"/>
        <v>0</v>
      </c>
      <c r="BX30" s="49"/>
      <c r="BY30" s="49"/>
      <c r="BZ30" s="50">
        <f t="shared" si="16"/>
        <v>0</v>
      </c>
      <c r="CB30" s="49"/>
      <c r="CC30" s="49"/>
      <c r="CD30" s="50">
        <f t="shared" si="17"/>
        <v>0</v>
      </c>
      <c r="CF30" s="49"/>
      <c r="CG30" s="49"/>
      <c r="CH30" s="50">
        <f t="shared" si="18"/>
        <v>0</v>
      </c>
      <c r="CJ30" s="49"/>
      <c r="CK30" s="49"/>
      <c r="CL30" s="50">
        <f t="shared" si="19"/>
        <v>0</v>
      </c>
      <c r="CN30" s="49"/>
      <c r="CO30" s="49"/>
      <c r="CP30" s="50">
        <f t="shared" si="20"/>
        <v>0</v>
      </c>
      <c r="CR30" s="49"/>
      <c r="CS30" s="49"/>
      <c r="CT30" s="50">
        <f t="shared" si="21"/>
        <v>0</v>
      </c>
      <c r="CV30" s="49"/>
      <c r="CW30" s="49"/>
      <c r="CX30" s="50">
        <f t="shared" si="22"/>
        <v>0</v>
      </c>
      <c r="CZ30" s="49"/>
      <c r="DA30" s="49"/>
      <c r="DB30" s="50">
        <f t="shared" si="23"/>
        <v>0</v>
      </c>
      <c r="DD30" s="49"/>
      <c r="DE30" s="49"/>
      <c r="DF30" s="50">
        <f t="shared" si="24"/>
        <v>0</v>
      </c>
      <c r="DH30" s="49"/>
      <c r="DI30" s="49"/>
      <c r="DJ30" s="50">
        <f t="shared" si="25"/>
        <v>0</v>
      </c>
      <c r="DL30" s="49"/>
      <c r="DM30" s="49"/>
      <c r="DN30" s="50">
        <f t="shared" si="26"/>
        <v>0</v>
      </c>
      <c r="DP30" s="49"/>
      <c r="DQ30" s="49"/>
      <c r="DR30" s="50">
        <f t="shared" si="27"/>
        <v>0</v>
      </c>
      <c r="DT30" s="49"/>
      <c r="DU30" s="49"/>
      <c r="DV30" s="50">
        <f t="shared" si="28"/>
        <v>0</v>
      </c>
      <c r="DX30" s="49"/>
      <c r="DY30" s="49"/>
      <c r="DZ30" s="50">
        <f t="shared" si="29"/>
        <v>0</v>
      </c>
      <c r="EB30" s="49">
        <f t="shared" si="30"/>
        <v>0</v>
      </c>
      <c r="EC30" s="49">
        <f t="shared" si="31"/>
        <v>0</v>
      </c>
      <c r="ED30" s="49">
        <f t="shared" si="32"/>
        <v>0</v>
      </c>
    </row>
    <row r="31" spans="2:134" ht="11" customHeight="1" x14ac:dyDescent="0.35">
      <c r="B31" s="4">
        <v>106057</v>
      </c>
      <c r="C31" s="4" t="s">
        <v>37</v>
      </c>
      <c r="D31" s="4">
        <v>70</v>
      </c>
      <c r="E31" s="5">
        <v>18</v>
      </c>
      <c r="F31" s="6">
        <v>280.44265340800001</v>
      </c>
      <c r="G31" s="7"/>
      <c r="H31" s="49"/>
      <c r="I31" s="49"/>
      <c r="J31" s="50">
        <f t="shared" si="33"/>
        <v>0</v>
      </c>
      <c r="K31" s="9"/>
      <c r="L31" s="49"/>
      <c r="M31" s="49"/>
      <c r="N31" s="50">
        <f t="shared" si="0"/>
        <v>0</v>
      </c>
      <c r="O31" s="46"/>
      <c r="P31" s="49"/>
      <c r="Q31" s="49"/>
      <c r="R31" s="50">
        <f t="shared" si="1"/>
        <v>0</v>
      </c>
      <c r="T31" s="49"/>
      <c r="U31" s="49"/>
      <c r="V31" s="50">
        <f t="shared" si="2"/>
        <v>0</v>
      </c>
      <c r="X31" s="49"/>
      <c r="Y31" s="49"/>
      <c r="Z31" s="50">
        <f t="shared" si="3"/>
        <v>0</v>
      </c>
      <c r="AB31" s="49"/>
      <c r="AC31" s="49"/>
      <c r="AD31" s="50">
        <f t="shared" si="4"/>
        <v>0</v>
      </c>
      <c r="AF31" s="49"/>
      <c r="AG31" s="49"/>
      <c r="AH31" s="50">
        <f t="shared" si="5"/>
        <v>0</v>
      </c>
      <c r="AJ31" s="49"/>
      <c r="AK31" s="49"/>
      <c r="AL31" s="50">
        <f t="shared" si="6"/>
        <v>0</v>
      </c>
      <c r="AN31" s="49"/>
      <c r="AO31" s="49"/>
      <c r="AP31" s="50">
        <f t="shared" si="7"/>
        <v>0</v>
      </c>
      <c r="AR31" s="49"/>
      <c r="AS31" s="49"/>
      <c r="AT31" s="50">
        <f t="shared" si="8"/>
        <v>0</v>
      </c>
      <c r="AV31" s="49"/>
      <c r="AW31" s="49"/>
      <c r="AX31" s="50">
        <f t="shared" si="9"/>
        <v>0</v>
      </c>
      <c r="AZ31" s="49"/>
      <c r="BA31" s="49"/>
      <c r="BB31" s="50">
        <f t="shared" si="10"/>
        <v>0</v>
      </c>
      <c r="BD31" s="49"/>
      <c r="BE31" s="49"/>
      <c r="BF31" s="50">
        <f t="shared" si="11"/>
        <v>0</v>
      </c>
      <c r="BH31" s="49"/>
      <c r="BI31" s="49"/>
      <c r="BJ31" s="50">
        <f t="shared" si="12"/>
        <v>0</v>
      </c>
      <c r="BL31" s="49"/>
      <c r="BM31" s="49"/>
      <c r="BN31" s="50">
        <f t="shared" si="13"/>
        <v>0</v>
      </c>
      <c r="BP31" s="49"/>
      <c r="BQ31" s="49"/>
      <c r="BR31" s="50">
        <f t="shared" si="14"/>
        <v>0</v>
      </c>
      <c r="BT31" s="49"/>
      <c r="BU31" s="49"/>
      <c r="BV31" s="50">
        <f t="shared" si="15"/>
        <v>0</v>
      </c>
      <c r="BX31" s="49"/>
      <c r="BY31" s="49"/>
      <c r="BZ31" s="50">
        <f t="shared" si="16"/>
        <v>0</v>
      </c>
      <c r="CB31" s="49"/>
      <c r="CC31" s="49"/>
      <c r="CD31" s="50">
        <f t="shared" si="17"/>
        <v>0</v>
      </c>
      <c r="CF31" s="49"/>
      <c r="CG31" s="49"/>
      <c r="CH31" s="50">
        <f t="shared" si="18"/>
        <v>0</v>
      </c>
      <c r="CJ31" s="49"/>
      <c r="CK31" s="49"/>
      <c r="CL31" s="50">
        <f t="shared" si="19"/>
        <v>0</v>
      </c>
      <c r="CN31" s="49"/>
      <c r="CO31" s="49"/>
      <c r="CP31" s="50">
        <f t="shared" si="20"/>
        <v>0</v>
      </c>
      <c r="CR31" s="49"/>
      <c r="CS31" s="49"/>
      <c r="CT31" s="50">
        <f t="shared" si="21"/>
        <v>0</v>
      </c>
      <c r="CV31" s="49"/>
      <c r="CW31" s="49"/>
      <c r="CX31" s="50">
        <f t="shared" si="22"/>
        <v>0</v>
      </c>
      <c r="CZ31" s="49"/>
      <c r="DA31" s="49"/>
      <c r="DB31" s="50">
        <f t="shared" si="23"/>
        <v>0</v>
      </c>
      <c r="DD31" s="49"/>
      <c r="DE31" s="49"/>
      <c r="DF31" s="50">
        <f t="shared" si="24"/>
        <v>0</v>
      </c>
      <c r="DH31" s="49"/>
      <c r="DI31" s="49"/>
      <c r="DJ31" s="50">
        <f t="shared" si="25"/>
        <v>0</v>
      </c>
      <c r="DL31" s="49"/>
      <c r="DM31" s="49"/>
      <c r="DN31" s="50">
        <f t="shared" si="26"/>
        <v>0</v>
      </c>
      <c r="DP31" s="49"/>
      <c r="DQ31" s="49"/>
      <c r="DR31" s="50">
        <f t="shared" si="27"/>
        <v>0</v>
      </c>
      <c r="DT31" s="49"/>
      <c r="DU31" s="49"/>
      <c r="DV31" s="50">
        <f t="shared" si="28"/>
        <v>0</v>
      </c>
      <c r="DX31" s="49"/>
      <c r="DY31" s="49"/>
      <c r="DZ31" s="50">
        <f t="shared" si="29"/>
        <v>0</v>
      </c>
      <c r="EB31" s="49">
        <f t="shared" si="30"/>
        <v>0</v>
      </c>
      <c r="EC31" s="49">
        <f t="shared" si="31"/>
        <v>0</v>
      </c>
      <c r="ED31" s="49">
        <f t="shared" si="32"/>
        <v>0</v>
      </c>
    </row>
    <row r="32" spans="2:134" ht="11" customHeight="1" x14ac:dyDescent="0.35">
      <c r="B32" s="4">
        <v>106221</v>
      </c>
      <c r="C32" s="4" t="s">
        <v>38</v>
      </c>
      <c r="D32" s="4">
        <v>24</v>
      </c>
      <c r="E32" s="5">
        <v>18</v>
      </c>
      <c r="F32" s="6">
        <v>192.45406706</v>
      </c>
      <c r="G32" s="7"/>
      <c r="H32" s="49"/>
      <c r="I32" s="49"/>
      <c r="J32" s="50">
        <f t="shared" si="33"/>
        <v>0</v>
      </c>
      <c r="K32" s="9"/>
      <c r="L32" s="49"/>
      <c r="M32" s="49"/>
      <c r="N32" s="50">
        <f t="shared" si="0"/>
        <v>0</v>
      </c>
      <c r="O32" s="46"/>
      <c r="P32" s="49"/>
      <c r="Q32" s="49"/>
      <c r="R32" s="50">
        <f t="shared" si="1"/>
        <v>0</v>
      </c>
      <c r="T32" s="49"/>
      <c r="U32" s="49"/>
      <c r="V32" s="50">
        <f t="shared" si="2"/>
        <v>0</v>
      </c>
      <c r="X32" s="49"/>
      <c r="Y32" s="49"/>
      <c r="Z32" s="50">
        <f t="shared" si="3"/>
        <v>0</v>
      </c>
      <c r="AB32" s="49"/>
      <c r="AC32" s="49"/>
      <c r="AD32" s="50">
        <f t="shared" si="4"/>
        <v>0</v>
      </c>
      <c r="AF32" s="49"/>
      <c r="AG32" s="49"/>
      <c r="AH32" s="50">
        <f t="shared" si="5"/>
        <v>0</v>
      </c>
      <c r="AJ32" s="49"/>
      <c r="AK32" s="49"/>
      <c r="AL32" s="50">
        <f t="shared" si="6"/>
        <v>0</v>
      </c>
      <c r="AN32" s="49"/>
      <c r="AO32" s="49"/>
      <c r="AP32" s="50">
        <f t="shared" si="7"/>
        <v>0</v>
      </c>
      <c r="AR32" s="49"/>
      <c r="AS32" s="49"/>
      <c r="AT32" s="50">
        <f t="shared" si="8"/>
        <v>0</v>
      </c>
      <c r="AV32" s="49"/>
      <c r="AW32" s="49"/>
      <c r="AX32" s="50">
        <f t="shared" si="9"/>
        <v>0</v>
      </c>
      <c r="AZ32" s="49"/>
      <c r="BA32" s="49"/>
      <c r="BB32" s="50">
        <f t="shared" si="10"/>
        <v>0</v>
      </c>
      <c r="BD32" s="49"/>
      <c r="BE32" s="49"/>
      <c r="BF32" s="50">
        <f t="shared" si="11"/>
        <v>0</v>
      </c>
      <c r="BH32" s="49"/>
      <c r="BI32" s="49"/>
      <c r="BJ32" s="50">
        <f t="shared" si="12"/>
        <v>0</v>
      </c>
      <c r="BL32" s="49"/>
      <c r="BM32" s="49"/>
      <c r="BN32" s="50">
        <f t="shared" si="13"/>
        <v>0</v>
      </c>
      <c r="BP32" s="49"/>
      <c r="BQ32" s="49"/>
      <c r="BR32" s="50">
        <f t="shared" si="14"/>
        <v>0</v>
      </c>
      <c r="BT32" s="49"/>
      <c r="BU32" s="49"/>
      <c r="BV32" s="50">
        <f t="shared" si="15"/>
        <v>0</v>
      </c>
      <c r="BX32" s="49"/>
      <c r="BY32" s="49"/>
      <c r="BZ32" s="50">
        <f t="shared" si="16"/>
        <v>0</v>
      </c>
      <c r="CB32" s="49"/>
      <c r="CC32" s="49"/>
      <c r="CD32" s="50">
        <f t="shared" si="17"/>
        <v>0</v>
      </c>
      <c r="CF32" s="49"/>
      <c r="CG32" s="49"/>
      <c r="CH32" s="50">
        <f t="shared" si="18"/>
        <v>0</v>
      </c>
      <c r="CJ32" s="49"/>
      <c r="CK32" s="49"/>
      <c r="CL32" s="50">
        <f t="shared" si="19"/>
        <v>0</v>
      </c>
      <c r="CN32" s="49"/>
      <c r="CO32" s="49"/>
      <c r="CP32" s="50">
        <f t="shared" si="20"/>
        <v>0</v>
      </c>
      <c r="CR32" s="49"/>
      <c r="CS32" s="49"/>
      <c r="CT32" s="50">
        <f t="shared" si="21"/>
        <v>0</v>
      </c>
      <c r="CV32" s="49"/>
      <c r="CW32" s="49"/>
      <c r="CX32" s="50">
        <f t="shared" si="22"/>
        <v>0</v>
      </c>
      <c r="CZ32" s="49"/>
      <c r="DA32" s="49"/>
      <c r="DB32" s="50">
        <f t="shared" si="23"/>
        <v>0</v>
      </c>
      <c r="DD32" s="49"/>
      <c r="DE32" s="49"/>
      <c r="DF32" s="50">
        <f t="shared" si="24"/>
        <v>0</v>
      </c>
      <c r="DH32" s="49"/>
      <c r="DI32" s="49"/>
      <c r="DJ32" s="50">
        <f t="shared" si="25"/>
        <v>0</v>
      </c>
      <c r="DL32" s="49"/>
      <c r="DM32" s="49"/>
      <c r="DN32" s="50">
        <f t="shared" si="26"/>
        <v>0</v>
      </c>
      <c r="DP32" s="49"/>
      <c r="DQ32" s="49"/>
      <c r="DR32" s="50">
        <f t="shared" si="27"/>
        <v>0</v>
      </c>
      <c r="DT32" s="49"/>
      <c r="DU32" s="49"/>
      <c r="DV32" s="50">
        <f t="shared" si="28"/>
        <v>0</v>
      </c>
      <c r="DX32" s="49"/>
      <c r="DY32" s="49"/>
      <c r="DZ32" s="50">
        <f t="shared" si="29"/>
        <v>0</v>
      </c>
      <c r="EB32" s="49">
        <f t="shared" si="30"/>
        <v>0</v>
      </c>
      <c r="EC32" s="49">
        <f t="shared" si="31"/>
        <v>0</v>
      </c>
      <c r="ED32" s="49">
        <f t="shared" si="32"/>
        <v>0</v>
      </c>
    </row>
    <row r="33" spans="2:134" ht="11" customHeight="1" x14ac:dyDescent="0.35">
      <c r="B33" s="4">
        <v>106318</v>
      </c>
      <c r="C33" s="4" t="s">
        <v>39</v>
      </c>
      <c r="D33" s="4">
        <v>24</v>
      </c>
      <c r="E33" s="5">
        <v>18</v>
      </c>
      <c r="F33" s="6">
        <v>192.45406706</v>
      </c>
      <c r="G33" s="7"/>
      <c r="H33" s="49"/>
      <c r="I33" s="49"/>
      <c r="J33" s="50">
        <f t="shared" si="33"/>
        <v>0</v>
      </c>
      <c r="K33" s="9"/>
      <c r="L33" s="49"/>
      <c r="M33" s="49"/>
      <c r="N33" s="50">
        <f t="shared" si="0"/>
        <v>0</v>
      </c>
      <c r="O33" s="46"/>
      <c r="P33" s="49"/>
      <c r="Q33" s="49"/>
      <c r="R33" s="50">
        <f t="shared" si="1"/>
        <v>0</v>
      </c>
      <c r="T33" s="49"/>
      <c r="U33" s="49"/>
      <c r="V33" s="50">
        <f t="shared" si="2"/>
        <v>0</v>
      </c>
      <c r="X33" s="49"/>
      <c r="Y33" s="49"/>
      <c r="Z33" s="50">
        <f t="shared" si="3"/>
        <v>0</v>
      </c>
      <c r="AB33" s="49"/>
      <c r="AC33" s="49"/>
      <c r="AD33" s="50">
        <f t="shared" si="4"/>
        <v>0</v>
      </c>
      <c r="AF33" s="49"/>
      <c r="AG33" s="49"/>
      <c r="AH33" s="50">
        <f t="shared" si="5"/>
        <v>0</v>
      </c>
      <c r="AJ33" s="49"/>
      <c r="AK33" s="49"/>
      <c r="AL33" s="50">
        <f t="shared" si="6"/>
        <v>0</v>
      </c>
      <c r="AN33" s="49"/>
      <c r="AO33" s="49"/>
      <c r="AP33" s="50">
        <f t="shared" si="7"/>
        <v>0</v>
      </c>
      <c r="AR33" s="49"/>
      <c r="AS33" s="49"/>
      <c r="AT33" s="50">
        <f t="shared" si="8"/>
        <v>0</v>
      </c>
      <c r="AV33" s="49"/>
      <c r="AW33" s="49"/>
      <c r="AX33" s="50">
        <f t="shared" si="9"/>
        <v>0</v>
      </c>
      <c r="AZ33" s="49"/>
      <c r="BA33" s="49"/>
      <c r="BB33" s="50">
        <f t="shared" si="10"/>
        <v>0</v>
      </c>
      <c r="BD33" s="49"/>
      <c r="BE33" s="49"/>
      <c r="BF33" s="50">
        <f t="shared" si="11"/>
        <v>0</v>
      </c>
      <c r="BH33" s="49"/>
      <c r="BI33" s="49"/>
      <c r="BJ33" s="50">
        <f t="shared" si="12"/>
        <v>0</v>
      </c>
      <c r="BL33" s="49"/>
      <c r="BM33" s="49"/>
      <c r="BN33" s="50">
        <f t="shared" si="13"/>
        <v>0</v>
      </c>
      <c r="BP33" s="49"/>
      <c r="BQ33" s="49"/>
      <c r="BR33" s="50">
        <f t="shared" si="14"/>
        <v>0</v>
      </c>
      <c r="BT33" s="49"/>
      <c r="BU33" s="49"/>
      <c r="BV33" s="50">
        <f t="shared" si="15"/>
        <v>0</v>
      </c>
      <c r="BX33" s="49"/>
      <c r="BY33" s="49"/>
      <c r="BZ33" s="50">
        <f t="shared" si="16"/>
        <v>0</v>
      </c>
      <c r="CB33" s="49"/>
      <c r="CC33" s="49"/>
      <c r="CD33" s="50">
        <f t="shared" si="17"/>
        <v>0</v>
      </c>
      <c r="CF33" s="49"/>
      <c r="CG33" s="49"/>
      <c r="CH33" s="50">
        <f t="shared" si="18"/>
        <v>0</v>
      </c>
      <c r="CJ33" s="49"/>
      <c r="CK33" s="49"/>
      <c r="CL33" s="50">
        <f t="shared" si="19"/>
        <v>0</v>
      </c>
      <c r="CN33" s="49"/>
      <c r="CO33" s="49"/>
      <c r="CP33" s="50">
        <f t="shared" si="20"/>
        <v>0</v>
      </c>
      <c r="CR33" s="49"/>
      <c r="CS33" s="49"/>
      <c r="CT33" s="50">
        <f t="shared" si="21"/>
        <v>0</v>
      </c>
      <c r="CV33" s="49"/>
      <c r="CW33" s="49"/>
      <c r="CX33" s="50">
        <f t="shared" si="22"/>
        <v>0</v>
      </c>
      <c r="CZ33" s="49"/>
      <c r="DA33" s="49"/>
      <c r="DB33" s="50">
        <f t="shared" si="23"/>
        <v>0</v>
      </c>
      <c r="DD33" s="49"/>
      <c r="DE33" s="49"/>
      <c r="DF33" s="50">
        <f t="shared" si="24"/>
        <v>0</v>
      </c>
      <c r="DH33" s="49"/>
      <c r="DI33" s="49"/>
      <c r="DJ33" s="50">
        <f t="shared" si="25"/>
        <v>0</v>
      </c>
      <c r="DL33" s="49"/>
      <c r="DM33" s="49"/>
      <c r="DN33" s="50">
        <f t="shared" si="26"/>
        <v>0</v>
      </c>
      <c r="DP33" s="49"/>
      <c r="DQ33" s="49"/>
      <c r="DR33" s="50">
        <f t="shared" si="27"/>
        <v>0</v>
      </c>
      <c r="DT33" s="49"/>
      <c r="DU33" s="49"/>
      <c r="DV33" s="50">
        <f t="shared" si="28"/>
        <v>0</v>
      </c>
      <c r="DX33" s="49"/>
      <c r="DY33" s="49"/>
      <c r="DZ33" s="50">
        <f t="shared" si="29"/>
        <v>0</v>
      </c>
      <c r="EB33" s="49">
        <f t="shared" si="30"/>
        <v>0</v>
      </c>
      <c r="EC33" s="49">
        <f t="shared" si="31"/>
        <v>0</v>
      </c>
      <c r="ED33" s="49">
        <f t="shared" si="32"/>
        <v>0</v>
      </c>
    </row>
    <row r="34" spans="2:134" ht="11" customHeight="1" x14ac:dyDescent="0.35">
      <c r="B34" s="4">
        <v>106506</v>
      </c>
      <c r="C34" s="4" t="s">
        <v>40</v>
      </c>
      <c r="D34" s="4">
        <v>24</v>
      </c>
      <c r="E34" s="5">
        <v>24</v>
      </c>
      <c r="F34" s="6">
        <v>189.29879107400001</v>
      </c>
      <c r="G34" s="7"/>
      <c r="H34" s="49"/>
      <c r="I34" s="49"/>
      <c r="J34" s="50">
        <f t="shared" si="33"/>
        <v>0</v>
      </c>
      <c r="K34" s="9"/>
      <c r="L34" s="49"/>
      <c r="M34" s="49"/>
      <c r="N34" s="50">
        <f t="shared" si="0"/>
        <v>0</v>
      </c>
      <c r="O34" s="46"/>
      <c r="P34" s="49"/>
      <c r="Q34" s="49"/>
      <c r="R34" s="50">
        <f t="shared" si="1"/>
        <v>0</v>
      </c>
      <c r="T34" s="49"/>
      <c r="U34" s="49"/>
      <c r="V34" s="50">
        <f t="shared" si="2"/>
        <v>0</v>
      </c>
      <c r="X34" s="49"/>
      <c r="Y34" s="49"/>
      <c r="Z34" s="50">
        <f t="shared" si="3"/>
        <v>0</v>
      </c>
      <c r="AB34" s="49"/>
      <c r="AC34" s="49"/>
      <c r="AD34" s="50">
        <f t="shared" si="4"/>
        <v>0</v>
      </c>
      <c r="AF34" s="49"/>
      <c r="AG34" s="49"/>
      <c r="AH34" s="50">
        <f t="shared" si="5"/>
        <v>0</v>
      </c>
      <c r="AJ34" s="49"/>
      <c r="AK34" s="49"/>
      <c r="AL34" s="50">
        <f t="shared" si="6"/>
        <v>0</v>
      </c>
      <c r="AN34" s="49"/>
      <c r="AO34" s="49"/>
      <c r="AP34" s="50">
        <f t="shared" si="7"/>
        <v>0</v>
      </c>
      <c r="AR34" s="49"/>
      <c r="AS34" s="49"/>
      <c r="AT34" s="50">
        <f t="shared" si="8"/>
        <v>0</v>
      </c>
      <c r="AV34" s="49"/>
      <c r="AW34" s="49"/>
      <c r="AX34" s="50">
        <f t="shared" si="9"/>
        <v>0</v>
      </c>
      <c r="AZ34" s="49"/>
      <c r="BA34" s="49"/>
      <c r="BB34" s="50">
        <f t="shared" si="10"/>
        <v>0</v>
      </c>
      <c r="BD34" s="49"/>
      <c r="BE34" s="49"/>
      <c r="BF34" s="50">
        <f t="shared" si="11"/>
        <v>0</v>
      </c>
      <c r="BH34" s="49"/>
      <c r="BI34" s="49"/>
      <c r="BJ34" s="50">
        <f t="shared" si="12"/>
        <v>0</v>
      </c>
      <c r="BL34" s="49"/>
      <c r="BM34" s="49"/>
      <c r="BN34" s="50">
        <f t="shared" si="13"/>
        <v>0</v>
      </c>
      <c r="BP34" s="49"/>
      <c r="BQ34" s="49"/>
      <c r="BR34" s="50">
        <f t="shared" si="14"/>
        <v>0</v>
      </c>
      <c r="BT34" s="49"/>
      <c r="BU34" s="49"/>
      <c r="BV34" s="50">
        <f t="shared" si="15"/>
        <v>0</v>
      </c>
      <c r="BX34" s="49"/>
      <c r="BY34" s="49"/>
      <c r="BZ34" s="50">
        <f t="shared" si="16"/>
        <v>0</v>
      </c>
      <c r="CB34" s="49"/>
      <c r="CC34" s="49"/>
      <c r="CD34" s="50">
        <f t="shared" si="17"/>
        <v>0</v>
      </c>
      <c r="CF34" s="49"/>
      <c r="CG34" s="49"/>
      <c r="CH34" s="50">
        <f t="shared" si="18"/>
        <v>0</v>
      </c>
      <c r="CJ34" s="49"/>
      <c r="CK34" s="49"/>
      <c r="CL34" s="50">
        <f t="shared" si="19"/>
        <v>0</v>
      </c>
      <c r="CN34" s="49"/>
      <c r="CO34" s="49"/>
      <c r="CP34" s="50">
        <f t="shared" si="20"/>
        <v>0</v>
      </c>
      <c r="CR34" s="49"/>
      <c r="CS34" s="49"/>
      <c r="CT34" s="50">
        <f t="shared" si="21"/>
        <v>0</v>
      </c>
      <c r="CV34" s="49"/>
      <c r="CW34" s="49"/>
      <c r="CX34" s="50">
        <f t="shared" si="22"/>
        <v>0</v>
      </c>
      <c r="CZ34" s="49"/>
      <c r="DA34" s="49"/>
      <c r="DB34" s="50">
        <f t="shared" si="23"/>
        <v>0</v>
      </c>
      <c r="DD34" s="49"/>
      <c r="DE34" s="49"/>
      <c r="DF34" s="50">
        <f t="shared" si="24"/>
        <v>0</v>
      </c>
      <c r="DH34" s="49"/>
      <c r="DI34" s="49"/>
      <c r="DJ34" s="50">
        <f t="shared" si="25"/>
        <v>0</v>
      </c>
      <c r="DL34" s="49"/>
      <c r="DM34" s="49"/>
      <c r="DN34" s="50">
        <f t="shared" si="26"/>
        <v>0</v>
      </c>
      <c r="DP34" s="49"/>
      <c r="DQ34" s="49"/>
      <c r="DR34" s="50">
        <f t="shared" si="27"/>
        <v>0</v>
      </c>
      <c r="DT34" s="49"/>
      <c r="DU34" s="49"/>
      <c r="DV34" s="50">
        <f t="shared" si="28"/>
        <v>0</v>
      </c>
      <c r="DX34" s="49"/>
      <c r="DY34" s="49"/>
      <c r="DZ34" s="50">
        <f t="shared" si="29"/>
        <v>0</v>
      </c>
      <c r="EB34" s="49">
        <f t="shared" si="30"/>
        <v>0</v>
      </c>
      <c r="EC34" s="49">
        <f t="shared" si="31"/>
        <v>0</v>
      </c>
      <c r="ED34" s="49">
        <f t="shared" si="32"/>
        <v>0</v>
      </c>
    </row>
    <row r="35" spans="2:134" ht="11" customHeight="1" x14ac:dyDescent="0.35">
      <c r="B35" s="4">
        <v>106507</v>
      </c>
      <c r="C35" s="4" t="s">
        <v>41</v>
      </c>
      <c r="D35" s="4">
        <v>18</v>
      </c>
      <c r="E35" s="5">
        <v>18</v>
      </c>
      <c r="F35" s="6">
        <v>288.68044392000002</v>
      </c>
      <c r="G35" s="7"/>
      <c r="H35" s="49"/>
      <c r="I35" s="49"/>
      <c r="J35" s="50">
        <f t="shared" si="33"/>
        <v>0</v>
      </c>
      <c r="K35" s="9"/>
      <c r="L35" s="49"/>
      <c r="M35" s="49"/>
      <c r="N35" s="50">
        <f t="shared" si="0"/>
        <v>0</v>
      </c>
      <c r="O35" s="46"/>
      <c r="P35" s="49"/>
      <c r="Q35" s="49"/>
      <c r="R35" s="50">
        <f t="shared" si="1"/>
        <v>0</v>
      </c>
      <c r="T35" s="49"/>
      <c r="U35" s="49"/>
      <c r="V35" s="50">
        <f t="shared" si="2"/>
        <v>0</v>
      </c>
      <c r="X35" s="49"/>
      <c r="Y35" s="49"/>
      <c r="Z35" s="50">
        <f t="shared" si="3"/>
        <v>0</v>
      </c>
      <c r="AB35" s="49"/>
      <c r="AC35" s="49"/>
      <c r="AD35" s="50">
        <f t="shared" si="4"/>
        <v>0</v>
      </c>
      <c r="AF35" s="49"/>
      <c r="AG35" s="49"/>
      <c r="AH35" s="50">
        <f t="shared" si="5"/>
        <v>0</v>
      </c>
      <c r="AJ35" s="49"/>
      <c r="AK35" s="49"/>
      <c r="AL35" s="50">
        <f t="shared" si="6"/>
        <v>0</v>
      </c>
      <c r="AN35" s="49"/>
      <c r="AO35" s="49"/>
      <c r="AP35" s="50">
        <f t="shared" si="7"/>
        <v>0</v>
      </c>
      <c r="AR35" s="49"/>
      <c r="AS35" s="49"/>
      <c r="AT35" s="50">
        <f t="shared" si="8"/>
        <v>0</v>
      </c>
      <c r="AV35" s="49"/>
      <c r="AW35" s="49"/>
      <c r="AX35" s="50">
        <f t="shared" si="9"/>
        <v>0</v>
      </c>
      <c r="AZ35" s="49"/>
      <c r="BA35" s="49"/>
      <c r="BB35" s="50">
        <f t="shared" si="10"/>
        <v>0</v>
      </c>
      <c r="BD35" s="49"/>
      <c r="BE35" s="49"/>
      <c r="BF35" s="50">
        <f t="shared" si="11"/>
        <v>0</v>
      </c>
      <c r="BH35" s="49"/>
      <c r="BI35" s="49"/>
      <c r="BJ35" s="50">
        <f t="shared" si="12"/>
        <v>0</v>
      </c>
      <c r="BL35" s="49"/>
      <c r="BM35" s="49"/>
      <c r="BN35" s="50">
        <f t="shared" si="13"/>
        <v>0</v>
      </c>
      <c r="BP35" s="49"/>
      <c r="BQ35" s="49"/>
      <c r="BR35" s="50">
        <f t="shared" si="14"/>
        <v>0</v>
      </c>
      <c r="BT35" s="49"/>
      <c r="BU35" s="49"/>
      <c r="BV35" s="50">
        <f t="shared" si="15"/>
        <v>0</v>
      </c>
      <c r="BX35" s="49"/>
      <c r="BY35" s="49"/>
      <c r="BZ35" s="50">
        <f t="shared" si="16"/>
        <v>0</v>
      </c>
      <c r="CB35" s="49"/>
      <c r="CC35" s="49"/>
      <c r="CD35" s="50">
        <f t="shared" si="17"/>
        <v>0</v>
      </c>
      <c r="CF35" s="49"/>
      <c r="CG35" s="49"/>
      <c r="CH35" s="50">
        <f t="shared" si="18"/>
        <v>0</v>
      </c>
      <c r="CJ35" s="49"/>
      <c r="CK35" s="49"/>
      <c r="CL35" s="50">
        <f t="shared" si="19"/>
        <v>0</v>
      </c>
      <c r="CN35" s="49"/>
      <c r="CO35" s="49"/>
      <c r="CP35" s="50">
        <f t="shared" si="20"/>
        <v>0</v>
      </c>
      <c r="CR35" s="49"/>
      <c r="CS35" s="49"/>
      <c r="CT35" s="50">
        <f t="shared" si="21"/>
        <v>0</v>
      </c>
      <c r="CV35" s="49"/>
      <c r="CW35" s="49"/>
      <c r="CX35" s="50">
        <f t="shared" si="22"/>
        <v>0</v>
      </c>
      <c r="CZ35" s="49"/>
      <c r="DA35" s="49"/>
      <c r="DB35" s="50">
        <f t="shared" si="23"/>
        <v>0</v>
      </c>
      <c r="DD35" s="49"/>
      <c r="DE35" s="49"/>
      <c r="DF35" s="50">
        <f t="shared" si="24"/>
        <v>0</v>
      </c>
      <c r="DH35" s="49"/>
      <c r="DI35" s="49"/>
      <c r="DJ35" s="50">
        <f t="shared" si="25"/>
        <v>0</v>
      </c>
      <c r="DL35" s="49"/>
      <c r="DM35" s="49"/>
      <c r="DN35" s="50">
        <f t="shared" si="26"/>
        <v>0</v>
      </c>
      <c r="DP35" s="49"/>
      <c r="DQ35" s="49"/>
      <c r="DR35" s="50">
        <f t="shared" si="27"/>
        <v>0</v>
      </c>
      <c r="DT35" s="49"/>
      <c r="DU35" s="49"/>
      <c r="DV35" s="50">
        <f t="shared" si="28"/>
        <v>0</v>
      </c>
      <c r="DX35" s="49"/>
      <c r="DY35" s="49"/>
      <c r="DZ35" s="50">
        <f t="shared" si="29"/>
        <v>0</v>
      </c>
      <c r="EB35" s="49">
        <f t="shared" si="30"/>
        <v>0</v>
      </c>
      <c r="EC35" s="49">
        <f t="shared" si="31"/>
        <v>0</v>
      </c>
      <c r="ED35" s="49">
        <f t="shared" si="32"/>
        <v>0</v>
      </c>
    </row>
    <row r="36" spans="2:134" ht="11" customHeight="1" x14ac:dyDescent="0.35">
      <c r="B36" s="4">
        <v>106508</v>
      </c>
      <c r="C36" s="4" t="s">
        <v>42</v>
      </c>
      <c r="D36" s="4">
        <v>12</v>
      </c>
      <c r="E36" s="5">
        <v>12</v>
      </c>
      <c r="F36" s="6">
        <v>187.195471164</v>
      </c>
      <c r="G36" s="7"/>
      <c r="H36" s="49"/>
      <c r="I36" s="49"/>
      <c r="J36" s="50">
        <f t="shared" si="33"/>
        <v>0</v>
      </c>
      <c r="K36" s="9"/>
      <c r="L36" s="49"/>
      <c r="M36" s="49"/>
      <c r="N36" s="50">
        <f t="shared" si="0"/>
        <v>0</v>
      </c>
      <c r="O36" s="46"/>
      <c r="P36" s="49"/>
      <c r="Q36" s="49"/>
      <c r="R36" s="50">
        <f t="shared" si="1"/>
        <v>0</v>
      </c>
      <c r="T36" s="49"/>
      <c r="U36" s="49"/>
      <c r="V36" s="50">
        <f t="shared" si="2"/>
        <v>0</v>
      </c>
      <c r="X36" s="49"/>
      <c r="Y36" s="49"/>
      <c r="Z36" s="50">
        <f t="shared" si="3"/>
        <v>0</v>
      </c>
      <c r="AB36" s="49"/>
      <c r="AC36" s="49"/>
      <c r="AD36" s="50">
        <f t="shared" si="4"/>
        <v>0</v>
      </c>
      <c r="AF36" s="49"/>
      <c r="AG36" s="49"/>
      <c r="AH36" s="50">
        <f t="shared" si="5"/>
        <v>0</v>
      </c>
      <c r="AJ36" s="49"/>
      <c r="AK36" s="49"/>
      <c r="AL36" s="50">
        <f t="shared" si="6"/>
        <v>0</v>
      </c>
      <c r="AN36" s="49"/>
      <c r="AO36" s="49"/>
      <c r="AP36" s="50">
        <f t="shared" si="7"/>
        <v>0</v>
      </c>
      <c r="AR36" s="49"/>
      <c r="AS36" s="49"/>
      <c r="AT36" s="50">
        <f t="shared" si="8"/>
        <v>0</v>
      </c>
      <c r="AV36" s="49"/>
      <c r="AW36" s="49"/>
      <c r="AX36" s="50">
        <f t="shared" si="9"/>
        <v>0</v>
      </c>
      <c r="AZ36" s="49"/>
      <c r="BA36" s="49"/>
      <c r="BB36" s="50">
        <f t="shared" si="10"/>
        <v>0</v>
      </c>
      <c r="BD36" s="49"/>
      <c r="BE36" s="49"/>
      <c r="BF36" s="50">
        <f t="shared" si="11"/>
        <v>0</v>
      </c>
      <c r="BH36" s="49"/>
      <c r="BI36" s="49"/>
      <c r="BJ36" s="50">
        <f t="shared" si="12"/>
        <v>0</v>
      </c>
      <c r="BL36" s="49"/>
      <c r="BM36" s="49"/>
      <c r="BN36" s="50">
        <f t="shared" si="13"/>
        <v>0</v>
      </c>
      <c r="BP36" s="49"/>
      <c r="BQ36" s="49"/>
      <c r="BR36" s="50">
        <f t="shared" si="14"/>
        <v>0</v>
      </c>
      <c r="BT36" s="49"/>
      <c r="BU36" s="49"/>
      <c r="BV36" s="50">
        <f t="shared" si="15"/>
        <v>0</v>
      </c>
      <c r="BX36" s="49"/>
      <c r="BY36" s="49"/>
      <c r="BZ36" s="50">
        <f t="shared" si="16"/>
        <v>0</v>
      </c>
      <c r="CB36" s="49"/>
      <c r="CC36" s="49"/>
      <c r="CD36" s="50">
        <f t="shared" si="17"/>
        <v>0</v>
      </c>
      <c r="CF36" s="49"/>
      <c r="CG36" s="49"/>
      <c r="CH36" s="50">
        <f t="shared" si="18"/>
        <v>0</v>
      </c>
      <c r="CJ36" s="49"/>
      <c r="CK36" s="49"/>
      <c r="CL36" s="50">
        <f t="shared" si="19"/>
        <v>0</v>
      </c>
      <c r="CN36" s="49"/>
      <c r="CO36" s="49"/>
      <c r="CP36" s="50">
        <f t="shared" si="20"/>
        <v>0</v>
      </c>
      <c r="CR36" s="49"/>
      <c r="CS36" s="49"/>
      <c r="CT36" s="50">
        <f t="shared" si="21"/>
        <v>0</v>
      </c>
      <c r="CV36" s="49"/>
      <c r="CW36" s="49"/>
      <c r="CX36" s="50">
        <f t="shared" si="22"/>
        <v>0</v>
      </c>
      <c r="CZ36" s="49"/>
      <c r="DA36" s="49"/>
      <c r="DB36" s="50">
        <f t="shared" si="23"/>
        <v>0</v>
      </c>
      <c r="DD36" s="49"/>
      <c r="DE36" s="49"/>
      <c r="DF36" s="50">
        <f t="shared" si="24"/>
        <v>0</v>
      </c>
      <c r="DH36" s="49"/>
      <c r="DI36" s="49"/>
      <c r="DJ36" s="50">
        <f t="shared" si="25"/>
        <v>0</v>
      </c>
      <c r="DL36" s="49"/>
      <c r="DM36" s="49"/>
      <c r="DN36" s="50">
        <f t="shared" si="26"/>
        <v>0</v>
      </c>
      <c r="DP36" s="49"/>
      <c r="DQ36" s="49"/>
      <c r="DR36" s="50">
        <f t="shared" si="27"/>
        <v>0</v>
      </c>
      <c r="DT36" s="49"/>
      <c r="DU36" s="49"/>
      <c r="DV36" s="50">
        <f t="shared" si="28"/>
        <v>0</v>
      </c>
      <c r="DX36" s="49"/>
      <c r="DY36" s="49"/>
      <c r="DZ36" s="50">
        <f t="shared" si="29"/>
        <v>0</v>
      </c>
      <c r="EB36" s="49">
        <f t="shared" si="30"/>
        <v>0</v>
      </c>
      <c r="EC36" s="49">
        <f t="shared" si="31"/>
        <v>0</v>
      </c>
      <c r="ED36" s="49">
        <f t="shared" si="32"/>
        <v>0</v>
      </c>
    </row>
    <row r="37" spans="2:134" ht="11" customHeight="1" x14ac:dyDescent="0.35">
      <c r="B37" s="4">
        <v>106509</v>
      </c>
      <c r="C37" s="4" t="s">
        <v>43</v>
      </c>
      <c r="D37" s="4">
        <v>12</v>
      </c>
      <c r="E37" s="5">
        <v>12</v>
      </c>
      <c r="F37" s="6">
        <v>475.78878293999998</v>
      </c>
      <c r="G37" s="7"/>
      <c r="H37" s="49"/>
      <c r="I37" s="49"/>
      <c r="J37" s="50">
        <f t="shared" si="33"/>
        <v>0</v>
      </c>
      <c r="K37" s="9"/>
      <c r="L37" s="49"/>
      <c r="M37" s="49"/>
      <c r="N37" s="50">
        <f t="shared" si="0"/>
        <v>0</v>
      </c>
      <c r="O37" s="46"/>
      <c r="P37" s="49"/>
      <c r="Q37" s="49"/>
      <c r="R37" s="50">
        <f t="shared" si="1"/>
        <v>0</v>
      </c>
      <c r="T37" s="49"/>
      <c r="U37" s="49"/>
      <c r="V37" s="50">
        <f t="shared" si="2"/>
        <v>0</v>
      </c>
      <c r="X37" s="49"/>
      <c r="Y37" s="49"/>
      <c r="Z37" s="50">
        <f t="shared" si="3"/>
        <v>0</v>
      </c>
      <c r="AB37" s="49"/>
      <c r="AC37" s="49"/>
      <c r="AD37" s="50">
        <f t="shared" si="4"/>
        <v>0</v>
      </c>
      <c r="AF37" s="49"/>
      <c r="AG37" s="49"/>
      <c r="AH37" s="50">
        <f t="shared" si="5"/>
        <v>0</v>
      </c>
      <c r="AJ37" s="49"/>
      <c r="AK37" s="49"/>
      <c r="AL37" s="50">
        <f t="shared" si="6"/>
        <v>0</v>
      </c>
      <c r="AN37" s="49"/>
      <c r="AO37" s="49"/>
      <c r="AP37" s="50">
        <f t="shared" si="7"/>
        <v>0</v>
      </c>
      <c r="AR37" s="49"/>
      <c r="AS37" s="49"/>
      <c r="AT37" s="50">
        <f t="shared" si="8"/>
        <v>0</v>
      </c>
      <c r="AV37" s="49"/>
      <c r="AW37" s="49"/>
      <c r="AX37" s="50">
        <f t="shared" si="9"/>
        <v>0</v>
      </c>
      <c r="AZ37" s="49"/>
      <c r="BA37" s="49"/>
      <c r="BB37" s="50">
        <f t="shared" si="10"/>
        <v>0</v>
      </c>
      <c r="BD37" s="49"/>
      <c r="BE37" s="49"/>
      <c r="BF37" s="50">
        <f t="shared" si="11"/>
        <v>0</v>
      </c>
      <c r="BH37" s="49"/>
      <c r="BI37" s="49"/>
      <c r="BJ37" s="50">
        <f t="shared" si="12"/>
        <v>0</v>
      </c>
      <c r="BL37" s="49"/>
      <c r="BM37" s="49"/>
      <c r="BN37" s="50">
        <f t="shared" si="13"/>
        <v>0</v>
      </c>
      <c r="BP37" s="49"/>
      <c r="BQ37" s="49"/>
      <c r="BR37" s="50">
        <f t="shared" si="14"/>
        <v>0</v>
      </c>
      <c r="BT37" s="49"/>
      <c r="BU37" s="49"/>
      <c r="BV37" s="50">
        <f t="shared" si="15"/>
        <v>0</v>
      </c>
      <c r="BX37" s="49"/>
      <c r="BY37" s="49"/>
      <c r="BZ37" s="50">
        <f t="shared" si="16"/>
        <v>0</v>
      </c>
      <c r="CB37" s="49"/>
      <c r="CC37" s="49"/>
      <c r="CD37" s="50">
        <f t="shared" si="17"/>
        <v>0</v>
      </c>
      <c r="CF37" s="49"/>
      <c r="CG37" s="49"/>
      <c r="CH37" s="50">
        <f t="shared" si="18"/>
        <v>0</v>
      </c>
      <c r="CJ37" s="49"/>
      <c r="CK37" s="49"/>
      <c r="CL37" s="50">
        <f t="shared" si="19"/>
        <v>0</v>
      </c>
      <c r="CN37" s="49"/>
      <c r="CO37" s="49"/>
      <c r="CP37" s="50">
        <f t="shared" si="20"/>
        <v>0</v>
      </c>
      <c r="CR37" s="49"/>
      <c r="CS37" s="49"/>
      <c r="CT37" s="50">
        <f t="shared" si="21"/>
        <v>0</v>
      </c>
      <c r="CV37" s="49"/>
      <c r="CW37" s="49"/>
      <c r="CX37" s="50">
        <f t="shared" si="22"/>
        <v>0</v>
      </c>
      <c r="CZ37" s="49"/>
      <c r="DA37" s="49"/>
      <c r="DB37" s="50">
        <f t="shared" si="23"/>
        <v>0</v>
      </c>
      <c r="DD37" s="49"/>
      <c r="DE37" s="49"/>
      <c r="DF37" s="50">
        <f t="shared" si="24"/>
        <v>0</v>
      </c>
      <c r="DH37" s="49"/>
      <c r="DI37" s="49"/>
      <c r="DJ37" s="50">
        <f t="shared" si="25"/>
        <v>0</v>
      </c>
      <c r="DL37" s="49"/>
      <c r="DM37" s="49"/>
      <c r="DN37" s="50">
        <f t="shared" si="26"/>
        <v>0</v>
      </c>
      <c r="DP37" s="49"/>
      <c r="DQ37" s="49"/>
      <c r="DR37" s="50">
        <f t="shared" si="27"/>
        <v>0</v>
      </c>
      <c r="DT37" s="49"/>
      <c r="DU37" s="49"/>
      <c r="DV37" s="50">
        <f t="shared" si="28"/>
        <v>0</v>
      </c>
      <c r="DX37" s="49"/>
      <c r="DY37" s="49"/>
      <c r="DZ37" s="50">
        <f t="shared" si="29"/>
        <v>0</v>
      </c>
      <c r="EB37" s="49">
        <f t="shared" si="30"/>
        <v>0</v>
      </c>
      <c r="EC37" s="49">
        <f t="shared" si="31"/>
        <v>0</v>
      </c>
      <c r="ED37" s="49">
        <f t="shared" si="32"/>
        <v>0</v>
      </c>
    </row>
    <row r="38" spans="2:134" ht="11" customHeight="1" x14ac:dyDescent="0.35">
      <c r="B38" s="4">
        <v>106515</v>
      </c>
      <c r="C38" s="4" t="s">
        <v>44</v>
      </c>
      <c r="D38" s="4">
        <v>12</v>
      </c>
      <c r="E38" s="5">
        <v>12</v>
      </c>
      <c r="F38" s="6">
        <v>190.17517436</v>
      </c>
      <c r="G38" s="7"/>
      <c r="H38" s="49"/>
      <c r="I38" s="49"/>
      <c r="J38" s="50">
        <f t="shared" si="33"/>
        <v>0</v>
      </c>
      <c r="K38" s="9"/>
      <c r="L38" s="49"/>
      <c r="M38" s="49"/>
      <c r="N38" s="50">
        <f t="shared" si="0"/>
        <v>0</v>
      </c>
      <c r="O38" s="46"/>
      <c r="P38" s="49"/>
      <c r="Q38" s="49"/>
      <c r="R38" s="50">
        <f t="shared" si="1"/>
        <v>0</v>
      </c>
      <c r="T38" s="49"/>
      <c r="U38" s="49"/>
      <c r="V38" s="50">
        <f t="shared" si="2"/>
        <v>0</v>
      </c>
      <c r="X38" s="49"/>
      <c r="Y38" s="49"/>
      <c r="Z38" s="50">
        <f t="shared" si="3"/>
        <v>0</v>
      </c>
      <c r="AB38" s="49"/>
      <c r="AC38" s="49"/>
      <c r="AD38" s="50">
        <f t="shared" si="4"/>
        <v>0</v>
      </c>
      <c r="AF38" s="49"/>
      <c r="AG38" s="49"/>
      <c r="AH38" s="50">
        <f t="shared" si="5"/>
        <v>0</v>
      </c>
      <c r="AJ38" s="49"/>
      <c r="AK38" s="49"/>
      <c r="AL38" s="50">
        <f t="shared" si="6"/>
        <v>0</v>
      </c>
      <c r="AN38" s="49"/>
      <c r="AO38" s="49"/>
      <c r="AP38" s="50">
        <f t="shared" si="7"/>
        <v>0</v>
      </c>
      <c r="AR38" s="49"/>
      <c r="AS38" s="49"/>
      <c r="AT38" s="50">
        <f t="shared" si="8"/>
        <v>0</v>
      </c>
      <c r="AV38" s="49"/>
      <c r="AW38" s="49"/>
      <c r="AX38" s="50">
        <f t="shared" si="9"/>
        <v>0</v>
      </c>
      <c r="AZ38" s="49"/>
      <c r="BA38" s="49"/>
      <c r="BB38" s="50">
        <f t="shared" si="10"/>
        <v>0</v>
      </c>
      <c r="BD38" s="49"/>
      <c r="BE38" s="49"/>
      <c r="BF38" s="50">
        <f t="shared" si="11"/>
        <v>0</v>
      </c>
      <c r="BH38" s="49"/>
      <c r="BI38" s="49"/>
      <c r="BJ38" s="50">
        <f t="shared" si="12"/>
        <v>0</v>
      </c>
      <c r="BL38" s="49"/>
      <c r="BM38" s="49"/>
      <c r="BN38" s="50">
        <f t="shared" si="13"/>
        <v>0</v>
      </c>
      <c r="BP38" s="49"/>
      <c r="BQ38" s="49"/>
      <c r="BR38" s="50">
        <f t="shared" si="14"/>
        <v>0</v>
      </c>
      <c r="BT38" s="49"/>
      <c r="BU38" s="49"/>
      <c r="BV38" s="50">
        <f t="shared" si="15"/>
        <v>0</v>
      </c>
      <c r="BX38" s="49"/>
      <c r="BY38" s="49"/>
      <c r="BZ38" s="50">
        <f t="shared" si="16"/>
        <v>0</v>
      </c>
      <c r="CB38" s="49"/>
      <c r="CC38" s="49"/>
      <c r="CD38" s="50">
        <f t="shared" si="17"/>
        <v>0</v>
      </c>
      <c r="CF38" s="49"/>
      <c r="CG38" s="49"/>
      <c r="CH38" s="50">
        <f t="shared" si="18"/>
        <v>0</v>
      </c>
      <c r="CJ38" s="49"/>
      <c r="CK38" s="49"/>
      <c r="CL38" s="50">
        <f t="shared" si="19"/>
        <v>0</v>
      </c>
      <c r="CN38" s="49"/>
      <c r="CO38" s="49"/>
      <c r="CP38" s="50">
        <f t="shared" si="20"/>
        <v>0</v>
      </c>
      <c r="CR38" s="49"/>
      <c r="CS38" s="49"/>
      <c r="CT38" s="50">
        <f t="shared" si="21"/>
        <v>0</v>
      </c>
      <c r="CV38" s="49"/>
      <c r="CW38" s="49"/>
      <c r="CX38" s="50">
        <f t="shared" si="22"/>
        <v>0</v>
      </c>
      <c r="CZ38" s="49"/>
      <c r="DA38" s="49"/>
      <c r="DB38" s="50">
        <f t="shared" si="23"/>
        <v>0</v>
      </c>
      <c r="DD38" s="49"/>
      <c r="DE38" s="49"/>
      <c r="DF38" s="50">
        <f t="shared" si="24"/>
        <v>0</v>
      </c>
      <c r="DH38" s="49"/>
      <c r="DI38" s="49"/>
      <c r="DJ38" s="50">
        <f t="shared" si="25"/>
        <v>0</v>
      </c>
      <c r="DL38" s="49"/>
      <c r="DM38" s="49"/>
      <c r="DN38" s="50">
        <f t="shared" si="26"/>
        <v>0</v>
      </c>
      <c r="DP38" s="49"/>
      <c r="DQ38" s="49"/>
      <c r="DR38" s="50">
        <f t="shared" si="27"/>
        <v>0</v>
      </c>
      <c r="DT38" s="49"/>
      <c r="DU38" s="49"/>
      <c r="DV38" s="50">
        <f t="shared" si="28"/>
        <v>0</v>
      </c>
      <c r="DX38" s="49"/>
      <c r="DY38" s="49"/>
      <c r="DZ38" s="50">
        <f t="shared" si="29"/>
        <v>0</v>
      </c>
      <c r="EB38" s="49">
        <f t="shared" si="30"/>
        <v>0</v>
      </c>
      <c r="EC38" s="49">
        <f t="shared" si="31"/>
        <v>0</v>
      </c>
      <c r="ED38" s="49">
        <f t="shared" si="32"/>
        <v>0</v>
      </c>
    </row>
    <row r="39" spans="2:134" ht="11" customHeight="1" x14ac:dyDescent="0.35">
      <c r="B39" s="4">
        <v>106526</v>
      </c>
      <c r="C39" s="4" t="s">
        <v>45</v>
      </c>
      <c r="D39" s="4">
        <v>24</v>
      </c>
      <c r="E39" s="5">
        <v>18</v>
      </c>
      <c r="F39" s="6">
        <v>189.29879107400001</v>
      </c>
      <c r="G39" s="7"/>
      <c r="H39" s="49"/>
      <c r="I39" s="49"/>
      <c r="J39" s="50">
        <f t="shared" si="33"/>
        <v>0</v>
      </c>
      <c r="K39" s="9"/>
      <c r="L39" s="49"/>
      <c r="M39" s="49"/>
      <c r="N39" s="50">
        <f t="shared" si="0"/>
        <v>0</v>
      </c>
      <c r="O39" s="46"/>
      <c r="P39" s="49"/>
      <c r="Q39" s="49"/>
      <c r="R39" s="50">
        <f t="shared" si="1"/>
        <v>0</v>
      </c>
      <c r="T39" s="49"/>
      <c r="U39" s="49"/>
      <c r="V39" s="50">
        <f t="shared" si="2"/>
        <v>0</v>
      </c>
      <c r="X39" s="49"/>
      <c r="Y39" s="49"/>
      <c r="Z39" s="50">
        <f t="shared" si="3"/>
        <v>0</v>
      </c>
      <c r="AB39" s="49"/>
      <c r="AC39" s="49"/>
      <c r="AD39" s="50">
        <f t="shared" si="4"/>
        <v>0</v>
      </c>
      <c r="AF39" s="49"/>
      <c r="AG39" s="49"/>
      <c r="AH39" s="50">
        <f t="shared" si="5"/>
        <v>0</v>
      </c>
      <c r="AJ39" s="49"/>
      <c r="AK39" s="49"/>
      <c r="AL39" s="50">
        <f t="shared" si="6"/>
        <v>0</v>
      </c>
      <c r="AN39" s="49"/>
      <c r="AO39" s="49"/>
      <c r="AP39" s="50">
        <f t="shared" si="7"/>
        <v>0</v>
      </c>
      <c r="AR39" s="49"/>
      <c r="AS39" s="49"/>
      <c r="AT39" s="50">
        <f t="shared" si="8"/>
        <v>0</v>
      </c>
      <c r="AV39" s="49"/>
      <c r="AW39" s="49"/>
      <c r="AX39" s="50">
        <f t="shared" si="9"/>
        <v>0</v>
      </c>
      <c r="AZ39" s="49"/>
      <c r="BA39" s="49"/>
      <c r="BB39" s="50">
        <f t="shared" si="10"/>
        <v>0</v>
      </c>
      <c r="BD39" s="49"/>
      <c r="BE39" s="49"/>
      <c r="BF39" s="50">
        <f t="shared" si="11"/>
        <v>0</v>
      </c>
      <c r="BH39" s="49"/>
      <c r="BI39" s="49"/>
      <c r="BJ39" s="50">
        <f t="shared" si="12"/>
        <v>0</v>
      </c>
      <c r="BL39" s="49"/>
      <c r="BM39" s="49"/>
      <c r="BN39" s="50">
        <f t="shared" si="13"/>
        <v>0</v>
      </c>
      <c r="BP39" s="49"/>
      <c r="BQ39" s="49"/>
      <c r="BR39" s="50">
        <f t="shared" si="14"/>
        <v>0</v>
      </c>
      <c r="BT39" s="49"/>
      <c r="BU39" s="49"/>
      <c r="BV39" s="50">
        <f t="shared" si="15"/>
        <v>0</v>
      </c>
      <c r="BX39" s="49"/>
      <c r="BY39" s="49"/>
      <c r="BZ39" s="50">
        <f t="shared" si="16"/>
        <v>0</v>
      </c>
      <c r="CB39" s="49"/>
      <c r="CC39" s="49"/>
      <c r="CD39" s="50">
        <f t="shared" si="17"/>
        <v>0</v>
      </c>
      <c r="CF39" s="49"/>
      <c r="CG39" s="49"/>
      <c r="CH39" s="50">
        <f t="shared" si="18"/>
        <v>0</v>
      </c>
      <c r="CJ39" s="49"/>
      <c r="CK39" s="49"/>
      <c r="CL39" s="50">
        <f t="shared" si="19"/>
        <v>0</v>
      </c>
      <c r="CN39" s="49"/>
      <c r="CO39" s="49"/>
      <c r="CP39" s="50">
        <f t="shared" si="20"/>
        <v>0</v>
      </c>
      <c r="CR39" s="49"/>
      <c r="CS39" s="49"/>
      <c r="CT39" s="50">
        <f t="shared" si="21"/>
        <v>0</v>
      </c>
      <c r="CV39" s="49"/>
      <c r="CW39" s="49"/>
      <c r="CX39" s="50">
        <f t="shared" si="22"/>
        <v>0</v>
      </c>
      <c r="CZ39" s="49"/>
      <c r="DA39" s="49"/>
      <c r="DB39" s="50">
        <f t="shared" si="23"/>
        <v>0</v>
      </c>
      <c r="DD39" s="49"/>
      <c r="DE39" s="49"/>
      <c r="DF39" s="50">
        <f t="shared" si="24"/>
        <v>0</v>
      </c>
      <c r="DH39" s="49"/>
      <c r="DI39" s="49"/>
      <c r="DJ39" s="50">
        <f t="shared" si="25"/>
        <v>0</v>
      </c>
      <c r="DL39" s="49"/>
      <c r="DM39" s="49"/>
      <c r="DN39" s="50">
        <f t="shared" si="26"/>
        <v>0</v>
      </c>
      <c r="DP39" s="49"/>
      <c r="DQ39" s="49"/>
      <c r="DR39" s="50">
        <f t="shared" si="27"/>
        <v>0</v>
      </c>
      <c r="DT39" s="49"/>
      <c r="DU39" s="49"/>
      <c r="DV39" s="50">
        <f t="shared" si="28"/>
        <v>0</v>
      </c>
      <c r="DX39" s="49"/>
      <c r="DY39" s="49"/>
      <c r="DZ39" s="50">
        <f t="shared" si="29"/>
        <v>0</v>
      </c>
      <c r="EB39" s="49">
        <f t="shared" si="30"/>
        <v>0</v>
      </c>
      <c r="EC39" s="49">
        <f t="shared" si="31"/>
        <v>0</v>
      </c>
      <c r="ED39" s="49">
        <f t="shared" si="32"/>
        <v>0</v>
      </c>
    </row>
    <row r="40" spans="2:134" ht="11" customHeight="1" x14ac:dyDescent="0.35">
      <c r="B40" s="4">
        <v>106527</v>
      </c>
      <c r="C40" s="4" t="s">
        <v>46</v>
      </c>
      <c r="D40" s="4">
        <v>24</v>
      </c>
      <c r="E40" s="5">
        <v>18</v>
      </c>
      <c r="F40" s="6">
        <v>189.29879107400001</v>
      </c>
      <c r="G40" s="7"/>
      <c r="H40" s="49"/>
      <c r="I40" s="49"/>
      <c r="J40" s="50">
        <f t="shared" si="33"/>
        <v>0</v>
      </c>
      <c r="K40" s="9"/>
      <c r="L40" s="49"/>
      <c r="M40" s="49"/>
      <c r="N40" s="50">
        <f t="shared" si="0"/>
        <v>0</v>
      </c>
      <c r="O40" s="46"/>
      <c r="P40" s="49"/>
      <c r="Q40" s="49"/>
      <c r="R40" s="50">
        <f t="shared" si="1"/>
        <v>0</v>
      </c>
      <c r="T40" s="49"/>
      <c r="U40" s="49"/>
      <c r="V40" s="50">
        <f t="shared" si="2"/>
        <v>0</v>
      </c>
      <c r="X40" s="49"/>
      <c r="Y40" s="49"/>
      <c r="Z40" s="50">
        <f t="shared" si="3"/>
        <v>0</v>
      </c>
      <c r="AB40" s="49"/>
      <c r="AC40" s="49"/>
      <c r="AD40" s="50">
        <f t="shared" si="4"/>
        <v>0</v>
      </c>
      <c r="AF40" s="49"/>
      <c r="AG40" s="49"/>
      <c r="AH40" s="50">
        <f t="shared" si="5"/>
        <v>0</v>
      </c>
      <c r="AJ40" s="49"/>
      <c r="AK40" s="49"/>
      <c r="AL40" s="50">
        <f t="shared" si="6"/>
        <v>0</v>
      </c>
      <c r="AN40" s="49"/>
      <c r="AO40" s="49"/>
      <c r="AP40" s="50">
        <f t="shared" si="7"/>
        <v>0</v>
      </c>
      <c r="AR40" s="49"/>
      <c r="AS40" s="49"/>
      <c r="AT40" s="50">
        <f t="shared" si="8"/>
        <v>0</v>
      </c>
      <c r="AV40" s="49"/>
      <c r="AW40" s="49"/>
      <c r="AX40" s="50">
        <f t="shared" si="9"/>
        <v>0</v>
      </c>
      <c r="AZ40" s="49"/>
      <c r="BA40" s="49"/>
      <c r="BB40" s="50">
        <f t="shared" si="10"/>
        <v>0</v>
      </c>
      <c r="BD40" s="49"/>
      <c r="BE40" s="49"/>
      <c r="BF40" s="50">
        <f t="shared" si="11"/>
        <v>0</v>
      </c>
      <c r="BH40" s="49"/>
      <c r="BI40" s="49"/>
      <c r="BJ40" s="50">
        <f t="shared" si="12"/>
        <v>0</v>
      </c>
      <c r="BL40" s="49"/>
      <c r="BM40" s="49"/>
      <c r="BN40" s="50">
        <f t="shared" si="13"/>
        <v>0</v>
      </c>
      <c r="BP40" s="49"/>
      <c r="BQ40" s="49"/>
      <c r="BR40" s="50">
        <f t="shared" si="14"/>
        <v>0</v>
      </c>
      <c r="BT40" s="49"/>
      <c r="BU40" s="49"/>
      <c r="BV40" s="50">
        <f t="shared" si="15"/>
        <v>0</v>
      </c>
      <c r="BX40" s="49"/>
      <c r="BY40" s="49"/>
      <c r="BZ40" s="50">
        <f t="shared" si="16"/>
        <v>0</v>
      </c>
      <c r="CB40" s="49"/>
      <c r="CC40" s="49"/>
      <c r="CD40" s="50">
        <f t="shared" si="17"/>
        <v>0</v>
      </c>
      <c r="CF40" s="49"/>
      <c r="CG40" s="49"/>
      <c r="CH40" s="50">
        <f t="shared" si="18"/>
        <v>0</v>
      </c>
      <c r="CJ40" s="49"/>
      <c r="CK40" s="49"/>
      <c r="CL40" s="50">
        <f t="shared" si="19"/>
        <v>0</v>
      </c>
      <c r="CN40" s="49"/>
      <c r="CO40" s="49"/>
      <c r="CP40" s="50">
        <f t="shared" si="20"/>
        <v>0</v>
      </c>
      <c r="CR40" s="49"/>
      <c r="CS40" s="49"/>
      <c r="CT40" s="50">
        <f t="shared" si="21"/>
        <v>0</v>
      </c>
      <c r="CV40" s="49"/>
      <c r="CW40" s="49"/>
      <c r="CX40" s="50">
        <f t="shared" si="22"/>
        <v>0</v>
      </c>
      <c r="CZ40" s="49"/>
      <c r="DA40" s="49"/>
      <c r="DB40" s="50">
        <f t="shared" si="23"/>
        <v>0</v>
      </c>
      <c r="DD40" s="49"/>
      <c r="DE40" s="49"/>
      <c r="DF40" s="50">
        <f t="shared" si="24"/>
        <v>0</v>
      </c>
      <c r="DH40" s="49"/>
      <c r="DI40" s="49"/>
      <c r="DJ40" s="50">
        <f t="shared" si="25"/>
        <v>0</v>
      </c>
      <c r="DL40" s="49"/>
      <c r="DM40" s="49"/>
      <c r="DN40" s="50">
        <f t="shared" si="26"/>
        <v>0</v>
      </c>
      <c r="DP40" s="49"/>
      <c r="DQ40" s="49"/>
      <c r="DR40" s="50">
        <f t="shared" si="27"/>
        <v>0</v>
      </c>
      <c r="DT40" s="49"/>
      <c r="DU40" s="49"/>
      <c r="DV40" s="50">
        <f t="shared" si="28"/>
        <v>0</v>
      </c>
      <c r="DX40" s="49"/>
      <c r="DY40" s="49"/>
      <c r="DZ40" s="50">
        <f t="shared" si="29"/>
        <v>0</v>
      </c>
      <c r="EB40" s="49">
        <f t="shared" si="30"/>
        <v>0</v>
      </c>
      <c r="EC40" s="49">
        <f t="shared" si="31"/>
        <v>0</v>
      </c>
      <c r="ED40" s="49">
        <f t="shared" si="32"/>
        <v>0</v>
      </c>
    </row>
    <row r="41" spans="2:134" ht="11" customHeight="1" x14ac:dyDescent="0.35">
      <c r="B41" s="4">
        <v>106528</v>
      </c>
      <c r="C41" s="4" t="s">
        <v>47</v>
      </c>
      <c r="D41" s="4">
        <v>24</v>
      </c>
      <c r="E41" s="5">
        <v>18</v>
      </c>
      <c r="F41" s="6">
        <v>189.29879107400001</v>
      </c>
      <c r="G41" s="7"/>
      <c r="H41" s="49"/>
      <c r="I41" s="49"/>
      <c r="J41" s="50">
        <f t="shared" si="33"/>
        <v>0</v>
      </c>
      <c r="K41" s="9"/>
      <c r="L41" s="49"/>
      <c r="M41" s="49"/>
      <c r="N41" s="50">
        <f t="shared" si="0"/>
        <v>0</v>
      </c>
      <c r="O41" s="46"/>
      <c r="P41" s="49"/>
      <c r="Q41" s="49"/>
      <c r="R41" s="50">
        <f t="shared" si="1"/>
        <v>0</v>
      </c>
      <c r="T41" s="49"/>
      <c r="U41" s="49"/>
      <c r="V41" s="50">
        <f t="shared" si="2"/>
        <v>0</v>
      </c>
      <c r="X41" s="49"/>
      <c r="Y41" s="49"/>
      <c r="Z41" s="50">
        <f t="shared" si="3"/>
        <v>0</v>
      </c>
      <c r="AB41" s="49"/>
      <c r="AC41" s="49"/>
      <c r="AD41" s="50">
        <f t="shared" si="4"/>
        <v>0</v>
      </c>
      <c r="AF41" s="49"/>
      <c r="AG41" s="49"/>
      <c r="AH41" s="50">
        <f t="shared" si="5"/>
        <v>0</v>
      </c>
      <c r="AJ41" s="49"/>
      <c r="AK41" s="49"/>
      <c r="AL41" s="50">
        <f t="shared" si="6"/>
        <v>0</v>
      </c>
      <c r="AN41" s="49"/>
      <c r="AO41" s="49"/>
      <c r="AP41" s="50">
        <f t="shared" si="7"/>
        <v>0</v>
      </c>
      <c r="AR41" s="49"/>
      <c r="AS41" s="49"/>
      <c r="AT41" s="50">
        <f t="shared" si="8"/>
        <v>0</v>
      </c>
      <c r="AV41" s="49"/>
      <c r="AW41" s="49"/>
      <c r="AX41" s="50">
        <f t="shared" si="9"/>
        <v>0</v>
      </c>
      <c r="AZ41" s="49"/>
      <c r="BA41" s="49"/>
      <c r="BB41" s="50">
        <f t="shared" si="10"/>
        <v>0</v>
      </c>
      <c r="BD41" s="49"/>
      <c r="BE41" s="49"/>
      <c r="BF41" s="50">
        <f t="shared" si="11"/>
        <v>0</v>
      </c>
      <c r="BH41" s="49"/>
      <c r="BI41" s="49"/>
      <c r="BJ41" s="50">
        <f t="shared" si="12"/>
        <v>0</v>
      </c>
      <c r="BL41" s="49"/>
      <c r="BM41" s="49"/>
      <c r="BN41" s="50">
        <f t="shared" si="13"/>
        <v>0</v>
      </c>
      <c r="BP41" s="49"/>
      <c r="BQ41" s="49"/>
      <c r="BR41" s="50">
        <f t="shared" si="14"/>
        <v>0</v>
      </c>
      <c r="BT41" s="49"/>
      <c r="BU41" s="49"/>
      <c r="BV41" s="50">
        <f t="shared" si="15"/>
        <v>0</v>
      </c>
      <c r="BX41" s="49"/>
      <c r="BY41" s="49"/>
      <c r="BZ41" s="50">
        <f t="shared" si="16"/>
        <v>0</v>
      </c>
      <c r="CB41" s="49"/>
      <c r="CC41" s="49"/>
      <c r="CD41" s="50">
        <f t="shared" si="17"/>
        <v>0</v>
      </c>
      <c r="CF41" s="49"/>
      <c r="CG41" s="49"/>
      <c r="CH41" s="50">
        <f t="shared" si="18"/>
        <v>0</v>
      </c>
      <c r="CJ41" s="49"/>
      <c r="CK41" s="49"/>
      <c r="CL41" s="50">
        <f t="shared" si="19"/>
        <v>0</v>
      </c>
      <c r="CN41" s="49"/>
      <c r="CO41" s="49"/>
      <c r="CP41" s="50">
        <f t="shared" si="20"/>
        <v>0</v>
      </c>
      <c r="CR41" s="49"/>
      <c r="CS41" s="49"/>
      <c r="CT41" s="50">
        <f t="shared" si="21"/>
        <v>0</v>
      </c>
      <c r="CV41" s="49"/>
      <c r="CW41" s="49"/>
      <c r="CX41" s="50">
        <f t="shared" si="22"/>
        <v>0</v>
      </c>
      <c r="CZ41" s="49"/>
      <c r="DA41" s="49"/>
      <c r="DB41" s="50">
        <f t="shared" si="23"/>
        <v>0</v>
      </c>
      <c r="DD41" s="49"/>
      <c r="DE41" s="49"/>
      <c r="DF41" s="50">
        <f t="shared" si="24"/>
        <v>0</v>
      </c>
      <c r="DH41" s="49"/>
      <c r="DI41" s="49"/>
      <c r="DJ41" s="50">
        <f t="shared" si="25"/>
        <v>0</v>
      </c>
      <c r="DL41" s="49"/>
      <c r="DM41" s="49"/>
      <c r="DN41" s="50">
        <f t="shared" si="26"/>
        <v>0</v>
      </c>
      <c r="DP41" s="49"/>
      <c r="DQ41" s="49"/>
      <c r="DR41" s="50">
        <f t="shared" si="27"/>
        <v>0</v>
      </c>
      <c r="DT41" s="49"/>
      <c r="DU41" s="49"/>
      <c r="DV41" s="50">
        <f t="shared" si="28"/>
        <v>0</v>
      </c>
      <c r="DX41" s="49"/>
      <c r="DY41" s="49"/>
      <c r="DZ41" s="50">
        <f t="shared" si="29"/>
        <v>0</v>
      </c>
      <c r="EB41" s="49">
        <f t="shared" si="30"/>
        <v>0</v>
      </c>
      <c r="EC41" s="49">
        <f t="shared" si="31"/>
        <v>0</v>
      </c>
      <c r="ED41" s="49">
        <f t="shared" si="32"/>
        <v>0</v>
      </c>
    </row>
    <row r="42" spans="2:134" ht="11" customHeight="1" x14ac:dyDescent="0.35">
      <c r="B42" s="4">
        <v>106608</v>
      </c>
      <c r="C42" s="4" t="s">
        <v>48</v>
      </c>
      <c r="D42" s="4">
        <v>12</v>
      </c>
      <c r="E42" s="5">
        <v>24</v>
      </c>
      <c r="F42" s="6">
        <v>190.671775</v>
      </c>
      <c r="G42" s="7"/>
      <c r="H42" s="49"/>
      <c r="I42" s="49"/>
      <c r="J42" s="50">
        <f t="shared" si="33"/>
        <v>0</v>
      </c>
      <c r="K42" s="9"/>
      <c r="L42" s="49"/>
      <c r="M42" s="49"/>
      <c r="N42" s="50">
        <f t="shared" si="0"/>
        <v>0</v>
      </c>
      <c r="O42" s="46"/>
      <c r="P42" s="49"/>
      <c r="Q42" s="49"/>
      <c r="R42" s="50">
        <f t="shared" si="1"/>
        <v>0</v>
      </c>
      <c r="T42" s="49"/>
      <c r="U42" s="49"/>
      <c r="V42" s="50">
        <f t="shared" si="2"/>
        <v>0</v>
      </c>
      <c r="X42" s="49"/>
      <c r="Y42" s="49"/>
      <c r="Z42" s="50">
        <f t="shared" si="3"/>
        <v>0</v>
      </c>
      <c r="AB42" s="49"/>
      <c r="AC42" s="49"/>
      <c r="AD42" s="50">
        <f t="shared" si="4"/>
        <v>0</v>
      </c>
      <c r="AF42" s="49"/>
      <c r="AG42" s="49"/>
      <c r="AH42" s="50">
        <f t="shared" si="5"/>
        <v>0</v>
      </c>
      <c r="AJ42" s="49"/>
      <c r="AK42" s="49"/>
      <c r="AL42" s="50">
        <f t="shared" si="6"/>
        <v>0</v>
      </c>
      <c r="AN42" s="49"/>
      <c r="AO42" s="49"/>
      <c r="AP42" s="50">
        <f t="shared" si="7"/>
        <v>0</v>
      </c>
      <c r="AR42" s="49"/>
      <c r="AS42" s="49"/>
      <c r="AT42" s="50">
        <f t="shared" si="8"/>
        <v>0</v>
      </c>
      <c r="AV42" s="49"/>
      <c r="AW42" s="49"/>
      <c r="AX42" s="50">
        <f t="shared" si="9"/>
        <v>0</v>
      </c>
      <c r="AZ42" s="49"/>
      <c r="BA42" s="49"/>
      <c r="BB42" s="50">
        <f t="shared" si="10"/>
        <v>0</v>
      </c>
      <c r="BD42" s="49"/>
      <c r="BE42" s="49"/>
      <c r="BF42" s="50">
        <f t="shared" si="11"/>
        <v>0</v>
      </c>
      <c r="BH42" s="49"/>
      <c r="BI42" s="49"/>
      <c r="BJ42" s="50">
        <f t="shared" si="12"/>
        <v>0</v>
      </c>
      <c r="BL42" s="49"/>
      <c r="BM42" s="49"/>
      <c r="BN42" s="50">
        <f t="shared" si="13"/>
        <v>0</v>
      </c>
      <c r="BP42" s="49"/>
      <c r="BQ42" s="49"/>
      <c r="BR42" s="50">
        <f t="shared" si="14"/>
        <v>0</v>
      </c>
      <c r="BT42" s="49"/>
      <c r="BU42" s="49"/>
      <c r="BV42" s="50">
        <f t="shared" si="15"/>
        <v>0</v>
      </c>
      <c r="BX42" s="49"/>
      <c r="BY42" s="49"/>
      <c r="BZ42" s="50">
        <f t="shared" si="16"/>
        <v>0</v>
      </c>
      <c r="CB42" s="49"/>
      <c r="CC42" s="49"/>
      <c r="CD42" s="50">
        <f t="shared" si="17"/>
        <v>0</v>
      </c>
      <c r="CF42" s="49"/>
      <c r="CG42" s="49"/>
      <c r="CH42" s="50">
        <f t="shared" si="18"/>
        <v>0</v>
      </c>
      <c r="CJ42" s="49"/>
      <c r="CK42" s="49"/>
      <c r="CL42" s="50">
        <f t="shared" si="19"/>
        <v>0</v>
      </c>
      <c r="CN42" s="49"/>
      <c r="CO42" s="49"/>
      <c r="CP42" s="50">
        <f t="shared" si="20"/>
        <v>0</v>
      </c>
      <c r="CR42" s="49"/>
      <c r="CS42" s="49"/>
      <c r="CT42" s="50">
        <f t="shared" si="21"/>
        <v>0</v>
      </c>
      <c r="CV42" s="49"/>
      <c r="CW42" s="49"/>
      <c r="CX42" s="50">
        <f t="shared" si="22"/>
        <v>0</v>
      </c>
      <c r="CZ42" s="49"/>
      <c r="DA42" s="49"/>
      <c r="DB42" s="50">
        <f t="shared" si="23"/>
        <v>0</v>
      </c>
      <c r="DD42" s="49"/>
      <c r="DE42" s="49"/>
      <c r="DF42" s="50">
        <f t="shared" si="24"/>
        <v>0</v>
      </c>
      <c r="DH42" s="49"/>
      <c r="DI42" s="49"/>
      <c r="DJ42" s="50">
        <f t="shared" si="25"/>
        <v>0</v>
      </c>
      <c r="DL42" s="49"/>
      <c r="DM42" s="49"/>
      <c r="DN42" s="50">
        <f t="shared" si="26"/>
        <v>0</v>
      </c>
      <c r="DP42" s="49"/>
      <c r="DQ42" s="49"/>
      <c r="DR42" s="50">
        <f t="shared" si="27"/>
        <v>0</v>
      </c>
      <c r="DT42" s="49"/>
      <c r="DU42" s="49"/>
      <c r="DV42" s="50">
        <f t="shared" si="28"/>
        <v>0</v>
      </c>
      <c r="DX42" s="49"/>
      <c r="DY42" s="49"/>
      <c r="DZ42" s="50">
        <f t="shared" si="29"/>
        <v>0</v>
      </c>
      <c r="EB42" s="49">
        <f t="shared" si="30"/>
        <v>0</v>
      </c>
      <c r="EC42" s="49">
        <f t="shared" si="31"/>
        <v>0</v>
      </c>
      <c r="ED42" s="49">
        <f t="shared" si="32"/>
        <v>0</v>
      </c>
    </row>
    <row r="43" spans="2:134" ht="11" customHeight="1" x14ac:dyDescent="0.35">
      <c r="B43" s="4">
        <v>106609</v>
      </c>
      <c r="C43" s="4" t="s">
        <v>49</v>
      </c>
      <c r="D43" s="4">
        <v>12</v>
      </c>
      <c r="E43" s="5">
        <v>24</v>
      </c>
      <c r="F43" s="6">
        <v>190.671775</v>
      </c>
      <c r="G43" s="7"/>
      <c r="H43" s="49"/>
      <c r="I43" s="49"/>
      <c r="J43" s="50">
        <f t="shared" si="33"/>
        <v>0</v>
      </c>
      <c r="K43" s="9"/>
      <c r="L43" s="49"/>
      <c r="M43" s="49"/>
      <c r="N43" s="50">
        <f t="shared" si="0"/>
        <v>0</v>
      </c>
      <c r="O43" s="46"/>
      <c r="P43" s="49"/>
      <c r="Q43" s="49"/>
      <c r="R43" s="50">
        <f t="shared" si="1"/>
        <v>0</v>
      </c>
      <c r="T43" s="49"/>
      <c r="U43" s="49"/>
      <c r="V43" s="50">
        <f t="shared" si="2"/>
        <v>0</v>
      </c>
      <c r="X43" s="49"/>
      <c r="Y43" s="49"/>
      <c r="Z43" s="50">
        <f t="shared" si="3"/>
        <v>0</v>
      </c>
      <c r="AB43" s="49"/>
      <c r="AC43" s="49"/>
      <c r="AD43" s="50">
        <f t="shared" si="4"/>
        <v>0</v>
      </c>
      <c r="AF43" s="49"/>
      <c r="AG43" s="49"/>
      <c r="AH43" s="50">
        <f t="shared" si="5"/>
        <v>0</v>
      </c>
      <c r="AJ43" s="49"/>
      <c r="AK43" s="49"/>
      <c r="AL43" s="50">
        <f t="shared" si="6"/>
        <v>0</v>
      </c>
      <c r="AN43" s="49"/>
      <c r="AO43" s="49"/>
      <c r="AP43" s="50">
        <f t="shared" si="7"/>
        <v>0</v>
      </c>
      <c r="AR43" s="49"/>
      <c r="AS43" s="49"/>
      <c r="AT43" s="50">
        <f t="shared" si="8"/>
        <v>0</v>
      </c>
      <c r="AV43" s="49"/>
      <c r="AW43" s="49"/>
      <c r="AX43" s="50">
        <f t="shared" si="9"/>
        <v>0</v>
      </c>
      <c r="AZ43" s="49"/>
      <c r="BA43" s="49"/>
      <c r="BB43" s="50">
        <f t="shared" si="10"/>
        <v>0</v>
      </c>
      <c r="BD43" s="49"/>
      <c r="BE43" s="49"/>
      <c r="BF43" s="50">
        <f t="shared" si="11"/>
        <v>0</v>
      </c>
      <c r="BH43" s="49"/>
      <c r="BI43" s="49"/>
      <c r="BJ43" s="50">
        <f t="shared" si="12"/>
        <v>0</v>
      </c>
      <c r="BL43" s="49"/>
      <c r="BM43" s="49"/>
      <c r="BN43" s="50">
        <f t="shared" si="13"/>
        <v>0</v>
      </c>
      <c r="BP43" s="49"/>
      <c r="BQ43" s="49"/>
      <c r="BR43" s="50">
        <f t="shared" si="14"/>
        <v>0</v>
      </c>
      <c r="BT43" s="49"/>
      <c r="BU43" s="49"/>
      <c r="BV43" s="50">
        <f t="shared" si="15"/>
        <v>0</v>
      </c>
      <c r="BX43" s="49"/>
      <c r="BY43" s="49"/>
      <c r="BZ43" s="50">
        <f t="shared" si="16"/>
        <v>0</v>
      </c>
      <c r="CB43" s="49"/>
      <c r="CC43" s="49"/>
      <c r="CD43" s="50">
        <f t="shared" si="17"/>
        <v>0</v>
      </c>
      <c r="CF43" s="49"/>
      <c r="CG43" s="49"/>
      <c r="CH43" s="50">
        <f t="shared" si="18"/>
        <v>0</v>
      </c>
      <c r="CJ43" s="49"/>
      <c r="CK43" s="49"/>
      <c r="CL43" s="50">
        <f t="shared" si="19"/>
        <v>0</v>
      </c>
      <c r="CN43" s="49"/>
      <c r="CO43" s="49"/>
      <c r="CP43" s="50">
        <f t="shared" si="20"/>
        <v>0</v>
      </c>
      <c r="CR43" s="49"/>
      <c r="CS43" s="49"/>
      <c r="CT43" s="50">
        <f t="shared" si="21"/>
        <v>0</v>
      </c>
      <c r="CV43" s="49"/>
      <c r="CW43" s="49"/>
      <c r="CX43" s="50">
        <f t="shared" si="22"/>
        <v>0</v>
      </c>
      <c r="CZ43" s="49"/>
      <c r="DA43" s="49"/>
      <c r="DB43" s="50">
        <f t="shared" si="23"/>
        <v>0</v>
      </c>
      <c r="DD43" s="49"/>
      <c r="DE43" s="49"/>
      <c r="DF43" s="50">
        <f t="shared" si="24"/>
        <v>0</v>
      </c>
      <c r="DH43" s="49"/>
      <c r="DI43" s="49"/>
      <c r="DJ43" s="50">
        <f t="shared" si="25"/>
        <v>0</v>
      </c>
      <c r="DL43" s="49"/>
      <c r="DM43" s="49"/>
      <c r="DN43" s="50">
        <f t="shared" si="26"/>
        <v>0</v>
      </c>
      <c r="DP43" s="49"/>
      <c r="DQ43" s="49"/>
      <c r="DR43" s="50">
        <f t="shared" si="27"/>
        <v>0</v>
      </c>
      <c r="DT43" s="49"/>
      <c r="DU43" s="49"/>
      <c r="DV43" s="50">
        <f t="shared" si="28"/>
        <v>0</v>
      </c>
      <c r="DX43" s="49"/>
      <c r="DY43" s="49"/>
      <c r="DZ43" s="50">
        <f t="shared" si="29"/>
        <v>0</v>
      </c>
      <c r="EB43" s="49">
        <f t="shared" si="30"/>
        <v>0</v>
      </c>
      <c r="EC43" s="49">
        <f t="shared" si="31"/>
        <v>0</v>
      </c>
      <c r="ED43" s="49">
        <f t="shared" si="32"/>
        <v>0</v>
      </c>
    </row>
    <row r="44" spans="2:134" ht="11" customHeight="1" x14ac:dyDescent="0.35">
      <c r="B44" s="4">
        <v>106611</v>
      </c>
      <c r="C44" s="4" t="s">
        <v>50</v>
      </c>
      <c r="D44" s="4">
        <v>12</v>
      </c>
      <c r="E44" s="5">
        <v>24</v>
      </c>
      <c r="F44" s="6">
        <v>190.671775</v>
      </c>
      <c r="G44" s="7"/>
      <c r="H44" s="49"/>
      <c r="I44" s="49"/>
      <c r="J44" s="50">
        <f t="shared" si="33"/>
        <v>0</v>
      </c>
      <c r="K44" s="9"/>
      <c r="L44" s="49"/>
      <c r="M44" s="49"/>
      <c r="N44" s="50">
        <f t="shared" si="0"/>
        <v>0</v>
      </c>
      <c r="O44" s="46"/>
      <c r="P44" s="49"/>
      <c r="Q44" s="49"/>
      <c r="R44" s="50">
        <f t="shared" si="1"/>
        <v>0</v>
      </c>
      <c r="T44" s="49"/>
      <c r="U44" s="49"/>
      <c r="V44" s="50">
        <f t="shared" si="2"/>
        <v>0</v>
      </c>
      <c r="X44" s="49"/>
      <c r="Y44" s="49"/>
      <c r="Z44" s="50">
        <f t="shared" si="3"/>
        <v>0</v>
      </c>
      <c r="AB44" s="49"/>
      <c r="AC44" s="49"/>
      <c r="AD44" s="50">
        <f t="shared" si="4"/>
        <v>0</v>
      </c>
      <c r="AF44" s="49"/>
      <c r="AG44" s="49"/>
      <c r="AH44" s="50">
        <f t="shared" si="5"/>
        <v>0</v>
      </c>
      <c r="AJ44" s="49"/>
      <c r="AK44" s="49"/>
      <c r="AL44" s="50">
        <f t="shared" si="6"/>
        <v>0</v>
      </c>
      <c r="AN44" s="49"/>
      <c r="AO44" s="49"/>
      <c r="AP44" s="50">
        <f t="shared" si="7"/>
        <v>0</v>
      </c>
      <c r="AR44" s="49"/>
      <c r="AS44" s="49"/>
      <c r="AT44" s="50">
        <f t="shared" si="8"/>
        <v>0</v>
      </c>
      <c r="AV44" s="49"/>
      <c r="AW44" s="49"/>
      <c r="AX44" s="50">
        <f t="shared" si="9"/>
        <v>0</v>
      </c>
      <c r="AZ44" s="49"/>
      <c r="BA44" s="49"/>
      <c r="BB44" s="50">
        <f t="shared" si="10"/>
        <v>0</v>
      </c>
      <c r="BD44" s="49"/>
      <c r="BE44" s="49"/>
      <c r="BF44" s="50">
        <f t="shared" si="11"/>
        <v>0</v>
      </c>
      <c r="BH44" s="49"/>
      <c r="BI44" s="49"/>
      <c r="BJ44" s="50">
        <f t="shared" si="12"/>
        <v>0</v>
      </c>
      <c r="BL44" s="49"/>
      <c r="BM44" s="49"/>
      <c r="BN44" s="50">
        <f t="shared" si="13"/>
        <v>0</v>
      </c>
      <c r="BP44" s="49"/>
      <c r="BQ44" s="49"/>
      <c r="BR44" s="50">
        <f t="shared" si="14"/>
        <v>0</v>
      </c>
      <c r="BT44" s="49"/>
      <c r="BU44" s="49"/>
      <c r="BV44" s="50">
        <f t="shared" si="15"/>
        <v>0</v>
      </c>
      <c r="BX44" s="49"/>
      <c r="BY44" s="49"/>
      <c r="BZ44" s="50">
        <f t="shared" si="16"/>
        <v>0</v>
      </c>
      <c r="CB44" s="49"/>
      <c r="CC44" s="49"/>
      <c r="CD44" s="50">
        <f t="shared" si="17"/>
        <v>0</v>
      </c>
      <c r="CF44" s="49"/>
      <c r="CG44" s="49"/>
      <c r="CH44" s="50">
        <f t="shared" si="18"/>
        <v>0</v>
      </c>
      <c r="CJ44" s="49"/>
      <c r="CK44" s="49"/>
      <c r="CL44" s="50">
        <f t="shared" si="19"/>
        <v>0</v>
      </c>
      <c r="CN44" s="49"/>
      <c r="CO44" s="49"/>
      <c r="CP44" s="50">
        <f t="shared" si="20"/>
        <v>0</v>
      </c>
      <c r="CR44" s="49"/>
      <c r="CS44" s="49"/>
      <c r="CT44" s="50">
        <f t="shared" si="21"/>
        <v>0</v>
      </c>
      <c r="CV44" s="49"/>
      <c r="CW44" s="49"/>
      <c r="CX44" s="50">
        <f t="shared" si="22"/>
        <v>0</v>
      </c>
      <c r="CZ44" s="49"/>
      <c r="DA44" s="49"/>
      <c r="DB44" s="50">
        <f t="shared" si="23"/>
        <v>0</v>
      </c>
      <c r="DD44" s="49"/>
      <c r="DE44" s="49"/>
      <c r="DF44" s="50">
        <f t="shared" si="24"/>
        <v>0</v>
      </c>
      <c r="DH44" s="49"/>
      <c r="DI44" s="49"/>
      <c r="DJ44" s="50">
        <f t="shared" si="25"/>
        <v>0</v>
      </c>
      <c r="DL44" s="49"/>
      <c r="DM44" s="49"/>
      <c r="DN44" s="50">
        <f t="shared" si="26"/>
        <v>0</v>
      </c>
      <c r="DP44" s="49"/>
      <c r="DQ44" s="49"/>
      <c r="DR44" s="50">
        <f t="shared" si="27"/>
        <v>0</v>
      </c>
      <c r="DT44" s="49"/>
      <c r="DU44" s="49"/>
      <c r="DV44" s="50">
        <f t="shared" si="28"/>
        <v>0</v>
      </c>
      <c r="DX44" s="49"/>
      <c r="DY44" s="49"/>
      <c r="DZ44" s="50">
        <f t="shared" si="29"/>
        <v>0</v>
      </c>
      <c r="EB44" s="49">
        <f t="shared" si="30"/>
        <v>0</v>
      </c>
      <c r="EC44" s="49">
        <f t="shared" si="31"/>
        <v>0</v>
      </c>
      <c r="ED44" s="49">
        <f t="shared" si="32"/>
        <v>0</v>
      </c>
    </row>
    <row r="45" spans="2:134" ht="11" customHeight="1" x14ac:dyDescent="0.35">
      <c r="B45" s="4">
        <v>106616</v>
      </c>
      <c r="C45" s="4" t="s">
        <v>51</v>
      </c>
      <c r="D45" s="4">
        <v>6</v>
      </c>
      <c r="E45" s="5">
        <v>12</v>
      </c>
      <c r="F45" s="6">
        <v>476.67968294000002</v>
      </c>
      <c r="G45" s="7"/>
      <c r="H45" s="49"/>
      <c r="I45" s="49"/>
      <c r="J45" s="50">
        <f t="shared" si="33"/>
        <v>0</v>
      </c>
      <c r="K45" s="9"/>
      <c r="L45" s="49"/>
      <c r="M45" s="49"/>
      <c r="N45" s="50">
        <f t="shared" si="0"/>
        <v>0</v>
      </c>
      <c r="O45" s="46"/>
      <c r="P45" s="49"/>
      <c r="Q45" s="49"/>
      <c r="R45" s="50">
        <f t="shared" si="1"/>
        <v>0</v>
      </c>
      <c r="T45" s="49"/>
      <c r="U45" s="49"/>
      <c r="V45" s="50">
        <f t="shared" si="2"/>
        <v>0</v>
      </c>
      <c r="X45" s="49"/>
      <c r="Y45" s="49"/>
      <c r="Z45" s="50">
        <f t="shared" si="3"/>
        <v>0</v>
      </c>
      <c r="AB45" s="49"/>
      <c r="AC45" s="49"/>
      <c r="AD45" s="50">
        <f t="shared" si="4"/>
        <v>0</v>
      </c>
      <c r="AF45" s="49"/>
      <c r="AG45" s="49"/>
      <c r="AH45" s="50">
        <f t="shared" si="5"/>
        <v>0</v>
      </c>
      <c r="AJ45" s="49"/>
      <c r="AK45" s="49"/>
      <c r="AL45" s="50">
        <f t="shared" si="6"/>
        <v>0</v>
      </c>
      <c r="AN45" s="49"/>
      <c r="AO45" s="49"/>
      <c r="AP45" s="50">
        <f t="shared" si="7"/>
        <v>0</v>
      </c>
      <c r="AR45" s="49"/>
      <c r="AS45" s="49"/>
      <c r="AT45" s="50">
        <f t="shared" si="8"/>
        <v>0</v>
      </c>
      <c r="AV45" s="49"/>
      <c r="AW45" s="49"/>
      <c r="AX45" s="50">
        <f t="shared" si="9"/>
        <v>0</v>
      </c>
      <c r="AZ45" s="49"/>
      <c r="BA45" s="49"/>
      <c r="BB45" s="50">
        <f t="shared" si="10"/>
        <v>0</v>
      </c>
      <c r="BD45" s="49"/>
      <c r="BE45" s="49"/>
      <c r="BF45" s="50">
        <f t="shared" si="11"/>
        <v>0</v>
      </c>
      <c r="BH45" s="49"/>
      <c r="BI45" s="49"/>
      <c r="BJ45" s="50">
        <f t="shared" si="12"/>
        <v>0</v>
      </c>
      <c r="BL45" s="49"/>
      <c r="BM45" s="49"/>
      <c r="BN45" s="50">
        <f t="shared" si="13"/>
        <v>0</v>
      </c>
      <c r="BP45" s="49"/>
      <c r="BQ45" s="49"/>
      <c r="BR45" s="50">
        <f t="shared" si="14"/>
        <v>0</v>
      </c>
      <c r="BT45" s="49"/>
      <c r="BU45" s="49"/>
      <c r="BV45" s="50">
        <f t="shared" si="15"/>
        <v>0</v>
      </c>
      <c r="BX45" s="49"/>
      <c r="BY45" s="49"/>
      <c r="BZ45" s="50">
        <f t="shared" si="16"/>
        <v>0</v>
      </c>
      <c r="CB45" s="49"/>
      <c r="CC45" s="49"/>
      <c r="CD45" s="50">
        <f t="shared" si="17"/>
        <v>0</v>
      </c>
      <c r="CF45" s="49"/>
      <c r="CG45" s="49"/>
      <c r="CH45" s="50">
        <f t="shared" si="18"/>
        <v>0</v>
      </c>
      <c r="CJ45" s="49"/>
      <c r="CK45" s="49"/>
      <c r="CL45" s="50">
        <f t="shared" si="19"/>
        <v>0</v>
      </c>
      <c r="CN45" s="49"/>
      <c r="CO45" s="49"/>
      <c r="CP45" s="50">
        <f t="shared" si="20"/>
        <v>0</v>
      </c>
      <c r="CR45" s="49"/>
      <c r="CS45" s="49"/>
      <c r="CT45" s="50">
        <f t="shared" si="21"/>
        <v>0</v>
      </c>
      <c r="CV45" s="49"/>
      <c r="CW45" s="49"/>
      <c r="CX45" s="50">
        <f t="shared" si="22"/>
        <v>0</v>
      </c>
      <c r="CZ45" s="49"/>
      <c r="DA45" s="49"/>
      <c r="DB45" s="50">
        <f t="shared" si="23"/>
        <v>0</v>
      </c>
      <c r="DD45" s="49"/>
      <c r="DE45" s="49"/>
      <c r="DF45" s="50">
        <f t="shared" si="24"/>
        <v>0</v>
      </c>
      <c r="DH45" s="49"/>
      <c r="DI45" s="49"/>
      <c r="DJ45" s="50">
        <f t="shared" si="25"/>
        <v>0</v>
      </c>
      <c r="DL45" s="49"/>
      <c r="DM45" s="49"/>
      <c r="DN45" s="50">
        <f t="shared" si="26"/>
        <v>0</v>
      </c>
      <c r="DP45" s="49"/>
      <c r="DQ45" s="49"/>
      <c r="DR45" s="50">
        <f t="shared" si="27"/>
        <v>0</v>
      </c>
      <c r="DT45" s="49"/>
      <c r="DU45" s="49"/>
      <c r="DV45" s="50">
        <f t="shared" si="28"/>
        <v>0</v>
      </c>
      <c r="DX45" s="49"/>
      <c r="DY45" s="49"/>
      <c r="DZ45" s="50">
        <f t="shared" si="29"/>
        <v>0</v>
      </c>
      <c r="EB45" s="49">
        <f t="shared" si="30"/>
        <v>0</v>
      </c>
      <c r="EC45" s="49">
        <f t="shared" si="31"/>
        <v>0</v>
      </c>
      <c r="ED45" s="49">
        <f t="shared" si="32"/>
        <v>0</v>
      </c>
    </row>
    <row r="46" spans="2:134" ht="11" customHeight="1" x14ac:dyDescent="0.35">
      <c r="B46" s="4">
        <v>106617</v>
      </c>
      <c r="C46" s="4" t="s">
        <v>52</v>
      </c>
      <c r="D46" s="4">
        <v>6</v>
      </c>
      <c r="E46" s="5">
        <v>12</v>
      </c>
      <c r="F46" s="6">
        <v>476.67968294000002</v>
      </c>
      <c r="G46" s="7"/>
      <c r="H46" s="49"/>
      <c r="I46" s="49"/>
      <c r="J46" s="50">
        <f t="shared" si="33"/>
        <v>0</v>
      </c>
      <c r="K46" s="9"/>
      <c r="L46" s="49"/>
      <c r="M46" s="49"/>
      <c r="N46" s="50">
        <f t="shared" si="0"/>
        <v>0</v>
      </c>
      <c r="O46" s="46"/>
      <c r="P46" s="49"/>
      <c r="Q46" s="49"/>
      <c r="R46" s="50">
        <f t="shared" si="1"/>
        <v>0</v>
      </c>
      <c r="T46" s="49"/>
      <c r="U46" s="49"/>
      <c r="V46" s="50">
        <f t="shared" si="2"/>
        <v>0</v>
      </c>
      <c r="X46" s="49"/>
      <c r="Y46" s="49"/>
      <c r="Z46" s="50">
        <f t="shared" si="3"/>
        <v>0</v>
      </c>
      <c r="AB46" s="49"/>
      <c r="AC46" s="49"/>
      <c r="AD46" s="50">
        <f t="shared" si="4"/>
        <v>0</v>
      </c>
      <c r="AF46" s="49"/>
      <c r="AG46" s="49"/>
      <c r="AH46" s="50">
        <f t="shared" si="5"/>
        <v>0</v>
      </c>
      <c r="AJ46" s="49"/>
      <c r="AK46" s="49"/>
      <c r="AL46" s="50">
        <f t="shared" si="6"/>
        <v>0</v>
      </c>
      <c r="AN46" s="49"/>
      <c r="AO46" s="49"/>
      <c r="AP46" s="50">
        <f t="shared" si="7"/>
        <v>0</v>
      </c>
      <c r="AR46" s="49"/>
      <c r="AS46" s="49"/>
      <c r="AT46" s="50">
        <f t="shared" si="8"/>
        <v>0</v>
      </c>
      <c r="AV46" s="49"/>
      <c r="AW46" s="49"/>
      <c r="AX46" s="50">
        <f t="shared" si="9"/>
        <v>0</v>
      </c>
      <c r="AZ46" s="49"/>
      <c r="BA46" s="49"/>
      <c r="BB46" s="50">
        <f t="shared" si="10"/>
        <v>0</v>
      </c>
      <c r="BD46" s="49"/>
      <c r="BE46" s="49"/>
      <c r="BF46" s="50">
        <f t="shared" si="11"/>
        <v>0</v>
      </c>
      <c r="BH46" s="49"/>
      <c r="BI46" s="49"/>
      <c r="BJ46" s="50">
        <f t="shared" si="12"/>
        <v>0</v>
      </c>
      <c r="BL46" s="49"/>
      <c r="BM46" s="49"/>
      <c r="BN46" s="50">
        <f t="shared" si="13"/>
        <v>0</v>
      </c>
      <c r="BP46" s="49"/>
      <c r="BQ46" s="49"/>
      <c r="BR46" s="50">
        <f t="shared" si="14"/>
        <v>0</v>
      </c>
      <c r="BT46" s="49"/>
      <c r="BU46" s="49"/>
      <c r="BV46" s="50">
        <f t="shared" si="15"/>
        <v>0</v>
      </c>
      <c r="BX46" s="49"/>
      <c r="BY46" s="49"/>
      <c r="BZ46" s="50">
        <f t="shared" si="16"/>
        <v>0</v>
      </c>
      <c r="CB46" s="49"/>
      <c r="CC46" s="49"/>
      <c r="CD46" s="50">
        <f t="shared" si="17"/>
        <v>0</v>
      </c>
      <c r="CF46" s="49"/>
      <c r="CG46" s="49"/>
      <c r="CH46" s="50">
        <f t="shared" si="18"/>
        <v>0</v>
      </c>
      <c r="CJ46" s="49"/>
      <c r="CK46" s="49"/>
      <c r="CL46" s="50">
        <f t="shared" si="19"/>
        <v>0</v>
      </c>
      <c r="CN46" s="49"/>
      <c r="CO46" s="49"/>
      <c r="CP46" s="50">
        <f t="shared" si="20"/>
        <v>0</v>
      </c>
      <c r="CR46" s="49"/>
      <c r="CS46" s="49"/>
      <c r="CT46" s="50">
        <f t="shared" si="21"/>
        <v>0</v>
      </c>
      <c r="CV46" s="49"/>
      <c r="CW46" s="49"/>
      <c r="CX46" s="50">
        <f t="shared" si="22"/>
        <v>0</v>
      </c>
      <c r="CZ46" s="49"/>
      <c r="DA46" s="49"/>
      <c r="DB46" s="50">
        <f t="shared" si="23"/>
        <v>0</v>
      </c>
      <c r="DD46" s="49"/>
      <c r="DE46" s="49"/>
      <c r="DF46" s="50">
        <f t="shared" si="24"/>
        <v>0</v>
      </c>
      <c r="DH46" s="49"/>
      <c r="DI46" s="49"/>
      <c r="DJ46" s="50">
        <f t="shared" si="25"/>
        <v>0</v>
      </c>
      <c r="DL46" s="49"/>
      <c r="DM46" s="49"/>
      <c r="DN46" s="50">
        <f t="shared" si="26"/>
        <v>0</v>
      </c>
      <c r="DP46" s="49"/>
      <c r="DQ46" s="49"/>
      <c r="DR46" s="50">
        <f t="shared" si="27"/>
        <v>0</v>
      </c>
      <c r="DT46" s="49"/>
      <c r="DU46" s="49"/>
      <c r="DV46" s="50">
        <f t="shared" si="28"/>
        <v>0</v>
      </c>
      <c r="DX46" s="49"/>
      <c r="DY46" s="49"/>
      <c r="DZ46" s="50">
        <f t="shared" si="29"/>
        <v>0</v>
      </c>
      <c r="EB46" s="49">
        <f t="shared" si="30"/>
        <v>0</v>
      </c>
      <c r="EC46" s="49">
        <f t="shared" si="31"/>
        <v>0</v>
      </c>
      <c r="ED46" s="49">
        <f t="shared" si="32"/>
        <v>0</v>
      </c>
    </row>
    <row r="47" spans="2:134" ht="11" customHeight="1" x14ac:dyDescent="0.35">
      <c r="B47" s="4">
        <v>106618</v>
      </c>
      <c r="C47" s="4" t="s">
        <v>53</v>
      </c>
      <c r="D47" s="4">
        <v>6</v>
      </c>
      <c r="E47" s="5">
        <v>12</v>
      </c>
      <c r="F47" s="6">
        <v>476.67968294000002</v>
      </c>
      <c r="G47" s="7"/>
      <c r="H47" s="49"/>
      <c r="I47" s="49"/>
      <c r="J47" s="50">
        <f t="shared" si="33"/>
        <v>0</v>
      </c>
      <c r="K47" s="9"/>
      <c r="L47" s="49"/>
      <c r="M47" s="49"/>
      <c r="N47" s="50">
        <f t="shared" si="0"/>
        <v>0</v>
      </c>
      <c r="O47" s="46"/>
      <c r="P47" s="49"/>
      <c r="Q47" s="49"/>
      <c r="R47" s="50">
        <f t="shared" si="1"/>
        <v>0</v>
      </c>
      <c r="T47" s="49"/>
      <c r="U47" s="49"/>
      <c r="V47" s="50">
        <f t="shared" si="2"/>
        <v>0</v>
      </c>
      <c r="X47" s="49"/>
      <c r="Y47" s="49"/>
      <c r="Z47" s="50">
        <f t="shared" si="3"/>
        <v>0</v>
      </c>
      <c r="AB47" s="49"/>
      <c r="AC47" s="49"/>
      <c r="AD47" s="50">
        <f t="shared" si="4"/>
        <v>0</v>
      </c>
      <c r="AF47" s="49"/>
      <c r="AG47" s="49"/>
      <c r="AH47" s="50">
        <f t="shared" si="5"/>
        <v>0</v>
      </c>
      <c r="AJ47" s="49"/>
      <c r="AK47" s="49"/>
      <c r="AL47" s="50">
        <f t="shared" si="6"/>
        <v>0</v>
      </c>
      <c r="AN47" s="49"/>
      <c r="AO47" s="49"/>
      <c r="AP47" s="50">
        <f t="shared" si="7"/>
        <v>0</v>
      </c>
      <c r="AR47" s="49"/>
      <c r="AS47" s="49"/>
      <c r="AT47" s="50">
        <f t="shared" si="8"/>
        <v>0</v>
      </c>
      <c r="AV47" s="49"/>
      <c r="AW47" s="49"/>
      <c r="AX47" s="50">
        <f t="shared" si="9"/>
        <v>0</v>
      </c>
      <c r="AZ47" s="49"/>
      <c r="BA47" s="49"/>
      <c r="BB47" s="50">
        <f t="shared" si="10"/>
        <v>0</v>
      </c>
      <c r="BD47" s="49"/>
      <c r="BE47" s="49"/>
      <c r="BF47" s="50">
        <f t="shared" si="11"/>
        <v>0</v>
      </c>
      <c r="BH47" s="49"/>
      <c r="BI47" s="49"/>
      <c r="BJ47" s="50">
        <f t="shared" si="12"/>
        <v>0</v>
      </c>
      <c r="BL47" s="49"/>
      <c r="BM47" s="49"/>
      <c r="BN47" s="50">
        <f t="shared" si="13"/>
        <v>0</v>
      </c>
      <c r="BP47" s="49"/>
      <c r="BQ47" s="49"/>
      <c r="BR47" s="50">
        <f t="shared" si="14"/>
        <v>0</v>
      </c>
      <c r="BT47" s="49"/>
      <c r="BU47" s="49"/>
      <c r="BV47" s="50">
        <f t="shared" si="15"/>
        <v>0</v>
      </c>
      <c r="BX47" s="49"/>
      <c r="BY47" s="49"/>
      <c r="BZ47" s="50">
        <f t="shared" si="16"/>
        <v>0</v>
      </c>
      <c r="CB47" s="49"/>
      <c r="CC47" s="49"/>
      <c r="CD47" s="50">
        <f t="shared" si="17"/>
        <v>0</v>
      </c>
      <c r="CF47" s="49"/>
      <c r="CG47" s="49"/>
      <c r="CH47" s="50">
        <f t="shared" si="18"/>
        <v>0</v>
      </c>
      <c r="CJ47" s="49"/>
      <c r="CK47" s="49"/>
      <c r="CL47" s="50">
        <f t="shared" si="19"/>
        <v>0</v>
      </c>
      <c r="CN47" s="49"/>
      <c r="CO47" s="49"/>
      <c r="CP47" s="50">
        <f t="shared" si="20"/>
        <v>0</v>
      </c>
      <c r="CR47" s="49"/>
      <c r="CS47" s="49"/>
      <c r="CT47" s="50">
        <f t="shared" si="21"/>
        <v>0</v>
      </c>
      <c r="CV47" s="49"/>
      <c r="CW47" s="49"/>
      <c r="CX47" s="50">
        <f t="shared" si="22"/>
        <v>0</v>
      </c>
      <c r="CZ47" s="49"/>
      <c r="DA47" s="49"/>
      <c r="DB47" s="50">
        <f t="shared" si="23"/>
        <v>0</v>
      </c>
      <c r="DD47" s="49"/>
      <c r="DE47" s="49"/>
      <c r="DF47" s="50">
        <f t="shared" si="24"/>
        <v>0</v>
      </c>
      <c r="DH47" s="49"/>
      <c r="DI47" s="49"/>
      <c r="DJ47" s="50">
        <f t="shared" si="25"/>
        <v>0</v>
      </c>
      <c r="DL47" s="49"/>
      <c r="DM47" s="49"/>
      <c r="DN47" s="50">
        <f t="shared" si="26"/>
        <v>0</v>
      </c>
      <c r="DP47" s="49"/>
      <c r="DQ47" s="49"/>
      <c r="DR47" s="50">
        <f t="shared" si="27"/>
        <v>0</v>
      </c>
      <c r="DT47" s="49"/>
      <c r="DU47" s="49"/>
      <c r="DV47" s="50">
        <f t="shared" si="28"/>
        <v>0</v>
      </c>
      <c r="DX47" s="49"/>
      <c r="DY47" s="49"/>
      <c r="DZ47" s="50">
        <f t="shared" si="29"/>
        <v>0</v>
      </c>
      <c r="EB47" s="49">
        <f t="shared" si="30"/>
        <v>0</v>
      </c>
      <c r="EC47" s="49">
        <f t="shared" si="31"/>
        <v>0</v>
      </c>
      <c r="ED47" s="49">
        <f t="shared" si="32"/>
        <v>0</v>
      </c>
    </row>
    <row r="48" spans="2:134" ht="11" customHeight="1" x14ac:dyDescent="0.35">
      <c r="B48" s="4">
        <v>106620</v>
      </c>
      <c r="C48" s="4" t="s">
        <v>54</v>
      </c>
      <c r="D48" s="4">
        <v>12</v>
      </c>
      <c r="E48" s="5">
        <v>12</v>
      </c>
      <c r="F48" s="6">
        <v>468.865061078</v>
      </c>
      <c r="G48" s="7"/>
      <c r="H48" s="49"/>
      <c r="I48" s="49"/>
      <c r="J48" s="50">
        <f t="shared" si="33"/>
        <v>0</v>
      </c>
      <c r="K48" s="9"/>
      <c r="L48" s="49"/>
      <c r="M48" s="49"/>
      <c r="N48" s="50">
        <f t="shared" si="0"/>
        <v>0</v>
      </c>
      <c r="O48" s="46"/>
      <c r="P48" s="49"/>
      <c r="Q48" s="49"/>
      <c r="R48" s="50">
        <f t="shared" si="1"/>
        <v>0</v>
      </c>
      <c r="T48" s="49"/>
      <c r="U48" s="49"/>
      <c r="V48" s="50">
        <f t="shared" si="2"/>
        <v>0</v>
      </c>
      <c r="X48" s="49"/>
      <c r="Y48" s="49"/>
      <c r="Z48" s="50">
        <f t="shared" si="3"/>
        <v>0</v>
      </c>
      <c r="AB48" s="49"/>
      <c r="AC48" s="49"/>
      <c r="AD48" s="50">
        <f t="shared" si="4"/>
        <v>0</v>
      </c>
      <c r="AF48" s="49"/>
      <c r="AG48" s="49"/>
      <c r="AH48" s="50">
        <f t="shared" si="5"/>
        <v>0</v>
      </c>
      <c r="AJ48" s="49"/>
      <c r="AK48" s="49"/>
      <c r="AL48" s="50">
        <f t="shared" si="6"/>
        <v>0</v>
      </c>
      <c r="AN48" s="49"/>
      <c r="AO48" s="49"/>
      <c r="AP48" s="50">
        <f t="shared" si="7"/>
        <v>0</v>
      </c>
      <c r="AR48" s="49"/>
      <c r="AS48" s="49"/>
      <c r="AT48" s="50">
        <f t="shared" si="8"/>
        <v>0</v>
      </c>
      <c r="AV48" s="49"/>
      <c r="AW48" s="49"/>
      <c r="AX48" s="50">
        <f t="shared" si="9"/>
        <v>0</v>
      </c>
      <c r="AZ48" s="49"/>
      <c r="BA48" s="49"/>
      <c r="BB48" s="50">
        <f t="shared" si="10"/>
        <v>0</v>
      </c>
      <c r="BD48" s="49"/>
      <c r="BE48" s="49"/>
      <c r="BF48" s="50">
        <f t="shared" si="11"/>
        <v>0</v>
      </c>
      <c r="BH48" s="49"/>
      <c r="BI48" s="49"/>
      <c r="BJ48" s="50">
        <f t="shared" si="12"/>
        <v>0</v>
      </c>
      <c r="BL48" s="49"/>
      <c r="BM48" s="49"/>
      <c r="BN48" s="50">
        <f t="shared" si="13"/>
        <v>0</v>
      </c>
      <c r="BP48" s="49"/>
      <c r="BQ48" s="49"/>
      <c r="BR48" s="50">
        <f t="shared" si="14"/>
        <v>0</v>
      </c>
      <c r="BT48" s="49"/>
      <c r="BU48" s="49"/>
      <c r="BV48" s="50">
        <f t="shared" si="15"/>
        <v>0</v>
      </c>
      <c r="BX48" s="49"/>
      <c r="BY48" s="49"/>
      <c r="BZ48" s="50">
        <f t="shared" si="16"/>
        <v>0</v>
      </c>
      <c r="CB48" s="49"/>
      <c r="CC48" s="49"/>
      <c r="CD48" s="50">
        <f t="shared" si="17"/>
        <v>0</v>
      </c>
      <c r="CF48" s="49"/>
      <c r="CG48" s="49"/>
      <c r="CH48" s="50">
        <f t="shared" si="18"/>
        <v>0</v>
      </c>
      <c r="CJ48" s="49"/>
      <c r="CK48" s="49"/>
      <c r="CL48" s="50">
        <f t="shared" si="19"/>
        <v>0</v>
      </c>
      <c r="CN48" s="49"/>
      <c r="CO48" s="49"/>
      <c r="CP48" s="50">
        <f t="shared" si="20"/>
        <v>0</v>
      </c>
      <c r="CR48" s="49"/>
      <c r="CS48" s="49"/>
      <c r="CT48" s="50">
        <f t="shared" si="21"/>
        <v>0</v>
      </c>
      <c r="CV48" s="49"/>
      <c r="CW48" s="49"/>
      <c r="CX48" s="50">
        <f t="shared" si="22"/>
        <v>0</v>
      </c>
      <c r="CZ48" s="49"/>
      <c r="DA48" s="49"/>
      <c r="DB48" s="50">
        <f t="shared" si="23"/>
        <v>0</v>
      </c>
      <c r="DD48" s="49"/>
      <c r="DE48" s="49"/>
      <c r="DF48" s="50">
        <f t="shared" si="24"/>
        <v>0</v>
      </c>
      <c r="DH48" s="49"/>
      <c r="DI48" s="49"/>
      <c r="DJ48" s="50">
        <f t="shared" si="25"/>
        <v>0</v>
      </c>
      <c r="DL48" s="49"/>
      <c r="DM48" s="49"/>
      <c r="DN48" s="50">
        <f t="shared" si="26"/>
        <v>0</v>
      </c>
      <c r="DP48" s="49"/>
      <c r="DQ48" s="49"/>
      <c r="DR48" s="50">
        <f t="shared" si="27"/>
        <v>0</v>
      </c>
      <c r="DT48" s="49"/>
      <c r="DU48" s="49"/>
      <c r="DV48" s="50">
        <f t="shared" si="28"/>
        <v>0</v>
      </c>
      <c r="DX48" s="49"/>
      <c r="DY48" s="49"/>
      <c r="DZ48" s="50">
        <f t="shared" si="29"/>
        <v>0</v>
      </c>
      <c r="EB48" s="49">
        <f t="shared" si="30"/>
        <v>0</v>
      </c>
      <c r="EC48" s="49">
        <f t="shared" si="31"/>
        <v>0</v>
      </c>
      <c r="ED48" s="49">
        <f t="shared" si="32"/>
        <v>0</v>
      </c>
    </row>
    <row r="49" spans="2:134" ht="11" customHeight="1" x14ac:dyDescent="0.35">
      <c r="B49" s="4">
        <v>106622</v>
      </c>
      <c r="C49" s="4" t="s">
        <v>55</v>
      </c>
      <c r="D49" s="4">
        <v>12</v>
      </c>
      <c r="E49" s="5">
        <v>12</v>
      </c>
      <c r="F49" s="6">
        <v>468.865061078</v>
      </c>
      <c r="G49" s="7"/>
      <c r="H49" s="49"/>
      <c r="I49" s="49"/>
      <c r="J49" s="50">
        <f t="shared" si="33"/>
        <v>0</v>
      </c>
      <c r="K49" s="9"/>
      <c r="L49" s="49"/>
      <c r="M49" s="49"/>
      <c r="N49" s="50">
        <f t="shared" si="0"/>
        <v>0</v>
      </c>
      <c r="O49" s="46"/>
      <c r="P49" s="49"/>
      <c r="Q49" s="49"/>
      <c r="R49" s="50">
        <f t="shared" si="1"/>
        <v>0</v>
      </c>
      <c r="T49" s="49"/>
      <c r="U49" s="49"/>
      <c r="V49" s="50">
        <f t="shared" si="2"/>
        <v>0</v>
      </c>
      <c r="X49" s="49"/>
      <c r="Y49" s="49"/>
      <c r="Z49" s="50">
        <f t="shared" si="3"/>
        <v>0</v>
      </c>
      <c r="AB49" s="49"/>
      <c r="AC49" s="49"/>
      <c r="AD49" s="50">
        <f t="shared" si="4"/>
        <v>0</v>
      </c>
      <c r="AF49" s="49"/>
      <c r="AG49" s="49"/>
      <c r="AH49" s="50">
        <f t="shared" si="5"/>
        <v>0</v>
      </c>
      <c r="AJ49" s="49"/>
      <c r="AK49" s="49"/>
      <c r="AL49" s="50">
        <f t="shared" si="6"/>
        <v>0</v>
      </c>
      <c r="AN49" s="49"/>
      <c r="AO49" s="49"/>
      <c r="AP49" s="50">
        <f t="shared" si="7"/>
        <v>0</v>
      </c>
      <c r="AR49" s="49"/>
      <c r="AS49" s="49"/>
      <c r="AT49" s="50">
        <f t="shared" si="8"/>
        <v>0</v>
      </c>
      <c r="AV49" s="49"/>
      <c r="AW49" s="49"/>
      <c r="AX49" s="50">
        <f t="shared" si="9"/>
        <v>0</v>
      </c>
      <c r="AZ49" s="49"/>
      <c r="BA49" s="49"/>
      <c r="BB49" s="50">
        <f t="shared" si="10"/>
        <v>0</v>
      </c>
      <c r="BD49" s="49"/>
      <c r="BE49" s="49"/>
      <c r="BF49" s="50">
        <f t="shared" si="11"/>
        <v>0</v>
      </c>
      <c r="BH49" s="49"/>
      <c r="BI49" s="49"/>
      <c r="BJ49" s="50">
        <f t="shared" si="12"/>
        <v>0</v>
      </c>
      <c r="BL49" s="49"/>
      <c r="BM49" s="49"/>
      <c r="BN49" s="50">
        <f t="shared" si="13"/>
        <v>0</v>
      </c>
      <c r="BP49" s="49"/>
      <c r="BQ49" s="49"/>
      <c r="BR49" s="50">
        <f t="shared" si="14"/>
        <v>0</v>
      </c>
      <c r="BT49" s="49"/>
      <c r="BU49" s="49"/>
      <c r="BV49" s="50">
        <f t="shared" si="15"/>
        <v>0</v>
      </c>
      <c r="BX49" s="49"/>
      <c r="BY49" s="49"/>
      <c r="BZ49" s="50">
        <f t="shared" si="16"/>
        <v>0</v>
      </c>
      <c r="CB49" s="49"/>
      <c r="CC49" s="49"/>
      <c r="CD49" s="50">
        <f t="shared" si="17"/>
        <v>0</v>
      </c>
      <c r="CF49" s="49"/>
      <c r="CG49" s="49"/>
      <c r="CH49" s="50">
        <f t="shared" si="18"/>
        <v>0</v>
      </c>
      <c r="CJ49" s="49"/>
      <c r="CK49" s="49"/>
      <c r="CL49" s="50">
        <f t="shared" si="19"/>
        <v>0</v>
      </c>
      <c r="CN49" s="49"/>
      <c r="CO49" s="49"/>
      <c r="CP49" s="50">
        <f t="shared" si="20"/>
        <v>0</v>
      </c>
      <c r="CR49" s="49"/>
      <c r="CS49" s="49"/>
      <c r="CT49" s="50">
        <f t="shared" si="21"/>
        <v>0</v>
      </c>
      <c r="CV49" s="49"/>
      <c r="CW49" s="49"/>
      <c r="CX49" s="50">
        <f t="shared" si="22"/>
        <v>0</v>
      </c>
      <c r="CZ49" s="49"/>
      <c r="DA49" s="49"/>
      <c r="DB49" s="50">
        <f t="shared" si="23"/>
        <v>0</v>
      </c>
      <c r="DD49" s="49"/>
      <c r="DE49" s="49"/>
      <c r="DF49" s="50">
        <f t="shared" si="24"/>
        <v>0</v>
      </c>
      <c r="DH49" s="49"/>
      <c r="DI49" s="49"/>
      <c r="DJ49" s="50">
        <f t="shared" si="25"/>
        <v>0</v>
      </c>
      <c r="DL49" s="49"/>
      <c r="DM49" s="49"/>
      <c r="DN49" s="50">
        <f t="shared" si="26"/>
        <v>0</v>
      </c>
      <c r="DP49" s="49"/>
      <c r="DQ49" s="49"/>
      <c r="DR49" s="50">
        <f t="shared" si="27"/>
        <v>0</v>
      </c>
      <c r="DT49" s="49"/>
      <c r="DU49" s="49"/>
      <c r="DV49" s="50">
        <f t="shared" si="28"/>
        <v>0</v>
      </c>
      <c r="DX49" s="49"/>
      <c r="DY49" s="49"/>
      <c r="DZ49" s="50">
        <f t="shared" si="29"/>
        <v>0</v>
      </c>
      <c r="EB49" s="49">
        <f t="shared" si="30"/>
        <v>0</v>
      </c>
      <c r="EC49" s="49">
        <f t="shared" si="31"/>
        <v>0</v>
      </c>
      <c r="ED49" s="49">
        <f t="shared" si="32"/>
        <v>0</v>
      </c>
    </row>
    <row r="50" spans="2:134" ht="11" customHeight="1" x14ac:dyDescent="0.35">
      <c r="B50" s="4">
        <v>107013</v>
      </c>
      <c r="C50" s="4" t="s">
        <v>56</v>
      </c>
      <c r="D50" s="4">
        <v>1</v>
      </c>
      <c r="E50" s="5">
        <v>24</v>
      </c>
      <c r="F50" s="6">
        <v>197.18624064799999</v>
      </c>
      <c r="G50" s="7"/>
      <c r="H50" s="49"/>
      <c r="I50" s="49"/>
      <c r="J50" s="50">
        <f t="shared" si="33"/>
        <v>0</v>
      </c>
      <c r="K50" s="9"/>
      <c r="L50" s="49"/>
      <c r="M50" s="49"/>
      <c r="N50" s="50">
        <f t="shared" si="0"/>
        <v>0</v>
      </c>
      <c r="O50" s="46"/>
      <c r="P50" s="49"/>
      <c r="Q50" s="49"/>
      <c r="R50" s="50">
        <f t="shared" si="1"/>
        <v>0</v>
      </c>
      <c r="T50" s="49"/>
      <c r="U50" s="49"/>
      <c r="V50" s="50">
        <f t="shared" si="2"/>
        <v>0</v>
      </c>
      <c r="X50" s="49"/>
      <c r="Y50" s="49"/>
      <c r="Z50" s="50">
        <f t="shared" si="3"/>
        <v>0</v>
      </c>
      <c r="AB50" s="49"/>
      <c r="AC50" s="49"/>
      <c r="AD50" s="50">
        <f t="shared" si="4"/>
        <v>0</v>
      </c>
      <c r="AF50" s="49"/>
      <c r="AG50" s="49"/>
      <c r="AH50" s="50">
        <f t="shared" si="5"/>
        <v>0</v>
      </c>
      <c r="AJ50" s="49"/>
      <c r="AK50" s="49"/>
      <c r="AL50" s="50">
        <f t="shared" si="6"/>
        <v>0</v>
      </c>
      <c r="AN50" s="49"/>
      <c r="AO50" s="49"/>
      <c r="AP50" s="50">
        <f t="shared" si="7"/>
        <v>0</v>
      </c>
      <c r="AR50" s="49"/>
      <c r="AS50" s="49"/>
      <c r="AT50" s="50">
        <f t="shared" si="8"/>
        <v>0</v>
      </c>
      <c r="AV50" s="49"/>
      <c r="AW50" s="49"/>
      <c r="AX50" s="50">
        <f t="shared" si="9"/>
        <v>0</v>
      </c>
      <c r="AZ50" s="49"/>
      <c r="BA50" s="49"/>
      <c r="BB50" s="50">
        <f t="shared" si="10"/>
        <v>0</v>
      </c>
      <c r="BD50" s="49"/>
      <c r="BE50" s="49"/>
      <c r="BF50" s="50">
        <f t="shared" si="11"/>
        <v>0</v>
      </c>
      <c r="BH50" s="49"/>
      <c r="BI50" s="49"/>
      <c r="BJ50" s="50">
        <f t="shared" si="12"/>
        <v>0</v>
      </c>
      <c r="BL50" s="49"/>
      <c r="BM50" s="49"/>
      <c r="BN50" s="50">
        <f t="shared" si="13"/>
        <v>0</v>
      </c>
      <c r="BP50" s="49"/>
      <c r="BQ50" s="49"/>
      <c r="BR50" s="50">
        <f t="shared" si="14"/>
        <v>0</v>
      </c>
      <c r="BT50" s="49"/>
      <c r="BU50" s="49"/>
      <c r="BV50" s="50">
        <f t="shared" si="15"/>
        <v>0</v>
      </c>
      <c r="BX50" s="49"/>
      <c r="BY50" s="49"/>
      <c r="BZ50" s="50">
        <f t="shared" si="16"/>
        <v>0</v>
      </c>
      <c r="CB50" s="49"/>
      <c r="CC50" s="49"/>
      <c r="CD50" s="50">
        <f t="shared" si="17"/>
        <v>0</v>
      </c>
      <c r="CF50" s="49"/>
      <c r="CG50" s="49"/>
      <c r="CH50" s="50">
        <f t="shared" si="18"/>
        <v>0</v>
      </c>
      <c r="CJ50" s="49"/>
      <c r="CK50" s="49"/>
      <c r="CL50" s="50">
        <f t="shared" si="19"/>
        <v>0</v>
      </c>
      <c r="CN50" s="49"/>
      <c r="CO50" s="49"/>
      <c r="CP50" s="50">
        <f t="shared" si="20"/>
        <v>0</v>
      </c>
      <c r="CR50" s="49"/>
      <c r="CS50" s="49"/>
      <c r="CT50" s="50">
        <f t="shared" si="21"/>
        <v>0</v>
      </c>
      <c r="CV50" s="49"/>
      <c r="CW50" s="49"/>
      <c r="CX50" s="50">
        <f t="shared" si="22"/>
        <v>0</v>
      </c>
      <c r="CZ50" s="49"/>
      <c r="DA50" s="49"/>
      <c r="DB50" s="50">
        <f t="shared" si="23"/>
        <v>0</v>
      </c>
      <c r="DD50" s="49"/>
      <c r="DE50" s="49"/>
      <c r="DF50" s="50">
        <f t="shared" si="24"/>
        <v>0</v>
      </c>
      <c r="DH50" s="49"/>
      <c r="DI50" s="49"/>
      <c r="DJ50" s="50">
        <f t="shared" si="25"/>
        <v>0</v>
      </c>
      <c r="DL50" s="49"/>
      <c r="DM50" s="49"/>
      <c r="DN50" s="50">
        <f t="shared" si="26"/>
        <v>0</v>
      </c>
      <c r="DP50" s="49"/>
      <c r="DQ50" s="49"/>
      <c r="DR50" s="50">
        <f t="shared" si="27"/>
        <v>0</v>
      </c>
      <c r="DT50" s="49"/>
      <c r="DU50" s="49"/>
      <c r="DV50" s="50">
        <f t="shared" si="28"/>
        <v>0</v>
      </c>
      <c r="DX50" s="49"/>
      <c r="DY50" s="49"/>
      <c r="DZ50" s="50">
        <f t="shared" si="29"/>
        <v>0</v>
      </c>
      <c r="EB50" s="49">
        <f t="shared" si="30"/>
        <v>0</v>
      </c>
      <c r="EC50" s="49">
        <f t="shared" si="31"/>
        <v>0</v>
      </c>
      <c r="ED50" s="49">
        <f t="shared" si="32"/>
        <v>0</v>
      </c>
    </row>
    <row r="51" spans="2:134" ht="11" customHeight="1" x14ac:dyDescent="0.35">
      <c r="B51" s="4">
        <v>107017</v>
      </c>
      <c r="C51" s="4" t="s">
        <v>57</v>
      </c>
      <c r="D51" s="4">
        <v>100</v>
      </c>
      <c r="E51" s="5">
        <v>12</v>
      </c>
      <c r="F51" s="6">
        <v>801.89063294000005</v>
      </c>
      <c r="G51" s="7"/>
      <c r="H51" s="49"/>
      <c r="I51" s="49"/>
      <c r="J51" s="50">
        <f t="shared" si="33"/>
        <v>0</v>
      </c>
      <c r="K51" s="9"/>
      <c r="L51" s="49"/>
      <c r="M51" s="49"/>
      <c r="N51" s="50">
        <f t="shared" si="0"/>
        <v>0</v>
      </c>
      <c r="O51" s="46"/>
      <c r="P51" s="49"/>
      <c r="Q51" s="49"/>
      <c r="R51" s="50">
        <f t="shared" si="1"/>
        <v>0</v>
      </c>
      <c r="T51" s="49"/>
      <c r="U51" s="49"/>
      <c r="V51" s="50">
        <f t="shared" si="2"/>
        <v>0</v>
      </c>
      <c r="X51" s="49"/>
      <c r="Y51" s="49"/>
      <c r="Z51" s="50">
        <f t="shared" si="3"/>
        <v>0</v>
      </c>
      <c r="AB51" s="49"/>
      <c r="AC51" s="49"/>
      <c r="AD51" s="50">
        <f t="shared" si="4"/>
        <v>0</v>
      </c>
      <c r="AF51" s="49"/>
      <c r="AG51" s="49"/>
      <c r="AH51" s="50">
        <f t="shared" si="5"/>
        <v>0</v>
      </c>
      <c r="AJ51" s="49"/>
      <c r="AK51" s="49"/>
      <c r="AL51" s="50">
        <f t="shared" si="6"/>
        <v>0</v>
      </c>
      <c r="AN51" s="49"/>
      <c r="AO51" s="49"/>
      <c r="AP51" s="50">
        <f t="shared" si="7"/>
        <v>0</v>
      </c>
      <c r="AR51" s="49"/>
      <c r="AS51" s="49"/>
      <c r="AT51" s="50">
        <f t="shared" si="8"/>
        <v>0</v>
      </c>
      <c r="AV51" s="49"/>
      <c r="AW51" s="49"/>
      <c r="AX51" s="50">
        <f t="shared" si="9"/>
        <v>0</v>
      </c>
      <c r="AZ51" s="49"/>
      <c r="BA51" s="49"/>
      <c r="BB51" s="50">
        <f t="shared" si="10"/>
        <v>0</v>
      </c>
      <c r="BD51" s="49"/>
      <c r="BE51" s="49"/>
      <c r="BF51" s="50">
        <f t="shared" si="11"/>
        <v>0</v>
      </c>
      <c r="BH51" s="49"/>
      <c r="BI51" s="49"/>
      <c r="BJ51" s="50">
        <f t="shared" si="12"/>
        <v>0</v>
      </c>
      <c r="BL51" s="49"/>
      <c r="BM51" s="49"/>
      <c r="BN51" s="50">
        <f t="shared" si="13"/>
        <v>0</v>
      </c>
      <c r="BP51" s="49"/>
      <c r="BQ51" s="49"/>
      <c r="BR51" s="50">
        <f t="shared" si="14"/>
        <v>0</v>
      </c>
      <c r="BT51" s="49"/>
      <c r="BU51" s="49"/>
      <c r="BV51" s="50">
        <f t="shared" si="15"/>
        <v>0</v>
      </c>
      <c r="BX51" s="49"/>
      <c r="BY51" s="49"/>
      <c r="BZ51" s="50">
        <f t="shared" si="16"/>
        <v>0</v>
      </c>
      <c r="CB51" s="49"/>
      <c r="CC51" s="49"/>
      <c r="CD51" s="50">
        <f t="shared" si="17"/>
        <v>0</v>
      </c>
      <c r="CF51" s="49"/>
      <c r="CG51" s="49"/>
      <c r="CH51" s="50">
        <f t="shared" si="18"/>
        <v>0</v>
      </c>
      <c r="CJ51" s="49"/>
      <c r="CK51" s="49"/>
      <c r="CL51" s="50">
        <f t="shared" si="19"/>
        <v>0</v>
      </c>
      <c r="CN51" s="49"/>
      <c r="CO51" s="49"/>
      <c r="CP51" s="50">
        <f t="shared" si="20"/>
        <v>0</v>
      </c>
      <c r="CR51" s="49"/>
      <c r="CS51" s="49"/>
      <c r="CT51" s="50">
        <f t="shared" si="21"/>
        <v>0</v>
      </c>
      <c r="CV51" s="49"/>
      <c r="CW51" s="49"/>
      <c r="CX51" s="50">
        <f t="shared" si="22"/>
        <v>0</v>
      </c>
      <c r="CZ51" s="49"/>
      <c r="DA51" s="49"/>
      <c r="DB51" s="50">
        <f t="shared" si="23"/>
        <v>0</v>
      </c>
      <c r="DD51" s="49"/>
      <c r="DE51" s="49"/>
      <c r="DF51" s="50">
        <f t="shared" si="24"/>
        <v>0</v>
      </c>
      <c r="DH51" s="49"/>
      <c r="DI51" s="49"/>
      <c r="DJ51" s="50">
        <f t="shared" si="25"/>
        <v>0</v>
      </c>
      <c r="DL51" s="49"/>
      <c r="DM51" s="49"/>
      <c r="DN51" s="50">
        <f t="shared" si="26"/>
        <v>0</v>
      </c>
      <c r="DP51" s="49"/>
      <c r="DQ51" s="49"/>
      <c r="DR51" s="50">
        <f t="shared" si="27"/>
        <v>0</v>
      </c>
      <c r="DT51" s="49"/>
      <c r="DU51" s="49"/>
      <c r="DV51" s="50">
        <f t="shared" si="28"/>
        <v>0</v>
      </c>
      <c r="DX51" s="49"/>
      <c r="DY51" s="49"/>
      <c r="DZ51" s="50">
        <f t="shared" si="29"/>
        <v>0</v>
      </c>
      <c r="EB51" s="49">
        <f t="shared" si="30"/>
        <v>0</v>
      </c>
      <c r="EC51" s="49">
        <f t="shared" si="31"/>
        <v>0</v>
      </c>
      <c r="ED51" s="49">
        <f t="shared" si="32"/>
        <v>0</v>
      </c>
    </row>
    <row r="52" spans="2:134" ht="11" customHeight="1" x14ac:dyDescent="0.35">
      <c r="B52" s="4">
        <v>107511</v>
      </c>
      <c r="C52" s="4" t="s">
        <v>58</v>
      </c>
      <c r="D52" s="4">
        <v>12</v>
      </c>
      <c r="E52" s="5">
        <v>24</v>
      </c>
      <c r="F52" s="6">
        <v>288.68257499999999</v>
      </c>
      <c r="G52" s="7"/>
      <c r="H52" s="49"/>
      <c r="I52" s="49"/>
      <c r="J52" s="50">
        <f t="shared" si="33"/>
        <v>0</v>
      </c>
      <c r="K52" s="9"/>
      <c r="L52" s="49"/>
      <c r="M52" s="49"/>
      <c r="N52" s="50">
        <f t="shared" si="0"/>
        <v>0</v>
      </c>
      <c r="O52" s="46"/>
      <c r="P52" s="49"/>
      <c r="Q52" s="49"/>
      <c r="R52" s="50">
        <f t="shared" si="1"/>
        <v>0</v>
      </c>
      <c r="T52" s="49"/>
      <c r="U52" s="49"/>
      <c r="V52" s="50">
        <f t="shared" si="2"/>
        <v>0</v>
      </c>
      <c r="X52" s="49"/>
      <c r="Y52" s="49"/>
      <c r="Z52" s="50">
        <f t="shared" si="3"/>
        <v>0</v>
      </c>
      <c r="AB52" s="49"/>
      <c r="AC52" s="49"/>
      <c r="AD52" s="50">
        <f t="shared" si="4"/>
        <v>0</v>
      </c>
      <c r="AF52" s="49"/>
      <c r="AG52" s="49"/>
      <c r="AH52" s="50">
        <f t="shared" si="5"/>
        <v>0</v>
      </c>
      <c r="AJ52" s="49"/>
      <c r="AK52" s="49"/>
      <c r="AL52" s="50">
        <f t="shared" si="6"/>
        <v>0</v>
      </c>
      <c r="AN52" s="49"/>
      <c r="AO52" s="49"/>
      <c r="AP52" s="50">
        <f t="shared" si="7"/>
        <v>0</v>
      </c>
      <c r="AR52" s="49"/>
      <c r="AS52" s="49"/>
      <c r="AT52" s="50">
        <f t="shared" si="8"/>
        <v>0</v>
      </c>
      <c r="AV52" s="49"/>
      <c r="AW52" s="49"/>
      <c r="AX52" s="50">
        <f t="shared" si="9"/>
        <v>0</v>
      </c>
      <c r="AZ52" s="49"/>
      <c r="BA52" s="49"/>
      <c r="BB52" s="50">
        <f t="shared" si="10"/>
        <v>0</v>
      </c>
      <c r="BD52" s="49"/>
      <c r="BE52" s="49"/>
      <c r="BF52" s="50">
        <f t="shared" si="11"/>
        <v>0</v>
      </c>
      <c r="BH52" s="49"/>
      <c r="BI52" s="49"/>
      <c r="BJ52" s="50">
        <f t="shared" si="12"/>
        <v>0</v>
      </c>
      <c r="BL52" s="49"/>
      <c r="BM52" s="49"/>
      <c r="BN52" s="50">
        <f t="shared" si="13"/>
        <v>0</v>
      </c>
      <c r="BP52" s="49"/>
      <c r="BQ52" s="49"/>
      <c r="BR52" s="50">
        <f t="shared" si="14"/>
        <v>0</v>
      </c>
      <c r="BT52" s="49"/>
      <c r="BU52" s="49"/>
      <c r="BV52" s="50">
        <f t="shared" si="15"/>
        <v>0</v>
      </c>
      <c r="BX52" s="49"/>
      <c r="BY52" s="49"/>
      <c r="BZ52" s="50">
        <f t="shared" si="16"/>
        <v>0</v>
      </c>
      <c r="CB52" s="49"/>
      <c r="CC52" s="49"/>
      <c r="CD52" s="50">
        <f t="shared" si="17"/>
        <v>0</v>
      </c>
      <c r="CF52" s="49"/>
      <c r="CG52" s="49"/>
      <c r="CH52" s="50">
        <f t="shared" si="18"/>
        <v>0</v>
      </c>
      <c r="CJ52" s="49"/>
      <c r="CK52" s="49"/>
      <c r="CL52" s="50">
        <f t="shared" si="19"/>
        <v>0</v>
      </c>
      <c r="CN52" s="49"/>
      <c r="CO52" s="49"/>
      <c r="CP52" s="50">
        <f t="shared" si="20"/>
        <v>0</v>
      </c>
      <c r="CR52" s="49"/>
      <c r="CS52" s="49"/>
      <c r="CT52" s="50">
        <f t="shared" si="21"/>
        <v>0</v>
      </c>
      <c r="CV52" s="49"/>
      <c r="CW52" s="49"/>
      <c r="CX52" s="50">
        <f t="shared" si="22"/>
        <v>0</v>
      </c>
      <c r="CZ52" s="49"/>
      <c r="DA52" s="49"/>
      <c r="DB52" s="50">
        <f t="shared" si="23"/>
        <v>0</v>
      </c>
      <c r="DD52" s="49"/>
      <c r="DE52" s="49"/>
      <c r="DF52" s="50">
        <f t="shared" si="24"/>
        <v>0</v>
      </c>
      <c r="DH52" s="49"/>
      <c r="DI52" s="49"/>
      <c r="DJ52" s="50">
        <f t="shared" si="25"/>
        <v>0</v>
      </c>
      <c r="DL52" s="49"/>
      <c r="DM52" s="49"/>
      <c r="DN52" s="50">
        <f t="shared" si="26"/>
        <v>0</v>
      </c>
      <c r="DP52" s="49"/>
      <c r="DQ52" s="49"/>
      <c r="DR52" s="50">
        <f t="shared" si="27"/>
        <v>0</v>
      </c>
      <c r="DT52" s="49"/>
      <c r="DU52" s="49"/>
      <c r="DV52" s="50">
        <f t="shared" si="28"/>
        <v>0</v>
      </c>
      <c r="DX52" s="49"/>
      <c r="DY52" s="49"/>
      <c r="DZ52" s="50">
        <f t="shared" si="29"/>
        <v>0</v>
      </c>
      <c r="EB52" s="49">
        <f t="shared" si="30"/>
        <v>0</v>
      </c>
      <c r="EC52" s="49">
        <f t="shared" si="31"/>
        <v>0</v>
      </c>
      <c r="ED52" s="49">
        <f t="shared" si="32"/>
        <v>0</v>
      </c>
    </row>
    <row r="53" spans="2:134" ht="11" customHeight="1" x14ac:dyDescent="0.35">
      <c r="B53" s="4">
        <v>109014</v>
      </c>
      <c r="C53" s="4" t="s">
        <v>59</v>
      </c>
      <c r="D53" s="4">
        <v>1</v>
      </c>
      <c r="E53" s="5">
        <v>60</v>
      </c>
      <c r="F53" s="6">
        <v>40.540080000000003</v>
      </c>
      <c r="G53" s="7"/>
      <c r="H53" s="49"/>
      <c r="I53" s="49"/>
      <c r="J53" s="50">
        <f t="shared" si="33"/>
        <v>0</v>
      </c>
      <c r="K53" s="9"/>
      <c r="L53" s="49"/>
      <c r="M53" s="49"/>
      <c r="N53" s="50">
        <f t="shared" si="0"/>
        <v>0</v>
      </c>
      <c r="O53" s="46"/>
      <c r="P53" s="49"/>
      <c r="Q53" s="49"/>
      <c r="R53" s="50">
        <f t="shared" si="1"/>
        <v>0</v>
      </c>
      <c r="T53" s="49"/>
      <c r="U53" s="49"/>
      <c r="V53" s="50">
        <f t="shared" si="2"/>
        <v>0</v>
      </c>
      <c r="X53" s="49"/>
      <c r="Y53" s="49"/>
      <c r="Z53" s="50">
        <f t="shared" si="3"/>
        <v>0</v>
      </c>
      <c r="AB53" s="49"/>
      <c r="AC53" s="49"/>
      <c r="AD53" s="50">
        <f t="shared" si="4"/>
        <v>0</v>
      </c>
      <c r="AF53" s="49"/>
      <c r="AG53" s="49"/>
      <c r="AH53" s="50">
        <f t="shared" si="5"/>
        <v>0</v>
      </c>
      <c r="AJ53" s="49"/>
      <c r="AK53" s="49"/>
      <c r="AL53" s="50">
        <f t="shared" si="6"/>
        <v>0</v>
      </c>
      <c r="AN53" s="49"/>
      <c r="AO53" s="49"/>
      <c r="AP53" s="50">
        <f t="shared" si="7"/>
        <v>0</v>
      </c>
      <c r="AR53" s="49"/>
      <c r="AS53" s="49"/>
      <c r="AT53" s="50">
        <f t="shared" si="8"/>
        <v>0</v>
      </c>
      <c r="AV53" s="49"/>
      <c r="AW53" s="49"/>
      <c r="AX53" s="50">
        <f t="shared" si="9"/>
        <v>0</v>
      </c>
      <c r="AZ53" s="49"/>
      <c r="BA53" s="49"/>
      <c r="BB53" s="50">
        <f t="shared" si="10"/>
        <v>0</v>
      </c>
      <c r="BD53" s="49"/>
      <c r="BE53" s="49"/>
      <c r="BF53" s="50">
        <f t="shared" si="11"/>
        <v>0</v>
      </c>
      <c r="BH53" s="49"/>
      <c r="BI53" s="49"/>
      <c r="BJ53" s="50">
        <f t="shared" si="12"/>
        <v>0</v>
      </c>
      <c r="BL53" s="49"/>
      <c r="BM53" s="49"/>
      <c r="BN53" s="50">
        <f t="shared" si="13"/>
        <v>0</v>
      </c>
      <c r="BP53" s="49"/>
      <c r="BQ53" s="49"/>
      <c r="BR53" s="50">
        <f t="shared" si="14"/>
        <v>0</v>
      </c>
      <c r="BT53" s="49"/>
      <c r="BU53" s="49"/>
      <c r="BV53" s="50">
        <f t="shared" si="15"/>
        <v>0</v>
      </c>
      <c r="BX53" s="49"/>
      <c r="BY53" s="49"/>
      <c r="BZ53" s="50">
        <f t="shared" si="16"/>
        <v>0</v>
      </c>
      <c r="CB53" s="49"/>
      <c r="CC53" s="49"/>
      <c r="CD53" s="50">
        <f t="shared" si="17"/>
        <v>0</v>
      </c>
      <c r="CF53" s="49"/>
      <c r="CG53" s="49"/>
      <c r="CH53" s="50">
        <f t="shared" si="18"/>
        <v>0</v>
      </c>
      <c r="CJ53" s="49"/>
      <c r="CK53" s="49"/>
      <c r="CL53" s="50">
        <f t="shared" si="19"/>
        <v>0</v>
      </c>
      <c r="CN53" s="49"/>
      <c r="CO53" s="49"/>
      <c r="CP53" s="50">
        <f t="shared" si="20"/>
        <v>0</v>
      </c>
      <c r="CR53" s="49"/>
      <c r="CS53" s="49"/>
      <c r="CT53" s="50">
        <f t="shared" si="21"/>
        <v>0</v>
      </c>
      <c r="CV53" s="49"/>
      <c r="CW53" s="49"/>
      <c r="CX53" s="50">
        <f t="shared" si="22"/>
        <v>0</v>
      </c>
      <c r="CZ53" s="49"/>
      <c r="DA53" s="49"/>
      <c r="DB53" s="50">
        <f t="shared" si="23"/>
        <v>0</v>
      </c>
      <c r="DD53" s="49"/>
      <c r="DE53" s="49"/>
      <c r="DF53" s="50">
        <f t="shared" si="24"/>
        <v>0</v>
      </c>
      <c r="DH53" s="49"/>
      <c r="DI53" s="49"/>
      <c r="DJ53" s="50">
        <f t="shared" si="25"/>
        <v>0</v>
      </c>
      <c r="DL53" s="49"/>
      <c r="DM53" s="49"/>
      <c r="DN53" s="50">
        <f t="shared" si="26"/>
        <v>0</v>
      </c>
      <c r="DP53" s="49"/>
      <c r="DQ53" s="49"/>
      <c r="DR53" s="50">
        <f t="shared" si="27"/>
        <v>0</v>
      </c>
      <c r="DT53" s="49"/>
      <c r="DU53" s="49"/>
      <c r="DV53" s="50">
        <f t="shared" si="28"/>
        <v>0</v>
      </c>
      <c r="DX53" s="49"/>
      <c r="DY53" s="49"/>
      <c r="DZ53" s="50">
        <f t="shared" si="29"/>
        <v>0</v>
      </c>
      <c r="EB53" s="49">
        <f t="shared" si="30"/>
        <v>0</v>
      </c>
      <c r="EC53" s="49">
        <f t="shared" si="31"/>
        <v>0</v>
      </c>
      <c r="ED53" s="49">
        <f t="shared" si="32"/>
        <v>0</v>
      </c>
    </row>
    <row r="54" spans="2:134" ht="11" customHeight="1" x14ac:dyDescent="0.35">
      <c r="B54" s="4">
        <v>109015</v>
      </c>
      <c r="C54" s="4" t="s">
        <v>60</v>
      </c>
      <c r="D54" s="4">
        <v>1</v>
      </c>
      <c r="E54" s="5">
        <v>60</v>
      </c>
      <c r="F54" s="6">
        <v>40.540080000000003</v>
      </c>
      <c r="G54" s="7"/>
      <c r="H54" s="49"/>
      <c r="I54" s="49"/>
      <c r="J54" s="50">
        <f t="shared" si="33"/>
        <v>0</v>
      </c>
      <c r="K54" s="9"/>
      <c r="L54" s="49"/>
      <c r="M54" s="49"/>
      <c r="N54" s="50">
        <f t="shared" si="0"/>
        <v>0</v>
      </c>
      <c r="O54" s="46"/>
      <c r="P54" s="49"/>
      <c r="Q54" s="49"/>
      <c r="R54" s="50">
        <f t="shared" si="1"/>
        <v>0</v>
      </c>
      <c r="T54" s="49"/>
      <c r="U54" s="49"/>
      <c r="V54" s="50">
        <f t="shared" si="2"/>
        <v>0</v>
      </c>
      <c r="X54" s="49"/>
      <c r="Y54" s="49"/>
      <c r="Z54" s="50">
        <f t="shared" si="3"/>
        <v>0</v>
      </c>
      <c r="AB54" s="49"/>
      <c r="AC54" s="49"/>
      <c r="AD54" s="50">
        <f t="shared" si="4"/>
        <v>0</v>
      </c>
      <c r="AF54" s="49"/>
      <c r="AG54" s="49"/>
      <c r="AH54" s="50">
        <f t="shared" si="5"/>
        <v>0</v>
      </c>
      <c r="AJ54" s="49"/>
      <c r="AK54" s="49"/>
      <c r="AL54" s="50">
        <f t="shared" si="6"/>
        <v>0</v>
      </c>
      <c r="AN54" s="49"/>
      <c r="AO54" s="49"/>
      <c r="AP54" s="50">
        <f t="shared" si="7"/>
        <v>0</v>
      </c>
      <c r="AR54" s="49"/>
      <c r="AS54" s="49"/>
      <c r="AT54" s="50">
        <f t="shared" si="8"/>
        <v>0</v>
      </c>
      <c r="AV54" s="49"/>
      <c r="AW54" s="49"/>
      <c r="AX54" s="50">
        <f t="shared" si="9"/>
        <v>0</v>
      </c>
      <c r="AZ54" s="49"/>
      <c r="BA54" s="49"/>
      <c r="BB54" s="50">
        <f t="shared" si="10"/>
        <v>0</v>
      </c>
      <c r="BD54" s="49"/>
      <c r="BE54" s="49"/>
      <c r="BF54" s="50">
        <f t="shared" si="11"/>
        <v>0</v>
      </c>
      <c r="BH54" s="49"/>
      <c r="BI54" s="49"/>
      <c r="BJ54" s="50">
        <f t="shared" si="12"/>
        <v>0</v>
      </c>
      <c r="BL54" s="49"/>
      <c r="BM54" s="49"/>
      <c r="BN54" s="50">
        <f t="shared" si="13"/>
        <v>0</v>
      </c>
      <c r="BP54" s="49"/>
      <c r="BQ54" s="49"/>
      <c r="BR54" s="50">
        <f t="shared" si="14"/>
        <v>0</v>
      </c>
      <c r="BT54" s="49"/>
      <c r="BU54" s="49"/>
      <c r="BV54" s="50">
        <f t="shared" si="15"/>
        <v>0</v>
      </c>
      <c r="BX54" s="49"/>
      <c r="BY54" s="49"/>
      <c r="BZ54" s="50">
        <f t="shared" si="16"/>
        <v>0</v>
      </c>
      <c r="CB54" s="49"/>
      <c r="CC54" s="49"/>
      <c r="CD54" s="50">
        <f t="shared" si="17"/>
        <v>0</v>
      </c>
      <c r="CF54" s="49"/>
      <c r="CG54" s="49"/>
      <c r="CH54" s="50">
        <f t="shared" si="18"/>
        <v>0</v>
      </c>
      <c r="CJ54" s="49"/>
      <c r="CK54" s="49"/>
      <c r="CL54" s="50">
        <f t="shared" si="19"/>
        <v>0</v>
      </c>
      <c r="CN54" s="49"/>
      <c r="CO54" s="49"/>
      <c r="CP54" s="50">
        <f t="shared" si="20"/>
        <v>0</v>
      </c>
      <c r="CR54" s="49"/>
      <c r="CS54" s="49"/>
      <c r="CT54" s="50">
        <f t="shared" si="21"/>
        <v>0</v>
      </c>
      <c r="CV54" s="49"/>
      <c r="CW54" s="49"/>
      <c r="CX54" s="50">
        <f t="shared" si="22"/>
        <v>0</v>
      </c>
      <c r="CZ54" s="49"/>
      <c r="DA54" s="49"/>
      <c r="DB54" s="50">
        <f t="shared" si="23"/>
        <v>0</v>
      </c>
      <c r="DD54" s="49"/>
      <c r="DE54" s="49"/>
      <c r="DF54" s="50">
        <f t="shared" si="24"/>
        <v>0</v>
      </c>
      <c r="DH54" s="49"/>
      <c r="DI54" s="49"/>
      <c r="DJ54" s="50">
        <f t="shared" si="25"/>
        <v>0</v>
      </c>
      <c r="DL54" s="49"/>
      <c r="DM54" s="49"/>
      <c r="DN54" s="50">
        <f t="shared" si="26"/>
        <v>0</v>
      </c>
      <c r="DP54" s="49"/>
      <c r="DQ54" s="49"/>
      <c r="DR54" s="50">
        <f t="shared" si="27"/>
        <v>0</v>
      </c>
      <c r="DT54" s="49"/>
      <c r="DU54" s="49"/>
      <c r="DV54" s="50">
        <f t="shared" si="28"/>
        <v>0</v>
      </c>
      <c r="DX54" s="49"/>
      <c r="DY54" s="49"/>
      <c r="DZ54" s="50">
        <f t="shared" si="29"/>
        <v>0</v>
      </c>
      <c r="EB54" s="49">
        <f t="shared" si="30"/>
        <v>0</v>
      </c>
      <c r="EC54" s="49">
        <f t="shared" si="31"/>
        <v>0</v>
      </c>
      <c r="ED54" s="49">
        <f t="shared" si="32"/>
        <v>0</v>
      </c>
    </row>
    <row r="55" spans="2:134" ht="11" customHeight="1" x14ac:dyDescent="0.35">
      <c r="B55" s="4">
        <v>109025</v>
      </c>
      <c r="C55" s="4" t="s">
        <v>61</v>
      </c>
      <c r="D55" s="4">
        <v>18</v>
      </c>
      <c r="E55" s="5">
        <v>18</v>
      </c>
      <c r="F55" s="6">
        <v>140.22132670400001</v>
      </c>
      <c r="G55" s="7"/>
      <c r="H55" s="49"/>
      <c r="I55" s="49"/>
      <c r="J55" s="50">
        <f t="shared" si="33"/>
        <v>0</v>
      </c>
      <c r="K55" s="9"/>
      <c r="L55" s="49"/>
      <c r="M55" s="49"/>
      <c r="N55" s="50">
        <f t="shared" si="0"/>
        <v>0</v>
      </c>
      <c r="O55" s="46"/>
      <c r="P55" s="49"/>
      <c r="Q55" s="49"/>
      <c r="R55" s="50">
        <f t="shared" si="1"/>
        <v>0</v>
      </c>
      <c r="T55" s="49"/>
      <c r="U55" s="49"/>
      <c r="V55" s="50">
        <f t="shared" si="2"/>
        <v>0</v>
      </c>
      <c r="X55" s="49"/>
      <c r="Y55" s="49"/>
      <c r="Z55" s="50">
        <f t="shared" si="3"/>
        <v>0</v>
      </c>
      <c r="AB55" s="49"/>
      <c r="AC55" s="49"/>
      <c r="AD55" s="50">
        <f t="shared" si="4"/>
        <v>0</v>
      </c>
      <c r="AF55" s="49"/>
      <c r="AG55" s="49"/>
      <c r="AH55" s="50">
        <f t="shared" si="5"/>
        <v>0</v>
      </c>
      <c r="AJ55" s="49"/>
      <c r="AK55" s="49"/>
      <c r="AL55" s="50">
        <f t="shared" si="6"/>
        <v>0</v>
      </c>
      <c r="AN55" s="49"/>
      <c r="AO55" s="49"/>
      <c r="AP55" s="50">
        <f t="shared" si="7"/>
        <v>0</v>
      </c>
      <c r="AR55" s="49"/>
      <c r="AS55" s="49"/>
      <c r="AT55" s="50">
        <f t="shared" si="8"/>
        <v>0</v>
      </c>
      <c r="AV55" s="49"/>
      <c r="AW55" s="49"/>
      <c r="AX55" s="50">
        <f t="shared" si="9"/>
        <v>0</v>
      </c>
      <c r="AZ55" s="49"/>
      <c r="BA55" s="49"/>
      <c r="BB55" s="50">
        <f t="shared" si="10"/>
        <v>0</v>
      </c>
      <c r="BD55" s="49"/>
      <c r="BE55" s="49"/>
      <c r="BF55" s="50">
        <f t="shared" si="11"/>
        <v>0</v>
      </c>
      <c r="BH55" s="49"/>
      <c r="BI55" s="49"/>
      <c r="BJ55" s="50">
        <f t="shared" si="12"/>
        <v>0</v>
      </c>
      <c r="BL55" s="49"/>
      <c r="BM55" s="49"/>
      <c r="BN55" s="50">
        <f t="shared" si="13"/>
        <v>0</v>
      </c>
      <c r="BP55" s="49"/>
      <c r="BQ55" s="49"/>
      <c r="BR55" s="50">
        <f t="shared" si="14"/>
        <v>0</v>
      </c>
      <c r="BT55" s="49"/>
      <c r="BU55" s="49"/>
      <c r="BV55" s="50">
        <f t="shared" si="15"/>
        <v>0</v>
      </c>
      <c r="BX55" s="49"/>
      <c r="BY55" s="49"/>
      <c r="BZ55" s="50">
        <f t="shared" si="16"/>
        <v>0</v>
      </c>
      <c r="CB55" s="49"/>
      <c r="CC55" s="49"/>
      <c r="CD55" s="50">
        <f t="shared" si="17"/>
        <v>0</v>
      </c>
      <c r="CF55" s="49"/>
      <c r="CG55" s="49"/>
      <c r="CH55" s="50">
        <f t="shared" si="18"/>
        <v>0</v>
      </c>
      <c r="CJ55" s="49"/>
      <c r="CK55" s="49"/>
      <c r="CL55" s="50">
        <f t="shared" si="19"/>
        <v>0</v>
      </c>
      <c r="CN55" s="49"/>
      <c r="CO55" s="49"/>
      <c r="CP55" s="50">
        <f t="shared" si="20"/>
        <v>0</v>
      </c>
      <c r="CR55" s="49"/>
      <c r="CS55" s="49"/>
      <c r="CT55" s="50">
        <f t="shared" si="21"/>
        <v>0</v>
      </c>
      <c r="CV55" s="49"/>
      <c r="CW55" s="49"/>
      <c r="CX55" s="50">
        <f t="shared" si="22"/>
        <v>0</v>
      </c>
      <c r="CZ55" s="49"/>
      <c r="DA55" s="49"/>
      <c r="DB55" s="50">
        <f t="shared" si="23"/>
        <v>0</v>
      </c>
      <c r="DD55" s="49"/>
      <c r="DE55" s="49"/>
      <c r="DF55" s="50">
        <f t="shared" si="24"/>
        <v>0</v>
      </c>
      <c r="DH55" s="49"/>
      <c r="DI55" s="49"/>
      <c r="DJ55" s="50">
        <f t="shared" si="25"/>
        <v>0</v>
      </c>
      <c r="DL55" s="49"/>
      <c r="DM55" s="49"/>
      <c r="DN55" s="50">
        <f t="shared" si="26"/>
        <v>0</v>
      </c>
      <c r="DP55" s="49"/>
      <c r="DQ55" s="49"/>
      <c r="DR55" s="50">
        <f t="shared" si="27"/>
        <v>0</v>
      </c>
      <c r="DT55" s="49"/>
      <c r="DU55" s="49"/>
      <c r="DV55" s="50">
        <f t="shared" si="28"/>
        <v>0</v>
      </c>
      <c r="DX55" s="49"/>
      <c r="DY55" s="49"/>
      <c r="DZ55" s="50">
        <f t="shared" si="29"/>
        <v>0</v>
      </c>
      <c r="EB55" s="49">
        <f t="shared" si="30"/>
        <v>0</v>
      </c>
      <c r="EC55" s="49">
        <f t="shared" si="31"/>
        <v>0</v>
      </c>
      <c r="ED55" s="49">
        <f t="shared" si="32"/>
        <v>0</v>
      </c>
    </row>
    <row r="56" spans="2:134" ht="11" customHeight="1" x14ac:dyDescent="0.35">
      <c r="B56" s="4">
        <v>109026</v>
      </c>
      <c r="C56" s="4" t="s">
        <v>62</v>
      </c>
      <c r="D56" s="4">
        <v>18</v>
      </c>
      <c r="E56" s="5">
        <v>18</v>
      </c>
      <c r="F56" s="6">
        <v>140.22132670400001</v>
      </c>
      <c r="G56" s="7"/>
      <c r="H56" s="49"/>
      <c r="I56" s="49"/>
      <c r="J56" s="50">
        <f t="shared" si="33"/>
        <v>0</v>
      </c>
      <c r="K56" s="9"/>
      <c r="L56" s="49"/>
      <c r="M56" s="49"/>
      <c r="N56" s="50">
        <f t="shared" si="0"/>
        <v>0</v>
      </c>
      <c r="O56" s="46"/>
      <c r="P56" s="49"/>
      <c r="Q56" s="49"/>
      <c r="R56" s="50">
        <f t="shared" si="1"/>
        <v>0</v>
      </c>
      <c r="T56" s="49"/>
      <c r="U56" s="49"/>
      <c r="V56" s="50">
        <f t="shared" si="2"/>
        <v>0</v>
      </c>
      <c r="X56" s="49"/>
      <c r="Y56" s="49"/>
      <c r="Z56" s="50">
        <f t="shared" si="3"/>
        <v>0</v>
      </c>
      <c r="AB56" s="49"/>
      <c r="AC56" s="49"/>
      <c r="AD56" s="50">
        <f t="shared" si="4"/>
        <v>0</v>
      </c>
      <c r="AF56" s="49"/>
      <c r="AG56" s="49"/>
      <c r="AH56" s="50">
        <f t="shared" si="5"/>
        <v>0</v>
      </c>
      <c r="AJ56" s="49"/>
      <c r="AK56" s="49"/>
      <c r="AL56" s="50">
        <f t="shared" si="6"/>
        <v>0</v>
      </c>
      <c r="AN56" s="49"/>
      <c r="AO56" s="49"/>
      <c r="AP56" s="50">
        <f t="shared" si="7"/>
        <v>0</v>
      </c>
      <c r="AR56" s="49"/>
      <c r="AS56" s="49"/>
      <c r="AT56" s="50">
        <f t="shared" si="8"/>
        <v>0</v>
      </c>
      <c r="AV56" s="49"/>
      <c r="AW56" s="49"/>
      <c r="AX56" s="50">
        <f t="shared" si="9"/>
        <v>0</v>
      </c>
      <c r="AZ56" s="49"/>
      <c r="BA56" s="49"/>
      <c r="BB56" s="50">
        <f t="shared" si="10"/>
        <v>0</v>
      </c>
      <c r="BD56" s="49"/>
      <c r="BE56" s="49"/>
      <c r="BF56" s="50">
        <f t="shared" si="11"/>
        <v>0</v>
      </c>
      <c r="BH56" s="49"/>
      <c r="BI56" s="49"/>
      <c r="BJ56" s="50">
        <f t="shared" si="12"/>
        <v>0</v>
      </c>
      <c r="BL56" s="49"/>
      <c r="BM56" s="49"/>
      <c r="BN56" s="50">
        <f t="shared" si="13"/>
        <v>0</v>
      </c>
      <c r="BP56" s="49"/>
      <c r="BQ56" s="49"/>
      <c r="BR56" s="50">
        <f t="shared" si="14"/>
        <v>0</v>
      </c>
      <c r="BT56" s="49"/>
      <c r="BU56" s="49"/>
      <c r="BV56" s="50">
        <f t="shared" si="15"/>
        <v>0</v>
      </c>
      <c r="BX56" s="49"/>
      <c r="BY56" s="49"/>
      <c r="BZ56" s="50">
        <f t="shared" si="16"/>
        <v>0</v>
      </c>
      <c r="CB56" s="49"/>
      <c r="CC56" s="49"/>
      <c r="CD56" s="50">
        <f t="shared" si="17"/>
        <v>0</v>
      </c>
      <c r="CF56" s="49"/>
      <c r="CG56" s="49"/>
      <c r="CH56" s="50">
        <f t="shared" si="18"/>
        <v>0</v>
      </c>
      <c r="CJ56" s="49"/>
      <c r="CK56" s="49"/>
      <c r="CL56" s="50">
        <f t="shared" si="19"/>
        <v>0</v>
      </c>
      <c r="CN56" s="49"/>
      <c r="CO56" s="49"/>
      <c r="CP56" s="50">
        <f t="shared" si="20"/>
        <v>0</v>
      </c>
      <c r="CR56" s="49"/>
      <c r="CS56" s="49"/>
      <c r="CT56" s="50">
        <f t="shared" si="21"/>
        <v>0</v>
      </c>
      <c r="CV56" s="49"/>
      <c r="CW56" s="49"/>
      <c r="CX56" s="50">
        <f t="shared" si="22"/>
        <v>0</v>
      </c>
      <c r="CZ56" s="49"/>
      <c r="DA56" s="49"/>
      <c r="DB56" s="50">
        <f t="shared" si="23"/>
        <v>0</v>
      </c>
      <c r="DD56" s="49"/>
      <c r="DE56" s="49"/>
      <c r="DF56" s="50">
        <f t="shared" si="24"/>
        <v>0</v>
      </c>
      <c r="DH56" s="49"/>
      <c r="DI56" s="49"/>
      <c r="DJ56" s="50">
        <f t="shared" si="25"/>
        <v>0</v>
      </c>
      <c r="DL56" s="49"/>
      <c r="DM56" s="49"/>
      <c r="DN56" s="50">
        <f t="shared" si="26"/>
        <v>0</v>
      </c>
      <c r="DP56" s="49"/>
      <c r="DQ56" s="49"/>
      <c r="DR56" s="50">
        <f t="shared" si="27"/>
        <v>0</v>
      </c>
      <c r="DT56" s="49"/>
      <c r="DU56" s="49"/>
      <c r="DV56" s="50">
        <f t="shared" si="28"/>
        <v>0</v>
      </c>
      <c r="DX56" s="49"/>
      <c r="DY56" s="49"/>
      <c r="DZ56" s="50">
        <f t="shared" si="29"/>
        <v>0</v>
      </c>
      <c r="EB56" s="49">
        <f t="shared" si="30"/>
        <v>0</v>
      </c>
      <c r="EC56" s="49">
        <f t="shared" si="31"/>
        <v>0</v>
      </c>
      <c r="ED56" s="49">
        <f t="shared" si="32"/>
        <v>0</v>
      </c>
    </row>
    <row r="57" spans="2:134" ht="11" customHeight="1" x14ac:dyDescent="0.35">
      <c r="B57" s="4">
        <v>109207</v>
      </c>
      <c r="C57" s="4" t="s">
        <v>63</v>
      </c>
      <c r="D57" s="4">
        <v>24</v>
      </c>
      <c r="E57" s="5">
        <v>18</v>
      </c>
      <c r="F57" s="6">
        <v>194.23586706</v>
      </c>
      <c r="G57" s="7"/>
      <c r="H57" s="49"/>
      <c r="I57" s="49"/>
      <c r="J57" s="50">
        <f t="shared" si="33"/>
        <v>0</v>
      </c>
      <c r="K57" s="9"/>
      <c r="L57" s="49"/>
      <c r="M57" s="49"/>
      <c r="N57" s="50">
        <f t="shared" si="0"/>
        <v>0</v>
      </c>
      <c r="O57" s="46"/>
      <c r="P57" s="49"/>
      <c r="Q57" s="49"/>
      <c r="R57" s="50">
        <f t="shared" si="1"/>
        <v>0</v>
      </c>
      <c r="T57" s="49"/>
      <c r="U57" s="49"/>
      <c r="V57" s="50">
        <f t="shared" si="2"/>
        <v>0</v>
      </c>
      <c r="X57" s="49"/>
      <c r="Y57" s="49"/>
      <c r="Z57" s="50">
        <f t="shared" si="3"/>
        <v>0</v>
      </c>
      <c r="AB57" s="49"/>
      <c r="AC57" s="49"/>
      <c r="AD57" s="50">
        <f t="shared" si="4"/>
        <v>0</v>
      </c>
      <c r="AF57" s="49"/>
      <c r="AG57" s="49"/>
      <c r="AH57" s="50">
        <f t="shared" si="5"/>
        <v>0</v>
      </c>
      <c r="AJ57" s="49"/>
      <c r="AK57" s="49"/>
      <c r="AL57" s="50">
        <f t="shared" si="6"/>
        <v>0</v>
      </c>
      <c r="AN57" s="49"/>
      <c r="AO57" s="49"/>
      <c r="AP57" s="50">
        <f t="shared" si="7"/>
        <v>0</v>
      </c>
      <c r="AR57" s="49"/>
      <c r="AS57" s="49"/>
      <c r="AT57" s="50">
        <f t="shared" si="8"/>
        <v>0</v>
      </c>
      <c r="AV57" s="49"/>
      <c r="AW57" s="49"/>
      <c r="AX57" s="50">
        <f t="shared" si="9"/>
        <v>0</v>
      </c>
      <c r="AZ57" s="49"/>
      <c r="BA57" s="49"/>
      <c r="BB57" s="50">
        <f t="shared" si="10"/>
        <v>0</v>
      </c>
      <c r="BD57" s="49"/>
      <c r="BE57" s="49"/>
      <c r="BF57" s="50">
        <f t="shared" si="11"/>
        <v>0</v>
      </c>
      <c r="BH57" s="49"/>
      <c r="BI57" s="49"/>
      <c r="BJ57" s="50">
        <f t="shared" si="12"/>
        <v>0</v>
      </c>
      <c r="BL57" s="49"/>
      <c r="BM57" s="49"/>
      <c r="BN57" s="50">
        <f t="shared" si="13"/>
        <v>0</v>
      </c>
      <c r="BP57" s="49"/>
      <c r="BQ57" s="49"/>
      <c r="BR57" s="50">
        <f t="shared" si="14"/>
        <v>0</v>
      </c>
      <c r="BT57" s="49"/>
      <c r="BU57" s="49"/>
      <c r="BV57" s="50">
        <f t="shared" si="15"/>
        <v>0</v>
      </c>
      <c r="BX57" s="49"/>
      <c r="BY57" s="49"/>
      <c r="BZ57" s="50">
        <f t="shared" si="16"/>
        <v>0</v>
      </c>
      <c r="CB57" s="49"/>
      <c r="CC57" s="49"/>
      <c r="CD57" s="50">
        <f t="shared" si="17"/>
        <v>0</v>
      </c>
      <c r="CF57" s="49"/>
      <c r="CG57" s="49"/>
      <c r="CH57" s="50">
        <f t="shared" si="18"/>
        <v>0</v>
      </c>
      <c r="CJ57" s="49"/>
      <c r="CK57" s="49"/>
      <c r="CL57" s="50">
        <f t="shared" si="19"/>
        <v>0</v>
      </c>
      <c r="CN57" s="49"/>
      <c r="CO57" s="49"/>
      <c r="CP57" s="50">
        <f t="shared" si="20"/>
        <v>0</v>
      </c>
      <c r="CR57" s="49"/>
      <c r="CS57" s="49"/>
      <c r="CT57" s="50">
        <f t="shared" si="21"/>
        <v>0</v>
      </c>
      <c r="CV57" s="49"/>
      <c r="CW57" s="49"/>
      <c r="CX57" s="50">
        <f t="shared" si="22"/>
        <v>0</v>
      </c>
      <c r="CZ57" s="49"/>
      <c r="DA57" s="49"/>
      <c r="DB57" s="50">
        <f t="shared" si="23"/>
        <v>0</v>
      </c>
      <c r="DD57" s="49"/>
      <c r="DE57" s="49"/>
      <c r="DF57" s="50">
        <f t="shared" si="24"/>
        <v>0</v>
      </c>
      <c r="DH57" s="49"/>
      <c r="DI57" s="49"/>
      <c r="DJ57" s="50">
        <f t="shared" si="25"/>
        <v>0</v>
      </c>
      <c r="DL57" s="49"/>
      <c r="DM57" s="49"/>
      <c r="DN57" s="50">
        <f t="shared" si="26"/>
        <v>0</v>
      </c>
      <c r="DP57" s="49"/>
      <c r="DQ57" s="49"/>
      <c r="DR57" s="50">
        <f t="shared" si="27"/>
        <v>0</v>
      </c>
      <c r="DT57" s="49"/>
      <c r="DU57" s="49"/>
      <c r="DV57" s="50">
        <f t="shared" si="28"/>
        <v>0</v>
      </c>
      <c r="DX57" s="49"/>
      <c r="DY57" s="49"/>
      <c r="DZ57" s="50">
        <f t="shared" si="29"/>
        <v>0</v>
      </c>
      <c r="EB57" s="49">
        <f t="shared" si="30"/>
        <v>0</v>
      </c>
      <c r="EC57" s="49">
        <f t="shared" si="31"/>
        <v>0</v>
      </c>
      <c r="ED57" s="49">
        <f t="shared" si="32"/>
        <v>0</v>
      </c>
    </row>
    <row r="58" spans="2:134" ht="11" customHeight="1" x14ac:dyDescent="0.35">
      <c r="B58" s="4">
        <v>109503</v>
      </c>
      <c r="C58" s="4" t="s">
        <v>64</v>
      </c>
      <c r="D58" s="4">
        <v>24</v>
      </c>
      <c r="E58" s="5">
        <v>18</v>
      </c>
      <c r="F58" s="6">
        <v>189.29879107400001</v>
      </c>
      <c r="G58" s="7"/>
      <c r="H58" s="49"/>
      <c r="I58" s="49"/>
      <c r="J58" s="50">
        <f t="shared" si="33"/>
        <v>0</v>
      </c>
      <c r="K58" s="9"/>
      <c r="L58" s="49"/>
      <c r="M58" s="49"/>
      <c r="N58" s="50">
        <f t="shared" si="0"/>
        <v>0</v>
      </c>
      <c r="O58" s="46"/>
      <c r="P58" s="49"/>
      <c r="Q58" s="49"/>
      <c r="R58" s="50">
        <f t="shared" si="1"/>
        <v>0</v>
      </c>
      <c r="T58" s="49"/>
      <c r="U58" s="49"/>
      <c r="V58" s="50">
        <f t="shared" si="2"/>
        <v>0</v>
      </c>
      <c r="X58" s="49"/>
      <c r="Y58" s="49"/>
      <c r="Z58" s="50">
        <f t="shared" si="3"/>
        <v>0</v>
      </c>
      <c r="AB58" s="49"/>
      <c r="AC58" s="49"/>
      <c r="AD58" s="50">
        <f t="shared" si="4"/>
        <v>0</v>
      </c>
      <c r="AF58" s="49"/>
      <c r="AG58" s="49"/>
      <c r="AH58" s="50">
        <f t="shared" si="5"/>
        <v>0</v>
      </c>
      <c r="AJ58" s="49"/>
      <c r="AK58" s="49"/>
      <c r="AL58" s="50">
        <f t="shared" si="6"/>
        <v>0</v>
      </c>
      <c r="AN58" s="49"/>
      <c r="AO58" s="49"/>
      <c r="AP58" s="50">
        <f t="shared" si="7"/>
        <v>0</v>
      </c>
      <c r="AR58" s="49"/>
      <c r="AS58" s="49"/>
      <c r="AT58" s="50">
        <f t="shared" si="8"/>
        <v>0</v>
      </c>
      <c r="AV58" s="49"/>
      <c r="AW58" s="49"/>
      <c r="AX58" s="50">
        <f t="shared" si="9"/>
        <v>0</v>
      </c>
      <c r="AZ58" s="49"/>
      <c r="BA58" s="49"/>
      <c r="BB58" s="50">
        <f t="shared" si="10"/>
        <v>0</v>
      </c>
      <c r="BD58" s="49"/>
      <c r="BE58" s="49"/>
      <c r="BF58" s="50">
        <f t="shared" si="11"/>
        <v>0</v>
      </c>
      <c r="BH58" s="49"/>
      <c r="BI58" s="49"/>
      <c r="BJ58" s="50">
        <f t="shared" si="12"/>
        <v>0</v>
      </c>
      <c r="BL58" s="49"/>
      <c r="BM58" s="49"/>
      <c r="BN58" s="50">
        <f t="shared" si="13"/>
        <v>0</v>
      </c>
      <c r="BP58" s="49"/>
      <c r="BQ58" s="49"/>
      <c r="BR58" s="50">
        <f t="shared" si="14"/>
        <v>0</v>
      </c>
      <c r="BT58" s="49"/>
      <c r="BU58" s="49"/>
      <c r="BV58" s="50">
        <f t="shared" si="15"/>
        <v>0</v>
      </c>
      <c r="BX58" s="49"/>
      <c r="BY58" s="49"/>
      <c r="BZ58" s="50">
        <f t="shared" si="16"/>
        <v>0</v>
      </c>
      <c r="CB58" s="49"/>
      <c r="CC58" s="49"/>
      <c r="CD58" s="50">
        <f t="shared" si="17"/>
        <v>0</v>
      </c>
      <c r="CF58" s="49"/>
      <c r="CG58" s="49"/>
      <c r="CH58" s="50">
        <f t="shared" si="18"/>
        <v>0</v>
      </c>
      <c r="CJ58" s="49"/>
      <c r="CK58" s="49"/>
      <c r="CL58" s="50">
        <f t="shared" si="19"/>
        <v>0</v>
      </c>
      <c r="CN58" s="49"/>
      <c r="CO58" s="49"/>
      <c r="CP58" s="50">
        <f t="shared" si="20"/>
        <v>0</v>
      </c>
      <c r="CR58" s="49"/>
      <c r="CS58" s="49"/>
      <c r="CT58" s="50">
        <f t="shared" si="21"/>
        <v>0</v>
      </c>
      <c r="CV58" s="49"/>
      <c r="CW58" s="49"/>
      <c r="CX58" s="50">
        <f t="shared" si="22"/>
        <v>0</v>
      </c>
      <c r="CZ58" s="49"/>
      <c r="DA58" s="49"/>
      <c r="DB58" s="50">
        <f t="shared" si="23"/>
        <v>0</v>
      </c>
      <c r="DD58" s="49"/>
      <c r="DE58" s="49"/>
      <c r="DF58" s="50">
        <f t="shared" si="24"/>
        <v>0</v>
      </c>
      <c r="DH58" s="49"/>
      <c r="DI58" s="49"/>
      <c r="DJ58" s="50">
        <f t="shared" si="25"/>
        <v>0</v>
      </c>
      <c r="DL58" s="49"/>
      <c r="DM58" s="49"/>
      <c r="DN58" s="50">
        <f t="shared" si="26"/>
        <v>0</v>
      </c>
      <c r="DP58" s="49"/>
      <c r="DQ58" s="49"/>
      <c r="DR58" s="50">
        <f t="shared" si="27"/>
        <v>0</v>
      </c>
      <c r="DT58" s="49"/>
      <c r="DU58" s="49"/>
      <c r="DV58" s="50">
        <f t="shared" si="28"/>
        <v>0</v>
      </c>
      <c r="DX58" s="49"/>
      <c r="DY58" s="49"/>
      <c r="DZ58" s="50">
        <f t="shared" si="29"/>
        <v>0</v>
      </c>
      <c r="EB58" s="49">
        <f t="shared" si="30"/>
        <v>0</v>
      </c>
      <c r="EC58" s="49">
        <f t="shared" si="31"/>
        <v>0</v>
      </c>
      <c r="ED58" s="49">
        <f t="shared" si="32"/>
        <v>0</v>
      </c>
    </row>
    <row r="59" spans="2:134" ht="11" customHeight="1" x14ac:dyDescent="0.35">
      <c r="B59" s="4">
        <v>109504</v>
      </c>
      <c r="C59" s="4" t="s">
        <v>65</v>
      </c>
      <c r="D59" s="4">
        <v>24</v>
      </c>
      <c r="E59" s="5">
        <v>18</v>
      </c>
      <c r="F59" s="6">
        <v>189.29879107400001</v>
      </c>
      <c r="G59" s="7"/>
      <c r="H59" s="49"/>
      <c r="I59" s="49"/>
      <c r="J59" s="50">
        <f t="shared" si="33"/>
        <v>0</v>
      </c>
      <c r="K59" s="9"/>
      <c r="L59" s="49"/>
      <c r="M59" s="49"/>
      <c r="N59" s="50">
        <f t="shared" si="0"/>
        <v>0</v>
      </c>
      <c r="O59" s="46"/>
      <c r="P59" s="49"/>
      <c r="Q59" s="49"/>
      <c r="R59" s="50">
        <f t="shared" si="1"/>
        <v>0</v>
      </c>
      <c r="T59" s="49"/>
      <c r="U59" s="49"/>
      <c r="V59" s="50">
        <f t="shared" si="2"/>
        <v>0</v>
      </c>
      <c r="X59" s="49"/>
      <c r="Y59" s="49"/>
      <c r="Z59" s="50">
        <f t="shared" si="3"/>
        <v>0</v>
      </c>
      <c r="AB59" s="49"/>
      <c r="AC59" s="49"/>
      <c r="AD59" s="50">
        <f t="shared" si="4"/>
        <v>0</v>
      </c>
      <c r="AF59" s="49"/>
      <c r="AG59" s="49"/>
      <c r="AH59" s="50">
        <f t="shared" si="5"/>
        <v>0</v>
      </c>
      <c r="AJ59" s="49"/>
      <c r="AK59" s="49"/>
      <c r="AL59" s="50">
        <f t="shared" si="6"/>
        <v>0</v>
      </c>
      <c r="AN59" s="49"/>
      <c r="AO59" s="49"/>
      <c r="AP59" s="50">
        <f t="shared" si="7"/>
        <v>0</v>
      </c>
      <c r="AR59" s="49"/>
      <c r="AS59" s="49"/>
      <c r="AT59" s="50">
        <f t="shared" si="8"/>
        <v>0</v>
      </c>
      <c r="AV59" s="49"/>
      <c r="AW59" s="49"/>
      <c r="AX59" s="50">
        <f t="shared" si="9"/>
        <v>0</v>
      </c>
      <c r="AZ59" s="49"/>
      <c r="BA59" s="49"/>
      <c r="BB59" s="50">
        <f t="shared" si="10"/>
        <v>0</v>
      </c>
      <c r="BD59" s="49"/>
      <c r="BE59" s="49"/>
      <c r="BF59" s="50">
        <f t="shared" si="11"/>
        <v>0</v>
      </c>
      <c r="BH59" s="49"/>
      <c r="BI59" s="49"/>
      <c r="BJ59" s="50">
        <f t="shared" si="12"/>
        <v>0</v>
      </c>
      <c r="BL59" s="49"/>
      <c r="BM59" s="49"/>
      <c r="BN59" s="50">
        <f t="shared" si="13"/>
        <v>0</v>
      </c>
      <c r="BP59" s="49"/>
      <c r="BQ59" s="49"/>
      <c r="BR59" s="50">
        <f t="shared" si="14"/>
        <v>0</v>
      </c>
      <c r="BT59" s="49"/>
      <c r="BU59" s="49"/>
      <c r="BV59" s="50">
        <f t="shared" si="15"/>
        <v>0</v>
      </c>
      <c r="BX59" s="49"/>
      <c r="BY59" s="49"/>
      <c r="BZ59" s="50">
        <f t="shared" si="16"/>
        <v>0</v>
      </c>
      <c r="CB59" s="49"/>
      <c r="CC59" s="49"/>
      <c r="CD59" s="50">
        <f t="shared" si="17"/>
        <v>0</v>
      </c>
      <c r="CF59" s="49"/>
      <c r="CG59" s="49"/>
      <c r="CH59" s="50">
        <f t="shared" si="18"/>
        <v>0</v>
      </c>
      <c r="CJ59" s="49"/>
      <c r="CK59" s="49"/>
      <c r="CL59" s="50">
        <f t="shared" si="19"/>
        <v>0</v>
      </c>
      <c r="CN59" s="49"/>
      <c r="CO59" s="49"/>
      <c r="CP59" s="50">
        <f t="shared" si="20"/>
        <v>0</v>
      </c>
      <c r="CR59" s="49"/>
      <c r="CS59" s="49"/>
      <c r="CT59" s="50">
        <f t="shared" si="21"/>
        <v>0</v>
      </c>
      <c r="CV59" s="49"/>
      <c r="CW59" s="49"/>
      <c r="CX59" s="50">
        <f t="shared" si="22"/>
        <v>0</v>
      </c>
      <c r="CZ59" s="49"/>
      <c r="DA59" s="49"/>
      <c r="DB59" s="50">
        <f t="shared" si="23"/>
        <v>0</v>
      </c>
      <c r="DD59" s="49"/>
      <c r="DE59" s="49"/>
      <c r="DF59" s="50">
        <f t="shared" si="24"/>
        <v>0</v>
      </c>
      <c r="DH59" s="49"/>
      <c r="DI59" s="49"/>
      <c r="DJ59" s="50">
        <f t="shared" si="25"/>
        <v>0</v>
      </c>
      <c r="DL59" s="49"/>
      <c r="DM59" s="49"/>
      <c r="DN59" s="50">
        <f t="shared" si="26"/>
        <v>0</v>
      </c>
      <c r="DP59" s="49"/>
      <c r="DQ59" s="49"/>
      <c r="DR59" s="50">
        <f t="shared" si="27"/>
        <v>0</v>
      </c>
      <c r="DT59" s="49"/>
      <c r="DU59" s="49"/>
      <c r="DV59" s="50">
        <f t="shared" si="28"/>
        <v>0</v>
      </c>
      <c r="DX59" s="49"/>
      <c r="DY59" s="49"/>
      <c r="DZ59" s="50">
        <f t="shared" si="29"/>
        <v>0</v>
      </c>
      <c r="EB59" s="49">
        <f t="shared" si="30"/>
        <v>0</v>
      </c>
      <c r="EC59" s="49">
        <f t="shared" si="31"/>
        <v>0</v>
      </c>
      <c r="ED59" s="49">
        <f t="shared" si="32"/>
        <v>0</v>
      </c>
    </row>
    <row r="60" spans="2:134" ht="11" customHeight="1" x14ac:dyDescent="0.35">
      <c r="B60" s="4">
        <v>109517</v>
      </c>
      <c r="C60" s="4" t="s">
        <v>66</v>
      </c>
      <c r="D60" s="4">
        <v>12</v>
      </c>
      <c r="E60" s="5">
        <v>24</v>
      </c>
      <c r="F60" s="6">
        <v>286.53841705999997</v>
      </c>
      <c r="G60" s="7"/>
      <c r="H60" s="49"/>
      <c r="I60" s="49"/>
      <c r="J60" s="50">
        <f t="shared" si="33"/>
        <v>0</v>
      </c>
      <c r="K60" s="9"/>
      <c r="L60" s="49"/>
      <c r="M60" s="49"/>
      <c r="N60" s="50">
        <f t="shared" si="0"/>
        <v>0</v>
      </c>
      <c r="O60" s="46"/>
      <c r="P60" s="49"/>
      <c r="Q60" s="49"/>
      <c r="R60" s="50">
        <f t="shared" si="1"/>
        <v>0</v>
      </c>
      <c r="T60" s="49"/>
      <c r="U60" s="49"/>
      <c r="V60" s="50">
        <f t="shared" si="2"/>
        <v>0</v>
      </c>
      <c r="X60" s="49"/>
      <c r="Y60" s="49"/>
      <c r="Z60" s="50">
        <f t="shared" si="3"/>
        <v>0</v>
      </c>
      <c r="AB60" s="49"/>
      <c r="AC60" s="49"/>
      <c r="AD60" s="50">
        <f t="shared" si="4"/>
        <v>0</v>
      </c>
      <c r="AF60" s="49"/>
      <c r="AG60" s="49"/>
      <c r="AH60" s="50">
        <f t="shared" si="5"/>
        <v>0</v>
      </c>
      <c r="AJ60" s="49"/>
      <c r="AK60" s="49"/>
      <c r="AL60" s="50">
        <f t="shared" si="6"/>
        <v>0</v>
      </c>
      <c r="AN60" s="49"/>
      <c r="AO60" s="49"/>
      <c r="AP60" s="50">
        <f t="shared" si="7"/>
        <v>0</v>
      </c>
      <c r="AR60" s="49"/>
      <c r="AS60" s="49"/>
      <c r="AT60" s="50">
        <f t="shared" si="8"/>
        <v>0</v>
      </c>
      <c r="AV60" s="49"/>
      <c r="AW60" s="49"/>
      <c r="AX60" s="50">
        <f t="shared" si="9"/>
        <v>0</v>
      </c>
      <c r="AZ60" s="49"/>
      <c r="BA60" s="49"/>
      <c r="BB60" s="50">
        <f t="shared" si="10"/>
        <v>0</v>
      </c>
      <c r="BD60" s="49"/>
      <c r="BE60" s="49"/>
      <c r="BF60" s="50">
        <f t="shared" si="11"/>
        <v>0</v>
      </c>
      <c r="BH60" s="49"/>
      <c r="BI60" s="49"/>
      <c r="BJ60" s="50">
        <f t="shared" si="12"/>
        <v>0</v>
      </c>
      <c r="BL60" s="49"/>
      <c r="BM60" s="49"/>
      <c r="BN60" s="50">
        <f t="shared" si="13"/>
        <v>0</v>
      </c>
      <c r="BP60" s="49"/>
      <c r="BQ60" s="49"/>
      <c r="BR60" s="50">
        <f t="shared" si="14"/>
        <v>0</v>
      </c>
      <c r="BT60" s="49"/>
      <c r="BU60" s="49"/>
      <c r="BV60" s="50">
        <f t="shared" si="15"/>
        <v>0</v>
      </c>
      <c r="BX60" s="49"/>
      <c r="BY60" s="49"/>
      <c r="BZ60" s="50">
        <f t="shared" si="16"/>
        <v>0</v>
      </c>
      <c r="CB60" s="49"/>
      <c r="CC60" s="49"/>
      <c r="CD60" s="50">
        <f t="shared" si="17"/>
        <v>0</v>
      </c>
      <c r="CF60" s="49"/>
      <c r="CG60" s="49"/>
      <c r="CH60" s="50">
        <f t="shared" si="18"/>
        <v>0</v>
      </c>
      <c r="CJ60" s="49"/>
      <c r="CK60" s="49"/>
      <c r="CL60" s="50">
        <f t="shared" si="19"/>
        <v>0</v>
      </c>
      <c r="CN60" s="49"/>
      <c r="CO60" s="49"/>
      <c r="CP60" s="50">
        <f t="shared" si="20"/>
        <v>0</v>
      </c>
      <c r="CR60" s="49"/>
      <c r="CS60" s="49"/>
      <c r="CT60" s="50">
        <f t="shared" si="21"/>
        <v>0</v>
      </c>
      <c r="CV60" s="49"/>
      <c r="CW60" s="49"/>
      <c r="CX60" s="50">
        <f t="shared" si="22"/>
        <v>0</v>
      </c>
      <c r="CZ60" s="49"/>
      <c r="DA60" s="49"/>
      <c r="DB60" s="50">
        <f t="shared" si="23"/>
        <v>0</v>
      </c>
      <c r="DD60" s="49"/>
      <c r="DE60" s="49"/>
      <c r="DF60" s="50">
        <f t="shared" si="24"/>
        <v>0</v>
      </c>
      <c r="DH60" s="49"/>
      <c r="DI60" s="49"/>
      <c r="DJ60" s="50">
        <f t="shared" si="25"/>
        <v>0</v>
      </c>
      <c r="DL60" s="49"/>
      <c r="DM60" s="49"/>
      <c r="DN60" s="50">
        <f t="shared" si="26"/>
        <v>0</v>
      </c>
      <c r="DP60" s="49"/>
      <c r="DQ60" s="49"/>
      <c r="DR60" s="50">
        <f t="shared" si="27"/>
        <v>0</v>
      </c>
      <c r="DT60" s="49"/>
      <c r="DU60" s="49"/>
      <c r="DV60" s="50">
        <f t="shared" si="28"/>
        <v>0</v>
      </c>
      <c r="DX60" s="49"/>
      <c r="DY60" s="49"/>
      <c r="DZ60" s="50">
        <f t="shared" si="29"/>
        <v>0</v>
      </c>
      <c r="EB60" s="49">
        <f t="shared" si="30"/>
        <v>0</v>
      </c>
      <c r="EC60" s="49">
        <f t="shared" si="31"/>
        <v>0</v>
      </c>
      <c r="ED60" s="49">
        <f t="shared" si="32"/>
        <v>0</v>
      </c>
    </row>
    <row r="61" spans="2:134" ht="11" customHeight="1" x14ac:dyDescent="0.35">
      <c r="B61" s="4">
        <v>110151</v>
      </c>
      <c r="C61" s="4" t="s">
        <v>67</v>
      </c>
      <c r="D61" s="4">
        <v>18</v>
      </c>
      <c r="E61" s="5">
        <v>18</v>
      </c>
      <c r="F61" s="6">
        <v>425.922279828</v>
      </c>
      <c r="G61" s="7"/>
      <c r="H61" s="49"/>
      <c r="I61" s="49"/>
      <c r="J61" s="50">
        <f t="shared" si="33"/>
        <v>0</v>
      </c>
      <c r="K61" s="9"/>
      <c r="L61" s="49"/>
      <c r="M61" s="49"/>
      <c r="N61" s="50">
        <f t="shared" si="0"/>
        <v>0</v>
      </c>
      <c r="O61" s="46"/>
      <c r="P61" s="49"/>
      <c r="Q61" s="49"/>
      <c r="R61" s="50">
        <f t="shared" si="1"/>
        <v>0</v>
      </c>
      <c r="T61" s="49"/>
      <c r="U61" s="49"/>
      <c r="V61" s="50">
        <f t="shared" si="2"/>
        <v>0</v>
      </c>
      <c r="X61" s="49"/>
      <c r="Y61" s="49"/>
      <c r="Z61" s="50">
        <f t="shared" si="3"/>
        <v>0</v>
      </c>
      <c r="AB61" s="49"/>
      <c r="AC61" s="49"/>
      <c r="AD61" s="50">
        <f t="shared" si="4"/>
        <v>0</v>
      </c>
      <c r="AF61" s="49"/>
      <c r="AG61" s="49"/>
      <c r="AH61" s="50">
        <f t="shared" si="5"/>
        <v>0</v>
      </c>
      <c r="AJ61" s="49"/>
      <c r="AK61" s="49"/>
      <c r="AL61" s="50">
        <f t="shared" si="6"/>
        <v>0</v>
      </c>
      <c r="AN61" s="49"/>
      <c r="AO61" s="49"/>
      <c r="AP61" s="50">
        <f t="shared" si="7"/>
        <v>0</v>
      </c>
      <c r="AR61" s="49"/>
      <c r="AS61" s="49"/>
      <c r="AT61" s="50">
        <f t="shared" si="8"/>
        <v>0</v>
      </c>
      <c r="AV61" s="49"/>
      <c r="AW61" s="49"/>
      <c r="AX61" s="50">
        <f t="shared" si="9"/>
        <v>0</v>
      </c>
      <c r="AZ61" s="49"/>
      <c r="BA61" s="49"/>
      <c r="BB61" s="50">
        <f t="shared" si="10"/>
        <v>0</v>
      </c>
      <c r="BD61" s="49"/>
      <c r="BE61" s="49"/>
      <c r="BF61" s="50">
        <f t="shared" si="11"/>
        <v>0</v>
      </c>
      <c r="BH61" s="49"/>
      <c r="BI61" s="49"/>
      <c r="BJ61" s="50">
        <f t="shared" si="12"/>
        <v>0</v>
      </c>
      <c r="BL61" s="49"/>
      <c r="BM61" s="49"/>
      <c r="BN61" s="50">
        <f t="shared" si="13"/>
        <v>0</v>
      </c>
      <c r="BP61" s="49"/>
      <c r="BQ61" s="49"/>
      <c r="BR61" s="50">
        <f t="shared" si="14"/>
        <v>0</v>
      </c>
      <c r="BT61" s="49"/>
      <c r="BU61" s="49"/>
      <c r="BV61" s="50">
        <f t="shared" si="15"/>
        <v>0</v>
      </c>
      <c r="BX61" s="49"/>
      <c r="BY61" s="49"/>
      <c r="BZ61" s="50">
        <f t="shared" si="16"/>
        <v>0</v>
      </c>
      <c r="CB61" s="49"/>
      <c r="CC61" s="49"/>
      <c r="CD61" s="50">
        <f t="shared" si="17"/>
        <v>0</v>
      </c>
      <c r="CF61" s="49"/>
      <c r="CG61" s="49"/>
      <c r="CH61" s="50">
        <f t="shared" si="18"/>
        <v>0</v>
      </c>
      <c r="CJ61" s="49"/>
      <c r="CK61" s="49"/>
      <c r="CL61" s="50">
        <f t="shared" si="19"/>
        <v>0</v>
      </c>
      <c r="CN61" s="49"/>
      <c r="CO61" s="49"/>
      <c r="CP61" s="50">
        <f t="shared" si="20"/>
        <v>0</v>
      </c>
      <c r="CR61" s="49"/>
      <c r="CS61" s="49"/>
      <c r="CT61" s="50">
        <f t="shared" si="21"/>
        <v>0</v>
      </c>
      <c r="CV61" s="49"/>
      <c r="CW61" s="49"/>
      <c r="CX61" s="50">
        <f t="shared" si="22"/>
        <v>0</v>
      </c>
      <c r="CZ61" s="49"/>
      <c r="DA61" s="49"/>
      <c r="DB61" s="50">
        <f t="shared" si="23"/>
        <v>0</v>
      </c>
      <c r="DD61" s="49"/>
      <c r="DE61" s="49"/>
      <c r="DF61" s="50">
        <f t="shared" si="24"/>
        <v>0</v>
      </c>
      <c r="DH61" s="49"/>
      <c r="DI61" s="49"/>
      <c r="DJ61" s="50">
        <f t="shared" si="25"/>
        <v>0</v>
      </c>
      <c r="DL61" s="49"/>
      <c r="DM61" s="49"/>
      <c r="DN61" s="50">
        <f t="shared" si="26"/>
        <v>0</v>
      </c>
      <c r="DP61" s="49"/>
      <c r="DQ61" s="49"/>
      <c r="DR61" s="50">
        <f t="shared" si="27"/>
        <v>0</v>
      </c>
      <c r="DT61" s="49"/>
      <c r="DU61" s="49"/>
      <c r="DV61" s="50">
        <f t="shared" si="28"/>
        <v>0</v>
      </c>
      <c r="DX61" s="49"/>
      <c r="DY61" s="49"/>
      <c r="DZ61" s="50">
        <f t="shared" si="29"/>
        <v>0</v>
      </c>
      <c r="EB61" s="49">
        <f t="shared" si="30"/>
        <v>0</v>
      </c>
      <c r="EC61" s="49">
        <f t="shared" si="31"/>
        <v>0</v>
      </c>
      <c r="ED61" s="49">
        <f t="shared" si="32"/>
        <v>0</v>
      </c>
    </row>
    <row r="62" spans="2:134" ht="11" customHeight="1" x14ac:dyDescent="0.35">
      <c r="B62" s="4">
        <v>110157</v>
      </c>
      <c r="C62" s="4" t="s">
        <v>68</v>
      </c>
      <c r="D62" s="4">
        <v>18</v>
      </c>
      <c r="E62" s="5">
        <v>18</v>
      </c>
      <c r="F62" s="6">
        <v>721.70176705999995</v>
      </c>
      <c r="G62" s="7"/>
      <c r="H62" s="49"/>
      <c r="I62" s="49"/>
      <c r="J62" s="50">
        <f t="shared" si="33"/>
        <v>0</v>
      </c>
      <c r="K62" s="9"/>
      <c r="L62" s="49"/>
      <c r="M62" s="49"/>
      <c r="N62" s="50">
        <f t="shared" si="0"/>
        <v>0</v>
      </c>
      <c r="O62" s="46"/>
      <c r="P62" s="49"/>
      <c r="Q62" s="49"/>
      <c r="R62" s="50">
        <f t="shared" si="1"/>
        <v>0</v>
      </c>
      <c r="T62" s="49"/>
      <c r="U62" s="49"/>
      <c r="V62" s="50">
        <f t="shared" si="2"/>
        <v>0</v>
      </c>
      <c r="X62" s="49"/>
      <c r="Y62" s="49"/>
      <c r="Z62" s="50">
        <f t="shared" si="3"/>
        <v>0</v>
      </c>
      <c r="AB62" s="49"/>
      <c r="AC62" s="49"/>
      <c r="AD62" s="50">
        <f t="shared" si="4"/>
        <v>0</v>
      </c>
      <c r="AF62" s="49"/>
      <c r="AG62" s="49"/>
      <c r="AH62" s="50">
        <f t="shared" si="5"/>
        <v>0</v>
      </c>
      <c r="AJ62" s="49"/>
      <c r="AK62" s="49"/>
      <c r="AL62" s="50">
        <f t="shared" si="6"/>
        <v>0</v>
      </c>
      <c r="AN62" s="49"/>
      <c r="AO62" s="49"/>
      <c r="AP62" s="50">
        <f t="shared" si="7"/>
        <v>0</v>
      </c>
      <c r="AR62" s="49"/>
      <c r="AS62" s="49"/>
      <c r="AT62" s="50">
        <f t="shared" si="8"/>
        <v>0</v>
      </c>
      <c r="AV62" s="49"/>
      <c r="AW62" s="49"/>
      <c r="AX62" s="50">
        <f t="shared" si="9"/>
        <v>0</v>
      </c>
      <c r="AZ62" s="49"/>
      <c r="BA62" s="49"/>
      <c r="BB62" s="50">
        <f t="shared" si="10"/>
        <v>0</v>
      </c>
      <c r="BD62" s="49"/>
      <c r="BE62" s="49"/>
      <c r="BF62" s="50">
        <f t="shared" si="11"/>
        <v>0</v>
      </c>
      <c r="BH62" s="49"/>
      <c r="BI62" s="49"/>
      <c r="BJ62" s="50">
        <f t="shared" si="12"/>
        <v>0</v>
      </c>
      <c r="BL62" s="49"/>
      <c r="BM62" s="49"/>
      <c r="BN62" s="50">
        <f t="shared" si="13"/>
        <v>0</v>
      </c>
      <c r="BP62" s="49"/>
      <c r="BQ62" s="49"/>
      <c r="BR62" s="50">
        <f t="shared" si="14"/>
        <v>0</v>
      </c>
      <c r="BT62" s="49"/>
      <c r="BU62" s="49"/>
      <c r="BV62" s="50">
        <f t="shared" si="15"/>
        <v>0</v>
      </c>
      <c r="BX62" s="49"/>
      <c r="BY62" s="49"/>
      <c r="BZ62" s="50">
        <f t="shared" si="16"/>
        <v>0</v>
      </c>
      <c r="CB62" s="49"/>
      <c r="CC62" s="49"/>
      <c r="CD62" s="50">
        <f t="shared" si="17"/>
        <v>0</v>
      </c>
      <c r="CF62" s="49"/>
      <c r="CG62" s="49"/>
      <c r="CH62" s="50">
        <f t="shared" si="18"/>
        <v>0</v>
      </c>
      <c r="CJ62" s="49"/>
      <c r="CK62" s="49"/>
      <c r="CL62" s="50">
        <f t="shared" si="19"/>
        <v>0</v>
      </c>
      <c r="CN62" s="49"/>
      <c r="CO62" s="49"/>
      <c r="CP62" s="50">
        <f t="shared" si="20"/>
        <v>0</v>
      </c>
      <c r="CR62" s="49"/>
      <c r="CS62" s="49"/>
      <c r="CT62" s="50">
        <f t="shared" si="21"/>
        <v>0</v>
      </c>
      <c r="CV62" s="49"/>
      <c r="CW62" s="49"/>
      <c r="CX62" s="50">
        <f t="shared" si="22"/>
        <v>0</v>
      </c>
      <c r="CZ62" s="49"/>
      <c r="DA62" s="49"/>
      <c r="DB62" s="50">
        <f t="shared" si="23"/>
        <v>0</v>
      </c>
      <c r="DD62" s="49"/>
      <c r="DE62" s="49"/>
      <c r="DF62" s="50">
        <f t="shared" si="24"/>
        <v>0</v>
      </c>
      <c r="DH62" s="49"/>
      <c r="DI62" s="49"/>
      <c r="DJ62" s="50">
        <f t="shared" si="25"/>
        <v>0</v>
      </c>
      <c r="DL62" s="49"/>
      <c r="DM62" s="49"/>
      <c r="DN62" s="50">
        <f t="shared" si="26"/>
        <v>0</v>
      </c>
      <c r="DP62" s="49"/>
      <c r="DQ62" s="49"/>
      <c r="DR62" s="50">
        <f t="shared" si="27"/>
        <v>0</v>
      </c>
      <c r="DT62" s="49"/>
      <c r="DU62" s="49"/>
      <c r="DV62" s="50">
        <f t="shared" si="28"/>
        <v>0</v>
      </c>
      <c r="DX62" s="49"/>
      <c r="DY62" s="49"/>
      <c r="DZ62" s="50">
        <f t="shared" si="29"/>
        <v>0</v>
      </c>
      <c r="EB62" s="49">
        <f t="shared" si="30"/>
        <v>0</v>
      </c>
      <c r="EC62" s="49">
        <f t="shared" si="31"/>
        <v>0</v>
      </c>
      <c r="ED62" s="49">
        <f t="shared" si="32"/>
        <v>0</v>
      </c>
    </row>
    <row r="63" spans="2:134" ht="11" customHeight="1" x14ac:dyDescent="0.35">
      <c r="B63" s="4">
        <v>111002</v>
      </c>
      <c r="C63" s="4" t="s">
        <v>69</v>
      </c>
      <c r="D63" s="4">
        <v>12</v>
      </c>
      <c r="E63" s="5">
        <v>18</v>
      </c>
      <c r="F63" s="6">
        <v>190.46151740799999</v>
      </c>
      <c r="G63" s="7"/>
      <c r="H63" s="49"/>
      <c r="I63" s="49"/>
      <c r="J63" s="50">
        <f t="shared" si="33"/>
        <v>0</v>
      </c>
      <c r="K63" s="9"/>
      <c r="L63" s="49"/>
      <c r="M63" s="49"/>
      <c r="N63" s="50">
        <f t="shared" si="0"/>
        <v>0</v>
      </c>
      <c r="O63" s="46"/>
      <c r="P63" s="49"/>
      <c r="Q63" s="49"/>
      <c r="R63" s="50">
        <f t="shared" si="1"/>
        <v>0</v>
      </c>
      <c r="T63" s="49"/>
      <c r="U63" s="49"/>
      <c r="V63" s="50">
        <f t="shared" si="2"/>
        <v>0</v>
      </c>
      <c r="X63" s="49"/>
      <c r="Y63" s="49"/>
      <c r="Z63" s="50">
        <f t="shared" si="3"/>
        <v>0</v>
      </c>
      <c r="AB63" s="49"/>
      <c r="AC63" s="49"/>
      <c r="AD63" s="50">
        <f t="shared" si="4"/>
        <v>0</v>
      </c>
      <c r="AF63" s="49"/>
      <c r="AG63" s="49"/>
      <c r="AH63" s="50">
        <f t="shared" si="5"/>
        <v>0</v>
      </c>
      <c r="AJ63" s="49"/>
      <c r="AK63" s="49"/>
      <c r="AL63" s="50">
        <f t="shared" si="6"/>
        <v>0</v>
      </c>
      <c r="AN63" s="49"/>
      <c r="AO63" s="49"/>
      <c r="AP63" s="50">
        <f t="shared" si="7"/>
        <v>0</v>
      </c>
      <c r="AR63" s="49"/>
      <c r="AS63" s="49"/>
      <c r="AT63" s="50">
        <f t="shared" si="8"/>
        <v>0</v>
      </c>
      <c r="AV63" s="49"/>
      <c r="AW63" s="49"/>
      <c r="AX63" s="50">
        <f t="shared" si="9"/>
        <v>0</v>
      </c>
      <c r="AZ63" s="49"/>
      <c r="BA63" s="49"/>
      <c r="BB63" s="50">
        <f t="shared" si="10"/>
        <v>0</v>
      </c>
      <c r="BD63" s="49"/>
      <c r="BE63" s="49"/>
      <c r="BF63" s="50">
        <f t="shared" si="11"/>
        <v>0</v>
      </c>
      <c r="BH63" s="49"/>
      <c r="BI63" s="49"/>
      <c r="BJ63" s="50">
        <f t="shared" si="12"/>
        <v>0</v>
      </c>
      <c r="BL63" s="49"/>
      <c r="BM63" s="49"/>
      <c r="BN63" s="50">
        <f t="shared" si="13"/>
        <v>0</v>
      </c>
      <c r="BP63" s="49"/>
      <c r="BQ63" s="49"/>
      <c r="BR63" s="50">
        <f t="shared" si="14"/>
        <v>0</v>
      </c>
      <c r="BT63" s="49"/>
      <c r="BU63" s="49"/>
      <c r="BV63" s="50">
        <f t="shared" si="15"/>
        <v>0</v>
      </c>
      <c r="BX63" s="49"/>
      <c r="BY63" s="49"/>
      <c r="BZ63" s="50">
        <f t="shared" si="16"/>
        <v>0</v>
      </c>
      <c r="CB63" s="49"/>
      <c r="CC63" s="49"/>
      <c r="CD63" s="50">
        <f t="shared" si="17"/>
        <v>0</v>
      </c>
      <c r="CF63" s="49"/>
      <c r="CG63" s="49"/>
      <c r="CH63" s="50">
        <f t="shared" si="18"/>
        <v>0</v>
      </c>
      <c r="CJ63" s="49"/>
      <c r="CK63" s="49"/>
      <c r="CL63" s="50">
        <f t="shared" si="19"/>
        <v>0</v>
      </c>
      <c r="CN63" s="49"/>
      <c r="CO63" s="49"/>
      <c r="CP63" s="50">
        <f t="shared" si="20"/>
        <v>0</v>
      </c>
      <c r="CR63" s="49"/>
      <c r="CS63" s="49"/>
      <c r="CT63" s="50">
        <f t="shared" si="21"/>
        <v>0</v>
      </c>
      <c r="CV63" s="49"/>
      <c r="CW63" s="49"/>
      <c r="CX63" s="50">
        <f t="shared" si="22"/>
        <v>0</v>
      </c>
      <c r="CZ63" s="49"/>
      <c r="DA63" s="49"/>
      <c r="DB63" s="50">
        <f t="shared" si="23"/>
        <v>0</v>
      </c>
      <c r="DD63" s="49"/>
      <c r="DE63" s="49"/>
      <c r="DF63" s="50">
        <f t="shared" si="24"/>
        <v>0</v>
      </c>
      <c r="DH63" s="49"/>
      <c r="DI63" s="49"/>
      <c r="DJ63" s="50">
        <f t="shared" si="25"/>
        <v>0</v>
      </c>
      <c r="DL63" s="49"/>
      <c r="DM63" s="49"/>
      <c r="DN63" s="50">
        <f t="shared" si="26"/>
        <v>0</v>
      </c>
      <c r="DP63" s="49"/>
      <c r="DQ63" s="49"/>
      <c r="DR63" s="50">
        <f t="shared" si="27"/>
        <v>0</v>
      </c>
      <c r="DT63" s="49"/>
      <c r="DU63" s="49"/>
      <c r="DV63" s="50">
        <f t="shared" si="28"/>
        <v>0</v>
      </c>
      <c r="DX63" s="49"/>
      <c r="DY63" s="49"/>
      <c r="DZ63" s="50">
        <f t="shared" si="29"/>
        <v>0</v>
      </c>
      <c r="EB63" s="49">
        <f t="shared" si="30"/>
        <v>0</v>
      </c>
      <c r="EC63" s="49">
        <f t="shared" si="31"/>
        <v>0</v>
      </c>
      <c r="ED63" s="49">
        <f t="shared" si="32"/>
        <v>0</v>
      </c>
    </row>
    <row r="64" spans="2:134" ht="11" customHeight="1" x14ac:dyDescent="0.35">
      <c r="B64" s="4">
        <v>111006</v>
      </c>
      <c r="C64" s="4" t="s">
        <v>70</v>
      </c>
      <c r="D64" s="4">
        <v>24</v>
      </c>
      <c r="E64" s="5">
        <v>18</v>
      </c>
      <c r="F64" s="6">
        <v>193.64193294</v>
      </c>
      <c r="G64" s="7"/>
      <c r="H64" s="49"/>
      <c r="I64" s="49"/>
      <c r="J64" s="50">
        <f t="shared" si="33"/>
        <v>0</v>
      </c>
      <c r="K64" s="9"/>
      <c r="L64" s="49"/>
      <c r="M64" s="49"/>
      <c r="N64" s="50">
        <f t="shared" si="0"/>
        <v>0</v>
      </c>
      <c r="O64" s="46"/>
      <c r="P64" s="49"/>
      <c r="Q64" s="49"/>
      <c r="R64" s="50">
        <f t="shared" si="1"/>
        <v>0</v>
      </c>
      <c r="T64" s="49"/>
      <c r="U64" s="49"/>
      <c r="V64" s="50">
        <f t="shared" si="2"/>
        <v>0</v>
      </c>
      <c r="X64" s="49"/>
      <c r="Y64" s="49"/>
      <c r="Z64" s="50">
        <f t="shared" si="3"/>
        <v>0</v>
      </c>
      <c r="AB64" s="49"/>
      <c r="AC64" s="49"/>
      <c r="AD64" s="50">
        <f t="shared" si="4"/>
        <v>0</v>
      </c>
      <c r="AF64" s="49"/>
      <c r="AG64" s="49"/>
      <c r="AH64" s="50">
        <f t="shared" si="5"/>
        <v>0</v>
      </c>
      <c r="AJ64" s="49"/>
      <c r="AK64" s="49"/>
      <c r="AL64" s="50">
        <f t="shared" si="6"/>
        <v>0</v>
      </c>
      <c r="AN64" s="49"/>
      <c r="AO64" s="49"/>
      <c r="AP64" s="50">
        <f t="shared" si="7"/>
        <v>0</v>
      </c>
      <c r="AR64" s="49"/>
      <c r="AS64" s="49"/>
      <c r="AT64" s="50">
        <f t="shared" si="8"/>
        <v>0</v>
      </c>
      <c r="AV64" s="49"/>
      <c r="AW64" s="49"/>
      <c r="AX64" s="50">
        <f t="shared" si="9"/>
        <v>0</v>
      </c>
      <c r="AZ64" s="49"/>
      <c r="BA64" s="49"/>
      <c r="BB64" s="50">
        <f t="shared" si="10"/>
        <v>0</v>
      </c>
      <c r="BD64" s="49"/>
      <c r="BE64" s="49"/>
      <c r="BF64" s="50">
        <f t="shared" si="11"/>
        <v>0</v>
      </c>
      <c r="BH64" s="49"/>
      <c r="BI64" s="49"/>
      <c r="BJ64" s="50">
        <f t="shared" si="12"/>
        <v>0</v>
      </c>
      <c r="BL64" s="49"/>
      <c r="BM64" s="49"/>
      <c r="BN64" s="50">
        <f t="shared" si="13"/>
        <v>0</v>
      </c>
      <c r="BP64" s="49"/>
      <c r="BQ64" s="49"/>
      <c r="BR64" s="50">
        <f t="shared" si="14"/>
        <v>0</v>
      </c>
      <c r="BT64" s="49"/>
      <c r="BU64" s="49"/>
      <c r="BV64" s="50">
        <f t="shared" si="15"/>
        <v>0</v>
      </c>
      <c r="BX64" s="49"/>
      <c r="BY64" s="49"/>
      <c r="BZ64" s="50">
        <f t="shared" si="16"/>
        <v>0</v>
      </c>
      <c r="CB64" s="49"/>
      <c r="CC64" s="49"/>
      <c r="CD64" s="50">
        <f t="shared" si="17"/>
        <v>0</v>
      </c>
      <c r="CF64" s="49"/>
      <c r="CG64" s="49"/>
      <c r="CH64" s="50">
        <f t="shared" si="18"/>
        <v>0</v>
      </c>
      <c r="CJ64" s="49"/>
      <c r="CK64" s="49"/>
      <c r="CL64" s="50">
        <f t="shared" si="19"/>
        <v>0</v>
      </c>
      <c r="CN64" s="49"/>
      <c r="CO64" s="49"/>
      <c r="CP64" s="50">
        <f t="shared" si="20"/>
        <v>0</v>
      </c>
      <c r="CR64" s="49"/>
      <c r="CS64" s="49"/>
      <c r="CT64" s="50">
        <f t="shared" si="21"/>
        <v>0</v>
      </c>
      <c r="CV64" s="49"/>
      <c r="CW64" s="49"/>
      <c r="CX64" s="50">
        <f t="shared" si="22"/>
        <v>0</v>
      </c>
      <c r="CZ64" s="49"/>
      <c r="DA64" s="49"/>
      <c r="DB64" s="50">
        <f t="shared" si="23"/>
        <v>0</v>
      </c>
      <c r="DD64" s="49"/>
      <c r="DE64" s="49"/>
      <c r="DF64" s="50">
        <f t="shared" si="24"/>
        <v>0</v>
      </c>
      <c r="DH64" s="49"/>
      <c r="DI64" s="49"/>
      <c r="DJ64" s="50">
        <f t="shared" si="25"/>
        <v>0</v>
      </c>
      <c r="DL64" s="49"/>
      <c r="DM64" s="49"/>
      <c r="DN64" s="50">
        <f t="shared" si="26"/>
        <v>0</v>
      </c>
      <c r="DP64" s="49"/>
      <c r="DQ64" s="49"/>
      <c r="DR64" s="50">
        <f t="shared" si="27"/>
        <v>0</v>
      </c>
      <c r="DT64" s="49"/>
      <c r="DU64" s="49"/>
      <c r="DV64" s="50">
        <f t="shared" si="28"/>
        <v>0</v>
      </c>
      <c r="DX64" s="49"/>
      <c r="DY64" s="49"/>
      <c r="DZ64" s="50">
        <f t="shared" si="29"/>
        <v>0</v>
      </c>
      <c r="EB64" s="49">
        <f t="shared" si="30"/>
        <v>0</v>
      </c>
      <c r="EC64" s="49">
        <f t="shared" si="31"/>
        <v>0</v>
      </c>
      <c r="ED64" s="49">
        <f t="shared" si="32"/>
        <v>0</v>
      </c>
    </row>
    <row r="65" spans="2:134" ht="11" customHeight="1" x14ac:dyDescent="0.35">
      <c r="B65" s="4">
        <v>111107</v>
      </c>
      <c r="C65" s="4" t="s">
        <v>71</v>
      </c>
      <c r="D65" s="4">
        <v>1</v>
      </c>
      <c r="E65" s="5">
        <v>48</v>
      </c>
      <c r="F65" s="6">
        <v>39.4372481296</v>
      </c>
      <c r="G65" s="7"/>
      <c r="H65" s="49"/>
      <c r="I65" s="49"/>
      <c r="J65" s="50">
        <f t="shared" si="33"/>
        <v>0</v>
      </c>
      <c r="K65" s="9"/>
      <c r="L65" s="49"/>
      <c r="M65" s="49"/>
      <c r="N65" s="50">
        <f t="shared" si="0"/>
        <v>0</v>
      </c>
      <c r="O65" s="46"/>
      <c r="P65" s="49"/>
      <c r="Q65" s="49"/>
      <c r="R65" s="50">
        <f t="shared" si="1"/>
        <v>0</v>
      </c>
      <c r="T65" s="49"/>
      <c r="U65" s="49"/>
      <c r="V65" s="50">
        <f t="shared" si="2"/>
        <v>0</v>
      </c>
      <c r="X65" s="49"/>
      <c r="Y65" s="49"/>
      <c r="Z65" s="50">
        <f t="shared" si="3"/>
        <v>0</v>
      </c>
      <c r="AB65" s="49"/>
      <c r="AC65" s="49"/>
      <c r="AD65" s="50">
        <f t="shared" si="4"/>
        <v>0</v>
      </c>
      <c r="AF65" s="49"/>
      <c r="AG65" s="49"/>
      <c r="AH65" s="50">
        <f t="shared" si="5"/>
        <v>0</v>
      </c>
      <c r="AJ65" s="49"/>
      <c r="AK65" s="49"/>
      <c r="AL65" s="50">
        <f t="shared" si="6"/>
        <v>0</v>
      </c>
      <c r="AN65" s="49"/>
      <c r="AO65" s="49"/>
      <c r="AP65" s="50">
        <f t="shared" si="7"/>
        <v>0</v>
      </c>
      <c r="AR65" s="49"/>
      <c r="AS65" s="49"/>
      <c r="AT65" s="50">
        <f t="shared" si="8"/>
        <v>0</v>
      </c>
      <c r="AV65" s="49"/>
      <c r="AW65" s="49"/>
      <c r="AX65" s="50">
        <f t="shared" si="9"/>
        <v>0</v>
      </c>
      <c r="AZ65" s="49"/>
      <c r="BA65" s="49"/>
      <c r="BB65" s="50">
        <f t="shared" si="10"/>
        <v>0</v>
      </c>
      <c r="BD65" s="49"/>
      <c r="BE65" s="49"/>
      <c r="BF65" s="50">
        <f t="shared" si="11"/>
        <v>0</v>
      </c>
      <c r="BH65" s="49"/>
      <c r="BI65" s="49"/>
      <c r="BJ65" s="50">
        <f t="shared" si="12"/>
        <v>0</v>
      </c>
      <c r="BL65" s="49"/>
      <c r="BM65" s="49"/>
      <c r="BN65" s="50">
        <f t="shared" si="13"/>
        <v>0</v>
      </c>
      <c r="BP65" s="49"/>
      <c r="BQ65" s="49"/>
      <c r="BR65" s="50">
        <f t="shared" si="14"/>
        <v>0</v>
      </c>
      <c r="BT65" s="49"/>
      <c r="BU65" s="49"/>
      <c r="BV65" s="50">
        <f t="shared" si="15"/>
        <v>0</v>
      </c>
      <c r="BX65" s="49"/>
      <c r="BY65" s="49"/>
      <c r="BZ65" s="50">
        <f t="shared" si="16"/>
        <v>0</v>
      </c>
      <c r="CB65" s="49"/>
      <c r="CC65" s="49"/>
      <c r="CD65" s="50">
        <f t="shared" si="17"/>
        <v>0</v>
      </c>
      <c r="CF65" s="49"/>
      <c r="CG65" s="49"/>
      <c r="CH65" s="50">
        <f t="shared" si="18"/>
        <v>0</v>
      </c>
      <c r="CJ65" s="49"/>
      <c r="CK65" s="49"/>
      <c r="CL65" s="50">
        <f t="shared" si="19"/>
        <v>0</v>
      </c>
      <c r="CN65" s="49"/>
      <c r="CO65" s="49"/>
      <c r="CP65" s="50">
        <f t="shared" si="20"/>
        <v>0</v>
      </c>
      <c r="CR65" s="49"/>
      <c r="CS65" s="49"/>
      <c r="CT65" s="50">
        <f t="shared" si="21"/>
        <v>0</v>
      </c>
      <c r="CV65" s="49"/>
      <c r="CW65" s="49"/>
      <c r="CX65" s="50">
        <f t="shared" si="22"/>
        <v>0</v>
      </c>
      <c r="CZ65" s="49"/>
      <c r="DA65" s="49"/>
      <c r="DB65" s="50">
        <f t="shared" si="23"/>
        <v>0</v>
      </c>
      <c r="DD65" s="49"/>
      <c r="DE65" s="49"/>
      <c r="DF65" s="50">
        <f t="shared" si="24"/>
        <v>0</v>
      </c>
      <c r="DH65" s="49"/>
      <c r="DI65" s="49"/>
      <c r="DJ65" s="50">
        <f t="shared" si="25"/>
        <v>0</v>
      </c>
      <c r="DL65" s="49"/>
      <c r="DM65" s="49"/>
      <c r="DN65" s="50">
        <f t="shared" si="26"/>
        <v>0</v>
      </c>
      <c r="DP65" s="49"/>
      <c r="DQ65" s="49"/>
      <c r="DR65" s="50">
        <f t="shared" si="27"/>
        <v>0</v>
      </c>
      <c r="DT65" s="49"/>
      <c r="DU65" s="49"/>
      <c r="DV65" s="50">
        <f t="shared" si="28"/>
        <v>0</v>
      </c>
      <c r="DX65" s="49"/>
      <c r="DY65" s="49"/>
      <c r="DZ65" s="50">
        <f t="shared" si="29"/>
        <v>0</v>
      </c>
      <c r="EB65" s="49">
        <f t="shared" si="30"/>
        <v>0</v>
      </c>
      <c r="EC65" s="49">
        <f t="shared" si="31"/>
        <v>0</v>
      </c>
      <c r="ED65" s="49">
        <f t="shared" si="32"/>
        <v>0</v>
      </c>
    </row>
    <row r="66" spans="2:134" ht="11" customHeight="1" x14ac:dyDescent="0.35">
      <c r="B66" s="4">
        <v>111108</v>
      </c>
      <c r="C66" s="4" t="s">
        <v>72</v>
      </c>
      <c r="D66" s="4">
        <v>1</v>
      </c>
      <c r="E66" s="5">
        <v>48</v>
      </c>
      <c r="F66" s="6">
        <v>39.4372481296</v>
      </c>
      <c r="G66" s="7"/>
      <c r="H66" s="49"/>
      <c r="I66" s="49"/>
      <c r="J66" s="50">
        <f t="shared" si="33"/>
        <v>0</v>
      </c>
      <c r="K66" s="9"/>
      <c r="L66" s="49"/>
      <c r="M66" s="49"/>
      <c r="N66" s="50">
        <f t="shared" si="0"/>
        <v>0</v>
      </c>
      <c r="O66" s="46"/>
      <c r="P66" s="49"/>
      <c r="Q66" s="49"/>
      <c r="R66" s="50">
        <f t="shared" si="1"/>
        <v>0</v>
      </c>
      <c r="T66" s="49"/>
      <c r="U66" s="49"/>
      <c r="V66" s="50">
        <f t="shared" si="2"/>
        <v>0</v>
      </c>
      <c r="X66" s="49"/>
      <c r="Y66" s="49"/>
      <c r="Z66" s="50">
        <f t="shared" si="3"/>
        <v>0</v>
      </c>
      <c r="AB66" s="49"/>
      <c r="AC66" s="49"/>
      <c r="AD66" s="50">
        <f t="shared" si="4"/>
        <v>0</v>
      </c>
      <c r="AF66" s="49"/>
      <c r="AG66" s="49"/>
      <c r="AH66" s="50">
        <f t="shared" si="5"/>
        <v>0</v>
      </c>
      <c r="AJ66" s="49"/>
      <c r="AK66" s="49"/>
      <c r="AL66" s="50">
        <f t="shared" si="6"/>
        <v>0</v>
      </c>
      <c r="AN66" s="49"/>
      <c r="AO66" s="49"/>
      <c r="AP66" s="50">
        <f t="shared" si="7"/>
        <v>0</v>
      </c>
      <c r="AR66" s="49"/>
      <c r="AS66" s="49"/>
      <c r="AT66" s="50">
        <f t="shared" si="8"/>
        <v>0</v>
      </c>
      <c r="AV66" s="49"/>
      <c r="AW66" s="49"/>
      <c r="AX66" s="50">
        <f t="shared" si="9"/>
        <v>0</v>
      </c>
      <c r="AZ66" s="49"/>
      <c r="BA66" s="49"/>
      <c r="BB66" s="50">
        <f t="shared" si="10"/>
        <v>0</v>
      </c>
      <c r="BD66" s="49"/>
      <c r="BE66" s="49"/>
      <c r="BF66" s="50">
        <f t="shared" si="11"/>
        <v>0</v>
      </c>
      <c r="BH66" s="49"/>
      <c r="BI66" s="49"/>
      <c r="BJ66" s="50">
        <f t="shared" si="12"/>
        <v>0</v>
      </c>
      <c r="BL66" s="49"/>
      <c r="BM66" s="49"/>
      <c r="BN66" s="50">
        <f t="shared" si="13"/>
        <v>0</v>
      </c>
      <c r="BP66" s="49"/>
      <c r="BQ66" s="49"/>
      <c r="BR66" s="50">
        <f t="shared" si="14"/>
        <v>0</v>
      </c>
      <c r="BT66" s="49"/>
      <c r="BU66" s="49"/>
      <c r="BV66" s="50">
        <f t="shared" si="15"/>
        <v>0</v>
      </c>
      <c r="BX66" s="49"/>
      <c r="BY66" s="49"/>
      <c r="BZ66" s="50">
        <f t="shared" si="16"/>
        <v>0</v>
      </c>
      <c r="CB66" s="49"/>
      <c r="CC66" s="49"/>
      <c r="CD66" s="50">
        <f t="shared" si="17"/>
        <v>0</v>
      </c>
      <c r="CF66" s="49"/>
      <c r="CG66" s="49"/>
      <c r="CH66" s="50">
        <f t="shared" si="18"/>
        <v>0</v>
      </c>
      <c r="CJ66" s="49"/>
      <c r="CK66" s="49"/>
      <c r="CL66" s="50">
        <f t="shared" si="19"/>
        <v>0</v>
      </c>
      <c r="CN66" s="49"/>
      <c r="CO66" s="49"/>
      <c r="CP66" s="50">
        <f t="shared" si="20"/>
        <v>0</v>
      </c>
      <c r="CR66" s="49"/>
      <c r="CS66" s="49"/>
      <c r="CT66" s="50">
        <f t="shared" si="21"/>
        <v>0</v>
      </c>
      <c r="CV66" s="49"/>
      <c r="CW66" s="49"/>
      <c r="CX66" s="50">
        <f t="shared" si="22"/>
        <v>0</v>
      </c>
      <c r="CZ66" s="49"/>
      <c r="DA66" s="49"/>
      <c r="DB66" s="50">
        <f t="shared" si="23"/>
        <v>0</v>
      </c>
      <c r="DD66" s="49"/>
      <c r="DE66" s="49"/>
      <c r="DF66" s="50">
        <f t="shared" si="24"/>
        <v>0</v>
      </c>
      <c r="DH66" s="49"/>
      <c r="DI66" s="49"/>
      <c r="DJ66" s="50">
        <f t="shared" si="25"/>
        <v>0</v>
      </c>
      <c r="DL66" s="49"/>
      <c r="DM66" s="49"/>
      <c r="DN66" s="50">
        <f t="shared" si="26"/>
        <v>0</v>
      </c>
      <c r="DP66" s="49"/>
      <c r="DQ66" s="49"/>
      <c r="DR66" s="50">
        <f t="shared" si="27"/>
        <v>0</v>
      </c>
      <c r="DT66" s="49"/>
      <c r="DU66" s="49"/>
      <c r="DV66" s="50">
        <f t="shared" si="28"/>
        <v>0</v>
      </c>
      <c r="DX66" s="49"/>
      <c r="DY66" s="49"/>
      <c r="DZ66" s="50">
        <f t="shared" si="29"/>
        <v>0</v>
      </c>
      <c r="EB66" s="49">
        <f t="shared" si="30"/>
        <v>0</v>
      </c>
      <c r="EC66" s="49">
        <f t="shared" si="31"/>
        <v>0</v>
      </c>
      <c r="ED66" s="49">
        <f t="shared" si="32"/>
        <v>0</v>
      </c>
    </row>
    <row r="67" spans="2:134" ht="11" customHeight="1" x14ac:dyDescent="0.35">
      <c r="B67" s="4">
        <v>111109</v>
      </c>
      <c r="C67" s="4" t="s">
        <v>73</v>
      </c>
      <c r="D67" s="4">
        <v>12</v>
      </c>
      <c r="E67" s="5">
        <v>18</v>
      </c>
      <c r="F67" s="6">
        <v>190.46151740799999</v>
      </c>
      <c r="G67" s="7"/>
      <c r="H67" s="49"/>
      <c r="I67" s="49"/>
      <c r="J67" s="50">
        <f t="shared" si="33"/>
        <v>0</v>
      </c>
      <c r="K67" s="9"/>
      <c r="L67" s="49"/>
      <c r="M67" s="49"/>
      <c r="N67" s="50">
        <f t="shared" si="0"/>
        <v>0</v>
      </c>
      <c r="O67" s="46"/>
      <c r="P67" s="49"/>
      <c r="Q67" s="49"/>
      <c r="R67" s="50">
        <f t="shared" si="1"/>
        <v>0</v>
      </c>
      <c r="T67" s="49"/>
      <c r="U67" s="49"/>
      <c r="V67" s="50">
        <f t="shared" si="2"/>
        <v>0</v>
      </c>
      <c r="X67" s="49"/>
      <c r="Y67" s="49"/>
      <c r="Z67" s="50">
        <f t="shared" si="3"/>
        <v>0</v>
      </c>
      <c r="AB67" s="49"/>
      <c r="AC67" s="49"/>
      <c r="AD67" s="50">
        <f t="shared" si="4"/>
        <v>0</v>
      </c>
      <c r="AF67" s="49"/>
      <c r="AG67" s="49"/>
      <c r="AH67" s="50">
        <f t="shared" si="5"/>
        <v>0</v>
      </c>
      <c r="AJ67" s="49"/>
      <c r="AK67" s="49"/>
      <c r="AL67" s="50">
        <f t="shared" si="6"/>
        <v>0</v>
      </c>
      <c r="AN67" s="49"/>
      <c r="AO67" s="49"/>
      <c r="AP67" s="50">
        <f t="shared" si="7"/>
        <v>0</v>
      </c>
      <c r="AR67" s="49"/>
      <c r="AS67" s="49"/>
      <c r="AT67" s="50">
        <f t="shared" si="8"/>
        <v>0</v>
      </c>
      <c r="AV67" s="49"/>
      <c r="AW67" s="49"/>
      <c r="AX67" s="50">
        <f t="shared" si="9"/>
        <v>0</v>
      </c>
      <c r="AZ67" s="49"/>
      <c r="BA67" s="49"/>
      <c r="BB67" s="50">
        <f t="shared" si="10"/>
        <v>0</v>
      </c>
      <c r="BD67" s="49"/>
      <c r="BE67" s="49"/>
      <c r="BF67" s="50">
        <f t="shared" si="11"/>
        <v>0</v>
      </c>
      <c r="BH67" s="49"/>
      <c r="BI67" s="49"/>
      <c r="BJ67" s="50">
        <f t="shared" si="12"/>
        <v>0</v>
      </c>
      <c r="BL67" s="49"/>
      <c r="BM67" s="49"/>
      <c r="BN67" s="50">
        <f t="shared" si="13"/>
        <v>0</v>
      </c>
      <c r="BP67" s="49"/>
      <c r="BQ67" s="49"/>
      <c r="BR67" s="50">
        <f t="shared" si="14"/>
        <v>0</v>
      </c>
      <c r="BT67" s="49"/>
      <c r="BU67" s="49"/>
      <c r="BV67" s="50">
        <f t="shared" si="15"/>
        <v>0</v>
      </c>
      <c r="BX67" s="49"/>
      <c r="BY67" s="49"/>
      <c r="BZ67" s="50">
        <f t="shared" si="16"/>
        <v>0</v>
      </c>
      <c r="CB67" s="49"/>
      <c r="CC67" s="49"/>
      <c r="CD67" s="50">
        <f t="shared" si="17"/>
        <v>0</v>
      </c>
      <c r="CF67" s="49"/>
      <c r="CG67" s="49"/>
      <c r="CH67" s="50">
        <f t="shared" si="18"/>
        <v>0</v>
      </c>
      <c r="CJ67" s="49"/>
      <c r="CK67" s="49"/>
      <c r="CL67" s="50">
        <f t="shared" si="19"/>
        <v>0</v>
      </c>
      <c r="CN67" s="49"/>
      <c r="CO67" s="49"/>
      <c r="CP67" s="50">
        <f t="shared" si="20"/>
        <v>0</v>
      </c>
      <c r="CR67" s="49"/>
      <c r="CS67" s="49"/>
      <c r="CT67" s="50">
        <f t="shared" si="21"/>
        <v>0</v>
      </c>
      <c r="CV67" s="49"/>
      <c r="CW67" s="49"/>
      <c r="CX67" s="50">
        <f t="shared" si="22"/>
        <v>0</v>
      </c>
      <c r="CZ67" s="49"/>
      <c r="DA67" s="49"/>
      <c r="DB67" s="50">
        <f t="shared" si="23"/>
        <v>0</v>
      </c>
      <c r="DD67" s="49"/>
      <c r="DE67" s="49"/>
      <c r="DF67" s="50">
        <f t="shared" si="24"/>
        <v>0</v>
      </c>
      <c r="DH67" s="49"/>
      <c r="DI67" s="49"/>
      <c r="DJ67" s="50">
        <f t="shared" si="25"/>
        <v>0</v>
      </c>
      <c r="DL67" s="49"/>
      <c r="DM67" s="49"/>
      <c r="DN67" s="50">
        <f t="shared" si="26"/>
        <v>0</v>
      </c>
      <c r="DP67" s="49"/>
      <c r="DQ67" s="49"/>
      <c r="DR67" s="50">
        <f t="shared" si="27"/>
        <v>0</v>
      </c>
      <c r="DT67" s="49"/>
      <c r="DU67" s="49"/>
      <c r="DV67" s="50">
        <f t="shared" si="28"/>
        <v>0</v>
      </c>
      <c r="DX67" s="49"/>
      <c r="DY67" s="49"/>
      <c r="DZ67" s="50">
        <f t="shared" si="29"/>
        <v>0</v>
      </c>
      <c r="EB67" s="49">
        <f t="shared" si="30"/>
        <v>0</v>
      </c>
      <c r="EC67" s="49">
        <f t="shared" si="31"/>
        <v>0</v>
      </c>
      <c r="ED67" s="49">
        <f t="shared" si="32"/>
        <v>0</v>
      </c>
    </row>
    <row r="68" spans="2:134" ht="11" customHeight="1" x14ac:dyDescent="0.35">
      <c r="B68" s="4">
        <v>111124</v>
      </c>
      <c r="C68" s="4" t="s">
        <v>74</v>
      </c>
      <c r="D68" s="4">
        <v>24</v>
      </c>
      <c r="E68" s="5">
        <v>18</v>
      </c>
      <c r="F68" s="6">
        <v>193.64193294</v>
      </c>
      <c r="G68" s="7"/>
      <c r="H68" s="49"/>
      <c r="I68" s="49"/>
      <c r="J68" s="50">
        <f t="shared" si="33"/>
        <v>0</v>
      </c>
      <c r="K68" s="9"/>
      <c r="L68" s="49"/>
      <c r="M68" s="49"/>
      <c r="N68" s="50">
        <f t="shared" si="0"/>
        <v>0</v>
      </c>
      <c r="O68" s="46"/>
      <c r="P68" s="49"/>
      <c r="Q68" s="49"/>
      <c r="R68" s="50">
        <f t="shared" si="1"/>
        <v>0</v>
      </c>
      <c r="T68" s="49"/>
      <c r="U68" s="49"/>
      <c r="V68" s="50">
        <f t="shared" si="2"/>
        <v>0</v>
      </c>
      <c r="X68" s="49"/>
      <c r="Y68" s="49"/>
      <c r="Z68" s="50">
        <f t="shared" si="3"/>
        <v>0</v>
      </c>
      <c r="AB68" s="49"/>
      <c r="AC68" s="49"/>
      <c r="AD68" s="50">
        <f t="shared" si="4"/>
        <v>0</v>
      </c>
      <c r="AF68" s="49"/>
      <c r="AG68" s="49"/>
      <c r="AH68" s="50">
        <f t="shared" si="5"/>
        <v>0</v>
      </c>
      <c r="AJ68" s="49"/>
      <c r="AK68" s="49"/>
      <c r="AL68" s="50">
        <f t="shared" si="6"/>
        <v>0</v>
      </c>
      <c r="AN68" s="49"/>
      <c r="AO68" s="49"/>
      <c r="AP68" s="50">
        <f t="shared" si="7"/>
        <v>0</v>
      </c>
      <c r="AR68" s="49"/>
      <c r="AS68" s="49"/>
      <c r="AT68" s="50">
        <f t="shared" si="8"/>
        <v>0</v>
      </c>
      <c r="AV68" s="49"/>
      <c r="AW68" s="49"/>
      <c r="AX68" s="50">
        <f t="shared" si="9"/>
        <v>0</v>
      </c>
      <c r="AZ68" s="49"/>
      <c r="BA68" s="49"/>
      <c r="BB68" s="50">
        <f t="shared" si="10"/>
        <v>0</v>
      </c>
      <c r="BD68" s="49"/>
      <c r="BE68" s="49"/>
      <c r="BF68" s="50">
        <f t="shared" si="11"/>
        <v>0</v>
      </c>
      <c r="BH68" s="49"/>
      <c r="BI68" s="49"/>
      <c r="BJ68" s="50">
        <f t="shared" si="12"/>
        <v>0</v>
      </c>
      <c r="BL68" s="49"/>
      <c r="BM68" s="49"/>
      <c r="BN68" s="50">
        <f t="shared" si="13"/>
        <v>0</v>
      </c>
      <c r="BP68" s="49"/>
      <c r="BQ68" s="49"/>
      <c r="BR68" s="50">
        <f t="shared" si="14"/>
        <v>0</v>
      </c>
      <c r="BT68" s="49"/>
      <c r="BU68" s="49"/>
      <c r="BV68" s="50">
        <f t="shared" si="15"/>
        <v>0</v>
      </c>
      <c r="BX68" s="49"/>
      <c r="BY68" s="49"/>
      <c r="BZ68" s="50">
        <f t="shared" si="16"/>
        <v>0</v>
      </c>
      <c r="CB68" s="49"/>
      <c r="CC68" s="49"/>
      <c r="CD68" s="50">
        <f t="shared" si="17"/>
        <v>0</v>
      </c>
      <c r="CF68" s="49"/>
      <c r="CG68" s="49"/>
      <c r="CH68" s="50">
        <f t="shared" si="18"/>
        <v>0</v>
      </c>
      <c r="CJ68" s="49"/>
      <c r="CK68" s="49"/>
      <c r="CL68" s="50">
        <f t="shared" si="19"/>
        <v>0</v>
      </c>
      <c r="CN68" s="49"/>
      <c r="CO68" s="49"/>
      <c r="CP68" s="50">
        <f t="shared" si="20"/>
        <v>0</v>
      </c>
      <c r="CR68" s="49"/>
      <c r="CS68" s="49"/>
      <c r="CT68" s="50">
        <f t="shared" si="21"/>
        <v>0</v>
      </c>
      <c r="CV68" s="49"/>
      <c r="CW68" s="49"/>
      <c r="CX68" s="50">
        <f t="shared" si="22"/>
        <v>0</v>
      </c>
      <c r="CZ68" s="49"/>
      <c r="DA68" s="49"/>
      <c r="DB68" s="50">
        <f t="shared" si="23"/>
        <v>0</v>
      </c>
      <c r="DD68" s="49"/>
      <c r="DE68" s="49"/>
      <c r="DF68" s="50">
        <f t="shared" si="24"/>
        <v>0</v>
      </c>
      <c r="DH68" s="49"/>
      <c r="DI68" s="49"/>
      <c r="DJ68" s="50">
        <f t="shared" si="25"/>
        <v>0</v>
      </c>
      <c r="DL68" s="49"/>
      <c r="DM68" s="49"/>
      <c r="DN68" s="50">
        <f t="shared" si="26"/>
        <v>0</v>
      </c>
      <c r="DP68" s="49"/>
      <c r="DQ68" s="49"/>
      <c r="DR68" s="50">
        <f t="shared" si="27"/>
        <v>0</v>
      </c>
      <c r="DT68" s="49"/>
      <c r="DU68" s="49"/>
      <c r="DV68" s="50">
        <f t="shared" si="28"/>
        <v>0</v>
      </c>
      <c r="DX68" s="49"/>
      <c r="DY68" s="49"/>
      <c r="DZ68" s="50">
        <f t="shared" si="29"/>
        <v>0</v>
      </c>
      <c r="EB68" s="49">
        <f t="shared" si="30"/>
        <v>0</v>
      </c>
      <c r="EC68" s="49">
        <f t="shared" si="31"/>
        <v>0</v>
      </c>
      <c r="ED68" s="49">
        <f t="shared" si="32"/>
        <v>0</v>
      </c>
    </row>
    <row r="69" spans="2:134" ht="11" customHeight="1" x14ac:dyDescent="0.35">
      <c r="B69" s="4">
        <v>111131</v>
      </c>
      <c r="C69" s="4" t="s">
        <v>75</v>
      </c>
      <c r="D69" s="4">
        <v>12</v>
      </c>
      <c r="E69" s="5">
        <v>8</v>
      </c>
      <c r="F69" s="6">
        <v>481.09632499999998</v>
      </c>
      <c r="G69" s="7"/>
      <c r="H69" s="49"/>
      <c r="I69" s="49"/>
      <c r="J69" s="50">
        <f t="shared" si="33"/>
        <v>0</v>
      </c>
      <c r="K69" s="9"/>
      <c r="L69" s="49"/>
      <c r="M69" s="49"/>
      <c r="N69" s="50">
        <f t="shared" ref="N69:N108" si="34">(M69/E69)+L69</f>
        <v>0</v>
      </c>
      <c r="O69" s="46"/>
      <c r="P69" s="49"/>
      <c r="Q69" s="49"/>
      <c r="R69" s="50">
        <f t="shared" ref="R69:R108" si="35">(Q69/E69)+P69</f>
        <v>0</v>
      </c>
      <c r="T69" s="49"/>
      <c r="U69" s="49"/>
      <c r="V69" s="50">
        <f t="shared" ref="V69:V108" si="36">(U69/E69)+T69</f>
        <v>0</v>
      </c>
      <c r="X69" s="49"/>
      <c r="Y69" s="49"/>
      <c r="Z69" s="50">
        <f t="shared" ref="Z69:Z108" si="37">(Y69/E69)+X69</f>
        <v>0</v>
      </c>
      <c r="AB69" s="49"/>
      <c r="AC69" s="49"/>
      <c r="AD69" s="50">
        <f t="shared" ref="AD69:AD108" si="38">(AC69/E69)+AB69</f>
        <v>0</v>
      </c>
      <c r="AF69" s="49"/>
      <c r="AG69" s="49"/>
      <c r="AH69" s="50">
        <f t="shared" ref="AH69:AH108" si="39">(AG69/E69)+AF69</f>
        <v>0</v>
      </c>
      <c r="AJ69" s="49"/>
      <c r="AK69" s="49"/>
      <c r="AL69" s="50">
        <f t="shared" ref="AL69:AL108" si="40">(AK69/E69)+AJ69</f>
        <v>0</v>
      </c>
      <c r="AN69" s="49"/>
      <c r="AO69" s="49"/>
      <c r="AP69" s="50">
        <f t="shared" ref="AP69:AP108" si="41">(AO69/E69)+AN69</f>
        <v>0</v>
      </c>
      <c r="AR69" s="49"/>
      <c r="AS69" s="49"/>
      <c r="AT69" s="50">
        <f t="shared" ref="AT69:AT108" si="42">(AS69/E69)+AR69</f>
        <v>0</v>
      </c>
      <c r="AV69" s="49"/>
      <c r="AW69" s="49"/>
      <c r="AX69" s="50">
        <f t="shared" ref="AX69:AX108" si="43">(AW69/E69)+AV69</f>
        <v>0</v>
      </c>
      <c r="AZ69" s="49"/>
      <c r="BA69" s="49"/>
      <c r="BB69" s="50">
        <f t="shared" ref="BB69:BB108" si="44">(BA69/E69)+AZ69</f>
        <v>0</v>
      </c>
      <c r="BD69" s="49"/>
      <c r="BE69" s="49"/>
      <c r="BF69" s="50">
        <f t="shared" ref="BF69:BF108" si="45">(BE69/E69)+BD69</f>
        <v>0</v>
      </c>
      <c r="BH69" s="49"/>
      <c r="BI69" s="49"/>
      <c r="BJ69" s="50">
        <f t="shared" ref="BJ69:BJ108" si="46">(BI69/E69)+BH69</f>
        <v>0</v>
      </c>
      <c r="BL69" s="49"/>
      <c r="BM69" s="49"/>
      <c r="BN69" s="50">
        <f t="shared" ref="BN69:BN108" si="47">(BM69/E69)+BL69</f>
        <v>0</v>
      </c>
      <c r="BP69" s="49"/>
      <c r="BQ69" s="49"/>
      <c r="BR69" s="50">
        <f t="shared" ref="BR69:BR108" si="48">(BQ69/E69)+BP69</f>
        <v>0</v>
      </c>
      <c r="BT69" s="49"/>
      <c r="BU69" s="49"/>
      <c r="BV69" s="50">
        <f t="shared" ref="BV69:BV108" si="49">(BU69/E69)+BT69</f>
        <v>0</v>
      </c>
      <c r="BX69" s="49"/>
      <c r="BY69" s="49"/>
      <c r="BZ69" s="50">
        <f t="shared" ref="BZ69:BZ108" si="50">(BY69/E69)+BX69</f>
        <v>0</v>
      </c>
      <c r="CB69" s="49"/>
      <c r="CC69" s="49"/>
      <c r="CD69" s="50">
        <f t="shared" ref="CD69:CD108" si="51">(CC69/E69)+CB69</f>
        <v>0</v>
      </c>
      <c r="CF69" s="49"/>
      <c r="CG69" s="49"/>
      <c r="CH69" s="50">
        <f t="shared" ref="CH69:CH108" si="52">(CG69/E69)+CF69</f>
        <v>0</v>
      </c>
      <c r="CJ69" s="49"/>
      <c r="CK69" s="49"/>
      <c r="CL69" s="50">
        <f t="shared" ref="CL69:CL108" si="53">(CK69/E69)+CJ69</f>
        <v>0</v>
      </c>
      <c r="CN69" s="49"/>
      <c r="CO69" s="49"/>
      <c r="CP69" s="50">
        <f t="shared" ref="CP69:CP108" si="54">(CO69/E69)+CN69</f>
        <v>0</v>
      </c>
      <c r="CR69" s="49"/>
      <c r="CS69" s="49"/>
      <c r="CT69" s="50">
        <f t="shared" ref="CT69:CT108" si="55">(CS69/E69)+CR69</f>
        <v>0</v>
      </c>
      <c r="CV69" s="49"/>
      <c r="CW69" s="49"/>
      <c r="CX69" s="50">
        <f t="shared" ref="CX69:CX108" si="56">(CW69/E69)+CV69</f>
        <v>0</v>
      </c>
      <c r="CZ69" s="49"/>
      <c r="DA69" s="49"/>
      <c r="DB69" s="50">
        <f t="shared" ref="DB69:DB108" si="57">(DA69/E69)+CZ69</f>
        <v>0</v>
      </c>
      <c r="DD69" s="49"/>
      <c r="DE69" s="49"/>
      <c r="DF69" s="50">
        <f t="shared" ref="DF69:DF108" si="58">(DE69/E69)+DD69</f>
        <v>0</v>
      </c>
      <c r="DH69" s="49"/>
      <c r="DI69" s="49"/>
      <c r="DJ69" s="50">
        <f t="shared" ref="DJ69:DJ108" si="59">(DI69/E69)+DH69</f>
        <v>0</v>
      </c>
      <c r="DL69" s="49"/>
      <c r="DM69" s="49"/>
      <c r="DN69" s="50">
        <f t="shared" ref="DN69:DN108" si="60">(DM69/E69)+DL69</f>
        <v>0</v>
      </c>
      <c r="DP69" s="49"/>
      <c r="DQ69" s="49"/>
      <c r="DR69" s="50">
        <f t="shared" ref="DR69:DR108" si="61">(DQ69/E69)+DP69</f>
        <v>0</v>
      </c>
      <c r="DT69" s="49"/>
      <c r="DU69" s="49"/>
      <c r="DV69" s="50">
        <f t="shared" ref="DV69:DV108" si="62">(DU69/E69)+DT69</f>
        <v>0</v>
      </c>
      <c r="DX69" s="49"/>
      <c r="DY69" s="49"/>
      <c r="DZ69" s="50">
        <f t="shared" ref="DZ69:DZ108" si="63">(DY69/E69)+DX69</f>
        <v>0</v>
      </c>
      <c r="EB69" s="49">
        <f t="shared" ref="EB69:EB108" si="64">H69+L69+P69+T69+X69+AB69+AF69+AJ69+AN69+AR69+AV69+AZ69+BD69+BH69+BL69+BP69+BT69+BX69+CB69+CF69+CJ69+CN69+CR69+CV69+CZ69+DD69+DH69+DL69+DP69+DT69+DX69</f>
        <v>0</v>
      </c>
      <c r="EC69" s="49">
        <f t="shared" ref="EC69:EC108" si="65">I69+M69+Q69+U69+Y69+AC69+AG69+AK69+AO69+AS69+AW69+BA69+BE69+BI69+BM69+BQ69+BU69+BY69+CC69+CG69+CK69+CO69+CS69+CW69+DA69+DE69+DI69+DM69+DQ69+DU69+DY69</f>
        <v>0</v>
      </c>
      <c r="ED69" s="49">
        <f t="shared" ref="ED69:ED108" si="66">J69+N69+R69+V69+Z69+AD69+AH69+AL69+AP69+AT69+AX69+BB69+BF69+BJ69+BN69+BR69+BV69+BZ69+CD69+CH69+CL69+CP69+CT69+CX69+DB69+DF69+DJ69+DN69+DR69+DV69+DZ69</f>
        <v>0</v>
      </c>
    </row>
    <row r="70" spans="2:134" ht="11" customHeight="1" x14ac:dyDescent="0.35">
      <c r="B70" s="4">
        <v>111202</v>
      </c>
      <c r="C70" s="4" t="s">
        <v>76</v>
      </c>
      <c r="D70" s="4">
        <v>25</v>
      </c>
      <c r="E70" s="5">
        <v>36</v>
      </c>
      <c r="F70" s="6">
        <v>99.122261960000003</v>
      </c>
      <c r="G70" s="7"/>
      <c r="H70" s="49"/>
      <c r="I70" s="49"/>
      <c r="J70" s="50">
        <f t="shared" si="33"/>
        <v>0</v>
      </c>
      <c r="K70" s="9"/>
      <c r="L70" s="49"/>
      <c r="M70" s="49"/>
      <c r="N70" s="50">
        <f t="shared" si="34"/>
        <v>0</v>
      </c>
      <c r="O70" s="46"/>
      <c r="P70" s="49"/>
      <c r="Q70" s="49"/>
      <c r="R70" s="50">
        <f t="shared" si="35"/>
        <v>0</v>
      </c>
      <c r="T70" s="49"/>
      <c r="U70" s="49"/>
      <c r="V70" s="50">
        <f t="shared" si="36"/>
        <v>0</v>
      </c>
      <c r="X70" s="49"/>
      <c r="Y70" s="49"/>
      <c r="Z70" s="50">
        <f t="shared" si="37"/>
        <v>0</v>
      </c>
      <c r="AB70" s="49"/>
      <c r="AC70" s="49"/>
      <c r="AD70" s="50">
        <f t="shared" si="38"/>
        <v>0</v>
      </c>
      <c r="AF70" s="49"/>
      <c r="AG70" s="49"/>
      <c r="AH70" s="50">
        <f t="shared" si="39"/>
        <v>0</v>
      </c>
      <c r="AJ70" s="49"/>
      <c r="AK70" s="49"/>
      <c r="AL70" s="50">
        <f t="shared" si="40"/>
        <v>0</v>
      </c>
      <c r="AN70" s="49"/>
      <c r="AO70" s="49"/>
      <c r="AP70" s="50">
        <f t="shared" si="41"/>
        <v>0</v>
      </c>
      <c r="AR70" s="49"/>
      <c r="AS70" s="49"/>
      <c r="AT70" s="50">
        <f t="shared" si="42"/>
        <v>0</v>
      </c>
      <c r="AV70" s="49"/>
      <c r="AW70" s="49"/>
      <c r="AX70" s="50">
        <f t="shared" si="43"/>
        <v>0</v>
      </c>
      <c r="AZ70" s="49"/>
      <c r="BA70" s="49"/>
      <c r="BB70" s="50">
        <f t="shared" si="44"/>
        <v>0</v>
      </c>
      <c r="BD70" s="49"/>
      <c r="BE70" s="49"/>
      <c r="BF70" s="50">
        <f t="shared" si="45"/>
        <v>0</v>
      </c>
      <c r="BH70" s="49"/>
      <c r="BI70" s="49"/>
      <c r="BJ70" s="50">
        <f t="shared" si="46"/>
        <v>0</v>
      </c>
      <c r="BL70" s="49"/>
      <c r="BM70" s="49"/>
      <c r="BN70" s="50">
        <f t="shared" si="47"/>
        <v>0</v>
      </c>
      <c r="BP70" s="49"/>
      <c r="BQ70" s="49"/>
      <c r="BR70" s="50">
        <f t="shared" si="48"/>
        <v>0</v>
      </c>
      <c r="BT70" s="49"/>
      <c r="BU70" s="49"/>
      <c r="BV70" s="50">
        <f t="shared" si="49"/>
        <v>0</v>
      </c>
      <c r="BX70" s="49"/>
      <c r="BY70" s="49"/>
      <c r="BZ70" s="50">
        <f t="shared" si="50"/>
        <v>0</v>
      </c>
      <c r="CB70" s="49"/>
      <c r="CC70" s="49"/>
      <c r="CD70" s="50">
        <f t="shared" si="51"/>
        <v>0</v>
      </c>
      <c r="CF70" s="49"/>
      <c r="CG70" s="49"/>
      <c r="CH70" s="50">
        <f t="shared" si="52"/>
        <v>0</v>
      </c>
      <c r="CJ70" s="49"/>
      <c r="CK70" s="49"/>
      <c r="CL70" s="50">
        <f t="shared" si="53"/>
        <v>0</v>
      </c>
      <c r="CN70" s="49"/>
      <c r="CO70" s="49"/>
      <c r="CP70" s="50">
        <f t="shared" si="54"/>
        <v>0</v>
      </c>
      <c r="CR70" s="49"/>
      <c r="CS70" s="49"/>
      <c r="CT70" s="50">
        <f t="shared" si="55"/>
        <v>0</v>
      </c>
      <c r="CV70" s="49"/>
      <c r="CW70" s="49"/>
      <c r="CX70" s="50">
        <f t="shared" si="56"/>
        <v>0</v>
      </c>
      <c r="CZ70" s="49"/>
      <c r="DA70" s="49"/>
      <c r="DB70" s="50">
        <f t="shared" si="57"/>
        <v>0</v>
      </c>
      <c r="DD70" s="49"/>
      <c r="DE70" s="49"/>
      <c r="DF70" s="50">
        <f t="shared" si="58"/>
        <v>0</v>
      </c>
      <c r="DH70" s="49"/>
      <c r="DI70" s="49"/>
      <c r="DJ70" s="50">
        <f t="shared" si="59"/>
        <v>0</v>
      </c>
      <c r="DL70" s="49"/>
      <c r="DM70" s="49"/>
      <c r="DN70" s="50">
        <f t="shared" si="60"/>
        <v>0</v>
      </c>
      <c r="DP70" s="49"/>
      <c r="DQ70" s="49"/>
      <c r="DR70" s="50">
        <f t="shared" si="61"/>
        <v>0</v>
      </c>
      <c r="DT70" s="49"/>
      <c r="DU70" s="49"/>
      <c r="DV70" s="50">
        <f t="shared" si="62"/>
        <v>0</v>
      </c>
      <c r="DX70" s="49"/>
      <c r="DY70" s="49"/>
      <c r="DZ70" s="50">
        <f t="shared" si="63"/>
        <v>0</v>
      </c>
      <c r="EB70" s="49">
        <f t="shared" si="64"/>
        <v>0</v>
      </c>
      <c r="EC70" s="49">
        <f t="shared" si="65"/>
        <v>0</v>
      </c>
      <c r="ED70" s="49">
        <f t="shared" si="66"/>
        <v>0</v>
      </c>
    </row>
    <row r="71" spans="2:134" ht="11" customHeight="1" x14ac:dyDescent="0.35">
      <c r="B71" s="4">
        <v>111203</v>
      </c>
      <c r="C71" s="4" t="s">
        <v>77</v>
      </c>
      <c r="D71" s="4">
        <v>50</v>
      </c>
      <c r="E71" s="5">
        <v>18</v>
      </c>
      <c r="F71" s="6">
        <v>198.24524392000001</v>
      </c>
      <c r="G71" s="7"/>
      <c r="H71" s="49"/>
      <c r="I71" s="49"/>
      <c r="J71" s="50">
        <f t="shared" ref="J71:J108" si="67">(I71/E71)+H71</f>
        <v>0</v>
      </c>
      <c r="K71" s="9"/>
      <c r="L71" s="49"/>
      <c r="M71" s="49"/>
      <c r="N71" s="50">
        <f t="shared" si="34"/>
        <v>0</v>
      </c>
      <c r="O71" s="46"/>
      <c r="P71" s="49"/>
      <c r="Q71" s="49"/>
      <c r="R71" s="50">
        <f t="shared" si="35"/>
        <v>0</v>
      </c>
      <c r="T71" s="49"/>
      <c r="U71" s="49"/>
      <c r="V71" s="50">
        <f t="shared" si="36"/>
        <v>0</v>
      </c>
      <c r="X71" s="49"/>
      <c r="Y71" s="49"/>
      <c r="Z71" s="50">
        <f t="shared" si="37"/>
        <v>0</v>
      </c>
      <c r="AB71" s="49"/>
      <c r="AC71" s="49"/>
      <c r="AD71" s="50">
        <f t="shared" si="38"/>
        <v>0</v>
      </c>
      <c r="AF71" s="49"/>
      <c r="AG71" s="49"/>
      <c r="AH71" s="50">
        <f t="shared" si="39"/>
        <v>0</v>
      </c>
      <c r="AJ71" s="49"/>
      <c r="AK71" s="49"/>
      <c r="AL71" s="50">
        <f t="shared" si="40"/>
        <v>0</v>
      </c>
      <c r="AN71" s="49"/>
      <c r="AO71" s="49"/>
      <c r="AP71" s="50">
        <f t="shared" si="41"/>
        <v>0</v>
      </c>
      <c r="AR71" s="49"/>
      <c r="AS71" s="49"/>
      <c r="AT71" s="50">
        <f t="shared" si="42"/>
        <v>0</v>
      </c>
      <c r="AV71" s="49"/>
      <c r="AW71" s="49"/>
      <c r="AX71" s="50">
        <f t="shared" si="43"/>
        <v>0</v>
      </c>
      <c r="AZ71" s="49"/>
      <c r="BA71" s="49"/>
      <c r="BB71" s="50">
        <f t="shared" si="44"/>
        <v>0</v>
      </c>
      <c r="BD71" s="49"/>
      <c r="BE71" s="49"/>
      <c r="BF71" s="50">
        <f t="shared" si="45"/>
        <v>0</v>
      </c>
      <c r="BH71" s="49"/>
      <c r="BI71" s="49"/>
      <c r="BJ71" s="50">
        <f t="shared" si="46"/>
        <v>0</v>
      </c>
      <c r="BL71" s="49"/>
      <c r="BM71" s="49"/>
      <c r="BN71" s="50">
        <f t="shared" si="47"/>
        <v>0</v>
      </c>
      <c r="BP71" s="49"/>
      <c r="BQ71" s="49"/>
      <c r="BR71" s="50">
        <f t="shared" si="48"/>
        <v>0</v>
      </c>
      <c r="BT71" s="49"/>
      <c r="BU71" s="49"/>
      <c r="BV71" s="50">
        <f t="shared" si="49"/>
        <v>0</v>
      </c>
      <c r="BX71" s="49"/>
      <c r="BY71" s="49"/>
      <c r="BZ71" s="50">
        <f t="shared" si="50"/>
        <v>0</v>
      </c>
      <c r="CB71" s="49"/>
      <c r="CC71" s="49"/>
      <c r="CD71" s="50">
        <f t="shared" si="51"/>
        <v>0</v>
      </c>
      <c r="CF71" s="49"/>
      <c r="CG71" s="49"/>
      <c r="CH71" s="50">
        <f t="shared" si="52"/>
        <v>0</v>
      </c>
      <c r="CJ71" s="49"/>
      <c r="CK71" s="49"/>
      <c r="CL71" s="50">
        <f t="shared" si="53"/>
        <v>0</v>
      </c>
      <c r="CN71" s="49"/>
      <c r="CO71" s="49"/>
      <c r="CP71" s="50">
        <f t="shared" si="54"/>
        <v>0</v>
      </c>
      <c r="CR71" s="49"/>
      <c r="CS71" s="49"/>
      <c r="CT71" s="50">
        <f t="shared" si="55"/>
        <v>0</v>
      </c>
      <c r="CV71" s="49"/>
      <c r="CW71" s="49"/>
      <c r="CX71" s="50">
        <f t="shared" si="56"/>
        <v>0</v>
      </c>
      <c r="CZ71" s="49"/>
      <c r="DA71" s="49"/>
      <c r="DB71" s="50">
        <f t="shared" si="57"/>
        <v>0</v>
      </c>
      <c r="DD71" s="49"/>
      <c r="DE71" s="49"/>
      <c r="DF71" s="50">
        <f t="shared" si="58"/>
        <v>0</v>
      </c>
      <c r="DH71" s="49"/>
      <c r="DI71" s="49"/>
      <c r="DJ71" s="50">
        <f t="shared" si="59"/>
        <v>0</v>
      </c>
      <c r="DL71" s="49"/>
      <c r="DM71" s="49"/>
      <c r="DN71" s="50">
        <f t="shared" si="60"/>
        <v>0</v>
      </c>
      <c r="DP71" s="49"/>
      <c r="DQ71" s="49"/>
      <c r="DR71" s="50">
        <f t="shared" si="61"/>
        <v>0</v>
      </c>
      <c r="DT71" s="49"/>
      <c r="DU71" s="49"/>
      <c r="DV71" s="50">
        <f t="shared" si="62"/>
        <v>0</v>
      </c>
      <c r="DX71" s="49"/>
      <c r="DY71" s="49"/>
      <c r="DZ71" s="50">
        <f t="shared" si="63"/>
        <v>0</v>
      </c>
      <c r="EB71" s="49">
        <f t="shared" si="64"/>
        <v>0</v>
      </c>
      <c r="EC71" s="49">
        <f t="shared" si="65"/>
        <v>0</v>
      </c>
      <c r="ED71" s="49">
        <f t="shared" si="66"/>
        <v>0</v>
      </c>
    </row>
    <row r="72" spans="2:134" ht="11" customHeight="1" x14ac:dyDescent="0.35">
      <c r="B72" s="4">
        <v>111212</v>
      </c>
      <c r="C72" s="4" t="s">
        <v>78</v>
      </c>
      <c r="D72" s="4">
        <v>25</v>
      </c>
      <c r="E72" s="5">
        <v>36</v>
      </c>
      <c r="F72" s="6">
        <v>99.122621960000004</v>
      </c>
      <c r="G72" s="7"/>
      <c r="H72" s="49"/>
      <c r="I72" s="49"/>
      <c r="J72" s="50">
        <f t="shared" si="67"/>
        <v>0</v>
      </c>
      <c r="K72" s="9"/>
      <c r="L72" s="49"/>
      <c r="M72" s="49"/>
      <c r="N72" s="50">
        <f t="shared" si="34"/>
        <v>0</v>
      </c>
      <c r="O72" s="46"/>
      <c r="P72" s="49"/>
      <c r="Q72" s="49"/>
      <c r="R72" s="50">
        <f t="shared" si="35"/>
        <v>0</v>
      </c>
      <c r="T72" s="49"/>
      <c r="U72" s="49"/>
      <c r="V72" s="50">
        <f t="shared" si="36"/>
        <v>0</v>
      </c>
      <c r="X72" s="49"/>
      <c r="Y72" s="49"/>
      <c r="Z72" s="50">
        <f t="shared" si="37"/>
        <v>0</v>
      </c>
      <c r="AB72" s="49"/>
      <c r="AC72" s="49"/>
      <c r="AD72" s="50">
        <f t="shared" si="38"/>
        <v>0</v>
      </c>
      <c r="AF72" s="49"/>
      <c r="AG72" s="49"/>
      <c r="AH72" s="50">
        <f t="shared" si="39"/>
        <v>0</v>
      </c>
      <c r="AJ72" s="49"/>
      <c r="AK72" s="49"/>
      <c r="AL72" s="50">
        <f t="shared" si="40"/>
        <v>0</v>
      </c>
      <c r="AN72" s="49"/>
      <c r="AO72" s="49"/>
      <c r="AP72" s="50">
        <f t="shared" si="41"/>
        <v>0</v>
      </c>
      <c r="AR72" s="49"/>
      <c r="AS72" s="49"/>
      <c r="AT72" s="50">
        <f t="shared" si="42"/>
        <v>0</v>
      </c>
      <c r="AV72" s="49"/>
      <c r="AW72" s="49"/>
      <c r="AX72" s="50">
        <f t="shared" si="43"/>
        <v>0</v>
      </c>
      <c r="AZ72" s="49"/>
      <c r="BA72" s="49"/>
      <c r="BB72" s="50">
        <f t="shared" si="44"/>
        <v>0</v>
      </c>
      <c r="BD72" s="49"/>
      <c r="BE72" s="49"/>
      <c r="BF72" s="50">
        <f t="shared" si="45"/>
        <v>0</v>
      </c>
      <c r="BH72" s="49"/>
      <c r="BI72" s="49"/>
      <c r="BJ72" s="50">
        <f t="shared" si="46"/>
        <v>0</v>
      </c>
      <c r="BL72" s="49"/>
      <c r="BM72" s="49"/>
      <c r="BN72" s="50">
        <f t="shared" si="47"/>
        <v>0</v>
      </c>
      <c r="BP72" s="49"/>
      <c r="BQ72" s="49"/>
      <c r="BR72" s="50">
        <f t="shared" si="48"/>
        <v>0</v>
      </c>
      <c r="BT72" s="49"/>
      <c r="BU72" s="49"/>
      <c r="BV72" s="50">
        <f t="shared" si="49"/>
        <v>0</v>
      </c>
      <c r="BX72" s="49"/>
      <c r="BY72" s="49"/>
      <c r="BZ72" s="50">
        <f t="shared" si="50"/>
        <v>0</v>
      </c>
      <c r="CB72" s="49"/>
      <c r="CC72" s="49"/>
      <c r="CD72" s="50">
        <f t="shared" si="51"/>
        <v>0</v>
      </c>
      <c r="CF72" s="49"/>
      <c r="CG72" s="49"/>
      <c r="CH72" s="50">
        <f t="shared" si="52"/>
        <v>0</v>
      </c>
      <c r="CJ72" s="49"/>
      <c r="CK72" s="49"/>
      <c r="CL72" s="50">
        <f t="shared" si="53"/>
        <v>0</v>
      </c>
      <c r="CN72" s="49"/>
      <c r="CO72" s="49"/>
      <c r="CP72" s="50">
        <f t="shared" si="54"/>
        <v>0</v>
      </c>
      <c r="CR72" s="49"/>
      <c r="CS72" s="49"/>
      <c r="CT72" s="50">
        <f t="shared" si="55"/>
        <v>0</v>
      </c>
      <c r="CV72" s="49"/>
      <c r="CW72" s="49"/>
      <c r="CX72" s="50">
        <f t="shared" si="56"/>
        <v>0</v>
      </c>
      <c r="CZ72" s="49"/>
      <c r="DA72" s="49"/>
      <c r="DB72" s="50">
        <f t="shared" si="57"/>
        <v>0</v>
      </c>
      <c r="DD72" s="49"/>
      <c r="DE72" s="49"/>
      <c r="DF72" s="50">
        <f t="shared" si="58"/>
        <v>0</v>
      </c>
      <c r="DH72" s="49"/>
      <c r="DI72" s="49"/>
      <c r="DJ72" s="50">
        <f t="shared" si="59"/>
        <v>0</v>
      </c>
      <c r="DL72" s="49"/>
      <c r="DM72" s="49"/>
      <c r="DN72" s="50">
        <f t="shared" si="60"/>
        <v>0</v>
      </c>
      <c r="DP72" s="49"/>
      <c r="DQ72" s="49"/>
      <c r="DR72" s="50">
        <f t="shared" si="61"/>
        <v>0</v>
      </c>
      <c r="DT72" s="49"/>
      <c r="DU72" s="49"/>
      <c r="DV72" s="50">
        <f t="shared" si="62"/>
        <v>0</v>
      </c>
      <c r="DX72" s="49"/>
      <c r="DY72" s="49"/>
      <c r="DZ72" s="50">
        <f t="shared" si="63"/>
        <v>0</v>
      </c>
      <c r="EB72" s="49">
        <f t="shared" si="64"/>
        <v>0</v>
      </c>
      <c r="EC72" s="49">
        <f t="shared" si="65"/>
        <v>0</v>
      </c>
      <c r="ED72" s="49">
        <f t="shared" si="66"/>
        <v>0</v>
      </c>
    </row>
    <row r="73" spans="2:134" ht="11" customHeight="1" x14ac:dyDescent="0.35">
      <c r="B73" s="4">
        <v>111213</v>
      </c>
      <c r="C73" s="4" t="s">
        <v>79</v>
      </c>
      <c r="D73" s="4">
        <v>50</v>
      </c>
      <c r="E73" s="5">
        <v>18</v>
      </c>
      <c r="F73" s="6">
        <v>198.24524392000001</v>
      </c>
      <c r="G73" s="7"/>
      <c r="H73" s="49"/>
      <c r="I73" s="49"/>
      <c r="J73" s="50">
        <f t="shared" si="67"/>
        <v>0</v>
      </c>
      <c r="K73" s="9"/>
      <c r="L73" s="49"/>
      <c r="M73" s="49"/>
      <c r="N73" s="50">
        <f t="shared" si="34"/>
        <v>0</v>
      </c>
      <c r="O73" s="46"/>
      <c r="P73" s="49"/>
      <c r="Q73" s="49"/>
      <c r="R73" s="50">
        <f t="shared" si="35"/>
        <v>0</v>
      </c>
      <c r="T73" s="49"/>
      <c r="U73" s="49"/>
      <c r="V73" s="50">
        <f t="shared" si="36"/>
        <v>0</v>
      </c>
      <c r="X73" s="49"/>
      <c r="Y73" s="49"/>
      <c r="Z73" s="50">
        <f t="shared" si="37"/>
        <v>0</v>
      </c>
      <c r="AB73" s="49"/>
      <c r="AC73" s="49"/>
      <c r="AD73" s="50">
        <f t="shared" si="38"/>
        <v>0</v>
      </c>
      <c r="AF73" s="49"/>
      <c r="AG73" s="49"/>
      <c r="AH73" s="50">
        <f t="shared" si="39"/>
        <v>0</v>
      </c>
      <c r="AJ73" s="49"/>
      <c r="AK73" s="49"/>
      <c r="AL73" s="50">
        <f t="shared" si="40"/>
        <v>0</v>
      </c>
      <c r="AN73" s="49"/>
      <c r="AO73" s="49"/>
      <c r="AP73" s="50">
        <f t="shared" si="41"/>
        <v>0</v>
      </c>
      <c r="AR73" s="49"/>
      <c r="AS73" s="49"/>
      <c r="AT73" s="50">
        <f t="shared" si="42"/>
        <v>0</v>
      </c>
      <c r="AV73" s="49"/>
      <c r="AW73" s="49"/>
      <c r="AX73" s="50">
        <f t="shared" si="43"/>
        <v>0</v>
      </c>
      <c r="AZ73" s="49"/>
      <c r="BA73" s="49"/>
      <c r="BB73" s="50">
        <f t="shared" si="44"/>
        <v>0</v>
      </c>
      <c r="BD73" s="49"/>
      <c r="BE73" s="49"/>
      <c r="BF73" s="50">
        <f t="shared" si="45"/>
        <v>0</v>
      </c>
      <c r="BH73" s="49"/>
      <c r="BI73" s="49"/>
      <c r="BJ73" s="50">
        <f t="shared" si="46"/>
        <v>0</v>
      </c>
      <c r="BL73" s="49"/>
      <c r="BM73" s="49"/>
      <c r="BN73" s="50">
        <f t="shared" si="47"/>
        <v>0</v>
      </c>
      <c r="BP73" s="49"/>
      <c r="BQ73" s="49"/>
      <c r="BR73" s="50">
        <f t="shared" si="48"/>
        <v>0</v>
      </c>
      <c r="BT73" s="49"/>
      <c r="BU73" s="49"/>
      <c r="BV73" s="50">
        <f t="shared" si="49"/>
        <v>0</v>
      </c>
      <c r="BX73" s="49"/>
      <c r="BY73" s="49"/>
      <c r="BZ73" s="50">
        <f t="shared" si="50"/>
        <v>0</v>
      </c>
      <c r="CB73" s="49"/>
      <c r="CC73" s="49"/>
      <c r="CD73" s="50">
        <f t="shared" si="51"/>
        <v>0</v>
      </c>
      <c r="CF73" s="49"/>
      <c r="CG73" s="49"/>
      <c r="CH73" s="50">
        <f t="shared" si="52"/>
        <v>0</v>
      </c>
      <c r="CJ73" s="49"/>
      <c r="CK73" s="49"/>
      <c r="CL73" s="50">
        <f t="shared" si="53"/>
        <v>0</v>
      </c>
      <c r="CN73" s="49"/>
      <c r="CO73" s="49"/>
      <c r="CP73" s="50">
        <f t="shared" si="54"/>
        <v>0</v>
      </c>
      <c r="CR73" s="49"/>
      <c r="CS73" s="49"/>
      <c r="CT73" s="50">
        <f t="shared" si="55"/>
        <v>0</v>
      </c>
      <c r="CV73" s="49"/>
      <c r="CW73" s="49"/>
      <c r="CX73" s="50">
        <f t="shared" si="56"/>
        <v>0</v>
      </c>
      <c r="CZ73" s="49"/>
      <c r="DA73" s="49"/>
      <c r="DB73" s="50">
        <f t="shared" si="57"/>
        <v>0</v>
      </c>
      <c r="DD73" s="49"/>
      <c r="DE73" s="49"/>
      <c r="DF73" s="50">
        <f t="shared" si="58"/>
        <v>0</v>
      </c>
      <c r="DH73" s="49"/>
      <c r="DI73" s="49"/>
      <c r="DJ73" s="50">
        <f t="shared" si="59"/>
        <v>0</v>
      </c>
      <c r="DL73" s="49"/>
      <c r="DM73" s="49"/>
      <c r="DN73" s="50">
        <f t="shared" si="60"/>
        <v>0</v>
      </c>
      <c r="DP73" s="49"/>
      <c r="DQ73" s="49"/>
      <c r="DR73" s="50">
        <f t="shared" si="61"/>
        <v>0</v>
      </c>
      <c r="DT73" s="49"/>
      <c r="DU73" s="49"/>
      <c r="DV73" s="50">
        <f t="shared" si="62"/>
        <v>0</v>
      </c>
      <c r="DX73" s="49"/>
      <c r="DY73" s="49"/>
      <c r="DZ73" s="50">
        <f t="shared" si="63"/>
        <v>0</v>
      </c>
      <c r="EB73" s="49">
        <f t="shared" si="64"/>
        <v>0</v>
      </c>
      <c r="EC73" s="49">
        <f t="shared" si="65"/>
        <v>0</v>
      </c>
      <c r="ED73" s="49">
        <f t="shared" si="66"/>
        <v>0</v>
      </c>
    </row>
    <row r="74" spans="2:134" ht="11" customHeight="1" x14ac:dyDescent="0.35">
      <c r="B74" s="4">
        <v>111222</v>
      </c>
      <c r="C74" s="4" t="s">
        <v>80</v>
      </c>
      <c r="D74" s="4">
        <v>25</v>
      </c>
      <c r="E74" s="5">
        <v>36</v>
      </c>
      <c r="F74" s="6">
        <v>99.122621960000004</v>
      </c>
      <c r="G74" s="7"/>
      <c r="H74" s="49"/>
      <c r="I74" s="49"/>
      <c r="J74" s="50">
        <f t="shared" si="67"/>
        <v>0</v>
      </c>
      <c r="K74" s="9"/>
      <c r="L74" s="49"/>
      <c r="M74" s="49"/>
      <c r="N74" s="50">
        <f t="shared" si="34"/>
        <v>0</v>
      </c>
      <c r="O74" s="46"/>
      <c r="P74" s="49"/>
      <c r="Q74" s="49"/>
      <c r="R74" s="50">
        <f t="shared" si="35"/>
        <v>0</v>
      </c>
      <c r="T74" s="49"/>
      <c r="U74" s="49"/>
      <c r="V74" s="50">
        <f t="shared" si="36"/>
        <v>0</v>
      </c>
      <c r="X74" s="49"/>
      <c r="Y74" s="49"/>
      <c r="Z74" s="50">
        <f t="shared" si="37"/>
        <v>0</v>
      </c>
      <c r="AB74" s="49"/>
      <c r="AC74" s="49"/>
      <c r="AD74" s="50">
        <f t="shared" si="38"/>
        <v>0</v>
      </c>
      <c r="AF74" s="49"/>
      <c r="AG74" s="49"/>
      <c r="AH74" s="50">
        <f t="shared" si="39"/>
        <v>0</v>
      </c>
      <c r="AJ74" s="49"/>
      <c r="AK74" s="49"/>
      <c r="AL74" s="50">
        <f t="shared" si="40"/>
        <v>0</v>
      </c>
      <c r="AN74" s="49"/>
      <c r="AO74" s="49"/>
      <c r="AP74" s="50">
        <f t="shared" si="41"/>
        <v>0</v>
      </c>
      <c r="AR74" s="49"/>
      <c r="AS74" s="49"/>
      <c r="AT74" s="50">
        <f t="shared" si="42"/>
        <v>0</v>
      </c>
      <c r="AV74" s="49"/>
      <c r="AW74" s="49"/>
      <c r="AX74" s="50">
        <f t="shared" si="43"/>
        <v>0</v>
      </c>
      <c r="AZ74" s="49"/>
      <c r="BA74" s="49"/>
      <c r="BB74" s="50">
        <f t="shared" si="44"/>
        <v>0</v>
      </c>
      <c r="BD74" s="49"/>
      <c r="BE74" s="49"/>
      <c r="BF74" s="50">
        <f t="shared" si="45"/>
        <v>0</v>
      </c>
      <c r="BH74" s="49"/>
      <c r="BI74" s="49"/>
      <c r="BJ74" s="50">
        <f t="shared" si="46"/>
        <v>0</v>
      </c>
      <c r="BL74" s="49"/>
      <c r="BM74" s="49"/>
      <c r="BN74" s="50">
        <f t="shared" si="47"/>
        <v>0</v>
      </c>
      <c r="BP74" s="49"/>
      <c r="BQ74" s="49"/>
      <c r="BR74" s="50">
        <f t="shared" si="48"/>
        <v>0</v>
      </c>
      <c r="BT74" s="49"/>
      <c r="BU74" s="49"/>
      <c r="BV74" s="50">
        <f t="shared" si="49"/>
        <v>0</v>
      </c>
      <c r="BX74" s="49"/>
      <c r="BY74" s="49"/>
      <c r="BZ74" s="50">
        <f t="shared" si="50"/>
        <v>0</v>
      </c>
      <c r="CB74" s="49"/>
      <c r="CC74" s="49"/>
      <c r="CD74" s="50">
        <f t="shared" si="51"/>
        <v>0</v>
      </c>
      <c r="CF74" s="49"/>
      <c r="CG74" s="49"/>
      <c r="CH74" s="50">
        <f t="shared" si="52"/>
        <v>0</v>
      </c>
      <c r="CJ74" s="49"/>
      <c r="CK74" s="49"/>
      <c r="CL74" s="50">
        <f t="shared" si="53"/>
        <v>0</v>
      </c>
      <c r="CN74" s="49"/>
      <c r="CO74" s="49"/>
      <c r="CP74" s="50">
        <f t="shared" si="54"/>
        <v>0</v>
      </c>
      <c r="CR74" s="49"/>
      <c r="CS74" s="49"/>
      <c r="CT74" s="50">
        <f t="shared" si="55"/>
        <v>0</v>
      </c>
      <c r="CV74" s="49"/>
      <c r="CW74" s="49"/>
      <c r="CX74" s="50">
        <f t="shared" si="56"/>
        <v>0</v>
      </c>
      <c r="CZ74" s="49"/>
      <c r="DA74" s="49"/>
      <c r="DB74" s="50">
        <f t="shared" si="57"/>
        <v>0</v>
      </c>
      <c r="DD74" s="49"/>
      <c r="DE74" s="49"/>
      <c r="DF74" s="50">
        <f t="shared" si="58"/>
        <v>0</v>
      </c>
      <c r="DH74" s="49"/>
      <c r="DI74" s="49"/>
      <c r="DJ74" s="50">
        <f t="shared" si="59"/>
        <v>0</v>
      </c>
      <c r="DL74" s="49"/>
      <c r="DM74" s="49"/>
      <c r="DN74" s="50">
        <f t="shared" si="60"/>
        <v>0</v>
      </c>
      <c r="DP74" s="49"/>
      <c r="DQ74" s="49"/>
      <c r="DR74" s="50">
        <f t="shared" si="61"/>
        <v>0</v>
      </c>
      <c r="DT74" s="49"/>
      <c r="DU74" s="49"/>
      <c r="DV74" s="50">
        <f t="shared" si="62"/>
        <v>0</v>
      </c>
      <c r="DX74" s="49"/>
      <c r="DY74" s="49"/>
      <c r="DZ74" s="50">
        <f t="shared" si="63"/>
        <v>0</v>
      </c>
      <c r="EB74" s="49">
        <f t="shared" si="64"/>
        <v>0</v>
      </c>
      <c r="EC74" s="49">
        <f t="shared" si="65"/>
        <v>0</v>
      </c>
      <c r="ED74" s="49">
        <f t="shared" si="66"/>
        <v>0</v>
      </c>
    </row>
    <row r="75" spans="2:134" ht="11" customHeight="1" x14ac:dyDescent="0.35">
      <c r="B75" s="4">
        <v>111223</v>
      </c>
      <c r="C75" s="4" t="s">
        <v>81</v>
      </c>
      <c r="D75" s="4">
        <v>50</v>
      </c>
      <c r="E75" s="5">
        <v>18</v>
      </c>
      <c r="F75" s="6">
        <v>198.24524392000001</v>
      </c>
      <c r="G75" s="7"/>
      <c r="H75" s="49"/>
      <c r="I75" s="49"/>
      <c r="J75" s="50">
        <f t="shared" si="67"/>
        <v>0</v>
      </c>
      <c r="K75" s="9"/>
      <c r="L75" s="49"/>
      <c r="M75" s="49"/>
      <c r="N75" s="50">
        <f t="shared" si="34"/>
        <v>0</v>
      </c>
      <c r="O75" s="46"/>
      <c r="P75" s="49"/>
      <c r="Q75" s="49"/>
      <c r="R75" s="50">
        <f t="shared" si="35"/>
        <v>0</v>
      </c>
      <c r="T75" s="49"/>
      <c r="U75" s="49"/>
      <c r="V75" s="50">
        <f t="shared" si="36"/>
        <v>0</v>
      </c>
      <c r="X75" s="49"/>
      <c r="Y75" s="49"/>
      <c r="Z75" s="50">
        <f t="shared" si="37"/>
        <v>0</v>
      </c>
      <c r="AB75" s="49"/>
      <c r="AC75" s="49"/>
      <c r="AD75" s="50">
        <f t="shared" si="38"/>
        <v>0</v>
      </c>
      <c r="AF75" s="49"/>
      <c r="AG75" s="49"/>
      <c r="AH75" s="50">
        <f t="shared" si="39"/>
        <v>0</v>
      </c>
      <c r="AJ75" s="49"/>
      <c r="AK75" s="49"/>
      <c r="AL75" s="50">
        <f t="shared" si="40"/>
        <v>0</v>
      </c>
      <c r="AN75" s="49"/>
      <c r="AO75" s="49"/>
      <c r="AP75" s="50">
        <f t="shared" si="41"/>
        <v>0</v>
      </c>
      <c r="AR75" s="49"/>
      <c r="AS75" s="49"/>
      <c r="AT75" s="50">
        <f t="shared" si="42"/>
        <v>0</v>
      </c>
      <c r="AV75" s="49"/>
      <c r="AW75" s="49"/>
      <c r="AX75" s="50">
        <f t="shared" si="43"/>
        <v>0</v>
      </c>
      <c r="AZ75" s="49"/>
      <c r="BA75" s="49"/>
      <c r="BB75" s="50">
        <f t="shared" si="44"/>
        <v>0</v>
      </c>
      <c r="BD75" s="49"/>
      <c r="BE75" s="49"/>
      <c r="BF75" s="50">
        <f t="shared" si="45"/>
        <v>0</v>
      </c>
      <c r="BH75" s="49"/>
      <c r="BI75" s="49"/>
      <c r="BJ75" s="50">
        <f t="shared" si="46"/>
        <v>0</v>
      </c>
      <c r="BL75" s="49"/>
      <c r="BM75" s="49"/>
      <c r="BN75" s="50">
        <f t="shared" si="47"/>
        <v>0</v>
      </c>
      <c r="BP75" s="49"/>
      <c r="BQ75" s="49"/>
      <c r="BR75" s="50">
        <f t="shared" si="48"/>
        <v>0</v>
      </c>
      <c r="BT75" s="49"/>
      <c r="BU75" s="49"/>
      <c r="BV75" s="50">
        <f t="shared" si="49"/>
        <v>0</v>
      </c>
      <c r="BX75" s="49"/>
      <c r="BY75" s="49"/>
      <c r="BZ75" s="50">
        <f t="shared" si="50"/>
        <v>0</v>
      </c>
      <c r="CB75" s="49"/>
      <c r="CC75" s="49"/>
      <c r="CD75" s="50">
        <f t="shared" si="51"/>
        <v>0</v>
      </c>
      <c r="CF75" s="49"/>
      <c r="CG75" s="49"/>
      <c r="CH75" s="50">
        <f t="shared" si="52"/>
        <v>0</v>
      </c>
      <c r="CJ75" s="49"/>
      <c r="CK75" s="49"/>
      <c r="CL75" s="50">
        <f t="shared" si="53"/>
        <v>0</v>
      </c>
      <c r="CN75" s="49"/>
      <c r="CO75" s="49"/>
      <c r="CP75" s="50">
        <f t="shared" si="54"/>
        <v>0</v>
      </c>
      <c r="CR75" s="49"/>
      <c r="CS75" s="49"/>
      <c r="CT75" s="50">
        <f t="shared" si="55"/>
        <v>0</v>
      </c>
      <c r="CV75" s="49"/>
      <c r="CW75" s="49"/>
      <c r="CX75" s="50">
        <f t="shared" si="56"/>
        <v>0</v>
      </c>
      <c r="CZ75" s="49"/>
      <c r="DA75" s="49"/>
      <c r="DB75" s="50">
        <f t="shared" si="57"/>
        <v>0</v>
      </c>
      <c r="DD75" s="49"/>
      <c r="DE75" s="49"/>
      <c r="DF75" s="50">
        <f t="shared" si="58"/>
        <v>0</v>
      </c>
      <c r="DH75" s="49"/>
      <c r="DI75" s="49"/>
      <c r="DJ75" s="50">
        <f t="shared" si="59"/>
        <v>0</v>
      </c>
      <c r="DL75" s="49"/>
      <c r="DM75" s="49"/>
      <c r="DN75" s="50">
        <f t="shared" si="60"/>
        <v>0</v>
      </c>
      <c r="DP75" s="49"/>
      <c r="DQ75" s="49"/>
      <c r="DR75" s="50">
        <f t="shared" si="61"/>
        <v>0</v>
      </c>
      <c r="DT75" s="49"/>
      <c r="DU75" s="49"/>
      <c r="DV75" s="50">
        <f t="shared" si="62"/>
        <v>0</v>
      </c>
      <c r="DX75" s="49"/>
      <c r="DY75" s="49"/>
      <c r="DZ75" s="50">
        <f t="shared" si="63"/>
        <v>0</v>
      </c>
      <c r="EB75" s="49">
        <f t="shared" si="64"/>
        <v>0</v>
      </c>
      <c r="EC75" s="49">
        <f t="shared" si="65"/>
        <v>0</v>
      </c>
      <c r="ED75" s="49">
        <f t="shared" si="66"/>
        <v>0</v>
      </c>
    </row>
    <row r="76" spans="2:134" ht="11" customHeight="1" x14ac:dyDescent="0.35">
      <c r="B76" s="4">
        <v>111232</v>
      </c>
      <c r="C76" s="4" t="s">
        <v>82</v>
      </c>
      <c r="D76" s="4">
        <v>25</v>
      </c>
      <c r="E76" s="5">
        <v>36</v>
      </c>
      <c r="F76" s="6">
        <v>99.122621960000004</v>
      </c>
      <c r="G76" s="7"/>
      <c r="H76" s="49"/>
      <c r="I76" s="49"/>
      <c r="J76" s="50">
        <f t="shared" si="67"/>
        <v>0</v>
      </c>
      <c r="K76" s="9"/>
      <c r="L76" s="49"/>
      <c r="M76" s="49"/>
      <c r="N76" s="50">
        <f t="shared" si="34"/>
        <v>0</v>
      </c>
      <c r="O76" s="46"/>
      <c r="P76" s="49"/>
      <c r="Q76" s="49"/>
      <c r="R76" s="50">
        <f t="shared" si="35"/>
        <v>0</v>
      </c>
      <c r="T76" s="49"/>
      <c r="U76" s="49"/>
      <c r="V76" s="50">
        <f t="shared" si="36"/>
        <v>0</v>
      </c>
      <c r="X76" s="49"/>
      <c r="Y76" s="49"/>
      <c r="Z76" s="50">
        <f t="shared" si="37"/>
        <v>0</v>
      </c>
      <c r="AB76" s="49"/>
      <c r="AC76" s="49"/>
      <c r="AD76" s="50">
        <f t="shared" si="38"/>
        <v>0</v>
      </c>
      <c r="AF76" s="49"/>
      <c r="AG76" s="49"/>
      <c r="AH76" s="50">
        <f t="shared" si="39"/>
        <v>0</v>
      </c>
      <c r="AJ76" s="49"/>
      <c r="AK76" s="49"/>
      <c r="AL76" s="50">
        <f t="shared" si="40"/>
        <v>0</v>
      </c>
      <c r="AN76" s="49"/>
      <c r="AO76" s="49"/>
      <c r="AP76" s="50">
        <f t="shared" si="41"/>
        <v>0</v>
      </c>
      <c r="AR76" s="49"/>
      <c r="AS76" s="49"/>
      <c r="AT76" s="50">
        <f t="shared" si="42"/>
        <v>0</v>
      </c>
      <c r="AV76" s="49"/>
      <c r="AW76" s="49"/>
      <c r="AX76" s="50">
        <f t="shared" si="43"/>
        <v>0</v>
      </c>
      <c r="AZ76" s="49"/>
      <c r="BA76" s="49"/>
      <c r="BB76" s="50">
        <f t="shared" si="44"/>
        <v>0</v>
      </c>
      <c r="BD76" s="49"/>
      <c r="BE76" s="49"/>
      <c r="BF76" s="50">
        <f t="shared" si="45"/>
        <v>0</v>
      </c>
      <c r="BH76" s="49"/>
      <c r="BI76" s="49"/>
      <c r="BJ76" s="50">
        <f t="shared" si="46"/>
        <v>0</v>
      </c>
      <c r="BL76" s="49"/>
      <c r="BM76" s="49"/>
      <c r="BN76" s="50">
        <f t="shared" si="47"/>
        <v>0</v>
      </c>
      <c r="BP76" s="49"/>
      <c r="BQ76" s="49"/>
      <c r="BR76" s="50">
        <f t="shared" si="48"/>
        <v>0</v>
      </c>
      <c r="BT76" s="49"/>
      <c r="BU76" s="49"/>
      <c r="BV76" s="50">
        <f t="shared" si="49"/>
        <v>0</v>
      </c>
      <c r="BX76" s="49"/>
      <c r="BY76" s="49"/>
      <c r="BZ76" s="50">
        <f t="shared" si="50"/>
        <v>0</v>
      </c>
      <c r="CB76" s="49"/>
      <c r="CC76" s="49"/>
      <c r="CD76" s="50">
        <f t="shared" si="51"/>
        <v>0</v>
      </c>
      <c r="CF76" s="49"/>
      <c r="CG76" s="49"/>
      <c r="CH76" s="50">
        <f t="shared" si="52"/>
        <v>0</v>
      </c>
      <c r="CJ76" s="49"/>
      <c r="CK76" s="49"/>
      <c r="CL76" s="50">
        <f t="shared" si="53"/>
        <v>0</v>
      </c>
      <c r="CN76" s="49"/>
      <c r="CO76" s="49"/>
      <c r="CP76" s="50">
        <f t="shared" si="54"/>
        <v>0</v>
      </c>
      <c r="CR76" s="49"/>
      <c r="CS76" s="49"/>
      <c r="CT76" s="50">
        <f t="shared" si="55"/>
        <v>0</v>
      </c>
      <c r="CV76" s="49"/>
      <c r="CW76" s="49"/>
      <c r="CX76" s="50">
        <f t="shared" si="56"/>
        <v>0</v>
      </c>
      <c r="CZ76" s="49"/>
      <c r="DA76" s="49"/>
      <c r="DB76" s="50">
        <f t="shared" si="57"/>
        <v>0</v>
      </c>
      <c r="DD76" s="49"/>
      <c r="DE76" s="49"/>
      <c r="DF76" s="50">
        <f t="shared" si="58"/>
        <v>0</v>
      </c>
      <c r="DH76" s="49"/>
      <c r="DI76" s="49"/>
      <c r="DJ76" s="50">
        <f t="shared" si="59"/>
        <v>0</v>
      </c>
      <c r="DL76" s="49"/>
      <c r="DM76" s="49"/>
      <c r="DN76" s="50">
        <f t="shared" si="60"/>
        <v>0</v>
      </c>
      <c r="DP76" s="49"/>
      <c r="DQ76" s="49"/>
      <c r="DR76" s="50">
        <f t="shared" si="61"/>
        <v>0</v>
      </c>
      <c r="DT76" s="49"/>
      <c r="DU76" s="49"/>
      <c r="DV76" s="50">
        <f t="shared" si="62"/>
        <v>0</v>
      </c>
      <c r="DX76" s="49"/>
      <c r="DY76" s="49"/>
      <c r="DZ76" s="50">
        <f t="shared" si="63"/>
        <v>0</v>
      </c>
      <c r="EB76" s="49">
        <f t="shared" si="64"/>
        <v>0</v>
      </c>
      <c r="EC76" s="49">
        <f t="shared" si="65"/>
        <v>0</v>
      </c>
      <c r="ED76" s="49">
        <f t="shared" si="66"/>
        <v>0</v>
      </c>
    </row>
    <row r="77" spans="2:134" ht="11" customHeight="1" x14ac:dyDescent="0.35">
      <c r="B77" s="4">
        <v>111233</v>
      </c>
      <c r="C77" s="4" t="s">
        <v>83</v>
      </c>
      <c r="D77" s="4">
        <v>50</v>
      </c>
      <c r="E77" s="5">
        <v>18</v>
      </c>
      <c r="F77" s="6">
        <v>198.24524392000001</v>
      </c>
      <c r="G77" s="7"/>
      <c r="H77" s="49"/>
      <c r="I77" s="49"/>
      <c r="J77" s="50">
        <f t="shared" si="67"/>
        <v>0</v>
      </c>
      <c r="K77" s="9"/>
      <c r="L77" s="49"/>
      <c r="M77" s="49"/>
      <c r="N77" s="50">
        <f t="shared" si="34"/>
        <v>0</v>
      </c>
      <c r="O77" s="46"/>
      <c r="P77" s="49"/>
      <c r="Q77" s="49"/>
      <c r="R77" s="50">
        <f t="shared" si="35"/>
        <v>0</v>
      </c>
      <c r="T77" s="49"/>
      <c r="U77" s="49"/>
      <c r="V77" s="50">
        <f t="shared" si="36"/>
        <v>0</v>
      </c>
      <c r="X77" s="49"/>
      <c r="Y77" s="49"/>
      <c r="Z77" s="50">
        <f t="shared" si="37"/>
        <v>0</v>
      </c>
      <c r="AB77" s="49"/>
      <c r="AC77" s="49"/>
      <c r="AD77" s="50">
        <f t="shared" si="38"/>
        <v>0</v>
      </c>
      <c r="AF77" s="49"/>
      <c r="AG77" s="49"/>
      <c r="AH77" s="50">
        <f t="shared" si="39"/>
        <v>0</v>
      </c>
      <c r="AJ77" s="49"/>
      <c r="AK77" s="49"/>
      <c r="AL77" s="50">
        <f t="shared" si="40"/>
        <v>0</v>
      </c>
      <c r="AN77" s="49"/>
      <c r="AO77" s="49"/>
      <c r="AP77" s="50">
        <f t="shared" si="41"/>
        <v>0</v>
      </c>
      <c r="AR77" s="49"/>
      <c r="AS77" s="49"/>
      <c r="AT77" s="50">
        <f t="shared" si="42"/>
        <v>0</v>
      </c>
      <c r="AV77" s="49"/>
      <c r="AW77" s="49"/>
      <c r="AX77" s="50">
        <f t="shared" si="43"/>
        <v>0</v>
      </c>
      <c r="AZ77" s="49"/>
      <c r="BA77" s="49"/>
      <c r="BB77" s="50">
        <f t="shared" si="44"/>
        <v>0</v>
      </c>
      <c r="BD77" s="49"/>
      <c r="BE77" s="49"/>
      <c r="BF77" s="50">
        <f t="shared" si="45"/>
        <v>0</v>
      </c>
      <c r="BH77" s="49"/>
      <c r="BI77" s="49"/>
      <c r="BJ77" s="50">
        <f t="shared" si="46"/>
        <v>0</v>
      </c>
      <c r="BL77" s="49"/>
      <c r="BM77" s="49"/>
      <c r="BN77" s="50">
        <f t="shared" si="47"/>
        <v>0</v>
      </c>
      <c r="BP77" s="49"/>
      <c r="BQ77" s="49"/>
      <c r="BR77" s="50">
        <f t="shared" si="48"/>
        <v>0</v>
      </c>
      <c r="BT77" s="49"/>
      <c r="BU77" s="49"/>
      <c r="BV77" s="50">
        <f t="shared" si="49"/>
        <v>0</v>
      </c>
      <c r="BX77" s="49"/>
      <c r="BY77" s="49"/>
      <c r="BZ77" s="50">
        <f t="shared" si="50"/>
        <v>0</v>
      </c>
      <c r="CB77" s="49"/>
      <c r="CC77" s="49"/>
      <c r="CD77" s="50">
        <f t="shared" si="51"/>
        <v>0</v>
      </c>
      <c r="CF77" s="49"/>
      <c r="CG77" s="49"/>
      <c r="CH77" s="50">
        <f t="shared" si="52"/>
        <v>0</v>
      </c>
      <c r="CJ77" s="49"/>
      <c r="CK77" s="49"/>
      <c r="CL77" s="50">
        <f t="shared" si="53"/>
        <v>0</v>
      </c>
      <c r="CN77" s="49"/>
      <c r="CO77" s="49"/>
      <c r="CP77" s="50">
        <f t="shared" si="54"/>
        <v>0</v>
      </c>
      <c r="CR77" s="49"/>
      <c r="CS77" s="49"/>
      <c r="CT77" s="50">
        <f t="shared" si="55"/>
        <v>0</v>
      </c>
      <c r="CV77" s="49"/>
      <c r="CW77" s="49"/>
      <c r="CX77" s="50">
        <f t="shared" si="56"/>
        <v>0</v>
      </c>
      <c r="CZ77" s="49"/>
      <c r="DA77" s="49"/>
      <c r="DB77" s="50">
        <f t="shared" si="57"/>
        <v>0</v>
      </c>
      <c r="DD77" s="49"/>
      <c r="DE77" s="49"/>
      <c r="DF77" s="50">
        <f t="shared" si="58"/>
        <v>0</v>
      </c>
      <c r="DH77" s="49"/>
      <c r="DI77" s="49"/>
      <c r="DJ77" s="50">
        <f t="shared" si="59"/>
        <v>0</v>
      </c>
      <c r="DL77" s="49"/>
      <c r="DM77" s="49"/>
      <c r="DN77" s="50">
        <f t="shared" si="60"/>
        <v>0</v>
      </c>
      <c r="DP77" s="49"/>
      <c r="DQ77" s="49"/>
      <c r="DR77" s="50">
        <f t="shared" si="61"/>
        <v>0</v>
      </c>
      <c r="DT77" s="49"/>
      <c r="DU77" s="49"/>
      <c r="DV77" s="50">
        <f t="shared" si="62"/>
        <v>0</v>
      </c>
      <c r="DX77" s="49"/>
      <c r="DY77" s="49"/>
      <c r="DZ77" s="50">
        <f t="shared" si="63"/>
        <v>0</v>
      </c>
      <c r="EB77" s="49">
        <f t="shared" si="64"/>
        <v>0</v>
      </c>
      <c r="EC77" s="49">
        <f t="shared" si="65"/>
        <v>0</v>
      </c>
      <c r="ED77" s="49">
        <f t="shared" si="66"/>
        <v>0</v>
      </c>
    </row>
    <row r="78" spans="2:134" ht="11" customHeight="1" x14ac:dyDescent="0.35">
      <c r="B78" s="4">
        <v>111252</v>
      </c>
      <c r="C78" s="4" t="s">
        <v>84</v>
      </c>
      <c r="D78" s="4">
        <v>25</v>
      </c>
      <c r="E78" s="5">
        <v>36</v>
      </c>
      <c r="F78" s="6">
        <v>99.122621960000004</v>
      </c>
      <c r="G78" s="7"/>
      <c r="H78" s="49"/>
      <c r="I78" s="49"/>
      <c r="J78" s="50">
        <f t="shared" si="67"/>
        <v>0</v>
      </c>
      <c r="K78" s="9"/>
      <c r="L78" s="49"/>
      <c r="M78" s="49"/>
      <c r="N78" s="50">
        <f t="shared" si="34"/>
        <v>0</v>
      </c>
      <c r="O78" s="46"/>
      <c r="P78" s="49"/>
      <c r="Q78" s="49"/>
      <c r="R78" s="50">
        <f t="shared" si="35"/>
        <v>0</v>
      </c>
      <c r="T78" s="49"/>
      <c r="U78" s="49"/>
      <c r="V78" s="50">
        <f t="shared" si="36"/>
        <v>0</v>
      </c>
      <c r="X78" s="49"/>
      <c r="Y78" s="49"/>
      <c r="Z78" s="50">
        <f t="shared" si="37"/>
        <v>0</v>
      </c>
      <c r="AB78" s="49"/>
      <c r="AC78" s="49"/>
      <c r="AD78" s="50">
        <f t="shared" si="38"/>
        <v>0</v>
      </c>
      <c r="AF78" s="49"/>
      <c r="AG78" s="49"/>
      <c r="AH78" s="50">
        <f t="shared" si="39"/>
        <v>0</v>
      </c>
      <c r="AJ78" s="49"/>
      <c r="AK78" s="49"/>
      <c r="AL78" s="50">
        <f t="shared" si="40"/>
        <v>0</v>
      </c>
      <c r="AN78" s="49"/>
      <c r="AO78" s="49"/>
      <c r="AP78" s="50">
        <f t="shared" si="41"/>
        <v>0</v>
      </c>
      <c r="AR78" s="49"/>
      <c r="AS78" s="49"/>
      <c r="AT78" s="50">
        <f t="shared" si="42"/>
        <v>0</v>
      </c>
      <c r="AV78" s="49"/>
      <c r="AW78" s="49"/>
      <c r="AX78" s="50">
        <f t="shared" si="43"/>
        <v>0</v>
      </c>
      <c r="AZ78" s="49"/>
      <c r="BA78" s="49"/>
      <c r="BB78" s="50">
        <f t="shared" si="44"/>
        <v>0</v>
      </c>
      <c r="BD78" s="49"/>
      <c r="BE78" s="49"/>
      <c r="BF78" s="50">
        <f t="shared" si="45"/>
        <v>0</v>
      </c>
      <c r="BH78" s="49"/>
      <c r="BI78" s="49"/>
      <c r="BJ78" s="50">
        <f t="shared" si="46"/>
        <v>0</v>
      </c>
      <c r="BL78" s="49"/>
      <c r="BM78" s="49"/>
      <c r="BN78" s="50">
        <f t="shared" si="47"/>
        <v>0</v>
      </c>
      <c r="BP78" s="49"/>
      <c r="BQ78" s="49"/>
      <c r="BR78" s="50">
        <f t="shared" si="48"/>
        <v>0</v>
      </c>
      <c r="BT78" s="49"/>
      <c r="BU78" s="49"/>
      <c r="BV78" s="50">
        <f t="shared" si="49"/>
        <v>0</v>
      </c>
      <c r="BX78" s="49"/>
      <c r="BY78" s="49"/>
      <c r="BZ78" s="50">
        <f t="shared" si="50"/>
        <v>0</v>
      </c>
      <c r="CB78" s="49"/>
      <c r="CC78" s="49"/>
      <c r="CD78" s="50">
        <f t="shared" si="51"/>
        <v>0</v>
      </c>
      <c r="CF78" s="49"/>
      <c r="CG78" s="49"/>
      <c r="CH78" s="50">
        <f t="shared" si="52"/>
        <v>0</v>
      </c>
      <c r="CJ78" s="49"/>
      <c r="CK78" s="49"/>
      <c r="CL78" s="50">
        <f t="shared" si="53"/>
        <v>0</v>
      </c>
      <c r="CN78" s="49"/>
      <c r="CO78" s="49"/>
      <c r="CP78" s="50">
        <f t="shared" si="54"/>
        <v>0</v>
      </c>
      <c r="CR78" s="49"/>
      <c r="CS78" s="49"/>
      <c r="CT78" s="50">
        <f t="shared" si="55"/>
        <v>0</v>
      </c>
      <c r="CV78" s="49"/>
      <c r="CW78" s="49"/>
      <c r="CX78" s="50">
        <f t="shared" si="56"/>
        <v>0</v>
      </c>
      <c r="CZ78" s="49"/>
      <c r="DA78" s="49"/>
      <c r="DB78" s="50">
        <f t="shared" si="57"/>
        <v>0</v>
      </c>
      <c r="DD78" s="49"/>
      <c r="DE78" s="49"/>
      <c r="DF78" s="50">
        <f t="shared" si="58"/>
        <v>0</v>
      </c>
      <c r="DH78" s="49"/>
      <c r="DI78" s="49"/>
      <c r="DJ78" s="50">
        <f t="shared" si="59"/>
        <v>0</v>
      </c>
      <c r="DL78" s="49"/>
      <c r="DM78" s="49"/>
      <c r="DN78" s="50">
        <f t="shared" si="60"/>
        <v>0</v>
      </c>
      <c r="DP78" s="49"/>
      <c r="DQ78" s="49"/>
      <c r="DR78" s="50">
        <f t="shared" si="61"/>
        <v>0</v>
      </c>
      <c r="DT78" s="49"/>
      <c r="DU78" s="49"/>
      <c r="DV78" s="50">
        <f t="shared" si="62"/>
        <v>0</v>
      </c>
      <c r="DX78" s="49"/>
      <c r="DY78" s="49"/>
      <c r="DZ78" s="50">
        <f t="shared" si="63"/>
        <v>0</v>
      </c>
      <c r="EB78" s="49">
        <f t="shared" si="64"/>
        <v>0</v>
      </c>
      <c r="EC78" s="49">
        <f t="shared" si="65"/>
        <v>0</v>
      </c>
      <c r="ED78" s="49">
        <f t="shared" si="66"/>
        <v>0</v>
      </c>
    </row>
    <row r="79" spans="2:134" ht="11" customHeight="1" x14ac:dyDescent="0.35">
      <c r="B79" s="4">
        <v>111254</v>
      </c>
      <c r="C79" s="4" t="s">
        <v>85</v>
      </c>
      <c r="D79" s="4">
        <v>50</v>
      </c>
      <c r="E79" s="5">
        <v>18</v>
      </c>
      <c r="F79" s="6">
        <v>198.24524392000001</v>
      </c>
      <c r="G79" s="7"/>
      <c r="H79" s="49"/>
      <c r="I79" s="49"/>
      <c r="J79" s="50">
        <f t="shared" si="67"/>
        <v>0</v>
      </c>
      <c r="K79" s="9"/>
      <c r="L79" s="49"/>
      <c r="M79" s="49"/>
      <c r="N79" s="50">
        <f t="shared" si="34"/>
        <v>0</v>
      </c>
      <c r="O79" s="46"/>
      <c r="P79" s="49"/>
      <c r="Q79" s="49"/>
      <c r="R79" s="50">
        <f t="shared" si="35"/>
        <v>0</v>
      </c>
      <c r="T79" s="49"/>
      <c r="U79" s="49"/>
      <c r="V79" s="50">
        <f t="shared" si="36"/>
        <v>0</v>
      </c>
      <c r="X79" s="49"/>
      <c r="Y79" s="49"/>
      <c r="Z79" s="50">
        <f t="shared" si="37"/>
        <v>0</v>
      </c>
      <c r="AB79" s="49"/>
      <c r="AC79" s="49"/>
      <c r="AD79" s="50">
        <f t="shared" si="38"/>
        <v>0</v>
      </c>
      <c r="AF79" s="49"/>
      <c r="AG79" s="49"/>
      <c r="AH79" s="50">
        <f t="shared" si="39"/>
        <v>0</v>
      </c>
      <c r="AJ79" s="49"/>
      <c r="AK79" s="49"/>
      <c r="AL79" s="50">
        <f t="shared" si="40"/>
        <v>0</v>
      </c>
      <c r="AN79" s="49"/>
      <c r="AO79" s="49"/>
      <c r="AP79" s="50">
        <f t="shared" si="41"/>
        <v>0</v>
      </c>
      <c r="AR79" s="49"/>
      <c r="AS79" s="49"/>
      <c r="AT79" s="50">
        <f t="shared" si="42"/>
        <v>0</v>
      </c>
      <c r="AV79" s="49"/>
      <c r="AW79" s="49"/>
      <c r="AX79" s="50">
        <f t="shared" si="43"/>
        <v>0</v>
      </c>
      <c r="AZ79" s="49"/>
      <c r="BA79" s="49"/>
      <c r="BB79" s="50">
        <f t="shared" si="44"/>
        <v>0</v>
      </c>
      <c r="BD79" s="49"/>
      <c r="BE79" s="49"/>
      <c r="BF79" s="50">
        <f t="shared" si="45"/>
        <v>0</v>
      </c>
      <c r="BH79" s="49"/>
      <c r="BI79" s="49"/>
      <c r="BJ79" s="50">
        <f t="shared" si="46"/>
        <v>0</v>
      </c>
      <c r="BL79" s="49"/>
      <c r="BM79" s="49"/>
      <c r="BN79" s="50">
        <f t="shared" si="47"/>
        <v>0</v>
      </c>
      <c r="BP79" s="49"/>
      <c r="BQ79" s="49"/>
      <c r="BR79" s="50">
        <f t="shared" si="48"/>
        <v>0</v>
      </c>
      <c r="BT79" s="49"/>
      <c r="BU79" s="49"/>
      <c r="BV79" s="50">
        <f t="shared" si="49"/>
        <v>0</v>
      </c>
      <c r="BX79" s="49"/>
      <c r="BY79" s="49"/>
      <c r="BZ79" s="50">
        <f t="shared" si="50"/>
        <v>0</v>
      </c>
      <c r="CB79" s="49"/>
      <c r="CC79" s="49"/>
      <c r="CD79" s="50">
        <f t="shared" si="51"/>
        <v>0</v>
      </c>
      <c r="CF79" s="49"/>
      <c r="CG79" s="49"/>
      <c r="CH79" s="50">
        <f t="shared" si="52"/>
        <v>0</v>
      </c>
      <c r="CJ79" s="49"/>
      <c r="CK79" s="49"/>
      <c r="CL79" s="50">
        <f t="shared" si="53"/>
        <v>0</v>
      </c>
      <c r="CN79" s="49"/>
      <c r="CO79" s="49"/>
      <c r="CP79" s="50">
        <f t="shared" si="54"/>
        <v>0</v>
      </c>
      <c r="CR79" s="49"/>
      <c r="CS79" s="49"/>
      <c r="CT79" s="50">
        <f t="shared" si="55"/>
        <v>0</v>
      </c>
      <c r="CV79" s="49"/>
      <c r="CW79" s="49"/>
      <c r="CX79" s="50">
        <f t="shared" si="56"/>
        <v>0</v>
      </c>
      <c r="CZ79" s="49"/>
      <c r="DA79" s="49"/>
      <c r="DB79" s="50">
        <f t="shared" si="57"/>
        <v>0</v>
      </c>
      <c r="DD79" s="49"/>
      <c r="DE79" s="49"/>
      <c r="DF79" s="50">
        <f t="shared" si="58"/>
        <v>0</v>
      </c>
      <c r="DH79" s="49"/>
      <c r="DI79" s="49"/>
      <c r="DJ79" s="50">
        <f t="shared" si="59"/>
        <v>0</v>
      </c>
      <c r="DL79" s="49"/>
      <c r="DM79" s="49"/>
      <c r="DN79" s="50">
        <f t="shared" si="60"/>
        <v>0</v>
      </c>
      <c r="DP79" s="49"/>
      <c r="DQ79" s="49"/>
      <c r="DR79" s="50">
        <f t="shared" si="61"/>
        <v>0</v>
      </c>
      <c r="DT79" s="49"/>
      <c r="DU79" s="49"/>
      <c r="DV79" s="50">
        <f t="shared" si="62"/>
        <v>0</v>
      </c>
      <c r="DX79" s="49"/>
      <c r="DY79" s="49"/>
      <c r="DZ79" s="50">
        <f t="shared" si="63"/>
        <v>0</v>
      </c>
      <c r="EB79" s="49">
        <f t="shared" si="64"/>
        <v>0</v>
      </c>
      <c r="EC79" s="49">
        <f t="shared" si="65"/>
        <v>0</v>
      </c>
      <c r="ED79" s="49">
        <f t="shared" si="66"/>
        <v>0</v>
      </c>
    </row>
    <row r="80" spans="2:134" ht="11" customHeight="1" x14ac:dyDescent="0.35">
      <c r="B80" s="4">
        <v>101018</v>
      </c>
      <c r="C80" s="4" t="s">
        <v>86</v>
      </c>
      <c r="D80" s="4">
        <v>24</v>
      </c>
      <c r="E80" s="5">
        <v>24</v>
      </c>
      <c r="F80" s="6">
        <v>189.29879107400001</v>
      </c>
      <c r="G80" s="1"/>
      <c r="H80" s="49"/>
      <c r="I80" s="49"/>
      <c r="J80" s="50">
        <f t="shared" si="67"/>
        <v>0</v>
      </c>
      <c r="K80" s="9"/>
      <c r="L80" s="49"/>
      <c r="M80" s="49"/>
      <c r="N80" s="50">
        <f t="shared" si="34"/>
        <v>0</v>
      </c>
      <c r="O80" s="46"/>
      <c r="P80" s="49"/>
      <c r="Q80" s="49"/>
      <c r="R80" s="50">
        <f t="shared" si="35"/>
        <v>0</v>
      </c>
      <c r="T80" s="49"/>
      <c r="U80" s="49"/>
      <c r="V80" s="50">
        <f t="shared" si="36"/>
        <v>0</v>
      </c>
      <c r="X80" s="49"/>
      <c r="Y80" s="49"/>
      <c r="Z80" s="50">
        <f t="shared" si="37"/>
        <v>0</v>
      </c>
      <c r="AB80" s="49"/>
      <c r="AC80" s="49"/>
      <c r="AD80" s="50">
        <f t="shared" si="38"/>
        <v>0</v>
      </c>
      <c r="AF80" s="49"/>
      <c r="AG80" s="49"/>
      <c r="AH80" s="50">
        <f t="shared" si="39"/>
        <v>0</v>
      </c>
      <c r="AJ80" s="49"/>
      <c r="AK80" s="49"/>
      <c r="AL80" s="50">
        <f t="shared" si="40"/>
        <v>0</v>
      </c>
      <c r="AN80" s="49"/>
      <c r="AO80" s="49"/>
      <c r="AP80" s="50">
        <f t="shared" si="41"/>
        <v>0</v>
      </c>
      <c r="AR80" s="49"/>
      <c r="AS80" s="49"/>
      <c r="AT80" s="50">
        <f t="shared" si="42"/>
        <v>0</v>
      </c>
      <c r="AV80" s="49"/>
      <c r="AW80" s="49"/>
      <c r="AX80" s="50">
        <f t="shared" si="43"/>
        <v>0</v>
      </c>
      <c r="AZ80" s="49"/>
      <c r="BA80" s="49"/>
      <c r="BB80" s="50">
        <f t="shared" si="44"/>
        <v>0</v>
      </c>
      <c r="BD80" s="49"/>
      <c r="BE80" s="49"/>
      <c r="BF80" s="50">
        <f t="shared" si="45"/>
        <v>0</v>
      </c>
      <c r="BH80" s="49"/>
      <c r="BI80" s="49"/>
      <c r="BJ80" s="50">
        <f t="shared" si="46"/>
        <v>0</v>
      </c>
      <c r="BL80" s="49"/>
      <c r="BM80" s="49"/>
      <c r="BN80" s="50">
        <f t="shared" si="47"/>
        <v>0</v>
      </c>
      <c r="BP80" s="49"/>
      <c r="BQ80" s="49"/>
      <c r="BR80" s="50">
        <f t="shared" si="48"/>
        <v>0</v>
      </c>
      <c r="BT80" s="49"/>
      <c r="BU80" s="49"/>
      <c r="BV80" s="50">
        <f t="shared" si="49"/>
        <v>0</v>
      </c>
      <c r="BX80" s="49"/>
      <c r="BY80" s="49"/>
      <c r="BZ80" s="50">
        <f t="shared" si="50"/>
        <v>0</v>
      </c>
      <c r="CB80" s="49"/>
      <c r="CC80" s="49"/>
      <c r="CD80" s="50">
        <f t="shared" si="51"/>
        <v>0</v>
      </c>
      <c r="CF80" s="49"/>
      <c r="CG80" s="49"/>
      <c r="CH80" s="50">
        <f t="shared" si="52"/>
        <v>0</v>
      </c>
      <c r="CJ80" s="49"/>
      <c r="CK80" s="49"/>
      <c r="CL80" s="50">
        <f t="shared" si="53"/>
        <v>0</v>
      </c>
      <c r="CN80" s="49"/>
      <c r="CO80" s="49"/>
      <c r="CP80" s="50">
        <f t="shared" si="54"/>
        <v>0</v>
      </c>
      <c r="CR80" s="49"/>
      <c r="CS80" s="49"/>
      <c r="CT80" s="50">
        <f t="shared" si="55"/>
        <v>0</v>
      </c>
      <c r="CV80" s="49"/>
      <c r="CW80" s="49"/>
      <c r="CX80" s="50">
        <f t="shared" si="56"/>
        <v>0</v>
      </c>
      <c r="CZ80" s="49"/>
      <c r="DA80" s="49"/>
      <c r="DB80" s="50">
        <f t="shared" si="57"/>
        <v>0</v>
      </c>
      <c r="DD80" s="49"/>
      <c r="DE80" s="49"/>
      <c r="DF80" s="50">
        <f t="shared" si="58"/>
        <v>0</v>
      </c>
      <c r="DH80" s="49"/>
      <c r="DI80" s="49"/>
      <c r="DJ80" s="50">
        <f t="shared" si="59"/>
        <v>0</v>
      </c>
      <c r="DL80" s="49"/>
      <c r="DM80" s="49"/>
      <c r="DN80" s="50">
        <f t="shared" si="60"/>
        <v>0</v>
      </c>
      <c r="DP80" s="49"/>
      <c r="DQ80" s="49"/>
      <c r="DR80" s="50">
        <f t="shared" si="61"/>
        <v>0</v>
      </c>
      <c r="DT80" s="49"/>
      <c r="DU80" s="49"/>
      <c r="DV80" s="50">
        <f t="shared" si="62"/>
        <v>0</v>
      </c>
      <c r="DX80" s="49"/>
      <c r="DY80" s="49"/>
      <c r="DZ80" s="50">
        <f t="shared" si="63"/>
        <v>0</v>
      </c>
      <c r="EB80" s="49">
        <f t="shared" si="64"/>
        <v>0</v>
      </c>
      <c r="EC80" s="49">
        <f t="shared" si="65"/>
        <v>0</v>
      </c>
      <c r="ED80" s="49">
        <f t="shared" si="66"/>
        <v>0</v>
      </c>
    </row>
    <row r="81" spans="2:134" ht="11" customHeight="1" x14ac:dyDescent="0.35">
      <c r="B81" s="4">
        <v>101030</v>
      </c>
      <c r="C81" s="4" t="s">
        <v>87</v>
      </c>
      <c r="D81" s="4">
        <v>24</v>
      </c>
      <c r="E81" s="5">
        <v>24</v>
      </c>
      <c r="F81" s="6">
        <v>192.453575</v>
      </c>
      <c r="G81" s="1"/>
      <c r="H81" s="49"/>
      <c r="I81" s="49"/>
      <c r="J81" s="50">
        <f t="shared" si="67"/>
        <v>0</v>
      </c>
      <c r="K81" s="9"/>
      <c r="L81" s="49"/>
      <c r="M81" s="49"/>
      <c r="N81" s="50">
        <f t="shared" si="34"/>
        <v>0</v>
      </c>
      <c r="O81" s="46"/>
      <c r="P81" s="49"/>
      <c r="Q81" s="49"/>
      <c r="R81" s="50">
        <f t="shared" si="35"/>
        <v>0</v>
      </c>
      <c r="T81" s="49"/>
      <c r="U81" s="49"/>
      <c r="V81" s="50">
        <f t="shared" si="36"/>
        <v>0</v>
      </c>
      <c r="X81" s="49"/>
      <c r="Y81" s="49"/>
      <c r="Z81" s="50">
        <f t="shared" si="37"/>
        <v>0</v>
      </c>
      <c r="AB81" s="49"/>
      <c r="AC81" s="49"/>
      <c r="AD81" s="50">
        <f t="shared" si="38"/>
        <v>0</v>
      </c>
      <c r="AF81" s="49"/>
      <c r="AG81" s="49"/>
      <c r="AH81" s="50">
        <f t="shared" si="39"/>
        <v>0</v>
      </c>
      <c r="AJ81" s="49"/>
      <c r="AK81" s="49"/>
      <c r="AL81" s="50">
        <f t="shared" si="40"/>
        <v>0</v>
      </c>
      <c r="AN81" s="49"/>
      <c r="AO81" s="49"/>
      <c r="AP81" s="50">
        <f t="shared" si="41"/>
        <v>0</v>
      </c>
      <c r="AR81" s="49"/>
      <c r="AS81" s="49"/>
      <c r="AT81" s="50">
        <f t="shared" si="42"/>
        <v>0</v>
      </c>
      <c r="AV81" s="49"/>
      <c r="AW81" s="49"/>
      <c r="AX81" s="50">
        <f t="shared" si="43"/>
        <v>0</v>
      </c>
      <c r="AZ81" s="49"/>
      <c r="BA81" s="49"/>
      <c r="BB81" s="50">
        <f t="shared" si="44"/>
        <v>0</v>
      </c>
      <c r="BD81" s="49"/>
      <c r="BE81" s="49"/>
      <c r="BF81" s="50">
        <f t="shared" si="45"/>
        <v>0</v>
      </c>
      <c r="BH81" s="49"/>
      <c r="BI81" s="49"/>
      <c r="BJ81" s="50">
        <f t="shared" si="46"/>
        <v>0</v>
      </c>
      <c r="BL81" s="49"/>
      <c r="BM81" s="49"/>
      <c r="BN81" s="50">
        <f t="shared" si="47"/>
        <v>0</v>
      </c>
      <c r="BP81" s="49"/>
      <c r="BQ81" s="49"/>
      <c r="BR81" s="50">
        <f t="shared" si="48"/>
        <v>0</v>
      </c>
      <c r="BT81" s="49"/>
      <c r="BU81" s="49"/>
      <c r="BV81" s="50">
        <f t="shared" si="49"/>
        <v>0</v>
      </c>
      <c r="BX81" s="49"/>
      <c r="BY81" s="49"/>
      <c r="BZ81" s="50">
        <f t="shared" si="50"/>
        <v>0</v>
      </c>
      <c r="CB81" s="49"/>
      <c r="CC81" s="49"/>
      <c r="CD81" s="50">
        <f t="shared" si="51"/>
        <v>0</v>
      </c>
      <c r="CF81" s="49"/>
      <c r="CG81" s="49"/>
      <c r="CH81" s="50">
        <f t="shared" si="52"/>
        <v>0</v>
      </c>
      <c r="CJ81" s="49"/>
      <c r="CK81" s="49"/>
      <c r="CL81" s="50">
        <f t="shared" si="53"/>
        <v>0</v>
      </c>
      <c r="CN81" s="49"/>
      <c r="CO81" s="49"/>
      <c r="CP81" s="50">
        <f t="shared" si="54"/>
        <v>0</v>
      </c>
      <c r="CR81" s="49"/>
      <c r="CS81" s="49"/>
      <c r="CT81" s="50">
        <f t="shared" si="55"/>
        <v>0</v>
      </c>
      <c r="CV81" s="49"/>
      <c r="CW81" s="49"/>
      <c r="CX81" s="50">
        <f t="shared" si="56"/>
        <v>0</v>
      </c>
      <c r="CZ81" s="49"/>
      <c r="DA81" s="49"/>
      <c r="DB81" s="50">
        <f t="shared" si="57"/>
        <v>0</v>
      </c>
      <c r="DD81" s="49"/>
      <c r="DE81" s="49"/>
      <c r="DF81" s="50">
        <f t="shared" si="58"/>
        <v>0</v>
      </c>
      <c r="DH81" s="49"/>
      <c r="DI81" s="49"/>
      <c r="DJ81" s="50">
        <f t="shared" si="59"/>
        <v>0</v>
      </c>
      <c r="DL81" s="49"/>
      <c r="DM81" s="49"/>
      <c r="DN81" s="50">
        <f t="shared" si="60"/>
        <v>0</v>
      </c>
      <c r="DP81" s="49"/>
      <c r="DQ81" s="49"/>
      <c r="DR81" s="50">
        <f t="shared" si="61"/>
        <v>0</v>
      </c>
      <c r="DT81" s="49"/>
      <c r="DU81" s="49"/>
      <c r="DV81" s="50">
        <f t="shared" si="62"/>
        <v>0</v>
      </c>
      <c r="DX81" s="49"/>
      <c r="DY81" s="49"/>
      <c r="DZ81" s="50">
        <f t="shared" si="63"/>
        <v>0</v>
      </c>
      <c r="EB81" s="49">
        <f t="shared" si="64"/>
        <v>0</v>
      </c>
      <c r="EC81" s="49">
        <f t="shared" si="65"/>
        <v>0</v>
      </c>
      <c r="ED81" s="49">
        <f t="shared" si="66"/>
        <v>0</v>
      </c>
    </row>
    <row r="82" spans="2:134" ht="11" customHeight="1" x14ac:dyDescent="0.35">
      <c r="B82" s="4">
        <v>101059</v>
      </c>
      <c r="C82" s="4" t="s">
        <v>88</v>
      </c>
      <c r="D82" s="4">
        <v>18</v>
      </c>
      <c r="E82" s="5">
        <v>18</v>
      </c>
      <c r="F82" s="6">
        <v>189.29879107400001</v>
      </c>
      <c r="G82" s="1"/>
      <c r="H82" s="49"/>
      <c r="I82" s="49"/>
      <c r="J82" s="50">
        <f t="shared" si="67"/>
        <v>0</v>
      </c>
      <c r="K82" s="9"/>
      <c r="L82" s="49"/>
      <c r="M82" s="49"/>
      <c r="N82" s="50">
        <f t="shared" si="34"/>
        <v>0</v>
      </c>
      <c r="O82" s="46"/>
      <c r="P82" s="49"/>
      <c r="Q82" s="49"/>
      <c r="R82" s="50">
        <f t="shared" si="35"/>
        <v>0</v>
      </c>
      <c r="T82" s="49"/>
      <c r="U82" s="49"/>
      <c r="V82" s="50">
        <f t="shared" si="36"/>
        <v>0</v>
      </c>
      <c r="X82" s="49"/>
      <c r="Y82" s="49"/>
      <c r="Z82" s="50">
        <f t="shared" si="37"/>
        <v>0</v>
      </c>
      <c r="AB82" s="49"/>
      <c r="AC82" s="49"/>
      <c r="AD82" s="50">
        <f t="shared" si="38"/>
        <v>0</v>
      </c>
      <c r="AF82" s="49"/>
      <c r="AG82" s="49"/>
      <c r="AH82" s="50">
        <f t="shared" si="39"/>
        <v>0</v>
      </c>
      <c r="AJ82" s="49"/>
      <c r="AK82" s="49"/>
      <c r="AL82" s="50">
        <f t="shared" si="40"/>
        <v>0</v>
      </c>
      <c r="AN82" s="49"/>
      <c r="AO82" s="49"/>
      <c r="AP82" s="50">
        <f t="shared" si="41"/>
        <v>0</v>
      </c>
      <c r="AR82" s="49"/>
      <c r="AS82" s="49"/>
      <c r="AT82" s="50">
        <f t="shared" si="42"/>
        <v>0</v>
      </c>
      <c r="AV82" s="49"/>
      <c r="AW82" s="49"/>
      <c r="AX82" s="50">
        <f t="shared" si="43"/>
        <v>0</v>
      </c>
      <c r="AZ82" s="49"/>
      <c r="BA82" s="49"/>
      <c r="BB82" s="50">
        <f t="shared" si="44"/>
        <v>0</v>
      </c>
      <c r="BD82" s="49"/>
      <c r="BE82" s="49"/>
      <c r="BF82" s="50">
        <f t="shared" si="45"/>
        <v>0</v>
      </c>
      <c r="BH82" s="49"/>
      <c r="BI82" s="49"/>
      <c r="BJ82" s="50">
        <f t="shared" si="46"/>
        <v>0</v>
      </c>
      <c r="BL82" s="49"/>
      <c r="BM82" s="49"/>
      <c r="BN82" s="50">
        <f t="shared" si="47"/>
        <v>0</v>
      </c>
      <c r="BP82" s="49"/>
      <c r="BQ82" s="49"/>
      <c r="BR82" s="50">
        <f t="shared" si="48"/>
        <v>0</v>
      </c>
      <c r="BT82" s="49"/>
      <c r="BU82" s="49"/>
      <c r="BV82" s="50">
        <f t="shared" si="49"/>
        <v>0</v>
      </c>
      <c r="BX82" s="49"/>
      <c r="BY82" s="49"/>
      <c r="BZ82" s="50">
        <f t="shared" si="50"/>
        <v>0</v>
      </c>
      <c r="CB82" s="49"/>
      <c r="CC82" s="49"/>
      <c r="CD82" s="50">
        <f t="shared" si="51"/>
        <v>0</v>
      </c>
      <c r="CF82" s="49"/>
      <c r="CG82" s="49"/>
      <c r="CH82" s="50">
        <f t="shared" si="52"/>
        <v>0</v>
      </c>
      <c r="CJ82" s="49"/>
      <c r="CK82" s="49"/>
      <c r="CL82" s="50">
        <f t="shared" si="53"/>
        <v>0</v>
      </c>
      <c r="CN82" s="49"/>
      <c r="CO82" s="49"/>
      <c r="CP82" s="50">
        <f t="shared" si="54"/>
        <v>0</v>
      </c>
      <c r="CR82" s="49"/>
      <c r="CS82" s="49"/>
      <c r="CT82" s="50">
        <f t="shared" si="55"/>
        <v>0</v>
      </c>
      <c r="CV82" s="49"/>
      <c r="CW82" s="49"/>
      <c r="CX82" s="50">
        <f t="shared" si="56"/>
        <v>0</v>
      </c>
      <c r="CZ82" s="49"/>
      <c r="DA82" s="49"/>
      <c r="DB82" s="50">
        <f t="shared" si="57"/>
        <v>0</v>
      </c>
      <c r="DD82" s="49"/>
      <c r="DE82" s="49"/>
      <c r="DF82" s="50">
        <f t="shared" si="58"/>
        <v>0</v>
      </c>
      <c r="DH82" s="49"/>
      <c r="DI82" s="49"/>
      <c r="DJ82" s="50">
        <f t="shared" si="59"/>
        <v>0</v>
      </c>
      <c r="DL82" s="49"/>
      <c r="DM82" s="49"/>
      <c r="DN82" s="50">
        <f t="shared" si="60"/>
        <v>0</v>
      </c>
      <c r="DP82" s="49"/>
      <c r="DQ82" s="49"/>
      <c r="DR82" s="50">
        <f t="shared" si="61"/>
        <v>0</v>
      </c>
      <c r="DT82" s="49"/>
      <c r="DU82" s="49"/>
      <c r="DV82" s="50">
        <f t="shared" si="62"/>
        <v>0</v>
      </c>
      <c r="DX82" s="49"/>
      <c r="DY82" s="49"/>
      <c r="DZ82" s="50">
        <f t="shared" si="63"/>
        <v>0</v>
      </c>
      <c r="EB82" s="49">
        <f t="shared" si="64"/>
        <v>0</v>
      </c>
      <c r="EC82" s="49">
        <f t="shared" si="65"/>
        <v>0</v>
      </c>
      <c r="ED82" s="49">
        <f t="shared" si="66"/>
        <v>0</v>
      </c>
    </row>
    <row r="83" spans="2:134" ht="11" customHeight="1" x14ac:dyDescent="0.35">
      <c r="B83" s="4">
        <v>101404</v>
      </c>
      <c r="C83" s="4" t="s">
        <v>89</v>
      </c>
      <c r="D83" s="4">
        <v>18</v>
      </c>
      <c r="E83" s="5">
        <v>18</v>
      </c>
      <c r="F83" s="6">
        <v>141.97409327599999</v>
      </c>
      <c r="G83" s="1"/>
      <c r="H83" s="49"/>
      <c r="I83" s="49"/>
      <c r="J83" s="50">
        <f t="shared" si="67"/>
        <v>0</v>
      </c>
      <c r="K83" s="9"/>
      <c r="L83" s="49"/>
      <c r="M83" s="49"/>
      <c r="N83" s="50">
        <f t="shared" si="34"/>
        <v>0</v>
      </c>
      <c r="O83" s="46"/>
      <c r="P83" s="49"/>
      <c r="Q83" s="49"/>
      <c r="R83" s="50">
        <f t="shared" si="35"/>
        <v>0</v>
      </c>
      <c r="T83" s="49"/>
      <c r="U83" s="49"/>
      <c r="V83" s="50">
        <f t="shared" si="36"/>
        <v>0</v>
      </c>
      <c r="X83" s="49"/>
      <c r="Y83" s="49"/>
      <c r="Z83" s="50">
        <f t="shared" si="37"/>
        <v>0</v>
      </c>
      <c r="AB83" s="49"/>
      <c r="AC83" s="49"/>
      <c r="AD83" s="50">
        <f t="shared" si="38"/>
        <v>0</v>
      </c>
      <c r="AF83" s="49"/>
      <c r="AG83" s="49"/>
      <c r="AH83" s="50">
        <f t="shared" si="39"/>
        <v>0</v>
      </c>
      <c r="AJ83" s="49"/>
      <c r="AK83" s="49"/>
      <c r="AL83" s="50">
        <f t="shared" si="40"/>
        <v>0</v>
      </c>
      <c r="AN83" s="49"/>
      <c r="AO83" s="49"/>
      <c r="AP83" s="50">
        <f t="shared" si="41"/>
        <v>0</v>
      </c>
      <c r="AR83" s="49"/>
      <c r="AS83" s="49"/>
      <c r="AT83" s="50">
        <f t="shared" si="42"/>
        <v>0</v>
      </c>
      <c r="AV83" s="49"/>
      <c r="AW83" s="49"/>
      <c r="AX83" s="50">
        <f t="shared" si="43"/>
        <v>0</v>
      </c>
      <c r="AZ83" s="49"/>
      <c r="BA83" s="49"/>
      <c r="BB83" s="50">
        <f t="shared" si="44"/>
        <v>0</v>
      </c>
      <c r="BD83" s="49"/>
      <c r="BE83" s="49"/>
      <c r="BF83" s="50">
        <f t="shared" si="45"/>
        <v>0</v>
      </c>
      <c r="BH83" s="49"/>
      <c r="BI83" s="49"/>
      <c r="BJ83" s="50">
        <f t="shared" si="46"/>
        <v>0</v>
      </c>
      <c r="BL83" s="49"/>
      <c r="BM83" s="49"/>
      <c r="BN83" s="50">
        <f t="shared" si="47"/>
        <v>0</v>
      </c>
      <c r="BP83" s="49"/>
      <c r="BQ83" s="49"/>
      <c r="BR83" s="50">
        <f t="shared" si="48"/>
        <v>0</v>
      </c>
      <c r="BT83" s="49"/>
      <c r="BU83" s="49"/>
      <c r="BV83" s="50">
        <f t="shared" si="49"/>
        <v>0</v>
      </c>
      <c r="BX83" s="49"/>
      <c r="BY83" s="49"/>
      <c r="BZ83" s="50">
        <f t="shared" si="50"/>
        <v>0</v>
      </c>
      <c r="CB83" s="49"/>
      <c r="CC83" s="49"/>
      <c r="CD83" s="50">
        <f t="shared" si="51"/>
        <v>0</v>
      </c>
      <c r="CF83" s="49"/>
      <c r="CG83" s="49"/>
      <c r="CH83" s="50">
        <f t="shared" si="52"/>
        <v>0</v>
      </c>
      <c r="CJ83" s="49"/>
      <c r="CK83" s="49"/>
      <c r="CL83" s="50">
        <f t="shared" si="53"/>
        <v>0</v>
      </c>
      <c r="CN83" s="49"/>
      <c r="CO83" s="49"/>
      <c r="CP83" s="50">
        <f t="shared" si="54"/>
        <v>0</v>
      </c>
      <c r="CR83" s="49"/>
      <c r="CS83" s="49"/>
      <c r="CT83" s="50">
        <f t="shared" si="55"/>
        <v>0</v>
      </c>
      <c r="CV83" s="49"/>
      <c r="CW83" s="49"/>
      <c r="CX83" s="50">
        <f t="shared" si="56"/>
        <v>0</v>
      </c>
      <c r="CZ83" s="49"/>
      <c r="DA83" s="49"/>
      <c r="DB83" s="50">
        <f t="shared" si="57"/>
        <v>0</v>
      </c>
      <c r="DD83" s="49"/>
      <c r="DE83" s="49"/>
      <c r="DF83" s="50">
        <f t="shared" si="58"/>
        <v>0</v>
      </c>
      <c r="DH83" s="49"/>
      <c r="DI83" s="49"/>
      <c r="DJ83" s="50">
        <f t="shared" si="59"/>
        <v>0</v>
      </c>
      <c r="DL83" s="49"/>
      <c r="DM83" s="49"/>
      <c r="DN83" s="50">
        <f t="shared" si="60"/>
        <v>0</v>
      </c>
      <c r="DP83" s="49"/>
      <c r="DQ83" s="49"/>
      <c r="DR83" s="50">
        <f t="shared" si="61"/>
        <v>0</v>
      </c>
      <c r="DT83" s="49"/>
      <c r="DU83" s="49"/>
      <c r="DV83" s="50">
        <f t="shared" si="62"/>
        <v>0</v>
      </c>
      <c r="DX83" s="49"/>
      <c r="DY83" s="49"/>
      <c r="DZ83" s="50">
        <f t="shared" si="63"/>
        <v>0</v>
      </c>
      <c r="EB83" s="49">
        <f t="shared" si="64"/>
        <v>0</v>
      </c>
      <c r="EC83" s="49">
        <f t="shared" si="65"/>
        <v>0</v>
      </c>
      <c r="ED83" s="49">
        <f t="shared" si="66"/>
        <v>0</v>
      </c>
    </row>
    <row r="84" spans="2:134" ht="11" customHeight="1" x14ac:dyDescent="0.35">
      <c r="B84" s="4">
        <v>104055</v>
      </c>
      <c r="C84" s="4" t="s">
        <v>90</v>
      </c>
      <c r="D84" s="4">
        <v>25</v>
      </c>
      <c r="E84" s="5">
        <v>24</v>
      </c>
      <c r="F84" s="6">
        <v>100.236575</v>
      </c>
      <c r="G84" s="1"/>
      <c r="H84" s="49"/>
      <c r="I84" s="49"/>
      <c r="J84" s="50">
        <f t="shared" si="67"/>
        <v>0</v>
      </c>
      <c r="K84" s="9"/>
      <c r="L84" s="49"/>
      <c r="M84" s="49"/>
      <c r="N84" s="50">
        <f t="shared" si="34"/>
        <v>0</v>
      </c>
      <c r="O84" s="46"/>
      <c r="P84" s="49"/>
      <c r="Q84" s="49"/>
      <c r="R84" s="50">
        <f t="shared" si="35"/>
        <v>0</v>
      </c>
      <c r="T84" s="49"/>
      <c r="U84" s="49"/>
      <c r="V84" s="50">
        <f t="shared" si="36"/>
        <v>0</v>
      </c>
      <c r="X84" s="49"/>
      <c r="Y84" s="49"/>
      <c r="Z84" s="50">
        <f t="shared" si="37"/>
        <v>0</v>
      </c>
      <c r="AB84" s="49"/>
      <c r="AC84" s="49"/>
      <c r="AD84" s="50">
        <f t="shared" si="38"/>
        <v>0</v>
      </c>
      <c r="AF84" s="49"/>
      <c r="AG84" s="49"/>
      <c r="AH84" s="50">
        <f t="shared" si="39"/>
        <v>0</v>
      </c>
      <c r="AJ84" s="49"/>
      <c r="AK84" s="49"/>
      <c r="AL84" s="50">
        <f t="shared" si="40"/>
        <v>0</v>
      </c>
      <c r="AN84" s="49"/>
      <c r="AO84" s="49"/>
      <c r="AP84" s="50">
        <f t="shared" si="41"/>
        <v>0</v>
      </c>
      <c r="AR84" s="49"/>
      <c r="AS84" s="49"/>
      <c r="AT84" s="50">
        <f t="shared" si="42"/>
        <v>0</v>
      </c>
      <c r="AV84" s="49"/>
      <c r="AW84" s="49"/>
      <c r="AX84" s="50">
        <f t="shared" si="43"/>
        <v>0</v>
      </c>
      <c r="AZ84" s="49"/>
      <c r="BA84" s="49"/>
      <c r="BB84" s="50">
        <f t="shared" si="44"/>
        <v>0</v>
      </c>
      <c r="BD84" s="49"/>
      <c r="BE84" s="49"/>
      <c r="BF84" s="50">
        <f t="shared" si="45"/>
        <v>0</v>
      </c>
      <c r="BH84" s="49"/>
      <c r="BI84" s="49"/>
      <c r="BJ84" s="50">
        <f t="shared" si="46"/>
        <v>0</v>
      </c>
      <c r="BL84" s="49"/>
      <c r="BM84" s="49"/>
      <c r="BN84" s="50">
        <f t="shared" si="47"/>
        <v>0</v>
      </c>
      <c r="BP84" s="49"/>
      <c r="BQ84" s="49"/>
      <c r="BR84" s="50">
        <f t="shared" si="48"/>
        <v>0</v>
      </c>
      <c r="BT84" s="49"/>
      <c r="BU84" s="49"/>
      <c r="BV84" s="50">
        <f t="shared" si="49"/>
        <v>0</v>
      </c>
      <c r="BX84" s="49"/>
      <c r="BY84" s="49"/>
      <c r="BZ84" s="50">
        <f t="shared" si="50"/>
        <v>0</v>
      </c>
      <c r="CB84" s="49"/>
      <c r="CC84" s="49"/>
      <c r="CD84" s="50">
        <f t="shared" si="51"/>
        <v>0</v>
      </c>
      <c r="CF84" s="49"/>
      <c r="CG84" s="49"/>
      <c r="CH84" s="50">
        <f t="shared" si="52"/>
        <v>0</v>
      </c>
      <c r="CJ84" s="49"/>
      <c r="CK84" s="49"/>
      <c r="CL84" s="50">
        <f t="shared" si="53"/>
        <v>0</v>
      </c>
      <c r="CN84" s="49"/>
      <c r="CO84" s="49"/>
      <c r="CP84" s="50">
        <f t="shared" si="54"/>
        <v>0</v>
      </c>
      <c r="CR84" s="49"/>
      <c r="CS84" s="49"/>
      <c r="CT84" s="50">
        <f t="shared" si="55"/>
        <v>0</v>
      </c>
      <c r="CV84" s="49"/>
      <c r="CW84" s="49"/>
      <c r="CX84" s="50">
        <f t="shared" si="56"/>
        <v>0</v>
      </c>
      <c r="CZ84" s="49"/>
      <c r="DA84" s="49"/>
      <c r="DB84" s="50">
        <f t="shared" si="57"/>
        <v>0</v>
      </c>
      <c r="DD84" s="49"/>
      <c r="DE84" s="49"/>
      <c r="DF84" s="50">
        <f t="shared" si="58"/>
        <v>0</v>
      </c>
      <c r="DH84" s="49"/>
      <c r="DI84" s="49"/>
      <c r="DJ84" s="50">
        <f t="shared" si="59"/>
        <v>0</v>
      </c>
      <c r="DL84" s="49"/>
      <c r="DM84" s="49"/>
      <c r="DN84" s="50">
        <f t="shared" si="60"/>
        <v>0</v>
      </c>
      <c r="DP84" s="49"/>
      <c r="DQ84" s="49"/>
      <c r="DR84" s="50">
        <f t="shared" si="61"/>
        <v>0</v>
      </c>
      <c r="DT84" s="49"/>
      <c r="DU84" s="49"/>
      <c r="DV84" s="50">
        <f t="shared" si="62"/>
        <v>0</v>
      </c>
      <c r="DX84" s="49"/>
      <c r="DY84" s="49"/>
      <c r="DZ84" s="50">
        <f t="shared" si="63"/>
        <v>0</v>
      </c>
      <c r="EB84" s="49">
        <f t="shared" si="64"/>
        <v>0</v>
      </c>
      <c r="EC84" s="49">
        <f t="shared" si="65"/>
        <v>0</v>
      </c>
      <c r="ED84" s="49">
        <f t="shared" si="66"/>
        <v>0</v>
      </c>
    </row>
    <row r="85" spans="2:134" ht="11" customHeight="1" x14ac:dyDescent="0.35">
      <c r="B85" s="4">
        <v>101935</v>
      </c>
      <c r="C85" s="4" t="s">
        <v>91</v>
      </c>
      <c r="D85" s="4">
        <v>12</v>
      </c>
      <c r="E85" s="5">
        <v>8</v>
      </c>
      <c r="F85" s="6">
        <v>39.4372481296</v>
      </c>
      <c r="G85" s="1"/>
      <c r="H85" s="49"/>
      <c r="I85" s="49"/>
      <c r="J85" s="50">
        <f t="shared" si="67"/>
        <v>0</v>
      </c>
      <c r="K85" s="9"/>
      <c r="L85" s="49"/>
      <c r="M85" s="49"/>
      <c r="N85" s="50">
        <f t="shared" si="34"/>
        <v>0</v>
      </c>
      <c r="O85" s="46"/>
      <c r="P85" s="49"/>
      <c r="Q85" s="49"/>
      <c r="R85" s="50">
        <f t="shared" si="35"/>
        <v>0</v>
      </c>
      <c r="T85" s="49"/>
      <c r="U85" s="49"/>
      <c r="V85" s="50">
        <f t="shared" si="36"/>
        <v>0</v>
      </c>
      <c r="X85" s="49"/>
      <c r="Y85" s="49"/>
      <c r="Z85" s="50">
        <f t="shared" si="37"/>
        <v>0</v>
      </c>
      <c r="AB85" s="49"/>
      <c r="AC85" s="49"/>
      <c r="AD85" s="50">
        <f t="shared" si="38"/>
        <v>0</v>
      </c>
      <c r="AF85" s="49"/>
      <c r="AG85" s="49"/>
      <c r="AH85" s="50">
        <f t="shared" si="39"/>
        <v>0</v>
      </c>
      <c r="AJ85" s="49"/>
      <c r="AK85" s="49"/>
      <c r="AL85" s="50">
        <f t="shared" si="40"/>
        <v>0</v>
      </c>
      <c r="AN85" s="49"/>
      <c r="AO85" s="49"/>
      <c r="AP85" s="50">
        <f t="shared" si="41"/>
        <v>0</v>
      </c>
      <c r="AR85" s="49"/>
      <c r="AS85" s="49"/>
      <c r="AT85" s="50">
        <f t="shared" si="42"/>
        <v>0</v>
      </c>
      <c r="AV85" s="49"/>
      <c r="AW85" s="49"/>
      <c r="AX85" s="50">
        <f t="shared" si="43"/>
        <v>0</v>
      </c>
      <c r="AZ85" s="49"/>
      <c r="BA85" s="49"/>
      <c r="BB85" s="50">
        <f t="shared" si="44"/>
        <v>0</v>
      </c>
      <c r="BD85" s="49"/>
      <c r="BE85" s="49"/>
      <c r="BF85" s="50">
        <f t="shared" si="45"/>
        <v>0</v>
      </c>
      <c r="BH85" s="49"/>
      <c r="BI85" s="49"/>
      <c r="BJ85" s="50">
        <f t="shared" si="46"/>
        <v>0</v>
      </c>
      <c r="BL85" s="49"/>
      <c r="BM85" s="49"/>
      <c r="BN85" s="50">
        <f t="shared" si="47"/>
        <v>0</v>
      </c>
      <c r="BP85" s="49"/>
      <c r="BQ85" s="49"/>
      <c r="BR85" s="50">
        <f t="shared" si="48"/>
        <v>0</v>
      </c>
      <c r="BT85" s="49"/>
      <c r="BU85" s="49"/>
      <c r="BV85" s="50">
        <f t="shared" si="49"/>
        <v>0</v>
      </c>
      <c r="BX85" s="49"/>
      <c r="BY85" s="49"/>
      <c r="BZ85" s="50">
        <f t="shared" si="50"/>
        <v>0</v>
      </c>
      <c r="CB85" s="49"/>
      <c r="CC85" s="49"/>
      <c r="CD85" s="50">
        <f t="shared" si="51"/>
        <v>0</v>
      </c>
      <c r="CF85" s="49"/>
      <c r="CG85" s="49"/>
      <c r="CH85" s="50">
        <f t="shared" si="52"/>
        <v>0</v>
      </c>
      <c r="CJ85" s="49"/>
      <c r="CK85" s="49"/>
      <c r="CL85" s="50">
        <f t="shared" si="53"/>
        <v>0</v>
      </c>
      <c r="CN85" s="49"/>
      <c r="CO85" s="49"/>
      <c r="CP85" s="50">
        <f t="shared" si="54"/>
        <v>0</v>
      </c>
      <c r="CR85" s="49"/>
      <c r="CS85" s="49"/>
      <c r="CT85" s="50">
        <f t="shared" si="55"/>
        <v>0</v>
      </c>
      <c r="CV85" s="49"/>
      <c r="CW85" s="49"/>
      <c r="CX85" s="50">
        <f t="shared" si="56"/>
        <v>0</v>
      </c>
      <c r="CZ85" s="49"/>
      <c r="DA85" s="49"/>
      <c r="DB85" s="50">
        <f t="shared" si="57"/>
        <v>0</v>
      </c>
      <c r="DD85" s="49"/>
      <c r="DE85" s="49"/>
      <c r="DF85" s="50">
        <f t="shared" si="58"/>
        <v>0</v>
      </c>
      <c r="DH85" s="49"/>
      <c r="DI85" s="49"/>
      <c r="DJ85" s="50">
        <f t="shared" si="59"/>
        <v>0</v>
      </c>
      <c r="DL85" s="49"/>
      <c r="DM85" s="49"/>
      <c r="DN85" s="50">
        <f t="shared" si="60"/>
        <v>0</v>
      </c>
      <c r="DP85" s="49"/>
      <c r="DQ85" s="49"/>
      <c r="DR85" s="50">
        <f t="shared" si="61"/>
        <v>0</v>
      </c>
      <c r="DT85" s="49"/>
      <c r="DU85" s="49"/>
      <c r="DV85" s="50">
        <f t="shared" si="62"/>
        <v>0</v>
      </c>
      <c r="DX85" s="49"/>
      <c r="DY85" s="49"/>
      <c r="DZ85" s="50">
        <f t="shared" si="63"/>
        <v>0</v>
      </c>
      <c r="EB85" s="49">
        <f t="shared" si="64"/>
        <v>0</v>
      </c>
      <c r="EC85" s="49">
        <f t="shared" si="65"/>
        <v>0</v>
      </c>
      <c r="ED85" s="49">
        <f t="shared" si="66"/>
        <v>0</v>
      </c>
    </row>
    <row r="86" spans="2:134" ht="11" customHeight="1" x14ac:dyDescent="0.35">
      <c r="B86" s="4">
        <v>111007</v>
      </c>
      <c r="C86" s="4" t="s">
        <v>92</v>
      </c>
      <c r="D86" s="4">
        <v>24</v>
      </c>
      <c r="E86" s="5">
        <v>18</v>
      </c>
      <c r="F86" s="6">
        <v>193.64193294</v>
      </c>
      <c r="G86" s="1"/>
      <c r="H86" s="49"/>
      <c r="I86" s="49"/>
      <c r="J86" s="50">
        <f t="shared" si="67"/>
        <v>0</v>
      </c>
      <c r="K86" s="9"/>
      <c r="L86" s="49"/>
      <c r="M86" s="49"/>
      <c r="N86" s="50">
        <f t="shared" si="34"/>
        <v>0</v>
      </c>
      <c r="O86" s="46"/>
      <c r="P86" s="49"/>
      <c r="Q86" s="49"/>
      <c r="R86" s="50">
        <f t="shared" si="35"/>
        <v>0</v>
      </c>
      <c r="T86" s="49"/>
      <c r="U86" s="49"/>
      <c r="V86" s="50">
        <f t="shared" si="36"/>
        <v>0</v>
      </c>
      <c r="X86" s="49"/>
      <c r="Y86" s="49"/>
      <c r="Z86" s="50">
        <f t="shared" si="37"/>
        <v>0</v>
      </c>
      <c r="AB86" s="49"/>
      <c r="AC86" s="49"/>
      <c r="AD86" s="50">
        <f t="shared" si="38"/>
        <v>0</v>
      </c>
      <c r="AF86" s="49"/>
      <c r="AG86" s="49"/>
      <c r="AH86" s="50">
        <f t="shared" si="39"/>
        <v>0</v>
      </c>
      <c r="AJ86" s="49"/>
      <c r="AK86" s="49"/>
      <c r="AL86" s="50">
        <f t="shared" si="40"/>
        <v>0</v>
      </c>
      <c r="AN86" s="49"/>
      <c r="AO86" s="49"/>
      <c r="AP86" s="50">
        <f t="shared" si="41"/>
        <v>0</v>
      </c>
      <c r="AR86" s="49"/>
      <c r="AS86" s="49"/>
      <c r="AT86" s="50">
        <f t="shared" si="42"/>
        <v>0</v>
      </c>
      <c r="AV86" s="49"/>
      <c r="AW86" s="49"/>
      <c r="AX86" s="50">
        <f t="shared" si="43"/>
        <v>0</v>
      </c>
      <c r="AZ86" s="49"/>
      <c r="BA86" s="49"/>
      <c r="BB86" s="50">
        <f t="shared" si="44"/>
        <v>0</v>
      </c>
      <c r="BD86" s="49"/>
      <c r="BE86" s="49"/>
      <c r="BF86" s="50">
        <f t="shared" si="45"/>
        <v>0</v>
      </c>
      <c r="BH86" s="49"/>
      <c r="BI86" s="49"/>
      <c r="BJ86" s="50">
        <f t="shared" si="46"/>
        <v>0</v>
      </c>
      <c r="BL86" s="49"/>
      <c r="BM86" s="49"/>
      <c r="BN86" s="50">
        <f t="shared" si="47"/>
        <v>0</v>
      </c>
      <c r="BP86" s="49"/>
      <c r="BQ86" s="49"/>
      <c r="BR86" s="50">
        <f t="shared" si="48"/>
        <v>0</v>
      </c>
      <c r="BT86" s="49"/>
      <c r="BU86" s="49"/>
      <c r="BV86" s="50">
        <f t="shared" si="49"/>
        <v>0</v>
      </c>
      <c r="BX86" s="49"/>
      <c r="BY86" s="49"/>
      <c r="BZ86" s="50">
        <f t="shared" si="50"/>
        <v>0</v>
      </c>
      <c r="CB86" s="49"/>
      <c r="CC86" s="49"/>
      <c r="CD86" s="50">
        <f t="shared" si="51"/>
        <v>0</v>
      </c>
      <c r="CF86" s="49"/>
      <c r="CG86" s="49"/>
      <c r="CH86" s="50">
        <f t="shared" si="52"/>
        <v>0</v>
      </c>
      <c r="CJ86" s="49"/>
      <c r="CK86" s="49"/>
      <c r="CL86" s="50">
        <f t="shared" si="53"/>
        <v>0</v>
      </c>
      <c r="CN86" s="49"/>
      <c r="CO86" s="49"/>
      <c r="CP86" s="50">
        <f t="shared" si="54"/>
        <v>0</v>
      </c>
      <c r="CR86" s="49"/>
      <c r="CS86" s="49"/>
      <c r="CT86" s="50">
        <f t="shared" si="55"/>
        <v>0</v>
      </c>
      <c r="CV86" s="49"/>
      <c r="CW86" s="49"/>
      <c r="CX86" s="50">
        <f t="shared" si="56"/>
        <v>0</v>
      </c>
      <c r="CZ86" s="49"/>
      <c r="DA86" s="49"/>
      <c r="DB86" s="50">
        <f t="shared" si="57"/>
        <v>0</v>
      </c>
      <c r="DD86" s="49"/>
      <c r="DE86" s="49"/>
      <c r="DF86" s="50">
        <f t="shared" si="58"/>
        <v>0</v>
      </c>
      <c r="DH86" s="49"/>
      <c r="DI86" s="49"/>
      <c r="DJ86" s="50">
        <f t="shared" si="59"/>
        <v>0</v>
      </c>
      <c r="DL86" s="49"/>
      <c r="DM86" s="49"/>
      <c r="DN86" s="50">
        <f t="shared" si="60"/>
        <v>0</v>
      </c>
      <c r="DP86" s="49"/>
      <c r="DQ86" s="49"/>
      <c r="DR86" s="50">
        <f t="shared" si="61"/>
        <v>0</v>
      </c>
      <c r="DT86" s="49"/>
      <c r="DU86" s="49"/>
      <c r="DV86" s="50">
        <f t="shared" si="62"/>
        <v>0</v>
      </c>
      <c r="DX86" s="49"/>
      <c r="DY86" s="49"/>
      <c r="DZ86" s="50">
        <f t="shared" si="63"/>
        <v>0</v>
      </c>
      <c r="EB86" s="49">
        <f t="shared" si="64"/>
        <v>0</v>
      </c>
      <c r="EC86" s="49">
        <f t="shared" si="65"/>
        <v>0</v>
      </c>
      <c r="ED86" s="49">
        <f t="shared" si="66"/>
        <v>0</v>
      </c>
    </row>
    <row r="87" spans="2:134" ht="11" customHeight="1" x14ac:dyDescent="0.35">
      <c r="B87" s="4">
        <v>111102</v>
      </c>
      <c r="C87" s="14" t="s">
        <v>93</v>
      </c>
      <c r="D87" s="4">
        <v>18</v>
      </c>
      <c r="E87" s="5">
        <v>18</v>
      </c>
      <c r="F87" s="6">
        <v>193.64193294</v>
      </c>
      <c r="G87" s="1"/>
      <c r="H87" s="49"/>
      <c r="I87" s="49"/>
      <c r="J87" s="50">
        <f t="shared" si="67"/>
        <v>0</v>
      </c>
      <c r="K87" s="9"/>
      <c r="L87" s="49"/>
      <c r="M87" s="49"/>
      <c r="N87" s="50">
        <f t="shared" si="34"/>
        <v>0</v>
      </c>
      <c r="O87" s="46"/>
      <c r="P87" s="49"/>
      <c r="Q87" s="49"/>
      <c r="R87" s="50">
        <f t="shared" si="35"/>
        <v>0</v>
      </c>
      <c r="T87" s="49"/>
      <c r="U87" s="49"/>
      <c r="V87" s="50">
        <f t="shared" si="36"/>
        <v>0</v>
      </c>
      <c r="X87" s="49"/>
      <c r="Y87" s="49"/>
      <c r="Z87" s="50">
        <f t="shared" si="37"/>
        <v>0</v>
      </c>
      <c r="AB87" s="49"/>
      <c r="AC87" s="49"/>
      <c r="AD87" s="50">
        <f t="shared" si="38"/>
        <v>0</v>
      </c>
      <c r="AF87" s="49"/>
      <c r="AG87" s="49"/>
      <c r="AH87" s="50">
        <f t="shared" si="39"/>
        <v>0</v>
      </c>
      <c r="AJ87" s="49"/>
      <c r="AK87" s="49"/>
      <c r="AL87" s="50">
        <f t="shared" si="40"/>
        <v>0</v>
      </c>
      <c r="AN87" s="49"/>
      <c r="AO87" s="49"/>
      <c r="AP87" s="50">
        <f t="shared" si="41"/>
        <v>0</v>
      </c>
      <c r="AR87" s="49"/>
      <c r="AS87" s="49"/>
      <c r="AT87" s="50">
        <f t="shared" si="42"/>
        <v>0</v>
      </c>
      <c r="AV87" s="49"/>
      <c r="AW87" s="49"/>
      <c r="AX87" s="50">
        <f t="shared" si="43"/>
        <v>0</v>
      </c>
      <c r="AZ87" s="49"/>
      <c r="BA87" s="49"/>
      <c r="BB87" s="50">
        <f t="shared" si="44"/>
        <v>0</v>
      </c>
      <c r="BD87" s="49"/>
      <c r="BE87" s="49"/>
      <c r="BF87" s="50">
        <f t="shared" si="45"/>
        <v>0</v>
      </c>
      <c r="BH87" s="49"/>
      <c r="BI87" s="49"/>
      <c r="BJ87" s="50">
        <f t="shared" si="46"/>
        <v>0</v>
      </c>
      <c r="BL87" s="49"/>
      <c r="BM87" s="49"/>
      <c r="BN87" s="50">
        <f t="shared" si="47"/>
        <v>0</v>
      </c>
      <c r="BP87" s="49"/>
      <c r="BQ87" s="49"/>
      <c r="BR87" s="50">
        <f t="shared" si="48"/>
        <v>0</v>
      </c>
      <c r="BT87" s="49"/>
      <c r="BU87" s="49"/>
      <c r="BV87" s="50">
        <f t="shared" si="49"/>
        <v>0</v>
      </c>
      <c r="BX87" s="49"/>
      <c r="BY87" s="49"/>
      <c r="BZ87" s="50">
        <f t="shared" si="50"/>
        <v>0</v>
      </c>
      <c r="CB87" s="49"/>
      <c r="CC87" s="49"/>
      <c r="CD87" s="50">
        <f t="shared" si="51"/>
        <v>0</v>
      </c>
      <c r="CF87" s="49"/>
      <c r="CG87" s="49"/>
      <c r="CH87" s="50">
        <f t="shared" si="52"/>
        <v>0</v>
      </c>
      <c r="CJ87" s="49"/>
      <c r="CK87" s="49"/>
      <c r="CL87" s="50">
        <f t="shared" si="53"/>
        <v>0</v>
      </c>
      <c r="CN87" s="49"/>
      <c r="CO87" s="49"/>
      <c r="CP87" s="50">
        <f t="shared" si="54"/>
        <v>0</v>
      </c>
      <c r="CR87" s="49"/>
      <c r="CS87" s="49"/>
      <c r="CT87" s="50">
        <f t="shared" si="55"/>
        <v>0</v>
      </c>
      <c r="CV87" s="49"/>
      <c r="CW87" s="49"/>
      <c r="CX87" s="50">
        <f t="shared" si="56"/>
        <v>0</v>
      </c>
      <c r="CZ87" s="49"/>
      <c r="DA87" s="49"/>
      <c r="DB87" s="50">
        <f t="shared" si="57"/>
        <v>0</v>
      </c>
      <c r="DD87" s="49"/>
      <c r="DE87" s="49"/>
      <c r="DF87" s="50">
        <f t="shared" si="58"/>
        <v>0</v>
      </c>
      <c r="DH87" s="49"/>
      <c r="DI87" s="49"/>
      <c r="DJ87" s="50">
        <f t="shared" si="59"/>
        <v>0</v>
      </c>
      <c r="DL87" s="49"/>
      <c r="DM87" s="49"/>
      <c r="DN87" s="50">
        <f t="shared" si="60"/>
        <v>0</v>
      </c>
      <c r="DP87" s="49"/>
      <c r="DQ87" s="49"/>
      <c r="DR87" s="50">
        <f t="shared" si="61"/>
        <v>0</v>
      </c>
      <c r="DT87" s="49"/>
      <c r="DU87" s="49"/>
      <c r="DV87" s="50">
        <f t="shared" si="62"/>
        <v>0</v>
      </c>
      <c r="DX87" s="49"/>
      <c r="DY87" s="49"/>
      <c r="DZ87" s="50">
        <f t="shared" si="63"/>
        <v>0</v>
      </c>
      <c r="EB87" s="49">
        <f t="shared" si="64"/>
        <v>0</v>
      </c>
      <c r="EC87" s="49">
        <f t="shared" si="65"/>
        <v>0</v>
      </c>
      <c r="ED87" s="49">
        <f t="shared" si="66"/>
        <v>0</v>
      </c>
    </row>
    <row r="88" spans="2:134" ht="11" customHeight="1" x14ac:dyDescent="0.35">
      <c r="B88" s="4">
        <v>111130</v>
      </c>
      <c r="C88" s="4" t="s">
        <v>94</v>
      </c>
      <c r="D88" s="4">
        <v>24</v>
      </c>
      <c r="E88" s="5">
        <v>18</v>
      </c>
      <c r="F88" s="6">
        <v>193.64193294</v>
      </c>
      <c r="G88" s="1"/>
      <c r="H88" s="49"/>
      <c r="I88" s="49"/>
      <c r="J88" s="50">
        <f t="shared" si="67"/>
        <v>0</v>
      </c>
      <c r="K88" s="9"/>
      <c r="L88" s="49"/>
      <c r="M88" s="49"/>
      <c r="N88" s="50">
        <f t="shared" si="34"/>
        <v>0</v>
      </c>
      <c r="O88" s="46"/>
      <c r="P88" s="49"/>
      <c r="Q88" s="49"/>
      <c r="R88" s="50">
        <f t="shared" si="35"/>
        <v>0</v>
      </c>
      <c r="T88" s="49"/>
      <c r="U88" s="49"/>
      <c r="V88" s="50">
        <f t="shared" si="36"/>
        <v>0</v>
      </c>
      <c r="X88" s="49"/>
      <c r="Y88" s="49"/>
      <c r="Z88" s="50">
        <f t="shared" si="37"/>
        <v>0</v>
      </c>
      <c r="AB88" s="49"/>
      <c r="AC88" s="49"/>
      <c r="AD88" s="50">
        <f t="shared" si="38"/>
        <v>0</v>
      </c>
      <c r="AF88" s="49"/>
      <c r="AG88" s="49"/>
      <c r="AH88" s="50">
        <f t="shared" si="39"/>
        <v>0</v>
      </c>
      <c r="AJ88" s="49"/>
      <c r="AK88" s="49"/>
      <c r="AL88" s="50">
        <f t="shared" si="40"/>
        <v>0</v>
      </c>
      <c r="AN88" s="49"/>
      <c r="AO88" s="49"/>
      <c r="AP88" s="50">
        <f t="shared" si="41"/>
        <v>0</v>
      </c>
      <c r="AR88" s="49"/>
      <c r="AS88" s="49"/>
      <c r="AT88" s="50">
        <f t="shared" si="42"/>
        <v>0</v>
      </c>
      <c r="AV88" s="49"/>
      <c r="AW88" s="49"/>
      <c r="AX88" s="50">
        <f t="shared" si="43"/>
        <v>0</v>
      </c>
      <c r="AZ88" s="49"/>
      <c r="BA88" s="49"/>
      <c r="BB88" s="50">
        <f t="shared" si="44"/>
        <v>0</v>
      </c>
      <c r="BD88" s="49"/>
      <c r="BE88" s="49"/>
      <c r="BF88" s="50">
        <f t="shared" si="45"/>
        <v>0</v>
      </c>
      <c r="BH88" s="49"/>
      <c r="BI88" s="49"/>
      <c r="BJ88" s="50">
        <f t="shared" si="46"/>
        <v>0</v>
      </c>
      <c r="BL88" s="49"/>
      <c r="BM88" s="49"/>
      <c r="BN88" s="50">
        <f t="shared" si="47"/>
        <v>0</v>
      </c>
      <c r="BP88" s="49"/>
      <c r="BQ88" s="49"/>
      <c r="BR88" s="50">
        <f t="shared" si="48"/>
        <v>0</v>
      </c>
      <c r="BT88" s="49"/>
      <c r="BU88" s="49"/>
      <c r="BV88" s="50">
        <f t="shared" si="49"/>
        <v>0</v>
      </c>
      <c r="BX88" s="49"/>
      <c r="BY88" s="49"/>
      <c r="BZ88" s="50">
        <f t="shared" si="50"/>
        <v>0</v>
      </c>
      <c r="CB88" s="49"/>
      <c r="CC88" s="49"/>
      <c r="CD88" s="50">
        <f t="shared" si="51"/>
        <v>0</v>
      </c>
      <c r="CF88" s="49"/>
      <c r="CG88" s="49"/>
      <c r="CH88" s="50">
        <f t="shared" si="52"/>
        <v>0</v>
      </c>
      <c r="CJ88" s="49"/>
      <c r="CK88" s="49"/>
      <c r="CL88" s="50">
        <f t="shared" si="53"/>
        <v>0</v>
      </c>
      <c r="CN88" s="49"/>
      <c r="CO88" s="49"/>
      <c r="CP88" s="50">
        <f t="shared" si="54"/>
        <v>0</v>
      </c>
      <c r="CR88" s="49"/>
      <c r="CS88" s="49"/>
      <c r="CT88" s="50">
        <f t="shared" si="55"/>
        <v>0</v>
      </c>
      <c r="CV88" s="49"/>
      <c r="CW88" s="49"/>
      <c r="CX88" s="50">
        <f t="shared" si="56"/>
        <v>0</v>
      </c>
      <c r="CZ88" s="49"/>
      <c r="DA88" s="49"/>
      <c r="DB88" s="50">
        <f t="shared" si="57"/>
        <v>0</v>
      </c>
      <c r="DD88" s="49"/>
      <c r="DE88" s="49"/>
      <c r="DF88" s="50">
        <f t="shared" si="58"/>
        <v>0</v>
      </c>
      <c r="DH88" s="49"/>
      <c r="DI88" s="49"/>
      <c r="DJ88" s="50">
        <f t="shared" si="59"/>
        <v>0</v>
      </c>
      <c r="DL88" s="49"/>
      <c r="DM88" s="49"/>
      <c r="DN88" s="50">
        <f t="shared" si="60"/>
        <v>0</v>
      </c>
      <c r="DP88" s="49"/>
      <c r="DQ88" s="49"/>
      <c r="DR88" s="50">
        <f t="shared" si="61"/>
        <v>0</v>
      </c>
      <c r="DT88" s="49"/>
      <c r="DU88" s="49"/>
      <c r="DV88" s="50">
        <f t="shared" si="62"/>
        <v>0</v>
      </c>
      <c r="DX88" s="49"/>
      <c r="DY88" s="49"/>
      <c r="DZ88" s="50">
        <f t="shared" si="63"/>
        <v>0</v>
      </c>
      <c r="EB88" s="49">
        <f t="shared" si="64"/>
        <v>0</v>
      </c>
      <c r="EC88" s="49">
        <f t="shared" si="65"/>
        <v>0</v>
      </c>
      <c r="ED88" s="49">
        <f t="shared" si="66"/>
        <v>0</v>
      </c>
    </row>
    <row r="89" spans="2:134" ht="11" customHeight="1" x14ac:dyDescent="0.35">
      <c r="B89" s="4">
        <v>111231</v>
      </c>
      <c r="C89" s="14" t="s">
        <v>95</v>
      </c>
      <c r="D89" s="4">
        <v>50</v>
      </c>
      <c r="E89" s="5">
        <v>18</v>
      </c>
      <c r="F89" s="6">
        <v>198.24524392000001</v>
      </c>
      <c r="G89" s="1"/>
      <c r="H89" s="49"/>
      <c r="I89" s="49"/>
      <c r="J89" s="50">
        <f t="shared" si="67"/>
        <v>0</v>
      </c>
      <c r="K89" s="9"/>
      <c r="L89" s="49"/>
      <c r="M89" s="49"/>
      <c r="N89" s="50">
        <f t="shared" si="34"/>
        <v>0</v>
      </c>
      <c r="O89" s="46"/>
      <c r="P89" s="49"/>
      <c r="Q89" s="49"/>
      <c r="R89" s="50">
        <f t="shared" si="35"/>
        <v>0</v>
      </c>
      <c r="T89" s="49"/>
      <c r="U89" s="49"/>
      <c r="V89" s="50">
        <f t="shared" si="36"/>
        <v>0</v>
      </c>
      <c r="X89" s="49"/>
      <c r="Y89" s="49"/>
      <c r="Z89" s="50">
        <f t="shared" si="37"/>
        <v>0</v>
      </c>
      <c r="AB89" s="49"/>
      <c r="AC89" s="49"/>
      <c r="AD89" s="50">
        <f t="shared" si="38"/>
        <v>0</v>
      </c>
      <c r="AF89" s="49"/>
      <c r="AG89" s="49"/>
      <c r="AH89" s="50">
        <f t="shared" si="39"/>
        <v>0</v>
      </c>
      <c r="AJ89" s="49"/>
      <c r="AK89" s="49"/>
      <c r="AL89" s="50">
        <f t="shared" si="40"/>
        <v>0</v>
      </c>
      <c r="AN89" s="49"/>
      <c r="AO89" s="49"/>
      <c r="AP89" s="50">
        <f t="shared" si="41"/>
        <v>0</v>
      </c>
      <c r="AR89" s="49"/>
      <c r="AS89" s="49"/>
      <c r="AT89" s="50">
        <f t="shared" si="42"/>
        <v>0</v>
      </c>
      <c r="AV89" s="49"/>
      <c r="AW89" s="49"/>
      <c r="AX89" s="50">
        <f t="shared" si="43"/>
        <v>0</v>
      </c>
      <c r="AZ89" s="49"/>
      <c r="BA89" s="49"/>
      <c r="BB89" s="50">
        <f t="shared" si="44"/>
        <v>0</v>
      </c>
      <c r="BD89" s="49"/>
      <c r="BE89" s="49"/>
      <c r="BF89" s="50">
        <f t="shared" si="45"/>
        <v>0</v>
      </c>
      <c r="BH89" s="49"/>
      <c r="BI89" s="49"/>
      <c r="BJ89" s="50">
        <f t="shared" si="46"/>
        <v>0</v>
      </c>
      <c r="BL89" s="49"/>
      <c r="BM89" s="49"/>
      <c r="BN89" s="50">
        <f t="shared" si="47"/>
        <v>0</v>
      </c>
      <c r="BP89" s="49"/>
      <c r="BQ89" s="49"/>
      <c r="BR89" s="50">
        <f t="shared" si="48"/>
        <v>0</v>
      </c>
      <c r="BT89" s="49"/>
      <c r="BU89" s="49"/>
      <c r="BV89" s="50">
        <f t="shared" si="49"/>
        <v>0</v>
      </c>
      <c r="BX89" s="49"/>
      <c r="BY89" s="49"/>
      <c r="BZ89" s="50">
        <f t="shared" si="50"/>
        <v>0</v>
      </c>
      <c r="CB89" s="49"/>
      <c r="CC89" s="49"/>
      <c r="CD89" s="50">
        <f t="shared" si="51"/>
        <v>0</v>
      </c>
      <c r="CF89" s="49"/>
      <c r="CG89" s="49"/>
      <c r="CH89" s="50">
        <f t="shared" si="52"/>
        <v>0</v>
      </c>
      <c r="CJ89" s="49"/>
      <c r="CK89" s="49"/>
      <c r="CL89" s="50">
        <f t="shared" si="53"/>
        <v>0</v>
      </c>
      <c r="CN89" s="49"/>
      <c r="CO89" s="49"/>
      <c r="CP89" s="50">
        <f t="shared" si="54"/>
        <v>0</v>
      </c>
      <c r="CR89" s="49"/>
      <c r="CS89" s="49"/>
      <c r="CT89" s="50">
        <f t="shared" si="55"/>
        <v>0</v>
      </c>
      <c r="CV89" s="49"/>
      <c r="CW89" s="49"/>
      <c r="CX89" s="50">
        <f t="shared" si="56"/>
        <v>0</v>
      </c>
      <c r="CZ89" s="49"/>
      <c r="DA89" s="49"/>
      <c r="DB89" s="50">
        <f t="shared" si="57"/>
        <v>0</v>
      </c>
      <c r="DD89" s="49"/>
      <c r="DE89" s="49"/>
      <c r="DF89" s="50">
        <f t="shared" si="58"/>
        <v>0</v>
      </c>
      <c r="DH89" s="49"/>
      <c r="DI89" s="49"/>
      <c r="DJ89" s="50">
        <f t="shared" si="59"/>
        <v>0</v>
      </c>
      <c r="DL89" s="49"/>
      <c r="DM89" s="49"/>
      <c r="DN89" s="50">
        <f t="shared" si="60"/>
        <v>0</v>
      </c>
      <c r="DP89" s="49"/>
      <c r="DQ89" s="49"/>
      <c r="DR89" s="50">
        <f t="shared" si="61"/>
        <v>0</v>
      </c>
      <c r="DT89" s="49"/>
      <c r="DU89" s="49"/>
      <c r="DV89" s="50">
        <f t="shared" si="62"/>
        <v>0</v>
      </c>
      <c r="DX89" s="49"/>
      <c r="DY89" s="49"/>
      <c r="DZ89" s="50">
        <f t="shared" si="63"/>
        <v>0</v>
      </c>
      <c r="EB89" s="49">
        <f t="shared" si="64"/>
        <v>0</v>
      </c>
      <c r="EC89" s="49">
        <f t="shared" si="65"/>
        <v>0</v>
      </c>
      <c r="ED89" s="49">
        <f t="shared" si="66"/>
        <v>0</v>
      </c>
    </row>
    <row r="90" spans="2:134" ht="11" customHeight="1" x14ac:dyDescent="0.35">
      <c r="B90" s="4">
        <v>101038</v>
      </c>
      <c r="C90" s="14" t="s">
        <v>96</v>
      </c>
      <c r="D90" s="4">
        <v>24</v>
      </c>
      <c r="E90" s="5">
        <v>24</v>
      </c>
      <c r="F90" s="6">
        <v>189.29879107400001</v>
      </c>
      <c r="G90" s="1"/>
      <c r="H90" s="49"/>
      <c r="I90" s="49"/>
      <c r="J90" s="50">
        <f t="shared" si="67"/>
        <v>0</v>
      </c>
      <c r="K90" s="9"/>
      <c r="L90" s="49"/>
      <c r="M90" s="49"/>
      <c r="N90" s="50">
        <f t="shared" si="34"/>
        <v>0</v>
      </c>
      <c r="O90" s="46"/>
      <c r="P90" s="49"/>
      <c r="Q90" s="49"/>
      <c r="R90" s="50">
        <f t="shared" si="35"/>
        <v>0</v>
      </c>
      <c r="T90" s="49"/>
      <c r="U90" s="49"/>
      <c r="V90" s="50">
        <f t="shared" si="36"/>
        <v>0</v>
      </c>
      <c r="X90" s="49"/>
      <c r="Y90" s="49"/>
      <c r="Z90" s="50">
        <f t="shared" si="37"/>
        <v>0</v>
      </c>
      <c r="AB90" s="49"/>
      <c r="AC90" s="49"/>
      <c r="AD90" s="50">
        <f t="shared" si="38"/>
        <v>0</v>
      </c>
      <c r="AF90" s="49"/>
      <c r="AG90" s="49"/>
      <c r="AH90" s="50">
        <f t="shared" si="39"/>
        <v>0</v>
      </c>
      <c r="AJ90" s="49"/>
      <c r="AK90" s="49"/>
      <c r="AL90" s="50">
        <f t="shared" si="40"/>
        <v>0</v>
      </c>
      <c r="AN90" s="49"/>
      <c r="AO90" s="49"/>
      <c r="AP90" s="50">
        <f t="shared" si="41"/>
        <v>0</v>
      </c>
      <c r="AR90" s="49"/>
      <c r="AS90" s="49"/>
      <c r="AT90" s="50">
        <f t="shared" si="42"/>
        <v>0</v>
      </c>
      <c r="AV90" s="49"/>
      <c r="AW90" s="49"/>
      <c r="AX90" s="50">
        <f t="shared" si="43"/>
        <v>0</v>
      </c>
      <c r="AZ90" s="49"/>
      <c r="BA90" s="49"/>
      <c r="BB90" s="50">
        <f t="shared" si="44"/>
        <v>0</v>
      </c>
      <c r="BD90" s="49"/>
      <c r="BE90" s="49"/>
      <c r="BF90" s="50">
        <f t="shared" si="45"/>
        <v>0</v>
      </c>
      <c r="BH90" s="49"/>
      <c r="BI90" s="49"/>
      <c r="BJ90" s="50">
        <f t="shared" si="46"/>
        <v>0</v>
      </c>
      <c r="BL90" s="49"/>
      <c r="BM90" s="49"/>
      <c r="BN90" s="50">
        <f t="shared" si="47"/>
        <v>0</v>
      </c>
      <c r="BP90" s="49"/>
      <c r="BQ90" s="49"/>
      <c r="BR90" s="50">
        <f t="shared" si="48"/>
        <v>0</v>
      </c>
      <c r="BT90" s="49"/>
      <c r="BU90" s="49"/>
      <c r="BV90" s="50">
        <f t="shared" si="49"/>
        <v>0</v>
      </c>
      <c r="BX90" s="49"/>
      <c r="BY90" s="49"/>
      <c r="BZ90" s="50">
        <f t="shared" si="50"/>
        <v>0</v>
      </c>
      <c r="CB90" s="49"/>
      <c r="CC90" s="49"/>
      <c r="CD90" s="50">
        <f t="shared" si="51"/>
        <v>0</v>
      </c>
      <c r="CF90" s="49"/>
      <c r="CG90" s="49"/>
      <c r="CH90" s="50">
        <f t="shared" si="52"/>
        <v>0</v>
      </c>
      <c r="CJ90" s="49"/>
      <c r="CK90" s="49"/>
      <c r="CL90" s="50">
        <f t="shared" si="53"/>
        <v>0</v>
      </c>
      <c r="CN90" s="49"/>
      <c r="CO90" s="49"/>
      <c r="CP90" s="50">
        <f t="shared" si="54"/>
        <v>0</v>
      </c>
      <c r="CR90" s="49"/>
      <c r="CS90" s="49"/>
      <c r="CT90" s="50">
        <f t="shared" si="55"/>
        <v>0</v>
      </c>
      <c r="CV90" s="49"/>
      <c r="CW90" s="49"/>
      <c r="CX90" s="50">
        <f t="shared" si="56"/>
        <v>0</v>
      </c>
      <c r="CZ90" s="49"/>
      <c r="DA90" s="49"/>
      <c r="DB90" s="50">
        <f t="shared" si="57"/>
        <v>0</v>
      </c>
      <c r="DD90" s="49"/>
      <c r="DE90" s="49"/>
      <c r="DF90" s="50">
        <f t="shared" si="58"/>
        <v>0</v>
      </c>
      <c r="DH90" s="49"/>
      <c r="DI90" s="49"/>
      <c r="DJ90" s="50">
        <f t="shared" si="59"/>
        <v>0</v>
      </c>
      <c r="DL90" s="49"/>
      <c r="DM90" s="49"/>
      <c r="DN90" s="50">
        <f t="shared" si="60"/>
        <v>0</v>
      </c>
      <c r="DP90" s="49"/>
      <c r="DQ90" s="49"/>
      <c r="DR90" s="50">
        <f t="shared" si="61"/>
        <v>0</v>
      </c>
      <c r="DT90" s="49"/>
      <c r="DU90" s="49"/>
      <c r="DV90" s="50">
        <f t="shared" si="62"/>
        <v>0</v>
      </c>
      <c r="DX90" s="49"/>
      <c r="DY90" s="49"/>
      <c r="DZ90" s="50">
        <f t="shared" si="63"/>
        <v>0</v>
      </c>
      <c r="EB90" s="49">
        <f t="shared" si="64"/>
        <v>0</v>
      </c>
      <c r="EC90" s="49">
        <f t="shared" si="65"/>
        <v>0</v>
      </c>
      <c r="ED90" s="49">
        <f t="shared" si="66"/>
        <v>0</v>
      </c>
    </row>
    <row r="91" spans="2:134" ht="11" customHeight="1" x14ac:dyDescent="0.35">
      <c r="B91" s="4">
        <v>101936</v>
      </c>
      <c r="C91" s="14" t="s">
        <v>97</v>
      </c>
      <c r="D91" s="4">
        <v>12</v>
      </c>
      <c r="E91" s="5">
        <v>8</v>
      </c>
      <c r="F91" s="6">
        <v>481.09632499999998</v>
      </c>
      <c r="G91" s="1"/>
      <c r="H91" s="49"/>
      <c r="I91" s="49"/>
      <c r="J91" s="50">
        <f t="shared" si="67"/>
        <v>0</v>
      </c>
      <c r="K91" s="9"/>
      <c r="L91" s="49"/>
      <c r="M91" s="49"/>
      <c r="N91" s="50">
        <f t="shared" si="34"/>
        <v>0</v>
      </c>
      <c r="O91" s="46"/>
      <c r="P91" s="49"/>
      <c r="Q91" s="49"/>
      <c r="R91" s="50">
        <f t="shared" si="35"/>
        <v>0</v>
      </c>
      <c r="T91" s="49"/>
      <c r="U91" s="49"/>
      <c r="V91" s="50">
        <f t="shared" si="36"/>
        <v>0</v>
      </c>
      <c r="X91" s="49"/>
      <c r="Y91" s="49"/>
      <c r="Z91" s="50">
        <f t="shared" si="37"/>
        <v>0</v>
      </c>
      <c r="AB91" s="49"/>
      <c r="AC91" s="49"/>
      <c r="AD91" s="50">
        <f t="shared" si="38"/>
        <v>0</v>
      </c>
      <c r="AF91" s="49"/>
      <c r="AG91" s="49"/>
      <c r="AH91" s="50">
        <f t="shared" si="39"/>
        <v>0</v>
      </c>
      <c r="AJ91" s="49"/>
      <c r="AK91" s="49"/>
      <c r="AL91" s="50">
        <f t="shared" si="40"/>
        <v>0</v>
      </c>
      <c r="AN91" s="49"/>
      <c r="AO91" s="49"/>
      <c r="AP91" s="50">
        <f t="shared" si="41"/>
        <v>0</v>
      </c>
      <c r="AR91" s="49"/>
      <c r="AS91" s="49"/>
      <c r="AT91" s="50">
        <f t="shared" si="42"/>
        <v>0</v>
      </c>
      <c r="AV91" s="49"/>
      <c r="AW91" s="49"/>
      <c r="AX91" s="50">
        <f t="shared" si="43"/>
        <v>0</v>
      </c>
      <c r="AZ91" s="49"/>
      <c r="BA91" s="49"/>
      <c r="BB91" s="50">
        <f t="shared" si="44"/>
        <v>0</v>
      </c>
      <c r="BD91" s="49"/>
      <c r="BE91" s="49"/>
      <c r="BF91" s="50">
        <f t="shared" si="45"/>
        <v>0</v>
      </c>
      <c r="BH91" s="49"/>
      <c r="BI91" s="49"/>
      <c r="BJ91" s="50">
        <f t="shared" si="46"/>
        <v>0</v>
      </c>
      <c r="BL91" s="49"/>
      <c r="BM91" s="49"/>
      <c r="BN91" s="50">
        <f t="shared" si="47"/>
        <v>0</v>
      </c>
      <c r="BP91" s="49"/>
      <c r="BQ91" s="49"/>
      <c r="BR91" s="50">
        <f t="shared" si="48"/>
        <v>0</v>
      </c>
      <c r="BT91" s="49"/>
      <c r="BU91" s="49"/>
      <c r="BV91" s="50">
        <f t="shared" si="49"/>
        <v>0</v>
      </c>
      <c r="BX91" s="49"/>
      <c r="BY91" s="49"/>
      <c r="BZ91" s="50">
        <f t="shared" si="50"/>
        <v>0</v>
      </c>
      <c r="CB91" s="49"/>
      <c r="CC91" s="49"/>
      <c r="CD91" s="50">
        <f t="shared" si="51"/>
        <v>0</v>
      </c>
      <c r="CF91" s="49"/>
      <c r="CG91" s="49"/>
      <c r="CH91" s="50">
        <f t="shared" si="52"/>
        <v>0</v>
      </c>
      <c r="CJ91" s="49"/>
      <c r="CK91" s="49"/>
      <c r="CL91" s="50">
        <f t="shared" si="53"/>
        <v>0</v>
      </c>
      <c r="CN91" s="49"/>
      <c r="CO91" s="49"/>
      <c r="CP91" s="50">
        <f t="shared" si="54"/>
        <v>0</v>
      </c>
      <c r="CR91" s="49"/>
      <c r="CS91" s="49"/>
      <c r="CT91" s="50">
        <f t="shared" si="55"/>
        <v>0</v>
      </c>
      <c r="CV91" s="49"/>
      <c r="CW91" s="49"/>
      <c r="CX91" s="50">
        <f t="shared" si="56"/>
        <v>0</v>
      </c>
      <c r="CZ91" s="49"/>
      <c r="DA91" s="49"/>
      <c r="DB91" s="50">
        <f t="shared" si="57"/>
        <v>0</v>
      </c>
      <c r="DD91" s="49"/>
      <c r="DE91" s="49"/>
      <c r="DF91" s="50">
        <f t="shared" si="58"/>
        <v>0</v>
      </c>
      <c r="DH91" s="49"/>
      <c r="DI91" s="49"/>
      <c r="DJ91" s="50">
        <f t="shared" si="59"/>
        <v>0</v>
      </c>
      <c r="DL91" s="49"/>
      <c r="DM91" s="49"/>
      <c r="DN91" s="50">
        <f t="shared" si="60"/>
        <v>0</v>
      </c>
      <c r="DP91" s="49"/>
      <c r="DQ91" s="49"/>
      <c r="DR91" s="50">
        <f t="shared" si="61"/>
        <v>0</v>
      </c>
      <c r="DT91" s="49"/>
      <c r="DU91" s="49"/>
      <c r="DV91" s="50">
        <f t="shared" si="62"/>
        <v>0</v>
      </c>
      <c r="DX91" s="49"/>
      <c r="DY91" s="49"/>
      <c r="DZ91" s="50">
        <f t="shared" si="63"/>
        <v>0</v>
      </c>
      <c r="EB91" s="49">
        <f t="shared" si="64"/>
        <v>0</v>
      </c>
      <c r="EC91" s="49">
        <f t="shared" si="65"/>
        <v>0</v>
      </c>
      <c r="ED91" s="49">
        <f t="shared" si="66"/>
        <v>0</v>
      </c>
    </row>
    <row r="92" spans="2:134" ht="11" customHeight="1" x14ac:dyDescent="0.35">
      <c r="B92" s="4">
        <v>106021</v>
      </c>
      <c r="C92" s="14" t="s">
        <v>98</v>
      </c>
      <c r="D92" s="4">
        <v>24</v>
      </c>
      <c r="E92" s="5">
        <v>18</v>
      </c>
      <c r="F92" s="6">
        <v>189.29879107400001</v>
      </c>
      <c r="G92" s="1"/>
      <c r="H92" s="49"/>
      <c r="I92" s="49"/>
      <c r="J92" s="50">
        <f t="shared" si="67"/>
        <v>0</v>
      </c>
      <c r="K92" s="9"/>
      <c r="L92" s="49"/>
      <c r="M92" s="49"/>
      <c r="N92" s="50">
        <f t="shared" si="34"/>
        <v>0</v>
      </c>
      <c r="O92" s="46"/>
      <c r="P92" s="49"/>
      <c r="Q92" s="49"/>
      <c r="R92" s="50">
        <f t="shared" si="35"/>
        <v>0</v>
      </c>
      <c r="T92" s="49"/>
      <c r="U92" s="49"/>
      <c r="V92" s="50">
        <f t="shared" si="36"/>
        <v>0</v>
      </c>
      <c r="X92" s="49"/>
      <c r="Y92" s="49"/>
      <c r="Z92" s="50">
        <f t="shared" si="37"/>
        <v>0</v>
      </c>
      <c r="AB92" s="49"/>
      <c r="AC92" s="49"/>
      <c r="AD92" s="50">
        <f t="shared" si="38"/>
        <v>0</v>
      </c>
      <c r="AF92" s="49"/>
      <c r="AG92" s="49"/>
      <c r="AH92" s="50">
        <f t="shared" si="39"/>
        <v>0</v>
      </c>
      <c r="AJ92" s="49"/>
      <c r="AK92" s="49"/>
      <c r="AL92" s="50">
        <f t="shared" si="40"/>
        <v>0</v>
      </c>
      <c r="AN92" s="49"/>
      <c r="AO92" s="49"/>
      <c r="AP92" s="50">
        <f t="shared" si="41"/>
        <v>0</v>
      </c>
      <c r="AR92" s="49"/>
      <c r="AS92" s="49"/>
      <c r="AT92" s="50">
        <f t="shared" si="42"/>
        <v>0</v>
      </c>
      <c r="AV92" s="49"/>
      <c r="AW92" s="49"/>
      <c r="AX92" s="50">
        <f t="shared" si="43"/>
        <v>0</v>
      </c>
      <c r="AZ92" s="49"/>
      <c r="BA92" s="49"/>
      <c r="BB92" s="50">
        <f t="shared" si="44"/>
        <v>0</v>
      </c>
      <c r="BD92" s="49"/>
      <c r="BE92" s="49"/>
      <c r="BF92" s="50">
        <f t="shared" si="45"/>
        <v>0</v>
      </c>
      <c r="BH92" s="49"/>
      <c r="BI92" s="49"/>
      <c r="BJ92" s="50">
        <f t="shared" si="46"/>
        <v>0</v>
      </c>
      <c r="BL92" s="49"/>
      <c r="BM92" s="49"/>
      <c r="BN92" s="50">
        <f t="shared" si="47"/>
        <v>0</v>
      </c>
      <c r="BP92" s="49"/>
      <c r="BQ92" s="49"/>
      <c r="BR92" s="50">
        <f t="shared" si="48"/>
        <v>0</v>
      </c>
      <c r="BT92" s="49"/>
      <c r="BU92" s="49"/>
      <c r="BV92" s="50">
        <f t="shared" si="49"/>
        <v>0</v>
      </c>
      <c r="BX92" s="49"/>
      <c r="BY92" s="49"/>
      <c r="BZ92" s="50">
        <f t="shared" si="50"/>
        <v>0</v>
      </c>
      <c r="CB92" s="49"/>
      <c r="CC92" s="49"/>
      <c r="CD92" s="50">
        <f t="shared" si="51"/>
        <v>0</v>
      </c>
      <c r="CF92" s="49"/>
      <c r="CG92" s="49"/>
      <c r="CH92" s="50">
        <f t="shared" si="52"/>
        <v>0</v>
      </c>
      <c r="CJ92" s="49"/>
      <c r="CK92" s="49"/>
      <c r="CL92" s="50">
        <f t="shared" si="53"/>
        <v>0</v>
      </c>
      <c r="CN92" s="49"/>
      <c r="CO92" s="49"/>
      <c r="CP92" s="50">
        <f t="shared" si="54"/>
        <v>0</v>
      </c>
      <c r="CR92" s="49"/>
      <c r="CS92" s="49"/>
      <c r="CT92" s="50">
        <f t="shared" si="55"/>
        <v>0</v>
      </c>
      <c r="CV92" s="49"/>
      <c r="CW92" s="49"/>
      <c r="CX92" s="50">
        <f t="shared" si="56"/>
        <v>0</v>
      </c>
      <c r="CZ92" s="49"/>
      <c r="DA92" s="49"/>
      <c r="DB92" s="50">
        <f t="shared" si="57"/>
        <v>0</v>
      </c>
      <c r="DD92" s="49"/>
      <c r="DE92" s="49"/>
      <c r="DF92" s="50">
        <f t="shared" si="58"/>
        <v>0</v>
      </c>
      <c r="DH92" s="49"/>
      <c r="DI92" s="49"/>
      <c r="DJ92" s="50">
        <f t="shared" si="59"/>
        <v>0</v>
      </c>
      <c r="DL92" s="49"/>
      <c r="DM92" s="49"/>
      <c r="DN92" s="50">
        <f t="shared" si="60"/>
        <v>0</v>
      </c>
      <c r="DP92" s="49"/>
      <c r="DQ92" s="49"/>
      <c r="DR92" s="50">
        <f t="shared" si="61"/>
        <v>0</v>
      </c>
      <c r="DT92" s="49"/>
      <c r="DU92" s="49"/>
      <c r="DV92" s="50">
        <f t="shared" si="62"/>
        <v>0</v>
      </c>
      <c r="DX92" s="49"/>
      <c r="DY92" s="49"/>
      <c r="DZ92" s="50">
        <f t="shared" si="63"/>
        <v>0</v>
      </c>
      <c r="EB92" s="49">
        <f t="shared" si="64"/>
        <v>0</v>
      </c>
      <c r="EC92" s="49">
        <f t="shared" si="65"/>
        <v>0</v>
      </c>
      <c r="ED92" s="49">
        <f t="shared" si="66"/>
        <v>0</v>
      </c>
    </row>
    <row r="93" spans="2:134" ht="11" customHeight="1" x14ac:dyDescent="0.35">
      <c r="B93" s="4">
        <v>106510</v>
      </c>
      <c r="C93" s="14" t="s">
        <v>99</v>
      </c>
      <c r="D93" s="4">
        <v>12</v>
      </c>
      <c r="E93" s="5">
        <v>18</v>
      </c>
      <c r="F93" s="6">
        <v>190.31564392000001</v>
      </c>
      <c r="G93" s="1"/>
      <c r="H93" s="49"/>
      <c r="I93" s="49"/>
      <c r="J93" s="50">
        <f t="shared" si="67"/>
        <v>0</v>
      </c>
      <c r="K93" s="9"/>
      <c r="L93" s="49"/>
      <c r="M93" s="49"/>
      <c r="N93" s="50">
        <f t="shared" si="34"/>
        <v>0</v>
      </c>
      <c r="O93" s="46"/>
      <c r="P93" s="49"/>
      <c r="Q93" s="49"/>
      <c r="R93" s="50">
        <f t="shared" si="35"/>
        <v>0</v>
      </c>
      <c r="T93" s="49"/>
      <c r="U93" s="49"/>
      <c r="V93" s="50">
        <f t="shared" si="36"/>
        <v>0</v>
      </c>
      <c r="X93" s="49"/>
      <c r="Y93" s="49"/>
      <c r="Z93" s="50">
        <f t="shared" si="37"/>
        <v>0</v>
      </c>
      <c r="AB93" s="49"/>
      <c r="AC93" s="49"/>
      <c r="AD93" s="50">
        <f t="shared" si="38"/>
        <v>0</v>
      </c>
      <c r="AF93" s="49"/>
      <c r="AG93" s="49"/>
      <c r="AH93" s="50">
        <f t="shared" si="39"/>
        <v>0</v>
      </c>
      <c r="AJ93" s="49"/>
      <c r="AK93" s="49"/>
      <c r="AL93" s="50">
        <f t="shared" si="40"/>
        <v>0</v>
      </c>
      <c r="AN93" s="49"/>
      <c r="AO93" s="49"/>
      <c r="AP93" s="50">
        <f t="shared" si="41"/>
        <v>0</v>
      </c>
      <c r="AR93" s="49"/>
      <c r="AS93" s="49"/>
      <c r="AT93" s="50">
        <f t="shared" si="42"/>
        <v>0</v>
      </c>
      <c r="AV93" s="49"/>
      <c r="AW93" s="49"/>
      <c r="AX93" s="50">
        <f t="shared" si="43"/>
        <v>0</v>
      </c>
      <c r="AZ93" s="49"/>
      <c r="BA93" s="49"/>
      <c r="BB93" s="50">
        <f t="shared" si="44"/>
        <v>0</v>
      </c>
      <c r="BD93" s="49"/>
      <c r="BE93" s="49"/>
      <c r="BF93" s="50">
        <f t="shared" si="45"/>
        <v>0</v>
      </c>
      <c r="BH93" s="49"/>
      <c r="BI93" s="49"/>
      <c r="BJ93" s="50">
        <f t="shared" si="46"/>
        <v>0</v>
      </c>
      <c r="BL93" s="49"/>
      <c r="BM93" s="49"/>
      <c r="BN93" s="50">
        <f t="shared" si="47"/>
        <v>0</v>
      </c>
      <c r="BP93" s="49"/>
      <c r="BQ93" s="49"/>
      <c r="BR93" s="50">
        <f t="shared" si="48"/>
        <v>0</v>
      </c>
      <c r="BT93" s="49"/>
      <c r="BU93" s="49"/>
      <c r="BV93" s="50">
        <f t="shared" si="49"/>
        <v>0</v>
      </c>
      <c r="BX93" s="49"/>
      <c r="BY93" s="49"/>
      <c r="BZ93" s="50">
        <f t="shared" si="50"/>
        <v>0</v>
      </c>
      <c r="CB93" s="49"/>
      <c r="CC93" s="49"/>
      <c r="CD93" s="50">
        <f t="shared" si="51"/>
        <v>0</v>
      </c>
      <c r="CF93" s="49"/>
      <c r="CG93" s="49"/>
      <c r="CH93" s="50">
        <f t="shared" si="52"/>
        <v>0</v>
      </c>
      <c r="CJ93" s="49"/>
      <c r="CK93" s="49"/>
      <c r="CL93" s="50">
        <f t="shared" si="53"/>
        <v>0</v>
      </c>
      <c r="CN93" s="49"/>
      <c r="CO93" s="49"/>
      <c r="CP93" s="50">
        <f t="shared" si="54"/>
        <v>0</v>
      </c>
      <c r="CR93" s="49"/>
      <c r="CS93" s="49"/>
      <c r="CT93" s="50">
        <f t="shared" si="55"/>
        <v>0</v>
      </c>
      <c r="CV93" s="49"/>
      <c r="CW93" s="49"/>
      <c r="CX93" s="50">
        <f t="shared" si="56"/>
        <v>0</v>
      </c>
      <c r="CZ93" s="49"/>
      <c r="DA93" s="49"/>
      <c r="DB93" s="50">
        <f t="shared" si="57"/>
        <v>0</v>
      </c>
      <c r="DD93" s="49"/>
      <c r="DE93" s="49"/>
      <c r="DF93" s="50">
        <f t="shared" si="58"/>
        <v>0</v>
      </c>
      <c r="DH93" s="49"/>
      <c r="DI93" s="49"/>
      <c r="DJ93" s="50">
        <f t="shared" si="59"/>
        <v>0</v>
      </c>
      <c r="DL93" s="49"/>
      <c r="DM93" s="49"/>
      <c r="DN93" s="50">
        <f t="shared" si="60"/>
        <v>0</v>
      </c>
      <c r="DP93" s="49"/>
      <c r="DQ93" s="49"/>
      <c r="DR93" s="50">
        <f t="shared" si="61"/>
        <v>0</v>
      </c>
      <c r="DT93" s="49"/>
      <c r="DU93" s="49"/>
      <c r="DV93" s="50">
        <f t="shared" si="62"/>
        <v>0</v>
      </c>
      <c r="DX93" s="49"/>
      <c r="DY93" s="49"/>
      <c r="DZ93" s="50">
        <f t="shared" si="63"/>
        <v>0</v>
      </c>
      <c r="EB93" s="49">
        <f t="shared" si="64"/>
        <v>0</v>
      </c>
      <c r="EC93" s="49">
        <f t="shared" si="65"/>
        <v>0</v>
      </c>
      <c r="ED93" s="49">
        <f t="shared" si="66"/>
        <v>0</v>
      </c>
    </row>
    <row r="94" spans="2:134" ht="11" customHeight="1" x14ac:dyDescent="0.35">
      <c r="B94" s="4">
        <v>111201</v>
      </c>
      <c r="C94" s="14" t="s">
        <v>100</v>
      </c>
      <c r="D94" s="4">
        <v>50</v>
      </c>
      <c r="E94" s="5">
        <v>18</v>
      </c>
      <c r="F94" s="6">
        <v>198.24524392000001</v>
      </c>
      <c r="G94" s="1"/>
      <c r="H94" s="49"/>
      <c r="I94" s="49"/>
      <c r="J94" s="50">
        <f t="shared" si="67"/>
        <v>0</v>
      </c>
      <c r="K94" s="9"/>
      <c r="L94" s="49"/>
      <c r="M94" s="49"/>
      <c r="N94" s="50">
        <f t="shared" si="34"/>
        <v>0</v>
      </c>
      <c r="O94" s="46"/>
      <c r="P94" s="49"/>
      <c r="Q94" s="49"/>
      <c r="R94" s="50">
        <f t="shared" si="35"/>
        <v>0</v>
      </c>
      <c r="T94" s="49"/>
      <c r="U94" s="49"/>
      <c r="V94" s="50">
        <f t="shared" si="36"/>
        <v>0</v>
      </c>
      <c r="X94" s="49"/>
      <c r="Y94" s="49"/>
      <c r="Z94" s="50">
        <f t="shared" si="37"/>
        <v>0</v>
      </c>
      <c r="AB94" s="49"/>
      <c r="AC94" s="49"/>
      <c r="AD94" s="50">
        <f t="shared" si="38"/>
        <v>0</v>
      </c>
      <c r="AF94" s="49"/>
      <c r="AG94" s="49"/>
      <c r="AH94" s="50">
        <f t="shared" si="39"/>
        <v>0</v>
      </c>
      <c r="AJ94" s="49"/>
      <c r="AK94" s="49"/>
      <c r="AL94" s="50">
        <f t="shared" si="40"/>
        <v>0</v>
      </c>
      <c r="AN94" s="49"/>
      <c r="AO94" s="49"/>
      <c r="AP94" s="50">
        <f t="shared" si="41"/>
        <v>0</v>
      </c>
      <c r="AR94" s="49"/>
      <c r="AS94" s="49"/>
      <c r="AT94" s="50">
        <f t="shared" si="42"/>
        <v>0</v>
      </c>
      <c r="AV94" s="49"/>
      <c r="AW94" s="49"/>
      <c r="AX94" s="50">
        <f t="shared" si="43"/>
        <v>0</v>
      </c>
      <c r="AZ94" s="49"/>
      <c r="BA94" s="49"/>
      <c r="BB94" s="50">
        <f t="shared" si="44"/>
        <v>0</v>
      </c>
      <c r="BD94" s="49"/>
      <c r="BE94" s="49"/>
      <c r="BF94" s="50">
        <f t="shared" si="45"/>
        <v>0</v>
      </c>
      <c r="BH94" s="49"/>
      <c r="BI94" s="49"/>
      <c r="BJ94" s="50">
        <f t="shared" si="46"/>
        <v>0</v>
      </c>
      <c r="BL94" s="49"/>
      <c r="BM94" s="49"/>
      <c r="BN94" s="50">
        <f t="shared" si="47"/>
        <v>0</v>
      </c>
      <c r="BP94" s="49"/>
      <c r="BQ94" s="49"/>
      <c r="BR94" s="50">
        <f t="shared" si="48"/>
        <v>0</v>
      </c>
      <c r="BT94" s="49"/>
      <c r="BU94" s="49"/>
      <c r="BV94" s="50">
        <f t="shared" si="49"/>
        <v>0</v>
      </c>
      <c r="BX94" s="49"/>
      <c r="BY94" s="49"/>
      <c r="BZ94" s="50">
        <f t="shared" si="50"/>
        <v>0</v>
      </c>
      <c r="CB94" s="49"/>
      <c r="CC94" s="49"/>
      <c r="CD94" s="50">
        <f t="shared" si="51"/>
        <v>0</v>
      </c>
      <c r="CF94" s="49"/>
      <c r="CG94" s="49"/>
      <c r="CH94" s="50">
        <f t="shared" si="52"/>
        <v>0</v>
      </c>
      <c r="CJ94" s="49"/>
      <c r="CK94" s="49"/>
      <c r="CL94" s="50">
        <f t="shared" si="53"/>
        <v>0</v>
      </c>
      <c r="CN94" s="49"/>
      <c r="CO94" s="49"/>
      <c r="CP94" s="50">
        <f t="shared" si="54"/>
        <v>0</v>
      </c>
      <c r="CR94" s="49"/>
      <c r="CS94" s="49"/>
      <c r="CT94" s="50">
        <f t="shared" si="55"/>
        <v>0</v>
      </c>
      <c r="CV94" s="49"/>
      <c r="CW94" s="49"/>
      <c r="CX94" s="50">
        <f t="shared" si="56"/>
        <v>0</v>
      </c>
      <c r="CZ94" s="49"/>
      <c r="DA94" s="49"/>
      <c r="DB94" s="50">
        <f t="shared" si="57"/>
        <v>0</v>
      </c>
      <c r="DD94" s="49"/>
      <c r="DE94" s="49"/>
      <c r="DF94" s="50">
        <f t="shared" si="58"/>
        <v>0</v>
      </c>
      <c r="DH94" s="49"/>
      <c r="DI94" s="49"/>
      <c r="DJ94" s="50">
        <f t="shared" si="59"/>
        <v>0</v>
      </c>
      <c r="DL94" s="49"/>
      <c r="DM94" s="49"/>
      <c r="DN94" s="50">
        <f t="shared" si="60"/>
        <v>0</v>
      </c>
      <c r="DP94" s="49"/>
      <c r="DQ94" s="49"/>
      <c r="DR94" s="50">
        <f t="shared" si="61"/>
        <v>0</v>
      </c>
      <c r="DT94" s="49"/>
      <c r="DU94" s="49"/>
      <c r="DV94" s="50">
        <f t="shared" si="62"/>
        <v>0</v>
      </c>
      <c r="DX94" s="49"/>
      <c r="DY94" s="49"/>
      <c r="DZ94" s="50">
        <f t="shared" si="63"/>
        <v>0</v>
      </c>
      <c r="EB94" s="49">
        <f t="shared" si="64"/>
        <v>0</v>
      </c>
      <c r="EC94" s="49">
        <f t="shared" si="65"/>
        <v>0</v>
      </c>
      <c r="ED94" s="49">
        <f t="shared" si="66"/>
        <v>0</v>
      </c>
    </row>
    <row r="95" spans="2:134" ht="11" customHeight="1" x14ac:dyDescent="0.35">
      <c r="B95" s="4">
        <v>111211</v>
      </c>
      <c r="C95" s="14" t="s">
        <v>101</v>
      </c>
      <c r="D95" s="4">
        <v>50</v>
      </c>
      <c r="E95" s="5">
        <v>18</v>
      </c>
      <c r="F95" s="6">
        <v>198.24524392000001</v>
      </c>
      <c r="G95" s="1"/>
      <c r="H95" s="49"/>
      <c r="I95" s="49"/>
      <c r="J95" s="50">
        <f t="shared" si="67"/>
        <v>0</v>
      </c>
      <c r="K95" s="9"/>
      <c r="L95" s="49"/>
      <c r="M95" s="49"/>
      <c r="N95" s="50">
        <f t="shared" si="34"/>
        <v>0</v>
      </c>
      <c r="O95" s="46"/>
      <c r="P95" s="49"/>
      <c r="Q95" s="49"/>
      <c r="R95" s="50">
        <f t="shared" si="35"/>
        <v>0</v>
      </c>
      <c r="T95" s="49"/>
      <c r="U95" s="49"/>
      <c r="V95" s="50">
        <f t="shared" si="36"/>
        <v>0</v>
      </c>
      <c r="X95" s="49"/>
      <c r="Y95" s="49"/>
      <c r="Z95" s="50">
        <f t="shared" si="37"/>
        <v>0</v>
      </c>
      <c r="AB95" s="49"/>
      <c r="AC95" s="49"/>
      <c r="AD95" s="50">
        <f t="shared" si="38"/>
        <v>0</v>
      </c>
      <c r="AF95" s="49"/>
      <c r="AG95" s="49"/>
      <c r="AH95" s="50">
        <f t="shared" si="39"/>
        <v>0</v>
      </c>
      <c r="AJ95" s="49"/>
      <c r="AK95" s="49"/>
      <c r="AL95" s="50">
        <f t="shared" si="40"/>
        <v>0</v>
      </c>
      <c r="AN95" s="49"/>
      <c r="AO95" s="49"/>
      <c r="AP95" s="50">
        <f t="shared" si="41"/>
        <v>0</v>
      </c>
      <c r="AR95" s="49"/>
      <c r="AS95" s="49"/>
      <c r="AT95" s="50">
        <f t="shared" si="42"/>
        <v>0</v>
      </c>
      <c r="AV95" s="49"/>
      <c r="AW95" s="49"/>
      <c r="AX95" s="50">
        <f t="shared" si="43"/>
        <v>0</v>
      </c>
      <c r="AZ95" s="49"/>
      <c r="BA95" s="49"/>
      <c r="BB95" s="50">
        <f t="shared" si="44"/>
        <v>0</v>
      </c>
      <c r="BD95" s="49"/>
      <c r="BE95" s="49"/>
      <c r="BF95" s="50">
        <f t="shared" si="45"/>
        <v>0</v>
      </c>
      <c r="BH95" s="49"/>
      <c r="BI95" s="49"/>
      <c r="BJ95" s="50">
        <f t="shared" si="46"/>
        <v>0</v>
      </c>
      <c r="BL95" s="49"/>
      <c r="BM95" s="49"/>
      <c r="BN95" s="50">
        <f t="shared" si="47"/>
        <v>0</v>
      </c>
      <c r="BP95" s="49"/>
      <c r="BQ95" s="49"/>
      <c r="BR95" s="50">
        <f t="shared" si="48"/>
        <v>0</v>
      </c>
      <c r="BT95" s="49"/>
      <c r="BU95" s="49"/>
      <c r="BV95" s="50">
        <f t="shared" si="49"/>
        <v>0</v>
      </c>
      <c r="BX95" s="49"/>
      <c r="BY95" s="49"/>
      <c r="BZ95" s="50">
        <f t="shared" si="50"/>
        <v>0</v>
      </c>
      <c r="CB95" s="49"/>
      <c r="CC95" s="49"/>
      <c r="CD95" s="50">
        <f t="shared" si="51"/>
        <v>0</v>
      </c>
      <c r="CF95" s="49"/>
      <c r="CG95" s="49"/>
      <c r="CH95" s="50">
        <f t="shared" si="52"/>
        <v>0</v>
      </c>
      <c r="CJ95" s="49"/>
      <c r="CK95" s="49"/>
      <c r="CL95" s="50">
        <f t="shared" si="53"/>
        <v>0</v>
      </c>
      <c r="CN95" s="49"/>
      <c r="CO95" s="49"/>
      <c r="CP95" s="50">
        <f t="shared" si="54"/>
        <v>0</v>
      </c>
      <c r="CR95" s="49"/>
      <c r="CS95" s="49"/>
      <c r="CT95" s="50">
        <f t="shared" si="55"/>
        <v>0</v>
      </c>
      <c r="CV95" s="49"/>
      <c r="CW95" s="49"/>
      <c r="CX95" s="50">
        <f t="shared" si="56"/>
        <v>0</v>
      </c>
      <c r="CZ95" s="49"/>
      <c r="DA95" s="49"/>
      <c r="DB95" s="50">
        <f t="shared" si="57"/>
        <v>0</v>
      </c>
      <c r="DD95" s="49"/>
      <c r="DE95" s="49"/>
      <c r="DF95" s="50">
        <f t="shared" si="58"/>
        <v>0</v>
      </c>
      <c r="DH95" s="49"/>
      <c r="DI95" s="49"/>
      <c r="DJ95" s="50">
        <f t="shared" si="59"/>
        <v>0</v>
      </c>
      <c r="DL95" s="49"/>
      <c r="DM95" s="49"/>
      <c r="DN95" s="50">
        <f t="shared" si="60"/>
        <v>0</v>
      </c>
      <c r="DP95" s="49"/>
      <c r="DQ95" s="49"/>
      <c r="DR95" s="50">
        <f t="shared" si="61"/>
        <v>0</v>
      </c>
      <c r="DT95" s="49"/>
      <c r="DU95" s="49"/>
      <c r="DV95" s="50">
        <f t="shared" si="62"/>
        <v>0</v>
      </c>
      <c r="DX95" s="49"/>
      <c r="DY95" s="49"/>
      <c r="DZ95" s="50">
        <f t="shared" si="63"/>
        <v>0</v>
      </c>
      <c r="EB95" s="49">
        <f t="shared" si="64"/>
        <v>0</v>
      </c>
      <c r="EC95" s="49">
        <f t="shared" si="65"/>
        <v>0</v>
      </c>
      <c r="ED95" s="49">
        <f t="shared" si="66"/>
        <v>0</v>
      </c>
    </row>
    <row r="96" spans="2:134" ht="11" customHeight="1" x14ac:dyDescent="0.35">
      <c r="B96" s="4">
        <v>111221</v>
      </c>
      <c r="C96" s="14" t="s">
        <v>102</v>
      </c>
      <c r="D96" s="4">
        <v>50</v>
      </c>
      <c r="E96" s="5">
        <v>18</v>
      </c>
      <c r="F96" s="6">
        <v>198.24524392000001</v>
      </c>
      <c r="G96" s="1"/>
      <c r="H96" s="49"/>
      <c r="I96" s="49"/>
      <c r="J96" s="50">
        <f t="shared" si="67"/>
        <v>0</v>
      </c>
      <c r="K96" s="9"/>
      <c r="L96" s="49"/>
      <c r="M96" s="49"/>
      <c r="N96" s="50">
        <f t="shared" si="34"/>
        <v>0</v>
      </c>
      <c r="O96" s="46"/>
      <c r="P96" s="49"/>
      <c r="Q96" s="49"/>
      <c r="R96" s="50">
        <f t="shared" si="35"/>
        <v>0</v>
      </c>
      <c r="T96" s="49"/>
      <c r="U96" s="49"/>
      <c r="V96" s="50">
        <f t="shared" si="36"/>
        <v>0</v>
      </c>
      <c r="X96" s="49"/>
      <c r="Y96" s="49"/>
      <c r="Z96" s="50">
        <f t="shared" si="37"/>
        <v>0</v>
      </c>
      <c r="AB96" s="49"/>
      <c r="AC96" s="49"/>
      <c r="AD96" s="50">
        <f t="shared" si="38"/>
        <v>0</v>
      </c>
      <c r="AF96" s="49"/>
      <c r="AG96" s="49"/>
      <c r="AH96" s="50">
        <f t="shared" si="39"/>
        <v>0</v>
      </c>
      <c r="AJ96" s="49"/>
      <c r="AK96" s="49"/>
      <c r="AL96" s="50">
        <f t="shared" si="40"/>
        <v>0</v>
      </c>
      <c r="AN96" s="49"/>
      <c r="AO96" s="49"/>
      <c r="AP96" s="50">
        <f t="shared" si="41"/>
        <v>0</v>
      </c>
      <c r="AR96" s="49"/>
      <c r="AS96" s="49"/>
      <c r="AT96" s="50">
        <f t="shared" si="42"/>
        <v>0</v>
      </c>
      <c r="AV96" s="49"/>
      <c r="AW96" s="49"/>
      <c r="AX96" s="50">
        <f t="shared" si="43"/>
        <v>0</v>
      </c>
      <c r="AZ96" s="49"/>
      <c r="BA96" s="49"/>
      <c r="BB96" s="50">
        <f t="shared" si="44"/>
        <v>0</v>
      </c>
      <c r="BD96" s="49"/>
      <c r="BE96" s="49"/>
      <c r="BF96" s="50">
        <f t="shared" si="45"/>
        <v>0</v>
      </c>
      <c r="BH96" s="49"/>
      <c r="BI96" s="49"/>
      <c r="BJ96" s="50">
        <f t="shared" si="46"/>
        <v>0</v>
      </c>
      <c r="BL96" s="49"/>
      <c r="BM96" s="49"/>
      <c r="BN96" s="50">
        <f t="shared" si="47"/>
        <v>0</v>
      </c>
      <c r="BP96" s="49"/>
      <c r="BQ96" s="49"/>
      <c r="BR96" s="50">
        <f t="shared" si="48"/>
        <v>0</v>
      </c>
      <c r="BT96" s="49"/>
      <c r="BU96" s="49"/>
      <c r="BV96" s="50">
        <f t="shared" si="49"/>
        <v>0</v>
      </c>
      <c r="BX96" s="49"/>
      <c r="BY96" s="49"/>
      <c r="BZ96" s="50">
        <f t="shared" si="50"/>
        <v>0</v>
      </c>
      <c r="CB96" s="49"/>
      <c r="CC96" s="49"/>
      <c r="CD96" s="50">
        <f t="shared" si="51"/>
        <v>0</v>
      </c>
      <c r="CF96" s="49"/>
      <c r="CG96" s="49"/>
      <c r="CH96" s="50">
        <f t="shared" si="52"/>
        <v>0</v>
      </c>
      <c r="CJ96" s="49"/>
      <c r="CK96" s="49"/>
      <c r="CL96" s="50">
        <f t="shared" si="53"/>
        <v>0</v>
      </c>
      <c r="CN96" s="49"/>
      <c r="CO96" s="49"/>
      <c r="CP96" s="50">
        <f t="shared" si="54"/>
        <v>0</v>
      </c>
      <c r="CR96" s="49"/>
      <c r="CS96" s="49"/>
      <c r="CT96" s="50">
        <f t="shared" si="55"/>
        <v>0</v>
      </c>
      <c r="CV96" s="49"/>
      <c r="CW96" s="49"/>
      <c r="CX96" s="50">
        <f t="shared" si="56"/>
        <v>0</v>
      </c>
      <c r="CZ96" s="49"/>
      <c r="DA96" s="49"/>
      <c r="DB96" s="50">
        <f t="shared" si="57"/>
        <v>0</v>
      </c>
      <c r="DD96" s="49"/>
      <c r="DE96" s="49"/>
      <c r="DF96" s="50">
        <f t="shared" si="58"/>
        <v>0</v>
      </c>
      <c r="DH96" s="49"/>
      <c r="DI96" s="49"/>
      <c r="DJ96" s="50">
        <f t="shared" si="59"/>
        <v>0</v>
      </c>
      <c r="DL96" s="49"/>
      <c r="DM96" s="49"/>
      <c r="DN96" s="50">
        <f t="shared" si="60"/>
        <v>0</v>
      </c>
      <c r="DP96" s="49"/>
      <c r="DQ96" s="49"/>
      <c r="DR96" s="50">
        <f t="shared" si="61"/>
        <v>0</v>
      </c>
      <c r="DT96" s="49"/>
      <c r="DU96" s="49"/>
      <c r="DV96" s="50">
        <f t="shared" si="62"/>
        <v>0</v>
      </c>
      <c r="DX96" s="49"/>
      <c r="DY96" s="49"/>
      <c r="DZ96" s="50">
        <f t="shared" si="63"/>
        <v>0</v>
      </c>
      <c r="EB96" s="49">
        <f t="shared" si="64"/>
        <v>0</v>
      </c>
      <c r="EC96" s="49">
        <f t="shared" si="65"/>
        <v>0</v>
      </c>
      <c r="ED96" s="49">
        <f t="shared" si="66"/>
        <v>0</v>
      </c>
    </row>
    <row r="97" spans="2:134" ht="11" customHeight="1" x14ac:dyDescent="0.35">
      <c r="B97" s="4">
        <v>111251</v>
      </c>
      <c r="C97" s="14" t="s">
        <v>103</v>
      </c>
      <c r="D97" s="4">
        <v>50</v>
      </c>
      <c r="E97" s="5">
        <v>18</v>
      </c>
      <c r="F97" s="6">
        <v>198.24524392000001</v>
      </c>
      <c r="G97" s="1"/>
      <c r="H97" s="49"/>
      <c r="I97" s="49"/>
      <c r="J97" s="50">
        <f t="shared" si="67"/>
        <v>0</v>
      </c>
      <c r="K97" s="9"/>
      <c r="L97" s="49"/>
      <c r="M97" s="49"/>
      <c r="N97" s="50">
        <f t="shared" si="34"/>
        <v>0</v>
      </c>
      <c r="O97" s="46"/>
      <c r="P97" s="49"/>
      <c r="Q97" s="49"/>
      <c r="R97" s="50">
        <f t="shared" si="35"/>
        <v>0</v>
      </c>
      <c r="T97" s="49"/>
      <c r="U97" s="49"/>
      <c r="V97" s="50">
        <f t="shared" si="36"/>
        <v>0</v>
      </c>
      <c r="X97" s="49"/>
      <c r="Y97" s="49"/>
      <c r="Z97" s="50">
        <f t="shared" si="37"/>
        <v>0</v>
      </c>
      <c r="AB97" s="49"/>
      <c r="AC97" s="49"/>
      <c r="AD97" s="50">
        <f t="shared" si="38"/>
        <v>0</v>
      </c>
      <c r="AF97" s="49"/>
      <c r="AG97" s="49"/>
      <c r="AH97" s="50">
        <f t="shared" si="39"/>
        <v>0</v>
      </c>
      <c r="AJ97" s="49"/>
      <c r="AK97" s="49"/>
      <c r="AL97" s="50">
        <f t="shared" si="40"/>
        <v>0</v>
      </c>
      <c r="AN97" s="49"/>
      <c r="AO97" s="49"/>
      <c r="AP97" s="50">
        <f t="shared" si="41"/>
        <v>0</v>
      </c>
      <c r="AR97" s="49"/>
      <c r="AS97" s="49"/>
      <c r="AT97" s="50">
        <f t="shared" si="42"/>
        <v>0</v>
      </c>
      <c r="AV97" s="49"/>
      <c r="AW97" s="49"/>
      <c r="AX97" s="50">
        <f t="shared" si="43"/>
        <v>0</v>
      </c>
      <c r="AZ97" s="49"/>
      <c r="BA97" s="49"/>
      <c r="BB97" s="50">
        <f t="shared" si="44"/>
        <v>0</v>
      </c>
      <c r="BD97" s="49"/>
      <c r="BE97" s="49"/>
      <c r="BF97" s="50">
        <f t="shared" si="45"/>
        <v>0</v>
      </c>
      <c r="BH97" s="49"/>
      <c r="BI97" s="49"/>
      <c r="BJ97" s="50">
        <f t="shared" si="46"/>
        <v>0</v>
      </c>
      <c r="BL97" s="49"/>
      <c r="BM97" s="49"/>
      <c r="BN97" s="50">
        <f t="shared" si="47"/>
        <v>0</v>
      </c>
      <c r="BP97" s="49"/>
      <c r="BQ97" s="49"/>
      <c r="BR97" s="50">
        <f t="shared" si="48"/>
        <v>0</v>
      </c>
      <c r="BT97" s="49"/>
      <c r="BU97" s="49"/>
      <c r="BV97" s="50">
        <f t="shared" si="49"/>
        <v>0</v>
      </c>
      <c r="BX97" s="49"/>
      <c r="BY97" s="49"/>
      <c r="BZ97" s="50">
        <f t="shared" si="50"/>
        <v>0</v>
      </c>
      <c r="CB97" s="49"/>
      <c r="CC97" s="49"/>
      <c r="CD97" s="50">
        <f t="shared" si="51"/>
        <v>0</v>
      </c>
      <c r="CF97" s="49"/>
      <c r="CG97" s="49"/>
      <c r="CH97" s="50">
        <f t="shared" si="52"/>
        <v>0</v>
      </c>
      <c r="CJ97" s="49"/>
      <c r="CK97" s="49"/>
      <c r="CL97" s="50">
        <f t="shared" si="53"/>
        <v>0</v>
      </c>
      <c r="CN97" s="49"/>
      <c r="CO97" s="49"/>
      <c r="CP97" s="50">
        <f t="shared" si="54"/>
        <v>0</v>
      </c>
      <c r="CR97" s="49"/>
      <c r="CS97" s="49"/>
      <c r="CT97" s="50">
        <f t="shared" si="55"/>
        <v>0</v>
      </c>
      <c r="CV97" s="49"/>
      <c r="CW97" s="49"/>
      <c r="CX97" s="50">
        <f t="shared" si="56"/>
        <v>0</v>
      </c>
      <c r="CZ97" s="49"/>
      <c r="DA97" s="49"/>
      <c r="DB97" s="50">
        <f t="shared" si="57"/>
        <v>0</v>
      </c>
      <c r="DD97" s="49"/>
      <c r="DE97" s="49"/>
      <c r="DF97" s="50">
        <f t="shared" si="58"/>
        <v>0</v>
      </c>
      <c r="DH97" s="49"/>
      <c r="DI97" s="49"/>
      <c r="DJ97" s="50">
        <f t="shared" si="59"/>
        <v>0</v>
      </c>
      <c r="DL97" s="49"/>
      <c r="DM97" s="49"/>
      <c r="DN97" s="50">
        <f t="shared" si="60"/>
        <v>0</v>
      </c>
      <c r="DP97" s="49"/>
      <c r="DQ97" s="49"/>
      <c r="DR97" s="50">
        <f t="shared" si="61"/>
        <v>0</v>
      </c>
      <c r="DT97" s="49"/>
      <c r="DU97" s="49"/>
      <c r="DV97" s="50">
        <f t="shared" si="62"/>
        <v>0</v>
      </c>
      <c r="DX97" s="49"/>
      <c r="DY97" s="49"/>
      <c r="DZ97" s="50">
        <f t="shared" si="63"/>
        <v>0</v>
      </c>
      <c r="EB97" s="49">
        <f t="shared" si="64"/>
        <v>0</v>
      </c>
      <c r="EC97" s="49">
        <f t="shared" si="65"/>
        <v>0</v>
      </c>
      <c r="ED97" s="49">
        <f t="shared" si="66"/>
        <v>0</v>
      </c>
    </row>
    <row r="98" spans="2:134" ht="11" customHeight="1" x14ac:dyDescent="0.35">
      <c r="B98" s="4">
        <v>102162</v>
      </c>
      <c r="C98" s="14" t="s">
        <v>104</v>
      </c>
      <c r="D98" s="4">
        <v>50</v>
      </c>
      <c r="E98" s="5">
        <v>18</v>
      </c>
      <c r="F98" s="6">
        <v>200.47</v>
      </c>
      <c r="G98" s="1"/>
      <c r="H98" s="49"/>
      <c r="I98" s="49"/>
      <c r="J98" s="50">
        <f t="shared" si="67"/>
        <v>0</v>
      </c>
      <c r="K98" s="9"/>
      <c r="L98" s="49"/>
      <c r="M98" s="49"/>
      <c r="N98" s="50">
        <f t="shared" si="34"/>
        <v>0</v>
      </c>
      <c r="O98" s="46"/>
      <c r="P98" s="49"/>
      <c r="Q98" s="49"/>
      <c r="R98" s="50">
        <f t="shared" si="35"/>
        <v>0</v>
      </c>
      <c r="T98" s="49"/>
      <c r="U98" s="49"/>
      <c r="V98" s="50">
        <f t="shared" si="36"/>
        <v>0</v>
      </c>
      <c r="X98" s="49"/>
      <c r="Y98" s="49"/>
      <c r="Z98" s="50">
        <f t="shared" si="37"/>
        <v>0</v>
      </c>
      <c r="AB98" s="49"/>
      <c r="AC98" s="49"/>
      <c r="AD98" s="50">
        <f t="shared" si="38"/>
        <v>0</v>
      </c>
      <c r="AF98" s="49"/>
      <c r="AG98" s="49"/>
      <c r="AH98" s="50">
        <f t="shared" si="39"/>
        <v>0</v>
      </c>
      <c r="AJ98" s="49"/>
      <c r="AK98" s="49"/>
      <c r="AL98" s="50">
        <f t="shared" si="40"/>
        <v>0</v>
      </c>
      <c r="AN98" s="49"/>
      <c r="AO98" s="49"/>
      <c r="AP98" s="50">
        <f t="shared" si="41"/>
        <v>0</v>
      </c>
      <c r="AR98" s="49"/>
      <c r="AS98" s="49"/>
      <c r="AT98" s="50">
        <f t="shared" si="42"/>
        <v>0</v>
      </c>
      <c r="AV98" s="49"/>
      <c r="AW98" s="49"/>
      <c r="AX98" s="50">
        <f t="shared" si="43"/>
        <v>0</v>
      </c>
      <c r="AZ98" s="49"/>
      <c r="BA98" s="49"/>
      <c r="BB98" s="50">
        <f t="shared" si="44"/>
        <v>0</v>
      </c>
      <c r="BD98" s="49"/>
      <c r="BE98" s="49"/>
      <c r="BF98" s="50">
        <f t="shared" si="45"/>
        <v>0</v>
      </c>
      <c r="BH98" s="49"/>
      <c r="BI98" s="49"/>
      <c r="BJ98" s="50">
        <f t="shared" si="46"/>
        <v>0</v>
      </c>
      <c r="BL98" s="49"/>
      <c r="BM98" s="49"/>
      <c r="BN98" s="50">
        <f t="shared" si="47"/>
        <v>0</v>
      </c>
      <c r="BP98" s="49"/>
      <c r="BQ98" s="49"/>
      <c r="BR98" s="50">
        <f t="shared" si="48"/>
        <v>0</v>
      </c>
      <c r="BT98" s="49"/>
      <c r="BU98" s="49"/>
      <c r="BV98" s="50">
        <f t="shared" si="49"/>
        <v>0</v>
      </c>
      <c r="BX98" s="49"/>
      <c r="BY98" s="49"/>
      <c r="BZ98" s="50">
        <f t="shared" si="50"/>
        <v>0</v>
      </c>
      <c r="CB98" s="49"/>
      <c r="CC98" s="49"/>
      <c r="CD98" s="50">
        <f t="shared" si="51"/>
        <v>0</v>
      </c>
      <c r="CF98" s="49"/>
      <c r="CG98" s="49"/>
      <c r="CH98" s="50">
        <f t="shared" si="52"/>
        <v>0</v>
      </c>
      <c r="CJ98" s="49"/>
      <c r="CK98" s="49"/>
      <c r="CL98" s="50">
        <f t="shared" si="53"/>
        <v>0</v>
      </c>
      <c r="CN98" s="49"/>
      <c r="CO98" s="49"/>
      <c r="CP98" s="50">
        <f t="shared" si="54"/>
        <v>0</v>
      </c>
      <c r="CR98" s="49"/>
      <c r="CS98" s="49"/>
      <c r="CT98" s="50">
        <f t="shared" si="55"/>
        <v>0</v>
      </c>
      <c r="CV98" s="49"/>
      <c r="CW98" s="49"/>
      <c r="CX98" s="50">
        <f t="shared" si="56"/>
        <v>0</v>
      </c>
      <c r="CZ98" s="49"/>
      <c r="DA98" s="49"/>
      <c r="DB98" s="50">
        <f t="shared" si="57"/>
        <v>0</v>
      </c>
      <c r="DD98" s="49"/>
      <c r="DE98" s="49"/>
      <c r="DF98" s="50">
        <f t="shared" si="58"/>
        <v>0</v>
      </c>
      <c r="DH98" s="49"/>
      <c r="DI98" s="49"/>
      <c r="DJ98" s="50">
        <f t="shared" si="59"/>
        <v>0</v>
      </c>
      <c r="DL98" s="49"/>
      <c r="DM98" s="49"/>
      <c r="DN98" s="50">
        <f t="shared" si="60"/>
        <v>0</v>
      </c>
      <c r="DP98" s="49"/>
      <c r="DQ98" s="49"/>
      <c r="DR98" s="50">
        <f t="shared" si="61"/>
        <v>0</v>
      </c>
      <c r="DT98" s="49"/>
      <c r="DU98" s="49"/>
      <c r="DV98" s="50">
        <f t="shared" si="62"/>
        <v>0</v>
      </c>
      <c r="DX98" s="49"/>
      <c r="DY98" s="49"/>
      <c r="DZ98" s="50">
        <f t="shared" si="63"/>
        <v>0</v>
      </c>
      <c r="EB98" s="49">
        <f t="shared" si="64"/>
        <v>0</v>
      </c>
      <c r="EC98" s="49">
        <f t="shared" si="65"/>
        <v>0</v>
      </c>
      <c r="ED98" s="49">
        <f t="shared" si="66"/>
        <v>0</v>
      </c>
    </row>
    <row r="99" spans="2:134" ht="11" customHeight="1" x14ac:dyDescent="0.35">
      <c r="B99" s="4">
        <v>102944</v>
      </c>
      <c r="C99" s="14" t="s">
        <v>105</v>
      </c>
      <c r="D99" s="4">
        <v>12</v>
      </c>
      <c r="E99" s="5">
        <v>12</v>
      </c>
      <c r="F99" s="6">
        <v>237.3</v>
      </c>
      <c r="G99" s="1"/>
      <c r="H99" s="49"/>
      <c r="I99" s="49"/>
      <c r="J99" s="50">
        <f t="shared" si="67"/>
        <v>0</v>
      </c>
      <c r="K99" s="9"/>
      <c r="L99" s="49"/>
      <c r="M99" s="49"/>
      <c r="N99" s="50">
        <f t="shared" si="34"/>
        <v>0</v>
      </c>
      <c r="O99" s="46"/>
      <c r="P99" s="49"/>
      <c r="Q99" s="49"/>
      <c r="R99" s="50">
        <f t="shared" si="35"/>
        <v>0</v>
      </c>
      <c r="T99" s="49"/>
      <c r="U99" s="49"/>
      <c r="V99" s="50">
        <f t="shared" si="36"/>
        <v>0</v>
      </c>
      <c r="X99" s="49"/>
      <c r="Y99" s="49"/>
      <c r="Z99" s="50">
        <f t="shared" si="37"/>
        <v>0</v>
      </c>
      <c r="AB99" s="49"/>
      <c r="AC99" s="49"/>
      <c r="AD99" s="50">
        <f t="shared" si="38"/>
        <v>0</v>
      </c>
      <c r="AF99" s="49"/>
      <c r="AG99" s="49"/>
      <c r="AH99" s="50">
        <f t="shared" si="39"/>
        <v>0</v>
      </c>
      <c r="AJ99" s="49"/>
      <c r="AK99" s="49"/>
      <c r="AL99" s="50">
        <f t="shared" si="40"/>
        <v>0</v>
      </c>
      <c r="AN99" s="49"/>
      <c r="AO99" s="49"/>
      <c r="AP99" s="50">
        <f t="shared" si="41"/>
        <v>0</v>
      </c>
      <c r="AR99" s="49"/>
      <c r="AS99" s="49"/>
      <c r="AT99" s="50">
        <f t="shared" si="42"/>
        <v>0</v>
      </c>
      <c r="AV99" s="49"/>
      <c r="AW99" s="49"/>
      <c r="AX99" s="50">
        <f t="shared" si="43"/>
        <v>0</v>
      </c>
      <c r="AZ99" s="49"/>
      <c r="BA99" s="49"/>
      <c r="BB99" s="50">
        <f t="shared" si="44"/>
        <v>0</v>
      </c>
      <c r="BD99" s="49"/>
      <c r="BE99" s="49"/>
      <c r="BF99" s="50">
        <f t="shared" si="45"/>
        <v>0</v>
      </c>
      <c r="BH99" s="49"/>
      <c r="BI99" s="49"/>
      <c r="BJ99" s="50">
        <f t="shared" si="46"/>
        <v>0</v>
      </c>
      <c r="BL99" s="49"/>
      <c r="BM99" s="49"/>
      <c r="BN99" s="50">
        <f t="shared" si="47"/>
        <v>0</v>
      </c>
      <c r="BP99" s="49"/>
      <c r="BQ99" s="49"/>
      <c r="BR99" s="50">
        <f t="shared" si="48"/>
        <v>0</v>
      </c>
      <c r="BT99" s="49"/>
      <c r="BU99" s="49"/>
      <c r="BV99" s="50">
        <f t="shared" si="49"/>
        <v>0</v>
      </c>
      <c r="BX99" s="49"/>
      <c r="BY99" s="49"/>
      <c r="BZ99" s="50">
        <f t="shared" si="50"/>
        <v>0</v>
      </c>
      <c r="CB99" s="49"/>
      <c r="CC99" s="49"/>
      <c r="CD99" s="50">
        <f t="shared" si="51"/>
        <v>0</v>
      </c>
      <c r="CF99" s="49"/>
      <c r="CG99" s="49"/>
      <c r="CH99" s="50">
        <f t="shared" si="52"/>
        <v>0</v>
      </c>
      <c r="CJ99" s="49"/>
      <c r="CK99" s="49"/>
      <c r="CL99" s="50">
        <f t="shared" si="53"/>
        <v>0</v>
      </c>
      <c r="CN99" s="49"/>
      <c r="CO99" s="49"/>
      <c r="CP99" s="50">
        <f t="shared" si="54"/>
        <v>0</v>
      </c>
      <c r="CR99" s="49"/>
      <c r="CS99" s="49"/>
      <c r="CT99" s="50">
        <f t="shared" si="55"/>
        <v>0</v>
      </c>
      <c r="CV99" s="49"/>
      <c r="CW99" s="49"/>
      <c r="CX99" s="50">
        <f t="shared" si="56"/>
        <v>0</v>
      </c>
      <c r="CZ99" s="49"/>
      <c r="DA99" s="49"/>
      <c r="DB99" s="50">
        <f t="shared" si="57"/>
        <v>0</v>
      </c>
      <c r="DD99" s="49"/>
      <c r="DE99" s="49"/>
      <c r="DF99" s="50">
        <f t="shared" si="58"/>
        <v>0</v>
      </c>
      <c r="DH99" s="49"/>
      <c r="DI99" s="49"/>
      <c r="DJ99" s="50">
        <f t="shared" si="59"/>
        <v>0</v>
      </c>
      <c r="DL99" s="49"/>
      <c r="DM99" s="49"/>
      <c r="DN99" s="50">
        <f t="shared" si="60"/>
        <v>0</v>
      </c>
      <c r="DP99" s="49"/>
      <c r="DQ99" s="49"/>
      <c r="DR99" s="50">
        <f t="shared" si="61"/>
        <v>0</v>
      </c>
      <c r="DT99" s="49"/>
      <c r="DU99" s="49"/>
      <c r="DV99" s="50">
        <f t="shared" si="62"/>
        <v>0</v>
      </c>
      <c r="DX99" s="49"/>
      <c r="DY99" s="49"/>
      <c r="DZ99" s="50">
        <f t="shared" si="63"/>
        <v>0</v>
      </c>
      <c r="EB99" s="49">
        <f t="shared" si="64"/>
        <v>0</v>
      </c>
      <c r="EC99" s="49">
        <f t="shared" si="65"/>
        <v>0</v>
      </c>
      <c r="ED99" s="49">
        <f t="shared" si="66"/>
        <v>0</v>
      </c>
    </row>
    <row r="100" spans="2:134" ht="11" customHeight="1" x14ac:dyDescent="0.35">
      <c r="B100" s="4">
        <v>102945</v>
      </c>
      <c r="C100" s="14" t="s">
        <v>106</v>
      </c>
      <c r="D100" s="4">
        <v>12</v>
      </c>
      <c r="E100" s="5">
        <v>12</v>
      </c>
      <c r="F100" s="6">
        <v>237.3</v>
      </c>
      <c r="G100" s="1"/>
      <c r="H100" s="49"/>
      <c r="I100" s="49"/>
      <c r="J100" s="50">
        <f t="shared" si="67"/>
        <v>0</v>
      </c>
      <c r="K100" s="9"/>
      <c r="L100" s="49"/>
      <c r="M100" s="49"/>
      <c r="N100" s="50">
        <f t="shared" si="34"/>
        <v>0</v>
      </c>
      <c r="O100" s="46"/>
      <c r="P100" s="49"/>
      <c r="Q100" s="49"/>
      <c r="R100" s="50">
        <f t="shared" si="35"/>
        <v>0</v>
      </c>
      <c r="T100" s="49"/>
      <c r="U100" s="49"/>
      <c r="V100" s="50">
        <f t="shared" si="36"/>
        <v>0</v>
      </c>
      <c r="X100" s="49"/>
      <c r="Y100" s="49"/>
      <c r="Z100" s="50">
        <f t="shared" si="37"/>
        <v>0</v>
      </c>
      <c r="AB100" s="49"/>
      <c r="AC100" s="49"/>
      <c r="AD100" s="50">
        <f t="shared" si="38"/>
        <v>0</v>
      </c>
      <c r="AF100" s="49"/>
      <c r="AG100" s="49"/>
      <c r="AH100" s="50">
        <f t="shared" si="39"/>
        <v>0</v>
      </c>
      <c r="AJ100" s="49"/>
      <c r="AK100" s="49"/>
      <c r="AL100" s="50">
        <f t="shared" si="40"/>
        <v>0</v>
      </c>
      <c r="AN100" s="49"/>
      <c r="AO100" s="49"/>
      <c r="AP100" s="50">
        <f t="shared" si="41"/>
        <v>0</v>
      </c>
      <c r="AR100" s="49"/>
      <c r="AS100" s="49"/>
      <c r="AT100" s="50">
        <f t="shared" si="42"/>
        <v>0</v>
      </c>
      <c r="AV100" s="49"/>
      <c r="AW100" s="49"/>
      <c r="AX100" s="50">
        <f t="shared" si="43"/>
        <v>0</v>
      </c>
      <c r="AZ100" s="49"/>
      <c r="BA100" s="49"/>
      <c r="BB100" s="50">
        <f t="shared" si="44"/>
        <v>0</v>
      </c>
      <c r="BD100" s="49"/>
      <c r="BE100" s="49"/>
      <c r="BF100" s="50">
        <f t="shared" si="45"/>
        <v>0</v>
      </c>
      <c r="BH100" s="49"/>
      <c r="BI100" s="49"/>
      <c r="BJ100" s="50">
        <f t="shared" si="46"/>
        <v>0</v>
      </c>
      <c r="BL100" s="49"/>
      <c r="BM100" s="49"/>
      <c r="BN100" s="50">
        <f t="shared" si="47"/>
        <v>0</v>
      </c>
      <c r="BP100" s="49"/>
      <c r="BQ100" s="49"/>
      <c r="BR100" s="50">
        <f t="shared" si="48"/>
        <v>0</v>
      </c>
      <c r="BT100" s="49"/>
      <c r="BU100" s="49"/>
      <c r="BV100" s="50">
        <f t="shared" si="49"/>
        <v>0</v>
      </c>
      <c r="BX100" s="49"/>
      <c r="BY100" s="49"/>
      <c r="BZ100" s="50">
        <f t="shared" si="50"/>
        <v>0</v>
      </c>
      <c r="CB100" s="49"/>
      <c r="CC100" s="49"/>
      <c r="CD100" s="50">
        <f t="shared" si="51"/>
        <v>0</v>
      </c>
      <c r="CF100" s="49"/>
      <c r="CG100" s="49"/>
      <c r="CH100" s="50">
        <f t="shared" si="52"/>
        <v>0</v>
      </c>
      <c r="CJ100" s="49"/>
      <c r="CK100" s="49"/>
      <c r="CL100" s="50">
        <f t="shared" si="53"/>
        <v>0</v>
      </c>
      <c r="CN100" s="49"/>
      <c r="CO100" s="49"/>
      <c r="CP100" s="50">
        <f t="shared" si="54"/>
        <v>0</v>
      </c>
      <c r="CR100" s="49"/>
      <c r="CS100" s="49"/>
      <c r="CT100" s="50">
        <f t="shared" si="55"/>
        <v>0</v>
      </c>
      <c r="CV100" s="49"/>
      <c r="CW100" s="49"/>
      <c r="CX100" s="50">
        <f t="shared" si="56"/>
        <v>0</v>
      </c>
      <c r="CZ100" s="49"/>
      <c r="DA100" s="49"/>
      <c r="DB100" s="50">
        <f t="shared" si="57"/>
        <v>0</v>
      </c>
      <c r="DD100" s="49"/>
      <c r="DE100" s="49"/>
      <c r="DF100" s="50">
        <f t="shared" si="58"/>
        <v>0</v>
      </c>
      <c r="DH100" s="49"/>
      <c r="DI100" s="49"/>
      <c r="DJ100" s="50">
        <f t="shared" si="59"/>
        <v>0</v>
      </c>
      <c r="DL100" s="49"/>
      <c r="DM100" s="49"/>
      <c r="DN100" s="50">
        <f t="shared" si="60"/>
        <v>0</v>
      </c>
      <c r="DP100" s="49"/>
      <c r="DQ100" s="49"/>
      <c r="DR100" s="50">
        <f t="shared" si="61"/>
        <v>0</v>
      </c>
      <c r="DT100" s="49"/>
      <c r="DU100" s="49"/>
      <c r="DV100" s="50">
        <f t="shared" si="62"/>
        <v>0</v>
      </c>
      <c r="DX100" s="49"/>
      <c r="DY100" s="49"/>
      <c r="DZ100" s="50">
        <f t="shared" si="63"/>
        <v>0</v>
      </c>
      <c r="EB100" s="49">
        <f t="shared" si="64"/>
        <v>0</v>
      </c>
      <c r="EC100" s="49">
        <f t="shared" si="65"/>
        <v>0</v>
      </c>
      <c r="ED100" s="49">
        <f t="shared" si="66"/>
        <v>0</v>
      </c>
    </row>
    <row r="101" spans="2:134" ht="11" customHeight="1" x14ac:dyDescent="0.35">
      <c r="B101" s="4">
        <v>106621</v>
      </c>
      <c r="C101" s="14" t="s">
        <v>107</v>
      </c>
      <c r="D101" s="4">
        <v>12</v>
      </c>
      <c r="E101" s="5">
        <v>12</v>
      </c>
      <c r="F101" s="6">
        <v>468.865061078</v>
      </c>
      <c r="G101" s="1"/>
      <c r="H101" s="49"/>
      <c r="I101" s="49"/>
      <c r="J101" s="50">
        <f t="shared" si="67"/>
        <v>0</v>
      </c>
      <c r="K101" s="9"/>
      <c r="L101" s="49"/>
      <c r="M101" s="49"/>
      <c r="N101" s="50">
        <f t="shared" si="34"/>
        <v>0</v>
      </c>
      <c r="O101" s="46"/>
      <c r="P101" s="49"/>
      <c r="Q101" s="49"/>
      <c r="R101" s="50">
        <f t="shared" si="35"/>
        <v>0</v>
      </c>
      <c r="T101" s="49"/>
      <c r="U101" s="49"/>
      <c r="V101" s="50">
        <f t="shared" si="36"/>
        <v>0</v>
      </c>
      <c r="X101" s="49"/>
      <c r="Y101" s="49"/>
      <c r="Z101" s="50">
        <f t="shared" si="37"/>
        <v>0</v>
      </c>
      <c r="AB101" s="49"/>
      <c r="AC101" s="49"/>
      <c r="AD101" s="50">
        <f t="shared" si="38"/>
        <v>0</v>
      </c>
      <c r="AF101" s="49"/>
      <c r="AG101" s="49"/>
      <c r="AH101" s="50">
        <f t="shared" si="39"/>
        <v>0</v>
      </c>
      <c r="AJ101" s="49"/>
      <c r="AK101" s="49"/>
      <c r="AL101" s="50">
        <f t="shared" si="40"/>
        <v>0</v>
      </c>
      <c r="AN101" s="49"/>
      <c r="AO101" s="49"/>
      <c r="AP101" s="50">
        <f t="shared" si="41"/>
        <v>0</v>
      </c>
      <c r="AR101" s="49"/>
      <c r="AS101" s="49"/>
      <c r="AT101" s="50">
        <f t="shared" si="42"/>
        <v>0</v>
      </c>
      <c r="AV101" s="49"/>
      <c r="AW101" s="49"/>
      <c r="AX101" s="50">
        <f t="shared" si="43"/>
        <v>0</v>
      </c>
      <c r="AZ101" s="49"/>
      <c r="BA101" s="49"/>
      <c r="BB101" s="50">
        <f t="shared" si="44"/>
        <v>0</v>
      </c>
      <c r="BD101" s="49"/>
      <c r="BE101" s="49"/>
      <c r="BF101" s="50">
        <f t="shared" si="45"/>
        <v>0</v>
      </c>
      <c r="BH101" s="49"/>
      <c r="BI101" s="49"/>
      <c r="BJ101" s="50">
        <f t="shared" si="46"/>
        <v>0</v>
      </c>
      <c r="BL101" s="49"/>
      <c r="BM101" s="49"/>
      <c r="BN101" s="50">
        <f t="shared" si="47"/>
        <v>0</v>
      </c>
      <c r="BP101" s="49"/>
      <c r="BQ101" s="49"/>
      <c r="BR101" s="50">
        <f t="shared" si="48"/>
        <v>0</v>
      </c>
      <c r="BT101" s="49"/>
      <c r="BU101" s="49"/>
      <c r="BV101" s="50">
        <f t="shared" si="49"/>
        <v>0</v>
      </c>
      <c r="BX101" s="49"/>
      <c r="BY101" s="49"/>
      <c r="BZ101" s="50">
        <f t="shared" si="50"/>
        <v>0</v>
      </c>
      <c r="CB101" s="49"/>
      <c r="CC101" s="49"/>
      <c r="CD101" s="50">
        <f t="shared" si="51"/>
        <v>0</v>
      </c>
      <c r="CF101" s="49"/>
      <c r="CG101" s="49"/>
      <c r="CH101" s="50">
        <f t="shared" si="52"/>
        <v>0</v>
      </c>
      <c r="CJ101" s="49"/>
      <c r="CK101" s="49"/>
      <c r="CL101" s="50">
        <f t="shared" si="53"/>
        <v>0</v>
      </c>
      <c r="CN101" s="49"/>
      <c r="CO101" s="49"/>
      <c r="CP101" s="50">
        <f t="shared" si="54"/>
        <v>0</v>
      </c>
      <c r="CR101" s="49"/>
      <c r="CS101" s="49"/>
      <c r="CT101" s="50">
        <f t="shared" si="55"/>
        <v>0</v>
      </c>
      <c r="CV101" s="49"/>
      <c r="CW101" s="49"/>
      <c r="CX101" s="50">
        <f t="shared" si="56"/>
        <v>0</v>
      </c>
      <c r="CZ101" s="49"/>
      <c r="DA101" s="49"/>
      <c r="DB101" s="50">
        <f t="shared" si="57"/>
        <v>0</v>
      </c>
      <c r="DD101" s="49"/>
      <c r="DE101" s="49"/>
      <c r="DF101" s="50">
        <f t="shared" si="58"/>
        <v>0</v>
      </c>
      <c r="DH101" s="49"/>
      <c r="DI101" s="49"/>
      <c r="DJ101" s="50">
        <f t="shared" si="59"/>
        <v>0</v>
      </c>
      <c r="DL101" s="49"/>
      <c r="DM101" s="49"/>
      <c r="DN101" s="50">
        <f t="shared" si="60"/>
        <v>0</v>
      </c>
      <c r="DP101" s="49"/>
      <c r="DQ101" s="49"/>
      <c r="DR101" s="50">
        <f t="shared" si="61"/>
        <v>0</v>
      </c>
      <c r="DT101" s="49"/>
      <c r="DU101" s="49"/>
      <c r="DV101" s="50">
        <f t="shared" si="62"/>
        <v>0</v>
      </c>
      <c r="DX101" s="49"/>
      <c r="DY101" s="49"/>
      <c r="DZ101" s="50">
        <f t="shared" si="63"/>
        <v>0</v>
      </c>
      <c r="EB101" s="49">
        <f t="shared" si="64"/>
        <v>0</v>
      </c>
      <c r="EC101" s="49">
        <f t="shared" si="65"/>
        <v>0</v>
      </c>
      <c r="ED101" s="49">
        <f t="shared" si="66"/>
        <v>0</v>
      </c>
    </row>
    <row r="102" spans="2:134" ht="11" customHeight="1" x14ac:dyDescent="0.35">
      <c r="B102" s="4">
        <v>109016</v>
      </c>
      <c r="C102" s="14" t="s">
        <v>108</v>
      </c>
      <c r="D102" s="4">
        <v>30</v>
      </c>
      <c r="E102" s="5">
        <v>40</v>
      </c>
      <c r="F102" s="6">
        <f>81.08016*2</f>
        <v>162.16032000000001</v>
      </c>
      <c r="G102" s="1"/>
      <c r="H102" s="49"/>
      <c r="I102" s="49"/>
      <c r="J102" s="50">
        <f t="shared" si="67"/>
        <v>0</v>
      </c>
      <c r="K102" s="9"/>
      <c r="L102" s="49"/>
      <c r="M102" s="49"/>
      <c r="N102" s="50">
        <f t="shared" si="34"/>
        <v>0</v>
      </c>
      <c r="O102" s="46"/>
      <c r="P102" s="49"/>
      <c r="Q102" s="49"/>
      <c r="R102" s="50">
        <f t="shared" si="35"/>
        <v>0</v>
      </c>
      <c r="T102" s="49"/>
      <c r="U102" s="49"/>
      <c r="V102" s="50">
        <f t="shared" si="36"/>
        <v>0</v>
      </c>
      <c r="X102" s="49"/>
      <c r="Y102" s="49"/>
      <c r="Z102" s="50">
        <f t="shared" si="37"/>
        <v>0</v>
      </c>
      <c r="AB102" s="49"/>
      <c r="AC102" s="49"/>
      <c r="AD102" s="50">
        <f t="shared" si="38"/>
        <v>0</v>
      </c>
      <c r="AF102" s="49"/>
      <c r="AG102" s="49"/>
      <c r="AH102" s="50">
        <f t="shared" si="39"/>
        <v>0</v>
      </c>
      <c r="AJ102" s="49"/>
      <c r="AK102" s="49"/>
      <c r="AL102" s="50">
        <f t="shared" si="40"/>
        <v>0</v>
      </c>
      <c r="AN102" s="49"/>
      <c r="AO102" s="49"/>
      <c r="AP102" s="50">
        <f t="shared" si="41"/>
        <v>0</v>
      </c>
      <c r="AR102" s="49"/>
      <c r="AS102" s="49"/>
      <c r="AT102" s="50">
        <f t="shared" si="42"/>
        <v>0</v>
      </c>
      <c r="AV102" s="49"/>
      <c r="AW102" s="49"/>
      <c r="AX102" s="50">
        <f t="shared" si="43"/>
        <v>0</v>
      </c>
      <c r="AZ102" s="49"/>
      <c r="BA102" s="49"/>
      <c r="BB102" s="50">
        <f t="shared" si="44"/>
        <v>0</v>
      </c>
      <c r="BD102" s="49"/>
      <c r="BE102" s="49"/>
      <c r="BF102" s="50">
        <f t="shared" si="45"/>
        <v>0</v>
      </c>
      <c r="BH102" s="49"/>
      <c r="BI102" s="49"/>
      <c r="BJ102" s="50">
        <f t="shared" si="46"/>
        <v>0</v>
      </c>
      <c r="BL102" s="49"/>
      <c r="BM102" s="49"/>
      <c r="BN102" s="50">
        <f t="shared" si="47"/>
        <v>0</v>
      </c>
      <c r="BP102" s="49"/>
      <c r="BQ102" s="49"/>
      <c r="BR102" s="50">
        <f t="shared" si="48"/>
        <v>0</v>
      </c>
      <c r="BT102" s="49"/>
      <c r="BU102" s="49"/>
      <c r="BV102" s="50">
        <f t="shared" si="49"/>
        <v>0</v>
      </c>
      <c r="BX102" s="49"/>
      <c r="BY102" s="49"/>
      <c r="BZ102" s="50">
        <f t="shared" si="50"/>
        <v>0</v>
      </c>
      <c r="CB102" s="49"/>
      <c r="CC102" s="49"/>
      <c r="CD102" s="50">
        <f t="shared" si="51"/>
        <v>0</v>
      </c>
      <c r="CF102" s="49"/>
      <c r="CG102" s="49"/>
      <c r="CH102" s="50">
        <f t="shared" si="52"/>
        <v>0</v>
      </c>
      <c r="CJ102" s="49"/>
      <c r="CK102" s="49"/>
      <c r="CL102" s="50">
        <f t="shared" si="53"/>
        <v>0</v>
      </c>
      <c r="CN102" s="49"/>
      <c r="CO102" s="49"/>
      <c r="CP102" s="50">
        <f t="shared" si="54"/>
        <v>0</v>
      </c>
      <c r="CR102" s="49"/>
      <c r="CS102" s="49"/>
      <c r="CT102" s="50">
        <f t="shared" si="55"/>
        <v>0</v>
      </c>
      <c r="CV102" s="49"/>
      <c r="CW102" s="49"/>
      <c r="CX102" s="50">
        <f t="shared" si="56"/>
        <v>0</v>
      </c>
      <c r="CZ102" s="49"/>
      <c r="DA102" s="49"/>
      <c r="DB102" s="50">
        <f t="shared" si="57"/>
        <v>0</v>
      </c>
      <c r="DD102" s="49"/>
      <c r="DE102" s="49"/>
      <c r="DF102" s="50">
        <f t="shared" si="58"/>
        <v>0</v>
      </c>
      <c r="DH102" s="49"/>
      <c r="DI102" s="49"/>
      <c r="DJ102" s="50">
        <f t="shared" si="59"/>
        <v>0</v>
      </c>
      <c r="DL102" s="49"/>
      <c r="DM102" s="49"/>
      <c r="DN102" s="50">
        <f t="shared" si="60"/>
        <v>0</v>
      </c>
      <c r="DP102" s="49"/>
      <c r="DQ102" s="49"/>
      <c r="DR102" s="50">
        <f t="shared" si="61"/>
        <v>0</v>
      </c>
      <c r="DT102" s="49"/>
      <c r="DU102" s="49"/>
      <c r="DV102" s="50">
        <f t="shared" si="62"/>
        <v>0</v>
      </c>
      <c r="DX102" s="49"/>
      <c r="DY102" s="49"/>
      <c r="DZ102" s="50">
        <f t="shared" si="63"/>
        <v>0</v>
      </c>
      <c r="EB102" s="49">
        <f t="shared" si="64"/>
        <v>0</v>
      </c>
      <c r="EC102" s="49">
        <f t="shared" si="65"/>
        <v>0</v>
      </c>
      <c r="ED102" s="49">
        <f t="shared" si="66"/>
        <v>0</v>
      </c>
    </row>
    <row r="103" spans="2:134" ht="11" customHeight="1" x14ac:dyDescent="0.35">
      <c r="B103" s="4">
        <v>101878</v>
      </c>
      <c r="C103" s="14" t="s">
        <v>109</v>
      </c>
      <c r="D103" s="4">
        <v>24</v>
      </c>
      <c r="E103" s="5">
        <v>24</v>
      </c>
      <c r="F103" s="6">
        <v>189.29879107400001</v>
      </c>
      <c r="G103" s="1"/>
      <c r="H103" s="49"/>
      <c r="I103" s="49"/>
      <c r="J103" s="50">
        <f t="shared" si="67"/>
        <v>0</v>
      </c>
      <c r="K103" s="9"/>
      <c r="L103" s="49"/>
      <c r="M103" s="49"/>
      <c r="N103" s="50">
        <f t="shared" si="34"/>
        <v>0</v>
      </c>
      <c r="O103" s="46"/>
      <c r="P103" s="49"/>
      <c r="Q103" s="49"/>
      <c r="R103" s="50">
        <f t="shared" si="35"/>
        <v>0</v>
      </c>
      <c r="T103" s="49"/>
      <c r="U103" s="49"/>
      <c r="V103" s="50">
        <f t="shared" si="36"/>
        <v>0</v>
      </c>
      <c r="X103" s="49"/>
      <c r="Y103" s="49"/>
      <c r="Z103" s="50">
        <f t="shared" si="37"/>
        <v>0</v>
      </c>
      <c r="AB103" s="49"/>
      <c r="AC103" s="49"/>
      <c r="AD103" s="50">
        <f t="shared" si="38"/>
        <v>0</v>
      </c>
      <c r="AF103" s="49"/>
      <c r="AG103" s="49"/>
      <c r="AH103" s="50">
        <f t="shared" si="39"/>
        <v>0</v>
      </c>
      <c r="AJ103" s="49"/>
      <c r="AK103" s="49"/>
      <c r="AL103" s="50">
        <f t="shared" si="40"/>
        <v>0</v>
      </c>
      <c r="AN103" s="49"/>
      <c r="AO103" s="49"/>
      <c r="AP103" s="50">
        <f t="shared" si="41"/>
        <v>0</v>
      </c>
      <c r="AR103" s="49"/>
      <c r="AS103" s="49"/>
      <c r="AT103" s="50">
        <f t="shared" si="42"/>
        <v>0</v>
      </c>
      <c r="AV103" s="49"/>
      <c r="AW103" s="49"/>
      <c r="AX103" s="50">
        <f t="shared" si="43"/>
        <v>0</v>
      </c>
      <c r="AZ103" s="49"/>
      <c r="BA103" s="49"/>
      <c r="BB103" s="50">
        <f t="shared" si="44"/>
        <v>0</v>
      </c>
      <c r="BD103" s="49"/>
      <c r="BE103" s="49"/>
      <c r="BF103" s="50">
        <f t="shared" si="45"/>
        <v>0</v>
      </c>
      <c r="BH103" s="49"/>
      <c r="BI103" s="49"/>
      <c r="BJ103" s="50">
        <f t="shared" si="46"/>
        <v>0</v>
      </c>
      <c r="BL103" s="49"/>
      <c r="BM103" s="49"/>
      <c r="BN103" s="50">
        <f t="shared" si="47"/>
        <v>0</v>
      </c>
      <c r="BP103" s="49"/>
      <c r="BQ103" s="49"/>
      <c r="BR103" s="50">
        <f t="shared" si="48"/>
        <v>0</v>
      </c>
      <c r="BT103" s="49"/>
      <c r="BU103" s="49"/>
      <c r="BV103" s="50">
        <f t="shared" si="49"/>
        <v>0</v>
      </c>
      <c r="BX103" s="49"/>
      <c r="BY103" s="49"/>
      <c r="BZ103" s="50">
        <f t="shared" si="50"/>
        <v>0</v>
      </c>
      <c r="CB103" s="49"/>
      <c r="CC103" s="49"/>
      <c r="CD103" s="50">
        <f t="shared" si="51"/>
        <v>0</v>
      </c>
      <c r="CF103" s="49"/>
      <c r="CG103" s="49"/>
      <c r="CH103" s="50">
        <f t="shared" si="52"/>
        <v>0</v>
      </c>
      <c r="CJ103" s="49"/>
      <c r="CK103" s="49"/>
      <c r="CL103" s="50">
        <f t="shared" si="53"/>
        <v>0</v>
      </c>
      <c r="CN103" s="49"/>
      <c r="CO103" s="49"/>
      <c r="CP103" s="50">
        <f t="shared" si="54"/>
        <v>0</v>
      </c>
      <c r="CR103" s="49"/>
      <c r="CS103" s="49"/>
      <c r="CT103" s="50">
        <f t="shared" si="55"/>
        <v>0</v>
      </c>
      <c r="CV103" s="49"/>
      <c r="CW103" s="49"/>
      <c r="CX103" s="50">
        <f t="shared" si="56"/>
        <v>0</v>
      </c>
      <c r="CZ103" s="49"/>
      <c r="DA103" s="49"/>
      <c r="DB103" s="50">
        <f t="shared" si="57"/>
        <v>0</v>
      </c>
      <c r="DD103" s="49"/>
      <c r="DE103" s="49"/>
      <c r="DF103" s="50">
        <f t="shared" si="58"/>
        <v>0</v>
      </c>
      <c r="DH103" s="49"/>
      <c r="DI103" s="49"/>
      <c r="DJ103" s="50">
        <f t="shared" si="59"/>
        <v>0</v>
      </c>
      <c r="DL103" s="49"/>
      <c r="DM103" s="49"/>
      <c r="DN103" s="50">
        <f t="shared" si="60"/>
        <v>0</v>
      </c>
      <c r="DP103" s="49"/>
      <c r="DQ103" s="49"/>
      <c r="DR103" s="50">
        <f t="shared" si="61"/>
        <v>0</v>
      </c>
      <c r="DT103" s="49"/>
      <c r="DU103" s="49"/>
      <c r="DV103" s="50">
        <f t="shared" si="62"/>
        <v>0</v>
      </c>
      <c r="DX103" s="49"/>
      <c r="DY103" s="49"/>
      <c r="DZ103" s="50">
        <f t="shared" si="63"/>
        <v>0</v>
      </c>
      <c r="EB103" s="49">
        <f t="shared" si="64"/>
        <v>0</v>
      </c>
      <c r="EC103" s="49">
        <f t="shared" si="65"/>
        <v>0</v>
      </c>
      <c r="ED103" s="49">
        <f t="shared" si="66"/>
        <v>0</v>
      </c>
    </row>
    <row r="104" spans="2:134" ht="11" customHeight="1" x14ac:dyDescent="0.35">
      <c r="B104" s="4">
        <v>102932</v>
      </c>
      <c r="C104" s="14" t="s">
        <v>110</v>
      </c>
      <c r="D104" s="4">
        <v>75</v>
      </c>
      <c r="E104" s="5">
        <v>18</v>
      </c>
      <c r="F104" s="6">
        <v>315</v>
      </c>
      <c r="G104" s="1"/>
      <c r="H104" s="49"/>
      <c r="I104" s="49"/>
      <c r="J104" s="50">
        <f t="shared" si="67"/>
        <v>0</v>
      </c>
      <c r="K104" s="9"/>
      <c r="L104" s="49"/>
      <c r="M104" s="49"/>
      <c r="N104" s="50">
        <f t="shared" si="34"/>
        <v>0</v>
      </c>
      <c r="O104" s="46"/>
      <c r="P104" s="49"/>
      <c r="Q104" s="49"/>
      <c r="R104" s="50">
        <f t="shared" si="35"/>
        <v>0</v>
      </c>
      <c r="T104" s="49"/>
      <c r="U104" s="49"/>
      <c r="V104" s="50">
        <f t="shared" si="36"/>
        <v>0</v>
      </c>
      <c r="X104" s="49"/>
      <c r="Y104" s="49"/>
      <c r="Z104" s="50">
        <f t="shared" si="37"/>
        <v>0</v>
      </c>
      <c r="AB104" s="49"/>
      <c r="AC104" s="49"/>
      <c r="AD104" s="50">
        <f t="shared" si="38"/>
        <v>0</v>
      </c>
      <c r="AF104" s="49"/>
      <c r="AG104" s="49"/>
      <c r="AH104" s="50">
        <f t="shared" si="39"/>
        <v>0</v>
      </c>
      <c r="AJ104" s="49"/>
      <c r="AK104" s="49"/>
      <c r="AL104" s="50">
        <f t="shared" si="40"/>
        <v>0</v>
      </c>
      <c r="AN104" s="49"/>
      <c r="AO104" s="49"/>
      <c r="AP104" s="50">
        <f t="shared" si="41"/>
        <v>0</v>
      </c>
      <c r="AR104" s="49"/>
      <c r="AS104" s="49"/>
      <c r="AT104" s="50">
        <f t="shared" si="42"/>
        <v>0</v>
      </c>
      <c r="AV104" s="49"/>
      <c r="AW104" s="49"/>
      <c r="AX104" s="50">
        <f t="shared" si="43"/>
        <v>0</v>
      </c>
      <c r="AZ104" s="49"/>
      <c r="BA104" s="49"/>
      <c r="BB104" s="50">
        <f t="shared" si="44"/>
        <v>0</v>
      </c>
      <c r="BD104" s="49"/>
      <c r="BE104" s="49"/>
      <c r="BF104" s="50">
        <f t="shared" si="45"/>
        <v>0</v>
      </c>
      <c r="BH104" s="49"/>
      <c r="BI104" s="49"/>
      <c r="BJ104" s="50">
        <f t="shared" si="46"/>
        <v>0</v>
      </c>
      <c r="BL104" s="49"/>
      <c r="BM104" s="49"/>
      <c r="BN104" s="50">
        <f t="shared" si="47"/>
        <v>0</v>
      </c>
      <c r="BP104" s="49"/>
      <c r="BQ104" s="49"/>
      <c r="BR104" s="50">
        <f t="shared" si="48"/>
        <v>0</v>
      </c>
      <c r="BT104" s="49"/>
      <c r="BU104" s="49"/>
      <c r="BV104" s="50">
        <f t="shared" si="49"/>
        <v>0</v>
      </c>
      <c r="BX104" s="49"/>
      <c r="BY104" s="49"/>
      <c r="BZ104" s="50">
        <f t="shared" si="50"/>
        <v>0</v>
      </c>
      <c r="CB104" s="49"/>
      <c r="CC104" s="49"/>
      <c r="CD104" s="50">
        <f t="shared" si="51"/>
        <v>0</v>
      </c>
      <c r="CF104" s="49"/>
      <c r="CG104" s="49"/>
      <c r="CH104" s="50">
        <f t="shared" si="52"/>
        <v>0</v>
      </c>
      <c r="CJ104" s="49"/>
      <c r="CK104" s="49"/>
      <c r="CL104" s="50">
        <f t="shared" si="53"/>
        <v>0</v>
      </c>
      <c r="CN104" s="49"/>
      <c r="CO104" s="49"/>
      <c r="CP104" s="50">
        <f t="shared" si="54"/>
        <v>0</v>
      </c>
      <c r="CR104" s="49"/>
      <c r="CS104" s="49"/>
      <c r="CT104" s="50">
        <f t="shared" si="55"/>
        <v>0</v>
      </c>
      <c r="CV104" s="49"/>
      <c r="CW104" s="49"/>
      <c r="CX104" s="50">
        <f t="shared" si="56"/>
        <v>0</v>
      </c>
      <c r="CZ104" s="49"/>
      <c r="DA104" s="49"/>
      <c r="DB104" s="50">
        <f t="shared" si="57"/>
        <v>0</v>
      </c>
      <c r="DD104" s="49"/>
      <c r="DE104" s="49"/>
      <c r="DF104" s="50">
        <f t="shared" si="58"/>
        <v>0</v>
      </c>
      <c r="DH104" s="49"/>
      <c r="DI104" s="49"/>
      <c r="DJ104" s="50">
        <f t="shared" si="59"/>
        <v>0</v>
      </c>
      <c r="DL104" s="49"/>
      <c r="DM104" s="49"/>
      <c r="DN104" s="50">
        <f t="shared" si="60"/>
        <v>0</v>
      </c>
      <c r="DP104" s="49"/>
      <c r="DQ104" s="49"/>
      <c r="DR104" s="50">
        <f t="shared" si="61"/>
        <v>0</v>
      </c>
      <c r="DT104" s="49"/>
      <c r="DU104" s="49"/>
      <c r="DV104" s="50">
        <f t="shared" si="62"/>
        <v>0</v>
      </c>
      <c r="DX104" s="49"/>
      <c r="DY104" s="49"/>
      <c r="DZ104" s="50">
        <f t="shared" si="63"/>
        <v>0</v>
      </c>
      <c r="EB104" s="49">
        <f t="shared" si="64"/>
        <v>0</v>
      </c>
      <c r="EC104" s="49">
        <f t="shared" si="65"/>
        <v>0</v>
      </c>
      <c r="ED104" s="49">
        <f t="shared" si="66"/>
        <v>0</v>
      </c>
    </row>
    <row r="105" spans="2:134" ht="11" customHeight="1" x14ac:dyDescent="0.35">
      <c r="B105" s="4">
        <v>106531</v>
      </c>
      <c r="C105" s="14" t="s">
        <v>111</v>
      </c>
      <c r="D105" s="4">
        <v>36</v>
      </c>
      <c r="E105" s="5">
        <v>18</v>
      </c>
      <c r="F105" s="6">
        <v>189.29879107400001</v>
      </c>
      <c r="G105" s="1"/>
      <c r="H105" s="49"/>
      <c r="I105" s="49"/>
      <c r="J105" s="50">
        <f t="shared" si="67"/>
        <v>0</v>
      </c>
      <c r="K105" s="9"/>
      <c r="L105" s="49"/>
      <c r="M105" s="49"/>
      <c r="N105" s="50">
        <f t="shared" si="34"/>
        <v>0</v>
      </c>
      <c r="O105" s="46"/>
      <c r="P105" s="49"/>
      <c r="Q105" s="49"/>
      <c r="R105" s="50">
        <f t="shared" si="35"/>
        <v>0</v>
      </c>
      <c r="T105" s="49"/>
      <c r="U105" s="49"/>
      <c r="V105" s="50">
        <f t="shared" si="36"/>
        <v>0</v>
      </c>
      <c r="X105" s="49"/>
      <c r="Y105" s="49"/>
      <c r="Z105" s="50">
        <f t="shared" si="37"/>
        <v>0</v>
      </c>
      <c r="AB105" s="49"/>
      <c r="AC105" s="49"/>
      <c r="AD105" s="50">
        <f t="shared" si="38"/>
        <v>0</v>
      </c>
      <c r="AF105" s="49"/>
      <c r="AG105" s="49"/>
      <c r="AH105" s="50">
        <f t="shared" si="39"/>
        <v>0</v>
      </c>
      <c r="AJ105" s="49"/>
      <c r="AK105" s="49"/>
      <c r="AL105" s="50">
        <f t="shared" si="40"/>
        <v>0</v>
      </c>
      <c r="AN105" s="49"/>
      <c r="AO105" s="49"/>
      <c r="AP105" s="50">
        <f t="shared" si="41"/>
        <v>0</v>
      </c>
      <c r="AR105" s="49"/>
      <c r="AS105" s="49"/>
      <c r="AT105" s="50">
        <f t="shared" si="42"/>
        <v>0</v>
      </c>
      <c r="AV105" s="49"/>
      <c r="AW105" s="49"/>
      <c r="AX105" s="50">
        <f t="shared" si="43"/>
        <v>0</v>
      </c>
      <c r="AZ105" s="49"/>
      <c r="BA105" s="49"/>
      <c r="BB105" s="50">
        <f t="shared" si="44"/>
        <v>0</v>
      </c>
      <c r="BD105" s="49"/>
      <c r="BE105" s="49"/>
      <c r="BF105" s="50">
        <f t="shared" si="45"/>
        <v>0</v>
      </c>
      <c r="BH105" s="49"/>
      <c r="BI105" s="49"/>
      <c r="BJ105" s="50">
        <f t="shared" si="46"/>
        <v>0</v>
      </c>
      <c r="BL105" s="49"/>
      <c r="BM105" s="49"/>
      <c r="BN105" s="50">
        <f t="shared" si="47"/>
        <v>0</v>
      </c>
      <c r="BP105" s="49"/>
      <c r="BQ105" s="49"/>
      <c r="BR105" s="50">
        <f t="shared" si="48"/>
        <v>0</v>
      </c>
      <c r="BT105" s="49"/>
      <c r="BU105" s="49"/>
      <c r="BV105" s="50">
        <f t="shared" si="49"/>
        <v>0</v>
      </c>
      <c r="BX105" s="49"/>
      <c r="BY105" s="49"/>
      <c r="BZ105" s="50">
        <f t="shared" si="50"/>
        <v>0</v>
      </c>
      <c r="CB105" s="49"/>
      <c r="CC105" s="49"/>
      <c r="CD105" s="50">
        <f t="shared" si="51"/>
        <v>0</v>
      </c>
      <c r="CF105" s="49"/>
      <c r="CG105" s="49"/>
      <c r="CH105" s="50">
        <f t="shared" si="52"/>
        <v>0</v>
      </c>
      <c r="CJ105" s="49"/>
      <c r="CK105" s="49"/>
      <c r="CL105" s="50">
        <f t="shared" si="53"/>
        <v>0</v>
      </c>
      <c r="CN105" s="49"/>
      <c r="CO105" s="49"/>
      <c r="CP105" s="50">
        <f t="shared" si="54"/>
        <v>0</v>
      </c>
      <c r="CR105" s="49"/>
      <c r="CS105" s="49"/>
      <c r="CT105" s="50">
        <f t="shared" si="55"/>
        <v>0</v>
      </c>
      <c r="CV105" s="49"/>
      <c r="CW105" s="49"/>
      <c r="CX105" s="50">
        <f t="shared" si="56"/>
        <v>0</v>
      </c>
      <c r="CZ105" s="49"/>
      <c r="DA105" s="49"/>
      <c r="DB105" s="50">
        <f t="shared" si="57"/>
        <v>0</v>
      </c>
      <c r="DD105" s="49"/>
      <c r="DE105" s="49"/>
      <c r="DF105" s="50">
        <f t="shared" si="58"/>
        <v>0</v>
      </c>
      <c r="DH105" s="49"/>
      <c r="DI105" s="49"/>
      <c r="DJ105" s="50">
        <f t="shared" si="59"/>
        <v>0</v>
      </c>
      <c r="DL105" s="49"/>
      <c r="DM105" s="49"/>
      <c r="DN105" s="50">
        <f t="shared" si="60"/>
        <v>0</v>
      </c>
      <c r="DP105" s="49"/>
      <c r="DQ105" s="49"/>
      <c r="DR105" s="50">
        <f t="shared" si="61"/>
        <v>0</v>
      </c>
      <c r="DT105" s="49"/>
      <c r="DU105" s="49"/>
      <c r="DV105" s="50">
        <f t="shared" si="62"/>
        <v>0</v>
      </c>
      <c r="DX105" s="49"/>
      <c r="DY105" s="49"/>
      <c r="DZ105" s="50">
        <f t="shared" si="63"/>
        <v>0</v>
      </c>
      <c r="EB105" s="49">
        <f t="shared" si="64"/>
        <v>0</v>
      </c>
      <c r="EC105" s="49">
        <f t="shared" si="65"/>
        <v>0</v>
      </c>
      <c r="ED105" s="49">
        <f t="shared" si="66"/>
        <v>0</v>
      </c>
    </row>
    <row r="106" spans="2:134" ht="11" customHeight="1" x14ac:dyDescent="0.35">
      <c r="B106" s="4">
        <v>109410</v>
      </c>
      <c r="C106" s="14" t="s">
        <v>112</v>
      </c>
      <c r="D106" s="4">
        <v>20</v>
      </c>
      <c r="E106" s="5">
        <v>18</v>
      </c>
      <c r="F106" s="6">
        <v>20.277777</v>
      </c>
      <c r="G106" s="1"/>
      <c r="H106" s="49"/>
      <c r="I106" s="49"/>
      <c r="J106" s="50">
        <f t="shared" si="67"/>
        <v>0</v>
      </c>
      <c r="K106" s="9"/>
      <c r="L106" s="49"/>
      <c r="M106" s="49"/>
      <c r="N106" s="50">
        <f t="shared" si="34"/>
        <v>0</v>
      </c>
      <c r="O106" s="46"/>
      <c r="P106" s="49"/>
      <c r="Q106" s="49"/>
      <c r="R106" s="50">
        <f t="shared" si="35"/>
        <v>0</v>
      </c>
      <c r="T106" s="49"/>
      <c r="U106" s="49"/>
      <c r="V106" s="50">
        <f t="shared" si="36"/>
        <v>0</v>
      </c>
      <c r="X106" s="49"/>
      <c r="Y106" s="49"/>
      <c r="Z106" s="50">
        <f t="shared" si="37"/>
        <v>0</v>
      </c>
      <c r="AB106" s="49"/>
      <c r="AC106" s="49"/>
      <c r="AD106" s="50">
        <f t="shared" si="38"/>
        <v>0</v>
      </c>
      <c r="AF106" s="49"/>
      <c r="AG106" s="49"/>
      <c r="AH106" s="50">
        <f t="shared" si="39"/>
        <v>0</v>
      </c>
      <c r="AJ106" s="49"/>
      <c r="AK106" s="49"/>
      <c r="AL106" s="50">
        <f t="shared" si="40"/>
        <v>0</v>
      </c>
      <c r="AN106" s="49"/>
      <c r="AO106" s="49"/>
      <c r="AP106" s="50">
        <f t="shared" si="41"/>
        <v>0</v>
      </c>
      <c r="AR106" s="49"/>
      <c r="AS106" s="49"/>
      <c r="AT106" s="50">
        <f t="shared" si="42"/>
        <v>0</v>
      </c>
      <c r="AV106" s="49"/>
      <c r="AW106" s="49"/>
      <c r="AX106" s="50">
        <f t="shared" si="43"/>
        <v>0</v>
      </c>
      <c r="AZ106" s="49"/>
      <c r="BA106" s="49"/>
      <c r="BB106" s="50">
        <f t="shared" si="44"/>
        <v>0</v>
      </c>
      <c r="BD106" s="49"/>
      <c r="BE106" s="49"/>
      <c r="BF106" s="50">
        <f t="shared" si="45"/>
        <v>0</v>
      </c>
      <c r="BH106" s="49"/>
      <c r="BI106" s="49"/>
      <c r="BJ106" s="50">
        <f t="shared" si="46"/>
        <v>0</v>
      </c>
      <c r="BL106" s="49"/>
      <c r="BM106" s="49"/>
      <c r="BN106" s="50">
        <f t="shared" si="47"/>
        <v>0</v>
      </c>
      <c r="BP106" s="49"/>
      <c r="BQ106" s="49"/>
      <c r="BR106" s="50">
        <f t="shared" si="48"/>
        <v>0</v>
      </c>
      <c r="BT106" s="49"/>
      <c r="BU106" s="49"/>
      <c r="BV106" s="50">
        <f t="shared" si="49"/>
        <v>0</v>
      </c>
      <c r="BX106" s="49"/>
      <c r="BY106" s="49"/>
      <c r="BZ106" s="50">
        <f t="shared" si="50"/>
        <v>0</v>
      </c>
      <c r="CB106" s="49"/>
      <c r="CC106" s="49"/>
      <c r="CD106" s="50">
        <f t="shared" si="51"/>
        <v>0</v>
      </c>
      <c r="CF106" s="49"/>
      <c r="CG106" s="49"/>
      <c r="CH106" s="50">
        <f t="shared" si="52"/>
        <v>0</v>
      </c>
      <c r="CJ106" s="49"/>
      <c r="CK106" s="49"/>
      <c r="CL106" s="50">
        <f t="shared" si="53"/>
        <v>0</v>
      </c>
      <c r="CN106" s="49"/>
      <c r="CO106" s="49"/>
      <c r="CP106" s="50">
        <f t="shared" si="54"/>
        <v>0</v>
      </c>
      <c r="CR106" s="49"/>
      <c r="CS106" s="49"/>
      <c r="CT106" s="50">
        <f t="shared" si="55"/>
        <v>0</v>
      </c>
      <c r="CV106" s="49"/>
      <c r="CW106" s="49"/>
      <c r="CX106" s="50">
        <f t="shared" si="56"/>
        <v>0</v>
      </c>
      <c r="CZ106" s="49"/>
      <c r="DA106" s="49"/>
      <c r="DB106" s="50">
        <f t="shared" si="57"/>
        <v>0</v>
      </c>
      <c r="DD106" s="49"/>
      <c r="DE106" s="49"/>
      <c r="DF106" s="50">
        <f t="shared" si="58"/>
        <v>0</v>
      </c>
      <c r="DH106" s="49"/>
      <c r="DI106" s="49"/>
      <c r="DJ106" s="50">
        <f t="shared" si="59"/>
        <v>0</v>
      </c>
      <c r="DL106" s="49"/>
      <c r="DM106" s="49"/>
      <c r="DN106" s="50">
        <f t="shared" si="60"/>
        <v>0</v>
      </c>
      <c r="DP106" s="49"/>
      <c r="DQ106" s="49"/>
      <c r="DR106" s="50">
        <f t="shared" si="61"/>
        <v>0</v>
      </c>
      <c r="DT106" s="49"/>
      <c r="DU106" s="49"/>
      <c r="DV106" s="50">
        <f t="shared" si="62"/>
        <v>0</v>
      </c>
      <c r="DX106" s="49"/>
      <c r="DY106" s="49"/>
      <c r="DZ106" s="50">
        <f t="shared" si="63"/>
        <v>0</v>
      </c>
      <c r="EB106" s="49">
        <f t="shared" si="64"/>
        <v>0</v>
      </c>
      <c r="EC106" s="49">
        <f t="shared" si="65"/>
        <v>0</v>
      </c>
      <c r="ED106" s="49">
        <f t="shared" si="66"/>
        <v>0</v>
      </c>
    </row>
    <row r="107" spans="2:134" ht="11" customHeight="1" x14ac:dyDescent="0.35">
      <c r="B107" s="4" t="s">
        <v>113</v>
      </c>
      <c r="C107" s="14" t="s">
        <v>114</v>
      </c>
      <c r="D107" s="4">
        <v>6</v>
      </c>
      <c r="E107" s="5">
        <v>12</v>
      </c>
      <c r="F107" s="6">
        <v>484.75580000000002</v>
      </c>
      <c r="G107" s="1"/>
      <c r="H107" s="49"/>
      <c r="I107" s="49"/>
      <c r="J107" s="50">
        <f t="shared" si="67"/>
        <v>0</v>
      </c>
      <c r="K107" s="9"/>
      <c r="L107" s="49"/>
      <c r="M107" s="49"/>
      <c r="N107" s="50">
        <f t="shared" si="34"/>
        <v>0</v>
      </c>
      <c r="O107" s="46"/>
      <c r="P107" s="49"/>
      <c r="Q107" s="49"/>
      <c r="R107" s="50">
        <f t="shared" si="35"/>
        <v>0</v>
      </c>
      <c r="T107" s="49"/>
      <c r="U107" s="49"/>
      <c r="V107" s="50">
        <f t="shared" si="36"/>
        <v>0</v>
      </c>
      <c r="X107" s="49"/>
      <c r="Y107" s="49"/>
      <c r="Z107" s="50">
        <f t="shared" si="37"/>
        <v>0</v>
      </c>
      <c r="AB107" s="49"/>
      <c r="AC107" s="49"/>
      <c r="AD107" s="50">
        <f t="shared" si="38"/>
        <v>0</v>
      </c>
      <c r="AF107" s="49"/>
      <c r="AG107" s="49"/>
      <c r="AH107" s="50">
        <f t="shared" si="39"/>
        <v>0</v>
      </c>
      <c r="AJ107" s="49"/>
      <c r="AK107" s="49"/>
      <c r="AL107" s="50">
        <f t="shared" si="40"/>
        <v>0</v>
      </c>
      <c r="AN107" s="49"/>
      <c r="AO107" s="49"/>
      <c r="AP107" s="50">
        <f t="shared" si="41"/>
        <v>0</v>
      </c>
      <c r="AR107" s="49"/>
      <c r="AS107" s="49"/>
      <c r="AT107" s="50">
        <f t="shared" si="42"/>
        <v>0</v>
      </c>
      <c r="AV107" s="49"/>
      <c r="AW107" s="49"/>
      <c r="AX107" s="50">
        <f t="shared" si="43"/>
        <v>0</v>
      </c>
      <c r="AZ107" s="49"/>
      <c r="BA107" s="49"/>
      <c r="BB107" s="50">
        <f t="shared" si="44"/>
        <v>0</v>
      </c>
      <c r="BD107" s="49"/>
      <c r="BE107" s="49"/>
      <c r="BF107" s="50">
        <f t="shared" si="45"/>
        <v>0</v>
      </c>
      <c r="BH107" s="49"/>
      <c r="BI107" s="49"/>
      <c r="BJ107" s="50">
        <f t="shared" si="46"/>
        <v>0</v>
      </c>
      <c r="BL107" s="49"/>
      <c r="BM107" s="49"/>
      <c r="BN107" s="50">
        <f t="shared" si="47"/>
        <v>0</v>
      </c>
      <c r="BP107" s="49"/>
      <c r="BQ107" s="49"/>
      <c r="BR107" s="50">
        <f t="shared" si="48"/>
        <v>0</v>
      </c>
      <c r="BT107" s="49"/>
      <c r="BU107" s="49"/>
      <c r="BV107" s="50">
        <f t="shared" si="49"/>
        <v>0</v>
      </c>
      <c r="BX107" s="49"/>
      <c r="BY107" s="49"/>
      <c r="BZ107" s="50">
        <f t="shared" si="50"/>
        <v>0</v>
      </c>
      <c r="CB107" s="49"/>
      <c r="CC107" s="49"/>
      <c r="CD107" s="50">
        <f t="shared" si="51"/>
        <v>0</v>
      </c>
      <c r="CF107" s="49"/>
      <c r="CG107" s="49"/>
      <c r="CH107" s="50">
        <f t="shared" si="52"/>
        <v>0</v>
      </c>
      <c r="CJ107" s="49"/>
      <c r="CK107" s="49"/>
      <c r="CL107" s="50">
        <f t="shared" si="53"/>
        <v>0</v>
      </c>
      <c r="CN107" s="49"/>
      <c r="CO107" s="49"/>
      <c r="CP107" s="50">
        <f t="shared" si="54"/>
        <v>0</v>
      </c>
      <c r="CR107" s="49"/>
      <c r="CS107" s="49"/>
      <c r="CT107" s="50">
        <f t="shared" si="55"/>
        <v>0</v>
      </c>
      <c r="CV107" s="49"/>
      <c r="CW107" s="49"/>
      <c r="CX107" s="50">
        <f t="shared" si="56"/>
        <v>0</v>
      </c>
      <c r="CZ107" s="49"/>
      <c r="DA107" s="49"/>
      <c r="DB107" s="50">
        <f t="shared" si="57"/>
        <v>0</v>
      </c>
      <c r="DD107" s="49"/>
      <c r="DE107" s="49"/>
      <c r="DF107" s="50">
        <f t="shared" si="58"/>
        <v>0</v>
      </c>
      <c r="DH107" s="49"/>
      <c r="DI107" s="49"/>
      <c r="DJ107" s="50">
        <f t="shared" si="59"/>
        <v>0</v>
      </c>
      <c r="DL107" s="49"/>
      <c r="DM107" s="49"/>
      <c r="DN107" s="50">
        <f t="shared" si="60"/>
        <v>0</v>
      </c>
      <c r="DP107" s="49"/>
      <c r="DQ107" s="49"/>
      <c r="DR107" s="50">
        <f t="shared" si="61"/>
        <v>0</v>
      </c>
      <c r="DT107" s="49"/>
      <c r="DU107" s="49"/>
      <c r="DV107" s="50">
        <f t="shared" si="62"/>
        <v>0</v>
      </c>
      <c r="DX107" s="49"/>
      <c r="DY107" s="49"/>
      <c r="DZ107" s="50">
        <f t="shared" si="63"/>
        <v>0</v>
      </c>
      <c r="EB107" s="49">
        <f t="shared" si="64"/>
        <v>0</v>
      </c>
      <c r="EC107" s="49">
        <f t="shared" si="65"/>
        <v>0</v>
      </c>
      <c r="ED107" s="49">
        <f t="shared" si="66"/>
        <v>0</v>
      </c>
    </row>
    <row r="108" spans="2:134" ht="11" customHeight="1" x14ac:dyDescent="0.35">
      <c r="B108" s="4">
        <v>0</v>
      </c>
      <c r="C108" s="14" t="s">
        <v>115</v>
      </c>
      <c r="D108" s="4">
        <v>50</v>
      </c>
      <c r="E108" s="5">
        <v>18</v>
      </c>
      <c r="F108" s="6">
        <v>198.24524392000001</v>
      </c>
      <c r="G108" s="1"/>
      <c r="H108" s="49"/>
      <c r="I108" s="49"/>
      <c r="J108" s="50">
        <f t="shared" si="67"/>
        <v>0</v>
      </c>
      <c r="K108" s="9"/>
      <c r="L108" s="49"/>
      <c r="M108" s="49"/>
      <c r="N108" s="50">
        <f t="shared" si="34"/>
        <v>0</v>
      </c>
      <c r="O108" s="46"/>
      <c r="P108" s="49"/>
      <c r="Q108" s="49"/>
      <c r="R108" s="50">
        <f t="shared" si="35"/>
        <v>0</v>
      </c>
      <c r="T108" s="49"/>
      <c r="U108" s="49"/>
      <c r="V108" s="50">
        <f t="shared" si="36"/>
        <v>0</v>
      </c>
      <c r="X108" s="49"/>
      <c r="Y108" s="49"/>
      <c r="Z108" s="50">
        <f t="shared" si="37"/>
        <v>0</v>
      </c>
      <c r="AB108" s="49"/>
      <c r="AC108" s="49"/>
      <c r="AD108" s="50">
        <f t="shared" si="38"/>
        <v>0</v>
      </c>
      <c r="AF108" s="49"/>
      <c r="AG108" s="49"/>
      <c r="AH108" s="50">
        <f t="shared" si="39"/>
        <v>0</v>
      </c>
      <c r="AJ108" s="49"/>
      <c r="AK108" s="49"/>
      <c r="AL108" s="50">
        <f t="shared" si="40"/>
        <v>0</v>
      </c>
      <c r="AN108" s="49"/>
      <c r="AO108" s="49"/>
      <c r="AP108" s="50">
        <f t="shared" si="41"/>
        <v>0</v>
      </c>
      <c r="AR108" s="49"/>
      <c r="AS108" s="49"/>
      <c r="AT108" s="50">
        <f t="shared" si="42"/>
        <v>0</v>
      </c>
      <c r="AV108" s="49"/>
      <c r="AW108" s="49"/>
      <c r="AX108" s="50">
        <f t="shared" si="43"/>
        <v>0</v>
      </c>
      <c r="AZ108" s="49"/>
      <c r="BA108" s="49"/>
      <c r="BB108" s="50">
        <f t="shared" si="44"/>
        <v>0</v>
      </c>
      <c r="BD108" s="49"/>
      <c r="BE108" s="49"/>
      <c r="BF108" s="50">
        <f t="shared" si="45"/>
        <v>0</v>
      </c>
      <c r="BH108" s="49"/>
      <c r="BI108" s="49"/>
      <c r="BJ108" s="50">
        <f t="shared" si="46"/>
        <v>0</v>
      </c>
      <c r="BL108" s="49"/>
      <c r="BM108" s="49"/>
      <c r="BN108" s="50">
        <f t="shared" si="47"/>
        <v>0</v>
      </c>
      <c r="BP108" s="49"/>
      <c r="BQ108" s="49"/>
      <c r="BR108" s="50">
        <f t="shared" si="48"/>
        <v>0</v>
      </c>
      <c r="BT108" s="49"/>
      <c r="BU108" s="49"/>
      <c r="BV108" s="50">
        <f t="shared" si="49"/>
        <v>0</v>
      </c>
      <c r="BX108" s="49"/>
      <c r="BY108" s="49"/>
      <c r="BZ108" s="50">
        <f t="shared" si="50"/>
        <v>0</v>
      </c>
      <c r="CB108" s="49"/>
      <c r="CC108" s="49"/>
      <c r="CD108" s="50">
        <f t="shared" si="51"/>
        <v>0</v>
      </c>
      <c r="CF108" s="49"/>
      <c r="CG108" s="49"/>
      <c r="CH108" s="50">
        <f t="shared" si="52"/>
        <v>0</v>
      </c>
      <c r="CJ108" s="49"/>
      <c r="CK108" s="49"/>
      <c r="CL108" s="50">
        <f t="shared" si="53"/>
        <v>0</v>
      </c>
      <c r="CN108" s="49"/>
      <c r="CO108" s="49"/>
      <c r="CP108" s="50">
        <f t="shared" si="54"/>
        <v>0</v>
      </c>
      <c r="CR108" s="49"/>
      <c r="CS108" s="49"/>
      <c r="CT108" s="50">
        <f t="shared" si="55"/>
        <v>0</v>
      </c>
      <c r="CV108" s="49"/>
      <c r="CW108" s="49"/>
      <c r="CX108" s="50">
        <f t="shared" si="56"/>
        <v>0</v>
      </c>
      <c r="CZ108" s="49"/>
      <c r="DA108" s="49"/>
      <c r="DB108" s="50">
        <f t="shared" si="57"/>
        <v>0</v>
      </c>
      <c r="DD108" s="49"/>
      <c r="DE108" s="49"/>
      <c r="DF108" s="50">
        <f t="shared" si="58"/>
        <v>0</v>
      </c>
      <c r="DH108" s="49"/>
      <c r="DI108" s="49"/>
      <c r="DJ108" s="50">
        <f t="shared" si="59"/>
        <v>0</v>
      </c>
      <c r="DL108" s="49"/>
      <c r="DM108" s="49"/>
      <c r="DN108" s="50">
        <f t="shared" si="60"/>
        <v>0</v>
      </c>
      <c r="DP108" s="49"/>
      <c r="DQ108" s="49"/>
      <c r="DR108" s="50">
        <f t="shared" si="61"/>
        <v>0</v>
      </c>
      <c r="DT108" s="49"/>
      <c r="DU108" s="49"/>
      <c r="DV108" s="50">
        <f t="shared" si="62"/>
        <v>0</v>
      </c>
      <c r="DX108" s="49"/>
      <c r="DY108" s="49"/>
      <c r="DZ108" s="50">
        <f t="shared" si="63"/>
        <v>0</v>
      </c>
      <c r="EB108" s="49">
        <f t="shared" si="64"/>
        <v>0</v>
      </c>
      <c r="EC108" s="49">
        <f t="shared" si="65"/>
        <v>0</v>
      </c>
      <c r="ED108" s="49">
        <f t="shared" si="66"/>
        <v>0</v>
      </c>
    </row>
    <row r="109" spans="2:134" ht="11" customHeight="1" x14ac:dyDescent="0.35">
      <c r="B109" s="15"/>
      <c r="C109" s="1"/>
      <c r="D109" s="1"/>
      <c r="E109" s="1"/>
      <c r="F109" s="1"/>
      <c r="G109" s="1"/>
      <c r="H109" s="1">
        <f>SUM(H4:H108)</f>
        <v>0</v>
      </c>
      <c r="I109" s="1">
        <f>SUM(I4:I108)</f>
        <v>0</v>
      </c>
      <c r="J109" s="1">
        <f>SUM(J4:J108)</f>
        <v>0</v>
      </c>
      <c r="K109" s="1"/>
      <c r="L109" s="1">
        <f>SUM(L4:L108)</f>
        <v>0</v>
      </c>
      <c r="M109" s="1">
        <f>SUM(M4:M108)</f>
        <v>0</v>
      </c>
      <c r="N109" s="1">
        <f>SUM(N4:N108)</f>
        <v>0</v>
      </c>
      <c r="O109" s="47"/>
      <c r="P109" s="1">
        <f>SUM(P4:P108)</f>
        <v>0</v>
      </c>
      <c r="Q109" s="1">
        <f>SUM(Q4:Q108)</f>
        <v>0</v>
      </c>
      <c r="R109" s="1">
        <f>SUM(R4:R108)</f>
        <v>0</v>
      </c>
      <c r="T109" s="1">
        <f>SUM(T4:T108)</f>
        <v>0</v>
      </c>
      <c r="U109" s="1">
        <f>SUM(U4:U108)</f>
        <v>0</v>
      </c>
      <c r="V109" s="1">
        <f>SUM(V4:V108)</f>
        <v>0</v>
      </c>
      <c r="X109" s="1">
        <f>SUM(X4:X108)</f>
        <v>0</v>
      </c>
      <c r="Y109" s="1">
        <f>SUM(Y4:Y108)</f>
        <v>0</v>
      </c>
      <c r="Z109" s="1">
        <f>SUM(Z4:Z108)</f>
        <v>0</v>
      </c>
      <c r="AB109" s="1">
        <f>SUM(AB4:AB108)</f>
        <v>0</v>
      </c>
      <c r="AC109" s="1">
        <f>SUM(AC4:AC108)</f>
        <v>0</v>
      </c>
      <c r="AD109" s="1">
        <f>SUM(AD4:AD108)</f>
        <v>0</v>
      </c>
      <c r="AF109" s="1">
        <f>SUM(AF4:AF108)</f>
        <v>0</v>
      </c>
      <c r="AG109" s="1">
        <f>SUM(AG4:AG108)</f>
        <v>0</v>
      </c>
      <c r="AH109" s="1">
        <f>SUM(AH4:AH108)</f>
        <v>0</v>
      </c>
      <c r="AJ109" s="1">
        <f>SUM(AJ4:AJ108)</f>
        <v>0</v>
      </c>
      <c r="AK109" s="1">
        <f>SUM(AK4:AK108)</f>
        <v>0</v>
      </c>
      <c r="AL109" s="1">
        <f>SUM(AL4:AL108)</f>
        <v>0</v>
      </c>
      <c r="AN109" s="1">
        <f>SUM(AN4:AN108)</f>
        <v>0</v>
      </c>
      <c r="AO109" s="1">
        <f>SUM(AO4:AO108)</f>
        <v>0</v>
      </c>
      <c r="AP109" s="1">
        <f>SUM(AP4:AP108)</f>
        <v>0</v>
      </c>
      <c r="AR109" s="1">
        <f>SUM(AR4:AR108)</f>
        <v>0</v>
      </c>
      <c r="AS109" s="1">
        <f>SUM(AS4:AS108)</f>
        <v>0</v>
      </c>
      <c r="AT109" s="1">
        <f>SUM(AT4:AT108)</f>
        <v>0</v>
      </c>
      <c r="AV109" s="1">
        <f>SUM(AV4:AV108)</f>
        <v>0</v>
      </c>
      <c r="AW109" s="1">
        <f>SUM(AW4:AW108)</f>
        <v>0</v>
      </c>
      <c r="AX109" s="1">
        <f>SUM(AX4:AX108)</f>
        <v>0</v>
      </c>
      <c r="AZ109" s="1">
        <f>SUM(AZ4:AZ108)</f>
        <v>0</v>
      </c>
      <c r="BA109" s="1">
        <f>SUM(BA4:BA108)</f>
        <v>0</v>
      </c>
      <c r="BB109" s="1">
        <f>SUM(BB4:BB108)</f>
        <v>0</v>
      </c>
      <c r="BD109" s="1">
        <f>SUM(BD4:BD108)</f>
        <v>0</v>
      </c>
      <c r="BE109" s="1">
        <f>SUM(BE4:BE108)</f>
        <v>0</v>
      </c>
      <c r="BF109" s="1">
        <f>SUM(BF4:BF108)</f>
        <v>0</v>
      </c>
      <c r="BH109" s="1">
        <f>SUM(BH4:BH108)</f>
        <v>0</v>
      </c>
      <c r="BI109" s="1">
        <f>SUM(BI4:BI108)</f>
        <v>0</v>
      </c>
      <c r="BJ109" s="1">
        <f>SUM(BJ4:BJ108)</f>
        <v>0</v>
      </c>
      <c r="BL109" s="1">
        <f>SUM(BL4:BL108)</f>
        <v>0</v>
      </c>
      <c r="BM109" s="1">
        <f>SUM(BM4:BM108)</f>
        <v>0</v>
      </c>
      <c r="BN109" s="1">
        <f>SUM(BN4:BN108)</f>
        <v>0</v>
      </c>
      <c r="BP109" s="1">
        <f>SUM(BP4:BP108)</f>
        <v>0</v>
      </c>
      <c r="BQ109" s="1">
        <f>SUM(BQ4:BQ108)</f>
        <v>0</v>
      </c>
      <c r="BR109" s="1">
        <f>SUM(BR4:BR108)</f>
        <v>0</v>
      </c>
      <c r="BT109" s="1">
        <f>SUM(BT4:BT108)</f>
        <v>0</v>
      </c>
      <c r="BU109" s="1">
        <f>SUM(BU4:BU108)</f>
        <v>0</v>
      </c>
      <c r="BV109" s="1">
        <f>SUM(BV4:BV108)</f>
        <v>0</v>
      </c>
      <c r="BX109" s="1">
        <f>SUM(BX4:BX108)</f>
        <v>0</v>
      </c>
      <c r="BY109" s="1">
        <f>SUM(BY4:BY108)</f>
        <v>0</v>
      </c>
      <c r="BZ109" s="1">
        <f>SUM(BZ4:BZ108)</f>
        <v>0</v>
      </c>
      <c r="CB109" s="1">
        <f>SUM(CB4:CB108)</f>
        <v>0</v>
      </c>
      <c r="CC109" s="1">
        <f>SUM(CC4:CC108)</f>
        <v>0</v>
      </c>
      <c r="CD109" s="1">
        <f>SUM(CD4:CD108)</f>
        <v>0</v>
      </c>
      <c r="CF109" s="1">
        <f>SUM(CF4:CF108)</f>
        <v>0</v>
      </c>
      <c r="CG109" s="1">
        <f>SUM(CG4:CG108)</f>
        <v>0</v>
      </c>
      <c r="CH109" s="1">
        <f>SUM(CH4:CH108)</f>
        <v>0</v>
      </c>
      <c r="CJ109" s="1">
        <f>SUM(CJ4:CJ108)</f>
        <v>0</v>
      </c>
      <c r="CK109" s="1">
        <f>SUM(CK4:CK108)</f>
        <v>0</v>
      </c>
      <c r="CL109" s="1">
        <f>SUM(CL4:CL108)</f>
        <v>0</v>
      </c>
      <c r="CN109" s="1">
        <f t="shared" ref="CN109:CP109" si="68">SUM(CN4:CN108)</f>
        <v>0</v>
      </c>
      <c r="CO109" s="1">
        <f t="shared" si="68"/>
        <v>0</v>
      </c>
      <c r="CP109" s="1">
        <f t="shared" si="68"/>
        <v>0</v>
      </c>
      <c r="CR109" s="1">
        <f t="shared" ref="CR109" si="69">SUM(CR4:CR108)</f>
        <v>0</v>
      </c>
      <c r="CS109" s="1">
        <f t="shared" ref="CS109" si="70">SUM(CS4:CS108)</f>
        <v>0</v>
      </c>
      <c r="CT109" s="1">
        <f t="shared" ref="CT109" si="71">SUM(CT4:CT108)</f>
        <v>0</v>
      </c>
      <c r="CV109" s="1">
        <f t="shared" ref="CV109" si="72">SUM(CV4:CV108)</f>
        <v>0</v>
      </c>
      <c r="CW109" s="1">
        <f t="shared" ref="CW109" si="73">SUM(CW4:CW108)</f>
        <v>0</v>
      </c>
      <c r="CX109" s="1">
        <f t="shared" ref="CX109" si="74">SUM(CX4:CX108)</f>
        <v>0</v>
      </c>
      <c r="CZ109" s="1">
        <f t="shared" ref="CZ109" si="75">SUM(CZ4:CZ108)</f>
        <v>0</v>
      </c>
      <c r="DA109" s="1">
        <f t="shared" ref="DA109" si="76">SUM(DA4:DA108)</f>
        <v>0</v>
      </c>
      <c r="DB109" s="1">
        <f t="shared" ref="DB109" si="77">SUM(DB4:DB108)</f>
        <v>0</v>
      </c>
      <c r="DD109" s="1">
        <f t="shared" ref="DD109" si="78">SUM(DD4:DD108)</f>
        <v>0</v>
      </c>
      <c r="DE109" s="1">
        <f t="shared" ref="DE109" si="79">SUM(DE4:DE108)</f>
        <v>0</v>
      </c>
      <c r="DF109" s="1">
        <f t="shared" ref="DF109" si="80">SUM(DF4:DF108)</f>
        <v>0</v>
      </c>
      <c r="DH109" s="1">
        <f t="shared" ref="DH109" si="81">SUM(DH4:DH108)</f>
        <v>0</v>
      </c>
      <c r="DI109" s="1">
        <f t="shared" ref="DI109" si="82">SUM(DI4:DI108)</f>
        <v>0</v>
      </c>
      <c r="DJ109" s="1">
        <f t="shared" ref="DJ109" si="83">SUM(DJ4:DJ108)</f>
        <v>0</v>
      </c>
      <c r="DL109" s="1">
        <f t="shared" ref="DL109" si="84">SUM(DL4:DL108)</f>
        <v>0</v>
      </c>
      <c r="DM109" s="1">
        <f t="shared" ref="DM109" si="85">SUM(DM4:DM108)</f>
        <v>0</v>
      </c>
      <c r="DN109" s="1">
        <f t="shared" ref="DN109" si="86">SUM(DN4:DN108)</f>
        <v>0</v>
      </c>
      <c r="DP109" s="1">
        <f t="shared" ref="DP109" si="87">SUM(DP4:DP108)</f>
        <v>0</v>
      </c>
      <c r="DQ109" s="1">
        <f t="shared" ref="DQ109" si="88">SUM(DQ4:DQ108)</f>
        <v>0</v>
      </c>
      <c r="DR109" s="1">
        <f t="shared" ref="DR109" si="89">SUM(DR4:DR108)</f>
        <v>0</v>
      </c>
      <c r="DT109" s="1">
        <f t="shared" ref="DT109" si="90">SUM(DT4:DT108)</f>
        <v>0</v>
      </c>
      <c r="DU109" s="1">
        <f t="shared" ref="DU109" si="91">SUM(DU4:DU108)</f>
        <v>0</v>
      </c>
      <c r="DV109" s="1">
        <f t="shared" ref="DV109" si="92">SUM(DV4:DV108)</f>
        <v>0</v>
      </c>
      <c r="DX109" s="1">
        <f t="shared" ref="DX109" si="93">SUM(DX4:DX108)</f>
        <v>0</v>
      </c>
      <c r="DY109" s="1">
        <f t="shared" ref="DY109" si="94">SUM(DY4:DY108)</f>
        <v>0</v>
      </c>
      <c r="DZ109" s="1">
        <f t="shared" ref="DZ109" si="95">SUM(DZ4:DZ108)</f>
        <v>0</v>
      </c>
      <c r="EB109" s="1">
        <f t="shared" ref="EB109" si="96">SUM(EB4:EB108)</f>
        <v>0</v>
      </c>
      <c r="EC109" s="1">
        <f t="shared" ref="EC109" si="97">SUM(EC4:EC108)</f>
        <v>0</v>
      </c>
      <c r="ED109" s="1">
        <f t="shared" ref="ED109" si="98">SUM(ED4:ED108)</f>
        <v>0</v>
      </c>
    </row>
    <row r="110" spans="2:134" x14ac:dyDescent="0.35">
      <c r="L110" s="48"/>
      <c r="M110" s="48"/>
      <c r="N110" s="48"/>
      <c r="O110" s="48"/>
    </row>
    <row r="111" spans="2:134" x14ac:dyDescent="0.35">
      <c r="L111" s="48"/>
      <c r="M111" s="48"/>
      <c r="N111" s="48"/>
      <c r="O111" s="48"/>
    </row>
    <row r="112" spans="2:134" x14ac:dyDescent="0.35">
      <c r="L112" s="48"/>
      <c r="M112" s="48"/>
      <c r="N112" s="48"/>
      <c r="O112" s="48"/>
    </row>
    <row r="113" spans="12:15" x14ac:dyDescent="0.35">
      <c r="L113" s="48"/>
      <c r="M113" s="48"/>
      <c r="N113" s="48"/>
      <c r="O113" s="48"/>
    </row>
    <row r="114" spans="12:15" x14ac:dyDescent="0.35">
      <c r="L114" s="48"/>
      <c r="M114" s="48"/>
      <c r="N114" s="48"/>
      <c r="O114" s="48"/>
    </row>
    <row r="115" spans="12:15" x14ac:dyDescent="0.35">
      <c r="L115" s="48"/>
      <c r="M115" s="48"/>
      <c r="N115" s="48"/>
      <c r="O115" s="48"/>
    </row>
    <row r="116" spans="12:15" x14ac:dyDescent="0.35">
      <c r="L116" s="48"/>
      <c r="M116" s="48"/>
      <c r="N116" s="48"/>
      <c r="O116" s="48"/>
    </row>
    <row r="117" spans="12:15" x14ac:dyDescent="0.35">
      <c r="L117" s="48"/>
      <c r="M117" s="48"/>
      <c r="N117" s="48"/>
      <c r="O117" s="48"/>
    </row>
    <row r="118" spans="12:15" x14ac:dyDescent="0.35">
      <c r="L118" s="48"/>
      <c r="M118" s="48"/>
      <c r="N118" s="48"/>
      <c r="O118" s="48"/>
    </row>
    <row r="119" spans="12:15" x14ac:dyDescent="0.35">
      <c r="L119" s="48"/>
      <c r="M119" s="48"/>
      <c r="N119" s="48"/>
      <c r="O119" s="48"/>
    </row>
    <row r="120" spans="12:15" x14ac:dyDescent="0.35">
      <c r="L120" s="48"/>
      <c r="M120" s="48"/>
      <c r="N120" s="48"/>
      <c r="O120" s="48"/>
    </row>
    <row r="121" spans="12:15" x14ac:dyDescent="0.35">
      <c r="L121" s="48"/>
      <c r="M121" s="48"/>
      <c r="N121" s="48"/>
      <c r="O121" s="48"/>
    </row>
    <row r="122" spans="12:15" x14ac:dyDescent="0.35">
      <c r="L122" s="48"/>
      <c r="M122" s="48"/>
      <c r="N122" s="48"/>
      <c r="O122" s="48"/>
    </row>
    <row r="123" spans="12:15" x14ac:dyDescent="0.35">
      <c r="L123" s="48"/>
      <c r="M123" s="48"/>
      <c r="N123" s="48"/>
      <c r="O123" s="48"/>
    </row>
    <row r="124" spans="12:15" x14ac:dyDescent="0.35">
      <c r="L124" s="48"/>
      <c r="M124" s="48"/>
      <c r="N124" s="48"/>
      <c r="O124" s="48"/>
    </row>
    <row r="125" spans="12:15" x14ac:dyDescent="0.35">
      <c r="L125" s="48"/>
      <c r="M125" s="48"/>
      <c r="N125" s="48"/>
      <c r="O125" s="48"/>
    </row>
    <row r="126" spans="12:15" x14ac:dyDescent="0.35">
      <c r="L126" s="48"/>
      <c r="M126" s="48"/>
      <c r="N126" s="48"/>
      <c r="O126" s="48"/>
    </row>
  </sheetData>
  <conditionalFormatting sqref="B4:B79 B109">
    <cfRule type="duplicateValues" dxfId="24" priority="5"/>
  </conditionalFormatting>
  <conditionalFormatting sqref="B4:B108">
    <cfRule type="duplicateValues" dxfId="23" priority="1"/>
    <cfRule type="duplicateValues" dxfId="22" priority="2"/>
  </conditionalFormatting>
  <conditionalFormatting sqref="B80:B84">
    <cfRule type="duplicateValues" dxfId="21" priority="4"/>
  </conditionalFormatting>
  <conditionalFormatting sqref="B85:B108">
    <cfRule type="duplicateValues" dxfId="2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1C4E-AFB4-46D7-B63D-8D94ADCE42F6}">
  <dimension ref="B2:ED110"/>
  <sheetViews>
    <sheetView workbookViewId="0">
      <pane xSplit="5" ySplit="3" topLeftCell="DU4" activePane="bottomRight" state="frozen"/>
      <selection pane="topRight" activeCell="F1" sqref="F1"/>
      <selection pane="bottomLeft" activeCell="A4" sqref="A4"/>
      <selection pane="bottomRight" activeCell="ED1" sqref="ED1"/>
    </sheetView>
  </sheetViews>
  <sheetFormatPr defaultRowHeight="14.5" x14ac:dyDescent="0.35"/>
  <cols>
    <col min="3" max="3" width="38.81640625" customWidth="1"/>
    <col min="7" max="7" width="2.90625" customWidth="1"/>
    <col min="11" max="11" width="3.26953125" customWidth="1"/>
    <col min="15" max="15" width="3.26953125" customWidth="1"/>
    <col min="19" max="19" width="3.26953125" customWidth="1"/>
    <col min="23" max="23" width="3.26953125" customWidth="1"/>
    <col min="27" max="27" width="3.26953125" customWidth="1"/>
    <col min="31" max="31" width="3.26953125" customWidth="1"/>
    <col min="35" max="35" width="3.26953125" customWidth="1"/>
    <col min="39" max="39" width="3.26953125" customWidth="1"/>
    <col min="43" max="43" width="3.26953125" customWidth="1"/>
    <col min="47" max="47" width="3.26953125" customWidth="1"/>
    <col min="51" max="51" width="3.26953125" customWidth="1"/>
    <col min="55" max="55" width="3.26953125" customWidth="1"/>
    <col min="59" max="59" width="3.26953125" customWidth="1"/>
    <col min="63" max="63" width="3.26953125" customWidth="1"/>
    <col min="67" max="67" width="3.26953125" customWidth="1"/>
    <col min="71" max="71" width="3.26953125" customWidth="1"/>
    <col min="75" max="75" width="3.26953125" customWidth="1"/>
    <col min="79" max="79" width="3.26953125" customWidth="1"/>
    <col min="83" max="83" width="3.26953125" customWidth="1"/>
    <col min="87" max="87" width="3.26953125" customWidth="1"/>
    <col min="91" max="91" width="3.26953125" customWidth="1"/>
    <col min="95" max="95" width="3.26953125" customWidth="1"/>
    <col min="99" max="99" width="3.26953125" customWidth="1"/>
    <col min="103" max="103" width="3.26953125" customWidth="1"/>
    <col min="107" max="107" width="3.26953125" customWidth="1"/>
    <col min="111" max="111" width="3.26953125" customWidth="1"/>
    <col min="115" max="115" width="3.26953125" customWidth="1"/>
    <col min="119" max="119" width="3.26953125" customWidth="1"/>
    <col min="123" max="123" width="3.26953125" customWidth="1"/>
    <col min="127" max="127" width="3.26953125" customWidth="1"/>
    <col min="131" max="131" width="3.26953125" customWidth="1"/>
  </cols>
  <sheetData>
    <row r="2" spans="2:134" x14ac:dyDescent="0.35">
      <c r="B2" s="1"/>
      <c r="C2" s="1"/>
      <c r="D2" s="1"/>
      <c r="E2" s="1"/>
      <c r="F2" s="1"/>
      <c r="G2" s="1"/>
      <c r="H2" s="1" t="s">
        <v>123</v>
      </c>
      <c r="I2" s="1"/>
      <c r="J2" s="1"/>
      <c r="K2" s="1"/>
      <c r="L2" s="1" t="s">
        <v>124</v>
      </c>
      <c r="M2" s="1"/>
      <c r="N2" s="1"/>
      <c r="O2" s="51"/>
      <c r="P2" s="1" t="s">
        <v>125</v>
      </c>
      <c r="Q2" s="1"/>
      <c r="R2" s="1"/>
      <c r="T2" s="1" t="s">
        <v>126</v>
      </c>
      <c r="U2" s="1"/>
      <c r="V2" s="1"/>
      <c r="X2" s="1" t="s">
        <v>127</v>
      </c>
      <c r="Y2" s="1"/>
      <c r="Z2" s="1"/>
      <c r="AB2" s="1" t="s">
        <v>128</v>
      </c>
      <c r="AC2" s="1"/>
      <c r="AD2" s="1"/>
      <c r="AF2" s="1" t="s">
        <v>129</v>
      </c>
      <c r="AG2" s="1"/>
      <c r="AH2" s="1"/>
      <c r="AJ2" s="1" t="s">
        <v>130</v>
      </c>
      <c r="AK2" s="1"/>
      <c r="AL2" s="1"/>
      <c r="AN2" s="1" t="s">
        <v>131</v>
      </c>
      <c r="AO2" s="1"/>
      <c r="AP2" s="1"/>
      <c r="AR2" s="1" t="s">
        <v>132</v>
      </c>
      <c r="AS2" s="1"/>
      <c r="AT2" s="1"/>
      <c r="AV2" s="1" t="s">
        <v>133</v>
      </c>
      <c r="AW2" s="1"/>
      <c r="AX2" s="1"/>
      <c r="AZ2" s="1" t="s">
        <v>134</v>
      </c>
      <c r="BA2" s="1"/>
      <c r="BB2" s="1"/>
      <c r="BD2" s="1" t="s">
        <v>135</v>
      </c>
      <c r="BE2" s="1"/>
      <c r="BF2" s="1"/>
      <c r="BH2" s="1" t="s">
        <v>136</v>
      </c>
      <c r="BI2" s="1"/>
      <c r="BJ2" s="1"/>
      <c r="BL2" s="1" t="s">
        <v>137</v>
      </c>
      <c r="BM2" s="1"/>
      <c r="BN2" s="1"/>
      <c r="BP2" s="1" t="s">
        <v>138</v>
      </c>
      <c r="BQ2" s="1"/>
      <c r="BR2" s="1"/>
      <c r="BT2" s="1" t="s">
        <v>139</v>
      </c>
      <c r="BU2" s="1"/>
      <c r="BV2" s="1"/>
      <c r="BX2" s="1" t="s">
        <v>141</v>
      </c>
      <c r="BY2" s="1"/>
      <c r="BZ2" s="1"/>
      <c r="CB2" s="1" t="s">
        <v>142</v>
      </c>
      <c r="CC2" s="1"/>
      <c r="CD2" s="1"/>
      <c r="CF2" s="1" t="s">
        <v>143</v>
      </c>
      <c r="CG2" s="1"/>
      <c r="CH2" s="1"/>
      <c r="CJ2" s="1" t="s">
        <v>144</v>
      </c>
      <c r="CK2" s="1"/>
      <c r="CL2" s="1"/>
      <c r="CN2" s="1" t="s">
        <v>154</v>
      </c>
      <c r="CO2" s="1"/>
      <c r="CP2" s="1"/>
      <c r="CR2" s="1" t="s">
        <v>153</v>
      </c>
      <c r="CS2" s="1"/>
      <c r="CT2" s="1"/>
      <c r="CV2" s="1" t="s">
        <v>152</v>
      </c>
      <c r="CW2" s="1"/>
      <c r="CX2" s="1"/>
      <c r="CZ2" s="1" t="s">
        <v>151</v>
      </c>
      <c r="DA2" s="1"/>
      <c r="DB2" s="1"/>
      <c r="DD2" s="1" t="s">
        <v>150</v>
      </c>
      <c r="DE2" s="1"/>
      <c r="DF2" s="1"/>
      <c r="DH2" s="1" t="s">
        <v>149</v>
      </c>
      <c r="DI2" s="1"/>
      <c r="DJ2" s="1"/>
      <c r="DL2" s="1" t="s">
        <v>148</v>
      </c>
      <c r="DM2" s="1"/>
      <c r="DN2" s="1"/>
      <c r="DP2" s="1" t="s">
        <v>147</v>
      </c>
      <c r="DQ2" s="1"/>
      <c r="DR2" s="1"/>
      <c r="DT2" s="1" t="s">
        <v>146</v>
      </c>
      <c r="DU2" s="1"/>
      <c r="DV2" s="1"/>
      <c r="DX2" s="1" t="s">
        <v>145</v>
      </c>
      <c r="DY2" s="1"/>
      <c r="DZ2" s="1"/>
      <c r="EB2" s="1" t="s">
        <v>116</v>
      </c>
      <c r="EC2" s="1"/>
      <c r="ED2" s="1"/>
    </row>
    <row r="3" spans="2:134" ht="16" customHeight="1" x14ac:dyDescent="0.35">
      <c r="B3" s="20" t="s">
        <v>0</v>
      </c>
      <c r="C3" s="20" t="s">
        <v>1</v>
      </c>
      <c r="D3" s="20" t="s">
        <v>2</v>
      </c>
      <c r="E3" s="20" t="s">
        <v>2</v>
      </c>
      <c r="F3" s="20" t="s">
        <v>3</v>
      </c>
      <c r="G3" s="1"/>
      <c r="H3" s="2" t="s">
        <v>4</v>
      </c>
      <c r="I3" s="2" t="s">
        <v>5</v>
      </c>
      <c r="J3" s="2" t="s">
        <v>140</v>
      </c>
      <c r="K3" s="1"/>
      <c r="L3" s="2" t="s">
        <v>4</v>
      </c>
      <c r="M3" s="2" t="s">
        <v>5</v>
      </c>
      <c r="N3" s="2" t="s">
        <v>140</v>
      </c>
      <c r="O3" s="45"/>
      <c r="P3" s="2" t="s">
        <v>4</v>
      </c>
      <c r="Q3" s="2" t="s">
        <v>5</v>
      </c>
      <c r="R3" s="2" t="s">
        <v>140</v>
      </c>
      <c r="T3" s="2" t="s">
        <v>4</v>
      </c>
      <c r="U3" s="2" t="s">
        <v>5</v>
      </c>
      <c r="V3" s="2" t="s">
        <v>140</v>
      </c>
      <c r="X3" s="2" t="s">
        <v>4</v>
      </c>
      <c r="Y3" s="2" t="s">
        <v>5</v>
      </c>
      <c r="Z3" s="2" t="s">
        <v>140</v>
      </c>
      <c r="AB3" s="2" t="s">
        <v>4</v>
      </c>
      <c r="AC3" s="2" t="s">
        <v>5</v>
      </c>
      <c r="AD3" s="2" t="s">
        <v>140</v>
      </c>
      <c r="AF3" s="2" t="s">
        <v>4</v>
      </c>
      <c r="AG3" s="2" t="s">
        <v>5</v>
      </c>
      <c r="AH3" s="2" t="s">
        <v>140</v>
      </c>
      <c r="AJ3" s="2" t="s">
        <v>4</v>
      </c>
      <c r="AK3" s="2" t="s">
        <v>5</v>
      </c>
      <c r="AL3" s="2" t="s">
        <v>140</v>
      </c>
      <c r="AN3" s="2" t="s">
        <v>4</v>
      </c>
      <c r="AO3" s="2" t="s">
        <v>5</v>
      </c>
      <c r="AP3" s="2" t="s">
        <v>140</v>
      </c>
      <c r="AR3" s="2" t="s">
        <v>4</v>
      </c>
      <c r="AS3" s="2" t="s">
        <v>5</v>
      </c>
      <c r="AT3" s="2" t="s">
        <v>140</v>
      </c>
      <c r="AV3" s="2" t="s">
        <v>4</v>
      </c>
      <c r="AW3" s="2" t="s">
        <v>5</v>
      </c>
      <c r="AX3" s="2" t="s">
        <v>140</v>
      </c>
      <c r="AZ3" s="2" t="s">
        <v>4</v>
      </c>
      <c r="BA3" s="2" t="s">
        <v>5</v>
      </c>
      <c r="BB3" s="2" t="s">
        <v>140</v>
      </c>
      <c r="BD3" s="2" t="s">
        <v>4</v>
      </c>
      <c r="BE3" s="2" t="s">
        <v>5</v>
      </c>
      <c r="BF3" s="2" t="s">
        <v>140</v>
      </c>
      <c r="BH3" s="2" t="s">
        <v>4</v>
      </c>
      <c r="BI3" s="2" t="s">
        <v>5</v>
      </c>
      <c r="BJ3" s="2" t="s">
        <v>140</v>
      </c>
      <c r="BL3" s="2" t="s">
        <v>4</v>
      </c>
      <c r="BM3" s="2" t="s">
        <v>5</v>
      </c>
      <c r="BN3" s="2" t="s">
        <v>140</v>
      </c>
      <c r="BP3" s="2" t="s">
        <v>4</v>
      </c>
      <c r="BQ3" s="2" t="s">
        <v>5</v>
      </c>
      <c r="BR3" s="2" t="s">
        <v>140</v>
      </c>
      <c r="BT3" s="2" t="s">
        <v>4</v>
      </c>
      <c r="BU3" s="2" t="s">
        <v>5</v>
      </c>
      <c r="BV3" s="2" t="s">
        <v>140</v>
      </c>
      <c r="BX3" s="2" t="s">
        <v>4</v>
      </c>
      <c r="BY3" s="2" t="s">
        <v>5</v>
      </c>
      <c r="BZ3" s="2" t="s">
        <v>140</v>
      </c>
      <c r="CB3" s="2" t="s">
        <v>4</v>
      </c>
      <c r="CC3" s="2" t="s">
        <v>5</v>
      </c>
      <c r="CD3" s="2" t="s">
        <v>140</v>
      </c>
      <c r="CF3" s="2" t="s">
        <v>4</v>
      </c>
      <c r="CG3" s="2" t="s">
        <v>5</v>
      </c>
      <c r="CH3" s="2" t="s">
        <v>140</v>
      </c>
      <c r="CJ3" s="2" t="s">
        <v>4</v>
      </c>
      <c r="CK3" s="2" t="s">
        <v>5</v>
      </c>
      <c r="CL3" s="2" t="s">
        <v>140</v>
      </c>
      <c r="CN3" s="2" t="s">
        <v>4</v>
      </c>
      <c r="CO3" s="2" t="s">
        <v>5</v>
      </c>
      <c r="CP3" s="2" t="s">
        <v>140</v>
      </c>
      <c r="CR3" s="2" t="s">
        <v>4</v>
      </c>
      <c r="CS3" s="2" t="s">
        <v>5</v>
      </c>
      <c r="CT3" s="2" t="s">
        <v>140</v>
      </c>
      <c r="CV3" s="2" t="s">
        <v>4</v>
      </c>
      <c r="CW3" s="2" t="s">
        <v>5</v>
      </c>
      <c r="CX3" s="2" t="s">
        <v>140</v>
      </c>
      <c r="CZ3" s="2" t="s">
        <v>4</v>
      </c>
      <c r="DA3" s="2" t="s">
        <v>5</v>
      </c>
      <c r="DB3" s="2" t="s">
        <v>140</v>
      </c>
      <c r="DD3" s="2" t="s">
        <v>4</v>
      </c>
      <c r="DE3" s="2" t="s">
        <v>5</v>
      </c>
      <c r="DF3" s="2" t="s">
        <v>140</v>
      </c>
      <c r="DH3" s="2" t="s">
        <v>4</v>
      </c>
      <c r="DI3" s="2" t="s">
        <v>5</v>
      </c>
      <c r="DJ3" s="2" t="s">
        <v>140</v>
      </c>
      <c r="DL3" s="2" t="s">
        <v>4</v>
      </c>
      <c r="DM3" s="2" t="s">
        <v>5</v>
      </c>
      <c r="DN3" s="2" t="s">
        <v>140</v>
      </c>
      <c r="DP3" s="2" t="s">
        <v>4</v>
      </c>
      <c r="DQ3" s="2" t="s">
        <v>5</v>
      </c>
      <c r="DR3" s="2" t="s">
        <v>140</v>
      </c>
      <c r="DT3" s="2" t="s">
        <v>4</v>
      </c>
      <c r="DU3" s="2" t="s">
        <v>5</v>
      </c>
      <c r="DV3" s="2" t="s">
        <v>140</v>
      </c>
      <c r="DX3" s="2" t="s">
        <v>4</v>
      </c>
      <c r="DY3" s="2" t="s">
        <v>5</v>
      </c>
      <c r="DZ3" s="2" t="s">
        <v>140</v>
      </c>
      <c r="EB3" s="2" t="s">
        <v>4</v>
      </c>
      <c r="EC3" s="2" t="s">
        <v>5</v>
      </c>
      <c r="ED3" s="2" t="s">
        <v>140</v>
      </c>
    </row>
    <row r="4" spans="2:134" ht="11" customHeight="1" x14ac:dyDescent="0.35">
      <c r="B4" s="4">
        <v>101003</v>
      </c>
      <c r="C4" s="4" t="s">
        <v>10</v>
      </c>
      <c r="D4" s="4">
        <v>1</v>
      </c>
      <c r="E4" s="5">
        <v>48</v>
      </c>
      <c r="F4" s="6">
        <v>39.4372481296</v>
      </c>
      <c r="G4" s="7"/>
      <c r="H4" s="49"/>
      <c r="I4" s="49"/>
      <c r="J4" s="50">
        <f>(I4/E4)+H4</f>
        <v>0</v>
      </c>
      <c r="K4" s="9"/>
      <c r="L4" s="49"/>
      <c r="M4" s="49"/>
      <c r="N4" s="50">
        <f>(M4/E4)+L4</f>
        <v>0</v>
      </c>
      <c r="O4" s="46"/>
      <c r="P4" s="49"/>
      <c r="Q4" s="49"/>
      <c r="R4" s="50">
        <f>(Q4/E4)+P4</f>
        <v>0</v>
      </c>
      <c r="T4" s="49"/>
      <c r="U4" s="49"/>
      <c r="V4" s="50">
        <f>(U4/E4)+T4</f>
        <v>0</v>
      </c>
      <c r="X4" s="49"/>
      <c r="Y4" s="49"/>
      <c r="Z4" s="50">
        <f>(Y4/E4)+X4</f>
        <v>0</v>
      </c>
      <c r="AB4" s="49"/>
      <c r="AC4" s="49"/>
      <c r="AD4" s="50">
        <f>(AC4/E4)+AB4</f>
        <v>0</v>
      </c>
      <c r="AF4" s="49"/>
      <c r="AG4" s="49"/>
      <c r="AH4" s="50">
        <f>(AG4/E4)+AF4</f>
        <v>0</v>
      </c>
      <c r="AJ4" s="49"/>
      <c r="AK4" s="49"/>
      <c r="AL4" s="50">
        <f>(AK4/E4)+AJ4</f>
        <v>0</v>
      </c>
      <c r="AN4" s="49"/>
      <c r="AO4" s="49"/>
      <c r="AP4" s="50">
        <f>(AO4/E4)+AN4</f>
        <v>0</v>
      </c>
      <c r="AR4" s="49"/>
      <c r="AS4" s="49"/>
      <c r="AT4" s="50">
        <f>(AS4/E4)+AR4</f>
        <v>0</v>
      </c>
      <c r="AV4" s="49"/>
      <c r="AW4" s="49"/>
      <c r="AX4" s="50">
        <f>(AW4/E4)+AV4</f>
        <v>0</v>
      </c>
      <c r="AZ4" s="49"/>
      <c r="BA4" s="49"/>
      <c r="BB4" s="50">
        <f>(BA4/E4)+AZ4</f>
        <v>0</v>
      </c>
      <c r="BD4" s="49"/>
      <c r="BE4" s="49"/>
      <c r="BF4" s="50">
        <f>(BE4/E4)+BD4</f>
        <v>0</v>
      </c>
      <c r="BH4" s="49"/>
      <c r="BI4" s="49"/>
      <c r="BJ4" s="50">
        <f>(BI4/E4)+BH4</f>
        <v>0</v>
      </c>
      <c r="BL4" s="49"/>
      <c r="BM4" s="49"/>
      <c r="BN4" s="50">
        <f>(BM4/E4)+BL4</f>
        <v>0</v>
      </c>
      <c r="BP4" s="49"/>
      <c r="BQ4" s="49"/>
      <c r="BR4" s="50">
        <f>(BQ4/E4)+BP4</f>
        <v>0</v>
      </c>
      <c r="BT4" s="49"/>
      <c r="BU4" s="49"/>
      <c r="BV4" s="50">
        <f>(BU4/E4)+BT4</f>
        <v>0</v>
      </c>
      <c r="BX4" s="49"/>
      <c r="BY4" s="49"/>
      <c r="BZ4" s="50">
        <f>(BY4/E4)+BX4</f>
        <v>0</v>
      </c>
      <c r="CB4" s="49"/>
      <c r="CC4" s="49"/>
      <c r="CD4" s="50">
        <f>(CC4/E4)+CB4</f>
        <v>0</v>
      </c>
      <c r="CF4" s="49"/>
      <c r="CG4" s="49"/>
      <c r="CH4" s="50">
        <f>(CG4/E4)+CF4</f>
        <v>0</v>
      </c>
      <c r="CJ4" s="49"/>
      <c r="CK4" s="49"/>
      <c r="CL4" s="50">
        <f>(CK4/E4)+CJ4</f>
        <v>0</v>
      </c>
      <c r="CN4" s="49"/>
      <c r="CO4" s="49"/>
      <c r="CP4" s="50">
        <f>(CO4/E4)+CN4</f>
        <v>0</v>
      </c>
      <c r="CR4" s="49"/>
      <c r="CS4" s="49"/>
      <c r="CT4" s="50">
        <f>(CS4/E4)+CR4</f>
        <v>0</v>
      </c>
      <c r="CV4" s="49"/>
      <c r="CW4" s="49"/>
      <c r="CX4" s="50">
        <f>(CW4/E4)+CV4</f>
        <v>0</v>
      </c>
      <c r="CZ4" s="49"/>
      <c r="DA4" s="49"/>
      <c r="DB4" s="50">
        <f>(DA4/E4)+CZ4</f>
        <v>0</v>
      </c>
      <c r="DD4" s="49"/>
      <c r="DE4" s="49"/>
      <c r="DF4" s="50">
        <f>(DE4/E4)+DD4</f>
        <v>0</v>
      </c>
      <c r="DH4" s="49"/>
      <c r="DI4" s="49"/>
      <c r="DJ4" s="50">
        <f>(DI4/E4)+DH4</f>
        <v>0</v>
      </c>
      <c r="DL4" s="49"/>
      <c r="DM4" s="49"/>
      <c r="DN4" s="50">
        <f>(DM4/E4)+DL4</f>
        <v>0</v>
      </c>
      <c r="DP4" s="49"/>
      <c r="DQ4" s="49"/>
      <c r="DR4" s="50">
        <f>(DQ4/E4)+DP4</f>
        <v>0</v>
      </c>
      <c r="DT4" s="49"/>
      <c r="DU4" s="49"/>
      <c r="DV4" s="50">
        <f>(DU4/E4)+DT4</f>
        <v>0</v>
      </c>
      <c r="DX4" s="49"/>
      <c r="DY4" s="49"/>
      <c r="DZ4" s="50">
        <f>(DY4/E4)+DX4</f>
        <v>0</v>
      </c>
      <c r="EB4" s="49">
        <f>H4+L4+P4+T4+X4+AB4+AF4+AJ4+AN4+AR4+AV4+AZ4+BD4+BH4+BL4+BP4+BT4+BX4+CB4+CF4+CJ4+CN4+CR4+CV4+CZ4+DD4+DH4+DL4+DP4+DT4+DX4</f>
        <v>0</v>
      </c>
      <c r="EC4" s="49">
        <f>I4+M4+Q4+U4+Y4+AC4+AG4+AK4+AO4+AS4+AW4+BA4+BE4+BI4+BM4+BQ4+BU4+BY4+CC4+CG4+CK4+CO4+CS4+CW4+DA4+DE4+DI4+DM4+DQ4+DU4+DY4</f>
        <v>0</v>
      </c>
      <c r="ED4" s="49">
        <f>J4+N4+R4+V4+Z4+AD4+AH4+AL4+AP4+AT4+AX4+BB4+BF4+BJ4+BN4+BR4+BV4+BZ4+CD4+CH4+CL4+CP4+CT4+CX4+DB4+DF4+DJ4+DN4+DR4+DV4+DZ4</f>
        <v>0</v>
      </c>
    </row>
    <row r="5" spans="2:134" ht="11" customHeight="1" x14ac:dyDescent="0.35">
      <c r="B5" s="4">
        <v>101017</v>
      </c>
      <c r="C5" s="4" t="s">
        <v>11</v>
      </c>
      <c r="D5" s="4">
        <v>1</v>
      </c>
      <c r="E5" s="5">
        <v>48</v>
      </c>
      <c r="F5" s="6">
        <v>39.4372481296</v>
      </c>
      <c r="G5" s="7"/>
      <c r="H5" s="49"/>
      <c r="I5" s="49"/>
      <c r="J5" s="50">
        <f>(I5/E5)+H5</f>
        <v>0</v>
      </c>
      <c r="K5" s="9"/>
      <c r="L5" s="49"/>
      <c r="M5" s="49"/>
      <c r="N5" s="50">
        <f t="shared" ref="N5:N68" si="0">(M5/E5)+L5</f>
        <v>0</v>
      </c>
      <c r="O5" s="46"/>
      <c r="P5" s="49"/>
      <c r="Q5" s="49"/>
      <c r="R5" s="50">
        <f t="shared" ref="R5:R68" si="1">(Q5/E5)+P5</f>
        <v>0</v>
      </c>
      <c r="T5" s="49"/>
      <c r="U5" s="49"/>
      <c r="V5" s="50">
        <f t="shared" ref="V5:V68" si="2">(U5/E5)+T5</f>
        <v>0</v>
      </c>
      <c r="X5" s="49"/>
      <c r="Y5" s="49"/>
      <c r="Z5" s="50">
        <f t="shared" ref="Z5:Z68" si="3">(Y5/E5)+X5</f>
        <v>0</v>
      </c>
      <c r="AB5" s="49"/>
      <c r="AC5" s="49"/>
      <c r="AD5" s="50">
        <f t="shared" ref="AD5:AD68" si="4">(AC5/E5)+AB5</f>
        <v>0</v>
      </c>
      <c r="AF5" s="49"/>
      <c r="AG5" s="49"/>
      <c r="AH5" s="50">
        <f t="shared" ref="AH5:AH68" si="5">(AG5/E5)+AF5</f>
        <v>0</v>
      </c>
      <c r="AJ5" s="49"/>
      <c r="AK5" s="49"/>
      <c r="AL5" s="50">
        <f t="shared" ref="AL5:AL68" si="6">(AK5/E5)+AJ5</f>
        <v>0</v>
      </c>
      <c r="AN5" s="49"/>
      <c r="AO5" s="49"/>
      <c r="AP5" s="50">
        <f t="shared" ref="AP5:AP68" si="7">(AO5/E5)+AN5</f>
        <v>0</v>
      </c>
      <c r="AR5" s="49"/>
      <c r="AS5" s="49"/>
      <c r="AT5" s="50">
        <f t="shared" ref="AT5:AT68" si="8">(AS5/E5)+AR5</f>
        <v>0</v>
      </c>
      <c r="AV5" s="49"/>
      <c r="AW5" s="49"/>
      <c r="AX5" s="50">
        <f t="shared" ref="AX5:AX68" si="9">(AW5/E5)+AV5</f>
        <v>0</v>
      </c>
      <c r="AZ5" s="49"/>
      <c r="BA5" s="49"/>
      <c r="BB5" s="50">
        <f t="shared" ref="BB5:BB68" si="10">(BA5/E5)+AZ5</f>
        <v>0</v>
      </c>
      <c r="BD5" s="49"/>
      <c r="BE5" s="49"/>
      <c r="BF5" s="50">
        <f t="shared" ref="BF5:BF68" si="11">(BE5/E5)+BD5</f>
        <v>0</v>
      </c>
      <c r="BH5" s="49"/>
      <c r="BI5" s="49"/>
      <c r="BJ5" s="50">
        <f t="shared" ref="BJ5:BJ68" si="12">(BI5/E5)+BH5</f>
        <v>0</v>
      </c>
      <c r="BL5" s="49"/>
      <c r="BM5" s="49"/>
      <c r="BN5" s="50">
        <f t="shared" ref="BN5:BN68" si="13">(BM5/E5)+BL5</f>
        <v>0</v>
      </c>
      <c r="BP5" s="49"/>
      <c r="BQ5" s="49"/>
      <c r="BR5" s="50">
        <f t="shared" ref="BR5:BR68" si="14">(BQ5/E5)+BP5</f>
        <v>0</v>
      </c>
      <c r="BT5" s="49"/>
      <c r="BU5" s="49"/>
      <c r="BV5" s="50">
        <f t="shared" ref="BV5:BV68" si="15">(BU5/E5)+BT5</f>
        <v>0</v>
      </c>
      <c r="BX5" s="49"/>
      <c r="BY5" s="49"/>
      <c r="BZ5" s="50">
        <f t="shared" ref="BZ5:BZ68" si="16">(BY5/E5)+BX5</f>
        <v>0</v>
      </c>
      <c r="CB5" s="49"/>
      <c r="CC5" s="49"/>
      <c r="CD5" s="50">
        <f t="shared" ref="CD5:CD68" si="17">(CC5/E5)+CB5</f>
        <v>0</v>
      </c>
      <c r="CF5" s="49"/>
      <c r="CG5" s="49"/>
      <c r="CH5" s="50">
        <f t="shared" ref="CH5:CH68" si="18">(CG5/E5)+CF5</f>
        <v>0</v>
      </c>
      <c r="CJ5" s="49"/>
      <c r="CK5" s="49"/>
      <c r="CL5" s="50">
        <f t="shared" ref="CL5:CL68" si="19">(CK5/E5)+CJ5</f>
        <v>0</v>
      </c>
      <c r="CN5" s="49"/>
      <c r="CO5" s="49"/>
      <c r="CP5" s="50">
        <f t="shared" ref="CP5:CP68" si="20">(CO5/E5)+CN5</f>
        <v>0</v>
      </c>
      <c r="CR5" s="49"/>
      <c r="CS5" s="49"/>
      <c r="CT5" s="50">
        <f t="shared" ref="CT5:CT68" si="21">(CS5/E5)+CR5</f>
        <v>0</v>
      </c>
      <c r="CV5" s="49"/>
      <c r="CW5" s="49"/>
      <c r="CX5" s="50">
        <f t="shared" ref="CX5:CX68" si="22">(CW5/E5)+CV5</f>
        <v>0</v>
      </c>
      <c r="CZ5" s="49"/>
      <c r="DA5" s="49"/>
      <c r="DB5" s="50">
        <f t="shared" ref="DB5:DB68" si="23">(DA5/E5)+CZ5</f>
        <v>0</v>
      </c>
      <c r="DD5" s="49"/>
      <c r="DE5" s="49"/>
      <c r="DF5" s="50">
        <f t="shared" ref="DF5:DF68" si="24">(DE5/E5)+DD5</f>
        <v>0</v>
      </c>
      <c r="DH5" s="49"/>
      <c r="DI5" s="49"/>
      <c r="DJ5" s="50">
        <f t="shared" ref="DJ5:DJ68" si="25">(DI5/E5)+DH5</f>
        <v>0</v>
      </c>
      <c r="DL5" s="49"/>
      <c r="DM5" s="49"/>
      <c r="DN5" s="50">
        <f t="shared" ref="DN5:DN68" si="26">(DM5/E5)+DL5</f>
        <v>0</v>
      </c>
      <c r="DP5" s="49"/>
      <c r="DQ5" s="49"/>
      <c r="DR5" s="50">
        <f t="shared" ref="DR5:DR68" si="27">(DQ5/E5)+DP5</f>
        <v>0</v>
      </c>
      <c r="DT5" s="49"/>
      <c r="DU5" s="49"/>
      <c r="DV5" s="50">
        <f t="shared" ref="DV5:DV68" si="28">(DU5/E5)+DT5</f>
        <v>0</v>
      </c>
      <c r="DX5" s="49"/>
      <c r="DY5" s="49"/>
      <c r="DZ5" s="50">
        <f t="shared" ref="DZ5:DZ68" si="29">(DY5/E5)+DX5</f>
        <v>0</v>
      </c>
      <c r="EB5" s="49">
        <f t="shared" ref="EB5:ED68" si="30">H5+L5+P5+T5+X5+AB5+AF5+AJ5+AN5+AR5+AV5+AZ5+BD5+BH5+BL5+BP5+BT5+BX5+CB5+CF5+CJ5+CN5+CR5+CV5+CZ5+DD5+DH5+DL5+DP5+DT5+DX5</f>
        <v>0</v>
      </c>
      <c r="EC5" s="49">
        <f t="shared" si="30"/>
        <v>0</v>
      </c>
      <c r="ED5" s="49">
        <f t="shared" si="30"/>
        <v>0</v>
      </c>
    </row>
    <row r="6" spans="2:134" ht="11" customHeight="1" x14ac:dyDescent="0.35">
      <c r="B6" s="4">
        <v>101037</v>
      </c>
      <c r="C6" s="4" t="s">
        <v>12</v>
      </c>
      <c r="D6" s="4">
        <v>1</v>
      </c>
      <c r="E6" s="5">
        <v>48</v>
      </c>
      <c r="F6" s="6">
        <v>39.4372481296</v>
      </c>
      <c r="G6" s="7"/>
      <c r="H6" s="49"/>
      <c r="I6" s="49"/>
      <c r="J6" s="50">
        <f>(I6/E6)+H6</f>
        <v>0</v>
      </c>
      <c r="K6" s="9"/>
      <c r="L6" s="49"/>
      <c r="M6" s="49"/>
      <c r="N6" s="50">
        <f t="shared" si="0"/>
        <v>0</v>
      </c>
      <c r="O6" s="46"/>
      <c r="P6" s="49"/>
      <c r="Q6" s="49"/>
      <c r="R6" s="50">
        <f t="shared" si="1"/>
        <v>0</v>
      </c>
      <c r="T6" s="49"/>
      <c r="U6" s="49"/>
      <c r="V6" s="50">
        <f t="shared" si="2"/>
        <v>0</v>
      </c>
      <c r="X6" s="49"/>
      <c r="Y6" s="49"/>
      <c r="Z6" s="50">
        <f t="shared" si="3"/>
        <v>0</v>
      </c>
      <c r="AB6" s="49"/>
      <c r="AC6" s="49"/>
      <c r="AD6" s="50">
        <f t="shared" si="4"/>
        <v>0</v>
      </c>
      <c r="AF6" s="49"/>
      <c r="AG6" s="49"/>
      <c r="AH6" s="50">
        <f t="shared" si="5"/>
        <v>0</v>
      </c>
      <c r="AJ6" s="49"/>
      <c r="AK6" s="49"/>
      <c r="AL6" s="50">
        <f t="shared" si="6"/>
        <v>0</v>
      </c>
      <c r="AN6" s="49"/>
      <c r="AO6" s="49"/>
      <c r="AP6" s="50">
        <f t="shared" si="7"/>
        <v>0</v>
      </c>
      <c r="AR6" s="49"/>
      <c r="AS6" s="49"/>
      <c r="AT6" s="50">
        <f t="shared" si="8"/>
        <v>0</v>
      </c>
      <c r="AV6" s="49"/>
      <c r="AW6" s="49"/>
      <c r="AX6" s="50">
        <f t="shared" si="9"/>
        <v>0</v>
      </c>
      <c r="AZ6" s="49"/>
      <c r="BA6" s="49"/>
      <c r="BB6" s="50">
        <f t="shared" si="10"/>
        <v>0</v>
      </c>
      <c r="BD6" s="49"/>
      <c r="BE6" s="49"/>
      <c r="BF6" s="50">
        <f t="shared" si="11"/>
        <v>0</v>
      </c>
      <c r="BH6" s="49"/>
      <c r="BI6" s="49"/>
      <c r="BJ6" s="50">
        <f t="shared" si="12"/>
        <v>0</v>
      </c>
      <c r="BL6" s="49"/>
      <c r="BM6" s="49"/>
      <c r="BN6" s="50">
        <f t="shared" si="13"/>
        <v>0</v>
      </c>
      <c r="BP6" s="49"/>
      <c r="BQ6" s="49"/>
      <c r="BR6" s="50">
        <f t="shared" si="14"/>
        <v>0</v>
      </c>
      <c r="BT6" s="49"/>
      <c r="BU6" s="49"/>
      <c r="BV6" s="50">
        <f t="shared" si="15"/>
        <v>0</v>
      </c>
      <c r="BX6" s="49"/>
      <c r="BY6" s="49"/>
      <c r="BZ6" s="50">
        <f t="shared" si="16"/>
        <v>0</v>
      </c>
      <c r="CB6" s="49"/>
      <c r="CC6" s="49"/>
      <c r="CD6" s="50">
        <f t="shared" si="17"/>
        <v>0</v>
      </c>
      <c r="CF6" s="49"/>
      <c r="CG6" s="49"/>
      <c r="CH6" s="50">
        <f t="shared" si="18"/>
        <v>0</v>
      </c>
      <c r="CJ6" s="49"/>
      <c r="CK6" s="49"/>
      <c r="CL6" s="50">
        <f t="shared" si="19"/>
        <v>0</v>
      </c>
      <c r="CN6" s="49"/>
      <c r="CO6" s="49"/>
      <c r="CP6" s="50">
        <f t="shared" si="20"/>
        <v>0</v>
      </c>
      <c r="CR6" s="49"/>
      <c r="CS6" s="49"/>
      <c r="CT6" s="50">
        <f t="shared" si="21"/>
        <v>0</v>
      </c>
      <c r="CV6" s="49"/>
      <c r="CW6" s="49"/>
      <c r="CX6" s="50">
        <f t="shared" si="22"/>
        <v>0</v>
      </c>
      <c r="CZ6" s="49"/>
      <c r="DA6" s="49"/>
      <c r="DB6" s="50">
        <f t="shared" si="23"/>
        <v>0</v>
      </c>
      <c r="DD6" s="49"/>
      <c r="DE6" s="49"/>
      <c r="DF6" s="50">
        <f t="shared" si="24"/>
        <v>0</v>
      </c>
      <c r="DH6" s="49"/>
      <c r="DI6" s="49"/>
      <c r="DJ6" s="50">
        <f t="shared" si="25"/>
        <v>0</v>
      </c>
      <c r="DL6" s="49"/>
      <c r="DM6" s="49"/>
      <c r="DN6" s="50">
        <f t="shared" si="26"/>
        <v>0</v>
      </c>
      <c r="DP6" s="49"/>
      <c r="DQ6" s="49"/>
      <c r="DR6" s="50">
        <f t="shared" si="27"/>
        <v>0</v>
      </c>
      <c r="DT6" s="49"/>
      <c r="DU6" s="49"/>
      <c r="DV6" s="50">
        <f t="shared" si="28"/>
        <v>0</v>
      </c>
      <c r="DX6" s="49"/>
      <c r="DY6" s="49"/>
      <c r="DZ6" s="50">
        <f t="shared" si="29"/>
        <v>0</v>
      </c>
      <c r="EB6" s="49">
        <f t="shared" si="30"/>
        <v>0</v>
      </c>
      <c r="EC6" s="49">
        <f t="shared" si="30"/>
        <v>0</v>
      </c>
      <c r="ED6" s="49">
        <f t="shared" si="30"/>
        <v>0</v>
      </c>
    </row>
    <row r="7" spans="2:134" ht="11" customHeight="1" x14ac:dyDescent="0.35">
      <c r="B7" s="4">
        <v>101045</v>
      </c>
      <c r="C7" s="4" t="s">
        <v>13</v>
      </c>
      <c r="D7" s="4">
        <v>18</v>
      </c>
      <c r="E7" s="5">
        <v>18</v>
      </c>
      <c r="F7" s="6">
        <v>288.68044392000002</v>
      </c>
      <c r="G7" s="7"/>
      <c r="H7" s="49"/>
      <c r="I7" s="49"/>
      <c r="J7" s="50">
        <f t="shared" ref="J7:J70" si="31">(I7/E7)+H7</f>
        <v>0</v>
      </c>
      <c r="K7" s="9"/>
      <c r="L7" s="49"/>
      <c r="M7" s="49"/>
      <c r="N7" s="50">
        <f t="shared" si="0"/>
        <v>0</v>
      </c>
      <c r="O7" s="46"/>
      <c r="P7" s="49"/>
      <c r="Q7" s="49"/>
      <c r="R7" s="50">
        <f t="shared" si="1"/>
        <v>0</v>
      </c>
      <c r="T7" s="49"/>
      <c r="U7" s="49"/>
      <c r="V7" s="50">
        <f t="shared" si="2"/>
        <v>0</v>
      </c>
      <c r="X7" s="49"/>
      <c r="Y7" s="49"/>
      <c r="Z7" s="50">
        <f t="shared" si="3"/>
        <v>0</v>
      </c>
      <c r="AB7" s="49"/>
      <c r="AC7" s="49"/>
      <c r="AD7" s="50">
        <f t="shared" si="4"/>
        <v>0</v>
      </c>
      <c r="AF7" s="49"/>
      <c r="AG7" s="49"/>
      <c r="AH7" s="50">
        <f t="shared" si="5"/>
        <v>0</v>
      </c>
      <c r="AJ7" s="49"/>
      <c r="AK7" s="49"/>
      <c r="AL7" s="50">
        <f t="shared" si="6"/>
        <v>0</v>
      </c>
      <c r="AN7" s="49"/>
      <c r="AO7" s="49"/>
      <c r="AP7" s="50">
        <f t="shared" si="7"/>
        <v>0</v>
      </c>
      <c r="AR7" s="49"/>
      <c r="AS7" s="49"/>
      <c r="AT7" s="50">
        <f t="shared" si="8"/>
        <v>0</v>
      </c>
      <c r="AV7" s="49"/>
      <c r="AW7" s="49"/>
      <c r="AX7" s="50">
        <f t="shared" si="9"/>
        <v>0</v>
      </c>
      <c r="AZ7" s="49"/>
      <c r="BA7" s="49"/>
      <c r="BB7" s="50">
        <f t="shared" si="10"/>
        <v>0</v>
      </c>
      <c r="BD7" s="49"/>
      <c r="BE7" s="49"/>
      <c r="BF7" s="50">
        <f t="shared" si="11"/>
        <v>0</v>
      </c>
      <c r="BH7" s="49"/>
      <c r="BI7" s="49"/>
      <c r="BJ7" s="50">
        <f t="shared" si="12"/>
        <v>0</v>
      </c>
      <c r="BL7" s="49"/>
      <c r="BM7" s="49"/>
      <c r="BN7" s="50">
        <f t="shared" si="13"/>
        <v>0</v>
      </c>
      <c r="BP7" s="49"/>
      <c r="BQ7" s="49"/>
      <c r="BR7" s="50">
        <f t="shared" si="14"/>
        <v>0</v>
      </c>
      <c r="BT7" s="49"/>
      <c r="BU7" s="49"/>
      <c r="BV7" s="50">
        <f t="shared" si="15"/>
        <v>0</v>
      </c>
      <c r="BX7" s="49"/>
      <c r="BY7" s="49"/>
      <c r="BZ7" s="50">
        <f t="shared" si="16"/>
        <v>0</v>
      </c>
      <c r="CB7" s="49"/>
      <c r="CC7" s="49"/>
      <c r="CD7" s="50">
        <f t="shared" si="17"/>
        <v>0</v>
      </c>
      <c r="CF7" s="49"/>
      <c r="CG7" s="49"/>
      <c r="CH7" s="50">
        <f t="shared" si="18"/>
        <v>0</v>
      </c>
      <c r="CJ7" s="49"/>
      <c r="CK7" s="49"/>
      <c r="CL7" s="50">
        <f t="shared" si="19"/>
        <v>0</v>
      </c>
      <c r="CN7" s="49"/>
      <c r="CO7" s="49"/>
      <c r="CP7" s="50">
        <f t="shared" si="20"/>
        <v>0</v>
      </c>
      <c r="CR7" s="49"/>
      <c r="CS7" s="49"/>
      <c r="CT7" s="50">
        <f t="shared" si="21"/>
        <v>0</v>
      </c>
      <c r="CV7" s="49"/>
      <c r="CW7" s="49"/>
      <c r="CX7" s="50">
        <f t="shared" si="22"/>
        <v>0</v>
      </c>
      <c r="CZ7" s="49"/>
      <c r="DA7" s="49"/>
      <c r="DB7" s="50">
        <f t="shared" si="23"/>
        <v>0</v>
      </c>
      <c r="DD7" s="49"/>
      <c r="DE7" s="49"/>
      <c r="DF7" s="50">
        <f t="shared" si="24"/>
        <v>0</v>
      </c>
      <c r="DH7" s="49"/>
      <c r="DI7" s="49"/>
      <c r="DJ7" s="50">
        <f t="shared" si="25"/>
        <v>0</v>
      </c>
      <c r="DL7" s="49"/>
      <c r="DM7" s="49"/>
      <c r="DN7" s="50">
        <f t="shared" si="26"/>
        <v>0</v>
      </c>
      <c r="DP7" s="49"/>
      <c r="DQ7" s="49"/>
      <c r="DR7" s="50">
        <f t="shared" si="27"/>
        <v>0</v>
      </c>
      <c r="DT7" s="49"/>
      <c r="DU7" s="49"/>
      <c r="DV7" s="50">
        <f t="shared" si="28"/>
        <v>0</v>
      </c>
      <c r="DX7" s="49"/>
      <c r="DY7" s="49"/>
      <c r="DZ7" s="50">
        <f t="shared" si="29"/>
        <v>0</v>
      </c>
      <c r="EB7" s="49">
        <f t="shared" si="30"/>
        <v>0</v>
      </c>
      <c r="EC7" s="49">
        <f t="shared" si="30"/>
        <v>0</v>
      </c>
      <c r="ED7" s="49">
        <f t="shared" si="30"/>
        <v>0</v>
      </c>
    </row>
    <row r="8" spans="2:134" ht="11" customHeight="1" x14ac:dyDescent="0.35">
      <c r="B8" s="4">
        <v>101057</v>
      </c>
      <c r="C8" s="4" t="s">
        <v>14</v>
      </c>
      <c r="D8" s="4">
        <v>1</v>
      </c>
      <c r="E8" s="5">
        <v>48</v>
      </c>
      <c r="F8" s="6">
        <v>39.4372481296</v>
      </c>
      <c r="G8" s="7"/>
      <c r="H8" s="49"/>
      <c r="I8" s="49"/>
      <c r="J8" s="50">
        <f t="shared" si="31"/>
        <v>0</v>
      </c>
      <c r="K8" s="9"/>
      <c r="L8" s="49"/>
      <c r="M8" s="49"/>
      <c r="N8" s="50">
        <f t="shared" si="0"/>
        <v>0</v>
      </c>
      <c r="O8" s="46"/>
      <c r="P8" s="49"/>
      <c r="Q8" s="49"/>
      <c r="R8" s="50">
        <f t="shared" si="1"/>
        <v>0</v>
      </c>
      <c r="T8" s="49"/>
      <c r="U8" s="49"/>
      <c r="V8" s="50">
        <f t="shared" si="2"/>
        <v>0</v>
      </c>
      <c r="X8" s="49"/>
      <c r="Y8" s="49"/>
      <c r="Z8" s="50">
        <f t="shared" si="3"/>
        <v>0</v>
      </c>
      <c r="AB8" s="49"/>
      <c r="AC8" s="49"/>
      <c r="AD8" s="50">
        <f t="shared" si="4"/>
        <v>0</v>
      </c>
      <c r="AF8" s="49"/>
      <c r="AG8" s="49"/>
      <c r="AH8" s="50">
        <f t="shared" si="5"/>
        <v>0</v>
      </c>
      <c r="AJ8" s="49"/>
      <c r="AK8" s="49"/>
      <c r="AL8" s="50">
        <f t="shared" si="6"/>
        <v>0</v>
      </c>
      <c r="AN8" s="49"/>
      <c r="AO8" s="49"/>
      <c r="AP8" s="50">
        <f t="shared" si="7"/>
        <v>0</v>
      </c>
      <c r="AR8" s="49"/>
      <c r="AS8" s="49"/>
      <c r="AT8" s="50">
        <f t="shared" si="8"/>
        <v>0</v>
      </c>
      <c r="AV8" s="49"/>
      <c r="AW8" s="49"/>
      <c r="AX8" s="50">
        <f t="shared" si="9"/>
        <v>0</v>
      </c>
      <c r="AZ8" s="49"/>
      <c r="BA8" s="49"/>
      <c r="BB8" s="50">
        <f t="shared" si="10"/>
        <v>0</v>
      </c>
      <c r="BD8" s="49"/>
      <c r="BE8" s="49"/>
      <c r="BF8" s="50">
        <f t="shared" si="11"/>
        <v>0</v>
      </c>
      <c r="BH8" s="49"/>
      <c r="BI8" s="49"/>
      <c r="BJ8" s="50">
        <f t="shared" si="12"/>
        <v>0</v>
      </c>
      <c r="BL8" s="49"/>
      <c r="BM8" s="49"/>
      <c r="BN8" s="50">
        <f t="shared" si="13"/>
        <v>0</v>
      </c>
      <c r="BP8" s="49"/>
      <c r="BQ8" s="49"/>
      <c r="BR8" s="50">
        <f t="shared" si="14"/>
        <v>0</v>
      </c>
      <c r="BT8" s="49"/>
      <c r="BU8" s="49"/>
      <c r="BV8" s="50">
        <f t="shared" si="15"/>
        <v>0</v>
      </c>
      <c r="BX8" s="49"/>
      <c r="BY8" s="49"/>
      <c r="BZ8" s="50">
        <f t="shared" si="16"/>
        <v>0</v>
      </c>
      <c r="CB8" s="49"/>
      <c r="CC8" s="49"/>
      <c r="CD8" s="50">
        <f t="shared" si="17"/>
        <v>0</v>
      </c>
      <c r="CF8" s="49"/>
      <c r="CG8" s="49"/>
      <c r="CH8" s="50">
        <f t="shared" si="18"/>
        <v>0</v>
      </c>
      <c r="CJ8" s="49"/>
      <c r="CK8" s="49"/>
      <c r="CL8" s="50">
        <f t="shared" si="19"/>
        <v>0</v>
      </c>
      <c r="CN8" s="49"/>
      <c r="CO8" s="49"/>
      <c r="CP8" s="50">
        <f t="shared" si="20"/>
        <v>0</v>
      </c>
      <c r="CR8" s="49"/>
      <c r="CS8" s="49"/>
      <c r="CT8" s="50">
        <f t="shared" si="21"/>
        <v>0</v>
      </c>
      <c r="CV8" s="49"/>
      <c r="CW8" s="49"/>
      <c r="CX8" s="50">
        <f t="shared" si="22"/>
        <v>0</v>
      </c>
      <c r="CZ8" s="49"/>
      <c r="DA8" s="49"/>
      <c r="DB8" s="50">
        <f t="shared" si="23"/>
        <v>0</v>
      </c>
      <c r="DD8" s="49"/>
      <c r="DE8" s="49"/>
      <c r="DF8" s="50">
        <f t="shared" si="24"/>
        <v>0</v>
      </c>
      <c r="DH8" s="49"/>
      <c r="DI8" s="49"/>
      <c r="DJ8" s="50">
        <f t="shared" si="25"/>
        <v>0</v>
      </c>
      <c r="DL8" s="49"/>
      <c r="DM8" s="49"/>
      <c r="DN8" s="50">
        <f t="shared" si="26"/>
        <v>0</v>
      </c>
      <c r="DP8" s="49"/>
      <c r="DQ8" s="49"/>
      <c r="DR8" s="50">
        <f t="shared" si="27"/>
        <v>0</v>
      </c>
      <c r="DT8" s="49"/>
      <c r="DU8" s="49"/>
      <c r="DV8" s="50">
        <f t="shared" si="28"/>
        <v>0</v>
      </c>
      <c r="DX8" s="49"/>
      <c r="DY8" s="49"/>
      <c r="DZ8" s="50">
        <f t="shared" si="29"/>
        <v>0</v>
      </c>
      <c r="EB8" s="49">
        <f t="shared" si="30"/>
        <v>0</v>
      </c>
      <c r="EC8" s="49">
        <f t="shared" si="30"/>
        <v>0</v>
      </c>
      <c r="ED8" s="49">
        <f t="shared" si="30"/>
        <v>0</v>
      </c>
    </row>
    <row r="9" spans="2:134" ht="11" customHeight="1" x14ac:dyDescent="0.35">
      <c r="B9" s="4">
        <v>101058</v>
      </c>
      <c r="C9" s="4" t="s">
        <v>15</v>
      </c>
      <c r="D9" s="4">
        <v>24</v>
      </c>
      <c r="E9" s="5">
        <v>24</v>
      </c>
      <c r="F9" s="6">
        <v>189.29879107400001</v>
      </c>
      <c r="G9" s="7"/>
      <c r="H9" s="49"/>
      <c r="I9" s="49"/>
      <c r="J9" s="50">
        <f t="shared" si="31"/>
        <v>0</v>
      </c>
      <c r="K9" s="9"/>
      <c r="L9" s="49"/>
      <c r="M9" s="49"/>
      <c r="N9" s="50">
        <f t="shared" si="0"/>
        <v>0</v>
      </c>
      <c r="O9" s="46"/>
      <c r="P9" s="49"/>
      <c r="Q9" s="49"/>
      <c r="R9" s="50">
        <f t="shared" si="1"/>
        <v>0</v>
      </c>
      <c r="T9" s="49"/>
      <c r="U9" s="49"/>
      <c r="V9" s="50">
        <f t="shared" si="2"/>
        <v>0</v>
      </c>
      <c r="X9" s="49"/>
      <c r="Y9" s="49"/>
      <c r="Z9" s="50">
        <f t="shared" si="3"/>
        <v>0</v>
      </c>
      <c r="AB9" s="49"/>
      <c r="AC9" s="49"/>
      <c r="AD9" s="50">
        <f t="shared" si="4"/>
        <v>0</v>
      </c>
      <c r="AF9" s="49"/>
      <c r="AG9" s="49"/>
      <c r="AH9" s="50">
        <f t="shared" si="5"/>
        <v>0</v>
      </c>
      <c r="AJ9" s="49"/>
      <c r="AK9" s="49"/>
      <c r="AL9" s="50">
        <f t="shared" si="6"/>
        <v>0</v>
      </c>
      <c r="AN9" s="49"/>
      <c r="AO9" s="49"/>
      <c r="AP9" s="50">
        <f t="shared" si="7"/>
        <v>0</v>
      </c>
      <c r="AR9" s="49"/>
      <c r="AS9" s="49"/>
      <c r="AT9" s="50">
        <f t="shared" si="8"/>
        <v>0</v>
      </c>
      <c r="AV9" s="49"/>
      <c r="AW9" s="49"/>
      <c r="AX9" s="50">
        <f t="shared" si="9"/>
        <v>0</v>
      </c>
      <c r="AZ9" s="49"/>
      <c r="BA9" s="49"/>
      <c r="BB9" s="50">
        <f t="shared" si="10"/>
        <v>0</v>
      </c>
      <c r="BD9" s="49"/>
      <c r="BE9" s="49"/>
      <c r="BF9" s="50">
        <f t="shared" si="11"/>
        <v>0</v>
      </c>
      <c r="BH9" s="49"/>
      <c r="BI9" s="49"/>
      <c r="BJ9" s="50">
        <f t="shared" si="12"/>
        <v>0</v>
      </c>
      <c r="BL9" s="49"/>
      <c r="BM9" s="49"/>
      <c r="BN9" s="50">
        <f t="shared" si="13"/>
        <v>0</v>
      </c>
      <c r="BP9" s="49"/>
      <c r="BQ9" s="49"/>
      <c r="BR9" s="50">
        <f t="shared" si="14"/>
        <v>0</v>
      </c>
      <c r="BT9" s="49"/>
      <c r="BU9" s="49"/>
      <c r="BV9" s="50">
        <f t="shared" si="15"/>
        <v>0</v>
      </c>
      <c r="BX9" s="49"/>
      <c r="BY9" s="49"/>
      <c r="BZ9" s="50">
        <f t="shared" si="16"/>
        <v>0</v>
      </c>
      <c r="CB9" s="49"/>
      <c r="CC9" s="49"/>
      <c r="CD9" s="50">
        <f t="shared" si="17"/>
        <v>0</v>
      </c>
      <c r="CF9" s="49"/>
      <c r="CG9" s="49"/>
      <c r="CH9" s="50">
        <f t="shared" si="18"/>
        <v>0</v>
      </c>
      <c r="CJ9" s="49"/>
      <c r="CK9" s="49"/>
      <c r="CL9" s="50">
        <f t="shared" si="19"/>
        <v>0</v>
      </c>
      <c r="CN9" s="49"/>
      <c r="CO9" s="49"/>
      <c r="CP9" s="50">
        <f t="shared" si="20"/>
        <v>0</v>
      </c>
      <c r="CR9" s="49"/>
      <c r="CS9" s="49"/>
      <c r="CT9" s="50">
        <f t="shared" si="21"/>
        <v>0</v>
      </c>
      <c r="CV9" s="49"/>
      <c r="CW9" s="49"/>
      <c r="CX9" s="50">
        <f t="shared" si="22"/>
        <v>0</v>
      </c>
      <c r="CZ9" s="49"/>
      <c r="DA9" s="49"/>
      <c r="DB9" s="50">
        <f t="shared" si="23"/>
        <v>0</v>
      </c>
      <c r="DD9" s="49"/>
      <c r="DE9" s="49"/>
      <c r="DF9" s="50">
        <f t="shared" si="24"/>
        <v>0</v>
      </c>
      <c r="DH9" s="49"/>
      <c r="DI9" s="49"/>
      <c r="DJ9" s="50">
        <f t="shared" si="25"/>
        <v>0</v>
      </c>
      <c r="DL9" s="49"/>
      <c r="DM9" s="49"/>
      <c r="DN9" s="50">
        <f t="shared" si="26"/>
        <v>0</v>
      </c>
      <c r="DP9" s="49"/>
      <c r="DQ9" s="49"/>
      <c r="DR9" s="50">
        <f t="shared" si="27"/>
        <v>0</v>
      </c>
      <c r="DT9" s="49"/>
      <c r="DU9" s="49"/>
      <c r="DV9" s="50">
        <f t="shared" si="28"/>
        <v>0</v>
      </c>
      <c r="DX9" s="49"/>
      <c r="DY9" s="49"/>
      <c r="DZ9" s="50">
        <f t="shared" si="29"/>
        <v>0</v>
      </c>
      <c r="EB9" s="49">
        <f t="shared" si="30"/>
        <v>0</v>
      </c>
      <c r="EC9" s="49">
        <f t="shared" si="30"/>
        <v>0</v>
      </c>
      <c r="ED9" s="49">
        <f t="shared" si="30"/>
        <v>0</v>
      </c>
    </row>
    <row r="10" spans="2:134" ht="11" customHeight="1" x14ac:dyDescent="0.35">
      <c r="B10" s="4">
        <v>101205</v>
      </c>
      <c r="C10" s="4" t="s">
        <v>16</v>
      </c>
      <c r="D10" s="4">
        <v>1</v>
      </c>
      <c r="E10" s="5">
        <v>48</v>
      </c>
      <c r="F10" s="6">
        <v>39.4372481296</v>
      </c>
      <c r="G10" s="7"/>
      <c r="H10" s="49"/>
      <c r="I10" s="49"/>
      <c r="J10" s="50">
        <f t="shared" si="31"/>
        <v>0</v>
      </c>
      <c r="K10" s="9"/>
      <c r="L10" s="49"/>
      <c r="M10" s="49"/>
      <c r="N10" s="50">
        <f t="shared" si="0"/>
        <v>0</v>
      </c>
      <c r="O10" s="46"/>
      <c r="P10" s="49"/>
      <c r="Q10" s="49"/>
      <c r="R10" s="50">
        <f t="shared" si="1"/>
        <v>0</v>
      </c>
      <c r="T10" s="49"/>
      <c r="U10" s="49"/>
      <c r="V10" s="50">
        <f t="shared" si="2"/>
        <v>0</v>
      </c>
      <c r="X10" s="49"/>
      <c r="Y10" s="49"/>
      <c r="Z10" s="50">
        <f t="shared" si="3"/>
        <v>0</v>
      </c>
      <c r="AB10" s="49"/>
      <c r="AC10" s="49"/>
      <c r="AD10" s="50">
        <f t="shared" si="4"/>
        <v>0</v>
      </c>
      <c r="AF10" s="49"/>
      <c r="AG10" s="49"/>
      <c r="AH10" s="50">
        <f t="shared" si="5"/>
        <v>0</v>
      </c>
      <c r="AJ10" s="49"/>
      <c r="AK10" s="49"/>
      <c r="AL10" s="50">
        <f t="shared" si="6"/>
        <v>0</v>
      </c>
      <c r="AN10" s="49"/>
      <c r="AO10" s="49"/>
      <c r="AP10" s="50">
        <f t="shared" si="7"/>
        <v>0</v>
      </c>
      <c r="AR10" s="49"/>
      <c r="AS10" s="49"/>
      <c r="AT10" s="50">
        <f t="shared" si="8"/>
        <v>0</v>
      </c>
      <c r="AV10" s="49"/>
      <c r="AW10" s="49"/>
      <c r="AX10" s="50">
        <f t="shared" si="9"/>
        <v>0</v>
      </c>
      <c r="AZ10" s="49"/>
      <c r="BA10" s="49"/>
      <c r="BB10" s="50">
        <f t="shared" si="10"/>
        <v>0</v>
      </c>
      <c r="BD10" s="49"/>
      <c r="BE10" s="49"/>
      <c r="BF10" s="50">
        <f t="shared" si="11"/>
        <v>0</v>
      </c>
      <c r="BH10" s="49"/>
      <c r="BI10" s="49"/>
      <c r="BJ10" s="50">
        <f t="shared" si="12"/>
        <v>0</v>
      </c>
      <c r="BL10" s="49"/>
      <c r="BM10" s="49"/>
      <c r="BN10" s="50">
        <f t="shared" si="13"/>
        <v>0</v>
      </c>
      <c r="BP10" s="49"/>
      <c r="BQ10" s="49"/>
      <c r="BR10" s="50">
        <f t="shared" si="14"/>
        <v>0</v>
      </c>
      <c r="BT10" s="49"/>
      <c r="BU10" s="49"/>
      <c r="BV10" s="50">
        <f t="shared" si="15"/>
        <v>0</v>
      </c>
      <c r="BX10" s="49"/>
      <c r="BY10" s="49"/>
      <c r="BZ10" s="50">
        <f t="shared" si="16"/>
        <v>0</v>
      </c>
      <c r="CB10" s="49"/>
      <c r="CC10" s="49"/>
      <c r="CD10" s="50">
        <f t="shared" si="17"/>
        <v>0</v>
      </c>
      <c r="CF10" s="49"/>
      <c r="CG10" s="49"/>
      <c r="CH10" s="50">
        <f t="shared" si="18"/>
        <v>0</v>
      </c>
      <c r="CJ10" s="49"/>
      <c r="CK10" s="49"/>
      <c r="CL10" s="50">
        <f t="shared" si="19"/>
        <v>0</v>
      </c>
      <c r="CN10" s="49"/>
      <c r="CO10" s="49"/>
      <c r="CP10" s="50">
        <f t="shared" si="20"/>
        <v>0</v>
      </c>
      <c r="CR10" s="49"/>
      <c r="CS10" s="49"/>
      <c r="CT10" s="50">
        <f t="shared" si="21"/>
        <v>0</v>
      </c>
      <c r="CV10" s="49"/>
      <c r="CW10" s="49"/>
      <c r="CX10" s="50">
        <f t="shared" si="22"/>
        <v>0</v>
      </c>
      <c r="CZ10" s="49"/>
      <c r="DA10" s="49"/>
      <c r="DB10" s="50">
        <f t="shared" si="23"/>
        <v>0</v>
      </c>
      <c r="DD10" s="49"/>
      <c r="DE10" s="49"/>
      <c r="DF10" s="50">
        <f t="shared" si="24"/>
        <v>0</v>
      </c>
      <c r="DH10" s="49"/>
      <c r="DI10" s="49"/>
      <c r="DJ10" s="50">
        <f t="shared" si="25"/>
        <v>0</v>
      </c>
      <c r="DL10" s="49"/>
      <c r="DM10" s="49"/>
      <c r="DN10" s="50">
        <f t="shared" si="26"/>
        <v>0</v>
      </c>
      <c r="DP10" s="49"/>
      <c r="DQ10" s="49"/>
      <c r="DR10" s="50">
        <f t="shared" si="27"/>
        <v>0</v>
      </c>
      <c r="DT10" s="49"/>
      <c r="DU10" s="49"/>
      <c r="DV10" s="50">
        <f t="shared" si="28"/>
        <v>0</v>
      </c>
      <c r="DX10" s="49"/>
      <c r="DY10" s="49"/>
      <c r="DZ10" s="50">
        <f t="shared" si="29"/>
        <v>0</v>
      </c>
      <c r="EB10" s="49">
        <f t="shared" si="30"/>
        <v>0</v>
      </c>
      <c r="EC10" s="49">
        <f t="shared" si="30"/>
        <v>0</v>
      </c>
      <c r="ED10" s="49">
        <f t="shared" si="30"/>
        <v>0</v>
      </c>
    </row>
    <row r="11" spans="2:134" ht="11" customHeight="1" x14ac:dyDescent="0.35">
      <c r="B11" s="4">
        <v>101333</v>
      </c>
      <c r="C11" s="4" t="s">
        <v>17</v>
      </c>
      <c r="D11" s="4">
        <v>24</v>
      </c>
      <c r="E11" s="5">
        <v>24</v>
      </c>
      <c r="F11" s="6">
        <v>189.29879107400001</v>
      </c>
      <c r="G11" s="7"/>
      <c r="H11" s="49"/>
      <c r="I11" s="49"/>
      <c r="J11" s="50">
        <f t="shared" si="31"/>
        <v>0</v>
      </c>
      <c r="K11" s="9"/>
      <c r="L11" s="49"/>
      <c r="M11" s="49"/>
      <c r="N11" s="50">
        <f t="shared" si="0"/>
        <v>0</v>
      </c>
      <c r="O11" s="46"/>
      <c r="P11" s="49"/>
      <c r="Q11" s="49"/>
      <c r="R11" s="50">
        <f t="shared" si="1"/>
        <v>0</v>
      </c>
      <c r="T11" s="49"/>
      <c r="U11" s="49"/>
      <c r="V11" s="50">
        <f t="shared" si="2"/>
        <v>0</v>
      </c>
      <c r="X11" s="49"/>
      <c r="Y11" s="49"/>
      <c r="Z11" s="50">
        <f t="shared" si="3"/>
        <v>0</v>
      </c>
      <c r="AB11" s="49"/>
      <c r="AC11" s="49"/>
      <c r="AD11" s="50">
        <f t="shared" si="4"/>
        <v>0</v>
      </c>
      <c r="AF11" s="49"/>
      <c r="AG11" s="49"/>
      <c r="AH11" s="50">
        <f t="shared" si="5"/>
        <v>0</v>
      </c>
      <c r="AJ11" s="49"/>
      <c r="AK11" s="49"/>
      <c r="AL11" s="50">
        <f t="shared" si="6"/>
        <v>0</v>
      </c>
      <c r="AN11" s="49"/>
      <c r="AO11" s="49"/>
      <c r="AP11" s="50">
        <f t="shared" si="7"/>
        <v>0</v>
      </c>
      <c r="AR11" s="49"/>
      <c r="AS11" s="49"/>
      <c r="AT11" s="50">
        <f t="shared" si="8"/>
        <v>0</v>
      </c>
      <c r="AV11" s="49"/>
      <c r="AW11" s="49"/>
      <c r="AX11" s="50">
        <f t="shared" si="9"/>
        <v>0</v>
      </c>
      <c r="AZ11" s="49"/>
      <c r="BA11" s="49"/>
      <c r="BB11" s="50">
        <f t="shared" si="10"/>
        <v>0</v>
      </c>
      <c r="BD11" s="49"/>
      <c r="BE11" s="49"/>
      <c r="BF11" s="50">
        <f t="shared" si="11"/>
        <v>0</v>
      </c>
      <c r="BH11" s="49"/>
      <c r="BI11" s="49"/>
      <c r="BJ11" s="50">
        <f t="shared" si="12"/>
        <v>0</v>
      </c>
      <c r="BL11" s="49"/>
      <c r="BM11" s="49"/>
      <c r="BN11" s="50">
        <f t="shared" si="13"/>
        <v>0</v>
      </c>
      <c r="BP11" s="49"/>
      <c r="BQ11" s="49"/>
      <c r="BR11" s="50">
        <f t="shared" si="14"/>
        <v>0</v>
      </c>
      <c r="BT11" s="49"/>
      <c r="BU11" s="49"/>
      <c r="BV11" s="50">
        <f t="shared" si="15"/>
        <v>0</v>
      </c>
      <c r="BX11" s="49"/>
      <c r="BY11" s="49"/>
      <c r="BZ11" s="50">
        <f t="shared" si="16"/>
        <v>0</v>
      </c>
      <c r="CB11" s="49"/>
      <c r="CC11" s="49"/>
      <c r="CD11" s="50">
        <f t="shared" si="17"/>
        <v>0</v>
      </c>
      <c r="CF11" s="49"/>
      <c r="CG11" s="49"/>
      <c r="CH11" s="50">
        <f t="shared" si="18"/>
        <v>0</v>
      </c>
      <c r="CJ11" s="49"/>
      <c r="CK11" s="49"/>
      <c r="CL11" s="50">
        <f t="shared" si="19"/>
        <v>0</v>
      </c>
      <c r="CN11" s="49"/>
      <c r="CO11" s="49"/>
      <c r="CP11" s="50">
        <f t="shared" si="20"/>
        <v>0</v>
      </c>
      <c r="CR11" s="49"/>
      <c r="CS11" s="49"/>
      <c r="CT11" s="50">
        <f t="shared" si="21"/>
        <v>0</v>
      </c>
      <c r="CV11" s="49"/>
      <c r="CW11" s="49"/>
      <c r="CX11" s="50">
        <f t="shared" si="22"/>
        <v>0</v>
      </c>
      <c r="CZ11" s="49"/>
      <c r="DA11" s="49"/>
      <c r="DB11" s="50">
        <f t="shared" si="23"/>
        <v>0</v>
      </c>
      <c r="DD11" s="49"/>
      <c r="DE11" s="49"/>
      <c r="DF11" s="50">
        <f t="shared" si="24"/>
        <v>0</v>
      </c>
      <c r="DH11" s="49"/>
      <c r="DI11" s="49"/>
      <c r="DJ11" s="50">
        <f t="shared" si="25"/>
        <v>0</v>
      </c>
      <c r="DL11" s="49"/>
      <c r="DM11" s="49"/>
      <c r="DN11" s="50">
        <f t="shared" si="26"/>
        <v>0</v>
      </c>
      <c r="DP11" s="49"/>
      <c r="DQ11" s="49"/>
      <c r="DR11" s="50">
        <f t="shared" si="27"/>
        <v>0</v>
      </c>
      <c r="DT11" s="49"/>
      <c r="DU11" s="49"/>
      <c r="DV11" s="50">
        <f t="shared" si="28"/>
        <v>0</v>
      </c>
      <c r="DX11" s="49"/>
      <c r="DY11" s="49"/>
      <c r="DZ11" s="50">
        <f t="shared" si="29"/>
        <v>0</v>
      </c>
      <c r="EB11" s="49">
        <f t="shared" si="30"/>
        <v>0</v>
      </c>
      <c r="EC11" s="49">
        <f t="shared" si="30"/>
        <v>0</v>
      </c>
      <c r="ED11" s="49">
        <f t="shared" si="30"/>
        <v>0</v>
      </c>
    </row>
    <row r="12" spans="2:134" ht="11" customHeight="1" x14ac:dyDescent="0.35">
      <c r="B12" s="4">
        <v>101354</v>
      </c>
      <c r="C12" s="4" t="s">
        <v>18</v>
      </c>
      <c r="D12" s="4">
        <v>24</v>
      </c>
      <c r="E12" s="5">
        <v>24</v>
      </c>
      <c r="F12" s="6">
        <v>189.29879107400001</v>
      </c>
      <c r="G12" s="7"/>
      <c r="H12" s="49"/>
      <c r="I12" s="49"/>
      <c r="J12" s="50">
        <f t="shared" si="31"/>
        <v>0</v>
      </c>
      <c r="K12" s="9"/>
      <c r="L12" s="49"/>
      <c r="M12" s="49"/>
      <c r="N12" s="50">
        <f t="shared" si="0"/>
        <v>0</v>
      </c>
      <c r="O12" s="46"/>
      <c r="P12" s="49"/>
      <c r="Q12" s="49"/>
      <c r="R12" s="50">
        <f t="shared" si="1"/>
        <v>0</v>
      </c>
      <c r="T12" s="49"/>
      <c r="U12" s="49"/>
      <c r="V12" s="50">
        <f t="shared" si="2"/>
        <v>0</v>
      </c>
      <c r="X12" s="49"/>
      <c r="Y12" s="49"/>
      <c r="Z12" s="50">
        <f t="shared" si="3"/>
        <v>0</v>
      </c>
      <c r="AB12" s="49"/>
      <c r="AC12" s="49"/>
      <c r="AD12" s="50">
        <f t="shared" si="4"/>
        <v>0</v>
      </c>
      <c r="AF12" s="49"/>
      <c r="AG12" s="49"/>
      <c r="AH12" s="50">
        <f t="shared" si="5"/>
        <v>0</v>
      </c>
      <c r="AJ12" s="49"/>
      <c r="AK12" s="49"/>
      <c r="AL12" s="50">
        <f t="shared" si="6"/>
        <v>0</v>
      </c>
      <c r="AN12" s="49"/>
      <c r="AO12" s="49"/>
      <c r="AP12" s="50">
        <f t="shared" si="7"/>
        <v>0</v>
      </c>
      <c r="AR12" s="49"/>
      <c r="AS12" s="49"/>
      <c r="AT12" s="50">
        <f t="shared" si="8"/>
        <v>0</v>
      </c>
      <c r="AV12" s="49"/>
      <c r="AW12" s="49"/>
      <c r="AX12" s="50">
        <f t="shared" si="9"/>
        <v>0</v>
      </c>
      <c r="AZ12" s="49"/>
      <c r="BA12" s="49"/>
      <c r="BB12" s="50">
        <f t="shared" si="10"/>
        <v>0</v>
      </c>
      <c r="BD12" s="49"/>
      <c r="BE12" s="49"/>
      <c r="BF12" s="50">
        <f t="shared" si="11"/>
        <v>0</v>
      </c>
      <c r="BH12" s="49"/>
      <c r="BI12" s="49"/>
      <c r="BJ12" s="50">
        <f t="shared" si="12"/>
        <v>0</v>
      </c>
      <c r="BL12" s="49"/>
      <c r="BM12" s="49"/>
      <c r="BN12" s="50">
        <f t="shared" si="13"/>
        <v>0</v>
      </c>
      <c r="BP12" s="49"/>
      <c r="BQ12" s="49"/>
      <c r="BR12" s="50">
        <f t="shared" si="14"/>
        <v>0</v>
      </c>
      <c r="BT12" s="49"/>
      <c r="BU12" s="49"/>
      <c r="BV12" s="50">
        <f t="shared" si="15"/>
        <v>0</v>
      </c>
      <c r="BX12" s="49"/>
      <c r="BY12" s="49"/>
      <c r="BZ12" s="50">
        <f t="shared" si="16"/>
        <v>0</v>
      </c>
      <c r="CB12" s="49"/>
      <c r="CC12" s="49"/>
      <c r="CD12" s="50">
        <f t="shared" si="17"/>
        <v>0</v>
      </c>
      <c r="CF12" s="49"/>
      <c r="CG12" s="49"/>
      <c r="CH12" s="50">
        <f t="shared" si="18"/>
        <v>0</v>
      </c>
      <c r="CJ12" s="49"/>
      <c r="CK12" s="49"/>
      <c r="CL12" s="50">
        <f t="shared" si="19"/>
        <v>0</v>
      </c>
      <c r="CN12" s="49"/>
      <c r="CO12" s="49"/>
      <c r="CP12" s="50">
        <f t="shared" si="20"/>
        <v>0</v>
      </c>
      <c r="CR12" s="49"/>
      <c r="CS12" s="49"/>
      <c r="CT12" s="50">
        <f t="shared" si="21"/>
        <v>0</v>
      </c>
      <c r="CV12" s="49"/>
      <c r="CW12" s="49"/>
      <c r="CX12" s="50">
        <f t="shared" si="22"/>
        <v>0</v>
      </c>
      <c r="CZ12" s="49"/>
      <c r="DA12" s="49"/>
      <c r="DB12" s="50">
        <f t="shared" si="23"/>
        <v>0</v>
      </c>
      <c r="DD12" s="49"/>
      <c r="DE12" s="49"/>
      <c r="DF12" s="50">
        <f t="shared" si="24"/>
        <v>0</v>
      </c>
      <c r="DH12" s="49"/>
      <c r="DI12" s="49"/>
      <c r="DJ12" s="50">
        <f t="shared" si="25"/>
        <v>0</v>
      </c>
      <c r="DL12" s="49"/>
      <c r="DM12" s="49"/>
      <c r="DN12" s="50">
        <f t="shared" si="26"/>
        <v>0</v>
      </c>
      <c r="DP12" s="49"/>
      <c r="DQ12" s="49"/>
      <c r="DR12" s="50">
        <f t="shared" si="27"/>
        <v>0</v>
      </c>
      <c r="DT12" s="49"/>
      <c r="DU12" s="49"/>
      <c r="DV12" s="50">
        <f t="shared" si="28"/>
        <v>0</v>
      </c>
      <c r="DX12" s="49"/>
      <c r="DY12" s="49"/>
      <c r="DZ12" s="50">
        <f t="shared" si="29"/>
        <v>0</v>
      </c>
      <c r="EB12" s="49">
        <f t="shared" si="30"/>
        <v>0</v>
      </c>
      <c r="EC12" s="49">
        <f t="shared" si="30"/>
        <v>0</v>
      </c>
      <c r="ED12" s="49">
        <f t="shared" si="30"/>
        <v>0</v>
      </c>
    </row>
    <row r="13" spans="2:134" ht="11" customHeight="1" x14ac:dyDescent="0.35">
      <c r="B13" s="4">
        <v>101835</v>
      </c>
      <c r="C13" s="4" t="s">
        <v>19</v>
      </c>
      <c r="D13" s="4">
        <v>24</v>
      </c>
      <c r="E13" s="5">
        <v>24</v>
      </c>
      <c r="F13" s="6">
        <v>192.453575</v>
      </c>
      <c r="G13" s="7"/>
      <c r="H13" s="49"/>
      <c r="I13" s="49"/>
      <c r="J13" s="50">
        <f t="shared" si="31"/>
        <v>0</v>
      </c>
      <c r="K13" s="9"/>
      <c r="L13" s="49"/>
      <c r="M13" s="49"/>
      <c r="N13" s="50">
        <f t="shared" si="0"/>
        <v>0</v>
      </c>
      <c r="O13" s="46"/>
      <c r="P13" s="49"/>
      <c r="Q13" s="49"/>
      <c r="R13" s="50">
        <f t="shared" si="1"/>
        <v>0</v>
      </c>
      <c r="T13" s="49"/>
      <c r="U13" s="49"/>
      <c r="V13" s="50">
        <f t="shared" si="2"/>
        <v>0</v>
      </c>
      <c r="X13" s="49"/>
      <c r="Y13" s="49"/>
      <c r="Z13" s="50">
        <f t="shared" si="3"/>
        <v>0</v>
      </c>
      <c r="AB13" s="49"/>
      <c r="AC13" s="49"/>
      <c r="AD13" s="50">
        <f t="shared" si="4"/>
        <v>0</v>
      </c>
      <c r="AF13" s="49"/>
      <c r="AG13" s="49"/>
      <c r="AH13" s="50">
        <f t="shared" si="5"/>
        <v>0</v>
      </c>
      <c r="AJ13" s="49"/>
      <c r="AK13" s="49"/>
      <c r="AL13" s="50">
        <f t="shared" si="6"/>
        <v>0</v>
      </c>
      <c r="AN13" s="49"/>
      <c r="AO13" s="49"/>
      <c r="AP13" s="50">
        <f t="shared" si="7"/>
        <v>0</v>
      </c>
      <c r="AR13" s="49"/>
      <c r="AS13" s="49"/>
      <c r="AT13" s="50">
        <f t="shared" si="8"/>
        <v>0</v>
      </c>
      <c r="AV13" s="49"/>
      <c r="AW13" s="49"/>
      <c r="AX13" s="50">
        <f t="shared" si="9"/>
        <v>0</v>
      </c>
      <c r="AZ13" s="49"/>
      <c r="BA13" s="49"/>
      <c r="BB13" s="50">
        <f t="shared" si="10"/>
        <v>0</v>
      </c>
      <c r="BD13" s="49"/>
      <c r="BE13" s="49"/>
      <c r="BF13" s="50">
        <f t="shared" si="11"/>
        <v>0</v>
      </c>
      <c r="BH13" s="49"/>
      <c r="BI13" s="49"/>
      <c r="BJ13" s="50">
        <f t="shared" si="12"/>
        <v>0</v>
      </c>
      <c r="BL13" s="49"/>
      <c r="BM13" s="49"/>
      <c r="BN13" s="50">
        <f t="shared" si="13"/>
        <v>0</v>
      </c>
      <c r="BP13" s="49"/>
      <c r="BQ13" s="49"/>
      <c r="BR13" s="50">
        <f t="shared" si="14"/>
        <v>0</v>
      </c>
      <c r="BT13" s="49"/>
      <c r="BU13" s="49"/>
      <c r="BV13" s="50">
        <f t="shared" si="15"/>
        <v>0</v>
      </c>
      <c r="BX13" s="49"/>
      <c r="BY13" s="49"/>
      <c r="BZ13" s="50">
        <f t="shared" si="16"/>
        <v>0</v>
      </c>
      <c r="CB13" s="49"/>
      <c r="CC13" s="49"/>
      <c r="CD13" s="50">
        <f t="shared" si="17"/>
        <v>0</v>
      </c>
      <c r="CF13" s="49"/>
      <c r="CG13" s="49"/>
      <c r="CH13" s="50">
        <f t="shared" si="18"/>
        <v>0</v>
      </c>
      <c r="CJ13" s="49"/>
      <c r="CK13" s="49"/>
      <c r="CL13" s="50">
        <f t="shared" si="19"/>
        <v>0</v>
      </c>
      <c r="CN13" s="49"/>
      <c r="CO13" s="49"/>
      <c r="CP13" s="50">
        <f t="shared" si="20"/>
        <v>0</v>
      </c>
      <c r="CR13" s="49"/>
      <c r="CS13" s="49"/>
      <c r="CT13" s="50">
        <f t="shared" si="21"/>
        <v>0</v>
      </c>
      <c r="CV13" s="49"/>
      <c r="CW13" s="49"/>
      <c r="CX13" s="50">
        <f t="shared" si="22"/>
        <v>0</v>
      </c>
      <c r="CZ13" s="49"/>
      <c r="DA13" s="49"/>
      <c r="DB13" s="50">
        <f t="shared" si="23"/>
        <v>0</v>
      </c>
      <c r="DD13" s="49"/>
      <c r="DE13" s="49"/>
      <c r="DF13" s="50">
        <f t="shared" si="24"/>
        <v>0</v>
      </c>
      <c r="DH13" s="49"/>
      <c r="DI13" s="49"/>
      <c r="DJ13" s="50">
        <f t="shared" si="25"/>
        <v>0</v>
      </c>
      <c r="DL13" s="49"/>
      <c r="DM13" s="49"/>
      <c r="DN13" s="50">
        <f t="shared" si="26"/>
        <v>0</v>
      </c>
      <c r="DP13" s="49"/>
      <c r="DQ13" s="49"/>
      <c r="DR13" s="50">
        <f t="shared" si="27"/>
        <v>0</v>
      </c>
      <c r="DT13" s="49"/>
      <c r="DU13" s="49"/>
      <c r="DV13" s="50">
        <f t="shared" si="28"/>
        <v>0</v>
      </c>
      <c r="DX13" s="49"/>
      <c r="DY13" s="49"/>
      <c r="DZ13" s="50">
        <f t="shared" si="29"/>
        <v>0</v>
      </c>
      <c r="EB13" s="49">
        <f t="shared" si="30"/>
        <v>0</v>
      </c>
      <c r="EC13" s="49">
        <f t="shared" si="30"/>
        <v>0</v>
      </c>
      <c r="ED13" s="49">
        <f t="shared" si="30"/>
        <v>0</v>
      </c>
    </row>
    <row r="14" spans="2:134" ht="11" customHeight="1" x14ac:dyDescent="0.35">
      <c r="B14" s="4">
        <v>101861</v>
      </c>
      <c r="C14" s="4" t="s">
        <v>20</v>
      </c>
      <c r="D14" s="4">
        <v>24</v>
      </c>
      <c r="E14" s="5">
        <v>12</v>
      </c>
      <c r="F14" s="6">
        <v>187.195471164</v>
      </c>
      <c r="G14" s="7"/>
      <c r="H14" s="49"/>
      <c r="I14" s="49"/>
      <c r="J14" s="50">
        <f t="shared" si="31"/>
        <v>0</v>
      </c>
      <c r="K14" s="9"/>
      <c r="L14" s="49"/>
      <c r="M14" s="49"/>
      <c r="N14" s="50">
        <f t="shared" si="0"/>
        <v>0</v>
      </c>
      <c r="O14" s="46"/>
      <c r="P14" s="49"/>
      <c r="Q14" s="49"/>
      <c r="R14" s="50">
        <f t="shared" si="1"/>
        <v>0</v>
      </c>
      <c r="T14" s="49"/>
      <c r="U14" s="49"/>
      <c r="V14" s="50">
        <f t="shared" si="2"/>
        <v>0</v>
      </c>
      <c r="X14" s="49"/>
      <c r="Y14" s="49"/>
      <c r="Z14" s="50">
        <f t="shared" si="3"/>
        <v>0</v>
      </c>
      <c r="AB14" s="49"/>
      <c r="AC14" s="49"/>
      <c r="AD14" s="50">
        <f t="shared" si="4"/>
        <v>0</v>
      </c>
      <c r="AF14" s="49"/>
      <c r="AG14" s="49"/>
      <c r="AH14" s="50">
        <f t="shared" si="5"/>
        <v>0</v>
      </c>
      <c r="AJ14" s="49"/>
      <c r="AK14" s="49"/>
      <c r="AL14" s="50">
        <f t="shared" si="6"/>
        <v>0</v>
      </c>
      <c r="AN14" s="49"/>
      <c r="AO14" s="49"/>
      <c r="AP14" s="50">
        <f t="shared" si="7"/>
        <v>0</v>
      </c>
      <c r="AR14" s="49"/>
      <c r="AS14" s="49"/>
      <c r="AT14" s="50">
        <f t="shared" si="8"/>
        <v>0</v>
      </c>
      <c r="AV14" s="49"/>
      <c r="AW14" s="49"/>
      <c r="AX14" s="50">
        <f t="shared" si="9"/>
        <v>0</v>
      </c>
      <c r="AZ14" s="49"/>
      <c r="BA14" s="49"/>
      <c r="BB14" s="50">
        <f t="shared" si="10"/>
        <v>0</v>
      </c>
      <c r="BD14" s="49"/>
      <c r="BE14" s="49"/>
      <c r="BF14" s="50">
        <f t="shared" si="11"/>
        <v>0</v>
      </c>
      <c r="BH14" s="49"/>
      <c r="BI14" s="49"/>
      <c r="BJ14" s="50">
        <f t="shared" si="12"/>
        <v>0</v>
      </c>
      <c r="BL14" s="49"/>
      <c r="BM14" s="49"/>
      <c r="BN14" s="50">
        <f t="shared" si="13"/>
        <v>0</v>
      </c>
      <c r="BP14" s="49"/>
      <c r="BQ14" s="49"/>
      <c r="BR14" s="50">
        <f t="shared" si="14"/>
        <v>0</v>
      </c>
      <c r="BT14" s="49"/>
      <c r="BU14" s="49"/>
      <c r="BV14" s="50">
        <f t="shared" si="15"/>
        <v>0</v>
      </c>
      <c r="BX14" s="49"/>
      <c r="BY14" s="49"/>
      <c r="BZ14" s="50">
        <f t="shared" si="16"/>
        <v>0</v>
      </c>
      <c r="CB14" s="49"/>
      <c r="CC14" s="49"/>
      <c r="CD14" s="50">
        <f t="shared" si="17"/>
        <v>0</v>
      </c>
      <c r="CF14" s="49"/>
      <c r="CG14" s="49"/>
      <c r="CH14" s="50">
        <f t="shared" si="18"/>
        <v>0</v>
      </c>
      <c r="CJ14" s="49"/>
      <c r="CK14" s="49"/>
      <c r="CL14" s="50">
        <f t="shared" si="19"/>
        <v>0</v>
      </c>
      <c r="CN14" s="49"/>
      <c r="CO14" s="49"/>
      <c r="CP14" s="50">
        <f t="shared" si="20"/>
        <v>0</v>
      </c>
      <c r="CR14" s="49"/>
      <c r="CS14" s="49"/>
      <c r="CT14" s="50">
        <f t="shared" si="21"/>
        <v>0</v>
      </c>
      <c r="CV14" s="49"/>
      <c r="CW14" s="49"/>
      <c r="CX14" s="50">
        <f t="shared" si="22"/>
        <v>0</v>
      </c>
      <c r="CZ14" s="49"/>
      <c r="DA14" s="49"/>
      <c r="DB14" s="50">
        <f t="shared" si="23"/>
        <v>0</v>
      </c>
      <c r="DD14" s="49"/>
      <c r="DE14" s="49"/>
      <c r="DF14" s="50">
        <f t="shared" si="24"/>
        <v>0</v>
      </c>
      <c r="DH14" s="49"/>
      <c r="DI14" s="49"/>
      <c r="DJ14" s="50">
        <f t="shared" si="25"/>
        <v>0</v>
      </c>
      <c r="DL14" s="49"/>
      <c r="DM14" s="49"/>
      <c r="DN14" s="50">
        <f t="shared" si="26"/>
        <v>0</v>
      </c>
      <c r="DP14" s="49"/>
      <c r="DQ14" s="49"/>
      <c r="DR14" s="50">
        <f t="shared" si="27"/>
        <v>0</v>
      </c>
      <c r="DT14" s="49"/>
      <c r="DU14" s="49"/>
      <c r="DV14" s="50">
        <f t="shared" si="28"/>
        <v>0</v>
      </c>
      <c r="DX14" s="49"/>
      <c r="DY14" s="49"/>
      <c r="DZ14" s="50">
        <f t="shared" si="29"/>
        <v>0</v>
      </c>
      <c r="EB14" s="49">
        <f t="shared" si="30"/>
        <v>0</v>
      </c>
      <c r="EC14" s="49">
        <f t="shared" si="30"/>
        <v>0</v>
      </c>
      <c r="ED14" s="49">
        <f t="shared" si="30"/>
        <v>0</v>
      </c>
    </row>
    <row r="15" spans="2:134" ht="11" customHeight="1" x14ac:dyDescent="0.35">
      <c r="B15" s="4">
        <v>101879</v>
      </c>
      <c r="C15" s="4" t="s">
        <v>21</v>
      </c>
      <c r="D15" s="4">
        <v>18</v>
      </c>
      <c r="E15" s="5">
        <v>18</v>
      </c>
      <c r="F15" s="6">
        <v>288.68044392000002</v>
      </c>
      <c r="G15" s="7"/>
      <c r="H15" s="49"/>
      <c r="I15" s="49"/>
      <c r="J15" s="50">
        <f t="shared" si="31"/>
        <v>0</v>
      </c>
      <c r="K15" s="9"/>
      <c r="L15" s="49"/>
      <c r="M15" s="49"/>
      <c r="N15" s="50">
        <f t="shared" si="0"/>
        <v>0</v>
      </c>
      <c r="O15" s="46"/>
      <c r="P15" s="49"/>
      <c r="Q15" s="49"/>
      <c r="R15" s="50">
        <f t="shared" si="1"/>
        <v>0</v>
      </c>
      <c r="T15" s="49"/>
      <c r="U15" s="49"/>
      <c r="V15" s="50">
        <f t="shared" si="2"/>
        <v>0</v>
      </c>
      <c r="X15" s="49"/>
      <c r="Y15" s="49"/>
      <c r="Z15" s="50">
        <f t="shared" si="3"/>
        <v>0</v>
      </c>
      <c r="AB15" s="49"/>
      <c r="AC15" s="49"/>
      <c r="AD15" s="50">
        <f t="shared" si="4"/>
        <v>0</v>
      </c>
      <c r="AF15" s="49"/>
      <c r="AG15" s="49"/>
      <c r="AH15" s="50">
        <f t="shared" si="5"/>
        <v>0</v>
      </c>
      <c r="AJ15" s="49"/>
      <c r="AK15" s="49"/>
      <c r="AL15" s="50">
        <f t="shared" si="6"/>
        <v>0</v>
      </c>
      <c r="AN15" s="49"/>
      <c r="AO15" s="49"/>
      <c r="AP15" s="50">
        <f t="shared" si="7"/>
        <v>0</v>
      </c>
      <c r="AR15" s="49"/>
      <c r="AS15" s="49"/>
      <c r="AT15" s="50">
        <f t="shared" si="8"/>
        <v>0</v>
      </c>
      <c r="AV15" s="49"/>
      <c r="AW15" s="49"/>
      <c r="AX15" s="50">
        <f t="shared" si="9"/>
        <v>0</v>
      </c>
      <c r="AZ15" s="49"/>
      <c r="BA15" s="49"/>
      <c r="BB15" s="50">
        <f t="shared" si="10"/>
        <v>0</v>
      </c>
      <c r="BD15" s="49"/>
      <c r="BE15" s="49"/>
      <c r="BF15" s="50">
        <f t="shared" si="11"/>
        <v>0</v>
      </c>
      <c r="BH15" s="49"/>
      <c r="BI15" s="49"/>
      <c r="BJ15" s="50">
        <f t="shared" si="12"/>
        <v>0</v>
      </c>
      <c r="BL15" s="49"/>
      <c r="BM15" s="49"/>
      <c r="BN15" s="50">
        <f t="shared" si="13"/>
        <v>0</v>
      </c>
      <c r="BP15" s="49"/>
      <c r="BQ15" s="49"/>
      <c r="BR15" s="50">
        <f t="shared" si="14"/>
        <v>0</v>
      </c>
      <c r="BT15" s="49"/>
      <c r="BU15" s="49"/>
      <c r="BV15" s="50">
        <f t="shared" si="15"/>
        <v>0</v>
      </c>
      <c r="BX15" s="49"/>
      <c r="BY15" s="49"/>
      <c r="BZ15" s="50">
        <f t="shared" si="16"/>
        <v>0</v>
      </c>
      <c r="CB15" s="49"/>
      <c r="CC15" s="49"/>
      <c r="CD15" s="50">
        <f t="shared" si="17"/>
        <v>0</v>
      </c>
      <c r="CF15" s="49"/>
      <c r="CG15" s="49"/>
      <c r="CH15" s="50">
        <f t="shared" si="18"/>
        <v>0</v>
      </c>
      <c r="CJ15" s="49"/>
      <c r="CK15" s="49"/>
      <c r="CL15" s="50">
        <f t="shared" si="19"/>
        <v>0</v>
      </c>
      <c r="CN15" s="49"/>
      <c r="CO15" s="49"/>
      <c r="CP15" s="50">
        <f t="shared" si="20"/>
        <v>0</v>
      </c>
      <c r="CR15" s="49"/>
      <c r="CS15" s="49"/>
      <c r="CT15" s="50">
        <f t="shared" si="21"/>
        <v>0</v>
      </c>
      <c r="CV15" s="49"/>
      <c r="CW15" s="49"/>
      <c r="CX15" s="50">
        <f t="shared" si="22"/>
        <v>0</v>
      </c>
      <c r="CZ15" s="49"/>
      <c r="DA15" s="49"/>
      <c r="DB15" s="50">
        <f t="shared" si="23"/>
        <v>0</v>
      </c>
      <c r="DD15" s="49"/>
      <c r="DE15" s="49"/>
      <c r="DF15" s="50">
        <f t="shared" si="24"/>
        <v>0</v>
      </c>
      <c r="DH15" s="49"/>
      <c r="DI15" s="49"/>
      <c r="DJ15" s="50">
        <f t="shared" si="25"/>
        <v>0</v>
      </c>
      <c r="DL15" s="49"/>
      <c r="DM15" s="49"/>
      <c r="DN15" s="50">
        <f t="shared" si="26"/>
        <v>0</v>
      </c>
      <c r="DP15" s="49"/>
      <c r="DQ15" s="49"/>
      <c r="DR15" s="50">
        <f t="shared" si="27"/>
        <v>0</v>
      </c>
      <c r="DT15" s="49"/>
      <c r="DU15" s="49"/>
      <c r="DV15" s="50">
        <f t="shared" si="28"/>
        <v>0</v>
      </c>
      <c r="DX15" s="49"/>
      <c r="DY15" s="49"/>
      <c r="DZ15" s="50">
        <f t="shared" si="29"/>
        <v>0</v>
      </c>
      <c r="EB15" s="49">
        <f t="shared" si="30"/>
        <v>0</v>
      </c>
      <c r="EC15" s="49">
        <f t="shared" si="30"/>
        <v>0</v>
      </c>
      <c r="ED15" s="49">
        <f t="shared" si="30"/>
        <v>0</v>
      </c>
    </row>
    <row r="16" spans="2:134" ht="11" customHeight="1" x14ac:dyDescent="0.35">
      <c r="B16" s="4">
        <v>101930</v>
      </c>
      <c r="C16" s="4" t="s">
        <v>22</v>
      </c>
      <c r="D16" s="4">
        <v>12</v>
      </c>
      <c r="E16" s="5">
        <v>8</v>
      </c>
      <c r="F16" s="6">
        <v>481.13467500000002</v>
      </c>
      <c r="G16" s="7"/>
      <c r="H16" s="49"/>
      <c r="I16" s="49"/>
      <c r="J16" s="50">
        <f t="shared" si="31"/>
        <v>0</v>
      </c>
      <c r="K16" s="9"/>
      <c r="L16" s="49"/>
      <c r="M16" s="49"/>
      <c r="N16" s="50">
        <f t="shared" si="0"/>
        <v>0</v>
      </c>
      <c r="O16" s="46"/>
      <c r="P16" s="49"/>
      <c r="Q16" s="49"/>
      <c r="R16" s="50">
        <f t="shared" si="1"/>
        <v>0</v>
      </c>
      <c r="T16" s="49"/>
      <c r="U16" s="49"/>
      <c r="V16" s="50">
        <f t="shared" si="2"/>
        <v>0</v>
      </c>
      <c r="X16" s="49"/>
      <c r="Y16" s="49"/>
      <c r="Z16" s="50">
        <f t="shared" si="3"/>
        <v>0</v>
      </c>
      <c r="AB16" s="49"/>
      <c r="AC16" s="49"/>
      <c r="AD16" s="50">
        <f t="shared" si="4"/>
        <v>0</v>
      </c>
      <c r="AF16" s="49"/>
      <c r="AG16" s="49"/>
      <c r="AH16" s="50">
        <f t="shared" si="5"/>
        <v>0</v>
      </c>
      <c r="AJ16" s="49"/>
      <c r="AK16" s="49"/>
      <c r="AL16" s="50">
        <f t="shared" si="6"/>
        <v>0</v>
      </c>
      <c r="AN16" s="49"/>
      <c r="AO16" s="49"/>
      <c r="AP16" s="50">
        <f t="shared" si="7"/>
        <v>0</v>
      </c>
      <c r="AR16" s="49"/>
      <c r="AS16" s="49"/>
      <c r="AT16" s="50">
        <f t="shared" si="8"/>
        <v>0</v>
      </c>
      <c r="AV16" s="49"/>
      <c r="AW16" s="49"/>
      <c r="AX16" s="50">
        <f t="shared" si="9"/>
        <v>0</v>
      </c>
      <c r="AZ16" s="49"/>
      <c r="BA16" s="49"/>
      <c r="BB16" s="50">
        <f t="shared" si="10"/>
        <v>0</v>
      </c>
      <c r="BD16" s="49"/>
      <c r="BE16" s="49"/>
      <c r="BF16" s="50">
        <f t="shared" si="11"/>
        <v>0</v>
      </c>
      <c r="BH16" s="49"/>
      <c r="BI16" s="49"/>
      <c r="BJ16" s="50">
        <f t="shared" si="12"/>
        <v>0</v>
      </c>
      <c r="BL16" s="49"/>
      <c r="BM16" s="49"/>
      <c r="BN16" s="50">
        <f t="shared" si="13"/>
        <v>0</v>
      </c>
      <c r="BP16" s="49"/>
      <c r="BQ16" s="49"/>
      <c r="BR16" s="50">
        <f t="shared" si="14"/>
        <v>0</v>
      </c>
      <c r="BT16" s="49"/>
      <c r="BU16" s="49"/>
      <c r="BV16" s="50">
        <f t="shared" si="15"/>
        <v>0</v>
      </c>
      <c r="BX16" s="49"/>
      <c r="BY16" s="49"/>
      <c r="BZ16" s="50">
        <f t="shared" si="16"/>
        <v>0</v>
      </c>
      <c r="CB16" s="49"/>
      <c r="CC16" s="49"/>
      <c r="CD16" s="50">
        <f t="shared" si="17"/>
        <v>0</v>
      </c>
      <c r="CF16" s="49"/>
      <c r="CG16" s="49"/>
      <c r="CH16" s="50">
        <f t="shared" si="18"/>
        <v>0</v>
      </c>
      <c r="CJ16" s="49"/>
      <c r="CK16" s="49"/>
      <c r="CL16" s="50">
        <f t="shared" si="19"/>
        <v>0</v>
      </c>
      <c r="CN16" s="49"/>
      <c r="CO16" s="49"/>
      <c r="CP16" s="50">
        <f t="shared" si="20"/>
        <v>0</v>
      </c>
      <c r="CR16" s="49"/>
      <c r="CS16" s="49"/>
      <c r="CT16" s="50">
        <f t="shared" si="21"/>
        <v>0</v>
      </c>
      <c r="CV16" s="49"/>
      <c r="CW16" s="49"/>
      <c r="CX16" s="50">
        <f t="shared" si="22"/>
        <v>0</v>
      </c>
      <c r="CZ16" s="49"/>
      <c r="DA16" s="49"/>
      <c r="DB16" s="50">
        <f t="shared" si="23"/>
        <v>0</v>
      </c>
      <c r="DD16" s="49"/>
      <c r="DE16" s="49"/>
      <c r="DF16" s="50">
        <f t="shared" si="24"/>
        <v>0</v>
      </c>
      <c r="DH16" s="49"/>
      <c r="DI16" s="49"/>
      <c r="DJ16" s="50">
        <f t="shared" si="25"/>
        <v>0</v>
      </c>
      <c r="DL16" s="49"/>
      <c r="DM16" s="49"/>
      <c r="DN16" s="50">
        <f t="shared" si="26"/>
        <v>0</v>
      </c>
      <c r="DP16" s="49"/>
      <c r="DQ16" s="49"/>
      <c r="DR16" s="50">
        <f t="shared" si="27"/>
        <v>0</v>
      </c>
      <c r="DT16" s="49"/>
      <c r="DU16" s="49"/>
      <c r="DV16" s="50">
        <f t="shared" si="28"/>
        <v>0</v>
      </c>
      <c r="DX16" s="49"/>
      <c r="DY16" s="49"/>
      <c r="DZ16" s="50">
        <f t="shared" si="29"/>
        <v>0</v>
      </c>
      <c r="EB16" s="49">
        <f t="shared" si="30"/>
        <v>0</v>
      </c>
      <c r="EC16" s="49">
        <f t="shared" si="30"/>
        <v>0</v>
      </c>
      <c r="ED16" s="49">
        <f t="shared" si="30"/>
        <v>0</v>
      </c>
    </row>
    <row r="17" spans="2:134" ht="11" customHeight="1" x14ac:dyDescent="0.35">
      <c r="B17" s="4">
        <v>101931</v>
      </c>
      <c r="C17" s="4" t="s">
        <v>23</v>
      </c>
      <c r="D17" s="4">
        <v>12</v>
      </c>
      <c r="E17" s="5">
        <v>8</v>
      </c>
      <c r="F17" s="6">
        <v>481.13467500000002</v>
      </c>
      <c r="G17" s="7"/>
      <c r="H17" s="49"/>
      <c r="I17" s="49"/>
      <c r="J17" s="50">
        <f t="shared" si="31"/>
        <v>0</v>
      </c>
      <c r="K17" s="9"/>
      <c r="L17" s="49"/>
      <c r="M17" s="49"/>
      <c r="N17" s="50">
        <f t="shared" si="0"/>
        <v>0</v>
      </c>
      <c r="O17" s="46"/>
      <c r="P17" s="49"/>
      <c r="Q17" s="49"/>
      <c r="R17" s="50">
        <f t="shared" si="1"/>
        <v>0</v>
      </c>
      <c r="T17" s="49"/>
      <c r="U17" s="49"/>
      <c r="V17" s="50">
        <f t="shared" si="2"/>
        <v>0</v>
      </c>
      <c r="X17" s="49"/>
      <c r="Y17" s="49"/>
      <c r="Z17" s="50">
        <f t="shared" si="3"/>
        <v>0</v>
      </c>
      <c r="AB17" s="49"/>
      <c r="AC17" s="49"/>
      <c r="AD17" s="50">
        <f t="shared" si="4"/>
        <v>0</v>
      </c>
      <c r="AF17" s="49"/>
      <c r="AG17" s="49"/>
      <c r="AH17" s="50">
        <f t="shared" si="5"/>
        <v>0</v>
      </c>
      <c r="AJ17" s="49"/>
      <c r="AK17" s="49"/>
      <c r="AL17" s="50">
        <f t="shared" si="6"/>
        <v>0</v>
      </c>
      <c r="AN17" s="49"/>
      <c r="AO17" s="49"/>
      <c r="AP17" s="50">
        <f t="shared" si="7"/>
        <v>0</v>
      </c>
      <c r="AR17" s="49"/>
      <c r="AS17" s="49"/>
      <c r="AT17" s="50">
        <f t="shared" si="8"/>
        <v>0</v>
      </c>
      <c r="AV17" s="49"/>
      <c r="AW17" s="49"/>
      <c r="AX17" s="50">
        <f t="shared" si="9"/>
        <v>0</v>
      </c>
      <c r="AZ17" s="49"/>
      <c r="BA17" s="49"/>
      <c r="BB17" s="50">
        <f t="shared" si="10"/>
        <v>0</v>
      </c>
      <c r="BD17" s="49"/>
      <c r="BE17" s="49"/>
      <c r="BF17" s="50">
        <f t="shared" si="11"/>
        <v>0</v>
      </c>
      <c r="BH17" s="49"/>
      <c r="BI17" s="49"/>
      <c r="BJ17" s="50">
        <f t="shared" si="12"/>
        <v>0</v>
      </c>
      <c r="BL17" s="49"/>
      <c r="BM17" s="49"/>
      <c r="BN17" s="50">
        <f t="shared" si="13"/>
        <v>0</v>
      </c>
      <c r="BP17" s="49"/>
      <c r="BQ17" s="49"/>
      <c r="BR17" s="50">
        <f t="shared" si="14"/>
        <v>0</v>
      </c>
      <c r="BT17" s="49"/>
      <c r="BU17" s="49"/>
      <c r="BV17" s="50">
        <f t="shared" si="15"/>
        <v>0</v>
      </c>
      <c r="BX17" s="49"/>
      <c r="BY17" s="49"/>
      <c r="BZ17" s="50">
        <f t="shared" si="16"/>
        <v>0</v>
      </c>
      <c r="CB17" s="49"/>
      <c r="CC17" s="49"/>
      <c r="CD17" s="50">
        <f t="shared" si="17"/>
        <v>0</v>
      </c>
      <c r="CF17" s="49"/>
      <c r="CG17" s="49"/>
      <c r="CH17" s="50">
        <f t="shared" si="18"/>
        <v>0</v>
      </c>
      <c r="CJ17" s="49"/>
      <c r="CK17" s="49"/>
      <c r="CL17" s="50">
        <f t="shared" si="19"/>
        <v>0</v>
      </c>
      <c r="CN17" s="49"/>
      <c r="CO17" s="49"/>
      <c r="CP17" s="50">
        <f t="shared" si="20"/>
        <v>0</v>
      </c>
      <c r="CR17" s="49"/>
      <c r="CS17" s="49"/>
      <c r="CT17" s="50">
        <f t="shared" si="21"/>
        <v>0</v>
      </c>
      <c r="CV17" s="49"/>
      <c r="CW17" s="49"/>
      <c r="CX17" s="50">
        <f t="shared" si="22"/>
        <v>0</v>
      </c>
      <c r="CZ17" s="49"/>
      <c r="DA17" s="49"/>
      <c r="DB17" s="50">
        <f t="shared" si="23"/>
        <v>0</v>
      </c>
      <c r="DD17" s="49"/>
      <c r="DE17" s="49"/>
      <c r="DF17" s="50">
        <f t="shared" si="24"/>
        <v>0</v>
      </c>
      <c r="DH17" s="49"/>
      <c r="DI17" s="49"/>
      <c r="DJ17" s="50">
        <f t="shared" si="25"/>
        <v>0</v>
      </c>
      <c r="DL17" s="49"/>
      <c r="DM17" s="49"/>
      <c r="DN17" s="50">
        <f t="shared" si="26"/>
        <v>0</v>
      </c>
      <c r="DP17" s="49"/>
      <c r="DQ17" s="49"/>
      <c r="DR17" s="50">
        <f t="shared" si="27"/>
        <v>0</v>
      </c>
      <c r="DT17" s="49"/>
      <c r="DU17" s="49"/>
      <c r="DV17" s="50">
        <f t="shared" si="28"/>
        <v>0</v>
      </c>
      <c r="DX17" s="49"/>
      <c r="DY17" s="49"/>
      <c r="DZ17" s="50">
        <f t="shared" si="29"/>
        <v>0</v>
      </c>
      <c r="EB17" s="49">
        <f t="shared" si="30"/>
        <v>0</v>
      </c>
      <c r="EC17" s="49">
        <f t="shared" si="30"/>
        <v>0</v>
      </c>
      <c r="ED17" s="49">
        <f t="shared" si="30"/>
        <v>0</v>
      </c>
    </row>
    <row r="18" spans="2:134" ht="11" customHeight="1" x14ac:dyDescent="0.35">
      <c r="B18" s="4">
        <v>101932</v>
      </c>
      <c r="C18" s="4" t="s">
        <v>24</v>
      </c>
      <c r="D18" s="4">
        <v>12</v>
      </c>
      <c r="E18" s="5">
        <v>8</v>
      </c>
      <c r="F18" s="6">
        <v>481.13467500000002</v>
      </c>
      <c r="G18" s="7"/>
      <c r="H18" s="49"/>
      <c r="I18" s="49"/>
      <c r="J18" s="50">
        <f t="shared" si="31"/>
        <v>0</v>
      </c>
      <c r="K18" s="9"/>
      <c r="L18" s="49"/>
      <c r="M18" s="49"/>
      <c r="N18" s="50">
        <f t="shared" si="0"/>
        <v>0</v>
      </c>
      <c r="O18" s="46"/>
      <c r="P18" s="49"/>
      <c r="Q18" s="49"/>
      <c r="R18" s="50">
        <f t="shared" si="1"/>
        <v>0</v>
      </c>
      <c r="T18" s="49"/>
      <c r="U18" s="49"/>
      <c r="V18" s="50">
        <f t="shared" si="2"/>
        <v>0</v>
      </c>
      <c r="X18" s="49"/>
      <c r="Y18" s="49"/>
      <c r="Z18" s="50">
        <f t="shared" si="3"/>
        <v>0</v>
      </c>
      <c r="AB18" s="49"/>
      <c r="AC18" s="49"/>
      <c r="AD18" s="50">
        <f t="shared" si="4"/>
        <v>0</v>
      </c>
      <c r="AF18" s="49"/>
      <c r="AG18" s="49"/>
      <c r="AH18" s="50">
        <f t="shared" si="5"/>
        <v>0</v>
      </c>
      <c r="AJ18" s="49"/>
      <c r="AK18" s="49"/>
      <c r="AL18" s="50">
        <f t="shared" si="6"/>
        <v>0</v>
      </c>
      <c r="AN18" s="49"/>
      <c r="AO18" s="49"/>
      <c r="AP18" s="50">
        <f t="shared" si="7"/>
        <v>0</v>
      </c>
      <c r="AR18" s="49"/>
      <c r="AS18" s="49"/>
      <c r="AT18" s="50">
        <f t="shared" si="8"/>
        <v>0</v>
      </c>
      <c r="AV18" s="49"/>
      <c r="AW18" s="49"/>
      <c r="AX18" s="50">
        <f t="shared" si="9"/>
        <v>0</v>
      </c>
      <c r="AZ18" s="49"/>
      <c r="BA18" s="49"/>
      <c r="BB18" s="50">
        <f t="shared" si="10"/>
        <v>0</v>
      </c>
      <c r="BD18" s="49"/>
      <c r="BE18" s="49"/>
      <c r="BF18" s="50">
        <f t="shared" si="11"/>
        <v>0</v>
      </c>
      <c r="BH18" s="49"/>
      <c r="BI18" s="49"/>
      <c r="BJ18" s="50">
        <f t="shared" si="12"/>
        <v>0</v>
      </c>
      <c r="BL18" s="49"/>
      <c r="BM18" s="49"/>
      <c r="BN18" s="50">
        <f t="shared" si="13"/>
        <v>0</v>
      </c>
      <c r="BP18" s="49"/>
      <c r="BQ18" s="49"/>
      <c r="BR18" s="50">
        <f t="shared" si="14"/>
        <v>0</v>
      </c>
      <c r="BT18" s="49"/>
      <c r="BU18" s="49"/>
      <c r="BV18" s="50">
        <f t="shared" si="15"/>
        <v>0</v>
      </c>
      <c r="BX18" s="49"/>
      <c r="BY18" s="49"/>
      <c r="BZ18" s="50">
        <f t="shared" si="16"/>
        <v>0</v>
      </c>
      <c r="CB18" s="49"/>
      <c r="CC18" s="49"/>
      <c r="CD18" s="50">
        <f t="shared" si="17"/>
        <v>0</v>
      </c>
      <c r="CF18" s="49"/>
      <c r="CG18" s="49"/>
      <c r="CH18" s="50">
        <f t="shared" si="18"/>
        <v>0</v>
      </c>
      <c r="CJ18" s="49"/>
      <c r="CK18" s="49"/>
      <c r="CL18" s="50">
        <f t="shared" si="19"/>
        <v>0</v>
      </c>
      <c r="CN18" s="49"/>
      <c r="CO18" s="49"/>
      <c r="CP18" s="50">
        <f t="shared" si="20"/>
        <v>0</v>
      </c>
      <c r="CR18" s="49"/>
      <c r="CS18" s="49"/>
      <c r="CT18" s="50">
        <f t="shared" si="21"/>
        <v>0</v>
      </c>
      <c r="CV18" s="49"/>
      <c r="CW18" s="49"/>
      <c r="CX18" s="50">
        <f t="shared" si="22"/>
        <v>0</v>
      </c>
      <c r="CZ18" s="49"/>
      <c r="DA18" s="49"/>
      <c r="DB18" s="50">
        <f t="shared" si="23"/>
        <v>0</v>
      </c>
      <c r="DD18" s="49"/>
      <c r="DE18" s="49"/>
      <c r="DF18" s="50">
        <f t="shared" si="24"/>
        <v>0</v>
      </c>
      <c r="DH18" s="49"/>
      <c r="DI18" s="49"/>
      <c r="DJ18" s="50">
        <f t="shared" si="25"/>
        <v>0</v>
      </c>
      <c r="DL18" s="49"/>
      <c r="DM18" s="49"/>
      <c r="DN18" s="50">
        <f t="shared" si="26"/>
        <v>0</v>
      </c>
      <c r="DP18" s="49"/>
      <c r="DQ18" s="49"/>
      <c r="DR18" s="50">
        <f t="shared" si="27"/>
        <v>0</v>
      </c>
      <c r="DT18" s="49"/>
      <c r="DU18" s="49"/>
      <c r="DV18" s="50">
        <f t="shared" si="28"/>
        <v>0</v>
      </c>
      <c r="DX18" s="49"/>
      <c r="DY18" s="49"/>
      <c r="DZ18" s="50">
        <f t="shared" si="29"/>
        <v>0</v>
      </c>
      <c r="EB18" s="49">
        <f t="shared" si="30"/>
        <v>0</v>
      </c>
      <c r="EC18" s="49">
        <f t="shared" si="30"/>
        <v>0</v>
      </c>
      <c r="ED18" s="49">
        <f t="shared" si="30"/>
        <v>0</v>
      </c>
    </row>
    <row r="19" spans="2:134" ht="11" customHeight="1" x14ac:dyDescent="0.35">
      <c r="B19" s="4">
        <v>101933</v>
      </c>
      <c r="C19" s="4" t="s">
        <v>25</v>
      </c>
      <c r="D19" s="4">
        <v>12</v>
      </c>
      <c r="E19" s="5">
        <v>8</v>
      </c>
      <c r="F19" s="6">
        <v>481.13467500000002</v>
      </c>
      <c r="G19" s="7"/>
      <c r="H19" s="49"/>
      <c r="I19" s="49"/>
      <c r="J19" s="50">
        <f t="shared" si="31"/>
        <v>0</v>
      </c>
      <c r="K19" s="9"/>
      <c r="L19" s="49"/>
      <c r="M19" s="49"/>
      <c r="N19" s="50">
        <f t="shared" si="0"/>
        <v>0</v>
      </c>
      <c r="O19" s="46"/>
      <c r="P19" s="49"/>
      <c r="Q19" s="49"/>
      <c r="R19" s="50">
        <f t="shared" si="1"/>
        <v>0</v>
      </c>
      <c r="T19" s="49"/>
      <c r="U19" s="49"/>
      <c r="V19" s="50">
        <f t="shared" si="2"/>
        <v>0</v>
      </c>
      <c r="X19" s="49"/>
      <c r="Y19" s="49"/>
      <c r="Z19" s="50">
        <f t="shared" si="3"/>
        <v>0</v>
      </c>
      <c r="AB19" s="49"/>
      <c r="AC19" s="49"/>
      <c r="AD19" s="50">
        <f t="shared" si="4"/>
        <v>0</v>
      </c>
      <c r="AF19" s="49"/>
      <c r="AG19" s="49"/>
      <c r="AH19" s="50">
        <f t="shared" si="5"/>
        <v>0</v>
      </c>
      <c r="AJ19" s="49"/>
      <c r="AK19" s="49"/>
      <c r="AL19" s="50">
        <f t="shared" si="6"/>
        <v>0</v>
      </c>
      <c r="AN19" s="49"/>
      <c r="AO19" s="49"/>
      <c r="AP19" s="50">
        <f t="shared" si="7"/>
        <v>0</v>
      </c>
      <c r="AR19" s="49"/>
      <c r="AS19" s="49"/>
      <c r="AT19" s="50">
        <f t="shared" si="8"/>
        <v>0</v>
      </c>
      <c r="AV19" s="49"/>
      <c r="AW19" s="49"/>
      <c r="AX19" s="50">
        <f t="shared" si="9"/>
        <v>0</v>
      </c>
      <c r="AZ19" s="49"/>
      <c r="BA19" s="49"/>
      <c r="BB19" s="50">
        <f t="shared" si="10"/>
        <v>0</v>
      </c>
      <c r="BD19" s="49"/>
      <c r="BE19" s="49"/>
      <c r="BF19" s="50">
        <f t="shared" si="11"/>
        <v>0</v>
      </c>
      <c r="BH19" s="49"/>
      <c r="BI19" s="49"/>
      <c r="BJ19" s="50">
        <f t="shared" si="12"/>
        <v>0</v>
      </c>
      <c r="BL19" s="49"/>
      <c r="BM19" s="49"/>
      <c r="BN19" s="50">
        <f t="shared" si="13"/>
        <v>0</v>
      </c>
      <c r="BP19" s="49"/>
      <c r="BQ19" s="49"/>
      <c r="BR19" s="50">
        <f t="shared" si="14"/>
        <v>0</v>
      </c>
      <c r="BT19" s="49"/>
      <c r="BU19" s="49"/>
      <c r="BV19" s="50">
        <f t="shared" si="15"/>
        <v>0</v>
      </c>
      <c r="BX19" s="49"/>
      <c r="BY19" s="49"/>
      <c r="BZ19" s="50">
        <f t="shared" si="16"/>
        <v>0</v>
      </c>
      <c r="CB19" s="49"/>
      <c r="CC19" s="49"/>
      <c r="CD19" s="50">
        <f t="shared" si="17"/>
        <v>0</v>
      </c>
      <c r="CF19" s="49"/>
      <c r="CG19" s="49"/>
      <c r="CH19" s="50">
        <f t="shared" si="18"/>
        <v>0</v>
      </c>
      <c r="CJ19" s="49"/>
      <c r="CK19" s="49"/>
      <c r="CL19" s="50">
        <f t="shared" si="19"/>
        <v>0</v>
      </c>
      <c r="CN19" s="49"/>
      <c r="CO19" s="49"/>
      <c r="CP19" s="50">
        <f t="shared" si="20"/>
        <v>0</v>
      </c>
      <c r="CR19" s="49"/>
      <c r="CS19" s="49"/>
      <c r="CT19" s="50">
        <f t="shared" si="21"/>
        <v>0</v>
      </c>
      <c r="CV19" s="49"/>
      <c r="CW19" s="49"/>
      <c r="CX19" s="50">
        <f t="shared" si="22"/>
        <v>0</v>
      </c>
      <c r="CZ19" s="49"/>
      <c r="DA19" s="49"/>
      <c r="DB19" s="50">
        <f t="shared" si="23"/>
        <v>0</v>
      </c>
      <c r="DD19" s="49"/>
      <c r="DE19" s="49"/>
      <c r="DF19" s="50">
        <f t="shared" si="24"/>
        <v>0</v>
      </c>
      <c r="DH19" s="49"/>
      <c r="DI19" s="49"/>
      <c r="DJ19" s="50">
        <f t="shared" si="25"/>
        <v>0</v>
      </c>
      <c r="DL19" s="49"/>
      <c r="DM19" s="49"/>
      <c r="DN19" s="50">
        <f t="shared" si="26"/>
        <v>0</v>
      </c>
      <c r="DP19" s="49"/>
      <c r="DQ19" s="49"/>
      <c r="DR19" s="50">
        <f t="shared" si="27"/>
        <v>0</v>
      </c>
      <c r="DT19" s="49"/>
      <c r="DU19" s="49"/>
      <c r="DV19" s="50">
        <f t="shared" si="28"/>
        <v>0</v>
      </c>
      <c r="DX19" s="49"/>
      <c r="DY19" s="49"/>
      <c r="DZ19" s="50">
        <f t="shared" si="29"/>
        <v>0</v>
      </c>
      <c r="EB19" s="49">
        <f t="shared" si="30"/>
        <v>0</v>
      </c>
      <c r="EC19" s="49">
        <f t="shared" si="30"/>
        <v>0</v>
      </c>
      <c r="ED19" s="49">
        <f t="shared" si="30"/>
        <v>0</v>
      </c>
    </row>
    <row r="20" spans="2:134" ht="11" customHeight="1" x14ac:dyDescent="0.35">
      <c r="B20" s="4">
        <v>101934</v>
      </c>
      <c r="C20" s="4" t="s">
        <v>26</v>
      </c>
      <c r="D20" s="4">
        <v>12</v>
      </c>
      <c r="E20" s="5">
        <v>8</v>
      </c>
      <c r="F20" s="6">
        <v>481.13467500000002</v>
      </c>
      <c r="G20" s="7"/>
      <c r="H20" s="49"/>
      <c r="I20" s="49"/>
      <c r="J20" s="50">
        <f t="shared" si="31"/>
        <v>0</v>
      </c>
      <c r="K20" s="9"/>
      <c r="L20" s="49"/>
      <c r="M20" s="49"/>
      <c r="N20" s="50">
        <f t="shared" si="0"/>
        <v>0</v>
      </c>
      <c r="O20" s="46"/>
      <c r="P20" s="49"/>
      <c r="Q20" s="49"/>
      <c r="R20" s="50">
        <f t="shared" si="1"/>
        <v>0</v>
      </c>
      <c r="T20" s="49"/>
      <c r="U20" s="49"/>
      <c r="V20" s="50">
        <f t="shared" si="2"/>
        <v>0</v>
      </c>
      <c r="X20" s="49"/>
      <c r="Y20" s="49"/>
      <c r="Z20" s="50">
        <f t="shared" si="3"/>
        <v>0</v>
      </c>
      <c r="AB20" s="49"/>
      <c r="AC20" s="49"/>
      <c r="AD20" s="50">
        <f t="shared" si="4"/>
        <v>0</v>
      </c>
      <c r="AF20" s="49"/>
      <c r="AG20" s="49"/>
      <c r="AH20" s="50">
        <f t="shared" si="5"/>
        <v>0</v>
      </c>
      <c r="AJ20" s="49"/>
      <c r="AK20" s="49"/>
      <c r="AL20" s="50">
        <f t="shared" si="6"/>
        <v>0</v>
      </c>
      <c r="AN20" s="49"/>
      <c r="AO20" s="49"/>
      <c r="AP20" s="50">
        <f t="shared" si="7"/>
        <v>0</v>
      </c>
      <c r="AR20" s="49"/>
      <c r="AS20" s="49"/>
      <c r="AT20" s="50">
        <f t="shared" si="8"/>
        <v>0</v>
      </c>
      <c r="AV20" s="49"/>
      <c r="AW20" s="49"/>
      <c r="AX20" s="50">
        <f t="shared" si="9"/>
        <v>0</v>
      </c>
      <c r="AZ20" s="49"/>
      <c r="BA20" s="49"/>
      <c r="BB20" s="50">
        <f t="shared" si="10"/>
        <v>0</v>
      </c>
      <c r="BD20" s="49"/>
      <c r="BE20" s="49"/>
      <c r="BF20" s="50">
        <f t="shared" si="11"/>
        <v>0</v>
      </c>
      <c r="BH20" s="49"/>
      <c r="BI20" s="49"/>
      <c r="BJ20" s="50">
        <f t="shared" si="12"/>
        <v>0</v>
      </c>
      <c r="BL20" s="49"/>
      <c r="BM20" s="49"/>
      <c r="BN20" s="50">
        <f t="shared" si="13"/>
        <v>0</v>
      </c>
      <c r="BP20" s="49"/>
      <c r="BQ20" s="49"/>
      <c r="BR20" s="50">
        <f t="shared" si="14"/>
        <v>0</v>
      </c>
      <c r="BT20" s="49"/>
      <c r="BU20" s="49"/>
      <c r="BV20" s="50">
        <f t="shared" si="15"/>
        <v>0</v>
      </c>
      <c r="BX20" s="49"/>
      <c r="BY20" s="49"/>
      <c r="BZ20" s="50">
        <f t="shared" si="16"/>
        <v>0</v>
      </c>
      <c r="CB20" s="49"/>
      <c r="CC20" s="49"/>
      <c r="CD20" s="50">
        <f t="shared" si="17"/>
        <v>0</v>
      </c>
      <c r="CF20" s="49"/>
      <c r="CG20" s="49"/>
      <c r="CH20" s="50">
        <f t="shared" si="18"/>
        <v>0</v>
      </c>
      <c r="CJ20" s="49"/>
      <c r="CK20" s="49"/>
      <c r="CL20" s="50">
        <f t="shared" si="19"/>
        <v>0</v>
      </c>
      <c r="CN20" s="49"/>
      <c r="CO20" s="49"/>
      <c r="CP20" s="50">
        <f t="shared" si="20"/>
        <v>0</v>
      </c>
      <c r="CR20" s="49"/>
      <c r="CS20" s="49"/>
      <c r="CT20" s="50">
        <f t="shared" si="21"/>
        <v>0</v>
      </c>
      <c r="CV20" s="49"/>
      <c r="CW20" s="49"/>
      <c r="CX20" s="50">
        <f t="shared" si="22"/>
        <v>0</v>
      </c>
      <c r="CZ20" s="49"/>
      <c r="DA20" s="49"/>
      <c r="DB20" s="50">
        <f t="shared" si="23"/>
        <v>0</v>
      </c>
      <c r="DD20" s="49"/>
      <c r="DE20" s="49"/>
      <c r="DF20" s="50">
        <f t="shared" si="24"/>
        <v>0</v>
      </c>
      <c r="DH20" s="49"/>
      <c r="DI20" s="49"/>
      <c r="DJ20" s="50">
        <f t="shared" si="25"/>
        <v>0</v>
      </c>
      <c r="DL20" s="49"/>
      <c r="DM20" s="49"/>
      <c r="DN20" s="50">
        <f t="shared" si="26"/>
        <v>0</v>
      </c>
      <c r="DP20" s="49"/>
      <c r="DQ20" s="49"/>
      <c r="DR20" s="50">
        <f t="shared" si="27"/>
        <v>0</v>
      </c>
      <c r="DT20" s="49"/>
      <c r="DU20" s="49"/>
      <c r="DV20" s="50">
        <f t="shared" si="28"/>
        <v>0</v>
      </c>
      <c r="DX20" s="49"/>
      <c r="DY20" s="49"/>
      <c r="DZ20" s="50">
        <f t="shared" si="29"/>
        <v>0</v>
      </c>
      <c r="EB20" s="49">
        <f t="shared" si="30"/>
        <v>0</v>
      </c>
      <c r="EC20" s="49">
        <f t="shared" si="30"/>
        <v>0</v>
      </c>
      <c r="ED20" s="49">
        <f t="shared" si="30"/>
        <v>0</v>
      </c>
    </row>
    <row r="21" spans="2:134" ht="11" customHeight="1" x14ac:dyDescent="0.35">
      <c r="B21" s="4">
        <v>102155</v>
      </c>
      <c r="C21" s="4" t="s">
        <v>27</v>
      </c>
      <c r="D21" s="4">
        <v>1</v>
      </c>
      <c r="E21" s="5">
        <v>12</v>
      </c>
      <c r="F21" s="6">
        <v>394.37248129599999</v>
      </c>
      <c r="G21" s="7"/>
      <c r="H21" s="49"/>
      <c r="I21" s="49"/>
      <c r="J21" s="50">
        <f t="shared" si="31"/>
        <v>0</v>
      </c>
      <c r="K21" s="9"/>
      <c r="L21" s="49"/>
      <c r="M21" s="49"/>
      <c r="N21" s="50">
        <f t="shared" si="0"/>
        <v>0</v>
      </c>
      <c r="O21" s="46"/>
      <c r="P21" s="49"/>
      <c r="Q21" s="49"/>
      <c r="R21" s="50">
        <f t="shared" si="1"/>
        <v>0</v>
      </c>
      <c r="T21" s="49"/>
      <c r="U21" s="49"/>
      <c r="V21" s="50">
        <f t="shared" si="2"/>
        <v>0</v>
      </c>
      <c r="X21" s="49"/>
      <c r="Y21" s="49"/>
      <c r="Z21" s="50">
        <f t="shared" si="3"/>
        <v>0</v>
      </c>
      <c r="AB21" s="49"/>
      <c r="AC21" s="49"/>
      <c r="AD21" s="50">
        <f t="shared" si="4"/>
        <v>0</v>
      </c>
      <c r="AF21" s="49"/>
      <c r="AG21" s="49"/>
      <c r="AH21" s="50">
        <f t="shared" si="5"/>
        <v>0</v>
      </c>
      <c r="AJ21" s="49"/>
      <c r="AK21" s="49"/>
      <c r="AL21" s="50">
        <f t="shared" si="6"/>
        <v>0</v>
      </c>
      <c r="AN21" s="49"/>
      <c r="AO21" s="49"/>
      <c r="AP21" s="50">
        <f t="shared" si="7"/>
        <v>0</v>
      </c>
      <c r="AR21" s="49"/>
      <c r="AS21" s="49"/>
      <c r="AT21" s="50">
        <f t="shared" si="8"/>
        <v>0</v>
      </c>
      <c r="AV21" s="49"/>
      <c r="AW21" s="49"/>
      <c r="AX21" s="50">
        <f t="shared" si="9"/>
        <v>0</v>
      </c>
      <c r="AZ21" s="49"/>
      <c r="BA21" s="49"/>
      <c r="BB21" s="50">
        <f t="shared" si="10"/>
        <v>0</v>
      </c>
      <c r="BD21" s="49"/>
      <c r="BE21" s="49"/>
      <c r="BF21" s="50">
        <f t="shared" si="11"/>
        <v>0</v>
      </c>
      <c r="BH21" s="49"/>
      <c r="BI21" s="49"/>
      <c r="BJ21" s="50">
        <f t="shared" si="12"/>
        <v>0</v>
      </c>
      <c r="BL21" s="49"/>
      <c r="BM21" s="49"/>
      <c r="BN21" s="50">
        <f t="shared" si="13"/>
        <v>0</v>
      </c>
      <c r="BP21" s="49"/>
      <c r="BQ21" s="49"/>
      <c r="BR21" s="50">
        <f t="shared" si="14"/>
        <v>0</v>
      </c>
      <c r="BT21" s="49"/>
      <c r="BU21" s="49"/>
      <c r="BV21" s="50">
        <f t="shared" si="15"/>
        <v>0</v>
      </c>
      <c r="BX21" s="49"/>
      <c r="BY21" s="49"/>
      <c r="BZ21" s="50">
        <f t="shared" si="16"/>
        <v>0</v>
      </c>
      <c r="CB21" s="49"/>
      <c r="CC21" s="49"/>
      <c r="CD21" s="50">
        <f t="shared" si="17"/>
        <v>0</v>
      </c>
      <c r="CF21" s="49"/>
      <c r="CG21" s="49"/>
      <c r="CH21" s="50">
        <f t="shared" si="18"/>
        <v>0</v>
      </c>
      <c r="CJ21" s="49"/>
      <c r="CK21" s="49"/>
      <c r="CL21" s="50">
        <f t="shared" si="19"/>
        <v>0</v>
      </c>
      <c r="CN21" s="49"/>
      <c r="CO21" s="49"/>
      <c r="CP21" s="50">
        <f t="shared" si="20"/>
        <v>0</v>
      </c>
      <c r="CR21" s="49"/>
      <c r="CS21" s="49"/>
      <c r="CT21" s="50">
        <f t="shared" si="21"/>
        <v>0</v>
      </c>
      <c r="CV21" s="49"/>
      <c r="CW21" s="49"/>
      <c r="CX21" s="50">
        <f t="shared" si="22"/>
        <v>0</v>
      </c>
      <c r="CZ21" s="49"/>
      <c r="DA21" s="49"/>
      <c r="DB21" s="50">
        <f t="shared" si="23"/>
        <v>0</v>
      </c>
      <c r="DD21" s="49"/>
      <c r="DE21" s="49"/>
      <c r="DF21" s="50">
        <f t="shared" si="24"/>
        <v>0</v>
      </c>
      <c r="DH21" s="49"/>
      <c r="DI21" s="49"/>
      <c r="DJ21" s="50">
        <f t="shared" si="25"/>
        <v>0</v>
      </c>
      <c r="DL21" s="49"/>
      <c r="DM21" s="49"/>
      <c r="DN21" s="50">
        <f t="shared" si="26"/>
        <v>0</v>
      </c>
      <c r="DP21" s="49"/>
      <c r="DQ21" s="49"/>
      <c r="DR21" s="50">
        <f t="shared" si="27"/>
        <v>0</v>
      </c>
      <c r="DT21" s="49"/>
      <c r="DU21" s="49"/>
      <c r="DV21" s="50">
        <f t="shared" si="28"/>
        <v>0</v>
      </c>
      <c r="DX21" s="49"/>
      <c r="DY21" s="49"/>
      <c r="DZ21" s="50">
        <f t="shared" si="29"/>
        <v>0</v>
      </c>
      <c r="EB21" s="49">
        <f t="shared" si="30"/>
        <v>0</v>
      </c>
      <c r="EC21" s="49">
        <f t="shared" si="30"/>
        <v>0</v>
      </c>
      <c r="ED21" s="49">
        <f t="shared" si="30"/>
        <v>0</v>
      </c>
    </row>
    <row r="22" spans="2:134" ht="11" customHeight="1" x14ac:dyDescent="0.35">
      <c r="B22" s="4">
        <v>102157</v>
      </c>
      <c r="C22" s="4" t="s">
        <v>28</v>
      </c>
      <c r="D22" s="4">
        <v>50</v>
      </c>
      <c r="E22" s="5">
        <v>18</v>
      </c>
      <c r="F22" s="6">
        <v>200.47282196</v>
      </c>
      <c r="G22" s="7"/>
      <c r="H22" s="49"/>
      <c r="I22" s="49"/>
      <c r="J22" s="50">
        <f t="shared" si="31"/>
        <v>0</v>
      </c>
      <c r="K22" s="9"/>
      <c r="L22" s="49"/>
      <c r="M22" s="49"/>
      <c r="N22" s="50">
        <f t="shared" si="0"/>
        <v>0</v>
      </c>
      <c r="O22" s="46"/>
      <c r="P22" s="49"/>
      <c r="Q22" s="49"/>
      <c r="R22" s="50">
        <f t="shared" si="1"/>
        <v>0</v>
      </c>
      <c r="T22" s="49"/>
      <c r="U22" s="49"/>
      <c r="V22" s="50">
        <f t="shared" si="2"/>
        <v>0</v>
      </c>
      <c r="X22" s="49"/>
      <c r="Y22" s="49"/>
      <c r="Z22" s="50">
        <f t="shared" si="3"/>
        <v>0</v>
      </c>
      <c r="AB22" s="49"/>
      <c r="AC22" s="49"/>
      <c r="AD22" s="50">
        <f t="shared" si="4"/>
        <v>0</v>
      </c>
      <c r="AF22" s="49"/>
      <c r="AG22" s="49"/>
      <c r="AH22" s="50">
        <f t="shared" si="5"/>
        <v>0</v>
      </c>
      <c r="AJ22" s="49"/>
      <c r="AK22" s="49"/>
      <c r="AL22" s="50">
        <f t="shared" si="6"/>
        <v>0</v>
      </c>
      <c r="AN22" s="49"/>
      <c r="AO22" s="49"/>
      <c r="AP22" s="50">
        <f t="shared" si="7"/>
        <v>0</v>
      </c>
      <c r="AR22" s="49"/>
      <c r="AS22" s="49"/>
      <c r="AT22" s="50">
        <f t="shared" si="8"/>
        <v>0</v>
      </c>
      <c r="AV22" s="49"/>
      <c r="AW22" s="49"/>
      <c r="AX22" s="50">
        <f t="shared" si="9"/>
        <v>0</v>
      </c>
      <c r="AZ22" s="49"/>
      <c r="BA22" s="49"/>
      <c r="BB22" s="50">
        <f t="shared" si="10"/>
        <v>0</v>
      </c>
      <c r="BD22" s="49"/>
      <c r="BE22" s="49"/>
      <c r="BF22" s="50">
        <f t="shared" si="11"/>
        <v>0</v>
      </c>
      <c r="BH22" s="49"/>
      <c r="BI22" s="49"/>
      <c r="BJ22" s="50">
        <f t="shared" si="12"/>
        <v>0</v>
      </c>
      <c r="BL22" s="49"/>
      <c r="BM22" s="49"/>
      <c r="BN22" s="50">
        <f t="shared" si="13"/>
        <v>0</v>
      </c>
      <c r="BP22" s="49"/>
      <c r="BQ22" s="49"/>
      <c r="BR22" s="50">
        <f t="shared" si="14"/>
        <v>0</v>
      </c>
      <c r="BT22" s="49"/>
      <c r="BU22" s="49"/>
      <c r="BV22" s="50">
        <f t="shared" si="15"/>
        <v>0</v>
      </c>
      <c r="BX22" s="49"/>
      <c r="BY22" s="49"/>
      <c r="BZ22" s="50">
        <f t="shared" si="16"/>
        <v>0</v>
      </c>
      <c r="CB22" s="49"/>
      <c r="CC22" s="49"/>
      <c r="CD22" s="50">
        <f t="shared" si="17"/>
        <v>0</v>
      </c>
      <c r="CF22" s="49"/>
      <c r="CG22" s="49"/>
      <c r="CH22" s="50">
        <f t="shared" si="18"/>
        <v>0</v>
      </c>
      <c r="CJ22" s="49"/>
      <c r="CK22" s="49"/>
      <c r="CL22" s="50">
        <f t="shared" si="19"/>
        <v>0</v>
      </c>
      <c r="CN22" s="49"/>
      <c r="CO22" s="49"/>
      <c r="CP22" s="50">
        <f t="shared" si="20"/>
        <v>0</v>
      </c>
      <c r="CR22" s="49"/>
      <c r="CS22" s="49"/>
      <c r="CT22" s="50">
        <f t="shared" si="21"/>
        <v>0</v>
      </c>
      <c r="CV22" s="49"/>
      <c r="CW22" s="49"/>
      <c r="CX22" s="50">
        <f t="shared" si="22"/>
        <v>0</v>
      </c>
      <c r="CZ22" s="49"/>
      <c r="DA22" s="49"/>
      <c r="DB22" s="50">
        <f t="shared" si="23"/>
        <v>0</v>
      </c>
      <c r="DD22" s="49"/>
      <c r="DE22" s="49"/>
      <c r="DF22" s="50">
        <f t="shared" si="24"/>
        <v>0</v>
      </c>
      <c r="DH22" s="49"/>
      <c r="DI22" s="49"/>
      <c r="DJ22" s="50">
        <f t="shared" si="25"/>
        <v>0</v>
      </c>
      <c r="DL22" s="49"/>
      <c r="DM22" s="49"/>
      <c r="DN22" s="50">
        <f t="shared" si="26"/>
        <v>0</v>
      </c>
      <c r="DP22" s="49"/>
      <c r="DQ22" s="49"/>
      <c r="DR22" s="50">
        <f t="shared" si="27"/>
        <v>0</v>
      </c>
      <c r="DT22" s="49"/>
      <c r="DU22" s="49"/>
      <c r="DV22" s="50">
        <f t="shared" si="28"/>
        <v>0</v>
      </c>
      <c r="DX22" s="49"/>
      <c r="DY22" s="49"/>
      <c r="DZ22" s="50">
        <f t="shared" si="29"/>
        <v>0</v>
      </c>
      <c r="EB22" s="49">
        <f t="shared" si="30"/>
        <v>0</v>
      </c>
      <c r="EC22" s="49">
        <f t="shared" si="30"/>
        <v>0</v>
      </c>
      <c r="ED22" s="49">
        <f t="shared" si="30"/>
        <v>0</v>
      </c>
    </row>
    <row r="23" spans="2:134" ht="11" customHeight="1" x14ac:dyDescent="0.35">
      <c r="B23" s="4">
        <v>102926</v>
      </c>
      <c r="C23" s="4" t="s">
        <v>29</v>
      </c>
      <c r="D23" s="4">
        <v>50</v>
      </c>
      <c r="E23" s="5">
        <v>18</v>
      </c>
      <c r="F23" s="6">
        <v>197.18624064799999</v>
      </c>
      <c r="G23" s="7"/>
      <c r="H23" s="49"/>
      <c r="I23" s="49"/>
      <c r="J23" s="50">
        <f t="shared" si="31"/>
        <v>0</v>
      </c>
      <c r="K23" s="9"/>
      <c r="L23" s="49"/>
      <c r="M23" s="49"/>
      <c r="N23" s="50">
        <f t="shared" si="0"/>
        <v>0</v>
      </c>
      <c r="O23" s="46"/>
      <c r="P23" s="49"/>
      <c r="Q23" s="49"/>
      <c r="R23" s="50">
        <f t="shared" si="1"/>
        <v>0</v>
      </c>
      <c r="T23" s="49"/>
      <c r="U23" s="49"/>
      <c r="V23" s="50">
        <f t="shared" si="2"/>
        <v>0</v>
      </c>
      <c r="X23" s="49"/>
      <c r="Y23" s="49"/>
      <c r="Z23" s="50">
        <f t="shared" si="3"/>
        <v>0</v>
      </c>
      <c r="AB23" s="49"/>
      <c r="AC23" s="49"/>
      <c r="AD23" s="50">
        <f t="shared" si="4"/>
        <v>0</v>
      </c>
      <c r="AF23" s="49"/>
      <c r="AG23" s="49"/>
      <c r="AH23" s="50">
        <f t="shared" si="5"/>
        <v>0</v>
      </c>
      <c r="AJ23" s="49"/>
      <c r="AK23" s="49"/>
      <c r="AL23" s="50">
        <f t="shared" si="6"/>
        <v>0</v>
      </c>
      <c r="AN23" s="49"/>
      <c r="AO23" s="49"/>
      <c r="AP23" s="50">
        <f t="shared" si="7"/>
        <v>0</v>
      </c>
      <c r="AR23" s="49"/>
      <c r="AS23" s="49"/>
      <c r="AT23" s="50">
        <f t="shared" si="8"/>
        <v>0</v>
      </c>
      <c r="AV23" s="49"/>
      <c r="AW23" s="49"/>
      <c r="AX23" s="50">
        <f t="shared" si="9"/>
        <v>0</v>
      </c>
      <c r="AZ23" s="49"/>
      <c r="BA23" s="49"/>
      <c r="BB23" s="50">
        <f t="shared" si="10"/>
        <v>0</v>
      </c>
      <c r="BD23" s="49"/>
      <c r="BE23" s="49"/>
      <c r="BF23" s="50">
        <f t="shared" si="11"/>
        <v>0</v>
      </c>
      <c r="BH23" s="49"/>
      <c r="BI23" s="49"/>
      <c r="BJ23" s="50">
        <f t="shared" si="12"/>
        <v>0</v>
      </c>
      <c r="BL23" s="49"/>
      <c r="BM23" s="49"/>
      <c r="BN23" s="50">
        <f t="shared" si="13"/>
        <v>0</v>
      </c>
      <c r="BP23" s="49"/>
      <c r="BQ23" s="49"/>
      <c r="BR23" s="50">
        <f t="shared" si="14"/>
        <v>0</v>
      </c>
      <c r="BT23" s="49"/>
      <c r="BU23" s="49"/>
      <c r="BV23" s="50">
        <f t="shared" si="15"/>
        <v>0</v>
      </c>
      <c r="BX23" s="49"/>
      <c r="BY23" s="49"/>
      <c r="BZ23" s="50">
        <f t="shared" si="16"/>
        <v>0</v>
      </c>
      <c r="CB23" s="49"/>
      <c r="CC23" s="49"/>
      <c r="CD23" s="50">
        <f t="shared" si="17"/>
        <v>0</v>
      </c>
      <c r="CF23" s="49"/>
      <c r="CG23" s="49"/>
      <c r="CH23" s="50">
        <f t="shared" si="18"/>
        <v>0</v>
      </c>
      <c r="CJ23" s="49"/>
      <c r="CK23" s="49"/>
      <c r="CL23" s="50">
        <f t="shared" si="19"/>
        <v>0</v>
      </c>
      <c r="CN23" s="49"/>
      <c r="CO23" s="49"/>
      <c r="CP23" s="50">
        <f t="shared" si="20"/>
        <v>0</v>
      </c>
      <c r="CR23" s="49"/>
      <c r="CS23" s="49"/>
      <c r="CT23" s="50">
        <f t="shared" si="21"/>
        <v>0</v>
      </c>
      <c r="CV23" s="49"/>
      <c r="CW23" s="49"/>
      <c r="CX23" s="50">
        <f t="shared" si="22"/>
        <v>0</v>
      </c>
      <c r="CZ23" s="49"/>
      <c r="DA23" s="49"/>
      <c r="DB23" s="50">
        <f t="shared" si="23"/>
        <v>0</v>
      </c>
      <c r="DD23" s="49"/>
      <c r="DE23" s="49"/>
      <c r="DF23" s="50">
        <f t="shared" si="24"/>
        <v>0</v>
      </c>
      <c r="DH23" s="49"/>
      <c r="DI23" s="49"/>
      <c r="DJ23" s="50">
        <f t="shared" si="25"/>
        <v>0</v>
      </c>
      <c r="DL23" s="49"/>
      <c r="DM23" s="49"/>
      <c r="DN23" s="50">
        <f t="shared" si="26"/>
        <v>0</v>
      </c>
      <c r="DP23" s="49"/>
      <c r="DQ23" s="49"/>
      <c r="DR23" s="50">
        <f t="shared" si="27"/>
        <v>0</v>
      </c>
      <c r="DT23" s="49"/>
      <c r="DU23" s="49"/>
      <c r="DV23" s="50">
        <f t="shared" si="28"/>
        <v>0</v>
      </c>
      <c r="DX23" s="49"/>
      <c r="DY23" s="49"/>
      <c r="DZ23" s="50">
        <f t="shared" si="29"/>
        <v>0</v>
      </c>
      <c r="EB23" s="49">
        <f t="shared" si="30"/>
        <v>0</v>
      </c>
      <c r="EC23" s="49">
        <f t="shared" si="30"/>
        <v>0</v>
      </c>
      <c r="ED23" s="49">
        <f t="shared" si="30"/>
        <v>0</v>
      </c>
    </row>
    <row r="24" spans="2:134" ht="11" customHeight="1" x14ac:dyDescent="0.35">
      <c r="B24" s="4">
        <v>102929</v>
      </c>
      <c r="C24" s="4" t="s">
        <v>30</v>
      </c>
      <c r="D24" s="4">
        <v>50</v>
      </c>
      <c r="E24" s="5">
        <v>18</v>
      </c>
      <c r="F24" s="6">
        <v>200.47282196</v>
      </c>
      <c r="G24" s="7"/>
      <c r="H24" s="49"/>
      <c r="I24" s="49"/>
      <c r="J24" s="50">
        <f t="shared" si="31"/>
        <v>0</v>
      </c>
      <c r="K24" s="9"/>
      <c r="L24" s="49"/>
      <c r="M24" s="49"/>
      <c r="N24" s="50">
        <f t="shared" si="0"/>
        <v>0</v>
      </c>
      <c r="O24" s="46"/>
      <c r="P24" s="49"/>
      <c r="Q24" s="49"/>
      <c r="R24" s="50">
        <f t="shared" si="1"/>
        <v>0</v>
      </c>
      <c r="T24" s="49"/>
      <c r="U24" s="49"/>
      <c r="V24" s="50">
        <f t="shared" si="2"/>
        <v>0</v>
      </c>
      <c r="X24" s="49"/>
      <c r="Y24" s="49"/>
      <c r="Z24" s="50">
        <f t="shared" si="3"/>
        <v>0</v>
      </c>
      <c r="AB24" s="49"/>
      <c r="AC24" s="49"/>
      <c r="AD24" s="50">
        <f t="shared" si="4"/>
        <v>0</v>
      </c>
      <c r="AF24" s="49"/>
      <c r="AG24" s="49"/>
      <c r="AH24" s="50">
        <f t="shared" si="5"/>
        <v>0</v>
      </c>
      <c r="AJ24" s="49"/>
      <c r="AK24" s="49"/>
      <c r="AL24" s="50">
        <f t="shared" si="6"/>
        <v>0</v>
      </c>
      <c r="AN24" s="49"/>
      <c r="AO24" s="49"/>
      <c r="AP24" s="50">
        <f t="shared" si="7"/>
        <v>0</v>
      </c>
      <c r="AR24" s="49"/>
      <c r="AS24" s="49"/>
      <c r="AT24" s="50">
        <f t="shared" si="8"/>
        <v>0</v>
      </c>
      <c r="AV24" s="49"/>
      <c r="AW24" s="49"/>
      <c r="AX24" s="50">
        <f t="shared" si="9"/>
        <v>0</v>
      </c>
      <c r="AZ24" s="49"/>
      <c r="BA24" s="49"/>
      <c r="BB24" s="50">
        <f t="shared" si="10"/>
        <v>0</v>
      </c>
      <c r="BD24" s="49"/>
      <c r="BE24" s="49"/>
      <c r="BF24" s="50">
        <f t="shared" si="11"/>
        <v>0</v>
      </c>
      <c r="BH24" s="49"/>
      <c r="BI24" s="49"/>
      <c r="BJ24" s="50">
        <f t="shared" si="12"/>
        <v>0</v>
      </c>
      <c r="BL24" s="49"/>
      <c r="BM24" s="49"/>
      <c r="BN24" s="50">
        <f t="shared" si="13"/>
        <v>0</v>
      </c>
      <c r="BP24" s="49"/>
      <c r="BQ24" s="49"/>
      <c r="BR24" s="50">
        <f t="shared" si="14"/>
        <v>0</v>
      </c>
      <c r="BT24" s="49"/>
      <c r="BU24" s="49"/>
      <c r="BV24" s="50">
        <f t="shared" si="15"/>
        <v>0</v>
      </c>
      <c r="BX24" s="49"/>
      <c r="BY24" s="49"/>
      <c r="BZ24" s="50">
        <f t="shared" si="16"/>
        <v>0</v>
      </c>
      <c r="CB24" s="49"/>
      <c r="CC24" s="49"/>
      <c r="CD24" s="50">
        <f t="shared" si="17"/>
        <v>0</v>
      </c>
      <c r="CF24" s="49"/>
      <c r="CG24" s="49"/>
      <c r="CH24" s="50">
        <f t="shared" si="18"/>
        <v>0</v>
      </c>
      <c r="CJ24" s="49"/>
      <c r="CK24" s="49"/>
      <c r="CL24" s="50">
        <f t="shared" si="19"/>
        <v>0</v>
      </c>
      <c r="CN24" s="49"/>
      <c r="CO24" s="49"/>
      <c r="CP24" s="50">
        <f t="shared" si="20"/>
        <v>0</v>
      </c>
      <c r="CR24" s="49"/>
      <c r="CS24" s="49"/>
      <c r="CT24" s="50">
        <f t="shared" si="21"/>
        <v>0</v>
      </c>
      <c r="CV24" s="49"/>
      <c r="CW24" s="49"/>
      <c r="CX24" s="50">
        <f t="shared" si="22"/>
        <v>0</v>
      </c>
      <c r="CZ24" s="49"/>
      <c r="DA24" s="49"/>
      <c r="DB24" s="50">
        <f t="shared" si="23"/>
        <v>0</v>
      </c>
      <c r="DD24" s="49"/>
      <c r="DE24" s="49"/>
      <c r="DF24" s="50">
        <f t="shared" si="24"/>
        <v>0</v>
      </c>
      <c r="DH24" s="49"/>
      <c r="DI24" s="49"/>
      <c r="DJ24" s="50">
        <f t="shared" si="25"/>
        <v>0</v>
      </c>
      <c r="DL24" s="49"/>
      <c r="DM24" s="49"/>
      <c r="DN24" s="50">
        <f t="shared" si="26"/>
        <v>0</v>
      </c>
      <c r="DP24" s="49"/>
      <c r="DQ24" s="49"/>
      <c r="DR24" s="50">
        <f t="shared" si="27"/>
        <v>0</v>
      </c>
      <c r="DT24" s="49"/>
      <c r="DU24" s="49"/>
      <c r="DV24" s="50">
        <f t="shared" si="28"/>
        <v>0</v>
      </c>
      <c r="DX24" s="49"/>
      <c r="DY24" s="49"/>
      <c r="DZ24" s="50">
        <f t="shared" si="29"/>
        <v>0</v>
      </c>
      <c r="EB24" s="49">
        <f t="shared" si="30"/>
        <v>0</v>
      </c>
      <c r="EC24" s="49">
        <f t="shared" si="30"/>
        <v>0</v>
      </c>
      <c r="ED24" s="49">
        <f t="shared" si="30"/>
        <v>0</v>
      </c>
    </row>
    <row r="25" spans="2:134" ht="11" customHeight="1" x14ac:dyDescent="0.35">
      <c r="B25" s="4">
        <v>103008</v>
      </c>
      <c r="C25" s="4" t="s">
        <v>31</v>
      </c>
      <c r="D25" s="4">
        <v>18</v>
      </c>
      <c r="E25" s="5">
        <v>18</v>
      </c>
      <c r="F25" s="6">
        <v>198.24262196000001</v>
      </c>
      <c r="G25" s="7"/>
      <c r="H25" s="49"/>
      <c r="I25" s="49"/>
      <c r="J25" s="50">
        <f t="shared" si="31"/>
        <v>0</v>
      </c>
      <c r="K25" s="9"/>
      <c r="L25" s="49"/>
      <c r="M25" s="49"/>
      <c r="N25" s="50">
        <f t="shared" si="0"/>
        <v>0</v>
      </c>
      <c r="O25" s="46"/>
      <c r="P25" s="49"/>
      <c r="Q25" s="49"/>
      <c r="R25" s="50">
        <f t="shared" si="1"/>
        <v>0</v>
      </c>
      <c r="T25" s="49"/>
      <c r="U25" s="49"/>
      <c r="V25" s="50">
        <f t="shared" si="2"/>
        <v>0</v>
      </c>
      <c r="X25" s="49"/>
      <c r="Y25" s="49"/>
      <c r="Z25" s="50">
        <f t="shared" si="3"/>
        <v>0</v>
      </c>
      <c r="AB25" s="49"/>
      <c r="AC25" s="49"/>
      <c r="AD25" s="50">
        <f t="shared" si="4"/>
        <v>0</v>
      </c>
      <c r="AF25" s="49"/>
      <c r="AG25" s="49"/>
      <c r="AH25" s="50">
        <f t="shared" si="5"/>
        <v>0</v>
      </c>
      <c r="AJ25" s="49"/>
      <c r="AK25" s="49"/>
      <c r="AL25" s="50">
        <f t="shared" si="6"/>
        <v>0</v>
      </c>
      <c r="AN25" s="49"/>
      <c r="AO25" s="49"/>
      <c r="AP25" s="50">
        <f t="shared" si="7"/>
        <v>0</v>
      </c>
      <c r="AR25" s="49"/>
      <c r="AS25" s="49"/>
      <c r="AT25" s="50">
        <f t="shared" si="8"/>
        <v>0</v>
      </c>
      <c r="AV25" s="49"/>
      <c r="AW25" s="49"/>
      <c r="AX25" s="50">
        <f t="shared" si="9"/>
        <v>0</v>
      </c>
      <c r="AZ25" s="49"/>
      <c r="BA25" s="49"/>
      <c r="BB25" s="50">
        <f t="shared" si="10"/>
        <v>0</v>
      </c>
      <c r="BD25" s="49"/>
      <c r="BE25" s="49"/>
      <c r="BF25" s="50">
        <f t="shared" si="11"/>
        <v>0</v>
      </c>
      <c r="BH25" s="49"/>
      <c r="BI25" s="49"/>
      <c r="BJ25" s="50">
        <f t="shared" si="12"/>
        <v>0</v>
      </c>
      <c r="BL25" s="49"/>
      <c r="BM25" s="49"/>
      <c r="BN25" s="50">
        <f t="shared" si="13"/>
        <v>0</v>
      </c>
      <c r="BP25" s="49"/>
      <c r="BQ25" s="49"/>
      <c r="BR25" s="50">
        <f t="shared" si="14"/>
        <v>0</v>
      </c>
      <c r="BT25" s="49"/>
      <c r="BU25" s="49"/>
      <c r="BV25" s="50">
        <f t="shared" si="15"/>
        <v>0</v>
      </c>
      <c r="BX25" s="49"/>
      <c r="BY25" s="49"/>
      <c r="BZ25" s="50">
        <f t="shared" si="16"/>
        <v>0</v>
      </c>
      <c r="CB25" s="49"/>
      <c r="CC25" s="49"/>
      <c r="CD25" s="50">
        <f t="shared" si="17"/>
        <v>0</v>
      </c>
      <c r="CF25" s="49"/>
      <c r="CG25" s="49"/>
      <c r="CH25" s="50">
        <f t="shared" si="18"/>
        <v>0</v>
      </c>
      <c r="CJ25" s="49"/>
      <c r="CK25" s="49"/>
      <c r="CL25" s="50">
        <f t="shared" si="19"/>
        <v>0</v>
      </c>
      <c r="CN25" s="49"/>
      <c r="CO25" s="49"/>
      <c r="CP25" s="50">
        <f t="shared" si="20"/>
        <v>0</v>
      </c>
      <c r="CR25" s="49"/>
      <c r="CS25" s="49"/>
      <c r="CT25" s="50">
        <f t="shared" si="21"/>
        <v>0</v>
      </c>
      <c r="CV25" s="49"/>
      <c r="CW25" s="49"/>
      <c r="CX25" s="50">
        <f t="shared" si="22"/>
        <v>0</v>
      </c>
      <c r="CZ25" s="49"/>
      <c r="DA25" s="49"/>
      <c r="DB25" s="50">
        <f t="shared" si="23"/>
        <v>0</v>
      </c>
      <c r="DD25" s="49"/>
      <c r="DE25" s="49"/>
      <c r="DF25" s="50">
        <f t="shared" si="24"/>
        <v>0</v>
      </c>
      <c r="DH25" s="49"/>
      <c r="DI25" s="49"/>
      <c r="DJ25" s="50">
        <f t="shared" si="25"/>
        <v>0</v>
      </c>
      <c r="DL25" s="49"/>
      <c r="DM25" s="49"/>
      <c r="DN25" s="50">
        <f t="shared" si="26"/>
        <v>0</v>
      </c>
      <c r="DP25" s="49"/>
      <c r="DQ25" s="49"/>
      <c r="DR25" s="50">
        <f t="shared" si="27"/>
        <v>0</v>
      </c>
      <c r="DT25" s="49"/>
      <c r="DU25" s="49"/>
      <c r="DV25" s="50">
        <f t="shared" si="28"/>
        <v>0</v>
      </c>
      <c r="DX25" s="49"/>
      <c r="DY25" s="49"/>
      <c r="DZ25" s="50">
        <f t="shared" si="29"/>
        <v>0</v>
      </c>
      <c r="EB25" s="49">
        <f t="shared" si="30"/>
        <v>0</v>
      </c>
      <c r="EC25" s="49">
        <f t="shared" si="30"/>
        <v>0</v>
      </c>
      <c r="ED25" s="49">
        <f t="shared" si="30"/>
        <v>0</v>
      </c>
    </row>
    <row r="26" spans="2:134" ht="11" customHeight="1" x14ac:dyDescent="0.35">
      <c r="B26" s="4">
        <v>103012</v>
      </c>
      <c r="C26" s="4" t="s">
        <v>32</v>
      </c>
      <c r="D26" s="4">
        <v>50</v>
      </c>
      <c r="E26" s="5">
        <v>18</v>
      </c>
      <c r="F26" s="6">
        <v>198.24262196000001</v>
      </c>
      <c r="G26" s="7"/>
      <c r="H26" s="49"/>
      <c r="I26" s="49"/>
      <c r="J26" s="50">
        <f t="shared" si="31"/>
        <v>0</v>
      </c>
      <c r="K26" s="9"/>
      <c r="L26" s="49"/>
      <c r="M26" s="49"/>
      <c r="N26" s="50">
        <f t="shared" si="0"/>
        <v>0</v>
      </c>
      <c r="O26" s="46"/>
      <c r="P26" s="49"/>
      <c r="Q26" s="49"/>
      <c r="R26" s="50">
        <f t="shared" si="1"/>
        <v>0</v>
      </c>
      <c r="T26" s="49"/>
      <c r="U26" s="49"/>
      <c r="V26" s="50">
        <f t="shared" si="2"/>
        <v>0</v>
      </c>
      <c r="X26" s="49"/>
      <c r="Y26" s="49"/>
      <c r="Z26" s="50">
        <f t="shared" si="3"/>
        <v>0</v>
      </c>
      <c r="AB26" s="49"/>
      <c r="AC26" s="49"/>
      <c r="AD26" s="50">
        <f t="shared" si="4"/>
        <v>0</v>
      </c>
      <c r="AF26" s="49"/>
      <c r="AG26" s="49"/>
      <c r="AH26" s="50">
        <f t="shared" si="5"/>
        <v>0</v>
      </c>
      <c r="AJ26" s="49"/>
      <c r="AK26" s="49"/>
      <c r="AL26" s="50">
        <f t="shared" si="6"/>
        <v>0</v>
      </c>
      <c r="AN26" s="49"/>
      <c r="AO26" s="49"/>
      <c r="AP26" s="50">
        <f t="shared" si="7"/>
        <v>0</v>
      </c>
      <c r="AR26" s="49"/>
      <c r="AS26" s="49"/>
      <c r="AT26" s="50">
        <f t="shared" si="8"/>
        <v>0</v>
      </c>
      <c r="AV26" s="49"/>
      <c r="AW26" s="49"/>
      <c r="AX26" s="50">
        <f t="shared" si="9"/>
        <v>0</v>
      </c>
      <c r="AZ26" s="49"/>
      <c r="BA26" s="49"/>
      <c r="BB26" s="50">
        <f t="shared" si="10"/>
        <v>0</v>
      </c>
      <c r="BD26" s="49"/>
      <c r="BE26" s="49"/>
      <c r="BF26" s="50">
        <f t="shared" si="11"/>
        <v>0</v>
      </c>
      <c r="BH26" s="49"/>
      <c r="BI26" s="49"/>
      <c r="BJ26" s="50">
        <f t="shared" si="12"/>
        <v>0</v>
      </c>
      <c r="BL26" s="49"/>
      <c r="BM26" s="49"/>
      <c r="BN26" s="50">
        <f t="shared" si="13"/>
        <v>0</v>
      </c>
      <c r="BP26" s="49"/>
      <c r="BQ26" s="49"/>
      <c r="BR26" s="50">
        <f t="shared" si="14"/>
        <v>0</v>
      </c>
      <c r="BT26" s="49"/>
      <c r="BU26" s="49"/>
      <c r="BV26" s="50">
        <f t="shared" si="15"/>
        <v>0</v>
      </c>
      <c r="BX26" s="49"/>
      <c r="BY26" s="49"/>
      <c r="BZ26" s="50">
        <f t="shared" si="16"/>
        <v>0</v>
      </c>
      <c r="CB26" s="49"/>
      <c r="CC26" s="49"/>
      <c r="CD26" s="50">
        <f t="shared" si="17"/>
        <v>0</v>
      </c>
      <c r="CF26" s="49"/>
      <c r="CG26" s="49"/>
      <c r="CH26" s="50">
        <f t="shared" si="18"/>
        <v>0</v>
      </c>
      <c r="CJ26" s="49"/>
      <c r="CK26" s="49"/>
      <c r="CL26" s="50">
        <f t="shared" si="19"/>
        <v>0</v>
      </c>
      <c r="CN26" s="49"/>
      <c r="CO26" s="49"/>
      <c r="CP26" s="50">
        <f t="shared" si="20"/>
        <v>0</v>
      </c>
      <c r="CR26" s="49"/>
      <c r="CS26" s="49"/>
      <c r="CT26" s="50">
        <f t="shared" si="21"/>
        <v>0</v>
      </c>
      <c r="CV26" s="49"/>
      <c r="CW26" s="49"/>
      <c r="CX26" s="50">
        <f t="shared" si="22"/>
        <v>0</v>
      </c>
      <c r="CZ26" s="49"/>
      <c r="DA26" s="49"/>
      <c r="DB26" s="50">
        <f t="shared" si="23"/>
        <v>0</v>
      </c>
      <c r="DD26" s="49"/>
      <c r="DE26" s="49"/>
      <c r="DF26" s="50">
        <f t="shared" si="24"/>
        <v>0</v>
      </c>
      <c r="DH26" s="49"/>
      <c r="DI26" s="49"/>
      <c r="DJ26" s="50">
        <f t="shared" si="25"/>
        <v>0</v>
      </c>
      <c r="DL26" s="49"/>
      <c r="DM26" s="49"/>
      <c r="DN26" s="50">
        <f t="shared" si="26"/>
        <v>0</v>
      </c>
      <c r="DP26" s="49"/>
      <c r="DQ26" s="49"/>
      <c r="DR26" s="50">
        <f t="shared" si="27"/>
        <v>0</v>
      </c>
      <c r="DT26" s="49"/>
      <c r="DU26" s="49"/>
      <c r="DV26" s="50">
        <f t="shared" si="28"/>
        <v>0</v>
      </c>
      <c r="DX26" s="49"/>
      <c r="DY26" s="49"/>
      <c r="DZ26" s="50">
        <f t="shared" si="29"/>
        <v>0</v>
      </c>
      <c r="EB26" s="49">
        <f t="shared" si="30"/>
        <v>0</v>
      </c>
      <c r="EC26" s="49">
        <f t="shared" si="30"/>
        <v>0</v>
      </c>
      <c r="ED26" s="49">
        <f t="shared" si="30"/>
        <v>0</v>
      </c>
    </row>
    <row r="27" spans="2:134" ht="11" customHeight="1" x14ac:dyDescent="0.35">
      <c r="B27" s="4">
        <v>103020</v>
      </c>
      <c r="C27" s="4" t="s">
        <v>33</v>
      </c>
      <c r="D27" s="4">
        <v>12</v>
      </c>
      <c r="E27" s="5">
        <v>8</v>
      </c>
      <c r="F27" s="6">
        <v>481.09632499999998</v>
      </c>
      <c r="G27" s="7"/>
      <c r="H27" s="49"/>
      <c r="I27" s="49"/>
      <c r="J27" s="50">
        <f t="shared" si="31"/>
        <v>0</v>
      </c>
      <c r="K27" s="9"/>
      <c r="L27" s="49"/>
      <c r="M27" s="49"/>
      <c r="N27" s="50">
        <f t="shared" si="0"/>
        <v>0</v>
      </c>
      <c r="O27" s="46"/>
      <c r="P27" s="49"/>
      <c r="Q27" s="49"/>
      <c r="R27" s="50">
        <f t="shared" si="1"/>
        <v>0</v>
      </c>
      <c r="T27" s="49"/>
      <c r="U27" s="49"/>
      <c r="V27" s="50">
        <f t="shared" si="2"/>
        <v>0</v>
      </c>
      <c r="X27" s="49"/>
      <c r="Y27" s="49"/>
      <c r="Z27" s="50">
        <f t="shared" si="3"/>
        <v>0</v>
      </c>
      <c r="AB27" s="49"/>
      <c r="AC27" s="49"/>
      <c r="AD27" s="50">
        <f t="shared" si="4"/>
        <v>0</v>
      </c>
      <c r="AF27" s="49"/>
      <c r="AG27" s="49"/>
      <c r="AH27" s="50">
        <f t="shared" si="5"/>
        <v>0</v>
      </c>
      <c r="AJ27" s="49"/>
      <c r="AK27" s="49"/>
      <c r="AL27" s="50">
        <f t="shared" si="6"/>
        <v>0</v>
      </c>
      <c r="AN27" s="49"/>
      <c r="AO27" s="49"/>
      <c r="AP27" s="50">
        <f t="shared" si="7"/>
        <v>0</v>
      </c>
      <c r="AR27" s="49"/>
      <c r="AS27" s="49"/>
      <c r="AT27" s="50">
        <f t="shared" si="8"/>
        <v>0</v>
      </c>
      <c r="AV27" s="49"/>
      <c r="AW27" s="49"/>
      <c r="AX27" s="50">
        <f t="shared" si="9"/>
        <v>0</v>
      </c>
      <c r="AZ27" s="49"/>
      <c r="BA27" s="49"/>
      <c r="BB27" s="50">
        <f t="shared" si="10"/>
        <v>0</v>
      </c>
      <c r="BD27" s="49"/>
      <c r="BE27" s="49"/>
      <c r="BF27" s="50">
        <f t="shared" si="11"/>
        <v>0</v>
      </c>
      <c r="BH27" s="49"/>
      <c r="BI27" s="49"/>
      <c r="BJ27" s="50">
        <f t="shared" si="12"/>
        <v>0</v>
      </c>
      <c r="BL27" s="49"/>
      <c r="BM27" s="49"/>
      <c r="BN27" s="50">
        <f t="shared" si="13"/>
        <v>0</v>
      </c>
      <c r="BP27" s="49"/>
      <c r="BQ27" s="49"/>
      <c r="BR27" s="50">
        <f t="shared" si="14"/>
        <v>0</v>
      </c>
      <c r="BT27" s="49"/>
      <c r="BU27" s="49"/>
      <c r="BV27" s="50">
        <f t="shared" si="15"/>
        <v>0</v>
      </c>
      <c r="BX27" s="49"/>
      <c r="BY27" s="49"/>
      <c r="BZ27" s="50">
        <f t="shared" si="16"/>
        <v>0</v>
      </c>
      <c r="CB27" s="49"/>
      <c r="CC27" s="49"/>
      <c r="CD27" s="50">
        <f t="shared" si="17"/>
        <v>0</v>
      </c>
      <c r="CF27" s="49"/>
      <c r="CG27" s="49"/>
      <c r="CH27" s="50">
        <f t="shared" si="18"/>
        <v>0</v>
      </c>
      <c r="CJ27" s="49"/>
      <c r="CK27" s="49"/>
      <c r="CL27" s="50">
        <f t="shared" si="19"/>
        <v>0</v>
      </c>
      <c r="CN27" s="49"/>
      <c r="CO27" s="49"/>
      <c r="CP27" s="50">
        <f t="shared" si="20"/>
        <v>0</v>
      </c>
      <c r="CR27" s="49"/>
      <c r="CS27" s="49"/>
      <c r="CT27" s="50">
        <f t="shared" si="21"/>
        <v>0</v>
      </c>
      <c r="CV27" s="49"/>
      <c r="CW27" s="49"/>
      <c r="CX27" s="50">
        <f t="shared" si="22"/>
        <v>0</v>
      </c>
      <c r="CZ27" s="49"/>
      <c r="DA27" s="49"/>
      <c r="DB27" s="50">
        <f t="shared" si="23"/>
        <v>0</v>
      </c>
      <c r="DD27" s="49"/>
      <c r="DE27" s="49"/>
      <c r="DF27" s="50">
        <f t="shared" si="24"/>
        <v>0</v>
      </c>
      <c r="DH27" s="49"/>
      <c r="DI27" s="49"/>
      <c r="DJ27" s="50">
        <f t="shared" si="25"/>
        <v>0</v>
      </c>
      <c r="DL27" s="49"/>
      <c r="DM27" s="49"/>
      <c r="DN27" s="50">
        <f t="shared" si="26"/>
        <v>0</v>
      </c>
      <c r="DP27" s="49"/>
      <c r="DQ27" s="49"/>
      <c r="DR27" s="50">
        <f t="shared" si="27"/>
        <v>0</v>
      </c>
      <c r="DT27" s="49"/>
      <c r="DU27" s="49"/>
      <c r="DV27" s="50">
        <f t="shared" si="28"/>
        <v>0</v>
      </c>
      <c r="DX27" s="49"/>
      <c r="DY27" s="49"/>
      <c r="DZ27" s="50">
        <f t="shared" si="29"/>
        <v>0</v>
      </c>
      <c r="EB27" s="49">
        <f t="shared" si="30"/>
        <v>0</v>
      </c>
      <c r="EC27" s="49">
        <f t="shared" si="30"/>
        <v>0</v>
      </c>
      <c r="ED27" s="49">
        <f t="shared" si="30"/>
        <v>0</v>
      </c>
    </row>
    <row r="28" spans="2:134" ht="11" customHeight="1" x14ac:dyDescent="0.35">
      <c r="B28" s="4">
        <v>104056</v>
      </c>
      <c r="C28" s="4" t="s">
        <v>34</v>
      </c>
      <c r="D28" s="4">
        <v>50</v>
      </c>
      <c r="E28" s="5">
        <v>18</v>
      </c>
      <c r="F28" s="6">
        <v>200.47282196</v>
      </c>
      <c r="G28" s="7"/>
      <c r="H28" s="49"/>
      <c r="I28" s="49"/>
      <c r="J28" s="50">
        <f t="shared" si="31"/>
        <v>0</v>
      </c>
      <c r="K28" s="9"/>
      <c r="L28" s="49"/>
      <c r="M28" s="49"/>
      <c r="N28" s="50">
        <f t="shared" si="0"/>
        <v>0</v>
      </c>
      <c r="O28" s="46"/>
      <c r="P28" s="49"/>
      <c r="Q28" s="49"/>
      <c r="R28" s="50">
        <f t="shared" si="1"/>
        <v>0</v>
      </c>
      <c r="T28" s="49"/>
      <c r="U28" s="49"/>
      <c r="V28" s="50">
        <f t="shared" si="2"/>
        <v>0</v>
      </c>
      <c r="X28" s="49"/>
      <c r="Y28" s="49"/>
      <c r="Z28" s="50">
        <f t="shared" si="3"/>
        <v>0</v>
      </c>
      <c r="AB28" s="49"/>
      <c r="AC28" s="49"/>
      <c r="AD28" s="50">
        <f t="shared" si="4"/>
        <v>0</v>
      </c>
      <c r="AF28" s="49"/>
      <c r="AG28" s="49"/>
      <c r="AH28" s="50">
        <f t="shared" si="5"/>
        <v>0</v>
      </c>
      <c r="AJ28" s="49"/>
      <c r="AK28" s="49"/>
      <c r="AL28" s="50">
        <f t="shared" si="6"/>
        <v>0</v>
      </c>
      <c r="AN28" s="49"/>
      <c r="AO28" s="49"/>
      <c r="AP28" s="50">
        <f t="shared" si="7"/>
        <v>0</v>
      </c>
      <c r="AR28" s="49"/>
      <c r="AS28" s="49"/>
      <c r="AT28" s="50">
        <f t="shared" si="8"/>
        <v>0</v>
      </c>
      <c r="AV28" s="49"/>
      <c r="AW28" s="49"/>
      <c r="AX28" s="50">
        <f t="shared" si="9"/>
        <v>0</v>
      </c>
      <c r="AZ28" s="49"/>
      <c r="BA28" s="49"/>
      <c r="BB28" s="50">
        <f t="shared" si="10"/>
        <v>0</v>
      </c>
      <c r="BD28" s="49"/>
      <c r="BE28" s="49"/>
      <c r="BF28" s="50">
        <f t="shared" si="11"/>
        <v>0</v>
      </c>
      <c r="BH28" s="49"/>
      <c r="BI28" s="49"/>
      <c r="BJ28" s="50">
        <f t="shared" si="12"/>
        <v>0</v>
      </c>
      <c r="BL28" s="49"/>
      <c r="BM28" s="49"/>
      <c r="BN28" s="50">
        <f t="shared" si="13"/>
        <v>0</v>
      </c>
      <c r="BP28" s="49"/>
      <c r="BQ28" s="49"/>
      <c r="BR28" s="50">
        <f t="shared" si="14"/>
        <v>0</v>
      </c>
      <c r="BT28" s="49"/>
      <c r="BU28" s="49"/>
      <c r="BV28" s="50">
        <f t="shared" si="15"/>
        <v>0</v>
      </c>
      <c r="BX28" s="49"/>
      <c r="BY28" s="49"/>
      <c r="BZ28" s="50">
        <f t="shared" si="16"/>
        <v>0</v>
      </c>
      <c r="CB28" s="49"/>
      <c r="CC28" s="49"/>
      <c r="CD28" s="50">
        <f t="shared" si="17"/>
        <v>0</v>
      </c>
      <c r="CF28" s="49"/>
      <c r="CG28" s="49"/>
      <c r="CH28" s="50">
        <f t="shared" si="18"/>
        <v>0</v>
      </c>
      <c r="CJ28" s="49"/>
      <c r="CK28" s="49"/>
      <c r="CL28" s="50">
        <f t="shared" si="19"/>
        <v>0</v>
      </c>
      <c r="CN28" s="49"/>
      <c r="CO28" s="49"/>
      <c r="CP28" s="50">
        <f t="shared" si="20"/>
        <v>0</v>
      </c>
      <c r="CR28" s="49"/>
      <c r="CS28" s="49"/>
      <c r="CT28" s="50">
        <f t="shared" si="21"/>
        <v>0</v>
      </c>
      <c r="CV28" s="49"/>
      <c r="CW28" s="49"/>
      <c r="CX28" s="50">
        <f t="shared" si="22"/>
        <v>0</v>
      </c>
      <c r="CZ28" s="49"/>
      <c r="DA28" s="49"/>
      <c r="DB28" s="50">
        <f t="shared" si="23"/>
        <v>0</v>
      </c>
      <c r="DD28" s="49"/>
      <c r="DE28" s="49"/>
      <c r="DF28" s="50">
        <f t="shared" si="24"/>
        <v>0</v>
      </c>
      <c r="DH28" s="49"/>
      <c r="DI28" s="49"/>
      <c r="DJ28" s="50">
        <f t="shared" si="25"/>
        <v>0</v>
      </c>
      <c r="DL28" s="49"/>
      <c r="DM28" s="49"/>
      <c r="DN28" s="50">
        <f t="shared" si="26"/>
        <v>0</v>
      </c>
      <c r="DP28" s="49"/>
      <c r="DQ28" s="49"/>
      <c r="DR28" s="50">
        <f t="shared" si="27"/>
        <v>0</v>
      </c>
      <c r="DT28" s="49"/>
      <c r="DU28" s="49"/>
      <c r="DV28" s="50">
        <f t="shared" si="28"/>
        <v>0</v>
      </c>
      <c r="DX28" s="49"/>
      <c r="DY28" s="49"/>
      <c r="DZ28" s="50">
        <f t="shared" si="29"/>
        <v>0</v>
      </c>
      <c r="EB28" s="49">
        <f t="shared" si="30"/>
        <v>0</v>
      </c>
      <c r="EC28" s="49">
        <f t="shared" si="30"/>
        <v>0</v>
      </c>
      <c r="ED28" s="49">
        <f t="shared" si="30"/>
        <v>0</v>
      </c>
    </row>
    <row r="29" spans="2:134" ht="11" customHeight="1" x14ac:dyDescent="0.35">
      <c r="B29" s="4">
        <v>106023</v>
      </c>
      <c r="C29" s="4" t="s">
        <v>35</v>
      </c>
      <c r="D29" s="4">
        <v>24</v>
      </c>
      <c r="E29" s="5">
        <v>18</v>
      </c>
      <c r="F29" s="6">
        <v>192.45406706</v>
      </c>
      <c r="G29" s="7"/>
      <c r="H29" s="49"/>
      <c r="I29" s="49"/>
      <c r="J29" s="50">
        <f t="shared" si="31"/>
        <v>0</v>
      </c>
      <c r="K29" s="9"/>
      <c r="L29" s="49"/>
      <c r="M29" s="49"/>
      <c r="N29" s="50">
        <f t="shared" si="0"/>
        <v>0</v>
      </c>
      <c r="O29" s="46"/>
      <c r="P29" s="49"/>
      <c r="Q29" s="49"/>
      <c r="R29" s="50">
        <f t="shared" si="1"/>
        <v>0</v>
      </c>
      <c r="T29" s="49"/>
      <c r="U29" s="49"/>
      <c r="V29" s="50">
        <f t="shared" si="2"/>
        <v>0</v>
      </c>
      <c r="X29" s="49"/>
      <c r="Y29" s="49"/>
      <c r="Z29" s="50">
        <f t="shared" si="3"/>
        <v>0</v>
      </c>
      <c r="AB29" s="49"/>
      <c r="AC29" s="49"/>
      <c r="AD29" s="50">
        <f t="shared" si="4"/>
        <v>0</v>
      </c>
      <c r="AF29" s="49"/>
      <c r="AG29" s="49"/>
      <c r="AH29" s="50">
        <f t="shared" si="5"/>
        <v>0</v>
      </c>
      <c r="AJ29" s="49"/>
      <c r="AK29" s="49"/>
      <c r="AL29" s="50">
        <f t="shared" si="6"/>
        <v>0</v>
      </c>
      <c r="AN29" s="49"/>
      <c r="AO29" s="49"/>
      <c r="AP29" s="50">
        <f t="shared" si="7"/>
        <v>0</v>
      </c>
      <c r="AR29" s="49"/>
      <c r="AS29" s="49"/>
      <c r="AT29" s="50">
        <f t="shared" si="8"/>
        <v>0</v>
      </c>
      <c r="AV29" s="49"/>
      <c r="AW29" s="49"/>
      <c r="AX29" s="50">
        <f t="shared" si="9"/>
        <v>0</v>
      </c>
      <c r="AZ29" s="49"/>
      <c r="BA29" s="49"/>
      <c r="BB29" s="50">
        <f t="shared" si="10"/>
        <v>0</v>
      </c>
      <c r="BD29" s="49"/>
      <c r="BE29" s="49"/>
      <c r="BF29" s="50">
        <f t="shared" si="11"/>
        <v>0</v>
      </c>
      <c r="BH29" s="49"/>
      <c r="BI29" s="49"/>
      <c r="BJ29" s="50">
        <f t="shared" si="12"/>
        <v>0</v>
      </c>
      <c r="BL29" s="49"/>
      <c r="BM29" s="49"/>
      <c r="BN29" s="50">
        <f t="shared" si="13"/>
        <v>0</v>
      </c>
      <c r="BP29" s="49"/>
      <c r="BQ29" s="49"/>
      <c r="BR29" s="50">
        <f t="shared" si="14"/>
        <v>0</v>
      </c>
      <c r="BT29" s="49"/>
      <c r="BU29" s="49"/>
      <c r="BV29" s="50">
        <f t="shared" si="15"/>
        <v>0</v>
      </c>
      <c r="BX29" s="49"/>
      <c r="BY29" s="49"/>
      <c r="BZ29" s="50">
        <f t="shared" si="16"/>
        <v>0</v>
      </c>
      <c r="CB29" s="49"/>
      <c r="CC29" s="49"/>
      <c r="CD29" s="50">
        <f t="shared" si="17"/>
        <v>0</v>
      </c>
      <c r="CF29" s="49"/>
      <c r="CG29" s="49"/>
      <c r="CH29" s="50">
        <f t="shared" si="18"/>
        <v>0</v>
      </c>
      <c r="CJ29" s="49"/>
      <c r="CK29" s="49"/>
      <c r="CL29" s="50">
        <f t="shared" si="19"/>
        <v>0</v>
      </c>
      <c r="CN29" s="49"/>
      <c r="CO29" s="49"/>
      <c r="CP29" s="50">
        <f t="shared" si="20"/>
        <v>0</v>
      </c>
      <c r="CR29" s="49"/>
      <c r="CS29" s="49"/>
      <c r="CT29" s="50">
        <f t="shared" si="21"/>
        <v>0</v>
      </c>
      <c r="CV29" s="49"/>
      <c r="CW29" s="49"/>
      <c r="CX29" s="50">
        <f t="shared" si="22"/>
        <v>0</v>
      </c>
      <c r="CZ29" s="49"/>
      <c r="DA29" s="49"/>
      <c r="DB29" s="50">
        <f t="shared" si="23"/>
        <v>0</v>
      </c>
      <c r="DD29" s="49"/>
      <c r="DE29" s="49"/>
      <c r="DF29" s="50">
        <f t="shared" si="24"/>
        <v>0</v>
      </c>
      <c r="DH29" s="49"/>
      <c r="DI29" s="49"/>
      <c r="DJ29" s="50">
        <f t="shared" si="25"/>
        <v>0</v>
      </c>
      <c r="DL29" s="49"/>
      <c r="DM29" s="49"/>
      <c r="DN29" s="50">
        <f t="shared" si="26"/>
        <v>0</v>
      </c>
      <c r="DP29" s="49"/>
      <c r="DQ29" s="49"/>
      <c r="DR29" s="50">
        <f t="shared" si="27"/>
        <v>0</v>
      </c>
      <c r="DT29" s="49"/>
      <c r="DU29" s="49"/>
      <c r="DV29" s="50">
        <f t="shared" si="28"/>
        <v>0</v>
      </c>
      <c r="DX29" s="49"/>
      <c r="DY29" s="49"/>
      <c r="DZ29" s="50">
        <f t="shared" si="29"/>
        <v>0</v>
      </c>
      <c r="EB29" s="49">
        <f t="shared" si="30"/>
        <v>0</v>
      </c>
      <c r="EC29" s="49">
        <f t="shared" si="30"/>
        <v>0</v>
      </c>
      <c r="ED29" s="49">
        <f t="shared" si="30"/>
        <v>0</v>
      </c>
    </row>
    <row r="30" spans="2:134" ht="11" customHeight="1" x14ac:dyDescent="0.35">
      <c r="B30" s="4">
        <v>106054</v>
      </c>
      <c r="C30" s="4" t="s">
        <v>36</v>
      </c>
      <c r="D30" s="4">
        <v>1</v>
      </c>
      <c r="E30" s="5">
        <v>12</v>
      </c>
      <c r="F30" s="6">
        <v>400.62864317399999</v>
      </c>
      <c r="G30" s="7"/>
      <c r="H30" s="49"/>
      <c r="I30" s="49"/>
      <c r="J30" s="50">
        <f t="shared" si="31"/>
        <v>0</v>
      </c>
      <c r="K30" s="9"/>
      <c r="L30" s="49"/>
      <c r="M30" s="49"/>
      <c r="N30" s="50">
        <f t="shared" si="0"/>
        <v>0</v>
      </c>
      <c r="O30" s="46"/>
      <c r="P30" s="49"/>
      <c r="Q30" s="49"/>
      <c r="R30" s="50">
        <f t="shared" si="1"/>
        <v>0</v>
      </c>
      <c r="T30" s="49"/>
      <c r="U30" s="49"/>
      <c r="V30" s="50">
        <f t="shared" si="2"/>
        <v>0</v>
      </c>
      <c r="X30" s="49"/>
      <c r="Y30" s="49"/>
      <c r="Z30" s="50">
        <f t="shared" si="3"/>
        <v>0</v>
      </c>
      <c r="AB30" s="49"/>
      <c r="AC30" s="49"/>
      <c r="AD30" s="50">
        <f t="shared" si="4"/>
        <v>0</v>
      </c>
      <c r="AF30" s="49"/>
      <c r="AG30" s="49"/>
      <c r="AH30" s="50">
        <f t="shared" si="5"/>
        <v>0</v>
      </c>
      <c r="AJ30" s="49"/>
      <c r="AK30" s="49"/>
      <c r="AL30" s="50">
        <f t="shared" si="6"/>
        <v>0</v>
      </c>
      <c r="AN30" s="49"/>
      <c r="AO30" s="49"/>
      <c r="AP30" s="50">
        <f t="shared" si="7"/>
        <v>0</v>
      </c>
      <c r="AR30" s="49"/>
      <c r="AS30" s="49"/>
      <c r="AT30" s="50">
        <f t="shared" si="8"/>
        <v>0</v>
      </c>
      <c r="AV30" s="49"/>
      <c r="AW30" s="49"/>
      <c r="AX30" s="50">
        <f t="shared" si="9"/>
        <v>0</v>
      </c>
      <c r="AZ30" s="49"/>
      <c r="BA30" s="49"/>
      <c r="BB30" s="50">
        <f t="shared" si="10"/>
        <v>0</v>
      </c>
      <c r="BD30" s="49"/>
      <c r="BE30" s="49"/>
      <c r="BF30" s="50">
        <f t="shared" si="11"/>
        <v>0</v>
      </c>
      <c r="BH30" s="49"/>
      <c r="BI30" s="49"/>
      <c r="BJ30" s="50">
        <f t="shared" si="12"/>
        <v>0</v>
      </c>
      <c r="BL30" s="49"/>
      <c r="BM30" s="49"/>
      <c r="BN30" s="50">
        <f t="shared" si="13"/>
        <v>0</v>
      </c>
      <c r="BP30" s="49"/>
      <c r="BQ30" s="49"/>
      <c r="BR30" s="50">
        <f t="shared" si="14"/>
        <v>0</v>
      </c>
      <c r="BT30" s="49"/>
      <c r="BU30" s="49"/>
      <c r="BV30" s="50">
        <f t="shared" si="15"/>
        <v>0</v>
      </c>
      <c r="BX30" s="49"/>
      <c r="BY30" s="49"/>
      <c r="BZ30" s="50">
        <f t="shared" si="16"/>
        <v>0</v>
      </c>
      <c r="CB30" s="49"/>
      <c r="CC30" s="49"/>
      <c r="CD30" s="50">
        <f t="shared" si="17"/>
        <v>0</v>
      </c>
      <c r="CF30" s="49"/>
      <c r="CG30" s="49"/>
      <c r="CH30" s="50">
        <f t="shared" si="18"/>
        <v>0</v>
      </c>
      <c r="CJ30" s="49"/>
      <c r="CK30" s="49"/>
      <c r="CL30" s="50">
        <f t="shared" si="19"/>
        <v>0</v>
      </c>
      <c r="CN30" s="49"/>
      <c r="CO30" s="49"/>
      <c r="CP30" s="50">
        <f t="shared" si="20"/>
        <v>0</v>
      </c>
      <c r="CR30" s="49"/>
      <c r="CS30" s="49"/>
      <c r="CT30" s="50">
        <f t="shared" si="21"/>
        <v>0</v>
      </c>
      <c r="CV30" s="49"/>
      <c r="CW30" s="49"/>
      <c r="CX30" s="50">
        <f t="shared" si="22"/>
        <v>0</v>
      </c>
      <c r="CZ30" s="49"/>
      <c r="DA30" s="49"/>
      <c r="DB30" s="50">
        <f t="shared" si="23"/>
        <v>0</v>
      </c>
      <c r="DD30" s="49"/>
      <c r="DE30" s="49"/>
      <c r="DF30" s="50">
        <f t="shared" si="24"/>
        <v>0</v>
      </c>
      <c r="DH30" s="49"/>
      <c r="DI30" s="49"/>
      <c r="DJ30" s="50">
        <f t="shared" si="25"/>
        <v>0</v>
      </c>
      <c r="DL30" s="49"/>
      <c r="DM30" s="49"/>
      <c r="DN30" s="50">
        <f t="shared" si="26"/>
        <v>0</v>
      </c>
      <c r="DP30" s="49"/>
      <c r="DQ30" s="49"/>
      <c r="DR30" s="50">
        <f t="shared" si="27"/>
        <v>0</v>
      </c>
      <c r="DT30" s="49"/>
      <c r="DU30" s="49"/>
      <c r="DV30" s="50">
        <f t="shared" si="28"/>
        <v>0</v>
      </c>
      <c r="DX30" s="49"/>
      <c r="DY30" s="49"/>
      <c r="DZ30" s="50">
        <f t="shared" si="29"/>
        <v>0</v>
      </c>
      <c r="EB30" s="49">
        <f t="shared" si="30"/>
        <v>0</v>
      </c>
      <c r="EC30" s="49">
        <f t="shared" si="30"/>
        <v>0</v>
      </c>
      <c r="ED30" s="49">
        <f t="shared" si="30"/>
        <v>0</v>
      </c>
    </row>
    <row r="31" spans="2:134" ht="11" customHeight="1" x14ac:dyDescent="0.35">
      <c r="B31" s="4">
        <v>106057</v>
      </c>
      <c r="C31" s="4" t="s">
        <v>37</v>
      </c>
      <c r="D31" s="4">
        <v>70</v>
      </c>
      <c r="E31" s="5">
        <v>18</v>
      </c>
      <c r="F31" s="6">
        <v>280.44265340800001</v>
      </c>
      <c r="G31" s="7"/>
      <c r="H31" s="49"/>
      <c r="I31" s="49"/>
      <c r="J31" s="50">
        <f t="shared" si="31"/>
        <v>0</v>
      </c>
      <c r="K31" s="9"/>
      <c r="L31" s="49"/>
      <c r="M31" s="49"/>
      <c r="N31" s="50">
        <f t="shared" si="0"/>
        <v>0</v>
      </c>
      <c r="O31" s="46"/>
      <c r="P31" s="49"/>
      <c r="Q31" s="49"/>
      <c r="R31" s="50">
        <f t="shared" si="1"/>
        <v>0</v>
      </c>
      <c r="T31" s="49"/>
      <c r="U31" s="49"/>
      <c r="V31" s="50">
        <f t="shared" si="2"/>
        <v>0</v>
      </c>
      <c r="X31" s="49"/>
      <c r="Y31" s="49"/>
      <c r="Z31" s="50">
        <f t="shared" si="3"/>
        <v>0</v>
      </c>
      <c r="AB31" s="49"/>
      <c r="AC31" s="49"/>
      <c r="AD31" s="50">
        <f t="shared" si="4"/>
        <v>0</v>
      </c>
      <c r="AF31" s="49"/>
      <c r="AG31" s="49"/>
      <c r="AH31" s="50">
        <f t="shared" si="5"/>
        <v>0</v>
      </c>
      <c r="AJ31" s="49"/>
      <c r="AK31" s="49"/>
      <c r="AL31" s="50">
        <f t="shared" si="6"/>
        <v>0</v>
      </c>
      <c r="AN31" s="49"/>
      <c r="AO31" s="49"/>
      <c r="AP31" s="50">
        <f t="shared" si="7"/>
        <v>0</v>
      </c>
      <c r="AR31" s="49"/>
      <c r="AS31" s="49"/>
      <c r="AT31" s="50">
        <f t="shared" si="8"/>
        <v>0</v>
      </c>
      <c r="AV31" s="49"/>
      <c r="AW31" s="49"/>
      <c r="AX31" s="50">
        <f t="shared" si="9"/>
        <v>0</v>
      </c>
      <c r="AZ31" s="49"/>
      <c r="BA31" s="49"/>
      <c r="BB31" s="50">
        <f t="shared" si="10"/>
        <v>0</v>
      </c>
      <c r="BD31" s="49"/>
      <c r="BE31" s="49"/>
      <c r="BF31" s="50">
        <f t="shared" si="11"/>
        <v>0</v>
      </c>
      <c r="BH31" s="49"/>
      <c r="BI31" s="49"/>
      <c r="BJ31" s="50">
        <f t="shared" si="12"/>
        <v>0</v>
      </c>
      <c r="BL31" s="49"/>
      <c r="BM31" s="49"/>
      <c r="BN31" s="50">
        <f t="shared" si="13"/>
        <v>0</v>
      </c>
      <c r="BP31" s="49"/>
      <c r="BQ31" s="49"/>
      <c r="BR31" s="50">
        <f t="shared" si="14"/>
        <v>0</v>
      </c>
      <c r="BT31" s="49"/>
      <c r="BU31" s="49"/>
      <c r="BV31" s="50">
        <f t="shared" si="15"/>
        <v>0</v>
      </c>
      <c r="BX31" s="49"/>
      <c r="BY31" s="49"/>
      <c r="BZ31" s="50">
        <f t="shared" si="16"/>
        <v>0</v>
      </c>
      <c r="CB31" s="49"/>
      <c r="CC31" s="49"/>
      <c r="CD31" s="50">
        <f t="shared" si="17"/>
        <v>0</v>
      </c>
      <c r="CF31" s="49"/>
      <c r="CG31" s="49"/>
      <c r="CH31" s="50">
        <f t="shared" si="18"/>
        <v>0</v>
      </c>
      <c r="CJ31" s="49"/>
      <c r="CK31" s="49"/>
      <c r="CL31" s="50">
        <f t="shared" si="19"/>
        <v>0</v>
      </c>
      <c r="CN31" s="49"/>
      <c r="CO31" s="49"/>
      <c r="CP31" s="50">
        <f t="shared" si="20"/>
        <v>0</v>
      </c>
      <c r="CR31" s="49"/>
      <c r="CS31" s="49"/>
      <c r="CT31" s="50">
        <f t="shared" si="21"/>
        <v>0</v>
      </c>
      <c r="CV31" s="49"/>
      <c r="CW31" s="49"/>
      <c r="CX31" s="50">
        <f t="shared" si="22"/>
        <v>0</v>
      </c>
      <c r="CZ31" s="49"/>
      <c r="DA31" s="49"/>
      <c r="DB31" s="50">
        <f t="shared" si="23"/>
        <v>0</v>
      </c>
      <c r="DD31" s="49"/>
      <c r="DE31" s="49"/>
      <c r="DF31" s="50">
        <f t="shared" si="24"/>
        <v>0</v>
      </c>
      <c r="DH31" s="49"/>
      <c r="DI31" s="49"/>
      <c r="DJ31" s="50">
        <f t="shared" si="25"/>
        <v>0</v>
      </c>
      <c r="DL31" s="49"/>
      <c r="DM31" s="49"/>
      <c r="DN31" s="50">
        <f t="shared" si="26"/>
        <v>0</v>
      </c>
      <c r="DP31" s="49"/>
      <c r="DQ31" s="49"/>
      <c r="DR31" s="50">
        <f t="shared" si="27"/>
        <v>0</v>
      </c>
      <c r="DT31" s="49"/>
      <c r="DU31" s="49"/>
      <c r="DV31" s="50">
        <f t="shared" si="28"/>
        <v>0</v>
      </c>
      <c r="DX31" s="49"/>
      <c r="DY31" s="49"/>
      <c r="DZ31" s="50">
        <f t="shared" si="29"/>
        <v>0</v>
      </c>
      <c r="EB31" s="49">
        <f t="shared" si="30"/>
        <v>0</v>
      </c>
      <c r="EC31" s="49">
        <f t="shared" si="30"/>
        <v>0</v>
      </c>
      <c r="ED31" s="49">
        <f t="shared" si="30"/>
        <v>0</v>
      </c>
    </row>
    <row r="32" spans="2:134" ht="11" customHeight="1" x14ac:dyDescent="0.35">
      <c r="B32" s="4">
        <v>106221</v>
      </c>
      <c r="C32" s="4" t="s">
        <v>38</v>
      </c>
      <c r="D32" s="4">
        <v>24</v>
      </c>
      <c r="E32" s="5">
        <v>18</v>
      </c>
      <c r="F32" s="6">
        <v>192.45406706</v>
      </c>
      <c r="G32" s="7"/>
      <c r="H32" s="49"/>
      <c r="I32" s="49"/>
      <c r="J32" s="50">
        <f t="shared" si="31"/>
        <v>0</v>
      </c>
      <c r="K32" s="9"/>
      <c r="L32" s="49"/>
      <c r="M32" s="49"/>
      <c r="N32" s="50">
        <f t="shared" si="0"/>
        <v>0</v>
      </c>
      <c r="O32" s="46"/>
      <c r="P32" s="49"/>
      <c r="Q32" s="49"/>
      <c r="R32" s="50">
        <f t="shared" si="1"/>
        <v>0</v>
      </c>
      <c r="T32" s="49"/>
      <c r="U32" s="49"/>
      <c r="V32" s="50">
        <f t="shared" si="2"/>
        <v>0</v>
      </c>
      <c r="X32" s="49"/>
      <c r="Y32" s="49"/>
      <c r="Z32" s="50">
        <f t="shared" si="3"/>
        <v>0</v>
      </c>
      <c r="AB32" s="49"/>
      <c r="AC32" s="49"/>
      <c r="AD32" s="50">
        <f t="shared" si="4"/>
        <v>0</v>
      </c>
      <c r="AF32" s="49"/>
      <c r="AG32" s="49"/>
      <c r="AH32" s="50">
        <f t="shared" si="5"/>
        <v>0</v>
      </c>
      <c r="AJ32" s="49"/>
      <c r="AK32" s="49"/>
      <c r="AL32" s="50">
        <f t="shared" si="6"/>
        <v>0</v>
      </c>
      <c r="AN32" s="49"/>
      <c r="AO32" s="49"/>
      <c r="AP32" s="50">
        <f t="shared" si="7"/>
        <v>0</v>
      </c>
      <c r="AR32" s="49"/>
      <c r="AS32" s="49"/>
      <c r="AT32" s="50">
        <f t="shared" si="8"/>
        <v>0</v>
      </c>
      <c r="AV32" s="49"/>
      <c r="AW32" s="49"/>
      <c r="AX32" s="50">
        <f t="shared" si="9"/>
        <v>0</v>
      </c>
      <c r="AZ32" s="49"/>
      <c r="BA32" s="49"/>
      <c r="BB32" s="50">
        <f t="shared" si="10"/>
        <v>0</v>
      </c>
      <c r="BD32" s="49"/>
      <c r="BE32" s="49"/>
      <c r="BF32" s="50">
        <f t="shared" si="11"/>
        <v>0</v>
      </c>
      <c r="BH32" s="49"/>
      <c r="BI32" s="49"/>
      <c r="BJ32" s="50">
        <f t="shared" si="12"/>
        <v>0</v>
      </c>
      <c r="BL32" s="49"/>
      <c r="BM32" s="49"/>
      <c r="BN32" s="50">
        <f t="shared" si="13"/>
        <v>0</v>
      </c>
      <c r="BP32" s="49"/>
      <c r="BQ32" s="49"/>
      <c r="BR32" s="50">
        <f t="shared" si="14"/>
        <v>0</v>
      </c>
      <c r="BT32" s="49"/>
      <c r="BU32" s="49"/>
      <c r="BV32" s="50">
        <f t="shared" si="15"/>
        <v>0</v>
      </c>
      <c r="BX32" s="49"/>
      <c r="BY32" s="49"/>
      <c r="BZ32" s="50">
        <f t="shared" si="16"/>
        <v>0</v>
      </c>
      <c r="CB32" s="49"/>
      <c r="CC32" s="49"/>
      <c r="CD32" s="50">
        <f t="shared" si="17"/>
        <v>0</v>
      </c>
      <c r="CF32" s="49"/>
      <c r="CG32" s="49"/>
      <c r="CH32" s="50">
        <f t="shared" si="18"/>
        <v>0</v>
      </c>
      <c r="CJ32" s="49"/>
      <c r="CK32" s="49"/>
      <c r="CL32" s="50">
        <f t="shared" si="19"/>
        <v>0</v>
      </c>
      <c r="CN32" s="49"/>
      <c r="CO32" s="49"/>
      <c r="CP32" s="50">
        <f t="shared" si="20"/>
        <v>0</v>
      </c>
      <c r="CR32" s="49"/>
      <c r="CS32" s="49"/>
      <c r="CT32" s="50">
        <f t="shared" si="21"/>
        <v>0</v>
      </c>
      <c r="CV32" s="49"/>
      <c r="CW32" s="49"/>
      <c r="CX32" s="50">
        <f t="shared" si="22"/>
        <v>0</v>
      </c>
      <c r="CZ32" s="49"/>
      <c r="DA32" s="49"/>
      <c r="DB32" s="50">
        <f t="shared" si="23"/>
        <v>0</v>
      </c>
      <c r="DD32" s="49"/>
      <c r="DE32" s="49"/>
      <c r="DF32" s="50">
        <f t="shared" si="24"/>
        <v>0</v>
      </c>
      <c r="DH32" s="49"/>
      <c r="DI32" s="49"/>
      <c r="DJ32" s="50">
        <f t="shared" si="25"/>
        <v>0</v>
      </c>
      <c r="DL32" s="49"/>
      <c r="DM32" s="49"/>
      <c r="DN32" s="50">
        <f t="shared" si="26"/>
        <v>0</v>
      </c>
      <c r="DP32" s="49"/>
      <c r="DQ32" s="49"/>
      <c r="DR32" s="50">
        <f t="shared" si="27"/>
        <v>0</v>
      </c>
      <c r="DT32" s="49"/>
      <c r="DU32" s="49"/>
      <c r="DV32" s="50">
        <f t="shared" si="28"/>
        <v>0</v>
      </c>
      <c r="DX32" s="49"/>
      <c r="DY32" s="49"/>
      <c r="DZ32" s="50">
        <f t="shared" si="29"/>
        <v>0</v>
      </c>
      <c r="EB32" s="49">
        <f t="shared" si="30"/>
        <v>0</v>
      </c>
      <c r="EC32" s="49">
        <f t="shared" si="30"/>
        <v>0</v>
      </c>
      <c r="ED32" s="49">
        <f t="shared" si="30"/>
        <v>0</v>
      </c>
    </row>
    <row r="33" spans="2:134" ht="11" customHeight="1" x14ac:dyDescent="0.35">
      <c r="B33" s="4">
        <v>106318</v>
      </c>
      <c r="C33" s="4" t="s">
        <v>39</v>
      </c>
      <c r="D33" s="4">
        <v>24</v>
      </c>
      <c r="E33" s="5">
        <v>18</v>
      </c>
      <c r="F33" s="6">
        <v>192.45406706</v>
      </c>
      <c r="G33" s="7"/>
      <c r="H33" s="49"/>
      <c r="I33" s="49"/>
      <c r="J33" s="50">
        <f t="shared" si="31"/>
        <v>0</v>
      </c>
      <c r="K33" s="9"/>
      <c r="L33" s="49"/>
      <c r="M33" s="49"/>
      <c r="N33" s="50">
        <f t="shared" si="0"/>
        <v>0</v>
      </c>
      <c r="O33" s="46"/>
      <c r="P33" s="49"/>
      <c r="Q33" s="49"/>
      <c r="R33" s="50">
        <f t="shared" si="1"/>
        <v>0</v>
      </c>
      <c r="T33" s="49"/>
      <c r="U33" s="49"/>
      <c r="V33" s="50">
        <f t="shared" si="2"/>
        <v>0</v>
      </c>
      <c r="X33" s="49"/>
      <c r="Y33" s="49"/>
      <c r="Z33" s="50">
        <f t="shared" si="3"/>
        <v>0</v>
      </c>
      <c r="AB33" s="49"/>
      <c r="AC33" s="49"/>
      <c r="AD33" s="50">
        <f t="shared" si="4"/>
        <v>0</v>
      </c>
      <c r="AF33" s="49"/>
      <c r="AG33" s="49"/>
      <c r="AH33" s="50">
        <f t="shared" si="5"/>
        <v>0</v>
      </c>
      <c r="AJ33" s="49"/>
      <c r="AK33" s="49"/>
      <c r="AL33" s="50">
        <f t="shared" si="6"/>
        <v>0</v>
      </c>
      <c r="AN33" s="49"/>
      <c r="AO33" s="49"/>
      <c r="AP33" s="50">
        <f t="shared" si="7"/>
        <v>0</v>
      </c>
      <c r="AR33" s="49"/>
      <c r="AS33" s="49"/>
      <c r="AT33" s="50">
        <f t="shared" si="8"/>
        <v>0</v>
      </c>
      <c r="AV33" s="49"/>
      <c r="AW33" s="49"/>
      <c r="AX33" s="50">
        <f t="shared" si="9"/>
        <v>0</v>
      </c>
      <c r="AZ33" s="49"/>
      <c r="BA33" s="49"/>
      <c r="BB33" s="50">
        <f t="shared" si="10"/>
        <v>0</v>
      </c>
      <c r="BD33" s="49"/>
      <c r="BE33" s="49"/>
      <c r="BF33" s="50">
        <f t="shared" si="11"/>
        <v>0</v>
      </c>
      <c r="BH33" s="49"/>
      <c r="BI33" s="49"/>
      <c r="BJ33" s="50">
        <f t="shared" si="12"/>
        <v>0</v>
      </c>
      <c r="BL33" s="49"/>
      <c r="BM33" s="49"/>
      <c r="BN33" s="50">
        <f t="shared" si="13"/>
        <v>0</v>
      </c>
      <c r="BP33" s="49"/>
      <c r="BQ33" s="49"/>
      <c r="BR33" s="50">
        <f t="shared" si="14"/>
        <v>0</v>
      </c>
      <c r="BT33" s="49"/>
      <c r="BU33" s="49"/>
      <c r="BV33" s="50">
        <f t="shared" si="15"/>
        <v>0</v>
      </c>
      <c r="BX33" s="49"/>
      <c r="BY33" s="49"/>
      <c r="BZ33" s="50">
        <f t="shared" si="16"/>
        <v>0</v>
      </c>
      <c r="CB33" s="49"/>
      <c r="CC33" s="49"/>
      <c r="CD33" s="50">
        <f t="shared" si="17"/>
        <v>0</v>
      </c>
      <c r="CF33" s="49"/>
      <c r="CG33" s="49"/>
      <c r="CH33" s="50">
        <f t="shared" si="18"/>
        <v>0</v>
      </c>
      <c r="CJ33" s="49"/>
      <c r="CK33" s="49"/>
      <c r="CL33" s="50">
        <f t="shared" si="19"/>
        <v>0</v>
      </c>
      <c r="CN33" s="49"/>
      <c r="CO33" s="49"/>
      <c r="CP33" s="50">
        <f t="shared" si="20"/>
        <v>0</v>
      </c>
      <c r="CR33" s="49"/>
      <c r="CS33" s="49"/>
      <c r="CT33" s="50">
        <f t="shared" si="21"/>
        <v>0</v>
      </c>
      <c r="CV33" s="49"/>
      <c r="CW33" s="49"/>
      <c r="CX33" s="50">
        <f t="shared" si="22"/>
        <v>0</v>
      </c>
      <c r="CZ33" s="49"/>
      <c r="DA33" s="49"/>
      <c r="DB33" s="50">
        <f t="shared" si="23"/>
        <v>0</v>
      </c>
      <c r="DD33" s="49"/>
      <c r="DE33" s="49"/>
      <c r="DF33" s="50">
        <f t="shared" si="24"/>
        <v>0</v>
      </c>
      <c r="DH33" s="49"/>
      <c r="DI33" s="49"/>
      <c r="DJ33" s="50">
        <f t="shared" si="25"/>
        <v>0</v>
      </c>
      <c r="DL33" s="49"/>
      <c r="DM33" s="49"/>
      <c r="DN33" s="50">
        <f t="shared" si="26"/>
        <v>0</v>
      </c>
      <c r="DP33" s="49"/>
      <c r="DQ33" s="49"/>
      <c r="DR33" s="50">
        <f t="shared" si="27"/>
        <v>0</v>
      </c>
      <c r="DT33" s="49"/>
      <c r="DU33" s="49"/>
      <c r="DV33" s="50">
        <f t="shared" si="28"/>
        <v>0</v>
      </c>
      <c r="DX33" s="49"/>
      <c r="DY33" s="49"/>
      <c r="DZ33" s="50">
        <f t="shared" si="29"/>
        <v>0</v>
      </c>
      <c r="EB33" s="49">
        <f t="shared" si="30"/>
        <v>0</v>
      </c>
      <c r="EC33" s="49">
        <f t="shared" si="30"/>
        <v>0</v>
      </c>
      <c r="ED33" s="49">
        <f t="shared" si="30"/>
        <v>0</v>
      </c>
    </row>
    <row r="34" spans="2:134" ht="11" customHeight="1" x14ac:dyDescent="0.35">
      <c r="B34" s="4">
        <v>106506</v>
      </c>
      <c r="C34" s="4" t="s">
        <v>40</v>
      </c>
      <c r="D34" s="4">
        <v>24</v>
      </c>
      <c r="E34" s="5">
        <v>24</v>
      </c>
      <c r="F34" s="6">
        <v>189.29879107400001</v>
      </c>
      <c r="G34" s="7"/>
      <c r="H34" s="49"/>
      <c r="I34" s="49"/>
      <c r="J34" s="50">
        <f t="shared" si="31"/>
        <v>0</v>
      </c>
      <c r="K34" s="9"/>
      <c r="L34" s="49"/>
      <c r="M34" s="49"/>
      <c r="N34" s="50">
        <f t="shared" si="0"/>
        <v>0</v>
      </c>
      <c r="O34" s="46"/>
      <c r="P34" s="49"/>
      <c r="Q34" s="49"/>
      <c r="R34" s="50">
        <f t="shared" si="1"/>
        <v>0</v>
      </c>
      <c r="T34" s="49"/>
      <c r="U34" s="49"/>
      <c r="V34" s="50">
        <f t="shared" si="2"/>
        <v>0</v>
      </c>
      <c r="X34" s="49"/>
      <c r="Y34" s="49"/>
      <c r="Z34" s="50">
        <f t="shared" si="3"/>
        <v>0</v>
      </c>
      <c r="AB34" s="49"/>
      <c r="AC34" s="49"/>
      <c r="AD34" s="50">
        <f t="shared" si="4"/>
        <v>0</v>
      </c>
      <c r="AF34" s="49"/>
      <c r="AG34" s="49"/>
      <c r="AH34" s="50">
        <f t="shared" si="5"/>
        <v>0</v>
      </c>
      <c r="AJ34" s="49"/>
      <c r="AK34" s="49"/>
      <c r="AL34" s="50">
        <f t="shared" si="6"/>
        <v>0</v>
      </c>
      <c r="AN34" s="49"/>
      <c r="AO34" s="49"/>
      <c r="AP34" s="50">
        <f t="shared" si="7"/>
        <v>0</v>
      </c>
      <c r="AR34" s="49"/>
      <c r="AS34" s="49"/>
      <c r="AT34" s="50">
        <f t="shared" si="8"/>
        <v>0</v>
      </c>
      <c r="AV34" s="49"/>
      <c r="AW34" s="49"/>
      <c r="AX34" s="50">
        <f t="shared" si="9"/>
        <v>0</v>
      </c>
      <c r="AZ34" s="49"/>
      <c r="BA34" s="49"/>
      <c r="BB34" s="50">
        <f t="shared" si="10"/>
        <v>0</v>
      </c>
      <c r="BD34" s="49"/>
      <c r="BE34" s="49"/>
      <c r="BF34" s="50">
        <f t="shared" si="11"/>
        <v>0</v>
      </c>
      <c r="BH34" s="49"/>
      <c r="BI34" s="49"/>
      <c r="BJ34" s="50">
        <f t="shared" si="12"/>
        <v>0</v>
      </c>
      <c r="BL34" s="49"/>
      <c r="BM34" s="49"/>
      <c r="BN34" s="50">
        <f t="shared" si="13"/>
        <v>0</v>
      </c>
      <c r="BP34" s="49"/>
      <c r="BQ34" s="49"/>
      <c r="BR34" s="50">
        <f t="shared" si="14"/>
        <v>0</v>
      </c>
      <c r="BT34" s="49"/>
      <c r="BU34" s="49"/>
      <c r="BV34" s="50">
        <f t="shared" si="15"/>
        <v>0</v>
      </c>
      <c r="BX34" s="49"/>
      <c r="BY34" s="49"/>
      <c r="BZ34" s="50">
        <f t="shared" si="16"/>
        <v>0</v>
      </c>
      <c r="CB34" s="49"/>
      <c r="CC34" s="49"/>
      <c r="CD34" s="50">
        <f t="shared" si="17"/>
        <v>0</v>
      </c>
      <c r="CF34" s="49"/>
      <c r="CG34" s="49"/>
      <c r="CH34" s="50">
        <f t="shared" si="18"/>
        <v>0</v>
      </c>
      <c r="CJ34" s="49"/>
      <c r="CK34" s="49"/>
      <c r="CL34" s="50">
        <f t="shared" si="19"/>
        <v>0</v>
      </c>
      <c r="CN34" s="49"/>
      <c r="CO34" s="49"/>
      <c r="CP34" s="50">
        <f t="shared" si="20"/>
        <v>0</v>
      </c>
      <c r="CR34" s="49"/>
      <c r="CS34" s="49"/>
      <c r="CT34" s="50">
        <f t="shared" si="21"/>
        <v>0</v>
      </c>
      <c r="CV34" s="49"/>
      <c r="CW34" s="49"/>
      <c r="CX34" s="50">
        <f t="shared" si="22"/>
        <v>0</v>
      </c>
      <c r="CZ34" s="49"/>
      <c r="DA34" s="49"/>
      <c r="DB34" s="50">
        <f t="shared" si="23"/>
        <v>0</v>
      </c>
      <c r="DD34" s="49"/>
      <c r="DE34" s="49"/>
      <c r="DF34" s="50">
        <f t="shared" si="24"/>
        <v>0</v>
      </c>
      <c r="DH34" s="49"/>
      <c r="DI34" s="49"/>
      <c r="DJ34" s="50">
        <f t="shared" si="25"/>
        <v>0</v>
      </c>
      <c r="DL34" s="49"/>
      <c r="DM34" s="49"/>
      <c r="DN34" s="50">
        <f t="shared" si="26"/>
        <v>0</v>
      </c>
      <c r="DP34" s="49"/>
      <c r="DQ34" s="49"/>
      <c r="DR34" s="50">
        <f t="shared" si="27"/>
        <v>0</v>
      </c>
      <c r="DT34" s="49"/>
      <c r="DU34" s="49"/>
      <c r="DV34" s="50">
        <f t="shared" si="28"/>
        <v>0</v>
      </c>
      <c r="DX34" s="49"/>
      <c r="DY34" s="49"/>
      <c r="DZ34" s="50">
        <f t="shared" si="29"/>
        <v>0</v>
      </c>
      <c r="EB34" s="49">
        <f t="shared" si="30"/>
        <v>0</v>
      </c>
      <c r="EC34" s="49">
        <f t="shared" si="30"/>
        <v>0</v>
      </c>
      <c r="ED34" s="49">
        <f t="shared" si="30"/>
        <v>0</v>
      </c>
    </row>
    <row r="35" spans="2:134" ht="11" customHeight="1" x14ac:dyDescent="0.35">
      <c r="B35" s="4">
        <v>106507</v>
      </c>
      <c r="C35" s="4" t="s">
        <v>41</v>
      </c>
      <c r="D35" s="4">
        <v>18</v>
      </c>
      <c r="E35" s="5">
        <v>18</v>
      </c>
      <c r="F35" s="6">
        <v>288.68044392000002</v>
      </c>
      <c r="G35" s="7"/>
      <c r="H35" s="49"/>
      <c r="I35" s="49"/>
      <c r="J35" s="50">
        <f t="shared" si="31"/>
        <v>0</v>
      </c>
      <c r="K35" s="9"/>
      <c r="L35" s="49"/>
      <c r="M35" s="49"/>
      <c r="N35" s="50">
        <f t="shared" si="0"/>
        <v>0</v>
      </c>
      <c r="O35" s="46"/>
      <c r="P35" s="49"/>
      <c r="Q35" s="49"/>
      <c r="R35" s="50">
        <f t="shared" si="1"/>
        <v>0</v>
      </c>
      <c r="T35" s="49"/>
      <c r="U35" s="49"/>
      <c r="V35" s="50">
        <f t="shared" si="2"/>
        <v>0</v>
      </c>
      <c r="X35" s="49"/>
      <c r="Y35" s="49"/>
      <c r="Z35" s="50">
        <f t="shared" si="3"/>
        <v>0</v>
      </c>
      <c r="AB35" s="49"/>
      <c r="AC35" s="49"/>
      <c r="AD35" s="50">
        <f t="shared" si="4"/>
        <v>0</v>
      </c>
      <c r="AF35" s="49"/>
      <c r="AG35" s="49"/>
      <c r="AH35" s="50">
        <f t="shared" si="5"/>
        <v>0</v>
      </c>
      <c r="AJ35" s="49"/>
      <c r="AK35" s="49"/>
      <c r="AL35" s="50">
        <f t="shared" si="6"/>
        <v>0</v>
      </c>
      <c r="AN35" s="49"/>
      <c r="AO35" s="49"/>
      <c r="AP35" s="50">
        <f t="shared" si="7"/>
        <v>0</v>
      </c>
      <c r="AR35" s="49"/>
      <c r="AS35" s="49"/>
      <c r="AT35" s="50">
        <f t="shared" si="8"/>
        <v>0</v>
      </c>
      <c r="AV35" s="49"/>
      <c r="AW35" s="49"/>
      <c r="AX35" s="50">
        <f t="shared" si="9"/>
        <v>0</v>
      </c>
      <c r="AZ35" s="49"/>
      <c r="BA35" s="49"/>
      <c r="BB35" s="50">
        <f t="shared" si="10"/>
        <v>0</v>
      </c>
      <c r="BD35" s="49"/>
      <c r="BE35" s="49"/>
      <c r="BF35" s="50">
        <f t="shared" si="11"/>
        <v>0</v>
      </c>
      <c r="BH35" s="49"/>
      <c r="BI35" s="49"/>
      <c r="BJ35" s="50">
        <f t="shared" si="12"/>
        <v>0</v>
      </c>
      <c r="BL35" s="49"/>
      <c r="BM35" s="49"/>
      <c r="BN35" s="50">
        <f t="shared" si="13"/>
        <v>0</v>
      </c>
      <c r="BP35" s="49"/>
      <c r="BQ35" s="49"/>
      <c r="BR35" s="50">
        <f t="shared" si="14"/>
        <v>0</v>
      </c>
      <c r="BT35" s="49"/>
      <c r="BU35" s="49"/>
      <c r="BV35" s="50">
        <f t="shared" si="15"/>
        <v>0</v>
      </c>
      <c r="BX35" s="49"/>
      <c r="BY35" s="49"/>
      <c r="BZ35" s="50">
        <f t="shared" si="16"/>
        <v>0</v>
      </c>
      <c r="CB35" s="49"/>
      <c r="CC35" s="49"/>
      <c r="CD35" s="50">
        <f t="shared" si="17"/>
        <v>0</v>
      </c>
      <c r="CF35" s="49"/>
      <c r="CG35" s="49"/>
      <c r="CH35" s="50">
        <f t="shared" si="18"/>
        <v>0</v>
      </c>
      <c r="CJ35" s="49"/>
      <c r="CK35" s="49"/>
      <c r="CL35" s="50">
        <f t="shared" si="19"/>
        <v>0</v>
      </c>
      <c r="CN35" s="49"/>
      <c r="CO35" s="49"/>
      <c r="CP35" s="50">
        <f t="shared" si="20"/>
        <v>0</v>
      </c>
      <c r="CR35" s="49"/>
      <c r="CS35" s="49"/>
      <c r="CT35" s="50">
        <f t="shared" si="21"/>
        <v>0</v>
      </c>
      <c r="CV35" s="49"/>
      <c r="CW35" s="49"/>
      <c r="CX35" s="50">
        <f t="shared" si="22"/>
        <v>0</v>
      </c>
      <c r="CZ35" s="49"/>
      <c r="DA35" s="49"/>
      <c r="DB35" s="50">
        <f t="shared" si="23"/>
        <v>0</v>
      </c>
      <c r="DD35" s="49"/>
      <c r="DE35" s="49"/>
      <c r="DF35" s="50">
        <f t="shared" si="24"/>
        <v>0</v>
      </c>
      <c r="DH35" s="49"/>
      <c r="DI35" s="49"/>
      <c r="DJ35" s="50">
        <f t="shared" si="25"/>
        <v>0</v>
      </c>
      <c r="DL35" s="49"/>
      <c r="DM35" s="49"/>
      <c r="DN35" s="50">
        <f t="shared" si="26"/>
        <v>0</v>
      </c>
      <c r="DP35" s="49"/>
      <c r="DQ35" s="49"/>
      <c r="DR35" s="50">
        <f t="shared" si="27"/>
        <v>0</v>
      </c>
      <c r="DT35" s="49"/>
      <c r="DU35" s="49"/>
      <c r="DV35" s="50">
        <f t="shared" si="28"/>
        <v>0</v>
      </c>
      <c r="DX35" s="49"/>
      <c r="DY35" s="49"/>
      <c r="DZ35" s="50">
        <f t="shared" si="29"/>
        <v>0</v>
      </c>
      <c r="EB35" s="49">
        <f t="shared" si="30"/>
        <v>0</v>
      </c>
      <c r="EC35" s="49">
        <f t="shared" si="30"/>
        <v>0</v>
      </c>
      <c r="ED35" s="49">
        <f t="shared" si="30"/>
        <v>0</v>
      </c>
    </row>
    <row r="36" spans="2:134" ht="11" customHeight="1" x14ac:dyDescent="0.35">
      <c r="B36" s="4">
        <v>106508</v>
      </c>
      <c r="C36" s="4" t="s">
        <v>42</v>
      </c>
      <c r="D36" s="4">
        <v>12</v>
      </c>
      <c r="E36" s="5">
        <v>12</v>
      </c>
      <c r="F36" s="6">
        <v>187.195471164</v>
      </c>
      <c r="G36" s="7"/>
      <c r="H36" s="49"/>
      <c r="I36" s="49"/>
      <c r="J36" s="50">
        <f t="shared" si="31"/>
        <v>0</v>
      </c>
      <c r="K36" s="9"/>
      <c r="L36" s="49"/>
      <c r="M36" s="49"/>
      <c r="N36" s="50">
        <f t="shared" si="0"/>
        <v>0</v>
      </c>
      <c r="O36" s="46"/>
      <c r="P36" s="49"/>
      <c r="Q36" s="49"/>
      <c r="R36" s="50">
        <f t="shared" si="1"/>
        <v>0</v>
      </c>
      <c r="T36" s="49"/>
      <c r="U36" s="49"/>
      <c r="V36" s="50">
        <f t="shared" si="2"/>
        <v>0</v>
      </c>
      <c r="X36" s="49"/>
      <c r="Y36" s="49"/>
      <c r="Z36" s="50">
        <f t="shared" si="3"/>
        <v>0</v>
      </c>
      <c r="AB36" s="49"/>
      <c r="AC36" s="49"/>
      <c r="AD36" s="50">
        <f t="shared" si="4"/>
        <v>0</v>
      </c>
      <c r="AF36" s="49"/>
      <c r="AG36" s="49"/>
      <c r="AH36" s="50">
        <f t="shared" si="5"/>
        <v>0</v>
      </c>
      <c r="AJ36" s="49"/>
      <c r="AK36" s="49"/>
      <c r="AL36" s="50">
        <f t="shared" si="6"/>
        <v>0</v>
      </c>
      <c r="AN36" s="49"/>
      <c r="AO36" s="49"/>
      <c r="AP36" s="50">
        <f t="shared" si="7"/>
        <v>0</v>
      </c>
      <c r="AR36" s="49"/>
      <c r="AS36" s="49"/>
      <c r="AT36" s="50">
        <f t="shared" si="8"/>
        <v>0</v>
      </c>
      <c r="AV36" s="49"/>
      <c r="AW36" s="49"/>
      <c r="AX36" s="50">
        <f t="shared" si="9"/>
        <v>0</v>
      </c>
      <c r="AZ36" s="49"/>
      <c r="BA36" s="49"/>
      <c r="BB36" s="50">
        <f t="shared" si="10"/>
        <v>0</v>
      </c>
      <c r="BD36" s="49"/>
      <c r="BE36" s="49"/>
      <c r="BF36" s="50">
        <f t="shared" si="11"/>
        <v>0</v>
      </c>
      <c r="BH36" s="49"/>
      <c r="BI36" s="49"/>
      <c r="BJ36" s="50">
        <f t="shared" si="12"/>
        <v>0</v>
      </c>
      <c r="BL36" s="49"/>
      <c r="BM36" s="49"/>
      <c r="BN36" s="50">
        <f t="shared" si="13"/>
        <v>0</v>
      </c>
      <c r="BP36" s="49"/>
      <c r="BQ36" s="49"/>
      <c r="BR36" s="50">
        <f t="shared" si="14"/>
        <v>0</v>
      </c>
      <c r="BT36" s="49"/>
      <c r="BU36" s="49"/>
      <c r="BV36" s="50">
        <f t="shared" si="15"/>
        <v>0</v>
      </c>
      <c r="BX36" s="49"/>
      <c r="BY36" s="49"/>
      <c r="BZ36" s="50">
        <f t="shared" si="16"/>
        <v>0</v>
      </c>
      <c r="CB36" s="49"/>
      <c r="CC36" s="49"/>
      <c r="CD36" s="50">
        <f t="shared" si="17"/>
        <v>0</v>
      </c>
      <c r="CF36" s="49"/>
      <c r="CG36" s="49"/>
      <c r="CH36" s="50">
        <f t="shared" si="18"/>
        <v>0</v>
      </c>
      <c r="CJ36" s="49"/>
      <c r="CK36" s="49"/>
      <c r="CL36" s="50">
        <f t="shared" si="19"/>
        <v>0</v>
      </c>
      <c r="CN36" s="49"/>
      <c r="CO36" s="49"/>
      <c r="CP36" s="50">
        <f t="shared" si="20"/>
        <v>0</v>
      </c>
      <c r="CR36" s="49"/>
      <c r="CS36" s="49"/>
      <c r="CT36" s="50">
        <f t="shared" si="21"/>
        <v>0</v>
      </c>
      <c r="CV36" s="49"/>
      <c r="CW36" s="49"/>
      <c r="CX36" s="50">
        <f t="shared" si="22"/>
        <v>0</v>
      </c>
      <c r="CZ36" s="49"/>
      <c r="DA36" s="49"/>
      <c r="DB36" s="50">
        <f t="shared" si="23"/>
        <v>0</v>
      </c>
      <c r="DD36" s="49"/>
      <c r="DE36" s="49"/>
      <c r="DF36" s="50">
        <f t="shared" si="24"/>
        <v>0</v>
      </c>
      <c r="DH36" s="49"/>
      <c r="DI36" s="49"/>
      <c r="DJ36" s="50">
        <f t="shared" si="25"/>
        <v>0</v>
      </c>
      <c r="DL36" s="49"/>
      <c r="DM36" s="49"/>
      <c r="DN36" s="50">
        <f t="shared" si="26"/>
        <v>0</v>
      </c>
      <c r="DP36" s="49"/>
      <c r="DQ36" s="49"/>
      <c r="DR36" s="50">
        <f t="shared" si="27"/>
        <v>0</v>
      </c>
      <c r="DT36" s="49"/>
      <c r="DU36" s="49"/>
      <c r="DV36" s="50">
        <f t="shared" si="28"/>
        <v>0</v>
      </c>
      <c r="DX36" s="49"/>
      <c r="DY36" s="49"/>
      <c r="DZ36" s="50">
        <f t="shared" si="29"/>
        <v>0</v>
      </c>
      <c r="EB36" s="49">
        <f t="shared" si="30"/>
        <v>0</v>
      </c>
      <c r="EC36" s="49">
        <f t="shared" si="30"/>
        <v>0</v>
      </c>
      <c r="ED36" s="49">
        <f t="shared" si="30"/>
        <v>0</v>
      </c>
    </row>
    <row r="37" spans="2:134" ht="11" customHeight="1" x14ac:dyDescent="0.35">
      <c r="B37" s="4">
        <v>106509</v>
      </c>
      <c r="C37" s="4" t="s">
        <v>43</v>
      </c>
      <c r="D37" s="4">
        <v>12</v>
      </c>
      <c r="E37" s="5">
        <v>12</v>
      </c>
      <c r="F37" s="6">
        <v>475.78878293999998</v>
      </c>
      <c r="G37" s="7"/>
      <c r="H37" s="49"/>
      <c r="I37" s="49"/>
      <c r="J37" s="50">
        <f t="shared" si="31"/>
        <v>0</v>
      </c>
      <c r="K37" s="9"/>
      <c r="L37" s="49"/>
      <c r="M37" s="49"/>
      <c r="N37" s="50">
        <f t="shared" si="0"/>
        <v>0</v>
      </c>
      <c r="O37" s="46"/>
      <c r="P37" s="49"/>
      <c r="Q37" s="49"/>
      <c r="R37" s="50">
        <f t="shared" si="1"/>
        <v>0</v>
      </c>
      <c r="T37" s="49"/>
      <c r="U37" s="49"/>
      <c r="V37" s="50">
        <f t="shared" si="2"/>
        <v>0</v>
      </c>
      <c r="X37" s="49"/>
      <c r="Y37" s="49"/>
      <c r="Z37" s="50">
        <f t="shared" si="3"/>
        <v>0</v>
      </c>
      <c r="AB37" s="49"/>
      <c r="AC37" s="49"/>
      <c r="AD37" s="50">
        <f t="shared" si="4"/>
        <v>0</v>
      </c>
      <c r="AF37" s="49"/>
      <c r="AG37" s="49"/>
      <c r="AH37" s="50">
        <f t="shared" si="5"/>
        <v>0</v>
      </c>
      <c r="AJ37" s="49"/>
      <c r="AK37" s="49"/>
      <c r="AL37" s="50">
        <f t="shared" si="6"/>
        <v>0</v>
      </c>
      <c r="AN37" s="49"/>
      <c r="AO37" s="49"/>
      <c r="AP37" s="50">
        <f t="shared" si="7"/>
        <v>0</v>
      </c>
      <c r="AR37" s="49"/>
      <c r="AS37" s="49"/>
      <c r="AT37" s="50">
        <f t="shared" si="8"/>
        <v>0</v>
      </c>
      <c r="AV37" s="49"/>
      <c r="AW37" s="49"/>
      <c r="AX37" s="50">
        <f t="shared" si="9"/>
        <v>0</v>
      </c>
      <c r="AZ37" s="49"/>
      <c r="BA37" s="49"/>
      <c r="BB37" s="50">
        <f t="shared" si="10"/>
        <v>0</v>
      </c>
      <c r="BD37" s="49"/>
      <c r="BE37" s="49"/>
      <c r="BF37" s="50">
        <f t="shared" si="11"/>
        <v>0</v>
      </c>
      <c r="BH37" s="49"/>
      <c r="BI37" s="49"/>
      <c r="BJ37" s="50">
        <f t="shared" si="12"/>
        <v>0</v>
      </c>
      <c r="BL37" s="49"/>
      <c r="BM37" s="49"/>
      <c r="BN37" s="50">
        <f t="shared" si="13"/>
        <v>0</v>
      </c>
      <c r="BP37" s="49"/>
      <c r="BQ37" s="49"/>
      <c r="BR37" s="50">
        <f t="shared" si="14"/>
        <v>0</v>
      </c>
      <c r="BT37" s="49"/>
      <c r="BU37" s="49"/>
      <c r="BV37" s="50">
        <f t="shared" si="15"/>
        <v>0</v>
      </c>
      <c r="BX37" s="49"/>
      <c r="BY37" s="49"/>
      <c r="BZ37" s="50">
        <f t="shared" si="16"/>
        <v>0</v>
      </c>
      <c r="CB37" s="49"/>
      <c r="CC37" s="49"/>
      <c r="CD37" s="50">
        <f t="shared" si="17"/>
        <v>0</v>
      </c>
      <c r="CF37" s="49"/>
      <c r="CG37" s="49"/>
      <c r="CH37" s="50">
        <f t="shared" si="18"/>
        <v>0</v>
      </c>
      <c r="CJ37" s="49"/>
      <c r="CK37" s="49"/>
      <c r="CL37" s="50">
        <f t="shared" si="19"/>
        <v>0</v>
      </c>
      <c r="CN37" s="49"/>
      <c r="CO37" s="49"/>
      <c r="CP37" s="50">
        <f t="shared" si="20"/>
        <v>0</v>
      </c>
      <c r="CR37" s="49"/>
      <c r="CS37" s="49"/>
      <c r="CT37" s="50">
        <f t="shared" si="21"/>
        <v>0</v>
      </c>
      <c r="CV37" s="49"/>
      <c r="CW37" s="49"/>
      <c r="CX37" s="50">
        <f t="shared" si="22"/>
        <v>0</v>
      </c>
      <c r="CZ37" s="49"/>
      <c r="DA37" s="49"/>
      <c r="DB37" s="50">
        <f t="shared" si="23"/>
        <v>0</v>
      </c>
      <c r="DD37" s="49"/>
      <c r="DE37" s="49"/>
      <c r="DF37" s="50">
        <f t="shared" si="24"/>
        <v>0</v>
      </c>
      <c r="DH37" s="49"/>
      <c r="DI37" s="49"/>
      <c r="DJ37" s="50">
        <f t="shared" si="25"/>
        <v>0</v>
      </c>
      <c r="DL37" s="49"/>
      <c r="DM37" s="49"/>
      <c r="DN37" s="50">
        <f t="shared" si="26"/>
        <v>0</v>
      </c>
      <c r="DP37" s="49"/>
      <c r="DQ37" s="49"/>
      <c r="DR37" s="50">
        <f t="shared" si="27"/>
        <v>0</v>
      </c>
      <c r="DT37" s="49"/>
      <c r="DU37" s="49"/>
      <c r="DV37" s="50">
        <f t="shared" si="28"/>
        <v>0</v>
      </c>
      <c r="DX37" s="49"/>
      <c r="DY37" s="49"/>
      <c r="DZ37" s="50">
        <f t="shared" si="29"/>
        <v>0</v>
      </c>
      <c r="EB37" s="49">
        <f t="shared" si="30"/>
        <v>0</v>
      </c>
      <c r="EC37" s="49">
        <f t="shared" si="30"/>
        <v>0</v>
      </c>
      <c r="ED37" s="49">
        <f t="shared" si="30"/>
        <v>0</v>
      </c>
    </row>
    <row r="38" spans="2:134" ht="11" customHeight="1" x14ac:dyDescent="0.35">
      <c r="B38" s="4">
        <v>106515</v>
      </c>
      <c r="C38" s="4" t="s">
        <v>44</v>
      </c>
      <c r="D38" s="4">
        <v>12</v>
      </c>
      <c r="E38" s="5">
        <v>12</v>
      </c>
      <c r="F38" s="6">
        <v>190.17517436</v>
      </c>
      <c r="G38" s="7"/>
      <c r="H38" s="49"/>
      <c r="I38" s="49"/>
      <c r="J38" s="50">
        <f t="shared" si="31"/>
        <v>0</v>
      </c>
      <c r="K38" s="9"/>
      <c r="L38" s="49"/>
      <c r="M38" s="49"/>
      <c r="N38" s="50">
        <f t="shared" si="0"/>
        <v>0</v>
      </c>
      <c r="O38" s="46"/>
      <c r="P38" s="49"/>
      <c r="Q38" s="49"/>
      <c r="R38" s="50">
        <f t="shared" si="1"/>
        <v>0</v>
      </c>
      <c r="T38" s="49"/>
      <c r="U38" s="49"/>
      <c r="V38" s="50">
        <f t="shared" si="2"/>
        <v>0</v>
      </c>
      <c r="X38" s="49"/>
      <c r="Y38" s="49"/>
      <c r="Z38" s="50">
        <f t="shared" si="3"/>
        <v>0</v>
      </c>
      <c r="AB38" s="49"/>
      <c r="AC38" s="49"/>
      <c r="AD38" s="50">
        <f t="shared" si="4"/>
        <v>0</v>
      </c>
      <c r="AF38" s="49"/>
      <c r="AG38" s="49"/>
      <c r="AH38" s="50">
        <f t="shared" si="5"/>
        <v>0</v>
      </c>
      <c r="AJ38" s="49"/>
      <c r="AK38" s="49"/>
      <c r="AL38" s="50">
        <f t="shared" si="6"/>
        <v>0</v>
      </c>
      <c r="AN38" s="49"/>
      <c r="AO38" s="49"/>
      <c r="AP38" s="50">
        <f t="shared" si="7"/>
        <v>0</v>
      </c>
      <c r="AR38" s="49"/>
      <c r="AS38" s="49"/>
      <c r="AT38" s="50">
        <f t="shared" si="8"/>
        <v>0</v>
      </c>
      <c r="AV38" s="49"/>
      <c r="AW38" s="49"/>
      <c r="AX38" s="50">
        <f t="shared" si="9"/>
        <v>0</v>
      </c>
      <c r="AZ38" s="49"/>
      <c r="BA38" s="49"/>
      <c r="BB38" s="50">
        <f t="shared" si="10"/>
        <v>0</v>
      </c>
      <c r="BD38" s="49"/>
      <c r="BE38" s="49"/>
      <c r="BF38" s="50">
        <f t="shared" si="11"/>
        <v>0</v>
      </c>
      <c r="BH38" s="49"/>
      <c r="BI38" s="49"/>
      <c r="BJ38" s="50">
        <f t="shared" si="12"/>
        <v>0</v>
      </c>
      <c r="BL38" s="49"/>
      <c r="BM38" s="49"/>
      <c r="BN38" s="50">
        <f t="shared" si="13"/>
        <v>0</v>
      </c>
      <c r="BP38" s="49"/>
      <c r="BQ38" s="49"/>
      <c r="BR38" s="50">
        <f t="shared" si="14"/>
        <v>0</v>
      </c>
      <c r="BT38" s="49"/>
      <c r="BU38" s="49"/>
      <c r="BV38" s="50">
        <f t="shared" si="15"/>
        <v>0</v>
      </c>
      <c r="BX38" s="49"/>
      <c r="BY38" s="49"/>
      <c r="BZ38" s="50">
        <f t="shared" si="16"/>
        <v>0</v>
      </c>
      <c r="CB38" s="49"/>
      <c r="CC38" s="49"/>
      <c r="CD38" s="50">
        <f t="shared" si="17"/>
        <v>0</v>
      </c>
      <c r="CF38" s="49"/>
      <c r="CG38" s="49"/>
      <c r="CH38" s="50">
        <f t="shared" si="18"/>
        <v>0</v>
      </c>
      <c r="CJ38" s="49"/>
      <c r="CK38" s="49"/>
      <c r="CL38" s="50">
        <f t="shared" si="19"/>
        <v>0</v>
      </c>
      <c r="CN38" s="49"/>
      <c r="CO38" s="49"/>
      <c r="CP38" s="50">
        <f t="shared" si="20"/>
        <v>0</v>
      </c>
      <c r="CR38" s="49"/>
      <c r="CS38" s="49"/>
      <c r="CT38" s="50">
        <f t="shared" si="21"/>
        <v>0</v>
      </c>
      <c r="CV38" s="49"/>
      <c r="CW38" s="49"/>
      <c r="CX38" s="50">
        <f t="shared" si="22"/>
        <v>0</v>
      </c>
      <c r="CZ38" s="49"/>
      <c r="DA38" s="49"/>
      <c r="DB38" s="50">
        <f t="shared" si="23"/>
        <v>0</v>
      </c>
      <c r="DD38" s="49"/>
      <c r="DE38" s="49"/>
      <c r="DF38" s="50">
        <f t="shared" si="24"/>
        <v>0</v>
      </c>
      <c r="DH38" s="49"/>
      <c r="DI38" s="49"/>
      <c r="DJ38" s="50">
        <f t="shared" si="25"/>
        <v>0</v>
      </c>
      <c r="DL38" s="49"/>
      <c r="DM38" s="49"/>
      <c r="DN38" s="50">
        <f t="shared" si="26"/>
        <v>0</v>
      </c>
      <c r="DP38" s="49"/>
      <c r="DQ38" s="49"/>
      <c r="DR38" s="50">
        <f t="shared" si="27"/>
        <v>0</v>
      </c>
      <c r="DT38" s="49"/>
      <c r="DU38" s="49"/>
      <c r="DV38" s="50">
        <f t="shared" si="28"/>
        <v>0</v>
      </c>
      <c r="DX38" s="49"/>
      <c r="DY38" s="49"/>
      <c r="DZ38" s="50">
        <f t="shared" si="29"/>
        <v>0</v>
      </c>
      <c r="EB38" s="49">
        <f t="shared" si="30"/>
        <v>0</v>
      </c>
      <c r="EC38" s="49">
        <f t="shared" si="30"/>
        <v>0</v>
      </c>
      <c r="ED38" s="49">
        <f t="shared" si="30"/>
        <v>0</v>
      </c>
    </row>
    <row r="39" spans="2:134" ht="11" customHeight="1" x14ac:dyDescent="0.35">
      <c r="B39" s="4">
        <v>106526</v>
      </c>
      <c r="C39" s="4" t="s">
        <v>45</v>
      </c>
      <c r="D39" s="4">
        <v>24</v>
      </c>
      <c r="E39" s="5">
        <v>18</v>
      </c>
      <c r="F39" s="6">
        <v>189.29879107400001</v>
      </c>
      <c r="G39" s="7"/>
      <c r="H39" s="49"/>
      <c r="I39" s="49"/>
      <c r="J39" s="50">
        <f t="shared" si="31"/>
        <v>0</v>
      </c>
      <c r="K39" s="9"/>
      <c r="L39" s="49"/>
      <c r="M39" s="49"/>
      <c r="N39" s="50">
        <f t="shared" si="0"/>
        <v>0</v>
      </c>
      <c r="O39" s="46"/>
      <c r="P39" s="49"/>
      <c r="Q39" s="49"/>
      <c r="R39" s="50">
        <f t="shared" si="1"/>
        <v>0</v>
      </c>
      <c r="T39" s="49"/>
      <c r="U39" s="49"/>
      <c r="V39" s="50">
        <f t="shared" si="2"/>
        <v>0</v>
      </c>
      <c r="X39" s="49"/>
      <c r="Y39" s="49"/>
      <c r="Z39" s="50">
        <f t="shared" si="3"/>
        <v>0</v>
      </c>
      <c r="AB39" s="49"/>
      <c r="AC39" s="49"/>
      <c r="AD39" s="50">
        <f t="shared" si="4"/>
        <v>0</v>
      </c>
      <c r="AF39" s="49"/>
      <c r="AG39" s="49"/>
      <c r="AH39" s="50">
        <f t="shared" si="5"/>
        <v>0</v>
      </c>
      <c r="AJ39" s="49"/>
      <c r="AK39" s="49"/>
      <c r="AL39" s="50">
        <f t="shared" si="6"/>
        <v>0</v>
      </c>
      <c r="AN39" s="49"/>
      <c r="AO39" s="49"/>
      <c r="AP39" s="50">
        <f t="shared" si="7"/>
        <v>0</v>
      </c>
      <c r="AR39" s="49"/>
      <c r="AS39" s="49"/>
      <c r="AT39" s="50">
        <f t="shared" si="8"/>
        <v>0</v>
      </c>
      <c r="AV39" s="49"/>
      <c r="AW39" s="49"/>
      <c r="AX39" s="50">
        <f t="shared" si="9"/>
        <v>0</v>
      </c>
      <c r="AZ39" s="49"/>
      <c r="BA39" s="49"/>
      <c r="BB39" s="50">
        <f t="shared" si="10"/>
        <v>0</v>
      </c>
      <c r="BD39" s="49"/>
      <c r="BE39" s="49"/>
      <c r="BF39" s="50">
        <f t="shared" si="11"/>
        <v>0</v>
      </c>
      <c r="BH39" s="49"/>
      <c r="BI39" s="49"/>
      <c r="BJ39" s="50">
        <f t="shared" si="12"/>
        <v>0</v>
      </c>
      <c r="BL39" s="49"/>
      <c r="BM39" s="49"/>
      <c r="BN39" s="50">
        <f t="shared" si="13"/>
        <v>0</v>
      </c>
      <c r="BP39" s="49"/>
      <c r="BQ39" s="49"/>
      <c r="BR39" s="50">
        <f t="shared" si="14"/>
        <v>0</v>
      </c>
      <c r="BT39" s="49"/>
      <c r="BU39" s="49"/>
      <c r="BV39" s="50">
        <f t="shared" si="15"/>
        <v>0</v>
      </c>
      <c r="BX39" s="49"/>
      <c r="BY39" s="49"/>
      <c r="BZ39" s="50">
        <f t="shared" si="16"/>
        <v>0</v>
      </c>
      <c r="CB39" s="49"/>
      <c r="CC39" s="49"/>
      <c r="CD39" s="50">
        <f t="shared" si="17"/>
        <v>0</v>
      </c>
      <c r="CF39" s="49"/>
      <c r="CG39" s="49"/>
      <c r="CH39" s="50">
        <f t="shared" si="18"/>
        <v>0</v>
      </c>
      <c r="CJ39" s="49"/>
      <c r="CK39" s="49"/>
      <c r="CL39" s="50">
        <f t="shared" si="19"/>
        <v>0</v>
      </c>
      <c r="CN39" s="49"/>
      <c r="CO39" s="49"/>
      <c r="CP39" s="50">
        <f t="shared" si="20"/>
        <v>0</v>
      </c>
      <c r="CR39" s="49"/>
      <c r="CS39" s="49"/>
      <c r="CT39" s="50">
        <f t="shared" si="21"/>
        <v>0</v>
      </c>
      <c r="CV39" s="49"/>
      <c r="CW39" s="49"/>
      <c r="CX39" s="50">
        <f t="shared" si="22"/>
        <v>0</v>
      </c>
      <c r="CZ39" s="49"/>
      <c r="DA39" s="49"/>
      <c r="DB39" s="50">
        <f t="shared" si="23"/>
        <v>0</v>
      </c>
      <c r="DD39" s="49"/>
      <c r="DE39" s="49"/>
      <c r="DF39" s="50">
        <f t="shared" si="24"/>
        <v>0</v>
      </c>
      <c r="DH39" s="49"/>
      <c r="DI39" s="49"/>
      <c r="DJ39" s="50">
        <f t="shared" si="25"/>
        <v>0</v>
      </c>
      <c r="DL39" s="49"/>
      <c r="DM39" s="49"/>
      <c r="DN39" s="50">
        <f t="shared" si="26"/>
        <v>0</v>
      </c>
      <c r="DP39" s="49"/>
      <c r="DQ39" s="49"/>
      <c r="DR39" s="50">
        <f t="shared" si="27"/>
        <v>0</v>
      </c>
      <c r="DT39" s="49"/>
      <c r="DU39" s="49"/>
      <c r="DV39" s="50">
        <f t="shared" si="28"/>
        <v>0</v>
      </c>
      <c r="DX39" s="49"/>
      <c r="DY39" s="49"/>
      <c r="DZ39" s="50">
        <f t="shared" si="29"/>
        <v>0</v>
      </c>
      <c r="EB39" s="49">
        <f t="shared" si="30"/>
        <v>0</v>
      </c>
      <c r="EC39" s="49">
        <f t="shared" si="30"/>
        <v>0</v>
      </c>
      <c r="ED39" s="49">
        <f t="shared" si="30"/>
        <v>0</v>
      </c>
    </row>
    <row r="40" spans="2:134" ht="11" customHeight="1" x14ac:dyDescent="0.35">
      <c r="B40" s="4">
        <v>106527</v>
      </c>
      <c r="C40" s="4" t="s">
        <v>46</v>
      </c>
      <c r="D40" s="4">
        <v>24</v>
      </c>
      <c r="E40" s="5">
        <v>18</v>
      </c>
      <c r="F40" s="6">
        <v>189.29879107400001</v>
      </c>
      <c r="G40" s="7"/>
      <c r="H40" s="49"/>
      <c r="I40" s="49"/>
      <c r="J40" s="50">
        <f t="shared" si="31"/>
        <v>0</v>
      </c>
      <c r="K40" s="9"/>
      <c r="L40" s="49"/>
      <c r="M40" s="49"/>
      <c r="N40" s="50">
        <f t="shared" si="0"/>
        <v>0</v>
      </c>
      <c r="O40" s="46"/>
      <c r="P40" s="49"/>
      <c r="Q40" s="49"/>
      <c r="R40" s="50">
        <f t="shared" si="1"/>
        <v>0</v>
      </c>
      <c r="T40" s="49"/>
      <c r="U40" s="49"/>
      <c r="V40" s="50">
        <f t="shared" si="2"/>
        <v>0</v>
      </c>
      <c r="X40" s="49"/>
      <c r="Y40" s="49"/>
      <c r="Z40" s="50">
        <f t="shared" si="3"/>
        <v>0</v>
      </c>
      <c r="AB40" s="49"/>
      <c r="AC40" s="49"/>
      <c r="AD40" s="50">
        <f t="shared" si="4"/>
        <v>0</v>
      </c>
      <c r="AF40" s="49"/>
      <c r="AG40" s="49"/>
      <c r="AH40" s="50">
        <f t="shared" si="5"/>
        <v>0</v>
      </c>
      <c r="AJ40" s="49"/>
      <c r="AK40" s="49"/>
      <c r="AL40" s="50">
        <f t="shared" si="6"/>
        <v>0</v>
      </c>
      <c r="AN40" s="49"/>
      <c r="AO40" s="49"/>
      <c r="AP40" s="50">
        <f t="shared" si="7"/>
        <v>0</v>
      </c>
      <c r="AR40" s="49"/>
      <c r="AS40" s="49"/>
      <c r="AT40" s="50">
        <f t="shared" si="8"/>
        <v>0</v>
      </c>
      <c r="AV40" s="49"/>
      <c r="AW40" s="49"/>
      <c r="AX40" s="50">
        <f t="shared" si="9"/>
        <v>0</v>
      </c>
      <c r="AZ40" s="49"/>
      <c r="BA40" s="49"/>
      <c r="BB40" s="50">
        <f t="shared" si="10"/>
        <v>0</v>
      </c>
      <c r="BD40" s="49"/>
      <c r="BE40" s="49"/>
      <c r="BF40" s="50">
        <f t="shared" si="11"/>
        <v>0</v>
      </c>
      <c r="BH40" s="49"/>
      <c r="BI40" s="49"/>
      <c r="BJ40" s="50">
        <f t="shared" si="12"/>
        <v>0</v>
      </c>
      <c r="BL40" s="49"/>
      <c r="BM40" s="49"/>
      <c r="BN40" s="50">
        <f t="shared" si="13"/>
        <v>0</v>
      </c>
      <c r="BP40" s="49"/>
      <c r="BQ40" s="49"/>
      <c r="BR40" s="50">
        <f t="shared" si="14"/>
        <v>0</v>
      </c>
      <c r="BT40" s="49"/>
      <c r="BU40" s="49"/>
      <c r="BV40" s="50">
        <f t="shared" si="15"/>
        <v>0</v>
      </c>
      <c r="BX40" s="49"/>
      <c r="BY40" s="49"/>
      <c r="BZ40" s="50">
        <f t="shared" si="16"/>
        <v>0</v>
      </c>
      <c r="CB40" s="49"/>
      <c r="CC40" s="49"/>
      <c r="CD40" s="50">
        <f t="shared" si="17"/>
        <v>0</v>
      </c>
      <c r="CF40" s="49"/>
      <c r="CG40" s="49"/>
      <c r="CH40" s="50">
        <f t="shared" si="18"/>
        <v>0</v>
      </c>
      <c r="CJ40" s="49"/>
      <c r="CK40" s="49"/>
      <c r="CL40" s="50">
        <f t="shared" si="19"/>
        <v>0</v>
      </c>
      <c r="CN40" s="49"/>
      <c r="CO40" s="49"/>
      <c r="CP40" s="50">
        <f t="shared" si="20"/>
        <v>0</v>
      </c>
      <c r="CR40" s="49"/>
      <c r="CS40" s="49"/>
      <c r="CT40" s="50">
        <f t="shared" si="21"/>
        <v>0</v>
      </c>
      <c r="CV40" s="49"/>
      <c r="CW40" s="49"/>
      <c r="CX40" s="50">
        <f t="shared" si="22"/>
        <v>0</v>
      </c>
      <c r="CZ40" s="49"/>
      <c r="DA40" s="49"/>
      <c r="DB40" s="50">
        <f t="shared" si="23"/>
        <v>0</v>
      </c>
      <c r="DD40" s="49"/>
      <c r="DE40" s="49"/>
      <c r="DF40" s="50">
        <f t="shared" si="24"/>
        <v>0</v>
      </c>
      <c r="DH40" s="49"/>
      <c r="DI40" s="49"/>
      <c r="DJ40" s="50">
        <f t="shared" si="25"/>
        <v>0</v>
      </c>
      <c r="DL40" s="49"/>
      <c r="DM40" s="49"/>
      <c r="DN40" s="50">
        <f t="shared" si="26"/>
        <v>0</v>
      </c>
      <c r="DP40" s="49"/>
      <c r="DQ40" s="49"/>
      <c r="DR40" s="50">
        <f t="shared" si="27"/>
        <v>0</v>
      </c>
      <c r="DT40" s="49"/>
      <c r="DU40" s="49"/>
      <c r="DV40" s="50">
        <f t="shared" si="28"/>
        <v>0</v>
      </c>
      <c r="DX40" s="49"/>
      <c r="DY40" s="49"/>
      <c r="DZ40" s="50">
        <f t="shared" si="29"/>
        <v>0</v>
      </c>
      <c r="EB40" s="49">
        <f t="shared" si="30"/>
        <v>0</v>
      </c>
      <c r="EC40" s="49">
        <f t="shared" si="30"/>
        <v>0</v>
      </c>
      <c r="ED40" s="49">
        <f t="shared" si="30"/>
        <v>0</v>
      </c>
    </row>
    <row r="41" spans="2:134" ht="11" customHeight="1" x14ac:dyDescent="0.35">
      <c r="B41" s="4">
        <v>106528</v>
      </c>
      <c r="C41" s="4" t="s">
        <v>47</v>
      </c>
      <c r="D41" s="4">
        <v>24</v>
      </c>
      <c r="E41" s="5">
        <v>18</v>
      </c>
      <c r="F41" s="6">
        <v>189.29879107400001</v>
      </c>
      <c r="G41" s="7"/>
      <c r="H41" s="49"/>
      <c r="I41" s="49"/>
      <c r="J41" s="50">
        <f t="shared" si="31"/>
        <v>0</v>
      </c>
      <c r="K41" s="9"/>
      <c r="L41" s="49"/>
      <c r="M41" s="49"/>
      <c r="N41" s="50">
        <f t="shared" si="0"/>
        <v>0</v>
      </c>
      <c r="O41" s="46"/>
      <c r="P41" s="49"/>
      <c r="Q41" s="49"/>
      <c r="R41" s="50">
        <f t="shared" si="1"/>
        <v>0</v>
      </c>
      <c r="T41" s="49"/>
      <c r="U41" s="49"/>
      <c r="V41" s="50">
        <f t="shared" si="2"/>
        <v>0</v>
      </c>
      <c r="X41" s="49"/>
      <c r="Y41" s="49"/>
      <c r="Z41" s="50">
        <f t="shared" si="3"/>
        <v>0</v>
      </c>
      <c r="AB41" s="49"/>
      <c r="AC41" s="49"/>
      <c r="AD41" s="50">
        <f t="shared" si="4"/>
        <v>0</v>
      </c>
      <c r="AF41" s="49"/>
      <c r="AG41" s="49"/>
      <c r="AH41" s="50">
        <f t="shared" si="5"/>
        <v>0</v>
      </c>
      <c r="AJ41" s="49"/>
      <c r="AK41" s="49"/>
      <c r="AL41" s="50">
        <f t="shared" si="6"/>
        <v>0</v>
      </c>
      <c r="AN41" s="49"/>
      <c r="AO41" s="49"/>
      <c r="AP41" s="50">
        <f t="shared" si="7"/>
        <v>0</v>
      </c>
      <c r="AR41" s="49"/>
      <c r="AS41" s="49"/>
      <c r="AT41" s="50">
        <f t="shared" si="8"/>
        <v>0</v>
      </c>
      <c r="AV41" s="49"/>
      <c r="AW41" s="49"/>
      <c r="AX41" s="50">
        <f t="shared" si="9"/>
        <v>0</v>
      </c>
      <c r="AZ41" s="49"/>
      <c r="BA41" s="49"/>
      <c r="BB41" s="50">
        <f t="shared" si="10"/>
        <v>0</v>
      </c>
      <c r="BD41" s="49"/>
      <c r="BE41" s="49"/>
      <c r="BF41" s="50">
        <f t="shared" si="11"/>
        <v>0</v>
      </c>
      <c r="BH41" s="49"/>
      <c r="BI41" s="49"/>
      <c r="BJ41" s="50">
        <f t="shared" si="12"/>
        <v>0</v>
      </c>
      <c r="BL41" s="49"/>
      <c r="BM41" s="49"/>
      <c r="BN41" s="50">
        <f t="shared" si="13"/>
        <v>0</v>
      </c>
      <c r="BP41" s="49"/>
      <c r="BQ41" s="49"/>
      <c r="BR41" s="50">
        <f t="shared" si="14"/>
        <v>0</v>
      </c>
      <c r="BT41" s="49"/>
      <c r="BU41" s="49"/>
      <c r="BV41" s="50">
        <f t="shared" si="15"/>
        <v>0</v>
      </c>
      <c r="BX41" s="49"/>
      <c r="BY41" s="49"/>
      <c r="BZ41" s="50">
        <f t="shared" si="16"/>
        <v>0</v>
      </c>
      <c r="CB41" s="49"/>
      <c r="CC41" s="49"/>
      <c r="CD41" s="50">
        <f t="shared" si="17"/>
        <v>0</v>
      </c>
      <c r="CF41" s="49"/>
      <c r="CG41" s="49"/>
      <c r="CH41" s="50">
        <f t="shared" si="18"/>
        <v>0</v>
      </c>
      <c r="CJ41" s="49"/>
      <c r="CK41" s="49"/>
      <c r="CL41" s="50">
        <f t="shared" si="19"/>
        <v>0</v>
      </c>
      <c r="CN41" s="49"/>
      <c r="CO41" s="49"/>
      <c r="CP41" s="50">
        <f t="shared" si="20"/>
        <v>0</v>
      </c>
      <c r="CR41" s="49"/>
      <c r="CS41" s="49"/>
      <c r="CT41" s="50">
        <f t="shared" si="21"/>
        <v>0</v>
      </c>
      <c r="CV41" s="49"/>
      <c r="CW41" s="49"/>
      <c r="CX41" s="50">
        <f t="shared" si="22"/>
        <v>0</v>
      </c>
      <c r="CZ41" s="49"/>
      <c r="DA41" s="49"/>
      <c r="DB41" s="50">
        <f t="shared" si="23"/>
        <v>0</v>
      </c>
      <c r="DD41" s="49"/>
      <c r="DE41" s="49"/>
      <c r="DF41" s="50">
        <f t="shared" si="24"/>
        <v>0</v>
      </c>
      <c r="DH41" s="49"/>
      <c r="DI41" s="49"/>
      <c r="DJ41" s="50">
        <f t="shared" si="25"/>
        <v>0</v>
      </c>
      <c r="DL41" s="49"/>
      <c r="DM41" s="49"/>
      <c r="DN41" s="50">
        <f t="shared" si="26"/>
        <v>0</v>
      </c>
      <c r="DP41" s="49"/>
      <c r="DQ41" s="49"/>
      <c r="DR41" s="50">
        <f t="shared" si="27"/>
        <v>0</v>
      </c>
      <c r="DT41" s="49"/>
      <c r="DU41" s="49"/>
      <c r="DV41" s="50">
        <f t="shared" si="28"/>
        <v>0</v>
      </c>
      <c r="DX41" s="49"/>
      <c r="DY41" s="49"/>
      <c r="DZ41" s="50">
        <f t="shared" si="29"/>
        <v>0</v>
      </c>
      <c r="EB41" s="49">
        <f t="shared" si="30"/>
        <v>0</v>
      </c>
      <c r="EC41" s="49">
        <f t="shared" si="30"/>
        <v>0</v>
      </c>
      <c r="ED41" s="49">
        <f t="shared" si="30"/>
        <v>0</v>
      </c>
    </row>
    <row r="42" spans="2:134" ht="11" customHeight="1" x14ac:dyDescent="0.35">
      <c r="B42" s="4">
        <v>106608</v>
      </c>
      <c r="C42" s="4" t="s">
        <v>48</v>
      </c>
      <c r="D42" s="4">
        <v>12</v>
      </c>
      <c r="E42" s="5">
        <v>24</v>
      </c>
      <c r="F42" s="6">
        <v>190.671775</v>
      </c>
      <c r="G42" s="7"/>
      <c r="H42" s="49"/>
      <c r="I42" s="49"/>
      <c r="J42" s="50">
        <f t="shared" si="31"/>
        <v>0</v>
      </c>
      <c r="K42" s="9"/>
      <c r="L42" s="49"/>
      <c r="M42" s="49"/>
      <c r="N42" s="50">
        <f t="shared" si="0"/>
        <v>0</v>
      </c>
      <c r="O42" s="46"/>
      <c r="P42" s="49"/>
      <c r="Q42" s="49"/>
      <c r="R42" s="50">
        <f t="shared" si="1"/>
        <v>0</v>
      </c>
      <c r="T42" s="49"/>
      <c r="U42" s="49"/>
      <c r="V42" s="50">
        <f t="shared" si="2"/>
        <v>0</v>
      </c>
      <c r="X42" s="49"/>
      <c r="Y42" s="49"/>
      <c r="Z42" s="50">
        <f t="shared" si="3"/>
        <v>0</v>
      </c>
      <c r="AB42" s="49"/>
      <c r="AC42" s="49"/>
      <c r="AD42" s="50">
        <f t="shared" si="4"/>
        <v>0</v>
      </c>
      <c r="AF42" s="49"/>
      <c r="AG42" s="49"/>
      <c r="AH42" s="50">
        <f t="shared" si="5"/>
        <v>0</v>
      </c>
      <c r="AJ42" s="49"/>
      <c r="AK42" s="49"/>
      <c r="AL42" s="50">
        <f t="shared" si="6"/>
        <v>0</v>
      </c>
      <c r="AN42" s="49"/>
      <c r="AO42" s="49"/>
      <c r="AP42" s="50">
        <f t="shared" si="7"/>
        <v>0</v>
      </c>
      <c r="AR42" s="49"/>
      <c r="AS42" s="49"/>
      <c r="AT42" s="50">
        <f t="shared" si="8"/>
        <v>0</v>
      </c>
      <c r="AV42" s="49"/>
      <c r="AW42" s="49"/>
      <c r="AX42" s="50">
        <f t="shared" si="9"/>
        <v>0</v>
      </c>
      <c r="AZ42" s="49"/>
      <c r="BA42" s="49"/>
      <c r="BB42" s="50">
        <f t="shared" si="10"/>
        <v>0</v>
      </c>
      <c r="BD42" s="49"/>
      <c r="BE42" s="49"/>
      <c r="BF42" s="50">
        <f t="shared" si="11"/>
        <v>0</v>
      </c>
      <c r="BH42" s="49"/>
      <c r="BI42" s="49"/>
      <c r="BJ42" s="50">
        <f t="shared" si="12"/>
        <v>0</v>
      </c>
      <c r="BL42" s="49"/>
      <c r="BM42" s="49"/>
      <c r="BN42" s="50">
        <f t="shared" si="13"/>
        <v>0</v>
      </c>
      <c r="BP42" s="49"/>
      <c r="BQ42" s="49"/>
      <c r="BR42" s="50">
        <f t="shared" si="14"/>
        <v>0</v>
      </c>
      <c r="BT42" s="49"/>
      <c r="BU42" s="49"/>
      <c r="BV42" s="50">
        <f t="shared" si="15"/>
        <v>0</v>
      </c>
      <c r="BX42" s="49"/>
      <c r="BY42" s="49"/>
      <c r="BZ42" s="50">
        <f t="shared" si="16"/>
        <v>0</v>
      </c>
      <c r="CB42" s="49"/>
      <c r="CC42" s="49"/>
      <c r="CD42" s="50">
        <f t="shared" si="17"/>
        <v>0</v>
      </c>
      <c r="CF42" s="49"/>
      <c r="CG42" s="49"/>
      <c r="CH42" s="50">
        <f t="shared" si="18"/>
        <v>0</v>
      </c>
      <c r="CJ42" s="49"/>
      <c r="CK42" s="49"/>
      <c r="CL42" s="50">
        <f t="shared" si="19"/>
        <v>0</v>
      </c>
      <c r="CN42" s="49"/>
      <c r="CO42" s="49"/>
      <c r="CP42" s="50">
        <f t="shared" si="20"/>
        <v>0</v>
      </c>
      <c r="CR42" s="49"/>
      <c r="CS42" s="49"/>
      <c r="CT42" s="50">
        <f t="shared" si="21"/>
        <v>0</v>
      </c>
      <c r="CV42" s="49"/>
      <c r="CW42" s="49"/>
      <c r="CX42" s="50">
        <f t="shared" si="22"/>
        <v>0</v>
      </c>
      <c r="CZ42" s="49"/>
      <c r="DA42" s="49"/>
      <c r="DB42" s="50">
        <f t="shared" si="23"/>
        <v>0</v>
      </c>
      <c r="DD42" s="49"/>
      <c r="DE42" s="49"/>
      <c r="DF42" s="50">
        <f t="shared" si="24"/>
        <v>0</v>
      </c>
      <c r="DH42" s="49"/>
      <c r="DI42" s="49"/>
      <c r="DJ42" s="50">
        <f t="shared" si="25"/>
        <v>0</v>
      </c>
      <c r="DL42" s="49"/>
      <c r="DM42" s="49"/>
      <c r="DN42" s="50">
        <f t="shared" si="26"/>
        <v>0</v>
      </c>
      <c r="DP42" s="49"/>
      <c r="DQ42" s="49"/>
      <c r="DR42" s="50">
        <f t="shared" si="27"/>
        <v>0</v>
      </c>
      <c r="DT42" s="49"/>
      <c r="DU42" s="49"/>
      <c r="DV42" s="50">
        <f t="shared" si="28"/>
        <v>0</v>
      </c>
      <c r="DX42" s="49"/>
      <c r="DY42" s="49"/>
      <c r="DZ42" s="50">
        <f t="shared" si="29"/>
        <v>0</v>
      </c>
      <c r="EB42" s="49">
        <f t="shared" si="30"/>
        <v>0</v>
      </c>
      <c r="EC42" s="49">
        <f t="shared" si="30"/>
        <v>0</v>
      </c>
      <c r="ED42" s="49">
        <f t="shared" si="30"/>
        <v>0</v>
      </c>
    </row>
    <row r="43" spans="2:134" ht="11" customHeight="1" x14ac:dyDescent="0.35">
      <c r="B43" s="4">
        <v>106609</v>
      </c>
      <c r="C43" s="4" t="s">
        <v>49</v>
      </c>
      <c r="D43" s="4">
        <v>12</v>
      </c>
      <c r="E43" s="5">
        <v>24</v>
      </c>
      <c r="F43" s="6">
        <v>190.671775</v>
      </c>
      <c r="G43" s="7"/>
      <c r="H43" s="49"/>
      <c r="I43" s="49"/>
      <c r="J43" s="50">
        <f t="shared" si="31"/>
        <v>0</v>
      </c>
      <c r="K43" s="9"/>
      <c r="L43" s="49"/>
      <c r="M43" s="49"/>
      <c r="N43" s="50">
        <f t="shared" si="0"/>
        <v>0</v>
      </c>
      <c r="O43" s="46"/>
      <c r="P43" s="49"/>
      <c r="Q43" s="49"/>
      <c r="R43" s="50">
        <f t="shared" si="1"/>
        <v>0</v>
      </c>
      <c r="T43" s="49"/>
      <c r="U43" s="49"/>
      <c r="V43" s="50">
        <f t="shared" si="2"/>
        <v>0</v>
      </c>
      <c r="X43" s="49"/>
      <c r="Y43" s="49"/>
      <c r="Z43" s="50">
        <f t="shared" si="3"/>
        <v>0</v>
      </c>
      <c r="AB43" s="49"/>
      <c r="AC43" s="49"/>
      <c r="AD43" s="50">
        <f t="shared" si="4"/>
        <v>0</v>
      </c>
      <c r="AF43" s="49"/>
      <c r="AG43" s="49"/>
      <c r="AH43" s="50">
        <f t="shared" si="5"/>
        <v>0</v>
      </c>
      <c r="AJ43" s="49"/>
      <c r="AK43" s="49"/>
      <c r="AL43" s="50">
        <f t="shared" si="6"/>
        <v>0</v>
      </c>
      <c r="AN43" s="49"/>
      <c r="AO43" s="49"/>
      <c r="AP43" s="50">
        <f t="shared" si="7"/>
        <v>0</v>
      </c>
      <c r="AR43" s="49"/>
      <c r="AS43" s="49"/>
      <c r="AT43" s="50">
        <f t="shared" si="8"/>
        <v>0</v>
      </c>
      <c r="AV43" s="49"/>
      <c r="AW43" s="49"/>
      <c r="AX43" s="50">
        <f t="shared" si="9"/>
        <v>0</v>
      </c>
      <c r="AZ43" s="49"/>
      <c r="BA43" s="49"/>
      <c r="BB43" s="50">
        <f t="shared" si="10"/>
        <v>0</v>
      </c>
      <c r="BD43" s="49"/>
      <c r="BE43" s="49"/>
      <c r="BF43" s="50">
        <f t="shared" si="11"/>
        <v>0</v>
      </c>
      <c r="BH43" s="49"/>
      <c r="BI43" s="49"/>
      <c r="BJ43" s="50">
        <f t="shared" si="12"/>
        <v>0</v>
      </c>
      <c r="BL43" s="49"/>
      <c r="BM43" s="49"/>
      <c r="BN43" s="50">
        <f t="shared" si="13"/>
        <v>0</v>
      </c>
      <c r="BP43" s="49"/>
      <c r="BQ43" s="49"/>
      <c r="BR43" s="50">
        <f t="shared" si="14"/>
        <v>0</v>
      </c>
      <c r="BT43" s="49"/>
      <c r="BU43" s="49"/>
      <c r="BV43" s="50">
        <f t="shared" si="15"/>
        <v>0</v>
      </c>
      <c r="BX43" s="49"/>
      <c r="BY43" s="49"/>
      <c r="BZ43" s="50">
        <f t="shared" si="16"/>
        <v>0</v>
      </c>
      <c r="CB43" s="49"/>
      <c r="CC43" s="49"/>
      <c r="CD43" s="50">
        <f t="shared" si="17"/>
        <v>0</v>
      </c>
      <c r="CF43" s="49"/>
      <c r="CG43" s="49"/>
      <c r="CH43" s="50">
        <f t="shared" si="18"/>
        <v>0</v>
      </c>
      <c r="CJ43" s="49"/>
      <c r="CK43" s="49"/>
      <c r="CL43" s="50">
        <f t="shared" si="19"/>
        <v>0</v>
      </c>
      <c r="CN43" s="49"/>
      <c r="CO43" s="49"/>
      <c r="CP43" s="50">
        <f t="shared" si="20"/>
        <v>0</v>
      </c>
      <c r="CR43" s="49"/>
      <c r="CS43" s="49"/>
      <c r="CT43" s="50">
        <f t="shared" si="21"/>
        <v>0</v>
      </c>
      <c r="CV43" s="49"/>
      <c r="CW43" s="49"/>
      <c r="CX43" s="50">
        <f t="shared" si="22"/>
        <v>0</v>
      </c>
      <c r="CZ43" s="49"/>
      <c r="DA43" s="49"/>
      <c r="DB43" s="50">
        <f t="shared" si="23"/>
        <v>0</v>
      </c>
      <c r="DD43" s="49"/>
      <c r="DE43" s="49"/>
      <c r="DF43" s="50">
        <f t="shared" si="24"/>
        <v>0</v>
      </c>
      <c r="DH43" s="49"/>
      <c r="DI43" s="49"/>
      <c r="DJ43" s="50">
        <f t="shared" si="25"/>
        <v>0</v>
      </c>
      <c r="DL43" s="49"/>
      <c r="DM43" s="49"/>
      <c r="DN43" s="50">
        <f t="shared" si="26"/>
        <v>0</v>
      </c>
      <c r="DP43" s="49"/>
      <c r="DQ43" s="49"/>
      <c r="DR43" s="50">
        <f t="shared" si="27"/>
        <v>0</v>
      </c>
      <c r="DT43" s="49"/>
      <c r="DU43" s="49"/>
      <c r="DV43" s="50">
        <f t="shared" si="28"/>
        <v>0</v>
      </c>
      <c r="DX43" s="49"/>
      <c r="DY43" s="49"/>
      <c r="DZ43" s="50">
        <f t="shared" si="29"/>
        <v>0</v>
      </c>
      <c r="EB43" s="49">
        <f t="shared" si="30"/>
        <v>0</v>
      </c>
      <c r="EC43" s="49">
        <f t="shared" si="30"/>
        <v>0</v>
      </c>
      <c r="ED43" s="49">
        <f t="shared" si="30"/>
        <v>0</v>
      </c>
    </row>
    <row r="44" spans="2:134" ht="11" customHeight="1" x14ac:dyDescent="0.35">
      <c r="B44" s="4">
        <v>106611</v>
      </c>
      <c r="C44" s="4" t="s">
        <v>50</v>
      </c>
      <c r="D44" s="4">
        <v>12</v>
      </c>
      <c r="E44" s="5">
        <v>24</v>
      </c>
      <c r="F44" s="6">
        <v>190.671775</v>
      </c>
      <c r="G44" s="7"/>
      <c r="H44" s="49"/>
      <c r="I44" s="49"/>
      <c r="J44" s="50">
        <f t="shared" si="31"/>
        <v>0</v>
      </c>
      <c r="K44" s="9"/>
      <c r="L44" s="49"/>
      <c r="M44" s="49"/>
      <c r="N44" s="50">
        <f t="shared" si="0"/>
        <v>0</v>
      </c>
      <c r="O44" s="46"/>
      <c r="P44" s="49"/>
      <c r="Q44" s="49"/>
      <c r="R44" s="50">
        <f t="shared" si="1"/>
        <v>0</v>
      </c>
      <c r="T44" s="49"/>
      <c r="U44" s="49"/>
      <c r="V44" s="50">
        <f t="shared" si="2"/>
        <v>0</v>
      </c>
      <c r="X44" s="49"/>
      <c r="Y44" s="49"/>
      <c r="Z44" s="50">
        <f t="shared" si="3"/>
        <v>0</v>
      </c>
      <c r="AB44" s="49"/>
      <c r="AC44" s="49"/>
      <c r="AD44" s="50">
        <f t="shared" si="4"/>
        <v>0</v>
      </c>
      <c r="AF44" s="49"/>
      <c r="AG44" s="49"/>
      <c r="AH44" s="50">
        <f t="shared" si="5"/>
        <v>0</v>
      </c>
      <c r="AJ44" s="49"/>
      <c r="AK44" s="49"/>
      <c r="AL44" s="50">
        <f t="shared" si="6"/>
        <v>0</v>
      </c>
      <c r="AN44" s="49"/>
      <c r="AO44" s="49"/>
      <c r="AP44" s="50">
        <f t="shared" si="7"/>
        <v>0</v>
      </c>
      <c r="AR44" s="49"/>
      <c r="AS44" s="49"/>
      <c r="AT44" s="50">
        <f t="shared" si="8"/>
        <v>0</v>
      </c>
      <c r="AV44" s="49"/>
      <c r="AW44" s="49"/>
      <c r="AX44" s="50">
        <f t="shared" si="9"/>
        <v>0</v>
      </c>
      <c r="AZ44" s="49"/>
      <c r="BA44" s="49"/>
      <c r="BB44" s="50">
        <f t="shared" si="10"/>
        <v>0</v>
      </c>
      <c r="BD44" s="49"/>
      <c r="BE44" s="49"/>
      <c r="BF44" s="50">
        <f t="shared" si="11"/>
        <v>0</v>
      </c>
      <c r="BH44" s="49"/>
      <c r="BI44" s="49"/>
      <c r="BJ44" s="50">
        <f t="shared" si="12"/>
        <v>0</v>
      </c>
      <c r="BL44" s="49"/>
      <c r="BM44" s="49"/>
      <c r="BN44" s="50">
        <f t="shared" si="13"/>
        <v>0</v>
      </c>
      <c r="BP44" s="49"/>
      <c r="BQ44" s="49"/>
      <c r="BR44" s="50">
        <f t="shared" si="14"/>
        <v>0</v>
      </c>
      <c r="BT44" s="49"/>
      <c r="BU44" s="49"/>
      <c r="BV44" s="50">
        <f t="shared" si="15"/>
        <v>0</v>
      </c>
      <c r="BX44" s="49"/>
      <c r="BY44" s="49"/>
      <c r="BZ44" s="50">
        <f t="shared" si="16"/>
        <v>0</v>
      </c>
      <c r="CB44" s="49"/>
      <c r="CC44" s="49"/>
      <c r="CD44" s="50">
        <f t="shared" si="17"/>
        <v>0</v>
      </c>
      <c r="CF44" s="49"/>
      <c r="CG44" s="49"/>
      <c r="CH44" s="50">
        <f t="shared" si="18"/>
        <v>0</v>
      </c>
      <c r="CJ44" s="49"/>
      <c r="CK44" s="49"/>
      <c r="CL44" s="50">
        <f t="shared" si="19"/>
        <v>0</v>
      </c>
      <c r="CN44" s="49"/>
      <c r="CO44" s="49"/>
      <c r="CP44" s="50">
        <f t="shared" si="20"/>
        <v>0</v>
      </c>
      <c r="CR44" s="49"/>
      <c r="CS44" s="49"/>
      <c r="CT44" s="50">
        <f t="shared" si="21"/>
        <v>0</v>
      </c>
      <c r="CV44" s="49"/>
      <c r="CW44" s="49"/>
      <c r="CX44" s="50">
        <f t="shared" si="22"/>
        <v>0</v>
      </c>
      <c r="CZ44" s="49"/>
      <c r="DA44" s="49"/>
      <c r="DB44" s="50">
        <f t="shared" si="23"/>
        <v>0</v>
      </c>
      <c r="DD44" s="49"/>
      <c r="DE44" s="49"/>
      <c r="DF44" s="50">
        <f t="shared" si="24"/>
        <v>0</v>
      </c>
      <c r="DH44" s="49"/>
      <c r="DI44" s="49"/>
      <c r="DJ44" s="50">
        <f t="shared" si="25"/>
        <v>0</v>
      </c>
      <c r="DL44" s="49"/>
      <c r="DM44" s="49"/>
      <c r="DN44" s="50">
        <f t="shared" si="26"/>
        <v>0</v>
      </c>
      <c r="DP44" s="49"/>
      <c r="DQ44" s="49"/>
      <c r="DR44" s="50">
        <f t="shared" si="27"/>
        <v>0</v>
      </c>
      <c r="DT44" s="49"/>
      <c r="DU44" s="49"/>
      <c r="DV44" s="50">
        <f t="shared" si="28"/>
        <v>0</v>
      </c>
      <c r="DX44" s="49"/>
      <c r="DY44" s="49"/>
      <c r="DZ44" s="50">
        <f t="shared" si="29"/>
        <v>0</v>
      </c>
      <c r="EB44" s="49">
        <f t="shared" si="30"/>
        <v>0</v>
      </c>
      <c r="EC44" s="49">
        <f t="shared" si="30"/>
        <v>0</v>
      </c>
      <c r="ED44" s="49">
        <f t="shared" si="30"/>
        <v>0</v>
      </c>
    </row>
    <row r="45" spans="2:134" ht="11" customHeight="1" x14ac:dyDescent="0.35">
      <c r="B45" s="4">
        <v>106616</v>
      </c>
      <c r="C45" s="4" t="s">
        <v>51</v>
      </c>
      <c r="D45" s="4">
        <v>6</v>
      </c>
      <c r="E45" s="5">
        <v>12</v>
      </c>
      <c r="F45" s="6">
        <v>476.67968294000002</v>
      </c>
      <c r="G45" s="7"/>
      <c r="H45" s="49"/>
      <c r="I45" s="49"/>
      <c r="J45" s="50">
        <f t="shared" si="31"/>
        <v>0</v>
      </c>
      <c r="K45" s="9"/>
      <c r="L45" s="49"/>
      <c r="M45" s="49"/>
      <c r="N45" s="50">
        <f t="shared" si="0"/>
        <v>0</v>
      </c>
      <c r="O45" s="46"/>
      <c r="P45" s="49"/>
      <c r="Q45" s="49"/>
      <c r="R45" s="50">
        <f t="shared" si="1"/>
        <v>0</v>
      </c>
      <c r="T45" s="49"/>
      <c r="U45" s="49"/>
      <c r="V45" s="50">
        <f t="shared" si="2"/>
        <v>0</v>
      </c>
      <c r="X45" s="49"/>
      <c r="Y45" s="49"/>
      <c r="Z45" s="50">
        <f t="shared" si="3"/>
        <v>0</v>
      </c>
      <c r="AB45" s="49"/>
      <c r="AC45" s="49"/>
      <c r="AD45" s="50">
        <f t="shared" si="4"/>
        <v>0</v>
      </c>
      <c r="AF45" s="49"/>
      <c r="AG45" s="49"/>
      <c r="AH45" s="50">
        <f t="shared" si="5"/>
        <v>0</v>
      </c>
      <c r="AJ45" s="49"/>
      <c r="AK45" s="49"/>
      <c r="AL45" s="50">
        <f t="shared" si="6"/>
        <v>0</v>
      </c>
      <c r="AN45" s="49"/>
      <c r="AO45" s="49"/>
      <c r="AP45" s="50">
        <f t="shared" si="7"/>
        <v>0</v>
      </c>
      <c r="AR45" s="49"/>
      <c r="AS45" s="49"/>
      <c r="AT45" s="50">
        <f t="shared" si="8"/>
        <v>0</v>
      </c>
      <c r="AV45" s="49"/>
      <c r="AW45" s="49"/>
      <c r="AX45" s="50">
        <f t="shared" si="9"/>
        <v>0</v>
      </c>
      <c r="AZ45" s="49"/>
      <c r="BA45" s="49"/>
      <c r="BB45" s="50">
        <f t="shared" si="10"/>
        <v>0</v>
      </c>
      <c r="BD45" s="49"/>
      <c r="BE45" s="49"/>
      <c r="BF45" s="50">
        <f t="shared" si="11"/>
        <v>0</v>
      </c>
      <c r="BH45" s="49"/>
      <c r="BI45" s="49"/>
      <c r="BJ45" s="50">
        <f t="shared" si="12"/>
        <v>0</v>
      </c>
      <c r="BL45" s="49"/>
      <c r="BM45" s="49"/>
      <c r="BN45" s="50">
        <f t="shared" si="13"/>
        <v>0</v>
      </c>
      <c r="BP45" s="49"/>
      <c r="BQ45" s="49"/>
      <c r="BR45" s="50">
        <f t="shared" si="14"/>
        <v>0</v>
      </c>
      <c r="BT45" s="49"/>
      <c r="BU45" s="49"/>
      <c r="BV45" s="50">
        <f t="shared" si="15"/>
        <v>0</v>
      </c>
      <c r="BX45" s="49"/>
      <c r="BY45" s="49"/>
      <c r="BZ45" s="50">
        <f t="shared" si="16"/>
        <v>0</v>
      </c>
      <c r="CB45" s="49"/>
      <c r="CC45" s="49"/>
      <c r="CD45" s="50">
        <f t="shared" si="17"/>
        <v>0</v>
      </c>
      <c r="CF45" s="49"/>
      <c r="CG45" s="49"/>
      <c r="CH45" s="50">
        <f t="shared" si="18"/>
        <v>0</v>
      </c>
      <c r="CJ45" s="49"/>
      <c r="CK45" s="49"/>
      <c r="CL45" s="50">
        <f t="shared" si="19"/>
        <v>0</v>
      </c>
      <c r="CN45" s="49"/>
      <c r="CO45" s="49"/>
      <c r="CP45" s="50">
        <f t="shared" si="20"/>
        <v>0</v>
      </c>
      <c r="CR45" s="49"/>
      <c r="CS45" s="49"/>
      <c r="CT45" s="50">
        <f t="shared" si="21"/>
        <v>0</v>
      </c>
      <c r="CV45" s="49"/>
      <c r="CW45" s="49"/>
      <c r="CX45" s="50">
        <f t="shared" si="22"/>
        <v>0</v>
      </c>
      <c r="CZ45" s="49"/>
      <c r="DA45" s="49"/>
      <c r="DB45" s="50">
        <f t="shared" si="23"/>
        <v>0</v>
      </c>
      <c r="DD45" s="49"/>
      <c r="DE45" s="49"/>
      <c r="DF45" s="50">
        <f t="shared" si="24"/>
        <v>0</v>
      </c>
      <c r="DH45" s="49"/>
      <c r="DI45" s="49"/>
      <c r="DJ45" s="50">
        <f t="shared" si="25"/>
        <v>0</v>
      </c>
      <c r="DL45" s="49"/>
      <c r="DM45" s="49"/>
      <c r="DN45" s="50">
        <f t="shared" si="26"/>
        <v>0</v>
      </c>
      <c r="DP45" s="49"/>
      <c r="DQ45" s="49"/>
      <c r="DR45" s="50">
        <f t="shared" si="27"/>
        <v>0</v>
      </c>
      <c r="DT45" s="49"/>
      <c r="DU45" s="49"/>
      <c r="DV45" s="50">
        <f t="shared" si="28"/>
        <v>0</v>
      </c>
      <c r="DX45" s="49"/>
      <c r="DY45" s="49"/>
      <c r="DZ45" s="50">
        <f t="shared" si="29"/>
        <v>0</v>
      </c>
      <c r="EB45" s="49">
        <f t="shared" si="30"/>
        <v>0</v>
      </c>
      <c r="EC45" s="49">
        <f t="shared" si="30"/>
        <v>0</v>
      </c>
      <c r="ED45" s="49">
        <f t="shared" si="30"/>
        <v>0</v>
      </c>
    </row>
    <row r="46" spans="2:134" ht="11" customHeight="1" x14ac:dyDescent="0.35">
      <c r="B46" s="4">
        <v>106617</v>
      </c>
      <c r="C46" s="4" t="s">
        <v>52</v>
      </c>
      <c r="D46" s="4">
        <v>6</v>
      </c>
      <c r="E46" s="5">
        <v>12</v>
      </c>
      <c r="F46" s="6">
        <v>476.67968294000002</v>
      </c>
      <c r="G46" s="7"/>
      <c r="H46" s="49"/>
      <c r="I46" s="49"/>
      <c r="J46" s="50">
        <f t="shared" si="31"/>
        <v>0</v>
      </c>
      <c r="K46" s="9"/>
      <c r="L46" s="49"/>
      <c r="M46" s="49"/>
      <c r="N46" s="50">
        <f t="shared" si="0"/>
        <v>0</v>
      </c>
      <c r="O46" s="46"/>
      <c r="P46" s="49"/>
      <c r="Q46" s="49"/>
      <c r="R46" s="50">
        <f t="shared" si="1"/>
        <v>0</v>
      </c>
      <c r="T46" s="49"/>
      <c r="U46" s="49"/>
      <c r="V46" s="50">
        <f t="shared" si="2"/>
        <v>0</v>
      </c>
      <c r="X46" s="49"/>
      <c r="Y46" s="49"/>
      <c r="Z46" s="50">
        <f t="shared" si="3"/>
        <v>0</v>
      </c>
      <c r="AB46" s="49"/>
      <c r="AC46" s="49"/>
      <c r="AD46" s="50">
        <f t="shared" si="4"/>
        <v>0</v>
      </c>
      <c r="AF46" s="49"/>
      <c r="AG46" s="49"/>
      <c r="AH46" s="50">
        <f t="shared" si="5"/>
        <v>0</v>
      </c>
      <c r="AJ46" s="49"/>
      <c r="AK46" s="49"/>
      <c r="AL46" s="50">
        <f t="shared" si="6"/>
        <v>0</v>
      </c>
      <c r="AN46" s="49"/>
      <c r="AO46" s="49"/>
      <c r="AP46" s="50">
        <f t="shared" si="7"/>
        <v>0</v>
      </c>
      <c r="AR46" s="49"/>
      <c r="AS46" s="49"/>
      <c r="AT46" s="50">
        <f t="shared" si="8"/>
        <v>0</v>
      </c>
      <c r="AV46" s="49"/>
      <c r="AW46" s="49"/>
      <c r="AX46" s="50">
        <f t="shared" si="9"/>
        <v>0</v>
      </c>
      <c r="AZ46" s="49"/>
      <c r="BA46" s="49"/>
      <c r="BB46" s="50">
        <f t="shared" si="10"/>
        <v>0</v>
      </c>
      <c r="BD46" s="49"/>
      <c r="BE46" s="49"/>
      <c r="BF46" s="50">
        <f t="shared" si="11"/>
        <v>0</v>
      </c>
      <c r="BH46" s="49"/>
      <c r="BI46" s="49"/>
      <c r="BJ46" s="50">
        <f t="shared" si="12"/>
        <v>0</v>
      </c>
      <c r="BL46" s="49"/>
      <c r="BM46" s="49"/>
      <c r="BN46" s="50">
        <f t="shared" si="13"/>
        <v>0</v>
      </c>
      <c r="BP46" s="49"/>
      <c r="BQ46" s="49"/>
      <c r="BR46" s="50">
        <f t="shared" si="14"/>
        <v>0</v>
      </c>
      <c r="BT46" s="49"/>
      <c r="BU46" s="49"/>
      <c r="BV46" s="50">
        <f t="shared" si="15"/>
        <v>0</v>
      </c>
      <c r="BX46" s="49"/>
      <c r="BY46" s="49"/>
      <c r="BZ46" s="50">
        <f t="shared" si="16"/>
        <v>0</v>
      </c>
      <c r="CB46" s="49"/>
      <c r="CC46" s="49"/>
      <c r="CD46" s="50">
        <f t="shared" si="17"/>
        <v>0</v>
      </c>
      <c r="CF46" s="49"/>
      <c r="CG46" s="49"/>
      <c r="CH46" s="50">
        <f t="shared" si="18"/>
        <v>0</v>
      </c>
      <c r="CJ46" s="49"/>
      <c r="CK46" s="49"/>
      <c r="CL46" s="50">
        <f t="shared" si="19"/>
        <v>0</v>
      </c>
      <c r="CN46" s="49"/>
      <c r="CO46" s="49"/>
      <c r="CP46" s="50">
        <f t="shared" si="20"/>
        <v>0</v>
      </c>
      <c r="CR46" s="49"/>
      <c r="CS46" s="49"/>
      <c r="CT46" s="50">
        <f t="shared" si="21"/>
        <v>0</v>
      </c>
      <c r="CV46" s="49"/>
      <c r="CW46" s="49"/>
      <c r="CX46" s="50">
        <f t="shared" si="22"/>
        <v>0</v>
      </c>
      <c r="CZ46" s="49"/>
      <c r="DA46" s="49"/>
      <c r="DB46" s="50">
        <f t="shared" si="23"/>
        <v>0</v>
      </c>
      <c r="DD46" s="49"/>
      <c r="DE46" s="49"/>
      <c r="DF46" s="50">
        <f t="shared" si="24"/>
        <v>0</v>
      </c>
      <c r="DH46" s="49"/>
      <c r="DI46" s="49"/>
      <c r="DJ46" s="50">
        <f t="shared" si="25"/>
        <v>0</v>
      </c>
      <c r="DL46" s="49"/>
      <c r="DM46" s="49"/>
      <c r="DN46" s="50">
        <f t="shared" si="26"/>
        <v>0</v>
      </c>
      <c r="DP46" s="49"/>
      <c r="DQ46" s="49"/>
      <c r="DR46" s="50">
        <f t="shared" si="27"/>
        <v>0</v>
      </c>
      <c r="DT46" s="49"/>
      <c r="DU46" s="49"/>
      <c r="DV46" s="50">
        <f t="shared" si="28"/>
        <v>0</v>
      </c>
      <c r="DX46" s="49"/>
      <c r="DY46" s="49"/>
      <c r="DZ46" s="50">
        <f t="shared" si="29"/>
        <v>0</v>
      </c>
      <c r="EB46" s="49">
        <f t="shared" si="30"/>
        <v>0</v>
      </c>
      <c r="EC46" s="49">
        <f t="shared" si="30"/>
        <v>0</v>
      </c>
      <c r="ED46" s="49">
        <f t="shared" si="30"/>
        <v>0</v>
      </c>
    </row>
    <row r="47" spans="2:134" ht="11" customHeight="1" x14ac:dyDescent="0.35">
      <c r="B47" s="4">
        <v>106618</v>
      </c>
      <c r="C47" s="4" t="s">
        <v>53</v>
      </c>
      <c r="D47" s="4">
        <v>6</v>
      </c>
      <c r="E47" s="5">
        <v>12</v>
      </c>
      <c r="F47" s="6">
        <v>476.67968294000002</v>
      </c>
      <c r="G47" s="7"/>
      <c r="H47" s="49"/>
      <c r="I47" s="49"/>
      <c r="J47" s="50">
        <f t="shared" si="31"/>
        <v>0</v>
      </c>
      <c r="K47" s="9"/>
      <c r="L47" s="49"/>
      <c r="M47" s="49"/>
      <c r="N47" s="50">
        <f t="shared" si="0"/>
        <v>0</v>
      </c>
      <c r="O47" s="46"/>
      <c r="P47" s="49"/>
      <c r="Q47" s="49"/>
      <c r="R47" s="50">
        <f t="shared" si="1"/>
        <v>0</v>
      </c>
      <c r="T47" s="49"/>
      <c r="U47" s="49"/>
      <c r="V47" s="50">
        <f t="shared" si="2"/>
        <v>0</v>
      </c>
      <c r="X47" s="49"/>
      <c r="Y47" s="49"/>
      <c r="Z47" s="50">
        <f t="shared" si="3"/>
        <v>0</v>
      </c>
      <c r="AB47" s="49"/>
      <c r="AC47" s="49"/>
      <c r="AD47" s="50">
        <f t="shared" si="4"/>
        <v>0</v>
      </c>
      <c r="AF47" s="49"/>
      <c r="AG47" s="49"/>
      <c r="AH47" s="50">
        <f t="shared" si="5"/>
        <v>0</v>
      </c>
      <c r="AJ47" s="49"/>
      <c r="AK47" s="49"/>
      <c r="AL47" s="50">
        <f t="shared" si="6"/>
        <v>0</v>
      </c>
      <c r="AN47" s="49"/>
      <c r="AO47" s="49"/>
      <c r="AP47" s="50">
        <f t="shared" si="7"/>
        <v>0</v>
      </c>
      <c r="AR47" s="49"/>
      <c r="AS47" s="49"/>
      <c r="AT47" s="50">
        <f t="shared" si="8"/>
        <v>0</v>
      </c>
      <c r="AV47" s="49"/>
      <c r="AW47" s="49"/>
      <c r="AX47" s="50">
        <f t="shared" si="9"/>
        <v>0</v>
      </c>
      <c r="AZ47" s="49"/>
      <c r="BA47" s="49"/>
      <c r="BB47" s="50">
        <f t="shared" si="10"/>
        <v>0</v>
      </c>
      <c r="BD47" s="49"/>
      <c r="BE47" s="49"/>
      <c r="BF47" s="50">
        <f t="shared" si="11"/>
        <v>0</v>
      </c>
      <c r="BH47" s="49"/>
      <c r="BI47" s="49"/>
      <c r="BJ47" s="50">
        <f t="shared" si="12"/>
        <v>0</v>
      </c>
      <c r="BL47" s="49"/>
      <c r="BM47" s="49"/>
      <c r="BN47" s="50">
        <f t="shared" si="13"/>
        <v>0</v>
      </c>
      <c r="BP47" s="49"/>
      <c r="BQ47" s="49"/>
      <c r="BR47" s="50">
        <f t="shared" si="14"/>
        <v>0</v>
      </c>
      <c r="BT47" s="49"/>
      <c r="BU47" s="49"/>
      <c r="BV47" s="50">
        <f t="shared" si="15"/>
        <v>0</v>
      </c>
      <c r="BX47" s="49"/>
      <c r="BY47" s="49"/>
      <c r="BZ47" s="50">
        <f t="shared" si="16"/>
        <v>0</v>
      </c>
      <c r="CB47" s="49"/>
      <c r="CC47" s="49"/>
      <c r="CD47" s="50">
        <f t="shared" si="17"/>
        <v>0</v>
      </c>
      <c r="CF47" s="49"/>
      <c r="CG47" s="49"/>
      <c r="CH47" s="50">
        <f t="shared" si="18"/>
        <v>0</v>
      </c>
      <c r="CJ47" s="49"/>
      <c r="CK47" s="49"/>
      <c r="CL47" s="50">
        <f t="shared" si="19"/>
        <v>0</v>
      </c>
      <c r="CN47" s="49"/>
      <c r="CO47" s="49"/>
      <c r="CP47" s="50">
        <f t="shared" si="20"/>
        <v>0</v>
      </c>
      <c r="CR47" s="49"/>
      <c r="CS47" s="49"/>
      <c r="CT47" s="50">
        <f t="shared" si="21"/>
        <v>0</v>
      </c>
      <c r="CV47" s="49"/>
      <c r="CW47" s="49"/>
      <c r="CX47" s="50">
        <f t="shared" si="22"/>
        <v>0</v>
      </c>
      <c r="CZ47" s="49"/>
      <c r="DA47" s="49"/>
      <c r="DB47" s="50">
        <f t="shared" si="23"/>
        <v>0</v>
      </c>
      <c r="DD47" s="49"/>
      <c r="DE47" s="49"/>
      <c r="DF47" s="50">
        <f t="shared" si="24"/>
        <v>0</v>
      </c>
      <c r="DH47" s="49"/>
      <c r="DI47" s="49"/>
      <c r="DJ47" s="50">
        <f t="shared" si="25"/>
        <v>0</v>
      </c>
      <c r="DL47" s="49"/>
      <c r="DM47" s="49"/>
      <c r="DN47" s="50">
        <f t="shared" si="26"/>
        <v>0</v>
      </c>
      <c r="DP47" s="49"/>
      <c r="DQ47" s="49"/>
      <c r="DR47" s="50">
        <f t="shared" si="27"/>
        <v>0</v>
      </c>
      <c r="DT47" s="49"/>
      <c r="DU47" s="49"/>
      <c r="DV47" s="50">
        <f t="shared" si="28"/>
        <v>0</v>
      </c>
      <c r="DX47" s="49"/>
      <c r="DY47" s="49"/>
      <c r="DZ47" s="50">
        <f t="shared" si="29"/>
        <v>0</v>
      </c>
      <c r="EB47" s="49">
        <f t="shared" si="30"/>
        <v>0</v>
      </c>
      <c r="EC47" s="49">
        <f t="shared" si="30"/>
        <v>0</v>
      </c>
      <c r="ED47" s="49">
        <f t="shared" si="30"/>
        <v>0</v>
      </c>
    </row>
    <row r="48" spans="2:134" ht="11" customHeight="1" x14ac:dyDescent="0.35">
      <c r="B48" s="4">
        <v>106620</v>
      </c>
      <c r="C48" s="4" t="s">
        <v>54</v>
      </c>
      <c r="D48" s="4">
        <v>12</v>
      </c>
      <c r="E48" s="5">
        <v>12</v>
      </c>
      <c r="F48" s="6">
        <v>468.865061078</v>
      </c>
      <c r="G48" s="7"/>
      <c r="H48" s="49"/>
      <c r="I48" s="49"/>
      <c r="J48" s="50">
        <f t="shared" si="31"/>
        <v>0</v>
      </c>
      <c r="K48" s="9"/>
      <c r="L48" s="49"/>
      <c r="M48" s="49"/>
      <c r="N48" s="50">
        <f t="shared" si="0"/>
        <v>0</v>
      </c>
      <c r="O48" s="46"/>
      <c r="P48" s="49"/>
      <c r="Q48" s="49"/>
      <c r="R48" s="50">
        <f t="shared" si="1"/>
        <v>0</v>
      </c>
      <c r="T48" s="49"/>
      <c r="U48" s="49"/>
      <c r="V48" s="50">
        <f t="shared" si="2"/>
        <v>0</v>
      </c>
      <c r="X48" s="49"/>
      <c r="Y48" s="49"/>
      <c r="Z48" s="50">
        <f t="shared" si="3"/>
        <v>0</v>
      </c>
      <c r="AB48" s="49"/>
      <c r="AC48" s="49"/>
      <c r="AD48" s="50">
        <f t="shared" si="4"/>
        <v>0</v>
      </c>
      <c r="AF48" s="49"/>
      <c r="AG48" s="49"/>
      <c r="AH48" s="50">
        <f t="shared" si="5"/>
        <v>0</v>
      </c>
      <c r="AJ48" s="49"/>
      <c r="AK48" s="49"/>
      <c r="AL48" s="50">
        <f t="shared" si="6"/>
        <v>0</v>
      </c>
      <c r="AN48" s="49"/>
      <c r="AO48" s="49"/>
      <c r="AP48" s="50">
        <f t="shared" si="7"/>
        <v>0</v>
      </c>
      <c r="AR48" s="49"/>
      <c r="AS48" s="49"/>
      <c r="AT48" s="50">
        <f t="shared" si="8"/>
        <v>0</v>
      </c>
      <c r="AV48" s="49"/>
      <c r="AW48" s="49"/>
      <c r="AX48" s="50">
        <f t="shared" si="9"/>
        <v>0</v>
      </c>
      <c r="AZ48" s="49"/>
      <c r="BA48" s="49"/>
      <c r="BB48" s="50">
        <f t="shared" si="10"/>
        <v>0</v>
      </c>
      <c r="BD48" s="49"/>
      <c r="BE48" s="49"/>
      <c r="BF48" s="50">
        <f t="shared" si="11"/>
        <v>0</v>
      </c>
      <c r="BH48" s="49"/>
      <c r="BI48" s="49"/>
      <c r="BJ48" s="50">
        <f t="shared" si="12"/>
        <v>0</v>
      </c>
      <c r="BL48" s="49"/>
      <c r="BM48" s="49"/>
      <c r="BN48" s="50">
        <f t="shared" si="13"/>
        <v>0</v>
      </c>
      <c r="BP48" s="49"/>
      <c r="BQ48" s="49"/>
      <c r="BR48" s="50">
        <f t="shared" si="14"/>
        <v>0</v>
      </c>
      <c r="BT48" s="49"/>
      <c r="BU48" s="49"/>
      <c r="BV48" s="50">
        <f t="shared" si="15"/>
        <v>0</v>
      </c>
      <c r="BX48" s="49"/>
      <c r="BY48" s="49"/>
      <c r="BZ48" s="50">
        <f t="shared" si="16"/>
        <v>0</v>
      </c>
      <c r="CB48" s="49"/>
      <c r="CC48" s="49"/>
      <c r="CD48" s="50">
        <f t="shared" si="17"/>
        <v>0</v>
      </c>
      <c r="CF48" s="49"/>
      <c r="CG48" s="49"/>
      <c r="CH48" s="50">
        <f t="shared" si="18"/>
        <v>0</v>
      </c>
      <c r="CJ48" s="49"/>
      <c r="CK48" s="49"/>
      <c r="CL48" s="50">
        <f t="shared" si="19"/>
        <v>0</v>
      </c>
      <c r="CN48" s="49"/>
      <c r="CO48" s="49"/>
      <c r="CP48" s="50">
        <f t="shared" si="20"/>
        <v>0</v>
      </c>
      <c r="CR48" s="49"/>
      <c r="CS48" s="49"/>
      <c r="CT48" s="50">
        <f t="shared" si="21"/>
        <v>0</v>
      </c>
      <c r="CV48" s="49"/>
      <c r="CW48" s="49"/>
      <c r="CX48" s="50">
        <f t="shared" si="22"/>
        <v>0</v>
      </c>
      <c r="CZ48" s="49"/>
      <c r="DA48" s="49"/>
      <c r="DB48" s="50">
        <f t="shared" si="23"/>
        <v>0</v>
      </c>
      <c r="DD48" s="49"/>
      <c r="DE48" s="49"/>
      <c r="DF48" s="50">
        <f t="shared" si="24"/>
        <v>0</v>
      </c>
      <c r="DH48" s="49"/>
      <c r="DI48" s="49"/>
      <c r="DJ48" s="50">
        <f t="shared" si="25"/>
        <v>0</v>
      </c>
      <c r="DL48" s="49"/>
      <c r="DM48" s="49"/>
      <c r="DN48" s="50">
        <f t="shared" si="26"/>
        <v>0</v>
      </c>
      <c r="DP48" s="49"/>
      <c r="DQ48" s="49"/>
      <c r="DR48" s="50">
        <f t="shared" si="27"/>
        <v>0</v>
      </c>
      <c r="DT48" s="49"/>
      <c r="DU48" s="49"/>
      <c r="DV48" s="50">
        <f t="shared" si="28"/>
        <v>0</v>
      </c>
      <c r="DX48" s="49"/>
      <c r="DY48" s="49"/>
      <c r="DZ48" s="50">
        <f t="shared" si="29"/>
        <v>0</v>
      </c>
      <c r="EB48" s="49">
        <f t="shared" si="30"/>
        <v>0</v>
      </c>
      <c r="EC48" s="49">
        <f t="shared" si="30"/>
        <v>0</v>
      </c>
      <c r="ED48" s="49">
        <f t="shared" si="30"/>
        <v>0</v>
      </c>
    </row>
    <row r="49" spans="2:134" ht="11" customHeight="1" x14ac:dyDescent="0.35">
      <c r="B49" s="4">
        <v>106622</v>
      </c>
      <c r="C49" s="4" t="s">
        <v>55</v>
      </c>
      <c r="D49" s="4">
        <v>12</v>
      </c>
      <c r="E49" s="5">
        <v>12</v>
      </c>
      <c r="F49" s="6">
        <v>468.865061078</v>
      </c>
      <c r="G49" s="7"/>
      <c r="H49" s="49"/>
      <c r="I49" s="49"/>
      <c r="J49" s="50">
        <f t="shared" si="31"/>
        <v>0</v>
      </c>
      <c r="K49" s="9"/>
      <c r="L49" s="49"/>
      <c r="M49" s="49"/>
      <c r="N49" s="50">
        <f t="shared" si="0"/>
        <v>0</v>
      </c>
      <c r="O49" s="46"/>
      <c r="P49" s="49"/>
      <c r="Q49" s="49"/>
      <c r="R49" s="50">
        <f t="shared" si="1"/>
        <v>0</v>
      </c>
      <c r="T49" s="49"/>
      <c r="U49" s="49"/>
      <c r="V49" s="50">
        <f t="shared" si="2"/>
        <v>0</v>
      </c>
      <c r="X49" s="49"/>
      <c r="Y49" s="49"/>
      <c r="Z49" s="50">
        <f t="shared" si="3"/>
        <v>0</v>
      </c>
      <c r="AB49" s="49"/>
      <c r="AC49" s="49"/>
      <c r="AD49" s="50">
        <f t="shared" si="4"/>
        <v>0</v>
      </c>
      <c r="AF49" s="49"/>
      <c r="AG49" s="49"/>
      <c r="AH49" s="50">
        <f t="shared" si="5"/>
        <v>0</v>
      </c>
      <c r="AJ49" s="49"/>
      <c r="AK49" s="49"/>
      <c r="AL49" s="50">
        <f t="shared" si="6"/>
        <v>0</v>
      </c>
      <c r="AN49" s="49"/>
      <c r="AO49" s="49"/>
      <c r="AP49" s="50">
        <f t="shared" si="7"/>
        <v>0</v>
      </c>
      <c r="AR49" s="49"/>
      <c r="AS49" s="49"/>
      <c r="AT49" s="50">
        <f t="shared" si="8"/>
        <v>0</v>
      </c>
      <c r="AV49" s="49"/>
      <c r="AW49" s="49"/>
      <c r="AX49" s="50">
        <f t="shared" si="9"/>
        <v>0</v>
      </c>
      <c r="AZ49" s="49"/>
      <c r="BA49" s="49"/>
      <c r="BB49" s="50">
        <f t="shared" si="10"/>
        <v>0</v>
      </c>
      <c r="BD49" s="49"/>
      <c r="BE49" s="49"/>
      <c r="BF49" s="50">
        <f t="shared" si="11"/>
        <v>0</v>
      </c>
      <c r="BH49" s="49"/>
      <c r="BI49" s="49"/>
      <c r="BJ49" s="50">
        <f t="shared" si="12"/>
        <v>0</v>
      </c>
      <c r="BL49" s="49"/>
      <c r="BM49" s="49"/>
      <c r="BN49" s="50">
        <f t="shared" si="13"/>
        <v>0</v>
      </c>
      <c r="BP49" s="49"/>
      <c r="BQ49" s="49"/>
      <c r="BR49" s="50">
        <f t="shared" si="14"/>
        <v>0</v>
      </c>
      <c r="BT49" s="49"/>
      <c r="BU49" s="49"/>
      <c r="BV49" s="50">
        <f t="shared" si="15"/>
        <v>0</v>
      </c>
      <c r="BX49" s="49"/>
      <c r="BY49" s="49"/>
      <c r="BZ49" s="50">
        <f t="shared" si="16"/>
        <v>0</v>
      </c>
      <c r="CB49" s="49"/>
      <c r="CC49" s="49"/>
      <c r="CD49" s="50">
        <f t="shared" si="17"/>
        <v>0</v>
      </c>
      <c r="CF49" s="49"/>
      <c r="CG49" s="49"/>
      <c r="CH49" s="50">
        <f t="shared" si="18"/>
        <v>0</v>
      </c>
      <c r="CJ49" s="49"/>
      <c r="CK49" s="49"/>
      <c r="CL49" s="50">
        <f t="shared" si="19"/>
        <v>0</v>
      </c>
      <c r="CN49" s="49"/>
      <c r="CO49" s="49"/>
      <c r="CP49" s="50">
        <f t="shared" si="20"/>
        <v>0</v>
      </c>
      <c r="CR49" s="49"/>
      <c r="CS49" s="49"/>
      <c r="CT49" s="50">
        <f t="shared" si="21"/>
        <v>0</v>
      </c>
      <c r="CV49" s="49"/>
      <c r="CW49" s="49"/>
      <c r="CX49" s="50">
        <f t="shared" si="22"/>
        <v>0</v>
      </c>
      <c r="CZ49" s="49"/>
      <c r="DA49" s="49"/>
      <c r="DB49" s="50">
        <f t="shared" si="23"/>
        <v>0</v>
      </c>
      <c r="DD49" s="49"/>
      <c r="DE49" s="49"/>
      <c r="DF49" s="50">
        <f t="shared" si="24"/>
        <v>0</v>
      </c>
      <c r="DH49" s="49"/>
      <c r="DI49" s="49"/>
      <c r="DJ49" s="50">
        <f t="shared" si="25"/>
        <v>0</v>
      </c>
      <c r="DL49" s="49"/>
      <c r="DM49" s="49"/>
      <c r="DN49" s="50">
        <f t="shared" si="26"/>
        <v>0</v>
      </c>
      <c r="DP49" s="49"/>
      <c r="DQ49" s="49"/>
      <c r="DR49" s="50">
        <f t="shared" si="27"/>
        <v>0</v>
      </c>
      <c r="DT49" s="49"/>
      <c r="DU49" s="49"/>
      <c r="DV49" s="50">
        <f t="shared" si="28"/>
        <v>0</v>
      </c>
      <c r="DX49" s="49"/>
      <c r="DY49" s="49"/>
      <c r="DZ49" s="50">
        <f t="shared" si="29"/>
        <v>0</v>
      </c>
      <c r="EB49" s="49">
        <f t="shared" si="30"/>
        <v>0</v>
      </c>
      <c r="EC49" s="49">
        <f t="shared" si="30"/>
        <v>0</v>
      </c>
      <c r="ED49" s="49">
        <f t="shared" si="30"/>
        <v>0</v>
      </c>
    </row>
    <row r="50" spans="2:134" ht="11" customHeight="1" x14ac:dyDescent="0.35">
      <c r="B50" s="4">
        <v>107013</v>
      </c>
      <c r="C50" s="4" t="s">
        <v>56</v>
      </c>
      <c r="D50" s="4">
        <v>1</v>
      </c>
      <c r="E50" s="5">
        <v>24</v>
      </c>
      <c r="F50" s="6">
        <v>197.18624064799999</v>
      </c>
      <c r="G50" s="7"/>
      <c r="H50" s="49"/>
      <c r="I50" s="49"/>
      <c r="J50" s="50">
        <f t="shared" si="31"/>
        <v>0</v>
      </c>
      <c r="K50" s="9"/>
      <c r="L50" s="49"/>
      <c r="M50" s="49"/>
      <c r="N50" s="50">
        <f t="shared" si="0"/>
        <v>0</v>
      </c>
      <c r="O50" s="46"/>
      <c r="P50" s="49"/>
      <c r="Q50" s="49"/>
      <c r="R50" s="50">
        <f t="shared" si="1"/>
        <v>0</v>
      </c>
      <c r="T50" s="49"/>
      <c r="U50" s="49"/>
      <c r="V50" s="50">
        <f t="shared" si="2"/>
        <v>0</v>
      </c>
      <c r="X50" s="49"/>
      <c r="Y50" s="49"/>
      <c r="Z50" s="50">
        <f t="shared" si="3"/>
        <v>0</v>
      </c>
      <c r="AB50" s="49"/>
      <c r="AC50" s="49"/>
      <c r="AD50" s="50">
        <f t="shared" si="4"/>
        <v>0</v>
      </c>
      <c r="AF50" s="49"/>
      <c r="AG50" s="49"/>
      <c r="AH50" s="50">
        <f t="shared" si="5"/>
        <v>0</v>
      </c>
      <c r="AJ50" s="49"/>
      <c r="AK50" s="49"/>
      <c r="AL50" s="50">
        <f t="shared" si="6"/>
        <v>0</v>
      </c>
      <c r="AN50" s="49"/>
      <c r="AO50" s="49"/>
      <c r="AP50" s="50">
        <f t="shared" si="7"/>
        <v>0</v>
      </c>
      <c r="AR50" s="49"/>
      <c r="AS50" s="49"/>
      <c r="AT50" s="50">
        <f t="shared" si="8"/>
        <v>0</v>
      </c>
      <c r="AV50" s="49"/>
      <c r="AW50" s="49"/>
      <c r="AX50" s="50">
        <f t="shared" si="9"/>
        <v>0</v>
      </c>
      <c r="AZ50" s="49"/>
      <c r="BA50" s="49"/>
      <c r="BB50" s="50">
        <f t="shared" si="10"/>
        <v>0</v>
      </c>
      <c r="BD50" s="49"/>
      <c r="BE50" s="49"/>
      <c r="BF50" s="50">
        <f t="shared" si="11"/>
        <v>0</v>
      </c>
      <c r="BH50" s="49"/>
      <c r="BI50" s="49"/>
      <c r="BJ50" s="50">
        <f t="shared" si="12"/>
        <v>0</v>
      </c>
      <c r="BL50" s="49"/>
      <c r="BM50" s="49"/>
      <c r="BN50" s="50">
        <f t="shared" si="13"/>
        <v>0</v>
      </c>
      <c r="BP50" s="49"/>
      <c r="BQ50" s="49"/>
      <c r="BR50" s="50">
        <f t="shared" si="14"/>
        <v>0</v>
      </c>
      <c r="BT50" s="49"/>
      <c r="BU50" s="49"/>
      <c r="BV50" s="50">
        <f t="shared" si="15"/>
        <v>0</v>
      </c>
      <c r="BX50" s="49"/>
      <c r="BY50" s="49"/>
      <c r="BZ50" s="50">
        <f t="shared" si="16"/>
        <v>0</v>
      </c>
      <c r="CB50" s="49"/>
      <c r="CC50" s="49"/>
      <c r="CD50" s="50">
        <f t="shared" si="17"/>
        <v>0</v>
      </c>
      <c r="CF50" s="49"/>
      <c r="CG50" s="49"/>
      <c r="CH50" s="50">
        <f t="shared" si="18"/>
        <v>0</v>
      </c>
      <c r="CJ50" s="49"/>
      <c r="CK50" s="49"/>
      <c r="CL50" s="50">
        <f t="shared" si="19"/>
        <v>0</v>
      </c>
      <c r="CN50" s="49"/>
      <c r="CO50" s="49"/>
      <c r="CP50" s="50">
        <f t="shared" si="20"/>
        <v>0</v>
      </c>
      <c r="CR50" s="49"/>
      <c r="CS50" s="49"/>
      <c r="CT50" s="50">
        <f t="shared" si="21"/>
        <v>0</v>
      </c>
      <c r="CV50" s="49"/>
      <c r="CW50" s="49"/>
      <c r="CX50" s="50">
        <f t="shared" si="22"/>
        <v>0</v>
      </c>
      <c r="CZ50" s="49"/>
      <c r="DA50" s="49"/>
      <c r="DB50" s="50">
        <f t="shared" si="23"/>
        <v>0</v>
      </c>
      <c r="DD50" s="49"/>
      <c r="DE50" s="49"/>
      <c r="DF50" s="50">
        <f t="shared" si="24"/>
        <v>0</v>
      </c>
      <c r="DH50" s="49"/>
      <c r="DI50" s="49"/>
      <c r="DJ50" s="50">
        <f t="shared" si="25"/>
        <v>0</v>
      </c>
      <c r="DL50" s="49"/>
      <c r="DM50" s="49"/>
      <c r="DN50" s="50">
        <f t="shared" si="26"/>
        <v>0</v>
      </c>
      <c r="DP50" s="49"/>
      <c r="DQ50" s="49"/>
      <c r="DR50" s="50">
        <f t="shared" si="27"/>
        <v>0</v>
      </c>
      <c r="DT50" s="49"/>
      <c r="DU50" s="49"/>
      <c r="DV50" s="50">
        <f t="shared" si="28"/>
        <v>0</v>
      </c>
      <c r="DX50" s="49"/>
      <c r="DY50" s="49"/>
      <c r="DZ50" s="50">
        <f t="shared" si="29"/>
        <v>0</v>
      </c>
      <c r="EB50" s="49">
        <f t="shared" si="30"/>
        <v>0</v>
      </c>
      <c r="EC50" s="49">
        <f t="shared" si="30"/>
        <v>0</v>
      </c>
      <c r="ED50" s="49">
        <f t="shared" si="30"/>
        <v>0</v>
      </c>
    </row>
    <row r="51" spans="2:134" ht="11" customHeight="1" x14ac:dyDescent="0.35">
      <c r="B51" s="4">
        <v>107017</v>
      </c>
      <c r="C51" s="4" t="s">
        <v>57</v>
      </c>
      <c r="D51" s="4">
        <v>100</v>
      </c>
      <c r="E51" s="5">
        <v>12</v>
      </c>
      <c r="F51" s="6">
        <v>801.89063294000005</v>
      </c>
      <c r="G51" s="7"/>
      <c r="H51" s="49"/>
      <c r="I51" s="49"/>
      <c r="J51" s="50">
        <f t="shared" si="31"/>
        <v>0</v>
      </c>
      <c r="K51" s="9"/>
      <c r="L51" s="49"/>
      <c r="M51" s="49"/>
      <c r="N51" s="50">
        <f t="shared" si="0"/>
        <v>0</v>
      </c>
      <c r="O51" s="46"/>
      <c r="P51" s="49"/>
      <c r="Q51" s="49"/>
      <c r="R51" s="50">
        <f t="shared" si="1"/>
        <v>0</v>
      </c>
      <c r="T51" s="49"/>
      <c r="U51" s="49"/>
      <c r="V51" s="50">
        <f t="shared" si="2"/>
        <v>0</v>
      </c>
      <c r="X51" s="49"/>
      <c r="Y51" s="49"/>
      <c r="Z51" s="50">
        <f t="shared" si="3"/>
        <v>0</v>
      </c>
      <c r="AB51" s="49"/>
      <c r="AC51" s="49"/>
      <c r="AD51" s="50">
        <f t="shared" si="4"/>
        <v>0</v>
      </c>
      <c r="AF51" s="49"/>
      <c r="AG51" s="49"/>
      <c r="AH51" s="50">
        <f t="shared" si="5"/>
        <v>0</v>
      </c>
      <c r="AJ51" s="49"/>
      <c r="AK51" s="49"/>
      <c r="AL51" s="50">
        <f t="shared" si="6"/>
        <v>0</v>
      </c>
      <c r="AN51" s="49"/>
      <c r="AO51" s="49"/>
      <c r="AP51" s="50">
        <f t="shared" si="7"/>
        <v>0</v>
      </c>
      <c r="AR51" s="49"/>
      <c r="AS51" s="49"/>
      <c r="AT51" s="50">
        <f t="shared" si="8"/>
        <v>0</v>
      </c>
      <c r="AV51" s="49"/>
      <c r="AW51" s="49"/>
      <c r="AX51" s="50">
        <f t="shared" si="9"/>
        <v>0</v>
      </c>
      <c r="AZ51" s="49"/>
      <c r="BA51" s="49"/>
      <c r="BB51" s="50">
        <f t="shared" si="10"/>
        <v>0</v>
      </c>
      <c r="BD51" s="49"/>
      <c r="BE51" s="49"/>
      <c r="BF51" s="50">
        <f t="shared" si="11"/>
        <v>0</v>
      </c>
      <c r="BH51" s="49"/>
      <c r="BI51" s="49"/>
      <c r="BJ51" s="50">
        <f t="shared" si="12"/>
        <v>0</v>
      </c>
      <c r="BL51" s="49"/>
      <c r="BM51" s="49"/>
      <c r="BN51" s="50">
        <f t="shared" si="13"/>
        <v>0</v>
      </c>
      <c r="BP51" s="49"/>
      <c r="BQ51" s="49"/>
      <c r="BR51" s="50">
        <f t="shared" si="14"/>
        <v>0</v>
      </c>
      <c r="BT51" s="49"/>
      <c r="BU51" s="49"/>
      <c r="BV51" s="50">
        <f t="shared" si="15"/>
        <v>0</v>
      </c>
      <c r="BX51" s="49"/>
      <c r="BY51" s="49"/>
      <c r="BZ51" s="50">
        <f t="shared" si="16"/>
        <v>0</v>
      </c>
      <c r="CB51" s="49"/>
      <c r="CC51" s="49"/>
      <c r="CD51" s="50">
        <f t="shared" si="17"/>
        <v>0</v>
      </c>
      <c r="CF51" s="49"/>
      <c r="CG51" s="49"/>
      <c r="CH51" s="50">
        <f t="shared" si="18"/>
        <v>0</v>
      </c>
      <c r="CJ51" s="49"/>
      <c r="CK51" s="49"/>
      <c r="CL51" s="50">
        <f t="shared" si="19"/>
        <v>0</v>
      </c>
      <c r="CN51" s="49"/>
      <c r="CO51" s="49"/>
      <c r="CP51" s="50">
        <f t="shared" si="20"/>
        <v>0</v>
      </c>
      <c r="CR51" s="49"/>
      <c r="CS51" s="49"/>
      <c r="CT51" s="50">
        <f t="shared" si="21"/>
        <v>0</v>
      </c>
      <c r="CV51" s="49"/>
      <c r="CW51" s="49"/>
      <c r="CX51" s="50">
        <f t="shared" si="22"/>
        <v>0</v>
      </c>
      <c r="CZ51" s="49"/>
      <c r="DA51" s="49"/>
      <c r="DB51" s="50">
        <f t="shared" si="23"/>
        <v>0</v>
      </c>
      <c r="DD51" s="49"/>
      <c r="DE51" s="49"/>
      <c r="DF51" s="50">
        <f t="shared" si="24"/>
        <v>0</v>
      </c>
      <c r="DH51" s="49"/>
      <c r="DI51" s="49"/>
      <c r="DJ51" s="50">
        <f t="shared" si="25"/>
        <v>0</v>
      </c>
      <c r="DL51" s="49"/>
      <c r="DM51" s="49"/>
      <c r="DN51" s="50">
        <f t="shared" si="26"/>
        <v>0</v>
      </c>
      <c r="DP51" s="49"/>
      <c r="DQ51" s="49"/>
      <c r="DR51" s="50">
        <f t="shared" si="27"/>
        <v>0</v>
      </c>
      <c r="DT51" s="49"/>
      <c r="DU51" s="49"/>
      <c r="DV51" s="50">
        <f t="shared" si="28"/>
        <v>0</v>
      </c>
      <c r="DX51" s="49"/>
      <c r="DY51" s="49"/>
      <c r="DZ51" s="50">
        <f t="shared" si="29"/>
        <v>0</v>
      </c>
      <c r="EB51" s="49">
        <f t="shared" si="30"/>
        <v>0</v>
      </c>
      <c r="EC51" s="49">
        <f t="shared" si="30"/>
        <v>0</v>
      </c>
      <c r="ED51" s="49">
        <f t="shared" si="30"/>
        <v>0</v>
      </c>
    </row>
    <row r="52" spans="2:134" ht="11" customHeight="1" x14ac:dyDescent="0.35">
      <c r="B52" s="4">
        <v>107511</v>
      </c>
      <c r="C52" s="4" t="s">
        <v>58</v>
      </c>
      <c r="D52" s="4">
        <v>12</v>
      </c>
      <c r="E52" s="5">
        <v>24</v>
      </c>
      <c r="F52" s="6">
        <v>288.68257499999999</v>
      </c>
      <c r="G52" s="7"/>
      <c r="H52" s="49"/>
      <c r="I52" s="49"/>
      <c r="J52" s="50">
        <f t="shared" si="31"/>
        <v>0</v>
      </c>
      <c r="K52" s="9"/>
      <c r="L52" s="49"/>
      <c r="M52" s="49"/>
      <c r="N52" s="50">
        <f t="shared" si="0"/>
        <v>0</v>
      </c>
      <c r="O52" s="46"/>
      <c r="P52" s="49"/>
      <c r="Q52" s="49"/>
      <c r="R52" s="50">
        <f t="shared" si="1"/>
        <v>0</v>
      </c>
      <c r="T52" s="49"/>
      <c r="U52" s="49"/>
      <c r="V52" s="50">
        <f t="shared" si="2"/>
        <v>0</v>
      </c>
      <c r="X52" s="49"/>
      <c r="Y52" s="49"/>
      <c r="Z52" s="50">
        <f t="shared" si="3"/>
        <v>0</v>
      </c>
      <c r="AB52" s="49"/>
      <c r="AC52" s="49"/>
      <c r="AD52" s="50">
        <f t="shared" si="4"/>
        <v>0</v>
      </c>
      <c r="AF52" s="49"/>
      <c r="AG52" s="49"/>
      <c r="AH52" s="50">
        <f t="shared" si="5"/>
        <v>0</v>
      </c>
      <c r="AJ52" s="49"/>
      <c r="AK52" s="49"/>
      <c r="AL52" s="50">
        <f t="shared" si="6"/>
        <v>0</v>
      </c>
      <c r="AN52" s="49"/>
      <c r="AO52" s="49"/>
      <c r="AP52" s="50">
        <f t="shared" si="7"/>
        <v>0</v>
      </c>
      <c r="AR52" s="49"/>
      <c r="AS52" s="49"/>
      <c r="AT52" s="50">
        <f t="shared" si="8"/>
        <v>0</v>
      </c>
      <c r="AV52" s="49"/>
      <c r="AW52" s="49"/>
      <c r="AX52" s="50">
        <f t="shared" si="9"/>
        <v>0</v>
      </c>
      <c r="AZ52" s="49"/>
      <c r="BA52" s="49"/>
      <c r="BB52" s="50">
        <f t="shared" si="10"/>
        <v>0</v>
      </c>
      <c r="BD52" s="49"/>
      <c r="BE52" s="49"/>
      <c r="BF52" s="50">
        <f t="shared" si="11"/>
        <v>0</v>
      </c>
      <c r="BH52" s="49"/>
      <c r="BI52" s="49"/>
      <c r="BJ52" s="50">
        <f t="shared" si="12"/>
        <v>0</v>
      </c>
      <c r="BL52" s="49"/>
      <c r="BM52" s="49"/>
      <c r="BN52" s="50">
        <f t="shared" si="13"/>
        <v>0</v>
      </c>
      <c r="BP52" s="49"/>
      <c r="BQ52" s="49"/>
      <c r="BR52" s="50">
        <f t="shared" si="14"/>
        <v>0</v>
      </c>
      <c r="BT52" s="49"/>
      <c r="BU52" s="49"/>
      <c r="BV52" s="50">
        <f t="shared" si="15"/>
        <v>0</v>
      </c>
      <c r="BX52" s="49"/>
      <c r="BY52" s="49"/>
      <c r="BZ52" s="50">
        <f t="shared" si="16"/>
        <v>0</v>
      </c>
      <c r="CB52" s="49"/>
      <c r="CC52" s="49"/>
      <c r="CD52" s="50">
        <f t="shared" si="17"/>
        <v>0</v>
      </c>
      <c r="CF52" s="49"/>
      <c r="CG52" s="49"/>
      <c r="CH52" s="50">
        <f t="shared" si="18"/>
        <v>0</v>
      </c>
      <c r="CJ52" s="49"/>
      <c r="CK52" s="49"/>
      <c r="CL52" s="50">
        <f t="shared" si="19"/>
        <v>0</v>
      </c>
      <c r="CN52" s="49"/>
      <c r="CO52" s="49"/>
      <c r="CP52" s="50">
        <f t="shared" si="20"/>
        <v>0</v>
      </c>
      <c r="CR52" s="49"/>
      <c r="CS52" s="49"/>
      <c r="CT52" s="50">
        <f t="shared" si="21"/>
        <v>0</v>
      </c>
      <c r="CV52" s="49"/>
      <c r="CW52" s="49"/>
      <c r="CX52" s="50">
        <f t="shared" si="22"/>
        <v>0</v>
      </c>
      <c r="CZ52" s="49"/>
      <c r="DA52" s="49"/>
      <c r="DB52" s="50">
        <f t="shared" si="23"/>
        <v>0</v>
      </c>
      <c r="DD52" s="49"/>
      <c r="DE52" s="49"/>
      <c r="DF52" s="50">
        <f t="shared" si="24"/>
        <v>0</v>
      </c>
      <c r="DH52" s="49"/>
      <c r="DI52" s="49"/>
      <c r="DJ52" s="50">
        <f t="shared" si="25"/>
        <v>0</v>
      </c>
      <c r="DL52" s="49"/>
      <c r="DM52" s="49"/>
      <c r="DN52" s="50">
        <f t="shared" si="26"/>
        <v>0</v>
      </c>
      <c r="DP52" s="49"/>
      <c r="DQ52" s="49"/>
      <c r="DR52" s="50">
        <f t="shared" si="27"/>
        <v>0</v>
      </c>
      <c r="DT52" s="49"/>
      <c r="DU52" s="49"/>
      <c r="DV52" s="50">
        <f t="shared" si="28"/>
        <v>0</v>
      </c>
      <c r="DX52" s="49"/>
      <c r="DY52" s="49"/>
      <c r="DZ52" s="50">
        <f t="shared" si="29"/>
        <v>0</v>
      </c>
      <c r="EB52" s="49">
        <f t="shared" si="30"/>
        <v>0</v>
      </c>
      <c r="EC52" s="49">
        <f t="shared" si="30"/>
        <v>0</v>
      </c>
      <c r="ED52" s="49">
        <f t="shared" si="30"/>
        <v>0</v>
      </c>
    </row>
    <row r="53" spans="2:134" ht="11" customHeight="1" x14ac:dyDescent="0.35">
      <c r="B53" s="4">
        <v>109014</v>
      </c>
      <c r="C53" s="4" t="s">
        <v>59</v>
      </c>
      <c r="D53" s="4">
        <v>1</v>
      </c>
      <c r="E53" s="5">
        <v>60</v>
      </c>
      <c r="F53" s="6">
        <v>40.540080000000003</v>
      </c>
      <c r="G53" s="7"/>
      <c r="H53" s="49"/>
      <c r="I53" s="49"/>
      <c r="J53" s="50">
        <f t="shared" si="31"/>
        <v>0</v>
      </c>
      <c r="K53" s="9"/>
      <c r="L53" s="49"/>
      <c r="M53" s="49"/>
      <c r="N53" s="50">
        <f t="shared" si="0"/>
        <v>0</v>
      </c>
      <c r="O53" s="46"/>
      <c r="P53" s="49"/>
      <c r="Q53" s="49"/>
      <c r="R53" s="50">
        <f t="shared" si="1"/>
        <v>0</v>
      </c>
      <c r="T53" s="49"/>
      <c r="U53" s="49"/>
      <c r="V53" s="50">
        <f t="shared" si="2"/>
        <v>0</v>
      </c>
      <c r="X53" s="49"/>
      <c r="Y53" s="49"/>
      <c r="Z53" s="50">
        <f t="shared" si="3"/>
        <v>0</v>
      </c>
      <c r="AB53" s="49"/>
      <c r="AC53" s="49"/>
      <c r="AD53" s="50">
        <f t="shared" si="4"/>
        <v>0</v>
      </c>
      <c r="AF53" s="49"/>
      <c r="AG53" s="49"/>
      <c r="AH53" s="50">
        <f t="shared" si="5"/>
        <v>0</v>
      </c>
      <c r="AJ53" s="49"/>
      <c r="AK53" s="49"/>
      <c r="AL53" s="50">
        <f t="shared" si="6"/>
        <v>0</v>
      </c>
      <c r="AN53" s="49"/>
      <c r="AO53" s="49"/>
      <c r="AP53" s="50">
        <f t="shared" si="7"/>
        <v>0</v>
      </c>
      <c r="AR53" s="49"/>
      <c r="AS53" s="49"/>
      <c r="AT53" s="50">
        <f t="shared" si="8"/>
        <v>0</v>
      </c>
      <c r="AV53" s="49"/>
      <c r="AW53" s="49"/>
      <c r="AX53" s="50">
        <f t="shared" si="9"/>
        <v>0</v>
      </c>
      <c r="AZ53" s="49"/>
      <c r="BA53" s="49"/>
      <c r="BB53" s="50">
        <f t="shared" si="10"/>
        <v>0</v>
      </c>
      <c r="BD53" s="49"/>
      <c r="BE53" s="49"/>
      <c r="BF53" s="50">
        <f t="shared" si="11"/>
        <v>0</v>
      </c>
      <c r="BH53" s="49"/>
      <c r="BI53" s="49"/>
      <c r="BJ53" s="50">
        <f t="shared" si="12"/>
        <v>0</v>
      </c>
      <c r="BL53" s="49"/>
      <c r="BM53" s="49"/>
      <c r="BN53" s="50">
        <f t="shared" si="13"/>
        <v>0</v>
      </c>
      <c r="BP53" s="49"/>
      <c r="BQ53" s="49"/>
      <c r="BR53" s="50">
        <f t="shared" si="14"/>
        <v>0</v>
      </c>
      <c r="BT53" s="49"/>
      <c r="BU53" s="49"/>
      <c r="BV53" s="50">
        <f t="shared" si="15"/>
        <v>0</v>
      </c>
      <c r="BX53" s="49"/>
      <c r="BY53" s="49"/>
      <c r="BZ53" s="50">
        <f t="shared" si="16"/>
        <v>0</v>
      </c>
      <c r="CB53" s="49"/>
      <c r="CC53" s="49"/>
      <c r="CD53" s="50">
        <f t="shared" si="17"/>
        <v>0</v>
      </c>
      <c r="CF53" s="49"/>
      <c r="CG53" s="49"/>
      <c r="CH53" s="50">
        <f t="shared" si="18"/>
        <v>0</v>
      </c>
      <c r="CJ53" s="49"/>
      <c r="CK53" s="49"/>
      <c r="CL53" s="50">
        <f t="shared" si="19"/>
        <v>0</v>
      </c>
      <c r="CN53" s="49"/>
      <c r="CO53" s="49"/>
      <c r="CP53" s="50">
        <f t="shared" si="20"/>
        <v>0</v>
      </c>
      <c r="CR53" s="49"/>
      <c r="CS53" s="49"/>
      <c r="CT53" s="50">
        <f t="shared" si="21"/>
        <v>0</v>
      </c>
      <c r="CV53" s="49"/>
      <c r="CW53" s="49"/>
      <c r="CX53" s="50">
        <f t="shared" si="22"/>
        <v>0</v>
      </c>
      <c r="CZ53" s="49"/>
      <c r="DA53" s="49"/>
      <c r="DB53" s="50">
        <f t="shared" si="23"/>
        <v>0</v>
      </c>
      <c r="DD53" s="49"/>
      <c r="DE53" s="49"/>
      <c r="DF53" s="50">
        <f t="shared" si="24"/>
        <v>0</v>
      </c>
      <c r="DH53" s="49"/>
      <c r="DI53" s="49"/>
      <c r="DJ53" s="50">
        <f t="shared" si="25"/>
        <v>0</v>
      </c>
      <c r="DL53" s="49"/>
      <c r="DM53" s="49"/>
      <c r="DN53" s="50">
        <f t="shared" si="26"/>
        <v>0</v>
      </c>
      <c r="DP53" s="49"/>
      <c r="DQ53" s="49"/>
      <c r="DR53" s="50">
        <f t="shared" si="27"/>
        <v>0</v>
      </c>
      <c r="DT53" s="49"/>
      <c r="DU53" s="49"/>
      <c r="DV53" s="50">
        <f t="shared" si="28"/>
        <v>0</v>
      </c>
      <c r="DX53" s="49"/>
      <c r="DY53" s="49"/>
      <c r="DZ53" s="50">
        <f t="shared" si="29"/>
        <v>0</v>
      </c>
      <c r="EB53" s="49">
        <f t="shared" si="30"/>
        <v>0</v>
      </c>
      <c r="EC53" s="49">
        <f t="shared" si="30"/>
        <v>0</v>
      </c>
      <c r="ED53" s="49">
        <f t="shared" si="30"/>
        <v>0</v>
      </c>
    </row>
    <row r="54" spans="2:134" ht="11" customHeight="1" x14ac:dyDescent="0.35">
      <c r="B54" s="4">
        <v>109015</v>
      </c>
      <c r="C54" s="4" t="s">
        <v>60</v>
      </c>
      <c r="D54" s="4">
        <v>1</v>
      </c>
      <c r="E54" s="5">
        <v>60</v>
      </c>
      <c r="F54" s="6">
        <v>40.540080000000003</v>
      </c>
      <c r="G54" s="7"/>
      <c r="H54" s="49"/>
      <c r="I54" s="49"/>
      <c r="J54" s="50">
        <f t="shared" si="31"/>
        <v>0</v>
      </c>
      <c r="K54" s="9"/>
      <c r="L54" s="49"/>
      <c r="M54" s="49"/>
      <c r="N54" s="50">
        <f t="shared" si="0"/>
        <v>0</v>
      </c>
      <c r="O54" s="46"/>
      <c r="P54" s="49"/>
      <c r="Q54" s="49"/>
      <c r="R54" s="50">
        <f t="shared" si="1"/>
        <v>0</v>
      </c>
      <c r="T54" s="49"/>
      <c r="U54" s="49"/>
      <c r="V54" s="50">
        <f t="shared" si="2"/>
        <v>0</v>
      </c>
      <c r="X54" s="49"/>
      <c r="Y54" s="49"/>
      <c r="Z54" s="50">
        <f t="shared" si="3"/>
        <v>0</v>
      </c>
      <c r="AB54" s="49"/>
      <c r="AC54" s="49"/>
      <c r="AD54" s="50">
        <f t="shared" si="4"/>
        <v>0</v>
      </c>
      <c r="AF54" s="49"/>
      <c r="AG54" s="49"/>
      <c r="AH54" s="50">
        <f t="shared" si="5"/>
        <v>0</v>
      </c>
      <c r="AJ54" s="49"/>
      <c r="AK54" s="49"/>
      <c r="AL54" s="50">
        <f t="shared" si="6"/>
        <v>0</v>
      </c>
      <c r="AN54" s="49"/>
      <c r="AO54" s="49"/>
      <c r="AP54" s="50">
        <f t="shared" si="7"/>
        <v>0</v>
      </c>
      <c r="AR54" s="49"/>
      <c r="AS54" s="49"/>
      <c r="AT54" s="50">
        <f t="shared" si="8"/>
        <v>0</v>
      </c>
      <c r="AV54" s="49"/>
      <c r="AW54" s="49"/>
      <c r="AX54" s="50">
        <f t="shared" si="9"/>
        <v>0</v>
      </c>
      <c r="AZ54" s="49"/>
      <c r="BA54" s="49"/>
      <c r="BB54" s="50">
        <f t="shared" si="10"/>
        <v>0</v>
      </c>
      <c r="BD54" s="49"/>
      <c r="BE54" s="49"/>
      <c r="BF54" s="50">
        <f t="shared" si="11"/>
        <v>0</v>
      </c>
      <c r="BH54" s="49"/>
      <c r="BI54" s="49"/>
      <c r="BJ54" s="50">
        <f t="shared" si="12"/>
        <v>0</v>
      </c>
      <c r="BL54" s="49"/>
      <c r="BM54" s="49"/>
      <c r="BN54" s="50">
        <f t="shared" si="13"/>
        <v>0</v>
      </c>
      <c r="BP54" s="49"/>
      <c r="BQ54" s="49"/>
      <c r="BR54" s="50">
        <f t="shared" si="14"/>
        <v>0</v>
      </c>
      <c r="BT54" s="49"/>
      <c r="BU54" s="49"/>
      <c r="BV54" s="50">
        <f t="shared" si="15"/>
        <v>0</v>
      </c>
      <c r="BX54" s="49"/>
      <c r="BY54" s="49"/>
      <c r="BZ54" s="50">
        <f t="shared" si="16"/>
        <v>0</v>
      </c>
      <c r="CB54" s="49"/>
      <c r="CC54" s="49"/>
      <c r="CD54" s="50">
        <f t="shared" si="17"/>
        <v>0</v>
      </c>
      <c r="CF54" s="49"/>
      <c r="CG54" s="49"/>
      <c r="CH54" s="50">
        <f t="shared" si="18"/>
        <v>0</v>
      </c>
      <c r="CJ54" s="49"/>
      <c r="CK54" s="49"/>
      <c r="CL54" s="50">
        <f t="shared" si="19"/>
        <v>0</v>
      </c>
      <c r="CN54" s="49"/>
      <c r="CO54" s="49"/>
      <c r="CP54" s="50">
        <f t="shared" si="20"/>
        <v>0</v>
      </c>
      <c r="CR54" s="49"/>
      <c r="CS54" s="49"/>
      <c r="CT54" s="50">
        <f t="shared" si="21"/>
        <v>0</v>
      </c>
      <c r="CV54" s="49"/>
      <c r="CW54" s="49"/>
      <c r="CX54" s="50">
        <f t="shared" si="22"/>
        <v>0</v>
      </c>
      <c r="CZ54" s="49"/>
      <c r="DA54" s="49"/>
      <c r="DB54" s="50">
        <f t="shared" si="23"/>
        <v>0</v>
      </c>
      <c r="DD54" s="49"/>
      <c r="DE54" s="49"/>
      <c r="DF54" s="50">
        <f t="shared" si="24"/>
        <v>0</v>
      </c>
      <c r="DH54" s="49"/>
      <c r="DI54" s="49"/>
      <c r="DJ54" s="50">
        <f t="shared" si="25"/>
        <v>0</v>
      </c>
      <c r="DL54" s="49"/>
      <c r="DM54" s="49"/>
      <c r="DN54" s="50">
        <f t="shared" si="26"/>
        <v>0</v>
      </c>
      <c r="DP54" s="49"/>
      <c r="DQ54" s="49"/>
      <c r="DR54" s="50">
        <f t="shared" si="27"/>
        <v>0</v>
      </c>
      <c r="DT54" s="49"/>
      <c r="DU54" s="49"/>
      <c r="DV54" s="50">
        <f t="shared" si="28"/>
        <v>0</v>
      </c>
      <c r="DX54" s="49"/>
      <c r="DY54" s="49"/>
      <c r="DZ54" s="50">
        <f t="shared" si="29"/>
        <v>0</v>
      </c>
      <c r="EB54" s="49">
        <f t="shared" si="30"/>
        <v>0</v>
      </c>
      <c r="EC54" s="49">
        <f t="shared" si="30"/>
        <v>0</v>
      </c>
      <c r="ED54" s="49">
        <f t="shared" si="30"/>
        <v>0</v>
      </c>
    </row>
    <row r="55" spans="2:134" ht="11" customHeight="1" x14ac:dyDescent="0.35">
      <c r="B55" s="4">
        <v>109025</v>
      </c>
      <c r="C55" s="4" t="s">
        <v>61</v>
      </c>
      <c r="D55" s="4">
        <v>18</v>
      </c>
      <c r="E55" s="5">
        <v>18</v>
      </c>
      <c r="F55" s="6">
        <v>140.22132670400001</v>
      </c>
      <c r="G55" s="7"/>
      <c r="H55" s="49"/>
      <c r="I55" s="49"/>
      <c r="J55" s="50">
        <f t="shared" si="31"/>
        <v>0</v>
      </c>
      <c r="K55" s="9"/>
      <c r="L55" s="49"/>
      <c r="M55" s="49"/>
      <c r="N55" s="50">
        <f t="shared" si="0"/>
        <v>0</v>
      </c>
      <c r="O55" s="46"/>
      <c r="P55" s="49"/>
      <c r="Q55" s="49"/>
      <c r="R55" s="50">
        <f t="shared" si="1"/>
        <v>0</v>
      </c>
      <c r="T55" s="49"/>
      <c r="U55" s="49"/>
      <c r="V55" s="50">
        <f t="shared" si="2"/>
        <v>0</v>
      </c>
      <c r="X55" s="49"/>
      <c r="Y55" s="49"/>
      <c r="Z55" s="50">
        <f t="shared" si="3"/>
        <v>0</v>
      </c>
      <c r="AB55" s="49"/>
      <c r="AC55" s="49"/>
      <c r="AD55" s="50">
        <f t="shared" si="4"/>
        <v>0</v>
      </c>
      <c r="AF55" s="49"/>
      <c r="AG55" s="49"/>
      <c r="AH55" s="50">
        <f t="shared" si="5"/>
        <v>0</v>
      </c>
      <c r="AJ55" s="49"/>
      <c r="AK55" s="49"/>
      <c r="AL55" s="50">
        <f t="shared" si="6"/>
        <v>0</v>
      </c>
      <c r="AN55" s="49"/>
      <c r="AO55" s="49"/>
      <c r="AP55" s="50">
        <f t="shared" si="7"/>
        <v>0</v>
      </c>
      <c r="AR55" s="49"/>
      <c r="AS55" s="49"/>
      <c r="AT55" s="50">
        <f t="shared" si="8"/>
        <v>0</v>
      </c>
      <c r="AV55" s="49"/>
      <c r="AW55" s="49"/>
      <c r="AX55" s="50">
        <f t="shared" si="9"/>
        <v>0</v>
      </c>
      <c r="AZ55" s="49"/>
      <c r="BA55" s="49"/>
      <c r="BB55" s="50">
        <f t="shared" si="10"/>
        <v>0</v>
      </c>
      <c r="BD55" s="49"/>
      <c r="BE55" s="49"/>
      <c r="BF55" s="50">
        <f t="shared" si="11"/>
        <v>0</v>
      </c>
      <c r="BH55" s="49"/>
      <c r="BI55" s="49"/>
      <c r="BJ55" s="50">
        <f t="shared" si="12"/>
        <v>0</v>
      </c>
      <c r="BL55" s="49"/>
      <c r="BM55" s="49"/>
      <c r="BN55" s="50">
        <f t="shared" si="13"/>
        <v>0</v>
      </c>
      <c r="BP55" s="49"/>
      <c r="BQ55" s="49"/>
      <c r="BR55" s="50">
        <f t="shared" si="14"/>
        <v>0</v>
      </c>
      <c r="BT55" s="49"/>
      <c r="BU55" s="49"/>
      <c r="BV55" s="50">
        <f t="shared" si="15"/>
        <v>0</v>
      </c>
      <c r="BX55" s="49"/>
      <c r="BY55" s="49"/>
      <c r="BZ55" s="50">
        <f t="shared" si="16"/>
        <v>0</v>
      </c>
      <c r="CB55" s="49"/>
      <c r="CC55" s="49"/>
      <c r="CD55" s="50">
        <f t="shared" si="17"/>
        <v>0</v>
      </c>
      <c r="CF55" s="49"/>
      <c r="CG55" s="49"/>
      <c r="CH55" s="50">
        <f t="shared" si="18"/>
        <v>0</v>
      </c>
      <c r="CJ55" s="49"/>
      <c r="CK55" s="49"/>
      <c r="CL55" s="50">
        <f t="shared" si="19"/>
        <v>0</v>
      </c>
      <c r="CN55" s="49"/>
      <c r="CO55" s="49"/>
      <c r="CP55" s="50">
        <f t="shared" si="20"/>
        <v>0</v>
      </c>
      <c r="CR55" s="49"/>
      <c r="CS55" s="49"/>
      <c r="CT55" s="50">
        <f t="shared" si="21"/>
        <v>0</v>
      </c>
      <c r="CV55" s="49"/>
      <c r="CW55" s="49"/>
      <c r="CX55" s="50">
        <f t="shared" si="22"/>
        <v>0</v>
      </c>
      <c r="CZ55" s="49"/>
      <c r="DA55" s="49"/>
      <c r="DB55" s="50">
        <f t="shared" si="23"/>
        <v>0</v>
      </c>
      <c r="DD55" s="49"/>
      <c r="DE55" s="49"/>
      <c r="DF55" s="50">
        <f t="shared" si="24"/>
        <v>0</v>
      </c>
      <c r="DH55" s="49"/>
      <c r="DI55" s="49"/>
      <c r="DJ55" s="50">
        <f t="shared" si="25"/>
        <v>0</v>
      </c>
      <c r="DL55" s="49"/>
      <c r="DM55" s="49"/>
      <c r="DN55" s="50">
        <f t="shared" si="26"/>
        <v>0</v>
      </c>
      <c r="DP55" s="49"/>
      <c r="DQ55" s="49"/>
      <c r="DR55" s="50">
        <f t="shared" si="27"/>
        <v>0</v>
      </c>
      <c r="DT55" s="49"/>
      <c r="DU55" s="49"/>
      <c r="DV55" s="50">
        <f t="shared" si="28"/>
        <v>0</v>
      </c>
      <c r="DX55" s="49"/>
      <c r="DY55" s="49"/>
      <c r="DZ55" s="50">
        <f t="shared" si="29"/>
        <v>0</v>
      </c>
      <c r="EB55" s="49">
        <f t="shared" si="30"/>
        <v>0</v>
      </c>
      <c r="EC55" s="49">
        <f t="shared" si="30"/>
        <v>0</v>
      </c>
      <c r="ED55" s="49">
        <f t="shared" si="30"/>
        <v>0</v>
      </c>
    </row>
    <row r="56" spans="2:134" ht="11" customHeight="1" x14ac:dyDescent="0.35">
      <c r="B56" s="4">
        <v>109026</v>
      </c>
      <c r="C56" s="4" t="s">
        <v>62</v>
      </c>
      <c r="D56" s="4">
        <v>18</v>
      </c>
      <c r="E56" s="5">
        <v>18</v>
      </c>
      <c r="F56" s="6">
        <v>140.22132670400001</v>
      </c>
      <c r="G56" s="7"/>
      <c r="H56" s="49"/>
      <c r="I56" s="49"/>
      <c r="J56" s="50">
        <f t="shared" si="31"/>
        <v>0</v>
      </c>
      <c r="K56" s="9"/>
      <c r="L56" s="49"/>
      <c r="M56" s="49"/>
      <c r="N56" s="50">
        <f t="shared" si="0"/>
        <v>0</v>
      </c>
      <c r="O56" s="46"/>
      <c r="P56" s="49"/>
      <c r="Q56" s="49"/>
      <c r="R56" s="50">
        <f t="shared" si="1"/>
        <v>0</v>
      </c>
      <c r="T56" s="49"/>
      <c r="U56" s="49"/>
      <c r="V56" s="50">
        <f t="shared" si="2"/>
        <v>0</v>
      </c>
      <c r="X56" s="49"/>
      <c r="Y56" s="49"/>
      <c r="Z56" s="50">
        <f t="shared" si="3"/>
        <v>0</v>
      </c>
      <c r="AB56" s="49"/>
      <c r="AC56" s="49"/>
      <c r="AD56" s="50">
        <f t="shared" si="4"/>
        <v>0</v>
      </c>
      <c r="AF56" s="49"/>
      <c r="AG56" s="49"/>
      <c r="AH56" s="50">
        <f t="shared" si="5"/>
        <v>0</v>
      </c>
      <c r="AJ56" s="49"/>
      <c r="AK56" s="49"/>
      <c r="AL56" s="50">
        <f t="shared" si="6"/>
        <v>0</v>
      </c>
      <c r="AN56" s="49"/>
      <c r="AO56" s="49"/>
      <c r="AP56" s="50">
        <f t="shared" si="7"/>
        <v>0</v>
      </c>
      <c r="AR56" s="49"/>
      <c r="AS56" s="49"/>
      <c r="AT56" s="50">
        <f t="shared" si="8"/>
        <v>0</v>
      </c>
      <c r="AV56" s="49"/>
      <c r="AW56" s="49"/>
      <c r="AX56" s="50">
        <f t="shared" si="9"/>
        <v>0</v>
      </c>
      <c r="AZ56" s="49"/>
      <c r="BA56" s="49"/>
      <c r="BB56" s="50">
        <f t="shared" si="10"/>
        <v>0</v>
      </c>
      <c r="BD56" s="49"/>
      <c r="BE56" s="49"/>
      <c r="BF56" s="50">
        <f t="shared" si="11"/>
        <v>0</v>
      </c>
      <c r="BH56" s="49"/>
      <c r="BI56" s="49"/>
      <c r="BJ56" s="50">
        <f t="shared" si="12"/>
        <v>0</v>
      </c>
      <c r="BL56" s="49"/>
      <c r="BM56" s="49"/>
      <c r="BN56" s="50">
        <f t="shared" si="13"/>
        <v>0</v>
      </c>
      <c r="BP56" s="49"/>
      <c r="BQ56" s="49"/>
      <c r="BR56" s="50">
        <f t="shared" si="14"/>
        <v>0</v>
      </c>
      <c r="BT56" s="49"/>
      <c r="BU56" s="49"/>
      <c r="BV56" s="50">
        <f t="shared" si="15"/>
        <v>0</v>
      </c>
      <c r="BX56" s="49"/>
      <c r="BY56" s="49"/>
      <c r="BZ56" s="50">
        <f t="shared" si="16"/>
        <v>0</v>
      </c>
      <c r="CB56" s="49"/>
      <c r="CC56" s="49"/>
      <c r="CD56" s="50">
        <f t="shared" si="17"/>
        <v>0</v>
      </c>
      <c r="CF56" s="49"/>
      <c r="CG56" s="49"/>
      <c r="CH56" s="50">
        <f t="shared" si="18"/>
        <v>0</v>
      </c>
      <c r="CJ56" s="49"/>
      <c r="CK56" s="49"/>
      <c r="CL56" s="50">
        <f t="shared" si="19"/>
        <v>0</v>
      </c>
      <c r="CN56" s="49"/>
      <c r="CO56" s="49"/>
      <c r="CP56" s="50">
        <f t="shared" si="20"/>
        <v>0</v>
      </c>
      <c r="CR56" s="49"/>
      <c r="CS56" s="49"/>
      <c r="CT56" s="50">
        <f t="shared" si="21"/>
        <v>0</v>
      </c>
      <c r="CV56" s="49"/>
      <c r="CW56" s="49"/>
      <c r="CX56" s="50">
        <f t="shared" si="22"/>
        <v>0</v>
      </c>
      <c r="CZ56" s="49"/>
      <c r="DA56" s="49"/>
      <c r="DB56" s="50">
        <f t="shared" si="23"/>
        <v>0</v>
      </c>
      <c r="DD56" s="49"/>
      <c r="DE56" s="49"/>
      <c r="DF56" s="50">
        <f t="shared" si="24"/>
        <v>0</v>
      </c>
      <c r="DH56" s="49"/>
      <c r="DI56" s="49"/>
      <c r="DJ56" s="50">
        <f t="shared" si="25"/>
        <v>0</v>
      </c>
      <c r="DL56" s="49"/>
      <c r="DM56" s="49"/>
      <c r="DN56" s="50">
        <f t="shared" si="26"/>
        <v>0</v>
      </c>
      <c r="DP56" s="49"/>
      <c r="DQ56" s="49"/>
      <c r="DR56" s="50">
        <f t="shared" si="27"/>
        <v>0</v>
      </c>
      <c r="DT56" s="49"/>
      <c r="DU56" s="49"/>
      <c r="DV56" s="50">
        <f t="shared" si="28"/>
        <v>0</v>
      </c>
      <c r="DX56" s="49"/>
      <c r="DY56" s="49"/>
      <c r="DZ56" s="50">
        <f t="shared" si="29"/>
        <v>0</v>
      </c>
      <c r="EB56" s="49">
        <f t="shared" si="30"/>
        <v>0</v>
      </c>
      <c r="EC56" s="49">
        <f t="shared" si="30"/>
        <v>0</v>
      </c>
      <c r="ED56" s="49">
        <f t="shared" si="30"/>
        <v>0</v>
      </c>
    </row>
    <row r="57" spans="2:134" ht="11" customHeight="1" x14ac:dyDescent="0.35">
      <c r="B57" s="4">
        <v>109207</v>
      </c>
      <c r="C57" s="4" t="s">
        <v>63</v>
      </c>
      <c r="D57" s="4">
        <v>24</v>
      </c>
      <c r="E57" s="5">
        <v>18</v>
      </c>
      <c r="F57" s="6">
        <v>194.23586706</v>
      </c>
      <c r="G57" s="7"/>
      <c r="H57" s="49"/>
      <c r="I57" s="49"/>
      <c r="J57" s="50">
        <f t="shared" si="31"/>
        <v>0</v>
      </c>
      <c r="K57" s="9"/>
      <c r="L57" s="49"/>
      <c r="M57" s="49"/>
      <c r="N57" s="50">
        <f t="shared" si="0"/>
        <v>0</v>
      </c>
      <c r="O57" s="46"/>
      <c r="P57" s="49"/>
      <c r="Q57" s="49"/>
      <c r="R57" s="50">
        <f t="shared" si="1"/>
        <v>0</v>
      </c>
      <c r="T57" s="49"/>
      <c r="U57" s="49"/>
      <c r="V57" s="50">
        <f t="shared" si="2"/>
        <v>0</v>
      </c>
      <c r="X57" s="49"/>
      <c r="Y57" s="49"/>
      <c r="Z57" s="50">
        <f t="shared" si="3"/>
        <v>0</v>
      </c>
      <c r="AB57" s="49"/>
      <c r="AC57" s="49"/>
      <c r="AD57" s="50">
        <f t="shared" si="4"/>
        <v>0</v>
      </c>
      <c r="AF57" s="49"/>
      <c r="AG57" s="49"/>
      <c r="AH57" s="50">
        <f t="shared" si="5"/>
        <v>0</v>
      </c>
      <c r="AJ57" s="49"/>
      <c r="AK57" s="49"/>
      <c r="AL57" s="50">
        <f t="shared" si="6"/>
        <v>0</v>
      </c>
      <c r="AN57" s="49"/>
      <c r="AO57" s="49"/>
      <c r="AP57" s="50">
        <f t="shared" si="7"/>
        <v>0</v>
      </c>
      <c r="AR57" s="49"/>
      <c r="AS57" s="49"/>
      <c r="AT57" s="50">
        <f t="shared" si="8"/>
        <v>0</v>
      </c>
      <c r="AV57" s="49"/>
      <c r="AW57" s="49"/>
      <c r="AX57" s="50">
        <f t="shared" si="9"/>
        <v>0</v>
      </c>
      <c r="AZ57" s="49"/>
      <c r="BA57" s="49"/>
      <c r="BB57" s="50">
        <f t="shared" si="10"/>
        <v>0</v>
      </c>
      <c r="BD57" s="49"/>
      <c r="BE57" s="49"/>
      <c r="BF57" s="50">
        <f t="shared" si="11"/>
        <v>0</v>
      </c>
      <c r="BH57" s="49"/>
      <c r="BI57" s="49"/>
      <c r="BJ57" s="50">
        <f t="shared" si="12"/>
        <v>0</v>
      </c>
      <c r="BL57" s="49"/>
      <c r="BM57" s="49"/>
      <c r="BN57" s="50">
        <f t="shared" si="13"/>
        <v>0</v>
      </c>
      <c r="BP57" s="49"/>
      <c r="BQ57" s="49"/>
      <c r="BR57" s="50">
        <f t="shared" si="14"/>
        <v>0</v>
      </c>
      <c r="BT57" s="49"/>
      <c r="BU57" s="49"/>
      <c r="BV57" s="50">
        <f t="shared" si="15"/>
        <v>0</v>
      </c>
      <c r="BX57" s="49"/>
      <c r="BY57" s="49"/>
      <c r="BZ57" s="50">
        <f t="shared" si="16"/>
        <v>0</v>
      </c>
      <c r="CB57" s="49"/>
      <c r="CC57" s="49"/>
      <c r="CD57" s="50">
        <f t="shared" si="17"/>
        <v>0</v>
      </c>
      <c r="CF57" s="49"/>
      <c r="CG57" s="49"/>
      <c r="CH57" s="50">
        <f t="shared" si="18"/>
        <v>0</v>
      </c>
      <c r="CJ57" s="49"/>
      <c r="CK57" s="49"/>
      <c r="CL57" s="50">
        <f t="shared" si="19"/>
        <v>0</v>
      </c>
      <c r="CN57" s="49"/>
      <c r="CO57" s="49"/>
      <c r="CP57" s="50">
        <f t="shared" si="20"/>
        <v>0</v>
      </c>
      <c r="CR57" s="49"/>
      <c r="CS57" s="49"/>
      <c r="CT57" s="50">
        <f t="shared" si="21"/>
        <v>0</v>
      </c>
      <c r="CV57" s="49"/>
      <c r="CW57" s="49"/>
      <c r="CX57" s="50">
        <f t="shared" si="22"/>
        <v>0</v>
      </c>
      <c r="CZ57" s="49"/>
      <c r="DA57" s="49"/>
      <c r="DB57" s="50">
        <f t="shared" si="23"/>
        <v>0</v>
      </c>
      <c r="DD57" s="49"/>
      <c r="DE57" s="49"/>
      <c r="DF57" s="50">
        <f t="shared" si="24"/>
        <v>0</v>
      </c>
      <c r="DH57" s="49"/>
      <c r="DI57" s="49"/>
      <c r="DJ57" s="50">
        <f t="shared" si="25"/>
        <v>0</v>
      </c>
      <c r="DL57" s="49"/>
      <c r="DM57" s="49"/>
      <c r="DN57" s="50">
        <f t="shared" si="26"/>
        <v>0</v>
      </c>
      <c r="DP57" s="49"/>
      <c r="DQ57" s="49"/>
      <c r="DR57" s="50">
        <f t="shared" si="27"/>
        <v>0</v>
      </c>
      <c r="DT57" s="49"/>
      <c r="DU57" s="49"/>
      <c r="DV57" s="50">
        <f t="shared" si="28"/>
        <v>0</v>
      </c>
      <c r="DX57" s="49"/>
      <c r="DY57" s="49"/>
      <c r="DZ57" s="50">
        <f t="shared" si="29"/>
        <v>0</v>
      </c>
      <c r="EB57" s="49">
        <f t="shared" si="30"/>
        <v>0</v>
      </c>
      <c r="EC57" s="49">
        <f t="shared" si="30"/>
        <v>0</v>
      </c>
      <c r="ED57" s="49">
        <f t="shared" si="30"/>
        <v>0</v>
      </c>
    </row>
    <row r="58" spans="2:134" ht="11" customHeight="1" x14ac:dyDescent="0.35">
      <c r="B58" s="4">
        <v>109503</v>
      </c>
      <c r="C58" s="4" t="s">
        <v>64</v>
      </c>
      <c r="D58" s="4">
        <v>24</v>
      </c>
      <c r="E58" s="5">
        <v>18</v>
      </c>
      <c r="F58" s="6">
        <v>189.29879107400001</v>
      </c>
      <c r="G58" s="7"/>
      <c r="H58" s="49"/>
      <c r="I58" s="49"/>
      <c r="J58" s="50">
        <f t="shared" si="31"/>
        <v>0</v>
      </c>
      <c r="K58" s="9"/>
      <c r="L58" s="49"/>
      <c r="M58" s="49"/>
      <c r="N58" s="50">
        <f t="shared" si="0"/>
        <v>0</v>
      </c>
      <c r="O58" s="46"/>
      <c r="P58" s="49"/>
      <c r="Q58" s="49"/>
      <c r="R58" s="50">
        <f t="shared" si="1"/>
        <v>0</v>
      </c>
      <c r="T58" s="49"/>
      <c r="U58" s="49"/>
      <c r="V58" s="50">
        <f t="shared" si="2"/>
        <v>0</v>
      </c>
      <c r="X58" s="49"/>
      <c r="Y58" s="49"/>
      <c r="Z58" s="50">
        <f t="shared" si="3"/>
        <v>0</v>
      </c>
      <c r="AB58" s="49"/>
      <c r="AC58" s="49"/>
      <c r="AD58" s="50">
        <f t="shared" si="4"/>
        <v>0</v>
      </c>
      <c r="AF58" s="49"/>
      <c r="AG58" s="49"/>
      <c r="AH58" s="50">
        <f t="shared" si="5"/>
        <v>0</v>
      </c>
      <c r="AJ58" s="49"/>
      <c r="AK58" s="49"/>
      <c r="AL58" s="50">
        <f t="shared" si="6"/>
        <v>0</v>
      </c>
      <c r="AN58" s="49"/>
      <c r="AO58" s="49"/>
      <c r="AP58" s="50">
        <f t="shared" si="7"/>
        <v>0</v>
      </c>
      <c r="AR58" s="49"/>
      <c r="AS58" s="49"/>
      <c r="AT58" s="50">
        <f t="shared" si="8"/>
        <v>0</v>
      </c>
      <c r="AV58" s="49"/>
      <c r="AW58" s="49"/>
      <c r="AX58" s="50">
        <f t="shared" si="9"/>
        <v>0</v>
      </c>
      <c r="AZ58" s="49"/>
      <c r="BA58" s="49"/>
      <c r="BB58" s="50">
        <f t="shared" si="10"/>
        <v>0</v>
      </c>
      <c r="BD58" s="49"/>
      <c r="BE58" s="49"/>
      <c r="BF58" s="50">
        <f t="shared" si="11"/>
        <v>0</v>
      </c>
      <c r="BH58" s="49"/>
      <c r="BI58" s="49"/>
      <c r="BJ58" s="50">
        <f t="shared" si="12"/>
        <v>0</v>
      </c>
      <c r="BL58" s="49"/>
      <c r="BM58" s="49"/>
      <c r="BN58" s="50">
        <f t="shared" si="13"/>
        <v>0</v>
      </c>
      <c r="BP58" s="49"/>
      <c r="BQ58" s="49"/>
      <c r="BR58" s="50">
        <f t="shared" si="14"/>
        <v>0</v>
      </c>
      <c r="BT58" s="49"/>
      <c r="BU58" s="49"/>
      <c r="BV58" s="50">
        <f t="shared" si="15"/>
        <v>0</v>
      </c>
      <c r="BX58" s="49"/>
      <c r="BY58" s="49"/>
      <c r="BZ58" s="50">
        <f t="shared" si="16"/>
        <v>0</v>
      </c>
      <c r="CB58" s="49"/>
      <c r="CC58" s="49"/>
      <c r="CD58" s="50">
        <f t="shared" si="17"/>
        <v>0</v>
      </c>
      <c r="CF58" s="49"/>
      <c r="CG58" s="49"/>
      <c r="CH58" s="50">
        <f t="shared" si="18"/>
        <v>0</v>
      </c>
      <c r="CJ58" s="49"/>
      <c r="CK58" s="49"/>
      <c r="CL58" s="50">
        <f t="shared" si="19"/>
        <v>0</v>
      </c>
      <c r="CN58" s="49"/>
      <c r="CO58" s="49"/>
      <c r="CP58" s="50">
        <f t="shared" si="20"/>
        <v>0</v>
      </c>
      <c r="CR58" s="49"/>
      <c r="CS58" s="49"/>
      <c r="CT58" s="50">
        <f t="shared" si="21"/>
        <v>0</v>
      </c>
      <c r="CV58" s="49"/>
      <c r="CW58" s="49"/>
      <c r="CX58" s="50">
        <f t="shared" si="22"/>
        <v>0</v>
      </c>
      <c r="CZ58" s="49"/>
      <c r="DA58" s="49"/>
      <c r="DB58" s="50">
        <f t="shared" si="23"/>
        <v>0</v>
      </c>
      <c r="DD58" s="49"/>
      <c r="DE58" s="49"/>
      <c r="DF58" s="50">
        <f t="shared" si="24"/>
        <v>0</v>
      </c>
      <c r="DH58" s="49"/>
      <c r="DI58" s="49"/>
      <c r="DJ58" s="50">
        <f t="shared" si="25"/>
        <v>0</v>
      </c>
      <c r="DL58" s="49"/>
      <c r="DM58" s="49"/>
      <c r="DN58" s="50">
        <f t="shared" si="26"/>
        <v>0</v>
      </c>
      <c r="DP58" s="49"/>
      <c r="DQ58" s="49"/>
      <c r="DR58" s="50">
        <f t="shared" si="27"/>
        <v>0</v>
      </c>
      <c r="DT58" s="49"/>
      <c r="DU58" s="49"/>
      <c r="DV58" s="50">
        <f t="shared" si="28"/>
        <v>0</v>
      </c>
      <c r="DX58" s="49"/>
      <c r="DY58" s="49"/>
      <c r="DZ58" s="50">
        <f t="shared" si="29"/>
        <v>0</v>
      </c>
      <c r="EB58" s="49">
        <f t="shared" si="30"/>
        <v>0</v>
      </c>
      <c r="EC58" s="49">
        <f t="shared" si="30"/>
        <v>0</v>
      </c>
      <c r="ED58" s="49">
        <f t="shared" si="30"/>
        <v>0</v>
      </c>
    </row>
    <row r="59" spans="2:134" ht="11" customHeight="1" x14ac:dyDescent="0.35">
      <c r="B59" s="4">
        <v>109504</v>
      </c>
      <c r="C59" s="4" t="s">
        <v>65</v>
      </c>
      <c r="D59" s="4">
        <v>24</v>
      </c>
      <c r="E59" s="5">
        <v>18</v>
      </c>
      <c r="F59" s="6">
        <v>189.29879107400001</v>
      </c>
      <c r="G59" s="7"/>
      <c r="H59" s="49"/>
      <c r="I59" s="49"/>
      <c r="J59" s="50">
        <f t="shared" si="31"/>
        <v>0</v>
      </c>
      <c r="K59" s="9"/>
      <c r="L59" s="49"/>
      <c r="M59" s="49"/>
      <c r="N59" s="50">
        <f t="shared" si="0"/>
        <v>0</v>
      </c>
      <c r="O59" s="46"/>
      <c r="P59" s="49"/>
      <c r="Q59" s="49"/>
      <c r="R59" s="50">
        <f t="shared" si="1"/>
        <v>0</v>
      </c>
      <c r="T59" s="49"/>
      <c r="U59" s="49"/>
      <c r="V59" s="50">
        <f t="shared" si="2"/>
        <v>0</v>
      </c>
      <c r="X59" s="49"/>
      <c r="Y59" s="49"/>
      <c r="Z59" s="50">
        <f t="shared" si="3"/>
        <v>0</v>
      </c>
      <c r="AB59" s="49"/>
      <c r="AC59" s="49"/>
      <c r="AD59" s="50">
        <f t="shared" si="4"/>
        <v>0</v>
      </c>
      <c r="AF59" s="49"/>
      <c r="AG59" s="49"/>
      <c r="AH59" s="50">
        <f t="shared" si="5"/>
        <v>0</v>
      </c>
      <c r="AJ59" s="49"/>
      <c r="AK59" s="49"/>
      <c r="AL59" s="50">
        <f t="shared" si="6"/>
        <v>0</v>
      </c>
      <c r="AN59" s="49"/>
      <c r="AO59" s="49"/>
      <c r="AP59" s="50">
        <f t="shared" si="7"/>
        <v>0</v>
      </c>
      <c r="AR59" s="49"/>
      <c r="AS59" s="49"/>
      <c r="AT59" s="50">
        <f t="shared" si="8"/>
        <v>0</v>
      </c>
      <c r="AV59" s="49"/>
      <c r="AW59" s="49"/>
      <c r="AX59" s="50">
        <f t="shared" si="9"/>
        <v>0</v>
      </c>
      <c r="AZ59" s="49"/>
      <c r="BA59" s="49"/>
      <c r="BB59" s="50">
        <f t="shared" si="10"/>
        <v>0</v>
      </c>
      <c r="BD59" s="49"/>
      <c r="BE59" s="49"/>
      <c r="BF59" s="50">
        <f t="shared" si="11"/>
        <v>0</v>
      </c>
      <c r="BH59" s="49"/>
      <c r="BI59" s="49"/>
      <c r="BJ59" s="50">
        <f t="shared" si="12"/>
        <v>0</v>
      </c>
      <c r="BL59" s="49"/>
      <c r="BM59" s="49"/>
      <c r="BN59" s="50">
        <f t="shared" si="13"/>
        <v>0</v>
      </c>
      <c r="BP59" s="49"/>
      <c r="BQ59" s="49"/>
      <c r="BR59" s="50">
        <f t="shared" si="14"/>
        <v>0</v>
      </c>
      <c r="BT59" s="49"/>
      <c r="BU59" s="49"/>
      <c r="BV59" s="50">
        <f t="shared" si="15"/>
        <v>0</v>
      </c>
      <c r="BX59" s="49"/>
      <c r="BY59" s="49"/>
      <c r="BZ59" s="50">
        <f t="shared" si="16"/>
        <v>0</v>
      </c>
      <c r="CB59" s="49"/>
      <c r="CC59" s="49"/>
      <c r="CD59" s="50">
        <f t="shared" si="17"/>
        <v>0</v>
      </c>
      <c r="CF59" s="49"/>
      <c r="CG59" s="49"/>
      <c r="CH59" s="50">
        <f t="shared" si="18"/>
        <v>0</v>
      </c>
      <c r="CJ59" s="49"/>
      <c r="CK59" s="49"/>
      <c r="CL59" s="50">
        <f t="shared" si="19"/>
        <v>0</v>
      </c>
      <c r="CN59" s="49"/>
      <c r="CO59" s="49"/>
      <c r="CP59" s="50">
        <f t="shared" si="20"/>
        <v>0</v>
      </c>
      <c r="CR59" s="49"/>
      <c r="CS59" s="49"/>
      <c r="CT59" s="50">
        <f t="shared" si="21"/>
        <v>0</v>
      </c>
      <c r="CV59" s="49"/>
      <c r="CW59" s="49"/>
      <c r="CX59" s="50">
        <f t="shared" si="22"/>
        <v>0</v>
      </c>
      <c r="CZ59" s="49"/>
      <c r="DA59" s="49"/>
      <c r="DB59" s="50">
        <f t="shared" si="23"/>
        <v>0</v>
      </c>
      <c r="DD59" s="49"/>
      <c r="DE59" s="49"/>
      <c r="DF59" s="50">
        <f t="shared" si="24"/>
        <v>0</v>
      </c>
      <c r="DH59" s="49"/>
      <c r="DI59" s="49"/>
      <c r="DJ59" s="50">
        <f t="shared" si="25"/>
        <v>0</v>
      </c>
      <c r="DL59" s="49"/>
      <c r="DM59" s="49"/>
      <c r="DN59" s="50">
        <f t="shared" si="26"/>
        <v>0</v>
      </c>
      <c r="DP59" s="49"/>
      <c r="DQ59" s="49"/>
      <c r="DR59" s="50">
        <f t="shared" si="27"/>
        <v>0</v>
      </c>
      <c r="DT59" s="49"/>
      <c r="DU59" s="49"/>
      <c r="DV59" s="50">
        <f t="shared" si="28"/>
        <v>0</v>
      </c>
      <c r="DX59" s="49"/>
      <c r="DY59" s="49"/>
      <c r="DZ59" s="50">
        <f t="shared" si="29"/>
        <v>0</v>
      </c>
      <c r="EB59" s="49">
        <f t="shared" si="30"/>
        <v>0</v>
      </c>
      <c r="EC59" s="49">
        <f t="shared" si="30"/>
        <v>0</v>
      </c>
      <c r="ED59" s="49">
        <f t="shared" si="30"/>
        <v>0</v>
      </c>
    </row>
    <row r="60" spans="2:134" ht="11" customHeight="1" x14ac:dyDescent="0.35">
      <c r="B60" s="4">
        <v>109517</v>
      </c>
      <c r="C60" s="4" t="s">
        <v>66</v>
      </c>
      <c r="D60" s="4">
        <v>12</v>
      </c>
      <c r="E60" s="5">
        <v>24</v>
      </c>
      <c r="F60" s="6">
        <v>286.53841705999997</v>
      </c>
      <c r="G60" s="7"/>
      <c r="H60" s="49"/>
      <c r="I60" s="49"/>
      <c r="J60" s="50">
        <f t="shared" si="31"/>
        <v>0</v>
      </c>
      <c r="K60" s="9"/>
      <c r="L60" s="49"/>
      <c r="M60" s="49"/>
      <c r="N60" s="50">
        <f t="shared" si="0"/>
        <v>0</v>
      </c>
      <c r="O60" s="46"/>
      <c r="P60" s="49"/>
      <c r="Q60" s="49"/>
      <c r="R60" s="50">
        <f t="shared" si="1"/>
        <v>0</v>
      </c>
      <c r="T60" s="49"/>
      <c r="U60" s="49"/>
      <c r="V60" s="50">
        <f t="shared" si="2"/>
        <v>0</v>
      </c>
      <c r="X60" s="49"/>
      <c r="Y60" s="49"/>
      <c r="Z60" s="50">
        <f t="shared" si="3"/>
        <v>0</v>
      </c>
      <c r="AB60" s="49"/>
      <c r="AC60" s="49"/>
      <c r="AD60" s="50">
        <f t="shared" si="4"/>
        <v>0</v>
      </c>
      <c r="AF60" s="49"/>
      <c r="AG60" s="49"/>
      <c r="AH60" s="50">
        <f t="shared" si="5"/>
        <v>0</v>
      </c>
      <c r="AJ60" s="49"/>
      <c r="AK60" s="49"/>
      <c r="AL60" s="50">
        <f t="shared" si="6"/>
        <v>0</v>
      </c>
      <c r="AN60" s="49"/>
      <c r="AO60" s="49"/>
      <c r="AP60" s="50">
        <f t="shared" si="7"/>
        <v>0</v>
      </c>
      <c r="AR60" s="49"/>
      <c r="AS60" s="49"/>
      <c r="AT60" s="50">
        <f t="shared" si="8"/>
        <v>0</v>
      </c>
      <c r="AV60" s="49"/>
      <c r="AW60" s="49"/>
      <c r="AX60" s="50">
        <f t="shared" si="9"/>
        <v>0</v>
      </c>
      <c r="AZ60" s="49"/>
      <c r="BA60" s="49"/>
      <c r="BB60" s="50">
        <f t="shared" si="10"/>
        <v>0</v>
      </c>
      <c r="BD60" s="49"/>
      <c r="BE60" s="49"/>
      <c r="BF60" s="50">
        <f t="shared" si="11"/>
        <v>0</v>
      </c>
      <c r="BH60" s="49"/>
      <c r="BI60" s="49"/>
      <c r="BJ60" s="50">
        <f t="shared" si="12"/>
        <v>0</v>
      </c>
      <c r="BL60" s="49"/>
      <c r="BM60" s="49"/>
      <c r="BN60" s="50">
        <f t="shared" si="13"/>
        <v>0</v>
      </c>
      <c r="BP60" s="49"/>
      <c r="BQ60" s="49"/>
      <c r="BR60" s="50">
        <f t="shared" si="14"/>
        <v>0</v>
      </c>
      <c r="BT60" s="49"/>
      <c r="BU60" s="49"/>
      <c r="BV60" s="50">
        <f t="shared" si="15"/>
        <v>0</v>
      </c>
      <c r="BX60" s="49"/>
      <c r="BY60" s="49"/>
      <c r="BZ60" s="50">
        <f t="shared" si="16"/>
        <v>0</v>
      </c>
      <c r="CB60" s="49"/>
      <c r="CC60" s="49"/>
      <c r="CD60" s="50">
        <f t="shared" si="17"/>
        <v>0</v>
      </c>
      <c r="CF60" s="49"/>
      <c r="CG60" s="49"/>
      <c r="CH60" s="50">
        <f t="shared" si="18"/>
        <v>0</v>
      </c>
      <c r="CJ60" s="49"/>
      <c r="CK60" s="49"/>
      <c r="CL60" s="50">
        <f t="shared" si="19"/>
        <v>0</v>
      </c>
      <c r="CN60" s="49"/>
      <c r="CO60" s="49"/>
      <c r="CP60" s="50">
        <f t="shared" si="20"/>
        <v>0</v>
      </c>
      <c r="CR60" s="49"/>
      <c r="CS60" s="49"/>
      <c r="CT60" s="50">
        <f t="shared" si="21"/>
        <v>0</v>
      </c>
      <c r="CV60" s="49"/>
      <c r="CW60" s="49"/>
      <c r="CX60" s="50">
        <f t="shared" si="22"/>
        <v>0</v>
      </c>
      <c r="CZ60" s="49"/>
      <c r="DA60" s="49"/>
      <c r="DB60" s="50">
        <f t="shared" si="23"/>
        <v>0</v>
      </c>
      <c r="DD60" s="49"/>
      <c r="DE60" s="49"/>
      <c r="DF60" s="50">
        <f t="shared" si="24"/>
        <v>0</v>
      </c>
      <c r="DH60" s="49"/>
      <c r="DI60" s="49"/>
      <c r="DJ60" s="50">
        <f t="shared" si="25"/>
        <v>0</v>
      </c>
      <c r="DL60" s="49"/>
      <c r="DM60" s="49"/>
      <c r="DN60" s="50">
        <f t="shared" si="26"/>
        <v>0</v>
      </c>
      <c r="DP60" s="49"/>
      <c r="DQ60" s="49"/>
      <c r="DR60" s="50">
        <f t="shared" si="27"/>
        <v>0</v>
      </c>
      <c r="DT60" s="49"/>
      <c r="DU60" s="49"/>
      <c r="DV60" s="50">
        <f t="shared" si="28"/>
        <v>0</v>
      </c>
      <c r="DX60" s="49"/>
      <c r="DY60" s="49"/>
      <c r="DZ60" s="50">
        <f t="shared" si="29"/>
        <v>0</v>
      </c>
      <c r="EB60" s="49">
        <f t="shared" si="30"/>
        <v>0</v>
      </c>
      <c r="EC60" s="49">
        <f t="shared" si="30"/>
        <v>0</v>
      </c>
      <c r="ED60" s="49">
        <f t="shared" si="30"/>
        <v>0</v>
      </c>
    </row>
    <row r="61" spans="2:134" ht="11" customHeight="1" x14ac:dyDescent="0.35">
      <c r="B61" s="4">
        <v>110151</v>
      </c>
      <c r="C61" s="4" t="s">
        <v>67</v>
      </c>
      <c r="D61" s="4">
        <v>18</v>
      </c>
      <c r="E61" s="5">
        <v>18</v>
      </c>
      <c r="F61" s="6">
        <v>425.922279828</v>
      </c>
      <c r="G61" s="7"/>
      <c r="H61" s="49"/>
      <c r="I61" s="49"/>
      <c r="J61" s="50">
        <f t="shared" si="31"/>
        <v>0</v>
      </c>
      <c r="K61" s="9"/>
      <c r="L61" s="49"/>
      <c r="M61" s="49"/>
      <c r="N61" s="50">
        <f t="shared" si="0"/>
        <v>0</v>
      </c>
      <c r="O61" s="46"/>
      <c r="P61" s="49"/>
      <c r="Q61" s="49"/>
      <c r="R61" s="50">
        <f t="shared" si="1"/>
        <v>0</v>
      </c>
      <c r="T61" s="49"/>
      <c r="U61" s="49"/>
      <c r="V61" s="50">
        <f t="shared" si="2"/>
        <v>0</v>
      </c>
      <c r="X61" s="49"/>
      <c r="Y61" s="49"/>
      <c r="Z61" s="50">
        <f t="shared" si="3"/>
        <v>0</v>
      </c>
      <c r="AB61" s="49"/>
      <c r="AC61" s="49"/>
      <c r="AD61" s="50">
        <f t="shared" si="4"/>
        <v>0</v>
      </c>
      <c r="AF61" s="49"/>
      <c r="AG61" s="49"/>
      <c r="AH61" s="50">
        <f t="shared" si="5"/>
        <v>0</v>
      </c>
      <c r="AJ61" s="49"/>
      <c r="AK61" s="49"/>
      <c r="AL61" s="50">
        <f t="shared" si="6"/>
        <v>0</v>
      </c>
      <c r="AN61" s="49"/>
      <c r="AO61" s="49"/>
      <c r="AP61" s="50">
        <f t="shared" si="7"/>
        <v>0</v>
      </c>
      <c r="AR61" s="49"/>
      <c r="AS61" s="49"/>
      <c r="AT61" s="50">
        <f t="shared" si="8"/>
        <v>0</v>
      </c>
      <c r="AV61" s="49"/>
      <c r="AW61" s="49"/>
      <c r="AX61" s="50">
        <f t="shared" si="9"/>
        <v>0</v>
      </c>
      <c r="AZ61" s="49"/>
      <c r="BA61" s="49"/>
      <c r="BB61" s="50">
        <f t="shared" si="10"/>
        <v>0</v>
      </c>
      <c r="BD61" s="49"/>
      <c r="BE61" s="49"/>
      <c r="BF61" s="50">
        <f t="shared" si="11"/>
        <v>0</v>
      </c>
      <c r="BH61" s="49"/>
      <c r="BI61" s="49"/>
      <c r="BJ61" s="50">
        <f t="shared" si="12"/>
        <v>0</v>
      </c>
      <c r="BL61" s="49"/>
      <c r="BM61" s="49"/>
      <c r="BN61" s="50">
        <f t="shared" si="13"/>
        <v>0</v>
      </c>
      <c r="BP61" s="49"/>
      <c r="BQ61" s="49"/>
      <c r="BR61" s="50">
        <f t="shared" si="14"/>
        <v>0</v>
      </c>
      <c r="BT61" s="49"/>
      <c r="BU61" s="49"/>
      <c r="BV61" s="50">
        <f t="shared" si="15"/>
        <v>0</v>
      </c>
      <c r="BX61" s="49"/>
      <c r="BY61" s="49"/>
      <c r="BZ61" s="50">
        <f t="shared" si="16"/>
        <v>0</v>
      </c>
      <c r="CB61" s="49"/>
      <c r="CC61" s="49"/>
      <c r="CD61" s="50">
        <f t="shared" si="17"/>
        <v>0</v>
      </c>
      <c r="CF61" s="49"/>
      <c r="CG61" s="49"/>
      <c r="CH61" s="50">
        <f t="shared" si="18"/>
        <v>0</v>
      </c>
      <c r="CJ61" s="49"/>
      <c r="CK61" s="49"/>
      <c r="CL61" s="50">
        <f t="shared" si="19"/>
        <v>0</v>
      </c>
      <c r="CN61" s="49"/>
      <c r="CO61" s="49"/>
      <c r="CP61" s="50">
        <f t="shared" si="20"/>
        <v>0</v>
      </c>
      <c r="CR61" s="49"/>
      <c r="CS61" s="49"/>
      <c r="CT61" s="50">
        <f t="shared" si="21"/>
        <v>0</v>
      </c>
      <c r="CV61" s="49"/>
      <c r="CW61" s="49"/>
      <c r="CX61" s="50">
        <f t="shared" si="22"/>
        <v>0</v>
      </c>
      <c r="CZ61" s="49"/>
      <c r="DA61" s="49"/>
      <c r="DB61" s="50">
        <f t="shared" si="23"/>
        <v>0</v>
      </c>
      <c r="DD61" s="49"/>
      <c r="DE61" s="49"/>
      <c r="DF61" s="50">
        <f t="shared" si="24"/>
        <v>0</v>
      </c>
      <c r="DH61" s="49"/>
      <c r="DI61" s="49"/>
      <c r="DJ61" s="50">
        <f t="shared" si="25"/>
        <v>0</v>
      </c>
      <c r="DL61" s="49"/>
      <c r="DM61" s="49"/>
      <c r="DN61" s="50">
        <f t="shared" si="26"/>
        <v>0</v>
      </c>
      <c r="DP61" s="49"/>
      <c r="DQ61" s="49"/>
      <c r="DR61" s="50">
        <f t="shared" si="27"/>
        <v>0</v>
      </c>
      <c r="DT61" s="49"/>
      <c r="DU61" s="49"/>
      <c r="DV61" s="50">
        <f t="shared" si="28"/>
        <v>0</v>
      </c>
      <c r="DX61" s="49"/>
      <c r="DY61" s="49"/>
      <c r="DZ61" s="50">
        <f t="shared" si="29"/>
        <v>0</v>
      </c>
      <c r="EB61" s="49">
        <f t="shared" si="30"/>
        <v>0</v>
      </c>
      <c r="EC61" s="49">
        <f t="shared" si="30"/>
        <v>0</v>
      </c>
      <c r="ED61" s="49">
        <f t="shared" si="30"/>
        <v>0</v>
      </c>
    </row>
    <row r="62" spans="2:134" ht="11" customHeight="1" x14ac:dyDescent="0.35">
      <c r="B62" s="4">
        <v>110157</v>
      </c>
      <c r="C62" s="4" t="s">
        <v>68</v>
      </c>
      <c r="D62" s="4">
        <v>18</v>
      </c>
      <c r="E62" s="5">
        <v>18</v>
      </c>
      <c r="F62" s="6">
        <v>721.70176705999995</v>
      </c>
      <c r="G62" s="7"/>
      <c r="H62" s="49"/>
      <c r="I62" s="49"/>
      <c r="J62" s="50">
        <f t="shared" si="31"/>
        <v>0</v>
      </c>
      <c r="K62" s="9"/>
      <c r="L62" s="49"/>
      <c r="M62" s="49"/>
      <c r="N62" s="50">
        <f t="shared" si="0"/>
        <v>0</v>
      </c>
      <c r="O62" s="46"/>
      <c r="P62" s="49"/>
      <c r="Q62" s="49"/>
      <c r="R62" s="50">
        <f t="shared" si="1"/>
        <v>0</v>
      </c>
      <c r="T62" s="49"/>
      <c r="U62" s="49"/>
      <c r="V62" s="50">
        <f t="shared" si="2"/>
        <v>0</v>
      </c>
      <c r="X62" s="49"/>
      <c r="Y62" s="49"/>
      <c r="Z62" s="50">
        <f t="shared" si="3"/>
        <v>0</v>
      </c>
      <c r="AB62" s="49"/>
      <c r="AC62" s="49"/>
      <c r="AD62" s="50">
        <f t="shared" si="4"/>
        <v>0</v>
      </c>
      <c r="AF62" s="49"/>
      <c r="AG62" s="49"/>
      <c r="AH62" s="50">
        <f t="shared" si="5"/>
        <v>0</v>
      </c>
      <c r="AJ62" s="49"/>
      <c r="AK62" s="49"/>
      <c r="AL62" s="50">
        <f t="shared" si="6"/>
        <v>0</v>
      </c>
      <c r="AN62" s="49"/>
      <c r="AO62" s="49"/>
      <c r="AP62" s="50">
        <f t="shared" si="7"/>
        <v>0</v>
      </c>
      <c r="AR62" s="49"/>
      <c r="AS62" s="49"/>
      <c r="AT62" s="50">
        <f t="shared" si="8"/>
        <v>0</v>
      </c>
      <c r="AV62" s="49"/>
      <c r="AW62" s="49"/>
      <c r="AX62" s="50">
        <f t="shared" si="9"/>
        <v>0</v>
      </c>
      <c r="AZ62" s="49"/>
      <c r="BA62" s="49"/>
      <c r="BB62" s="50">
        <f t="shared" si="10"/>
        <v>0</v>
      </c>
      <c r="BD62" s="49"/>
      <c r="BE62" s="49"/>
      <c r="BF62" s="50">
        <f t="shared" si="11"/>
        <v>0</v>
      </c>
      <c r="BH62" s="49"/>
      <c r="BI62" s="49"/>
      <c r="BJ62" s="50">
        <f t="shared" si="12"/>
        <v>0</v>
      </c>
      <c r="BL62" s="49"/>
      <c r="BM62" s="49"/>
      <c r="BN62" s="50">
        <f t="shared" si="13"/>
        <v>0</v>
      </c>
      <c r="BP62" s="49"/>
      <c r="BQ62" s="49"/>
      <c r="BR62" s="50">
        <f t="shared" si="14"/>
        <v>0</v>
      </c>
      <c r="BT62" s="49"/>
      <c r="BU62" s="49"/>
      <c r="BV62" s="50">
        <f t="shared" si="15"/>
        <v>0</v>
      </c>
      <c r="BX62" s="49"/>
      <c r="BY62" s="49"/>
      <c r="BZ62" s="50">
        <f t="shared" si="16"/>
        <v>0</v>
      </c>
      <c r="CB62" s="49"/>
      <c r="CC62" s="49"/>
      <c r="CD62" s="50">
        <f t="shared" si="17"/>
        <v>0</v>
      </c>
      <c r="CF62" s="49"/>
      <c r="CG62" s="49"/>
      <c r="CH62" s="50">
        <f t="shared" si="18"/>
        <v>0</v>
      </c>
      <c r="CJ62" s="49"/>
      <c r="CK62" s="49"/>
      <c r="CL62" s="50">
        <f t="shared" si="19"/>
        <v>0</v>
      </c>
      <c r="CN62" s="49"/>
      <c r="CO62" s="49"/>
      <c r="CP62" s="50">
        <f t="shared" si="20"/>
        <v>0</v>
      </c>
      <c r="CR62" s="49"/>
      <c r="CS62" s="49"/>
      <c r="CT62" s="50">
        <f t="shared" si="21"/>
        <v>0</v>
      </c>
      <c r="CV62" s="49"/>
      <c r="CW62" s="49"/>
      <c r="CX62" s="50">
        <f t="shared" si="22"/>
        <v>0</v>
      </c>
      <c r="CZ62" s="49"/>
      <c r="DA62" s="49"/>
      <c r="DB62" s="50">
        <f t="shared" si="23"/>
        <v>0</v>
      </c>
      <c r="DD62" s="49"/>
      <c r="DE62" s="49"/>
      <c r="DF62" s="50">
        <f t="shared" si="24"/>
        <v>0</v>
      </c>
      <c r="DH62" s="49"/>
      <c r="DI62" s="49"/>
      <c r="DJ62" s="50">
        <f t="shared" si="25"/>
        <v>0</v>
      </c>
      <c r="DL62" s="49"/>
      <c r="DM62" s="49"/>
      <c r="DN62" s="50">
        <f t="shared" si="26"/>
        <v>0</v>
      </c>
      <c r="DP62" s="49"/>
      <c r="DQ62" s="49"/>
      <c r="DR62" s="50">
        <f t="shared" si="27"/>
        <v>0</v>
      </c>
      <c r="DT62" s="49"/>
      <c r="DU62" s="49"/>
      <c r="DV62" s="50">
        <f t="shared" si="28"/>
        <v>0</v>
      </c>
      <c r="DX62" s="49"/>
      <c r="DY62" s="49"/>
      <c r="DZ62" s="50">
        <f t="shared" si="29"/>
        <v>0</v>
      </c>
      <c r="EB62" s="49">
        <f t="shared" si="30"/>
        <v>0</v>
      </c>
      <c r="EC62" s="49">
        <f t="shared" si="30"/>
        <v>0</v>
      </c>
      <c r="ED62" s="49">
        <f t="shared" si="30"/>
        <v>0</v>
      </c>
    </row>
    <row r="63" spans="2:134" ht="11" customHeight="1" x14ac:dyDescent="0.35">
      <c r="B63" s="4">
        <v>111002</v>
      </c>
      <c r="C63" s="4" t="s">
        <v>69</v>
      </c>
      <c r="D63" s="4">
        <v>12</v>
      </c>
      <c r="E63" s="5">
        <v>18</v>
      </c>
      <c r="F63" s="6">
        <v>190.46151740799999</v>
      </c>
      <c r="G63" s="7"/>
      <c r="H63" s="49"/>
      <c r="I63" s="49"/>
      <c r="J63" s="50">
        <f t="shared" si="31"/>
        <v>0</v>
      </c>
      <c r="K63" s="9"/>
      <c r="L63" s="49"/>
      <c r="M63" s="49"/>
      <c r="N63" s="50">
        <f t="shared" si="0"/>
        <v>0</v>
      </c>
      <c r="O63" s="46"/>
      <c r="P63" s="49"/>
      <c r="Q63" s="49"/>
      <c r="R63" s="50">
        <f t="shared" si="1"/>
        <v>0</v>
      </c>
      <c r="T63" s="49"/>
      <c r="U63" s="49"/>
      <c r="V63" s="50">
        <f t="shared" si="2"/>
        <v>0</v>
      </c>
      <c r="X63" s="49"/>
      <c r="Y63" s="49"/>
      <c r="Z63" s="50">
        <f t="shared" si="3"/>
        <v>0</v>
      </c>
      <c r="AB63" s="49"/>
      <c r="AC63" s="49"/>
      <c r="AD63" s="50">
        <f t="shared" si="4"/>
        <v>0</v>
      </c>
      <c r="AF63" s="49"/>
      <c r="AG63" s="49"/>
      <c r="AH63" s="50">
        <f t="shared" si="5"/>
        <v>0</v>
      </c>
      <c r="AJ63" s="49"/>
      <c r="AK63" s="49"/>
      <c r="AL63" s="50">
        <f t="shared" si="6"/>
        <v>0</v>
      </c>
      <c r="AN63" s="49"/>
      <c r="AO63" s="49"/>
      <c r="AP63" s="50">
        <f t="shared" si="7"/>
        <v>0</v>
      </c>
      <c r="AR63" s="49"/>
      <c r="AS63" s="49"/>
      <c r="AT63" s="50">
        <f t="shared" si="8"/>
        <v>0</v>
      </c>
      <c r="AV63" s="49"/>
      <c r="AW63" s="49"/>
      <c r="AX63" s="50">
        <f t="shared" si="9"/>
        <v>0</v>
      </c>
      <c r="AZ63" s="49"/>
      <c r="BA63" s="49"/>
      <c r="BB63" s="50">
        <f t="shared" si="10"/>
        <v>0</v>
      </c>
      <c r="BD63" s="49"/>
      <c r="BE63" s="49"/>
      <c r="BF63" s="50">
        <f t="shared" si="11"/>
        <v>0</v>
      </c>
      <c r="BH63" s="49"/>
      <c r="BI63" s="49"/>
      <c r="BJ63" s="50">
        <f t="shared" si="12"/>
        <v>0</v>
      </c>
      <c r="BL63" s="49"/>
      <c r="BM63" s="49"/>
      <c r="BN63" s="50">
        <f t="shared" si="13"/>
        <v>0</v>
      </c>
      <c r="BP63" s="49"/>
      <c r="BQ63" s="49"/>
      <c r="BR63" s="50">
        <f t="shared" si="14"/>
        <v>0</v>
      </c>
      <c r="BT63" s="49"/>
      <c r="BU63" s="49"/>
      <c r="BV63" s="50">
        <f t="shared" si="15"/>
        <v>0</v>
      </c>
      <c r="BX63" s="49"/>
      <c r="BY63" s="49"/>
      <c r="BZ63" s="50">
        <f t="shared" si="16"/>
        <v>0</v>
      </c>
      <c r="CB63" s="49"/>
      <c r="CC63" s="49"/>
      <c r="CD63" s="50">
        <f t="shared" si="17"/>
        <v>0</v>
      </c>
      <c r="CF63" s="49"/>
      <c r="CG63" s="49"/>
      <c r="CH63" s="50">
        <f t="shared" si="18"/>
        <v>0</v>
      </c>
      <c r="CJ63" s="49"/>
      <c r="CK63" s="49"/>
      <c r="CL63" s="50">
        <f t="shared" si="19"/>
        <v>0</v>
      </c>
      <c r="CN63" s="49"/>
      <c r="CO63" s="49"/>
      <c r="CP63" s="50">
        <f t="shared" si="20"/>
        <v>0</v>
      </c>
      <c r="CR63" s="49"/>
      <c r="CS63" s="49"/>
      <c r="CT63" s="50">
        <f t="shared" si="21"/>
        <v>0</v>
      </c>
      <c r="CV63" s="49"/>
      <c r="CW63" s="49"/>
      <c r="CX63" s="50">
        <f t="shared" si="22"/>
        <v>0</v>
      </c>
      <c r="CZ63" s="49"/>
      <c r="DA63" s="49"/>
      <c r="DB63" s="50">
        <f t="shared" si="23"/>
        <v>0</v>
      </c>
      <c r="DD63" s="49"/>
      <c r="DE63" s="49"/>
      <c r="DF63" s="50">
        <f t="shared" si="24"/>
        <v>0</v>
      </c>
      <c r="DH63" s="49"/>
      <c r="DI63" s="49"/>
      <c r="DJ63" s="50">
        <f t="shared" si="25"/>
        <v>0</v>
      </c>
      <c r="DL63" s="49"/>
      <c r="DM63" s="49"/>
      <c r="DN63" s="50">
        <f t="shared" si="26"/>
        <v>0</v>
      </c>
      <c r="DP63" s="49"/>
      <c r="DQ63" s="49"/>
      <c r="DR63" s="50">
        <f t="shared" si="27"/>
        <v>0</v>
      </c>
      <c r="DT63" s="49"/>
      <c r="DU63" s="49"/>
      <c r="DV63" s="50">
        <f t="shared" si="28"/>
        <v>0</v>
      </c>
      <c r="DX63" s="49"/>
      <c r="DY63" s="49"/>
      <c r="DZ63" s="50">
        <f t="shared" si="29"/>
        <v>0</v>
      </c>
      <c r="EB63" s="49">
        <f t="shared" si="30"/>
        <v>0</v>
      </c>
      <c r="EC63" s="49">
        <f t="shared" si="30"/>
        <v>0</v>
      </c>
      <c r="ED63" s="49">
        <f t="shared" si="30"/>
        <v>0</v>
      </c>
    </row>
    <row r="64" spans="2:134" ht="11" customHeight="1" x14ac:dyDescent="0.35">
      <c r="B64" s="4">
        <v>111006</v>
      </c>
      <c r="C64" s="4" t="s">
        <v>70</v>
      </c>
      <c r="D64" s="4">
        <v>24</v>
      </c>
      <c r="E64" s="5">
        <v>18</v>
      </c>
      <c r="F64" s="6">
        <v>193.64193294</v>
      </c>
      <c r="G64" s="7"/>
      <c r="H64" s="49"/>
      <c r="I64" s="49"/>
      <c r="J64" s="50">
        <f t="shared" si="31"/>
        <v>0</v>
      </c>
      <c r="K64" s="9"/>
      <c r="L64" s="49"/>
      <c r="M64" s="49"/>
      <c r="N64" s="50">
        <f t="shared" si="0"/>
        <v>0</v>
      </c>
      <c r="O64" s="46"/>
      <c r="P64" s="49"/>
      <c r="Q64" s="49"/>
      <c r="R64" s="50">
        <f t="shared" si="1"/>
        <v>0</v>
      </c>
      <c r="T64" s="49"/>
      <c r="U64" s="49"/>
      <c r="V64" s="50">
        <f t="shared" si="2"/>
        <v>0</v>
      </c>
      <c r="X64" s="49"/>
      <c r="Y64" s="49"/>
      <c r="Z64" s="50">
        <f t="shared" si="3"/>
        <v>0</v>
      </c>
      <c r="AB64" s="49"/>
      <c r="AC64" s="49"/>
      <c r="AD64" s="50">
        <f t="shared" si="4"/>
        <v>0</v>
      </c>
      <c r="AF64" s="49"/>
      <c r="AG64" s="49"/>
      <c r="AH64" s="50">
        <f t="shared" si="5"/>
        <v>0</v>
      </c>
      <c r="AJ64" s="49"/>
      <c r="AK64" s="49"/>
      <c r="AL64" s="50">
        <f t="shared" si="6"/>
        <v>0</v>
      </c>
      <c r="AN64" s="49"/>
      <c r="AO64" s="49"/>
      <c r="AP64" s="50">
        <f t="shared" si="7"/>
        <v>0</v>
      </c>
      <c r="AR64" s="49"/>
      <c r="AS64" s="49"/>
      <c r="AT64" s="50">
        <f t="shared" si="8"/>
        <v>0</v>
      </c>
      <c r="AV64" s="49"/>
      <c r="AW64" s="49"/>
      <c r="AX64" s="50">
        <f t="shared" si="9"/>
        <v>0</v>
      </c>
      <c r="AZ64" s="49"/>
      <c r="BA64" s="49"/>
      <c r="BB64" s="50">
        <f t="shared" si="10"/>
        <v>0</v>
      </c>
      <c r="BD64" s="49"/>
      <c r="BE64" s="49"/>
      <c r="BF64" s="50">
        <f t="shared" si="11"/>
        <v>0</v>
      </c>
      <c r="BH64" s="49"/>
      <c r="BI64" s="49"/>
      <c r="BJ64" s="50">
        <f t="shared" si="12"/>
        <v>0</v>
      </c>
      <c r="BL64" s="49"/>
      <c r="BM64" s="49"/>
      <c r="BN64" s="50">
        <f t="shared" si="13"/>
        <v>0</v>
      </c>
      <c r="BP64" s="49"/>
      <c r="BQ64" s="49"/>
      <c r="BR64" s="50">
        <f t="shared" si="14"/>
        <v>0</v>
      </c>
      <c r="BT64" s="49"/>
      <c r="BU64" s="49"/>
      <c r="BV64" s="50">
        <f t="shared" si="15"/>
        <v>0</v>
      </c>
      <c r="BX64" s="49"/>
      <c r="BY64" s="49"/>
      <c r="BZ64" s="50">
        <f t="shared" si="16"/>
        <v>0</v>
      </c>
      <c r="CB64" s="49"/>
      <c r="CC64" s="49"/>
      <c r="CD64" s="50">
        <f t="shared" si="17"/>
        <v>0</v>
      </c>
      <c r="CF64" s="49"/>
      <c r="CG64" s="49"/>
      <c r="CH64" s="50">
        <f t="shared" si="18"/>
        <v>0</v>
      </c>
      <c r="CJ64" s="49"/>
      <c r="CK64" s="49"/>
      <c r="CL64" s="50">
        <f t="shared" si="19"/>
        <v>0</v>
      </c>
      <c r="CN64" s="49"/>
      <c r="CO64" s="49"/>
      <c r="CP64" s="50">
        <f t="shared" si="20"/>
        <v>0</v>
      </c>
      <c r="CR64" s="49"/>
      <c r="CS64" s="49"/>
      <c r="CT64" s="50">
        <f t="shared" si="21"/>
        <v>0</v>
      </c>
      <c r="CV64" s="49"/>
      <c r="CW64" s="49"/>
      <c r="CX64" s="50">
        <f t="shared" si="22"/>
        <v>0</v>
      </c>
      <c r="CZ64" s="49"/>
      <c r="DA64" s="49"/>
      <c r="DB64" s="50">
        <f t="shared" si="23"/>
        <v>0</v>
      </c>
      <c r="DD64" s="49"/>
      <c r="DE64" s="49"/>
      <c r="DF64" s="50">
        <f t="shared" si="24"/>
        <v>0</v>
      </c>
      <c r="DH64" s="49"/>
      <c r="DI64" s="49"/>
      <c r="DJ64" s="50">
        <f t="shared" si="25"/>
        <v>0</v>
      </c>
      <c r="DL64" s="49"/>
      <c r="DM64" s="49"/>
      <c r="DN64" s="50">
        <f t="shared" si="26"/>
        <v>0</v>
      </c>
      <c r="DP64" s="49"/>
      <c r="DQ64" s="49"/>
      <c r="DR64" s="50">
        <f t="shared" si="27"/>
        <v>0</v>
      </c>
      <c r="DT64" s="49"/>
      <c r="DU64" s="49"/>
      <c r="DV64" s="50">
        <f t="shared" si="28"/>
        <v>0</v>
      </c>
      <c r="DX64" s="49"/>
      <c r="DY64" s="49"/>
      <c r="DZ64" s="50">
        <f t="shared" si="29"/>
        <v>0</v>
      </c>
      <c r="EB64" s="49">
        <f t="shared" si="30"/>
        <v>0</v>
      </c>
      <c r="EC64" s="49">
        <f t="shared" si="30"/>
        <v>0</v>
      </c>
      <c r="ED64" s="49">
        <f t="shared" si="30"/>
        <v>0</v>
      </c>
    </row>
    <row r="65" spans="2:134" ht="11" customHeight="1" x14ac:dyDescent="0.35">
      <c r="B65" s="4">
        <v>111107</v>
      </c>
      <c r="C65" s="4" t="s">
        <v>71</v>
      </c>
      <c r="D65" s="4">
        <v>1</v>
      </c>
      <c r="E65" s="5">
        <v>48</v>
      </c>
      <c r="F65" s="6">
        <v>39.4372481296</v>
      </c>
      <c r="G65" s="7"/>
      <c r="H65" s="49"/>
      <c r="I65" s="49"/>
      <c r="J65" s="50">
        <f t="shared" si="31"/>
        <v>0</v>
      </c>
      <c r="K65" s="9"/>
      <c r="L65" s="49"/>
      <c r="M65" s="49"/>
      <c r="N65" s="50">
        <f t="shared" si="0"/>
        <v>0</v>
      </c>
      <c r="O65" s="46"/>
      <c r="P65" s="49"/>
      <c r="Q65" s="49"/>
      <c r="R65" s="50">
        <f t="shared" si="1"/>
        <v>0</v>
      </c>
      <c r="T65" s="49"/>
      <c r="U65" s="49"/>
      <c r="V65" s="50">
        <f t="shared" si="2"/>
        <v>0</v>
      </c>
      <c r="X65" s="49"/>
      <c r="Y65" s="49"/>
      <c r="Z65" s="50">
        <f t="shared" si="3"/>
        <v>0</v>
      </c>
      <c r="AB65" s="49"/>
      <c r="AC65" s="49"/>
      <c r="AD65" s="50">
        <f t="shared" si="4"/>
        <v>0</v>
      </c>
      <c r="AF65" s="49"/>
      <c r="AG65" s="49"/>
      <c r="AH65" s="50">
        <f t="shared" si="5"/>
        <v>0</v>
      </c>
      <c r="AJ65" s="49"/>
      <c r="AK65" s="49"/>
      <c r="AL65" s="50">
        <f t="shared" si="6"/>
        <v>0</v>
      </c>
      <c r="AN65" s="49"/>
      <c r="AO65" s="49"/>
      <c r="AP65" s="50">
        <f t="shared" si="7"/>
        <v>0</v>
      </c>
      <c r="AR65" s="49"/>
      <c r="AS65" s="49"/>
      <c r="AT65" s="50">
        <f t="shared" si="8"/>
        <v>0</v>
      </c>
      <c r="AV65" s="49"/>
      <c r="AW65" s="49"/>
      <c r="AX65" s="50">
        <f t="shared" si="9"/>
        <v>0</v>
      </c>
      <c r="AZ65" s="49"/>
      <c r="BA65" s="49"/>
      <c r="BB65" s="50">
        <f t="shared" si="10"/>
        <v>0</v>
      </c>
      <c r="BD65" s="49"/>
      <c r="BE65" s="49"/>
      <c r="BF65" s="50">
        <f t="shared" si="11"/>
        <v>0</v>
      </c>
      <c r="BH65" s="49"/>
      <c r="BI65" s="49"/>
      <c r="BJ65" s="50">
        <f t="shared" si="12"/>
        <v>0</v>
      </c>
      <c r="BL65" s="49"/>
      <c r="BM65" s="49"/>
      <c r="BN65" s="50">
        <f t="shared" si="13"/>
        <v>0</v>
      </c>
      <c r="BP65" s="49"/>
      <c r="BQ65" s="49"/>
      <c r="BR65" s="50">
        <f t="shared" si="14"/>
        <v>0</v>
      </c>
      <c r="BT65" s="49"/>
      <c r="BU65" s="49"/>
      <c r="BV65" s="50">
        <f t="shared" si="15"/>
        <v>0</v>
      </c>
      <c r="BX65" s="49"/>
      <c r="BY65" s="49"/>
      <c r="BZ65" s="50">
        <f t="shared" si="16"/>
        <v>0</v>
      </c>
      <c r="CB65" s="49"/>
      <c r="CC65" s="49"/>
      <c r="CD65" s="50">
        <f t="shared" si="17"/>
        <v>0</v>
      </c>
      <c r="CF65" s="49"/>
      <c r="CG65" s="49"/>
      <c r="CH65" s="50">
        <f t="shared" si="18"/>
        <v>0</v>
      </c>
      <c r="CJ65" s="49"/>
      <c r="CK65" s="49"/>
      <c r="CL65" s="50">
        <f t="shared" si="19"/>
        <v>0</v>
      </c>
      <c r="CN65" s="49"/>
      <c r="CO65" s="49"/>
      <c r="CP65" s="50">
        <f t="shared" si="20"/>
        <v>0</v>
      </c>
      <c r="CR65" s="49"/>
      <c r="CS65" s="49"/>
      <c r="CT65" s="50">
        <f t="shared" si="21"/>
        <v>0</v>
      </c>
      <c r="CV65" s="49"/>
      <c r="CW65" s="49"/>
      <c r="CX65" s="50">
        <f t="shared" si="22"/>
        <v>0</v>
      </c>
      <c r="CZ65" s="49"/>
      <c r="DA65" s="49"/>
      <c r="DB65" s="50">
        <f t="shared" si="23"/>
        <v>0</v>
      </c>
      <c r="DD65" s="49"/>
      <c r="DE65" s="49"/>
      <c r="DF65" s="50">
        <f t="shared" si="24"/>
        <v>0</v>
      </c>
      <c r="DH65" s="49"/>
      <c r="DI65" s="49"/>
      <c r="DJ65" s="50">
        <f t="shared" si="25"/>
        <v>0</v>
      </c>
      <c r="DL65" s="49"/>
      <c r="DM65" s="49"/>
      <c r="DN65" s="50">
        <f t="shared" si="26"/>
        <v>0</v>
      </c>
      <c r="DP65" s="49"/>
      <c r="DQ65" s="49"/>
      <c r="DR65" s="50">
        <f t="shared" si="27"/>
        <v>0</v>
      </c>
      <c r="DT65" s="49"/>
      <c r="DU65" s="49"/>
      <c r="DV65" s="50">
        <f t="shared" si="28"/>
        <v>0</v>
      </c>
      <c r="DX65" s="49"/>
      <c r="DY65" s="49"/>
      <c r="DZ65" s="50">
        <f t="shared" si="29"/>
        <v>0</v>
      </c>
      <c r="EB65" s="49">
        <f t="shared" si="30"/>
        <v>0</v>
      </c>
      <c r="EC65" s="49">
        <f t="shared" si="30"/>
        <v>0</v>
      </c>
      <c r="ED65" s="49">
        <f t="shared" si="30"/>
        <v>0</v>
      </c>
    </row>
    <row r="66" spans="2:134" ht="11" customHeight="1" x14ac:dyDescent="0.35">
      <c r="B66" s="4">
        <v>111108</v>
      </c>
      <c r="C66" s="4" t="s">
        <v>72</v>
      </c>
      <c r="D66" s="4">
        <v>1</v>
      </c>
      <c r="E66" s="5">
        <v>48</v>
      </c>
      <c r="F66" s="6">
        <v>39.4372481296</v>
      </c>
      <c r="G66" s="7"/>
      <c r="H66" s="49"/>
      <c r="I66" s="49"/>
      <c r="J66" s="50">
        <f t="shared" si="31"/>
        <v>0</v>
      </c>
      <c r="K66" s="9"/>
      <c r="L66" s="49"/>
      <c r="M66" s="49"/>
      <c r="N66" s="50">
        <f t="shared" si="0"/>
        <v>0</v>
      </c>
      <c r="O66" s="46"/>
      <c r="P66" s="49"/>
      <c r="Q66" s="49"/>
      <c r="R66" s="50">
        <f t="shared" si="1"/>
        <v>0</v>
      </c>
      <c r="T66" s="49"/>
      <c r="U66" s="49"/>
      <c r="V66" s="50">
        <f t="shared" si="2"/>
        <v>0</v>
      </c>
      <c r="X66" s="49"/>
      <c r="Y66" s="49"/>
      <c r="Z66" s="50">
        <f t="shared" si="3"/>
        <v>0</v>
      </c>
      <c r="AB66" s="49"/>
      <c r="AC66" s="49"/>
      <c r="AD66" s="50">
        <f t="shared" si="4"/>
        <v>0</v>
      </c>
      <c r="AF66" s="49"/>
      <c r="AG66" s="49"/>
      <c r="AH66" s="50">
        <f t="shared" si="5"/>
        <v>0</v>
      </c>
      <c r="AJ66" s="49"/>
      <c r="AK66" s="49"/>
      <c r="AL66" s="50">
        <f t="shared" si="6"/>
        <v>0</v>
      </c>
      <c r="AN66" s="49"/>
      <c r="AO66" s="49"/>
      <c r="AP66" s="50">
        <f t="shared" si="7"/>
        <v>0</v>
      </c>
      <c r="AR66" s="49"/>
      <c r="AS66" s="49"/>
      <c r="AT66" s="50">
        <f t="shared" si="8"/>
        <v>0</v>
      </c>
      <c r="AV66" s="49"/>
      <c r="AW66" s="49"/>
      <c r="AX66" s="50">
        <f t="shared" si="9"/>
        <v>0</v>
      </c>
      <c r="AZ66" s="49"/>
      <c r="BA66" s="49"/>
      <c r="BB66" s="50">
        <f t="shared" si="10"/>
        <v>0</v>
      </c>
      <c r="BD66" s="49"/>
      <c r="BE66" s="49"/>
      <c r="BF66" s="50">
        <f t="shared" si="11"/>
        <v>0</v>
      </c>
      <c r="BH66" s="49"/>
      <c r="BI66" s="49"/>
      <c r="BJ66" s="50">
        <f t="shared" si="12"/>
        <v>0</v>
      </c>
      <c r="BL66" s="49"/>
      <c r="BM66" s="49"/>
      <c r="BN66" s="50">
        <f t="shared" si="13"/>
        <v>0</v>
      </c>
      <c r="BP66" s="49"/>
      <c r="BQ66" s="49"/>
      <c r="BR66" s="50">
        <f t="shared" si="14"/>
        <v>0</v>
      </c>
      <c r="BT66" s="49"/>
      <c r="BU66" s="49"/>
      <c r="BV66" s="50">
        <f t="shared" si="15"/>
        <v>0</v>
      </c>
      <c r="BX66" s="49"/>
      <c r="BY66" s="49"/>
      <c r="BZ66" s="50">
        <f t="shared" si="16"/>
        <v>0</v>
      </c>
      <c r="CB66" s="49"/>
      <c r="CC66" s="49"/>
      <c r="CD66" s="50">
        <f t="shared" si="17"/>
        <v>0</v>
      </c>
      <c r="CF66" s="49"/>
      <c r="CG66" s="49"/>
      <c r="CH66" s="50">
        <f t="shared" si="18"/>
        <v>0</v>
      </c>
      <c r="CJ66" s="49"/>
      <c r="CK66" s="49"/>
      <c r="CL66" s="50">
        <f t="shared" si="19"/>
        <v>0</v>
      </c>
      <c r="CN66" s="49"/>
      <c r="CO66" s="49"/>
      <c r="CP66" s="50">
        <f t="shared" si="20"/>
        <v>0</v>
      </c>
      <c r="CR66" s="49"/>
      <c r="CS66" s="49"/>
      <c r="CT66" s="50">
        <f t="shared" si="21"/>
        <v>0</v>
      </c>
      <c r="CV66" s="49"/>
      <c r="CW66" s="49"/>
      <c r="CX66" s="50">
        <f t="shared" si="22"/>
        <v>0</v>
      </c>
      <c r="CZ66" s="49"/>
      <c r="DA66" s="49"/>
      <c r="DB66" s="50">
        <f t="shared" si="23"/>
        <v>0</v>
      </c>
      <c r="DD66" s="49"/>
      <c r="DE66" s="49"/>
      <c r="DF66" s="50">
        <f t="shared" si="24"/>
        <v>0</v>
      </c>
      <c r="DH66" s="49"/>
      <c r="DI66" s="49"/>
      <c r="DJ66" s="50">
        <f t="shared" si="25"/>
        <v>0</v>
      </c>
      <c r="DL66" s="49"/>
      <c r="DM66" s="49"/>
      <c r="DN66" s="50">
        <f t="shared" si="26"/>
        <v>0</v>
      </c>
      <c r="DP66" s="49"/>
      <c r="DQ66" s="49"/>
      <c r="DR66" s="50">
        <f t="shared" si="27"/>
        <v>0</v>
      </c>
      <c r="DT66" s="49"/>
      <c r="DU66" s="49"/>
      <c r="DV66" s="50">
        <f t="shared" si="28"/>
        <v>0</v>
      </c>
      <c r="DX66" s="49"/>
      <c r="DY66" s="49"/>
      <c r="DZ66" s="50">
        <f t="shared" si="29"/>
        <v>0</v>
      </c>
      <c r="EB66" s="49">
        <f t="shared" si="30"/>
        <v>0</v>
      </c>
      <c r="EC66" s="49">
        <f t="shared" si="30"/>
        <v>0</v>
      </c>
      <c r="ED66" s="49">
        <f t="shared" si="30"/>
        <v>0</v>
      </c>
    </row>
    <row r="67" spans="2:134" ht="11" customHeight="1" x14ac:dyDescent="0.35">
      <c r="B67" s="4">
        <v>111109</v>
      </c>
      <c r="C67" s="4" t="s">
        <v>73</v>
      </c>
      <c r="D67" s="4">
        <v>12</v>
      </c>
      <c r="E67" s="5">
        <v>18</v>
      </c>
      <c r="F67" s="6">
        <v>190.46151740799999</v>
      </c>
      <c r="G67" s="7"/>
      <c r="H67" s="49"/>
      <c r="I67" s="49"/>
      <c r="J67" s="50">
        <f t="shared" si="31"/>
        <v>0</v>
      </c>
      <c r="K67" s="9"/>
      <c r="L67" s="49"/>
      <c r="M67" s="49"/>
      <c r="N67" s="50">
        <f t="shared" si="0"/>
        <v>0</v>
      </c>
      <c r="O67" s="46"/>
      <c r="P67" s="49"/>
      <c r="Q67" s="49"/>
      <c r="R67" s="50">
        <f t="shared" si="1"/>
        <v>0</v>
      </c>
      <c r="T67" s="49"/>
      <c r="U67" s="49"/>
      <c r="V67" s="50">
        <f t="shared" si="2"/>
        <v>0</v>
      </c>
      <c r="X67" s="49"/>
      <c r="Y67" s="49"/>
      <c r="Z67" s="50">
        <f t="shared" si="3"/>
        <v>0</v>
      </c>
      <c r="AB67" s="49"/>
      <c r="AC67" s="49"/>
      <c r="AD67" s="50">
        <f t="shared" si="4"/>
        <v>0</v>
      </c>
      <c r="AF67" s="49"/>
      <c r="AG67" s="49"/>
      <c r="AH67" s="50">
        <f t="shared" si="5"/>
        <v>0</v>
      </c>
      <c r="AJ67" s="49"/>
      <c r="AK67" s="49"/>
      <c r="AL67" s="50">
        <f t="shared" si="6"/>
        <v>0</v>
      </c>
      <c r="AN67" s="49"/>
      <c r="AO67" s="49"/>
      <c r="AP67" s="50">
        <f t="shared" si="7"/>
        <v>0</v>
      </c>
      <c r="AR67" s="49"/>
      <c r="AS67" s="49"/>
      <c r="AT67" s="50">
        <f t="shared" si="8"/>
        <v>0</v>
      </c>
      <c r="AV67" s="49"/>
      <c r="AW67" s="49"/>
      <c r="AX67" s="50">
        <f t="shared" si="9"/>
        <v>0</v>
      </c>
      <c r="AZ67" s="49"/>
      <c r="BA67" s="49"/>
      <c r="BB67" s="50">
        <f t="shared" si="10"/>
        <v>0</v>
      </c>
      <c r="BD67" s="49"/>
      <c r="BE67" s="49"/>
      <c r="BF67" s="50">
        <f t="shared" si="11"/>
        <v>0</v>
      </c>
      <c r="BH67" s="49"/>
      <c r="BI67" s="49"/>
      <c r="BJ67" s="50">
        <f t="shared" si="12"/>
        <v>0</v>
      </c>
      <c r="BL67" s="49"/>
      <c r="BM67" s="49"/>
      <c r="BN67" s="50">
        <f t="shared" si="13"/>
        <v>0</v>
      </c>
      <c r="BP67" s="49"/>
      <c r="BQ67" s="49"/>
      <c r="BR67" s="50">
        <f t="shared" si="14"/>
        <v>0</v>
      </c>
      <c r="BT67" s="49"/>
      <c r="BU67" s="49"/>
      <c r="BV67" s="50">
        <f t="shared" si="15"/>
        <v>0</v>
      </c>
      <c r="BX67" s="49"/>
      <c r="BY67" s="49"/>
      <c r="BZ67" s="50">
        <f t="shared" si="16"/>
        <v>0</v>
      </c>
      <c r="CB67" s="49"/>
      <c r="CC67" s="49"/>
      <c r="CD67" s="50">
        <f t="shared" si="17"/>
        <v>0</v>
      </c>
      <c r="CF67" s="49"/>
      <c r="CG67" s="49"/>
      <c r="CH67" s="50">
        <f t="shared" si="18"/>
        <v>0</v>
      </c>
      <c r="CJ67" s="49"/>
      <c r="CK67" s="49"/>
      <c r="CL67" s="50">
        <f t="shared" si="19"/>
        <v>0</v>
      </c>
      <c r="CN67" s="49"/>
      <c r="CO67" s="49"/>
      <c r="CP67" s="50">
        <f t="shared" si="20"/>
        <v>0</v>
      </c>
      <c r="CR67" s="49"/>
      <c r="CS67" s="49"/>
      <c r="CT67" s="50">
        <f t="shared" si="21"/>
        <v>0</v>
      </c>
      <c r="CV67" s="49"/>
      <c r="CW67" s="49"/>
      <c r="CX67" s="50">
        <f t="shared" si="22"/>
        <v>0</v>
      </c>
      <c r="CZ67" s="49"/>
      <c r="DA67" s="49"/>
      <c r="DB67" s="50">
        <f t="shared" si="23"/>
        <v>0</v>
      </c>
      <c r="DD67" s="49"/>
      <c r="DE67" s="49"/>
      <c r="DF67" s="50">
        <f t="shared" si="24"/>
        <v>0</v>
      </c>
      <c r="DH67" s="49"/>
      <c r="DI67" s="49"/>
      <c r="DJ67" s="50">
        <f t="shared" si="25"/>
        <v>0</v>
      </c>
      <c r="DL67" s="49"/>
      <c r="DM67" s="49"/>
      <c r="DN67" s="50">
        <f t="shared" si="26"/>
        <v>0</v>
      </c>
      <c r="DP67" s="49"/>
      <c r="DQ67" s="49"/>
      <c r="DR67" s="50">
        <f t="shared" si="27"/>
        <v>0</v>
      </c>
      <c r="DT67" s="49"/>
      <c r="DU67" s="49"/>
      <c r="DV67" s="50">
        <f t="shared" si="28"/>
        <v>0</v>
      </c>
      <c r="DX67" s="49"/>
      <c r="DY67" s="49"/>
      <c r="DZ67" s="50">
        <f t="shared" si="29"/>
        <v>0</v>
      </c>
      <c r="EB67" s="49">
        <f t="shared" si="30"/>
        <v>0</v>
      </c>
      <c r="EC67" s="49">
        <f t="shared" si="30"/>
        <v>0</v>
      </c>
      <c r="ED67" s="49">
        <f t="shared" si="30"/>
        <v>0</v>
      </c>
    </row>
    <row r="68" spans="2:134" ht="11" customHeight="1" x14ac:dyDescent="0.35">
      <c r="B68" s="4">
        <v>111124</v>
      </c>
      <c r="C68" s="4" t="s">
        <v>74</v>
      </c>
      <c r="D68" s="4">
        <v>24</v>
      </c>
      <c r="E68" s="5">
        <v>18</v>
      </c>
      <c r="F68" s="6">
        <v>193.64193294</v>
      </c>
      <c r="G68" s="7"/>
      <c r="H68" s="49"/>
      <c r="I68" s="49"/>
      <c r="J68" s="50">
        <f t="shared" si="31"/>
        <v>0</v>
      </c>
      <c r="K68" s="9"/>
      <c r="L68" s="49"/>
      <c r="M68" s="49"/>
      <c r="N68" s="50">
        <f t="shared" si="0"/>
        <v>0</v>
      </c>
      <c r="O68" s="46"/>
      <c r="P68" s="49"/>
      <c r="Q68" s="49"/>
      <c r="R68" s="50">
        <f t="shared" si="1"/>
        <v>0</v>
      </c>
      <c r="T68" s="49"/>
      <c r="U68" s="49"/>
      <c r="V68" s="50">
        <f t="shared" si="2"/>
        <v>0</v>
      </c>
      <c r="X68" s="49"/>
      <c r="Y68" s="49"/>
      <c r="Z68" s="50">
        <f t="shared" si="3"/>
        <v>0</v>
      </c>
      <c r="AB68" s="49"/>
      <c r="AC68" s="49"/>
      <c r="AD68" s="50">
        <f t="shared" si="4"/>
        <v>0</v>
      </c>
      <c r="AF68" s="49"/>
      <c r="AG68" s="49"/>
      <c r="AH68" s="50">
        <f t="shared" si="5"/>
        <v>0</v>
      </c>
      <c r="AJ68" s="49"/>
      <c r="AK68" s="49"/>
      <c r="AL68" s="50">
        <f t="shared" si="6"/>
        <v>0</v>
      </c>
      <c r="AN68" s="49"/>
      <c r="AO68" s="49"/>
      <c r="AP68" s="50">
        <f t="shared" si="7"/>
        <v>0</v>
      </c>
      <c r="AR68" s="49"/>
      <c r="AS68" s="49"/>
      <c r="AT68" s="50">
        <f t="shared" si="8"/>
        <v>0</v>
      </c>
      <c r="AV68" s="49"/>
      <c r="AW68" s="49"/>
      <c r="AX68" s="50">
        <f t="shared" si="9"/>
        <v>0</v>
      </c>
      <c r="AZ68" s="49"/>
      <c r="BA68" s="49"/>
      <c r="BB68" s="50">
        <f t="shared" si="10"/>
        <v>0</v>
      </c>
      <c r="BD68" s="49"/>
      <c r="BE68" s="49"/>
      <c r="BF68" s="50">
        <f t="shared" si="11"/>
        <v>0</v>
      </c>
      <c r="BH68" s="49"/>
      <c r="BI68" s="49"/>
      <c r="BJ68" s="50">
        <f t="shared" si="12"/>
        <v>0</v>
      </c>
      <c r="BL68" s="49"/>
      <c r="BM68" s="49"/>
      <c r="BN68" s="50">
        <f t="shared" si="13"/>
        <v>0</v>
      </c>
      <c r="BP68" s="49"/>
      <c r="BQ68" s="49"/>
      <c r="BR68" s="50">
        <f t="shared" si="14"/>
        <v>0</v>
      </c>
      <c r="BT68" s="49"/>
      <c r="BU68" s="49"/>
      <c r="BV68" s="50">
        <f t="shared" si="15"/>
        <v>0</v>
      </c>
      <c r="BX68" s="49"/>
      <c r="BY68" s="49"/>
      <c r="BZ68" s="50">
        <f t="shared" si="16"/>
        <v>0</v>
      </c>
      <c r="CB68" s="49"/>
      <c r="CC68" s="49"/>
      <c r="CD68" s="50">
        <f t="shared" si="17"/>
        <v>0</v>
      </c>
      <c r="CF68" s="49"/>
      <c r="CG68" s="49"/>
      <c r="CH68" s="50">
        <f t="shared" si="18"/>
        <v>0</v>
      </c>
      <c r="CJ68" s="49"/>
      <c r="CK68" s="49"/>
      <c r="CL68" s="50">
        <f t="shared" si="19"/>
        <v>0</v>
      </c>
      <c r="CN68" s="49"/>
      <c r="CO68" s="49"/>
      <c r="CP68" s="50">
        <f t="shared" si="20"/>
        <v>0</v>
      </c>
      <c r="CR68" s="49"/>
      <c r="CS68" s="49"/>
      <c r="CT68" s="50">
        <f t="shared" si="21"/>
        <v>0</v>
      </c>
      <c r="CV68" s="49"/>
      <c r="CW68" s="49"/>
      <c r="CX68" s="50">
        <f t="shared" si="22"/>
        <v>0</v>
      </c>
      <c r="CZ68" s="49"/>
      <c r="DA68" s="49"/>
      <c r="DB68" s="50">
        <f t="shared" si="23"/>
        <v>0</v>
      </c>
      <c r="DD68" s="49"/>
      <c r="DE68" s="49"/>
      <c r="DF68" s="50">
        <f t="shared" si="24"/>
        <v>0</v>
      </c>
      <c r="DH68" s="49"/>
      <c r="DI68" s="49"/>
      <c r="DJ68" s="50">
        <f t="shared" si="25"/>
        <v>0</v>
      </c>
      <c r="DL68" s="49"/>
      <c r="DM68" s="49"/>
      <c r="DN68" s="50">
        <f t="shared" si="26"/>
        <v>0</v>
      </c>
      <c r="DP68" s="49"/>
      <c r="DQ68" s="49"/>
      <c r="DR68" s="50">
        <f t="shared" si="27"/>
        <v>0</v>
      </c>
      <c r="DT68" s="49"/>
      <c r="DU68" s="49"/>
      <c r="DV68" s="50">
        <f t="shared" si="28"/>
        <v>0</v>
      </c>
      <c r="DX68" s="49"/>
      <c r="DY68" s="49"/>
      <c r="DZ68" s="50">
        <f t="shared" si="29"/>
        <v>0</v>
      </c>
      <c r="EB68" s="49">
        <f t="shared" si="30"/>
        <v>0</v>
      </c>
      <c r="EC68" s="49">
        <f t="shared" si="30"/>
        <v>0</v>
      </c>
      <c r="ED68" s="49">
        <f t="shared" si="30"/>
        <v>0</v>
      </c>
    </row>
    <row r="69" spans="2:134" ht="11" customHeight="1" x14ac:dyDescent="0.35">
      <c r="B69" s="4">
        <v>111131</v>
      </c>
      <c r="C69" s="4" t="s">
        <v>75</v>
      </c>
      <c r="D69" s="4">
        <v>12</v>
      </c>
      <c r="E69" s="5">
        <v>8</v>
      </c>
      <c r="F69" s="6">
        <v>481.09632499999998</v>
      </c>
      <c r="G69" s="7"/>
      <c r="H69" s="49"/>
      <c r="I69" s="49"/>
      <c r="J69" s="50">
        <f t="shared" si="31"/>
        <v>0</v>
      </c>
      <c r="K69" s="9"/>
      <c r="L69" s="49"/>
      <c r="M69" s="49"/>
      <c r="N69" s="50">
        <f t="shared" ref="N69:N108" si="32">(M69/E69)+L69</f>
        <v>0</v>
      </c>
      <c r="O69" s="46"/>
      <c r="P69" s="49"/>
      <c r="Q69" s="49"/>
      <c r="R69" s="50">
        <f t="shared" ref="R69:R108" si="33">(Q69/E69)+P69</f>
        <v>0</v>
      </c>
      <c r="T69" s="49"/>
      <c r="U69" s="49"/>
      <c r="V69" s="50">
        <f t="shared" ref="V69:V108" si="34">(U69/E69)+T69</f>
        <v>0</v>
      </c>
      <c r="X69" s="49"/>
      <c r="Y69" s="49"/>
      <c r="Z69" s="50">
        <f t="shared" ref="Z69:Z108" si="35">(Y69/E69)+X69</f>
        <v>0</v>
      </c>
      <c r="AB69" s="49"/>
      <c r="AC69" s="49"/>
      <c r="AD69" s="50">
        <f t="shared" ref="AD69:AD108" si="36">(AC69/E69)+AB69</f>
        <v>0</v>
      </c>
      <c r="AF69" s="49"/>
      <c r="AG69" s="49"/>
      <c r="AH69" s="50">
        <f t="shared" ref="AH69:AH108" si="37">(AG69/E69)+AF69</f>
        <v>0</v>
      </c>
      <c r="AJ69" s="49"/>
      <c r="AK69" s="49"/>
      <c r="AL69" s="50">
        <f t="shared" ref="AL69:AL108" si="38">(AK69/E69)+AJ69</f>
        <v>0</v>
      </c>
      <c r="AN69" s="49"/>
      <c r="AO69" s="49"/>
      <c r="AP69" s="50">
        <f t="shared" ref="AP69:AP108" si="39">(AO69/E69)+AN69</f>
        <v>0</v>
      </c>
      <c r="AR69" s="49"/>
      <c r="AS69" s="49"/>
      <c r="AT69" s="50">
        <f t="shared" ref="AT69:AT108" si="40">(AS69/E69)+AR69</f>
        <v>0</v>
      </c>
      <c r="AV69" s="49"/>
      <c r="AW69" s="49"/>
      <c r="AX69" s="50">
        <f t="shared" ref="AX69:AX108" si="41">(AW69/E69)+AV69</f>
        <v>0</v>
      </c>
      <c r="AZ69" s="49"/>
      <c r="BA69" s="49"/>
      <c r="BB69" s="50">
        <f t="shared" ref="BB69:BB108" si="42">(BA69/E69)+AZ69</f>
        <v>0</v>
      </c>
      <c r="BD69" s="49"/>
      <c r="BE69" s="49"/>
      <c r="BF69" s="50">
        <f t="shared" ref="BF69:BF108" si="43">(BE69/E69)+BD69</f>
        <v>0</v>
      </c>
      <c r="BH69" s="49"/>
      <c r="BI69" s="49"/>
      <c r="BJ69" s="50">
        <f t="shared" ref="BJ69:BJ108" si="44">(BI69/E69)+BH69</f>
        <v>0</v>
      </c>
      <c r="BL69" s="49"/>
      <c r="BM69" s="49"/>
      <c r="BN69" s="50">
        <f t="shared" ref="BN69:BN108" si="45">(BM69/E69)+BL69</f>
        <v>0</v>
      </c>
      <c r="BP69" s="49"/>
      <c r="BQ69" s="49"/>
      <c r="BR69" s="50">
        <f t="shared" ref="BR69:BR108" si="46">(BQ69/E69)+BP69</f>
        <v>0</v>
      </c>
      <c r="BT69" s="49"/>
      <c r="BU69" s="49"/>
      <c r="BV69" s="50">
        <f t="shared" ref="BV69:BV108" si="47">(BU69/E69)+BT69</f>
        <v>0</v>
      </c>
      <c r="BX69" s="49"/>
      <c r="BY69" s="49"/>
      <c r="BZ69" s="50">
        <f t="shared" ref="BZ69:BZ108" si="48">(BY69/E69)+BX69</f>
        <v>0</v>
      </c>
      <c r="CB69" s="49"/>
      <c r="CC69" s="49"/>
      <c r="CD69" s="50">
        <f t="shared" ref="CD69:CD108" si="49">(CC69/E69)+CB69</f>
        <v>0</v>
      </c>
      <c r="CF69" s="49"/>
      <c r="CG69" s="49"/>
      <c r="CH69" s="50">
        <f t="shared" ref="CH69:CH108" si="50">(CG69/E69)+CF69</f>
        <v>0</v>
      </c>
      <c r="CJ69" s="49"/>
      <c r="CK69" s="49"/>
      <c r="CL69" s="50">
        <f t="shared" ref="CL69:CL108" si="51">(CK69/E69)+CJ69</f>
        <v>0</v>
      </c>
      <c r="CN69" s="49"/>
      <c r="CO69" s="49"/>
      <c r="CP69" s="50">
        <f t="shared" ref="CP69:CP108" si="52">(CO69/E69)+CN69</f>
        <v>0</v>
      </c>
      <c r="CR69" s="49"/>
      <c r="CS69" s="49"/>
      <c r="CT69" s="50">
        <f t="shared" ref="CT69:CT108" si="53">(CS69/E69)+CR69</f>
        <v>0</v>
      </c>
      <c r="CV69" s="49"/>
      <c r="CW69" s="49"/>
      <c r="CX69" s="50">
        <f t="shared" ref="CX69:CX108" si="54">(CW69/E69)+CV69</f>
        <v>0</v>
      </c>
      <c r="CZ69" s="49"/>
      <c r="DA69" s="49"/>
      <c r="DB69" s="50">
        <f t="shared" ref="DB69:DB108" si="55">(DA69/E69)+CZ69</f>
        <v>0</v>
      </c>
      <c r="DD69" s="49"/>
      <c r="DE69" s="49"/>
      <c r="DF69" s="50">
        <f t="shared" ref="DF69:DF108" si="56">(DE69/E69)+DD69</f>
        <v>0</v>
      </c>
      <c r="DH69" s="49"/>
      <c r="DI69" s="49"/>
      <c r="DJ69" s="50">
        <f t="shared" ref="DJ69:DJ108" si="57">(DI69/E69)+DH69</f>
        <v>0</v>
      </c>
      <c r="DL69" s="49"/>
      <c r="DM69" s="49"/>
      <c r="DN69" s="50">
        <f t="shared" ref="DN69:DN108" si="58">(DM69/E69)+DL69</f>
        <v>0</v>
      </c>
      <c r="DP69" s="49"/>
      <c r="DQ69" s="49"/>
      <c r="DR69" s="50">
        <f t="shared" ref="DR69:DR108" si="59">(DQ69/E69)+DP69</f>
        <v>0</v>
      </c>
      <c r="DT69" s="49"/>
      <c r="DU69" s="49"/>
      <c r="DV69" s="50">
        <f t="shared" ref="DV69:DV108" si="60">(DU69/E69)+DT69</f>
        <v>0</v>
      </c>
      <c r="DX69" s="49"/>
      <c r="DY69" s="49"/>
      <c r="DZ69" s="50">
        <f t="shared" ref="DZ69:DZ108" si="61">(DY69/E69)+DX69</f>
        <v>0</v>
      </c>
      <c r="EB69" s="49">
        <f t="shared" ref="EB69:ED108" si="62">H69+L69+P69+T69+X69+AB69+AF69+AJ69+AN69+AR69+AV69+AZ69+BD69+BH69+BL69+BP69+BT69+BX69+CB69+CF69+CJ69+CN69+CR69+CV69+CZ69+DD69+DH69+DL69+DP69+DT69+DX69</f>
        <v>0</v>
      </c>
      <c r="EC69" s="49">
        <f t="shared" si="62"/>
        <v>0</v>
      </c>
      <c r="ED69" s="49">
        <f t="shared" si="62"/>
        <v>0</v>
      </c>
    </row>
    <row r="70" spans="2:134" ht="11" customHeight="1" x14ac:dyDescent="0.35">
      <c r="B70" s="4">
        <v>111202</v>
      </c>
      <c r="C70" s="4" t="s">
        <v>76</v>
      </c>
      <c r="D70" s="4">
        <v>25</v>
      </c>
      <c r="E70" s="5">
        <v>36</v>
      </c>
      <c r="F70" s="6">
        <v>99.122261960000003</v>
      </c>
      <c r="G70" s="7"/>
      <c r="H70" s="49"/>
      <c r="I70" s="49"/>
      <c r="J70" s="50">
        <f t="shared" si="31"/>
        <v>0</v>
      </c>
      <c r="K70" s="9"/>
      <c r="L70" s="49"/>
      <c r="M70" s="49"/>
      <c r="N70" s="50">
        <f t="shared" si="32"/>
        <v>0</v>
      </c>
      <c r="O70" s="46"/>
      <c r="P70" s="49"/>
      <c r="Q70" s="49"/>
      <c r="R70" s="50">
        <f t="shared" si="33"/>
        <v>0</v>
      </c>
      <c r="T70" s="49"/>
      <c r="U70" s="49"/>
      <c r="V70" s="50">
        <f t="shared" si="34"/>
        <v>0</v>
      </c>
      <c r="X70" s="49"/>
      <c r="Y70" s="49"/>
      <c r="Z70" s="50">
        <f t="shared" si="35"/>
        <v>0</v>
      </c>
      <c r="AB70" s="49"/>
      <c r="AC70" s="49"/>
      <c r="AD70" s="50">
        <f t="shared" si="36"/>
        <v>0</v>
      </c>
      <c r="AF70" s="49"/>
      <c r="AG70" s="49"/>
      <c r="AH70" s="50">
        <f t="shared" si="37"/>
        <v>0</v>
      </c>
      <c r="AJ70" s="49"/>
      <c r="AK70" s="49"/>
      <c r="AL70" s="50">
        <f t="shared" si="38"/>
        <v>0</v>
      </c>
      <c r="AN70" s="49"/>
      <c r="AO70" s="49"/>
      <c r="AP70" s="50">
        <f t="shared" si="39"/>
        <v>0</v>
      </c>
      <c r="AR70" s="49"/>
      <c r="AS70" s="49"/>
      <c r="AT70" s="50">
        <f t="shared" si="40"/>
        <v>0</v>
      </c>
      <c r="AV70" s="49"/>
      <c r="AW70" s="49"/>
      <c r="AX70" s="50">
        <f t="shared" si="41"/>
        <v>0</v>
      </c>
      <c r="AZ70" s="49"/>
      <c r="BA70" s="49"/>
      <c r="BB70" s="50">
        <f t="shared" si="42"/>
        <v>0</v>
      </c>
      <c r="BD70" s="49"/>
      <c r="BE70" s="49"/>
      <c r="BF70" s="50">
        <f t="shared" si="43"/>
        <v>0</v>
      </c>
      <c r="BH70" s="49"/>
      <c r="BI70" s="49"/>
      <c r="BJ70" s="50">
        <f t="shared" si="44"/>
        <v>0</v>
      </c>
      <c r="BL70" s="49"/>
      <c r="BM70" s="49"/>
      <c r="BN70" s="50">
        <f t="shared" si="45"/>
        <v>0</v>
      </c>
      <c r="BP70" s="49"/>
      <c r="BQ70" s="49"/>
      <c r="BR70" s="50">
        <f t="shared" si="46"/>
        <v>0</v>
      </c>
      <c r="BT70" s="49"/>
      <c r="BU70" s="49"/>
      <c r="BV70" s="50">
        <f t="shared" si="47"/>
        <v>0</v>
      </c>
      <c r="BX70" s="49"/>
      <c r="BY70" s="49"/>
      <c r="BZ70" s="50">
        <f t="shared" si="48"/>
        <v>0</v>
      </c>
      <c r="CB70" s="49"/>
      <c r="CC70" s="49"/>
      <c r="CD70" s="50">
        <f t="shared" si="49"/>
        <v>0</v>
      </c>
      <c r="CF70" s="49"/>
      <c r="CG70" s="49"/>
      <c r="CH70" s="50">
        <f t="shared" si="50"/>
        <v>0</v>
      </c>
      <c r="CJ70" s="49"/>
      <c r="CK70" s="49"/>
      <c r="CL70" s="50">
        <f t="shared" si="51"/>
        <v>0</v>
      </c>
      <c r="CN70" s="49"/>
      <c r="CO70" s="49"/>
      <c r="CP70" s="50">
        <f t="shared" si="52"/>
        <v>0</v>
      </c>
      <c r="CR70" s="49"/>
      <c r="CS70" s="49"/>
      <c r="CT70" s="50">
        <f t="shared" si="53"/>
        <v>0</v>
      </c>
      <c r="CV70" s="49"/>
      <c r="CW70" s="49"/>
      <c r="CX70" s="50">
        <f t="shared" si="54"/>
        <v>0</v>
      </c>
      <c r="CZ70" s="49"/>
      <c r="DA70" s="49"/>
      <c r="DB70" s="50">
        <f t="shared" si="55"/>
        <v>0</v>
      </c>
      <c r="DD70" s="49"/>
      <c r="DE70" s="49"/>
      <c r="DF70" s="50">
        <f t="shared" si="56"/>
        <v>0</v>
      </c>
      <c r="DH70" s="49"/>
      <c r="DI70" s="49"/>
      <c r="DJ70" s="50">
        <f t="shared" si="57"/>
        <v>0</v>
      </c>
      <c r="DL70" s="49"/>
      <c r="DM70" s="49"/>
      <c r="DN70" s="50">
        <f t="shared" si="58"/>
        <v>0</v>
      </c>
      <c r="DP70" s="49"/>
      <c r="DQ70" s="49"/>
      <c r="DR70" s="50">
        <f t="shared" si="59"/>
        <v>0</v>
      </c>
      <c r="DT70" s="49"/>
      <c r="DU70" s="49"/>
      <c r="DV70" s="50">
        <f t="shared" si="60"/>
        <v>0</v>
      </c>
      <c r="DX70" s="49"/>
      <c r="DY70" s="49"/>
      <c r="DZ70" s="50">
        <f t="shared" si="61"/>
        <v>0</v>
      </c>
      <c r="EB70" s="49">
        <f t="shared" si="62"/>
        <v>0</v>
      </c>
      <c r="EC70" s="49">
        <f t="shared" si="62"/>
        <v>0</v>
      </c>
      <c r="ED70" s="49">
        <f t="shared" si="62"/>
        <v>0</v>
      </c>
    </row>
    <row r="71" spans="2:134" ht="11" customHeight="1" x14ac:dyDescent="0.35">
      <c r="B71" s="4">
        <v>111203</v>
      </c>
      <c r="C71" s="4" t="s">
        <v>77</v>
      </c>
      <c r="D71" s="4">
        <v>50</v>
      </c>
      <c r="E71" s="5">
        <v>18</v>
      </c>
      <c r="F71" s="6">
        <v>198.24524392000001</v>
      </c>
      <c r="G71" s="7"/>
      <c r="H71" s="49"/>
      <c r="I71" s="49"/>
      <c r="J71" s="50">
        <f t="shared" ref="J71:J108" si="63">(I71/E71)+H71</f>
        <v>0</v>
      </c>
      <c r="K71" s="9"/>
      <c r="L71" s="49"/>
      <c r="M71" s="49"/>
      <c r="N71" s="50">
        <f t="shared" si="32"/>
        <v>0</v>
      </c>
      <c r="O71" s="46"/>
      <c r="P71" s="49"/>
      <c r="Q71" s="49"/>
      <c r="R71" s="50">
        <f t="shared" si="33"/>
        <v>0</v>
      </c>
      <c r="T71" s="49"/>
      <c r="U71" s="49"/>
      <c r="V71" s="50">
        <f t="shared" si="34"/>
        <v>0</v>
      </c>
      <c r="X71" s="49"/>
      <c r="Y71" s="49"/>
      <c r="Z71" s="50">
        <f t="shared" si="35"/>
        <v>0</v>
      </c>
      <c r="AB71" s="49"/>
      <c r="AC71" s="49"/>
      <c r="AD71" s="50">
        <f t="shared" si="36"/>
        <v>0</v>
      </c>
      <c r="AF71" s="49"/>
      <c r="AG71" s="49"/>
      <c r="AH71" s="50">
        <f t="shared" si="37"/>
        <v>0</v>
      </c>
      <c r="AJ71" s="49"/>
      <c r="AK71" s="49"/>
      <c r="AL71" s="50">
        <f t="shared" si="38"/>
        <v>0</v>
      </c>
      <c r="AN71" s="49"/>
      <c r="AO71" s="49"/>
      <c r="AP71" s="50">
        <f t="shared" si="39"/>
        <v>0</v>
      </c>
      <c r="AR71" s="49"/>
      <c r="AS71" s="49"/>
      <c r="AT71" s="50">
        <f t="shared" si="40"/>
        <v>0</v>
      </c>
      <c r="AV71" s="49"/>
      <c r="AW71" s="49"/>
      <c r="AX71" s="50">
        <f t="shared" si="41"/>
        <v>0</v>
      </c>
      <c r="AZ71" s="49"/>
      <c r="BA71" s="49"/>
      <c r="BB71" s="50">
        <f t="shared" si="42"/>
        <v>0</v>
      </c>
      <c r="BD71" s="49"/>
      <c r="BE71" s="49"/>
      <c r="BF71" s="50">
        <f t="shared" si="43"/>
        <v>0</v>
      </c>
      <c r="BH71" s="49"/>
      <c r="BI71" s="49"/>
      <c r="BJ71" s="50">
        <f t="shared" si="44"/>
        <v>0</v>
      </c>
      <c r="BL71" s="49"/>
      <c r="BM71" s="49"/>
      <c r="BN71" s="50">
        <f t="shared" si="45"/>
        <v>0</v>
      </c>
      <c r="BP71" s="49"/>
      <c r="BQ71" s="49"/>
      <c r="BR71" s="50">
        <f t="shared" si="46"/>
        <v>0</v>
      </c>
      <c r="BT71" s="49"/>
      <c r="BU71" s="49"/>
      <c r="BV71" s="50">
        <f t="shared" si="47"/>
        <v>0</v>
      </c>
      <c r="BX71" s="49"/>
      <c r="BY71" s="49"/>
      <c r="BZ71" s="50">
        <f t="shared" si="48"/>
        <v>0</v>
      </c>
      <c r="CB71" s="49"/>
      <c r="CC71" s="49"/>
      <c r="CD71" s="50">
        <f t="shared" si="49"/>
        <v>0</v>
      </c>
      <c r="CF71" s="49"/>
      <c r="CG71" s="49"/>
      <c r="CH71" s="50">
        <f t="shared" si="50"/>
        <v>0</v>
      </c>
      <c r="CJ71" s="49"/>
      <c r="CK71" s="49"/>
      <c r="CL71" s="50">
        <f t="shared" si="51"/>
        <v>0</v>
      </c>
      <c r="CN71" s="49"/>
      <c r="CO71" s="49"/>
      <c r="CP71" s="50">
        <f t="shared" si="52"/>
        <v>0</v>
      </c>
      <c r="CR71" s="49"/>
      <c r="CS71" s="49"/>
      <c r="CT71" s="50">
        <f t="shared" si="53"/>
        <v>0</v>
      </c>
      <c r="CV71" s="49"/>
      <c r="CW71" s="49"/>
      <c r="CX71" s="50">
        <f t="shared" si="54"/>
        <v>0</v>
      </c>
      <c r="CZ71" s="49"/>
      <c r="DA71" s="49"/>
      <c r="DB71" s="50">
        <f t="shared" si="55"/>
        <v>0</v>
      </c>
      <c r="DD71" s="49"/>
      <c r="DE71" s="49"/>
      <c r="DF71" s="50">
        <f t="shared" si="56"/>
        <v>0</v>
      </c>
      <c r="DH71" s="49"/>
      <c r="DI71" s="49"/>
      <c r="DJ71" s="50">
        <f t="shared" si="57"/>
        <v>0</v>
      </c>
      <c r="DL71" s="49"/>
      <c r="DM71" s="49"/>
      <c r="DN71" s="50">
        <f t="shared" si="58"/>
        <v>0</v>
      </c>
      <c r="DP71" s="49"/>
      <c r="DQ71" s="49"/>
      <c r="DR71" s="50">
        <f t="shared" si="59"/>
        <v>0</v>
      </c>
      <c r="DT71" s="49"/>
      <c r="DU71" s="49"/>
      <c r="DV71" s="50">
        <f t="shared" si="60"/>
        <v>0</v>
      </c>
      <c r="DX71" s="49"/>
      <c r="DY71" s="49"/>
      <c r="DZ71" s="50">
        <f t="shared" si="61"/>
        <v>0</v>
      </c>
      <c r="EB71" s="49">
        <f t="shared" si="62"/>
        <v>0</v>
      </c>
      <c r="EC71" s="49">
        <f t="shared" si="62"/>
        <v>0</v>
      </c>
      <c r="ED71" s="49">
        <f t="shared" si="62"/>
        <v>0</v>
      </c>
    </row>
    <row r="72" spans="2:134" ht="11" customHeight="1" x14ac:dyDescent="0.35">
      <c r="B72" s="4">
        <v>111212</v>
      </c>
      <c r="C72" s="4" t="s">
        <v>78</v>
      </c>
      <c r="D72" s="4">
        <v>25</v>
      </c>
      <c r="E72" s="5">
        <v>36</v>
      </c>
      <c r="F72" s="6">
        <v>99.122621960000004</v>
      </c>
      <c r="G72" s="7"/>
      <c r="H72" s="49"/>
      <c r="I72" s="49"/>
      <c r="J72" s="50">
        <f t="shared" si="63"/>
        <v>0</v>
      </c>
      <c r="K72" s="9"/>
      <c r="L72" s="49"/>
      <c r="M72" s="49"/>
      <c r="N72" s="50">
        <f t="shared" si="32"/>
        <v>0</v>
      </c>
      <c r="O72" s="46"/>
      <c r="P72" s="49"/>
      <c r="Q72" s="49"/>
      <c r="R72" s="50">
        <f t="shared" si="33"/>
        <v>0</v>
      </c>
      <c r="T72" s="49"/>
      <c r="U72" s="49"/>
      <c r="V72" s="50">
        <f t="shared" si="34"/>
        <v>0</v>
      </c>
      <c r="X72" s="49"/>
      <c r="Y72" s="49"/>
      <c r="Z72" s="50">
        <f t="shared" si="35"/>
        <v>0</v>
      </c>
      <c r="AB72" s="49"/>
      <c r="AC72" s="49"/>
      <c r="AD72" s="50">
        <f t="shared" si="36"/>
        <v>0</v>
      </c>
      <c r="AF72" s="49"/>
      <c r="AG72" s="49"/>
      <c r="AH72" s="50">
        <f t="shared" si="37"/>
        <v>0</v>
      </c>
      <c r="AJ72" s="49"/>
      <c r="AK72" s="49"/>
      <c r="AL72" s="50">
        <f t="shared" si="38"/>
        <v>0</v>
      </c>
      <c r="AN72" s="49"/>
      <c r="AO72" s="49"/>
      <c r="AP72" s="50">
        <f t="shared" si="39"/>
        <v>0</v>
      </c>
      <c r="AR72" s="49"/>
      <c r="AS72" s="49"/>
      <c r="AT72" s="50">
        <f t="shared" si="40"/>
        <v>0</v>
      </c>
      <c r="AV72" s="49"/>
      <c r="AW72" s="49"/>
      <c r="AX72" s="50">
        <f t="shared" si="41"/>
        <v>0</v>
      </c>
      <c r="AZ72" s="49"/>
      <c r="BA72" s="49"/>
      <c r="BB72" s="50">
        <f t="shared" si="42"/>
        <v>0</v>
      </c>
      <c r="BD72" s="49"/>
      <c r="BE72" s="49"/>
      <c r="BF72" s="50">
        <f t="shared" si="43"/>
        <v>0</v>
      </c>
      <c r="BH72" s="49"/>
      <c r="BI72" s="49"/>
      <c r="BJ72" s="50">
        <f t="shared" si="44"/>
        <v>0</v>
      </c>
      <c r="BL72" s="49"/>
      <c r="BM72" s="49"/>
      <c r="BN72" s="50">
        <f t="shared" si="45"/>
        <v>0</v>
      </c>
      <c r="BP72" s="49"/>
      <c r="BQ72" s="49"/>
      <c r="BR72" s="50">
        <f t="shared" si="46"/>
        <v>0</v>
      </c>
      <c r="BT72" s="49"/>
      <c r="BU72" s="49"/>
      <c r="BV72" s="50">
        <f t="shared" si="47"/>
        <v>0</v>
      </c>
      <c r="BX72" s="49"/>
      <c r="BY72" s="49"/>
      <c r="BZ72" s="50">
        <f t="shared" si="48"/>
        <v>0</v>
      </c>
      <c r="CB72" s="49"/>
      <c r="CC72" s="49"/>
      <c r="CD72" s="50">
        <f t="shared" si="49"/>
        <v>0</v>
      </c>
      <c r="CF72" s="49"/>
      <c r="CG72" s="49"/>
      <c r="CH72" s="50">
        <f t="shared" si="50"/>
        <v>0</v>
      </c>
      <c r="CJ72" s="49"/>
      <c r="CK72" s="49"/>
      <c r="CL72" s="50">
        <f t="shared" si="51"/>
        <v>0</v>
      </c>
      <c r="CN72" s="49"/>
      <c r="CO72" s="49"/>
      <c r="CP72" s="50">
        <f t="shared" si="52"/>
        <v>0</v>
      </c>
      <c r="CR72" s="49"/>
      <c r="CS72" s="49"/>
      <c r="CT72" s="50">
        <f t="shared" si="53"/>
        <v>0</v>
      </c>
      <c r="CV72" s="49"/>
      <c r="CW72" s="49"/>
      <c r="CX72" s="50">
        <f t="shared" si="54"/>
        <v>0</v>
      </c>
      <c r="CZ72" s="49"/>
      <c r="DA72" s="49"/>
      <c r="DB72" s="50">
        <f t="shared" si="55"/>
        <v>0</v>
      </c>
      <c r="DD72" s="49"/>
      <c r="DE72" s="49"/>
      <c r="DF72" s="50">
        <f t="shared" si="56"/>
        <v>0</v>
      </c>
      <c r="DH72" s="49"/>
      <c r="DI72" s="49"/>
      <c r="DJ72" s="50">
        <f t="shared" si="57"/>
        <v>0</v>
      </c>
      <c r="DL72" s="49"/>
      <c r="DM72" s="49"/>
      <c r="DN72" s="50">
        <f t="shared" si="58"/>
        <v>0</v>
      </c>
      <c r="DP72" s="49"/>
      <c r="DQ72" s="49"/>
      <c r="DR72" s="50">
        <f t="shared" si="59"/>
        <v>0</v>
      </c>
      <c r="DT72" s="49"/>
      <c r="DU72" s="49"/>
      <c r="DV72" s="50">
        <f t="shared" si="60"/>
        <v>0</v>
      </c>
      <c r="DX72" s="49"/>
      <c r="DY72" s="49"/>
      <c r="DZ72" s="50">
        <f t="shared" si="61"/>
        <v>0</v>
      </c>
      <c r="EB72" s="49">
        <f t="shared" si="62"/>
        <v>0</v>
      </c>
      <c r="EC72" s="49">
        <f t="shared" si="62"/>
        <v>0</v>
      </c>
      <c r="ED72" s="49">
        <f t="shared" si="62"/>
        <v>0</v>
      </c>
    </row>
    <row r="73" spans="2:134" ht="11" customHeight="1" x14ac:dyDescent="0.35">
      <c r="B73" s="4">
        <v>111213</v>
      </c>
      <c r="C73" s="4" t="s">
        <v>79</v>
      </c>
      <c r="D73" s="4">
        <v>50</v>
      </c>
      <c r="E73" s="5">
        <v>18</v>
      </c>
      <c r="F73" s="6">
        <v>198.24524392000001</v>
      </c>
      <c r="G73" s="7"/>
      <c r="H73" s="49"/>
      <c r="I73" s="49"/>
      <c r="J73" s="50">
        <f t="shared" si="63"/>
        <v>0</v>
      </c>
      <c r="K73" s="9"/>
      <c r="L73" s="49"/>
      <c r="M73" s="49"/>
      <c r="N73" s="50">
        <f t="shared" si="32"/>
        <v>0</v>
      </c>
      <c r="O73" s="46"/>
      <c r="P73" s="49"/>
      <c r="Q73" s="49"/>
      <c r="R73" s="50">
        <f t="shared" si="33"/>
        <v>0</v>
      </c>
      <c r="T73" s="49"/>
      <c r="U73" s="49"/>
      <c r="V73" s="50">
        <f t="shared" si="34"/>
        <v>0</v>
      </c>
      <c r="X73" s="49"/>
      <c r="Y73" s="49"/>
      <c r="Z73" s="50">
        <f t="shared" si="35"/>
        <v>0</v>
      </c>
      <c r="AB73" s="49"/>
      <c r="AC73" s="49"/>
      <c r="AD73" s="50">
        <f t="shared" si="36"/>
        <v>0</v>
      </c>
      <c r="AF73" s="49"/>
      <c r="AG73" s="49"/>
      <c r="AH73" s="50">
        <f t="shared" si="37"/>
        <v>0</v>
      </c>
      <c r="AJ73" s="49"/>
      <c r="AK73" s="49"/>
      <c r="AL73" s="50">
        <f t="shared" si="38"/>
        <v>0</v>
      </c>
      <c r="AN73" s="49"/>
      <c r="AO73" s="49"/>
      <c r="AP73" s="50">
        <f t="shared" si="39"/>
        <v>0</v>
      </c>
      <c r="AR73" s="49"/>
      <c r="AS73" s="49"/>
      <c r="AT73" s="50">
        <f t="shared" si="40"/>
        <v>0</v>
      </c>
      <c r="AV73" s="49"/>
      <c r="AW73" s="49"/>
      <c r="AX73" s="50">
        <f t="shared" si="41"/>
        <v>0</v>
      </c>
      <c r="AZ73" s="49"/>
      <c r="BA73" s="49"/>
      <c r="BB73" s="50">
        <f t="shared" si="42"/>
        <v>0</v>
      </c>
      <c r="BD73" s="49"/>
      <c r="BE73" s="49"/>
      <c r="BF73" s="50">
        <f t="shared" si="43"/>
        <v>0</v>
      </c>
      <c r="BH73" s="49"/>
      <c r="BI73" s="49"/>
      <c r="BJ73" s="50">
        <f t="shared" si="44"/>
        <v>0</v>
      </c>
      <c r="BL73" s="49"/>
      <c r="BM73" s="49"/>
      <c r="BN73" s="50">
        <f t="shared" si="45"/>
        <v>0</v>
      </c>
      <c r="BP73" s="49"/>
      <c r="BQ73" s="49"/>
      <c r="BR73" s="50">
        <f t="shared" si="46"/>
        <v>0</v>
      </c>
      <c r="BT73" s="49"/>
      <c r="BU73" s="49"/>
      <c r="BV73" s="50">
        <f t="shared" si="47"/>
        <v>0</v>
      </c>
      <c r="BX73" s="49"/>
      <c r="BY73" s="49"/>
      <c r="BZ73" s="50">
        <f t="shared" si="48"/>
        <v>0</v>
      </c>
      <c r="CB73" s="49"/>
      <c r="CC73" s="49"/>
      <c r="CD73" s="50">
        <f t="shared" si="49"/>
        <v>0</v>
      </c>
      <c r="CF73" s="49"/>
      <c r="CG73" s="49"/>
      <c r="CH73" s="50">
        <f t="shared" si="50"/>
        <v>0</v>
      </c>
      <c r="CJ73" s="49"/>
      <c r="CK73" s="49"/>
      <c r="CL73" s="50">
        <f t="shared" si="51"/>
        <v>0</v>
      </c>
      <c r="CN73" s="49"/>
      <c r="CO73" s="49"/>
      <c r="CP73" s="50">
        <f t="shared" si="52"/>
        <v>0</v>
      </c>
      <c r="CR73" s="49"/>
      <c r="CS73" s="49"/>
      <c r="CT73" s="50">
        <f t="shared" si="53"/>
        <v>0</v>
      </c>
      <c r="CV73" s="49"/>
      <c r="CW73" s="49"/>
      <c r="CX73" s="50">
        <f t="shared" si="54"/>
        <v>0</v>
      </c>
      <c r="CZ73" s="49"/>
      <c r="DA73" s="49"/>
      <c r="DB73" s="50">
        <f t="shared" si="55"/>
        <v>0</v>
      </c>
      <c r="DD73" s="49"/>
      <c r="DE73" s="49"/>
      <c r="DF73" s="50">
        <f t="shared" si="56"/>
        <v>0</v>
      </c>
      <c r="DH73" s="49"/>
      <c r="DI73" s="49"/>
      <c r="DJ73" s="50">
        <f t="shared" si="57"/>
        <v>0</v>
      </c>
      <c r="DL73" s="49"/>
      <c r="DM73" s="49"/>
      <c r="DN73" s="50">
        <f t="shared" si="58"/>
        <v>0</v>
      </c>
      <c r="DP73" s="49"/>
      <c r="DQ73" s="49"/>
      <c r="DR73" s="50">
        <f t="shared" si="59"/>
        <v>0</v>
      </c>
      <c r="DT73" s="49"/>
      <c r="DU73" s="49"/>
      <c r="DV73" s="50">
        <f t="shared" si="60"/>
        <v>0</v>
      </c>
      <c r="DX73" s="49"/>
      <c r="DY73" s="49"/>
      <c r="DZ73" s="50">
        <f t="shared" si="61"/>
        <v>0</v>
      </c>
      <c r="EB73" s="49">
        <f t="shared" si="62"/>
        <v>0</v>
      </c>
      <c r="EC73" s="49">
        <f t="shared" si="62"/>
        <v>0</v>
      </c>
      <c r="ED73" s="49">
        <f t="shared" si="62"/>
        <v>0</v>
      </c>
    </row>
    <row r="74" spans="2:134" ht="11" customHeight="1" x14ac:dyDescent="0.35">
      <c r="B74" s="4">
        <v>111222</v>
      </c>
      <c r="C74" s="4" t="s">
        <v>80</v>
      </c>
      <c r="D74" s="4">
        <v>25</v>
      </c>
      <c r="E74" s="5">
        <v>36</v>
      </c>
      <c r="F74" s="6">
        <v>99.122621960000004</v>
      </c>
      <c r="G74" s="7"/>
      <c r="H74" s="49"/>
      <c r="I74" s="49"/>
      <c r="J74" s="50">
        <f t="shared" si="63"/>
        <v>0</v>
      </c>
      <c r="K74" s="9"/>
      <c r="L74" s="49"/>
      <c r="M74" s="49"/>
      <c r="N74" s="50">
        <f t="shared" si="32"/>
        <v>0</v>
      </c>
      <c r="O74" s="46"/>
      <c r="P74" s="49"/>
      <c r="Q74" s="49"/>
      <c r="R74" s="50">
        <f t="shared" si="33"/>
        <v>0</v>
      </c>
      <c r="T74" s="49"/>
      <c r="U74" s="49"/>
      <c r="V74" s="50">
        <f t="shared" si="34"/>
        <v>0</v>
      </c>
      <c r="X74" s="49"/>
      <c r="Y74" s="49"/>
      <c r="Z74" s="50">
        <f t="shared" si="35"/>
        <v>0</v>
      </c>
      <c r="AB74" s="49"/>
      <c r="AC74" s="49"/>
      <c r="AD74" s="50">
        <f t="shared" si="36"/>
        <v>0</v>
      </c>
      <c r="AF74" s="49"/>
      <c r="AG74" s="49"/>
      <c r="AH74" s="50">
        <f t="shared" si="37"/>
        <v>0</v>
      </c>
      <c r="AJ74" s="49"/>
      <c r="AK74" s="49"/>
      <c r="AL74" s="50">
        <f t="shared" si="38"/>
        <v>0</v>
      </c>
      <c r="AN74" s="49"/>
      <c r="AO74" s="49"/>
      <c r="AP74" s="50">
        <f t="shared" si="39"/>
        <v>0</v>
      </c>
      <c r="AR74" s="49"/>
      <c r="AS74" s="49"/>
      <c r="AT74" s="50">
        <f t="shared" si="40"/>
        <v>0</v>
      </c>
      <c r="AV74" s="49"/>
      <c r="AW74" s="49"/>
      <c r="AX74" s="50">
        <f t="shared" si="41"/>
        <v>0</v>
      </c>
      <c r="AZ74" s="49"/>
      <c r="BA74" s="49"/>
      <c r="BB74" s="50">
        <f t="shared" si="42"/>
        <v>0</v>
      </c>
      <c r="BD74" s="49"/>
      <c r="BE74" s="49"/>
      <c r="BF74" s="50">
        <f t="shared" si="43"/>
        <v>0</v>
      </c>
      <c r="BH74" s="49"/>
      <c r="BI74" s="49"/>
      <c r="BJ74" s="50">
        <f t="shared" si="44"/>
        <v>0</v>
      </c>
      <c r="BL74" s="49"/>
      <c r="BM74" s="49"/>
      <c r="BN74" s="50">
        <f t="shared" si="45"/>
        <v>0</v>
      </c>
      <c r="BP74" s="49"/>
      <c r="BQ74" s="49"/>
      <c r="BR74" s="50">
        <f t="shared" si="46"/>
        <v>0</v>
      </c>
      <c r="BT74" s="49"/>
      <c r="BU74" s="49"/>
      <c r="BV74" s="50">
        <f t="shared" si="47"/>
        <v>0</v>
      </c>
      <c r="BX74" s="49"/>
      <c r="BY74" s="49"/>
      <c r="BZ74" s="50">
        <f t="shared" si="48"/>
        <v>0</v>
      </c>
      <c r="CB74" s="49"/>
      <c r="CC74" s="49"/>
      <c r="CD74" s="50">
        <f t="shared" si="49"/>
        <v>0</v>
      </c>
      <c r="CF74" s="49"/>
      <c r="CG74" s="49"/>
      <c r="CH74" s="50">
        <f t="shared" si="50"/>
        <v>0</v>
      </c>
      <c r="CJ74" s="49"/>
      <c r="CK74" s="49"/>
      <c r="CL74" s="50">
        <f t="shared" si="51"/>
        <v>0</v>
      </c>
      <c r="CN74" s="49"/>
      <c r="CO74" s="49"/>
      <c r="CP74" s="50">
        <f t="shared" si="52"/>
        <v>0</v>
      </c>
      <c r="CR74" s="49"/>
      <c r="CS74" s="49"/>
      <c r="CT74" s="50">
        <f t="shared" si="53"/>
        <v>0</v>
      </c>
      <c r="CV74" s="49"/>
      <c r="CW74" s="49"/>
      <c r="CX74" s="50">
        <f t="shared" si="54"/>
        <v>0</v>
      </c>
      <c r="CZ74" s="49"/>
      <c r="DA74" s="49"/>
      <c r="DB74" s="50">
        <f t="shared" si="55"/>
        <v>0</v>
      </c>
      <c r="DD74" s="49"/>
      <c r="DE74" s="49"/>
      <c r="DF74" s="50">
        <f t="shared" si="56"/>
        <v>0</v>
      </c>
      <c r="DH74" s="49"/>
      <c r="DI74" s="49"/>
      <c r="DJ74" s="50">
        <f t="shared" si="57"/>
        <v>0</v>
      </c>
      <c r="DL74" s="49"/>
      <c r="DM74" s="49"/>
      <c r="DN74" s="50">
        <f t="shared" si="58"/>
        <v>0</v>
      </c>
      <c r="DP74" s="49"/>
      <c r="DQ74" s="49"/>
      <c r="DR74" s="50">
        <f t="shared" si="59"/>
        <v>0</v>
      </c>
      <c r="DT74" s="49"/>
      <c r="DU74" s="49"/>
      <c r="DV74" s="50">
        <f t="shared" si="60"/>
        <v>0</v>
      </c>
      <c r="DX74" s="49"/>
      <c r="DY74" s="49"/>
      <c r="DZ74" s="50">
        <f t="shared" si="61"/>
        <v>0</v>
      </c>
      <c r="EB74" s="49">
        <f t="shared" si="62"/>
        <v>0</v>
      </c>
      <c r="EC74" s="49">
        <f t="shared" si="62"/>
        <v>0</v>
      </c>
      <c r="ED74" s="49">
        <f t="shared" si="62"/>
        <v>0</v>
      </c>
    </row>
    <row r="75" spans="2:134" ht="11" customHeight="1" x14ac:dyDescent="0.35">
      <c r="B75" s="4">
        <v>111223</v>
      </c>
      <c r="C75" s="4" t="s">
        <v>81</v>
      </c>
      <c r="D75" s="4">
        <v>50</v>
      </c>
      <c r="E75" s="5">
        <v>18</v>
      </c>
      <c r="F75" s="6">
        <v>198.24524392000001</v>
      </c>
      <c r="G75" s="7"/>
      <c r="H75" s="49"/>
      <c r="I75" s="49"/>
      <c r="J75" s="50">
        <f t="shared" si="63"/>
        <v>0</v>
      </c>
      <c r="K75" s="9"/>
      <c r="L75" s="49"/>
      <c r="M75" s="49"/>
      <c r="N75" s="50">
        <f t="shared" si="32"/>
        <v>0</v>
      </c>
      <c r="O75" s="46"/>
      <c r="P75" s="49"/>
      <c r="Q75" s="49"/>
      <c r="R75" s="50">
        <f t="shared" si="33"/>
        <v>0</v>
      </c>
      <c r="T75" s="49"/>
      <c r="U75" s="49"/>
      <c r="V75" s="50">
        <f t="shared" si="34"/>
        <v>0</v>
      </c>
      <c r="X75" s="49"/>
      <c r="Y75" s="49"/>
      <c r="Z75" s="50">
        <f t="shared" si="35"/>
        <v>0</v>
      </c>
      <c r="AB75" s="49"/>
      <c r="AC75" s="49"/>
      <c r="AD75" s="50">
        <f t="shared" si="36"/>
        <v>0</v>
      </c>
      <c r="AF75" s="49"/>
      <c r="AG75" s="49"/>
      <c r="AH75" s="50">
        <f t="shared" si="37"/>
        <v>0</v>
      </c>
      <c r="AJ75" s="49"/>
      <c r="AK75" s="49"/>
      <c r="AL75" s="50">
        <f t="shared" si="38"/>
        <v>0</v>
      </c>
      <c r="AN75" s="49"/>
      <c r="AO75" s="49"/>
      <c r="AP75" s="50">
        <f t="shared" si="39"/>
        <v>0</v>
      </c>
      <c r="AR75" s="49"/>
      <c r="AS75" s="49"/>
      <c r="AT75" s="50">
        <f t="shared" si="40"/>
        <v>0</v>
      </c>
      <c r="AV75" s="49"/>
      <c r="AW75" s="49"/>
      <c r="AX75" s="50">
        <f t="shared" si="41"/>
        <v>0</v>
      </c>
      <c r="AZ75" s="49"/>
      <c r="BA75" s="49"/>
      <c r="BB75" s="50">
        <f t="shared" si="42"/>
        <v>0</v>
      </c>
      <c r="BD75" s="49"/>
      <c r="BE75" s="49"/>
      <c r="BF75" s="50">
        <f t="shared" si="43"/>
        <v>0</v>
      </c>
      <c r="BH75" s="49"/>
      <c r="BI75" s="49"/>
      <c r="BJ75" s="50">
        <f t="shared" si="44"/>
        <v>0</v>
      </c>
      <c r="BL75" s="49"/>
      <c r="BM75" s="49"/>
      <c r="BN75" s="50">
        <f t="shared" si="45"/>
        <v>0</v>
      </c>
      <c r="BP75" s="49"/>
      <c r="BQ75" s="49"/>
      <c r="BR75" s="50">
        <f t="shared" si="46"/>
        <v>0</v>
      </c>
      <c r="BT75" s="49"/>
      <c r="BU75" s="49"/>
      <c r="BV75" s="50">
        <f t="shared" si="47"/>
        <v>0</v>
      </c>
      <c r="BX75" s="49"/>
      <c r="BY75" s="49"/>
      <c r="BZ75" s="50">
        <f t="shared" si="48"/>
        <v>0</v>
      </c>
      <c r="CB75" s="49"/>
      <c r="CC75" s="49"/>
      <c r="CD75" s="50">
        <f t="shared" si="49"/>
        <v>0</v>
      </c>
      <c r="CF75" s="49"/>
      <c r="CG75" s="49"/>
      <c r="CH75" s="50">
        <f t="shared" si="50"/>
        <v>0</v>
      </c>
      <c r="CJ75" s="49"/>
      <c r="CK75" s="49"/>
      <c r="CL75" s="50">
        <f t="shared" si="51"/>
        <v>0</v>
      </c>
      <c r="CN75" s="49"/>
      <c r="CO75" s="49"/>
      <c r="CP75" s="50">
        <f t="shared" si="52"/>
        <v>0</v>
      </c>
      <c r="CR75" s="49"/>
      <c r="CS75" s="49"/>
      <c r="CT75" s="50">
        <f t="shared" si="53"/>
        <v>0</v>
      </c>
      <c r="CV75" s="49"/>
      <c r="CW75" s="49"/>
      <c r="CX75" s="50">
        <f t="shared" si="54"/>
        <v>0</v>
      </c>
      <c r="CZ75" s="49"/>
      <c r="DA75" s="49"/>
      <c r="DB75" s="50">
        <f t="shared" si="55"/>
        <v>0</v>
      </c>
      <c r="DD75" s="49"/>
      <c r="DE75" s="49"/>
      <c r="DF75" s="50">
        <f t="shared" si="56"/>
        <v>0</v>
      </c>
      <c r="DH75" s="49"/>
      <c r="DI75" s="49"/>
      <c r="DJ75" s="50">
        <f t="shared" si="57"/>
        <v>0</v>
      </c>
      <c r="DL75" s="49"/>
      <c r="DM75" s="49"/>
      <c r="DN75" s="50">
        <f t="shared" si="58"/>
        <v>0</v>
      </c>
      <c r="DP75" s="49"/>
      <c r="DQ75" s="49"/>
      <c r="DR75" s="50">
        <f t="shared" si="59"/>
        <v>0</v>
      </c>
      <c r="DT75" s="49"/>
      <c r="DU75" s="49"/>
      <c r="DV75" s="50">
        <f t="shared" si="60"/>
        <v>0</v>
      </c>
      <c r="DX75" s="49"/>
      <c r="DY75" s="49"/>
      <c r="DZ75" s="50">
        <f t="shared" si="61"/>
        <v>0</v>
      </c>
      <c r="EB75" s="49">
        <f t="shared" si="62"/>
        <v>0</v>
      </c>
      <c r="EC75" s="49">
        <f t="shared" si="62"/>
        <v>0</v>
      </c>
      <c r="ED75" s="49">
        <f t="shared" si="62"/>
        <v>0</v>
      </c>
    </row>
    <row r="76" spans="2:134" ht="11" customHeight="1" x14ac:dyDescent="0.35">
      <c r="B76" s="4">
        <v>111232</v>
      </c>
      <c r="C76" s="4" t="s">
        <v>82</v>
      </c>
      <c r="D76" s="4">
        <v>25</v>
      </c>
      <c r="E76" s="5">
        <v>36</v>
      </c>
      <c r="F76" s="6">
        <v>99.122621960000004</v>
      </c>
      <c r="G76" s="7"/>
      <c r="H76" s="49"/>
      <c r="I76" s="49"/>
      <c r="J76" s="50">
        <f t="shared" si="63"/>
        <v>0</v>
      </c>
      <c r="K76" s="9"/>
      <c r="L76" s="49"/>
      <c r="M76" s="49"/>
      <c r="N76" s="50">
        <f t="shared" si="32"/>
        <v>0</v>
      </c>
      <c r="O76" s="46"/>
      <c r="P76" s="49"/>
      <c r="Q76" s="49"/>
      <c r="R76" s="50">
        <f t="shared" si="33"/>
        <v>0</v>
      </c>
      <c r="T76" s="49"/>
      <c r="U76" s="49"/>
      <c r="V76" s="50">
        <f t="shared" si="34"/>
        <v>0</v>
      </c>
      <c r="X76" s="49"/>
      <c r="Y76" s="49"/>
      <c r="Z76" s="50">
        <f t="shared" si="35"/>
        <v>0</v>
      </c>
      <c r="AB76" s="49"/>
      <c r="AC76" s="49"/>
      <c r="AD76" s="50">
        <f t="shared" si="36"/>
        <v>0</v>
      </c>
      <c r="AF76" s="49"/>
      <c r="AG76" s="49"/>
      <c r="AH76" s="50">
        <f t="shared" si="37"/>
        <v>0</v>
      </c>
      <c r="AJ76" s="49"/>
      <c r="AK76" s="49"/>
      <c r="AL76" s="50">
        <f t="shared" si="38"/>
        <v>0</v>
      </c>
      <c r="AN76" s="49"/>
      <c r="AO76" s="49"/>
      <c r="AP76" s="50">
        <f t="shared" si="39"/>
        <v>0</v>
      </c>
      <c r="AR76" s="49"/>
      <c r="AS76" s="49"/>
      <c r="AT76" s="50">
        <f t="shared" si="40"/>
        <v>0</v>
      </c>
      <c r="AV76" s="49"/>
      <c r="AW76" s="49"/>
      <c r="AX76" s="50">
        <f t="shared" si="41"/>
        <v>0</v>
      </c>
      <c r="AZ76" s="49"/>
      <c r="BA76" s="49"/>
      <c r="BB76" s="50">
        <f t="shared" si="42"/>
        <v>0</v>
      </c>
      <c r="BD76" s="49"/>
      <c r="BE76" s="49"/>
      <c r="BF76" s="50">
        <f t="shared" si="43"/>
        <v>0</v>
      </c>
      <c r="BH76" s="49"/>
      <c r="BI76" s="49"/>
      <c r="BJ76" s="50">
        <f t="shared" si="44"/>
        <v>0</v>
      </c>
      <c r="BL76" s="49"/>
      <c r="BM76" s="49"/>
      <c r="BN76" s="50">
        <f t="shared" si="45"/>
        <v>0</v>
      </c>
      <c r="BP76" s="49"/>
      <c r="BQ76" s="49"/>
      <c r="BR76" s="50">
        <f t="shared" si="46"/>
        <v>0</v>
      </c>
      <c r="BT76" s="49"/>
      <c r="BU76" s="49"/>
      <c r="BV76" s="50">
        <f t="shared" si="47"/>
        <v>0</v>
      </c>
      <c r="BX76" s="49"/>
      <c r="BY76" s="49"/>
      <c r="BZ76" s="50">
        <f t="shared" si="48"/>
        <v>0</v>
      </c>
      <c r="CB76" s="49"/>
      <c r="CC76" s="49"/>
      <c r="CD76" s="50">
        <f t="shared" si="49"/>
        <v>0</v>
      </c>
      <c r="CF76" s="49"/>
      <c r="CG76" s="49"/>
      <c r="CH76" s="50">
        <f t="shared" si="50"/>
        <v>0</v>
      </c>
      <c r="CJ76" s="49"/>
      <c r="CK76" s="49"/>
      <c r="CL76" s="50">
        <f t="shared" si="51"/>
        <v>0</v>
      </c>
      <c r="CN76" s="49"/>
      <c r="CO76" s="49"/>
      <c r="CP76" s="50">
        <f t="shared" si="52"/>
        <v>0</v>
      </c>
      <c r="CR76" s="49"/>
      <c r="CS76" s="49"/>
      <c r="CT76" s="50">
        <f t="shared" si="53"/>
        <v>0</v>
      </c>
      <c r="CV76" s="49"/>
      <c r="CW76" s="49"/>
      <c r="CX76" s="50">
        <f t="shared" si="54"/>
        <v>0</v>
      </c>
      <c r="CZ76" s="49"/>
      <c r="DA76" s="49"/>
      <c r="DB76" s="50">
        <f t="shared" si="55"/>
        <v>0</v>
      </c>
      <c r="DD76" s="49"/>
      <c r="DE76" s="49"/>
      <c r="DF76" s="50">
        <f t="shared" si="56"/>
        <v>0</v>
      </c>
      <c r="DH76" s="49"/>
      <c r="DI76" s="49"/>
      <c r="DJ76" s="50">
        <f t="shared" si="57"/>
        <v>0</v>
      </c>
      <c r="DL76" s="49"/>
      <c r="DM76" s="49"/>
      <c r="DN76" s="50">
        <f t="shared" si="58"/>
        <v>0</v>
      </c>
      <c r="DP76" s="49"/>
      <c r="DQ76" s="49"/>
      <c r="DR76" s="50">
        <f t="shared" si="59"/>
        <v>0</v>
      </c>
      <c r="DT76" s="49"/>
      <c r="DU76" s="49"/>
      <c r="DV76" s="50">
        <f t="shared" si="60"/>
        <v>0</v>
      </c>
      <c r="DX76" s="49"/>
      <c r="DY76" s="49"/>
      <c r="DZ76" s="50">
        <f t="shared" si="61"/>
        <v>0</v>
      </c>
      <c r="EB76" s="49">
        <f t="shared" si="62"/>
        <v>0</v>
      </c>
      <c r="EC76" s="49">
        <f t="shared" si="62"/>
        <v>0</v>
      </c>
      <c r="ED76" s="49">
        <f t="shared" si="62"/>
        <v>0</v>
      </c>
    </row>
    <row r="77" spans="2:134" ht="11" customHeight="1" x14ac:dyDescent="0.35">
      <c r="B77" s="4">
        <v>111233</v>
      </c>
      <c r="C77" s="4" t="s">
        <v>83</v>
      </c>
      <c r="D77" s="4">
        <v>50</v>
      </c>
      <c r="E77" s="5">
        <v>18</v>
      </c>
      <c r="F77" s="6">
        <v>198.24524392000001</v>
      </c>
      <c r="G77" s="7"/>
      <c r="H77" s="49"/>
      <c r="I77" s="49"/>
      <c r="J77" s="50">
        <f t="shared" si="63"/>
        <v>0</v>
      </c>
      <c r="K77" s="9"/>
      <c r="L77" s="49"/>
      <c r="M77" s="49"/>
      <c r="N77" s="50">
        <f t="shared" si="32"/>
        <v>0</v>
      </c>
      <c r="O77" s="46"/>
      <c r="P77" s="49"/>
      <c r="Q77" s="49"/>
      <c r="R77" s="50">
        <f t="shared" si="33"/>
        <v>0</v>
      </c>
      <c r="T77" s="49"/>
      <c r="U77" s="49"/>
      <c r="V77" s="50">
        <f t="shared" si="34"/>
        <v>0</v>
      </c>
      <c r="X77" s="49"/>
      <c r="Y77" s="49"/>
      <c r="Z77" s="50">
        <f t="shared" si="35"/>
        <v>0</v>
      </c>
      <c r="AB77" s="49"/>
      <c r="AC77" s="49"/>
      <c r="AD77" s="50">
        <f t="shared" si="36"/>
        <v>0</v>
      </c>
      <c r="AF77" s="49"/>
      <c r="AG77" s="49"/>
      <c r="AH77" s="50">
        <f t="shared" si="37"/>
        <v>0</v>
      </c>
      <c r="AJ77" s="49"/>
      <c r="AK77" s="49"/>
      <c r="AL77" s="50">
        <f t="shared" si="38"/>
        <v>0</v>
      </c>
      <c r="AN77" s="49"/>
      <c r="AO77" s="49"/>
      <c r="AP77" s="50">
        <f t="shared" si="39"/>
        <v>0</v>
      </c>
      <c r="AR77" s="49"/>
      <c r="AS77" s="49"/>
      <c r="AT77" s="50">
        <f t="shared" si="40"/>
        <v>0</v>
      </c>
      <c r="AV77" s="49"/>
      <c r="AW77" s="49"/>
      <c r="AX77" s="50">
        <f t="shared" si="41"/>
        <v>0</v>
      </c>
      <c r="AZ77" s="49"/>
      <c r="BA77" s="49"/>
      <c r="BB77" s="50">
        <f t="shared" si="42"/>
        <v>0</v>
      </c>
      <c r="BD77" s="49"/>
      <c r="BE77" s="49"/>
      <c r="BF77" s="50">
        <f t="shared" si="43"/>
        <v>0</v>
      </c>
      <c r="BH77" s="49"/>
      <c r="BI77" s="49"/>
      <c r="BJ77" s="50">
        <f t="shared" si="44"/>
        <v>0</v>
      </c>
      <c r="BL77" s="49"/>
      <c r="BM77" s="49"/>
      <c r="BN77" s="50">
        <f t="shared" si="45"/>
        <v>0</v>
      </c>
      <c r="BP77" s="49"/>
      <c r="BQ77" s="49"/>
      <c r="BR77" s="50">
        <f t="shared" si="46"/>
        <v>0</v>
      </c>
      <c r="BT77" s="49"/>
      <c r="BU77" s="49"/>
      <c r="BV77" s="50">
        <f t="shared" si="47"/>
        <v>0</v>
      </c>
      <c r="BX77" s="49"/>
      <c r="BY77" s="49"/>
      <c r="BZ77" s="50">
        <f t="shared" si="48"/>
        <v>0</v>
      </c>
      <c r="CB77" s="49"/>
      <c r="CC77" s="49"/>
      <c r="CD77" s="50">
        <f t="shared" si="49"/>
        <v>0</v>
      </c>
      <c r="CF77" s="49"/>
      <c r="CG77" s="49"/>
      <c r="CH77" s="50">
        <f t="shared" si="50"/>
        <v>0</v>
      </c>
      <c r="CJ77" s="49"/>
      <c r="CK77" s="49"/>
      <c r="CL77" s="50">
        <f t="shared" si="51"/>
        <v>0</v>
      </c>
      <c r="CN77" s="49"/>
      <c r="CO77" s="49"/>
      <c r="CP77" s="50">
        <f t="shared" si="52"/>
        <v>0</v>
      </c>
      <c r="CR77" s="49"/>
      <c r="CS77" s="49"/>
      <c r="CT77" s="50">
        <f t="shared" si="53"/>
        <v>0</v>
      </c>
      <c r="CV77" s="49"/>
      <c r="CW77" s="49"/>
      <c r="CX77" s="50">
        <f t="shared" si="54"/>
        <v>0</v>
      </c>
      <c r="CZ77" s="49"/>
      <c r="DA77" s="49"/>
      <c r="DB77" s="50">
        <f t="shared" si="55"/>
        <v>0</v>
      </c>
      <c r="DD77" s="49"/>
      <c r="DE77" s="49"/>
      <c r="DF77" s="50">
        <f t="shared" si="56"/>
        <v>0</v>
      </c>
      <c r="DH77" s="49"/>
      <c r="DI77" s="49"/>
      <c r="DJ77" s="50">
        <f t="shared" si="57"/>
        <v>0</v>
      </c>
      <c r="DL77" s="49"/>
      <c r="DM77" s="49"/>
      <c r="DN77" s="50">
        <f t="shared" si="58"/>
        <v>0</v>
      </c>
      <c r="DP77" s="49"/>
      <c r="DQ77" s="49"/>
      <c r="DR77" s="50">
        <f t="shared" si="59"/>
        <v>0</v>
      </c>
      <c r="DT77" s="49"/>
      <c r="DU77" s="49"/>
      <c r="DV77" s="50">
        <f t="shared" si="60"/>
        <v>0</v>
      </c>
      <c r="DX77" s="49"/>
      <c r="DY77" s="49"/>
      <c r="DZ77" s="50">
        <f t="shared" si="61"/>
        <v>0</v>
      </c>
      <c r="EB77" s="49">
        <f t="shared" si="62"/>
        <v>0</v>
      </c>
      <c r="EC77" s="49">
        <f t="shared" si="62"/>
        <v>0</v>
      </c>
      <c r="ED77" s="49">
        <f t="shared" si="62"/>
        <v>0</v>
      </c>
    </row>
    <row r="78" spans="2:134" ht="11" customHeight="1" x14ac:dyDescent="0.35">
      <c r="B78" s="4">
        <v>111252</v>
      </c>
      <c r="C78" s="4" t="s">
        <v>84</v>
      </c>
      <c r="D78" s="4">
        <v>25</v>
      </c>
      <c r="E78" s="5">
        <v>36</v>
      </c>
      <c r="F78" s="6">
        <v>99.122621960000004</v>
      </c>
      <c r="G78" s="7"/>
      <c r="H78" s="49"/>
      <c r="I78" s="49"/>
      <c r="J78" s="50">
        <f t="shared" si="63"/>
        <v>0</v>
      </c>
      <c r="K78" s="9"/>
      <c r="L78" s="49"/>
      <c r="M78" s="49"/>
      <c r="N78" s="50">
        <f t="shared" si="32"/>
        <v>0</v>
      </c>
      <c r="O78" s="46"/>
      <c r="P78" s="49"/>
      <c r="Q78" s="49"/>
      <c r="R78" s="50">
        <f t="shared" si="33"/>
        <v>0</v>
      </c>
      <c r="T78" s="49"/>
      <c r="U78" s="49"/>
      <c r="V78" s="50">
        <f t="shared" si="34"/>
        <v>0</v>
      </c>
      <c r="X78" s="49"/>
      <c r="Y78" s="49"/>
      <c r="Z78" s="50">
        <f t="shared" si="35"/>
        <v>0</v>
      </c>
      <c r="AB78" s="49"/>
      <c r="AC78" s="49"/>
      <c r="AD78" s="50">
        <f t="shared" si="36"/>
        <v>0</v>
      </c>
      <c r="AF78" s="49"/>
      <c r="AG78" s="49"/>
      <c r="AH78" s="50">
        <f t="shared" si="37"/>
        <v>0</v>
      </c>
      <c r="AJ78" s="49"/>
      <c r="AK78" s="49"/>
      <c r="AL78" s="50">
        <f t="shared" si="38"/>
        <v>0</v>
      </c>
      <c r="AN78" s="49"/>
      <c r="AO78" s="49"/>
      <c r="AP78" s="50">
        <f t="shared" si="39"/>
        <v>0</v>
      </c>
      <c r="AR78" s="49"/>
      <c r="AS78" s="49"/>
      <c r="AT78" s="50">
        <f t="shared" si="40"/>
        <v>0</v>
      </c>
      <c r="AV78" s="49"/>
      <c r="AW78" s="49"/>
      <c r="AX78" s="50">
        <f t="shared" si="41"/>
        <v>0</v>
      </c>
      <c r="AZ78" s="49"/>
      <c r="BA78" s="49"/>
      <c r="BB78" s="50">
        <f t="shared" si="42"/>
        <v>0</v>
      </c>
      <c r="BD78" s="49"/>
      <c r="BE78" s="49"/>
      <c r="BF78" s="50">
        <f t="shared" si="43"/>
        <v>0</v>
      </c>
      <c r="BH78" s="49"/>
      <c r="BI78" s="49"/>
      <c r="BJ78" s="50">
        <f t="shared" si="44"/>
        <v>0</v>
      </c>
      <c r="BL78" s="49"/>
      <c r="BM78" s="49"/>
      <c r="BN78" s="50">
        <f t="shared" si="45"/>
        <v>0</v>
      </c>
      <c r="BP78" s="49"/>
      <c r="BQ78" s="49"/>
      <c r="BR78" s="50">
        <f t="shared" si="46"/>
        <v>0</v>
      </c>
      <c r="BT78" s="49"/>
      <c r="BU78" s="49"/>
      <c r="BV78" s="50">
        <f t="shared" si="47"/>
        <v>0</v>
      </c>
      <c r="BX78" s="49"/>
      <c r="BY78" s="49"/>
      <c r="BZ78" s="50">
        <f t="shared" si="48"/>
        <v>0</v>
      </c>
      <c r="CB78" s="49"/>
      <c r="CC78" s="49"/>
      <c r="CD78" s="50">
        <f t="shared" si="49"/>
        <v>0</v>
      </c>
      <c r="CF78" s="49"/>
      <c r="CG78" s="49"/>
      <c r="CH78" s="50">
        <f t="shared" si="50"/>
        <v>0</v>
      </c>
      <c r="CJ78" s="49"/>
      <c r="CK78" s="49"/>
      <c r="CL78" s="50">
        <f t="shared" si="51"/>
        <v>0</v>
      </c>
      <c r="CN78" s="49"/>
      <c r="CO78" s="49"/>
      <c r="CP78" s="50">
        <f t="shared" si="52"/>
        <v>0</v>
      </c>
      <c r="CR78" s="49"/>
      <c r="CS78" s="49"/>
      <c r="CT78" s="50">
        <f t="shared" si="53"/>
        <v>0</v>
      </c>
      <c r="CV78" s="49"/>
      <c r="CW78" s="49"/>
      <c r="CX78" s="50">
        <f t="shared" si="54"/>
        <v>0</v>
      </c>
      <c r="CZ78" s="49"/>
      <c r="DA78" s="49"/>
      <c r="DB78" s="50">
        <f t="shared" si="55"/>
        <v>0</v>
      </c>
      <c r="DD78" s="49"/>
      <c r="DE78" s="49"/>
      <c r="DF78" s="50">
        <f t="shared" si="56"/>
        <v>0</v>
      </c>
      <c r="DH78" s="49"/>
      <c r="DI78" s="49"/>
      <c r="DJ78" s="50">
        <f t="shared" si="57"/>
        <v>0</v>
      </c>
      <c r="DL78" s="49"/>
      <c r="DM78" s="49"/>
      <c r="DN78" s="50">
        <f t="shared" si="58"/>
        <v>0</v>
      </c>
      <c r="DP78" s="49"/>
      <c r="DQ78" s="49"/>
      <c r="DR78" s="50">
        <f t="shared" si="59"/>
        <v>0</v>
      </c>
      <c r="DT78" s="49"/>
      <c r="DU78" s="49"/>
      <c r="DV78" s="50">
        <f t="shared" si="60"/>
        <v>0</v>
      </c>
      <c r="DX78" s="49"/>
      <c r="DY78" s="49"/>
      <c r="DZ78" s="50">
        <f t="shared" si="61"/>
        <v>0</v>
      </c>
      <c r="EB78" s="49">
        <f t="shared" si="62"/>
        <v>0</v>
      </c>
      <c r="EC78" s="49">
        <f t="shared" si="62"/>
        <v>0</v>
      </c>
      <c r="ED78" s="49">
        <f t="shared" si="62"/>
        <v>0</v>
      </c>
    </row>
    <row r="79" spans="2:134" ht="11" customHeight="1" x14ac:dyDescent="0.35">
      <c r="B79" s="4">
        <v>111254</v>
      </c>
      <c r="C79" s="4" t="s">
        <v>85</v>
      </c>
      <c r="D79" s="4">
        <v>50</v>
      </c>
      <c r="E79" s="5">
        <v>18</v>
      </c>
      <c r="F79" s="6">
        <v>198.24524392000001</v>
      </c>
      <c r="G79" s="7"/>
      <c r="H79" s="49"/>
      <c r="I79" s="49"/>
      <c r="J79" s="50">
        <f t="shared" si="63"/>
        <v>0</v>
      </c>
      <c r="K79" s="9"/>
      <c r="L79" s="49"/>
      <c r="M79" s="49"/>
      <c r="N79" s="50">
        <f t="shared" si="32"/>
        <v>0</v>
      </c>
      <c r="O79" s="46"/>
      <c r="P79" s="49"/>
      <c r="Q79" s="49"/>
      <c r="R79" s="50">
        <f t="shared" si="33"/>
        <v>0</v>
      </c>
      <c r="T79" s="49"/>
      <c r="U79" s="49"/>
      <c r="V79" s="50">
        <f t="shared" si="34"/>
        <v>0</v>
      </c>
      <c r="X79" s="49"/>
      <c r="Y79" s="49"/>
      <c r="Z79" s="50">
        <f t="shared" si="35"/>
        <v>0</v>
      </c>
      <c r="AB79" s="49"/>
      <c r="AC79" s="49"/>
      <c r="AD79" s="50">
        <f t="shared" si="36"/>
        <v>0</v>
      </c>
      <c r="AF79" s="49"/>
      <c r="AG79" s="49"/>
      <c r="AH79" s="50">
        <f t="shared" si="37"/>
        <v>0</v>
      </c>
      <c r="AJ79" s="49"/>
      <c r="AK79" s="49"/>
      <c r="AL79" s="50">
        <f t="shared" si="38"/>
        <v>0</v>
      </c>
      <c r="AN79" s="49"/>
      <c r="AO79" s="49"/>
      <c r="AP79" s="50">
        <f t="shared" si="39"/>
        <v>0</v>
      </c>
      <c r="AR79" s="49"/>
      <c r="AS79" s="49"/>
      <c r="AT79" s="50">
        <f t="shared" si="40"/>
        <v>0</v>
      </c>
      <c r="AV79" s="49"/>
      <c r="AW79" s="49"/>
      <c r="AX79" s="50">
        <f t="shared" si="41"/>
        <v>0</v>
      </c>
      <c r="AZ79" s="49"/>
      <c r="BA79" s="49"/>
      <c r="BB79" s="50">
        <f t="shared" si="42"/>
        <v>0</v>
      </c>
      <c r="BD79" s="49"/>
      <c r="BE79" s="49"/>
      <c r="BF79" s="50">
        <f t="shared" si="43"/>
        <v>0</v>
      </c>
      <c r="BH79" s="49"/>
      <c r="BI79" s="49"/>
      <c r="BJ79" s="50">
        <f t="shared" si="44"/>
        <v>0</v>
      </c>
      <c r="BL79" s="49"/>
      <c r="BM79" s="49"/>
      <c r="BN79" s="50">
        <f t="shared" si="45"/>
        <v>0</v>
      </c>
      <c r="BP79" s="49"/>
      <c r="BQ79" s="49"/>
      <c r="BR79" s="50">
        <f t="shared" si="46"/>
        <v>0</v>
      </c>
      <c r="BT79" s="49"/>
      <c r="BU79" s="49"/>
      <c r="BV79" s="50">
        <f t="shared" si="47"/>
        <v>0</v>
      </c>
      <c r="BX79" s="49"/>
      <c r="BY79" s="49"/>
      <c r="BZ79" s="50">
        <f t="shared" si="48"/>
        <v>0</v>
      </c>
      <c r="CB79" s="49"/>
      <c r="CC79" s="49"/>
      <c r="CD79" s="50">
        <f t="shared" si="49"/>
        <v>0</v>
      </c>
      <c r="CF79" s="49"/>
      <c r="CG79" s="49"/>
      <c r="CH79" s="50">
        <f t="shared" si="50"/>
        <v>0</v>
      </c>
      <c r="CJ79" s="49"/>
      <c r="CK79" s="49"/>
      <c r="CL79" s="50">
        <f t="shared" si="51"/>
        <v>0</v>
      </c>
      <c r="CN79" s="49"/>
      <c r="CO79" s="49"/>
      <c r="CP79" s="50">
        <f t="shared" si="52"/>
        <v>0</v>
      </c>
      <c r="CR79" s="49"/>
      <c r="CS79" s="49"/>
      <c r="CT79" s="50">
        <f t="shared" si="53"/>
        <v>0</v>
      </c>
      <c r="CV79" s="49"/>
      <c r="CW79" s="49"/>
      <c r="CX79" s="50">
        <f t="shared" si="54"/>
        <v>0</v>
      </c>
      <c r="CZ79" s="49"/>
      <c r="DA79" s="49"/>
      <c r="DB79" s="50">
        <f t="shared" si="55"/>
        <v>0</v>
      </c>
      <c r="DD79" s="49"/>
      <c r="DE79" s="49"/>
      <c r="DF79" s="50">
        <f t="shared" si="56"/>
        <v>0</v>
      </c>
      <c r="DH79" s="49"/>
      <c r="DI79" s="49"/>
      <c r="DJ79" s="50">
        <f t="shared" si="57"/>
        <v>0</v>
      </c>
      <c r="DL79" s="49"/>
      <c r="DM79" s="49"/>
      <c r="DN79" s="50">
        <f t="shared" si="58"/>
        <v>0</v>
      </c>
      <c r="DP79" s="49"/>
      <c r="DQ79" s="49"/>
      <c r="DR79" s="50">
        <f t="shared" si="59"/>
        <v>0</v>
      </c>
      <c r="DT79" s="49"/>
      <c r="DU79" s="49"/>
      <c r="DV79" s="50">
        <f t="shared" si="60"/>
        <v>0</v>
      </c>
      <c r="DX79" s="49"/>
      <c r="DY79" s="49"/>
      <c r="DZ79" s="50">
        <f t="shared" si="61"/>
        <v>0</v>
      </c>
      <c r="EB79" s="49">
        <f t="shared" si="62"/>
        <v>0</v>
      </c>
      <c r="EC79" s="49">
        <f t="shared" si="62"/>
        <v>0</v>
      </c>
      <c r="ED79" s="49">
        <f t="shared" si="62"/>
        <v>0</v>
      </c>
    </row>
    <row r="80" spans="2:134" ht="11" customHeight="1" x14ac:dyDescent="0.35">
      <c r="B80" s="4">
        <v>101018</v>
      </c>
      <c r="C80" s="4" t="s">
        <v>86</v>
      </c>
      <c r="D80" s="4">
        <v>24</v>
      </c>
      <c r="E80" s="5">
        <v>24</v>
      </c>
      <c r="F80" s="6">
        <v>189.29879107400001</v>
      </c>
      <c r="G80" s="1"/>
      <c r="H80" s="49"/>
      <c r="I80" s="49"/>
      <c r="J80" s="50">
        <f t="shared" si="63"/>
        <v>0</v>
      </c>
      <c r="K80" s="9"/>
      <c r="L80" s="49"/>
      <c r="M80" s="49"/>
      <c r="N80" s="50">
        <f t="shared" si="32"/>
        <v>0</v>
      </c>
      <c r="O80" s="46"/>
      <c r="P80" s="49"/>
      <c r="Q80" s="49"/>
      <c r="R80" s="50">
        <f t="shared" si="33"/>
        <v>0</v>
      </c>
      <c r="T80" s="49"/>
      <c r="U80" s="49"/>
      <c r="V80" s="50">
        <f t="shared" si="34"/>
        <v>0</v>
      </c>
      <c r="X80" s="49"/>
      <c r="Y80" s="49"/>
      <c r="Z80" s="50">
        <f t="shared" si="35"/>
        <v>0</v>
      </c>
      <c r="AB80" s="49"/>
      <c r="AC80" s="49"/>
      <c r="AD80" s="50">
        <f t="shared" si="36"/>
        <v>0</v>
      </c>
      <c r="AF80" s="49"/>
      <c r="AG80" s="49"/>
      <c r="AH80" s="50">
        <f t="shared" si="37"/>
        <v>0</v>
      </c>
      <c r="AJ80" s="49"/>
      <c r="AK80" s="49"/>
      <c r="AL80" s="50">
        <f t="shared" si="38"/>
        <v>0</v>
      </c>
      <c r="AN80" s="49"/>
      <c r="AO80" s="49"/>
      <c r="AP80" s="50">
        <f t="shared" si="39"/>
        <v>0</v>
      </c>
      <c r="AR80" s="49"/>
      <c r="AS80" s="49"/>
      <c r="AT80" s="50">
        <f t="shared" si="40"/>
        <v>0</v>
      </c>
      <c r="AV80" s="49"/>
      <c r="AW80" s="49"/>
      <c r="AX80" s="50">
        <f t="shared" si="41"/>
        <v>0</v>
      </c>
      <c r="AZ80" s="49"/>
      <c r="BA80" s="49"/>
      <c r="BB80" s="50">
        <f t="shared" si="42"/>
        <v>0</v>
      </c>
      <c r="BD80" s="49"/>
      <c r="BE80" s="49"/>
      <c r="BF80" s="50">
        <f t="shared" si="43"/>
        <v>0</v>
      </c>
      <c r="BH80" s="49"/>
      <c r="BI80" s="49"/>
      <c r="BJ80" s="50">
        <f t="shared" si="44"/>
        <v>0</v>
      </c>
      <c r="BL80" s="49"/>
      <c r="BM80" s="49"/>
      <c r="BN80" s="50">
        <f t="shared" si="45"/>
        <v>0</v>
      </c>
      <c r="BP80" s="49"/>
      <c r="BQ80" s="49"/>
      <c r="BR80" s="50">
        <f t="shared" si="46"/>
        <v>0</v>
      </c>
      <c r="BT80" s="49"/>
      <c r="BU80" s="49"/>
      <c r="BV80" s="50">
        <f t="shared" si="47"/>
        <v>0</v>
      </c>
      <c r="BX80" s="49"/>
      <c r="BY80" s="49"/>
      <c r="BZ80" s="50">
        <f t="shared" si="48"/>
        <v>0</v>
      </c>
      <c r="CB80" s="49"/>
      <c r="CC80" s="49"/>
      <c r="CD80" s="50">
        <f t="shared" si="49"/>
        <v>0</v>
      </c>
      <c r="CF80" s="49"/>
      <c r="CG80" s="49"/>
      <c r="CH80" s="50">
        <f t="shared" si="50"/>
        <v>0</v>
      </c>
      <c r="CJ80" s="49"/>
      <c r="CK80" s="49"/>
      <c r="CL80" s="50">
        <f t="shared" si="51"/>
        <v>0</v>
      </c>
      <c r="CN80" s="49"/>
      <c r="CO80" s="49"/>
      <c r="CP80" s="50">
        <f t="shared" si="52"/>
        <v>0</v>
      </c>
      <c r="CR80" s="49"/>
      <c r="CS80" s="49"/>
      <c r="CT80" s="50">
        <f t="shared" si="53"/>
        <v>0</v>
      </c>
      <c r="CV80" s="49"/>
      <c r="CW80" s="49"/>
      <c r="CX80" s="50">
        <f t="shared" si="54"/>
        <v>0</v>
      </c>
      <c r="CZ80" s="49"/>
      <c r="DA80" s="49"/>
      <c r="DB80" s="50">
        <f t="shared" si="55"/>
        <v>0</v>
      </c>
      <c r="DD80" s="49"/>
      <c r="DE80" s="49"/>
      <c r="DF80" s="50">
        <f t="shared" si="56"/>
        <v>0</v>
      </c>
      <c r="DH80" s="49"/>
      <c r="DI80" s="49"/>
      <c r="DJ80" s="50">
        <f t="shared" si="57"/>
        <v>0</v>
      </c>
      <c r="DL80" s="49"/>
      <c r="DM80" s="49"/>
      <c r="DN80" s="50">
        <f t="shared" si="58"/>
        <v>0</v>
      </c>
      <c r="DP80" s="49"/>
      <c r="DQ80" s="49"/>
      <c r="DR80" s="50">
        <f t="shared" si="59"/>
        <v>0</v>
      </c>
      <c r="DT80" s="49"/>
      <c r="DU80" s="49"/>
      <c r="DV80" s="50">
        <f t="shared" si="60"/>
        <v>0</v>
      </c>
      <c r="DX80" s="49"/>
      <c r="DY80" s="49"/>
      <c r="DZ80" s="50">
        <f t="shared" si="61"/>
        <v>0</v>
      </c>
      <c r="EB80" s="49">
        <f t="shared" si="62"/>
        <v>0</v>
      </c>
      <c r="EC80" s="49">
        <f t="shared" si="62"/>
        <v>0</v>
      </c>
      <c r="ED80" s="49">
        <f t="shared" si="62"/>
        <v>0</v>
      </c>
    </row>
    <row r="81" spans="2:134" ht="11" customHeight="1" x14ac:dyDescent="0.35">
      <c r="B81" s="4">
        <v>101030</v>
      </c>
      <c r="C81" s="4" t="s">
        <v>87</v>
      </c>
      <c r="D81" s="4">
        <v>24</v>
      </c>
      <c r="E81" s="5">
        <v>24</v>
      </c>
      <c r="F81" s="6">
        <v>192.453575</v>
      </c>
      <c r="G81" s="1"/>
      <c r="H81" s="49"/>
      <c r="I81" s="49"/>
      <c r="J81" s="50">
        <f t="shared" si="63"/>
        <v>0</v>
      </c>
      <c r="K81" s="9"/>
      <c r="L81" s="49"/>
      <c r="M81" s="49"/>
      <c r="N81" s="50">
        <f t="shared" si="32"/>
        <v>0</v>
      </c>
      <c r="O81" s="46"/>
      <c r="P81" s="49"/>
      <c r="Q81" s="49"/>
      <c r="R81" s="50">
        <f t="shared" si="33"/>
        <v>0</v>
      </c>
      <c r="T81" s="49"/>
      <c r="U81" s="49"/>
      <c r="V81" s="50">
        <f t="shared" si="34"/>
        <v>0</v>
      </c>
      <c r="X81" s="49"/>
      <c r="Y81" s="49"/>
      <c r="Z81" s="50">
        <f t="shared" si="35"/>
        <v>0</v>
      </c>
      <c r="AB81" s="49"/>
      <c r="AC81" s="49"/>
      <c r="AD81" s="50">
        <f t="shared" si="36"/>
        <v>0</v>
      </c>
      <c r="AF81" s="49"/>
      <c r="AG81" s="49"/>
      <c r="AH81" s="50">
        <f t="shared" si="37"/>
        <v>0</v>
      </c>
      <c r="AJ81" s="49"/>
      <c r="AK81" s="49"/>
      <c r="AL81" s="50">
        <f t="shared" si="38"/>
        <v>0</v>
      </c>
      <c r="AN81" s="49"/>
      <c r="AO81" s="49"/>
      <c r="AP81" s="50">
        <f t="shared" si="39"/>
        <v>0</v>
      </c>
      <c r="AR81" s="49"/>
      <c r="AS81" s="49"/>
      <c r="AT81" s="50">
        <f t="shared" si="40"/>
        <v>0</v>
      </c>
      <c r="AV81" s="49"/>
      <c r="AW81" s="49"/>
      <c r="AX81" s="50">
        <f t="shared" si="41"/>
        <v>0</v>
      </c>
      <c r="AZ81" s="49"/>
      <c r="BA81" s="49"/>
      <c r="BB81" s="50">
        <f t="shared" si="42"/>
        <v>0</v>
      </c>
      <c r="BD81" s="49"/>
      <c r="BE81" s="49"/>
      <c r="BF81" s="50">
        <f t="shared" si="43"/>
        <v>0</v>
      </c>
      <c r="BH81" s="49"/>
      <c r="BI81" s="49"/>
      <c r="BJ81" s="50">
        <f t="shared" si="44"/>
        <v>0</v>
      </c>
      <c r="BL81" s="49"/>
      <c r="BM81" s="49"/>
      <c r="BN81" s="50">
        <f t="shared" si="45"/>
        <v>0</v>
      </c>
      <c r="BP81" s="49"/>
      <c r="BQ81" s="49"/>
      <c r="BR81" s="50">
        <f t="shared" si="46"/>
        <v>0</v>
      </c>
      <c r="BT81" s="49"/>
      <c r="BU81" s="49"/>
      <c r="BV81" s="50">
        <f t="shared" si="47"/>
        <v>0</v>
      </c>
      <c r="BX81" s="49"/>
      <c r="BY81" s="49"/>
      <c r="BZ81" s="50">
        <f t="shared" si="48"/>
        <v>0</v>
      </c>
      <c r="CB81" s="49"/>
      <c r="CC81" s="49"/>
      <c r="CD81" s="50">
        <f t="shared" si="49"/>
        <v>0</v>
      </c>
      <c r="CF81" s="49"/>
      <c r="CG81" s="49"/>
      <c r="CH81" s="50">
        <f t="shared" si="50"/>
        <v>0</v>
      </c>
      <c r="CJ81" s="49"/>
      <c r="CK81" s="49"/>
      <c r="CL81" s="50">
        <f t="shared" si="51"/>
        <v>0</v>
      </c>
      <c r="CN81" s="49"/>
      <c r="CO81" s="49"/>
      <c r="CP81" s="50">
        <f t="shared" si="52"/>
        <v>0</v>
      </c>
      <c r="CR81" s="49"/>
      <c r="CS81" s="49"/>
      <c r="CT81" s="50">
        <f t="shared" si="53"/>
        <v>0</v>
      </c>
      <c r="CV81" s="49"/>
      <c r="CW81" s="49"/>
      <c r="CX81" s="50">
        <f t="shared" si="54"/>
        <v>0</v>
      </c>
      <c r="CZ81" s="49"/>
      <c r="DA81" s="49"/>
      <c r="DB81" s="50">
        <f t="shared" si="55"/>
        <v>0</v>
      </c>
      <c r="DD81" s="49"/>
      <c r="DE81" s="49"/>
      <c r="DF81" s="50">
        <f t="shared" si="56"/>
        <v>0</v>
      </c>
      <c r="DH81" s="49"/>
      <c r="DI81" s="49"/>
      <c r="DJ81" s="50">
        <f t="shared" si="57"/>
        <v>0</v>
      </c>
      <c r="DL81" s="49"/>
      <c r="DM81" s="49"/>
      <c r="DN81" s="50">
        <f t="shared" si="58"/>
        <v>0</v>
      </c>
      <c r="DP81" s="49"/>
      <c r="DQ81" s="49"/>
      <c r="DR81" s="50">
        <f t="shared" si="59"/>
        <v>0</v>
      </c>
      <c r="DT81" s="49"/>
      <c r="DU81" s="49"/>
      <c r="DV81" s="50">
        <f t="shared" si="60"/>
        <v>0</v>
      </c>
      <c r="DX81" s="49"/>
      <c r="DY81" s="49"/>
      <c r="DZ81" s="50">
        <f t="shared" si="61"/>
        <v>0</v>
      </c>
      <c r="EB81" s="49">
        <f t="shared" si="62"/>
        <v>0</v>
      </c>
      <c r="EC81" s="49">
        <f t="shared" si="62"/>
        <v>0</v>
      </c>
      <c r="ED81" s="49">
        <f t="shared" si="62"/>
        <v>0</v>
      </c>
    </row>
    <row r="82" spans="2:134" ht="11" customHeight="1" x14ac:dyDescent="0.35">
      <c r="B82" s="4">
        <v>101059</v>
      </c>
      <c r="C82" s="4" t="s">
        <v>88</v>
      </c>
      <c r="D82" s="4">
        <v>18</v>
      </c>
      <c r="E82" s="5">
        <v>18</v>
      </c>
      <c r="F82" s="6">
        <v>189.29879107400001</v>
      </c>
      <c r="G82" s="1"/>
      <c r="H82" s="49"/>
      <c r="I82" s="49"/>
      <c r="J82" s="50">
        <f t="shared" si="63"/>
        <v>0</v>
      </c>
      <c r="K82" s="9"/>
      <c r="L82" s="49"/>
      <c r="M82" s="49"/>
      <c r="N82" s="50">
        <f t="shared" si="32"/>
        <v>0</v>
      </c>
      <c r="O82" s="46"/>
      <c r="P82" s="49"/>
      <c r="Q82" s="49"/>
      <c r="R82" s="50">
        <f t="shared" si="33"/>
        <v>0</v>
      </c>
      <c r="T82" s="49"/>
      <c r="U82" s="49"/>
      <c r="V82" s="50">
        <f t="shared" si="34"/>
        <v>0</v>
      </c>
      <c r="X82" s="49"/>
      <c r="Y82" s="49"/>
      <c r="Z82" s="50">
        <f t="shared" si="35"/>
        <v>0</v>
      </c>
      <c r="AB82" s="49"/>
      <c r="AC82" s="49"/>
      <c r="AD82" s="50">
        <f t="shared" si="36"/>
        <v>0</v>
      </c>
      <c r="AF82" s="49"/>
      <c r="AG82" s="49"/>
      <c r="AH82" s="50">
        <f t="shared" si="37"/>
        <v>0</v>
      </c>
      <c r="AJ82" s="49"/>
      <c r="AK82" s="49"/>
      <c r="AL82" s="50">
        <f t="shared" si="38"/>
        <v>0</v>
      </c>
      <c r="AN82" s="49"/>
      <c r="AO82" s="49"/>
      <c r="AP82" s="50">
        <f t="shared" si="39"/>
        <v>0</v>
      </c>
      <c r="AR82" s="49"/>
      <c r="AS82" s="49"/>
      <c r="AT82" s="50">
        <f t="shared" si="40"/>
        <v>0</v>
      </c>
      <c r="AV82" s="49"/>
      <c r="AW82" s="49"/>
      <c r="AX82" s="50">
        <f t="shared" si="41"/>
        <v>0</v>
      </c>
      <c r="AZ82" s="49"/>
      <c r="BA82" s="49"/>
      <c r="BB82" s="50">
        <f t="shared" si="42"/>
        <v>0</v>
      </c>
      <c r="BD82" s="49"/>
      <c r="BE82" s="49"/>
      <c r="BF82" s="50">
        <f t="shared" si="43"/>
        <v>0</v>
      </c>
      <c r="BH82" s="49"/>
      <c r="BI82" s="49"/>
      <c r="BJ82" s="50">
        <f t="shared" si="44"/>
        <v>0</v>
      </c>
      <c r="BL82" s="49"/>
      <c r="BM82" s="49"/>
      <c r="BN82" s="50">
        <f t="shared" si="45"/>
        <v>0</v>
      </c>
      <c r="BP82" s="49"/>
      <c r="BQ82" s="49"/>
      <c r="BR82" s="50">
        <f t="shared" si="46"/>
        <v>0</v>
      </c>
      <c r="BT82" s="49"/>
      <c r="BU82" s="49"/>
      <c r="BV82" s="50">
        <f t="shared" si="47"/>
        <v>0</v>
      </c>
      <c r="BX82" s="49"/>
      <c r="BY82" s="49"/>
      <c r="BZ82" s="50">
        <f t="shared" si="48"/>
        <v>0</v>
      </c>
      <c r="CB82" s="49"/>
      <c r="CC82" s="49"/>
      <c r="CD82" s="50">
        <f t="shared" si="49"/>
        <v>0</v>
      </c>
      <c r="CF82" s="49"/>
      <c r="CG82" s="49"/>
      <c r="CH82" s="50">
        <f t="shared" si="50"/>
        <v>0</v>
      </c>
      <c r="CJ82" s="49"/>
      <c r="CK82" s="49"/>
      <c r="CL82" s="50">
        <f t="shared" si="51"/>
        <v>0</v>
      </c>
      <c r="CN82" s="49"/>
      <c r="CO82" s="49"/>
      <c r="CP82" s="50">
        <f t="shared" si="52"/>
        <v>0</v>
      </c>
      <c r="CR82" s="49"/>
      <c r="CS82" s="49"/>
      <c r="CT82" s="50">
        <f t="shared" si="53"/>
        <v>0</v>
      </c>
      <c r="CV82" s="49"/>
      <c r="CW82" s="49"/>
      <c r="CX82" s="50">
        <f t="shared" si="54"/>
        <v>0</v>
      </c>
      <c r="CZ82" s="49"/>
      <c r="DA82" s="49"/>
      <c r="DB82" s="50">
        <f t="shared" si="55"/>
        <v>0</v>
      </c>
      <c r="DD82" s="49"/>
      <c r="DE82" s="49"/>
      <c r="DF82" s="50">
        <f t="shared" si="56"/>
        <v>0</v>
      </c>
      <c r="DH82" s="49"/>
      <c r="DI82" s="49"/>
      <c r="DJ82" s="50">
        <f t="shared" si="57"/>
        <v>0</v>
      </c>
      <c r="DL82" s="49"/>
      <c r="DM82" s="49"/>
      <c r="DN82" s="50">
        <f t="shared" si="58"/>
        <v>0</v>
      </c>
      <c r="DP82" s="49"/>
      <c r="DQ82" s="49"/>
      <c r="DR82" s="50">
        <f t="shared" si="59"/>
        <v>0</v>
      </c>
      <c r="DT82" s="49"/>
      <c r="DU82" s="49"/>
      <c r="DV82" s="50">
        <f t="shared" si="60"/>
        <v>0</v>
      </c>
      <c r="DX82" s="49"/>
      <c r="DY82" s="49"/>
      <c r="DZ82" s="50">
        <f t="shared" si="61"/>
        <v>0</v>
      </c>
      <c r="EB82" s="49">
        <f t="shared" si="62"/>
        <v>0</v>
      </c>
      <c r="EC82" s="49">
        <f t="shared" si="62"/>
        <v>0</v>
      </c>
      <c r="ED82" s="49">
        <f t="shared" si="62"/>
        <v>0</v>
      </c>
    </row>
    <row r="83" spans="2:134" ht="11" customHeight="1" x14ac:dyDescent="0.35">
      <c r="B83" s="4">
        <v>101404</v>
      </c>
      <c r="C83" s="4" t="s">
        <v>89</v>
      </c>
      <c r="D83" s="4">
        <v>18</v>
      </c>
      <c r="E83" s="5">
        <v>18</v>
      </c>
      <c r="F83" s="6">
        <v>141.97409327599999</v>
      </c>
      <c r="G83" s="1"/>
      <c r="H83" s="49"/>
      <c r="I83" s="49"/>
      <c r="J83" s="50">
        <f t="shared" si="63"/>
        <v>0</v>
      </c>
      <c r="K83" s="9"/>
      <c r="L83" s="49"/>
      <c r="M83" s="49"/>
      <c r="N83" s="50">
        <f t="shared" si="32"/>
        <v>0</v>
      </c>
      <c r="O83" s="46"/>
      <c r="P83" s="49"/>
      <c r="Q83" s="49"/>
      <c r="R83" s="50">
        <f t="shared" si="33"/>
        <v>0</v>
      </c>
      <c r="T83" s="49"/>
      <c r="U83" s="49"/>
      <c r="V83" s="50">
        <f t="shared" si="34"/>
        <v>0</v>
      </c>
      <c r="X83" s="49"/>
      <c r="Y83" s="49"/>
      <c r="Z83" s="50">
        <f t="shared" si="35"/>
        <v>0</v>
      </c>
      <c r="AB83" s="49"/>
      <c r="AC83" s="49"/>
      <c r="AD83" s="50">
        <f t="shared" si="36"/>
        <v>0</v>
      </c>
      <c r="AF83" s="49"/>
      <c r="AG83" s="49"/>
      <c r="AH83" s="50">
        <f t="shared" si="37"/>
        <v>0</v>
      </c>
      <c r="AJ83" s="49"/>
      <c r="AK83" s="49"/>
      <c r="AL83" s="50">
        <f t="shared" si="38"/>
        <v>0</v>
      </c>
      <c r="AN83" s="49"/>
      <c r="AO83" s="49"/>
      <c r="AP83" s="50">
        <f t="shared" si="39"/>
        <v>0</v>
      </c>
      <c r="AR83" s="49"/>
      <c r="AS83" s="49"/>
      <c r="AT83" s="50">
        <f t="shared" si="40"/>
        <v>0</v>
      </c>
      <c r="AV83" s="49"/>
      <c r="AW83" s="49"/>
      <c r="AX83" s="50">
        <f t="shared" si="41"/>
        <v>0</v>
      </c>
      <c r="AZ83" s="49"/>
      <c r="BA83" s="49"/>
      <c r="BB83" s="50">
        <f t="shared" si="42"/>
        <v>0</v>
      </c>
      <c r="BD83" s="49"/>
      <c r="BE83" s="49"/>
      <c r="BF83" s="50">
        <f t="shared" si="43"/>
        <v>0</v>
      </c>
      <c r="BH83" s="49"/>
      <c r="BI83" s="49"/>
      <c r="BJ83" s="50">
        <f t="shared" si="44"/>
        <v>0</v>
      </c>
      <c r="BL83" s="49"/>
      <c r="BM83" s="49"/>
      <c r="BN83" s="50">
        <f t="shared" si="45"/>
        <v>0</v>
      </c>
      <c r="BP83" s="49"/>
      <c r="BQ83" s="49"/>
      <c r="BR83" s="50">
        <f t="shared" si="46"/>
        <v>0</v>
      </c>
      <c r="BT83" s="49"/>
      <c r="BU83" s="49"/>
      <c r="BV83" s="50">
        <f t="shared" si="47"/>
        <v>0</v>
      </c>
      <c r="BX83" s="49"/>
      <c r="BY83" s="49"/>
      <c r="BZ83" s="50">
        <f t="shared" si="48"/>
        <v>0</v>
      </c>
      <c r="CB83" s="49"/>
      <c r="CC83" s="49"/>
      <c r="CD83" s="50">
        <f t="shared" si="49"/>
        <v>0</v>
      </c>
      <c r="CF83" s="49"/>
      <c r="CG83" s="49"/>
      <c r="CH83" s="50">
        <f t="shared" si="50"/>
        <v>0</v>
      </c>
      <c r="CJ83" s="49"/>
      <c r="CK83" s="49"/>
      <c r="CL83" s="50">
        <f t="shared" si="51"/>
        <v>0</v>
      </c>
      <c r="CN83" s="49"/>
      <c r="CO83" s="49"/>
      <c r="CP83" s="50">
        <f t="shared" si="52"/>
        <v>0</v>
      </c>
      <c r="CR83" s="49"/>
      <c r="CS83" s="49"/>
      <c r="CT83" s="50">
        <f t="shared" si="53"/>
        <v>0</v>
      </c>
      <c r="CV83" s="49"/>
      <c r="CW83" s="49"/>
      <c r="CX83" s="50">
        <f t="shared" si="54"/>
        <v>0</v>
      </c>
      <c r="CZ83" s="49"/>
      <c r="DA83" s="49"/>
      <c r="DB83" s="50">
        <f t="shared" si="55"/>
        <v>0</v>
      </c>
      <c r="DD83" s="49"/>
      <c r="DE83" s="49"/>
      <c r="DF83" s="50">
        <f t="shared" si="56"/>
        <v>0</v>
      </c>
      <c r="DH83" s="49"/>
      <c r="DI83" s="49"/>
      <c r="DJ83" s="50">
        <f t="shared" si="57"/>
        <v>0</v>
      </c>
      <c r="DL83" s="49"/>
      <c r="DM83" s="49"/>
      <c r="DN83" s="50">
        <f t="shared" si="58"/>
        <v>0</v>
      </c>
      <c r="DP83" s="49"/>
      <c r="DQ83" s="49"/>
      <c r="DR83" s="50">
        <f t="shared" si="59"/>
        <v>0</v>
      </c>
      <c r="DT83" s="49"/>
      <c r="DU83" s="49"/>
      <c r="DV83" s="50">
        <f t="shared" si="60"/>
        <v>0</v>
      </c>
      <c r="DX83" s="49"/>
      <c r="DY83" s="49"/>
      <c r="DZ83" s="50">
        <f t="shared" si="61"/>
        <v>0</v>
      </c>
      <c r="EB83" s="49">
        <f t="shared" si="62"/>
        <v>0</v>
      </c>
      <c r="EC83" s="49">
        <f t="shared" si="62"/>
        <v>0</v>
      </c>
      <c r="ED83" s="49">
        <f t="shared" si="62"/>
        <v>0</v>
      </c>
    </row>
    <row r="84" spans="2:134" ht="11" customHeight="1" x14ac:dyDescent="0.35">
      <c r="B84" s="4">
        <v>104055</v>
      </c>
      <c r="C84" s="4" t="s">
        <v>90</v>
      </c>
      <c r="D84" s="4">
        <v>25</v>
      </c>
      <c r="E84" s="5">
        <v>24</v>
      </c>
      <c r="F84" s="6">
        <v>100.236575</v>
      </c>
      <c r="G84" s="1"/>
      <c r="H84" s="49"/>
      <c r="I84" s="49"/>
      <c r="J84" s="50">
        <f t="shared" si="63"/>
        <v>0</v>
      </c>
      <c r="K84" s="9"/>
      <c r="L84" s="49"/>
      <c r="M84" s="49"/>
      <c r="N84" s="50">
        <f t="shared" si="32"/>
        <v>0</v>
      </c>
      <c r="O84" s="46"/>
      <c r="P84" s="49"/>
      <c r="Q84" s="49"/>
      <c r="R84" s="50">
        <f t="shared" si="33"/>
        <v>0</v>
      </c>
      <c r="T84" s="49"/>
      <c r="U84" s="49"/>
      <c r="V84" s="50">
        <f t="shared" si="34"/>
        <v>0</v>
      </c>
      <c r="X84" s="49"/>
      <c r="Y84" s="49"/>
      <c r="Z84" s="50">
        <f t="shared" si="35"/>
        <v>0</v>
      </c>
      <c r="AB84" s="49"/>
      <c r="AC84" s="49"/>
      <c r="AD84" s="50">
        <f t="shared" si="36"/>
        <v>0</v>
      </c>
      <c r="AF84" s="49"/>
      <c r="AG84" s="49"/>
      <c r="AH84" s="50">
        <f t="shared" si="37"/>
        <v>0</v>
      </c>
      <c r="AJ84" s="49"/>
      <c r="AK84" s="49"/>
      <c r="AL84" s="50">
        <f t="shared" si="38"/>
        <v>0</v>
      </c>
      <c r="AN84" s="49"/>
      <c r="AO84" s="49"/>
      <c r="AP84" s="50">
        <f t="shared" si="39"/>
        <v>0</v>
      </c>
      <c r="AR84" s="49"/>
      <c r="AS84" s="49"/>
      <c r="AT84" s="50">
        <f t="shared" si="40"/>
        <v>0</v>
      </c>
      <c r="AV84" s="49"/>
      <c r="AW84" s="49"/>
      <c r="AX84" s="50">
        <f t="shared" si="41"/>
        <v>0</v>
      </c>
      <c r="AZ84" s="49"/>
      <c r="BA84" s="49"/>
      <c r="BB84" s="50">
        <f t="shared" si="42"/>
        <v>0</v>
      </c>
      <c r="BD84" s="49"/>
      <c r="BE84" s="49"/>
      <c r="BF84" s="50">
        <f t="shared" si="43"/>
        <v>0</v>
      </c>
      <c r="BH84" s="49"/>
      <c r="BI84" s="49"/>
      <c r="BJ84" s="50">
        <f t="shared" si="44"/>
        <v>0</v>
      </c>
      <c r="BL84" s="49"/>
      <c r="BM84" s="49"/>
      <c r="BN84" s="50">
        <f t="shared" si="45"/>
        <v>0</v>
      </c>
      <c r="BP84" s="49"/>
      <c r="BQ84" s="49"/>
      <c r="BR84" s="50">
        <f t="shared" si="46"/>
        <v>0</v>
      </c>
      <c r="BT84" s="49"/>
      <c r="BU84" s="49"/>
      <c r="BV84" s="50">
        <f t="shared" si="47"/>
        <v>0</v>
      </c>
      <c r="BX84" s="49"/>
      <c r="BY84" s="49"/>
      <c r="BZ84" s="50">
        <f t="shared" si="48"/>
        <v>0</v>
      </c>
      <c r="CB84" s="49"/>
      <c r="CC84" s="49"/>
      <c r="CD84" s="50">
        <f t="shared" si="49"/>
        <v>0</v>
      </c>
      <c r="CF84" s="49"/>
      <c r="CG84" s="49"/>
      <c r="CH84" s="50">
        <f t="shared" si="50"/>
        <v>0</v>
      </c>
      <c r="CJ84" s="49"/>
      <c r="CK84" s="49"/>
      <c r="CL84" s="50">
        <f t="shared" si="51"/>
        <v>0</v>
      </c>
      <c r="CN84" s="49"/>
      <c r="CO84" s="49"/>
      <c r="CP84" s="50">
        <f t="shared" si="52"/>
        <v>0</v>
      </c>
      <c r="CR84" s="49"/>
      <c r="CS84" s="49"/>
      <c r="CT84" s="50">
        <f t="shared" si="53"/>
        <v>0</v>
      </c>
      <c r="CV84" s="49"/>
      <c r="CW84" s="49"/>
      <c r="CX84" s="50">
        <f t="shared" si="54"/>
        <v>0</v>
      </c>
      <c r="CZ84" s="49"/>
      <c r="DA84" s="49"/>
      <c r="DB84" s="50">
        <f t="shared" si="55"/>
        <v>0</v>
      </c>
      <c r="DD84" s="49"/>
      <c r="DE84" s="49"/>
      <c r="DF84" s="50">
        <f t="shared" si="56"/>
        <v>0</v>
      </c>
      <c r="DH84" s="49"/>
      <c r="DI84" s="49"/>
      <c r="DJ84" s="50">
        <f t="shared" si="57"/>
        <v>0</v>
      </c>
      <c r="DL84" s="49"/>
      <c r="DM84" s="49"/>
      <c r="DN84" s="50">
        <f t="shared" si="58"/>
        <v>0</v>
      </c>
      <c r="DP84" s="49"/>
      <c r="DQ84" s="49"/>
      <c r="DR84" s="50">
        <f t="shared" si="59"/>
        <v>0</v>
      </c>
      <c r="DT84" s="49"/>
      <c r="DU84" s="49"/>
      <c r="DV84" s="50">
        <f t="shared" si="60"/>
        <v>0</v>
      </c>
      <c r="DX84" s="49"/>
      <c r="DY84" s="49"/>
      <c r="DZ84" s="50">
        <f t="shared" si="61"/>
        <v>0</v>
      </c>
      <c r="EB84" s="49">
        <f t="shared" si="62"/>
        <v>0</v>
      </c>
      <c r="EC84" s="49">
        <f t="shared" si="62"/>
        <v>0</v>
      </c>
      <c r="ED84" s="49">
        <f t="shared" si="62"/>
        <v>0</v>
      </c>
    </row>
    <row r="85" spans="2:134" ht="11" customHeight="1" x14ac:dyDescent="0.35">
      <c r="B85" s="4">
        <v>101935</v>
      </c>
      <c r="C85" s="4" t="s">
        <v>91</v>
      </c>
      <c r="D85" s="4">
        <v>12</v>
      </c>
      <c r="E85" s="5">
        <v>8</v>
      </c>
      <c r="F85" s="6">
        <v>39.4372481296</v>
      </c>
      <c r="G85" s="1"/>
      <c r="H85" s="49"/>
      <c r="I85" s="49"/>
      <c r="J85" s="50">
        <f t="shared" si="63"/>
        <v>0</v>
      </c>
      <c r="K85" s="9"/>
      <c r="L85" s="49"/>
      <c r="M85" s="49"/>
      <c r="N85" s="50">
        <f t="shared" si="32"/>
        <v>0</v>
      </c>
      <c r="O85" s="46"/>
      <c r="P85" s="49"/>
      <c r="Q85" s="49"/>
      <c r="R85" s="50">
        <f t="shared" si="33"/>
        <v>0</v>
      </c>
      <c r="T85" s="49"/>
      <c r="U85" s="49"/>
      <c r="V85" s="50">
        <f t="shared" si="34"/>
        <v>0</v>
      </c>
      <c r="X85" s="49"/>
      <c r="Y85" s="49"/>
      <c r="Z85" s="50">
        <f t="shared" si="35"/>
        <v>0</v>
      </c>
      <c r="AB85" s="49"/>
      <c r="AC85" s="49"/>
      <c r="AD85" s="50">
        <f t="shared" si="36"/>
        <v>0</v>
      </c>
      <c r="AF85" s="49"/>
      <c r="AG85" s="49"/>
      <c r="AH85" s="50">
        <f t="shared" si="37"/>
        <v>0</v>
      </c>
      <c r="AJ85" s="49"/>
      <c r="AK85" s="49"/>
      <c r="AL85" s="50">
        <f t="shared" si="38"/>
        <v>0</v>
      </c>
      <c r="AN85" s="49"/>
      <c r="AO85" s="49"/>
      <c r="AP85" s="50">
        <f t="shared" si="39"/>
        <v>0</v>
      </c>
      <c r="AR85" s="49"/>
      <c r="AS85" s="49"/>
      <c r="AT85" s="50">
        <f t="shared" si="40"/>
        <v>0</v>
      </c>
      <c r="AV85" s="49"/>
      <c r="AW85" s="49"/>
      <c r="AX85" s="50">
        <f t="shared" si="41"/>
        <v>0</v>
      </c>
      <c r="AZ85" s="49"/>
      <c r="BA85" s="49"/>
      <c r="BB85" s="50">
        <f t="shared" si="42"/>
        <v>0</v>
      </c>
      <c r="BD85" s="49"/>
      <c r="BE85" s="49"/>
      <c r="BF85" s="50">
        <f t="shared" si="43"/>
        <v>0</v>
      </c>
      <c r="BH85" s="49"/>
      <c r="BI85" s="49"/>
      <c r="BJ85" s="50">
        <f t="shared" si="44"/>
        <v>0</v>
      </c>
      <c r="BL85" s="49"/>
      <c r="BM85" s="49"/>
      <c r="BN85" s="50">
        <f t="shared" si="45"/>
        <v>0</v>
      </c>
      <c r="BP85" s="49"/>
      <c r="BQ85" s="49"/>
      <c r="BR85" s="50">
        <f t="shared" si="46"/>
        <v>0</v>
      </c>
      <c r="BT85" s="49"/>
      <c r="BU85" s="49"/>
      <c r="BV85" s="50">
        <f t="shared" si="47"/>
        <v>0</v>
      </c>
      <c r="BX85" s="49"/>
      <c r="BY85" s="49"/>
      <c r="BZ85" s="50">
        <f t="shared" si="48"/>
        <v>0</v>
      </c>
      <c r="CB85" s="49"/>
      <c r="CC85" s="49"/>
      <c r="CD85" s="50">
        <f t="shared" si="49"/>
        <v>0</v>
      </c>
      <c r="CF85" s="49"/>
      <c r="CG85" s="49"/>
      <c r="CH85" s="50">
        <f t="shared" si="50"/>
        <v>0</v>
      </c>
      <c r="CJ85" s="49"/>
      <c r="CK85" s="49"/>
      <c r="CL85" s="50">
        <f t="shared" si="51"/>
        <v>0</v>
      </c>
      <c r="CN85" s="49"/>
      <c r="CO85" s="49"/>
      <c r="CP85" s="50">
        <f t="shared" si="52"/>
        <v>0</v>
      </c>
      <c r="CR85" s="49"/>
      <c r="CS85" s="49"/>
      <c r="CT85" s="50">
        <f t="shared" si="53"/>
        <v>0</v>
      </c>
      <c r="CV85" s="49"/>
      <c r="CW85" s="49"/>
      <c r="CX85" s="50">
        <f t="shared" si="54"/>
        <v>0</v>
      </c>
      <c r="CZ85" s="49"/>
      <c r="DA85" s="49"/>
      <c r="DB85" s="50">
        <f t="shared" si="55"/>
        <v>0</v>
      </c>
      <c r="DD85" s="49"/>
      <c r="DE85" s="49"/>
      <c r="DF85" s="50">
        <f t="shared" si="56"/>
        <v>0</v>
      </c>
      <c r="DH85" s="49"/>
      <c r="DI85" s="49"/>
      <c r="DJ85" s="50">
        <f t="shared" si="57"/>
        <v>0</v>
      </c>
      <c r="DL85" s="49"/>
      <c r="DM85" s="49"/>
      <c r="DN85" s="50">
        <f t="shared" si="58"/>
        <v>0</v>
      </c>
      <c r="DP85" s="49"/>
      <c r="DQ85" s="49"/>
      <c r="DR85" s="50">
        <f t="shared" si="59"/>
        <v>0</v>
      </c>
      <c r="DT85" s="49"/>
      <c r="DU85" s="49"/>
      <c r="DV85" s="50">
        <f t="shared" si="60"/>
        <v>0</v>
      </c>
      <c r="DX85" s="49"/>
      <c r="DY85" s="49"/>
      <c r="DZ85" s="50">
        <f t="shared" si="61"/>
        <v>0</v>
      </c>
      <c r="EB85" s="49">
        <f t="shared" si="62"/>
        <v>0</v>
      </c>
      <c r="EC85" s="49">
        <f t="shared" si="62"/>
        <v>0</v>
      </c>
      <c r="ED85" s="49">
        <f t="shared" si="62"/>
        <v>0</v>
      </c>
    </row>
    <row r="86" spans="2:134" ht="11" customHeight="1" x14ac:dyDescent="0.35">
      <c r="B86" s="4">
        <v>111007</v>
      </c>
      <c r="C86" s="4" t="s">
        <v>92</v>
      </c>
      <c r="D86" s="4">
        <v>24</v>
      </c>
      <c r="E86" s="5">
        <v>18</v>
      </c>
      <c r="F86" s="6">
        <v>193.64193294</v>
      </c>
      <c r="G86" s="1"/>
      <c r="H86" s="49"/>
      <c r="I86" s="49"/>
      <c r="J86" s="50">
        <f t="shared" si="63"/>
        <v>0</v>
      </c>
      <c r="K86" s="9"/>
      <c r="L86" s="49"/>
      <c r="M86" s="49"/>
      <c r="N86" s="50">
        <f t="shared" si="32"/>
        <v>0</v>
      </c>
      <c r="O86" s="46"/>
      <c r="P86" s="49"/>
      <c r="Q86" s="49"/>
      <c r="R86" s="50">
        <f t="shared" si="33"/>
        <v>0</v>
      </c>
      <c r="T86" s="49"/>
      <c r="U86" s="49"/>
      <c r="V86" s="50">
        <f t="shared" si="34"/>
        <v>0</v>
      </c>
      <c r="X86" s="49"/>
      <c r="Y86" s="49"/>
      <c r="Z86" s="50">
        <f t="shared" si="35"/>
        <v>0</v>
      </c>
      <c r="AB86" s="49"/>
      <c r="AC86" s="49"/>
      <c r="AD86" s="50">
        <f t="shared" si="36"/>
        <v>0</v>
      </c>
      <c r="AF86" s="49"/>
      <c r="AG86" s="49"/>
      <c r="AH86" s="50">
        <f t="shared" si="37"/>
        <v>0</v>
      </c>
      <c r="AJ86" s="49"/>
      <c r="AK86" s="49"/>
      <c r="AL86" s="50">
        <f t="shared" si="38"/>
        <v>0</v>
      </c>
      <c r="AN86" s="49"/>
      <c r="AO86" s="49"/>
      <c r="AP86" s="50">
        <f t="shared" si="39"/>
        <v>0</v>
      </c>
      <c r="AR86" s="49"/>
      <c r="AS86" s="49"/>
      <c r="AT86" s="50">
        <f t="shared" si="40"/>
        <v>0</v>
      </c>
      <c r="AV86" s="49"/>
      <c r="AW86" s="49"/>
      <c r="AX86" s="50">
        <f t="shared" si="41"/>
        <v>0</v>
      </c>
      <c r="AZ86" s="49"/>
      <c r="BA86" s="49"/>
      <c r="BB86" s="50">
        <f t="shared" si="42"/>
        <v>0</v>
      </c>
      <c r="BD86" s="49"/>
      <c r="BE86" s="49"/>
      <c r="BF86" s="50">
        <f t="shared" si="43"/>
        <v>0</v>
      </c>
      <c r="BH86" s="49"/>
      <c r="BI86" s="49"/>
      <c r="BJ86" s="50">
        <f t="shared" si="44"/>
        <v>0</v>
      </c>
      <c r="BL86" s="49"/>
      <c r="BM86" s="49"/>
      <c r="BN86" s="50">
        <f t="shared" si="45"/>
        <v>0</v>
      </c>
      <c r="BP86" s="49"/>
      <c r="BQ86" s="49"/>
      <c r="BR86" s="50">
        <f t="shared" si="46"/>
        <v>0</v>
      </c>
      <c r="BT86" s="49"/>
      <c r="BU86" s="49"/>
      <c r="BV86" s="50">
        <f t="shared" si="47"/>
        <v>0</v>
      </c>
      <c r="BX86" s="49"/>
      <c r="BY86" s="49"/>
      <c r="BZ86" s="50">
        <f t="shared" si="48"/>
        <v>0</v>
      </c>
      <c r="CB86" s="49"/>
      <c r="CC86" s="49"/>
      <c r="CD86" s="50">
        <f t="shared" si="49"/>
        <v>0</v>
      </c>
      <c r="CF86" s="49"/>
      <c r="CG86" s="49"/>
      <c r="CH86" s="50">
        <f t="shared" si="50"/>
        <v>0</v>
      </c>
      <c r="CJ86" s="49"/>
      <c r="CK86" s="49"/>
      <c r="CL86" s="50">
        <f t="shared" si="51"/>
        <v>0</v>
      </c>
      <c r="CN86" s="49"/>
      <c r="CO86" s="49"/>
      <c r="CP86" s="50">
        <f t="shared" si="52"/>
        <v>0</v>
      </c>
      <c r="CR86" s="49"/>
      <c r="CS86" s="49"/>
      <c r="CT86" s="50">
        <f t="shared" si="53"/>
        <v>0</v>
      </c>
      <c r="CV86" s="49"/>
      <c r="CW86" s="49"/>
      <c r="CX86" s="50">
        <f t="shared" si="54"/>
        <v>0</v>
      </c>
      <c r="CZ86" s="49"/>
      <c r="DA86" s="49"/>
      <c r="DB86" s="50">
        <f t="shared" si="55"/>
        <v>0</v>
      </c>
      <c r="DD86" s="49"/>
      <c r="DE86" s="49"/>
      <c r="DF86" s="50">
        <f t="shared" si="56"/>
        <v>0</v>
      </c>
      <c r="DH86" s="49"/>
      <c r="DI86" s="49"/>
      <c r="DJ86" s="50">
        <f t="shared" si="57"/>
        <v>0</v>
      </c>
      <c r="DL86" s="49"/>
      <c r="DM86" s="49"/>
      <c r="DN86" s="50">
        <f t="shared" si="58"/>
        <v>0</v>
      </c>
      <c r="DP86" s="49"/>
      <c r="DQ86" s="49"/>
      <c r="DR86" s="50">
        <f t="shared" si="59"/>
        <v>0</v>
      </c>
      <c r="DT86" s="49"/>
      <c r="DU86" s="49"/>
      <c r="DV86" s="50">
        <f t="shared" si="60"/>
        <v>0</v>
      </c>
      <c r="DX86" s="49"/>
      <c r="DY86" s="49"/>
      <c r="DZ86" s="50">
        <f t="shared" si="61"/>
        <v>0</v>
      </c>
      <c r="EB86" s="49">
        <f t="shared" si="62"/>
        <v>0</v>
      </c>
      <c r="EC86" s="49">
        <f t="shared" si="62"/>
        <v>0</v>
      </c>
      <c r="ED86" s="49">
        <f t="shared" si="62"/>
        <v>0</v>
      </c>
    </row>
    <row r="87" spans="2:134" ht="11" customHeight="1" x14ac:dyDescent="0.35">
      <c r="B87" s="4">
        <v>111102</v>
      </c>
      <c r="C87" s="14" t="s">
        <v>93</v>
      </c>
      <c r="D87" s="4">
        <v>18</v>
      </c>
      <c r="E87" s="5">
        <v>18</v>
      </c>
      <c r="F87" s="6">
        <v>193.64193294</v>
      </c>
      <c r="G87" s="1"/>
      <c r="H87" s="49"/>
      <c r="I87" s="49"/>
      <c r="J87" s="50">
        <f t="shared" si="63"/>
        <v>0</v>
      </c>
      <c r="K87" s="9"/>
      <c r="L87" s="49"/>
      <c r="M87" s="49"/>
      <c r="N87" s="50">
        <f t="shared" si="32"/>
        <v>0</v>
      </c>
      <c r="O87" s="46"/>
      <c r="P87" s="49"/>
      <c r="Q87" s="49"/>
      <c r="R87" s="50">
        <f t="shared" si="33"/>
        <v>0</v>
      </c>
      <c r="T87" s="49"/>
      <c r="U87" s="49"/>
      <c r="V87" s="50">
        <f t="shared" si="34"/>
        <v>0</v>
      </c>
      <c r="X87" s="49"/>
      <c r="Y87" s="49"/>
      <c r="Z87" s="50">
        <f t="shared" si="35"/>
        <v>0</v>
      </c>
      <c r="AB87" s="49"/>
      <c r="AC87" s="49"/>
      <c r="AD87" s="50">
        <f t="shared" si="36"/>
        <v>0</v>
      </c>
      <c r="AF87" s="49"/>
      <c r="AG87" s="49"/>
      <c r="AH87" s="50">
        <f t="shared" si="37"/>
        <v>0</v>
      </c>
      <c r="AJ87" s="49"/>
      <c r="AK87" s="49"/>
      <c r="AL87" s="50">
        <f t="shared" si="38"/>
        <v>0</v>
      </c>
      <c r="AN87" s="49"/>
      <c r="AO87" s="49"/>
      <c r="AP87" s="50">
        <f t="shared" si="39"/>
        <v>0</v>
      </c>
      <c r="AR87" s="49"/>
      <c r="AS87" s="49"/>
      <c r="AT87" s="50">
        <f t="shared" si="40"/>
        <v>0</v>
      </c>
      <c r="AV87" s="49"/>
      <c r="AW87" s="49"/>
      <c r="AX87" s="50">
        <f t="shared" si="41"/>
        <v>0</v>
      </c>
      <c r="AZ87" s="49"/>
      <c r="BA87" s="49"/>
      <c r="BB87" s="50">
        <f t="shared" si="42"/>
        <v>0</v>
      </c>
      <c r="BD87" s="49"/>
      <c r="BE87" s="49"/>
      <c r="BF87" s="50">
        <f t="shared" si="43"/>
        <v>0</v>
      </c>
      <c r="BH87" s="49"/>
      <c r="BI87" s="49"/>
      <c r="BJ87" s="50">
        <f t="shared" si="44"/>
        <v>0</v>
      </c>
      <c r="BL87" s="49"/>
      <c r="BM87" s="49"/>
      <c r="BN87" s="50">
        <f t="shared" si="45"/>
        <v>0</v>
      </c>
      <c r="BP87" s="49"/>
      <c r="BQ87" s="49"/>
      <c r="BR87" s="50">
        <f t="shared" si="46"/>
        <v>0</v>
      </c>
      <c r="BT87" s="49"/>
      <c r="BU87" s="49"/>
      <c r="BV87" s="50">
        <f t="shared" si="47"/>
        <v>0</v>
      </c>
      <c r="BX87" s="49"/>
      <c r="BY87" s="49"/>
      <c r="BZ87" s="50">
        <f t="shared" si="48"/>
        <v>0</v>
      </c>
      <c r="CB87" s="49"/>
      <c r="CC87" s="49"/>
      <c r="CD87" s="50">
        <f t="shared" si="49"/>
        <v>0</v>
      </c>
      <c r="CF87" s="49"/>
      <c r="CG87" s="49"/>
      <c r="CH87" s="50">
        <f t="shared" si="50"/>
        <v>0</v>
      </c>
      <c r="CJ87" s="49"/>
      <c r="CK87" s="49"/>
      <c r="CL87" s="50">
        <f t="shared" si="51"/>
        <v>0</v>
      </c>
      <c r="CN87" s="49"/>
      <c r="CO87" s="49"/>
      <c r="CP87" s="50">
        <f t="shared" si="52"/>
        <v>0</v>
      </c>
      <c r="CR87" s="49"/>
      <c r="CS87" s="49"/>
      <c r="CT87" s="50">
        <f t="shared" si="53"/>
        <v>0</v>
      </c>
      <c r="CV87" s="49"/>
      <c r="CW87" s="49"/>
      <c r="CX87" s="50">
        <f t="shared" si="54"/>
        <v>0</v>
      </c>
      <c r="CZ87" s="49"/>
      <c r="DA87" s="49"/>
      <c r="DB87" s="50">
        <f t="shared" si="55"/>
        <v>0</v>
      </c>
      <c r="DD87" s="49"/>
      <c r="DE87" s="49"/>
      <c r="DF87" s="50">
        <f t="shared" si="56"/>
        <v>0</v>
      </c>
      <c r="DH87" s="49"/>
      <c r="DI87" s="49"/>
      <c r="DJ87" s="50">
        <f t="shared" si="57"/>
        <v>0</v>
      </c>
      <c r="DL87" s="49"/>
      <c r="DM87" s="49"/>
      <c r="DN87" s="50">
        <f t="shared" si="58"/>
        <v>0</v>
      </c>
      <c r="DP87" s="49"/>
      <c r="DQ87" s="49"/>
      <c r="DR87" s="50">
        <f t="shared" si="59"/>
        <v>0</v>
      </c>
      <c r="DT87" s="49"/>
      <c r="DU87" s="49"/>
      <c r="DV87" s="50">
        <f t="shared" si="60"/>
        <v>0</v>
      </c>
      <c r="DX87" s="49"/>
      <c r="DY87" s="49"/>
      <c r="DZ87" s="50">
        <f t="shared" si="61"/>
        <v>0</v>
      </c>
      <c r="EB87" s="49">
        <f t="shared" si="62"/>
        <v>0</v>
      </c>
      <c r="EC87" s="49">
        <f t="shared" si="62"/>
        <v>0</v>
      </c>
      <c r="ED87" s="49">
        <f t="shared" si="62"/>
        <v>0</v>
      </c>
    </row>
    <row r="88" spans="2:134" ht="11" customHeight="1" x14ac:dyDescent="0.35">
      <c r="B88" s="4">
        <v>111130</v>
      </c>
      <c r="C88" s="4" t="s">
        <v>94</v>
      </c>
      <c r="D88" s="4">
        <v>24</v>
      </c>
      <c r="E88" s="5">
        <v>18</v>
      </c>
      <c r="F88" s="6">
        <v>193.64193294</v>
      </c>
      <c r="G88" s="1"/>
      <c r="H88" s="49"/>
      <c r="I88" s="49"/>
      <c r="J88" s="50">
        <f t="shared" si="63"/>
        <v>0</v>
      </c>
      <c r="K88" s="9"/>
      <c r="L88" s="49"/>
      <c r="M88" s="49"/>
      <c r="N88" s="50">
        <f t="shared" si="32"/>
        <v>0</v>
      </c>
      <c r="O88" s="46"/>
      <c r="P88" s="49"/>
      <c r="Q88" s="49"/>
      <c r="R88" s="50">
        <f t="shared" si="33"/>
        <v>0</v>
      </c>
      <c r="T88" s="49"/>
      <c r="U88" s="49"/>
      <c r="V88" s="50">
        <f t="shared" si="34"/>
        <v>0</v>
      </c>
      <c r="X88" s="49"/>
      <c r="Y88" s="49"/>
      <c r="Z88" s="50">
        <f t="shared" si="35"/>
        <v>0</v>
      </c>
      <c r="AB88" s="49"/>
      <c r="AC88" s="49"/>
      <c r="AD88" s="50">
        <f t="shared" si="36"/>
        <v>0</v>
      </c>
      <c r="AF88" s="49"/>
      <c r="AG88" s="49"/>
      <c r="AH88" s="50">
        <f t="shared" si="37"/>
        <v>0</v>
      </c>
      <c r="AJ88" s="49"/>
      <c r="AK88" s="49"/>
      <c r="AL88" s="50">
        <f t="shared" si="38"/>
        <v>0</v>
      </c>
      <c r="AN88" s="49"/>
      <c r="AO88" s="49"/>
      <c r="AP88" s="50">
        <f t="shared" si="39"/>
        <v>0</v>
      </c>
      <c r="AR88" s="49"/>
      <c r="AS88" s="49"/>
      <c r="AT88" s="50">
        <f t="shared" si="40"/>
        <v>0</v>
      </c>
      <c r="AV88" s="49"/>
      <c r="AW88" s="49"/>
      <c r="AX88" s="50">
        <f t="shared" si="41"/>
        <v>0</v>
      </c>
      <c r="AZ88" s="49"/>
      <c r="BA88" s="49"/>
      <c r="BB88" s="50">
        <f t="shared" si="42"/>
        <v>0</v>
      </c>
      <c r="BD88" s="49"/>
      <c r="BE88" s="49"/>
      <c r="BF88" s="50">
        <f t="shared" si="43"/>
        <v>0</v>
      </c>
      <c r="BH88" s="49"/>
      <c r="BI88" s="49"/>
      <c r="BJ88" s="50">
        <f t="shared" si="44"/>
        <v>0</v>
      </c>
      <c r="BL88" s="49"/>
      <c r="BM88" s="49"/>
      <c r="BN88" s="50">
        <f t="shared" si="45"/>
        <v>0</v>
      </c>
      <c r="BP88" s="49"/>
      <c r="BQ88" s="49"/>
      <c r="BR88" s="50">
        <f t="shared" si="46"/>
        <v>0</v>
      </c>
      <c r="BT88" s="49"/>
      <c r="BU88" s="49"/>
      <c r="BV88" s="50">
        <f t="shared" si="47"/>
        <v>0</v>
      </c>
      <c r="BX88" s="49"/>
      <c r="BY88" s="49"/>
      <c r="BZ88" s="50">
        <f t="shared" si="48"/>
        <v>0</v>
      </c>
      <c r="CB88" s="49"/>
      <c r="CC88" s="49"/>
      <c r="CD88" s="50">
        <f t="shared" si="49"/>
        <v>0</v>
      </c>
      <c r="CF88" s="49"/>
      <c r="CG88" s="49"/>
      <c r="CH88" s="50">
        <f t="shared" si="50"/>
        <v>0</v>
      </c>
      <c r="CJ88" s="49"/>
      <c r="CK88" s="49"/>
      <c r="CL88" s="50">
        <f t="shared" si="51"/>
        <v>0</v>
      </c>
      <c r="CN88" s="49"/>
      <c r="CO88" s="49"/>
      <c r="CP88" s="50">
        <f t="shared" si="52"/>
        <v>0</v>
      </c>
      <c r="CR88" s="49"/>
      <c r="CS88" s="49"/>
      <c r="CT88" s="50">
        <f t="shared" si="53"/>
        <v>0</v>
      </c>
      <c r="CV88" s="49"/>
      <c r="CW88" s="49"/>
      <c r="CX88" s="50">
        <f t="shared" si="54"/>
        <v>0</v>
      </c>
      <c r="CZ88" s="49"/>
      <c r="DA88" s="49"/>
      <c r="DB88" s="50">
        <f t="shared" si="55"/>
        <v>0</v>
      </c>
      <c r="DD88" s="49"/>
      <c r="DE88" s="49"/>
      <c r="DF88" s="50">
        <f t="shared" si="56"/>
        <v>0</v>
      </c>
      <c r="DH88" s="49"/>
      <c r="DI88" s="49"/>
      <c r="DJ88" s="50">
        <f t="shared" si="57"/>
        <v>0</v>
      </c>
      <c r="DL88" s="49"/>
      <c r="DM88" s="49"/>
      <c r="DN88" s="50">
        <f t="shared" si="58"/>
        <v>0</v>
      </c>
      <c r="DP88" s="49"/>
      <c r="DQ88" s="49"/>
      <c r="DR88" s="50">
        <f t="shared" si="59"/>
        <v>0</v>
      </c>
      <c r="DT88" s="49"/>
      <c r="DU88" s="49"/>
      <c r="DV88" s="50">
        <f t="shared" si="60"/>
        <v>0</v>
      </c>
      <c r="DX88" s="49"/>
      <c r="DY88" s="49"/>
      <c r="DZ88" s="50">
        <f t="shared" si="61"/>
        <v>0</v>
      </c>
      <c r="EB88" s="49">
        <f t="shared" si="62"/>
        <v>0</v>
      </c>
      <c r="EC88" s="49">
        <f t="shared" si="62"/>
        <v>0</v>
      </c>
      <c r="ED88" s="49">
        <f t="shared" si="62"/>
        <v>0</v>
      </c>
    </row>
    <row r="89" spans="2:134" ht="11" customHeight="1" x14ac:dyDescent="0.35">
      <c r="B89" s="4">
        <v>111231</v>
      </c>
      <c r="C89" s="14" t="s">
        <v>95</v>
      </c>
      <c r="D89" s="4">
        <v>50</v>
      </c>
      <c r="E89" s="5">
        <v>18</v>
      </c>
      <c r="F89" s="6">
        <v>198.24524392000001</v>
      </c>
      <c r="G89" s="1"/>
      <c r="H89" s="49"/>
      <c r="I89" s="49"/>
      <c r="J89" s="50">
        <f t="shared" si="63"/>
        <v>0</v>
      </c>
      <c r="K89" s="9"/>
      <c r="L89" s="49"/>
      <c r="M89" s="49"/>
      <c r="N89" s="50">
        <f t="shared" si="32"/>
        <v>0</v>
      </c>
      <c r="O89" s="46"/>
      <c r="P89" s="49"/>
      <c r="Q89" s="49"/>
      <c r="R89" s="50">
        <f t="shared" si="33"/>
        <v>0</v>
      </c>
      <c r="T89" s="49"/>
      <c r="U89" s="49"/>
      <c r="V89" s="50">
        <f t="shared" si="34"/>
        <v>0</v>
      </c>
      <c r="X89" s="49"/>
      <c r="Y89" s="49"/>
      <c r="Z89" s="50">
        <f t="shared" si="35"/>
        <v>0</v>
      </c>
      <c r="AB89" s="49"/>
      <c r="AC89" s="49"/>
      <c r="AD89" s="50">
        <f t="shared" si="36"/>
        <v>0</v>
      </c>
      <c r="AF89" s="49"/>
      <c r="AG89" s="49"/>
      <c r="AH89" s="50">
        <f t="shared" si="37"/>
        <v>0</v>
      </c>
      <c r="AJ89" s="49"/>
      <c r="AK89" s="49"/>
      <c r="AL89" s="50">
        <f t="shared" si="38"/>
        <v>0</v>
      </c>
      <c r="AN89" s="49"/>
      <c r="AO89" s="49"/>
      <c r="AP89" s="50">
        <f t="shared" si="39"/>
        <v>0</v>
      </c>
      <c r="AR89" s="49"/>
      <c r="AS89" s="49"/>
      <c r="AT89" s="50">
        <f t="shared" si="40"/>
        <v>0</v>
      </c>
      <c r="AV89" s="49"/>
      <c r="AW89" s="49"/>
      <c r="AX89" s="50">
        <f t="shared" si="41"/>
        <v>0</v>
      </c>
      <c r="AZ89" s="49"/>
      <c r="BA89" s="49"/>
      <c r="BB89" s="50">
        <f t="shared" si="42"/>
        <v>0</v>
      </c>
      <c r="BD89" s="49"/>
      <c r="BE89" s="49"/>
      <c r="BF89" s="50">
        <f t="shared" si="43"/>
        <v>0</v>
      </c>
      <c r="BH89" s="49"/>
      <c r="BI89" s="49"/>
      <c r="BJ89" s="50">
        <f t="shared" si="44"/>
        <v>0</v>
      </c>
      <c r="BL89" s="49"/>
      <c r="BM89" s="49"/>
      <c r="BN89" s="50">
        <f t="shared" si="45"/>
        <v>0</v>
      </c>
      <c r="BP89" s="49"/>
      <c r="BQ89" s="49"/>
      <c r="BR89" s="50">
        <f t="shared" si="46"/>
        <v>0</v>
      </c>
      <c r="BT89" s="49"/>
      <c r="BU89" s="49"/>
      <c r="BV89" s="50">
        <f t="shared" si="47"/>
        <v>0</v>
      </c>
      <c r="BX89" s="49"/>
      <c r="BY89" s="49"/>
      <c r="BZ89" s="50">
        <f t="shared" si="48"/>
        <v>0</v>
      </c>
      <c r="CB89" s="49"/>
      <c r="CC89" s="49"/>
      <c r="CD89" s="50">
        <f t="shared" si="49"/>
        <v>0</v>
      </c>
      <c r="CF89" s="49"/>
      <c r="CG89" s="49"/>
      <c r="CH89" s="50">
        <f t="shared" si="50"/>
        <v>0</v>
      </c>
      <c r="CJ89" s="49"/>
      <c r="CK89" s="49"/>
      <c r="CL89" s="50">
        <f t="shared" si="51"/>
        <v>0</v>
      </c>
      <c r="CN89" s="49"/>
      <c r="CO89" s="49"/>
      <c r="CP89" s="50">
        <f t="shared" si="52"/>
        <v>0</v>
      </c>
      <c r="CR89" s="49"/>
      <c r="CS89" s="49"/>
      <c r="CT89" s="50">
        <f t="shared" si="53"/>
        <v>0</v>
      </c>
      <c r="CV89" s="49"/>
      <c r="CW89" s="49"/>
      <c r="CX89" s="50">
        <f t="shared" si="54"/>
        <v>0</v>
      </c>
      <c r="CZ89" s="49"/>
      <c r="DA89" s="49"/>
      <c r="DB89" s="50">
        <f t="shared" si="55"/>
        <v>0</v>
      </c>
      <c r="DD89" s="49"/>
      <c r="DE89" s="49"/>
      <c r="DF89" s="50">
        <f t="shared" si="56"/>
        <v>0</v>
      </c>
      <c r="DH89" s="49"/>
      <c r="DI89" s="49"/>
      <c r="DJ89" s="50">
        <f t="shared" si="57"/>
        <v>0</v>
      </c>
      <c r="DL89" s="49"/>
      <c r="DM89" s="49"/>
      <c r="DN89" s="50">
        <f t="shared" si="58"/>
        <v>0</v>
      </c>
      <c r="DP89" s="49"/>
      <c r="DQ89" s="49"/>
      <c r="DR89" s="50">
        <f t="shared" si="59"/>
        <v>0</v>
      </c>
      <c r="DT89" s="49"/>
      <c r="DU89" s="49"/>
      <c r="DV89" s="50">
        <f t="shared" si="60"/>
        <v>0</v>
      </c>
      <c r="DX89" s="49"/>
      <c r="DY89" s="49"/>
      <c r="DZ89" s="50">
        <f t="shared" si="61"/>
        <v>0</v>
      </c>
      <c r="EB89" s="49">
        <f t="shared" si="62"/>
        <v>0</v>
      </c>
      <c r="EC89" s="49">
        <f t="shared" si="62"/>
        <v>0</v>
      </c>
      <c r="ED89" s="49">
        <f t="shared" si="62"/>
        <v>0</v>
      </c>
    </row>
    <row r="90" spans="2:134" ht="11" customHeight="1" x14ac:dyDescent="0.35">
      <c r="B90" s="4">
        <v>101038</v>
      </c>
      <c r="C90" s="14" t="s">
        <v>96</v>
      </c>
      <c r="D90" s="4">
        <v>24</v>
      </c>
      <c r="E90" s="5">
        <v>24</v>
      </c>
      <c r="F90" s="6">
        <v>189.29879107400001</v>
      </c>
      <c r="G90" s="1"/>
      <c r="H90" s="49"/>
      <c r="I90" s="49"/>
      <c r="J90" s="50">
        <f t="shared" si="63"/>
        <v>0</v>
      </c>
      <c r="K90" s="9"/>
      <c r="L90" s="49"/>
      <c r="M90" s="49"/>
      <c r="N90" s="50">
        <f t="shared" si="32"/>
        <v>0</v>
      </c>
      <c r="O90" s="46"/>
      <c r="P90" s="49"/>
      <c r="Q90" s="49"/>
      <c r="R90" s="50">
        <f t="shared" si="33"/>
        <v>0</v>
      </c>
      <c r="T90" s="49"/>
      <c r="U90" s="49"/>
      <c r="V90" s="50">
        <f t="shared" si="34"/>
        <v>0</v>
      </c>
      <c r="X90" s="49"/>
      <c r="Y90" s="49"/>
      <c r="Z90" s="50">
        <f t="shared" si="35"/>
        <v>0</v>
      </c>
      <c r="AB90" s="49"/>
      <c r="AC90" s="49"/>
      <c r="AD90" s="50">
        <f t="shared" si="36"/>
        <v>0</v>
      </c>
      <c r="AF90" s="49"/>
      <c r="AG90" s="49"/>
      <c r="AH90" s="50">
        <f t="shared" si="37"/>
        <v>0</v>
      </c>
      <c r="AJ90" s="49"/>
      <c r="AK90" s="49"/>
      <c r="AL90" s="50">
        <f t="shared" si="38"/>
        <v>0</v>
      </c>
      <c r="AN90" s="49"/>
      <c r="AO90" s="49"/>
      <c r="AP90" s="50">
        <f t="shared" si="39"/>
        <v>0</v>
      </c>
      <c r="AR90" s="49"/>
      <c r="AS90" s="49"/>
      <c r="AT90" s="50">
        <f t="shared" si="40"/>
        <v>0</v>
      </c>
      <c r="AV90" s="49"/>
      <c r="AW90" s="49"/>
      <c r="AX90" s="50">
        <f t="shared" si="41"/>
        <v>0</v>
      </c>
      <c r="AZ90" s="49"/>
      <c r="BA90" s="49"/>
      <c r="BB90" s="50">
        <f t="shared" si="42"/>
        <v>0</v>
      </c>
      <c r="BD90" s="49"/>
      <c r="BE90" s="49"/>
      <c r="BF90" s="50">
        <f t="shared" si="43"/>
        <v>0</v>
      </c>
      <c r="BH90" s="49"/>
      <c r="BI90" s="49"/>
      <c r="BJ90" s="50">
        <f t="shared" si="44"/>
        <v>0</v>
      </c>
      <c r="BL90" s="49"/>
      <c r="BM90" s="49"/>
      <c r="BN90" s="50">
        <f t="shared" si="45"/>
        <v>0</v>
      </c>
      <c r="BP90" s="49"/>
      <c r="BQ90" s="49"/>
      <c r="BR90" s="50">
        <f t="shared" si="46"/>
        <v>0</v>
      </c>
      <c r="BT90" s="49"/>
      <c r="BU90" s="49"/>
      <c r="BV90" s="50">
        <f t="shared" si="47"/>
        <v>0</v>
      </c>
      <c r="BX90" s="49"/>
      <c r="BY90" s="49"/>
      <c r="BZ90" s="50">
        <f t="shared" si="48"/>
        <v>0</v>
      </c>
      <c r="CB90" s="49"/>
      <c r="CC90" s="49"/>
      <c r="CD90" s="50">
        <f t="shared" si="49"/>
        <v>0</v>
      </c>
      <c r="CF90" s="49"/>
      <c r="CG90" s="49"/>
      <c r="CH90" s="50">
        <f t="shared" si="50"/>
        <v>0</v>
      </c>
      <c r="CJ90" s="49"/>
      <c r="CK90" s="49"/>
      <c r="CL90" s="50">
        <f t="shared" si="51"/>
        <v>0</v>
      </c>
      <c r="CN90" s="49"/>
      <c r="CO90" s="49"/>
      <c r="CP90" s="50">
        <f t="shared" si="52"/>
        <v>0</v>
      </c>
      <c r="CR90" s="49"/>
      <c r="CS90" s="49"/>
      <c r="CT90" s="50">
        <f t="shared" si="53"/>
        <v>0</v>
      </c>
      <c r="CV90" s="49"/>
      <c r="CW90" s="49"/>
      <c r="CX90" s="50">
        <f t="shared" si="54"/>
        <v>0</v>
      </c>
      <c r="CZ90" s="49"/>
      <c r="DA90" s="49"/>
      <c r="DB90" s="50">
        <f t="shared" si="55"/>
        <v>0</v>
      </c>
      <c r="DD90" s="49"/>
      <c r="DE90" s="49"/>
      <c r="DF90" s="50">
        <f t="shared" si="56"/>
        <v>0</v>
      </c>
      <c r="DH90" s="49"/>
      <c r="DI90" s="49"/>
      <c r="DJ90" s="50">
        <f t="shared" si="57"/>
        <v>0</v>
      </c>
      <c r="DL90" s="49"/>
      <c r="DM90" s="49"/>
      <c r="DN90" s="50">
        <f t="shared" si="58"/>
        <v>0</v>
      </c>
      <c r="DP90" s="49"/>
      <c r="DQ90" s="49"/>
      <c r="DR90" s="50">
        <f t="shared" si="59"/>
        <v>0</v>
      </c>
      <c r="DT90" s="49"/>
      <c r="DU90" s="49"/>
      <c r="DV90" s="50">
        <f t="shared" si="60"/>
        <v>0</v>
      </c>
      <c r="DX90" s="49"/>
      <c r="DY90" s="49"/>
      <c r="DZ90" s="50">
        <f t="shared" si="61"/>
        <v>0</v>
      </c>
      <c r="EB90" s="49">
        <f t="shared" si="62"/>
        <v>0</v>
      </c>
      <c r="EC90" s="49">
        <f t="shared" si="62"/>
        <v>0</v>
      </c>
      <c r="ED90" s="49">
        <f t="shared" si="62"/>
        <v>0</v>
      </c>
    </row>
    <row r="91" spans="2:134" ht="11" customHeight="1" x14ac:dyDescent="0.35">
      <c r="B91" s="4">
        <v>101936</v>
      </c>
      <c r="C91" s="14" t="s">
        <v>97</v>
      </c>
      <c r="D91" s="4">
        <v>12</v>
      </c>
      <c r="E91" s="5">
        <v>8</v>
      </c>
      <c r="F91" s="6">
        <v>481.09632499999998</v>
      </c>
      <c r="G91" s="1"/>
      <c r="H91" s="49"/>
      <c r="I91" s="49"/>
      <c r="J91" s="50">
        <f t="shared" si="63"/>
        <v>0</v>
      </c>
      <c r="K91" s="9"/>
      <c r="L91" s="49"/>
      <c r="M91" s="49"/>
      <c r="N91" s="50">
        <f t="shared" si="32"/>
        <v>0</v>
      </c>
      <c r="O91" s="46"/>
      <c r="P91" s="49"/>
      <c r="Q91" s="49"/>
      <c r="R91" s="50">
        <f t="shared" si="33"/>
        <v>0</v>
      </c>
      <c r="T91" s="49"/>
      <c r="U91" s="49"/>
      <c r="V91" s="50">
        <f t="shared" si="34"/>
        <v>0</v>
      </c>
      <c r="X91" s="49"/>
      <c r="Y91" s="49"/>
      <c r="Z91" s="50">
        <f t="shared" si="35"/>
        <v>0</v>
      </c>
      <c r="AB91" s="49"/>
      <c r="AC91" s="49"/>
      <c r="AD91" s="50">
        <f t="shared" si="36"/>
        <v>0</v>
      </c>
      <c r="AF91" s="49"/>
      <c r="AG91" s="49"/>
      <c r="AH91" s="50">
        <f t="shared" si="37"/>
        <v>0</v>
      </c>
      <c r="AJ91" s="49"/>
      <c r="AK91" s="49"/>
      <c r="AL91" s="50">
        <f t="shared" si="38"/>
        <v>0</v>
      </c>
      <c r="AN91" s="49"/>
      <c r="AO91" s="49"/>
      <c r="AP91" s="50">
        <f t="shared" si="39"/>
        <v>0</v>
      </c>
      <c r="AR91" s="49"/>
      <c r="AS91" s="49"/>
      <c r="AT91" s="50">
        <f t="shared" si="40"/>
        <v>0</v>
      </c>
      <c r="AV91" s="49"/>
      <c r="AW91" s="49"/>
      <c r="AX91" s="50">
        <f t="shared" si="41"/>
        <v>0</v>
      </c>
      <c r="AZ91" s="49"/>
      <c r="BA91" s="49"/>
      <c r="BB91" s="50">
        <f t="shared" si="42"/>
        <v>0</v>
      </c>
      <c r="BD91" s="49"/>
      <c r="BE91" s="49"/>
      <c r="BF91" s="50">
        <f t="shared" si="43"/>
        <v>0</v>
      </c>
      <c r="BH91" s="49"/>
      <c r="BI91" s="49"/>
      <c r="BJ91" s="50">
        <f t="shared" si="44"/>
        <v>0</v>
      </c>
      <c r="BL91" s="49"/>
      <c r="BM91" s="49"/>
      <c r="BN91" s="50">
        <f t="shared" si="45"/>
        <v>0</v>
      </c>
      <c r="BP91" s="49"/>
      <c r="BQ91" s="49"/>
      <c r="BR91" s="50">
        <f t="shared" si="46"/>
        <v>0</v>
      </c>
      <c r="BT91" s="49"/>
      <c r="BU91" s="49"/>
      <c r="BV91" s="50">
        <f t="shared" si="47"/>
        <v>0</v>
      </c>
      <c r="BX91" s="49"/>
      <c r="BY91" s="49"/>
      <c r="BZ91" s="50">
        <f t="shared" si="48"/>
        <v>0</v>
      </c>
      <c r="CB91" s="49"/>
      <c r="CC91" s="49"/>
      <c r="CD91" s="50">
        <f t="shared" si="49"/>
        <v>0</v>
      </c>
      <c r="CF91" s="49"/>
      <c r="CG91" s="49"/>
      <c r="CH91" s="50">
        <f t="shared" si="50"/>
        <v>0</v>
      </c>
      <c r="CJ91" s="49"/>
      <c r="CK91" s="49"/>
      <c r="CL91" s="50">
        <f t="shared" si="51"/>
        <v>0</v>
      </c>
      <c r="CN91" s="49"/>
      <c r="CO91" s="49"/>
      <c r="CP91" s="50">
        <f t="shared" si="52"/>
        <v>0</v>
      </c>
      <c r="CR91" s="49"/>
      <c r="CS91" s="49"/>
      <c r="CT91" s="50">
        <f t="shared" si="53"/>
        <v>0</v>
      </c>
      <c r="CV91" s="49"/>
      <c r="CW91" s="49"/>
      <c r="CX91" s="50">
        <f t="shared" si="54"/>
        <v>0</v>
      </c>
      <c r="CZ91" s="49"/>
      <c r="DA91" s="49"/>
      <c r="DB91" s="50">
        <f t="shared" si="55"/>
        <v>0</v>
      </c>
      <c r="DD91" s="49"/>
      <c r="DE91" s="49"/>
      <c r="DF91" s="50">
        <f t="shared" si="56"/>
        <v>0</v>
      </c>
      <c r="DH91" s="49"/>
      <c r="DI91" s="49"/>
      <c r="DJ91" s="50">
        <f t="shared" si="57"/>
        <v>0</v>
      </c>
      <c r="DL91" s="49"/>
      <c r="DM91" s="49"/>
      <c r="DN91" s="50">
        <f t="shared" si="58"/>
        <v>0</v>
      </c>
      <c r="DP91" s="49"/>
      <c r="DQ91" s="49"/>
      <c r="DR91" s="50">
        <f t="shared" si="59"/>
        <v>0</v>
      </c>
      <c r="DT91" s="49"/>
      <c r="DU91" s="49"/>
      <c r="DV91" s="50">
        <f t="shared" si="60"/>
        <v>0</v>
      </c>
      <c r="DX91" s="49"/>
      <c r="DY91" s="49"/>
      <c r="DZ91" s="50">
        <f t="shared" si="61"/>
        <v>0</v>
      </c>
      <c r="EB91" s="49">
        <f t="shared" si="62"/>
        <v>0</v>
      </c>
      <c r="EC91" s="49">
        <f t="shared" si="62"/>
        <v>0</v>
      </c>
      <c r="ED91" s="49">
        <f t="shared" si="62"/>
        <v>0</v>
      </c>
    </row>
    <row r="92" spans="2:134" ht="11" customHeight="1" x14ac:dyDescent="0.35">
      <c r="B92" s="4">
        <v>106021</v>
      </c>
      <c r="C92" s="14" t="s">
        <v>98</v>
      </c>
      <c r="D92" s="4">
        <v>24</v>
      </c>
      <c r="E92" s="5">
        <v>18</v>
      </c>
      <c r="F92" s="6">
        <v>189.29879107400001</v>
      </c>
      <c r="G92" s="1"/>
      <c r="H92" s="49"/>
      <c r="I92" s="49"/>
      <c r="J92" s="50">
        <f t="shared" si="63"/>
        <v>0</v>
      </c>
      <c r="K92" s="9"/>
      <c r="L92" s="49"/>
      <c r="M92" s="49"/>
      <c r="N92" s="50">
        <f t="shared" si="32"/>
        <v>0</v>
      </c>
      <c r="O92" s="46"/>
      <c r="P92" s="49"/>
      <c r="Q92" s="49"/>
      <c r="R92" s="50">
        <f t="shared" si="33"/>
        <v>0</v>
      </c>
      <c r="T92" s="49"/>
      <c r="U92" s="49"/>
      <c r="V92" s="50">
        <f t="shared" si="34"/>
        <v>0</v>
      </c>
      <c r="X92" s="49"/>
      <c r="Y92" s="49"/>
      <c r="Z92" s="50">
        <f t="shared" si="35"/>
        <v>0</v>
      </c>
      <c r="AB92" s="49"/>
      <c r="AC92" s="49"/>
      <c r="AD92" s="50">
        <f t="shared" si="36"/>
        <v>0</v>
      </c>
      <c r="AF92" s="49"/>
      <c r="AG92" s="49"/>
      <c r="AH92" s="50">
        <f t="shared" si="37"/>
        <v>0</v>
      </c>
      <c r="AJ92" s="49"/>
      <c r="AK92" s="49"/>
      <c r="AL92" s="50">
        <f t="shared" si="38"/>
        <v>0</v>
      </c>
      <c r="AN92" s="49"/>
      <c r="AO92" s="49"/>
      <c r="AP92" s="50">
        <f t="shared" si="39"/>
        <v>0</v>
      </c>
      <c r="AR92" s="49"/>
      <c r="AS92" s="49"/>
      <c r="AT92" s="50">
        <f t="shared" si="40"/>
        <v>0</v>
      </c>
      <c r="AV92" s="49"/>
      <c r="AW92" s="49"/>
      <c r="AX92" s="50">
        <f t="shared" si="41"/>
        <v>0</v>
      </c>
      <c r="AZ92" s="49"/>
      <c r="BA92" s="49"/>
      <c r="BB92" s="50">
        <f t="shared" si="42"/>
        <v>0</v>
      </c>
      <c r="BD92" s="49"/>
      <c r="BE92" s="49"/>
      <c r="BF92" s="50">
        <f t="shared" si="43"/>
        <v>0</v>
      </c>
      <c r="BH92" s="49"/>
      <c r="BI92" s="49"/>
      <c r="BJ92" s="50">
        <f t="shared" si="44"/>
        <v>0</v>
      </c>
      <c r="BL92" s="49"/>
      <c r="BM92" s="49"/>
      <c r="BN92" s="50">
        <f t="shared" si="45"/>
        <v>0</v>
      </c>
      <c r="BP92" s="49"/>
      <c r="BQ92" s="49"/>
      <c r="BR92" s="50">
        <f t="shared" si="46"/>
        <v>0</v>
      </c>
      <c r="BT92" s="49"/>
      <c r="BU92" s="49"/>
      <c r="BV92" s="50">
        <f t="shared" si="47"/>
        <v>0</v>
      </c>
      <c r="BX92" s="49"/>
      <c r="BY92" s="49"/>
      <c r="BZ92" s="50">
        <f t="shared" si="48"/>
        <v>0</v>
      </c>
      <c r="CB92" s="49"/>
      <c r="CC92" s="49"/>
      <c r="CD92" s="50">
        <f t="shared" si="49"/>
        <v>0</v>
      </c>
      <c r="CF92" s="49"/>
      <c r="CG92" s="49"/>
      <c r="CH92" s="50">
        <f t="shared" si="50"/>
        <v>0</v>
      </c>
      <c r="CJ92" s="49"/>
      <c r="CK92" s="49"/>
      <c r="CL92" s="50">
        <f t="shared" si="51"/>
        <v>0</v>
      </c>
      <c r="CN92" s="49"/>
      <c r="CO92" s="49"/>
      <c r="CP92" s="50">
        <f t="shared" si="52"/>
        <v>0</v>
      </c>
      <c r="CR92" s="49"/>
      <c r="CS92" s="49"/>
      <c r="CT92" s="50">
        <f t="shared" si="53"/>
        <v>0</v>
      </c>
      <c r="CV92" s="49"/>
      <c r="CW92" s="49"/>
      <c r="CX92" s="50">
        <f t="shared" si="54"/>
        <v>0</v>
      </c>
      <c r="CZ92" s="49"/>
      <c r="DA92" s="49"/>
      <c r="DB92" s="50">
        <f t="shared" si="55"/>
        <v>0</v>
      </c>
      <c r="DD92" s="49"/>
      <c r="DE92" s="49"/>
      <c r="DF92" s="50">
        <f t="shared" si="56"/>
        <v>0</v>
      </c>
      <c r="DH92" s="49"/>
      <c r="DI92" s="49"/>
      <c r="DJ92" s="50">
        <f t="shared" si="57"/>
        <v>0</v>
      </c>
      <c r="DL92" s="49"/>
      <c r="DM92" s="49"/>
      <c r="DN92" s="50">
        <f t="shared" si="58"/>
        <v>0</v>
      </c>
      <c r="DP92" s="49"/>
      <c r="DQ92" s="49"/>
      <c r="DR92" s="50">
        <f t="shared" si="59"/>
        <v>0</v>
      </c>
      <c r="DT92" s="49"/>
      <c r="DU92" s="49"/>
      <c r="DV92" s="50">
        <f t="shared" si="60"/>
        <v>0</v>
      </c>
      <c r="DX92" s="49"/>
      <c r="DY92" s="49"/>
      <c r="DZ92" s="50">
        <f t="shared" si="61"/>
        <v>0</v>
      </c>
      <c r="EB92" s="49">
        <f t="shared" si="62"/>
        <v>0</v>
      </c>
      <c r="EC92" s="49">
        <f t="shared" si="62"/>
        <v>0</v>
      </c>
      <c r="ED92" s="49">
        <f t="shared" si="62"/>
        <v>0</v>
      </c>
    </row>
    <row r="93" spans="2:134" ht="11" customHeight="1" x14ac:dyDescent="0.35">
      <c r="B93" s="4">
        <v>106510</v>
      </c>
      <c r="C93" s="14" t="s">
        <v>99</v>
      </c>
      <c r="D93" s="4">
        <v>12</v>
      </c>
      <c r="E93" s="5">
        <v>18</v>
      </c>
      <c r="F93" s="6">
        <v>190.31564392000001</v>
      </c>
      <c r="G93" s="1"/>
      <c r="H93" s="49"/>
      <c r="I93" s="49"/>
      <c r="J93" s="50">
        <f t="shared" si="63"/>
        <v>0</v>
      </c>
      <c r="K93" s="9"/>
      <c r="L93" s="49"/>
      <c r="M93" s="49"/>
      <c r="N93" s="50">
        <f t="shared" si="32"/>
        <v>0</v>
      </c>
      <c r="O93" s="46"/>
      <c r="P93" s="49"/>
      <c r="Q93" s="49"/>
      <c r="R93" s="50">
        <f t="shared" si="33"/>
        <v>0</v>
      </c>
      <c r="T93" s="49"/>
      <c r="U93" s="49"/>
      <c r="V93" s="50">
        <f t="shared" si="34"/>
        <v>0</v>
      </c>
      <c r="X93" s="49"/>
      <c r="Y93" s="49"/>
      <c r="Z93" s="50">
        <f t="shared" si="35"/>
        <v>0</v>
      </c>
      <c r="AB93" s="49"/>
      <c r="AC93" s="49"/>
      <c r="AD93" s="50">
        <f t="shared" si="36"/>
        <v>0</v>
      </c>
      <c r="AF93" s="49"/>
      <c r="AG93" s="49"/>
      <c r="AH93" s="50">
        <f t="shared" si="37"/>
        <v>0</v>
      </c>
      <c r="AJ93" s="49"/>
      <c r="AK93" s="49"/>
      <c r="AL93" s="50">
        <f t="shared" si="38"/>
        <v>0</v>
      </c>
      <c r="AN93" s="49"/>
      <c r="AO93" s="49"/>
      <c r="AP93" s="50">
        <f t="shared" si="39"/>
        <v>0</v>
      </c>
      <c r="AR93" s="49"/>
      <c r="AS93" s="49"/>
      <c r="AT93" s="50">
        <f t="shared" si="40"/>
        <v>0</v>
      </c>
      <c r="AV93" s="49"/>
      <c r="AW93" s="49"/>
      <c r="AX93" s="50">
        <f t="shared" si="41"/>
        <v>0</v>
      </c>
      <c r="AZ93" s="49"/>
      <c r="BA93" s="49"/>
      <c r="BB93" s="50">
        <f t="shared" si="42"/>
        <v>0</v>
      </c>
      <c r="BD93" s="49"/>
      <c r="BE93" s="49"/>
      <c r="BF93" s="50">
        <f t="shared" si="43"/>
        <v>0</v>
      </c>
      <c r="BH93" s="49"/>
      <c r="BI93" s="49"/>
      <c r="BJ93" s="50">
        <f t="shared" si="44"/>
        <v>0</v>
      </c>
      <c r="BL93" s="49"/>
      <c r="BM93" s="49"/>
      <c r="BN93" s="50">
        <f t="shared" si="45"/>
        <v>0</v>
      </c>
      <c r="BP93" s="49"/>
      <c r="BQ93" s="49"/>
      <c r="BR93" s="50">
        <f t="shared" si="46"/>
        <v>0</v>
      </c>
      <c r="BT93" s="49"/>
      <c r="BU93" s="49"/>
      <c r="BV93" s="50">
        <f t="shared" si="47"/>
        <v>0</v>
      </c>
      <c r="BX93" s="49"/>
      <c r="BY93" s="49"/>
      <c r="BZ93" s="50">
        <f t="shared" si="48"/>
        <v>0</v>
      </c>
      <c r="CB93" s="49"/>
      <c r="CC93" s="49"/>
      <c r="CD93" s="50">
        <f t="shared" si="49"/>
        <v>0</v>
      </c>
      <c r="CF93" s="49"/>
      <c r="CG93" s="49"/>
      <c r="CH93" s="50">
        <f t="shared" si="50"/>
        <v>0</v>
      </c>
      <c r="CJ93" s="49"/>
      <c r="CK93" s="49"/>
      <c r="CL93" s="50">
        <f t="shared" si="51"/>
        <v>0</v>
      </c>
      <c r="CN93" s="49"/>
      <c r="CO93" s="49"/>
      <c r="CP93" s="50">
        <f t="shared" si="52"/>
        <v>0</v>
      </c>
      <c r="CR93" s="49"/>
      <c r="CS93" s="49"/>
      <c r="CT93" s="50">
        <f t="shared" si="53"/>
        <v>0</v>
      </c>
      <c r="CV93" s="49"/>
      <c r="CW93" s="49"/>
      <c r="CX93" s="50">
        <f t="shared" si="54"/>
        <v>0</v>
      </c>
      <c r="CZ93" s="49"/>
      <c r="DA93" s="49"/>
      <c r="DB93" s="50">
        <f t="shared" si="55"/>
        <v>0</v>
      </c>
      <c r="DD93" s="49"/>
      <c r="DE93" s="49"/>
      <c r="DF93" s="50">
        <f t="shared" si="56"/>
        <v>0</v>
      </c>
      <c r="DH93" s="49"/>
      <c r="DI93" s="49"/>
      <c r="DJ93" s="50">
        <f t="shared" si="57"/>
        <v>0</v>
      </c>
      <c r="DL93" s="49"/>
      <c r="DM93" s="49"/>
      <c r="DN93" s="50">
        <f t="shared" si="58"/>
        <v>0</v>
      </c>
      <c r="DP93" s="49"/>
      <c r="DQ93" s="49"/>
      <c r="DR93" s="50">
        <f t="shared" si="59"/>
        <v>0</v>
      </c>
      <c r="DT93" s="49"/>
      <c r="DU93" s="49"/>
      <c r="DV93" s="50">
        <f t="shared" si="60"/>
        <v>0</v>
      </c>
      <c r="DX93" s="49"/>
      <c r="DY93" s="49"/>
      <c r="DZ93" s="50">
        <f t="shared" si="61"/>
        <v>0</v>
      </c>
      <c r="EB93" s="49">
        <f t="shared" si="62"/>
        <v>0</v>
      </c>
      <c r="EC93" s="49">
        <f t="shared" si="62"/>
        <v>0</v>
      </c>
      <c r="ED93" s="49">
        <f t="shared" si="62"/>
        <v>0</v>
      </c>
    </row>
    <row r="94" spans="2:134" ht="11" customHeight="1" x14ac:dyDescent="0.35">
      <c r="B94" s="4">
        <v>111201</v>
      </c>
      <c r="C94" s="14" t="s">
        <v>100</v>
      </c>
      <c r="D94" s="4">
        <v>50</v>
      </c>
      <c r="E94" s="5">
        <v>18</v>
      </c>
      <c r="F94" s="6">
        <v>198.24524392000001</v>
      </c>
      <c r="G94" s="1"/>
      <c r="H94" s="49"/>
      <c r="I94" s="49"/>
      <c r="J94" s="50">
        <f t="shared" si="63"/>
        <v>0</v>
      </c>
      <c r="K94" s="9"/>
      <c r="L94" s="49"/>
      <c r="M94" s="49"/>
      <c r="N94" s="50">
        <f t="shared" si="32"/>
        <v>0</v>
      </c>
      <c r="O94" s="46"/>
      <c r="P94" s="49"/>
      <c r="Q94" s="49"/>
      <c r="R94" s="50">
        <f t="shared" si="33"/>
        <v>0</v>
      </c>
      <c r="T94" s="49"/>
      <c r="U94" s="49"/>
      <c r="V94" s="50">
        <f t="shared" si="34"/>
        <v>0</v>
      </c>
      <c r="X94" s="49"/>
      <c r="Y94" s="49"/>
      <c r="Z94" s="50">
        <f t="shared" si="35"/>
        <v>0</v>
      </c>
      <c r="AB94" s="49"/>
      <c r="AC94" s="49"/>
      <c r="AD94" s="50">
        <f t="shared" si="36"/>
        <v>0</v>
      </c>
      <c r="AF94" s="49"/>
      <c r="AG94" s="49"/>
      <c r="AH94" s="50">
        <f t="shared" si="37"/>
        <v>0</v>
      </c>
      <c r="AJ94" s="49"/>
      <c r="AK94" s="49"/>
      <c r="AL94" s="50">
        <f t="shared" si="38"/>
        <v>0</v>
      </c>
      <c r="AN94" s="49"/>
      <c r="AO94" s="49"/>
      <c r="AP94" s="50">
        <f t="shared" si="39"/>
        <v>0</v>
      </c>
      <c r="AR94" s="49"/>
      <c r="AS94" s="49"/>
      <c r="AT94" s="50">
        <f t="shared" si="40"/>
        <v>0</v>
      </c>
      <c r="AV94" s="49"/>
      <c r="AW94" s="49"/>
      <c r="AX94" s="50">
        <f t="shared" si="41"/>
        <v>0</v>
      </c>
      <c r="AZ94" s="49"/>
      <c r="BA94" s="49"/>
      <c r="BB94" s="50">
        <f t="shared" si="42"/>
        <v>0</v>
      </c>
      <c r="BD94" s="49"/>
      <c r="BE94" s="49"/>
      <c r="BF94" s="50">
        <f t="shared" si="43"/>
        <v>0</v>
      </c>
      <c r="BH94" s="49"/>
      <c r="BI94" s="49"/>
      <c r="BJ94" s="50">
        <f t="shared" si="44"/>
        <v>0</v>
      </c>
      <c r="BL94" s="49"/>
      <c r="BM94" s="49"/>
      <c r="BN94" s="50">
        <f t="shared" si="45"/>
        <v>0</v>
      </c>
      <c r="BP94" s="49"/>
      <c r="BQ94" s="49"/>
      <c r="BR94" s="50">
        <f t="shared" si="46"/>
        <v>0</v>
      </c>
      <c r="BT94" s="49"/>
      <c r="BU94" s="49"/>
      <c r="BV94" s="50">
        <f t="shared" si="47"/>
        <v>0</v>
      </c>
      <c r="BX94" s="49"/>
      <c r="BY94" s="49"/>
      <c r="BZ94" s="50">
        <f t="shared" si="48"/>
        <v>0</v>
      </c>
      <c r="CB94" s="49"/>
      <c r="CC94" s="49"/>
      <c r="CD94" s="50">
        <f t="shared" si="49"/>
        <v>0</v>
      </c>
      <c r="CF94" s="49"/>
      <c r="CG94" s="49"/>
      <c r="CH94" s="50">
        <f t="shared" si="50"/>
        <v>0</v>
      </c>
      <c r="CJ94" s="49"/>
      <c r="CK94" s="49"/>
      <c r="CL94" s="50">
        <f t="shared" si="51"/>
        <v>0</v>
      </c>
      <c r="CN94" s="49"/>
      <c r="CO94" s="49"/>
      <c r="CP94" s="50">
        <f t="shared" si="52"/>
        <v>0</v>
      </c>
      <c r="CR94" s="49"/>
      <c r="CS94" s="49"/>
      <c r="CT94" s="50">
        <f t="shared" si="53"/>
        <v>0</v>
      </c>
      <c r="CV94" s="49"/>
      <c r="CW94" s="49"/>
      <c r="CX94" s="50">
        <f t="shared" si="54"/>
        <v>0</v>
      </c>
      <c r="CZ94" s="49"/>
      <c r="DA94" s="49"/>
      <c r="DB94" s="50">
        <f t="shared" si="55"/>
        <v>0</v>
      </c>
      <c r="DD94" s="49"/>
      <c r="DE94" s="49"/>
      <c r="DF94" s="50">
        <f t="shared" si="56"/>
        <v>0</v>
      </c>
      <c r="DH94" s="49"/>
      <c r="DI94" s="49"/>
      <c r="DJ94" s="50">
        <f t="shared" si="57"/>
        <v>0</v>
      </c>
      <c r="DL94" s="49"/>
      <c r="DM94" s="49"/>
      <c r="DN94" s="50">
        <f t="shared" si="58"/>
        <v>0</v>
      </c>
      <c r="DP94" s="49"/>
      <c r="DQ94" s="49"/>
      <c r="DR94" s="50">
        <f t="shared" si="59"/>
        <v>0</v>
      </c>
      <c r="DT94" s="49"/>
      <c r="DU94" s="49"/>
      <c r="DV94" s="50">
        <f t="shared" si="60"/>
        <v>0</v>
      </c>
      <c r="DX94" s="49"/>
      <c r="DY94" s="49"/>
      <c r="DZ94" s="50">
        <f t="shared" si="61"/>
        <v>0</v>
      </c>
      <c r="EB94" s="49">
        <f t="shared" si="62"/>
        <v>0</v>
      </c>
      <c r="EC94" s="49">
        <f t="shared" si="62"/>
        <v>0</v>
      </c>
      <c r="ED94" s="49">
        <f t="shared" si="62"/>
        <v>0</v>
      </c>
    </row>
    <row r="95" spans="2:134" ht="11" customHeight="1" x14ac:dyDescent="0.35">
      <c r="B95" s="4">
        <v>111211</v>
      </c>
      <c r="C95" s="14" t="s">
        <v>101</v>
      </c>
      <c r="D95" s="4">
        <v>50</v>
      </c>
      <c r="E95" s="5">
        <v>18</v>
      </c>
      <c r="F95" s="6">
        <v>198.24524392000001</v>
      </c>
      <c r="G95" s="1"/>
      <c r="H95" s="49"/>
      <c r="I95" s="49"/>
      <c r="J95" s="50">
        <f t="shared" si="63"/>
        <v>0</v>
      </c>
      <c r="K95" s="9"/>
      <c r="L95" s="49"/>
      <c r="M95" s="49"/>
      <c r="N95" s="50">
        <f t="shared" si="32"/>
        <v>0</v>
      </c>
      <c r="O95" s="46"/>
      <c r="P95" s="49"/>
      <c r="Q95" s="49"/>
      <c r="R95" s="50">
        <f t="shared" si="33"/>
        <v>0</v>
      </c>
      <c r="T95" s="49"/>
      <c r="U95" s="49"/>
      <c r="V95" s="50">
        <f t="shared" si="34"/>
        <v>0</v>
      </c>
      <c r="X95" s="49"/>
      <c r="Y95" s="49"/>
      <c r="Z95" s="50">
        <f t="shared" si="35"/>
        <v>0</v>
      </c>
      <c r="AB95" s="49"/>
      <c r="AC95" s="49"/>
      <c r="AD95" s="50">
        <f t="shared" si="36"/>
        <v>0</v>
      </c>
      <c r="AF95" s="49"/>
      <c r="AG95" s="49"/>
      <c r="AH95" s="50">
        <f t="shared" si="37"/>
        <v>0</v>
      </c>
      <c r="AJ95" s="49"/>
      <c r="AK95" s="49"/>
      <c r="AL95" s="50">
        <f t="shared" si="38"/>
        <v>0</v>
      </c>
      <c r="AN95" s="49"/>
      <c r="AO95" s="49"/>
      <c r="AP95" s="50">
        <f t="shared" si="39"/>
        <v>0</v>
      </c>
      <c r="AR95" s="49"/>
      <c r="AS95" s="49"/>
      <c r="AT95" s="50">
        <f t="shared" si="40"/>
        <v>0</v>
      </c>
      <c r="AV95" s="49"/>
      <c r="AW95" s="49"/>
      <c r="AX95" s="50">
        <f t="shared" si="41"/>
        <v>0</v>
      </c>
      <c r="AZ95" s="49"/>
      <c r="BA95" s="49"/>
      <c r="BB95" s="50">
        <f t="shared" si="42"/>
        <v>0</v>
      </c>
      <c r="BD95" s="49"/>
      <c r="BE95" s="49"/>
      <c r="BF95" s="50">
        <f t="shared" si="43"/>
        <v>0</v>
      </c>
      <c r="BH95" s="49"/>
      <c r="BI95" s="49"/>
      <c r="BJ95" s="50">
        <f t="shared" si="44"/>
        <v>0</v>
      </c>
      <c r="BL95" s="49"/>
      <c r="BM95" s="49"/>
      <c r="BN95" s="50">
        <f t="shared" si="45"/>
        <v>0</v>
      </c>
      <c r="BP95" s="49"/>
      <c r="BQ95" s="49"/>
      <c r="BR95" s="50">
        <f t="shared" si="46"/>
        <v>0</v>
      </c>
      <c r="BT95" s="49"/>
      <c r="BU95" s="49"/>
      <c r="BV95" s="50">
        <f t="shared" si="47"/>
        <v>0</v>
      </c>
      <c r="BX95" s="49"/>
      <c r="BY95" s="49"/>
      <c r="BZ95" s="50">
        <f t="shared" si="48"/>
        <v>0</v>
      </c>
      <c r="CB95" s="49"/>
      <c r="CC95" s="49"/>
      <c r="CD95" s="50">
        <f t="shared" si="49"/>
        <v>0</v>
      </c>
      <c r="CF95" s="49"/>
      <c r="CG95" s="49"/>
      <c r="CH95" s="50">
        <f t="shared" si="50"/>
        <v>0</v>
      </c>
      <c r="CJ95" s="49"/>
      <c r="CK95" s="49"/>
      <c r="CL95" s="50">
        <f t="shared" si="51"/>
        <v>0</v>
      </c>
      <c r="CN95" s="49"/>
      <c r="CO95" s="49"/>
      <c r="CP95" s="50">
        <f t="shared" si="52"/>
        <v>0</v>
      </c>
      <c r="CR95" s="49"/>
      <c r="CS95" s="49"/>
      <c r="CT95" s="50">
        <f t="shared" si="53"/>
        <v>0</v>
      </c>
      <c r="CV95" s="49"/>
      <c r="CW95" s="49"/>
      <c r="CX95" s="50">
        <f t="shared" si="54"/>
        <v>0</v>
      </c>
      <c r="CZ95" s="49"/>
      <c r="DA95" s="49"/>
      <c r="DB95" s="50">
        <f t="shared" si="55"/>
        <v>0</v>
      </c>
      <c r="DD95" s="49"/>
      <c r="DE95" s="49"/>
      <c r="DF95" s="50">
        <f t="shared" si="56"/>
        <v>0</v>
      </c>
      <c r="DH95" s="49"/>
      <c r="DI95" s="49"/>
      <c r="DJ95" s="50">
        <f t="shared" si="57"/>
        <v>0</v>
      </c>
      <c r="DL95" s="49"/>
      <c r="DM95" s="49"/>
      <c r="DN95" s="50">
        <f t="shared" si="58"/>
        <v>0</v>
      </c>
      <c r="DP95" s="49"/>
      <c r="DQ95" s="49"/>
      <c r="DR95" s="50">
        <f t="shared" si="59"/>
        <v>0</v>
      </c>
      <c r="DT95" s="49"/>
      <c r="DU95" s="49"/>
      <c r="DV95" s="50">
        <f t="shared" si="60"/>
        <v>0</v>
      </c>
      <c r="DX95" s="49"/>
      <c r="DY95" s="49"/>
      <c r="DZ95" s="50">
        <f t="shared" si="61"/>
        <v>0</v>
      </c>
      <c r="EB95" s="49">
        <f t="shared" si="62"/>
        <v>0</v>
      </c>
      <c r="EC95" s="49">
        <f t="shared" si="62"/>
        <v>0</v>
      </c>
      <c r="ED95" s="49">
        <f t="shared" si="62"/>
        <v>0</v>
      </c>
    </row>
    <row r="96" spans="2:134" ht="11" customHeight="1" x14ac:dyDescent="0.35">
      <c r="B96" s="4">
        <v>111221</v>
      </c>
      <c r="C96" s="14" t="s">
        <v>102</v>
      </c>
      <c r="D96" s="4">
        <v>50</v>
      </c>
      <c r="E96" s="5">
        <v>18</v>
      </c>
      <c r="F96" s="6">
        <v>198.24524392000001</v>
      </c>
      <c r="G96" s="1"/>
      <c r="H96" s="49"/>
      <c r="I96" s="49"/>
      <c r="J96" s="50">
        <f t="shared" si="63"/>
        <v>0</v>
      </c>
      <c r="K96" s="9"/>
      <c r="L96" s="49"/>
      <c r="M96" s="49"/>
      <c r="N96" s="50">
        <f t="shared" si="32"/>
        <v>0</v>
      </c>
      <c r="O96" s="46"/>
      <c r="P96" s="49"/>
      <c r="Q96" s="49"/>
      <c r="R96" s="50">
        <f t="shared" si="33"/>
        <v>0</v>
      </c>
      <c r="T96" s="49"/>
      <c r="U96" s="49"/>
      <c r="V96" s="50">
        <f t="shared" si="34"/>
        <v>0</v>
      </c>
      <c r="X96" s="49"/>
      <c r="Y96" s="49"/>
      <c r="Z96" s="50">
        <f t="shared" si="35"/>
        <v>0</v>
      </c>
      <c r="AB96" s="49"/>
      <c r="AC96" s="49"/>
      <c r="AD96" s="50">
        <f t="shared" si="36"/>
        <v>0</v>
      </c>
      <c r="AF96" s="49"/>
      <c r="AG96" s="49"/>
      <c r="AH96" s="50">
        <f t="shared" si="37"/>
        <v>0</v>
      </c>
      <c r="AJ96" s="49"/>
      <c r="AK96" s="49"/>
      <c r="AL96" s="50">
        <f t="shared" si="38"/>
        <v>0</v>
      </c>
      <c r="AN96" s="49"/>
      <c r="AO96" s="49"/>
      <c r="AP96" s="50">
        <f t="shared" si="39"/>
        <v>0</v>
      </c>
      <c r="AR96" s="49"/>
      <c r="AS96" s="49"/>
      <c r="AT96" s="50">
        <f t="shared" si="40"/>
        <v>0</v>
      </c>
      <c r="AV96" s="49"/>
      <c r="AW96" s="49"/>
      <c r="AX96" s="50">
        <f t="shared" si="41"/>
        <v>0</v>
      </c>
      <c r="AZ96" s="49"/>
      <c r="BA96" s="49"/>
      <c r="BB96" s="50">
        <f t="shared" si="42"/>
        <v>0</v>
      </c>
      <c r="BD96" s="49"/>
      <c r="BE96" s="49"/>
      <c r="BF96" s="50">
        <f t="shared" si="43"/>
        <v>0</v>
      </c>
      <c r="BH96" s="49"/>
      <c r="BI96" s="49"/>
      <c r="BJ96" s="50">
        <f t="shared" si="44"/>
        <v>0</v>
      </c>
      <c r="BL96" s="49"/>
      <c r="BM96" s="49"/>
      <c r="BN96" s="50">
        <f t="shared" si="45"/>
        <v>0</v>
      </c>
      <c r="BP96" s="49"/>
      <c r="BQ96" s="49"/>
      <c r="BR96" s="50">
        <f t="shared" si="46"/>
        <v>0</v>
      </c>
      <c r="BT96" s="49"/>
      <c r="BU96" s="49"/>
      <c r="BV96" s="50">
        <f t="shared" si="47"/>
        <v>0</v>
      </c>
      <c r="BX96" s="49"/>
      <c r="BY96" s="49"/>
      <c r="BZ96" s="50">
        <f t="shared" si="48"/>
        <v>0</v>
      </c>
      <c r="CB96" s="49"/>
      <c r="CC96" s="49"/>
      <c r="CD96" s="50">
        <f t="shared" si="49"/>
        <v>0</v>
      </c>
      <c r="CF96" s="49"/>
      <c r="CG96" s="49"/>
      <c r="CH96" s="50">
        <f t="shared" si="50"/>
        <v>0</v>
      </c>
      <c r="CJ96" s="49"/>
      <c r="CK96" s="49"/>
      <c r="CL96" s="50">
        <f t="shared" si="51"/>
        <v>0</v>
      </c>
      <c r="CN96" s="49"/>
      <c r="CO96" s="49"/>
      <c r="CP96" s="50">
        <f t="shared" si="52"/>
        <v>0</v>
      </c>
      <c r="CR96" s="49"/>
      <c r="CS96" s="49"/>
      <c r="CT96" s="50">
        <f t="shared" si="53"/>
        <v>0</v>
      </c>
      <c r="CV96" s="49"/>
      <c r="CW96" s="49"/>
      <c r="CX96" s="50">
        <f t="shared" si="54"/>
        <v>0</v>
      </c>
      <c r="CZ96" s="49"/>
      <c r="DA96" s="49"/>
      <c r="DB96" s="50">
        <f t="shared" si="55"/>
        <v>0</v>
      </c>
      <c r="DD96" s="49"/>
      <c r="DE96" s="49"/>
      <c r="DF96" s="50">
        <f t="shared" si="56"/>
        <v>0</v>
      </c>
      <c r="DH96" s="49"/>
      <c r="DI96" s="49"/>
      <c r="DJ96" s="50">
        <f t="shared" si="57"/>
        <v>0</v>
      </c>
      <c r="DL96" s="49"/>
      <c r="DM96" s="49"/>
      <c r="DN96" s="50">
        <f t="shared" si="58"/>
        <v>0</v>
      </c>
      <c r="DP96" s="49"/>
      <c r="DQ96" s="49"/>
      <c r="DR96" s="50">
        <f t="shared" si="59"/>
        <v>0</v>
      </c>
      <c r="DT96" s="49"/>
      <c r="DU96" s="49"/>
      <c r="DV96" s="50">
        <f t="shared" si="60"/>
        <v>0</v>
      </c>
      <c r="DX96" s="49"/>
      <c r="DY96" s="49"/>
      <c r="DZ96" s="50">
        <f t="shared" si="61"/>
        <v>0</v>
      </c>
      <c r="EB96" s="49">
        <f t="shared" si="62"/>
        <v>0</v>
      </c>
      <c r="EC96" s="49">
        <f t="shared" si="62"/>
        <v>0</v>
      </c>
      <c r="ED96" s="49">
        <f t="shared" si="62"/>
        <v>0</v>
      </c>
    </row>
    <row r="97" spans="2:134" ht="11" customHeight="1" x14ac:dyDescent="0.35">
      <c r="B97" s="4">
        <v>111251</v>
      </c>
      <c r="C97" s="14" t="s">
        <v>103</v>
      </c>
      <c r="D97" s="4">
        <v>50</v>
      </c>
      <c r="E97" s="5">
        <v>18</v>
      </c>
      <c r="F97" s="6">
        <v>198.24524392000001</v>
      </c>
      <c r="G97" s="1"/>
      <c r="H97" s="49"/>
      <c r="I97" s="49"/>
      <c r="J97" s="50">
        <f t="shared" si="63"/>
        <v>0</v>
      </c>
      <c r="K97" s="9"/>
      <c r="L97" s="49"/>
      <c r="M97" s="49"/>
      <c r="N97" s="50">
        <f t="shared" si="32"/>
        <v>0</v>
      </c>
      <c r="O97" s="46"/>
      <c r="P97" s="49"/>
      <c r="Q97" s="49"/>
      <c r="R97" s="50">
        <f t="shared" si="33"/>
        <v>0</v>
      </c>
      <c r="T97" s="49"/>
      <c r="U97" s="49"/>
      <c r="V97" s="50">
        <f t="shared" si="34"/>
        <v>0</v>
      </c>
      <c r="X97" s="49"/>
      <c r="Y97" s="49"/>
      <c r="Z97" s="50">
        <f t="shared" si="35"/>
        <v>0</v>
      </c>
      <c r="AB97" s="49"/>
      <c r="AC97" s="49"/>
      <c r="AD97" s="50">
        <f t="shared" si="36"/>
        <v>0</v>
      </c>
      <c r="AF97" s="49"/>
      <c r="AG97" s="49"/>
      <c r="AH97" s="50">
        <f t="shared" si="37"/>
        <v>0</v>
      </c>
      <c r="AJ97" s="49"/>
      <c r="AK97" s="49"/>
      <c r="AL97" s="50">
        <f t="shared" si="38"/>
        <v>0</v>
      </c>
      <c r="AN97" s="49"/>
      <c r="AO97" s="49"/>
      <c r="AP97" s="50">
        <f t="shared" si="39"/>
        <v>0</v>
      </c>
      <c r="AR97" s="49"/>
      <c r="AS97" s="49"/>
      <c r="AT97" s="50">
        <f t="shared" si="40"/>
        <v>0</v>
      </c>
      <c r="AV97" s="49"/>
      <c r="AW97" s="49"/>
      <c r="AX97" s="50">
        <f t="shared" si="41"/>
        <v>0</v>
      </c>
      <c r="AZ97" s="49"/>
      <c r="BA97" s="49"/>
      <c r="BB97" s="50">
        <f t="shared" si="42"/>
        <v>0</v>
      </c>
      <c r="BD97" s="49"/>
      <c r="BE97" s="49"/>
      <c r="BF97" s="50">
        <f t="shared" si="43"/>
        <v>0</v>
      </c>
      <c r="BH97" s="49"/>
      <c r="BI97" s="49"/>
      <c r="BJ97" s="50">
        <f t="shared" si="44"/>
        <v>0</v>
      </c>
      <c r="BL97" s="49"/>
      <c r="BM97" s="49"/>
      <c r="BN97" s="50">
        <f t="shared" si="45"/>
        <v>0</v>
      </c>
      <c r="BP97" s="49"/>
      <c r="BQ97" s="49"/>
      <c r="BR97" s="50">
        <f t="shared" si="46"/>
        <v>0</v>
      </c>
      <c r="BT97" s="49"/>
      <c r="BU97" s="49"/>
      <c r="BV97" s="50">
        <f t="shared" si="47"/>
        <v>0</v>
      </c>
      <c r="BX97" s="49"/>
      <c r="BY97" s="49"/>
      <c r="BZ97" s="50">
        <f t="shared" si="48"/>
        <v>0</v>
      </c>
      <c r="CB97" s="49"/>
      <c r="CC97" s="49"/>
      <c r="CD97" s="50">
        <f t="shared" si="49"/>
        <v>0</v>
      </c>
      <c r="CF97" s="49"/>
      <c r="CG97" s="49"/>
      <c r="CH97" s="50">
        <f t="shared" si="50"/>
        <v>0</v>
      </c>
      <c r="CJ97" s="49"/>
      <c r="CK97" s="49"/>
      <c r="CL97" s="50">
        <f t="shared" si="51"/>
        <v>0</v>
      </c>
      <c r="CN97" s="49"/>
      <c r="CO97" s="49"/>
      <c r="CP97" s="50">
        <f t="shared" si="52"/>
        <v>0</v>
      </c>
      <c r="CR97" s="49"/>
      <c r="CS97" s="49"/>
      <c r="CT97" s="50">
        <f t="shared" si="53"/>
        <v>0</v>
      </c>
      <c r="CV97" s="49"/>
      <c r="CW97" s="49"/>
      <c r="CX97" s="50">
        <f t="shared" si="54"/>
        <v>0</v>
      </c>
      <c r="CZ97" s="49"/>
      <c r="DA97" s="49"/>
      <c r="DB97" s="50">
        <f t="shared" si="55"/>
        <v>0</v>
      </c>
      <c r="DD97" s="49"/>
      <c r="DE97" s="49"/>
      <c r="DF97" s="50">
        <f t="shared" si="56"/>
        <v>0</v>
      </c>
      <c r="DH97" s="49"/>
      <c r="DI97" s="49"/>
      <c r="DJ97" s="50">
        <f t="shared" si="57"/>
        <v>0</v>
      </c>
      <c r="DL97" s="49"/>
      <c r="DM97" s="49"/>
      <c r="DN97" s="50">
        <f t="shared" si="58"/>
        <v>0</v>
      </c>
      <c r="DP97" s="49"/>
      <c r="DQ97" s="49"/>
      <c r="DR97" s="50">
        <f t="shared" si="59"/>
        <v>0</v>
      </c>
      <c r="DT97" s="49"/>
      <c r="DU97" s="49"/>
      <c r="DV97" s="50">
        <f t="shared" si="60"/>
        <v>0</v>
      </c>
      <c r="DX97" s="49"/>
      <c r="DY97" s="49"/>
      <c r="DZ97" s="50">
        <f t="shared" si="61"/>
        <v>0</v>
      </c>
      <c r="EB97" s="49">
        <f t="shared" si="62"/>
        <v>0</v>
      </c>
      <c r="EC97" s="49">
        <f t="shared" si="62"/>
        <v>0</v>
      </c>
      <c r="ED97" s="49">
        <f t="shared" si="62"/>
        <v>0</v>
      </c>
    </row>
    <row r="98" spans="2:134" ht="11" customHeight="1" x14ac:dyDescent="0.35">
      <c r="B98" s="4">
        <v>102162</v>
      </c>
      <c r="C98" s="14" t="s">
        <v>104</v>
      </c>
      <c r="D98" s="4">
        <v>50</v>
      </c>
      <c r="E98" s="5">
        <v>18</v>
      </c>
      <c r="F98" s="6">
        <v>200.47</v>
      </c>
      <c r="G98" s="1"/>
      <c r="H98" s="49"/>
      <c r="I98" s="49"/>
      <c r="J98" s="50">
        <f t="shared" si="63"/>
        <v>0</v>
      </c>
      <c r="K98" s="9"/>
      <c r="L98" s="49"/>
      <c r="M98" s="49"/>
      <c r="N98" s="50">
        <f t="shared" si="32"/>
        <v>0</v>
      </c>
      <c r="O98" s="46"/>
      <c r="P98" s="49"/>
      <c r="Q98" s="49"/>
      <c r="R98" s="50">
        <f t="shared" si="33"/>
        <v>0</v>
      </c>
      <c r="T98" s="49"/>
      <c r="U98" s="49"/>
      <c r="V98" s="50">
        <f t="shared" si="34"/>
        <v>0</v>
      </c>
      <c r="X98" s="49"/>
      <c r="Y98" s="49"/>
      <c r="Z98" s="50">
        <f t="shared" si="35"/>
        <v>0</v>
      </c>
      <c r="AB98" s="49"/>
      <c r="AC98" s="49"/>
      <c r="AD98" s="50">
        <f t="shared" si="36"/>
        <v>0</v>
      </c>
      <c r="AF98" s="49"/>
      <c r="AG98" s="49"/>
      <c r="AH98" s="50">
        <f t="shared" si="37"/>
        <v>0</v>
      </c>
      <c r="AJ98" s="49"/>
      <c r="AK98" s="49"/>
      <c r="AL98" s="50">
        <f t="shared" si="38"/>
        <v>0</v>
      </c>
      <c r="AN98" s="49"/>
      <c r="AO98" s="49"/>
      <c r="AP98" s="50">
        <f t="shared" si="39"/>
        <v>0</v>
      </c>
      <c r="AR98" s="49"/>
      <c r="AS98" s="49"/>
      <c r="AT98" s="50">
        <f t="shared" si="40"/>
        <v>0</v>
      </c>
      <c r="AV98" s="49"/>
      <c r="AW98" s="49"/>
      <c r="AX98" s="50">
        <f t="shared" si="41"/>
        <v>0</v>
      </c>
      <c r="AZ98" s="49"/>
      <c r="BA98" s="49"/>
      <c r="BB98" s="50">
        <f t="shared" si="42"/>
        <v>0</v>
      </c>
      <c r="BD98" s="49"/>
      <c r="BE98" s="49"/>
      <c r="BF98" s="50">
        <f t="shared" si="43"/>
        <v>0</v>
      </c>
      <c r="BH98" s="49"/>
      <c r="BI98" s="49"/>
      <c r="BJ98" s="50">
        <f t="shared" si="44"/>
        <v>0</v>
      </c>
      <c r="BL98" s="49"/>
      <c r="BM98" s="49"/>
      <c r="BN98" s="50">
        <f t="shared" si="45"/>
        <v>0</v>
      </c>
      <c r="BP98" s="49"/>
      <c r="BQ98" s="49"/>
      <c r="BR98" s="50">
        <f t="shared" si="46"/>
        <v>0</v>
      </c>
      <c r="BT98" s="49"/>
      <c r="BU98" s="49"/>
      <c r="BV98" s="50">
        <f t="shared" si="47"/>
        <v>0</v>
      </c>
      <c r="BX98" s="49"/>
      <c r="BY98" s="49"/>
      <c r="BZ98" s="50">
        <f t="shared" si="48"/>
        <v>0</v>
      </c>
      <c r="CB98" s="49"/>
      <c r="CC98" s="49"/>
      <c r="CD98" s="50">
        <f t="shared" si="49"/>
        <v>0</v>
      </c>
      <c r="CF98" s="49"/>
      <c r="CG98" s="49"/>
      <c r="CH98" s="50">
        <f t="shared" si="50"/>
        <v>0</v>
      </c>
      <c r="CJ98" s="49"/>
      <c r="CK98" s="49"/>
      <c r="CL98" s="50">
        <f t="shared" si="51"/>
        <v>0</v>
      </c>
      <c r="CN98" s="49"/>
      <c r="CO98" s="49"/>
      <c r="CP98" s="50">
        <f t="shared" si="52"/>
        <v>0</v>
      </c>
      <c r="CR98" s="49"/>
      <c r="CS98" s="49"/>
      <c r="CT98" s="50">
        <f t="shared" si="53"/>
        <v>0</v>
      </c>
      <c r="CV98" s="49"/>
      <c r="CW98" s="49"/>
      <c r="CX98" s="50">
        <f t="shared" si="54"/>
        <v>0</v>
      </c>
      <c r="CZ98" s="49"/>
      <c r="DA98" s="49"/>
      <c r="DB98" s="50">
        <f t="shared" si="55"/>
        <v>0</v>
      </c>
      <c r="DD98" s="49"/>
      <c r="DE98" s="49"/>
      <c r="DF98" s="50">
        <f t="shared" si="56"/>
        <v>0</v>
      </c>
      <c r="DH98" s="49"/>
      <c r="DI98" s="49"/>
      <c r="DJ98" s="50">
        <f t="shared" si="57"/>
        <v>0</v>
      </c>
      <c r="DL98" s="49"/>
      <c r="DM98" s="49"/>
      <c r="DN98" s="50">
        <f t="shared" si="58"/>
        <v>0</v>
      </c>
      <c r="DP98" s="49"/>
      <c r="DQ98" s="49"/>
      <c r="DR98" s="50">
        <f t="shared" si="59"/>
        <v>0</v>
      </c>
      <c r="DT98" s="49"/>
      <c r="DU98" s="49"/>
      <c r="DV98" s="50">
        <f t="shared" si="60"/>
        <v>0</v>
      </c>
      <c r="DX98" s="49"/>
      <c r="DY98" s="49"/>
      <c r="DZ98" s="50">
        <f t="shared" si="61"/>
        <v>0</v>
      </c>
      <c r="EB98" s="49">
        <f t="shared" si="62"/>
        <v>0</v>
      </c>
      <c r="EC98" s="49">
        <f t="shared" si="62"/>
        <v>0</v>
      </c>
      <c r="ED98" s="49">
        <f t="shared" si="62"/>
        <v>0</v>
      </c>
    </row>
    <row r="99" spans="2:134" ht="11" customHeight="1" x14ac:dyDescent="0.35">
      <c r="B99" s="4">
        <v>102944</v>
      </c>
      <c r="C99" s="14" t="s">
        <v>105</v>
      </c>
      <c r="D99" s="4">
        <v>12</v>
      </c>
      <c r="E99" s="5">
        <v>12</v>
      </c>
      <c r="F99" s="6">
        <v>237.3</v>
      </c>
      <c r="G99" s="1"/>
      <c r="H99" s="49"/>
      <c r="I99" s="49"/>
      <c r="J99" s="50">
        <f t="shared" si="63"/>
        <v>0</v>
      </c>
      <c r="K99" s="9"/>
      <c r="L99" s="49"/>
      <c r="M99" s="49"/>
      <c r="N99" s="50">
        <f t="shared" si="32"/>
        <v>0</v>
      </c>
      <c r="O99" s="46"/>
      <c r="P99" s="49"/>
      <c r="Q99" s="49"/>
      <c r="R99" s="50">
        <f t="shared" si="33"/>
        <v>0</v>
      </c>
      <c r="T99" s="49"/>
      <c r="U99" s="49"/>
      <c r="V99" s="50">
        <f t="shared" si="34"/>
        <v>0</v>
      </c>
      <c r="X99" s="49"/>
      <c r="Y99" s="49"/>
      <c r="Z99" s="50">
        <f t="shared" si="35"/>
        <v>0</v>
      </c>
      <c r="AB99" s="49"/>
      <c r="AC99" s="49"/>
      <c r="AD99" s="50">
        <f t="shared" si="36"/>
        <v>0</v>
      </c>
      <c r="AF99" s="49"/>
      <c r="AG99" s="49"/>
      <c r="AH99" s="50">
        <f t="shared" si="37"/>
        <v>0</v>
      </c>
      <c r="AJ99" s="49"/>
      <c r="AK99" s="49"/>
      <c r="AL99" s="50">
        <f t="shared" si="38"/>
        <v>0</v>
      </c>
      <c r="AN99" s="49"/>
      <c r="AO99" s="49"/>
      <c r="AP99" s="50">
        <f t="shared" si="39"/>
        <v>0</v>
      </c>
      <c r="AR99" s="49"/>
      <c r="AS99" s="49"/>
      <c r="AT99" s="50">
        <f t="shared" si="40"/>
        <v>0</v>
      </c>
      <c r="AV99" s="49"/>
      <c r="AW99" s="49"/>
      <c r="AX99" s="50">
        <f t="shared" si="41"/>
        <v>0</v>
      </c>
      <c r="AZ99" s="49"/>
      <c r="BA99" s="49"/>
      <c r="BB99" s="50">
        <f t="shared" si="42"/>
        <v>0</v>
      </c>
      <c r="BD99" s="49"/>
      <c r="BE99" s="49"/>
      <c r="BF99" s="50">
        <f t="shared" si="43"/>
        <v>0</v>
      </c>
      <c r="BH99" s="49"/>
      <c r="BI99" s="49"/>
      <c r="BJ99" s="50">
        <f t="shared" si="44"/>
        <v>0</v>
      </c>
      <c r="BL99" s="49"/>
      <c r="BM99" s="49"/>
      <c r="BN99" s="50">
        <f t="shared" si="45"/>
        <v>0</v>
      </c>
      <c r="BP99" s="49"/>
      <c r="BQ99" s="49"/>
      <c r="BR99" s="50">
        <f t="shared" si="46"/>
        <v>0</v>
      </c>
      <c r="BT99" s="49"/>
      <c r="BU99" s="49"/>
      <c r="BV99" s="50">
        <f t="shared" si="47"/>
        <v>0</v>
      </c>
      <c r="BX99" s="49"/>
      <c r="BY99" s="49"/>
      <c r="BZ99" s="50">
        <f t="shared" si="48"/>
        <v>0</v>
      </c>
      <c r="CB99" s="49"/>
      <c r="CC99" s="49"/>
      <c r="CD99" s="50">
        <f t="shared" si="49"/>
        <v>0</v>
      </c>
      <c r="CF99" s="49"/>
      <c r="CG99" s="49"/>
      <c r="CH99" s="50">
        <f t="shared" si="50"/>
        <v>0</v>
      </c>
      <c r="CJ99" s="49"/>
      <c r="CK99" s="49"/>
      <c r="CL99" s="50">
        <f t="shared" si="51"/>
        <v>0</v>
      </c>
      <c r="CN99" s="49"/>
      <c r="CO99" s="49"/>
      <c r="CP99" s="50">
        <f t="shared" si="52"/>
        <v>0</v>
      </c>
      <c r="CR99" s="49"/>
      <c r="CS99" s="49"/>
      <c r="CT99" s="50">
        <f t="shared" si="53"/>
        <v>0</v>
      </c>
      <c r="CV99" s="49"/>
      <c r="CW99" s="49"/>
      <c r="CX99" s="50">
        <f t="shared" si="54"/>
        <v>0</v>
      </c>
      <c r="CZ99" s="49"/>
      <c r="DA99" s="49"/>
      <c r="DB99" s="50">
        <f t="shared" si="55"/>
        <v>0</v>
      </c>
      <c r="DD99" s="49"/>
      <c r="DE99" s="49"/>
      <c r="DF99" s="50">
        <f t="shared" si="56"/>
        <v>0</v>
      </c>
      <c r="DH99" s="49"/>
      <c r="DI99" s="49"/>
      <c r="DJ99" s="50">
        <f t="shared" si="57"/>
        <v>0</v>
      </c>
      <c r="DL99" s="49"/>
      <c r="DM99" s="49"/>
      <c r="DN99" s="50">
        <f t="shared" si="58"/>
        <v>0</v>
      </c>
      <c r="DP99" s="49"/>
      <c r="DQ99" s="49"/>
      <c r="DR99" s="50">
        <f t="shared" si="59"/>
        <v>0</v>
      </c>
      <c r="DT99" s="49"/>
      <c r="DU99" s="49"/>
      <c r="DV99" s="50">
        <f t="shared" si="60"/>
        <v>0</v>
      </c>
      <c r="DX99" s="49"/>
      <c r="DY99" s="49"/>
      <c r="DZ99" s="50">
        <f t="shared" si="61"/>
        <v>0</v>
      </c>
      <c r="EB99" s="49">
        <f t="shared" si="62"/>
        <v>0</v>
      </c>
      <c r="EC99" s="49">
        <f t="shared" si="62"/>
        <v>0</v>
      </c>
      <c r="ED99" s="49">
        <f t="shared" si="62"/>
        <v>0</v>
      </c>
    </row>
    <row r="100" spans="2:134" ht="11" customHeight="1" x14ac:dyDescent="0.35">
      <c r="B100" s="4">
        <v>102945</v>
      </c>
      <c r="C100" s="14" t="s">
        <v>106</v>
      </c>
      <c r="D100" s="4">
        <v>12</v>
      </c>
      <c r="E100" s="5">
        <v>12</v>
      </c>
      <c r="F100" s="6">
        <v>237.3</v>
      </c>
      <c r="G100" s="1"/>
      <c r="H100" s="49"/>
      <c r="I100" s="49"/>
      <c r="J100" s="50">
        <f t="shared" si="63"/>
        <v>0</v>
      </c>
      <c r="K100" s="9"/>
      <c r="L100" s="49"/>
      <c r="M100" s="49"/>
      <c r="N100" s="50">
        <f t="shared" si="32"/>
        <v>0</v>
      </c>
      <c r="O100" s="46"/>
      <c r="P100" s="49"/>
      <c r="Q100" s="49"/>
      <c r="R100" s="50">
        <f t="shared" si="33"/>
        <v>0</v>
      </c>
      <c r="T100" s="49"/>
      <c r="U100" s="49"/>
      <c r="V100" s="50">
        <f t="shared" si="34"/>
        <v>0</v>
      </c>
      <c r="X100" s="49"/>
      <c r="Y100" s="49"/>
      <c r="Z100" s="50">
        <f t="shared" si="35"/>
        <v>0</v>
      </c>
      <c r="AB100" s="49"/>
      <c r="AC100" s="49"/>
      <c r="AD100" s="50">
        <f t="shared" si="36"/>
        <v>0</v>
      </c>
      <c r="AF100" s="49"/>
      <c r="AG100" s="49"/>
      <c r="AH100" s="50">
        <f t="shared" si="37"/>
        <v>0</v>
      </c>
      <c r="AJ100" s="49"/>
      <c r="AK100" s="49"/>
      <c r="AL100" s="50">
        <f t="shared" si="38"/>
        <v>0</v>
      </c>
      <c r="AN100" s="49"/>
      <c r="AO100" s="49"/>
      <c r="AP100" s="50">
        <f t="shared" si="39"/>
        <v>0</v>
      </c>
      <c r="AR100" s="49"/>
      <c r="AS100" s="49"/>
      <c r="AT100" s="50">
        <f t="shared" si="40"/>
        <v>0</v>
      </c>
      <c r="AV100" s="49"/>
      <c r="AW100" s="49"/>
      <c r="AX100" s="50">
        <f t="shared" si="41"/>
        <v>0</v>
      </c>
      <c r="AZ100" s="49"/>
      <c r="BA100" s="49"/>
      <c r="BB100" s="50">
        <f t="shared" si="42"/>
        <v>0</v>
      </c>
      <c r="BD100" s="49"/>
      <c r="BE100" s="49"/>
      <c r="BF100" s="50">
        <f t="shared" si="43"/>
        <v>0</v>
      </c>
      <c r="BH100" s="49"/>
      <c r="BI100" s="49"/>
      <c r="BJ100" s="50">
        <f t="shared" si="44"/>
        <v>0</v>
      </c>
      <c r="BL100" s="49"/>
      <c r="BM100" s="49"/>
      <c r="BN100" s="50">
        <f t="shared" si="45"/>
        <v>0</v>
      </c>
      <c r="BP100" s="49"/>
      <c r="BQ100" s="49"/>
      <c r="BR100" s="50">
        <f t="shared" si="46"/>
        <v>0</v>
      </c>
      <c r="BT100" s="49"/>
      <c r="BU100" s="49"/>
      <c r="BV100" s="50">
        <f t="shared" si="47"/>
        <v>0</v>
      </c>
      <c r="BX100" s="49"/>
      <c r="BY100" s="49"/>
      <c r="BZ100" s="50">
        <f t="shared" si="48"/>
        <v>0</v>
      </c>
      <c r="CB100" s="49"/>
      <c r="CC100" s="49"/>
      <c r="CD100" s="50">
        <f t="shared" si="49"/>
        <v>0</v>
      </c>
      <c r="CF100" s="49"/>
      <c r="CG100" s="49"/>
      <c r="CH100" s="50">
        <f t="shared" si="50"/>
        <v>0</v>
      </c>
      <c r="CJ100" s="49"/>
      <c r="CK100" s="49"/>
      <c r="CL100" s="50">
        <f t="shared" si="51"/>
        <v>0</v>
      </c>
      <c r="CN100" s="49"/>
      <c r="CO100" s="49"/>
      <c r="CP100" s="50">
        <f t="shared" si="52"/>
        <v>0</v>
      </c>
      <c r="CR100" s="49"/>
      <c r="CS100" s="49"/>
      <c r="CT100" s="50">
        <f t="shared" si="53"/>
        <v>0</v>
      </c>
      <c r="CV100" s="49"/>
      <c r="CW100" s="49"/>
      <c r="CX100" s="50">
        <f t="shared" si="54"/>
        <v>0</v>
      </c>
      <c r="CZ100" s="49"/>
      <c r="DA100" s="49"/>
      <c r="DB100" s="50">
        <f t="shared" si="55"/>
        <v>0</v>
      </c>
      <c r="DD100" s="49"/>
      <c r="DE100" s="49"/>
      <c r="DF100" s="50">
        <f t="shared" si="56"/>
        <v>0</v>
      </c>
      <c r="DH100" s="49"/>
      <c r="DI100" s="49"/>
      <c r="DJ100" s="50">
        <f t="shared" si="57"/>
        <v>0</v>
      </c>
      <c r="DL100" s="49"/>
      <c r="DM100" s="49"/>
      <c r="DN100" s="50">
        <f t="shared" si="58"/>
        <v>0</v>
      </c>
      <c r="DP100" s="49"/>
      <c r="DQ100" s="49"/>
      <c r="DR100" s="50">
        <f t="shared" si="59"/>
        <v>0</v>
      </c>
      <c r="DT100" s="49"/>
      <c r="DU100" s="49"/>
      <c r="DV100" s="50">
        <f t="shared" si="60"/>
        <v>0</v>
      </c>
      <c r="DX100" s="49"/>
      <c r="DY100" s="49"/>
      <c r="DZ100" s="50">
        <f t="shared" si="61"/>
        <v>0</v>
      </c>
      <c r="EB100" s="49">
        <f t="shared" si="62"/>
        <v>0</v>
      </c>
      <c r="EC100" s="49">
        <f t="shared" si="62"/>
        <v>0</v>
      </c>
      <c r="ED100" s="49">
        <f t="shared" si="62"/>
        <v>0</v>
      </c>
    </row>
    <row r="101" spans="2:134" ht="11" customHeight="1" x14ac:dyDescent="0.35">
      <c r="B101" s="4">
        <v>106621</v>
      </c>
      <c r="C101" s="14" t="s">
        <v>107</v>
      </c>
      <c r="D101" s="4">
        <v>12</v>
      </c>
      <c r="E101" s="5">
        <v>12</v>
      </c>
      <c r="F101" s="6">
        <v>468.865061078</v>
      </c>
      <c r="G101" s="1"/>
      <c r="H101" s="49"/>
      <c r="I101" s="49"/>
      <c r="J101" s="50">
        <f t="shared" si="63"/>
        <v>0</v>
      </c>
      <c r="K101" s="9"/>
      <c r="L101" s="49"/>
      <c r="M101" s="49"/>
      <c r="N101" s="50">
        <f t="shared" si="32"/>
        <v>0</v>
      </c>
      <c r="O101" s="46"/>
      <c r="P101" s="49"/>
      <c r="Q101" s="49"/>
      <c r="R101" s="50">
        <f t="shared" si="33"/>
        <v>0</v>
      </c>
      <c r="T101" s="49"/>
      <c r="U101" s="49"/>
      <c r="V101" s="50">
        <f t="shared" si="34"/>
        <v>0</v>
      </c>
      <c r="X101" s="49"/>
      <c r="Y101" s="49"/>
      <c r="Z101" s="50">
        <f t="shared" si="35"/>
        <v>0</v>
      </c>
      <c r="AB101" s="49"/>
      <c r="AC101" s="49"/>
      <c r="AD101" s="50">
        <f t="shared" si="36"/>
        <v>0</v>
      </c>
      <c r="AF101" s="49"/>
      <c r="AG101" s="49"/>
      <c r="AH101" s="50">
        <f t="shared" si="37"/>
        <v>0</v>
      </c>
      <c r="AJ101" s="49"/>
      <c r="AK101" s="49"/>
      <c r="AL101" s="50">
        <f t="shared" si="38"/>
        <v>0</v>
      </c>
      <c r="AN101" s="49"/>
      <c r="AO101" s="49"/>
      <c r="AP101" s="50">
        <f t="shared" si="39"/>
        <v>0</v>
      </c>
      <c r="AR101" s="49"/>
      <c r="AS101" s="49"/>
      <c r="AT101" s="50">
        <f t="shared" si="40"/>
        <v>0</v>
      </c>
      <c r="AV101" s="49"/>
      <c r="AW101" s="49"/>
      <c r="AX101" s="50">
        <f t="shared" si="41"/>
        <v>0</v>
      </c>
      <c r="AZ101" s="49"/>
      <c r="BA101" s="49"/>
      <c r="BB101" s="50">
        <f t="shared" si="42"/>
        <v>0</v>
      </c>
      <c r="BD101" s="49"/>
      <c r="BE101" s="49"/>
      <c r="BF101" s="50">
        <f t="shared" si="43"/>
        <v>0</v>
      </c>
      <c r="BH101" s="49"/>
      <c r="BI101" s="49"/>
      <c r="BJ101" s="50">
        <f t="shared" si="44"/>
        <v>0</v>
      </c>
      <c r="BL101" s="49"/>
      <c r="BM101" s="49"/>
      <c r="BN101" s="50">
        <f t="shared" si="45"/>
        <v>0</v>
      </c>
      <c r="BP101" s="49"/>
      <c r="BQ101" s="49"/>
      <c r="BR101" s="50">
        <f t="shared" si="46"/>
        <v>0</v>
      </c>
      <c r="BT101" s="49"/>
      <c r="BU101" s="49"/>
      <c r="BV101" s="50">
        <f t="shared" si="47"/>
        <v>0</v>
      </c>
      <c r="BX101" s="49"/>
      <c r="BY101" s="49"/>
      <c r="BZ101" s="50">
        <f t="shared" si="48"/>
        <v>0</v>
      </c>
      <c r="CB101" s="49"/>
      <c r="CC101" s="49"/>
      <c r="CD101" s="50">
        <f t="shared" si="49"/>
        <v>0</v>
      </c>
      <c r="CF101" s="49"/>
      <c r="CG101" s="49"/>
      <c r="CH101" s="50">
        <f t="shared" si="50"/>
        <v>0</v>
      </c>
      <c r="CJ101" s="49"/>
      <c r="CK101" s="49"/>
      <c r="CL101" s="50">
        <f t="shared" si="51"/>
        <v>0</v>
      </c>
      <c r="CN101" s="49"/>
      <c r="CO101" s="49"/>
      <c r="CP101" s="50">
        <f t="shared" si="52"/>
        <v>0</v>
      </c>
      <c r="CR101" s="49"/>
      <c r="CS101" s="49"/>
      <c r="CT101" s="50">
        <f t="shared" si="53"/>
        <v>0</v>
      </c>
      <c r="CV101" s="49"/>
      <c r="CW101" s="49"/>
      <c r="CX101" s="50">
        <f t="shared" si="54"/>
        <v>0</v>
      </c>
      <c r="CZ101" s="49"/>
      <c r="DA101" s="49"/>
      <c r="DB101" s="50">
        <f t="shared" si="55"/>
        <v>0</v>
      </c>
      <c r="DD101" s="49"/>
      <c r="DE101" s="49"/>
      <c r="DF101" s="50">
        <f t="shared" si="56"/>
        <v>0</v>
      </c>
      <c r="DH101" s="49"/>
      <c r="DI101" s="49"/>
      <c r="DJ101" s="50">
        <f t="shared" si="57"/>
        <v>0</v>
      </c>
      <c r="DL101" s="49"/>
      <c r="DM101" s="49"/>
      <c r="DN101" s="50">
        <f t="shared" si="58"/>
        <v>0</v>
      </c>
      <c r="DP101" s="49"/>
      <c r="DQ101" s="49"/>
      <c r="DR101" s="50">
        <f t="shared" si="59"/>
        <v>0</v>
      </c>
      <c r="DT101" s="49"/>
      <c r="DU101" s="49"/>
      <c r="DV101" s="50">
        <f t="shared" si="60"/>
        <v>0</v>
      </c>
      <c r="DX101" s="49"/>
      <c r="DY101" s="49"/>
      <c r="DZ101" s="50">
        <f t="shared" si="61"/>
        <v>0</v>
      </c>
      <c r="EB101" s="49">
        <f t="shared" si="62"/>
        <v>0</v>
      </c>
      <c r="EC101" s="49">
        <f t="shared" si="62"/>
        <v>0</v>
      </c>
      <c r="ED101" s="49">
        <f t="shared" si="62"/>
        <v>0</v>
      </c>
    </row>
    <row r="102" spans="2:134" ht="11" customHeight="1" x14ac:dyDescent="0.35">
      <c r="B102" s="4">
        <v>109016</v>
      </c>
      <c r="C102" s="14" t="s">
        <v>108</v>
      </c>
      <c r="D102" s="4">
        <v>30</v>
      </c>
      <c r="E102" s="5">
        <v>40</v>
      </c>
      <c r="F102" s="6">
        <f>81.08016*2</f>
        <v>162.16032000000001</v>
      </c>
      <c r="G102" s="1"/>
      <c r="H102" s="49"/>
      <c r="I102" s="49"/>
      <c r="J102" s="50">
        <f t="shared" si="63"/>
        <v>0</v>
      </c>
      <c r="K102" s="9"/>
      <c r="L102" s="49"/>
      <c r="M102" s="49"/>
      <c r="N102" s="50">
        <f t="shared" si="32"/>
        <v>0</v>
      </c>
      <c r="O102" s="46"/>
      <c r="P102" s="49"/>
      <c r="Q102" s="49"/>
      <c r="R102" s="50">
        <f t="shared" si="33"/>
        <v>0</v>
      </c>
      <c r="T102" s="49"/>
      <c r="U102" s="49"/>
      <c r="V102" s="50">
        <f t="shared" si="34"/>
        <v>0</v>
      </c>
      <c r="X102" s="49"/>
      <c r="Y102" s="49"/>
      <c r="Z102" s="50">
        <f t="shared" si="35"/>
        <v>0</v>
      </c>
      <c r="AB102" s="49"/>
      <c r="AC102" s="49"/>
      <c r="AD102" s="50">
        <f t="shared" si="36"/>
        <v>0</v>
      </c>
      <c r="AF102" s="49"/>
      <c r="AG102" s="49"/>
      <c r="AH102" s="50">
        <f t="shared" si="37"/>
        <v>0</v>
      </c>
      <c r="AJ102" s="49"/>
      <c r="AK102" s="49"/>
      <c r="AL102" s="50">
        <f t="shared" si="38"/>
        <v>0</v>
      </c>
      <c r="AN102" s="49"/>
      <c r="AO102" s="49"/>
      <c r="AP102" s="50">
        <f t="shared" si="39"/>
        <v>0</v>
      </c>
      <c r="AR102" s="49"/>
      <c r="AS102" s="49"/>
      <c r="AT102" s="50">
        <f t="shared" si="40"/>
        <v>0</v>
      </c>
      <c r="AV102" s="49"/>
      <c r="AW102" s="49"/>
      <c r="AX102" s="50">
        <f t="shared" si="41"/>
        <v>0</v>
      </c>
      <c r="AZ102" s="49"/>
      <c r="BA102" s="49"/>
      <c r="BB102" s="50">
        <f t="shared" si="42"/>
        <v>0</v>
      </c>
      <c r="BD102" s="49"/>
      <c r="BE102" s="49"/>
      <c r="BF102" s="50">
        <f t="shared" si="43"/>
        <v>0</v>
      </c>
      <c r="BH102" s="49"/>
      <c r="BI102" s="49"/>
      <c r="BJ102" s="50">
        <f t="shared" si="44"/>
        <v>0</v>
      </c>
      <c r="BL102" s="49"/>
      <c r="BM102" s="49"/>
      <c r="BN102" s="50">
        <f t="shared" si="45"/>
        <v>0</v>
      </c>
      <c r="BP102" s="49"/>
      <c r="BQ102" s="49"/>
      <c r="BR102" s="50">
        <f t="shared" si="46"/>
        <v>0</v>
      </c>
      <c r="BT102" s="49"/>
      <c r="BU102" s="49"/>
      <c r="BV102" s="50">
        <f t="shared" si="47"/>
        <v>0</v>
      </c>
      <c r="BX102" s="49"/>
      <c r="BY102" s="49"/>
      <c r="BZ102" s="50">
        <f t="shared" si="48"/>
        <v>0</v>
      </c>
      <c r="CB102" s="49"/>
      <c r="CC102" s="49"/>
      <c r="CD102" s="50">
        <f t="shared" si="49"/>
        <v>0</v>
      </c>
      <c r="CF102" s="49"/>
      <c r="CG102" s="49"/>
      <c r="CH102" s="50">
        <f t="shared" si="50"/>
        <v>0</v>
      </c>
      <c r="CJ102" s="49"/>
      <c r="CK102" s="49"/>
      <c r="CL102" s="50">
        <f t="shared" si="51"/>
        <v>0</v>
      </c>
      <c r="CN102" s="49"/>
      <c r="CO102" s="49"/>
      <c r="CP102" s="50">
        <f t="shared" si="52"/>
        <v>0</v>
      </c>
      <c r="CR102" s="49"/>
      <c r="CS102" s="49"/>
      <c r="CT102" s="50">
        <f t="shared" si="53"/>
        <v>0</v>
      </c>
      <c r="CV102" s="49"/>
      <c r="CW102" s="49"/>
      <c r="CX102" s="50">
        <f t="shared" si="54"/>
        <v>0</v>
      </c>
      <c r="CZ102" s="49"/>
      <c r="DA102" s="49"/>
      <c r="DB102" s="50">
        <f t="shared" si="55"/>
        <v>0</v>
      </c>
      <c r="DD102" s="49"/>
      <c r="DE102" s="49"/>
      <c r="DF102" s="50">
        <f t="shared" si="56"/>
        <v>0</v>
      </c>
      <c r="DH102" s="49"/>
      <c r="DI102" s="49"/>
      <c r="DJ102" s="50">
        <f t="shared" si="57"/>
        <v>0</v>
      </c>
      <c r="DL102" s="49"/>
      <c r="DM102" s="49"/>
      <c r="DN102" s="50">
        <f t="shared" si="58"/>
        <v>0</v>
      </c>
      <c r="DP102" s="49"/>
      <c r="DQ102" s="49"/>
      <c r="DR102" s="50">
        <f t="shared" si="59"/>
        <v>0</v>
      </c>
      <c r="DT102" s="49"/>
      <c r="DU102" s="49"/>
      <c r="DV102" s="50">
        <f t="shared" si="60"/>
        <v>0</v>
      </c>
      <c r="DX102" s="49"/>
      <c r="DY102" s="49"/>
      <c r="DZ102" s="50">
        <f t="shared" si="61"/>
        <v>0</v>
      </c>
      <c r="EB102" s="49">
        <f t="shared" si="62"/>
        <v>0</v>
      </c>
      <c r="EC102" s="49">
        <f t="shared" si="62"/>
        <v>0</v>
      </c>
      <c r="ED102" s="49">
        <f t="shared" si="62"/>
        <v>0</v>
      </c>
    </row>
    <row r="103" spans="2:134" ht="11" customHeight="1" x14ac:dyDescent="0.35">
      <c r="B103" s="4">
        <v>101878</v>
      </c>
      <c r="C103" s="14" t="s">
        <v>109</v>
      </c>
      <c r="D103" s="4">
        <v>24</v>
      </c>
      <c r="E103" s="5">
        <v>24</v>
      </c>
      <c r="F103" s="6">
        <v>189.29879107400001</v>
      </c>
      <c r="G103" s="1"/>
      <c r="H103" s="49"/>
      <c r="I103" s="49"/>
      <c r="J103" s="50">
        <f t="shared" si="63"/>
        <v>0</v>
      </c>
      <c r="K103" s="9"/>
      <c r="L103" s="49"/>
      <c r="M103" s="49"/>
      <c r="N103" s="50">
        <f t="shared" si="32"/>
        <v>0</v>
      </c>
      <c r="O103" s="46"/>
      <c r="P103" s="49"/>
      <c r="Q103" s="49"/>
      <c r="R103" s="50">
        <f t="shared" si="33"/>
        <v>0</v>
      </c>
      <c r="T103" s="49"/>
      <c r="U103" s="49"/>
      <c r="V103" s="50">
        <f t="shared" si="34"/>
        <v>0</v>
      </c>
      <c r="X103" s="49"/>
      <c r="Y103" s="49"/>
      <c r="Z103" s="50">
        <f t="shared" si="35"/>
        <v>0</v>
      </c>
      <c r="AB103" s="49"/>
      <c r="AC103" s="49"/>
      <c r="AD103" s="50">
        <f t="shared" si="36"/>
        <v>0</v>
      </c>
      <c r="AF103" s="49"/>
      <c r="AG103" s="49"/>
      <c r="AH103" s="50">
        <f t="shared" si="37"/>
        <v>0</v>
      </c>
      <c r="AJ103" s="49"/>
      <c r="AK103" s="49"/>
      <c r="AL103" s="50">
        <f t="shared" si="38"/>
        <v>0</v>
      </c>
      <c r="AN103" s="49"/>
      <c r="AO103" s="49"/>
      <c r="AP103" s="50">
        <f t="shared" si="39"/>
        <v>0</v>
      </c>
      <c r="AR103" s="49"/>
      <c r="AS103" s="49"/>
      <c r="AT103" s="50">
        <f t="shared" si="40"/>
        <v>0</v>
      </c>
      <c r="AV103" s="49"/>
      <c r="AW103" s="49"/>
      <c r="AX103" s="50">
        <f t="shared" si="41"/>
        <v>0</v>
      </c>
      <c r="AZ103" s="49"/>
      <c r="BA103" s="49"/>
      <c r="BB103" s="50">
        <f t="shared" si="42"/>
        <v>0</v>
      </c>
      <c r="BD103" s="49"/>
      <c r="BE103" s="49"/>
      <c r="BF103" s="50">
        <f t="shared" si="43"/>
        <v>0</v>
      </c>
      <c r="BH103" s="49"/>
      <c r="BI103" s="49"/>
      <c r="BJ103" s="50">
        <f t="shared" si="44"/>
        <v>0</v>
      </c>
      <c r="BL103" s="49"/>
      <c r="BM103" s="49"/>
      <c r="BN103" s="50">
        <f t="shared" si="45"/>
        <v>0</v>
      </c>
      <c r="BP103" s="49"/>
      <c r="BQ103" s="49"/>
      <c r="BR103" s="50">
        <f t="shared" si="46"/>
        <v>0</v>
      </c>
      <c r="BT103" s="49"/>
      <c r="BU103" s="49"/>
      <c r="BV103" s="50">
        <f t="shared" si="47"/>
        <v>0</v>
      </c>
      <c r="BX103" s="49"/>
      <c r="BY103" s="49"/>
      <c r="BZ103" s="50">
        <f t="shared" si="48"/>
        <v>0</v>
      </c>
      <c r="CB103" s="49"/>
      <c r="CC103" s="49"/>
      <c r="CD103" s="50">
        <f t="shared" si="49"/>
        <v>0</v>
      </c>
      <c r="CF103" s="49"/>
      <c r="CG103" s="49"/>
      <c r="CH103" s="50">
        <f t="shared" si="50"/>
        <v>0</v>
      </c>
      <c r="CJ103" s="49"/>
      <c r="CK103" s="49"/>
      <c r="CL103" s="50">
        <f t="shared" si="51"/>
        <v>0</v>
      </c>
      <c r="CN103" s="49"/>
      <c r="CO103" s="49"/>
      <c r="CP103" s="50">
        <f t="shared" si="52"/>
        <v>0</v>
      </c>
      <c r="CR103" s="49"/>
      <c r="CS103" s="49"/>
      <c r="CT103" s="50">
        <f t="shared" si="53"/>
        <v>0</v>
      </c>
      <c r="CV103" s="49"/>
      <c r="CW103" s="49"/>
      <c r="CX103" s="50">
        <f t="shared" si="54"/>
        <v>0</v>
      </c>
      <c r="CZ103" s="49"/>
      <c r="DA103" s="49"/>
      <c r="DB103" s="50">
        <f t="shared" si="55"/>
        <v>0</v>
      </c>
      <c r="DD103" s="49"/>
      <c r="DE103" s="49"/>
      <c r="DF103" s="50">
        <f t="shared" si="56"/>
        <v>0</v>
      </c>
      <c r="DH103" s="49"/>
      <c r="DI103" s="49"/>
      <c r="DJ103" s="50">
        <f t="shared" si="57"/>
        <v>0</v>
      </c>
      <c r="DL103" s="49"/>
      <c r="DM103" s="49"/>
      <c r="DN103" s="50">
        <f t="shared" si="58"/>
        <v>0</v>
      </c>
      <c r="DP103" s="49"/>
      <c r="DQ103" s="49"/>
      <c r="DR103" s="50">
        <f t="shared" si="59"/>
        <v>0</v>
      </c>
      <c r="DT103" s="49"/>
      <c r="DU103" s="49"/>
      <c r="DV103" s="50">
        <f t="shared" si="60"/>
        <v>0</v>
      </c>
      <c r="DX103" s="49"/>
      <c r="DY103" s="49"/>
      <c r="DZ103" s="50">
        <f t="shared" si="61"/>
        <v>0</v>
      </c>
      <c r="EB103" s="49">
        <f t="shared" si="62"/>
        <v>0</v>
      </c>
      <c r="EC103" s="49">
        <f t="shared" si="62"/>
        <v>0</v>
      </c>
      <c r="ED103" s="49">
        <f t="shared" si="62"/>
        <v>0</v>
      </c>
    </row>
    <row r="104" spans="2:134" ht="11" customHeight="1" x14ac:dyDescent="0.35">
      <c r="B104" s="4">
        <v>102932</v>
      </c>
      <c r="C104" s="14" t="s">
        <v>110</v>
      </c>
      <c r="D104" s="4">
        <v>75</v>
      </c>
      <c r="E104" s="5">
        <v>18</v>
      </c>
      <c r="F104" s="6">
        <v>315</v>
      </c>
      <c r="G104" s="1"/>
      <c r="H104" s="49"/>
      <c r="I104" s="49"/>
      <c r="J104" s="50">
        <f t="shared" si="63"/>
        <v>0</v>
      </c>
      <c r="K104" s="9"/>
      <c r="L104" s="49"/>
      <c r="M104" s="49"/>
      <c r="N104" s="50">
        <f t="shared" si="32"/>
        <v>0</v>
      </c>
      <c r="O104" s="46"/>
      <c r="P104" s="49"/>
      <c r="Q104" s="49"/>
      <c r="R104" s="50">
        <f t="shared" si="33"/>
        <v>0</v>
      </c>
      <c r="T104" s="49"/>
      <c r="U104" s="49"/>
      <c r="V104" s="50">
        <f t="shared" si="34"/>
        <v>0</v>
      </c>
      <c r="X104" s="49"/>
      <c r="Y104" s="49"/>
      <c r="Z104" s="50">
        <f t="shared" si="35"/>
        <v>0</v>
      </c>
      <c r="AB104" s="49"/>
      <c r="AC104" s="49"/>
      <c r="AD104" s="50">
        <f t="shared" si="36"/>
        <v>0</v>
      </c>
      <c r="AF104" s="49"/>
      <c r="AG104" s="49"/>
      <c r="AH104" s="50">
        <f t="shared" si="37"/>
        <v>0</v>
      </c>
      <c r="AJ104" s="49"/>
      <c r="AK104" s="49"/>
      <c r="AL104" s="50">
        <f t="shared" si="38"/>
        <v>0</v>
      </c>
      <c r="AN104" s="49"/>
      <c r="AO104" s="49"/>
      <c r="AP104" s="50">
        <f t="shared" si="39"/>
        <v>0</v>
      </c>
      <c r="AR104" s="49"/>
      <c r="AS104" s="49"/>
      <c r="AT104" s="50">
        <f t="shared" si="40"/>
        <v>0</v>
      </c>
      <c r="AV104" s="49"/>
      <c r="AW104" s="49"/>
      <c r="AX104" s="50">
        <f t="shared" si="41"/>
        <v>0</v>
      </c>
      <c r="AZ104" s="49"/>
      <c r="BA104" s="49"/>
      <c r="BB104" s="50">
        <f t="shared" si="42"/>
        <v>0</v>
      </c>
      <c r="BD104" s="49"/>
      <c r="BE104" s="49"/>
      <c r="BF104" s="50">
        <f t="shared" si="43"/>
        <v>0</v>
      </c>
      <c r="BH104" s="49"/>
      <c r="BI104" s="49"/>
      <c r="BJ104" s="50">
        <f t="shared" si="44"/>
        <v>0</v>
      </c>
      <c r="BL104" s="49"/>
      <c r="BM104" s="49"/>
      <c r="BN104" s="50">
        <f t="shared" si="45"/>
        <v>0</v>
      </c>
      <c r="BP104" s="49"/>
      <c r="BQ104" s="49"/>
      <c r="BR104" s="50">
        <f t="shared" si="46"/>
        <v>0</v>
      </c>
      <c r="BT104" s="49"/>
      <c r="BU104" s="49"/>
      <c r="BV104" s="50">
        <f t="shared" si="47"/>
        <v>0</v>
      </c>
      <c r="BX104" s="49"/>
      <c r="BY104" s="49"/>
      <c r="BZ104" s="50">
        <f t="shared" si="48"/>
        <v>0</v>
      </c>
      <c r="CB104" s="49"/>
      <c r="CC104" s="49"/>
      <c r="CD104" s="50">
        <f t="shared" si="49"/>
        <v>0</v>
      </c>
      <c r="CF104" s="49"/>
      <c r="CG104" s="49"/>
      <c r="CH104" s="50">
        <f t="shared" si="50"/>
        <v>0</v>
      </c>
      <c r="CJ104" s="49"/>
      <c r="CK104" s="49"/>
      <c r="CL104" s="50">
        <f t="shared" si="51"/>
        <v>0</v>
      </c>
      <c r="CN104" s="49"/>
      <c r="CO104" s="49"/>
      <c r="CP104" s="50">
        <f t="shared" si="52"/>
        <v>0</v>
      </c>
      <c r="CR104" s="49"/>
      <c r="CS104" s="49"/>
      <c r="CT104" s="50">
        <f t="shared" si="53"/>
        <v>0</v>
      </c>
      <c r="CV104" s="49"/>
      <c r="CW104" s="49"/>
      <c r="CX104" s="50">
        <f t="shared" si="54"/>
        <v>0</v>
      </c>
      <c r="CZ104" s="49"/>
      <c r="DA104" s="49"/>
      <c r="DB104" s="50">
        <f t="shared" si="55"/>
        <v>0</v>
      </c>
      <c r="DD104" s="49"/>
      <c r="DE104" s="49"/>
      <c r="DF104" s="50">
        <f t="shared" si="56"/>
        <v>0</v>
      </c>
      <c r="DH104" s="49"/>
      <c r="DI104" s="49"/>
      <c r="DJ104" s="50">
        <f t="shared" si="57"/>
        <v>0</v>
      </c>
      <c r="DL104" s="49"/>
      <c r="DM104" s="49"/>
      <c r="DN104" s="50">
        <f t="shared" si="58"/>
        <v>0</v>
      </c>
      <c r="DP104" s="49"/>
      <c r="DQ104" s="49"/>
      <c r="DR104" s="50">
        <f t="shared" si="59"/>
        <v>0</v>
      </c>
      <c r="DT104" s="49"/>
      <c r="DU104" s="49"/>
      <c r="DV104" s="50">
        <f t="shared" si="60"/>
        <v>0</v>
      </c>
      <c r="DX104" s="49"/>
      <c r="DY104" s="49"/>
      <c r="DZ104" s="50">
        <f t="shared" si="61"/>
        <v>0</v>
      </c>
      <c r="EB104" s="49">
        <f t="shared" si="62"/>
        <v>0</v>
      </c>
      <c r="EC104" s="49">
        <f t="shared" si="62"/>
        <v>0</v>
      </c>
      <c r="ED104" s="49">
        <f t="shared" si="62"/>
        <v>0</v>
      </c>
    </row>
    <row r="105" spans="2:134" ht="11" customHeight="1" x14ac:dyDescent="0.35">
      <c r="B105" s="4">
        <v>106531</v>
      </c>
      <c r="C105" s="14" t="s">
        <v>111</v>
      </c>
      <c r="D105" s="4">
        <v>36</v>
      </c>
      <c r="E105" s="5">
        <v>18</v>
      </c>
      <c r="F105" s="6">
        <v>189.29879107400001</v>
      </c>
      <c r="G105" s="1"/>
      <c r="H105" s="49"/>
      <c r="I105" s="49"/>
      <c r="J105" s="50">
        <f t="shared" si="63"/>
        <v>0</v>
      </c>
      <c r="K105" s="9"/>
      <c r="L105" s="49"/>
      <c r="M105" s="49"/>
      <c r="N105" s="50">
        <f t="shared" si="32"/>
        <v>0</v>
      </c>
      <c r="O105" s="46"/>
      <c r="P105" s="49"/>
      <c r="Q105" s="49"/>
      <c r="R105" s="50">
        <f t="shared" si="33"/>
        <v>0</v>
      </c>
      <c r="T105" s="49"/>
      <c r="U105" s="49"/>
      <c r="V105" s="50">
        <f t="shared" si="34"/>
        <v>0</v>
      </c>
      <c r="X105" s="49"/>
      <c r="Y105" s="49"/>
      <c r="Z105" s="50">
        <f t="shared" si="35"/>
        <v>0</v>
      </c>
      <c r="AB105" s="49"/>
      <c r="AC105" s="49"/>
      <c r="AD105" s="50">
        <f t="shared" si="36"/>
        <v>0</v>
      </c>
      <c r="AF105" s="49"/>
      <c r="AG105" s="49"/>
      <c r="AH105" s="50">
        <f t="shared" si="37"/>
        <v>0</v>
      </c>
      <c r="AJ105" s="49"/>
      <c r="AK105" s="49"/>
      <c r="AL105" s="50">
        <f t="shared" si="38"/>
        <v>0</v>
      </c>
      <c r="AN105" s="49"/>
      <c r="AO105" s="49"/>
      <c r="AP105" s="50">
        <f t="shared" si="39"/>
        <v>0</v>
      </c>
      <c r="AR105" s="49"/>
      <c r="AS105" s="49"/>
      <c r="AT105" s="50">
        <f t="shared" si="40"/>
        <v>0</v>
      </c>
      <c r="AV105" s="49"/>
      <c r="AW105" s="49"/>
      <c r="AX105" s="50">
        <f t="shared" si="41"/>
        <v>0</v>
      </c>
      <c r="AZ105" s="49"/>
      <c r="BA105" s="49"/>
      <c r="BB105" s="50">
        <f t="shared" si="42"/>
        <v>0</v>
      </c>
      <c r="BD105" s="49"/>
      <c r="BE105" s="49"/>
      <c r="BF105" s="50">
        <f t="shared" si="43"/>
        <v>0</v>
      </c>
      <c r="BH105" s="49"/>
      <c r="BI105" s="49"/>
      <c r="BJ105" s="50">
        <f t="shared" si="44"/>
        <v>0</v>
      </c>
      <c r="BL105" s="49"/>
      <c r="BM105" s="49"/>
      <c r="BN105" s="50">
        <f t="shared" si="45"/>
        <v>0</v>
      </c>
      <c r="BP105" s="49"/>
      <c r="BQ105" s="49"/>
      <c r="BR105" s="50">
        <f t="shared" si="46"/>
        <v>0</v>
      </c>
      <c r="BT105" s="49"/>
      <c r="BU105" s="49"/>
      <c r="BV105" s="50">
        <f t="shared" si="47"/>
        <v>0</v>
      </c>
      <c r="BX105" s="49"/>
      <c r="BY105" s="49"/>
      <c r="BZ105" s="50">
        <f t="shared" si="48"/>
        <v>0</v>
      </c>
      <c r="CB105" s="49"/>
      <c r="CC105" s="49"/>
      <c r="CD105" s="50">
        <f t="shared" si="49"/>
        <v>0</v>
      </c>
      <c r="CF105" s="49"/>
      <c r="CG105" s="49"/>
      <c r="CH105" s="50">
        <f t="shared" si="50"/>
        <v>0</v>
      </c>
      <c r="CJ105" s="49"/>
      <c r="CK105" s="49"/>
      <c r="CL105" s="50">
        <f t="shared" si="51"/>
        <v>0</v>
      </c>
      <c r="CN105" s="49"/>
      <c r="CO105" s="49"/>
      <c r="CP105" s="50">
        <f t="shared" si="52"/>
        <v>0</v>
      </c>
      <c r="CR105" s="49"/>
      <c r="CS105" s="49"/>
      <c r="CT105" s="50">
        <f t="shared" si="53"/>
        <v>0</v>
      </c>
      <c r="CV105" s="49"/>
      <c r="CW105" s="49"/>
      <c r="CX105" s="50">
        <f t="shared" si="54"/>
        <v>0</v>
      </c>
      <c r="CZ105" s="49"/>
      <c r="DA105" s="49"/>
      <c r="DB105" s="50">
        <f t="shared" si="55"/>
        <v>0</v>
      </c>
      <c r="DD105" s="49"/>
      <c r="DE105" s="49"/>
      <c r="DF105" s="50">
        <f t="shared" si="56"/>
        <v>0</v>
      </c>
      <c r="DH105" s="49"/>
      <c r="DI105" s="49"/>
      <c r="DJ105" s="50">
        <f t="shared" si="57"/>
        <v>0</v>
      </c>
      <c r="DL105" s="49"/>
      <c r="DM105" s="49"/>
      <c r="DN105" s="50">
        <f t="shared" si="58"/>
        <v>0</v>
      </c>
      <c r="DP105" s="49"/>
      <c r="DQ105" s="49"/>
      <c r="DR105" s="50">
        <f t="shared" si="59"/>
        <v>0</v>
      </c>
      <c r="DT105" s="49"/>
      <c r="DU105" s="49"/>
      <c r="DV105" s="50">
        <f t="shared" si="60"/>
        <v>0</v>
      </c>
      <c r="DX105" s="49"/>
      <c r="DY105" s="49"/>
      <c r="DZ105" s="50">
        <f t="shared" si="61"/>
        <v>0</v>
      </c>
      <c r="EB105" s="49">
        <f t="shared" si="62"/>
        <v>0</v>
      </c>
      <c r="EC105" s="49">
        <f t="shared" si="62"/>
        <v>0</v>
      </c>
      <c r="ED105" s="49">
        <f t="shared" si="62"/>
        <v>0</v>
      </c>
    </row>
    <row r="106" spans="2:134" ht="11" customHeight="1" x14ac:dyDescent="0.35">
      <c r="B106" s="4">
        <v>109410</v>
      </c>
      <c r="C106" s="14" t="s">
        <v>112</v>
      </c>
      <c r="D106" s="4">
        <v>20</v>
      </c>
      <c r="E106" s="5">
        <v>18</v>
      </c>
      <c r="F106" s="6">
        <v>20.277777</v>
      </c>
      <c r="G106" s="1"/>
      <c r="H106" s="49"/>
      <c r="I106" s="49"/>
      <c r="J106" s="50">
        <f t="shared" si="63"/>
        <v>0</v>
      </c>
      <c r="K106" s="9"/>
      <c r="L106" s="49"/>
      <c r="M106" s="49"/>
      <c r="N106" s="50">
        <f t="shared" si="32"/>
        <v>0</v>
      </c>
      <c r="O106" s="46"/>
      <c r="P106" s="49"/>
      <c r="Q106" s="49"/>
      <c r="R106" s="50">
        <f t="shared" si="33"/>
        <v>0</v>
      </c>
      <c r="T106" s="49"/>
      <c r="U106" s="49"/>
      <c r="V106" s="50">
        <f t="shared" si="34"/>
        <v>0</v>
      </c>
      <c r="X106" s="49"/>
      <c r="Y106" s="49"/>
      <c r="Z106" s="50">
        <f t="shared" si="35"/>
        <v>0</v>
      </c>
      <c r="AB106" s="49"/>
      <c r="AC106" s="49"/>
      <c r="AD106" s="50">
        <f t="shared" si="36"/>
        <v>0</v>
      </c>
      <c r="AF106" s="49"/>
      <c r="AG106" s="49"/>
      <c r="AH106" s="50">
        <f t="shared" si="37"/>
        <v>0</v>
      </c>
      <c r="AJ106" s="49"/>
      <c r="AK106" s="49"/>
      <c r="AL106" s="50">
        <f t="shared" si="38"/>
        <v>0</v>
      </c>
      <c r="AN106" s="49"/>
      <c r="AO106" s="49"/>
      <c r="AP106" s="50">
        <f t="shared" si="39"/>
        <v>0</v>
      </c>
      <c r="AR106" s="49"/>
      <c r="AS106" s="49"/>
      <c r="AT106" s="50">
        <f t="shared" si="40"/>
        <v>0</v>
      </c>
      <c r="AV106" s="49"/>
      <c r="AW106" s="49"/>
      <c r="AX106" s="50">
        <f t="shared" si="41"/>
        <v>0</v>
      </c>
      <c r="AZ106" s="49"/>
      <c r="BA106" s="49"/>
      <c r="BB106" s="50">
        <f t="shared" si="42"/>
        <v>0</v>
      </c>
      <c r="BD106" s="49"/>
      <c r="BE106" s="49"/>
      <c r="BF106" s="50">
        <f t="shared" si="43"/>
        <v>0</v>
      </c>
      <c r="BH106" s="49"/>
      <c r="BI106" s="49"/>
      <c r="BJ106" s="50">
        <f t="shared" si="44"/>
        <v>0</v>
      </c>
      <c r="BL106" s="49"/>
      <c r="BM106" s="49"/>
      <c r="BN106" s="50">
        <f t="shared" si="45"/>
        <v>0</v>
      </c>
      <c r="BP106" s="49"/>
      <c r="BQ106" s="49"/>
      <c r="BR106" s="50">
        <f t="shared" si="46"/>
        <v>0</v>
      </c>
      <c r="BT106" s="49"/>
      <c r="BU106" s="49"/>
      <c r="BV106" s="50">
        <f t="shared" si="47"/>
        <v>0</v>
      </c>
      <c r="BX106" s="49"/>
      <c r="BY106" s="49"/>
      <c r="BZ106" s="50">
        <f t="shared" si="48"/>
        <v>0</v>
      </c>
      <c r="CB106" s="49"/>
      <c r="CC106" s="49"/>
      <c r="CD106" s="50">
        <f t="shared" si="49"/>
        <v>0</v>
      </c>
      <c r="CF106" s="49"/>
      <c r="CG106" s="49"/>
      <c r="CH106" s="50">
        <f t="shared" si="50"/>
        <v>0</v>
      </c>
      <c r="CJ106" s="49"/>
      <c r="CK106" s="49"/>
      <c r="CL106" s="50">
        <f t="shared" si="51"/>
        <v>0</v>
      </c>
      <c r="CN106" s="49"/>
      <c r="CO106" s="49"/>
      <c r="CP106" s="50">
        <f t="shared" si="52"/>
        <v>0</v>
      </c>
      <c r="CR106" s="49"/>
      <c r="CS106" s="49"/>
      <c r="CT106" s="50">
        <f t="shared" si="53"/>
        <v>0</v>
      </c>
      <c r="CV106" s="49"/>
      <c r="CW106" s="49"/>
      <c r="CX106" s="50">
        <f t="shared" si="54"/>
        <v>0</v>
      </c>
      <c r="CZ106" s="49"/>
      <c r="DA106" s="49"/>
      <c r="DB106" s="50">
        <f t="shared" si="55"/>
        <v>0</v>
      </c>
      <c r="DD106" s="49"/>
      <c r="DE106" s="49"/>
      <c r="DF106" s="50">
        <f t="shared" si="56"/>
        <v>0</v>
      </c>
      <c r="DH106" s="49"/>
      <c r="DI106" s="49"/>
      <c r="DJ106" s="50">
        <f t="shared" si="57"/>
        <v>0</v>
      </c>
      <c r="DL106" s="49"/>
      <c r="DM106" s="49"/>
      <c r="DN106" s="50">
        <f t="shared" si="58"/>
        <v>0</v>
      </c>
      <c r="DP106" s="49"/>
      <c r="DQ106" s="49"/>
      <c r="DR106" s="50">
        <f t="shared" si="59"/>
        <v>0</v>
      </c>
      <c r="DT106" s="49"/>
      <c r="DU106" s="49"/>
      <c r="DV106" s="50">
        <f t="shared" si="60"/>
        <v>0</v>
      </c>
      <c r="DX106" s="49"/>
      <c r="DY106" s="49"/>
      <c r="DZ106" s="50">
        <f t="shared" si="61"/>
        <v>0</v>
      </c>
      <c r="EB106" s="49">
        <f t="shared" si="62"/>
        <v>0</v>
      </c>
      <c r="EC106" s="49">
        <f t="shared" si="62"/>
        <v>0</v>
      </c>
      <c r="ED106" s="49">
        <f t="shared" si="62"/>
        <v>0</v>
      </c>
    </row>
    <row r="107" spans="2:134" ht="11" customHeight="1" x14ac:dyDescent="0.35">
      <c r="B107" s="4" t="s">
        <v>113</v>
      </c>
      <c r="C107" s="14" t="s">
        <v>114</v>
      </c>
      <c r="D107" s="4">
        <v>6</v>
      </c>
      <c r="E107" s="5">
        <v>12</v>
      </c>
      <c r="F107" s="6">
        <v>484.75580000000002</v>
      </c>
      <c r="G107" s="1"/>
      <c r="H107" s="49"/>
      <c r="I107" s="49"/>
      <c r="J107" s="50">
        <f t="shared" si="63"/>
        <v>0</v>
      </c>
      <c r="K107" s="9"/>
      <c r="L107" s="49"/>
      <c r="M107" s="49"/>
      <c r="N107" s="50">
        <f t="shared" si="32"/>
        <v>0</v>
      </c>
      <c r="O107" s="46"/>
      <c r="P107" s="49"/>
      <c r="Q107" s="49"/>
      <c r="R107" s="50">
        <f t="shared" si="33"/>
        <v>0</v>
      </c>
      <c r="T107" s="49"/>
      <c r="U107" s="49"/>
      <c r="V107" s="50">
        <f t="shared" si="34"/>
        <v>0</v>
      </c>
      <c r="X107" s="49"/>
      <c r="Y107" s="49"/>
      <c r="Z107" s="50">
        <f t="shared" si="35"/>
        <v>0</v>
      </c>
      <c r="AB107" s="49"/>
      <c r="AC107" s="49"/>
      <c r="AD107" s="50">
        <f t="shared" si="36"/>
        <v>0</v>
      </c>
      <c r="AF107" s="49"/>
      <c r="AG107" s="49"/>
      <c r="AH107" s="50">
        <f t="shared" si="37"/>
        <v>0</v>
      </c>
      <c r="AJ107" s="49"/>
      <c r="AK107" s="49"/>
      <c r="AL107" s="50">
        <f t="shared" si="38"/>
        <v>0</v>
      </c>
      <c r="AN107" s="49"/>
      <c r="AO107" s="49"/>
      <c r="AP107" s="50">
        <f t="shared" si="39"/>
        <v>0</v>
      </c>
      <c r="AR107" s="49"/>
      <c r="AS107" s="49"/>
      <c r="AT107" s="50">
        <f t="shared" si="40"/>
        <v>0</v>
      </c>
      <c r="AV107" s="49"/>
      <c r="AW107" s="49"/>
      <c r="AX107" s="50">
        <f t="shared" si="41"/>
        <v>0</v>
      </c>
      <c r="AZ107" s="49"/>
      <c r="BA107" s="49"/>
      <c r="BB107" s="50">
        <f t="shared" si="42"/>
        <v>0</v>
      </c>
      <c r="BD107" s="49"/>
      <c r="BE107" s="49"/>
      <c r="BF107" s="50">
        <f t="shared" si="43"/>
        <v>0</v>
      </c>
      <c r="BH107" s="49"/>
      <c r="BI107" s="49"/>
      <c r="BJ107" s="50">
        <f t="shared" si="44"/>
        <v>0</v>
      </c>
      <c r="BL107" s="49"/>
      <c r="BM107" s="49"/>
      <c r="BN107" s="50">
        <f t="shared" si="45"/>
        <v>0</v>
      </c>
      <c r="BP107" s="49"/>
      <c r="BQ107" s="49"/>
      <c r="BR107" s="50">
        <f t="shared" si="46"/>
        <v>0</v>
      </c>
      <c r="BT107" s="49"/>
      <c r="BU107" s="49"/>
      <c r="BV107" s="50">
        <f t="shared" si="47"/>
        <v>0</v>
      </c>
      <c r="BX107" s="49"/>
      <c r="BY107" s="49"/>
      <c r="BZ107" s="50">
        <f t="shared" si="48"/>
        <v>0</v>
      </c>
      <c r="CB107" s="49"/>
      <c r="CC107" s="49"/>
      <c r="CD107" s="50">
        <f t="shared" si="49"/>
        <v>0</v>
      </c>
      <c r="CF107" s="49"/>
      <c r="CG107" s="49"/>
      <c r="CH107" s="50">
        <f t="shared" si="50"/>
        <v>0</v>
      </c>
      <c r="CJ107" s="49"/>
      <c r="CK107" s="49"/>
      <c r="CL107" s="50">
        <f t="shared" si="51"/>
        <v>0</v>
      </c>
      <c r="CN107" s="49"/>
      <c r="CO107" s="49"/>
      <c r="CP107" s="50">
        <f t="shared" si="52"/>
        <v>0</v>
      </c>
      <c r="CR107" s="49"/>
      <c r="CS107" s="49"/>
      <c r="CT107" s="50">
        <f t="shared" si="53"/>
        <v>0</v>
      </c>
      <c r="CV107" s="49"/>
      <c r="CW107" s="49"/>
      <c r="CX107" s="50">
        <f t="shared" si="54"/>
        <v>0</v>
      </c>
      <c r="CZ107" s="49"/>
      <c r="DA107" s="49"/>
      <c r="DB107" s="50">
        <f t="shared" si="55"/>
        <v>0</v>
      </c>
      <c r="DD107" s="49"/>
      <c r="DE107" s="49"/>
      <c r="DF107" s="50">
        <f t="shared" si="56"/>
        <v>0</v>
      </c>
      <c r="DH107" s="49"/>
      <c r="DI107" s="49"/>
      <c r="DJ107" s="50">
        <f t="shared" si="57"/>
        <v>0</v>
      </c>
      <c r="DL107" s="49"/>
      <c r="DM107" s="49"/>
      <c r="DN107" s="50">
        <f t="shared" si="58"/>
        <v>0</v>
      </c>
      <c r="DP107" s="49"/>
      <c r="DQ107" s="49"/>
      <c r="DR107" s="50">
        <f t="shared" si="59"/>
        <v>0</v>
      </c>
      <c r="DT107" s="49"/>
      <c r="DU107" s="49"/>
      <c r="DV107" s="50">
        <f t="shared" si="60"/>
        <v>0</v>
      </c>
      <c r="DX107" s="49"/>
      <c r="DY107" s="49"/>
      <c r="DZ107" s="50">
        <f t="shared" si="61"/>
        <v>0</v>
      </c>
      <c r="EB107" s="49">
        <f t="shared" si="62"/>
        <v>0</v>
      </c>
      <c r="EC107" s="49">
        <f t="shared" si="62"/>
        <v>0</v>
      </c>
      <c r="ED107" s="49">
        <f t="shared" si="62"/>
        <v>0</v>
      </c>
    </row>
    <row r="108" spans="2:134" ht="11" customHeight="1" x14ac:dyDescent="0.35">
      <c r="B108" s="4">
        <v>0</v>
      </c>
      <c r="C108" s="14" t="s">
        <v>115</v>
      </c>
      <c r="D108" s="4">
        <v>50</v>
      </c>
      <c r="E108" s="5">
        <v>18</v>
      </c>
      <c r="F108" s="6">
        <v>198.24524392000001</v>
      </c>
      <c r="G108" s="1"/>
      <c r="H108" s="49"/>
      <c r="I108" s="49"/>
      <c r="J108" s="50">
        <f t="shared" si="63"/>
        <v>0</v>
      </c>
      <c r="K108" s="9"/>
      <c r="L108" s="49"/>
      <c r="M108" s="49"/>
      <c r="N108" s="50">
        <f t="shared" si="32"/>
        <v>0</v>
      </c>
      <c r="O108" s="46"/>
      <c r="P108" s="49"/>
      <c r="Q108" s="49"/>
      <c r="R108" s="50">
        <f t="shared" si="33"/>
        <v>0</v>
      </c>
      <c r="T108" s="49"/>
      <c r="U108" s="49"/>
      <c r="V108" s="50">
        <f t="shared" si="34"/>
        <v>0</v>
      </c>
      <c r="X108" s="49"/>
      <c r="Y108" s="49"/>
      <c r="Z108" s="50">
        <f t="shared" si="35"/>
        <v>0</v>
      </c>
      <c r="AB108" s="49"/>
      <c r="AC108" s="49"/>
      <c r="AD108" s="50">
        <f t="shared" si="36"/>
        <v>0</v>
      </c>
      <c r="AF108" s="49"/>
      <c r="AG108" s="49"/>
      <c r="AH108" s="50">
        <f t="shared" si="37"/>
        <v>0</v>
      </c>
      <c r="AJ108" s="49"/>
      <c r="AK108" s="49"/>
      <c r="AL108" s="50">
        <f t="shared" si="38"/>
        <v>0</v>
      </c>
      <c r="AN108" s="49"/>
      <c r="AO108" s="49"/>
      <c r="AP108" s="50">
        <f t="shared" si="39"/>
        <v>0</v>
      </c>
      <c r="AR108" s="49"/>
      <c r="AS108" s="49"/>
      <c r="AT108" s="50">
        <f t="shared" si="40"/>
        <v>0</v>
      </c>
      <c r="AV108" s="49"/>
      <c r="AW108" s="49"/>
      <c r="AX108" s="50">
        <f t="shared" si="41"/>
        <v>0</v>
      </c>
      <c r="AZ108" s="49"/>
      <c r="BA108" s="49"/>
      <c r="BB108" s="50">
        <f t="shared" si="42"/>
        <v>0</v>
      </c>
      <c r="BD108" s="49"/>
      <c r="BE108" s="49"/>
      <c r="BF108" s="50">
        <f t="shared" si="43"/>
        <v>0</v>
      </c>
      <c r="BH108" s="49"/>
      <c r="BI108" s="49"/>
      <c r="BJ108" s="50">
        <f t="shared" si="44"/>
        <v>0</v>
      </c>
      <c r="BL108" s="49"/>
      <c r="BM108" s="49"/>
      <c r="BN108" s="50">
        <f t="shared" si="45"/>
        <v>0</v>
      </c>
      <c r="BP108" s="49"/>
      <c r="BQ108" s="49"/>
      <c r="BR108" s="50">
        <f t="shared" si="46"/>
        <v>0</v>
      </c>
      <c r="BT108" s="49"/>
      <c r="BU108" s="49"/>
      <c r="BV108" s="50">
        <f t="shared" si="47"/>
        <v>0</v>
      </c>
      <c r="BX108" s="49"/>
      <c r="BY108" s="49"/>
      <c r="BZ108" s="50">
        <f t="shared" si="48"/>
        <v>0</v>
      </c>
      <c r="CB108" s="49"/>
      <c r="CC108" s="49"/>
      <c r="CD108" s="50">
        <f t="shared" si="49"/>
        <v>0</v>
      </c>
      <c r="CF108" s="49"/>
      <c r="CG108" s="49"/>
      <c r="CH108" s="50">
        <f t="shared" si="50"/>
        <v>0</v>
      </c>
      <c r="CJ108" s="49"/>
      <c r="CK108" s="49"/>
      <c r="CL108" s="50">
        <f t="shared" si="51"/>
        <v>0</v>
      </c>
      <c r="CN108" s="49"/>
      <c r="CO108" s="49"/>
      <c r="CP108" s="50">
        <f t="shared" si="52"/>
        <v>0</v>
      </c>
      <c r="CR108" s="49"/>
      <c r="CS108" s="49"/>
      <c r="CT108" s="50">
        <f t="shared" si="53"/>
        <v>0</v>
      </c>
      <c r="CV108" s="49"/>
      <c r="CW108" s="49"/>
      <c r="CX108" s="50">
        <f t="shared" si="54"/>
        <v>0</v>
      </c>
      <c r="CZ108" s="49"/>
      <c r="DA108" s="49"/>
      <c r="DB108" s="50">
        <f t="shared" si="55"/>
        <v>0</v>
      </c>
      <c r="DD108" s="49"/>
      <c r="DE108" s="49"/>
      <c r="DF108" s="50">
        <f t="shared" si="56"/>
        <v>0</v>
      </c>
      <c r="DH108" s="49"/>
      <c r="DI108" s="49"/>
      <c r="DJ108" s="50">
        <f t="shared" si="57"/>
        <v>0</v>
      </c>
      <c r="DL108" s="49"/>
      <c r="DM108" s="49"/>
      <c r="DN108" s="50">
        <f t="shared" si="58"/>
        <v>0</v>
      </c>
      <c r="DP108" s="49"/>
      <c r="DQ108" s="49"/>
      <c r="DR108" s="50">
        <f t="shared" si="59"/>
        <v>0</v>
      </c>
      <c r="DT108" s="49"/>
      <c r="DU108" s="49"/>
      <c r="DV108" s="50">
        <f t="shared" si="60"/>
        <v>0</v>
      </c>
      <c r="DX108" s="49"/>
      <c r="DY108" s="49"/>
      <c r="DZ108" s="50">
        <f t="shared" si="61"/>
        <v>0</v>
      </c>
      <c r="EB108" s="49">
        <f t="shared" si="62"/>
        <v>0</v>
      </c>
      <c r="EC108" s="49">
        <f t="shared" si="62"/>
        <v>0</v>
      </c>
      <c r="ED108" s="49">
        <f t="shared" si="62"/>
        <v>0</v>
      </c>
    </row>
    <row r="109" spans="2:134" ht="11" customHeight="1" x14ac:dyDescent="0.35">
      <c r="B109" s="15"/>
      <c r="C109" s="1"/>
      <c r="D109" s="1"/>
      <c r="E109" s="1"/>
      <c r="F109" s="1"/>
      <c r="G109" s="1"/>
      <c r="H109" s="1">
        <f>SUM(H4:H108)</f>
        <v>0</v>
      </c>
      <c r="I109" s="1">
        <f>SUM(I4:I108)</f>
        <v>0</v>
      </c>
      <c r="J109" s="1">
        <f>SUM(J4:J108)</f>
        <v>0</v>
      </c>
      <c r="K109" s="1"/>
      <c r="L109" s="1">
        <f>SUM(L4:L108)</f>
        <v>0</v>
      </c>
      <c r="M109" s="1">
        <f>SUM(M4:M108)</f>
        <v>0</v>
      </c>
      <c r="N109" s="1">
        <f>SUM(N4:N108)</f>
        <v>0</v>
      </c>
      <c r="O109" s="47"/>
      <c r="P109" s="1">
        <f>SUM(P4:P108)</f>
        <v>0</v>
      </c>
      <c r="Q109" s="1">
        <f>SUM(Q4:Q108)</f>
        <v>0</v>
      </c>
      <c r="R109" s="1">
        <f>SUM(R4:R108)</f>
        <v>0</v>
      </c>
      <c r="T109" s="1">
        <f>SUM(T4:T108)</f>
        <v>0</v>
      </c>
      <c r="U109" s="1">
        <f>SUM(U4:U108)</f>
        <v>0</v>
      </c>
      <c r="V109" s="1">
        <f>SUM(V4:V108)</f>
        <v>0</v>
      </c>
      <c r="X109" s="1">
        <f>SUM(X4:X108)</f>
        <v>0</v>
      </c>
      <c r="Y109" s="1">
        <f>SUM(Y4:Y108)</f>
        <v>0</v>
      </c>
      <c r="Z109" s="1">
        <f>SUM(Z4:Z108)</f>
        <v>0</v>
      </c>
      <c r="AB109" s="1">
        <f>SUM(AB4:AB108)</f>
        <v>0</v>
      </c>
      <c r="AC109" s="1">
        <f>SUM(AC4:AC108)</f>
        <v>0</v>
      </c>
      <c r="AD109" s="1">
        <f>SUM(AD4:AD108)</f>
        <v>0</v>
      </c>
      <c r="AF109" s="1">
        <f>SUM(AF4:AF108)</f>
        <v>0</v>
      </c>
      <c r="AG109" s="1">
        <f>SUM(AG4:AG108)</f>
        <v>0</v>
      </c>
      <c r="AH109" s="1">
        <f>SUM(AH4:AH108)</f>
        <v>0</v>
      </c>
      <c r="AJ109" s="1">
        <f>SUM(AJ4:AJ108)</f>
        <v>0</v>
      </c>
      <c r="AK109" s="1">
        <f>SUM(AK4:AK108)</f>
        <v>0</v>
      </c>
      <c r="AL109" s="1">
        <f>SUM(AL4:AL108)</f>
        <v>0</v>
      </c>
      <c r="AN109" s="1">
        <f>SUM(AN4:AN108)</f>
        <v>0</v>
      </c>
      <c r="AO109" s="1">
        <f>SUM(AO4:AO108)</f>
        <v>0</v>
      </c>
      <c r="AP109" s="1">
        <f>SUM(AP4:AP108)</f>
        <v>0</v>
      </c>
      <c r="AR109" s="1">
        <f>SUM(AR4:AR108)</f>
        <v>0</v>
      </c>
      <c r="AS109" s="1">
        <f>SUM(AS4:AS108)</f>
        <v>0</v>
      </c>
      <c r="AT109" s="1">
        <f>SUM(AT4:AT108)</f>
        <v>0</v>
      </c>
      <c r="AV109" s="1">
        <f>SUM(AV4:AV108)</f>
        <v>0</v>
      </c>
      <c r="AW109" s="1">
        <f>SUM(AW4:AW108)</f>
        <v>0</v>
      </c>
      <c r="AX109" s="1">
        <f>SUM(AX4:AX108)</f>
        <v>0</v>
      </c>
      <c r="AZ109" s="1">
        <f>SUM(AZ4:AZ108)</f>
        <v>0</v>
      </c>
      <c r="BA109" s="1">
        <f>SUM(BA4:BA108)</f>
        <v>0</v>
      </c>
      <c r="BB109" s="1">
        <f>SUM(BB4:BB108)</f>
        <v>0</v>
      </c>
      <c r="BD109" s="1">
        <f>SUM(BD4:BD108)</f>
        <v>0</v>
      </c>
      <c r="BE109" s="1">
        <f>SUM(BE4:BE108)</f>
        <v>0</v>
      </c>
      <c r="BF109" s="1">
        <f>SUM(BF4:BF108)</f>
        <v>0</v>
      </c>
      <c r="BH109" s="1">
        <f>SUM(BH4:BH108)</f>
        <v>0</v>
      </c>
      <c r="BI109" s="1">
        <f>SUM(BI4:BI108)</f>
        <v>0</v>
      </c>
      <c r="BJ109" s="1">
        <f>SUM(BJ4:BJ108)</f>
        <v>0</v>
      </c>
      <c r="BL109" s="1">
        <f>SUM(BL4:BL108)</f>
        <v>0</v>
      </c>
      <c r="BM109" s="1">
        <f>SUM(BM4:BM108)</f>
        <v>0</v>
      </c>
      <c r="BN109" s="1">
        <f>SUM(BN4:BN108)</f>
        <v>0</v>
      </c>
      <c r="BP109" s="1">
        <f>SUM(BP4:BP108)</f>
        <v>0</v>
      </c>
      <c r="BQ109" s="1">
        <f>SUM(BQ4:BQ108)</f>
        <v>0</v>
      </c>
      <c r="BR109" s="1">
        <f>SUM(BR4:BR108)</f>
        <v>0</v>
      </c>
      <c r="BT109" s="1">
        <f>SUM(BT4:BT108)</f>
        <v>0</v>
      </c>
      <c r="BU109" s="1">
        <f>SUM(BU4:BU108)</f>
        <v>0</v>
      </c>
      <c r="BV109" s="1">
        <f>SUM(BV4:BV108)</f>
        <v>0</v>
      </c>
      <c r="BX109" s="1">
        <f>SUM(BX4:BX108)</f>
        <v>0</v>
      </c>
      <c r="BY109" s="1">
        <f>SUM(BY4:BY108)</f>
        <v>0</v>
      </c>
      <c r="BZ109" s="1">
        <f>SUM(BZ4:BZ108)</f>
        <v>0</v>
      </c>
      <c r="CB109" s="1">
        <f>SUM(CB4:CB108)</f>
        <v>0</v>
      </c>
      <c r="CC109" s="1">
        <f>SUM(CC4:CC108)</f>
        <v>0</v>
      </c>
      <c r="CD109" s="1">
        <f>SUM(CD4:CD108)</f>
        <v>0</v>
      </c>
      <c r="CF109" s="1">
        <f>SUM(CF4:CF108)</f>
        <v>0</v>
      </c>
      <c r="CG109" s="1">
        <f>SUM(CG4:CG108)</f>
        <v>0</v>
      </c>
      <c r="CH109" s="1">
        <f>SUM(CH4:CH108)</f>
        <v>0</v>
      </c>
      <c r="CJ109" s="1">
        <f>SUM(CJ4:CJ108)</f>
        <v>0</v>
      </c>
      <c r="CK109" s="1">
        <f>SUM(CK4:CK108)</f>
        <v>0</v>
      </c>
      <c r="CL109" s="1">
        <f>SUM(CL4:CL108)</f>
        <v>0</v>
      </c>
      <c r="CN109" s="1">
        <f t="shared" ref="CN109:CP109" si="64">SUM(CN4:CN108)</f>
        <v>0</v>
      </c>
      <c r="CO109" s="1">
        <f t="shared" si="64"/>
        <v>0</v>
      </c>
      <c r="CP109" s="1">
        <f t="shared" si="64"/>
        <v>0</v>
      </c>
      <c r="CR109" s="1">
        <f t="shared" ref="CR109:CT109" si="65">SUM(CR4:CR108)</f>
        <v>0</v>
      </c>
      <c r="CS109" s="1">
        <f t="shared" si="65"/>
        <v>0</v>
      </c>
      <c r="CT109" s="1">
        <f t="shared" si="65"/>
        <v>0</v>
      </c>
      <c r="CV109" s="1">
        <f t="shared" ref="CV109:CX109" si="66">SUM(CV4:CV108)</f>
        <v>0</v>
      </c>
      <c r="CW109" s="1">
        <f t="shared" si="66"/>
        <v>0</v>
      </c>
      <c r="CX109" s="1">
        <f t="shared" si="66"/>
        <v>0</v>
      </c>
      <c r="CZ109" s="1">
        <f t="shared" ref="CZ109:DB109" si="67">SUM(CZ4:CZ108)</f>
        <v>0</v>
      </c>
      <c r="DA109" s="1">
        <f t="shared" si="67"/>
        <v>0</v>
      </c>
      <c r="DB109" s="1">
        <f t="shared" si="67"/>
        <v>0</v>
      </c>
      <c r="DD109" s="1">
        <f t="shared" ref="DD109:DF109" si="68">SUM(DD4:DD108)</f>
        <v>0</v>
      </c>
      <c r="DE109" s="1">
        <f t="shared" si="68"/>
        <v>0</v>
      </c>
      <c r="DF109" s="1">
        <f t="shared" si="68"/>
        <v>0</v>
      </c>
      <c r="DH109" s="1">
        <f t="shared" ref="DH109:DJ109" si="69">SUM(DH4:DH108)</f>
        <v>0</v>
      </c>
      <c r="DI109" s="1">
        <f t="shared" si="69"/>
        <v>0</v>
      </c>
      <c r="DJ109" s="1">
        <f t="shared" si="69"/>
        <v>0</v>
      </c>
      <c r="DL109" s="1">
        <f t="shared" ref="DL109:DN109" si="70">SUM(DL4:DL108)</f>
        <v>0</v>
      </c>
      <c r="DM109" s="1">
        <f t="shared" si="70"/>
        <v>0</v>
      </c>
      <c r="DN109" s="1">
        <f t="shared" si="70"/>
        <v>0</v>
      </c>
      <c r="DP109" s="1">
        <f t="shared" ref="DP109:DR109" si="71">SUM(DP4:DP108)</f>
        <v>0</v>
      </c>
      <c r="DQ109" s="1">
        <f t="shared" si="71"/>
        <v>0</v>
      </c>
      <c r="DR109" s="1">
        <f t="shared" si="71"/>
        <v>0</v>
      </c>
      <c r="DT109" s="1">
        <f t="shared" ref="DT109:DV109" si="72">SUM(DT4:DT108)</f>
        <v>0</v>
      </c>
      <c r="DU109" s="1">
        <f t="shared" si="72"/>
        <v>0</v>
      </c>
      <c r="DV109" s="1">
        <f t="shared" si="72"/>
        <v>0</v>
      </c>
      <c r="DX109" s="1">
        <f t="shared" ref="DX109:DZ109" si="73">SUM(DX4:DX108)</f>
        <v>0</v>
      </c>
      <c r="DY109" s="1">
        <f t="shared" si="73"/>
        <v>0</v>
      </c>
      <c r="DZ109" s="1">
        <f t="shared" si="73"/>
        <v>0</v>
      </c>
      <c r="EB109" s="1">
        <f t="shared" ref="EB109:ED109" si="74">SUM(EB4:EB108)</f>
        <v>0</v>
      </c>
      <c r="EC109" s="1">
        <f t="shared" si="74"/>
        <v>0</v>
      </c>
      <c r="ED109" s="1">
        <f t="shared" si="74"/>
        <v>0</v>
      </c>
    </row>
    <row r="110" spans="2:134" x14ac:dyDescent="0.35">
      <c r="L110" s="48"/>
      <c r="M110" s="48"/>
      <c r="N110" s="48"/>
      <c r="O110" s="48"/>
    </row>
  </sheetData>
  <conditionalFormatting sqref="B4:B79 B109">
    <cfRule type="duplicateValues" dxfId="19" priority="5"/>
  </conditionalFormatting>
  <conditionalFormatting sqref="B4:B108">
    <cfRule type="duplicateValues" dxfId="18" priority="1"/>
    <cfRule type="duplicateValues" dxfId="17" priority="2"/>
  </conditionalFormatting>
  <conditionalFormatting sqref="B80:B84">
    <cfRule type="duplicateValues" dxfId="16" priority="4"/>
  </conditionalFormatting>
  <conditionalFormatting sqref="B85:B108">
    <cfRule type="duplicateValues" dxfId="1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A7E6-AE33-4AEA-B0AD-F6923F4FD9BA}">
  <dimension ref="B2:ED110"/>
  <sheetViews>
    <sheetView workbookViewId="0">
      <pane xSplit="5" ySplit="3" topLeftCell="DU4" activePane="bottomRight" state="frozen"/>
      <selection pane="topRight" activeCell="F1" sqref="F1"/>
      <selection pane="bottomLeft" activeCell="A4" sqref="A4"/>
      <selection pane="bottomRight" activeCell="DV4" sqref="DV4"/>
    </sheetView>
  </sheetViews>
  <sheetFormatPr defaultRowHeight="14.5" x14ac:dyDescent="0.35"/>
  <cols>
    <col min="3" max="3" width="38.81640625" customWidth="1"/>
    <col min="7" max="7" width="2.90625" customWidth="1"/>
    <col min="11" max="11" width="3.26953125" customWidth="1"/>
    <col min="15" max="15" width="3.26953125" customWidth="1"/>
    <col min="19" max="19" width="3.26953125" customWidth="1"/>
    <col min="23" max="23" width="3.26953125" customWidth="1"/>
    <col min="27" max="27" width="3.26953125" customWidth="1"/>
    <col min="31" max="31" width="3.26953125" customWidth="1"/>
    <col min="35" max="35" width="3.26953125" customWidth="1"/>
    <col min="39" max="39" width="3.26953125" customWidth="1"/>
    <col min="43" max="43" width="3.26953125" customWidth="1"/>
    <col min="47" max="47" width="3.26953125" customWidth="1"/>
    <col min="51" max="51" width="3.26953125" customWidth="1"/>
    <col min="55" max="55" width="3.26953125" customWidth="1"/>
    <col min="59" max="59" width="3.26953125" customWidth="1"/>
    <col min="63" max="63" width="3.26953125" customWidth="1"/>
    <col min="67" max="67" width="3.26953125" customWidth="1"/>
    <col min="71" max="71" width="3.26953125" customWidth="1"/>
    <col min="75" max="75" width="3.26953125" customWidth="1"/>
    <col min="79" max="79" width="3.26953125" customWidth="1"/>
    <col min="83" max="83" width="3.26953125" customWidth="1"/>
    <col min="87" max="87" width="3.26953125" customWidth="1"/>
    <col min="91" max="91" width="3.26953125" customWidth="1"/>
    <col min="95" max="95" width="3.26953125" customWidth="1"/>
    <col min="99" max="99" width="3.26953125" customWidth="1"/>
    <col min="103" max="103" width="3.26953125" customWidth="1"/>
    <col min="107" max="107" width="3.26953125" customWidth="1"/>
    <col min="111" max="111" width="3.26953125" customWidth="1"/>
    <col min="115" max="115" width="3.26953125" customWidth="1"/>
    <col min="119" max="119" width="3.26953125" customWidth="1"/>
    <col min="123" max="123" width="3.26953125" customWidth="1"/>
    <col min="127" max="127" width="3.26953125" customWidth="1"/>
    <col min="131" max="131" width="3.26953125" customWidth="1"/>
  </cols>
  <sheetData>
    <row r="2" spans="2:134" x14ac:dyDescent="0.35">
      <c r="B2" s="1"/>
      <c r="C2" s="1"/>
      <c r="D2" s="1"/>
      <c r="E2" s="1"/>
      <c r="F2" s="1"/>
      <c r="G2" s="1"/>
      <c r="H2" s="1" t="s">
        <v>123</v>
      </c>
      <c r="I2" s="1"/>
      <c r="J2" s="1"/>
      <c r="K2" s="1"/>
      <c r="L2" s="1" t="s">
        <v>124</v>
      </c>
      <c r="M2" s="1"/>
      <c r="N2" s="1"/>
      <c r="O2" s="51"/>
      <c r="P2" s="1" t="s">
        <v>125</v>
      </c>
      <c r="Q2" s="1"/>
      <c r="R2" s="1"/>
      <c r="T2" s="1" t="s">
        <v>126</v>
      </c>
      <c r="U2" s="1"/>
      <c r="V2" s="1"/>
      <c r="X2" s="1" t="s">
        <v>127</v>
      </c>
      <c r="Y2" s="1"/>
      <c r="Z2" s="1"/>
      <c r="AB2" s="1" t="s">
        <v>128</v>
      </c>
      <c r="AC2" s="1"/>
      <c r="AD2" s="1"/>
      <c r="AF2" s="1" t="s">
        <v>129</v>
      </c>
      <c r="AG2" s="1"/>
      <c r="AH2" s="1"/>
      <c r="AJ2" s="1" t="s">
        <v>130</v>
      </c>
      <c r="AK2" s="1"/>
      <c r="AL2" s="1"/>
      <c r="AN2" s="1" t="s">
        <v>131</v>
      </c>
      <c r="AO2" s="1"/>
      <c r="AP2" s="1"/>
      <c r="AR2" s="1" t="s">
        <v>132</v>
      </c>
      <c r="AS2" s="1"/>
      <c r="AT2" s="1"/>
      <c r="AV2" s="1" t="s">
        <v>133</v>
      </c>
      <c r="AW2" s="1"/>
      <c r="AX2" s="1"/>
      <c r="AZ2" s="1" t="s">
        <v>134</v>
      </c>
      <c r="BA2" s="1"/>
      <c r="BB2" s="1"/>
      <c r="BD2" s="1" t="s">
        <v>135</v>
      </c>
      <c r="BE2" s="1"/>
      <c r="BF2" s="1"/>
      <c r="BH2" s="1" t="s">
        <v>136</v>
      </c>
      <c r="BI2" s="1"/>
      <c r="BJ2" s="1"/>
      <c r="BL2" s="1" t="s">
        <v>137</v>
      </c>
      <c r="BM2" s="1"/>
      <c r="BN2" s="1"/>
      <c r="BP2" s="1" t="s">
        <v>138</v>
      </c>
      <c r="BQ2" s="1"/>
      <c r="BR2" s="1"/>
      <c r="BT2" s="1" t="s">
        <v>139</v>
      </c>
      <c r="BU2" s="1"/>
      <c r="BV2" s="1"/>
      <c r="BX2" s="1" t="s">
        <v>141</v>
      </c>
      <c r="BY2" s="1"/>
      <c r="BZ2" s="1"/>
      <c r="CB2" s="1" t="s">
        <v>142</v>
      </c>
      <c r="CC2" s="1"/>
      <c r="CD2" s="1"/>
      <c r="CF2" s="1" t="s">
        <v>143</v>
      </c>
      <c r="CG2" s="1"/>
      <c r="CH2" s="1"/>
      <c r="CJ2" s="1" t="s">
        <v>144</v>
      </c>
      <c r="CK2" s="1"/>
      <c r="CL2" s="1"/>
      <c r="CN2" s="1" t="s">
        <v>154</v>
      </c>
      <c r="CO2" s="1"/>
      <c r="CP2" s="1"/>
      <c r="CR2" s="1" t="s">
        <v>153</v>
      </c>
      <c r="CS2" s="1"/>
      <c r="CT2" s="1"/>
      <c r="CV2" s="1" t="s">
        <v>152</v>
      </c>
      <c r="CW2" s="1"/>
      <c r="CX2" s="1"/>
      <c r="CZ2" s="1" t="s">
        <v>151</v>
      </c>
      <c r="DA2" s="1"/>
      <c r="DB2" s="1"/>
      <c r="DD2" s="1" t="s">
        <v>150</v>
      </c>
      <c r="DE2" s="1"/>
      <c r="DF2" s="1"/>
      <c r="DH2" s="1" t="s">
        <v>149</v>
      </c>
      <c r="DI2" s="1"/>
      <c r="DJ2" s="1"/>
      <c r="DL2" s="1" t="s">
        <v>148</v>
      </c>
      <c r="DM2" s="1"/>
      <c r="DN2" s="1"/>
      <c r="DP2" s="1" t="s">
        <v>147</v>
      </c>
      <c r="DQ2" s="1"/>
      <c r="DR2" s="1"/>
      <c r="DT2" s="1" t="s">
        <v>146</v>
      </c>
      <c r="DU2" s="1"/>
      <c r="DV2" s="1"/>
      <c r="DX2" s="1" t="s">
        <v>145</v>
      </c>
      <c r="DY2" s="1"/>
      <c r="DZ2" s="1"/>
      <c r="EB2" s="1" t="s">
        <v>116</v>
      </c>
      <c r="EC2" s="1"/>
      <c r="ED2" s="1"/>
    </row>
    <row r="3" spans="2:134" ht="16" customHeight="1" x14ac:dyDescent="0.35">
      <c r="B3" s="20" t="s">
        <v>0</v>
      </c>
      <c r="C3" s="20" t="s">
        <v>1</v>
      </c>
      <c r="D3" s="20" t="s">
        <v>2</v>
      </c>
      <c r="E3" s="20" t="s">
        <v>2</v>
      </c>
      <c r="F3" s="20" t="s">
        <v>3</v>
      </c>
      <c r="G3" s="1"/>
      <c r="H3" s="2" t="s">
        <v>4</v>
      </c>
      <c r="I3" s="2" t="s">
        <v>5</v>
      </c>
      <c r="J3" s="2" t="s">
        <v>140</v>
      </c>
      <c r="K3" s="1"/>
      <c r="L3" s="2" t="s">
        <v>4</v>
      </c>
      <c r="M3" s="2" t="s">
        <v>5</v>
      </c>
      <c r="N3" s="2" t="s">
        <v>140</v>
      </c>
      <c r="O3" s="45"/>
      <c r="P3" s="2" t="s">
        <v>4</v>
      </c>
      <c r="Q3" s="2" t="s">
        <v>5</v>
      </c>
      <c r="R3" s="2" t="s">
        <v>140</v>
      </c>
      <c r="T3" s="2" t="s">
        <v>4</v>
      </c>
      <c r="U3" s="2" t="s">
        <v>5</v>
      </c>
      <c r="V3" s="2" t="s">
        <v>140</v>
      </c>
      <c r="X3" s="2" t="s">
        <v>4</v>
      </c>
      <c r="Y3" s="2" t="s">
        <v>5</v>
      </c>
      <c r="Z3" s="2" t="s">
        <v>140</v>
      </c>
      <c r="AB3" s="2" t="s">
        <v>4</v>
      </c>
      <c r="AC3" s="2" t="s">
        <v>5</v>
      </c>
      <c r="AD3" s="2" t="s">
        <v>140</v>
      </c>
      <c r="AF3" s="2" t="s">
        <v>4</v>
      </c>
      <c r="AG3" s="2" t="s">
        <v>5</v>
      </c>
      <c r="AH3" s="2" t="s">
        <v>140</v>
      </c>
      <c r="AJ3" s="2" t="s">
        <v>4</v>
      </c>
      <c r="AK3" s="2" t="s">
        <v>5</v>
      </c>
      <c r="AL3" s="2" t="s">
        <v>140</v>
      </c>
      <c r="AN3" s="2" t="s">
        <v>4</v>
      </c>
      <c r="AO3" s="2" t="s">
        <v>5</v>
      </c>
      <c r="AP3" s="2" t="s">
        <v>140</v>
      </c>
      <c r="AR3" s="2" t="s">
        <v>4</v>
      </c>
      <c r="AS3" s="2" t="s">
        <v>5</v>
      </c>
      <c r="AT3" s="2" t="s">
        <v>140</v>
      </c>
      <c r="AV3" s="2" t="s">
        <v>4</v>
      </c>
      <c r="AW3" s="2" t="s">
        <v>5</v>
      </c>
      <c r="AX3" s="2" t="s">
        <v>140</v>
      </c>
      <c r="AZ3" s="2" t="s">
        <v>4</v>
      </c>
      <c r="BA3" s="2" t="s">
        <v>5</v>
      </c>
      <c r="BB3" s="2" t="s">
        <v>140</v>
      </c>
      <c r="BD3" s="2" t="s">
        <v>4</v>
      </c>
      <c r="BE3" s="2" t="s">
        <v>5</v>
      </c>
      <c r="BF3" s="2" t="s">
        <v>140</v>
      </c>
      <c r="BH3" s="2" t="s">
        <v>4</v>
      </c>
      <c r="BI3" s="2" t="s">
        <v>5</v>
      </c>
      <c r="BJ3" s="2" t="s">
        <v>140</v>
      </c>
      <c r="BL3" s="2" t="s">
        <v>4</v>
      </c>
      <c r="BM3" s="2" t="s">
        <v>5</v>
      </c>
      <c r="BN3" s="2" t="s">
        <v>140</v>
      </c>
      <c r="BP3" s="2" t="s">
        <v>4</v>
      </c>
      <c r="BQ3" s="2" t="s">
        <v>5</v>
      </c>
      <c r="BR3" s="2" t="s">
        <v>140</v>
      </c>
      <c r="BT3" s="2" t="s">
        <v>4</v>
      </c>
      <c r="BU3" s="2" t="s">
        <v>5</v>
      </c>
      <c r="BV3" s="2" t="s">
        <v>140</v>
      </c>
      <c r="BX3" s="2" t="s">
        <v>4</v>
      </c>
      <c r="BY3" s="2" t="s">
        <v>5</v>
      </c>
      <c r="BZ3" s="2" t="s">
        <v>140</v>
      </c>
      <c r="CB3" s="2" t="s">
        <v>4</v>
      </c>
      <c r="CC3" s="2" t="s">
        <v>5</v>
      </c>
      <c r="CD3" s="2" t="s">
        <v>140</v>
      </c>
      <c r="CF3" s="2" t="s">
        <v>4</v>
      </c>
      <c r="CG3" s="2" t="s">
        <v>5</v>
      </c>
      <c r="CH3" s="2" t="s">
        <v>140</v>
      </c>
      <c r="CJ3" s="2" t="s">
        <v>4</v>
      </c>
      <c r="CK3" s="2" t="s">
        <v>5</v>
      </c>
      <c r="CL3" s="2" t="s">
        <v>140</v>
      </c>
      <c r="CN3" s="2" t="s">
        <v>4</v>
      </c>
      <c r="CO3" s="2" t="s">
        <v>5</v>
      </c>
      <c r="CP3" s="2" t="s">
        <v>140</v>
      </c>
      <c r="CR3" s="2" t="s">
        <v>4</v>
      </c>
      <c r="CS3" s="2" t="s">
        <v>5</v>
      </c>
      <c r="CT3" s="2" t="s">
        <v>140</v>
      </c>
      <c r="CV3" s="2" t="s">
        <v>4</v>
      </c>
      <c r="CW3" s="2" t="s">
        <v>5</v>
      </c>
      <c r="CX3" s="2" t="s">
        <v>140</v>
      </c>
      <c r="CZ3" s="2" t="s">
        <v>4</v>
      </c>
      <c r="DA3" s="2" t="s">
        <v>5</v>
      </c>
      <c r="DB3" s="2" t="s">
        <v>140</v>
      </c>
      <c r="DD3" s="2" t="s">
        <v>4</v>
      </c>
      <c r="DE3" s="2" t="s">
        <v>5</v>
      </c>
      <c r="DF3" s="2" t="s">
        <v>140</v>
      </c>
      <c r="DH3" s="2" t="s">
        <v>4</v>
      </c>
      <c r="DI3" s="2" t="s">
        <v>5</v>
      </c>
      <c r="DJ3" s="2" t="s">
        <v>140</v>
      </c>
      <c r="DL3" s="2" t="s">
        <v>4</v>
      </c>
      <c r="DM3" s="2" t="s">
        <v>5</v>
      </c>
      <c r="DN3" s="2" t="s">
        <v>140</v>
      </c>
      <c r="DP3" s="2" t="s">
        <v>4</v>
      </c>
      <c r="DQ3" s="2" t="s">
        <v>5</v>
      </c>
      <c r="DR3" s="2" t="s">
        <v>140</v>
      </c>
      <c r="DT3" s="2" t="s">
        <v>4</v>
      </c>
      <c r="DU3" s="2" t="s">
        <v>5</v>
      </c>
      <c r="DV3" s="2" t="s">
        <v>140</v>
      </c>
      <c r="DX3" s="2" t="s">
        <v>4</v>
      </c>
      <c r="DY3" s="2" t="s">
        <v>5</v>
      </c>
      <c r="DZ3" s="2" t="s">
        <v>140</v>
      </c>
      <c r="EB3" s="2" t="s">
        <v>4</v>
      </c>
      <c r="EC3" s="2" t="s">
        <v>5</v>
      </c>
      <c r="ED3" s="2" t="s">
        <v>140</v>
      </c>
    </row>
    <row r="4" spans="2:134" ht="11" customHeight="1" x14ac:dyDescent="0.35">
      <c r="B4" s="4">
        <v>101003</v>
      </c>
      <c r="C4" s="4" t="s">
        <v>10</v>
      </c>
      <c r="D4" s="4">
        <v>1</v>
      </c>
      <c r="E4" s="5">
        <v>48</v>
      </c>
      <c r="F4" s="6">
        <v>39.4372481296</v>
      </c>
      <c r="G4" s="7"/>
      <c r="H4" s="49"/>
      <c r="I4" s="49"/>
      <c r="J4" s="50">
        <f>(I4/E4)+H4</f>
        <v>0</v>
      </c>
      <c r="K4" s="9"/>
      <c r="L4" s="49"/>
      <c r="M4" s="49"/>
      <c r="N4" s="50">
        <f>(M4/E4)+L4</f>
        <v>0</v>
      </c>
      <c r="O4" s="46"/>
      <c r="P4" s="49"/>
      <c r="Q4" s="49"/>
      <c r="R4" s="50">
        <f>(Q4/E4)+P4</f>
        <v>0</v>
      </c>
      <c r="T4" s="49"/>
      <c r="U4" s="49"/>
      <c r="V4" s="50">
        <f>(U4/E4)+T4</f>
        <v>0</v>
      </c>
      <c r="X4" s="49"/>
      <c r="Y4" s="49"/>
      <c r="Z4" s="50">
        <f>(Y4/E4)+X4</f>
        <v>0</v>
      </c>
      <c r="AB4" s="49"/>
      <c r="AC4" s="49"/>
      <c r="AD4" s="50">
        <f>(AC4/E4)+AB4</f>
        <v>0</v>
      </c>
      <c r="AF4" s="49"/>
      <c r="AG4" s="49"/>
      <c r="AH4" s="50">
        <f>(AG4/E4)+AF4</f>
        <v>0</v>
      </c>
      <c r="AJ4" s="49"/>
      <c r="AK4" s="49"/>
      <c r="AL4" s="50">
        <f>(AK4/E4)+AJ4</f>
        <v>0</v>
      </c>
      <c r="AN4" s="49"/>
      <c r="AO4" s="49"/>
      <c r="AP4" s="50">
        <f>(AO4/E4)+AN4</f>
        <v>0</v>
      </c>
      <c r="AR4" s="49"/>
      <c r="AS4" s="49"/>
      <c r="AT4" s="50">
        <f>(AS4/E4)+AR4</f>
        <v>0</v>
      </c>
      <c r="AV4" s="49"/>
      <c r="AW4" s="49"/>
      <c r="AX4" s="50">
        <f>(AW4/E4)+AV4</f>
        <v>0</v>
      </c>
      <c r="AZ4" s="49"/>
      <c r="BA4" s="49"/>
      <c r="BB4" s="50">
        <f>(BA4/E4)+AZ4</f>
        <v>0</v>
      </c>
      <c r="BD4" s="49"/>
      <c r="BE4" s="49"/>
      <c r="BF4" s="50">
        <f>(BE4/E4)+BD4</f>
        <v>0</v>
      </c>
      <c r="BH4" s="49"/>
      <c r="BI4" s="49"/>
      <c r="BJ4" s="50">
        <f>(BI4/E4)+BH4</f>
        <v>0</v>
      </c>
      <c r="BL4" s="49"/>
      <c r="BM4" s="49"/>
      <c r="BN4" s="50">
        <f>(BM4/E4)+BL4</f>
        <v>0</v>
      </c>
      <c r="BP4" s="49"/>
      <c r="BQ4" s="49"/>
      <c r="BR4" s="50">
        <f>(BQ4/E4)+BP4</f>
        <v>0</v>
      </c>
      <c r="BT4" s="49"/>
      <c r="BU4" s="49"/>
      <c r="BV4" s="50">
        <f>(BU4/E4)+BT4</f>
        <v>0</v>
      </c>
      <c r="BX4" s="49"/>
      <c r="BY4" s="49"/>
      <c r="BZ4" s="50">
        <f>(BY4/E4)+BX4</f>
        <v>0</v>
      </c>
      <c r="CB4" s="49"/>
      <c r="CC4" s="49"/>
      <c r="CD4" s="50">
        <f>(CC4/E4)+CB4</f>
        <v>0</v>
      </c>
      <c r="CF4" s="49"/>
      <c r="CG4" s="49"/>
      <c r="CH4" s="50">
        <f>(CG4/E4)+CF4</f>
        <v>0</v>
      </c>
      <c r="CJ4" s="49"/>
      <c r="CK4" s="49"/>
      <c r="CL4" s="50">
        <f>(CK4/E4)+CJ4</f>
        <v>0</v>
      </c>
      <c r="CN4" s="49"/>
      <c r="CO4" s="49"/>
      <c r="CP4" s="50">
        <f>(CO4/E4)+CN4</f>
        <v>0</v>
      </c>
      <c r="CR4" s="49"/>
      <c r="CS4" s="49"/>
      <c r="CT4" s="50">
        <f>(CS4/E4)+CR4</f>
        <v>0</v>
      </c>
      <c r="CV4" s="49"/>
      <c r="CW4" s="49"/>
      <c r="CX4" s="50">
        <f>(CW4/E4)+CV4</f>
        <v>0</v>
      </c>
      <c r="CZ4" s="49"/>
      <c r="DA4" s="49"/>
      <c r="DB4" s="50">
        <f>(DA4/E4)+CZ4</f>
        <v>0</v>
      </c>
      <c r="DD4" s="49"/>
      <c r="DE4" s="49"/>
      <c r="DF4" s="50">
        <f>(DE4/E4)+DD4</f>
        <v>0</v>
      </c>
      <c r="DH4" s="49"/>
      <c r="DI4" s="49"/>
      <c r="DJ4" s="50">
        <f>(DI4/E4)+DH4</f>
        <v>0</v>
      </c>
      <c r="DL4" s="49"/>
      <c r="DM4" s="49"/>
      <c r="DN4" s="50">
        <f>(DM4/E4)+DL4</f>
        <v>0</v>
      </c>
      <c r="DP4" s="49"/>
      <c r="DQ4" s="49"/>
      <c r="DR4" s="50">
        <f>(DQ4/E4)+DP4</f>
        <v>0</v>
      </c>
      <c r="DT4" s="49"/>
      <c r="DU4" s="49"/>
      <c r="DV4" s="50">
        <f>(DU4/E4)+DT4</f>
        <v>0</v>
      </c>
      <c r="DX4" s="49"/>
      <c r="DY4" s="49"/>
      <c r="DZ4" s="50">
        <f>(DY4/E4)+DX4</f>
        <v>0</v>
      </c>
      <c r="EB4" s="49">
        <f>H4+L4+P4+T4+X4+AB4+AF4+AJ4+AN4+AR4+AV4+AZ4+BD4+BH4+BL4+BP4+BT4+BX4+CB4+CF4+CJ4+CN4+CR4+CV4+CZ4+DD4+DH4+DL4+DP4+DT4+DX4</f>
        <v>0</v>
      </c>
      <c r="EC4" s="49">
        <f>I4+M4+Q4+U4+Y4+AC4+AG4+AK4+AO4+AS4+AW4+BA4+BE4+BI4+BM4+BQ4+BU4+BY4+CC4+CG4+CK4+CO4+CS4+CW4+DA4+DE4+DI4+DM4+DQ4+DU4+DY4</f>
        <v>0</v>
      </c>
      <c r="ED4" s="49">
        <f>J4+N4+R4+V4+Z4+AD4+AH4+AL4+AP4+AT4+AX4+BB4+BF4+BJ4+BN4+BR4+BV4+BZ4+CD4+CH4+CL4+CP4+CT4+CX4+DB4+DF4+DJ4+DN4+DR4+DV4+DZ4</f>
        <v>0</v>
      </c>
    </row>
    <row r="5" spans="2:134" ht="11" customHeight="1" x14ac:dyDescent="0.35">
      <c r="B5" s="4">
        <v>101017</v>
      </c>
      <c r="C5" s="4" t="s">
        <v>11</v>
      </c>
      <c r="D5" s="4">
        <v>1</v>
      </c>
      <c r="E5" s="5">
        <v>48</v>
      </c>
      <c r="F5" s="6">
        <v>39.4372481296</v>
      </c>
      <c r="G5" s="7"/>
      <c r="H5" s="49"/>
      <c r="I5" s="49"/>
      <c r="J5" s="50">
        <f>(I5/E5)+H5</f>
        <v>0</v>
      </c>
      <c r="K5" s="9"/>
      <c r="L5" s="49"/>
      <c r="M5" s="49"/>
      <c r="N5" s="50">
        <f t="shared" ref="N5:N68" si="0">(M5/E5)+L5</f>
        <v>0</v>
      </c>
      <c r="O5" s="46"/>
      <c r="P5" s="49"/>
      <c r="Q5" s="49"/>
      <c r="R5" s="50">
        <f t="shared" ref="R5:R68" si="1">(Q5/E5)+P5</f>
        <v>0</v>
      </c>
      <c r="T5" s="49"/>
      <c r="U5" s="49"/>
      <c r="V5" s="50">
        <f t="shared" ref="V5:V68" si="2">(U5/E5)+T5</f>
        <v>0</v>
      </c>
      <c r="X5" s="49"/>
      <c r="Y5" s="49"/>
      <c r="Z5" s="50">
        <f t="shared" ref="Z5:Z68" si="3">(Y5/E5)+X5</f>
        <v>0</v>
      </c>
      <c r="AB5" s="49"/>
      <c r="AC5" s="49"/>
      <c r="AD5" s="50">
        <f t="shared" ref="AD5:AD68" si="4">(AC5/E5)+AB5</f>
        <v>0</v>
      </c>
      <c r="AF5" s="49"/>
      <c r="AG5" s="49"/>
      <c r="AH5" s="50">
        <f t="shared" ref="AH5:AH68" si="5">(AG5/E5)+AF5</f>
        <v>0</v>
      </c>
      <c r="AJ5" s="49"/>
      <c r="AK5" s="49"/>
      <c r="AL5" s="50">
        <f t="shared" ref="AL5:AL68" si="6">(AK5/E5)+AJ5</f>
        <v>0</v>
      </c>
      <c r="AN5" s="49"/>
      <c r="AO5" s="49"/>
      <c r="AP5" s="50">
        <f t="shared" ref="AP5:AP68" si="7">(AO5/E5)+AN5</f>
        <v>0</v>
      </c>
      <c r="AR5" s="49"/>
      <c r="AS5" s="49"/>
      <c r="AT5" s="50">
        <f t="shared" ref="AT5:AT68" si="8">(AS5/E5)+AR5</f>
        <v>0</v>
      </c>
      <c r="AV5" s="49"/>
      <c r="AW5" s="49"/>
      <c r="AX5" s="50">
        <f t="shared" ref="AX5:AX68" si="9">(AW5/E5)+AV5</f>
        <v>0</v>
      </c>
      <c r="AZ5" s="49"/>
      <c r="BA5" s="49"/>
      <c r="BB5" s="50">
        <f t="shared" ref="BB5:BB68" si="10">(BA5/E5)+AZ5</f>
        <v>0</v>
      </c>
      <c r="BD5" s="49"/>
      <c r="BE5" s="49"/>
      <c r="BF5" s="50">
        <f t="shared" ref="BF5:BF68" si="11">(BE5/E5)+BD5</f>
        <v>0</v>
      </c>
      <c r="BH5" s="49"/>
      <c r="BI5" s="49"/>
      <c r="BJ5" s="50">
        <f t="shared" ref="BJ5:BJ68" si="12">(BI5/E5)+BH5</f>
        <v>0</v>
      </c>
      <c r="BL5" s="49"/>
      <c r="BM5" s="49"/>
      <c r="BN5" s="50">
        <f t="shared" ref="BN5:BN68" si="13">(BM5/E5)+BL5</f>
        <v>0</v>
      </c>
      <c r="BP5" s="49"/>
      <c r="BQ5" s="49"/>
      <c r="BR5" s="50">
        <f t="shared" ref="BR5:BR68" si="14">(BQ5/E5)+BP5</f>
        <v>0</v>
      </c>
      <c r="BT5" s="49"/>
      <c r="BU5" s="49"/>
      <c r="BV5" s="50">
        <f t="shared" ref="BV5:BV68" si="15">(BU5/E5)+BT5</f>
        <v>0</v>
      </c>
      <c r="BX5" s="49"/>
      <c r="BY5" s="49"/>
      <c r="BZ5" s="50">
        <f t="shared" ref="BZ5:BZ68" si="16">(BY5/E5)+BX5</f>
        <v>0</v>
      </c>
      <c r="CB5" s="49"/>
      <c r="CC5" s="49"/>
      <c r="CD5" s="50">
        <f t="shared" ref="CD5:CD68" si="17">(CC5/E5)+CB5</f>
        <v>0</v>
      </c>
      <c r="CF5" s="49"/>
      <c r="CG5" s="49"/>
      <c r="CH5" s="50">
        <f t="shared" ref="CH5:CH68" si="18">(CG5/E5)+CF5</f>
        <v>0</v>
      </c>
      <c r="CJ5" s="49"/>
      <c r="CK5" s="49"/>
      <c r="CL5" s="50">
        <f t="shared" ref="CL5:CL68" si="19">(CK5/E5)+CJ5</f>
        <v>0</v>
      </c>
      <c r="CN5" s="49"/>
      <c r="CO5" s="49"/>
      <c r="CP5" s="50">
        <f t="shared" ref="CP5:CP68" si="20">(CO5/E5)+CN5</f>
        <v>0</v>
      </c>
      <c r="CR5" s="49"/>
      <c r="CS5" s="49"/>
      <c r="CT5" s="50">
        <f t="shared" ref="CT5:CT68" si="21">(CS5/E5)+CR5</f>
        <v>0</v>
      </c>
      <c r="CV5" s="49"/>
      <c r="CW5" s="49"/>
      <c r="CX5" s="50">
        <f t="shared" ref="CX5:CX68" si="22">(CW5/E5)+CV5</f>
        <v>0</v>
      </c>
      <c r="CZ5" s="49"/>
      <c r="DA5" s="49"/>
      <c r="DB5" s="50">
        <f t="shared" ref="DB5:DB68" si="23">(DA5/E5)+CZ5</f>
        <v>0</v>
      </c>
      <c r="DD5" s="49"/>
      <c r="DE5" s="49"/>
      <c r="DF5" s="50">
        <f t="shared" ref="DF5:DF68" si="24">(DE5/E5)+DD5</f>
        <v>0</v>
      </c>
      <c r="DH5" s="49"/>
      <c r="DI5" s="49"/>
      <c r="DJ5" s="50">
        <f t="shared" ref="DJ5:DJ68" si="25">(DI5/E5)+DH5</f>
        <v>0</v>
      </c>
      <c r="DL5" s="49"/>
      <c r="DM5" s="49"/>
      <c r="DN5" s="50">
        <f t="shared" ref="DN5:DN68" si="26">(DM5/E5)+DL5</f>
        <v>0</v>
      </c>
      <c r="DP5" s="49"/>
      <c r="DQ5" s="49"/>
      <c r="DR5" s="50">
        <f t="shared" ref="DR5:DR68" si="27">(DQ5/E5)+DP5</f>
        <v>0</v>
      </c>
      <c r="DT5" s="49"/>
      <c r="DU5" s="49"/>
      <c r="DV5" s="50">
        <f t="shared" ref="DV5:DV68" si="28">(DU5/E5)+DT5</f>
        <v>0</v>
      </c>
      <c r="DX5" s="49"/>
      <c r="DY5" s="49"/>
      <c r="DZ5" s="50">
        <f t="shared" ref="DZ5:DZ68" si="29">(DY5/E5)+DX5</f>
        <v>0</v>
      </c>
      <c r="EB5" s="49">
        <f t="shared" ref="EB5:ED68" si="30">H5+L5+P5+T5+X5+AB5+AF5+AJ5+AN5+AR5+AV5+AZ5+BD5+BH5+BL5+BP5+BT5+BX5+CB5+CF5+CJ5+CN5+CR5+CV5+CZ5+DD5+DH5+DL5+DP5+DT5+DX5</f>
        <v>0</v>
      </c>
      <c r="EC5" s="49">
        <f t="shared" si="30"/>
        <v>0</v>
      </c>
      <c r="ED5" s="49">
        <f t="shared" si="30"/>
        <v>0</v>
      </c>
    </row>
    <row r="6" spans="2:134" ht="11" customHeight="1" x14ac:dyDescent="0.35">
      <c r="B6" s="4">
        <v>101037</v>
      </c>
      <c r="C6" s="4" t="s">
        <v>12</v>
      </c>
      <c r="D6" s="4">
        <v>1</v>
      </c>
      <c r="E6" s="5">
        <v>48</v>
      </c>
      <c r="F6" s="6">
        <v>39.4372481296</v>
      </c>
      <c r="G6" s="7"/>
      <c r="H6" s="49"/>
      <c r="I6" s="49"/>
      <c r="J6" s="50">
        <f>(I6/E6)+H6</f>
        <v>0</v>
      </c>
      <c r="K6" s="9"/>
      <c r="L6" s="49"/>
      <c r="M6" s="49"/>
      <c r="N6" s="50">
        <f t="shared" si="0"/>
        <v>0</v>
      </c>
      <c r="O6" s="46"/>
      <c r="P6" s="49"/>
      <c r="Q6" s="49"/>
      <c r="R6" s="50">
        <f t="shared" si="1"/>
        <v>0</v>
      </c>
      <c r="T6" s="49"/>
      <c r="U6" s="49"/>
      <c r="V6" s="50">
        <f t="shared" si="2"/>
        <v>0</v>
      </c>
      <c r="X6" s="49"/>
      <c r="Y6" s="49"/>
      <c r="Z6" s="50">
        <f t="shared" si="3"/>
        <v>0</v>
      </c>
      <c r="AB6" s="49"/>
      <c r="AC6" s="49"/>
      <c r="AD6" s="50">
        <f t="shared" si="4"/>
        <v>0</v>
      </c>
      <c r="AF6" s="49"/>
      <c r="AG6" s="49"/>
      <c r="AH6" s="50">
        <f t="shared" si="5"/>
        <v>0</v>
      </c>
      <c r="AJ6" s="49"/>
      <c r="AK6" s="49"/>
      <c r="AL6" s="50">
        <f t="shared" si="6"/>
        <v>0</v>
      </c>
      <c r="AN6" s="49"/>
      <c r="AO6" s="49"/>
      <c r="AP6" s="50">
        <f t="shared" si="7"/>
        <v>0</v>
      </c>
      <c r="AR6" s="49"/>
      <c r="AS6" s="49"/>
      <c r="AT6" s="50">
        <f t="shared" si="8"/>
        <v>0</v>
      </c>
      <c r="AV6" s="49"/>
      <c r="AW6" s="49"/>
      <c r="AX6" s="50">
        <f t="shared" si="9"/>
        <v>0</v>
      </c>
      <c r="AZ6" s="49"/>
      <c r="BA6" s="49"/>
      <c r="BB6" s="50">
        <f t="shared" si="10"/>
        <v>0</v>
      </c>
      <c r="BD6" s="49"/>
      <c r="BE6" s="49"/>
      <c r="BF6" s="50">
        <f t="shared" si="11"/>
        <v>0</v>
      </c>
      <c r="BH6" s="49"/>
      <c r="BI6" s="49"/>
      <c r="BJ6" s="50">
        <f t="shared" si="12"/>
        <v>0</v>
      </c>
      <c r="BL6" s="49"/>
      <c r="BM6" s="49"/>
      <c r="BN6" s="50">
        <f t="shared" si="13"/>
        <v>0</v>
      </c>
      <c r="BP6" s="49"/>
      <c r="BQ6" s="49"/>
      <c r="BR6" s="50">
        <f t="shared" si="14"/>
        <v>0</v>
      </c>
      <c r="BT6" s="49"/>
      <c r="BU6" s="49"/>
      <c r="BV6" s="50">
        <f t="shared" si="15"/>
        <v>0</v>
      </c>
      <c r="BX6" s="49"/>
      <c r="BY6" s="49"/>
      <c r="BZ6" s="50">
        <f t="shared" si="16"/>
        <v>0</v>
      </c>
      <c r="CB6" s="49"/>
      <c r="CC6" s="49"/>
      <c r="CD6" s="50">
        <f t="shared" si="17"/>
        <v>0</v>
      </c>
      <c r="CF6" s="49"/>
      <c r="CG6" s="49"/>
      <c r="CH6" s="50">
        <f t="shared" si="18"/>
        <v>0</v>
      </c>
      <c r="CJ6" s="49"/>
      <c r="CK6" s="49"/>
      <c r="CL6" s="50">
        <f t="shared" si="19"/>
        <v>0</v>
      </c>
      <c r="CN6" s="49"/>
      <c r="CO6" s="49"/>
      <c r="CP6" s="50">
        <f t="shared" si="20"/>
        <v>0</v>
      </c>
      <c r="CR6" s="49"/>
      <c r="CS6" s="49"/>
      <c r="CT6" s="50">
        <f t="shared" si="21"/>
        <v>0</v>
      </c>
      <c r="CV6" s="49"/>
      <c r="CW6" s="49"/>
      <c r="CX6" s="50">
        <f t="shared" si="22"/>
        <v>0</v>
      </c>
      <c r="CZ6" s="49"/>
      <c r="DA6" s="49"/>
      <c r="DB6" s="50">
        <f t="shared" si="23"/>
        <v>0</v>
      </c>
      <c r="DD6" s="49"/>
      <c r="DE6" s="49"/>
      <c r="DF6" s="50">
        <f t="shared" si="24"/>
        <v>0</v>
      </c>
      <c r="DH6" s="49"/>
      <c r="DI6" s="49"/>
      <c r="DJ6" s="50">
        <f t="shared" si="25"/>
        <v>0</v>
      </c>
      <c r="DL6" s="49"/>
      <c r="DM6" s="49"/>
      <c r="DN6" s="50">
        <f t="shared" si="26"/>
        <v>0</v>
      </c>
      <c r="DP6" s="49"/>
      <c r="DQ6" s="49"/>
      <c r="DR6" s="50">
        <f t="shared" si="27"/>
        <v>0</v>
      </c>
      <c r="DT6" s="49"/>
      <c r="DU6" s="49"/>
      <c r="DV6" s="50">
        <f t="shared" si="28"/>
        <v>0</v>
      </c>
      <c r="DX6" s="49"/>
      <c r="DY6" s="49"/>
      <c r="DZ6" s="50">
        <f t="shared" si="29"/>
        <v>0</v>
      </c>
      <c r="EB6" s="49">
        <f t="shared" si="30"/>
        <v>0</v>
      </c>
      <c r="EC6" s="49">
        <f t="shared" si="30"/>
        <v>0</v>
      </c>
      <c r="ED6" s="49">
        <f t="shared" si="30"/>
        <v>0</v>
      </c>
    </row>
    <row r="7" spans="2:134" ht="11" customHeight="1" x14ac:dyDescent="0.35">
      <c r="B7" s="4">
        <v>101045</v>
      </c>
      <c r="C7" s="4" t="s">
        <v>13</v>
      </c>
      <c r="D7" s="4">
        <v>18</v>
      </c>
      <c r="E7" s="5">
        <v>18</v>
      </c>
      <c r="F7" s="6">
        <v>288.68044392000002</v>
      </c>
      <c r="G7" s="7"/>
      <c r="H7" s="49"/>
      <c r="I7" s="49"/>
      <c r="J7" s="50">
        <f t="shared" ref="J7:J70" si="31">(I7/E7)+H7</f>
        <v>0</v>
      </c>
      <c r="K7" s="9"/>
      <c r="L7" s="49"/>
      <c r="M7" s="49"/>
      <c r="N7" s="50">
        <f t="shared" si="0"/>
        <v>0</v>
      </c>
      <c r="O7" s="46"/>
      <c r="P7" s="49"/>
      <c r="Q7" s="49"/>
      <c r="R7" s="50">
        <f t="shared" si="1"/>
        <v>0</v>
      </c>
      <c r="T7" s="49"/>
      <c r="U7" s="49"/>
      <c r="V7" s="50">
        <f t="shared" si="2"/>
        <v>0</v>
      </c>
      <c r="X7" s="49"/>
      <c r="Y7" s="49"/>
      <c r="Z7" s="50">
        <f t="shared" si="3"/>
        <v>0</v>
      </c>
      <c r="AB7" s="49"/>
      <c r="AC7" s="49"/>
      <c r="AD7" s="50">
        <f t="shared" si="4"/>
        <v>0</v>
      </c>
      <c r="AF7" s="49"/>
      <c r="AG7" s="49"/>
      <c r="AH7" s="50">
        <f t="shared" si="5"/>
        <v>0</v>
      </c>
      <c r="AJ7" s="49"/>
      <c r="AK7" s="49"/>
      <c r="AL7" s="50">
        <f t="shared" si="6"/>
        <v>0</v>
      </c>
      <c r="AN7" s="49"/>
      <c r="AO7" s="49"/>
      <c r="AP7" s="50">
        <f t="shared" si="7"/>
        <v>0</v>
      </c>
      <c r="AR7" s="49"/>
      <c r="AS7" s="49"/>
      <c r="AT7" s="50">
        <f t="shared" si="8"/>
        <v>0</v>
      </c>
      <c r="AV7" s="49"/>
      <c r="AW7" s="49"/>
      <c r="AX7" s="50">
        <f t="shared" si="9"/>
        <v>0</v>
      </c>
      <c r="AZ7" s="49"/>
      <c r="BA7" s="49"/>
      <c r="BB7" s="50">
        <f t="shared" si="10"/>
        <v>0</v>
      </c>
      <c r="BD7" s="49"/>
      <c r="BE7" s="49"/>
      <c r="BF7" s="50">
        <f t="shared" si="11"/>
        <v>0</v>
      </c>
      <c r="BH7" s="49"/>
      <c r="BI7" s="49"/>
      <c r="BJ7" s="50">
        <f t="shared" si="12"/>
        <v>0</v>
      </c>
      <c r="BL7" s="49"/>
      <c r="BM7" s="49"/>
      <c r="BN7" s="50">
        <f t="shared" si="13"/>
        <v>0</v>
      </c>
      <c r="BP7" s="49"/>
      <c r="BQ7" s="49"/>
      <c r="BR7" s="50">
        <f t="shared" si="14"/>
        <v>0</v>
      </c>
      <c r="BT7" s="49"/>
      <c r="BU7" s="49"/>
      <c r="BV7" s="50">
        <f t="shared" si="15"/>
        <v>0</v>
      </c>
      <c r="BX7" s="49"/>
      <c r="BY7" s="49"/>
      <c r="BZ7" s="50">
        <f t="shared" si="16"/>
        <v>0</v>
      </c>
      <c r="CB7" s="49"/>
      <c r="CC7" s="49"/>
      <c r="CD7" s="50">
        <f t="shared" si="17"/>
        <v>0</v>
      </c>
      <c r="CF7" s="49"/>
      <c r="CG7" s="49"/>
      <c r="CH7" s="50">
        <f t="shared" si="18"/>
        <v>0</v>
      </c>
      <c r="CJ7" s="49"/>
      <c r="CK7" s="49"/>
      <c r="CL7" s="50">
        <f t="shared" si="19"/>
        <v>0</v>
      </c>
      <c r="CN7" s="49"/>
      <c r="CO7" s="49"/>
      <c r="CP7" s="50">
        <f t="shared" si="20"/>
        <v>0</v>
      </c>
      <c r="CR7" s="49"/>
      <c r="CS7" s="49"/>
      <c r="CT7" s="50">
        <f t="shared" si="21"/>
        <v>0</v>
      </c>
      <c r="CV7" s="49"/>
      <c r="CW7" s="49"/>
      <c r="CX7" s="50">
        <f t="shared" si="22"/>
        <v>0</v>
      </c>
      <c r="CZ7" s="49"/>
      <c r="DA7" s="49"/>
      <c r="DB7" s="50">
        <f t="shared" si="23"/>
        <v>0</v>
      </c>
      <c r="DD7" s="49"/>
      <c r="DE7" s="49"/>
      <c r="DF7" s="50">
        <f t="shared" si="24"/>
        <v>0</v>
      </c>
      <c r="DH7" s="49"/>
      <c r="DI7" s="49"/>
      <c r="DJ7" s="50">
        <f t="shared" si="25"/>
        <v>0</v>
      </c>
      <c r="DL7" s="49"/>
      <c r="DM7" s="49"/>
      <c r="DN7" s="50">
        <f t="shared" si="26"/>
        <v>0</v>
      </c>
      <c r="DP7" s="49"/>
      <c r="DQ7" s="49"/>
      <c r="DR7" s="50">
        <f t="shared" si="27"/>
        <v>0</v>
      </c>
      <c r="DT7" s="49"/>
      <c r="DU7" s="49"/>
      <c r="DV7" s="50">
        <f t="shared" si="28"/>
        <v>0</v>
      </c>
      <c r="DX7" s="49"/>
      <c r="DY7" s="49"/>
      <c r="DZ7" s="50">
        <f t="shared" si="29"/>
        <v>0</v>
      </c>
      <c r="EB7" s="49">
        <f t="shared" si="30"/>
        <v>0</v>
      </c>
      <c r="EC7" s="49">
        <f t="shared" si="30"/>
        <v>0</v>
      </c>
      <c r="ED7" s="49">
        <f t="shared" si="30"/>
        <v>0</v>
      </c>
    </row>
    <row r="8" spans="2:134" ht="11" customHeight="1" x14ac:dyDescent="0.35">
      <c r="B8" s="4">
        <v>101057</v>
      </c>
      <c r="C8" s="4" t="s">
        <v>14</v>
      </c>
      <c r="D8" s="4">
        <v>1</v>
      </c>
      <c r="E8" s="5">
        <v>48</v>
      </c>
      <c r="F8" s="6">
        <v>39.4372481296</v>
      </c>
      <c r="G8" s="7"/>
      <c r="H8" s="49"/>
      <c r="I8" s="49"/>
      <c r="J8" s="50">
        <f t="shared" si="31"/>
        <v>0</v>
      </c>
      <c r="K8" s="9"/>
      <c r="L8" s="49"/>
      <c r="M8" s="49"/>
      <c r="N8" s="50">
        <f t="shared" si="0"/>
        <v>0</v>
      </c>
      <c r="O8" s="46"/>
      <c r="P8" s="49"/>
      <c r="Q8" s="49"/>
      <c r="R8" s="50">
        <f t="shared" si="1"/>
        <v>0</v>
      </c>
      <c r="T8" s="49"/>
      <c r="U8" s="49"/>
      <c r="V8" s="50">
        <f t="shared" si="2"/>
        <v>0</v>
      </c>
      <c r="X8" s="49"/>
      <c r="Y8" s="49"/>
      <c r="Z8" s="50">
        <f t="shared" si="3"/>
        <v>0</v>
      </c>
      <c r="AB8" s="49"/>
      <c r="AC8" s="49"/>
      <c r="AD8" s="50">
        <f t="shared" si="4"/>
        <v>0</v>
      </c>
      <c r="AF8" s="49"/>
      <c r="AG8" s="49"/>
      <c r="AH8" s="50">
        <f t="shared" si="5"/>
        <v>0</v>
      </c>
      <c r="AJ8" s="49"/>
      <c r="AK8" s="49"/>
      <c r="AL8" s="50">
        <f t="shared" si="6"/>
        <v>0</v>
      </c>
      <c r="AN8" s="49"/>
      <c r="AO8" s="49"/>
      <c r="AP8" s="50">
        <f t="shared" si="7"/>
        <v>0</v>
      </c>
      <c r="AR8" s="49"/>
      <c r="AS8" s="49"/>
      <c r="AT8" s="50">
        <f t="shared" si="8"/>
        <v>0</v>
      </c>
      <c r="AV8" s="49"/>
      <c r="AW8" s="49"/>
      <c r="AX8" s="50">
        <f t="shared" si="9"/>
        <v>0</v>
      </c>
      <c r="AZ8" s="49"/>
      <c r="BA8" s="49"/>
      <c r="BB8" s="50">
        <f t="shared" si="10"/>
        <v>0</v>
      </c>
      <c r="BD8" s="49"/>
      <c r="BE8" s="49"/>
      <c r="BF8" s="50">
        <f t="shared" si="11"/>
        <v>0</v>
      </c>
      <c r="BH8" s="49"/>
      <c r="BI8" s="49"/>
      <c r="BJ8" s="50">
        <f t="shared" si="12"/>
        <v>0</v>
      </c>
      <c r="BL8" s="49"/>
      <c r="BM8" s="49"/>
      <c r="BN8" s="50">
        <f t="shared" si="13"/>
        <v>0</v>
      </c>
      <c r="BP8" s="49"/>
      <c r="BQ8" s="49"/>
      <c r="BR8" s="50">
        <f t="shared" si="14"/>
        <v>0</v>
      </c>
      <c r="BT8" s="49"/>
      <c r="BU8" s="49"/>
      <c r="BV8" s="50">
        <f t="shared" si="15"/>
        <v>0</v>
      </c>
      <c r="BX8" s="49"/>
      <c r="BY8" s="49"/>
      <c r="BZ8" s="50">
        <f t="shared" si="16"/>
        <v>0</v>
      </c>
      <c r="CB8" s="49"/>
      <c r="CC8" s="49"/>
      <c r="CD8" s="50">
        <f t="shared" si="17"/>
        <v>0</v>
      </c>
      <c r="CF8" s="49"/>
      <c r="CG8" s="49"/>
      <c r="CH8" s="50">
        <f t="shared" si="18"/>
        <v>0</v>
      </c>
      <c r="CJ8" s="49"/>
      <c r="CK8" s="49"/>
      <c r="CL8" s="50">
        <f t="shared" si="19"/>
        <v>0</v>
      </c>
      <c r="CN8" s="49"/>
      <c r="CO8" s="49"/>
      <c r="CP8" s="50">
        <f t="shared" si="20"/>
        <v>0</v>
      </c>
      <c r="CR8" s="49"/>
      <c r="CS8" s="49"/>
      <c r="CT8" s="50">
        <f t="shared" si="21"/>
        <v>0</v>
      </c>
      <c r="CV8" s="49"/>
      <c r="CW8" s="49"/>
      <c r="CX8" s="50">
        <f t="shared" si="22"/>
        <v>0</v>
      </c>
      <c r="CZ8" s="49"/>
      <c r="DA8" s="49"/>
      <c r="DB8" s="50">
        <f t="shared" si="23"/>
        <v>0</v>
      </c>
      <c r="DD8" s="49"/>
      <c r="DE8" s="49"/>
      <c r="DF8" s="50">
        <f t="shared" si="24"/>
        <v>0</v>
      </c>
      <c r="DH8" s="49"/>
      <c r="DI8" s="49"/>
      <c r="DJ8" s="50">
        <f t="shared" si="25"/>
        <v>0</v>
      </c>
      <c r="DL8" s="49"/>
      <c r="DM8" s="49"/>
      <c r="DN8" s="50">
        <f t="shared" si="26"/>
        <v>0</v>
      </c>
      <c r="DP8" s="49"/>
      <c r="DQ8" s="49"/>
      <c r="DR8" s="50">
        <f t="shared" si="27"/>
        <v>0</v>
      </c>
      <c r="DT8" s="49"/>
      <c r="DU8" s="49"/>
      <c r="DV8" s="50">
        <f t="shared" si="28"/>
        <v>0</v>
      </c>
      <c r="DX8" s="49"/>
      <c r="DY8" s="49"/>
      <c r="DZ8" s="50">
        <f t="shared" si="29"/>
        <v>0</v>
      </c>
      <c r="EB8" s="49">
        <f t="shared" si="30"/>
        <v>0</v>
      </c>
      <c r="EC8" s="49">
        <f t="shared" si="30"/>
        <v>0</v>
      </c>
      <c r="ED8" s="49">
        <f t="shared" si="30"/>
        <v>0</v>
      </c>
    </row>
    <row r="9" spans="2:134" ht="11" customHeight="1" x14ac:dyDescent="0.35">
      <c r="B9" s="4">
        <v>101058</v>
      </c>
      <c r="C9" s="4" t="s">
        <v>15</v>
      </c>
      <c r="D9" s="4">
        <v>24</v>
      </c>
      <c r="E9" s="5">
        <v>24</v>
      </c>
      <c r="F9" s="6">
        <v>189.29879107400001</v>
      </c>
      <c r="G9" s="7"/>
      <c r="H9" s="49"/>
      <c r="I9" s="49"/>
      <c r="J9" s="50">
        <f t="shared" si="31"/>
        <v>0</v>
      </c>
      <c r="K9" s="9"/>
      <c r="L9" s="49"/>
      <c r="M9" s="49"/>
      <c r="N9" s="50">
        <f t="shared" si="0"/>
        <v>0</v>
      </c>
      <c r="O9" s="46"/>
      <c r="P9" s="49"/>
      <c r="Q9" s="49"/>
      <c r="R9" s="50">
        <f t="shared" si="1"/>
        <v>0</v>
      </c>
      <c r="T9" s="49"/>
      <c r="U9" s="49"/>
      <c r="V9" s="50">
        <f t="shared" si="2"/>
        <v>0</v>
      </c>
      <c r="X9" s="49"/>
      <c r="Y9" s="49"/>
      <c r="Z9" s="50">
        <f t="shared" si="3"/>
        <v>0</v>
      </c>
      <c r="AB9" s="49"/>
      <c r="AC9" s="49"/>
      <c r="AD9" s="50">
        <f t="shared" si="4"/>
        <v>0</v>
      </c>
      <c r="AF9" s="49"/>
      <c r="AG9" s="49"/>
      <c r="AH9" s="50">
        <f t="shared" si="5"/>
        <v>0</v>
      </c>
      <c r="AJ9" s="49"/>
      <c r="AK9" s="49"/>
      <c r="AL9" s="50">
        <f t="shared" si="6"/>
        <v>0</v>
      </c>
      <c r="AN9" s="49"/>
      <c r="AO9" s="49"/>
      <c r="AP9" s="50">
        <f t="shared" si="7"/>
        <v>0</v>
      </c>
      <c r="AR9" s="49"/>
      <c r="AS9" s="49"/>
      <c r="AT9" s="50">
        <f t="shared" si="8"/>
        <v>0</v>
      </c>
      <c r="AV9" s="49"/>
      <c r="AW9" s="49"/>
      <c r="AX9" s="50">
        <f t="shared" si="9"/>
        <v>0</v>
      </c>
      <c r="AZ9" s="49"/>
      <c r="BA9" s="49"/>
      <c r="BB9" s="50">
        <f t="shared" si="10"/>
        <v>0</v>
      </c>
      <c r="BD9" s="49"/>
      <c r="BE9" s="49"/>
      <c r="BF9" s="50">
        <f t="shared" si="11"/>
        <v>0</v>
      </c>
      <c r="BH9" s="49"/>
      <c r="BI9" s="49"/>
      <c r="BJ9" s="50">
        <f t="shared" si="12"/>
        <v>0</v>
      </c>
      <c r="BL9" s="49"/>
      <c r="BM9" s="49"/>
      <c r="BN9" s="50">
        <f t="shared" si="13"/>
        <v>0</v>
      </c>
      <c r="BP9" s="49"/>
      <c r="BQ9" s="49"/>
      <c r="BR9" s="50">
        <f t="shared" si="14"/>
        <v>0</v>
      </c>
      <c r="BT9" s="49"/>
      <c r="BU9" s="49"/>
      <c r="BV9" s="50">
        <f t="shared" si="15"/>
        <v>0</v>
      </c>
      <c r="BX9" s="49"/>
      <c r="BY9" s="49"/>
      <c r="BZ9" s="50">
        <f t="shared" si="16"/>
        <v>0</v>
      </c>
      <c r="CB9" s="49"/>
      <c r="CC9" s="49"/>
      <c r="CD9" s="50">
        <f t="shared" si="17"/>
        <v>0</v>
      </c>
      <c r="CF9" s="49"/>
      <c r="CG9" s="49"/>
      <c r="CH9" s="50">
        <f t="shared" si="18"/>
        <v>0</v>
      </c>
      <c r="CJ9" s="49"/>
      <c r="CK9" s="49"/>
      <c r="CL9" s="50">
        <f t="shared" si="19"/>
        <v>0</v>
      </c>
      <c r="CN9" s="49"/>
      <c r="CO9" s="49"/>
      <c r="CP9" s="50">
        <f t="shared" si="20"/>
        <v>0</v>
      </c>
      <c r="CR9" s="49"/>
      <c r="CS9" s="49"/>
      <c r="CT9" s="50">
        <f t="shared" si="21"/>
        <v>0</v>
      </c>
      <c r="CV9" s="49"/>
      <c r="CW9" s="49"/>
      <c r="CX9" s="50">
        <f t="shared" si="22"/>
        <v>0</v>
      </c>
      <c r="CZ9" s="49"/>
      <c r="DA9" s="49"/>
      <c r="DB9" s="50">
        <f t="shared" si="23"/>
        <v>0</v>
      </c>
      <c r="DD9" s="49"/>
      <c r="DE9" s="49"/>
      <c r="DF9" s="50">
        <f t="shared" si="24"/>
        <v>0</v>
      </c>
      <c r="DH9" s="49"/>
      <c r="DI9" s="49"/>
      <c r="DJ9" s="50">
        <f t="shared" si="25"/>
        <v>0</v>
      </c>
      <c r="DL9" s="49"/>
      <c r="DM9" s="49"/>
      <c r="DN9" s="50">
        <f t="shared" si="26"/>
        <v>0</v>
      </c>
      <c r="DP9" s="49"/>
      <c r="DQ9" s="49"/>
      <c r="DR9" s="50">
        <f t="shared" si="27"/>
        <v>0</v>
      </c>
      <c r="DT9" s="49"/>
      <c r="DU9" s="49"/>
      <c r="DV9" s="50">
        <f t="shared" si="28"/>
        <v>0</v>
      </c>
      <c r="DX9" s="49"/>
      <c r="DY9" s="49"/>
      <c r="DZ9" s="50">
        <f t="shared" si="29"/>
        <v>0</v>
      </c>
      <c r="EB9" s="49">
        <f t="shared" si="30"/>
        <v>0</v>
      </c>
      <c r="EC9" s="49">
        <f t="shared" si="30"/>
        <v>0</v>
      </c>
      <c r="ED9" s="49">
        <f t="shared" si="30"/>
        <v>0</v>
      </c>
    </row>
    <row r="10" spans="2:134" ht="11" customHeight="1" x14ac:dyDescent="0.35">
      <c r="B10" s="4">
        <v>101205</v>
      </c>
      <c r="C10" s="4" t="s">
        <v>16</v>
      </c>
      <c r="D10" s="4">
        <v>1</v>
      </c>
      <c r="E10" s="5">
        <v>48</v>
      </c>
      <c r="F10" s="6">
        <v>39.4372481296</v>
      </c>
      <c r="G10" s="7"/>
      <c r="H10" s="49"/>
      <c r="I10" s="49"/>
      <c r="J10" s="50">
        <f t="shared" si="31"/>
        <v>0</v>
      </c>
      <c r="K10" s="9"/>
      <c r="L10" s="49"/>
      <c r="M10" s="49"/>
      <c r="N10" s="50">
        <f t="shared" si="0"/>
        <v>0</v>
      </c>
      <c r="O10" s="46"/>
      <c r="P10" s="49"/>
      <c r="Q10" s="49"/>
      <c r="R10" s="50">
        <f t="shared" si="1"/>
        <v>0</v>
      </c>
      <c r="T10" s="49"/>
      <c r="U10" s="49"/>
      <c r="V10" s="50">
        <f t="shared" si="2"/>
        <v>0</v>
      </c>
      <c r="X10" s="49"/>
      <c r="Y10" s="49"/>
      <c r="Z10" s="50">
        <f t="shared" si="3"/>
        <v>0</v>
      </c>
      <c r="AB10" s="49"/>
      <c r="AC10" s="49"/>
      <c r="AD10" s="50">
        <f t="shared" si="4"/>
        <v>0</v>
      </c>
      <c r="AF10" s="49"/>
      <c r="AG10" s="49"/>
      <c r="AH10" s="50">
        <f t="shared" si="5"/>
        <v>0</v>
      </c>
      <c r="AJ10" s="49"/>
      <c r="AK10" s="49"/>
      <c r="AL10" s="50">
        <f t="shared" si="6"/>
        <v>0</v>
      </c>
      <c r="AN10" s="49"/>
      <c r="AO10" s="49"/>
      <c r="AP10" s="50">
        <f t="shared" si="7"/>
        <v>0</v>
      </c>
      <c r="AR10" s="49"/>
      <c r="AS10" s="49"/>
      <c r="AT10" s="50">
        <f t="shared" si="8"/>
        <v>0</v>
      </c>
      <c r="AV10" s="49"/>
      <c r="AW10" s="49"/>
      <c r="AX10" s="50">
        <f t="shared" si="9"/>
        <v>0</v>
      </c>
      <c r="AZ10" s="49"/>
      <c r="BA10" s="49"/>
      <c r="BB10" s="50">
        <f t="shared" si="10"/>
        <v>0</v>
      </c>
      <c r="BD10" s="49"/>
      <c r="BE10" s="49"/>
      <c r="BF10" s="50">
        <f t="shared" si="11"/>
        <v>0</v>
      </c>
      <c r="BH10" s="49"/>
      <c r="BI10" s="49"/>
      <c r="BJ10" s="50">
        <f t="shared" si="12"/>
        <v>0</v>
      </c>
      <c r="BL10" s="49"/>
      <c r="BM10" s="49"/>
      <c r="BN10" s="50">
        <f t="shared" si="13"/>
        <v>0</v>
      </c>
      <c r="BP10" s="49"/>
      <c r="BQ10" s="49"/>
      <c r="BR10" s="50">
        <f t="shared" si="14"/>
        <v>0</v>
      </c>
      <c r="BT10" s="49"/>
      <c r="BU10" s="49"/>
      <c r="BV10" s="50">
        <f t="shared" si="15"/>
        <v>0</v>
      </c>
      <c r="BX10" s="49"/>
      <c r="BY10" s="49"/>
      <c r="BZ10" s="50">
        <f t="shared" si="16"/>
        <v>0</v>
      </c>
      <c r="CB10" s="49"/>
      <c r="CC10" s="49"/>
      <c r="CD10" s="50">
        <f t="shared" si="17"/>
        <v>0</v>
      </c>
      <c r="CF10" s="49"/>
      <c r="CG10" s="49"/>
      <c r="CH10" s="50">
        <f t="shared" si="18"/>
        <v>0</v>
      </c>
      <c r="CJ10" s="49"/>
      <c r="CK10" s="49"/>
      <c r="CL10" s="50">
        <f t="shared" si="19"/>
        <v>0</v>
      </c>
      <c r="CN10" s="49"/>
      <c r="CO10" s="49"/>
      <c r="CP10" s="50">
        <f t="shared" si="20"/>
        <v>0</v>
      </c>
      <c r="CR10" s="49"/>
      <c r="CS10" s="49"/>
      <c r="CT10" s="50">
        <f t="shared" si="21"/>
        <v>0</v>
      </c>
      <c r="CV10" s="49"/>
      <c r="CW10" s="49"/>
      <c r="CX10" s="50">
        <f t="shared" si="22"/>
        <v>0</v>
      </c>
      <c r="CZ10" s="49"/>
      <c r="DA10" s="49"/>
      <c r="DB10" s="50">
        <f t="shared" si="23"/>
        <v>0</v>
      </c>
      <c r="DD10" s="49"/>
      <c r="DE10" s="49"/>
      <c r="DF10" s="50">
        <f t="shared" si="24"/>
        <v>0</v>
      </c>
      <c r="DH10" s="49"/>
      <c r="DI10" s="49"/>
      <c r="DJ10" s="50">
        <f t="shared" si="25"/>
        <v>0</v>
      </c>
      <c r="DL10" s="49"/>
      <c r="DM10" s="49"/>
      <c r="DN10" s="50">
        <f t="shared" si="26"/>
        <v>0</v>
      </c>
      <c r="DP10" s="49"/>
      <c r="DQ10" s="49"/>
      <c r="DR10" s="50">
        <f t="shared" si="27"/>
        <v>0</v>
      </c>
      <c r="DT10" s="49"/>
      <c r="DU10" s="49"/>
      <c r="DV10" s="50">
        <f t="shared" si="28"/>
        <v>0</v>
      </c>
      <c r="DX10" s="49"/>
      <c r="DY10" s="49"/>
      <c r="DZ10" s="50">
        <f t="shared" si="29"/>
        <v>0</v>
      </c>
      <c r="EB10" s="49">
        <f t="shared" si="30"/>
        <v>0</v>
      </c>
      <c r="EC10" s="49">
        <f t="shared" si="30"/>
        <v>0</v>
      </c>
      <c r="ED10" s="49">
        <f t="shared" si="30"/>
        <v>0</v>
      </c>
    </row>
    <row r="11" spans="2:134" ht="11" customHeight="1" x14ac:dyDescent="0.35">
      <c r="B11" s="4">
        <v>101333</v>
      </c>
      <c r="C11" s="4" t="s">
        <v>17</v>
      </c>
      <c r="D11" s="4">
        <v>24</v>
      </c>
      <c r="E11" s="5">
        <v>24</v>
      </c>
      <c r="F11" s="6">
        <v>189.29879107400001</v>
      </c>
      <c r="G11" s="7"/>
      <c r="H11" s="49"/>
      <c r="I11" s="49"/>
      <c r="J11" s="50">
        <f t="shared" si="31"/>
        <v>0</v>
      </c>
      <c r="K11" s="9"/>
      <c r="L11" s="49"/>
      <c r="M11" s="49"/>
      <c r="N11" s="50">
        <f t="shared" si="0"/>
        <v>0</v>
      </c>
      <c r="O11" s="46"/>
      <c r="P11" s="49"/>
      <c r="Q11" s="49"/>
      <c r="R11" s="50">
        <f t="shared" si="1"/>
        <v>0</v>
      </c>
      <c r="T11" s="49"/>
      <c r="U11" s="49"/>
      <c r="V11" s="50">
        <f t="shared" si="2"/>
        <v>0</v>
      </c>
      <c r="X11" s="49"/>
      <c r="Y11" s="49"/>
      <c r="Z11" s="50">
        <f t="shared" si="3"/>
        <v>0</v>
      </c>
      <c r="AB11" s="49"/>
      <c r="AC11" s="49"/>
      <c r="AD11" s="50">
        <f t="shared" si="4"/>
        <v>0</v>
      </c>
      <c r="AF11" s="49"/>
      <c r="AG11" s="49"/>
      <c r="AH11" s="50">
        <f t="shared" si="5"/>
        <v>0</v>
      </c>
      <c r="AJ11" s="49"/>
      <c r="AK11" s="49"/>
      <c r="AL11" s="50">
        <f t="shared" si="6"/>
        <v>0</v>
      </c>
      <c r="AN11" s="49"/>
      <c r="AO11" s="49"/>
      <c r="AP11" s="50">
        <f t="shared" si="7"/>
        <v>0</v>
      </c>
      <c r="AR11" s="49"/>
      <c r="AS11" s="49"/>
      <c r="AT11" s="50">
        <f t="shared" si="8"/>
        <v>0</v>
      </c>
      <c r="AV11" s="49"/>
      <c r="AW11" s="49"/>
      <c r="AX11" s="50">
        <f t="shared" si="9"/>
        <v>0</v>
      </c>
      <c r="AZ11" s="49"/>
      <c r="BA11" s="49"/>
      <c r="BB11" s="50">
        <f t="shared" si="10"/>
        <v>0</v>
      </c>
      <c r="BD11" s="49"/>
      <c r="BE11" s="49"/>
      <c r="BF11" s="50">
        <f t="shared" si="11"/>
        <v>0</v>
      </c>
      <c r="BH11" s="49"/>
      <c r="BI11" s="49"/>
      <c r="BJ11" s="50">
        <f t="shared" si="12"/>
        <v>0</v>
      </c>
      <c r="BL11" s="49"/>
      <c r="BM11" s="49"/>
      <c r="BN11" s="50">
        <f t="shared" si="13"/>
        <v>0</v>
      </c>
      <c r="BP11" s="49"/>
      <c r="BQ11" s="49"/>
      <c r="BR11" s="50">
        <f t="shared" si="14"/>
        <v>0</v>
      </c>
      <c r="BT11" s="49"/>
      <c r="BU11" s="49"/>
      <c r="BV11" s="50">
        <f t="shared" si="15"/>
        <v>0</v>
      </c>
      <c r="BX11" s="49"/>
      <c r="BY11" s="49"/>
      <c r="BZ11" s="50">
        <f t="shared" si="16"/>
        <v>0</v>
      </c>
      <c r="CB11" s="49"/>
      <c r="CC11" s="49"/>
      <c r="CD11" s="50">
        <f t="shared" si="17"/>
        <v>0</v>
      </c>
      <c r="CF11" s="49"/>
      <c r="CG11" s="49"/>
      <c r="CH11" s="50">
        <f t="shared" si="18"/>
        <v>0</v>
      </c>
      <c r="CJ11" s="49"/>
      <c r="CK11" s="49"/>
      <c r="CL11" s="50">
        <f t="shared" si="19"/>
        <v>0</v>
      </c>
      <c r="CN11" s="49"/>
      <c r="CO11" s="49"/>
      <c r="CP11" s="50">
        <f t="shared" si="20"/>
        <v>0</v>
      </c>
      <c r="CR11" s="49"/>
      <c r="CS11" s="49"/>
      <c r="CT11" s="50">
        <f t="shared" si="21"/>
        <v>0</v>
      </c>
      <c r="CV11" s="49"/>
      <c r="CW11" s="49"/>
      <c r="CX11" s="50">
        <f t="shared" si="22"/>
        <v>0</v>
      </c>
      <c r="CZ11" s="49"/>
      <c r="DA11" s="49"/>
      <c r="DB11" s="50">
        <f t="shared" si="23"/>
        <v>0</v>
      </c>
      <c r="DD11" s="49"/>
      <c r="DE11" s="49"/>
      <c r="DF11" s="50">
        <f t="shared" si="24"/>
        <v>0</v>
      </c>
      <c r="DH11" s="49"/>
      <c r="DI11" s="49"/>
      <c r="DJ11" s="50">
        <f t="shared" si="25"/>
        <v>0</v>
      </c>
      <c r="DL11" s="49"/>
      <c r="DM11" s="49"/>
      <c r="DN11" s="50">
        <f t="shared" si="26"/>
        <v>0</v>
      </c>
      <c r="DP11" s="49"/>
      <c r="DQ11" s="49"/>
      <c r="DR11" s="50">
        <f t="shared" si="27"/>
        <v>0</v>
      </c>
      <c r="DT11" s="49"/>
      <c r="DU11" s="49"/>
      <c r="DV11" s="50">
        <f t="shared" si="28"/>
        <v>0</v>
      </c>
      <c r="DX11" s="49"/>
      <c r="DY11" s="49"/>
      <c r="DZ11" s="50">
        <f t="shared" si="29"/>
        <v>0</v>
      </c>
      <c r="EB11" s="49">
        <f t="shared" si="30"/>
        <v>0</v>
      </c>
      <c r="EC11" s="49">
        <f t="shared" si="30"/>
        <v>0</v>
      </c>
      <c r="ED11" s="49">
        <f t="shared" si="30"/>
        <v>0</v>
      </c>
    </row>
    <row r="12" spans="2:134" ht="11" customHeight="1" x14ac:dyDescent="0.35">
      <c r="B12" s="4">
        <v>101354</v>
      </c>
      <c r="C12" s="4" t="s">
        <v>18</v>
      </c>
      <c r="D12" s="4">
        <v>24</v>
      </c>
      <c r="E12" s="5">
        <v>24</v>
      </c>
      <c r="F12" s="6">
        <v>189.29879107400001</v>
      </c>
      <c r="G12" s="7"/>
      <c r="H12" s="49"/>
      <c r="I12" s="49"/>
      <c r="J12" s="50">
        <f t="shared" si="31"/>
        <v>0</v>
      </c>
      <c r="K12" s="9"/>
      <c r="L12" s="49"/>
      <c r="M12" s="49"/>
      <c r="N12" s="50">
        <f t="shared" si="0"/>
        <v>0</v>
      </c>
      <c r="O12" s="46"/>
      <c r="P12" s="49"/>
      <c r="Q12" s="49"/>
      <c r="R12" s="50">
        <f t="shared" si="1"/>
        <v>0</v>
      </c>
      <c r="T12" s="49"/>
      <c r="U12" s="49"/>
      <c r="V12" s="50">
        <f t="shared" si="2"/>
        <v>0</v>
      </c>
      <c r="X12" s="49"/>
      <c r="Y12" s="49"/>
      <c r="Z12" s="50">
        <f t="shared" si="3"/>
        <v>0</v>
      </c>
      <c r="AB12" s="49"/>
      <c r="AC12" s="49"/>
      <c r="AD12" s="50">
        <f t="shared" si="4"/>
        <v>0</v>
      </c>
      <c r="AF12" s="49"/>
      <c r="AG12" s="49"/>
      <c r="AH12" s="50">
        <f t="shared" si="5"/>
        <v>0</v>
      </c>
      <c r="AJ12" s="49"/>
      <c r="AK12" s="49"/>
      <c r="AL12" s="50">
        <f t="shared" si="6"/>
        <v>0</v>
      </c>
      <c r="AN12" s="49"/>
      <c r="AO12" s="49"/>
      <c r="AP12" s="50">
        <f t="shared" si="7"/>
        <v>0</v>
      </c>
      <c r="AR12" s="49"/>
      <c r="AS12" s="49"/>
      <c r="AT12" s="50">
        <f t="shared" si="8"/>
        <v>0</v>
      </c>
      <c r="AV12" s="49"/>
      <c r="AW12" s="49"/>
      <c r="AX12" s="50">
        <f t="shared" si="9"/>
        <v>0</v>
      </c>
      <c r="AZ12" s="49"/>
      <c r="BA12" s="49"/>
      <c r="BB12" s="50">
        <f t="shared" si="10"/>
        <v>0</v>
      </c>
      <c r="BD12" s="49"/>
      <c r="BE12" s="49"/>
      <c r="BF12" s="50">
        <f t="shared" si="11"/>
        <v>0</v>
      </c>
      <c r="BH12" s="49"/>
      <c r="BI12" s="49"/>
      <c r="BJ12" s="50">
        <f t="shared" si="12"/>
        <v>0</v>
      </c>
      <c r="BL12" s="49"/>
      <c r="BM12" s="49"/>
      <c r="BN12" s="50">
        <f t="shared" si="13"/>
        <v>0</v>
      </c>
      <c r="BP12" s="49"/>
      <c r="BQ12" s="49"/>
      <c r="BR12" s="50">
        <f t="shared" si="14"/>
        <v>0</v>
      </c>
      <c r="BT12" s="49"/>
      <c r="BU12" s="49"/>
      <c r="BV12" s="50">
        <f t="shared" si="15"/>
        <v>0</v>
      </c>
      <c r="BX12" s="49"/>
      <c r="BY12" s="49"/>
      <c r="BZ12" s="50">
        <f t="shared" si="16"/>
        <v>0</v>
      </c>
      <c r="CB12" s="49"/>
      <c r="CC12" s="49"/>
      <c r="CD12" s="50">
        <f t="shared" si="17"/>
        <v>0</v>
      </c>
      <c r="CF12" s="49"/>
      <c r="CG12" s="49"/>
      <c r="CH12" s="50">
        <f t="shared" si="18"/>
        <v>0</v>
      </c>
      <c r="CJ12" s="49"/>
      <c r="CK12" s="49"/>
      <c r="CL12" s="50">
        <f t="shared" si="19"/>
        <v>0</v>
      </c>
      <c r="CN12" s="49"/>
      <c r="CO12" s="49"/>
      <c r="CP12" s="50">
        <f t="shared" si="20"/>
        <v>0</v>
      </c>
      <c r="CR12" s="49"/>
      <c r="CS12" s="49"/>
      <c r="CT12" s="50">
        <f t="shared" si="21"/>
        <v>0</v>
      </c>
      <c r="CV12" s="49"/>
      <c r="CW12" s="49"/>
      <c r="CX12" s="50">
        <f t="shared" si="22"/>
        <v>0</v>
      </c>
      <c r="CZ12" s="49"/>
      <c r="DA12" s="49"/>
      <c r="DB12" s="50">
        <f t="shared" si="23"/>
        <v>0</v>
      </c>
      <c r="DD12" s="49"/>
      <c r="DE12" s="49"/>
      <c r="DF12" s="50">
        <f t="shared" si="24"/>
        <v>0</v>
      </c>
      <c r="DH12" s="49"/>
      <c r="DI12" s="49"/>
      <c r="DJ12" s="50">
        <f t="shared" si="25"/>
        <v>0</v>
      </c>
      <c r="DL12" s="49"/>
      <c r="DM12" s="49"/>
      <c r="DN12" s="50">
        <f t="shared" si="26"/>
        <v>0</v>
      </c>
      <c r="DP12" s="49"/>
      <c r="DQ12" s="49"/>
      <c r="DR12" s="50">
        <f t="shared" si="27"/>
        <v>0</v>
      </c>
      <c r="DT12" s="49"/>
      <c r="DU12" s="49"/>
      <c r="DV12" s="50">
        <f t="shared" si="28"/>
        <v>0</v>
      </c>
      <c r="DX12" s="49"/>
      <c r="DY12" s="49"/>
      <c r="DZ12" s="50">
        <f t="shared" si="29"/>
        <v>0</v>
      </c>
      <c r="EB12" s="49">
        <f t="shared" si="30"/>
        <v>0</v>
      </c>
      <c r="EC12" s="49">
        <f t="shared" si="30"/>
        <v>0</v>
      </c>
      <c r="ED12" s="49">
        <f t="shared" si="30"/>
        <v>0</v>
      </c>
    </row>
    <row r="13" spans="2:134" ht="11" customHeight="1" x14ac:dyDescent="0.35">
      <c r="B13" s="4">
        <v>101835</v>
      </c>
      <c r="C13" s="4" t="s">
        <v>19</v>
      </c>
      <c r="D13" s="4">
        <v>24</v>
      </c>
      <c r="E13" s="5">
        <v>24</v>
      </c>
      <c r="F13" s="6">
        <v>192.453575</v>
      </c>
      <c r="G13" s="7"/>
      <c r="H13" s="49"/>
      <c r="I13" s="49"/>
      <c r="J13" s="50">
        <f t="shared" si="31"/>
        <v>0</v>
      </c>
      <c r="K13" s="9"/>
      <c r="L13" s="49"/>
      <c r="M13" s="49"/>
      <c r="N13" s="50">
        <f t="shared" si="0"/>
        <v>0</v>
      </c>
      <c r="O13" s="46"/>
      <c r="P13" s="49"/>
      <c r="Q13" s="49"/>
      <c r="R13" s="50">
        <f t="shared" si="1"/>
        <v>0</v>
      </c>
      <c r="T13" s="49"/>
      <c r="U13" s="49"/>
      <c r="V13" s="50">
        <f t="shared" si="2"/>
        <v>0</v>
      </c>
      <c r="X13" s="49"/>
      <c r="Y13" s="49"/>
      <c r="Z13" s="50">
        <f t="shared" si="3"/>
        <v>0</v>
      </c>
      <c r="AB13" s="49"/>
      <c r="AC13" s="49"/>
      <c r="AD13" s="50">
        <f t="shared" si="4"/>
        <v>0</v>
      </c>
      <c r="AF13" s="49"/>
      <c r="AG13" s="49"/>
      <c r="AH13" s="50">
        <f t="shared" si="5"/>
        <v>0</v>
      </c>
      <c r="AJ13" s="49"/>
      <c r="AK13" s="49"/>
      <c r="AL13" s="50">
        <f t="shared" si="6"/>
        <v>0</v>
      </c>
      <c r="AN13" s="49"/>
      <c r="AO13" s="49"/>
      <c r="AP13" s="50">
        <f t="shared" si="7"/>
        <v>0</v>
      </c>
      <c r="AR13" s="49"/>
      <c r="AS13" s="49"/>
      <c r="AT13" s="50">
        <f t="shared" si="8"/>
        <v>0</v>
      </c>
      <c r="AV13" s="49"/>
      <c r="AW13" s="49"/>
      <c r="AX13" s="50">
        <f t="shared" si="9"/>
        <v>0</v>
      </c>
      <c r="AZ13" s="49"/>
      <c r="BA13" s="49"/>
      <c r="BB13" s="50">
        <f t="shared" si="10"/>
        <v>0</v>
      </c>
      <c r="BD13" s="49"/>
      <c r="BE13" s="49"/>
      <c r="BF13" s="50">
        <f t="shared" si="11"/>
        <v>0</v>
      </c>
      <c r="BH13" s="49"/>
      <c r="BI13" s="49"/>
      <c r="BJ13" s="50">
        <f t="shared" si="12"/>
        <v>0</v>
      </c>
      <c r="BL13" s="49"/>
      <c r="BM13" s="49"/>
      <c r="BN13" s="50">
        <f t="shared" si="13"/>
        <v>0</v>
      </c>
      <c r="BP13" s="49"/>
      <c r="BQ13" s="49"/>
      <c r="BR13" s="50">
        <f t="shared" si="14"/>
        <v>0</v>
      </c>
      <c r="BT13" s="49"/>
      <c r="BU13" s="49"/>
      <c r="BV13" s="50">
        <f t="shared" si="15"/>
        <v>0</v>
      </c>
      <c r="BX13" s="49"/>
      <c r="BY13" s="49"/>
      <c r="BZ13" s="50">
        <f t="shared" si="16"/>
        <v>0</v>
      </c>
      <c r="CB13" s="49"/>
      <c r="CC13" s="49"/>
      <c r="CD13" s="50">
        <f t="shared" si="17"/>
        <v>0</v>
      </c>
      <c r="CF13" s="49"/>
      <c r="CG13" s="49"/>
      <c r="CH13" s="50">
        <f t="shared" si="18"/>
        <v>0</v>
      </c>
      <c r="CJ13" s="49"/>
      <c r="CK13" s="49"/>
      <c r="CL13" s="50">
        <f t="shared" si="19"/>
        <v>0</v>
      </c>
      <c r="CN13" s="49"/>
      <c r="CO13" s="49"/>
      <c r="CP13" s="50">
        <f t="shared" si="20"/>
        <v>0</v>
      </c>
      <c r="CR13" s="49"/>
      <c r="CS13" s="49"/>
      <c r="CT13" s="50">
        <f t="shared" si="21"/>
        <v>0</v>
      </c>
      <c r="CV13" s="49"/>
      <c r="CW13" s="49"/>
      <c r="CX13" s="50">
        <f t="shared" si="22"/>
        <v>0</v>
      </c>
      <c r="CZ13" s="49"/>
      <c r="DA13" s="49"/>
      <c r="DB13" s="50">
        <f t="shared" si="23"/>
        <v>0</v>
      </c>
      <c r="DD13" s="49"/>
      <c r="DE13" s="49"/>
      <c r="DF13" s="50">
        <f t="shared" si="24"/>
        <v>0</v>
      </c>
      <c r="DH13" s="49"/>
      <c r="DI13" s="49"/>
      <c r="DJ13" s="50">
        <f t="shared" si="25"/>
        <v>0</v>
      </c>
      <c r="DL13" s="49"/>
      <c r="DM13" s="49"/>
      <c r="DN13" s="50">
        <f t="shared" si="26"/>
        <v>0</v>
      </c>
      <c r="DP13" s="49"/>
      <c r="DQ13" s="49"/>
      <c r="DR13" s="50">
        <f t="shared" si="27"/>
        <v>0</v>
      </c>
      <c r="DT13" s="49"/>
      <c r="DU13" s="49"/>
      <c r="DV13" s="50">
        <f t="shared" si="28"/>
        <v>0</v>
      </c>
      <c r="DX13" s="49"/>
      <c r="DY13" s="49"/>
      <c r="DZ13" s="50">
        <f t="shared" si="29"/>
        <v>0</v>
      </c>
      <c r="EB13" s="49">
        <f t="shared" si="30"/>
        <v>0</v>
      </c>
      <c r="EC13" s="49">
        <f t="shared" si="30"/>
        <v>0</v>
      </c>
      <c r="ED13" s="49">
        <f t="shared" si="30"/>
        <v>0</v>
      </c>
    </row>
    <row r="14" spans="2:134" ht="11" customHeight="1" x14ac:dyDescent="0.35">
      <c r="B14" s="4">
        <v>101861</v>
      </c>
      <c r="C14" s="4" t="s">
        <v>20</v>
      </c>
      <c r="D14" s="4">
        <v>24</v>
      </c>
      <c r="E14" s="5">
        <v>12</v>
      </c>
      <c r="F14" s="6">
        <v>187.195471164</v>
      </c>
      <c r="G14" s="7"/>
      <c r="H14" s="49"/>
      <c r="I14" s="49"/>
      <c r="J14" s="50">
        <f t="shared" si="31"/>
        <v>0</v>
      </c>
      <c r="K14" s="9"/>
      <c r="L14" s="49"/>
      <c r="M14" s="49"/>
      <c r="N14" s="50">
        <f t="shared" si="0"/>
        <v>0</v>
      </c>
      <c r="O14" s="46"/>
      <c r="P14" s="49"/>
      <c r="Q14" s="49"/>
      <c r="R14" s="50">
        <f t="shared" si="1"/>
        <v>0</v>
      </c>
      <c r="T14" s="49"/>
      <c r="U14" s="49"/>
      <c r="V14" s="50">
        <f t="shared" si="2"/>
        <v>0</v>
      </c>
      <c r="X14" s="49"/>
      <c r="Y14" s="49"/>
      <c r="Z14" s="50">
        <f t="shared" si="3"/>
        <v>0</v>
      </c>
      <c r="AB14" s="49"/>
      <c r="AC14" s="49"/>
      <c r="AD14" s="50">
        <f t="shared" si="4"/>
        <v>0</v>
      </c>
      <c r="AF14" s="49"/>
      <c r="AG14" s="49"/>
      <c r="AH14" s="50">
        <f t="shared" si="5"/>
        <v>0</v>
      </c>
      <c r="AJ14" s="49"/>
      <c r="AK14" s="49"/>
      <c r="AL14" s="50">
        <f t="shared" si="6"/>
        <v>0</v>
      </c>
      <c r="AN14" s="49"/>
      <c r="AO14" s="49"/>
      <c r="AP14" s="50">
        <f t="shared" si="7"/>
        <v>0</v>
      </c>
      <c r="AR14" s="49"/>
      <c r="AS14" s="49"/>
      <c r="AT14" s="50">
        <f t="shared" si="8"/>
        <v>0</v>
      </c>
      <c r="AV14" s="49"/>
      <c r="AW14" s="49"/>
      <c r="AX14" s="50">
        <f t="shared" si="9"/>
        <v>0</v>
      </c>
      <c r="AZ14" s="49"/>
      <c r="BA14" s="49"/>
      <c r="BB14" s="50">
        <f t="shared" si="10"/>
        <v>0</v>
      </c>
      <c r="BD14" s="49"/>
      <c r="BE14" s="49"/>
      <c r="BF14" s="50">
        <f t="shared" si="11"/>
        <v>0</v>
      </c>
      <c r="BH14" s="49"/>
      <c r="BI14" s="49"/>
      <c r="BJ14" s="50">
        <f t="shared" si="12"/>
        <v>0</v>
      </c>
      <c r="BL14" s="49"/>
      <c r="BM14" s="49"/>
      <c r="BN14" s="50">
        <f t="shared" si="13"/>
        <v>0</v>
      </c>
      <c r="BP14" s="49"/>
      <c r="BQ14" s="49"/>
      <c r="BR14" s="50">
        <f t="shared" si="14"/>
        <v>0</v>
      </c>
      <c r="BT14" s="49"/>
      <c r="BU14" s="49"/>
      <c r="BV14" s="50">
        <f t="shared" si="15"/>
        <v>0</v>
      </c>
      <c r="BX14" s="49"/>
      <c r="BY14" s="49"/>
      <c r="BZ14" s="50">
        <f t="shared" si="16"/>
        <v>0</v>
      </c>
      <c r="CB14" s="49"/>
      <c r="CC14" s="49"/>
      <c r="CD14" s="50">
        <f t="shared" si="17"/>
        <v>0</v>
      </c>
      <c r="CF14" s="49"/>
      <c r="CG14" s="49"/>
      <c r="CH14" s="50">
        <f t="shared" si="18"/>
        <v>0</v>
      </c>
      <c r="CJ14" s="49"/>
      <c r="CK14" s="49"/>
      <c r="CL14" s="50">
        <f t="shared" si="19"/>
        <v>0</v>
      </c>
      <c r="CN14" s="49"/>
      <c r="CO14" s="49"/>
      <c r="CP14" s="50">
        <f t="shared" si="20"/>
        <v>0</v>
      </c>
      <c r="CR14" s="49"/>
      <c r="CS14" s="49"/>
      <c r="CT14" s="50">
        <f t="shared" si="21"/>
        <v>0</v>
      </c>
      <c r="CV14" s="49"/>
      <c r="CW14" s="49"/>
      <c r="CX14" s="50">
        <f t="shared" si="22"/>
        <v>0</v>
      </c>
      <c r="CZ14" s="49"/>
      <c r="DA14" s="49"/>
      <c r="DB14" s="50">
        <f t="shared" si="23"/>
        <v>0</v>
      </c>
      <c r="DD14" s="49"/>
      <c r="DE14" s="49"/>
      <c r="DF14" s="50">
        <f t="shared" si="24"/>
        <v>0</v>
      </c>
      <c r="DH14" s="49"/>
      <c r="DI14" s="49"/>
      <c r="DJ14" s="50">
        <f t="shared" si="25"/>
        <v>0</v>
      </c>
      <c r="DL14" s="49"/>
      <c r="DM14" s="49"/>
      <c r="DN14" s="50">
        <f t="shared" si="26"/>
        <v>0</v>
      </c>
      <c r="DP14" s="49"/>
      <c r="DQ14" s="49"/>
      <c r="DR14" s="50">
        <f t="shared" si="27"/>
        <v>0</v>
      </c>
      <c r="DT14" s="49"/>
      <c r="DU14" s="49"/>
      <c r="DV14" s="50">
        <f t="shared" si="28"/>
        <v>0</v>
      </c>
      <c r="DX14" s="49"/>
      <c r="DY14" s="49"/>
      <c r="DZ14" s="50">
        <f t="shared" si="29"/>
        <v>0</v>
      </c>
      <c r="EB14" s="49">
        <f t="shared" si="30"/>
        <v>0</v>
      </c>
      <c r="EC14" s="49">
        <f t="shared" si="30"/>
        <v>0</v>
      </c>
      <c r="ED14" s="49">
        <f t="shared" si="30"/>
        <v>0</v>
      </c>
    </row>
    <row r="15" spans="2:134" ht="11" customHeight="1" x14ac:dyDescent="0.35">
      <c r="B15" s="4">
        <v>101879</v>
      </c>
      <c r="C15" s="4" t="s">
        <v>21</v>
      </c>
      <c r="D15" s="4">
        <v>18</v>
      </c>
      <c r="E15" s="5">
        <v>18</v>
      </c>
      <c r="F15" s="6">
        <v>288.68044392000002</v>
      </c>
      <c r="G15" s="7"/>
      <c r="H15" s="49"/>
      <c r="I15" s="49"/>
      <c r="J15" s="50">
        <f t="shared" si="31"/>
        <v>0</v>
      </c>
      <c r="K15" s="9"/>
      <c r="L15" s="49"/>
      <c r="M15" s="49"/>
      <c r="N15" s="50">
        <f t="shared" si="0"/>
        <v>0</v>
      </c>
      <c r="O15" s="46"/>
      <c r="P15" s="49"/>
      <c r="Q15" s="49"/>
      <c r="R15" s="50">
        <f t="shared" si="1"/>
        <v>0</v>
      </c>
      <c r="T15" s="49"/>
      <c r="U15" s="49"/>
      <c r="V15" s="50">
        <f t="shared" si="2"/>
        <v>0</v>
      </c>
      <c r="X15" s="49"/>
      <c r="Y15" s="49"/>
      <c r="Z15" s="50">
        <f t="shared" si="3"/>
        <v>0</v>
      </c>
      <c r="AB15" s="49"/>
      <c r="AC15" s="49"/>
      <c r="AD15" s="50">
        <f t="shared" si="4"/>
        <v>0</v>
      </c>
      <c r="AF15" s="49"/>
      <c r="AG15" s="49"/>
      <c r="AH15" s="50">
        <f t="shared" si="5"/>
        <v>0</v>
      </c>
      <c r="AJ15" s="49"/>
      <c r="AK15" s="49"/>
      <c r="AL15" s="50">
        <f t="shared" si="6"/>
        <v>0</v>
      </c>
      <c r="AN15" s="49"/>
      <c r="AO15" s="49"/>
      <c r="AP15" s="50">
        <f t="shared" si="7"/>
        <v>0</v>
      </c>
      <c r="AR15" s="49"/>
      <c r="AS15" s="49"/>
      <c r="AT15" s="50">
        <f t="shared" si="8"/>
        <v>0</v>
      </c>
      <c r="AV15" s="49"/>
      <c r="AW15" s="49"/>
      <c r="AX15" s="50">
        <f t="shared" si="9"/>
        <v>0</v>
      </c>
      <c r="AZ15" s="49"/>
      <c r="BA15" s="49"/>
      <c r="BB15" s="50">
        <f t="shared" si="10"/>
        <v>0</v>
      </c>
      <c r="BD15" s="49"/>
      <c r="BE15" s="49"/>
      <c r="BF15" s="50">
        <f t="shared" si="11"/>
        <v>0</v>
      </c>
      <c r="BH15" s="49"/>
      <c r="BI15" s="49"/>
      <c r="BJ15" s="50">
        <f t="shared" si="12"/>
        <v>0</v>
      </c>
      <c r="BL15" s="49"/>
      <c r="BM15" s="49"/>
      <c r="BN15" s="50">
        <f t="shared" si="13"/>
        <v>0</v>
      </c>
      <c r="BP15" s="49"/>
      <c r="BQ15" s="49"/>
      <c r="BR15" s="50">
        <f t="shared" si="14"/>
        <v>0</v>
      </c>
      <c r="BT15" s="49"/>
      <c r="BU15" s="49"/>
      <c r="BV15" s="50">
        <f t="shared" si="15"/>
        <v>0</v>
      </c>
      <c r="BX15" s="49"/>
      <c r="BY15" s="49"/>
      <c r="BZ15" s="50">
        <f t="shared" si="16"/>
        <v>0</v>
      </c>
      <c r="CB15" s="49"/>
      <c r="CC15" s="49"/>
      <c r="CD15" s="50">
        <f t="shared" si="17"/>
        <v>0</v>
      </c>
      <c r="CF15" s="49"/>
      <c r="CG15" s="49"/>
      <c r="CH15" s="50">
        <f t="shared" si="18"/>
        <v>0</v>
      </c>
      <c r="CJ15" s="49"/>
      <c r="CK15" s="49"/>
      <c r="CL15" s="50">
        <f t="shared" si="19"/>
        <v>0</v>
      </c>
      <c r="CN15" s="49"/>
      <c r="CO15" s="49"/>
      <c r="CP15" s="50">
        <f t="shared" si="20"/>
        <v>0</v>
      </c>
      <c r="CR15" s="49"/>
      <c r="CS15" s="49"/>
      <c r="CT15" s="50">
        <f t="shared" si="21"/>
        <v>0</v>
      </c>
      <c r="CV15" s="49"/>
      <c r="CW15" s="49"/>
      <c r="CX15" s="50">
        <f t="shared" si="22"/>
        <v>0</v>
      </c>
      <c r="CZ15" s="49"/>
      <c r="DA15" s="49"/>
      <c r="DB15" s="50">
        <f t="shared" si="23"/>
        <v>0</v>
      </c>
      <c r="DD15" s="49"/>
      <c r="DE15" s="49"/>
      <c r="DF15" s="50">
        <f t="shared" si="24"/>
        <v>0</v>
      </c>
      <c r="DH15" s="49"/>
      <c r="DI15" s="49"/>
      <c r="DJ15" s="50">
        <f t="shared" si="25"/>
        <v>0</v>
      </c>
      <c r="DL15" s="49"/>
      <c r="DM15" s="49"/>
      <c r="DN15" s="50">
        <f t="shared" si="26"/>
        <v>0</v>
      </c>
      <c r="DP15" s="49"/>
      <c r="DQ15" s="49"/>
      <c r="DR15" s="50">
        <f t="shared" si="27"/>
        <v>0</v>
      </c>
      <c r="DT15" s="49"/>
      <c r="DU15" s="49"/>
      <c r="DV15" s="50">
        <f t="shared" si="28"/>
        <v>0</v>
      </c>
      <c r="DX15" s="49"/>
      <c r="DY15" s="49"/>
      <c r="DZ15" s="50">
        <f t="shared" si="29"/>
        <v>0</v>
      </c>
      <c r="EB15" s="49">
        <f t="shared" si="30"/>
        <v>0</v>
      </c>
      <c r="EC15" s="49">
        <f t="shared" si="30"/>
        <v>0</v>
      </c>
      <c r="ED15" s="49">
        <f t="shared" si="30"/>
        <v>0</v>
      </c>
    </row>
    <row r="16" spans="2:134" ht="11" customHeight="1" x14ac:dyDescent="0.35">
      <c r="B16" s="4">
        <v>101930</v>
      </c>
      <c r="C16" s="4" t="s">
        <v>22</v>
      </c>
      <c r="D16" s="4">
        <v>12</v>
      </c>
      <c r="E16" s="5">
        <v>8</v>
      </c>
      <c r="F16" s="6">
        <v>481.13467500000002</v>
      </c>
      <c r="G16" s="7"/>
      <c r="H16" s="49"/>
      <c r="I16" s="49"/>
      <c r="J16" s="50">
        <f t="shared" si="31"/>
        <v>0</v>
      </c>
      <c r="K16" s="9"/>
      <c r="L16" s="49"/>
      <c r="M16" s="49"/>
      <c r="N16" s="50">
        <f t="shared" si="0"/>
        <v>0</v>
      </c>
      <c r="O16" s="46"/>
      <c r="P16" s="49"/>
      <c r="Q16" s="49"/>
      <c r="R16" s="50">
        <f t="shared" si="1"/>
        <v>0</v>
      </c>
      <c r="T16" s="49"/>
      <c r="U16" s="49"/>
      <c r="V16" s="50">
        <f t="shared" si="2"/>
        <v>0</v>
      </c>
      <c r="X16" s="49"/>
      <c r="Y16" s="49"/>
      <c r="Z16" s="50">
        <f t="shared" si="3"/>
        <v>0</v>
      </c>
      <c r="AB16" s="49"/>
      <c r="AC16" s="49"/>
      <c r="AD16" s="50">
        <f t="shared" si="4"/>
        <v>0</v>
      </c>
      <c r="AF16" s="49"/>
      <c r="AG16" s="49"/>
      <c r="AH16" s="50">
        <f t="shared" si="5"/>
        <v>0</v>
      </c>
      <c r="AJ16" s="49"/>
      <c r="AK16" s="49"/>
      <c r="AL16" s="50">
        <f t="shared" si="6"/>
        <v>0</v>
      </c>
      <c r="AN16" s="49"/>
      <c r="AO16" s="49"/>
      <c r="AP16" s="50">
        <f t="shared" si="7"/>
        <v>0</v>
      </c>
      <c r="AR16" s="49"/>
      <c r="AS16" s="49"/>
      <c r="AT16" s="50">
        <f t="shared" si="8"/>
        <v>0</v>
      </c>
      <c r="AV16" s="49"/>
      <c r="AW16" s="49"/>
      <c r="AX16" s="50">
        <f t="shared" si="9"/>
        <v>0</v>
      </c>
      <c r="AZ16" s="49"/>
      <c r="BA16" s="49"/>
      <c r="BB16" s="50">
        <f t="shared" si="10"/>
        <v>0</v>
      </c>
      <c r="BD16" s="49"/>
      <c r="BE16" s="49"/>
      <c r="BF16" s="50">
        <f t="shared" si="11"/>
        <v>0</v>
      </c>
      <c r="BH16" s="49"/>
      <c r="BI16" s="49"/>
      <c r="BJ16" s="50">
        <f t="shared" si="12"/>
        <v>0</v>
      </c>
      <c r="BL16" s="49"/>
      <c r="BM16" s="49"/>
      <c r="BN16" s="50">
        <f t="shared" si="13"/>
        <v>0</v>
      </c>
      <c r="BP16" s="49"/>
      <c r="BQ16" s="49"/>
      <c r="BR16" s="50">
        <f t="shared" si="14"/>
        <v>0</v>
      </c>
      <c r="BT16" s="49"/>
      <c r="BU16" s="49"/>
      <c r="BV16" s="50">
        <f t="shared" si="15"/>
        <v>0</v>
      </c>
      <c r="BX16" s="49"/>
      <c r="BY16" s="49"/>
      <c r="BZ16" s="50">
        <f t="shared" si="16"/>
        <v>0</v>
      </c>
      <c r="CB16" s="49"/>
      <c r="CC16" s="49"/>
      <c r="CD16" s="50">
        <f t="shared" si="17"/>
        <v>0</v>
      </c>
      <c r="CF16" s="49"/>
      <c r="CG16" s="49"/>
      <c r="CH16" s="50">
        <f t="shared" si="18"/>
        <v>0</v>
      </c>
      <c r="CJ16" s="49"/>
      <c r="CK16" s="49"/>
      <c r="CL16" s="50">
        <f t="shared" si="19"/>
        <v>0</v>
      </c>
      <c r="CN16" s="49"/>
      <c r="CO16" s="49"/>
      <c r="CP16" s="50">
        <f t="shared" si="20"/>
        <v>0</v>
      </c>
      <c r="CR16" s="49"/>
      <c r="CS16" s="49"/>
      <c r="CT16" s="50">
        <f t="shared" si="21"/>
        <v>0</v>
      </c>
      <c r="CV16" s="49"/>
      <c r="CW16" s="49"/>
      <c r="CX16" s="50">
        <f t="shared" si="22"/>
        <v>0</v>
      </c>
      <c r="CZ16" s="49"/>
      <c r="DA16" s="49"/>
      <c r="DB16" s="50">
        <f t="shared" si="23"/>
        <v>0</v>
      </c>
      <c r="DD16" s="49"/>
      <c r="DE16" s="49"/>
      <c r="DF16" s="50">
        <f t="shared" si="24"/>
        <v>0</v>
      </c>
      <c r="DH16" s="49"/>
      <c r="DI16" s="49"/>
      <c r="DJ16" s="50">
        <f t="shared" si="25"/>
        <v>0</v>
      </c>
      <c r="DL16" s="49"/>
      <c r="DM16" s="49"/>
      <c r="DN16" s="50">
        <f t="shared" si="26"/>
        <v>0</v>
      </c>
      <c r="DP16" s="49"/>
      <c r="DQ16" s="49"/>
      <c r="DR16" s="50">
        <f t="shared" si="27"/>
        <v>0</v>
      </c>
      <c r="DT16" s="49"/>
      <c r="DU16" s="49"/>
      <c r="DV16" s="50">
        <f t="shared" si="28"/>
        <v>0</v>
      </c>
      <c r="DX16" s="49"/>
      <c r="DY16" s="49"/>
      <c r="DZ16" s="50">
        <f t="shared" si="29"/>
        <v>0</v>
      </c>
      <c r="EB16" s="49">
        <f t="shared" si="30"/>
        <v>0</v>
      </c>
      <c r="EC16" s="49">
        <f t="shared" si="30"/>
        <v>0</v>
      </c>
      <c r="ED16" s="49">
        <f t="shared" si="30"/>
        <v>0</v>
      </c>
    </row>
    <row r="17" spans="2:134" ht="11" customHeight="1" x14ac:dyDescent="0.35">
      <c r="B17" s="4">
        <v>101931</v>
      </c>
      <c r="C17" s="4" t="s">
        <v>23</v>
      </c>
      <c r="D17" s="4">
        <v>12</v>
      </c>
      <c r="E17" s="5">
        <v>8</v>
      </c>
      <c r="F17" s="6">
        <v>481.13467500000002</v>
      </c>
      <c r="G17" s="7"/>
      <c r="H17" s="49"/>
      <c r="I17" s="49"/>
      <c r="J17" s="50">
        <f t="shared" si="31"/>
        <v>0</v>
      </c>
      <c r="K17" s="9"/>
      <c r="L17" s="49"/>
      <c r="M17" s="49"/>
      <c r="N17" s="50">
        <f t="shared" si="0"/>
        <v>0</v>
      </c>
      <c r="O17" s="46"/>
      <c r="P17" s="49"/>
      <c r="Q17" s="49"/>
      <c r="R17" s="50">
        <f t="shared" si="1"/>
        <v>0</v>
      </c>
      <c r="T17" s="49"/>
      <c r="U17" s="49"/>
      <c r="V17" s="50">
        <f t="shared" si="2"/>
        <v>0</v>
      </c>
      <c r="X17" s="49"/>
      <c r="Y17" s="49"/>
      <c r="Z17" s="50">
        <f t="shared" si="3"/>
        <v>0</v>
      </c>
      <c r="AB17" s="49"/>
      <c r="AC17" s="49"/>
      <c r="AD17" s="50">
        <f t="shared" si="4"/>
        <v>0</v>
      </c>
      <c r="AF17" s="49"/>
      <c r="AG17" s="49"/>
      <c r="AH17" s="50">
        <f t="shared" si="5"/>
        <v>0</v>
      </c>
      <c r="AJ17" s="49"/>
      <c r="AK17" s="49"/>
      <c r="AL17" s="50">
        <f t="shared" si="6"/>
        <v>0</v>
      </c>
      <c r="AN17" s="49"/>
      <c r="AO17" s="49"/>
      <c r="AP17" s="50">
        <f t="shared" si="7"/>
        <v>0</v>
      </c>
      <c r="AR17" s="49"/>
      <c r="AS17" s="49"/>
      <c r="AT17" s="50">
        <f t="shared" si="8"/>
        <v>0</v>
      </c>
      <c r="AV17" s="49"/>
      <c r="AW17" s="49"/>
      <c r="AX17" s="50">
        <f t="shared" si="9"/>
        <v>0</v>
      </c>
      <c r="AZ17" s="49"/>
      <c r="BA17" s="49"/>
      <c r="BB17" s="50">
        <f t="shared" si="10"/>
        <v>0</v>
      </c>
      <c r="BD17" s="49"/>
      <c r="BE17" s="49"/>
      <c r="BF17" s="50">
        <f t="shared" si="11"/>
        <v>0</v>
      </c>
      <c r="BH17" s="49"/>
      <c r="BI17" s="49"/>
      <c r="BJ17" s="50">
        <f t="shared" si="12"/>
        <v>0</v>
      </c>
      <c r="BL17" s="49"/>
      <c r="BM17" s="49"/>
      <c r="BN17" s="50">
        <f t="shared" si="13"/>
        <v>0</v>
      </c>
      <c r="BP17" s="49"/>
      <c r="BQ17" s="49"/>
      <c r="BR17" s="50">
        <f t="shared" si="14"/>
        <v>0</v>
      </c>
      <c r="BT17" s="49"/>
      <c r="BU17" s="49"/>
      <c r="BV17" s="50">
        <f t="shared" si="15"/>
        <v>0</v>
      </c>
      <c r="BX17" s="49"/>
      <c r="BY17" s="49"/>
      <c r="BZ17" s="50">
        <f t="shared" si="16"/>
        <v>0</v>
      </c>
      <c r="CB17" s="49"/>
      <c r="CC17" s="49"/>
      <c r="CD17" s="50">
        <f t="shared" si="17"/>
        <v>0</v>
      </c>
      <c r="CF17" s="49"/>
      <c r="CG17" s="49"/>
      <c r="CH17" s="50">
        <f t="shared" si="18"/>
        <v>0</v>
      </c>
      <c r="CJ17" s="49"/>
      <c r="CK17" s="49"/>
      <c r="CL17" s="50">
        <f t="shared" si="19"/>
        <v>0</v>
      </c>
      <c r="CN17" s="49"/>
      <c r="CO17" s="49"/>
      <c r="CP17" s="50">
        <f t="shared" si="20"/>
        <v>0</v>
      </c>
      <c r="CR17" s="49"/>
      <c r="CS17" s="49"/>
      <c r="CT17" s="50">
        <f t="shared" si="21"/>
        <v>0</v>
      </c>
      <c r="CV17" s="49"/>
      <c r="CW17" s="49"/>
      <c r="CX17" s="50">
        <f t="shared" si="22"/>
        <v>0</v>
      </c>
      <c r="CZ17" s="49"/>
      <c r="DA17" s="49"/>
      <c r="DB17" s="50">
        <f t="shared" si="23"/>
        <v>0</v>
      </c>
      <c r="DD17" s="49"/>
      <c r="DE17" s="49"/>
      <c r="DF17" s="50">
        <f t="shared" si="24"/>
        <v>0</v>
      </c>
      <c r="DH17" s="49"/>
      <c r="DI17" s="49"/>
      <c r="DJ17" s="50">
        <f t="shared" si="25"/>
        <v>0</v>
      </c>
      <c r="DL17" s="49"/>
      <c r="DM17" s="49"/>
      <c r="DN17" s="50">
        <f t="shared" si="26"/>
        <v>0</v>
      </c>
      <c r="DP17" s="49"/>
      <c r="DQ17" s="49"/>
      <c r="DR17" s="50">
        <f t="shared" si="27"/>
        <v>0</v>
      </c>
      <c r="DT17" s="49"/>
      <c r="DU17" s="49"/>
      <c r="DV17" s="50">
        <f t="shared" si="28"/>
        <v>0</v>
      </c>
      <c r="DX17" s="49"/>
      <c r="DY17" s="49"/>
      <c r="DZ17" s="50">
        <f t="shared" si="29"/>
        <v>0</v>
      </c>
      <c r="EB17" s="49">
        <f t="shared" si="30"/>
        <v>0</v>
      </c>
      <c r="EC17" s="49">
        <f t="shared" si="30"/>
        <v>0</v>
      </c>
      <c r="ED17" s="49">
        <f t="shared" si="30"/>
        <v>0</v>
      </c>
    </row>
    <row r="18" spans="2:134" ht="11" customHeight="1" x14ac:dyDescent="0.35">
      <c r="B18" s="4">
        <v>101932</v>
      </c>
      <c r="C18" s="4" t="s">
        <v>24</v>
      </c>
      <c r="D18" s="4">
        <v>12</v>
      </c>
      <c r="E18" s="5">
        <v>8</v>
      </c>
      <c r="F18" s="6">
        <v>481.13467500000002</v>
      </c>
      <c r="G18" s="7"/>
      <c r="H18" s="49"/>
      <c r="I18" s="49"/>
      <c r="J18" s="50">
        <f t="shared" si="31"/>
        <v>0</v>
      </c>
      <c r="K18" s="9"/>
      <c r="L18" s="49"/>
      <c r="M18" s="49"/>
      <c r="N18" s="50">
        <f t="shared" si="0"/>
        <v>0</v>
      </c>
      <c r="O18" s="46"/>
      <c r="P18" s="49"/>
      <c r="Q18" s="49"/>
      <c r="R18" s="50">
        <f t="shared" si="1"/>
        <v>0</v>
      </c>
      <c r="T18" s="49"/>
      <c r="U18" s="49"/>
      <c r="V18" s="50">
        <f t="shared" si="2"/>
        <v>0</v>
      </c>
      <c r="X18" s="49"/>
      <c r="Y18" s="49"/>
      <c r="Z18" s="50">
        <f t="shared" si="3"/>
        <v>0</v>
      </c>
      <c r="AB18" s="49"/>
      <c r="AC18" s="49"/>
      <c r="AD18" s="50">
        <f t="shared" si="4"/>
        <v>0</v>
      </c>
      <c r="AF18" s="49"/>
      <c r="AG18" s="49"/>
      <c r="AH18" s="50">
        <f t="shared" si="5"/>
        <v>0</v>
      </c>
      <c r="AJ18" s="49"/>
      <c r="AK18" s="49"/>
      <c r="AL18" s="50">
        <f t="shared" si="6"/>
        <v>0</v>
      </c>
      <c r="AN18" s="49"/>
      <c r="AO18" s="49"/>
      <c r="AP18" s="50">
        <f t="shared" si="7"/>
        <v>0</v>
      </c>
      <c r="AR18" s="49"/>
      <c r="AS18" s="49"/>
      <c r="AT18" s="50">
        <f t="shared" si="8"/>
        <v>0</v>
      </c>
      <c r="AV18" s="49"/>
      <c r="AW18" s="49"/>
      <c r="AX18" s="50">
        <f t="shared" si="9"/>
        <v>0</v>
      </c>
      <c r="AZ18" s="49"/>
      <c r="BA18" s="49"/>
      <c r="BB18" s="50">
        <f t="shared" si="10"/>
        <v>0</v>
      </c>
      <c r="BD18" s="49"/>
      <c r="BE18" s="49"/>
      <c r="BF18" s="50">
        <f t="shared" si="11"/>
        <v>0</v>
      </c>
      <c r="BH18" s="49"/>
      <c r="BI18" s="49"/>
      <c r="BJ18" s="50">
        <f t="shared" si="12"/>
        <v>0</v>
      </c>
      <c r="BL18" s="49"/>
      <c r="BM18" s="49"/>
      <c r="BN18" s="50">
        <f t="shared" si="13"/>
        <v>0</v>
      </c>
      <c r="BP18" s="49"/>
      <c r="BQ18" s="49"/>
      <c r="BR18" s="50">
        <f t="shared" si="14"/>
        <v>0</v>
      </c>
      <c r="BT18" s="49"/>
      <c r="BU18" s="49"/>
      <c r="BV18" s="50">
        <f t="shared" si="15"/>
        <v>0</v>
      </c>
      <c r="BX18" s="49"/>
      <c r="BY18" s="49"/>
      <c r="BZ18" s="50">
        <f t="shared" si="16"/>
        <v>0</v>
      </c>
      <c r="CB18" s="49"/>
      <c r="CC18" s="49"/>
      <c r="CD18" s="50">
        <f t="shared" si="17"/>
        <v>0</v>
      </c>
      <c r="CF18" s="49"/>
      <c r="CG18" s="49"/>
      <c r="CH18" s="50">
        <f t="shared" si="18"/>
        <v>0</v>
      </c>
      <c r="CJ18" s="49"/>
      <c r="CK18" s="49"/>
      <c r="CL18" s="50">
        <f t="shared" si="19"/>
        <v>0</v>
      </c>
      <c r="CN18" s="49"/>
      <c r="CO18" s="49"/>
      <c r="CP18" s="50">
        <f t="shared" si="20"/>
        <v>0</v>
      </c>
      <c r="CR18" s="49"/>
      <c r="CS18" s="49"/>
      <c r="CT18" s="50">
        <f t="shared" si="21"/>
        <v>0</v>
      </c>
      <c r="CV18" s="49"/>
      <c r="CW18" s="49"/>
      <c r="CX18" s="50">
        <f t="shared" si="22"/>
        <v>0</v>
      </c>
      <c r="CZ18" s="49"/>
      <c r="DA18" s="49"/>
      <c r="DB18" s="50">
        <f t="shared" si="23"/>
        <v>0</v>
      </c>
      <c r="DD18" s="49"/>
      <c r="DE18" s="49"/>
      <c r="DF18" s="50">
        <f t="shared" si="24"/>
        <v>0</v>
      </c>
      <c r="DH18" s="49"/>
      <c r="DI18" s="49"/>
      <c r="DJ18" s="50">
        <f t="shared" si="25"/>
        <v>0</v>
      </c>
      <c r="DL18" s="49"/>
      <c r="DM18" s="49"/>
      <c r="DN18" s="50">
        <f t="shared" si="26"/>
        <v>0</v>
      </c>
      <c r="DP18" s="49"/>
      <c r="DQ18" s="49"/>
      <c r="DR18" s="50">
        <f t="shared" si="27"/>
        <v>0</v>
      </c>
      <c r="DT18" s="49"/>
      <c r="DU18" s="49"/>
      <c r="DV18" s="50">
        <f t="shared" si="28"/>
        <v>0</v>
      </c>
      <c r="DX18" s="49"/>
      <c r="DY18" s="49"/>
      <c r="DZ18" s="50">
        <f t="shared" si="29"/>
        <v>0</v>
      </c>
      <c r="EB18" s="49">
        <f t="shared" si="30"/>
        <v>0</v>
      </c>
      <c r="EC18" s="49">
        <f t="shared" si="30"/>
        <v>0</v>
      </c>
      <c r="ED18" s="49">
        <f t="shared" si="30"/>
        <v>0</v>
      </c>
    </row>
    <row r="19" spans="2:134" ht="11" customHeight="1" x14ac:dyDescent="0.35">
      <c r="B19" s="4">
        <v>101933</v>
      </c>
      <c r="C19" s="4" t="s">
        <v>25</v>
      </c>
      <c r="D19" s="4">
        <v>12</v>
      </c>
      <c r="E19" s="5">
        <v>8</v>
      </c>
      <c r="F19" s="6">
        <v>481.13467500000002</v>
      </c>
      <c r="G19" s="7"/>
      <c r="H19" s="49"/>
      <c r="I19" s="49"/>
      <c r="J19" s="50">
        <f t="shared" si="31"/>
        <v>0</v>
      </c>
      <c r="K19" s="9"/>
      <c r="L19" s="49"/>
      <c r="M19" s="49"/>
      <c r="N19" s="50">
        <f t="shared" si="0"/>
        <v>0</v>
      </c>
      <c r="O19" s="46"/>
      <c r="P19" s="49"/>
      <c r="Q19" s="49"/>
      <c r="R19" s="50">
        <f t="shared" si="1"/>
        <v>0</v>
      </c>
      <c r="T19" s="49"/>
      <c r="U19" s="49"/>
      <c r="V19" s="50">
        <f t="shared" si="2"/>
        <v>0</v>
      </c>
      <c r="X19" s="49"/>
      <c r="Y19" s="49"/>
      <c r="Z19" s="50">
        <f t="shared" si="3"/>
        <v>0</v>
      </c>
      <c r="AB19" s="49"/>
      <c r="AC19" s="49"/>
      <c r="AD19" s="50">
        <f t="shared" si="4"/>
        <v>0</v>
      </c>
      <c r="AF19" s="49"/>
      <c r="AG19" s="49"/>
      <c r="AH19" s="50">
        <f t="shared" si="5"/>
        <v>0</v>
      </c>
      <c r="AJ19" s="49"/>
      <c r="AK19" s="49"/>
      <c r="AL19" s="50">
        <f t="shared" si="6"/>
        <v>0</v>
      </c>
      <c r="AN19" s="49"/>
      <c r="AO19" s="49"/>
      <c r="AP19" s="50">
        <f t="shared" si="7"/>
        <v>0</v>
      </c>
      <c r="AR19" s="49"/>
      <c r="AS19" s="49"/>
      <c r="AT19" s="50">
        <f t="shared" si="8"/>
        <v>0</v>
      </c>
      <c r="AV19" s="49"/>
      <c r="AW19" s="49"/>
      <c r="AX19" s="50">
        <f t="shared" si="9"/>
        <v>0</v>
      </c>
      <c r="AZ19" s="49"/>
      <c r="BA19" s="49"/>
      <c r="BB19" s="50">
        <f t="shared" si="10"/>
        <v>0</v>
      </c>
      <c r="BD19" s="49"/>
      <c r="BE19" s="49"/>
      <c r="BF19" s="50">
        <f t="shared" si="11"/>
        <v>0</v>
      </c>
      <c r="BH19" s="49"/>
      <c r="BI19" s="49"/>
      <c r="BJ19" s="50">
        <f t="shared" si="12"/>
        <v>0</v>
      </c>
      <c r="BL19" s="49"/>
      <c r="BM19" s="49"/>
      <c r="BN19" s="50">
        <f t="shared" si="13"/>
        <v>0</v>
      </c>
      <c r="BP19" s="49"/>
      <c r="BQ19" s="49"/>
      <c r="BR19" s="50">
        <f t="shared" si="14"/>
        <v>0</v>
      </c>
      <c r="BT19" s="49"/>
      <c r="BU19" s="49"/>
      <c r="BV19" s="50">
        <f t="shared" si="15"/>
        <v>0</v>
      </c>
      <c r="BX19" s="49"/>
      <c r="BY19" s="49"/>
      <c r="BZ19" s="50">
        <f t="shared" si="16"/>
        <v>0</v>
      </c>
      <c r="CB19" s="49"/>
      <c r="CC19" s="49"/>
      <c r="CD19" s="50">
        <f t="shared" si="17"/>
        <v>0</v>
      </c>
      <c r="CF19" s="49"/>
      <c r="CG19" s="49"/>
      <c r="CH19" s="50">
        <f t="shared" si="18"/>
        <v>0</v>
      </c>
      <c r="CJ19" s="49"/>
      <c r="CK19" s="49"/>
      <c r="CL19" s="50">
        <f t="shared" si="19"/>
        <v>0</v>
      </c>
      <c r="CN19" s="49"/>
      <c r="CO19" s="49"/>
      <c r="CP19" s="50">
        <f t="shared" si="20"/>
        <v>0</v>
      </c>
      <c r="CR19" s="49"/>
      <c r="CS19" s="49"/>
      <c r="CT19" s="50">
        <f t="shared" si="21"/>
        <v>0</v>
      </c>
      <c r="CV19" s="49"/>
      <c r="CW19" s="49"/>
      <c r="CX19" s="50">
        <f t="shared" si="22"/>
        <v>0</v>
      </c>
      <c r="CZ19" s="49"/>
      <c r="DA19" s="49"/>
      <c r="DB19" s="50">
        <f t="shared" si="23"/>
        <v>0</v>
      </c>
      <c r="DD19" s="49"/>
      <c r="DE19" s="49"/>
      <c r="DF19" s="50">
        <f t="shared" si="24"/>
        <v>0</v>
      </c>
      <c r="DH19" s="49"/>
      <c r="DI19" s="49"/>
      <c r="DJ19" s="50">
        <f t="shared" si="25"/>
        <v>0</v>
      </c>
      <c r="DL19" s="49"/>
      <c r="DM19" s="49"/>
      <c r="DN19" s="50">
        <f t="shared" si="26"/>
        <v>0</v>
      </c>
      <c r="DP19" s="49"/>
      <c r="DQ19" s="49"/>
      <c r="DR19" s="50">
        <f t="shared" si="27"/>
        <v>0</v>
      </c>
      <c r="DT19" s="49"/>
      <c r="DU19" s="49"/>
      <c r="DV19" s="50">
        <f t="shared" si="28"/>
        <v>0</v>
      </c>
      <c r="DX19" s="49"/>
      <c r="DY19" s="49"/>
      <c r="DZ19" s="50">
        <f t="shared" si="29"/>
        <v>0</v>
      </c>
      <c r="EB19" s="49">
        <f t="shared" si="30"/>
        <v>0</v>
      </c>
      <c r="EC19" s="49">
        <f t="shared" si="30"/>
        <v>0</v>
      </c>
      <c r="ED19" s="49">
        <f t="shared" si="30"/>
        <v>0</v>
      </c>
    </row>
    <row r="20" spans="2:134" ht="11" customHeight="1" x14ac:dyDescent="0.35">
      <c r="B20" s="4">
        <v>101934</v>
      </c>
      <c r="C20" s="4" t="s">
        <v>26</v>
      </c>
      <c r="D20" s="4">
        <v>12</v>
      </c>
      <c r="E20" s="5">
        <v>8</v>
      </c>
      <c r="F20" s="6">
        <v>481.13467500000002</v>
      </c>
      <c r="G20" s="7"/>
      <c r="H20" s="49"/>
      <c r="I20" s="49"/>
      <c r="J20" s="50">
        <f t="shared" si="31"/>
        <v>0</v>
      </c>
      <c r="K20" s="9"/>
      <c r="L20" s="49"/>
      <c r="M20" s="49"/>
      <c r="N20" s="50">
        <f t="shared" si="0"/>
        <v>0</v>
      </c>
      <c r="O20" s="46"/>
      <c r="P20" s="49"/>
      <c r="Q20" s="49"/>
      <c r="R20" s="50">
        <f t="shared" si="1"/>
        <v>0</v>
      </c>
      <c r="T20" s="49"/>
      <c r="U20" s="49"/>
      <c r="V20" s="50">
        <f t="shared" si="2"/>
        <v>0</v>
      </c>
      <c r="X20" s="49"/>
      <c r="Y20" s="49"/>
      <c r="Z20" s="50">
        <f t="shared" si="3"/>
        <v>0</v>
      </c>
      <c r="AB20" s="49"/>
      <c r="AC20" s="49"/>
      <c r="AD20" s="50">
        <f t="shared" si="4"/>
        <v>0</v>
      </c>
      <c r="AF20" s="49"/>
      <c r="AG20" s="49"/>
      <c r="AH20" s="50">
        <f t="shared" si="5"/>
        <v>0</v>
      </c>
      <c r="AJ20" s="49"/>
      <c r="AK20" s="49"/>
      <c r="AL20" s="50">
        <f t="shared" si="6"/>
        <v>0</v>
      </c>
      <c r="AN20" s="49"/>
      <c r="AO20" s="49"/>
      <c r="AP20" s="50">
        <f t="shared" si="7"/>
        <v>0</v>
      </c>
      <c r="AR20" s="49"/>
      <c r="AS20" s="49"/>
      <c r="AT20" s="50">
        <f t="shared" si="8"/>
        <v>0</v>
      </c>
      <c r="AV20" s="49"/>
      <c r="AW20" s="49"/>
      <c r="AX20" s="50">
        <f t="shared" si="9"/>
        <v>0</v>
      </c>
      <c r="AZ20" s="49"/>
      <c r="BA20" s="49"/>
      <c r="BB20" s="50">
        <f t="shared" si="10"/>
        <v>0</v>
      </c>
      <c r="BD20" s="49"/>
      <c r="BE20" s="49"/>
      <c r="BF20" s="50">
        <f t="shared" si="11"/>
        <v>0</v>
      </c>
      <c r="BH20" s="49"/>
      <c r="BI20" s="49"/>
      <c r="BJ20" s="50">
        <f t="shared" si="12"/>
        <v>0</v>
      </c>
      <c r="BL20" s="49"/>
      <c r="BM20" s="49"/>
      <c r="BN20" s="50">
        <f t="shared" si="13"/>
        <v>0</v>
      </c>
      <c r="BP20" s="49"/>
      <c r="BQ20" s="49"/>
      <c r="BR20" s="50">
        <f t="shared" si="14"/>
        <v>0</v>
      </c>
      <c r="BT20" s="49"/>
      <c r="BU20" s="49"/>
      <c r="BV20" s="50">
        <f t="shared" si="15"/>
        <v>0</v>
      </c>
      <c r="BX20" s="49"/>
      <c r="BY20" s="49"/>
      <c r="BZ20" s="50">
        <f t="shared" si="16"/>
        <v>0</v>
      </c>
      <c r="CB20" s="49"/>
      <c r="CC20" s="49"/>
      <c r="CD20" s="50">
        <f t="shared" si="17"/>
        <v>0</v>
      </c>
      <c r="CF20" s="49"/>
      <c r="CG20" s="49"/>
      <c r="CH20" s="50">
        <f t="shared" si="18"/>
        <v>0</v>
      </c>
      <c r="CJ20" s="49"/>
      <c r="CK20" s="49"/>
      <c r="CL20" s="50">
        <f t="shared" si="19"/>
        <v>0</v>
      </c>
      <c r="CN20" s="49"/>
      <c r="CO20" s="49"/>
      <c r="CP20" s="50">
        <f t="shared" si="20"/>
        <v>0</v>
      </c>
      <c r="CR20" s="49"/>
      <c r="CS20" s="49"/>
      <c r="CT20" s="50">
        <f t="shared" si="21"/>
        <v>0</v>
      </c>
      <c r="CV20" s="49"/>
      <c r="CW20" s="49"/>
      <c r="CX20" s="50">
        <f t="shared" si="22"/>
        <v>0</v>
      </c>
      <c r="CZ20" s="49"/>
      <c r="DA20" s="49"/>
      <c r="DB20" s="50">
        <f t="shared" si="23"/>
        <v>0</v>
      </c>
      <c r="DD20" s="49"/>
      <c r="DE20" s="49"/>
      <c r="DF20" s="50">
        <f t="shared" si="24"/>
        <v>0</v>
      </c>
      <c r="DH20" s="49"/>
      <c r="DI20" s="49"/>
      <c r="DJ20" s="50">
        <f t="shared" si="25"/>
        <v>0</v>
      </c>
      <c r="DL20" s="49"/>
      <c r="DM20" s="49"/>
      <c r="DN20" s="50">
        <f t="shared" si="26"/>
        <v>0</v>
      </c>
      <c r="DP20" s="49"/>
      <c r="DQ20" s="49"/>
      <c r="DR20" s="50">
        <f t="shared" si="27"/>
        <v>0</v>
      </c>
      <c r="DT20" s="49"/>
      <c r="DU20" s="49"/>
      <c r="DV20" s="50">
        <f t="shared" si="28"/>
        <v>0</v>
      </c>
      <c r="DX20" s="49"/>
      <c r="DY20" s="49"/>
      <c r="DZ20" s="50">
        <f t="shared" si="29"/>
        <v>0</v>
      </c>
      <c r="EB20" s="49">
        <f t="shared" si="30"/>
        <v>0</v>
      </c>
      <c r="EC20" s="49">
        <f t="shared" si="30"/>
        <v>0</v>
      </c>
      <c r="ED20" s="49">
        <f t="shared" si="30"/>
        <v>0</v>
      </c>
    </row>
    <row r="21" spans="2:134" ht="11" customHeight="1" x14ac:dyDescent="0.35">
      <c r="B21" s="4">
        <v>102155</v>
      </c>
      <c r="C21" s="4" t="s">
        <v>27</v>
      </c>
      <c r="D21" s="4">
        <v>1</v>
      </c>
      <c r="E21" s="5">
        <v>12</v>
      </c>
      <c r="F21" s="6">
        <v>394.37248129599999</v>
      </c>
      <c r="G21" s="7"/>
      <c r="H21" s="49"/>
      <c r="I21" s="49"/>
      <c r="J21" s="50">
        <f t="shared" si="31"/>
        <v>0</v>
      </c>
      <c r="K21" s="9"/>
      <c r="L21" s="49"/>
      <c r="M21" s="49"/>
      <c r="N21" s="50">
        <f t="shared" si="0"/>
        <v>0</v>
      </c>
      <c r="O21" s="46"/>
      <c r="P21" s="49"/>
      <c r="Q21" s="49"/>
      <c r="R21" s="50">
        <f t="shared" si="1"/>
        <v>0</v>
      </c>
      <c r="T21" s="49"/>
      <c r="U21" s="49"/>
      <c r="V21" s="50">
        <f t="shared" si="2"/>
        <v>0</v>
      </c>
      <c r="X21" s="49"/>
      <c r="Y21" s="49"/>
      <c r="Z21" s="50">
        <f t="shared" si="3"/>
        <v>0</v>
      </c>
      <c r="AB21" s="49"/>
      <c r="AC21" s="49"/>
      <c r="AD21" s="50">
        <f t="shared" si="4"/>
        <v>0</v>
      </c>
      <c r="AF21" s="49"/>
      <c r="AG21" s="49"/>
      <c r="AH21" s="50">
        <f t="shared" si="5"/>
        <v>0</v>
      </c>
      <c r="AJ21" s="49"/>
      <c r="AK21" s="49"/>
      <c r="AL21" s="50">
        <f t="shared" si="6"/>
        <v>0</v>
      </c>
      <c r="AN21" s="49"/>
      <c r="AO21" s="49"/>
      <c r="AP21" s="50">
        <f t="shared" si="7"/>
        <v>0</v>
      </c>
      <c r="AR21" s="49"/>
      <c r="AS21" s="49"/>
      <c r="AT21" s="50">
        <f t="shared" si="8"/>
        <v>0</v>
      </c>
      <c r="AV21" s="49"/>
      <c r="AW21" s="49"/>
      <c r="AX21" s="50">
        <f t="shared" si="9"/>
        <v>0</v>
      </c>
      <c r="AZ21" s="49"/>
      <c r="BA21" s="49"/>
      <c r="BB21" s="50">
        <f t="shared" si="10"/>
        <v>0</v>
      </c>
      <c r="BD21" s="49"/>
      <c r="BE21" s="49"/>
      <c r="BF21" s="50">
        <f t="shared" si="11"/>
        <v>0</v>
      </c>
      <c r="BH21" s="49"/>
      <c r="BI21" s="49"/>
      <c r="BJ21" s="50">
        <f t="shared" si="12"/>
        <v>0</v>
      </c>
      <c r="BL21" s="49"/>
      <c r="BM21" s="49"/>
      <c r="BN21" s="50">
        <f t="shared" si="13"/>
        <v>0</v>
      </c>
      <c r="BP21" s="49"/>
      <c r="BQ21" s="49"/>
      <c r="BR21" s="50">
        <f t="shared" si="14"/>
        <v>0</v>
      </c>
      <c r="BT21" s="49"/>
      <c r="BU21" s="49"/>
      <c r="BV21" s="50">
        <f t="shared" si="15"/>
        <v>0</v>
      </c>
      <c r="BX21" s="49"/>
      <c r="BY21" s="49"/>
      <c r="BZ21" s="50">
        <f t="shared" si="16"/>
        <v>0</v>
      </c>
      <c r="CB21" s="49"/>
      <c r="CC21" s="49"/>
      <c r="CD21" s="50">
        <f t="shared" si="17"/>
        <v>0</v>
      </c>
      <c r="CF21" s="49"/>
      <c r="CG21" s="49"/>
      <c r="CH21" s="50">
        <f t="shared" si="18"/>
        <v>0</v>
      </c>
      <c r="CJ21" s="49"/>
      <c r="CK21" s="49"/>
      <c r="CL21" s="50">
        <f t="shared" si="19"/>
        <v>0</v>
      </c>
      <c r="CN21" s="49"/>
      <c r="CO21" s="49"/>
      <c r="CP21" s="50">
        <f t="shared" si="20"/>
        <v>0</v>
      </c>
      <c r="CR21" s="49"/>
      <c r="CS21" s="49"/>
      <c r="CT21" s="50">
        <f t="shared" si="21"/>
        <v>0</v>
      </c>
      <c r="CV21" s="49"/>
      <c r="CW21" s="49"/>
      <c r="CX21" s="50">
        <f t="shared" si="22"/>
        <v>0</v>
      </c>
      <c r="CZ21" s="49"/>
      <c r="DA21" s="49"/>
      <c r="DB21" s="50">
        <f t="shared" si="23"/>
        <v>0</v>
      </c>
      <c r="DD21" s="49"/>
      <c r="DE21" s="49"/>
      <c r="DF21" s="50">
        <f t="shared" si="24"/>
        <v>0</v>
      </c>
      <c r="DH21" s="49"/>
      <c r="DI21" s="49"/>
      <c r="DJ21" s="50">
        <f t="shared" si="25"/>
        <v>0</v>
      </c>
      <c r="DL21" s="49"/>
      <c r="DM21" s="49"/>
      <c r="DN21" s="50">
        <f t="shared" si="26"/>
        <v>0</v>
      </c>
      <c r="DP21" s="49"/>
      <c r="DQ21" s="49"/>
      <c r="DR21" s="50">
        <f t="shared" si="27"/>
        <v>0</v>
      </c>
      <c r="DT21" s="49"/>
      <c r="DU21" s="49"/>
      <c r="DV21" s="50">
        <f t="shared" si="28"/>
        <v>0</v>
      </c>
      <c r="DX21" s="49"/>
      <c r="DY21" s="49"/>
      <c r="DZ21" s="50">
        <f t="shared" si="29"/>
        <v>0</v>
      </c>
      <c r="EB21" s="49">
        <f t="shared" si="30"/>
        <v>0</v>
      </c>
      <c r="EC21" s="49">
        <f t="shared" si="30"/>
        <v>0</v>
      </c>
      <c r="ED21" s="49">
        <f t="shared" si="30"/>
        <v>0</v>
      </c>
    </row>
    <row r="22" spans="2:134" ht="11" customHeight="1" x14ac:dyDescent="0.35">
      <c r="B22" s="4">
        <v>102157</v>
      </c>
      <c r="C22" s="4" t="s">
        <v>28</v>
      </c>
      <c r="D22" s="4">
        <v>50</v>
      </c>
      <c r="E22" s="5">
        <v>18</v>
      </c>
      <c r="F22" s="6">
        <v>200.47282196</v>
      </c>
      <c r="G22" s="7"/>
      <c r="H22" s="49"/>
      <c r="I22" s="49"/>
      <c r="J22" s="50">
        <f t="shared" si="31"/>
        <v>0</v>
      </c>
      <c r="K22" s="9"/>
      <c r="L22" s="49"/>
      <c r="M22" s="49"/>
      <c r="N22" s="50">
        <f t="shared" si="0"/>
        <v>0</v>
      </c>
      <c r="O22" s="46"/>
      <c r="P22" s="49"/>
      <c r="Q22" s="49"/>
      <c r="R22" s="50">
        <f t="shared" si="1"/>
        <v>0</v>
      </c>
      <c r="T22" s="49"/>
      <c r="U22" s="49"/>
      <c r="V22" s="50">
        <f t="shared" si="2"/>
        <v>0</v>
      </c>
      <c r="X22" s="49"/>
      <c r="Y22" s="49"/>
      <c r="Z22" s="50">
        <f t="shared" si="3"/>
        <v>0</v>
      </c>
      <c r="AB22" s="49"/>
      <c r="AC22" s="49"/>
      <c r="AD22" s="50">
        <f t="shared" si="4"/>
        <v>0</v>
      </c>
      <c r="AF22" s="49"/>
      <c r="AG22" s="49"/>
      <c r="AH22" s="50">
        <f t="shared" si="5"/>
        <v>0</v>
      </c>
      <c r="AJ22" s="49"/>
      <c r="AK22" s="49"/>
      <c r="AL22" s="50">
        <f t="shared" si="6"/>
        <v>0</v>
      </c>
      <c r="AN22" s="49"/>
      <c r="AO22" s="49"/>
      <c r="AP22" s="50">
        <f t="shared" si="7"/>
        <v>0</v>
      </c>
      <c r="AR22" s="49"/>
      <c r="AS22" s="49"/>
      <c r="AT22" s="50">
        <f t="shared" si="8"/>
        <v>0</v>
      </c>
      <c r="AV22" s="49"/>
      <c r="AW22" s="49"/>
      <c r="AX22" s="50">
        <f t="shared" si="9"/>
        <v>0</v>
      </c>
      <c r="AZ22" s="49"/>
      <c r="BA22" s="49"/>
      <c r="BB22" s="50">
        <f t="shared" si="10"/>
        <v>0</v>
      </c>
      <c r="BD22" s="49"/>
      <c r="BE22" s="49"/>
      <c r="BF22" s="50">
        <f t="shared" si="11"/>
        <v>0</v>
      </c>
      <c r="BH22" s="49"/>
      <c r="BI22" s="49"/>
      <c r="BJ22" s="50">
        <f t="shared" si="12"/>
        <v>0</v>
      </c>
      <c r="BL22" s="49"/>
      <c r="BM22" s="49"/>
      <c r="BN22" s="50">
        <f t="shared" si="13"/>
        <v>0</v>
      </c>
      <c r="BP22" s="49"/>
      <c r="BQ22" s="49"/>
      <c r="BR22" s="50">
        <f t="shared" si="14"/>
        <v>0</v>
      </c>
      <c r="BT22" s="49"/>
      <c r="BU22" s="49"/>
      <c r="BV22" s="50">
        <f t="shared" si="15"/>
        <v>0</v>
      </c>
      <c r="BX22" s="49"/>
      <c r="BY22" s="49"/>
      <c r="BZ22" s="50">
        <f t="shared" si="16"/>
        <v>0</v>
      </c>
      <c r="CB22" s="49"/>
      <c r="CC22" s="49"/>
      <c r="CD22" s="50">
        <f t="shared" si="17"/>
        <v>0</v>
      </c>
      <c r="CF22" s="49"/>
      <c r="CG22" s="49"/>
      <c r="CH22" s="50">
        <f t="shared" si="18"/>
        <v>0</v>
      </c>
      <c r="CJ22" s="49"/>
      <c r="CK22" s="49"/>
      <c r="CL22" s="50">
        <f t="shared" si="19"/>
        <v>0</v>
      </c>
      <c r="CN22" s="49"/>
      <c r="CO22" s="49"/>
      <c r="CP22" s="50">
        <f t="shared" si="20"/>
        <v>0</v>
      </c>
      <c r="CR22" s="49"/>
      <c r="CS22" s="49"/>
      <c r="CT22" s="50">
        <f t="shared" si="21"/>
        <v>0</v>
      </c>
      <c r="CV22" s="49"/>
      <c r="CW22" s="49"/>
      <c r="CX22" s="50">
        <f t="shared" si="22"/>
        <v>0</v>
      </c>
      <c r="CZ22" s="49"/>
      <c r="DA22" s="49"/>
      <c r="DB22" s="50">
        <f t="shared" si="23"/>
        <v>0</v>
      </c>
      <c r="DD22" s="49"/>
      <c r="DE22" s="49"/>
      <c r="DF22" s="50">
        <f t="shared" si="24"/>
        <v>0</v>
      </c>
      <c r="DH22" s="49"/>
      <c r="DI22" s="49"/>
      <c r="DJ22" s="50">
        <f t="shared" si="25"/>
        <v>0</v>
      </c>
      <c r="DL22" s="49"/>
      <c r="DM22" s="49"/>
      <c r="DN22" s="50">
        <f t="shared" si="26"/>
        <v>0</v>
      </c>
      <c r="DP22" s="49"/>
      <c r="DQ22" s="49"/>
      <c r="DR22" s="50">
        <f t="shared" si="27"/>
        <v>0</v>
      </c>
      <c r="DT22" s="49"/>
      <c r="DU22" s="49"/>
      <c r="DV22" s="50">
        <f t="shared" si="28"/>
        <v>0</v>
      </c>
      <c r="DX22" s="49"/>
      <c r="DY22" s="49"/>
      <c r="DZ22" s="50">
        <f t="shared" si="29"/>
        <v>0</v>
      </c>
      <c r="EB22" s="49">
        <f t="shared" si="30"/>
        <v>0</v>
      </c>
      <c r="EC22" s="49">
        <f t="shared" si="30"/>
        <v>0</v>
      </c>
      <c r="ED22" s="49">
        <f t="shared" si="30"/>
        <v>0</v>
      </c>
    </row>
    <row r="23" spans="2:134" ht="11" customHeight="1" x14ac:dyDescent="0.35">
      <c r="B23" s="4">
        <v>102926</v>
      </c>
      <c r="C23" s="4" t="s">
        <v>29</v>
      </c>
      <c r="D23" s="4">
        <v>50</v>
      </c>
      <c r="E23" s="5">
        <v>18</v>
      </c>
      <c r="F23" s="6">
        <v>197.18624064799999</v>
      </c>
      <c r="G23" s="7"/>
      <c r="H23" s="49"/>
      <c r="I23" s="49"/>
      <c r="J23" s="50">
        <f t="shared" si="31"/>
        <v>0</v>
      </c>
      <c r="K23" s="9"/>
      <c r="L23" s="49"/>
      <c r="M23" s="49"/>
      <c r="N23" s="50">
        <f t="shared" si="0"/>
        <v>0</v>
      </c>
      <c r="O23" s="46"/>
      <c r="P23" s="49"/>
      <c r="Q23" s="49"/>
      <c r="R23" s="50">
        <f t="shared" si="1"/>
        <v>0</v>
      </c>
      <c r="T23" s="49"/>
      <c r="U23" s="49"/>
      <c r="V23" s="50">
        <f t="shared" si="2"/>
        <v>0</v>
      </c>
      <c r="X23" s="49"/>
      <c r="Y23" s="49"/>
      <c r="Z23" s="50">
        <f t="shared" si="3"/>
        <v>0</v>
      </c>
      <c r="AB23" s="49"/>
      <c r="AC23" s="49"/>
      <c r="AD23" s="50">
        <f t="shared" si="4"/>
        <v>0</v>
      </c>
      <c r="AF23" s="49"/>
      <c r="AG23" s="49"/>
      <c r="AH23" s="50">
        <f t="shared" si="5"/>
        <v>0</v>
      </c>
      <c r="AJ23" s="49"/>
      <c r="AK23" s="49"/>
      <c r="AL23" s="50">
        <f t="shared" si="6"/>
        <v>0</v>
      </c>
      <c r="AN23" s="49"/>
      <c r="AO23" s="49"/>
      <c r="AP23" s="50">
        <f t="shared" si="7"/>
        <v>0</v>
      </c>
      <c r="AR23" s="49"/>
      <c r="AS23" s="49"/>
      <c r="AT23" s="50">
        <f t="shared" si="8"/>
        <v>0</v>
      </c>
      <c r="AV23" s="49"/>
      <c r="AW23" s="49"/>
      <c r="AX23" s="50">
        <f t="shared" si="9"/>
        <v>0</v>
      </c>
      <c r="AZ23" s="49"/>
      <c r="BA23" s="49"/>
      <c r="BB23" s="50">
        <f t="shared" si="10"/>
        <v>0</v>
      </c>
      <c r="BD23" s="49"/>
      <c r="BE23" s="49"/>
      <c r="BF23" s="50">
        <f t="shared" si="11"/>
        <v>0</v>
      </c>
      <c r="BH23" s="49"/>
      <c r="BI23" s="49"/>
      <c r="BJ23" s="50">
        <f t="shared" si="12"/>
        <v>0</v>
      </c>
      <c r="BL23" s="49"/>
      <c r="BM23" s="49"/>
      <c r="BN23" s="50">
        <f t="shared" si="13"/>
        <v>0</v>
      </c>
      <c r="BP23" s="49"/>
      <c r="BQ23" s="49"/>
      <c r="BR23" s="50">
        <f t="shared" si="14"/>
        <v>0</v>
      </c>
      <c r="BT23" s="49"/>
      <c r="BU23" s="49"/>
      <c r="BV23" s="50">
        <f t="shared" si="15"/>
        <v>0</v>
      </c>
      <c r="BX23" s="49"/>
      <c r="BY23" s="49"/>
      <c r="BZ23" s="50">
        <f t="shared" si="16"/>
        <v>0</v>
      </c>
      <c r="CB23" s="49"/>
      <c r="CC23" s="49"/>
      <c r="CD23" s="50">
        <f t="shared" si="17"/>
        <v>0</v>
      </c>
      <c r="CF23" s="49"/>
      <c r="CG23" s="49"/>
      <c r="CH23" s="50">
        <f t="shared" si="18"/>
        <v>0</v>
      </c>
      <c r="CJ23" s="49"/>
      <c r="CK23" s="49"/>
      <c r="CL23" s="50">
        <f t="shared" si="19"/>
        <v>0</v>
      </c>
      <c r="CN23" s="49"/>
      <c r="CO23" s="49"/>
      <c r="CP23" s="50">
        <f t="shared" si="20"/>
        <v>0</v>
      </c>
      <c r="CR23" s="49"/>
      <c r="CS23" s="49"/>
      <c r="CT23" s="50">
        <f t="shared" si="21"/>
        <v>0</v>
      </c>
      <c r="CV23" s="49"/>
      <c r="CW23" s="49"/>
      <c r="CX23" s="50">
        <f t="shared" si="22"/>
        <v>0</v>
      </c>
      <c r="CZ23" s="49"/>
      <c r="DA23" s="49"/>
      <c r="DB23" s="50">
        <f t="shared" si="23"/>
        <v>0</v>
      </c>
      <c r="DD23" s="49"/>
      <c r="DE23" s="49"/>
      <c r="DF23" s="50">
        <f t="shared" si="24"/>
        <v>0</v>
      </c>
      <c r="DH23" s="49"/>
      <c r="DI23" s="49"/>
      <c r="DJ23" s="50">
        <f t="shared" si="25"/>
        <v>0</v>
      </c>
      <c r="DL23" s="49"/>
      <c r="DM23" s="49"/>
      <c r="DN23" s="50">
        <f t="shared" si="26"/>
        <v>0</v>
      </c>
      <c r="DP23" s="49"/>
      <c r="DQ23" s="49"/>
      <c r="DR23" s="50">
        <f t="shared" si="27"/>
        <v>0</v>
      </c>
      <c r="DT23" s="49"/>
      <c r="DU23" s="49"/>
      <c r="DV23" s="50">
        <f t="shared" si="28"/>
        <v>0</v>
      </c>
      <c r="DX23" s="49"/>
      <c r="DY23" s="49"/>
      <c r="DZ23" s="50">
        <f t="shared" si="29"/>
        <v>0</v>
      </c>
      <c r="EB23" s="49">
        <f t="shared" si="30"/>
        <v>0</v>
      </c>
      <c r="EC23" s="49">
        <f t="shared" si="30"/>
        <v>0</v>
      </c>
      <c r="ED23" s="49">
        <f t="shared" si="30"/>
        <v>0</v>
      </c>
    </row>
    <row r="24" spans="2:134" ht="11" customHeight="1" x14ac:dyDescent="0.35">
      <c r="B24" s="4">
        <v>102929</v>
      </c>
      <c r="C24" s="4" t="s">
        <v>30</v>
      </c>
      <c r="D24" s="4">
        <v>50</v>
      </c>
      <c r="E24" s="5">
        <v>18</v>
      </c>
      <c r="F24" s="6">
        <v>200.47282196</v>
      </c>
      <c r="G24" s="7"/>
      <c r="H24" s="49"/>
      <c r="I24" s="49"/>
      <c r="J24" s="50">
        <f t="shared" si="31"/>
        <v>0</v>
      </c>
      <c r="K24" s="9"/>
      <c r="L24" s="49"/>
      <c r="M24" s="49"/>
      <c r="N24" s="50">
        <f t="shared" si="0"/>
        <v>0</v>
      </c>
      <c r="O24" s="46"/>
      <c r="P24" s="49"/>
      <c r="Q24" s="49"/>
      <c r="R24" s="50">
        <f t="shared" si="1"/>
        <v>0</v>
      </c>
      <c r="T24" s="49"/>
      <c r="U24" s="49"/>
      <c r="V24" s="50">
        <f t="shared" si="2"/>
        <v>0</v>
      </c>
      <c r="X24" s="49"/>
      <c r="Y24" s="49"/>
      <c r="Z24" s="50">
        <f t="shared" si="3"/>
        <v>0</v>
      </c>
      <c r="AB24" s="49"/>
      <c r="AC24" s="49"/>
      <c r="AD24" s="50">
        <f t="shared" si="4"/>
        <v>0</v>
      </c>
      <c r="AF24" s="49"/>
      <c r="AG24" s="49"/>
      <c r="AH24" s="50">
        <f t="shared" si="5"/>
        <v>0</v>
      </c>
      <c r="AJ24" s="49"/>
      <c r="AK24" s="49"/>
      <c r="AL24" s="50">
        <f t="shared" si="6"/>
        <v>0</v>
      </c>
      <c r="AN24" s="49"/>
      <c r="AO24" s="49"/>
      <c r="AP24" s="50">
        <f t="shared" si="7"/>
        <v>0</v>
      </c>
      <c r="AR24" s="49"/>
      <c r="AS24" s="49"/>
      <c r="AT24" s="50">
        <f t="shared" si="8"/>
        <v>0</v>
      </c>
      <c r="AV24" s="49"/>
      <c r="AW24" s="49"/>
      <c r="AX24" s="50">
        <f t="shared" si="9"/>
        <v>0</v>
      </c>
      <c r="AZ24" s="49"/>
      <c r="BA24" s="49"/>
      <c r="BB24" s="50">
        <f t="shared" si="10"/>
        <v>0</v>
      </c>
      <c r="BD24" s="49"/>
      <c r="BE24" s="49"/>
      <c r="BF24" s="50">
        <f t="shared" si="11"/>
        <v>0</v>
      </c>
      <c r="BH24" s="49"/>
      <c r="BI24" s="49"/>
      <c r="BJ24" s="50">
        <f t="shared" si="12"/>
        <v>0</v>
      </c>
      <c r="BL24" s="49"/>
      <c r="BM24" s="49"/>
      <c r="BN24" s="50">
        <f t="shared" si="13"/>
        <v>0</v>
      </c>
      <c r="BP24" s="49"/>
      <c r="BQ24" s="49"/>
      <c r="BR24" s="50">
        <f t="shared" si="14"/>
        <v>0</v>
      </c>
      <c r="BT24" s="49"/>
      <c r="BU24" s="49"/>
      <c r="BV24" s="50">
        <f t="shared" si="15"/>
        <v>0</v>
      </c>
      <c r="BX24" s="49"/>
      <c r="BY24" s="49"/>
      <c r="BZ24" s="50">
        <f t="shared" si="16"/>
        <v>0</v>
      </c>
      <c r="CB24" s="49"/>
      <c r="CC24" s="49"/>
      <c r="CD24" s="50">
        <f t="shared" si="17"/>
        <v>0</v>
      </c>
      <c r="CF24" s="49"/>
      <c r="CG24" s="49"/>
      <c r="CH24" s="50">
        <f t="shared" si="18"/>
        <v>0</v>
      </c>
      <c r="CJ24" s="49"/>
      <c r="CK24" s="49"/>
      <c r="CL24" s="50">
        <f t="shared" si="19"/>
        <v>0</v>
      </c>
      <c r="CN24" s="49"/>
      <c r="CO24" s="49"/>
      <c r="CP24" s="50">
        <f t="shared" si="20"/>
        <v>0</v>
      </c>
      <c r="CR24" s="49"/>
      <c r="CS24" s="49"/>
      <c r="CT24" s="50">
        <f t="shared" si="21"/>
        <v>0</v>
      </c>
      <c r="CV24" s="49"/>
      <c r="CW24" s="49"/>
      <c r="CX24" s="50">
        <f t="shared" si="22"/>
        <v>0</v>
      </c>
      <c r="CZ24" s="49"/>
      <c r="DA24" s="49"/>
      <c r="DB24" s="50">
        <f t="shared" si="23"/>
        <v>0</v>
      </c>
      <c r="DD24" s="49"/>
      <c r="DE24" s="49"/>
      <c r="DF24" s="50">
        <f t="shared" si="24"/>
        <v>0</v>
      </c>
      <c r="DH24" s="49"/>
      <c r="DI24" s="49"/>
      <c r="DJ24" s="50">
        <f t="shared" si="25"/>
        <v>0</v>
      </c>
      <c r="DL24" s="49"/>
      <c r="DM24" s="49"/>
      <c r="DN24" s="50">
        <f t="shared" si="26"/>
        <v>0</v>
      </c>
      <c r="DP24" s="49"/>
      <c r="DQ24" s="49"/>
      <c r="DR24" s="50">
        <f t="shared" si="27"/>
        <v>0</v>
      </c>
      <c r="DT24" s="49"/>
      <c r="DU24" s="49"/>
      <c r="DV24" s="50">
        <f t="shared" si="28"/>
        <v>0</v>
      </c>
      <c r="DX24" s="49"/>
      <c r="DY24" s="49"/>
      <c r="DZ24" s="50">
        <f t="shared" si="29"/>
        <v>0</v>
      </c>
      <c r="EB24" s="49">
        <f t="shared" si="30"/>
        <v>0</v>
      </c>
      <c r="EC24" s="49">
        <f t="shared" si="30"/>
        <v>0</v>
      </c>
      <c r="ED24" s="49">
        <f t="shared" si="30"/>
        <v>0</v>
      </c>
    </row>
    <row r="25" spans="2:134" ht="11" customHeight="1" x14ac:dyDescent="0.35">
      <c r="B25" s="4">
        <v>103008</v>
      </c>
      <c r="C25" s="4" t="s">
        <v>31</v>
      </c>
      <c r="D25" s="4">
        <v>18</v>
      </c>
      <c r="E25" s="5">
        <v>18</v>
      </c>
      <c r="F25" s="6">
        <v>198.24262196000001</v>
      </c>
      <c r="G25" s="7"/>
      <c r="H25" s="49"/>
      <c r="I25" s="49"/>
      <c r="J25" s="50">
        <f t="shared" si="31"/>
        <v>0</v>
      </c>
      <c r="K25" s="9"/>
      <c r="L25" s="49"/>
      <c r="M25" s="49"/>
      <c r="N25" s="50">
        <f t="shared" si="0"/>
        <v>0</v>
      </c>
      <c r="O25" s="46"/>
      <c r="P25" s="49"/>
      <c r="Q25" s="49"/>
      <c r="R25" s="50">
        <f t="shared" si="1"/>
        <v>0</v>
      </c>
      <c r="T25" s="49"/>
      <c r="U25" s="49"/>
      <c r="V25" s="50">
        <f t="shared" si="2"/>
        <v>0</v>
      </c>
      <c r="X25" s="49"/>
      <c r="Y25" s="49"/>
      <c r="Z25" s="50">
        <f t="shared" si="3"/>
        <v>0</v>
      </c>
      <c r="AB25" s="49"/>
      <c r="AC25" s="49"/>
      <c r="AD25" s="50">
        <f t="shared" si="4"/>
        <v>0</v>
      </c>
      <c r="AF25" s="49"/>
      <c r="AG25" s="49"/>
      <c r="AH25" s="50">
        <f t="shared" si="5"/>
        <v>0</v>
      </c>
      <c r="AJ25" s="49"/>
      <c r="AK25" s="49"/>
      <c r="AL25" s="50">
        <f t="shared" si="6"/>
        <v>0</v>
      </c>
      <c r="AN25" s="49"/>
      <c r="AO25" s="49"/>
      <c r="AP25" s="50">
        <f t="shared" si="7"/>
        <v>0</v>
      </c>
      <c r="AR25" s="49"/>
      <c r="AS25" s="49"/>
      <c r="AT25" s="50">
        <f t="shared" si="8"/>
        <v>0</v>
      </c>
      <c r="AV25" s="49"/>
      <c r="AW25" s="49"/>
      <c r="AX25" s="50">
        <f t="shared" si="9"/>
        <v>0</v>
      </c>
      <c r="AZ25" s="49"/>
      <c r="BA25" s="49"/>
      <c r="BB25" s="50">
        <f t="shared" si="10"/>
        <v>0</v>
      </c>
      <c r="BD25" s="49"/>
      <c r="BE25" s="49"/>
      <c r="BF25" s="50">
        <f t="shared" si="11"/>
        <v>0</v>
      </c>
      <c r="BH25" s="49"/>
      <c r="BI25" s="49"/>
      <c r="BJ25" s="50">
        <f t="shared" si="12"/>
        <v>0</v>
      </c>
      <c r="BL25" s="49"/>
      <c r="BM25" s="49"/>
      <c r="BN25" s="50">
        <f t="shared" si="13"/>
        <v>0</v>
      </c>
      <c r="BP25" s="49"/>
      <c r="BQ25" s="49"/>
      <c r="BR25" s="50">
        <f t="shared" si="14"/>
        <v>0</v>
      </c>
      <c r="BT25" s="49"/>
      <c r="BU25" s="49"/>
      <c r="BV25" s="50">
        <f t="shared" si="15"/>
        <v>0</v>
      </c>
      <c r="BX25" s="49"/>
      <c r="BY25" s="49"/>
      <c r="BZ25" s="50">
        <f t="shared" si="16"/>
        <v>0</v>
      </c>
      <c r="CB25" s="49"/>
      <c r="CC25" s="49"/>
      <c r="CD25" s="50">
        <f t="shared" si="17"/>
        <v>0</v>
      </c>
      <c r="CF25" s="49"/>
      <c r="CG25" s="49"/>
      <c r="CH25" s="50">
        <f t="shared" si="18"/>
        <v>0</v>
      </c>
      <c r="CJ25" s="49"/>
      <c r="CK25" s="49"/>
      <c r="CL25" s="50">
        <f t="shared" si="19"/>
        <v>0</v>
      </c>
      <c r="CN25" s="49"/>
      <c r="CO25" s="49"/>
      <c r="CP25" s="50">
        <f t="shared" si="20"/>
        <v>0</v>
      </c>
      <c r="CR25" s="49"/>
      <c r="CS25" s="49"/>
      <c r="CT25" s="50">
        <f t="shared" si="21"/>
        <v>0</v>
      </c>
      <c r="CV25" s="49"/>
      <c r="CW25" s="49"/>
      <c r="CX25" s="50">
        <f t="shared" si="22"/>
        <v>0</v>
      </c>
      <c r="CZ25" s="49"/>
      <c r="DA25" s="49"/>
      <c r="DB25" s="50">
        <f t="shared" si="23"/>
        <v>0</v>
      </c>
      <c r="DD25" s="49"/>
      <c r="DE25" s="49"/>
      <c r="DF25" s="50">
        <f t="shared" si="24"/>
        <v>0</v>
      </c>
      <c r="DH25" s="49"/>
      <c r="DI25" s="49"/>
      <c r="DJ25" s="50">
        <f t="shared" si="25"/>
        <v>0</v>
      </c>
      <c r="DL25" s="49"/>
      <c r="DM25" s="49"/>
      <c r="DN25" s="50">
        <f t="shared" si="26"/>
        <v>0</v>
      </c>
      <c r="DP25" s="49"/>
      <c r="DQ25" s="49"/>
      <c r="DR25" s="50">
        <f t="shared" si="27"/>
        <v>0</v>
      </c>
      <c r="DT25" s="49"/>
      <c r="DU25" s="49"/>
      <c r="DV25" s="50">
        <f t="shared" si="28"/>
        <v>0</v>
      </c>
      <c r="DX25" s="49"/>
      <c r="DY25" s="49"/>
      <c r="DZ25" s="50">
        <f t="shared" si="29"/>
        <v>0</v>
      </c>
      <c r="EB25" s="49">
        <f t="shared" si="30"/>
        <v>0</v>
      </c>
      <c r="EC25" s="49">
        <f t="shared" si="30"/>
        <v>0</v>
      </c>
      <c r="ED25" s="49">
        <f t="shared" si="30"/>
        <v>0</v>
      </c>
    </row>
    <row r="26" spans="2:134" ht="11" customHeight="1" x14ac:dyDescent="0.35">
      <c r="B26" s="4">
        <v>103012</v>
      </c>
      <c r="C26" s="4" t="s">
        <v>32</v>
      </c>
      <c r="D26" s="4">
        <v>50</v>
      </c>
      <c r="E26" s="5">
        <v>18</v>
      </c>
      <c r="F26" s="6">
        <v>198.24262196000001</v>
      </c>
      <c r="G26" s="7"/>
      <c r="H26" s="49"/>
      <c r="I26" s="49"/>
      <c r="J26" s="50">
        <f t="shared" si="31"/>
        <v>0</v>
      </c>
      <c r="K26" s="9"/>
      <c r="L26" s="49"/>
      <c r="M26" s="49"/>
      <c r="N26" s="50">
        <f t="shared" si="0"/>
        <v>0</v>
      </c>
      <c r="O26" s="46"/>
      <c r="P26" s="49"/>
      <c r="Q26" s="49"/>
      <c r="R26" s="50">
        <f t="shared" si="1"/>
        <v>0</v>
      </c>
      <c r="T26" s="49"/>
      <c r="U26" s="49"/>
      <c r="V26" s="50">
        <f t="shared" si="2"/>
        <v>0</v>
      </c>
      <c r="X26" s="49"/>
      <c r="Y26" s="49"/>
      <c r="Z26" s="50">
        <f t="shared" si="3"/>
        <v>0</v>
      </c>
      <c r="AB26" s="49"/>
      <c r="AC26" s="49"/>
      <c r="AD26" s="50">
        <f t="shared" si="4"/>
        <v>0</v>
      </c>
      <c r="AF26" s="49"/>
      <c r="AG26" s="49"/>
      <c r="AH26" s="50">
        <f t="shared" si="5"/>
        <v>0</v>
      </c>
      <c r="AJ26" s="49"/>
      <c r="AK26" s="49"/>
      <c r="AL26" s="50">
        <f t="shared" si="6"/>
        <v>0</v>
      </c>
      <c r="AN26" s="49"/>
      <c r="AO26" s="49"/>
      <c r="AP26" s="50">
        <f t="shared" si="7"/>
        <v>0</v>
      </c>
      <c r="AR26" s="49"/>
      <c r="AS26" s="49"/>
      <c r="AT26" s="50">
        <f t="shared" si="8"/>
        <v>0</v>
      </c>
      <c r="AV26" s="49"/>
      <c r="AW26" s="49"/>
      <c r="AX26" s="50">
        <f t="shared" si="9"/>
        <v>0</v>
      </c>
      <c r="AZ26" s="49"/>
      <c r="BA26" s="49"/>
      <c r="BB26" s="50">
        <f t="shared" si="10"/>
        <v>0</v>
      </c>
      <c r="BD26" s="49"/>
      <c r="BE26" s="49"/>
      <c r="BF26" s="50">
        <f t="shared" si="11"/>
        <v>0</v>
      </c>
      <c r="BH26" s="49"/>
      <c r="BI26" s="49"/>
      <c r="BJ26" s="50">
        <f t="shared" si="12"/>
        <v>0</v>
      </c>
      <c r="BL26" s="49"/>
      <c r="BM26" s="49"/>
      <c r="BN26" s="50">
        <f t="shared" si="13"/>
        <v>0</v>
      </c>
      <c r="BP26" s="49"/>
      <c r="BQ26" s="49"/>
      <c r="BR26" s="50">
        <f t="shared" si="14"/>
        <v>0</v>
      </c>
      <c r="BT26" s="49"/>
      <c r="BU26" s="49"/>
      <c r="BV26" s="50">
        <f t="shared" si="15"/>
        <v>0</v>
      </c>
      <c r="BX26" s="49"/>
      <c r="BY26" s="49"/>
      <c r="BZ26" s="50">
        <f t="shared" si="16"/>
        <v>0</v>
      </c>
      <c r="CB26" s="49"/>
      <c r="CC26" s="49"/>
      <c r="CD26" s="50">
        <f t="shared" si="17"/>
        <v>0</v>
      </c>
      <c r="CF26" s="49"/>
      <c r="CG26" s="49"/>
      <c r="CH26" s="50">
        <f t="shared" si="18"/>
        <v>0</v>
      </c>
      <c r="CJ26" s="49"/>
      <c r="CK26" s="49"/>
      <c r="CL26" s="50">
        <f t="shared" si="19"/>
        <v>0</v>
      </c>
      <c r="CN26" s="49"/>
      <c r="CO26" s="49"/>
      <c r="CP26" s="50">
        <f t="shared" si="20"/>
        <v>0</v>
      </c>
      <c r="CR26" s="49"/>
      <c r="CS26" s="49"/>
      <c r="CT26" s="50">
        <f t="shared" si="21"/>
        <v>0</v>
      </c>
      <c r="CV26" s="49"/>
      <c r="CW26" s="49"/>
      <c r="CX26" s="50">
        <f t="shared" si="22"/>
        <v>0</v>
      </c>
      <c r="CZ26" s="49"/>
      <c r="DA26" s="49"/>
      <c r="DB26" s="50">
        <f t="shared" si="23"/>
        <v>0</v>
      </c>
      <c r="DD26" s="49"/>
      <c r="DE26" s="49"/>
      <c r="DF26" s="50">
        <f t="shared" si="24"/>
        <v>0</v>
      </c>
      <c r="DH26" s="49"/>
      <c r="DI26" s="49"/>
      <c r="DJ26" s="50">
        <f t="shared" si="25"/>
        <v>0</v>
      </c>
      <c r="DL26" s="49"/>
      <c r="DM26" s="49"/>
      <c r="DN26" s="50">
        <f t="shared" si="26"/>
        <v>0</v>
      </c>
      <c r="DP26" s="49"/>
      <c r="DQ26" s="49"/>
      <c r="DR26" s="50">
        <f t="shared" si="27"/>
        <v>0</v>
      </c>
      <c r="DT26" s="49"/>
      <c r="DU26" s="49"/>
      <c r="DV26" s="50">
        <f t="shared" si="28"/>
        <v>0</v>
      </c>
      <c r="DX26" s="49"/>
      <c r="DY26" s="49"/>
      <c r="DZ26" s="50">
        <f t="shared" si="29"/>
        <v>0</v>
      </c>
      <c r="EB26" s="49">
        <f t="shared" si="30"/>
        <v>0</v>
      </c>
      <c r="EC26" s="49">
        <f t="shared" si="30"/>
        <v>0</v>
      </c>
      <c r="ED26" s="49">
        <f t="shared" si="30"/>
        <v>0</v>
      </c>
    </row>
    <row r="27" spans="2:134" ht="11" customHeight="1" x14ac:dyDescent="0.35">
      <c r="B27" s="4">
        <v>103020</v>
      </c>
      <c r="C27" s="4" t="s">
        <v>33</v>
      </c>
      <c r="D27" s="4">
        <v>12</v>
      </c>
      <c r="E27" s="5">
        <v>8</v>
      </c>
      <c r="F27" s="6">
        <v>481.09632499999998</v>
      </c>
      <c r="G27" s="7"/>
      <c r="H27" s="49"/>
      <c r="I27" s="49"/>
      <c r="J27" s="50">
        <f t="shared" si="31"/>
        <v>0</v>
      </c>
      <c r="K27" s="9"/>
      <c r="L27" s="49"/>
      <c r="M27" s="49"/>
      <c r="N27" s="50">
        <f t="shared" si="0"/>
        <v>0</v>
      </c>
      <c r="O27" s="46"/>
      <c r="P27" s="49"/>
      <c r="Q27" s="49"/>
      <c r="R27" s="50">
        <f t="shared" si="1"/>
        <v>0</v>
      </c>
      <c r="T27" s="49"/>
      <c r="U27" s="49"/>
      <c r="V27" s="50">
        <f t="shared" si="2"/>
        <v>0</v>
      </c>
      <c r="X27" s="49"/>
      <c r="Y27" s="49"/>
      <c r="Z27" s="50">
        <f t="shared" si="3"/>
        <v>0</v>
      </c>
      <c r="AB27" s="49"/>
      <c r="AC27" s="49"/>
      <c r="AD27" s="50">
        <f t="shared" si="4"/>
        <v>0</v>
      </c>
      <c r="AF27" s="49"/>
      <c r="AG27" s="49"/>
      <c r="AH27" s="50">
        <f t="shared" si="5"/>
        <v>0</v>
      </c>
      <c r="AJ27" s="49"/>
      <c r="AK27" s="49"/>
      <c r="AL27" s="50">
        <f t="shared" si="6"/>
        <v>0</v>
      </c>
      <c r="AN27" s="49"/>
      <c r="AO27" s="49"/>
      <c r="AP27" s="50">
        <f t="shared" si="7"/>
        <v>0</v>
      </c>
      <c r="AR27" s="49"/>
      <c r="AS27" s="49"/>
      <c r="AT27" s="50">
        <f t="shared" si="8"/>
        <v>0</v>
      </c>
      <c r="AV27" s="49"/>
      <c r="AW27" s="49"/>
      <c r="AX27" s="50">
        <f t="shared" si="9"/>
        <v>0</v>
      </c>
      <c r="AZ27" s="49"/>
      <c r="BA27" s="49"/>
      <c r="BB27" s="50">
        <f t="shared" si="10"/>
        <v>0</v>
      </c>
      <c r="BD27" s="49"/>
      <c r="BE27" s="49"/>
      <c r="BF27" s="50">
        <f t="shared" si="11"/>
        <v>0</v>
      </c>
      <c r="BH27" s="49"/>
      <c r="BI27" s="49"/>
      <c r="BJ27" s="50">
        <f t="shared" si="12"/>
        <v>0</v>
      </c>
      <c r="BL27" s="49"/>
      <c r="BM27" s="49"/>
      <c r="BN27" s="50">
        <f t="shared" si="13"/>
        <v>0</v>
      </c>
      <c r="BP27" s="49"/>
      <c r="BQ27" s="49"/>
      <c r="BR27" s="50">
        <f t="shared" si="14"/>
        <v>0</v>
      </c>
      <c r="BT27" s="49"/>
      <c r="BU27" s="49"/>
      <c r="BV27" s="50">
        <f t="shared" si="15"/>
        <v>0</v>
      </c>
      <c r="BX27" s="49"/>
      <c r="BY27" s="49"/>
      <c r="BZ27" s="50">
        <f t="shared" si="16"/>
        <v>0</v>
      </c>
      <c r="CB27" s="49"/>
      <c r="CC27" s="49"/>
      <c r="CD27" s="50">
        <f t="shared" si="17"/>
        <v>0</v>
      </c>
      <c r="CF27" s="49"/>
      <c r="CG27" s="49"/>
      <c r="CH27" s="50">
        <f t="shared" si="18"/>
        <v>0</v>
      </c>
      <c r="CJ27" s="49"/>
      <c r="CK27" s="49"/>
      <c r="CL27" s="50">
        <f t="shared" si="19"/>
        <v>0</v>
      </c>
      <c r="CN27" s="49"/>
      <c r="CO27" s="49"/>
      <c r="CP27" s="50">
        <f t="shared" si="20"/>
        <v>0</v>
      </c>
      <c r="CR27" s="49"/>
      <c r="CS27" s="49"/>
      <c r="CT27" s="50">
        <f t="shared" si="21"/>
        <v>0</v>
      </c>
      <c r="CV27" s="49"/>
      <c r="CW27" s="49"/>
      <c r="CX27" s="50">
        <f t="shared" si="22"/>
        <v>0</v>
      </c>
      <c r="CZ27" s="49"/>
      <c r="DA27" s="49"/>
      <c r="DB27" s="50">
        <f t="shared" si="23"/>
        <v>0</v>
      </c>
      <c r="DD27" s="49"/>
      <c r="DE27" s="49"/>
      <c r="DF27" s="50">
        <f t="shared" si="24"/>
        <v>0</v>
      </c>
      <c r="DH27" s="49"/>
      <c r="DI27" s="49"/>
      <c r="DJ27" s="50">
        <f t="shared" si="25"/>
        <v>0</v>
      </c>
      <c r="DL27" s="49"/>
      <c r="DM27" s="49"/>
      <c r="DN27" s="50">
        <f t="shared" si="26"/>
        <v>0</v>
      </c>
      <c r="DP27" s="49"/>
      <c r="DQ27" s="49"/>
      <c r="DR27" s="50">
        <f t="shared" si="27"/>
        <v>0</v>
      </c>
      <c r="DT27" s="49"/>
      <c r="DU27" s="49"/>
      <c r="DV27" s="50">
        <f t="shared" si="28"/>
        <v>0</v>
      </c>
      <c r="DX27" s="49"/>
      <c r="DY27" s="49"/>
      <c r="DZ27" s="50">
        <f t="shared" si="29"/>
        <v>0</v>
      </c>
      <c r="EB27" s="49">
        <f t="shared" si="30"/>
        <v>0</v>
      </c>
      <c r="EC27" s="49">
        <f t="shared" si="30"/>
        <v>0</v>
      </c>
      <c r="ED27" s="49">
        <f t="shared" si="30"/>
        <v>0</v>
      </c>
    </row>
    <row r="28" spans="2:134" ht="11" customHeight="1" x14ac:dyDescent="0.35">
      <c r="B28" s="4">
        <v>104056</v>
      </c>
      <c r="C28" s="4" t="s">
        <v>34</v>
      </c>
      <c r="D28" s="4">
        <v>50</v>
      </c>
      <c r="E28" s="5">
        <v>18</v>
      </c>
      <c r="F28" s="6">
        <v>200.47282196</v>
      </c>
      <c r="G28" s="7"/>
      <c r="H28" s="49"/>
      <c r="I28" s="49"/>
      <c r="J28" s="50">
        <f t="shared" si="31"/>
        <v>0</v>
      </c>
      <c r="K28" s="9"/>
      <c r="L28" s="49"/>
      <c r="M28" s="49"/>
      <c r="N28" s="50">
        <f t="shared" si="0"/>
        <v>0</v>
      </c>
      <c r="O28" s="46"/>
      <c r="P28" s="49"/>
      <c r="Q28" s="49"/>
      <c r="R28" s="50">
        <f t="shared" si="1"/>
        <v>0</v>
      </c>
      <c r="T28" s="49"/>
      <c r="U28" s="49"/>
      <c r="V28" s="50">
        <f t="shared" si="2"/>
        <v>0</v>
      </c>
      <c r="X28" s="49"/>
      <c r="Y28" s="49"/>
      <c r="Z28" s="50">
        <f t="shared" si="3"/>
        <v>0</v>
      </c>
      <c r="AB28" s="49"/>
      <c r="AC28" s="49"/>
      <c r="AD28" s="50">
        <f t="shared" si="4"/>
        <v>0</v>
      </c>
      <c r="AF28" s="49"/>
      <c r="AG28" s="49"/>
      <c r="AH28" s="50">
        <f t="shared" si="5"/>
        <v>0</v>
      </c>
      <c r="AJ28" s="49"/>
      <c r="AK28" s="49"/>
      <c r="AL28" s="50">
        <f t="shared" si="6"/>
        <v>0</v>
      </c>
      <c r="AN28" s="49"/>
      <c r="AO28" s="49"/>
      <c r="AP28" s="50">
        <f t="shared" si="7"/>
        <v>0</v>
      </c>
      <c r="AR28" s="49"/>
      <c r="AS28" s="49"/>
      <c r="AT28" s="50">
        <f t="shared" si="8"/>
        <v>0</v>
      </c>
      <c r="AV28" s="49"/>
      <c r="AW28" s="49"/>
      <c r="AX28" s="50">
        <f t="shared" si="9"/>
        <v>0</v>
      </c>
      <c r="AZ28" s="49"/>
      <c r="BA28" s="49"/>
      <c r="BB28" s="50">
        <f t="shared" si="10"/>
        <v>0</v>
      </c>
      <c r="BD28" s="49"/>
      <c r="BE28" s="49"/>
      <c r="BF28" s="50">
        <f t="shared" si="11"/>
        <v>0</v>
      </c>
      <c r="BH28" s="49"/>
      <c r="BI28" s="49"/>
      <c r="BJ28" s="50">
        <f t="shared" si="12"/>
        <v>0</v>
      </c>
      <c r="BL28" s="49"/>
      <c r="BM28" s="49"/>
      <c r="BN28" s="50">
        <f t="shared" si="13"/>
        <v>0</v>
      </c>
      <c r="BP28" s="49"/>
      <c r="BQ28" s="49"/>
      <c r="BR28" s="50">
        <f t="shared" si="14"/>
        <v>0</v>
      </c>
      <c r="BT28" s="49"/>
      <c r="BU28" s="49"/>
      <c r="BV28" s="50">
        <f t="shared" si="15"/>
        <v>0</v>
      </c>
      <c r="BX28" s="49"/>
      <c r="BY28" s="49"/>
      <c r="BZ28" s="50">
        <f t="shared" si="16"/>
        <v>0</v>
      </c>
      <c r="CB28" s="49"/>
      <c r="CC28" s="49"/>
      <c r="CD28" s="50">
        <f t="shared" si="17"/>
        <v>0</v>
      </c>
      <c r="CF28" s="49"/>
      <c r="CG28" s="49"/>
      <c r="CH28" s="50">
        <f t="shared" si="18"/>
        <v>0</v>
      </c>
      <c r="CJ28" s="49"/>
      <c r="CK28" s="49"/>
      <c r="CL28" s="50">
        <f t="shared" si="19"/>
        <v>0</v>
      </c>
      <c r="CN28" s="49"/>
      <c r="CO28" s="49"/>
      <c r="CP28" s="50">
        <f t="shared" si="20"/>
        <v>0</v>
      </c>
      <c r="CR28" s="49"/>
      <c r="CS28" s="49"/>
      <c r="CT28" s="50">
        <f t="shared" si="21"/>
        <v>0</v>
      </c>
      <c r="CV28" s="49"/>
      <c r="CW28" s="49"/>
      <c r="CX28" s="50">
        <f t="shared" si="22"/>
        <v>0</v>
      </c>
      <c r="CZ28" s="49"/>
      <c r="DA28" s="49"/>
      <c r="DB28" s="50">
        <f t="shared" si="23"/>
        <v>0</v>
      </c>
      <c r="DD28" s="49"/>
      <c r="DE28" s="49"/>
      <c r="DF28" s="50">
        <f t="shared" si="24"/>
        <v>0</v>
      </c>
      <c r="DH28" s="49"/>
      <c r="DI28" s="49"/>
      <c r="DJ28" s="50">
        <f t="shared" si="25"/>
        <v>0</v>
      </c>
      <c r="DL28" s="49"/>
      <c r="DM28" s="49"/>
      <c r="DN28" s="50">
        <f t="shared" si="26"/>
        <v>0</v>
      </c>
      <c r="DP28" s="49"/>
      <c r="DQ28" s="49"/>
      <c r="DR28" s="50">
        <f t="shared" si="27"/>
        <v>0</v>
      </c>
      <c r="DT28" s="49"/>
      <c r="DU28" s="49"/>
      <c r="DV28" s="50">
        <f t="shared" si="28"/>
        <v>0</v>
      </c>
      <c r="DX28" s="49"/>
      <c r="DY28" s="49"/>
      <c r="DZ28" s="50">
        <f t="shared" si="29"/>
        <v>0</v>
      </c>
      <c r="EB28" s="49">
        <f t="shared" si="30"/>
        <v>0</v>
      </c>
      <c r="EC28" s="49">
        <f t="shared" si="30"/>
        <v>0</v>
      </c>
      <c r="ED28" s="49">
        <f t="shared" si="30"/>
        <v>0</v>
      </c>
    </row>
    <row r="29" spans="2:134" ht="11" customHeight="1" x14ac:dyDescent="0.35">
      <c r="B29" s="4">
        <v>106023</v>
      </c>
      <c r="C29" s="4" t="s">
        <v>35</v>
      </c>
      <c r="D29" s="4">
        <v>24</v>
      </c>
      <c r="E29" s="5">
        <v>18</v>
      </c>
      <c r="F29" s="6">
        <v>192.45406706</v>
      </c>
      <c r="G29" s="7"/>
      <c r="H29" s="49"/>
      <c r="I29" s="49"/>
      <c r="J29" s="50">
        <f t="shared" si="31"/>
        <v>0</v>
      </c>
      <c r="K29" s="9"/>
      <c r="L29" s="49"/>
      <c r="M29" s="49"/>
      <c r="N29" s="50">
        <f t="shared" si="0"/>
        <v>0</v>
      </c>
      <c r="O29" s="46"/>
      <c r="P29" s="49"/>
      <c r="Q29" s="49"/>
      <c r="R29" s="50">
        <f t="shared" si="1"/>
        <v>0</v>
      </c>
      <c r="T29" s="49"/>
      <c r="U29" s="49"/>
      <c r="V29" s="50">
        <f t="shared" si="2"/>
        <v>0</v>
      </c>
      <c r="X29" s="49"/>
      <c r="Y29" s="49"/>
      <c r="Z29" s="50">
        <f t="shared" si="3"/>
        <v>0</v>
      </c>
      <c r="AB29" s="49"/>
      <c r="AC29" s="49"/>
      <c r="AD29" s="50">
        <f t="shared" si="4"/>
        <v>0</v>
      </c>
      <c r="AF29" s="49"/>
      <c r="AG29" s="49"/>
      <c r="AH29" s="50">
        <f t="shared" si="5"/>
        <v>0</v>
      </c>
      <c r="AJ29" s="49"/>
      <c r="AK29" s="49"/>
      <c r="AL29" s="50">
        <f t="shared" si="6"/>
        <v>0</v>
      </c>
      <c r="AN29" s="49"/>
      <c r="AO29" s="49"/>
      <c r="AP29" s="50">
        <f t="shared" si="7"/>
        <v>0</v>
      </c>
      <c r="AR29" s="49"/>
      <c r="AS29" s="49"/>
      <c r="AT29" s="50">
        <f t="shared" si="8"/>
        <v>0</v>
      </c>
      <c r="AV29" s="49"/>
      <c r="AW29" s="49"/>
      <c r="AX29" s="50">
        <f t="shared" si="9"/>
        <v>0</v>
      </c>
      <c r="AZ29" s="49"/>
      <c r="BA29" s="49"/>
      <c r="BB29" s="50">
        <f t="shared" si="10"/>
        <v>0</v>
      </c>
      <c r="BD29" s="49"/>
      <c r="BE29" s="49"/>
      <c r="BF29" s="50">
        <f t="shared" si="11"/>
        <v>0</v>
      </c>
      <c r="BH29" s="49"/>
      <c r="BI29" s="49"/>
      <c r="BJ29" s="50">
        <f t="shared" si="12"/>
        <v>0</v>
      </c>
      <c r="BL29" s="49"/>
      <c r="BM29" s="49"/>
      <c r="BN29" s="50">
        <f t="shared" si="13"/>
        <v>0</v>
      </c>
      <c r="BP29" s="49"/>
      <c r="BQ29" s="49"/>
      <c r="BR29" s="50">
        <f t="shared" si="14"/>
        <v>0</v>
      </c>
      <c r="BT29" s="49"/>
      <c r="BU29" s="49"/>
      <c r="BV29" s="50">
        <f t="shared" si="15"/>
        <v>0</v>
      </c>
      <c r="BX29" s="49"/>
      <c r="BY29" s="49"/>
      <c r="BZ29" s="50">
        <f t="shared" si="16"/>
        <v>0</v>
      </c>
      <c r="CB29" s="49"/>
      <c r="CC29" s="49"/>
      <c r="CD29" s="50">
        <f t="shared" si="17"/>
        <v>0</v>
      </c>
      <c r="CF29" s="49"/>
      <c r="CG29" s="49"/>
      <c r="CH29" s="50">
        <f t="shared" si="18"/>
        <v>0</v>
      </c>
      <c r="CJ29" s="49"/>
      <c r="CK29" s="49"/>
      <c r="CL29" s="50">
        <f t="shared" si="19"/>
        <v>0</v>
      </c>
      <c r="CN29" s="49"/>
      <c r="CO29" s="49"/>
      <c r="CP29" s="50">
        <f t="shared" si="20"/>
        <v>0</v>
      </c>
      <c r="CR29" s="49"/>
      <c r="CS29" s="49"/>
      <c r="CT29" s="50">
        <f t="shared" si="21"/>
        <v>0</v>
      </c>
      <c r="CV29" s="49"/>
      <c r="CW29" s="49"/>
      <c r="CX29" s="50">
        <f t="shared" si="22"/>
        <v>0</v>
      </c>
      <c r="CZ29" s="49"/>
      <c r="DA29" s="49"/>
      <c r="DB29" s="50">
        <f t="shared" si="23"/>
        <v>0</v>
      </c>
      <c r="DD29" s="49"/>
      <c r="DE29" s="49"/>
      <c r="DF29" s="50">
        <f t="shared" si="24"/>
        <v>0</v>
      </c>
      <c r="DH29" s="49"/>
      <c r="DI29" s="49"/>
      <c r="DJ29" s="50">
        <f t="shared" si="25"/>
        <v>0</v>
      </c>
      <c r="DL29" s="49"/>
      <c r="DM29" s="49"/>
      <c r="DN29" s="50">
        <f t="shared" si="26"/>
        <v>0</v>
      </c>
      <c r="DP29" s="49"/>
      <c r="DQ29" s="49"/>
      <c r="DR29" s="50">
        <f t="shared" si="27"/>
        <v>0</v>
      </c>
      <c r="DT29" s="49"/>
      <c r="DU29" s="49"/>
      <c r="DV29" s="50">
        <f t="shared" si="28"/>
        <v>0</v>
      </c>
      <c r="DX29" s="49"/>
      <c r="DY29" s="49"/>
      <c r="DZ29" s="50">
        <f t="shared" si="29"/>
        <v>0</v>
      </c>
      <c r="EB29" s="49">
        <f t="shared" si="30"/>
        <v>0</v>
      </c>
      <c r="EC29" s="49">
        <f t="shared" si="30"/>
        <v>0</v>
      </c>
      <c r="ED29" s="49">
        <f t="shared" si="30"/>
        <v>0</v>
      </c>
    </row>
    <row r="30" spans="2:134" ht="11" customHeight="1" x14ac:dyDescent="0.35">
      <c r="B30" s="4">
        <v>106054</v>
      </c>
      <c r="C30" s="4" t="s">
        <v>36</v>
      </c>
      <c r="D30" s="4">
        <v>1</v>
      </c>
      <c r="E30" s="5">
        <v>12</v>
      </c>
      <c r="F30" s="6">
        <v>400.62864317399999</v>
      </c>
      <c r="G30" s="7"/>
      <c r="H30" s="49"/>
      <c r="I30" s="49"/>
      <c r="J30" s="50">
        <f t="shared" si="31"/>
        <v>0</v>
      </c>
      <c r="K30" s="9"/>
      <c r="L30" s="49"/>
      <c r="M30" s="49"/>
      <c r="N30" s="50">
        <f t="shared" si="0"/>
        <v>0</v>
      </c>
      <c r="O30" s="46"/>
      <c r="P30" s="49"/>
      <c r="Q30" s="49"/>
      <c r="R30" s="50">
        <f t="shared" si="1"/>
        <v>0</v>
      </c>
      <c r="T30" s="49"/>
      <c r="U30" s="49"/>
      <c r="V30" s="50">
        <f t="shared" si="2"/>
        <v>0</v>
      </c>
      <c r="X30" s="49"/>
      <c r="Y30" s="49"/>
      <c r="Z30" s="50">
        <f t="shared" si="3"/>
        <v>0</v>
      </c>
      <c r="AB30" s="49"/>
      <c r="AC30" s="49"/>
      <c r="AD30" s="50">
        <f t="shared" si="4"/>
        <v>0</v>
      </c>
      <c r="AF30" s="49"/>
      <c r="AG30" s="49"/>
      <c r="AH30" s="50">
        <f t="shared" si="5"/>
        <v>0</v>
      </c>
      <c r="AJ30" s="49"/>
      <c r="AK30" s="49"/>
      <c r="AL30" s="50">
        <f t="shared" si="6"/>
        <v>0</v>
      </c>
      <c r="AN30" s="49"/>
      <c r="AO30" s="49"/>
      <c r="AP30" s="50">
        <f t="shared" si="7"/>
        <v>0</v>
      </c>
      <c r="AR30" s="49"/>
      <c r="AS30" s="49"/>
      <c r="AT30" s="50">
        <f t="shared" si="8"/>
        <v>0</v>
      </c>
      <c r="AV30" s="49"/>
      <c r="AW30" s="49"/>
      <c r="AX30" s="50">
        <f t="shared" si="9"/>
        <v>0</v>
      </c>
      <c r="AZ30" s="49"/>
      <c r="BA30" s="49"/>
      <c r="BB30" s="50">
        <f t="shared" si="10"/>
        <v>0</v>
      </c>
      <c r="BD30" s="49"/>
      <c r="BE30" s="49"/>
      <c r="BF30" s="50">
        <f t="shared" si="11"/>
        <v>0</v>
      </c>
      <c r="BH30" s="49"/>
      <c r="BI30" s="49"/>
      <c r="BJ30" s="50">
        <f t="shared" si="12"/>
        <v>0</v>
      </c>
      <c r="BL30" s="49"/>
      <c r="BM30" s="49"/>
      <c r="BN30" s="50">
        <f t="shared" si="13"/>
        <v>0</v>
      </c>
      <c r="BP30" s="49"/>
      <c r="BQ30" s="49"/>
      <c r="BR30" s="50">
        <f t="shared" si="14"/>
        <v>0</v>
      </c>
      <c r="BT30" s="49"/>
      <c r="BU30" s="49"/>
      <c r="BV30" s="50">
        <f t="shared" si="15"/>
        <v>0</v>
      </c>
      <c r="BX30" s="49"/>
      <c r="BY30" s="49"/>
      <c r="BZ30" s="50">
        <f t="shared" si="16"/>
        <v>0</v>
      </c>
      <c r="CB30" s="49"/>
      <c r="CC30" s="49"/>
      <c r="CD30" s="50">
        <f t="shared" si="17"/>
        <v>0</v>
      </c>
      <c r="CF30" s="49"/>
      <c r="CG30" s="49"/>
      <c r="CH30" s="50">
        <f t="shared" si="18"/>
        <v>0</v>
      </c>
      <c r="CJ30" s="49"/>
      <c r="CK30" s="49"/>
      <c r="CL30" s="50">
        <f t="shared" si="19"/>
        <v>0</v>
      </c>
      <c r="CN30" s="49"/>
      <c r="CO30" s="49"/>
      <c r="CP30" s="50">
        <f t="shared" si="20"/>
        <v>0</v>
      </c>
      <c r="CR30" s="49"/>
      <c r="CS30" s="49"/>
      <c r="CT30" s="50">
        <f t="shared" si="21"/>
        <v>0</v>
      </c>
      <c r="CV30" s="49"/>
      <c r="CW30" s="49"/>
      <c r="CX30" s="50">
        <f t="shared" si="22"/>
        <v>0</v>
      </c>
      <c r="CZ30" s="49"/>
      <c r="DA30" s="49"/>
      <c r="DB30" s="50">
        <f t="shared" si="23"/>
        <v>0</v>
      </c>
      <c r="DD30" s="49"/>
      <c r="DE30" s="49"/>
      <c r="DF30" s="50">
        <f t="shared" si="24"/>
        <v>0</v>
      </c>
      <c r="DH30" s="49"/>
      <c r="DI30" s="49"/>
      <c r="DJ30" s="50">
        <f t="shared" si="25"/>
        <v>0</v>
      </c>
      <c r="DL30" s="49"/>
      <c r="DM30" s="49"/>
      <c r="DN30" s="50">
        <f t="shared" si="26"/>
        <v>0</v>
      </c>
      <c r="DP30" s="49"/>
      <c r="DQ30" s="49"/>
      <c r="DR30" s="50">
        <f t="shared" si="27"/>
        <v>0</v>
      </c>
      <c r="DT30" s="49"/>
      <c r="DU30" s="49"/>
      <c r="DV30" s="50">
        <f t="shared" si="28"/>
        <v>0</v>
      </c>
      <c r="DX30" s="49"/>
      <c r="DY30" s="49"/>
      <c r="DZ30" s="50">
        <f t="shared" si="29"/>
        <v>0</v>
      </c>
      <c r="EB30" s="49">
        <f t="shared" si="30"/>
        <v>0</v>
      </c>
      <c r="EC30" s="49">
        <f t="shared" si="30"/>
        <v>0</v>
      </c>
      <c r="ED30" s="49">
        <f t="shared" si="30"/>
        <v>0</v>
      </c>
    </row>
    <row r="31" spans="2:134" ht="11" customHeight="1" x14ac:dyDescent="0.35">
      <c r="B31" s="4">
        <v>106057</v>
      </c>
      <c r="C31" s="4" t="s">
        <v>37</v>
      </c>
      <c r="D31" s="4">
        <v>70</v>
      </c>
      <c r="E31" s="5">
        <v>18</v>
      </c>
      <c r="F31" s="6">
        <v>280.44265340800001</v>
      </c>
      <c r="G31" s="7"/>
      <c r="H31" s="49"/>
      <c r="I31" s="49"/>
      <c r="J31" s="50">
        <f t="shared" si="31"/>
        <v>0</v>
      </c>
      <c r="K31" s="9"/>
      <c r="L31" s="49"/>
      <c r="M31" s="49"/>
      <c r="N31" s="50">
        <f t="shared" si="0"/>
        <v>0</v>
      </c>
      <c r="O31" s="46"/>
      <c r="P31" s="49"/>
      <c r="Q31" s="49"/>
      <c r="R31" s="50">
        <f t="shared" si="1"/>
        <v>0</v>
      </c>
      <c r="T31" s="49"/>
      <c r="U31" s="49"/>
      <c r="V31" s="50">
        <f t="shared" si="2"/>
        <v>0</v>
      </c>
      <c r="X31" s="49"/>
      <c r="Y31" s="49"/>
      <c r="Z31" s="50">
        <f t="shared" si="3"/>
        <v>0</v>
      </c>
      <c r="AB31" s="49"/>
      <c r="AC31" s="49"/>
      <c r="AD31" s="50">
        <f t="shared" si="4"/>
        <v>0</v>
      </c>
      <c r="AF31" s="49"/>
      <c r="AG31" s="49"/>
      <c r="AH31" s="50">
        <f t="shared" si="5"/>
        <v>0</v>
      </c>
      <c r="AJ31" s="49"/>
      <c r="AK31" s="49"/>
      <c r="AL31" s="50">
        <f t="shared" si="6"/>
        <v>0</v>
      </c>
      <c r="AN31" s="49"/>
      <c r="AO31" s="49"/>
      <c r="AP31" s="50">
        <f t="shared" si="7"/>
        <v>0</v>
      </c>
      <c r="AR31" s="49"/>
      <c r="AS31" s="49"/>
      <c r="AT31" s="50">
        <f t="shared" si="8"/>
        <v>0</v>
      </c>
      <c r="AV31" s="49"/>
      <c r="AW31" s="49"/>
      <c r="AX31" s="50">
        <f t="shared" si="9"/>
        <v>0</v>
      </c>
      <c r="AZ31" s="49"/>
      <c r="BA31" s="49"/>
      <c r="BB31" s="50">
        <f t="shared" si="10"/>
        <v>0</v>
      </c>
      <c r="BD31" s="49"/>
      <c r="BE31" s="49"/>
      <c r="BF31" s="50">
        <f t="shared" si="11"/>
        <v>0</v>
      </c>
      <c r="BH31" s="49"/>
      <c r="BI31" s="49"/>
      <c r="BJ31" s="50">
        <f t="shared" si="12"/>
        <v>0</v>
      </c>
      <c r="BL31" s="49"/>
      <c r="BM31" s="49"/>
      <c r="BN31" s="50">
        <f t="shared" si="13"/>
        <v>0</v>
      </c>
      <c r="BP31" s="49"/>
      <c r="BQ31" s="49"/>
      <c r="BR31" s="50">
        <f t="shared" si="14"/>
        <v>0</v>
      </c>
      <c r="BT31" s="49"/>
      <c r="BU31" s="49"/>
      <c r="BV31" s="50">
        <f t="shared" si="15"/>
        <v>0</v>
      </c>
      <c r="BX31" s="49"/>
      <c r="BY31" s="49"/>
      <c r="BZ31" s="50">
        <f t="shared" si="16"/>
        <v>0</v>
      </c>
      <c r="CB31" s="49"/>
      <c r="CC31" s="49"/>
      <c r="CD31" s="50">
        <f t="shared" si="17"/>
        <v>0</v>
      </c>
      <c r="CF31" s="49"/>
      <c r="CG31" s="49"/>
      <c r="CH31" s="50">
        <f t="shared" si="18"/>
        <v>0</v>
      </c>
      <c r="CJ31" s="49"/>
      <c r="CK31" s="49"/>
      <c r="CL31" s="50">
        <f t="shared" si="19"/>
        <v>0</v>
      </c>
      <c r="CN31" s="49"/>
      <c r="CO31" s="49"/>
      <c r="CP31" s="50">
        <f t="shared" si="20"/>
        <v>0</v>
      </c>
      <c r="CR31" s="49"/>
      <c r="CS31" s="49"/>
      <c r="CT31" s="50">
        <f t="shared" si="21"/>
        <v>0</v>
      </c>
      <c r="CV31" s="49"/>
      <c r="CW31" s="49"/>
      <c r="CX31" s="50">
        <f t="shared" si="22"/>
        <v>0</v>
      </c>
      <c r="CZ31" s="49"/>
      <c r="DA31" s="49"/>
      <c r="DB31" s="50">
        <f t="shared" si="23"/>
        <v>0</v>
      </c>
      <c r="DD31" s="49"/>
      <c r="DE31" s="49"/>
      <c r="DF31" s="50">
        <f t="shared" si="24"/>
        <v>0</v>
      </c>
      <c r="DH31" s="49"/>
      <c r="DI31" s="49"/>
      <c r="DJ31" s="50">
        <f t="shared" si="25"/>
        <v>0</v>
      </c>
      <c r="DL31" s="49"/>
      <c r="DM31" s="49"/>
      <c r="DN31" s="50">
        <f t="shared" si="26"/>
        <v>0</v>
      </c>
      <c r="DP31" s="49"/>
      <c r="DQ31" s="49"/>
      <c r="DR31" s="50">
        <f t="shared" si="27"/>
        <v>0</v>
      </c>
      <c r="DT31" s="49"/>
      <c r="DU31" s="49"/>
      <c r="DV31" s="50">
        <f t="shared" si="28"/>
        <v>0</v>
      </c>
      <c r="DX31" s="49"/>
      <c r="DY31" s="49"/>
      <c r="DZ31" s="50">
        <f t="shared" si="29"/>
        <v>0</v>
      </c>
      <c r="EB31" s="49">
        <f t="shared" si="30"/>
        <v>0</v>
      </c>
      <c r="EC31" s="49">
        <f t="shared" si="30"/>
        <v>0</v>
      </c>
      <c r="ED31" s="49">
        <f t="shared" si="30"/>
        <v>0</v>
      </c>
    </row>
    <row r="32" spans="2:134" ht="11" customHeight="1" x14ac:dyDescent="0.35">
      <c r="B32" s="4">
        <v>106221</v>
      </c>
      <c r="C32" s="4" t="s">
        <v>38</v>
      </c>
      <c r="D32" s="4">
        <v>24</v>
      </c>
      <c r="E32" s="5">
        <v>18</v>
      </c>
      <c r="F32" s="6">
        <v>192.45406706</v>
      </c>
      <c r="G32" s="7"/>
      <c r="H32" s="49"/>
      <c r="I32" s="49"/>
      <c r="J32" s="50">
        <f t="shared" si="31"/>
        <v>0</v>
      </c>
      <c r="K32" s="9"/>
      <c r="L32" s="49"/>
      <c r="M32" s="49"/>
      <c r="N32" s="50">
        <f t="shared" si="0"/>
        <v>0</v>
      </c>
      <c r="O32" s="46"/>
      <c r="P32" s="49"/>
      <c r="Q32" s="49"/>
      <c r="R32" s="50">
        <f t="shared" si="1"/>
        <v>0</v>
      </c>
      <c r="T32" s="49"/>
      <c r="U32" s="49"/>
      <c r="V32" s="50">
        <f t="shared" si="2"/>
        <v>0</v>
      </c>
      <c r="X32" s="49"/>
      <c r="Y32" s="49"/>
      <c r="Z32" s="50">
        <f t="shared" si="3"/>
        <v>0</v>
      </c>
      <c r="AB32" s="49"/>
      <c r="AC32" s="49"/>
      <c r="AD32" s="50">
        <f t="shared" si="4"/>
        <v>0</v>
      </c>
      <c r="AF32" s="49"/>
      <c r="AG32" s="49"/>
      <c r="AH32" s="50">
        <f t="shared" si="5"/>
        <v>0</v>
      </c>
      <c r="AJ32" s="49"/>
      <c r="AK32" s="49"/>
      <c r="AL32" s="50">
        <f t="shared" si="6"/>
        <v>0</v>
      </c>
      <c r="AN32" s="49"/>
      <c r="AO32" s="49"/>
      <c r="AP32" s="50">
        <f t="shared" si="7"/>
        <v>0</v>
      </c>
      <c r="AR32" s="49"/>
      <c r="AS32" s="49"/>
      <c r="AT32" s="50">
        <f t="shared" si="8"/>
        <v>0</v>
      </c>
      <c r="AV32" s="49"/>
      <c r="AW32" s="49"/>
      <c r="AX32" s="50">
        <f t="shared" si="9"/>
        <v>0</v>
      </c>
      <c r="AZ32" s="49"/>
      <c r="BA32" s="49"/>
      <c r="BB32" s="50">
        <f t="shared" si="10"/>
        <v>0</v>
      </c>
      <c r="BD32" s="49"/>
      <c r="BE32" s="49"/>
      <c r="BF32" s="50">
        <f t="shared" si="11"/>
        <v>0</v>
      </c>
      <c r="BH32" s="49"/>
      <c r="BI32" s="49"/>
      <c r="BJ32" s="50">
        <f t="shared" si="12"/>
        <v>0</v>
      </c>
      <c r="BL32" s="49"/>
      <c r="BM32" s="49"/>
      <c r="BN32" s="50">
        <f t="shared" si="13"/>
        <v>0</v>
      </c>
      <c r="BP32" s="49"/>
      <c r="BQ32" s="49"/>
      <c r="BR32" s="50">
        <f t="shared" si="14"/>
        <v>0</v>
      </c>
      <c r="BT32" s="49"/>
      <c r="BU32" s="49"/>
      <c r="BV32" s="50">
        <f t="shared" si="15"/>
        <v>0</v>
      </c>
      <c r="BX32" s="49"/>
      <c r="BY32" s="49"/>
      <c r="BZ32" s="50">
        <f t="shared" si="16"/>
        <v>0</v>
      </c>
      <c r="CB32" s="49"/>
      <c r="CC32" s="49"/>
      <c r="CD32" s="50">
        <f t="shared" si="17"/>
        <v>0</v>
      </c>
      <c r="CF32" s="49"/>
      <c r="CG32" s="49"/>
      <c r="CH32" s="50">
        <f t="shared" si="18"/>
        <v>0</v>
      </c>
      <c r="CJ32" s="49"/>
      <c r="CK32" s="49"/>
      <c r="CL32" s="50">
        <f t="shared" si="19"/>
        <v>0</v>
      </c>
      <c r="CN32" s="49"/>
      <c r="CO32" s="49"/>
      <c r="CP32" s="50">
        <f t="shared" si="20"/>
        <v>0</v>
      </c>
      <c r="CR32" s="49"/>
      <c r="CS32" s="49"/>
      <c r="CT32" s="50">
        <f t="shared" si="21"/>
        <v>0</v>
      </c>
      <c r="CV32" s="49"/>
      <c r="CW32" s="49"/>
      <c r="CX32" s="50">
        <f t="shared" si="22"/>
        <v>0</v>
      </c>
      <c r="CZ32" s="49"/>
      <c r="DA32" s="49"/>
      <c r="DB32" s="50">
        <f t="shared" si="23"/>
        <v>0</v>
      </c>
      <c r="DD32" s="49"/>
      <c r="DE32" s="49"/>
      <c r="DF32" s="50">
        <f t="shared" si="24"/>
        <v>0</v>
      </c>
      <c r="DH32" s="49"/>
      <c r="DI32" s="49"/>
      <c r="DJ32" s="50">
        <f t="shared" si="25"/>
        <v>0</v>
      </c>
      <c r="DL32" s="49"/>
      <c r="DM32" s="49"/>
      <c r="DN32" s="50">
        <f t="shared" si="26"/>
        <v>0</v>
      </c>
      <c r="DP32" s="49"/>
      <c r="DQ32" s="49"/>
      <c r="DR32" s="50">
        <f t="shared" si="27"/>
        <v>0</v>
      </c>
      <c r="DT32" s="49"/>
      <c r="DU32" s="49"/>
      <c r="DV32" s="50">
        <f t="shared" si="28"/>
        <v>0</v>
      </c>
      <c r="DX32" s="49"/>
      <c r="DY32" s="49"/>
      <c r="DZ32" s="50">
        <f t="shared" si="29"/>
        <v>0</v>
      </c>
      <c r="EB32" s="49">
        <f t="shared" si="30"/>
        <v>0</v>
      </c>
      <c r="EC32" s="49">
        <f t="shared" si="30"/>
        <v>0</v>
      </c>
      <c r="ED32" s="49">
        <f t="shared" si="30"/>
        <v>0</v>
      </c>
    </row>
    <row r="33" spans="2:134" ht="11" customHeight="1" x14ac:dyDescent="0.35">
      <c r="B33" s="4">
        <v>106318</v>
      </c>
      <c r="C33" s="4" t="s">
        <v>39</v>
      </c>
      <c r="D33" s="4">
        <v>24</v>
      </c>
      <c r="E33" s="5">
        <v>18</v>
      </c>
      <c r="F33" s="6">
        <v>192.45406706</v>
      </c>
      <c r="G33" s="7"/>
      <c r="H33" s="49"/>
      <c r="I33" s="49"/>
      <c r="J33" s="50">
        <f t="shared" si="31"/>
        <v>0</v>
      </c>
      <c r="K33" s="9"/>
      <c r="L33" s="49"/>
      <c r="M33" s="49"/>
      <c r="N33" s="50">
        <f t="shared" si="0"/>
        <v>0</v>
      </c>
      <c r="O33" s="46"/>
      <c r="P33" s="49"/>
      <c r="Q33" s="49"/>
      <c r="R33" s="50">
        <f t="shared" si="1"/>
        <v>0</v>
      </c>
      <c r="T33" s="49"/>
      <c r="U33" s="49"/>
      <c r="V33" s="50">
        <f t="shared" si="2"/>
        <v>0</v>
      </c>
      <c r="X33" s="49"/>
      <c r="Y33" s="49"/>
      <c r="Z33" s="50">
        <f t="shared" si="3"/>
        <v>0</v>
      </c>
      <c r="AB33" s="49"/>
      <c r="AC33" s="49"/>
      <c r="AD33" s="50">
        <f t="shared" si="4"/>
        <v>0</v>
      </c>
      <c r="AF33" s="49"/>
      <c r="AG33" s="49"/>
      <c r="AH33" s="50">
        <f t="shared" si="5"/>
        <v>0</v>
      </c>
      <c r="AJ33" s="49"/>
      <c r="AK33" s="49"/>
      <c r="AL33" s="50">
        <f t="shared" si="6"/>
        <v>0</v>
      </c>
      <c r="AN33" s="49"/>
      <c r="AO33" s="49"/>
      <c r="AP33" s="50">
        <f t="shared" si="7"/>
        <v>0</v>
      </c>
      <c r="AR33" s="49"/>
      <c r="AS33" s="49"/>
      <c r="AT33" s="50">
        <f t="shared" si="8"/>
        <v>0</v>
      </c>
      <c r="AV33" s="49"/>
      <c r="AW33" s="49"/>
      <c r="AX33" s="50">
        <f t="shared" si="9"/>
        <v>0</v>
      </c>
      <c r="AZ33" s="49"/>
      <c r="BA33" s="49"/>
      <c r="BB33" s="50">
        <f t="shared" si="10"/>
        <v>0</v>
      </c>
      <c r="BD33" s="49"/>
      <c r="BE33" s="49"/>
      <c r="BF33" s="50">
        <f t="shared" si="11"/>
        <v>0</v>
      </c>
      <c r="BH33" s="49"/>
      <c r="BI33" s="49"/>
      <c r="BJ33" s="50">
        <f t="shared" si="12"/>
        <v>0</v>
      </c>
      <c r="BL33" s="49"/>
      <c r="BM33" s="49"/>
      <c r="BN33" s="50">
        <f t="shared" si="13"/>
        <v>0</v>
      </c>
      <c r="BP33" s="49"/>
      <c r="BQ33" s="49"/>
      <c r="BR33" s="50">
        <f t="shared" si="14"/>
        <v>0</v>
      </c>
      <c r="BT33" s="49"/>
      <c r="BU33" s="49"/>
      <c r="BV33" s="50">
        <f t="shared" si="15"/>
        <v>0</v>
      </c>
      <c r="BX33" s="49"/>
      <c r="BY33" s="49"/>
      <c r="BZ33" s="50">
        <f t="shared" si="16"/>
        <v>0</v>
      </c>
      <c r="CB33" s="49"/>
      <c r="CC33" s="49"/>
      <c r="CD33" s="50">
        <f t="shared" si="17"/>
        <v>0</v>
      </c>
      <c r="CF33" s="49"/>
      <c r="CG33" s="49"/>
      <c r="CH33" s="50">
        <f t="shared" si="18"/>
        <v>0</v>
      </c>
      <c r="CJ33" s="49"/>
      <c r="CK33" s="49"/>
      <c r="CL33" s="50">
        <f t="shared" si="19"/>
        <v>0</v>
      </c>
      <c r="CN33" s="49"/>
      <c r="CO33" s="49"/>
      <c r="CP33" s="50">
        <f t="shared" si="20"/>
        <v>0</v>
      </c>
      <c r="CR33" s="49"/>
      <c r="CS33" s="49"/>
      <c r="CT33" s="50">
        <f t="shared" si="21"/>
        <v>0</v>
      </c>
      <c r="CV33" s="49"/>
      <c r="CW33" s="49"/>
      <c r="CX33" s="50">
        <f t="shared" si="22"/>
        <v>0</v>
      </c>
      <c r="CZ33" s="49"/>
      <c r="DA33" s="49"/>
      <c r="DB33" s="50">
        <f t="shared" si="23"/>
        <v>0</v>
      </c>
      <c r="DD33" s="49"/>
      <c r="DE33" s="49"/>
      <c r="DF33" s="50">
        <f t="shared" si="24"/>
        <v>0</v>
      </c>
      <c r="DH33" s="49"/>
      <c r="DI33" s="49"/>
      <c r="DJ33" s="50">
        <f t="shared" si="25"/>
        <v>0</v>
      </c>
      <c r="DL33" s="49"/>
      <c r="DM33" s="49"/>
      <c r="DN33" s="50">
        <f t="shared" si="26"/>
        <v>0</v>
      </c>
      <c r="DP33" s="49"/>
      <c r="DQ33" s="49"/>
      <c r="DR33" s="50">
        <f t="shared" si="27"/>
        <v>0</v>
      </c>
      <c r="DT33" s="49"/>
      <c r="DU33" s="49"/>
      <c r="DV33" s="50">
        <f t="shared" si="28"/>
        <v>0</v>
      </c>
      <c r="DX33" s="49"/>
      <c r="DY33" s="49"/>
      <c r="DZ33" s="50">
        <f t="shared" si="29"/>
        <v>0</v>
      </c>
      <c r="EB33" s="49">
        <f t="shared" si="30"/>
        <v>0</v>
      </c>
      <c r="EC33" s="49">
        <f t="shared" si="30"/>
        <v>0</v>
      </c>
      <c r="ED33" s="49">
        <f t="shared" si="30"/>
        <v>0</v>
      </c>
    </row>
    <row r="34" spans="2:134" ht="11" customHeight="1" x14ac:dyDescent="0.35">
      <c r="B34" s="4">
        <v>106506</v>
      </c>
      <c r="C34" s="4" t="s">
        <v>40</v>
      </c>
      <c r="D34" s="4">
        <v>24</v>
      </c>
      <c r="E34" s="5">
        <v>24</v>
      </c>
      <c r="F34" s="6">
        <v>189.29879107400001</v>
      </c>
      <c r="G34" s="7"/>
      <c r="H34" s="49"/>
      <c r="I34" s="49"/>
      <c r="J34" s="50">
        <f t="shared" si="31"/>
        <v>0</v>
      </c>
      <c r="K34" s="9"/>
      <c r="L34" s="49"/>
      <c r="M34" s="49"/>
      <c r="N34" s="50">
        <f t="shared" si="0"/>
        <v>0</v>
      </c>
      <c r="O34" s="46"/>
      <c r="P34" s="49"/>
      <c r="Q34" s="49"/>
      <c r="R34" s="50">
        <f t="shared" si="1"/>
        <v>0</v>
      </c>
      <c r="T34" s="49"/>
      <c r="U34" s="49"/>
      <c r="V34" s="50">
        <f t="shared" si="2"/>
        <v>0</v>
      </c>
      <c r="X34" s="49"/>
      <c r="Y34" s="49"/>
      <c r="Z34" s="50">
        <f t="shared" si="3"/>
        <v>0</v>
      </c>
      <c r="AB34" s="49"/>
      <c r="AC34" s="49"/>
      <c r="AD34" s="50">
        <f t="shared" si="4"/>
        <v>0</v>
      </c>
      <c r="AF34" s="49"/>
      <c r="AG34" s="49"/>
      <c r="AH34" s="50">
        <f t="shared" si="5"/>
        <v>0</v>
      </c>
      <c r="AJ34" s="49"/>
      <c r="AK34" s="49"/>
      <c r="AL34" s="50">
        <f t="shared" si="6"/>
        <v>0</v>
      </c>
      <c r="AN34" s="49"/>
      <c r="AO34" s="49"/>
      <c r="AP34" s="50">
        <f t="shared" si="7"/>
        <v>0</v>
      </c>
      <c r="AR34" s="49"/>
      <c r="AS34" s="49"/>
      <c r="AT34" s="50">
        <f t="shared" si="8"/>
        <v>0</v>
      </c>
      <c r="AV34" s="49"/>
      <c r="AW34" s="49"/>
      <c r="AX34" s="50">
        <f t="shared" si="9"/>
        <v>0</v>
      </c>
      <c r="AZ34" s="49"/>
      <c r="BA34" s="49"/>
      <c r="BB34" s="50">
        <f t="shared" si="10"/>
        <v>0</v>
      </c>
      <c r="BD34" s="49"/>
      <c r="BE34" s="49"/>
      <c r="BF34" s="50">
        <f t="shared" si="11"/>
        <v>0</v>
      </c>
      <c r="BH34" s="49"/>
      <c r="BI34" s="49"/>
      <c r="BJ34" s="50">
        <f t="shared" si="12"/>
        <v>0</v>
      </c>
      <c r="BL34" s="49"/>
      <c r="BM34" s="49"/>
      <c r="BN34" s="50">
        <f t="shared" si="13"/>
        <v>0</v>
      </c>
      <c r="BP34" s="49"/>
      <c r="BQ34" s="49"/>
      <c r="BR34" s="50">
        <f t="shared" si="14"/>
        <v>0</v>
      </c>
      <c r="BT34" s="49"/>
      <c r="BU34" s="49"/>
      <c r="BV34" s="50">
        <f t="shared" si="15"/>
        <v>0</v>
      </c>
      <c r="BX34" s="49"/>
      <c r="BY34" s="49"/>
      <c r="BZ34" s="50">
        <f t="shared" si="16"/>
        <v>0</v>
      </c>
      <c r="CB34" s="49"/>
      <c r="CC34" s="49"/>
      <c r="CD34" s="50">
        <f t="shared" si="17"/>
        <v>0</v>
      </c>
      <c r="CF34" s="49"/>
      <c r="CG34" s="49"/>
      <c r="CH34" s="50">
        <f t="shared" si="18"/>
        <v>0</v>
      </c>
      <c r="CJ34" s="49"/>
      <c r="CK34" s="49"/>
      <c r="CL34" s="50">
        <f t="shared" si="19"/>
        <v>0</v>
      </c>
      <c r="CN34" s="49"/>
      <c r="CO34" s="49"/>
      <c r="CP34" s="50">
        <f t="shared" si="20"/>
        <v>0</v>
      </c>
      <c r="CR34" s="49"/>
      <c r="CS34" s="49"/>
      <c r="CT34" s="50">
        <f t="shared" si="21"/>
        <v>0</v>
      </c>
      <c r="CV34" s="49"/>
      <c r="CW34" s="49"/>
      <c r="CX34" s="50">
        <f t="shared" si="22"/>
        <v>0</v>
      </c>
      <c r="CZ34" s="49"/>
      <c r="DA34" s="49"/>
      <c r="DB34" s="50">
        <f t="shared" si="23"/>
        <v>0</v>
      </c>
      <c r="DD34" s="49"/>
      <c r="DE34" s="49"/>
      <c r="DF34" s="50">
        <f t="shared" si="24"/>
        <v>0</v>
      </c>
      <c r="DH34" s="49"/>
      <c r="DI34" s="49"/>
      <c r="DJ34" s="50">
        <f t="shared" si="25"/>
        <v>0</v>
      </c>
      <c r="DL34" s="49"/>
      <c r="DM34" s="49"/>
      <c r="DN34" s="50">
        <f t="shared" si="26"/>
        <v>0</v>
      </c>
      <c r="DP34" s="49"/>
      <c r="DQ34" s="49"/>
      <c r="DR34" s="50">
        <f t="shared" si="27"/>
        <v>0</v>
      </c>
      <c r="DT34" s="49"/>
      <c r="DU34" s="49"/>
      <c r="DV34" s="50">
        <f t="shared" si="28"/>
        <v>0</v>
      </c>
      <c r="DX34" s="49"/>
      <c r="DY34" s="49"/>
      <c r="DZ34" s="50">
        <f t="shared" si="29"/>
        <v>0</v>
      </c>
      <c r="EB34" s="49">
        <f t="shared" si="30"/>
        <v>0</v>
      </c>
      <c r="EC34" s="49">
        <f t="shared" si="30"/>
        <v>0</v>
      </c>
      <c r="ED34" s="49">
        <f t="shared" si="30"/>
        <v>0</v>
      </c>
    </row>
    <row r="35" spans="2:134" ht="11" customHeight="1" x14ac:dyDescent="0.35">
      <c r="B35" s="4">
        <v>106507</v>
      </c>
      <c r="C35" s="4" t="s">
        <v>41</v>
      </c>
      <c r="D35" s="4">
        <v>18</v>
      </c>
      <c r="E35" s="5">
        <v>18</v>
      </c>
      <c r="F35" s="6">
        <v>288.68044392000002</v>
      </c>
      <c r="G35" s="7"/>
      <c r="H35" s="49"/>
      <c r="I35" s="49"/>
      <c r="J35" s="50">
        <f t="shared" si="31"/>
        <v>0</v>
      </c>
      <c r="K35" s="9"/>
      <c r="L35" s="49"/>
      <c r="M35" s="49"/>
      <c r="N35" s="50">
        <f t="shared" si="0"/>
        <v>0</v>
      </c>
      <c r="O35" s="46"/>
      <c r="P35" s="49"/>
      <c r="Q35" s="49"/>
      <c r="R35" s="50">
        <f t="shared" si="1"/>
        <v>0</v>
      </c>
      <c r="T35" s="49"/>
      <c r="U35" s="49"/>
      <c r="V35" s="50">
        <f t="shared" si="2"/>
        <v>0</v>
      </c>
      <c r="X35" s="49"/>
      <c r="Y35" s="49"/>
      <c r="Z35" s="50">
        <f t="shared" si="3"/>
        <v>0</v>
      </c>
      <c r="AB35" s="49"/>
      <c r="AC35" s="49"/>
      <c r="AD35" s="50">
        <f t="shared" si="4"/>
        <v>0</v>
      </c>
      <c r="AF35" s="49"/>
      <c r="AG35" s="49"/>
      <c r="AH35" s="50">
        <f t="shared" si="5"/>
        <v>0</v>
      </c>
      <c r="AJ35" s="49"/>
      <c r="AK35" s="49"/>
      <c r="AL35" s="50">
        <f t="shared" si="6"/>
        <v>0</v>
      </c>
      <c r="AN35" s="49"/>
      <c r="AO35" s="49"/>
      <c r="AP35" s="50">
        <f t="shared" si="7"/>
        <v>0</v>
      </c>
      <c r="AR35" s="49"/>
      <c r="AS35" s="49"/>
      <c r="AT35" s="50">
        <f t="shared" si="8"/>
        <v>0</v>
      </c>
      <c r="AV35" s="49"/>
      <c r="AW35" s="49"/>
      <c r="AX35" s="50">
        <f t="shared" si="9"/>
        <v>0</v>
      </c>
      <c r="AZ35" s="49"/>
      <c r="BA35" s="49"/>
      <c r="BB35" s="50">
        <f t="shared" si="10"/>
        <v>0</v>
      </c>
      <c r="BD35" s="49"/>
      <c r="BE35" s="49"/>
      <c r="BF35" s="50">
        <f t="shared" si="11"/>
        <v>0</v>
      </c>
      <c r="BH35" s="49"/>
      <c r="BI35" s="49"/>
      <c r="BJ35" s="50">
        <f t="shared" si="12"/>
        <v>0</v>
      </c>
      <c r="BL35" s="49"/>
      <c r="BM35" s="49"/>
      <c r="BN35" s="50">
        <f t="shared" si="13"/>
        <v>0</v>
      </c>
      <c r="BP35" s="49"/>
      <c r="BQ35" s="49"/>
      <c r="BR35" s="50">
        <f t="shared" si="14"/>
        <v>0</v>
      </c>
      <c r="BT35" s="49"/>
      <c r="BU35" s="49"/>
      <c r="BV35" s="50">
        <f t="shared" si="15"/>
        <v>0</v>
      </c>
      <c r="BX35" s="49"/>
      <c r="BY35" s="49"/>
      <c r="BZ35" s="50">
        <f t="shared" si="16"/>
        <v>0</v>
      </c>
      <c r="CB35" s="49"/>
      <c r="CC35" s="49"/>
      <c r="CD35" s="50">
        <f t="shared" si="17"/>
        <v>0</v>
      </c>
      <c r="CF35" s="49"/>
      <c r="CG35" s="49"/>
      <c r="CH35" s="50">
        <f t="shared" si="18"/>
        <v>0</v>
      </c>
      <c r="CJ35" s="49"/>
      <c r="CK35" s="49"/>
      <c r="CL35" s="50">
        <f t="shared" si="19"/>
        <v>0</v>
      </c>
      <c r="CN35" s="49"/>
      <c r="CO35" s="49"/>
      <c r="CP35" s="50">
        <f t="shared" si="20"/>
        <v>0</v>
      </c>
      <c r="CR35" s="49"/>
      <c r="CS35" s="49"/>
      <c r="CT35" s="50">
        <f t="shared" si="21"/>
        <v>0</v>
      </c>
      <c r="CV35" s="49"/>
      <c r="CW35" s="49"/>
      <c r="CX35" s="50">
        <f t="shared" si="22"/>
        <v>0</v>
      </c>
      <c r="CZ35" s="49"/>
      <c r="DA35" s="49"/>
      <c r="DB35" s="50">
        <f t="shared" si="23"/>
        <v>0</v>
      </c>
      <c r="DD35" s="49"/>
      <c r="DE35" s="49"/>
      <c r="DF35" s="50">
        <f t="shared" si="24"/>
        <v>0</v>
      </c>
      <c r="DH35" s="49"/>
      <c r="DI35" s="49"/>
      <c r="DJ35" s="50">
        <f t="shared" si="25"/>
        <v>0</v>
      </c>
      <c r="DL35" s="49"/>
      <c r="DM35" s="49"/>
      <c r="DN35" s="50">
        <f t="shared" si="26"/>
        <v>0</v>
      </c>
      <c r="DP35" s="49"/>
      <c r="DQ35" s="49"/>
      <c r="DR35" s="50">
        <f t="shared" si="27"/>
        <v>0</v>
      </c>
      <c r="DT35" s="49"/>
      <c r="DU35" s="49"/>
      <c r="DV35" s="50">
        <f t="shared" si="28"/>
        <v>0</v>
      </c>
      <c r="DX35" s="49"/>
      <c r="DY35" s="49"/>
      <c r="DZ35" s="50">
        <f t="shared" si="29"/>
        <v>0</v>
      </c>
      <c r="EB35" s="49">
        <f t="shared" si="30"/>
        <v>0</v>
      </c>
      <c r="EC35" s="49">
        <f t="shared" si="30"/>
        <v>0</v>
      </c>
      <c r="ED35" s="49">
        <f t="shared" si="30"/>
        <v>0</v>
      </c>
    </row>
    <row r="36" spans="2:134" ht="11" customHeight="1" x14ac:dyDescent="0.35">
      <c r="B36" s="4">
        <v>106508</v>
      </c>
      <c r="C36" s="4" t="s">
        <v>42</v>
      </c>
      <c r="D36" s="4">
        <v>12</v>
      </c>
      <c r="E36" s="5">
        <v>12</v>
      </c>
      <c r="F36" s="6">
        <v>187.195471164</v>
      </c>
      <c r="G36" s="7"/>
      <c r="H36" s="49"/>
      <c r="I36" s="49"/>
      <c r="J36" s="50">
        <f t="shared" si="31"/>
        <v>0</v>
      </c>
      <c r="K36" s="9"/>
      <c r="L36" s="49"/>
      <c r="M36" s="49"/>
      <c r="N36" s="50">
        <f t="shared" si="0"/>
        <v>0</v>
      </c>
      <c r="O36" s="46"/>
      <c r="P36" s="49"/>
      <c r="Q36" s="49"/>
      <c r="R36" s="50">
        <f t="shared" si="1"/>
        <v>0</v>
      </c>
      <c r="T36" s="49"/>
      <c r="U36" s="49"/>
      <c r="V36" s="50">
        <f t="shared" si="2"/>
        <v>0</v>
      </c>
      <c r="X36" s="49"/>
      <c r="Y36" s="49"/>
      <c r="Z36" s="50">
        <f t="shared" si="3"/>
        <v>0</v>
      </c>
      <c r="AB36" s="49"/>
      <c r="AC36" s="49"/>
      <c r="AD36" s="50">
        <f t="shared" si="4"/>
        <v>0</v>
      </c>
      <c r="AF36" s="49"/>
      <c r="AG36" s="49"/>
      <c r="AH36" s="50">
        <f t="shared" si="5"/>
        <v>0</v>
      </c>
      <c r="AJ36" s="49"/>
      <c r="AK36" s="49"/>
      <c r="AL36" s="50">
        <f t="shared" si="6"/>
        <v>0</v>
      </c>
      <c r="AN36" s="49"/>
      <c r="AO36" s="49"/>
      <c r="AP36" s="50">
        <f t="shared" si="7"/>
        <v>0</v>
      </c>
      <c r="AR36" s="49"/>
      <c r="AS36" s="49"/>
      <c r="AT36" s="50">
        <f t="shared" si="8"/>
        <v>0</v>
      </c>
      <c r="AV36" s="49"/>
      <c r="AW36" s="49"/>
      <c r="AX36" s="50">
        <f t="shared" si="9"/>
        <v>0</v>
      </c>
      <c r="AZ36" s="49"/>
      <c r="BA36" s="49"/>
      <c r="BB36" s="50">
        <f t="shared" si="10"/>
        <v>0</v>
      </c>
      <c r="BD36" s="49"/>
      <c r="BE36" s="49"/>
      <c r="BF36" s="50">
        <f t="shared" si="11"/>
        <v>0</v>
      </c>
      <c r="BH36" s="49"/>
      <c r="BI36" s="49"/>
      <c r="BJ36" s="50">
        <f t="shared" si="12"/>
        <v>0</v>
      </c>
      <c r="BL36" s="49"/>
      <c r="BM36" s="49"/>
      <c r="BN36" s="50">
        <f t="shared" si="13"/>
        <v>0</v>
      </c>
      <c r="BP36" s="49"/>
      <c r="BQ36" s="49"/>
      <c r="BR36" s="50">
        <f t="shared" si="14"/>
        <v>0</v>
      </c>
      <c r="BT36" s="49"/>
      <c r="BU36" s="49"/>
      <c r="BV36" s="50">
        <f t="shared" si="15"/>
        <v>0</v>
      </c>
      <c r="BX36" s="49"/>
      <c r="BY36" s="49"/>
      <c r="BZ36" s="50">
        <f t="shared" si="16"/>
        <v>0</v>
      </c>
      <c r="CB36" s="49"/>
      <c r="CC36" s="49"/>
      <c r="CD36" s="50">
        <f t="shared" si="17"/>
        <v>0</v>
      </c>
      <c r="CF36" s="49"/>
      <c r="CG36" s="49"/>
      <c r="CH36" s="50">
        <f t="shared" si="18"/>
        <v>0</v>
      </c>
      <c r="CJ36" s="49"/>
      <c r="CK36" s="49"/>
      <c r="CL36" s="50">
        <f t="shared" si="19"/>
        <v>0</v>
      </c>
      <c r="CN36" s="49"/>
      <c r="CO36" s="49"/>
      <c r="CP36" s="50">
        <f t="shared" si="20"/>
        <v>0</v>
      </c>
      <c r="CR36" s="49"/>
      <c r="CS36" s="49"/>
      <c r="CT36" s="50">
        <f t="shared" si="21"/>
        <v>0</v>
      </c>
      <c r="CV36" s="49"/>
      <c r="CW36" s="49"/>
      <c r="CX36" s="50">
        <f t="shared" si="22"/>
        <v>0</v>
      </c>
      <c r="CZ36" s="49"/>
      <c r="DA36" s="49"/>
      <c r="DB36" s="50">
        <f t="shared" si="23"/>
        <v>0</v>
      </c>
      <c r="DD36" s="49"/>
      <c r="DE36" s="49"/>
      <c r="DF36" s="50">
        <f t="shared" si="24"/>
        <v>0</v>
      </c>
      <c r="DH36" s="49"/>
      <c r="DI36" s="49"/>
      <c r="DJ36" s="50">
        <f t="shared" si="25"/>
        <v>0</v>
      </c>
      <c r="DL36" s="49"/>
      <c r="DM36" s="49"/>
      <c r="DN36" s="50">
        <f t="shared" si="26"/>
        <v>0</v>
      </c>
      <c r="DP36" s="49"/>
      <c r="DQ36" s="49"/>
      <c r="DR36" s="50">
        <f t="shared" si="27"/>
        <v>0</v>
      </c>
      <c r="DT36" s="49"/>
      <c r="DU36" s="49"/>
      <c r="DV36" s="50">
        <f t="shared" si="28"/>
        <v>0</v>
      </c>
      <c r="DX36" s="49"/>
      <c r="DY36" s="49"/>
      <c r="DZ36" s="50">
        <f t="shared" si="29"/>
        <v>0</v>
      </c>
      <c r="EB36" s="49">
        <f t="shared" si="30"/>
        <v>0</v>
      </c>
      <c r="EC36" s="49">
        <f t="shared" si="30"/>
        <v>0</v>
      </c>
      <c r="ED36" s="49">
        <f t="shared" si="30"/>
        <v>0</v>
      </c>
    </row>
    <row r="37" spans="2:134" ht="11" customHeight="1" x14ac:dyDescent="0.35">
      <c r="B37" s="4">
        <v>106509</v>
      </c>
      <c r="C37" s="4" t="s">
        <v>43</v>
      </c>
      <c r="D37" s="4">
        <v>12</v>
      </c>
      <c r="E37" s="5">
        <v>12</v>
      </c>
      <c r="F37" s="6">
        <v>475.78878293999998</v>
      </c>
      <c r="G37" s="7"/>
      <c r="H37" s="49"/>
      <c r="I37" s="49"/>
      <c r="J37" s="50">
        <f t="shared" si="31"/>
        <v>0</v>
      </c>
      <c r="K37" s="9"/>
      <c r="L37" s="49"/>
      <c r="M37" s="49"/>
      <c r="N37" s="50">
        <f t="shared" si="0"/>
        <v>0</v>
      </c>
      <c r="O37" s="46"/>
      <c r="P37" s="49"/>
      <c r="Q37" s="49"/>
      <c r="R37" s="50">
        <f t="shared" si="1"/>
        <v>0</v>
      </c>
      <c r="T37" s="49"/>
      <c r="U37" s="49"/>
      <c r="V37" s="50">
        <f t="shared" si="2"/>
        <v>0</v>
      </c>
      <c r="X37" s="49"/>
      <c r="Y37" s="49"/>
      <c r="Z37" s="50">
        <f t="shared" si="3"/>
        <v>0</v>
      </c>
      <c r="AB37" s="49"/>
      <c r="AC37" s="49"/>
      <c r="AD37" s="50">
        <f t="shared" si="4"/>
        <v>0</v>
      </c>
      <c r="AF37" s="49"/>
      <c r="AG37" s="49"/>
      <c r="AH37" s="50">
        <f t="shared" si="5"/>
        <v>0</v>
      </c>
      <c r="AJ37" s="49"/>
      <c r="AK37" s="49"/>
      <c r="AL37" s="50">
        <f t="shared" si="6"/>
        <v>0</v>
      </c>
      <c r="AN37" s="49"/>
      <c r="AO37" s="49"/>
      <c r="AP37" s="50">
        <f t="shared" si="7"/>
        <v>0</v>
      </c>
      <c r="AR37" s="49"/>
      <c r="AS37" s="49"/>
      <c r="AT37" s="50">
        <f t="shared" si="8"/>
        <v>0</v>
      </c>
      <c r="AV37" s="49"/>
      <c r="AW37" s="49"/>
      <c r="AX37" s="50">
        <f t="shared" si="9"/>
        <v>0</v>
      </c>
      <c r="AZ37" s="49"/>
      <c r="BA37" s="49"/>
      <c r="BB37" s="50">
        <f t="shared" si="10"/>
        <v>0</v>
      </c>
      <c r="BD37" s="49"/>
      <c r="BE37" s="49"/>
      <c r="BF37" s="50">
        <f t="shared" si="11"/>
        <v>0</v>
      </c>
      <c r="BH37" s="49"/>
      <c r="BI37" s="49"/>
      <c r="BJ37" s="50">
        <f t="shared" si="12"/>
        <v>0</v>
      </c>
      <c r="BL37" s="49"/>
      <c r="BM37" s="49"/>
      <c r="BN37" s="50">
        <f t="shared" si="13"/>
        <v>0</v>
      </c>
      <c r="BP37" s="49"/>
      <c r="BQ37" s="49"/>
      <c r="BR37" s="50">
        <f t="shared" si="14"/>
        <v>0</v>
      </c>
      <c r="BT37" s="49"/>
      <c r="BU37" s="49"/>
      <c r="BV37" s="50">
        <f t="shared" si="15"/>
        <v>0</v>
      </c>
      <c r="BX37" s="49"/>
      <c r="BY37" s="49"/>
      <c r="BZ37" s="50">
        <f t="shared" si="16"/>
        <v>0</v>
      </c>
      <c r="CB37" s="49"/>
      <c r="CC37" s="49"/>
      <c r="CD37" s="50">
        <f t="shared" si="17"/>
        <v>0</v>
      </c>
      <c r="CF37" s="49"/>
      <c r="CG37" s="49"/>
      <c r="CH37" s="50">
        <f t="shared" si="18"/>
        <v>0</v>
      </c>
      <c r="CJ37" s="49"/>
      <c r="CK37" s="49"/>
      <c r="CL37" s="50">
        <f t="shared" si="19"/>
        <v>0</v>
      </c>
      <c r="CN37" s="49"/>
      <c r="CO37" s="49"/>
      <c r="CP37" s="50">
        <f t="shared" si="20"/>
        <v>0</v>
      </c>
      <c r="CR37" s="49"/>
      <c r="CS37" s="49"/>
      <c r="CT37" s="50">
        <f t="shared" si="21"/>
        <v>0</v>
      </c>
      <c r="CV37" s="49"/>
      <c r="CW37" s="49"/>
      <c r="CX37" s="50">
        <f t="shared" si="22"/>
        <v>0</v>
      </c>
      <c r="CZ37" s="49"/>
      <c r="DA37" s="49"/>
      <c r="DB37" s="50">
        <f t="shared" si="23"/>
        <v>0</v>
      </c>
      <c r="DD37" s="49"/>
      <c r="DE37" s="49"/>
      <c r="DF37" s="50">
        <f t="shared" si="24"/>
        <v>0</v>
      </c>
      <c r="DH37" s="49"/>
      <c r="DI37" s="49"/>
      <c r="DJ37" s="50">
        <f t="shared" si="25"/>
        <v>0</v>
      </c>
      <c r="DL37" s="49"/>
      <c r="DM37" s="49"/>
      <c r="DN37" s="50">
        <f t="shared" si="26"/>
        <v>0</v>
      </c>
      <c r="DP37" s="49"/>
      <c r="DQ37" s="49"/>
      <c r="DR37" s="50">
        <f t="shared" si="27"/>
        <v>0</v>
      </c>
      <c r="DT37" s="49"/>
      <c r="DU37" s="49"/>
      <c r="DV37" s="50">
        <f t="shared" si="28"/>
        <v>0</v>
      </c>
      <c r="DX37" s="49"/>
      <c r="DY37" s="49"/>
      <c r="DZ37" s="50">
        <f t="shared" si="29"/>
        <v>0</v>
      </c>
      <c r="EB37" s="49">
        <f t="shared" si="30"/>
        <v>0</v>
      </c>
      <c r="EC37" s="49">
        <f t="shared" si="30"/>
        <v>0</v>
      </c>
      <c r="ED37" s="49">
        <f t="shared" si="30"/>
        <v>0</v>
      </c>
    </row>
    <row r="38" spans="2:134" ht="11" customHeight="1" x14ac:dyDescent="0.35">
      <c r="B38" s="4">
        <v>106515</v>
      </c>
      <c r="C38" s="4" t="s">
        <v>44</v>
      </c>
      <c r="D38" s="4">
        <v>12</v>
      </c>
      <c r="E38" s="5">
        <v>12</v>
      </c>
      <c r="F38" s="6">
        <v>190.17517436</v>
      </c>
      <c r="G38" s="7"/>
      <c r="H38" s="49"/>
      <c r="I38" s="49"/>
      <c r="J38" s="50">
        <f t="shared" si="31"/>
        <v>0</v>
      </c>
      <c r="K38" s="9"/>
      <c r="L38" s="49"/>
      <c r="M38" s="49"/>
      <c r="N38" s="50">
        <f t="shared" si="0"/>
        <v>0</v>
      </c>
      <c r="O38" s="46"/>
      <c r="P38" s="49"/>
      <c r="Q38" s="49"/>
      <c r="R38" s="50">
        <f t="shared" si="1"/>
        <v>0</v>
      </c>
      <c r="T38" s="49"/>
      <c r="U38" s="49"/>
      <c r="V38" s="50">
        <f t="shared" si="2"/>
        <v>0</v>
      </c>
      <c r="X38" s="49"/>
      <c r="Y38" s="49"/>
      <c r="Z38" s="50">
        <f t="shared" si="3"/>
        <v>0</v>
      </c>
      <c r="AB38" s="49"/>
      <c r="AC38" s="49"/>
      <c r="AD38" s="50">
        <f t="shared" si="4"/>
        <v>0</v>
      </c>
      <c r="AF38" s="49"/>
      <c r="AG38" s="49"/>
      <c r="AH38" s="50">
        <f t="shared" si="5"/>
        <v>0</v>
      </c>
      <c r="AJ38" s="49"/>
      <c r="AK38" s="49"/>
      <c r="AL38" s="50">
        <f t="shared" si="6"/>
        <v>0</v>
      </c>
      <c r="AN38" s="49"/>
      <c r="AO38" s="49"/>
      <c r="AP38" s="50">
        <f t="shared" si="7"/>
        <v>0</v>
      </c>
      <c r="AR38" s="49"/>
      <c r="AS38" s="49"/>
      <c r="AT38" s="50">
        <f t="shared" si="8"/>
        <v>0</v>
      </c>
      <c r="AV38" s="49"/>
      <c r="AW38" s="49"/>
      <c r="AX38" s="50">
        <f t="shared" si="9"/>
        <v>0</v>
      </c>
      <c r="AZ38" s="49"/>
      <c r="BA38" s="49"/>
      <c r="BB38" s="50">
        <f t="shared" si="10"/>
        <v>0</v>
      </c>
      <c r="BD38" s="49"/>
      <c r="BE38" s="49"/>
      <c r="BF38" s="50">
        <f t="shared" si="11"/>
        <v>0</v>
      </c>
      <c r="BH38" s="49"/>
      <c r="BI38" s="49"/>
      <c r="BJ38" s="50">
        <f t="shared" si="12"/>
        <v>0</v>
      </c>
      <c r="BL38" s="49"/>
      <c r="BM38" s="49"/>
      <c r="BN38" s="50">
        <f t="shared" si="13"/>
        <v>0</v>
      </c>
      <c r="BP38" s="49"/>
      <c r="BQ38" s="49"/>
      <c r="BR38" s="50">
        <f t="shared" si="14"/>
        <v>0</v>
      </c>
      <c r="BT38" s="49"/>
      <c r="BU38" s="49"/>
      <c r="BV38" s="50">
        <f t="shared" si="15"/>
        <v>0</v>
      </c>
      <c r="BX38" s="49"/>
      <c r="BY38" s="49"/>
      <c r="BZ38" s="50">
        <f t="shared" si="16"/>
        <v>0</v>
      </c>
      <c r="CB38" s="49"/>
      <c r="CC38" s="49"/>
      <c r="CD38" s="50">
        <f t="shared" si="17"/>
        <v>0</v>
      </c>
      <c r="CF38" s="49"/>
      <c r="CG38" s="49"/>
      <c r="CH38" s="50">
        <f t="shared" si="18"/>
        <v>0</v>
      </c>
      <c r="CJ38" s="49"/>
      <c r="CK38" s="49"/>
      <c r="CL38" s="50">
        <f t="shared" si="19"/>
        <v>0</v>
      </c>
      <c r="CN38" s="49"/>
      <c r="CO38" s="49"/>
      <c r="CP38" s="50">
        <f t="shared" si="20"/>
        <v>0</v>
      </c>
      <c r="CR38" s="49"/>
      <c r="CS38" s="49"/>
      <c r="CT38" s="50">
        <f t="shared" si="21"/>
        <v>0</v>
      </c>
      <c r="CV38" s="49"/>
      <c r="CW38" s="49"/>
      <c r="CX38" s="50">
        <f t="shared" si="22"/>
        <v>0</v>
      </c>
      <c r="CZ38" s="49"/>
      <c r="DA38" s="49"/>
      <c r="DB38" s="50">
        <f t="shared" si="23"/>
        <v>0</v>
      </c>
      <c r="DD38" s="49"/>
      <c r="DE38" s="49"/>
      <c r="DF38" s="50">
        <f t="shared" si="24"/>
        <v>0</v>
      </c>
      <c r="DH38" s="49"/>
      <c r="DI38" s="49"/>
      <c r="DJ38" s="50">
        <f t="shared" si="25"/>
        <v>0</v>
      </c>
      <c r="DL38" s="49"/>
      <c r="DM38" s="49"/>
      <c r="DN38" s="50">
        <f t="shared" si="26"/>
        <v>0</v>
      </c>
      <c r="DP38" s="49"/>
      <c r="DQ38" s="49"/>
      <c r="DR38" s="50">
        <f t="shared" si="27"/>
        <v>0</v>
      </c>
      <c r="DT38" s="49"/>
      <c r="DU38" s="49"/>
      <c r="DV38" s="50">
        <f t="shared" si="28"/>
        <v>0</v>
      </c>
      <c r="DX38" s="49"/>
      <c r="DY38" s="49"/>
      <c r="DZ38" s="50">
        <f t="shared" si="29"/>
        <v>0</v>
      </c>
      <c r="EB38" s="49">
        <f t="shared" si="30"/>
        <v>0</v>
      </c>
      <c r="EC38" s="49">
        <f t="shared" si="30"/>
        <v>0</v>
      </c>
      <c r="ED38" s="49">
        <f t="shared" si="30"/>
        <v>0</v>
      </c>
    </row>
    <row r="39" spans="2:134" ht="11" customHeight="1" x14ac:dyDescent="0.35">
      <c r="B39" s="4">
        <v>106526</v>
      </c>
      <c r="C39" s="4" t="s">
        <v>45</v>
      </c>
      <c r="D39" s="4">
        <v>24</v>
      </c>
      <c r="E39" s="5">
        <v>18</v>
      </c>
      <c r="F39" s="6">
        <v>189.29879107400001</v>
      </c>
      <c r="G39" s="7"/>
      <c r="H39" s="49"/>
      <c r="I39" s="49"/>
      <c r="J39" s="50">
        <f t="shared" si="31"/>
        <v>0</v>
      </c>
      <c r="K39" s="9"/>
      <c r="L39" s="49"/>
      <c r="M39" s="49"/>
      <c r="N39" s="50">
        <f t="shared" si="0"/>
        <v>0</v>
      </c>
      <c r="O39" s="46"/>
      <c r="P39" s="49"/>
      <c r="Q39" s="49"/>
      <c r="R39" s="50">
        <f t="shared" si="1"/>
        <v>0</v>
      </c>
      <c r="T39" s="49"/>
      <c r="U39" s="49"/>
      <c r="V39" s="50">
        <f t="shared" si="2"/>
        <v>0</v>
      </c>
      <c r="X39" s="49"/>
      <c r="Y39" s="49"/>
      <c r="Z39" s="50">
        <f t="shared" si="3"/>
        <v>0</v>
      </c>
      <c r="AB39" s="49"/>
      <c r="AC39" s="49"/>
      <c r="AD39" s="50">
        <f t="shared" si="4"/>
        <v>0</v>
      </c>
      <c r="AF39" s="49"/>
      <c r="AG39" s="49"/>
      <c r="AH39" s="50">
        <f t="shared" si="5"/>
        <v>0</v>
      </c>
      <c r="AJ39" s="49"/>
      <c r="AK39" s="49"/>
      <c r="AL39" s="50">
        <f t="shared" si="6"/>
        <v>0</v>
      </c>
      <c r="AN39" s="49"/>
      <c r="AO39" s="49"/>
      <c r="AP39" s="50">
        <f t="shared" si="7"/>
        <v>0</v>
      </c>
      <c r="AR39" s="49"/>
      <c r="AS39" s="49"/>
      <c r="AT39" s="50">
        <f t="shared" si="8"/>
        <v>0</v>
      </c>
      <c r="AV39" s="49"/>
      <c r="AW39" s="49"/>
      <c r="AX39" s="50">
        <f t="shared" si="9"/>
        <v>0</v>
      </c>
      <c r="AZ39" s="49"/>
      <c r="BA39" s="49"/>
      <c r="BB39" s="50">
        <f t="shared" si="10"/>
        <v>0</v>
      </c>
      <c r="BD39" s="49"/>
      <c r="BE39" s="49"/>
      <c r="BF39" s="50">
        <f t="shared" si="11"/>
        <v>0</v>
      </c>
      <c r="BH39" s="49"/>
      <c r="BI39" s="49"/>
      <c r="BJ39" s="50">
        <f t="shared" si="12"/>
        <v>0</v>
      </c>
      <c r="BL39" s="49"/>
      <c r="BM39" s="49"/>
      <c r="BN39" s="50">
        <f t="shared" si="13"/>
        <v>0</v>
      </c>
      <c r="BP39" s="49"/>
      <c r="BQ39" s="49"/>
      <c r="BR39" s="50">
        <f t="shared" si="14"/>
        <v>0</v>
      </c>
      <c r="BT39" s="49"/>
      <c r="BU39" s="49"/>
      <c r="BV39" s="50">
        <f t="shared" si="15"/>
        <v>0</v>
      </c>
      <c r="BX39" s="49"/>
      <c r="BY39" s="49"/>
      <c r="BZ39" s="50">
        <f t="shared" si="16"/>
        <v>0</v>
      </c>
      <c r="CB39" s="49"/>
      <c r="CC39" s="49"/>
      <c r="CD39" s="50">
        <f t="shared" si="17"/>
        <v>0</v>
      </c>
      <c r="CF39" s="49"/>
      <c r="CG39" s="49"/>
      <c r="CH39" s="50">
        <f t="shared" si="18"/>
        <v>0</v>
      </c>
      <c r="CJ39" s="49"/>
      <c r="CK39" s="49"/>
      <c r="CL39" s="50">
        <f t="shared" si="19"/>
        <v>0</v>
      </c>
      <c r="CN39" s="49"/>
      <c r="CO39" s="49"/>
      <c r="CP39" s="50">
        <f t="shared" si="20"/>
        <v>0</v>
      </c>
      <c r="CR39" s="49"/>
      <c r="CS39" s="49"/>
      <c r="CT39" s="50">
        <f t="shared" si="21"/>
        <v>0</v>
      </c>
      <c r="CV39" s="49"/>
      <c r="CW39" s="49"/>
      <c r="CX39" s="50">
        <f t="shared" si="22"/>
        <v>0</v>
      </c>
      <c r="CZ39" s="49"/>
      <c r="DA39" s="49"/>
      <c r="DB39" s="50">
        <f t="shared" si="23"/>
        <v>0</v>
      </c>
      <c r="DD39" s="49"/>
      <c r="DE39" s="49"/>
      <c r="DF39" s="50">
        <f t="shared" si="24"/>
        <v>0</v>
      </c>
      <c r="DH39" s="49"/>
      <c r="DI39" s="49"/>
      <c r="DJ39" s="50">
        <f t="shared" si="25"/>
        <v>0</v>
      </c>
      <c r="DL39" s="49"/>
      <c r="DM39" s="49"/>
      <c r="DN39" s="50">
        <f t="shared" si="26"/>
        <v>0</v>
      </c>
      <c r="DP39" s="49"/>
      <c r="DQ39" s="49"/>
      <c r="DR39" s="50">
        <f t="shared" si="27"/>
        <v>0</v>
      </c>
      <c r="DT39" s="49"/>
      <c r="DU39" s="49"/>
      <c r="DV39" s="50">
        <f t="shared" si="28"/>
        <v>0</v>
      </c>
      <c r="DX39" s="49"/>
      <c r="DY39" s="49"/>
      <c r="DZ39" s="50">
        <f t="shared" si="29"/>
        <v>0</v>
      </c>
      <c r="EB39" s="49">
        <f t="shared" si="30"/>
        <v>0</v>
      </c>
      <c r="EC39" s="49">
        <f t="shared" si="30"/>
        <v>0</v>
      </c>
      <c r="ED39" s="49">
        <f t="shared" si="30"/>
        <v>0</v>
      </c>
    </row>
    <row r="40" spans="2:134" ht="11" customHeight="1" x14ac:dyDescent="0.35">
      <c r="B40" s="4">
        <v>106527</v>
      </c>
      <c r="C40" s="4" t="s">
        <v>46</v>
      </c>
      <c r="D40" s="4">
        <v>24</v>
      </c>
      <c r="E40" s="5">
        <v>18</v>
      </c>
      <c r="F40" s="6">
        <v>189.29879107400001</v>
      </c>
      <c r="G40" s="7"/>
      <c r="H40" s="49"/>
      <c r="I40" s="49"/>
      <c r="J40" s="50">
        <f t="shared" si="31"/>
        <v>0</v>
      </c>
      <c r="K40" s="9"/>
      <c r="L40" s="49"/>
      <c r="M40" s="49"/>
      <c r="N40" s="50">
        <f t="shared" si="0"/>
        <v>0</v>
      </c>
      <c r="O40" s="46"/>
      <c r="P40" s="49"/>
      <c r="Q40" s="49"/>
      <c r="R40" s="50">
        <f t="shared" si="1"/>
        <v>0</v>
      </c>
      <c r="T40" s="49"/>
      <c r="U40" s="49"/>
      <c r="V40" s="50">
        <f t="shared" si="2"/>
        <v>0</v>
      </c>
      <c r="X40" s="49"/>
      <c r="Y40" s="49"/>
      <c r="Z40" s="50">
        <f t="shared" si="3"/>
        <v>0</v>
      </c>
      <c r="AB40" s="49"/>
      <c r="AC40" s="49"/>
      <c r="AD40" s="50">
        <f t="shared" si="4"/>
        <v>0</v>
      </c>
      <c r="AF40" s="49"/>
      <c r="AG40" s="49"/>
      <c r="AH40" s="50">
        <f t="shared" si="5"/>
        <v>0</v>
      </c>
      <c r="AJ40" s="49"/>
      <c r="AK40" s="49"/>
      <c r="AL40" s="50">
        <f t="shared" si="6"/>
        <v>0</v>
      </c>
      <c r="AN40" s="49"/>
      <c r="AO40" s="49"/>
      <c r="AP40" s="50">
        <f t="shared" si="7"/>
        <v>0</v>
      </c>
      <c r="AR40" s="49"/>
      <c r="AS40" s="49"/>
      <c r="AT40" s="50">
        <f t="shared" si="8"/>
        <v>0</v>
      </c>
      <c r="AV40" s="49"/>
      <c r="AW40" s="49"/>
      <c r="AX40" s="50">
        <f t="shared" si="9"/>
        <v>0</v>
      </c>
      <c r="AZ40" s="49"/>
      <c r="BA40" s="49"/>
      <c r="BB40" s="50">
        <f t="shared" si="10"/>
        <v>0</v>
      </c>
      <c r="BD40" s="49"/>
      <c r="BE40" s="49"/>
      <c r="BF40" s="50">
        <f t="shared" si="11"/>
        <v>0</v>
      </c>
      <c r="BH40" s="49"/>
      <c r="BI40" s="49"/>
      <c r="BJ40" s="50">
        <f t="shared" si="12"/>
        <v>0</v>
      </c>
      <c r="BL40" s="49"/>
      <c r="BM40" s="49"/>
      <c r="BN40" s="50">
        <f t="shared" si="13"/>
        <v>0</v>
      </c>
      <c r="BP40" s="49"/>
      <c r="BQ40" s="49"/>
      <c r="BR40" s="50">
        <f t="shared" si="14"/>
        <v>0</v>
      </c>
      <c r="BT40" s="49"/>
      <c r="BU40" s="49"/>
      <c r="BV40" s="50">
        <f t="shared" si="15"/>
        <v>0</v>
      </c>
      <c r="BX40" s="49"/>
      <c r="BY40" s="49"/>
      <c r="BZ40" s="50">
        <f t="shared" si="16"/>
        <v>0</v>
      </c>
      <c r="CB40" s="49"/>
      <c r="CC40" s="49"/>
      <c r="CD40" s="50">
        <f t="shared" si="17"/>
        <v>0</v>
      </c>
      <c r="CF40" s="49"/>
      <c r="CG40" s="49"/>
      <c r="CH40" s="50">
        <f t="shared" si="18"/>
        <v>0</v>
      </c>
      <c r="CJ40" s="49"/>
      <c r="CK40" s="49"/>
      <c r="CL40" s="50">
        <f t="shared" si="19"/>
        <v>0</v>
      </c>
      <c r="CN40" s="49"/>
      <c r="CO40" s="49"/>
      <c r="CP40" s="50">
        <f t="shared" si="20"/>
        <v>0</v>
      </c>
      <c r="CR40" s="49"/>
      <c r="CS40" s="49"/>
      <c r="CT40" s="50">
        <f t="shared" si="21"/>
        <v>0</v>
      </c>
      <c r="CV40" s="49"/>
      <c r="CW40" s="49"/>
      <c r="CX40" s="50">
        <f t="shared" si="22"/>
        <v>0</v>
      </c>
      <c r="CZ40" s="49"/>
      <c r="DA40" s="49"/>
      <c r="DB40" s="50">
        <f t="shared" si="23"/>
        <v>0</v>
      </c>
      <c r="DD40" s="49"/>
      <c r="DE40" s="49"/>
      <c r="DF40" s="50">
        <f t="shared" si="24"/>
        <v>0</v>
      </c>
      <c r="DH40" s="49"/>
      <c r="DI40" s="49"/>
      <c r="DJ40" s="50">
        <f t="shared" si="25"/>
        <v>0</v>
      </c>
      <c r="DL40" s="49"/>
      <c r="DM40" s="49"/>
      <c r="DN40" s="50">
        <f t="shared" si="26"/>
        <v>0</v>
      </c>
      <c r="DP40" s="49"/>
      <c r="DQ40" s="49"/>
      <c r="DR40" s="50">
        <f t="shared" si="27"/>
        <v>0</v>
      </c>
      <c r="DT40" s="49"/>
      <c r="DU40" s="49"/>
      <c r="DV40" s="50">
        <f t="shared" si="28"/>
        <v>0</v>
      </c>
      <c r="DX40" s="49"/>
      <c r="DY40" s="49"/>
      <c r="DZ40" s="50">
        <f t="shared" si="29"/>
        <v>0</v>
      </c>
      <c r="EB40" s="49">
        <f t="shared" si="30"/>
        <v>0</v>
      </c>
      <c r="EC40" s="49">
        <f t="shared" si="30"/>
        <v>0</v>
      </c>
      <c r="ED40" s="49">
        <f t="shared" si="30"/>
        <v>0</v>
      </c>
    </row>
    <row r="41" spans="2:134" ht="11" customHeight="1" x14ac:dyDescent="0.35">
      <c r="B41" s="4">
        <v>106528</v>
      </c>
      <c r="C41" s="4" t="s">
        <v>47</v>
      </c>
      <c r="D41" s="4">
        <v>24</v>
      </c>
      <c r="E41" s="5">
        <v>18</v>
      </c>
      <c r="F41" s="6">
        <v>189.29879107400001</v>
      </c>
      <c r="G41" s="7"/>
      <c r="H41" s="49"/>
      <c r="I41" s="49"/>
      <c r="J41" s="50">
        <f t="shared" si="31"/>
        <v>0</v>
      </c>
      <c r="K41" s="9"/>
      <c r="L41" s="49"/>
      <c r="M41" s="49"/>
      <c r="N41" s="50">
        <f t="shared" si="0"/>
        <v>0</v>
      </c>
      <c r="O41" s="46"/>
      <c r="P41" s="49"/>
      <c r="Q41" s="49"/>
      <c r="R41" s="50">
        <f t="shared" si="1"/>
        <v>0</v>
      </c>
      <c r="T41" s="49"/>
      <c r="U41" s="49"/>
      <c r="V41" s="50">
        <f t="shared" si="2"/>
        <v>0</v>
      </c>
      <c r="X41" s="49"/>
      <c r="Y41" s="49"/>
      <c r="Z41" s="50">
        <f t="shared" si="3"/>
        <v>0</v>
      </c>
      <c r="AB41" s="49"/>
      <c r="AC41" s="49"/>
      <c r="AD41" s="50">
        <f t="shared" si="4"/>
        <v>0</v>
      </c>
      <c r="AF41" s="49"/>
      <c r="AG41" s="49"/>
      <c r="AH41" s="50">
        <f t="shared" si="5"/>
        <v>0</v>
      </c>
      <c r="AJ41" s="49"/>
      <c r="AK41" s="49"/>
      <c r="AL41" s="50">
        <f t="shared" si="6"/>
        <v>0</v>
      </c>
      <c r="AN41" s="49"/>
      <c r="AO41" s="49"/>
      <c r="AP41" s="50">
        <f t="shared" si="7"/>
        <v>0</v>
      </c>
      <c r="AR41" s="49"/>
      <c r="AS41" s="49"/>
      <c r="AT41" s="50">
        <f t="shared" si="8"/>
        <v>0</v>
      </c>
      <c r="AV41" s="49"/>
      <c r="AW41" s="49"/>
      <c r="AX41" s="50">
        <f t="shared" si="9"/>
        <v>0</v>
      </c>
      <c r="AZ41" s="49"/>
      <c r="BA41" s="49"/>
      <c r="BB41" s="50">
        <f t="shared" si="10"/>
        <v>0</v>
      </c>
      <c r="BD41" s="49"/>
      <c r="BE41" s="49"/>
      <c r="BF41" s="50">
        <f t="shared" si="11"/>
        <v>0</v>
      </c>
      <c r="BH41" s="49"/>
      <c r="BI41" s="49"/>
      <c r="BJ41" s="50">
        <f t="shared" si="12"/>
        <v>0</v>
      </c>
      <c r="BL41" s="49"/>
      <c r="BM41" s="49"/>
      <c r="BN41" s="50">
        <f t="shared" si="13"/>
        <v>0</v>
      </c>
      <c r="BP41" s="49"/>
      <c r="BQ41" s="49"/>
      <c r="BR41" s="50">
        <f t="shared" si="14"/>
        <v>0</v>
      </c>
      <c r="BT41" s="49"/>
      <c r="BU41" s="49"/>
      <c r="BV41" s="50">
        <f t="shared" si="15"/>
        <v>0</v>
      </c>
      <c r="BX41" s="49"/>
      <c r="BY41" s="49"/>
      <c r="BZ41" s="50">
        <f t="shared" si="16"/>
        <v>0</v>
      </c>
      <c r="CB41" s="49"/>
      <c r="CC41" s="49"/>
      <c r="CD41" s="50">
        <f t="shared" si="17"/>
        <v>0</v>
      </c>
      <c r="CF41" s="49"/>
      <c r="CG41" s="49"/>
      <c r="CH41" s="50">
        <f t="shared" si="18"/>
        <v>0</v>
      </c>
      <c r="CJ41" s="49"/>
      <c r="CK41" s="49"/>
      <c r="CL41" s="50">
        <f t="shared" si="19"/>
        <v>0</v>
      </c>
      <c r="CN41" s="49"/>
      <c r="CO41" s="49"/>
      <c r="CP41" s="50">
        <f t="shared" si="20"/>
        <v>0</v>
      </c>
      <c r="CR41" s="49"/>
      <c r="CS41" s="49"/>
      <c r="CT41" s="50">
        <f t="shared" si="21"/>
        <v>0</v>
      </c>
      <c r="CV41" s="49"/>
      <c r="CW41" s="49"/>
      <c r="CX41" s="50">
        <f t="shared" si="22"/>
        <v>0</v>
      </c>
      <c r="CZ41" s="49"/>
      <c r="DA41" s="49"/>
      <c r="DB41" s="50">
        <f t="shared" si="23"/>
        <v>0</v>
      </c>
      <c r="DD41" s="49"/>
      <c r="DE41" s="49"/>
      <c r="DF41" s="50">
        <f t="shared" si="24"/>
        <v>0</v>
      </c>
      <c r="DH41" s="49"/>
      <c r="DI41" s="49"/>
      <c r="DJ41" s="50">
        <f t="shared" si="25"/>
        <v>0</v>
      </c>
      <c r="DL41" s="49"/>
      <c r="DM41" s="49"/>
      <c r="DN41" s="50">
        <f t="shared" si="26"/>
        <v>0</v>
      </c>
      <c r="DP41" s="49"/>
      <c r="DQ41" s="49"/>
      <c r="DR41" s="50">
        <f t="shared" si="27"/>
        <v>0</v>
      </c>
      <c r="DT41" s="49"/>
      <c r="DU41" s="49"/>
      <c r="DV41" s="50">
        <f t="shared" si="28"/>
        <v>0</v>
      </c>
      <c r="DX41" s="49"/>
      <c r="DY41" s="49"/>
      <c r="DZ41" s="50">
        <f t="shared" si="29"/>
        <v>0</v>
      </c>
      <c r="EB41" s="49">
        <f t="shared" si="30"/>
        <v>0</v>
      </c>
      <c r="EC41" s="49">
        <f t="shared" si="30"/>
        <v>0</v>
      </c>
      <c r="ED41" s="49">
        <f t="shared" si="30"/>
        <v>0</v>
      </c>
    </row>
    <row r="42" spans="2:134" ht="11" customHeight="1" x14ac:dyDescent="0.35">
      <c r="B42" s="4">
        <v>106608</v>
      </c>
      <c r="C42" s="4" t="s">
        <v>48</v>
      </c>
      <c r="D42" s="4">
        <v>12</v>
      </c>
      <c r="E42" s="5">
        <v>24</v>
      </c>
      <c r="F42" s="6">
        <v>190.671775</v>
      </c>
      <c r="G42" s="7"/>
      <c r="H42" s="49"/>
      <c r="I42" s="49"/>
      <c r="J42" s="50">
        <f t="shared" si="31"/>
        <v>0</v>
      </c>
      <c r="K42" s="9"/>
      <c r="L42" s="49"/>
      <c r="M42" s="49"/>
      <c r="N42" s="50">
        <f t="shared" si="0"/>
        <v>0</v>
      </c>
      <c r="O42" s="46"/>
      <c r="P42" s="49"/>
      <c r="Q42" s="49"/>
      <c r="R42" s="50">
        <f t="shared" si="1"/>
        <v>0</v>
      </c>
      <c r="T42" s="49"/>
      <c r="U42" s="49"/>
      <c r="V42" s="50">
        <f t="shared" si="2"/>
        <v>0</v>
      </c>
      <c r="X42" s="49"/>
      <c r="Y42" s="49"/>
      <c r="Z42" s="50">
        <f t="shared" si="3"/>
        <v>0</v>
      </c>
      <c r="AB42" s="49"/>
      <c r="AC42" s="49"/>
      <c r="AD42" s="50">
        <f t="shared" si="4"/>
        <v>0</v>
      </c>
      <c r="AF42" s="49"/>
      <c r="AG42" s="49"/>
      <c r="AH42" s="50">
        <f t="shared" si="5"/>
        <v>0</v>
      </c>
      <c r="AJ42" s="49"/>
      <c r="AK42" s="49"/>
      <c r="AL42" s="50">
        <f t="shared" si="6"/>
        <v>0</v>
      </c>
      <c r="AN42" s="49"/>
      <c r="AO42" s="49"/>
      <c r="AP42" s="50">
        <f t="shared" si="7"/>
        <v>0</v>
      </c>
      <c r="AR42" s="49"/>
      <c r="AS42" s="49"/>
      <c r="AT42" s="50">
        <f t="shared" si="8"/>
        <v>0</v>
      </c>
      <c r="AV42" s="49"/>
      <c r="AW42" s="49"/>
      <c r="AX42" s="50">
        <f t="shared" si="9"/>
        <v>0</v>
      </c>
      <c r="AZ42" s="49"/>
      <c r="BA42" s="49"/>
      <c r="BB42" s="50">
        <f t="shared" si="10"/>
        <v>0</v>
      </c>
      <c r="BD42" s="49"/>
      <c r="BE42" s="49"/>
      <c r="BF42" s="50">
        <f t="shared" si="11"/>
        <v>0</v>
      </c>
      <c r="BH42" s="49"/>
      <c r="BI42" s="49"/>
      <c r="BJ42" s="50">
        <f t="shared" si="12"/>
        <v>0</v>
      </c>
      <c r="BL42" s="49"/>
      <c r="BM42" s="49"/>
      <c r="BN42" s="50">
        <f t="shared" si="13"/>
        <v>0</v>
      </c>
      <c r="BP42" s="49"/>
      <c r="BQ42" s="49"/>
      <c r="BR42" s="50">
        <f t="shared" si="14"/>
        <v>0</v>
      </c>
      <c r="BT42" s="49"/>
      <c r="BU42" s="49"/>
      <c r="BV42" s="50">
        <f t="shared" si="15"/>
        <v>0</v>
      </c>
      <c r="BX42" s="49"/>
      <c r="BY42" s="49"/>
      <c r="BZ42" s="50">
        <f t="shared" si="16"/>
        <v>0</v>
      </c>
      <c r="CB42" s="49"/>
      <c r="CC42" s="49"/>
      <c r="CD42" s="50">
        <f t="shared" si="17"/>
        <v>0</v>
      </c>
      <c r="CF42" s="49"/>
      <c r="CG42" s="49"/>
      <c r="CH42" s="50">
        <f t="shared" si="18"/>
        <v>0</v>
      </c>
      <c r="CJ42" s="49"/>
      <c r="CK42" s="49"/>
      <c r="CL42" s="50">
        <f t="shared" si="19"/>
        <v>0</v>
      </c>
      <c r="CN42" s="49"/>
      <c r="CO42" s="49"/>
      <c r="CP42" s="50">
        <f t="shared" si="20"/>
        <v>0</v>
      </c>
      <c r="CR42" s="49"/>
      <c r="CS42" s="49"/>
      <c r="CT42" s="50">
        <f t="shared" si="21"/>
        <v>0</v>
      </c>
      <c r="CV42" s="49"/>
      <c r="CW42" s="49"/>
      <c r="CX42" s="50">
        <f t="shared" si="22"/>
        <v>0</v>
      </c>
      <c r="CZ42" s="49"/>
      <c r="DA42" s="49"/>
      <c r="DB42" s="50">
        <f t="shared" si="23"/>
        <v>0</v>
      </c>
      <c r="DD42" s="49"/>
      <c r="DE42" s="49"/>
      <c r="DF42" s="50">
        <f t="shared" si="24"/>
        <v>0</v>
      </c>
      <c r="DH42" s="49"/>
      <c r="DI42" s="49"/>
      <c r="DJ42" s="50">
        <f t="shared" si="25"/>
        <v>0</v>
      </c>
      <c r="DL42" s="49"/>
      <c r="DM42" s="49"/>
      <c r="DN42" s="50">
        <f t="shared" si="26"/>
        <v>0</v>
      </c>
      <c r="DP42" s="49"/>
      <c r="DQ42" s="49"/>
      <c r="DR42" s="50">
        <f t="shared" si="27"/>
        <v>0</v>
      </c>
      <c r="DT42" s="49"/>
      <c r="DU42" s="49"/>
      <c r="DV42" s="50">
        <f t="shared" si="28"/>
        <v>0</v>
      </c>
      <c r="DX42" s="49"/>
      <c r="DY42" s="49"/>
      <c r="DZ42" s="50">
        <f t="shared" si="29"/>
        <v>0</v>
      </c>
      <c r="EB42" s="49">
        <f t="shared" si="30"/>
        <v>0</v>
      </c>
      <c r="EC42" s="49">
        <f t="shared" si="30"/>
        <v>0</v>
      </c>
      <c r="ED42" s="49">
        <f t="shared" si="30"/>
        <v>0</v>
      </c>
    </row>
    <row r="43" spans="2:134" ht="11" customHeight="1" x14ac:dyDescent="0.35">
      <c r="B43" s="4">
        <v>106609</v>
      </c>
      <c r="C43" s="4" t="s">
        <v>49</v>
      </c>
      <c r="D43" s="4">
        <v>12</v>
      </c>
      <c r="E43" s="5">
        <v>24</v>
      </c>
      <c r="F43" s="6">
        <v>190.671775</v>
      </c>
      <c r="G43" s="7"/>
      <c r="H43" s="49"/>
      <c r="I43" s="49"/>
      <c r="J43" s="50">
        <f t="shared" si="31"/>
        <v>0</v>
      </c>
      <c r="K43" s="9"/>
      <c r="L43" s="49"/>
      <c r="M43" s="49"/>
      <c r="N43" s="50">
        <f t="shared" si="0"/>
        <v>0</v>
      </c>
      <c r="O43" s="46"/>
      <c r="P43" s="49"/>
      <c r="Q43" s="49"/>
      <c r="R43" s="50">
        <f t="shared" si="1"/>
        <v>0</v>
      </c>
      <c r="T43" s="49"/>
      <c r="U43" s="49"/>
      <c r="V43" s="50">
        <f t="shared" si="2"/>
        <v>0</v>
      </c>
      <c r="X43" s="49"/>
      <c r="Y43" s="49"/>
      <c r="Z43" s="50">
        <f t="shared" si="3"/>
        <v>0</v>
      </c>
      <c r="AB43" s="49"/>
      <c r="AC43" s="49"/>
      <c r="AD43" s="50">
        <f t="shared" si="4"/>
        <v>0</v>
      </c>
      <c r="AF43" s="49"/>
      <c r="AG43" s="49"/>
      <c r="AH43" s="50">
        <f t="shared" si="5"/>
        <v>0</v>
      </c>
      <c r="AJ43" s="49"/>
      <c r="AK43" s="49"/>
      <c r="AL43" s="50">
        <f t="shared" si="6"/>
        <v>0</v>
      </c>
      <c r="AN43" s="49"/>
      <c r="AO43" s="49"/>
      <c r="AP43" s="50">
        <f t="shared" si="7"/>
        <v>0</v>
      </c>
      <c r="AR43" s="49"/>
      <c r="AS43" s="49"/>
      <c r="AT43" s="50">
        <f t="shared" si="8"/>
        <v>0</v>
      </c>
      <c r="AV43" s="49"/>
      <c r="AW43" s="49"/>
      <c r="AX43" s="50">
        <f t="shared" si="9"/>
        <v>0</v>
      </c>
      <c r="AZ43" s="49"/>
      <c r="BA43" s="49"/>
      <c r="BB43" s="50">
        <f t="shared" si="10"/>
        <v>0</v>
      </c>
      <c r="BD43" s="49"/>
      <c r="BE43" s="49"/>
      <c r="BF43" s="50">
        <f t="shared" si="11"/>
        <v>0</v>
      </c>
      <c r="BH43" s="49"/>
      <c r="BI43" s="49"/>
      <c r="BJ43" s="50">
        <f t="shared" si="12"/>
        <v>0</v>
      </c>
      <c r="BL43" s="49"/>
      <c r="BM43" s="49"/>
      <c r="BN43" s="50">
        <f t="shared" si="13"/>
        <v>0</v>
      </c>
      <c r="BP43" s="49"/>
      <c r="BQ43" s="49"/>
      <c r="BR43" s="50">
        <f t="shared" si="14"/>
        <v>0</v>
      </c>
      <c r="BT43" s="49"/>
      <c r="BU43" s="49"/>
      <c r="BV43" s="50">
        <f t="shared" si="15"/>
        <v>0</v>
      </c>
      <c r="BX43" s="49"/>
      <c r="BY43" s="49"/>
      <c r="BZ43" s="50">
        <f t="shared" si="16"/>
        <v>0</v>
      </c>
      <c r="CB43" s="49"/>
      <c r="CC43" s="49"/>
      <c r="CD43" s="50">
        <f t="shared" si="17"/>
        <v>0</v>
      </c>
      <c r="CF43" s="49"/>
      <c r="CG43" s="49"/>
      <c r="CH43" s="50">
        <f t="shared" si="18"/>
        <v>0</v>
      </c>
      <c r="CJ43" s="49"/>
      <c r="CK43" s="49"/>
      <c r="CL43" s="50">
        <f t="shared" si="19"/>
        <v>0</v>
      </c>
      <c r="CN43" s="49"/>
      <c r="CO43" s="49"/>
      <c r="CP43" s="50">
        <f t="shared" si="20"/>
        <v>0</v>
      </c>
      <c r="CR43" s="49"/>
      <c r="CS43" s="49"/>
      <c r="CT43" s="50">
        <f t="shared" si="21"/>
        <v>0</v>
      </c>
      <c r="CV43" s="49"/>
      <c r="CW43" s="49"/>
      <c r="CX43" s="50">
        <f t="shared" si="22"/>
        <v>0</v>
      </c>
      <c r="CZ43" s="49"/>
      <c r="DA43" s="49"/>
      <c r="DB43" s="50">
        <f t="shared" si="23"/>
        <v>0</v>
      </c>
      <c r="DD43" s="49"/>
      <c r="DE43" s="49"/>
      <c r="DF43" s="50">
        <f t="shared" si="24"/>
        <v>0</v>
      </c>
      <c r="DH43" s="49"/>
      <c r="DI43" s="49"/>
      <c r="DJ43" s="50">
        <f t="shared" si="25"/>
        <v>0</v>
      </c>
      <c r="DL43" s="49"/>
      <c r="DM43" s="49"/>
      <c r="DN43" s="50">
        <f t="shared" si="26"/>
        <v>0</v>
      </c>
      <c r="DP43" s="49"/>
      <c r="DQ43" s="49"/>
      <c r="DR43" s="50">
        <f t="shared" si="27"/>
        <v>0</v>
      </c>
      <c r="DT43" s="49"/>
      <c r="DU43" s="49"/>
      <c r="DV43" s="50">
        <f t="shared" si="28"/>
        <v>0</v>
      </c>
      <c r="DX43" s="49"/>
      <c r="DY43" s="49"/>
      <c r="DZ43" s="50">
        <f t="shared" si="29"/>
        <v>0</v>
      </c>
      <c r="EB43" s="49">
        <f t="shared" si="30"/>
        <v>0</v>
      </c>
      <c r="EC43" s="49">
        <f t="shared" si="30"/>
        <v>0</v>
      </c>
      <c r="ED43" s="49">
        <f t="shared" si="30"/>
        <v>0</v>
      </c>
    </row>
    <row r="44" spans="2:134" ht="11" customHeight="1" x14ac:dyDescent="0.35">
      <c r="B44" s="4">
        <v>106611</v>
      </c>
      <c r="C44" s="4" t="s">
        <v>50</v>
      </c>
      <c r="D44" s="4">
        <v>12</v>
      </c>
      <c r="E44" s="5">
        <v>24</v>
      </c>
      <c r="F44" s="6">
        <v>190.671775</v>
      </c>
      <c r="G44" s="7"/>
      <c r="H44" s="49"/>
      <c r="I44" s="49"/>
      <c r="J44" s="50">
        <f t="shared" si="31"/>
        <v>0</v>
      </c>
      <c r="K44" s="9"/>
      <c r="L44" s="49"/>
      <c r="M44" s="49"/>
      <c r="N44" s="50">
        <f t="shared" si="0"/>
        <v>0</v>
      </c>
      <c r="O44" s="46"/>
      <c r="P44" s="49"/>
      <c r="Q44" s="49"/>
      <c r="R44" s="50">
        <f t="shared" si="1"/>
        <v>0</v>
      </c>
      <c r="T44" s="49"/>
      <c r="U44" s="49"/>
      <c r="V44" s="50">
        <f t="shared" si="2"/>
        <v>0</v>
      </c>
      <c r="X44" s="49"/>
      <c r="Y44" s="49"/>
      <c r="Z44" s="50">
        <f t="shared" si="3"/>
        <v>0</v>
      </c>
      <c r="AB44" s="49"/>
      <c r="AC44" s="49"/>
      <c r="AD44" s="50">
        <f t="shared" si="4"/>
        <v>0</v>
      </c>
      <c r="AF44" s="49"/>
      <c r="AG44" s="49"/>
      <c r="AH44" s="50">
        <f t="shared" si="5"/>
        <v>0</v>
      </c>
      <c r="AJ44" s="49"/>
      <c r="AK44" s="49"/>
      <c r="AL44" s="50">
        <f t="shared" si="6"/>
        <v>0</v>
      </c>
      <c r="AN44" s="49"/>
      <c r="AO44" s="49"/>
      <c r="AP44" s="50">
        <f t="shared" si="7"/>
        <v>0</v>
      </c>
      <c r="AR44" s="49"/>
      <c r="AS44" s="49"/>
      <c r="AT44" s="50">
        <f t="shared" si="8"/>
        <v>0</v>
      </c>
      <c r="AV44" s="49"/>
      <c r="AW44" s="49"/>
      <c r="AX44" s="50">
        <f t="shared" si="9"/>
        <v>0</v>
      </c>
      <c r="AZ44" s="49"/>
      <c r="BA44" s="49"/>
      <c r="BB44" s="50">
        <f t="shared" si="10"/>
        <v>0</v>
      </c>
      <c r="BD44" s="49"/>
      <c r="BE44" s="49"/>
      <c r="BF44" s="50">
        <f t="shared" si="11"/>
        <v>0</v>
      </c>
      <c r="BH44" s="49"/>
      <c r="BI44" s="49"/>
      <c r="BJ44" s="50">
        <f t="shared" si="12"/>
        <v>0</v>
      </c>
      <c r="BL44" s="49"/>
      <c r="BM44" s="49"/>
      <c r="BN44" s="50">
        <f t="shared" si="13"/>
        <v>0</v>
      </c>
      <c r="BP44" s="49"/>
      <c r="BQ44" s="49"/>
      <c r="BR44" s="50">
        <f t="shared" si="14"/>
        <v>0</v>
      </c>
      <c r="BT44" s="49"/>
      <c r="BU44" s="49"/>
      <c r="BV44" s="50">
        <f t="shared" si="15"/>
        <v>0</v>
      </c>
      <c r="BX44" s="49"/>
      <c r="BY44" s="49"/>
      <c r="BZ44" s="50">
        <f t="shared" si="16"/>
        <v>0</v>
      </c>
      <c r="CB44" s="49"/>
      <c r="CC44" s="49"/>
      <c r="CD44" s="50">
        <f t="shared" si="17"/>
        <v>0</v>
      </c>
      <c r="CF44" s="49"/>
      <c r="CG44" s="49"/>
      <c r="CH44" s="50">
        <f t="shared" si="18"/>
        <v>0</v>
      </c>
      <c r="CJ44" s="49"/>
      <c r="CK44" s="49"/>
      <c r="CL44" s="50">
        <f t="shared" si="19"/>
        <v>0</v>
      </c>
      <c r="CN44" s="49"/>
      <c r="CO44" s="49"/>
      <c r="CP44" s="50">
        <f t="shared" si="20"/>
        <v>0</v>
      </c>
      <c r="CR44" s="49"/>
      <c r="CS44" s="49"/>
      <c r="CT44" s="50">
        <f t="shared" si="21"/>
        <v>0</v>
      </c>
      <c r="CV44" s="49"/>
      <c r="CW44" s="49"/>
      <c r="CX44" s="50">
        <f t="shared" si="22"/>
        <v>0</v>
      </c>
      <c r="CZ44" s="49"/>
      <c r="DA44" s="49"/>
      <c r="DB44" s="50">
        <f t="shared" si="23"/>
        <v>0</v>
      </c>
      <c r="DD44" s="49"/>
      <c r="DE44" s="49"/>
      <c r="DF44" s="50">
        <f t="shared" si="24"/>
        <v>0</v>
      </c>
      <c r="DH44" s="49"/>
      <c r="DI44" s="49"/>
      <c r="DJ44" s="50">
        <f t="shared" si="25"/>
        <v>0</v>
      </c>
      <c r="DL44" s="49"/>
      <c r="DM44" s="49"/>
      <c r="DN44" s="50">
        <f t="shared" si="26"/>
        <v>0</v>
      </c>
      <c r="DP44" s="49"/>
      <c r="DQ44" s="49"/>
      <c r="DR44" s="50">
        <f t="shared" si="27"/>
        <v>0</v>
      </c>
      <c r="DT44" s="49"/>
      <c r="DU44" s="49"/>
      <c r="DV44" s="50">
        <f t="shared" si="28"/>
        <v>0</v>
      </c>
      <c r="DX44" s="49"/>
      <c r="DY44" s="49"/>
      <c r="DZ44" s="50">
        <f t="shared" si="29"/>
        <v>0</v>
      </c>
      <c r="EB44" s="49">
        <f t="shared" si="30"/>
        <v>0</v>
      </c>
      <c r="EC44" s="49">
        <f t="shared" si="30"/>
        <v>0</v>
      </c>
      <c r="ED44" s="49">
        <f t="shared" si="30"/>
        <v>0</v>
      </c>
    </row>
    <row r="45" spans="2:134" ht="11" customHeight="1" x14ac:dyDescent="0.35">
      <c r="B45" s="4">
        <v>106616</v>
      </c>
      <c r="C45" s="4" t="s">
        <v>51</v>
      </c>
      <c r="D45" s="4">
        <v>6</v>
      </c>
      <c r="E45" s="5">
        <v>12</v>
      </c>
      <c r="F45" s="6">
        <v>476.67968294000002</v>
      </c>
      <c r="G45" s="7"/>
      <c r="H45" s="49"/>
      <c r="I45" s="49"/>
      <c r="J45" s="50">
        <f t="shared" si="31"/>
        <v>0</v>
      </c>
      <c r="K45" s="9"/>
      <c r="L45" s="49"/>
      <c r="M45" s="49"/>
      <c r="N45" s="50">
        <f t="shared" si="0"/>
        <v>0</v>
      </c>
      <c r="O45" s="46"/>
      <c r="P45" s="49"/>
      <c r="Q45" s="49"/>
      <c r="R45" s="50">
        <f t="shared" si="1"/>
        <v>0</v>
      </c>
      <c r="T45" s="49"/>
      <c r="U45" s="49"/>
      <c r="V45" s="50">
        <f t="shared" si="2"/>
        <v>0</v>
      </c>
      <c r="X45" s="49"/>
      <c r="Y45" s="49"/>
      <c r="Z45" s="50">
        <f t="shared" si="3"/>
        <v>0</v>
      </c>
      <c r="AB45" s="49"/>
      <c r="AC45" s="49"/>
      <c r="AD45" s="50">
        <f t="shared" si="4"/>
        <v>0</v>
      </c>
      <c r="AF45" s="49"/>
      <c r="AG45" s="49"/>
      <c r="AH45" s="50">
        <f t="shared" si="5"/>
        <v>0</v>
      </c>
      <c r="AJ45" s="49"/>
      <c r="AK45" s="49"/>
      <c r="AL45" s="50">
        <f t="shared" si="6"/>
        <v>0</v>
      </c>
      <c r="AN45" s="49"/>
      <c r="AO45" s="49"/>
      <c r="AP45" s="50">
        <f t="shared" si="7"/>
        <v>0</v>
      </c>
      <c r="AR45" s="49"/>
      <c r="AS45" s="49"/>
      <c r="AT45" s="50">
        <f t="shared" si="8"/>
        <v>0</v>
      </c>
      <c r="AV45" s="49"/>
      <c r="AW45" s="49"/>
      <c r="AX45" s="50">
        <f t="shared" si="9"/>
        <v>0</v>
      </c>
      <c r="AZ45" s="49"/>
      <c r="BA45" s="49"/>
      <c r="BB45" s="50">
        <f t="shared" si="10"/>
        <v>0</v>
      </c>
      <c r="BD45" s="49"/>
      <c r="BE45" s="49"/>
      <c r="BF45" s="50">
        <f t="shared" si="11"/>
        <v>0</v>
      </c>
      <c r="BH45" s="49"/>
      <c r="BI45" s="49"/>
      <c r="BJ45" s="50">
        <f t="shared" si="12"/>
        <v>0</v>
      </c>
      <c r="BL45" s="49"/>
      <c r="BM45" s="49"/>
      <c r="BN45" s="50">
        <f t="shared" si="13"/>
        <v>0</v>
      </c>
      <c r="BP45" s="49"/>
      <c r="BQ45" s="49"/>
      <c r="BR45" s="50">
        <f t="shared" si="14"/>
        <v>0</v>
      </c>
      <c r="BT45" s="49"/>
      <c r="BU45" s="49"/>
      <c r="BV45" s="50">
        <f t="shared" si="15"/>
        <v>0</v>
      </c>
      <c r="BX45" s="49"/>
      <c r="BY45" s="49"/>
      <c r="BZ45" s="50">
        <f t="shared" si="16"/>
        <v>0</v>
      </c>
      <c r="CB45" s="49"/>
      <c r="CC45" s="49"/>
      <c r="CD45" s="50">
        <f t="shared" si="17"/>
        <v>0</v>
      </c>
      <c r="CF45" s="49"/>
      <c r="CG45" s="49"/>
      <c r="CH45" s="50">
        <f t="shared" si="18"/>
        <v>0</v>
      </c>
      <c r="CJ45" s="49"/>
      <c r="CK45" s="49"/>
      <c r="CL45" s="50">
        <f t="shared" si="19"/>
        <v>0</v>
      </c>
      <c r="CN45" s="49"/>
      <c r="CO45" s="49"/>
      <c r="CP45" s="50">
        <f t="shared" si="20"/>
        <v>0</v>
      </c>
      <c r="CR45" s="49"/>
      <c r="CS45" s="49"/>
      <c r="CT45" s="50">
        <f t="shared" si="21"/>
        <v>0</v>
      </c>
      <c r="CV45" s="49"/>
      <c r="CW45" s="49"/>
      <c r="CX45" s="50">
        <f t="shared" si="22"/>
        <v>0</v>
      </c>
      <c r="CZ45" s="49"/>
      <c r="DA45" s="49"/>
      <c r="DB45" s="50">
        <f t="shared" si="23"/>
        <v>0</v>
      </c>
      <c r="DD45" s="49"/>
      <c r="DE45" s="49"/>
      <c r="DF45" s="50">
        <f t="shared" si="24"/>
        <v>0</v>
      </c>
      <c r="DH45" s="49"/>
      <c r="DI45" s="49"/>
      <c r="DJ45" s="50">
        <f t="shared" si="25"/>
        <v>0</v>
      </c>
      <c r="DL45" s="49"/>
      <c r="DM45" s="49"/>
      <c r="DN45" s="50">
        <f t="shared" si="26"/>
        <v>0</v>
      </c>
      <c r="DP45" s="49"/>
      <c r="DQ45" s="49"/>
      <c r="DR45" s="50">
        <f t="shared" si="27"/>
        <v>0</v>
      </c>
      <c r="DT45" s="49"/>
      <c r="DU45" s="49"/>
      <c r="DV45" s="50">
        <f t="shared" si="28"/>
        <v>0</v>
      </c>
      <c r="DX45" s="49"/>
      <c r="DY45" s="49"/>
      <c r="DZ45" s="50">
        <f t="shared" si="29"/>
        <v>0</v>
      </c>
      <c r="EB45" s="49">
        <f t="shared" si="30"/>
        <v>0</v>
      </c>
      <c r="EC45" s="49">
        <f t="shared" si="30"/>
        <v>0</v>
      </c>
      <c r="ED45" s="49">
        <f t="shared" si="30"/>
        <v>0</v>
      </c>
    </row>
    <row r="46" spans="2:134" ht="11" customHeight="1" x14ac:dyDescent="0.35">
      <c r="B46" s="4">
        <v>106617</v>
      </c>
      <c r="C46" s="4" t="s">
        <v>52</v>
      </c>
      <c r="D46" s="4">
        <v>6</v>
      </c>
      <c r="E46" s="5">
        <v>12</v>
      </c>
      <c r="F46" s="6">
        <v>476.67968294000002</v>
      </c>
      <c r="G46" s="7"/>
      <c r="H46" s="49"/>
      <c r="I46" s="49"/>
      <c r="J46" s="50">
        <f t="shared" si="31"/>
        <v>0</v>
      </c>
      <c r="K46" s="9"/>
      <c r="L46" s="49"/>
      <c r="M46" s="49"/>
      <c r="N46" s="50">
        <f t="shared" si="0"/>
        <v>0</v>
      </c>
      <c r="O46" s="46"/>
      <c r="P46" s="49"/>
      <c r="Q46" s="49"/>
      <c r="R46" s="50">
        <f t="shared" si="1"/>
        <v>0</v>
      </c>
      <c r="T46" s="49"/>
      <c r="U46" s="49"/>
      <c r="V46" s="50">
        <f t="shared" si="2"/>
        <v>0</v>
      </c>
      <c r="X46" s="49"/>
      <c r="Y46" s="49"/>
      <c r="Z46" s="50">
        <f t="shared" si="3"/>
        <v>0</v>
      </c>
      <c r="AB46" s="49"/>
      <c r="AC46" s="49"/>
      <c r="AD46" s="50">
        <f t="shared" si="4"/>
        <v>0</v>
      </c>
      <c r="AF46" s="49"/>
      <c r="AG46" s="49"/>
      <c r="AH46" s="50">
        <f t="shared" si="5"/>
        <v>0</v>
      </c>
      <c r="AJ46" s="49"/>
      <c r="AK46" s="49"/>
      <c r="AL46" s="50">
        <f t="shared" si="6"/>
        <v>0</v>
      </c>
      <c r="AN46" s="49"/>
      <c r="AO46" s="49"/>
      <c r="AP46" s="50">
        <f t="shared" si="7"/>
        <v>0</v>
      </c>
      <c r="AR46" s="49"/>
      <c r="AS46" s="49"/>
      <c r="AT46" s="50">
        <f t="shared" si="8"/>
        <v>0</v>
      </c>
      <c r="AV46" s="49"/>
      <c r="AW46" s="49"/>
      <c r="AX46" s="50">
        <f t="shared" si="9"/>
        <v>0</v>
      </c>
      <c r="AZ46" s="49"/>
      <c r="BA46" s="49"/>
      <c r="BB46" s="50">
        <f t="shared" si="10"/>
        <v>0</v>
      </c>
      <c r="BD46" s="49"/>
      <c r="BE46" s="49"/>
      <c r="BF46" s="50">
        <f t="shared" si="11"/>
        <v>0</v>
      </c>
      <c r="BH46" s="49"/>
      <c r="BI46" s="49"/>
      <c r="BJ46" s="50">
        <f t="shared" si="12"/>
        <v>0</v>
      </c>
      <c r="BL46" s="49"/>
      <c r="BM46" s="49"/>
      <c r="BN46" s="50">
        <f t="shared" si="13"/>
        <v>0</v>
      </c>
      <c r="BP46" s="49"/>
      <c r="BQ46" s="49"/>
      <c r="BR46" s="50">
        <f t="shared" si="14"/>
        <v>0</v>
      </c>
      <c r="BT46" s="49"/>
      <c r="BU46" s="49"/>
      <c r="BV46" s="50">
        <f t="shared" si="15"/>
        <v>0</v>
      </c>
      <c r="BX46" s="49"/>
      <c r="BY46" s="49"/>
      <c r="BZ46" s="50">
        <f t="shared" si="16"/>
        <v>0</v>
      </c>
      <c r="CB46" s="49"/>
      <c r="CC46" s="49"/>
      <c r="CD46" s="50">
        <f t="shared" si="17"/>
        <v>0</v>
      </c>
      <c r="CF46" s="49"/>
      <c r="CG46" s="49"/>
      <c r="CH46" s="50">
        <f t="shared" si="18"/>
        <v>0</v>
      </c>
      <c r="CJ46" s="49"/>
      <c r="CK46" s="49"/>
      <c r="CL46" s="50">
        <f t="shared" si="19"/>
        <v>0</v>
      </c>
      <c r="CN46" s="49"/>
      <c r="CO46" s="49"/>
      <c r="CP46" s="50">
        <f t="shared" si="20"/>
        <v>0</v>
      </c>
      <c r="CR46" s="49"/>
      <c r="CS46" s="49"/>
      <c r="CT46" s="50">
        <f t="shared" si="21"/>
        <v>0</v>
      </c>
      <c r="CV46" s="49"/>
      <c r="CW46" s="49"/>
      <c r="CX46" s="50">
        <f t="shared" si="22"/>
        <v>0</v>
      </c>
      <c r="CZ46" s="49"/>
      <c r="DA46" s="49"/>
      <c r="DB46" s="50">
        <f t="shared" si="23"/>
        <v>0</v>
      </c>
      <c r="DD46" s="49"/>
      <c r="DE46" s="49"/>
      <c r="DF46" s="50">
        <f t="shared" si="24"/>
        <v>0</v>
      </c>
      <c r="DH46" s="49"/>
      <c r="DI46" s="49"/>
      <c r="DJ46" s="50">
        <f t="shared" si="25"/>
        <v>0</v>
      </c>
      <c r="DL46" s="49"/>
      <c r="DM46" s="49"/>
      <c r="DN46" s="50">
        <f t="shared" si="26"/>
        <v>0</v>
      </c>
      <c r="DP46" s="49"/>
      <c r="DQ46" s="49"/>
      <c r="DR46" s="50">
        <f t="shared" si="27"/>
        <v>0</v>
      </c>
      <c r="DT46" s="49"/>
      <c r="DU46" s="49"/>
      <c r="DV46" s="50">
        <f t="shared" si="28"/>
        <v>0</v>
      </c>
      <c r="DX46" s="49"/>
      <c r="DY46" s="49"/>
      <c r="DZ46" s="50">
        <f t="shared" si="29"/>
        <v>0</v>
      </c>
      <c r="EB46" s="49">
        <f t="shared" si="30"/>
        <v>0</v>
      </c>
      <c r="EC46" s="49">
        <f t="shared" si="30"/>
        <v>0</v>
      </c>
      <c r="ED46" s="49">
        <f t="shared" si="30"/>
        <v>0</v>
      </c>
    </row>
    <row r="47" spans="2:134" ht="11" customHeight="1" x14ac:dyDescent="0.35">
      <c r="B47" s="4">
        <v>106618</v>
      </c>
      <c r="C47" s="4" t="s">
        <v>53</v>
      </c>
      <c r="D47" s="4">
        <v>6</v>
      </c>
      <c r="E47" s="5">
        <v>12</v>
      </c>
      <c r="F47" s="6">
        <v>476.67968294000002</v>
      </c>
      <c r="G47" s="7"/>
      <c r="H47" s="49"/>
      <c r="I47" s="49"/>
      <c r="J47" s="50">
        <f t="shared" si="31"/>
        <v>0</v>
      </c>
      <c r="K47" s="9"/>
      <c r="L47" s="49"/>
      <c r="M47" s="49"/>
      <c r="N47" s="50">
        <f t="shared" si="0"/>
        <v>0</v>
      </c>
      <c r="O47" s="46"/>
      <c r="P47" s="49"/>
      <c r="Q47" s="49"/>
      <c r="R47" s="50">
        <f t="shared" si="1"/>
        <v>0</v>
      </c>
      <c r="T47" s="49"/>
      <c r="U47" s="49"/>
      <c r="V47" s="50">
        <f t="shared" si="2"/>
        <v>0</v>
      </c>
      <c r="X47" s="49"/>
      <c r="Y47" s="49"/>
      <c r="Z47" s="50">
        <f t="shared" si="3"/>
        <v>0</v>
      </c>
      <c r="AB47" s="49"/>
      <c r="AC47" s="49"/>
      <c r="AD47" s="50">
        <f t="shared" si="4"/>
        <v>0</v>
      </c>
      <c r="AF47" s="49"/>
      <c r="AG47" s="49"/>
      <c r="AH47" s="50">
        <f t="shared" si="5"/>
        <v>0</v>
      </c>
      <c r="AJ47" s="49"/>
      <c r="AK47" s="49"/>
      <c r="AL47" s="50">
        <f t="shared" si="6"/>
        <v>0</v>
      </c>
      <c r="AN47" s="49"/>
      <c r="AO47" s="49"/>
      <c r="AP47" s="50">
        <f t="shared" si="7"/>
        <v>0</v>
      </c>
      <c r="AR47" s="49"/>
      <c r="AS47" s="49"/>
      <c r="AT47" s="50">
        <f t="shared" si="8"/>
        <v>0</v>
      </c>
      <c r="AV47" s="49"/>
      <c r="AW47" s="49"/>
      <c r="AX47" s="50">
        <f t="shared" si="9"/>
        <v>0</v>
      </c>
      <c r="AZ47" s="49"/>
      <c r="BA47" s="49"/>
      <c r="BB47" s="50">
        <f t="shared" si="10"/>
        <v>0</v>
      </c>
      <c r="BD47" s="49"/>
      <c r="BE47" s="49"/>
      <c r="BF47" s="50">
        <f t="shared" si="11"/>
        <v>0</v>
      </c>
      <c r="BH47" s="49"/>
      <c r="BI47" s="49"/>
      <c r="BJ47" s="50">
        <f t="shared" si="12"/>
        <v>0</v>
      </c>
      <c r="BL47" s="49"/>
      <c r="BM47" s="49"/>
      <c r="BN47" s="50">
        <f t="shared" si="13"/>
        <v>0</v>
      </c>
      <c r="BP47" s="49"/>
      <c r="BQ47" s="49"/>
      <c r="BR47" s="50">
        <f t="shared" si="14"/>
        <v>0</v>
      </c>
      <c r="BT47" s="49"/>
      <c r="BU47" s="49"/>
      <c r="BV47" s="50">
        <f t="shared" si="15"/>
        <v>0</v>
      </c>
      <c r="BX47" s="49"/>
      <c r="BY47" s="49"/>
      <c r="BZ47" s="50">
        <f t="shared" si="16"/>
        <v>0</v>
      </c>
      <c r="CB47" s="49"/>
      <c r="CC47" s="49"/>
      <c r="CD47" s="50">
        <f t="shared" si="17"/>
        <v>0</v>
      </c>
      <c r="CF47" s="49"/>
      <c r="CG47" s="49"/>
      <c r="CH47" s="50">
        <f t="shared" si="18"/>
        <v>0</v>
      </c>
      <c r="CJ47" s="49"/>
      <c r="CK47" s="49"/>
      <c r="CL47" s="50">
        <f t="shared" si="19"/>
        <v>0</v>
      </c>
      <c r="CN47" s="49"/>
      <c r="CO47" s="49"/>
      <c r="CP47" s="50">
        <f t="shared" si="20"/>
        <v>0</v>
      </c>
      <c r="CR47" s="49"/>
      <c r="CS47" s="49"/>
      <c r="CT47" s="50">
        <f t="shared" si="21"/>
        <v>0</v>
      </c>
      <c r="CV47" s="49"/>
      <c r="CW47" s="49"/>
      <c r="CX47" s="50">
        <f t="shared" si="22"/>
        <v>0</v>
      </c>
      <c r="CZ47" s="49"/>
      <c r="DA47" s="49"/>
      <c r="DB47" s="50">
        <f t="shared" si="23"/>
        <v>0</v>
      </c>
      <c r="DD47" s="49"/>
      <c r="DE47" s="49"/>
      <c r="DF47" s="50">
        <f t="shared" si="24"/>
        <v>0</v>
      </c>
      <c r="DH47" s="49"/>
      <c r="DI47" s="49"/>
      <c r="DJ47" s="50">
        <f t="shared" si="25"/>
        <v>0</v>
      </c>
      <c r="DL47" s="49"/>
      <c r="DM47" s="49"/>
      <c r="DN47" s="50">
        <f t="shared" si="26"/>
        <v>0</v>
      </c>
      <c r="DP47" s="49"/>
      <c r="DQ47" s="49"/>
      <c r="DR47" s="50">
        <f t="shared" si="27"/>
        <v>0</v>
      </c>
      <c r="DT47" s="49"/>
      <c r="DU47" s="49"/>
      <c r="DV47" s="50">
        <f t="shared" si="28"/>
        <v>0</v>
      </c>
      <c r="DX47" s="49"/>
      <c r="DY47" s="49"/>
      <c r="DZ47" s="50">
        <f t="shared" si="29"/>
        <v>0</v>
      </c>
      <c r="EB47" s="49">
        <f t="shared" si="30"/>
        <v>0</v>
      </c>
      <c r="EC47" s="49">
        <f t="shared" si="30"/>
        <v>0</v>
      </c>
      <c r="ED47" s="49">
        <f t="shared" si="30"/>
        <v>0</v>
      </c>
    </row>
    <row r="48" spans="2:134" ht="11" customHeight="1" x14ac:dyDescent="0.35">
      <c r="B48" s="4">
        <v>106620</v>
      </c>
      <c r="C48" s="4" t="s">
        <v>54</v>
      </c>
      <c r="D48" s="4">
        <v>12</v>
      </c>
      <c r="E48" s="5">
        <v>12</v>
      </c>
      <c r="F48" s="6">
        <v>468.865061078</v>
      </c>
      <c r="G48" s="7"/>
      <c r="H48" s="49"/>
      <c r="I48" s="49"/>
      <c r="J48" s="50">
        <f t="shared" si="31"/>
        <v>0</v>
      </c>
      <c r="K48" s="9"/>
      <c r="L48" s="49"/>
      <c r="M48" s="49"/>
      <c r="N48" s="50">
        <f t="shared" si="0"/>
        <v>0</v>
      </c>
      <c r="O48" s="46"/>
      <c r="P48" s="49"/>
      <c r="Q48" s="49"/>
      <c r="R48" s="50">
        <f t="shared" si="1"/>
        <v>0</v>
      </c>
      <c r="T48" s="49"/>
      <c r="U48" s="49"/>
      <c r="V48" s="50">
        <f t="shared" si="2"/>
        <v>0</v>
      </c>
      <c r="X48" s="49"/>
      <c r="Y48" s="49"/>
      <c r="Z48" s="50">
        <f t="shared" si="3"/>
        <v>0</v>
      </c>
      <c r="AB48" s="49"/>
      <c r="AC48" s="49"/>
      <c r="AD48" s="50">
        <f t="shared" si="4"/>
        <v>0</v>
      </c>
      <c r="AF48" s="49"/>
      <c r="AG48" s="49"/>
      <c r="AH48" s="50">
        <f t="shared" si="5"/>
        <v>0</v>
      </c>
      <c r="AJ48" s="49"/>
      <c r="AK48" s="49"/>
      <c r="AL48" s="50">
        <f t="shared" si="6"/>
        <v>0</v>
      </c>
      <c r="AN48" s="49"/>
      <c r="AO48" s="49"/>
      <c r="AP48" s="50">
        <f t="shared" si="7"/>
        <v>0</v>
      </c>
      <c r="AR48" s="49"/>
      <c r="AS48" s="49"/>
      <c r="AT48" s="50">
        <f t="shared" si="8"/>
        <v>0</v>
      </c>
      <c r="AV48" s="49"/>
      <c r="AW48" s="49"/>
      <c r="AX48" s="50">
        <f t="shared" si="9"/>
        <v>0</v>
      </c>
      <c r="AZ48" s="49"/>
      <c r="BA48" s="49"/>
      <c r="BB48" s="50">
        <f t="shared" si="10"/>
        <v>0</v>
      </c>
      <c r="BD48" s="49"/>
      <c r="BE48" s="49"/>
      <c r="BF48" s="50">
        <f t="shared" si="11"/>
        <v>0</v>
      </c>
      <c r="BH48" s="49"/>
      <c r="BI48" s="49"/>
      <c r="BJ48" s="50">
        <f t="shared" si="12"/>
        <v>0</v>
      </c>
      <c r="BL48" s="49"/>
      <c r="BM48" s="49"/>
      <c r="BN48" s="50">
        <f t="shared" si="13"/>
        <v>0</v>
      </c>
      <c r="BP48" s="49"/>
      <c r="BQ48" s="49"/>
      <c r="BR48" s="50">
        <f t="shared" si="14"/>
        <v>0</v>
      </c>
      <c r="BT48" s="49"/>
      <c r="BU48" s="49"/>
      <c r="BV48" s="50">
        <f t="shared" si="15"/>
        <v>0</v>
      </c>
      <c r="BX48" s="49"/>
      <c r="BY48" s="49"/>
      <c r="BZ48" s="50">
        <f t="shared" si="16"/>
        <v>0</v>
      </c>
      <c r="CB48" s="49"/>
      <c r="CC48" s="49"/>
      <c r="CD48" s="50">
        <f t="shared" si="17"/>
        <v>0</v>
      </c>
      <c r="CF48" s="49"/>
      <c r="CG48" s="49"/>
      <c r="CH48" s="50">
        <f t="shared" si="18"/>
        <v>0</v>
      </c>
      <c r="CJ48" s="49"/>
      <c r="CK48" s="49"/>
      <c r="CL48" s="50">
        <f t="shared" si="19"/>
        <v>0</v>
      </c>
      <c r="CN48" s="49"/>
      <c r="CO48" s="49"/>
      <c r="CP48" s="50">
        <f t="shared" si="20"/>
        <v>0</v>
      </c>
      <c r="CR48" s="49"/>
      <c r="CS48" s="49"/>
      <c r="CT48" s="50">
        <f t="shared" si="21"/>
        <v>0</v>
      </c>
      <c r="CV48" s="49"/>
      <c r="CW48" s="49"/>
      <c r="CX48" s="50">
        <f t="shared" si="22"/>
        <v>0</v>
      </c>
      <c r="CZ48" s="49"/>
      <c r="DA48" s="49"/>
      <c r="DB48" s="50">
        <f t="shared" si="23"/>
        <v>0</v>
      </c>
      <c r="DD48" s="49"/>
      <c r="DE48" s="49"/>
      <c r="DF48" s="50">
        <f t="shared" si="24"/>
        <v>0</v>
      </c>
      <c r="DH48" s="49"/>
      <c r="DI48" s="49"/>
      <c r="DJ48" s="50">
        <f t="shared" si="25"/>
        <v>0</v>
      </c>
      <c r="DL48" s="49"/>
      <c r="DM48" s="49"/>
      <c r="DN48" s="50">
        <f t="shared" si="26"/>
        <v>0</v>
      </c>
      <c r="DP48" s="49"/>
      <c r="DQ48" s="49"/>
      <c r="DR48" s="50">
        <f t="shared" si="27"/>
        <v>0</v>
      </c>
      <c r="DT48" s="49"/>
      <c r="DU48" s="49"/>
      <c r="DV48" s="50">
        <f t="shared" si="28"/>
        <v>0</v>
      </c>
      <c r="DX48" s="49"/>
      <c r="DY48" s="49"/>
      <c r="DZ48" s="50">
        <f t="shared" si="29"/>
        <v>0</v>
      </c>
      <c r="EB48" s="49">
        <f t="shared" si="30"/>
        <v>0</v>
      </c>
      <c r="EC48" s="49">
        <f t="shared" si="30"/>
        <v>0</v>
      </c>
      <c r="ED48" s="49">
        <f t="shared" si="30"/>
        <v>0</v>
      </c>
    </row>
    <row r="49" spans="2:134" ht="11" customHeight="1" x14ac:dyDescent="0.35">
      <c r="B49" s="4">
        <v>106622</v>
      </c>
      <c r="C49" s="4" t="s">
        <v>55</v>
      </c>
      <c r="D49" s="4">
        <v>12</v>
      </c>
      <c r="E49" s="5">
        <v>12</v>
      </c>
      <c r="F49" s="6">
        <v>468.865061078</v>
      </c>
      <c r="G49" s="7"/>
      <c r="H49" s="49"/>
      <c r="I49" s="49"/>
      <c r="J49" s="50">
        <f t="shared" si="31"/>
        <v>0</v>
      </c>
      <c r="K49" s="9"/>
      <c r="L49" s="49"/>
      <c r="M49" s="49"/>
      <c r="N49" s="50">
        <f t="shared" si="0"/>
        <v>0</v>
      </c>
      <c r="O49" s="46"/>
      <c r="P49" s="49"/>
      <c r="Q49" s="49"/>
      <c r="R49" s="50">
        <f t="shared" si="1"/>
        <v>0</v>
      </c>
      <c r="T49" s="49"/>
      <c r="U49" s="49"/>
      <c r="V49" s="50">
        <f t="shared" si="2"/>
        <v>0</v>
      </c>
      <c r="X49" s="49"/>
      <c r="Y49" s="49"/>
      <c r="Z49" s="50">
        <f t="shared" si="3"/>
        <v>0</v>
      </c>
      <c r="AB49" s="49"/>
      <c r="AC49" s="49"/>
      <c r="AD49" s="50">
        <f t="shared" si="4"/>
        <v>0</v>
      </c>
      <c r="AF49" s="49"/>
      <c r="AG49" s="49"/>
      <c r="AH49" s="50">
        <f t="shared" si="5"/>
        <v>0</v>
      </c>
      <c r="AJ49" s="49"/>
      <c r="AK49" s="49"/>
      <c r="AL49" s="50">
        <f t="shared" si="6"/>
        <v>0</v>
      </c>
      <c r="AN49" s="49"/>
      <c r="AO49" s="49"/>
      <c r="AP49" s="50">
        <f t="shared" si="7"/>
        <v>0</v>
      </c>
      <c r="AR49" s="49"/>
      <c r="AS49" s="49"/>
      <c r="AT49" s="50">
        <f t="shared" si="8"/>
        <v>0</v>
      </c>
      <c r="AV49" s="49"/>
      <c r="AW49" s="49"/>
      <c r="AX49" s="50">
        <f t="shared" si="9"/>
        <v>0</v>
      </c>
      <c r="AZ49" s="49"/>
      <c r="BA49" s="49"/>
      <c r="BB49" s="50">
        <f t="shared" si="10"/>
        <v>0</v>
      </c>
      <c r="BD49" s="49"/>
      <c r="BE49" s="49"/>
      <c r="BF49" s="50">
        <f t="shared" si="11"/>
        <v>0</v>
      </c>
      <c r="BH49" s="49"/>
      <c r="BI49" s="49"/>
      <c r="BJ49" s="50">
        <f t="shared" si="12"/>
        <v>0</v>
      </c>
      <c r="BL49" s="49"/>
      <c r="BM49" s="49"/>
      <c r="BN49" s="50">
        <f t="shared" si="13"/>
        <v>0</v>
      </c>
      <c r="BP49" s="49"/>
      <c r="BQ49" s="49"/>
      <c r="BR49" s="50">
        <f t="shared" si="14"/>
        <v>0</v>
      </c>
      <c r="BT49" s="49"/>
      <c r="BU49" s="49"/>
      <c r="BV49" s="50">
        <f t="shared" si="15"/>
        <v>0</v>
      </c>
      <c r="BX49" s="49"/>
      <c r="BY49" s="49"/>
      <c r="BZ49" s="50">
        <f t="shared" si="16"/>
        <v>0</v>
      </c>
      <c r="CB49" s="49"/>
      <c r="CC49" s="49"/>
      <c r="CD49" s="50">
        <f t="shared" si="17"/>
        <v>0</v>
      </c>
      <c r="CF49" s="49"/>
      <c r="CG49" s="49"/>
      <c r="CH49" s="50">
        <f t="shared" si="18"/>
        <v>0</v>
      </c>
      <c r="CJ49" s="49"/>
      <c r="CK49" s="49"/>
      <c r="CL49" s="50">
        <f t="shared" si="19"/>
        <v>0</v>
      </c>
      <c r="CN49" s="49"/>
      <c r="CO49" s="49"/>
      <c r="CP49" s="50">
        <f t="shared" si="20"/>
        <v>0</v>
      </c>
      <c r="CR49" s="49"/>
      <c r="CS49" s="49"/>
      <c r="CT49" s="50">
        <f t="shared" si="21"/>
        <v>0</v>
      </c>
      <c r="CV49" s="49"/>
      <c r="CW49" s="49"/>
      <c r="CX49" s="50">
        <f t="shared" si="22"/>
        <v>0</v>
      </c>
      <c r="CZ49" s="49"/>
      <c r="DA49" s="49"/>
      <c r="DB49" s="50">
        <f t="shared" si="23"/>
        <v>0</v>
      </c>
      <c r="DD49" s="49"/>
      <c r="DE49" s="49"/>
      <c r="DF49" s="50">
        <f t="shared" si="24"/>
        <v>0</v>
      </c>
      <c r="DH49" s="49"/>
      <c r="DI49" s="49"/>
      <c r="DJ49" s="50">
        <f t="shared" si="25"/>
        <v>0</v>
      </c>
      <c r="DL49" s="49"/>
      <c r="DM49" s="49"/>
      <c r="DN49" s="50">
        <f t="shared" si="26"/>
        <v>0</v>
      </c>
      <c r="DP49" s="49"/>
      <c r="DQ49" s="49"/>
      <c r="DR49" s="50">
        <f t="shared" si="27"/>
        <v>0</v>
      </c>
      <c r="DT49" s="49"/>
      <c r="DU49" s="49"/>
      <c r="DV49" s="50">
        <f t="shared" si="28"/>
        <v>0</v>
      </c>
      <c r="DX49" s="49"/>
      <c r="DY49" s="49"/>
      <c r="DZ49" s="50">
        <f t="shared" si="29"/>
        <v>0</v>
      </c>
      <c r="EB49" s="49">
        <f t="shared" si="30"/>
        <v>0</v>
      </c>
      <c r="EC49" s="49">
        <f t="shared" si="30"/>
        <v>0</v>
      </c>
      <c r="ED49" s="49">
        <f t="shared" si="30"/>
        <v>0</v>
      </c>
    </row>
    <row r="50" spans="2:134" ht="11" customHeight="1" x14ac:dyDescent="0.35">
      <c r="B50" s="4">
        <v>107013</v>
      </c>
      <c r="C50" s="4" t="s">
        <v>56</v>
      </c>
      <c r="D50" s="4">
        <v>1</v>
      </c>
      <c r="E50" s="5">
        <v>24</v>
      </c>
      <c r="F50" s="6">
        <v>197.18624064799999</v>
      </c>
      <c r="G50" s="7"/>
      <c r="H50" s="49"/>
      <c r="I50" s="49"/>
      <c r="J50" s="50">
        <f t="shared" si="31"/>
        <v>0</v>
      </c>
      <c r="K50" s="9"/>
      <c r="L50" s="49"/>
      <c r="M50" s="49"/>
      <c r="N50" s="50">
        <f t="shared" si="0"/>
        <v>0</v>
      </c>
      <c r="O50" s="46"/>
      <c r="P50" s="49"/>
      <c r="Q50" s="49"/>
      <c r="R50" s="50">
        <f t="shared" si="1"/>
        <v>0</v>
      </c>
      <c r="T50" s="49"/>
      <c r="U50" s="49"/>
      <c r="V50" s="50">
        <f t="shared" si="2"/>
        <v>0</v>
      </c>
      <c r="X50" s="49"/>
      <c r="Y50" s="49"/>
      <c r="Z50" s="50">
        <f t="shared" si="3"/>
        <v>0</v>
      </c>
      <c r="AB50" s="49"/>
      <c r="AC50" s="49"/>
      <c r="AD50" s="50">
        <f t="shared" si="4"/>
        <v>0</v>
      </c>
      <c r="AF50" s="49"/>
      <c r="AG50" s="49"/>
      <c r="AH50" s="50">
        <f t="shared" si="5"/>
        <v>0</v>
      </c>
      <c r="AJ50" s="49"/>
      <c r="AK50" s="49"/>
      <c r="AL50" s="50">
        <f t="shared" si="6"/>
        <v>0</v>
      </c>
      <c r="AN50" s="49"/>
      <c r="AO50" s="49"/>
      <c r="AP50" s="50">
        <f t="shared" si="7"/>
        <v>0</v>
      </c>
      <c r="AR50" s="49"/>
      <c r="AS50" s="49"/>
      <c r="AT50" s="50">
        <f t="shared" si="8"/>
        <v>0</v>
      </c>
      <c r="AV50" s="49"/>
      <c r="AW50" s="49"/>
      <c r="AX50" s="50">
        <f t="shared" si="9"/>
        <v>0</v>
      </c>
      <c r="AZ50" s="49"/>
      <c r="BA50" s="49"/>
      <c r="BB50" s="50">
        <f t="shared" si="10"/>
        <v>0</v>
      </c>
      <c r="BD50" s="49"/>
      <c r="BE50" s="49"/>
      <c r="BF50" s="50">
        <f t="shared" si="11"/>
        <v>0</v>
      </c>
      <c r="BH50" s="49"/>
      <c r="BI50" s="49"/>
      <c r="BJ50" s="50">
        <f t="shared" si="12"/>
        <v>0</v>
      </c>
      <c r="BL50" s="49"/>
      <c r="BM50" s="49"/>
      <c r="BN50" s="50">
        <f t="shared" si="13"/>
        <v>0</v>
      </c>
      <c r="BP50" s="49"/>
      <c r="BQ50" s="49"/>
      <c r="BR50" s="50">
        <f t="shared" si="14"/>
        <v>0</v>
      </c>
      <c r="BT50" s="49"/>
      <c r="BU50" s="49"/>
      <c r="BV50" s="50">
        <f t="shared" si="15"/>
        <v>0</v>
      </c>
      <c r="BX50" s="49"/>
      <c r="BY50" s="49"/>
      <c r="BZ50" s="50">
        <f t="shared" si="16"/>
        <v>0</v>
      </c>
      <c r="CB50" s="49"/>
      <c r="CC50" s="49"/>
      <c r="CD50" s="50">
        <f t="shared" si="17"/>
        <v>0</v>
      </c>
      <c r="CF50" s="49"/>
      <c r="CG50" s="49"/>
      <c r="CH50" s="50">
        <f t="shared" si="18"/>
        <v>0</v>
      </c>
      <c r="CJ50" s="49"/>
      <c r="CK50" s="49"/>
      <c r="CL50" s="50">
        <f t="shared" si="19"/>
        <v>0</v>
      </c>
      <c r="CN50" s="49"/>
      <c r="CO50" s="49"/>
      <c r="CP50" s="50">
        <f t="shared" si="20"/>
        <v>0</v>
      </c>
      <c r="CR50" s="49"/>
      <c r="CS50" s="49"/>
      <c r="CT50" s="50">
        <f t="shared" si="21"/>
        <v>0</v>
      </c>
      <c r="CV50" s="49"/>
      <c r="CW50" s="49"/>
      <c r="CX50" s="50">
        <f t="shared" si="22"/>
        <v>0</v>
      </c>
      <c r="CZ50" s="49"/>
      <c r="DA50" s="49"/>
      <c r="DB50" s="50">
        <f t="shared" si="23"/>
        <v>0</v>
      </c>
      <c r="DD50" s="49"/>
      <c r="DE50" s="49"/>
      <c r="DF50" s="50">
        <f t="shared" si="24"/>
        <v>0</v>
      </c>
      <c r="DH50" s="49"/>
      <c r="DI50" s="49"/>
      <c r="DJ50" s="50">
        <f t="shared" si="25"/>
        <v>0</v>
      </c>
      <c r="DL50" s="49"/>
      <c r="DM50" s="49"/>
      <c r="DN50" s="50">
        <f t="shared" si="26"/>
        <v>0</v>
      </c>
      <c r="DP50" s="49"/>
      <c r="DQ50" s="49"/>
      <c r="DR50" s="50">
        <f t="shared" si="27"/>
        <v>0</v>
      </c>
      <c r="DT50" s="49"/>
      <c r="DU50" s="49"/>
      <c r="DV50" s="50">
        <f t="shared" si="28"/>
        <v>0</v>
      </c>
      <c r="DX50" s="49"/>
      <c r="DY50" s="49"/>
      <c r="DZ50" s="50">
        <f t="shared" si="29"/>
        <v>0</v>
      </c>
      <c r="EB50" s="49">
        <f t="shared" si="30"/>
        <v>0</v>
      </c>
      <c r="EC50" s="49">
        <f t="shared" si="30"/>
        <v>0</v>
      </c>
      <c r="ED50" s="49">
        <f t="shared" si="30"/>
        <v>0</v>
      </c>
    </row>
    <row r="51" spans="2:134" ht="11" customHeight="1" x14ac:dyDescent="0.35">
      <c r="B51" s="4">
        <v>107017</v>
      </c>
      <c r="C51" s="4" t="s">
        <v>57</v>
      </c>
      <c r="D51" s="4">
        <v>100</v>
      </c>
      <c r="E51" s="5">
        <v>12</v>
      </c>
      <c r="F51" s="6">
        <v>801.89063294000005</v>
      </c>
      <c r="G51" s="7"/>
      <c r="H51" s="49"/>
      <c r="I51" s="49"/>
      <c r="J51" s="50">
        <f t="shared" si="31"/>
        <v>0</v>
      </c>
      <c r="K51" s="9"/>
      <c r="L51" s="49"/>
      <c r="M51" s="49"/>
      <c r="N51" s="50">
        <f t="shared" si="0"/>
        <v>0</v>
      </c>
      <c r="O51" s="46"/>
      <c r="P51" s="49"/>
      <c r="Q51" s="49"/>
      <c r="R51" s="50">
        <f t="shared" si="1"/>
        <v>0</v>
      </c>
      <c r="T51" s="49"/>
      <c r="U51" s="49"/>
      <c r="V51" s="50">
        <f t="shared" si="2"/>
        <v>0</v>
      </c>
      <c r="X51" s="49"/>
      <c r="Y51" s="49"/>
      <c r="Z51" s="50">
        <f t="shared" si="3"/>
        <v>0</v>
      </c>
      <c r="AB51" s="49"/>
      <c r="AC51" s="49"/>
      <c r="AD51" s="50">
        <f t="shared" si="4"/>
        <v>0</v>
      </c>
      <c r="AF51" s="49"/>
      <c r="AG51" s="49"/>
      <c r="AH51" s="50">
        <f t="shared" si="5"/>
        <v>0</v>
      </c>
      <c r="AJ51" s="49"/>
      <c r="AK51" s="49"/>
      <c r="AL51" s="50">
        <f t="shared" si="6"/>
        <v>0</v>
      </c>
      <c r="AN51" s="49"/>
      <c r="AO51" s="49"/>
      <c r="AP51" s="50">
        <f t="shared" si="7"/>
        <v>0</v>
      </c>
      <c r="AR51" s="49"/>
      <c r="AS51" s="49"/>
      <c r="AT51" s="50">
        <f t="shared" si="8"/>
        <v>0</v>
      </c>
      <c r="AV51" s="49"/>
      <c r="AW51" s="49"/>
      <c r="AX51" s="50">
        <f t="shared" si="9"/>
        <v>0</v>
      </c>
      <c r="AZ51" s="49"/>
      <c r="BA51" s="49"/>
      <c r="BB51" s="50">
        <f t="shared" si="10"/>
        <v>0</v>
      </c>
      <c r="BD51" s="49"/>
      <c r="BE51" s="49"/>
      <c r="BF51" s="50">
        <f t="shared" si="11"/>
        <v>0</v>
      </c>
      <c r="BH51" s="49"/>
      <c r="BI51" s="49"/>
      <c r="BJ51" s="50">
        <f t="shared" si="12"/>
        <v>0</v>
      </c>
      <c r="BL51" s="49"/>
      <c r="BM51" s="49"/>
      <c r="BN51" s="50">
        <f t="shared" si="13"/>
        <v>0</v>
      </c>
      <c r="BP51" s="49"/>
      <c r="BQ51" s="49"/>
      <c r="BR51" s="50">
        <f t="shared" si="14"/>
        <v>0</v>
      </c>
      <c r="BT51" s="49"/>
      <c r="BU51" s="49"/>
      <c r="BV51" s="50">
        <f t="shared" si="15"/>
        <v>0</v>
      </c>
      <c r="BX51" s="49"/>
      <c r="BY51" s="49"/>
      <c r="BZ51" s="50">
        <f t="shared" si="16"/>
        <v>0</v>
      </c>
      <c r="CB51" s="49"/>
      <c r="CC51" s="49"/>
      <c r="CD51" s="50">
        <f t="shared" si="17"/>
        <v>0</v>
      </c>
      <c r="CF51" s="49"/>
      <c r="CG51" s="49"/>
      <c r="CH51" s="50">
        <f t="shared" si="18"/>
        <v>0</v>
      </c>
      <c r="CJ51" s="49"/>
      <c r="CK51" s="49"/>
      <c r="CL51" s="50">
        <f t="shared" si="19"/>
        <v>0</v>
      </c>
      <c r="CN51" s="49"/>
      <c r="CO51" s="49"/>
      <c r="CP51" s="50">
        <f t="shared" si="20"/>
        <v>0</v>
      </c>
      <c r="CR51" s="49"/>
      <c r="CS51" s="49"/>
      <c r="CT51" s="50">
        <f t="shared" si="21"/>
        <v>0</v>
      </c>
      <c r="CV51" s="49"/>
      <c r="CW51" s="49"/>
      <c r="CX51" s="50">
        <f t="shared" si="22"/>
        <v>0</v>
      </c>
      <c r="CZ51" s="49"/>
      <c r="DA51" s="49"/>
      <c r="DB51" s="50">
        <f t="shared" si="23"/>
        <v>0</v>
      </c>
      <c r="DD51" s="49"/>
      <c r="DE51" s="49"/>
      <c r="DF51" s="50">
        <f t="shared" si="24"/>
        <v>0</v>
      </c>
      <c r="DH51" s="49"/>
      <c r="DI51" s="49"/>
      <c r="DJ51" s="50">
        <f t="shared" si="25"/>
        <v>0</v>
      </c>
      <c r="DL51" s="49"/>
      <c r="DM51" s="49"/>
      <c r="DN51" s="50">
        <f t="shared" si="26"/>
        <v>0</v>
      </c>
      <c r="DP51" s="49"/>
      <c r="DQ51" s="49"/>
      <c r="DR51" s="50">
        <f t="shared" si="27"/>
        <v>0</v>
      </c>
      <c r="DT51" s="49"/>
      <c r="DU51" s="49"/>
      <c r="DV51" s="50">
        <f t="shared" si="28"/>
        <v>0</v>
      </c>
      <c r="DX51" s="49"/>
      <c r="DY51" s="49"/>
      <c r="DZ51" s="50">
        <f t="shared" si="29"/>
        <v>0</v>
      </c>
      <c r="EB51" s="49">
        <f t="shared" si="30"/>
        <v>0</v>
      </c>
      <c r="EC51" s="49">
        <f t="shared" si="30"/>
        <v>0</v>
      </c>
      <c r="ED51" s="49">
        <f t="shared" si="30"/>
        <v>0</v>
      </c>
    </row>
    <row r="52" spans="2:134" ht="11" customHeight="1" x14ac:dyDescent="0.35">
      <c r="B52" s="4">
        <v>107511</v>
      </c>
      <c r="C52" s="4" t="s">
        <v>58</v>
      </c>
      <c r="D52" s="4">
        <v>12</v>
      </c>
      <c r="E52" s="5">
        <v>24</v>
      </c>
      <c r="F52" s="6">
        <v>288.68257499999999</v>
      </c>
      <c r="G52" s="7"/>
      <c r="H52" s="49"/>
      <c r="I52" s="49"/>
      <c r="J52" s="50">
        <f t="shared" si="31"/>
        <v>0</v>
      </c>
      <c r="K52" s="9"/>
      <c r="L52" s="49"/>
      <c r="M52" s="49"/>
      <c r="N52" s="50">
        <f t="shared" si="0"/>
        <v>0</v>
      </c>
      <c r="O52" s="46"/>
      <c r="P52" s="49"/>
      <c r="Q52" s="49"/>
      <c r="R52" s="50">
        <f t="shared" si="1"/>
        <v>0</v>
      </c>
      <c r="T52" s="49"/>
      <c r="U52" s="49"/>
      <c r="V52" s="50">
        <f t="shared" si="2"/>
        <v>0</v>
      </c>
      <c r="X52" s="49"/>
      <c r="Y52" s="49"/>
      <c r="Z52" s="50">
        <f t="shared" si="3"/>
        <v>0</v>
      </c>
      <c r="AB52" s="49"/>
      <c r="AC52" s="49"/>
      <c r="AD52" s="50">
        <f t="shared" si="4"/>
        <v>0</v>
      </c>
      <c r="AF52" s="49"/>
      <c r="AG52" s="49"/>
      <c r="AH52" s="50">
        <f t="shared" si="5"/>
        <v>0</v>
      </c>
      <c r="AJ52" s="49"/>
      <c r="AK52" s="49"/>
      <c r="AL52" s="50">
        <f t="shared" si="6"/>
        <v>0</v>
      </c>
      <c r="AN52" s="49"/>
      <c r="AO52" s="49"/>
      <c r="AP52" s="50">
        <f t="shared" si="7"/>
        <v>0</v>
      </c>
      <c r="AR52" s="49"/>
      <c r="AS52" s="49"/>
      <c r="AT52" s="50">
        <f t="shared" si="8"/>
        <v>0</v>
      </c>
      <c r="AV52" s="49"/>
      <c r="AW52" s="49"/>
      <c r="AX52" s="50">
        <f t="shared" si="9"/>
        <v>0</v>
      </c>
      <c r="AZ52" s="49"/>
      <c r="BA52" s="49"/>
      <c r="BB52" s="50">
        <f t="shared" si="10"/>
        <v>0</v>
      </c>
      <c r="BD52" s="49"/>
      <c r="BE52" s="49"/>
      <c r="BF52" s="50">
        <f t="shared" si="11"/>
        <v>0</v>
      </c>
      <c r="BH52" s="49"/>
      <c r="BI52" s="49"/>
      <c r="BJ52" s="50">
        <f t="shared" si="12"/>
        <v>0</v>
      </c>
      <c r="BL52" s="49"/>
      <c r="BM52" s="49"/>
      <c r="BN52" s="50">
        <f t="shared" si="13"/>
        <v>0</v>
      </c>
      <c r="BP52" s="49"/>
      <c r="BQ52" s="49"/>
      <c r="BR52" s="50">
        <f t="shared" si="14"/>
        <v>0</v>
      </c>
      <c r="BT52" s="49"/>
      <c r="BU52" s="49"/>
      <c r="BV52" s="50">
        <f t="shared" si="15"/>
        <v>0</v>
      </c>
      <c r="BX52" s="49"/>
      <c r="BY52" s="49"/>
      <c r="BZ52" s="50">
        <f t="shared" si="16"/>
        <v>0</v>
      </c>
      <c r="CB52" s="49"/>
      <c r="CC52" s="49"/>
      <c r="CD52" s="50">
        <f t="shared" si="17"/>
        <v>0</v>
      </c>
      <c r="CF52" s="49"/>
      <c r="CG52" s="49"/>
      <c r="CH52" s="50">
        <f t="shared" si="18"/>
        <v>0</v>
      </c>
      <c r="CJ52" s="49"/>
      <c r="CK52" s="49"/>
      <c r="CL52" s="50">
        <f t="shared" si="19"/>
        <v>0</v>
      </c>
      <c r="CN52" s="49"/>
      <c r="CO52" s="49"/>
      <c r="CP52" s="50">
        <f t="shared" si="20"/>
        <v>0</v>
      </c>
      <c r="CR52" s="49"/>
      <c r="CS52" s="49"/>
      <c r="CT52" s="50">
        <f t="shared" si="21"/>
        <v>0</v>
      </c>
      <c r="CV52" s="49"/>
      <c r="CW52" s="49"/>
      <c r="CX52" s="50">
        <f t="shared" si="22"/>
        <v>0</v>
      </c>
      <c r="CZ52" s="49"/>
      <c r="DA52" s="49"/>
      <c r="DB52" s="50">
        <f t="shared" si="23"/>
        <v>0</v>
      </c>
      <c r="DD52" s="49"/>
      <c r="DE52" s="49"/>
      <c r="DF52" s="50">
        <f t="shared" si="24"/>
        <v>0</v>
      </c>
      <c r="DH52" s="49"/>
      <c r="DI52" s="49"/>
      <c r="DJ52" s="50">
        <f t="shared" si="25"/>
        <v>0</v>
      </c>
      <c r="DL52" s="49"/>
      <c r="DM52" s="49"/>
      <c r="DN52" s="50">
        <f t="shared" si="26"/>
        <v>0</v>
      </c>
      <c r="DP52" s="49"/>
      <c r="DQ52" s="49"/>
      <c r="DR52" s="50">
        <f t="shared" si="27"/>
        <v>0</v>
      </c>
      <c r="DT52" s="49"/>
      <c r="DU52" s="49"/>
      <c r="DV52" s="50">
        <f t="shared" si="28"/>
        <v>0</v>
      </c>
      <c r="DX52" s="49"/>
      <c r="DY52" s="49"/>
      <c r="DZ52" s="50">
        <f t="shared" si="29"/>
        <v>0</v>
      </c>
      <c r="EB52" s="49">
        <f t="shared" si="30"/>
        <v>0</v>
      </c>
      <c r="EC52" s="49">
        <f t="shared" si="30"/>
        <v>0</v>
      </c>
      <c r="ED52" s="49">
        <f t="shared" si="30"/>
        <v>0</v>
      </c>
    </row>
    <row r="53" spans="2:134" ht="11" customHeight="1" x14ac:dyDescent="0.35">
      <c r="B53" s="4">
        <v>109014</v>
      </c>
      <c r="C53" s="4" t="s">
        <v>59</v>
      </c>
      <c r="D53" s="4">
        <v>1</v>
      </c>
      <c r="E53" s="5">
        <v>60</v>
      </c>
      <c r="F53" s="6">
        <v>40.540080000000003</v>
      </c>
      <c r="G53" s="7"/>
      <c r="H53" s="49"/>
      <c r="I53" s="49"/>
      <c r="J53" s="50">
        <f t="shared" si="31"/>
        <v>0</v>
      </c>
      <c r="K53" s="9"/>
      <c r="L53" s="49"/>
      <c r="M53" s="49"/>
      <c r="N53" s="50">
        <f t="shared" si="0"/>
        <v>0</v>
      </c>
      <c r="O53" s="46"/>
      <c r="P53" s="49"/>
      <c r="Q53" s="49"/>
      <c r="R53" s="50">
        <f t="shared" si="1"/>
        <v>0</v>
      </c>
      <c r="T53" s="49"/>
      <c r="U53" s="49"/>
      <c r="V53" s="50">
        <f t="shared" si="2"/>
        <v>0</v>
      </c>
      <c r="X53" s="49"/>
      <c r="Y53" s="49"/>
      <c r="Z53" s="50">
        <f t="shared" si="3"/>
        <v>0</v>
      </c>
      <c r="AB53" s="49"/>
      <c r="AC53" s="49"/>
      <c r="AD53" s="50">
        <f t="shared" si="4"/>
        <v>0</v>
      </c>
      <c r="AF53" s="49"/>
      <c r="AG53" s="49"/>
      <c r="AH53" s="50">
        <f t="shared" si="5"/>
        <v>0</v>
      </c>
      <c r="AJ53" s="49"/>
      <c r="AK53" s="49"/>
      <c r="AL53" s="50">
        <f t="shared" si="6"/>
        <v>0</v>
      </c>
      <c r="AN53" s="49"/>
      <c r="AO53" s="49"/>
      <c r="AP53" s="50">
        <f t="shared" si="7"/>
        <v>0</v>
      </c>
      <c r="AR53" s="49"/>
      <c r="AS53" s="49"/>
      <c r="AT53" s="50">
        <f t="shared" si="8"/>
        <v>0</v>
      </c>
      <c r="AV53" s="49"/>
      <c r="AW53" s="49"/>
      <c r="AX53" s="50">
        <f t="shared" si="9"/>
        <v>0</v>
      </c>
      <c r="AZ53" s="49"/>
      <c r="BA53" s="49"/>
      <c r="BB53" s="50">
        <f t="shared" si="10"/>
        <v>0</v>
      </c>
      <c r="BD53" s="49"/>
      <c r="BE53" s="49"/>
      <c r="BF53" s="50">
        <f t="shared" si="11"/>
        <v>0</v>
      </c>
      <c r="BH53" s="49"/>
      <c r="BI53" s="49"/>
      <c r="BJ53" s="50">
        <f t="shared" si="12"/>
        <v>0</v>
      </c>
      <c r="BL53" s="49"/>
      <c r="BM53" s="49"/>
      <c r="BN53" s="50">
        <f t="shared" si="13"/>
        <v>0</v>
      </c>
      <c r="BP53" s="49"/>
      <c r="BQ53" s="49"/>
      <c r="BR53" s="50">
        <f t="shared" si="14"/>
        <v>0</v>
      </c>
      <c r="BT53" s="49"/>
      <c r="BU53" s="49"/>
      <c r="BV53" s="50">
        <f t="shared" si="15"/>
        <v>0</v>
      </c>
      <c r="BX53" s="49"/>
      <c r="BY53" s="49"/>
      <c r="BZ53" s="50">
        <f t="shared" si="16"/>
        <v>0</v>
      </c>
      <c r="CB53" s="49"/>
      <c r="CC53" s="49"/>
      <c r="CD53" s="50">
        <f t="shared" si="17"/>
        <v>0</v>
      </c>
      <c r="CF53" s="49"/>
      <c r="CG53" s="49"/>
      <c r="CH53" s="50">
        <f t="shared" si="18"/>
        <v>0</v>
      </c>
      <c r="CJ53" s="49"/>
      <c r="CK53" s="49"/>
      <c r="CL53" s="50">
        <f t="shared" si="19"/>
        <v>0</v>
      </c>
      <c r="CN53" s="49"/>
      <c r="CO53" s="49"/>
      <c r="CP53" s="50">
        <f t="shared" si="20"/>
        <v>0</v>
      </c>
      <c r="CR53" s="49"/>
      <c r="CS53" s="49"/>
      <c r="CT53" s="50">
        <f t="shared" si="21"/>
        <v>0</v>
      </c>
      <c r="CV53" s="49"/>
      <c r="CW53" s="49"/>
      <c r="CX53" s="50">
        <f t="shared" si="22"/>
        <v>0</v>
      </c>
      <c r="CZ53" s="49"/>
      <c r="DA53" s="49"/>
      <c r="DB53" s="50">
        <f t="shared" si="23"/>
        <v>0</v>
      </c>
      <c r="DD53" s="49"/>
      <c r="DE53" s="49"/>
      <c r="DF53" s="50">
        <f t="shared" si="24"/>
        <v>0</v>
      </c>
      <c r="DH53" s="49"/>
      <c r="DI53" s="49"/>
      <c r="DJ53" s="50">
        <f t="shared" si="25"/>
        <v>0</v>
      </c>
      <c r="DL53" s="49"/>
      <c r="DM53" s="49"/>
      <c r="DN53" s="50">
        <f t="shared" si="26"/>
        <v>0</v>
      </c>
      <c r="DP53" s="49"/>
      <c r="DQ53" s="49"/>
      <c r="DR53" s="50">
        <f t="shared" si="27"/>
        <v>0</v>
      </c>
      <c r="DT53" s="49"/>
      <c r="DU53" s="49"/>
      <c r="DV53" s="50">
        <f t="shared" si="28"/>
        <v>0</v>
      </c>
      <c r="DX53" s="49"/>
      <c r="DY53" s="49"/>
      <c r="DZ53" s="50">
        <f t="shared" si="29"/>
        <v>0</v>
      </c>
      <c r="EB53" s="49">
        <f t="shared" si="30"/>
        <v>0</v>
      </c>
      <c r="EC53" s="49">
        <f t="shared" si="30"/>
        <v>0</v>
      </c>
      <c r="ED53" s="49">
        <f t="shared" si="30"/>
        <v>0</v>
      </c>
    </row>
    <row r="54" spans="2:134" ht="11" customHeight="1" x14ac:dyDescent="0.35">
      <c r="B54" s="4">
        <v>109015</v>
      </c>
      <c r="C54" s="4" t="s">
        <v>60</v>
      </c>
      <c r="D54" s="4">
        <v>1</v>
      </c>
      <c r="E54" s="5">
        <v>60</v>
      </c>
      <c r="F54" s="6">
        <v>40.540080000000003</v>
      </c>
      <c r="G54" s="7"/>
      <c r="H54" s="49"/>
      <c r="I54" s="49"/>
      <c r="J54" s="50">
        <f t="shared" si="31"/>
        <v>0</v>
      </c>
      <c r="K54" s="9"/>
      <c r="L54" s="49"/>
      <c r="M54" s="49"/>
      <c r="N54" s="50">
        <f t="shared" si="0"/>
        <v>0</v>
      </c>
      <c r="O54" s="46"/>
      <c r="P54" s="49"/>
      <c r="Q54" s="49"/>
      <c r="R54" s="50">
        <f t="shared" si="1"/>
        <v>0</v>
      </c>
      <c r="T54" s="49"/>
      <c r="U54" s="49"/>
      <c r="V54" s="50">
        <f t="shared" si="2"/>
        <v>0</v>
      </c>
      <c r="X54" s="49"/>
      <c r="Y54" s="49"/>
      <c r="Z54" s="50">
        <f t="shared" si="3"/>
        <v>0</v>
      </c>
      <c r="AB54" s="49"/>
      <c r="AC54" s="49"/>
      <c r="AD54" s="50">
        <f t="shared" si="4"/>
        <v>0</v>
      </c>
      <c r="AF54" s="49"/>
      <c r="AG54" s="49"/>
      <c r="AH54" s="50">
        <f t="shared" si="5"/>
        <v>0</v>
      </c>
      <c r="AJ54" s="49"/>
      <c r="AK54" s="49"/>
      <c r="AL54" s="50">
        <f t="shared" si="6"/>
        <v>0</v>
      </c>
      <c r="AN54" s="49"/>
      <c r="AO54" s="49"/>
      <c r="AP54" s="50">
        <f t="shared" si="7"/>
        <v>0</v>
      </c>
      <c r="AR54" s="49"/>
      <c r="AS54" s="49"/>
      <c r="AT54" s="50">
        <f t="shared" si="8"/>
        <v>0</v>
      </c>
      <c r="AV54" s="49"/>
      <c r="AW54" s="49"/>
      <c r="AX54" s="50">
        <f t="shared" si="9"/>
        <v>0</v>
      </c>
      <c r="AZ54" s="49"/>
      <c r="BA54" s="49"/>
      <c r="BB54" s="50">
        <f t="shared" si="10"/>
        <v>0</v>
      </c>
      <c r="BD54" s="49"/>
      <c r="BE54" s="49"/>
      <c r="BF54" s="50">
        <f t="shared" si="11"/>
        <v>0</v>
      </c>
      <c r="BH54" s="49"/>
      <c r="BI54" s="49"/>
      <c r="BJ54" s="50">
        <f t="shared" si="12"/>
        <v>0</v>
      </c>
      <c r="BL54" s="49"/>
      <c r="BM54" s="49"/>
      <c r="BN54" s="50">
        <f t="shared" si="13"/>
        <v>0</v>
      </c>
      <c r="BP54" s="49"/>
      <c r="BQ54" s="49"/>
      <c r="BR54" s="50">
        <f t="shared" si="14"/>
        <v>0</v>
      </c>
      <c r="BT54" s="49"/>
      <c r="BU54" s="49"/>
      <c r="BV54" s="50">
        <f t="shared" si="15"/>
        <v>0</v>
      </c>
      <c r="BX54" s="49"/>
      <c r="BY54" s="49"/>
      <c r="BZ54" s="50">
        <f t="shared" si="16"/>
        <v>0</v>
      </c>
      <c r="CB54" s="49"/>
      <c r="CC54" s="49"/>
      <c r="CD54" s="50">
        <f t="shared" si="17"/>
        <v>0</v>
      </c>
      <c r="CF54" s="49"/>
      <c r="CG54" s="49"/>
      <c r="CH54" s="50">
        <f t="shared" si="18"/>
        <v>0</v>
      </c>
      <c r="CJ54" s="49"/>
      <c r="CK54" s="49"/>
      <c r="CL54" s="50">
        <f t="shared" si="19"/>
        <v>0</v>
      </c>
      <c r="CN54" s="49"/>
      <c r="CO54" s="49"/>
      <c r="CP54" s="50">
        <f t="shared" si="20"/>
        <v>0</v>
      </c>
      <c r="CR54" s="49"/>
      <c r="CS54" s="49"/>
      <c r="CT54" s="50">
        <f t="shared" si="21"/>
        <v>0</v>
      </c>
      <c r="CV54" s="49"/>
      <c r="CW54" s="49"/>
      <c r="CX54" s="50">
        <f t="shared" si="22"/>
        <v>0</v>
      </c>
      <c r="CZ54" s="49"/>
      <c r="DA54" s="49"/>
      <c r="DB54" s="50">
        <f t="shared" si="23"/>
        <v>0</v>
      </c>
      <c r="DD54" s="49"/>
      <c r="DE54" s="49"/>
      <c r="DF54" s="50">
        <f t="shared" si="24"/>
        <v>0</v>
      </c>
      <c r="DH54" s="49"/>
      <c r="DI54" s="49"/>
      <c r="DJ54" s="50">
        <f t="shared" si="25"/>
        <v>0</v>
      </c>
      <c r="DL54" s="49"/>
      <c r="DM54" s="49"/>
      <c r="DN54" s="50">
        <f t="shared" si="26"/>
        <v>0</v>
      </c>
      <c r="DP54" s="49"/>
      <c r="DQ54" s="49"/>
      <c r="DR54" s="50">
        <f t="shared" si="27"/>
        <v>0</v>
      </c>
      <c r="DT54" s="49"/>
      <c r="DU54" s="49"/>
      <c r="DV54" s="50">
        <f t="shared" si="28"/>
        <v>0</v>
      </c>
      <c r="DX54" s="49"/>
      <c r="DY54" s="49"/>
      <c r="DZ54" s="50">
        <f t="shared" si="29"/>
        <v>0</v>
      </c>
      <c r="EB54" s="49">
        <f t="shared" si="30"/>
        <v>0</v>
      </c>
      <c r="EC54" s="49">
        <f t="shared" si="30"/>
        <v>0</v>
      </c>
      <c r="ED54" s="49">
        <f t="shared" si="30"/>
        <v>0</v>
      </c>
    </row>
    <row r="55" spans="2:134" ht="11" customHeight="1" x14ac:dyDescent="0.35">
      <c r="B55" s="4">
        <v>109025</v>
      </c>
      <c r="C55" s="4" t="s">
        <v>61</v>
      </c>
      <c r="D55" s="4">
        <v>18</v>
      </c>
      <c r="E55" s="5">
        <v>18</v>
      </c>
      <c r="F55" s="6">
        <v>140.22132670400001</v>
      </c>
      <c r="G55" s="7"/>
      <c r="H55" s="49"/>
      <c r="I55" s="49"/>
      <c r="J55" s="50">
        <f t="shared" si="31"/>
        <v>0</v>
      </c>
      <c r="K55" s="9"/>
      <c r="L55" s="49"/>
      <c r="M55" s="49"/>
      <c r="N55" s="50">
        <f t="shared" si="0"/>
        <v>0</v>
      </c>
      <c r="O55" s="46"/>
      <c r="P55" s="49"/>
      <c r="Q55" s="49"/>
      <c r="R55" s="50">
        <f t="shared" si="1"/>
        <v>0</v>
      </c>
      <c r="T55" s="49"/>
      <c r="U55" s="49"/>
      <c r="V55" s="50">
        <f t="shared" si="2"/>
        <v>0</v>
      </c>
      <c r="X55" s="49"/>
      <c r="Y55" s="49"/>
      <c r="Z55" s="50">
        <f t="shared" si="3"/>
        <v>0</v>
      </c>
      <c r="AB55" s="49"/>
      <c r="AC55" s="49"/>
      <c r="AD55" s="50">
        <f t="shared" si="4"/>
        <v>0</v>
      </c>
      <c r="AF55" s="49"/>
      <c r="AG55" s="49"/>
      <c r="AH55" s="50">
        <f t="shared" si="5"/>
        <v>0</v>
      </c>
      <c r="AJ55" s="49"/>
      <c r="AK55" s="49"/>
      <c r="AL55" s="50">
        <f t="shared" si="6"/>
        <v>0</v>
      </c>
      <c r="AN55" s="49"/>
      <c r="AO55" s="49"/>
      <c r="AP55" s="50">
        <f t="shared" si="7"/>
        <v>0</v>
      </c>
      <c r="AR55" s="49"/>
      <c r="AS55" s="49"/>
      <c r="AT55" s="50">
        <f t="shared" si="8"/>
        <v>0</v>
      </c>
      <c r="AV55" s="49"/>
      <c r="AW55" s="49"/>
      <c r="AX55" s="50">
        <f t="shared" si="9"/>
        <v>0</v>
      </c>
      <c r="AZ55" s="49"/>
      <c r="BA55" s="49"/>
      <c r="BB55" s="50">
        <f t="shared" si="10"/>
        <v>0</v>
      </c>
      <c r="BD55" s="49"/>
      <c r="BE55" s="49"/>
      <c r="BF55" s="50">
        <f t="shared" si="11"/>
        <v>0</v>
      </c>
      <c r="BH55" s="49"/>
      <c r="BI55" s="49"/>
      <c r="BJ55" s="50">
        <f t="shared" si="12"/>
        <v>0</v>
      </c>
      <c r="BL55" s="49"/>
      <c r="BM55" s="49"/>
      <c r="BN55" s="50">
        <f t="shared" si="13"/>
        <v>0</v>
      </c>
      <c r="BP55" s="49"/>
      <c r="BQ55" s="49"/>
      <c r="BR55" s="50">
        <f t="shared" si="14"/>
        <v>0</v>
      </c>
      <c r="BT55" s="49"/>
      <c r="BU55" s="49"/>
      <c r="BV55" s="50">
        <f t="shared" si="15"/>
        <v>0</v>
      </c>
      <c r="BX55" s="49"/>
      <c r="BY55" s="49"/>
      <c r="BZ55" s="50">
        <f t="shared" si="16"/>
        <v>0</v>
      </c>
      <c r="CB55" s="49"/>
      <c r="CC55" s="49"/>
      <c r="CD55" s="50">
        <f t="shared" si="17"/>
        <v>0</v>
      </c>
      <c r="CF55" s="49"/>
      <c r="CG55" s="49"/>
      <c r="CH55" s="50">
        <f t="shared" si="18"/>
        <v>0</v>
      </c>
      <c r="CJ55" s="49"/>
      <c r="CK55" s="49"/>
      <c r="CL55" s="50">
        <f t="shared" si="19"/>
        <v>0</v>
      </c>
      <c r="CN55" s="49"/>
      <c r="CO55" s="49"/>
      <c r="CP55" s="50">
        <f t="shared" si="20"/>
        <v>0</v>
      </c>
      <c r="CR55" s="49"/>
      <c r="CS55" s="49"/>
      <c r="CT55" s="50">
        <f t="shared" si="21"/>
        <v>0</v>
      </c>
      <c r="CV55" s="49"/>
      <c r="CW55" s="49"/>
      <c r="CX55" s="50">
        <f t="shared" si="22"/>
        <v>0</v>
      </c>
      <c r="CZ55" s="49"/>
      <c r="DA55" s="49"/>
      <c r="DB55" s="50">
        <f t="shared" si="23"/>
        <v>0</v>
      </c>
      <c r="DD55" s="49"/>
      <c r="DE55" s="49"/>
      <c r="DF55" s="50">
        <f t="shared" si="24"/>
        <v>0</v>
      </c>
      <c r="DH55" s="49"/>
      <c r="DI55" s="49"/>
      <c r="DJ55" s="50">
        <f t="shared" si="25"/>
        <v>0</v>
      </c>
      <c r="DL55" s="49"/>
      <c r="DM55" s="49"/>
      <c r="DN55" s="50">
        <f t="shared" si="26"/>
        <v>0</v>
      </c>
      <c r="DP55" s="49"/>
      <c r="DQ55" s="49"/>
      <c r="DR55" s="50">
        <f t="shared" si="27"/>
        <v>0</v>
      </c>
      <c r="DT55" s="49"/>
      <c r="DU55" s="49"/>
      <c r="DV55" s="50">
        <f t="shared" si="28"/>
        <v>0</v>
      </c>
      <c r="DX55" s="49"/>
      <c r="DY55" s="49"/>
      <c r="DZ55" s="50">
        <f t="shared" si="29"/>
        <v>0</v>
      </c>
      <c r="EB55" s="49">
        <f t="shared" si="30"/>
        <v>0</v>
      </c>
      <c r="EC55" s="49">
        <f t="shared" si="30"/>
        <v>0</v>
      </c>
      <c r="ED55" s="49">
        <f t="shared" si="30"/>
        <v>0</v>
      </c>
    </row>
    <row r="56" spans="2:134" ht="11" customHeight="1" x14ac:dyDescent="0.35">
      <c r="B56" s="4">
        <v>109026</v>
      </c>
      <c r="C56" s="4" t="s">
        <v>62</v>
      </c>
      <c r="D56" s="4">
        <v>18</v>
      </c>
      <c r="E56" s="5">
        <v>18</v>
      </c>
      <c r="F56" s="6">
        <v>140.22132670400001</v>
      </c>
      <c r="G56" s="7"/>
      <c r="H56" s="49"/>
      <c r="I56" s="49"/>
      <c r="J56" s="50">
        <f t="shared" si="31"/>
        <v>0</v>
      </c>
      <c r="K56" s="9"/>
      <c r="L56" s="49"/>
      <c r="M56" s="49"/>
      <c r="N56" s="50">
        <f t="shared" si="0"/>
        <v>0</v>
      </c>
      <c r="O56" s="46"/>
      <c r="P56" s="49"/>
      <c r="Q56" s="49"/>
      <c r="R56" s="50">
        <f t="shared" si="1"/>
        <v>0</v>
      </c>
      <c r="T56" s="49"/>
      <c r="U56" s="49"/>
      <c r="V56" s="50">
        <f t="shared" si="2"/>
        <v>0</v>
      </c>
      <c r="X56" s="49"/>
      <c r="Y56" s="49"/>
      <c r="Z56" s="50">
        <f t="shared" si="3"/>
        <v>0</v>
      </c>
      <c r="AB56" s="49"/>
      <c r="AC56" s="49"/>
      <c r="AD56" s="50">
        <f t="shared" si="4"/>
        <v>0</v>
      </c>
      <c r="AF56" s="49"/>
      <c r="AG56" s="49"/>
      <c r="AH56" s="50">
        <f t="shared" si="5"/>
        <v>0</v>
      </c>
      <c r="AJ56" s="49"/>
      <c r="AK56" s="49"/>
      <c r="AL56" s="50">
        <f t="shared" si="6"/>
        <v>0</v>
      </c>
      <c r="AN56" s="49"/>
      <c r="AO56" s="49"/>
      <c r="AP56" s="50">
        <f t="shared" si="7"/>
        <v>0</v>
      </c>
      <c r="AR56" s="49"/>
      <c r="AS56" s="49"/>
      <c r="AT56" s="50">
        <f t="shared" si="8"/>
        <v>0</v>
      </c>
      <c r="AV56" s="49"/>
      <c r="AW56" s="49"/>
      <c r="AX56" s="50">
        <f t="shared" si="9"/>
        <v>0</v>
      </c>
      <c r="AZ56" s="49"/>
      <c r="BA56" s="49"/>
      <c r="BB56" s="50">
        <f t="shared" si="10"/>
        <v>0</v>
      </c>
      <c r="BD56" s="49"/>
      <c r="BE56" s="49"/>
      <c r="BF56" s="50">
        <f t="shared" si="11"/>
        <v>0</v>
      </c>
      <c r="BH56" s="49"/>
      <c r="BI56" s="49"/>
      <c r="BJ56" s="50">
        <f t="shared" si="12"/>
        <v>0</v>
      </c>
      <c r="BL56" s="49"/>
      <c r="BM56" s="49"/>
      <c r="BN56" s="50">
        <f t="shared" si="13"/>
        <v>0</v>
      </c>
      <c r="BP56" s="49"/>
      <c r="BQ56" s="49"/>
      <c r="BR56" s="50">
        <f t="shared" si="14"/>
        <v>0</v>
      </c>
      <c r="BT56" s="49"/>
      <c r="BU56" s="49"/>
      <c r="BV56" s="50">
        <f t="shared" si="15"/>
        <v>0</v>
      </c>
      <c r="BX56" s="49"/>
      <c r="BY56" s="49"/>
      <c r="BZ56" s="50">
        <f t="shared" si="16"/>
        <v>0</v>
      </c>
      <c r="CB56" s="49"/>
      <c r="CC56" s="49"/>
      <c r="CD56" s="50">
        <f t="shared" si="17"/>
        <v>0</v>
      </c>
      <c r="CF56" s="49"/>
      <c r="CG56" s="49"/>
      <c r="CH56" s="50">
        <f t="shared" si="18"/>
        <v>0</v>
      </c>
      <c r="CJ56" s="49"/>
      <c r="CK56" s="49"/>
      <c r="CL56" s="50">
        <f t="shared" si="19"/>
        <v>0</v>
      </c>
      <c r="CN56" s="49"/>
      <c r="CO56" s="49"/>
      <c r="CP56" s="50">
        <f t="shared" si="20"/>
        <v>0</v>
      </c>
      <c r="CR56" s="49"/>
      <c r="CS56" s="49"/>
      <c r="CT56" s="50">
        <f t="shared" si="21"/>
        <v>0</v>
      </c>
      <c r="CV56" s="49"/>
      <c r="CW56" s="49"/>
      <c r="CX56" s="50">
        <f t="shared" si="22"/>
        <v>0</v>
      </c>
      <c r="CZ56" s="49"/>
      <c r="DA56" s="49"/>
      <c r="DB56" s="50">
        <f t="shared" si="23"/>
        <v>0</v>
      </c>
      <c r="DD56" s="49"/>
      <c r="DE56" s="49"/>
      <c r="DF56" s="50">
        <f t="shared" si="24"/>
        <v>0</v>
      </c>
      <c r="DH56" s="49"/>
      <c r="DI56" s="49"/>
      <c r="DJ56" s="50">
        <f t="shared" si="25"/>
        <v>0</v>
      </c>
      <c r="DL56" s="49"/>
      <c r="DM56" s="49"/>
      <c r="DN56" s="50">
        <f t="shared" si="26"/>
        <v>0</v>
      </c>
      <c r="DP56" s="49"/>
      <c r="DQ56" s="49"/>
      <c r="DR56" s="50">
        <f t="shared" si="27"/>
        <v>0</v>
      </c>
      <c r="DT56" s="49"/>
      <c r="DU56" s="49"/>
      <c r="DV56" s="50">
        <f t="shared" si="28"/>
        <v>0</v>
      </c>
      <c r="DX56" s="49"/>
      <c r="DY56" s="49"/>
      <c r="DZ56" s="50">
        <f t="shared" si="29"/>
        <v>0</v>
      </c>
      <c r="EB56" s="49">
        <f t="shared" si="30"/>
        <v>0</v>
      </c>
      <c r="EC56" s="49">
        <f t="shared" si="30"/>
        <v>0</v>
      </c>
      <c r="ED56" s="49">
        <f t="shared" si="30"/>
        <v>0</v>
      </c>
    </row>
    <row r="57" spans="2:134" ht="11" customHeight="1" x14ac:dyDescent="0.35">
      <c r="B57" s="4">
        <v>109207</v>
      </c>
      <c r="C57" s="4" t="s">
        <v>63</v>
      </c>
      <c r="D57" s="4">
        <v>24</v>
      </c>
      <c r="E57" s="5">
        <v>18</v>
      </c>
      <c r="F57" s="6">
        <v>194.23586706</v>
      </c>
      <c r="G57" s="7"/>
      <c r="H57" s="49"/>
      <c r="I57" s="49"/>
      <c r="J57" s="50">
        <f t="shared" si="31"/>
        <v>0</v>
      </c>
      <c r="K57" s="9"/>
      <c r="L57" s="49"/>
      <c r="M57" s="49"/>
      <c r="N57" s="50">
        <f t="shared" si="0"/>
        <v>0</v>
      </c>
      <c r="O57" s="46"/>
      <c r="P57" s="49"/>
      <c r="Q57" s="49"/>
      <c r="R57" s="50">
        <f t="shared" si="1"/>
        <v>0</v>
      </c>
      <c r="T57" s="49"/>
      <c r="U57" s="49"/>
      <c r="V57" s="50">
        <f t="shared" si="2"/>
        <v>0</v>
      </c>
      <c r="X57" s="49"/>
      <c r="Y57" s="49"/>
      <c r="Z57" s="50">
        <f t="shared" si="3"/>
        <v>0</v>
      </c>
      <c r="AB57" s="49"/>
      <c r="AC57" s="49"/>
      <c r="AD57" s="50">
        <f t="shared" si="4"/>
        <v>0</v>
      </c>
      <c r="AF57" s="49"/>
      <c r="AG57" s="49"/>
      <c r="AH57" s="50">
        <f t="shared" si="5"/>
        <v>0</v>
      </c>
      <c r="AJ57" s="49"/>
      <c r="AK57" s="49"/>
      <c r="AL57" s="50">
        <f t="shared" si="6"/>
        <v>0</v>
      </c>
      <c r="AN57" s="49"/>
      <c r="AO57" s="49"/>
      <c r="AP57" s="50">
        <f t="shared" si="7"/>
        <v>0</v>
      </c>
      <c r="AR57" s="49"/>
      <c r="AS57" s="49"/>
      <c r="AT57" s="50">
        <f t="shared" si="8"/>
        <v>0</v>
      </c>
      <c r="AV57" s="49"/>
      <c r="AW57" s="49"/>
      <c r="AX57" s="50">
        <f t="shared" si="9"/>
        <v>0</v>
      </c>
      <c r="AZ57" s="49"/>
      <c r="BA57" s="49"/>
      <c r="BB57" s="50">
        <f t="shared" si="10"/>
        <v>0</v>
      </c>
      <c r="BD57" s="49"/>
      <c r="BE57" s="49"/>
      <c r="BF57" s="50">
        <f t="shared" si="11"/>
        <v>0</v>
      </c>
      <c r="BH57" s="49"/>
      <c r="BI57" s="49"/>
      <c r="BJ57" s="50">
        <f t="shared" si="12"/>
        <v>0</v>
      </c>
      <c r="BL57" s="49"/>
      <c r="BM57" s="49"/>
      <c r="BN57" s="50">
        <f t="shared" si="13"/>
        <v>0</v>
      </c>
      <c r="BP57" s="49"/>
      <c r="BQ57" s="49"/>
      <c r="BR57" s="50">
        <f t="shared" si="14"/>
        <v>0</v>
      </c>
      <c r="BT57" s="49"/>
      <c r="BU57" s="49"/>
      <c r="BV57" s="50">
        <f t="shared" si="15"/>
        <v>0</v>
      </c>
      <c r="BX57" s="49"/>
      <c r="BY57" s="49"/>
      <c r="BZ57" s="50">
        <f t="shared" si="16"/>
        <v>0</v>
      </c>
      <c r="CB57" s="49"/>
      <c r="CC57" s="49"/>
      <c r="CD57" s="50">
        <f t="shared" si="17"/>
        <v>0</v>
      </c>
      <c r="CF57" s="49"/>
      <c r="CG57" s="49"/>
      <c r="CH57" s="50">
        <f t="shared" si="18"/>
        <v>0</v>
      </c>
      <c r="CJ57" s="49"/>
      <c r="CK57" s="49"/>
      <c r="CL57" s="50">
        <f t="shared" si="19"/>
        <v>0</v>
      </c>
      <c r="CN57" s="49"/>
      <c r="CO57" s="49"/>
      <c r="CP57" s="50">
        <f t="shared" si="20"/>
        <v>0</v>
      </c>
      <c r="CR57" s="49"/>
      <c r="CS57" s="49"/>
      <c r="CT57" s="50">
        <f t="shared" si="21"/>
        <v>0</v>
      </c>
      <c r="CV57" s="49"/>
      <c r="CW57" s="49"/>
      <c r="CX57" s="50">
        <f t="shared" si="22"/>
        <v>0</v>
      </c>
      <c r="CZ57" s="49"/>
      <c r="DA57" s="49"/>
      <c r="DB57" s="50">
        <f t="shared" si="23"/>
        <v>0</v>
      </c>
      <c r="DD57" s="49"/>
      <c r="DE57" s="49"/>
      <c r="DF57" s="50">
        <f t="shared" si="24"/>
        <v>0</v>
      </c>
      <c r="DH57" s="49"/>
      <c r="DI57" s="49"/>
      <c r="DJ57" s="50">
        <f t="shared" si="25"/>
        <v>0</v>
      </c>
      <c r="DL57" s="49"/>
      <c r="DM57" s="49"/>
      <c r="DN57" s="50">
        <f t="shared" si="26"/>
        <v>0</v>
      </c>
      <c r="DP57" s="49"/>
      <c r="DQ57" s="49"/>
      <c r="DR57" s="50">
        <f t="shared" si="27"/>
        <v>0</v>
      </c>
      <c r="DT57" s="49"/>
      <c r="DU57" s="49"/>
      <c r="DV57" s="50">
        <f t="shared" si="28"/>
        <v>0</v>
      </c>
      <c r="DX57" s="49"/>
      <c r="DY57" s="49"/>
      <c r="DZ57" s="50">
        <f t="shared" si="29"/>
        <v>0</v>
      </c>
      <c r="EB57" s="49">
        <f t="shared" si="30"/>
        <v>0</v>
      </c>
      <c r="EC57" s="49">
        <f t="shared" si="30"/>
        <v>0</v>
      </c>
      <c r="ED57" s="49">
        <f t="shared" si="30"/>
        <v>0</v>
      </c>
    </row>
    <row r="58" spans="2:134" ht="11" customHeight="1" x14ac:dyDescent="0.35">
      <c r="B58" s="4">
        <v>109503</v>
      </c>
      <c r="C58" s="4" t="s">
        <v>64</v>
      </c>
      <c r="D58" s="4">
        <v>24</v>
      </c>
      <c r="E58" s="5">
        <v>18</v>
      </c>
      <c r="F58" s="6">
        <v>189.29879107400001</v>
      </c>
      <c r="G58" s="7"/>
      <c r="H58" s="49"/>
      <c r="I58" s="49"/>
      <c r="J58" s="50">
        <f t="shared" si="31"/>
        <v>0</v>
      </c>
      <c r="K58" s="9"/>
      <c r="L58" s="49"/>
      <c r="M58" s="49"/>
      <c r="N58" s="50">
        <f t="shared" si="0"/>
        <v>0</v>
      </c>
      <c r="O58" s="46"/>
      <c r="P58" s="49"/>
      <c r="Q58" s="49"/>
      <c r="R58" s="50">
        <f t="shared" si="1"/>
        <v>0</v>
      </c>
      <c r="T58" s="49"/>
      <c r="U58" s="49"/>
      <c r="V58" s="50">
        <f t="shared" si="2"/>
        <v>0</v>
      </c>
      <c r="X58" s="49"/>
      <c r="Y58" s="49"/>
      <c r="Z58" s="50">
        <f t="shared" si="3"/>
        <v>0</v>
      </c>
      <c r="AB58" s="49"/>
      <c r="AC58" s="49"/>
      <c r="AD58" s="50">
        <f t="shared" si="4"/>
        <v>0</v>
      </c>
      <c r="AF58" s="49"/>
      <c r="AG58" s="49"/>
      <c r="AH58" s="50">
        <f t="shared" si="5"/>
        <v>0</v>
      </c>
      <c r="AJ58" s="49"/>
      <c r="AK58" s="49"/>
      <c r="AL58" s="50">
        <f t="shared" si="6"/>
        <v>0</v>
      </c>
      <c r="AN58" s="49"/>
      <c r="AO58" s="49"/>
      <c r="AP58" s="50">
        <f t="shared" si="7"/>
        <v>0</v>
      </c>
      <c r="AR58" s="49"/>
      <c r="AS58" s="49"/>
      <c r="AT58" s="50">
        <f t="shared" si="8"/>
        <v>0</v>
      </c>
      <c r="AV58" s="49"/>
      <c r="AW58" s="49"/>
      <c r="AX58" s="50">
        <f t="shared" si="9"/>
        <v>0</v>
      </c>
      <c r="AZ58" s="49"/>
      <c r="BA58" s="49"/>
      <c r="BB58" s="50">
        <f t="shared" si="10"/>
        <v>0</v>
      </c>
      <c r="BD58" s="49"/>
      <c r="BE58" s="49"/>
      <c r="BF58" s="50">
        <f t="shared" si="11"/>
        <v>0</v>
      </c>
      <c r="BH58" s="49"/>
      <c r="BI58" s="49"/>
      <c r="BJ58" s="50">
        <f t="shared" si="12"/>
        <v>0</v>
      </c>
      <c r="BL58" s="49"/>
      <c r="BM58" s="49"/>
      <c r="BN58" s="50">
        <f t="shared" si="13"/>
        <v>0</v>
      </c>
      <c r="BP58" s="49"/>
      <c r="BQ58" s="49"/>
      <c r="BR58" s="50">
        <f t="shared" si="14"/>
        <v>0</v>
      </c>
      <c r="BT58" s="49"/>
      <c r="BU58" s="49"/>
      <c r="BV58" s="50">
        <f t="shared" si="15"/>
        <v>0</v>
      </c>
      <c r="BX58" s="49"/>
      <c r="BY58" s="49"/>
      <c r="BZ58" s="50">
        <f t="shared" si="16"/>
        <v>0</v>
      </c>
      <c r="CB58" s="49"/>
      <c r="CC58" s="49"/>
      <c r="CD58" s="50">
        <f t="shared" si="17"/>
        <v>0</v>
      </c>
      <c r="CF58" s="49"/>
      <c r="CG58" s="49"/>
      <c r="CH58" s="50">
        <f t="shared" si="18"/>
        <v>0</v>
      </c>
      <c r="CJ58" s="49"/>
      <c r="CK58" s="49"/>
      <c r="CL58" s="50">
        <f t="shared" si="19"/>
        <v>0</v>
      </c>
      <c r="CN58" s="49"/>
      <c r="CO58" s="49"/>
      <c r="CP58" s="50">
        <f t="shared" si="20"/>
        <v>0</v>
      </c>
      <c r="CR58" s="49"/>
      <c r="CS58" s="49"/>
      <c r="CT58" s="50">
        <f t="shared" si="21"/>
        <v>0</v>
      </c>
      <c r="CV58" s="49"/>
      <c r="CW58" s="49"/>
      <c r="CX58" s="50">
        <f t="shared" si="22"/>
        <v>0</v>
      </c>
      <c r="CZ58" s="49"/>
      <c r="DA58" s="49"/>
      <c r="DB58" s="50">
        <f t="shared" si="23"/>
        <v>0</v>
      </c>
      <c r="DD58" s="49"/>
      <c r="DE58" s="49"/>
      <c r="DF58" s="50">
        <f t="shared" si="24"/>
        <v>0</v>
      </c>
      <c r="DH58" s="49"/>
      <c r="DI58" s="49"/>
      <c r="DJ58" s="50">
        <f t="shared" si="25"/>
        <v>0</v>
      </c>
      <c r="DL58" s="49"/>
      <c r="DM58" s="49"/>
      <c r="DN58" s="50">
        <f t="shared" si="26"/>
        <v>0</v>
      </c>
      <c r="DP58" s="49"/>
      <c r="DQ58" s="49"/>
      <c r="DR58" s="50">
        <f t="shared" si="27"/>
        <v>0</v>
      </c>
      <c r="DT58" s="49"/>
      <c r="DU58" s="49"/>
      <c r="DV58" s="50">
        <f t="shared" si="28"/>
        <v>0</v>
      </c>
      <c r="DX58" s="49"/>
      <c r="DY58" s="49"/>
      <c r="DZ58" s="50">
        <f t="shared" si="29"/>
        <v>0</v>
      </c>
      <c r="EB58" s="49">
        <f t="shared" si="30"/>
        <v>0</v>
      </c>
      <c r="EC58" s="49">
        <f t="shared" si="30"/>
        <v>0</v>
      </c>
      <c r="ED58" s="49">
        <f t="shared" si="30"/>
        <v>0</v>
      </c>
    </row>
    <row r="59" spans="2:134" ht="11" customHeight="1" x14ac:dyDescent="0.35">
      <c r="B59" s="4">
        <v>109504</v>
      </c>
      <c r="C59" s="4" t="s">
        <v>65</v>
      </c>
      <c r="D59" s="4">
        <v>24</v>
      </c>
      <c r="E59" s="5">
        <v>18</v>
      </c>
      <c r="F59" s="6">
        <v>189.29879107400001</v>
      </c>
      <c r="G59" s="7"/>
      <c r="H59" s="49"/>
      <c r="I59" s="49"/>
      <c r="J59" s="50">
        <f t="shared" si="31"/>
        <v>0</v>
      </c>
      <c r="K59" s="9"/>
      <c r="L59" s="49"/>
      <c r="M59" s="49"/>
      <c r="N59" s="50">
        <f t="shared" si="0"/>
        <v>0</v>
      </c>
      <c r="O59" s="46"/>
      <c r="P59" s="49"/>
      <c r="Q59" s="49"/>
      <c r="R59" s="50">
        <f t="shared" si="1"/>
        <v>0</v>
      </c>
      <c r="T59" s="49"/>
      <c r="U59" s="49"/>
      <c r="V59" s="50">
        <f t="shared" si="2"/>
        <v>0</v>
      </c>
      <c r="X59" s="49"/>
      <c r="Y59" s="49"/>
      <c r="Z59" s="50">
        <f t="shared" si="3"/>
        <v>0</v>
      </c>
      <c r="AB59" s="49"/>
      <c r="AC59" s="49"/>
      <c r="AD59" s="50">
        <f t="shared" si="4"/>
        <v>0</v>
      </c>
      <c r="AF59" s="49"/>
      <c r="AG59" s="49"/>
      <c r="AH59" s="50">
        <f t="shared" si="5"/>
        <v>0</v>
      </c>
      <c r="AJ59" s="49"/>
      <c r="AK59" s="49"/>
      <c r="AL59" s="50">
        <f t="shared" si="6"/>
        <v>0</v>
      </c>
      <c r="AN59" s="49"/>
      <c r="AO59" s="49"/>
      <c r="AP59" s="50">
        <f t="shared" si="7"/>
        <v>0</v>
      </c>
      <c r="AR59" s="49"/>
      <c r="AS59" s="49"/>
      <c r="AT59" s="50">
        <f t="shared" si="8"/>
        <v>0</v>
      </c>
      <c r="AV59" s="49"/>
      <c r="AW59" s="49"/>
      <c r="AX59" s="50">
        <f t="shared" si="9"/>
        <v>0</v>
      </c>
      <c r="AZ59" s="49"/>
      <c r="BA59" s="49"/>
      <c r="BB59" s="50">
        <f t="shared" si="10"/>
        <v>0</v>
      </c>
      <c r="BD59" s="49"/>
      <c r="BE59" s="49"/>
      <c r="BF59" s="50">
        <f t="shared" si="11"/>
        <v>0</v>
      </c>
      <c r="BH59" s="49"/>
      <c r="BI59" s="49"/>
      <c r="BJ59" s="50">
        <f t="shared" si="12"/>
        <v>0</v>
      </c>
      <c r="BL59" s="49"/>
      <c r="BM59" s="49"/>
      <c r="BN59" s="50">
        <f t="shared" si="13"/>
        <v>0</v>
      </c>
      <c r="BP59" s="49"/>
      <c r="BQ59" s="49"/>
      <c r="BR59" s="50">
        <f t="shared" si="14"/>
        <v>0</v>
      </c>
      <c r="BT59" s="49"/>
      <c r="BU59" s="49"/>
      <c r="BV59" s="50">
        <f t="shared" si="15"/>
        <v>0</v>
      </c>
      <c r="BX59" s="49"/>
      <c r="BY59" s="49"/>
      <c r="BZ59" s="50">
        <f t="shared" si="16"/>
        <v>0</v>
      </c>
      <c r="CB59" s="49"/>
      <c r="CC59" s="49"/>
      <c r="CD59" s="50">
        <f t="shared" si="17"/>
        <v>0</v>
      </c>
      <c r="CF59" s="49"/>
      <c r="CG59" s="49"/>
      <c r="CH59" s="50">
        <f t="shared" si="18"/>
        <v>0</v>
      </c>
      <c r="CJ59" s="49"/>
      <c r="CK59" s="49"/>
      <c r="CL59" s="50">
        <f t="shared" si="19"/>
        <v>0</v>
      </c>
      <c r="CN59" s="49"/>
      <c r="CO59" s="49"/>
      <c r="CP59" s="50">
        <f t="shared" si="20"/>
        <v>0</v>
      </c>
      <c r="CR59" s="49"/>
      <c r="CS59" s="49"/>
      <c r="CT59" s="50">
        <f t="shared" si="21"/>
        <v>0</v>
      </c>
      <c r="CV59" s="49"/>
      <c r="CW59" s="49"/>
      <c r="CX59" s="50">
        <f t="shared" si="22"/>
        <v>0</v>
      </c>
      <c r="CZ59" s="49"/>
      <c r="DA59" s="49"/>
      <c r="DB59" s="50">
        <f t="shared" si="23"/>
        <v>0</v>
      </c>
      <c r="DD59" s="49"/>
      <c r="DE59" s="49"/>
      <c r="DF59" s="50">
        <f t="shared" si="24"/>
        <v>0</v>
      </c>
      <c r="DH59" s="49"/>
      <c r="DI59" s="49"/>
      <c r="DJ59" s="50">
        <f t="shared" si="25"/>
        <v>0</v>
      </c>
      <c r="DL59" s="49"/>
      <c r="DM59" s="49"/>
      <c r="DN59" s="50">
        <f t="shared" si="26"/>
        <v>0</v>
      </c>
      <c r="DP59" s="49"/>
      <c r="DQ59" s="49"/>
      <c r="DR59" s="50">
        <f t="shared" si="27"/>
        <v>0</v>
      </c>
      <c r="DT59" s="49"/>
      <c r="DU59" s="49"/>
      <c r="DV59" s="50">
        <f t="shared" si="28"/>
        <v>0</v>
      </c>
      <c r="DX59" s="49"/>
      <c r="DY59" s="49"/>
      <c r="DZ59" s="50">
        <f t="shared" si="29"/>
        <v>0</v>
      </c>
      <c r="EB59" s="49">
        <f t="shared" si="30"/>
        <v>0</v>
      </c>
      <c r="EC59" s="49">
        <f t="shared" si="30"/>
        <v>0</v>
      </c>
      <c r="ED59" s="49">
        <f t="shared" si="30"/>
        <v>0</v>
      </c>
    </row>
    <row r="60" spans="2:134" ht="11" customHeight="1" x14ac:dyDescent="0.35">
      <c r="B60" s="4">
        <v>109517</v>
      </c>
      <c r="C60" s="4" t="s">
        <v>66</v>
      </c>
      <c r="D60" s="4">
        <v>12</v>
      </c>
      <c r="E60" s="5">
        <v>24</v>
      </c>
      <c r="F60" s="6">
        <v>286.53841705999997</v>
      </c>
      <c r="G60" s="7"/>
      <c r="H60" s="49"/>
      <c r="I60" s="49"/>
      <c r="J60" s="50">
        <f t="shared" si="31"/>
        <v>0</v>
      </c>
      <c r="K60" s="9"/>
      <c r="L60" s="49"/>
      <c r="M60" s="49"/>
      <c r="N60" s="50">
        <f t="shared" si="0"/>
        <v>0</v>
      </c>
      <c r="O60" s="46"/>
      <c r="P60" s="49"/>
      <c r="Q60" s="49"/>
      <c r="R60" s="50">
        <f t="shared" si="1"/>
        <v>0</v>
      </c>
      <c r="T60" s="49"/>
      <c r="U60" s="49"/>
      <c r="V60" s="50">
        <f t="shared" si="2"/>
        <v>0</v>
      </c>
      <c r="X60" s="49"/>
      <c r="Y60" s="49"/>
      <c r="Z60" s="50">
        <f t="shared" si="3"/>
        <v>0</v>
      </c>
      <c r="AB60" s="49"/>
      <c r="AC60" s="49"/>
      <c r="AD60" s="50">
        <f t="shared" si="4"/>
        <v>0</v>
      </c>
      <c r="AF60" s="49"/>
      <c r="AG60" s="49"/>
      <c r="AH60" s="50">
        <f t="shared" si="5"/>
        <v>0</v>
      </c>
      <c r="AJ60" s="49"/>
      <c r="AK60" s="49"/>
      <c r="AL60" s="50">
        <f t="shared" si="6"/>
        <v>0</v>
      </c>
      <c r="AN60" s="49"/>
      <c r="AO60" s="49"/>
      <c r="AP60" s="50">
        <f t="shared" si="7"/>
        <v>0</v>
      </c>
      <c r="AR60" s="49"/>
      <c r="AS60" s="49"/>
      <c r="AT60" s="50">
        <f t="shared" si="8"/>
        <v>0</v>
      </c>
      <c r="AV60" s="49"/>
      <c r="AW60" s="49"/>
      <c r="AX60" s="50">
        <f t="shared" si="9"/>
        <v>0</v>
      </c>
      <c r="AZ60" s="49"/>
      <c r="BA60" s="49"/>
      <c r="BB60" s="50">
        <f t="shared" si="10"/>
        <v>0</v>
      </c>
      <c r="BD60" s="49"/>
      <c r="BE60" s="49"/>
      <c r="BF60" s="50">
        <f t="shared" si="11"/>
        <v>0</v>
      </c>
      <c r="BH60" s="49"/>
      <c r="BI60" s="49"/>
      <c r="BJ60" s="50">
        <f t="shared" si="12"/>
        <v>0</v>
      </c>
      <c r="BL60" s="49"/>
      <c r="BM60" s="49"/>
      <c r="BN60" s="50">
        <f t="shared" si="13"/>
        <v>0</v>
      </c>
      <c r="BP60" s="49"/>
      <c r="BQ60" s="49"/>
      <c r="BR60" s="50">
        <f t="shared" si="14"/>
        <v>0</v>
      </c>
      <c r="BT60" s="49"/>
      <c r="BU60" s="49"/>
      <c r="BV60" s="50">
        <f t="shared" si="15"/>
        <v>0</v>
      </c>
      <c r="BX60" s="49"/>
      <c r="BY60" s="49"/>
      <c r="BZ60" s="50">
        <f t="shared" si="16"/>
        <v>0</v>
      </c>
      <c r="CB60" s="49"/>
      <c r="CC60" s="49"/>
      <c r="CD60" s="50">
        <f t="shared" si="17"/>
        <v>0</v>
      </c>
      <c r="CF60" s="49"/>
      <c r="CG60" s="49"/>
      <c r="CH60" s="50">
        <f t="shared" si="18"/>
        <v>0</v>
      </c>
      <c r="CJ60" s="49"/>
      <c r="CK60" s="49"/>
      <c r="CL60" s="50">
        <f t="shared" si="19"/>
        <v>0</v>
      </c>
      <c r="CN60" s="49"/>
      <c r="CO60" s="49"/>
      <c r="CP60" s="50">
        <f t="shared" si="20"/>
        <v>0</v>
      </c>
      <c r="CR60" s="49"/>
      <c r="CS60" s="49"/>
      <c r="CT60" s="50">
        <f t="shared" si="21"/>
        <v>0</v>
      </c>
      <c r="CV60" s="49"/>
      <c r="CW60" s="49"/>
      <c r="CX60" s="50">
        <f t="shared" si="22"/>
        <v>0</v>
      </c>
      <c r="CZ60" s="49"/>
      <c r="DA60" s="49"/>
      <c r="DB60" s="50">
        <f t="shared" si="23"/>
        <v>0</v>
      </c>
      <c r="DD60" s="49"/>
      <c r="DE60" s="49"/>
      <c r="DF60" s="50">
        <f t="shared" si="24"/>
        <v>0</v>
      </c>
      <c r="DH60" s="49"/>
      <c r="DI60" s="49"/>
      <c r="DJ60" s="50">
        <f t="shared" si="25"/>
        <v>0</v>
      </c>
      <c r="DL60" s="49"/>
      <c r="DM60" s="49"/>
      <c r="DN60" s="50">
        <f t="shared" si="26"/>
        <v>0</v>
      </c>
      <c r="DP60" s="49"/>
      <c r="DQ60" s="49"/>
      <c r="DR60" s="50">
        <f t="shared" si="27"/>
        <v>0</v>
      </c>
      <c r="DT60" s="49"/>
      <c r="DU60" s="49"/>
      <c r="DV60" s="50">
        <f t="shared" si="28"/>
        <v>0</v>
      </c>
      <c r="DX60" s="49"/>
      <c r="DY60" s="49"/>
      <c r="DZ60" s="50">
        <f t="shared" si="29"/>
        <v>0</v>
      </c>
      <c r="EB60" s="49">
        <f t="shared" si="30"/>
        <v>0</v>
      </c>
      <c r="EC60" s="49">
        <f t="shared" si="30"/>
        <v>0</v>
      </c>
      <c r="ED60" s="49">
        <f t="shared" si="30"/>
        <v>0</v>
      </c>
    </row>
    <row r="61" spans="2:134" ht="11" customHeight="1" x14ac:dyDescent="0.35">
      <c r="B61" s="4">
        <v>110151</v>
      </c>
      <c r="C61" s="4" t="s">
        <v>67</v>
      </c>
      <c r="D61" s="4">
        <v>18</v>
      </c>
      <c r="E61" s="5">
        <v>18</v>
      </c>
      <c r="F61" s="6">
        <v>425.922279828</v>
      </c>
      <c r="G61" s="7"/>
      <c r="H61" s="49"/>
      <c r="I61" s="49"/>
      <c r="J61" s="50">
        <f t="shared" si="31"/>
        <v>0</v>
      </c>
      <c r="K61" s="9"/>
      <c r="L61" s="49"/>
      <c r="M61" s="49"/>
      <c r="N61" s="50">
        <f t="shared" si="0"/>
        <v>0</v>
      </c>
      <c r="O61" s="46"/>
      <c r="P61" s="49"/>
      <c r="Q61" s="49"/>
      <c r="R61" s="50">
        <f t="shared" si="1"/>
        <v>0</v>
      </c>
      <c r="T61" s="49"/>
      <c r="U61" s="49"/>
      <c r="V61" s="50">
        <f t="shared" si="2"/>
        <v>0</v>
      </c>
      <c r="X61" s="49"/>
      <c r="Y61" s="49"/>
      <c r="Z61" s="50">
        <f t="shared" si="3"/>
        <v>0</v>
      </c>
      <c r="AB61" s="49"/>
      <c r="AC61" s="49"/>
      <c r="AD61" s="50">
        <f t="shared" si="4"/>
        <v>0</v>
      </c>
      <c r="AF61" s="49"/>
      <c r="AG61" s="49"/>
      <c r="AH61" s="50">
        <f t="shared" si="5"/>
        <v>0</v>
      </c>
      <c r="AJ61" s="49"/>
      <c r="AK61" s="49"/>
      <c r="AL61" s="50">
        <f t="shared" si="6"/>
        <v>0</v>
      </c>
      <c r="AN61" s="49"/>
      <c r="AO61" s="49"/>
      <c r="AP61" s="50">
        <f t="shared" si="7"/>
        <v>0</v>
      </c>
      <c r="AR61" s="49"/>
      <c r="AS61" s="49"/>
      <c r="AT61" s="50">
        <f t="shared" si="8"/>
        <v>0</v>
      </c>
      <c r="AV61" s="49"/>
      <c r="AW61" s="49"/>
      <c r="AX61" s="50">
        <f t="shared" si="9"/>
        <v>0</v>
      </c>
      <c r="AZ61" s="49"/>
      <c r="BA61" s="49"/>
      <c r="BB61" s="50">
        <f t="shared" si="10"/>
        <v>0</v>
      </c>
      <c r="BD61" s="49"/>
      <c r="BE61" s="49"/>
      <c r="BF61" s="50">
        <f t="shared" si="11"/>
        <v>0</v>
      </c>
      <c r="BH61" s="49"/>
      <c r="BI61" s="49"/>
      <c r="BJ61" s="50">
        <f t="shared" si="12"/>
        <v>0</v>
      </c>
      <c r="BL61" s="49"/>
      <c r="BM61" s="49"/>
      <c r="BN61" s="50">
        <f t="shared" si="13"/>
        <v>0</v>
      </c>
      <c r="BP61" s="49"/>
      <c r="BQ61" s="49"/>
      <c r="BR61" s="50">
        <f t="shared" si="14"/>
        <v>0</v>
      </c>
      <c r="BT61" s="49"/>
      <c r="BU61" s="49"/>
      <c r="BV61" s="50">
        <f t="shared" si="15"/>
        <v>0</v>
      </c>
      <c r="BX61" s="49"/>
      <c r="BY61" s="49"/>
      <c r="BZ61" s="50">
        <f t="shared" si="16"/>
        <v>0</v>
      </c>
      <c r="CB61" s="49"/>
      <c r="CC61" s="49"/>
      <c r="CD61" s="50">
        <f t="shared" si="17"/>
        <v>0</v>
      </c>
      <c r="CF61" s="49"/>
      <c r="CG61" s="49"/>
      <c r="CH61" s="50">
        <f t="shared" si="18"/>
        <v>0</v>
      </c>
      <c r="CJ61" s="49"/>
      <c r="CK61" s="49"/>
      <c r="CL61" s="50">
        <f t="shared" si="19"/>
        <v>0</v>
      </c>
      <c r="CN61" s="49"/>
      <c r="CO61" s="49"/>
      <c r="CP61" s="50">
        <f t="shared" si="20"/>
        <v>0</v>
      </c>
      <c r="CR61" s="49"/>
      <c r="CS61" s="49"/>
      <c r="CT61" s="50">
        <f t="shared" si="21"/>
        <v>0</v>
      </c>
      <c r="CV61" s="49"/>
      <c r="CW61" s="49"/>
      <c r="CX61" s="50">
        <f t="shared" si="22"/>
        <v>0</v>
      </c>
      <c r="CZ61" s="49"/>
      <c r="DA61" s="49"/>
      <c r="DB61" s="50">
        <f t="shared" si="23"/>
        <v>0</v>
      </c>
      <c r="DD61" s="49"/>
      <c r="DE61" s="49"/>
      <c r="DF61" s="50">
        <f t="shared" si="24"/>
        <v>0</v>
      </c>
      <c r="DH61" s="49"/>
      <c r="DI61" s="49"/>
      <c r="DJ61" s="50">
        <f t="shared" si="25"/>
        <v>0</v>
      </c>
      <c r="DL61" s="49"/>
      <c r="DM61" s="49"/>
      <c r="DN61" s="50">
        <f t="shared" si="26"/>
        <v>0</v>
      </c>
      <c r="DP61" s="49"/>
      <c r="DQ61" s="49"/>
      <c r="DR61" s="50">
        <f t="shared" si="27"/>
        <v>0</v>
      </c>
      <c r="DT61" s="49"/>
      <c r="DU61" s="49"/>
      <c r="DV61" s="50">
        <f t="shared" si="28"/>
        <v>0</v>
      </c>
      <c r="DX61" s="49"/>
      <c r="DY61" s="49"/>
      <c r="DZ61" s="50">
        <f t="shared" si="29"/>
        <v>0</v>
      </c>
      <c r="EB61" s="49">
        <f t="shared" si="30"/>
        <v>0</v>
      </c>
      <c r="EC61" s="49">
        <f t="shared" si="30"/>
        <v>0</v>
      </c>
      <c r="ED61" s="49">
        <f t="shared" si="30"/>
        <v>0</v>
      </c>
    </row>
    <row r="62" spans="2:134" ht="11" customHeight="1" x14ac:dyDescent="0.35">
      <c r="B62" s="4">
        <v>110157</v>
      </c>
      <c r="C62" s="4" t="s">
        <v>68</v>
      </c>
      <c r="D62" s="4">
        <v>18</v>
      </c>
      <c r="E62" s="5">
        <v>18</v>
      </c>
      <c r="F62" s="6">
        <v>721.70176705999995</v>
      </c>
      <c r="G62" s="7"/>
      <c r="H62" s="49"/>
      <c r="I62" s="49"/>
      <c r="J62" s="50">
        <f t="shared" si="31"/>
        <v>0</v>
      </c>
      <c r="K62" s="9"/>
      <c r="L62" s="49"/>
      <c r="M62" s="49"/>
      <c r="N62" s="50">
        <f t="shared" si="0"/>
        <v>0</v>
      </c>
      <c r="O62" s="46"/>
      <c r="P62" s="49"/>
      <c r="Q62" s="49"/>
      <c r="R62" s="50">
        <f t="shared" si="1"/>
        <v>0</v>
      </c>
      <c r="T62" s="49"/>
      <c r="U62" s="49"/>
      <c r="V62" s="50">
        <f t="shared" si="2"/>
        <v>0</v>
      </c>
      <c r="X62" s="49"/>
      <c r="Y62" s="49"/>
      <c r="Z62" s="50">
        <f t="shared" si="3"/>
        <v>0</v>
      </c>
      <c r="AB62" s="49"/>
      <c r="AC62" s="49"/>
      <c r="AD62" s="50">
        <f t="shared" si="4"/>
        <v>0</v>
      </c>
      <c r="AF62" s="49"/>
      <c r="AG62" s="49"/>
      <c r="AH62" s="50">
        <f t="shared" si="5"/>
        <v>0</v>
      </c>
      <c r="AJ62" s="49"/>
      <c r="AK62" s="49"/>
      <c r="AL62" s="50">
        <f t="shared" si="6"/>
        <v>0</v>
      </c>
      <c r="AN62" s="49"/>
      <c r="AO62" s="49"/>
      <c r="AP62" s="50">
        <f t="shared" si="7"/>
        <v>0</v>
      </c>
      <c r="AR62" s="49"/>
      <c r="AS62" s="49"/>
      <c r="AT62" s="50">
        <f t="shared" si="8"/>
        <v>0</v>
      </c>
      <c r="AV62" s="49"/>
      <c r="AW62" s="49"/>
      <c r="AX62" s="50">
        <f t="shared" si="9"/>
        <v>0</v>
      </c>
      <c r="AZ62" s="49"/>
      <c r="BA62" s="49"/>
      <c r="BB62" s="50">
        <f t="shared" si="10"/>
        <v>0</v>
      </c>
      <c r="BD62" s="49"/>
      <c r="BE62" s="49"/>
      <c r="BF62" s="50">
        <f t="shared" si="11"/>
        <v>0</v>
      </c>
      <c r="BH62" s="49"/>
      <c r="BI62" s="49"/>
      <c r="BJ62" s="50">
        <f t="shared" si="12"/>
        <v>0</v>
      </c>
      <c r="BL62" s="49"/>
      <c r="BM62" s="49"/>
      <c r="BN62" s="50">
        <f t="shared" si="13"/>
        <v>0</v>
      </c>
      <c r="BP62" s="49"/>
      <c r="BQ62" s="49"/>
      <c r="BR62" s="50">
        <f t="shared" si="14"/>
        <v>0</v>
      </c>
      <c r="BT62" s="49"/>
      <c r="BU62" s="49"/>
      <c r="BV62" s="50">
        <f t="shared" si="15"/>
        <v>0</v>
      </c>
      <c r="BX62" s="49"/>
      <c r="BY62" s="49"/>
      <c r="BZ62" s="50">
        <f t="shared" si="16"/>
        <v>0</v>
      </c>
      <c r="CB62" s="49"/>
      <c r="CC62" s="49"/>
      <c r="CD62" s="50">
        <f t="shared" si="17"/>
        <v>0</v>
      </c>
      <c r="CF62" s="49"/>
      <c r="CG62" s="49"/>
      <c r="CH62" s="50">
        <f t="shared" si="18"/>
        <v>0</v>
      </c>
      <c r="CJ62" s="49"/>
      <c r="CK62" s="49"/>
      <c r="CL62" s="50">
        <f t="shared" si="19"/>
        <v>0</v>
      </c>
      <c r="CN62" s="49"/>
      <c r="CO62" s="49"/>
      <c r="CP62" s="50">
        <f t="shared" si="20"/>
        <v>0</v>
      </c>
      <c r="CR62" s="49"/>
      <c r="CS62" s="49"/>
      <c r="CT62" s="50">
        <f t="shared" si="21"/>
        <v>0</v>
      </c>
      <c r="CV62" s="49"/>
      <c r="CW62" s="49"/>
      <c r="CX62" s="50">
        <f t="shared" si="22"/>
        <v>0</v>
      </c>
      <c r="CZ62" s="49"/>
      <c r="DA62" s="49"/>
      <c r="DB62" s="50">
        <f t="shared" si="23"/>
        <v>0</v>
      </c>
      <c r="DD62" s="49"/>
      <c r="DE62" s="49"/>
      <c r="DF62" s="50">
        <f t="shared" si="24"/>
        <v>0</v>
      </c>
      <c r="DH62" s="49"/>
      <c r="DI62" s="49"/>
      <c r="DJ62" s="50">
        <f t="shared" si="25"/>
        <v>0</v>
      </c>
      <c r="DL62" s="49"/>
      <c r="DM62" s="49"/>
      <c r="DN62" s="50">
        <f t="shared" si="26"/>
        <v>0</v>
      </c>
      <c r="DP62" s="49"/>
      <c r="DQ62" s="49"/>
      <c r="DR62" s="50">
        <f t="shared" si="27"/>
        <v>0</v>
      </c>
      <c r="DT62" s="49"/>
      <c r="DU62" s="49"/>
      <c r="DV62" s="50">
        <f t="shared" si="28"/>
        <v>0</v>
      </c>
      <c r="DX62" s="49"/>
      <c r="DY62" s="49"/>
      <c r="DZ62" s="50">
        <f t="shared" si="29"/>
        <v>0</v>
      </c>
      <c r="EB62" s="49">
        <f t="shared" si="30"/>
        <v>0</v>
      </c>
      <c r="EC62" s="49">
        <f t="shared" si="30"/>
        <v>0</v>
      </c>
      <c r="ED62" s="49">
        <f t="shared" si="30"/>
        <v>0</v>
      </c>
    </row>
    <row r="63" spans="2:134" ht="11" customHeight="1" x14ac:dyDescent="0.35">
      <c r="B63" s="4">
        <v>111002</v>
      </c>
      <c r="C63" s="4" t="s">
        <v>69</v>
      </c>
      <c r="D63" s="4">
        <v>12</v>
      </c>
      <c r="E63" s="5">
        <v>18</v>
      </c>
      <c r="F63" s="6">
        <v>190.46151740799999</v>
      </c>
      <c r="G63" s="7"/>
      <c r="H63" s="49"/>
      <c r="I63" s="49"/>
      <c r="J63" s="50">
        <f t="shared" si="31"/>
        <v>0</v>
      </c>
      <c r="K63" s="9"/>
      <c r="L63" s="49"/>
      <c r="M63" s="49"/>
      <c r="N63" s="50">
        <f t="shared" si="0"/>
        <v>0</v>
      </c>
      <c r="O63" s="46"/>
      <c r="P63" s="49"/>
      <c r="Q63" s="49"/>
      <c r="R63" s="50">
        <f t="shared" si="1"/>
        <v>0</v>
      </c>
      <c r="T63" s="49"/>
      <c r="U63" s="49"/>
      <c r="V63" s="50">
        <f t="shared" si="2"/>
        <v>0</v>
      </c>
      <c r="X63" s="49"/>
      <c r="Y63" s="49"/>
      <c r="Z63" s="50">
        <f t="shared" si="3"/>
        <v>0</v>
      </c>
      <c r="AB63" s="49"/>
      <c r="AC63" s="49"/>
      <c r="AD63" s="50">
        <f t="shared" si="4"/>
        <v>0</v>
      </c>
      <c r="AF63" s="49"/>
      <c r="AG63" s="49"/>
      <c r="AH63" s="50">
        <f t="shared" si="5"/>
        <v>0</v>
      </c>
      <c r="AJ63" s="49"/>
      <c r="AK63" s="49"/>
      <c r="AL63" s="50">
        <f t="shared" si="6"/>
        <v>0</v>
      </c>
      <c r="AN63" s="49"/>
      <c r="AO63" s="49"/>
      <c r="AP63" s="50">
        <f t="shared" si="7"/>
        <v>0</v>
      </c>
      <c r="AR63" s="49"/>
      <c r="AS63" s="49"/>
      <c r="AT63" s="50">
        <f t="shared" si="8"/>
        <v>0</v>
      </c>
      <c r="AV63" s="49"/>
      <c r="AW63" s="49"/>
      <c r="AX63" s="50">
        <f t="shared" si="9"/>
        <v>0</v>
      </c>
      <c r="AZ63" s="49"/>
      <c r="BA63" s="49"/>
      <c r="BB63" s="50">
        <f t="shared" si="10"/>
        <v>0</v>
      </c>
      <c r="BD63" s="49"/>
      <c r="BE63" s="49"/>
      <c r="BF63" s="50">
        <f t="shared" si="11"/>
        <v>0</v>
      </c>
      <c r="BH63" s="49"/>
      <c r="BI63" s="49"/>
      <c r="BJ63" s="50">
        <f t="shared" si="12"/>
        <v>0</v>
      </c>
      <c r="BL63" s="49"/>
      <c r="BM63" s="49"/>
      <c r="BN63" s="50">
        <f t="shared" si="13"/>
        <v>0</v>
      </c>
      <c r="BP63" s="49"/>
      <c r="BQ63" s="49"/>
      <c r="BR63" s="50">
        <f t="shared" si="14"/>
        <v>0</v>
      </c>
      <c r="BT63" s="49"/>
      <c r="BU63" s="49"/>
      <c r="BV63" s="50">
        <f t="shared" si="15"/>
        <v>0</v>
      </c>
      <c r="BX63" s="49"/>
      <c r="BY63" s="49"/>
      <c r="BZ63" s="50">
        <f t="shared" si="16"/>
        <v>0</v>
      </c>
      <c r="CB63" s="49"/>
      <c r="CC63" s="49"/>
      <c r="CD63" s="50">
        <f t="shared" si="17"/>
        <v>0</v>
      </c>
      <c r="CF63" s="49"/>
      <c r="CG63" s="49"/>
      <c r="CH63" s="50">
        <f t="shared" si="18"/>
        <v>0</v>
      </c>
      <c r="CJ63" s="49"/>
      <c r="CK63" s="49"/>
      <c r="CL63" s="50">
        <f t="shared" si="19"/>
        <v>0</v>
      </c>
      <c r="CN63" s="49"/>
      <c r="CO63" s="49"/>
      <c r="CP63" s="50">
        <f t="shared" si="20"/>
        <v>0</v>
      </c>
      <c r="CR63" s="49"/>
      <c r="CS63" s="49"/>
      <c r="CT63" s="50">
        <f t="shared" si="21"/>
        <v>0</v>
      </c>
      <c r="CV63" s="49"/>
      <c r="CW63" s="49"/>
      <c r="CX63" s="50">
        <f t="shared" si="22"/>
        <v>0</v>
      </c>
      <c r="CZ63" s="49"/>
      <c r="DA63" s="49"/>
      <c r="DB63" s="50">
        <f t="shared" si="23"/>
        <v>0</v>
      </c>
      <c r="DD63" s="49"/>
      <c r="DE63" s="49"/>
      <c r="DF63" s="50">
        <f t="shared" si="24"/>
        <v>0</v>
      </c>
      <c r="DH63" s="49"/>
      <c r="DI63" s="49"/>
      <c r="DJ63" s="50">
        <f t="shared" si="25"/>
        <v>0</v>
      </c>
      <c r="DL63" s="49"/>
      <c r="DM63" s="49"/>
      <c r="DN63" s="50">
        <f t="shared" si="26"/>
        <v>0</v>
      </c>
      <c r="DP63" s="49"/>
      <c r="DQ63" s="49"/>
      <c r="DR63" s="50">
        <f t="shared" si="27"/>
        <v>0</v>
      </c>
      <c r="DT63" s="49"/>
      <c r="DU63" s="49"/>
      <c r="DV63" s="50">
        <f t="shared" si="28"/>
        <v>0</v>
      </c>
      <c r="DX63" s="49"/>
      <c r="DY63" s="49"/>
      <c r="DZ63" s="50">
        <f t="shared" si="29"/>
        <v>0</v>
      </c>
      <c r="EB63" s="49">
        <f t="shared" si="30"/>
        <v>0</v>
      </c>
      <c r="EC63" s="49">
        <f t="shared" si="30"/>
        <v>0</v>
      </c>
      <c r="ED63" s="49">
        <f t="shared" si="30"/>
        <v>0</v>
      </c>
    </row>
    <row r="64" spans="2:134" ht="11" customHeight="1" x14ac:dyDescent="0.35">
      <c r="B64" s="4">
        <v>111006</v>
      </c>
      <c r="C64" s="4" t="s">
        <v>70</v>
      </c>
      <c r="D64" s="4">
        <v>24</v>
      </c>
      <c r="E64" s="5">
        <v>18</v>
      </c>
      <c r="F64" s="6">
        <v>193.64193294</v>
      </c>
      <c r="G64" s="7"/>
      <c r="H64" s="49"/>
      <c r="I64" s="49"/>
      <c r="J64" s="50">
        <f t="shared" si="31"/>
        <v>0</v>
      </c>
      <c r="K64" s="9"/>
      <c r="L64" s="49"/>
      <c r="M64" s="49"/>
      <c r="N64" s="50">
        <f t="shared" si="0"/>
        <v>0</v>
      </c>
      <c r="O64" s="46"/>
      <c r="P64" s="49"/>
      <c r="Q64" s="49"/>
      <c r="R64" s="50">
        <f t="shared" si="1"/>
        <v>0</v>
      </c>
      <c r="T64" s="49"/>
      <c r="U64" s="49"/>
      <c r="V64" s="50">
        <f t="shared" si="2"/>
        <v>0</v>
      </c>
      <c r="X64" s="49"/>
      <c r="Y64" s="49"/>
      <c r="Z64" s="50">
        <f t="shared" si="3"/>
        <v>0</v>
      </c>
      <c r="AB64" s="49"/>
      <c r="AC64" s="49"/>
      <c r="AD64" s="50">
        <f t="shared" si="4"/>
        <v>0</v>
      </c>
      <c r="AF64" s="49"/>
      <c r="AG64" s="49"/>
      <c r="AH64" s="50">
        <f t="shared" si="5"/>
        <v>0</v>
      </c>
      <c r="AJ64" s="49"/>
      <c r="AK64" s="49"/>
      <c r="AL64" s="50">
        <f t="shared" si="6"/>
        <v>0</v>
      </c>
      <c r="AN64" s="49"/>
      <c r="AO64" s="49"/>
      <c r="AP64" s="50">
        <f t="shared" si="7"/>
        <v>0</v>
      </c>
      <c r="AR64" s="49"/>
      <c r="AS64" s="49"/>
      <c r="AT64" s="50">
        <f t="shared" si="8"/>
        <v>0</v>
      </c>
      <c r="AV64" s="49"/>
      <c r="AW64" s="49"/>
      <c r="AX64" s="50">
        <f t="shared" si="9"/>
        <v>0</v>
      </c>
      <c r="AZ64" s="49"/>
      <c r="BA64" s="49"/>
      <c r="BB64" s="50">
        <f t="shared" si="10"/>
        <v>0</v>
      </c>
      <c r="BD64" s="49"/>
      <c r="BE64" s="49"/>
      <c r="BF64" s="50">
        <f t="shared" si="11"/>
        <v>0</v>
      </c>
      <c r="BH64" s="49"/>
      <c r="BI64" s="49"/>
      <c r="BJ64" s="50">
        <f t="shared" si="12"/>
        <v>0</v>
      </c>
      <c r="BL64" s="49"/>
      <c r="BM64" s="49"/>
      <c r="BN64" s="50">
        <f t="shared" si="13"/>
        <v>0</v>
      </c>
      <c r="BP64" s="49"/>
      <c r="BQ64" s="49"/>
      <c r="BR64" s="50">
        <f t="shared" si="14"/>
        <v>0</v>
      </c>
      <c r="BT64" s="49"/>
      <c r="BU64" s="49"/>
      <c r="BV64" s="50">
        <f t="shared" si="15"/>
        <v>0</v>
      </c>
      <c r="BX64" s="49"/>
      <c r="BY64" s="49"/>
      <c r="BZ64" s="50">
        <f t="shared" si="16"/>
        <v>0</v>
      </c>
      <c r="CB64" s="49"/>
      <c r="CC64" s="49"/>
      <c r="CD64" s="50">
        <f t="shared" si="17"/>
        <v>0</v>
      </c>
      <c r="CF64" s="49"/>
      <c r="CG64" s="49"/>
      <c r="CH64" s="50">
        <f t="shared" si="18"/>
        <v>0</v>
      </c>
      <c r="CJ64" s="49"/>
      <c r="CK64" s="49"/>
      <c r="CL64" s="50">
        <f t="shared" si="19"/>
        <v>0</v>
      </c>
      <c r="CN64" s="49"/>
      <c r="CO64" s="49"/>
      <c r="CP64" s="50">
        <f t="shared" si="20"/>
        <v>0</v>
      </c>
      <c r="CR64" s="49"/>
      <c r="CS64" s="49"/>
      <c r="CT64" s="50">
        <f t="shared" si="21"/>
        <v>0</v>
      </c>
      <c r="CV64" s="49"/>
      <c r="CW64" s="49"/>
      <c r="CX64" s="50">
        <f t="shared" si="22"/>
        <v>0</v>
      </c>
      <c r="CZ64" s="49"/>
      <c r="DA64" s="49"/>
      <c r="DB64" s="50">
        <f t="shared" si="23"/>
        <v>0</v>
      </c>
      <c r="DD64" s="49"/>
      <c r="DE64" s="49"/>
      <c r="DF64" s="50">
        <f t="shared" si="24"/>
        <v>0</v>
      </c>
      <c r="DH64" s="49"/>
      <c r="DI64" s="49"/>
      <c r="DJ64" s="50">
        <f t="shared" si="25"/>
        <v>0</v>
      </c>
      <c r="DL64" s="49"/>
      <c r="DM64" s="49"/>
      <c r="DN64" s="50">
        <f t="shared" si="26"/>
        <v>0</v>
      </c>
      <c r="DP64" s="49"/>
      <c r="DQ64" s="49"/>
      <c r="DR64" s="50">
        <f t="shared" si="27"/>
        <v>0</v>
      </c>
      <c r="DT64" s="49"/>
      <c r="DU64" s="49"/>
      <c r="DV64" s="50">
        <f t="shared" si="28"/>
        <v>0</v>
      </c>
      <c r="DX64" s="49"/>
      <c r="DY64" s="49"/>
      <c r="DZ64" s="50">
        <f t="shared" si="29"/>
        <v>0</v>
      </c>
      <c r="EB64" s="49">
        <f t="shared" si="30"/>
        <v>0</v>
      </c>
      <c r="EC64" s="49">
        <f t="shared" si="30"/>
        <v>0</v>
      </c>
      <c r="ED64" s="49">
        <f t="shared" si="30"/>
        <v>0</v>
      </c>
    </row>
    <row r="65" spans="2:134" ht="11" customHeight="1" x14ac:dyDescent="0.35">
      <c r="B65" s="4">
        <v>111107</v>
      </c>
      <c r="C65" s="4" t="s">
        <v>71</v>
      </c>
      <c r="D65" s="4">
        <v>1</v>
      </c>
      <c r="E65" s="5">
        <v>48</v>
      </c>
      <c r="F65" s="6">
        <v>39.4372481296</v>
      </c>
      <c r="G65" s="7"/>
      <c r="H65" s="49"/>
      <c r="I65" s="49"/>
      <c r="J65" s="50">
        <f t="shared" si="31"/>
        <v>0</v>
      </c>
      <c r="K65" s="9"/>
      <c r="L65" s="49"/>
      <c r="M65" s="49"/>
      <c r="N65" s="50">
        <f t="shared" si="0"/>
        <v>0</v>
      </c>
      <c r="O65" s="46"/>
      <c r="P65" s="49"/>
      <c r="Q65" s="49"/>
      <c r="R65" s="50">
        <f t="shared" si="1"/>
        <v>0</v>
      </c>
      <c r="T65" s="49"/>
      <c r="U65" s="49"/>
      <c r="V65" s="50">
        <f t="shared" si="2"/>
        <v>0</v>
      </c>
      <c r="X65" s="49"/>
      <c r="Y65" s="49"/>
      <c r="Z65" s="50">
        <f t="shared" si="3"/>
        <v>0</v>
      </c>
      <c r="AB65" s="49"/>
      <c r="AC65" s="49"/>
      <c r="AD65" s="50">
        <f t="shared" si="4"/>
        <v>0</v>
      </c>
      <c r="AF65" s="49"/>
      <c r="AG65" s="49"/>
      <c r="AH65" s="50">
        <f t="shared" si="5"/>
        <v>0</v>
      </c>
      <c r="AJ65" s="49"/>
      <c r="AK65" s="49"/>
      <c r="AL65" s="50">
        <f t="shared" si="6"/>
        <v>0</v>
      </c>
      <c r="AN65" s="49"/>
      <c r="AO65" s="49"/>
      <c r="AP65" s="50">
        <f t="shared" si="7"/>
        <v>0</v>
      </c>
      <c r="AR65" s="49"/>
      <c r="AS65" s="49"/>
      <c r="AT65" s="50">
        <f t="shared" si="8"/>
        <v>0</v>
      </c>
      <c r="AV65" s="49"/>
      <c r="AW65" s="49"/>
      <c r="AX65" s="50">
        <f t="shared" si="9"/>
        <v>0</v>
      </c>
      <c r="AZ65" s="49"/>
      <c r="BA65" s="49"/>
      <c r="BB65" s="50">
        <f t="shared" si="10"/>
        <v>0</v>
      </c>
      <c r="BD65" s="49"/>
      <c r="BE65" s="49"/>
      <c r="BF65" s="50">
        <f t="shared" si="11"/>
        <v>0</v>
      </c>
      <c r="BH65" s="49"/>
      <c r="BI65" s="49"/>
      <c r="BJ65" s="50">
        <f t="shared" si="12"/>
        <v>0</v>
      </c>
      <c r="BL65" s="49"/>
      <c r="BM65" s="49"/>
      <c r="BN65" s="50">
        <f t="shared" si="13"/>
        <v>0</v>
      </c>
      <c r="BP65" s="49"/>
      <c r="BQ65" s="49"/>
      <c r="BR65" s="50">
        <f t="shared" si="14"/>
        <v>0</v>
      </c>
      <c r="BT65" s="49"/>
      <c r="BU65" s="49"/>
      <c r="BV65" s="50">
        <f t="shared" si="15"/>
        <v>0</v>
      </c>
      <c r="BX65" s="49"/>
      <c r="BY65" s="49"/>
      <c r="BZ65" s="50">
        <f t="shared" si="16"/>
        <v>0</v>
      </c>
      <c r="CB65" s="49"/>
      <c r="CC65" s="49"/>
      <c r="CD65" s="50">
        <f t="shared" si="17"/>
        <v>0</v>
      </c>
      <c r="CF65" s="49"/>
      <c r="CG65" s="49"/>
      <c r="CH65" s="50">
        <f t="shared" si="18"/>
        <v>0</v>
      </c>
      <c r="CJ65" s="49"/>
      <c r="CK65" s="49"/>
      <c r="CL65" s="50">
        <f t="shared" si="19"/>
        <v>0</v>
      </c>
      <c r="CN65" s="49"/>
      <c r="CO65" s="49"/>
      <c r="CP65" s="50">
        <f t="shared" si="20"/>
        <v>0</v>
      </c>
      <c r="CR65" s="49"/>
      <c r="CS65" s="49"/>
      <c r="CT65" s="50">
        <f t="shared" si="21"/>
        <v>0</v>
      </c>
      <c r="CV65" s="49"/>
      <c r="CW65" s="49"/>
      <c r="CX65" s="50">
        <f t="shared" si="22"/>
        <v>0</v>
      </c>
      <c r="CZ65" s="49"/>
      <c r="DA65" s="49"/>
      <c r="DB65" s="50">
        <f t="shared" si="23"/>
        <v>0</v>
      </c>
      <c r="DD65" s="49"/>
      <c r="DE65" s="49"/>
      <c r="DF65" s="50">
        <f t="shared" si="24"/>
        <v>0</v>
      </c>
      <c r="DH65" s="49"/>
      <c r="DI65" s="49"/>
      <c r="DJ65" s="50">
        <f t="shared" si="25"/>
        <v>0</v>
      </c>
      <c r="DL65" s="49"/>
      <c r="DM65" s="49"/>
      <c r="DN65" s="50">
        <f t="shared" si="26"/>
        <v>0</v>
      </c>
      <c r="DP65" s="49"/>
      <c r="DQ65" s="49"/>
      <c r="DR65" s="50">
        <f t="shared" si="27"/>
        <v>0</v>
      </c>
      <c r="DT65" s="49"/>
      <c r="DU65" s="49"/>
      <c r="DV65" s="50">
        <f t="shared" si="28"/>
        <v>0</v>
      </c>
      <c r="DX65" s="49"/>
      <c r="DY65" s="49"/>
      <c r="DZ65" s="50">
        <f t="shared" si="29"/>
        <v>0</v>
      </c>
      <c r="EB65" s="49">
        <f t="shared" si="30"/>
        <v>0</v>
      </c>
      <c r="EC65" s="49">
        <f t="shared" si="30"/>
        <v>0</v>
      </c>
      <c r="ED65" s="49">
        <f t="shared" si="30"/>
        <v>0</v>
      </c>
    </row>
    <row r="66" spans="2:134" ht="11" customHeight="1" x14ac:dyDescent="0.35">
      <c r="B66" s="4">
        <v>111108</v>
      </c>
      <c r="C66" s="4" t="s">
        <v>72</v>
      </c>
      <c r="D66" s="4">
        <v>1</v>
      </c>
      <c r="E66" s="5">
        <v>48</v>
      </c>
      <c r="F66" s="6">
        <v>39.4372481296</v>
      </c>
      <c r="G66" s="7"/>
      <c r="H66" s="49"/>
      <c r="I66" s="49"/>
      <c r="J66" s="50">
        <f t="shared" si="31"/>
        <v>0</v>
      </c>
      <c r="K66" s="9"/>
      <c r="L66" s="49"/>
      <c r="M66" s="49"/>
      <c r="N66" s="50">
        <f t="shared" si="0"/>
        <v>0</v>
      </c>
      <c r="O66" s="46"/>
      <c r="P66" s="49"/>
      <c r="Q66" s="49"/>
      <c r="R66" s="50">
        <f t="shared" si="1"/>
        <v>0</v>
      </c>
      <c r="T66" s="49"/>
      <c r="U66" s="49"/>
      <c r="V66" s="50">
        <f t="shared" si="2"/>
        <v>0</v>
      </c>
      <c r="X66" s="49"/>
      <c r="Y66" s="49"/>
      <c r="Z66" s="50">
        <f t="shared" si="3"/>
        <v>0</v>
      </c>
      <c r="AB66" s="49"/>
      <c r="AC66" s="49"/>
      <c r="AD66" s="50">
        <f t="shared" si="4"/>
        <v>0</v>
      </c>
      <c r="AF66" s="49"/>
      <c r="AG66" s="49"/>
      <c r="AH66" s="50">
        <f t="shared" si="5"/>
        <v>0</v>
      </c>
      <c r="AJ66" s="49"/>
      <c r="AK66" s="49"/>
      <c r="AL66" s="50">
        <f t="shared" si="6"/>
        <v>0</v>
      </c>
      <c r="AN66" s="49"/>
      <c r="AO66" s="49"/>
      <c r="AP66" s="50">
        <f t="shared" si="7"/>
        <v>0</v>
      </c>
      <c r="AR66" s="49"/>
      <c r="AS66" s="49"/>
      <c r="AT66" s="50">
        <f t="shared" si="8"/>
        <v>0</v>
      </c>
      <c r="AV66" s="49"/>
      <c r="AW66" s="49"/>
      <c r="AX66" s="50">
        <f t="shared" si="9"/>
        <v>0</v>
      </c>
      <c r="AZ66" s="49"/>
      <c r="BA66" s="49"/>
      <c r="BB66" s="50">
        <f t="shared" si="10"/>
        <v>0</v>
      </c>
      <c r="BD66" s="49"/>
      <c r="BE66" s="49"/>
      <c r="BF66" s="50">
        <f t="shared" si="11"/>
        <v>0</v>
      </c>
      <c r="BH66" s="49"/>
      <c r="BI66" s="49"/>
      <c r="BJ66" s="50">
        <f t="shared" si="12"/>
        <v>0</v>
      </c>
      <c r="BL66" s="49"/>
      <c r="BM66" s="49"/>
      <c r="BN66" s="50">
        <f t="shared" si="13"/>
        <v>0</v>
      </c>
      <c r="BP66" s="49"/>
      <c r="BQ66" s="49"/>
      <c r="BR66" s="50">
        <f t="shared" si="14"/>
        <v>0</v>
      </c>
      <c r="BT66" s="49"/>
      <c r="BU66" s="49"/>
      <c r="BV66" s="50">
        <f t="shared" si="15"/>
        <v>0</v>
      </c>
      <c r="BX66" s="49"/>
      <c r="BY66" s="49"/>
      <c r="BZ66" s="50">
        <f t="shared" si="16"/>
        <v>0</v>
      </c>
      <c r="CB66" s="49"/>
      <c r="CC66" s="49"/>
      <c r="CD66" s="50">
        <f t="shared" si="17"/>
        <v>0</v>
      </c>
      <c r="CF66" s="49"/>
      <c r="CG66" s="49"/>
      <c r="CH66" s="50">
        <f t="shared" si="18"/>
        <v>0</v>
      </c>
      <c r="CJ66" s="49"/>
      <c r="CK66" s="49"/>
      <c r="CL66" s="50">
        <f t="shared" si="19"/>
        <v>0</v>
      </c>
      <c r="CN66" s="49"/>
      <c r="CO66" s="49"/>
      <c r="CP66" s="50">
        <f t="shared" si="20"/>
        <v>0</v>
      </c>
      <c r="CR66" s="49"/>
      <c r="CS66" s="49"/>
      <c r="CT66" s="50">
        <f t="shared" si="21"/>
        <v>0</v>
      </c>
      <c r="CV66" s="49"/>
      <c r="CW66" s="49"/>
      <c r="CX66" s="50">
        <f t="shared" si="22"/>
        <v>0</v>
      </c>
      <c r="CZ66" s="49"/>
      <c r="DA66" s="49"/>
      <c r="DB66" s="50">
        <f t="shared" si="23"/>
        <v>0</v>
      </c>
      <c r="DD66" s="49"/>
      <c r="DE66" s="49"/>
      <c r="DF66" s="50">
        <f t="shared" si="24"/>
        <v>0</v>
      </c>
      <c r="DH66" s="49"/>
      <c r="DI66" s="49"/>
      <c r="DJ66" s="50">
        <f t="shared" si="25"/>
        <v>0</v>
      </c>
      <c r="DL66" s="49"/>
      <c r="DM66" s="49"/>
      <c r="DN66" s="50">
        <f t="shared" si="26"/>
        <v>0</v>
      </c>
      <c r="DP66" s="49"/>
      <c r="DQ66" s="49"/>
      <c r="DR66" s="50">
        <f t="shared" si="27"/>
        <v>0</v>
      </c>
      <c r="DT66" s="49"/>
      <c r="DU66" s="49"/>
      <c r="DV66" s="50">
        <f t="shared" si="28"/>
        <v>0</v>
      </c>
      <c r="DX66" s="49"/>
      <c r="DY66" s="49"/>
      <c r="DZ66" s="50">
        <f t="shared" si="29"/>
        <v>0</v>
      </c>
      <c r="EB66" s="49">
        <f t="shared" si="30"/>
        <v>0</v>
      </c>
      <c r="EC66" s="49">
        <f t="shared" si="30"/>
        <v>0</v>
      </c>
      <c r="ED66" s="49">
        <f t="shared" si="30"/>
        <v>0</v>
      </c>
    </row>
    <row r="67" spans="2:134" ht="11" customHeight="1" x14ac:dyDescent="0.35">
      <c r="B67" s="4">
        <v>111109</v>
      </c>
      <c r="C67" s="4" t="s">
        <v>73</v>
      </c>
      <c r="D67" s="4">
        <v>12</v>
      </c>
      <c r="E67" s="5">
        <v>18</v>
      </c>
      <c r="F67" s="6">
        <v>190.46151740799999</v>
      </c>
      <c r="G67" s="7"/>
      <c r="H67" s="49"/>
      <c r="I67" s="49"/>
      <c r="J67" s="50">
        <f t="shared" si="31"/>
        <v>0</v>
      </c>
      <c r="K67" s="9"/>
      <c r="L67" s="49"/>
      <c r="M67" s="49"/>
      <c r="N67" s="50">
        <f t="shared" si="0"/>
        <v>0</v>
      </c>
      <c r="O67" s="46"/>
      <c r="P67" s="49"/>
      <c r="Q67" s="49"/>
      <c r="R67" s="50">
        <f t="shared" si="1"/>
        <v>0</v>
      </c>
      <c r="T67" s="49"/>
      <c r="U67" s="49"/>
      <c r="V67" s="50">
        <f t="shared" si="2"/>
        <v>0</v>
      </c>
      <c r="X67" s="49"/>
      <c r="Y67" s="49"/>
      <c r="Z67" s="50">
        <f t="shared" si="3"/>
        <v>0</v>
      </c>
      <c r="AB67" s="49"/>
      <c r="AC67" s="49"/>
      <c r="AD67" s="50">
        <f t="shared" si="4"/>
        <v>0</v>
      </c>
      <c r="AF67" s="49"/>
      <c r="AG67" s="49"/>
      <c r="AH67" s="50">
        <f t="shared" si="5"/>
        <v>0</v>
      </c>
      <c r="AJ67" s="49"/>
      <c r="AK67" s="49"/>
      <c r="AL67" s="50">
        <f t="shared" si="6"/>
        <v>0</v>
      </c>
      <c r="AN67" s="49"/>
      <c r="AO67" s="49"/>
      <c r="AP67" s="50">
        <f t="shared" si="7"/>
        <v>0</v>
      </c>
      <c r="AR67" s="49"/>
      <c r="AS67" s="49"/>
      <c r="AT67" s="50">
        <f t="shared" si="8"/>
        <v>0</v>
      </c>
      <c r="AV67" s="49"/>
      <c r="AW67" s="49"/>
      <c r="AX67" s="50">
        <f t="shared" si="9"/>
        <v>0</v>
      </c>
      <c r="AZ67" s="49"/>
      <c r="BA67" s="49"/>
      <c r="BB67" s="50">
        <f t="shared" si="10"/>
        <v>0</v>
      </c>
      <c r="BD67" s="49"/>
      <c r="BE67" s="49"/>
      <c r="BF67" s="50">
        <f t="shared" si="11"/>
        <v>0</v>
      </c>
      <c r="BH67" s="49"/>
      <c r="BI67" s="49"/>
      <c r="BJ67" s="50">
        <f t="shared" si="12"/>
        <v>0</v>
      </c>
      <c r="BL67" s="49"/>
      <c r="BM67" s="49"/>
      <c r="BN67" s="50">
        <f t="shared" si="13"/>
        <v>0</v>
      </c>
      <c r="BP67" s="49"/>
      <c r="BQ67" s="49"/>
      <c r="BR67" s="50">
        <f t="shared" si="14"/>
        <v>0</v>
      </c>
      <c r="BT67" s="49"/>
      <c r="BU67" s="49"/>
      <c r="BV67" s="50">
        <f t="shared" si="15"/>
        <v>0</v>
      </c>
      <c r="BX67" s="49"/>
      <c r="BY67" s="49"/>
      <c r="BZ67" s="50">
        <f t="shared" si="16"/>
        <v>0</v>
      </c>
      <c r="CB67" s="49"/>
      <c r="CC67" s="49"/>
      <c r="CD67" s="50">
        <f t="shared" si="17"/>
        <v>0</v>
      </c>
      <c r="CF67" s="49"/>
      <c r="CG67" s="49"/>
      <c r="CH67" s="50">
        <f t="shared" si="18"/>
        <v>0</v>
      </c>
      <c r="CJ67" s="49"/>
      <c r="CK67" s="49"/>
      <c r="CL67" s="50">
        <f t="shared" si="19"/>
        <v>0</v>
      </c>
      <c r="CN67" s="49"/>
      <c r="CO67" s="49"/>
      <c r="CP67" s="50">
        <f t="shared" si="20"/>
        <v>0</v>
      </c>
      <c r="CR67" s="49"/>
      <c r="CS67" s="49"/>
      <c r="CT67" s="50">
        <f t="shared" si="21"/>
        <v>0</v>
      </c>
      <c r="CV67" s="49"/>
      <c r="CW67" s="49"/>
      <c r="CX67" s="50">
        <f t="shared" si="22"/>
        <v>0</v>
      </c>
      <c r="CZ67" s="49"/>
      <c r="DA67" s="49"/>
      <c r="DB67" s="50">
        <f t="shared" si="23"/>
        <v>0</v>
      </c>
      <c r="DD67" s="49"/>
      <c r="DE67" s="49"/>
      <c r="DF67" s="50">
        <f t="shared" si="24"/>
        <v>0</v>
      </c>
      <c r="DH67" s="49"/>
      <c r="DI67" s="49"/>
      <c r="DJ67" s="50">
        <f t="shared" si="25"/>
        <v>0</v>
      </c>
      <c r="DL67" s="49"/>
      <c r="DM67" s="49"/>
      <c r="DN67" s="50">
        <f t="shared" si="26"/>
        <v>0</v>
      </c>
      <c r="DP67" s="49"/>
      <c r="DQ67" s="49"/>
      <c r="DR67" s="50">
        <f t="shared" si="27"/>
        <v>0</v>
      </c>
      <c r="DT67" s="49"/>
      <c r="DU67" s="49"/>
      <c r="DV67" s="50">
        <f t="shared" si="28"/>
        <v>0</v>
      </c>
      <c r="DX67" s="49"/>
      <c r="DY67" s="49"/>
      <c r="DZ67" s="50">
        <f t="shared" si="29"/>
        <v>0</v>
      </c>
      <c r="EB67" s="49">
        <f t="shared" si="30"/>
        <v>0</v>
      </c>
      <c r="EC67" s="49">
        <f t="shared" si="30"/>
        <v>0</v>
      </c>
      <c r="ED67" s="49">
        <f t="shared" si="30"/>
        <v>0</v>
      </c>
    </row>
    <row r="68" spans="2:134" ht="11" customHeight="1" x14ac:dyDescent="0.35">
      <c r="B68" s="4">
        <v>111124</v>
      </c>
      <c r="C68" s="4" t="s">
        <v>74</v>
      </c>
      <c r="D68" s="4">
        <v>24</v>
      </c>
      <c r="E68" s="5">
        <v>18</v>
      </c>
      <c r="F68" s="6">
        <v>193.64193294</v>
      </c>
      <c r="G68" s="7"/>
      <c r="H68" s="49"/>
      <c r="I68" s="49"/>
      <c r="J68" s="50">
        <f t="shared" si="31"/>
        <v>0</v>
      </c>
      <c r="K68" s="9"/>
      <c r="L68" s="49"/>
      <c r="M68" s="49"/>
      <c r="N68" s="50">
        <f t="shared" si="0"/>
        <v>0</v>
      </c>
      <c r="O68" s="46"/>
      <c r="P68" s="49"/>
      <c r="Q68" s="49"/>
      <c r="R68" s="50">
        <f t="shared" si="1"/>
        <v>0</v>
      </c>
      <c r="T68" s="49"/>
      <c r="U68" s="49"/>
      <c r="V68" s="50">
        <f t="shared" si="2"/>
        <v>0</v>
      </c>
      <c r="X68" s="49"/>
      <c r="Y68" s="49"/>
      <c r="Z68" s="50">
        <f t="shared" si="3"/>
        <v>0</v>
      </c>
      <c r="AB68" s="49"/>
      <c r="AC68" s="49"/>
      <c r="AD68" s="50">
        <f t="shared" si="4"/>
        <v>0</v>
      </c>
      <c r="AF68" s="49"/>
      <c r="AG68" s="49"/>
      <c r="AH68" s="50">
        <f t="shared" si="5"/>
        <v>0</v>
      </c>
      <c r="AJ68" s="49"/>
      <c r="AK68" s="49"/>
      <c r="AL68" s="50">
        <f t="shared" si="6"/>
        <v>0</v>
      </c>
      <c r="AN68" s="49"/>
      <c r="AO68" s="49"/>
      <c r="AP68" s="50">
        <f t="shared" si="7"/>
        <v>0</v>
      </c>
      <c r="AR68" s="49"/>
      <c r="AS68" s="49"/>
      <c r="AT68" s="50">
        <f t="shared" si="8"/>
        <v>0</v>
      </c>
      <c r="AV68" s="49"/>
      <c r="AW68" s="49"/>
      <c r="AX68" s="50">
        <f t="shared" si="9"/>
        <v>0</v>
      </c>
      <c r="AZ68" s="49"/>
      <c r="BA68" s="49"/>
      <c r="BB68" s="50">
        <f t="shared" si="10"/>
        <v>0</v>
      </c>
      <c r="BD68" s="49"/>
      <c r="BE68" s="49"/>
      <c r="BF68" s="50">
        <f t="shared" si="11"/>
        <v>0</v>
      </c>
      <c r="BH68" s="49"/>
      <c r="BI68" s="49"/>
      <c r="BJ68" s="50">
        <f t="shared" si="12"/>
        <v>0</v>
      </c>
      <c r="BL68" s="49"/>
      <c r="BM68" s="49"/>
      <c r="BN68" s="50">
        <f t="shared" si="13"/>
        <v>0</v>
      </c>
      <c r="BP68" s="49"/>
      <c r="BQ68" s="49"/>
      <c r="BR68" s="50">
        <f t="shared" si="14"/>
        <v>0</v>
      </c>
      <c r="BT68" s="49"/>
      <c r="BU68" s="49"/>
      <c r="BV68" s="50">
        <f t="shared" si="15"/>
        <v>0</v>
      </c>
      <c r="BX68" s="49"/>
      <c r="BY68" s="49"/>
      <c r="BZ68" s="50">
        <f t="shared" si="16"/>
        <v>0</v>
      </c>
      <c r="CB68" s="49"/>
      <c r="CC68" s="49"/>
      <c r="CD68" s="50">
        <f t="shared" si="17"/>
        <v>0</v>
      </c>
      <c r="CF68" s="49"/>
      <c r="CG68" s="49"/>
      <c r="CH68" s="50">
        <f t="shared" si="18"/>
        <v>0</v>
      </c>
      <c r="CJ68" s="49"/>
      <c r="CK68" s="49"/>
      <c r="CL68" s="50">
        <f t="shared" si="19"/>
        <v>0</v>
      </c>
      <c r="CN68" s="49"/>
      <c r="CO68" s="49"/>
      <c r="CP68" s="50">
        <f t="shared" si="20"/>
        <v>0</v>
      </c>
      <c r="CR68" s="49"/>
      <c r="CS68" s="49"/>
      <c r="CT68" s="50">
        <f t="shared" si="21"/>
        <v>0</v>
      </c>
      <c r="CV68" s="49"/>
      <c r="CW68" s="49"/>
      <c r="CX68" s="50">
        <f t="shared" si="22"/>
        <v>0</v>
      </c>
      <c r="CZ68" s="49"/>
      <c r="DA68" s="49"/>
      <c r="DB68" s="50">
        <f t="shared" si="23"/>
        <v>0</v>
      </c>
      <c r="DD68" s="49"/>
      <c r="DE68" s="49"/>
      <c r="DF68" s="50">
        <f t="shared" si="24"/>
        <v>0</v>
      </c>
      <c r="DH68" s="49"/>
      <c r="DI68" s="49"/>
      <c r="DJ68" s="50">
        <f t="shared" si="25"/>
        <v>0</v>
      </c>
      <c r="DL68" s="49"/>
      <c r="DM68" s="49"/>
      <c r="DN68" s="50">
        <f t="shared" si="26"/>
        <v>0</v>
      </c>
      <c r="DP68" s="49"/>
      <c r="DQ68" s="49"/>
      <c r="DR68" s="50">
        <f t="shared" si="27"/>
        <v>0</v>
      </c>
      <c r="DT68" s="49"/>
      <c r="DU68" s="49"/>
      <c r="DV68" s="50">
        <f t="shared" si="28"/>
        <v>0</v>
      </c>
      <c r="DX68" s="49"/>
      <c r="DY68" s="49"/>
      <c r="DZ68" s="50">
        <f t="shared" si="29"/>
        <v>0</v>
      </c>
      <c r="EB68" s="49">
        <f t="shared" si="30"/>
        <v>0</v>
      </c>
      <c r="EC68" s="49">
        <f t="shared" si="30"/>
        <v>0</v>
      </c>
      <c r="ED68" s="49">
        <f t="shared" si="30"/>
        <v>0</v>
      </c>
    </row>
    <row r="69" spans="2:134" ht="11" customHeight="1" x14ac:dyDescent="0.35">
      <c r="B69" s="4">
        <v>111131</v>
      </c>
      <c r="C69" s="4" t="s">
        <v>75</v>
      </c>
      <c r="D69" s="4">
        <v>12</v>
      </c>
      <c r="E69" s="5">
        <v>8</v>
      </c>
      <c r="F69" s="6">
        <v>481.09632499999998</v>
      </c>
      <c r="G69" s="7"/>
      <c r="H69" s="49"/>
      <c r="I69" s="49"/>
      <c r="J69" s="50">
        <f t="shared" si="31"/>
        <v>0</v>
      </c>
      <c r="K69" s="9"/>
      <c r="L69" s="49"/>
      <c r="M69" s="49"/>
      <c r="N69" s="50">
        <f t="shared" ref="N69:N108" si="32">(M69/E69)+L69</f>
        <v>0</v>
      </c>
      <c r="O69" s="46"/>
      <c r="P69" s="49"/>
      <c r="Q69" s="49"/>
      <c r="R69" s="50">
        <f t="shared" ref="R69:R108" si="33">(Q69/E69)+P69</f>
        <v>0</v>
      </c>
      <c r="T69" s="49"/>
      <c r="U69" s="49"/>
      <c r="V69" s="50">
        <f t="shared" ref="V69:V108" si="34">(U69/E69)+T69</f>
        <v>0</v>
      </c>
      <c r="X69" s="49"/>
      <c r="Y69" s="49"/>
      <c r="Z69" s="50">
        <f t="shared" ref="Z69:Z108" si="35">(Y69/E69)+X69</f>
        <v>0</v>
      </c>
      <c r="AB69" s="49"/>
      <c r="AC69" s="49"/>
      <c r="AD69" s="50">
        <f t="shared" ref="AD69:AD108" si="36">(AC69/E69)+AB69</f>
        <v>0</v>
      </c>
      <c r="AF69" s="49"/>
      <c r="AG69" s="49"/>
      <c r="AH69" s="50">
        <f t="shared" ref="AH69:AH108" si="37">(AG69/E69)+AF69</f>
        <v>0</v>
      </c>
      <c r="AJ69" s="49"/>
      <c r="AK69" s="49"/>
      <c r="AL69" s="50">
        <f t="shared" ref="AL69:AL108" si="38">(AK69/E69)+AJ69</f>
        <v>0</v>
      </c>
      <c r="AN69" s="49"/>
      <c r="AO69" s="49"/>
      <c r="AP69" s="50">
        <f t="shared" ref="AP69:AP108" si="39">(AO69/E69)+AN69</f>
        <v>0</v>
      </c>
      <c r="AR69" s="49"/>
      <c r="AS69" s="49"/>
      <c r="AT69" s="50">
        <f t="shared" ref="AT69:AT108" si="40">(AS69/E69)+AR69</f>
        <v>0</v>
      </c>
      <c r="AV69" s="49"/>
      <c r="AW69" s="49"/>
      <c r="AX69" s="50">
        <f t="shared" ref="AX69:AX108" si="41">(AW69/E69)+AV69</f>
        <v>0</v>
      </c>
      <c r="AZ69" s="49"/>
      <c r="BA69" s="49"/>
      <c r="BB69" s="50">
        <f t="shared" ref="BB69:BB108" si="42">(BA69/E69)+AZ69</f>
        <v>0</v>
      </c>
      <c r="BD69" s="49"/>
      <c r="BE69" s="49"/>
      <c r="BF69" s="50">
        <f t="shared" ref="BF69:BF108" si="43">(BE69/E69)+BD69</f>
        <v>0</v>
      </c>
      <c r="BH69" s="49"/>
      <c r="BI69" s="49"/>
      <c r="BJ69" s="50">
        <f t="shared" ref="BJ69:BJ108" si="44">(BI69/E69)+BH69</f>
        <v>0</v>
      </c>
      <c r="BL69" s="49"/>
      <c r="BM69" s="49"/>
      <c r="BN69" s="50">
        <f t="shared" ref="BN69:BN108" si="45">(BM69/E69)+BL69</f>
        <v>0</v>
      </c>
      <c r="BP69" s="49"/>
      <c r="BQ69" s="49"/>
      <c r="BR69" s="50">
        <f t="shared" ref="BR69:BR108" si="46">(BQ69/E69)+BP69</f>
        <v>0</v>
      </c>
      <c r="BT69" s="49"/>
      <c r="BU69" s="49"/>
      <c r="BV69" s="50">
        <f t="shared" ref="BV69:BV108" si="47">(BU69/E69)+BT69</f>
        <v>0</v>
      </c>
      <c r="BX69" s="49"/>
      <c r="BY69" s="49"/>
      <c r="BZ69" s="50">
        <f t="shared" ref="BZ69:BZ108" si="48">(BY69/E69)+BX69</f>
        <v>0</v>
      </c>
      <c r="CB69" s="49"/>
      <c r="CC69" s="49"/>
      <c r="CD69" s="50">
        <f t="shared" ref="CD69:CD108" si="49">(CC69/E69)+CB69</f>
        <v>0</v>
      </c>
      <c r="CF69" s="49"/>
      <c r="CG69" s="49"/>
      <c r="CH69" s="50">
        <f t="shared" ref="CH69:CH108" si="50">(CG69/E69)+CF69</f>
        <v>0</v>
      </c>
      <c r="CJ69" s="49"/>
      <c r="CK69" s="49"/>
      <c r="CL69" s="50">
        <f t="shared" ref="CL69:CL108" si="51">(CK69/E69)+CJ69</f>
        <v>0</v>
      </c>
      <c r="CN69" s="49"/>
      <c r="CO69" s="49"/>
      <c r="CP69" s="50">
        <f t="shared" ref="CP69:CP108" si="52">(CO69/E69)+CN69</f>
        <v>0</v>
      </c>
      <c r="CR69" s="49"/>
      <c r="CS69" s="49"/>
      <c r="CT69" s="50">
        <f t="shared" ref="CT69:CT108" si="53">(CS69/E69)+CR69</f>
        <v>0</v>
      </c>
      <c r="CV69" s="49"/>
      <c r="CW69" s="49"/>
      <c r="CX69" s="50">
        <f t="shared" ref="CX69:CX108" si="54">(CW69/E69)+CV69</f>
        <v>0</v>
      </c>
      <c r="CZ69" s="49"/>
      <c r="DA69" s="49"/>
      <c r="DB69" s="50">
        <f t="shared" ref="DB69:DB108" si="55">(DA69/E69)+CZ69</f>
        <v>0</v>
      </c>
      <c r="DD69" s="49"/>
      <c r="DE69" s="49"/>
      <c r="DF69" s="50">
        <f t="shared" ref="DF69:DF108" si="56">(DE69/E69)+DD69</f>
        <v>0</v>
      </c>
      <c r="DH69" s="49"/>
      <c r="DI69" s="49"/>
      <c r="DJ69" s="50">
        <f t="shared" ref="DJ69:DJ108" si="57">(DI69/E69)+DH69</f>
        <v>0</v>
      </c>
      <c r="DL69" s="49"/>
      <c r="DM69" s="49"/>
      <c r="DN69" s="50">
        <f t="shared" ref="DN69:DN108" si="58">(DM69/E69)+DL69</f>
        <v>0</v>
      </c>
      <c r="DP69" s="49"/>
      <c r="DQ69" s="49"/>
      <c r="DR69" s="50">
        <f t="shared" ref="DR69:DR108" si="59">(DQ69/E69)+DP69</f>
        <v>0</v>
      </c>
      <c r="DT69" s="49"/>
      <c r="DU69" s="49"/>
      <c r="DV69" s="50">
        <f t="shared" ref="DV69:DV108" si="60">(DU69/E69)+DT69</f>
        <v>0</v>
      </c>
      <c r="DX69" s="49"/>
      <c r="DY69" s="49"/>
      <c r="DZ69" s="50">
        <f t="shared" ref="DZ69:DZ108" si="61">(DY69/E69)+DX69</f>
        <v>0</v>
      </c>
      <c r="EB69" s="49">
        <f t="shared" ref="EB69:ED108" si="62">H69+L69+P69+T69+X69+AB69+AF69+AJ69+AN69+AR69+AV69+AZ69+BD69+BH69+BL69+BP69+BT69+BX69+CB69+CF69+CJ69+CN69+CR69+CV69+CZ69+DD69+DH69+DL69+DP69+DT69+DX69</f>
        <v>0</v>
      </c>
      <c r="EC69" s="49">
        <f t="shared" si="62"/>
        <v>0</v>
      </c>
      <c r="ED69" s="49">
        <f t="shared" si="62"/>
        <v>0</v>
      </c>
    </row>
    <row r="70" spans="2:134" ht="11" customHeight="1" x14ac:dyDescent="0.35">
      <c r="B70" s="4">
        <v>111202</v>
      </c>
      <c r="C70" s="4" t="s">
        <v>76</v>
      </c>
      <c r="D70" s="4">
        <v>25</v>
      </c>
      <c r="E70" s="5">
        <v>36</v>
      </c>
      <c r="F70" s="6">
        <v>99.122261960000003</v>
      </c>
      <c r="G70" s="7"/>
      <c r="H70" s="49"/>
      <c r="I70" s="49"/>
      <c r="J70" s="50">
        <f t="shared" si="31"/>
        <v>0</v>
      </c>
      <c r="K70" s="9"/>
      <c r="L70" s="49"/>
      <c r="M70" s="49"/>
      <c r="N70" s="50">
        <f t="shared" si="32"/>
        <v>0</v>
      </c>
      <c r="O70" s="46"/>
      <c r="P70" s="49"/>
      <c r="Q70" s="49"/>
      <c r="R70" s="50">
        <f t="shared" si="33"/>
        <v>0</v>
      </c>
      <c r="T70" s="49"/>
      <c r="U70" s="49"/>
      <c r="V70" s="50">
        <f t="shared" si="34"/>
        <v>0</v>
      </c>
      <c r="X70" s="49"/>
      <c r="Y70" s="49"/>
      <c r="Z70" s="50">
        <f t="shared" si="35"/>
        <v>0</v>
      </c>
      <c r="AB70" s="49"/>
      <c r="AC70" s="49"/>
      <c r="AD70" s="50">
        <f t="shared" si="36"/>
        <v>0</v>
      </c>
      <c r="AF70" s="49"/>
      <c r="AG70" s="49"/>
      <c r="AH70" s="50">
        <f t="shared" si="37"/>
        <v>0</v>
      </c>
      <c r="AJ70" s="49"/>
      <c r="AK70" s="49"/>
      <c r="AL70" s="50">
        <f t="shared" si="38"/>
        <v>0</v>
      </c>
      <c r="AN70" s="49"/>
      <c r="AO70" s="49"/>
      <c r="AP70" s="50">
        <f t="shared" si="39"/>
        <v>0</v>
      </c>
      <c r="AR70" s="49"/>
      <c r="AS70" s="49"/>
      <c r="AT70" s="50">
        <f t="shared" si="40"/>
        <v>0</v>
      </c>
      <c r="AV70" s="49"/>
      <c r="AW70" s="49"/>
      <c r="AX70" s="50">
        <f t="shared" si="41"/>
        <v>0</v>
      </c>
      <c r="AZ70" s="49"/>
      <c r="BA70" s="49"/>
      <c r="BB70" s="50">
        <f t="shared" si="42"/>
        <v>0</v>
      </c>
      <c r="BD70" s="49"/>
      <c r="BE70" s="49"/>
      <c r="BF70" s="50">
        <f t="shared" si="43"/>
        <v>0</v>
      </c>
      <c r="BH70" s="49"/>
      <c r="BI70" s="49"/>
      <c r="BJ70" s="50">
        <f t="shared" si="44"/>
        <v>0</v>
      </c>
      <c r="BL70" s="49"/>
      <c r="BM70" s="49"/>
      <c r="BN70" s="50">
        <f t="shared" si="45"/>
        <v>0</v>
      </c>
      <c r="BP70" s="49"/>
      <c r="BQ70" s="49"/>
      <c r="BR70" s="50">
        <f t="shared" si="46"/>
        <v>0</v>
      </c>
      <c r="BT70" s="49"/>
      <c r="BU70" s="49"/>
      <c r="BV70" s="50">
        <f t="shared" si="47"/>
        <v>0</v>
      </c>
      <c r="BX70" s="49"/>
      <c r="BY70" s="49"/>
      <c r="BZ70" s="50">
        <f t="shared" si="48"/>
        <v>0</v>
      </c>
      <c r="CB70" s="49"/>
      <c r="CC70" s="49"/>
      <c r="CD70" s="50">
        <f t="shared" si="49"/>
        <v>0</v>
      </c>
      <c r="CF70" s="49"/>
      <c r="CG70" s="49"/>
      <c r="CH70" s="50">
        <f t="shared" si="50"/>
        <v>0</v>
      </c>
      <c r="CJ70" s="49"/>
      <c r="CK70" s="49"/>
      <c r="CL70" s="50">
        <f t="shared" si="51"/>
        <v>0</v>
      </c>
      <c r="CN70" s="49"/>
      <c r="CO70" s="49"/>
      <c r="CP70" s="50">
        <f t="shared" si="52"/>
        <v>0</v>
      </c>
      <c r="CR70" s="49"/>
      <c r="CS70" s="49"/>
      <c r="CT70" s="50">
        <f t="shared" si="53"/>
        <v>0</v>
      </c>
      <c r="CV70" s="49"/>
      <c r="CW70" s="49"/>
      <c r="CX70" s="50">
        <f t="shared" si="54"/>
        <v>0</v>
      </c>
      <c r="CZ70" s="49"/>
      <c r="DA70" s="49"/>
      <c r="DB70" s="50">
        <f t="shared" si="55"/>
        <v>0</v>
      </c>
      <c r="DD70" s="49"/>
      <c r="DE70" s="49"/>
      <c r="DF70" s="50">
        <f t="shared" si="56"/>
        <v>0</v>
      </c>
      <c r="DH70" s="49"/>
      <c r="DI70" s="49"/>
      <c r="DJ70" s="50">
        <f t="shared" si="57"/>
        <v>0</v>
      </c>
      <c r="DL70" s="49"/>
      <c r="DM70" s="49"/>
      <c r="DN70" s="50">
        <f t="shared" si="58"/>
        <v>0</v>
      </c>
      <c r="DP70" s="49"/>
      <c r="DQ70" s="49"/>
      <c r="DR70" s="50">
        <f t="shared" si="59"/>
        <v>0</v>
      </c>
      <c r="DT70" s="49"/>
      <c r="DU70" s="49"/>
      <c r="DV70" s="50">
        <f t="shared" si="60"/>
        <v>0</v>
      </c>
      <c r="DX70" s="49"/>
      <c r="DY70" s="49"/>
      <c r="DZ70" s="50">
        <f t="shared" si="61"/>
        <v>0</v>
      </c>
      <c r="EB70" s="49">
        <f t="shared" si="62"/>
        <v>0</v>
      </c>
      <c r="EC70" s="49">
        <f t="shared" si="62"/>
        <v>0</v>
      </c>
      <c r="ED70" s="49">
        <f t="shared" si="62"/>
        <v>0</v>
      </c>
    </row>
    <row r="71" spans="2:134" ht="11" customHeight="1" x14ac:dyDescent="0.35">
      <c r="B71" s="4">
        <v>111203</v>
      </c>
      <c r="C71" s="4" t="s">
        <v>77</v>
      </c>
      <c r="D71" s="4">
        <v>50</v>
      </c>
      <c r="E71" s="5">
        <v>18</v>
      </c>
      <c r="F71" s="6">
        <v>198.24524392000001</v>
      </c>
      <c r="G71" s="7"/>
      <c r="H71" s="49"/>
      <c r="I71" s="49"/>
      <c r="J71" s="50">
        <f t="shared" ref="J71:J108" si="63">(I71/E71)+H71</f>
        <v>0</v>
      </c>
      <c r="K71" s="9"/>
      <c r="L71" s="49"/>
      <c r="M71" s="49"/>
      <c r="N71" s="50">
        <f t="shared" si="32"/>
        <v>0</v>
      </c>
      <c r="O71" s="46"/>
      <c r="P71" s="49"/>
      <c r="Q71" s="49"/>
      <c r="R71" s="50">
        <f t="shared" si="33"/>
        <v>0</v>
      </c>
      <c r="T71" s="49"/>
      <c r="U71" s="49"/>
      <c r="V71" s="50">
        <f t="shared" si="34"/>
        <v>0</v>
      </c>
      <c r="X71" s="49"/>
      <c r="Y71" s="49"/>
      <c r="Z71" s="50">
        <f t="shared" si="35"/>
        <v>0</v>
      </c>
      <c r="AB71" s="49"/>
      <c r="AC71" s="49"/>
      <c r="AD71" s="50">
        <f t="shared" si="36"/>
        <v>0</v>
      </c>
      <c r="AF71" s="49"/>
      <c r="AG71" s="49"/>
      <c r="AH71" s="50">
        <f t="shared" si="37"/>
        <v>0</v>
      </c>
      <c r="AJ71" s="49"/>
      <c r="AK71" s="49"/>
      <c r="AL71" s="50">
        <f t="shared" si="38"/>
        <v>0</v>
      </c>
      <c r="AN71" s="49"/>
      <c r="AO71" s="49"/>
      <c r="AP71" s="50">
        <f t="shared" si="39"/>
        <v>0</v>
      </c>
      <c r="AR71" s="49"/>
      <c r="AS71" s="49"/>
      <c r="AT71" s="50">
        <f t="shared" si="40"/>
        <v>0</v>
      </c>
      <c r="AV71" s="49"/>
      <c r="AW71" s="49"/>
      <c r="AX71" s="50">
        <f t="shared" si="41"/>
        <v>0</v>
      </c>
      <c r="AZ71" s="49"/>
      <c r="BA71" s="49"/>
      <c r="BB71" s="50">
        <f t="shared" si="42"/>
        <v>0</v>
      </c>
      <c r="BD71" s="49"/>
      <c r="BE71" s="49"/>
      <c r="BF71" s="50">
        <f t="shared" si="43"/>
        <v>0</v>
      </c>
      <c r="BH71" s="49"/>
      <c r="BI71" s="49"/>
      <c r="BJ71" s="50">
        <f t="shared" si="44"/>
        <v>0</v>
      </c>
      <c r="BL71" s="49"/>
      <c r="BM71" s="49"/>
      <c r="BN71" s="50">
        <f t="shared" si="45"/>
        <v>0</v>
      </c>
      <c r="BP71" s="49"/>
      <c r="BQ71" s="49"/>
      <c r="BR71" s="50">
        <f t="shared" si="46"/>
        <v>0</v>
      </c>
      <c r="BT71" s="49"/>
      <c r="BU71" s="49"/>
      <c r="BV71" s="50">
        <f t="shared" si="47"/>
        <v>0</v>
      </c>
      <c r="BX71" s="49"/>
      <c r="BY71" s="49"/>
      <c r="BZ71" s="50">
        <f t="shared" si="48"/>
        <v>0</v>
      </c>
      <c r="CB71" s="49"/>
      <c r="CC71" s="49"/>
      <c r="CD71" s="50">
        <f t="shared" si="49"/>
        <v>0</v>
      </c>
      <c r="CF71" s="49"/>
      <c r="CG71" s="49"/>
      <c r="CH71" s="50">
        <f t="shared" si="50"/>
        <v>0</v>
      </c>
      <c r="CJ71" s="49"/>
      <c r="CK71" s="49"/>
      <c r="CL71" s="50">
        <f t="shared" si="51"/>
        <v>0</v>
      </c>
      <c r="CN71" s="49"/>
      <c r="CO71" s="49"/>
      <c r="CP71" s="50">
        <f t="shared" si="52"/>
        <v>0</v>
      </c>
      <c r="CR71" s="49"/>
      <c r="CS71" s="49"/>
      <c r="CT71" s="50">
        <f t="shared" si="53"/>
        <v>0</v>
      </c>
      <c r="CV71" s="49"/>
      <c r="CW71" s="49"/>
      <c r="CX71" s="50">
        <f t="shared" si="54"/>
        <v>0</v>
      </c>
      <c r="CZ71" s="49"/>
      <c r="DA71" s="49"/>
      <c r="DB71" s="50">
        <f t="shared" si="55"/>
        <v>0</v>
      </c>
      <c r="DD71" s="49"/>
      <c r="DE71" s="49"/>
      <c r="DF71" s="50">
        <f t="shared" si="56"/>
        <v>0</v>
      </c>
      <c r="DH71" s="49"/>
      <c r="DI71" s="49"/>
      <c r="DJ71" s="50">
        <f t="shared" si="57"/>
        <v>0</v>
      </c>
      <c r="DL71" s="49"/>
      <c r="DM71" s="49"/>
      <c r="DN71" s="50">
        <f t="shared" si="58"/>
        <v>0</v>
      </c>
      <c r="DP71" s="49"/>
      <c r="DQ71" s="49"/>
      <c r="DR71" s="50">
        <f t="shared" si="59"/>
        <v>0</v>
      </c>
      <c r="DT71" s="49"/>
      <c r="DU71" s="49"/>
      <c r="DV71" s="50">
        <f t="shared" si="60"/>
        <v>0</v>
      </c>
      <c r="DX71" s="49"/>
      <c r="DY71" s="49"/>
      <c r="DZ71" s="50">
        <f t="shared" si="61"/>
        <v>0</v>
      </c>
      <c r="EB71" s="49">
        <f t="shared" si="62"/>
        <v>0</v>
      </c>
      <c r="EC71" s="49">
        <f t="shared" si="62"/>
        <v>0</v>
      </c>
      <c r="ED71" s="49">
        <f t="shared" si="62"/>
        <v>0</v>
      </c>
    </row>
    <row r="72" spans="2:134" ht="11" customHeight="1" x14ac:dyDescent="0.35">
      <c r="B72" s="4">
        <v>111212</v>
      </c>
      <c r="C72" s="4" t="s">
        <v>78</v>
      </c>
      <c r="D72" s="4">
        <v>25</v>
      </c>
      <c r="E72" s="5">
        <v>36</v>
      </c>
      <c r="F72" s="6">
        <v>99.122621960000004</v>
      </c>
      <c r="G72" s="7"/>
      <c r="H72" s="49"/>
      <c r="I72" s="49"/>
      <c r="J72" s="50">
        <f t="shared" si="63"/>
        <v>0</v>
      </c>
      <c r="K72" s="9"/>
      <c r="L72" s="49"/>
      <c r="M72" s="49"/>
      <c r="N72" s="50">
        <f t="shared" si="32"/>
        <v>0</v>
      </c>
      <c r="O72" s="46"/>
      <c r="P72" s="49"/>
      <c r="Q72" s="49"/>
      <c r="R72" s="50">
        <f t="shared" si="33"/>
        <v>0</v>
      </c>
      <c r="T72" s="49"/>
      <c r="U72" s="49"/>
      <c r="V72" s="50">
        <f t="shared" si="34"/>
        <v>0</v>
      </c>
      <c r="X72" s="49"/>
      <c r="Y72" s="49"/>
      <c r="Z72" s="50">
        <f t="shared" si="35"/>
        <v>0</v>
      </c>
      <c r="AB72" s="49"/>
      <c r="AC72" s="49"/>
      <c r="AD72" s="50">
        <f t="shared" si="36"/>
        <v>0</v>
      </c>
      <c r="AF72" s="49"/>
      <c r="AG72" s="49"/>
      <c r="AH72" s="50">
        <f t="shared" si="37"/>
        <v>0</v>
      </c>
      <c r="AJ72" s="49"/>
      <c r="AK72" s="49"/>
      <c r="AL72" s="50">
        <f t="shared" si="38"/>
        <v>0</v>
      </c>
      <c r="AN72" s="49"/>
      <c r="AO72" s="49"/>
      <c r="AP72" s="50">
        <f t="shared" si="39"/>
        <v>0</v>
      </c>
      <c r="AR72" s="49"/>
      <c r="AS72" s="49"/>
      <c r="AT72" s="50">
        <f t="shared" si="40"/>
        <v>0</v>
      </c>
      <c r="AV72" s="49"/>
      <c r="AW72" s="49"/>
      <c r="AX72" s="50">
        <f t="shared" si="41"/>
        <v>0</v>
      </c>
      <c r="AZ72" s="49"/>
      <c r="BA72" s="49"/>
      <c r="BB72" s="50">
        <f t="shared" si="42"/>
        <v>0</v>
      </c>
      <c r="BD72" s="49"/>
      <c r="BE72" s="49"/>
      <c r="BF72" s="50">
        <f t="shared" si="43"/>
        <v>0</v>
      </c>
      <c r="BH72" s="49"/>
      <c r="BI72" s="49"/>
      <c r="BJ72" s="50">
        <f t="shared" si="44"/>
        <v>0</v>
      </c>
      <c r="BL72" s="49"/>
      <c r="BM72" s="49"/>
      <c r="BN72" s="50">
        <f t="shared" si="45"/>
        <v>0</v>
      </c>
      <c r="BP72" s="49"/>
      <c r="BQ72" s="49"/>
      <c r="BR72" s="50">
        <f t="shared" si="46"/>
        <v>0</v>
      </c>
      <c r="BT72" s="49"/>
      <c r="BU72" s="49"/>
      <c r="BV72" s="50">
        <f t="shared" si="47"/>
        <v>0</v>
      </c>
      <c r="BX72" s="49"/>
      <c r="BY72" s="49"/>
      <c r="BZ72" s="50">
        <f t="shared" si="48"/>
        <v>0</v>
      </c>
      <c r="CB72" s="49"/>
      <c r="CC72" s="49"/>
      <c r="CD72" s="50">
        <f t="shared" si="49"/>
        <v>0</v>
      </c>
      <c r="CF72" s="49"/>
      <c r="CG72" s="49"/>
      <c r="CH72" s="50">
        <f t="shared" si="50"/>
        <v>0</v>
      </c>
      <c r="CJ72" s="49"/>
      <c r="CK72" s="49"/>
      <c r="CL72" s="50">
        <f t="shared" si="51"/>
        <v>0</v>
      </c>
      <c r="CN72" s="49"/>
      <c r="CO72" s="49"/>
      <c r="CP72" s="50">
        <f t="shared" si="52"/>
        <v>0</v>
      </c>
      <c r="CR72" s="49"/>
      <c r="CS72" s="49"/>
      <c r="CT72" s="50">
        <f t="shared" si="53"/>
        <v>0</v>
      </c>
      <c r="CV72" s="49"/>
      <c r="CW72" s="49"/>
      <c r="CX72" s="50">
        <f t="shared" si="54"/>
        <v>0</v>
      </c>
      <c r="CZ72" s="49"/>
      <c r="DA72" s="49"/>
      <c r="DB72" s="50">
        <f t="shared" si="55"/>
        <v>0</v>
      </c>
      <c r="DD72" s="49"/>
      <c r="DE72" s="49"/>
      <c r="DF72" s="50">
        <f t="shared" si="56"/>
        <v>0</v>
      </c>
      <c r="DH72" s="49"/>
      <c r="DI72" s="49"/>
      <c r="DJ72" s="50">
        <f t="shared" si="57"/>
        <v>0</v>
      </c>
      <c r="DL72" s="49"/>
      <c r="DM72" s="49"/>
      <c r="DN72" s="50">
        <f t="shared" si="58"/>
        <v>0</v>
      </c>
      <c r="DP72" s="49"/>
      <c r="DQ72" s="49"/>
      <c r="DR72" s="50">
        <f t="shared" si="59"/>
        <v>0</v>
      </c>
      <c r="DT72" s="49"/>
      <c r="DU72" s="49"/>
      <c r="DV72" s="50">
        <f t="shared" si="60"/>
        <v>0</v>
      </c>
      <c r="DX72" s="49"/>
      <c r="DY72" s="49"/>
      <c r="DZ72" s="50">
        <f t="shared" si="61"/>
        <v>0</v>
      </c>
      <c r="EB72" s="49">
        <f t="shared" si="62"/>
        <v>0</v>
      </c>
      <c r="EC72" s="49">
        <f t="shared" si="62"/>
        <v>0</v>
      </c>
      <c r="ED72" s="49">
        <f t="shared" si="62"/>
        <v>0</v>
      </c>
    </row>
    <row r="73" spans="2:134" ht="11" customHeight="1" x14ac:dyDescent="0.35">
      <c r="B73" s="4">
        <v>111213</v>
      </c>
      <c r="C73" s="4" t="s">
        <v>79</v>
      </c>
      <c r="D73" s="4">
        <v>50</v>
      </c>
      <c r="E73" s="5">
        <v>18</v>
      </c>
      <c r="F73" s="6">
        <v>198.24524392000001</v>
      </c>
      <c r="G73" s="7"/>
      <c r="H73" s="49"/>
      <c r="I73" s="49"/>
      <c r="J73" s="50">
        <f t="shared" si="63"/>
        <v>0</v>
      </c>
      <c r="K73" s="9"/>
      <c r="L73" s="49"/>
      <c r="M73" s="49"/>
      <c r="N73" s="50">
        <f t="shared" si="32"/>
        <v>0</v>
      </c>
      <c r="O73" s="46"/>
      <c r="P73" s="49"/>
      <c r="Q73" s="49"/>
      <c r="R73" s="50">
        <f t="shared" si="33"/>
        <v>0</v>
      </c>
      <c r="T73" s="49"/>
      <c r="U73" s="49"/>
      <c r="V73" s="50">
        <f t="shared" si="34"/>
        <v>0</v>
      </c>
      <c r="X73" s="49"/>
      <c r="Y73" s="49"/>
      <c r="Z73" s="50">
        <f t="shared" si="35"/>
        <v>0</v>
      </c>
      <c r="AB73" s="49"/>
      <c r="AC73" s="49"/>
      <c r="AD73" s="50">
        <f t="shared" si="36"/>
        <v>0</v>
      </c>
      <c r="AF73" s="49"/>
      <c r="AG73" s="49"/>
      <c r="AH73" s="50">
        <f t="shared" si="37"/>
        <v>0</v>
      </c>
      <c r="AJ73" s="49"/>
      <c r="AK73" s="49"/>
      <c r="AL73" s="50">
        <f t="shared" si="38"/>
        <v>0</v>
      </c>
      <c r="AN73" s="49"/>
      <c r="AO73" s="49"/>
      <c r="AP73" s="50">
        <f t="shared" si="39"/>
        <v>0</v>
      </c>
      <c r="AR73" s="49"/>
      <c r="AS73" s="49"/>
      <c r="AT73" s="50">
        <f t="shared" si="40"/>
        <v>0</v>
      </c>
      <c r="AV73" s="49"/>
      <c r="AW73" s="49"/>
      <c r="AX73" s="50">
        <f t="shared" si="41"/>
        <v>0</v>
      </c>
      <c r="AZ73" s="49"/>
      <c r="BA73" s="49"/>
      <c r="BB73" s="50">
        <f t="shared" si="42"/>
        <v>0</v>
      </c>
      <c r="BD73" s="49"/>
      <c r="BE73" s="49"/>
      <c r="BF73" s="50">
        <f t="shared" si="43"/>
        <v>0</v>
      </c>
      <c r="BH73" s="49"/>
      <c r="BI73" s="49"/>
      <c r="BJ73" s="50">
        <f t="shared" si="44"/>
        <v>0</v>
      </c>
      <c r="BL73" s="49"/>
      <c r="BM73" s="49"/>
      <c r="BN73" s="50">
        <f t="shared" si="45"/>
        <v>0</v>
      </c>
      <c r="BP73" s="49"/>
      <c r="BQ73" s="49"/>
      <c r="BR73" s="50">
        <f t="shared" si="46"/>
        <v>0</v>
      </c>
      <c r="BT73" s="49"/>
      <c r="BU73" s="49"/>
      <c r="BV73" s="50">
        <f t="shared" si="47"/>
        <v>0</v>
      </c>
      <c r="BX73" s="49"/>
      <c r="BY73" s="49"/>
      <c r="BZ73" s="50">
        <f t="shared" si="48"/>
        <v>0</v>
      </c>
      <c r="CB73" s="49"/>
      <c r="CC73" s="49"/>
      <c r="CD73" s="50">
        <f t="shared" si="49"/>
        <v>0</v>
      </c>
      <c r="CF73" s="49"/>
      <c r="CG73" s="49"/>
      <c r="CH73" s="50">
        <f t="shared" si="50"/>
        <v>0</v>
      </c>
      <c r="CJ73" s="49"/>
      <c r="CK73" s="49"/>
      <c r="CL73" s="50">
        <f t="shared" si="51"/>
        <v>0</v>
      </c>
      <c r="CN73" s="49"/>
      <c r="CO73" s="49"/>
      <c r="CP73" s="50">
        <f t="shared" si="52"/>
        <v>0</v>
      </c>
      <c r="CR73" s="49"/>
      <c r="CS73" s="49"/>
      <c r="CT73" s="50">
        <f t="shared" si="53"/>
        <v>0</v>
      </c>
      <c r="CV73" s="49"/>
      <c r="CW73" s="49"/>
      <c r="CX73" s="50">
        <f t="shared" si="54"/>
        <v>0</v>
      </c>
      <c r="CZ73" s="49"/>
      <c r="DA73" s="49"/>
      <c r="DB73" s="50">
        <f t="shared" si="55"/>
        <v>0</v>
      </c>
      <c r="DD73" s="49"/>
      <c r="DE73" s="49"/>
      <c r="DF73" s="50">
        <f t="shared" si="56"/>
        <v>0</v>
      </c>
      <c r="DH73" s="49"/>
      <c r="DI73" s="49"/>
      <c r="DJ73" s="50">
        <f t="shared" si="57"/>
        <v>0</v>
      </c>
      <c r="DL73" s="49"/>
      <c r="DM73" s="49"/>
      <c r="DN73" s="50">
        <f t="shared" si="58"/>
        <v>0</v>
      </c>
      <c r="DP73" s="49"/>
      <c r="DQ73" s="49"/>
      <c r="DR73" s="50">
        <f t="shared" si="59"/>
        <v>0</v>
      </c>
      <c r="DT73" s="49"/>
      <c r="DU73" s="49"/>
      <c r="DV73" s="50">
        <f t="shared" si="60"/>
        <v>0</v>
      </c>
      <c r="DX73" s="49"/>
      <c r="DY73" s="49"/>
      <c r="DZ73" s="50">
        <f t="shared" si="61"/>
        <v>0</v>
      </c>
      <c r="EB73" s="49">
        <f t="shared" si="62"/>
        <v>0</v>
      </c>
      <c r="EC73" s="49">
        <f t="shared" si="62"/>
        <v>0</v>
      </c>
      <c r="ED73" s="49">
        <f t="shared" si="62"/>
        <v>0</v>
      </c>
    </row>
    <row r="74" spans="2:134" ht="11" customHeight="1" x14ac:dyDescent="0.35">
      <c r="B74" s="4">
        <v>111222</v>
      </c>
      <c r="C74" s="4" t="s">
        <v>80</v>
      </c>
      <c r="D74" s="4">
        <v>25</v>
      </c>
      <c r="E74" s="5">
        <v>36</v>
      </c>
      <c r="F74" s="6">
        <v>99.122621960000004</v>
      </c>
      <c r="G74" s="7"/>
      <c r="H74" s="49"/>
      <c r="I74" s="49"/>
      <c r="J74" s="50">
        <f t="shared" si="63"/>
        <v>0</v>
      </c>
      <c r="K74" s="9"/>
      <c r="L74" s="49"/>
      <c r="M74" s="49"/>
      <c r="N74" s="50">
        <f t="shared" si="32"/>
        <v>0</v>
      </c>
      <c r="O74" s="46"/>
      <c r="P74" s="49"/>
      <c r="Q74" s="49"/>
      <c r="R74" s="50">
        <f t="shared" si="33"/>
        <v>0</v>
      </c>
      <c r="T74" s="49"/>
      <c r="U74" s="49"/>
      <c r="V74" s="50">
        <f t="shared" si="34"/>
        <v>0</v>
      </c>
      <c r="X74" s="49"/>
      <c r="Y74" s="49"/>
      <c r="Z74" s="50">
        <f t="shared" si="35"/>
        <v>0</v>
      </c>
      <c r="AB74" s="49"/>
      <c r="AC74" s="49"/>
      <c r="AD74" s="50">
        <f t="shared" si="36"/>
        <v>0</v>
      </c>
      <c r="AF74" s="49"/>
      <c r="AG74" s="49"/>
      <c r="AH74" s="50">
        <f t="shared" si="37"/>
        <v>0</v>
      </c>
      <c r="AJ74" s="49"/>
      <c r="AK74" s="49"/>
      <c r="AL74" s="50">
        <f t="shared" si="38"/>
        <v>0</v>
      </c>
      <c r="AN74" s="49"/>
      <c r="AO74" s="49"/>
      <c r="AP74" s="50">
        <f t="shared" si="39"/>
        <v>0</v>
      </c>
      <c r="AR74" s="49"/>
      <c r="AS74" s="49"/>
      <c r="AT74" s="50">
        <f t="shared" si="40"/>
        <v>0</v>
      </c>
      <c r="AV74" s="49"/>
      <c r="AW74" s="49"/>
      <c r="AX74" s="50">
        <f t="shared" si="41"/>
        <v>0</v>
      </c>
      <c r="AZ74" s="49"/>
      <c r="BA74" s="49"/>
      <c r="BB74" s="50">
        <f t="shared" si="42"/>
        <v>0</v>
      </c>
      <c r="BD74" s="49"/>
      <c r="BE74" s="49"/>
      <c r="BF74" s="50">
        <f t="shared" si="43"/>
        <v>0</v>
      </c>
      <c r="BH74" s="49"/>
      <c r="BI74" s="49"/>
      <c r="BJ74" s="50">
        <f t="shared" si="44"/>
        <v>0</v>
      </c>
      <c r="BL74" s="49"/>
      <c r="BM74" s="49"/>
      <c r="BN74" s="50">
        <f t="shared" si="45"/>
        <v>0</v>
      </c>
      <c r="BP74" s="49"/>
      <c r="BQ74" s="49"/>
      <c r="BR74" s="50">
        <f t="shared" si="46"/>
        <v>0</v>
      </c>
      <c r="BT74" s="49"/>
      <c r="BU74" s="49"/>
      <c r="BV74" s="50">
        <f t="shared" si="47"/>
        <v>0</v>
      </c>
      <c r="BX74" s="49"/>
      <c r="BY74" s="49"/>
      <c r="BZ74" s="50">
        <f t="shared" si="48"/>
        <v>0</v>
      </c>
      <c r="CB74" s="49"/>
      <c r="CC74" s="49"/>
      <c r="CD74" s="50">
        <f t="shared" si="49"/>
        <v>0</v>
      </c>
      <c r="CF74" s="49"/>
      <c r="CG74" s="49"/>
      <c r="CH74" s="50">
        <f t="shared" si="50"/>
        <v>0</v>
      </c>
      <c r="CJ74" s="49"/>
      <c r="CK74" s="49"/>
      <c r="CL74" s="50">
        <f t="shared" si="51"/>
        <v>0</v>
      </c>
      <c r="CN74" s="49"/>
      <c r="CO74" s="49"/>
      <c r="CP74" s="50">
        <f t="shared" si="52"/>
        <v>0</v>
      </c>
      <c r="CR74" s="49"/>
      <c r="CS74" s="49"/>
      <c r="CT74" s="50">
        <f t="shared" si="53"/>
        <v>0</v>
      </c>
      <c r="CV74" s="49"/>
      <c r="CW74" s="49"/>
      <c r="CX74" s="50">
        <f t="shared" si="54"/>
        <v>0</v>
      </c>
      <c r="CZ74" s="49"/>
      <c r="DA74" s="49"/>
      <c r="DB74" s="50">
        <f t="shared" si="55"/>
        <v>0</v>
      </c>
      <c r="DD74" s="49"/>
      <c r="DE74" s="49"/>
      <c r="DF74" s="50">
        <f t="shared" si="56"/>
        <v>0</v>
      </c>
      <c r="DH74" s="49"/>
      <c r="DI74" s="49"/>
      <c r="DJ74" s="50">
        <f t="shared" si="57"/>
        <v>0</v>
      </c>
      <c r="DL74" s="49"/>
      <c r="DM74" s="49"/>
      <c r="DN74" s="50">
        <f t="shared" si="58"/>
        <v>0</v>
      </c>
      <c r="DP74" s="49"/>
      <c r="DQ74" s="49"/>
      <c r="DR74" s="50">
        <f t="shared" si="59"/>
        <v>0</v>
      </c>
      <c r="DT74" s="49"/>
      <c r="DU74" s="49"/>
      <c r="DV74" s="50">
        <f t="shared" si="60"/>
        <v>0</v>
      </c>
      <c r="DX74" s="49"/>
      <c r="DY74" s="49"/>
      <c r="DZ74" s="50">
        <f t="shared" si="61"/>
        <v>0</v>
      </c>
      <c r="EB74" s="49">
        <f t="shared" si="62"/>
        <v>0</v>
      </c>
      <c r="EC74" s="49">
        <f t="shared" si="62"/>
        <v>0</v>
      </c>
      <c r="ED74" s="49">
        <f t="shared" si="62"/>
        <v>0</v>
      </c>
    </row>
    <row r="75" spans="2:134" ht="11" customHeight="1" x14ac:dyDescent="0.35">
      <c r="B75" s="4">
        <v>111223</v>
      </c>
      <c r="C75" s="4" t="s">
        <v>81</v>
      </c>
      <c r="D75" s="4">
        <v>50</v>
      </c>
      <c r="E75" s="5">
        <v>18</v>
      </c>
      <c r="F75" s="6">
        <v>198.24524392000001</v>
      </c>
      <c r="G75" s="7"/>
      <c r="H75" s="49"/>
      <c r="I75" s="49"/>
      <c r="J75" s="50">
        <f t="shared" si="63"/>
        <v>0</v>
      </c>
      <c r="K75" s="9"/>
      <c r="L75" s="49"/>
      <c r="M75" s="49"/>
      <c r="N75" s="50">
        <f t="shared" si="32"/>
        <v>0</v>
      </c>
      <c r="O75" s="46"/>
      <c r="P75" s="49"/>
      <c r="Q75" s="49"/>
      <c r="R75" s="50">
        <f t="shared" si="33"/>
        <v>0</v>
      </c>
      <c r="T75" s="49"/>
      <c r="U75" s="49"/>
      <c r="V75" s="50">
        <f t="shared" si="34"/>
        <v>0</v>
      </c>
      <c r="X75" s="49"/>
      <c r="Y75" s="49"/>
      <c r="Z75" s="50">
        <f t="shared" si="35"/>
        <v>0</v>
      </c>
      <c r="AB75" s="49"/>
      <c r="AC75" s="49"/>
      <c r="AD75" s="50">
        <f t="shared" si="36"/>
        <v>0</v>
      </c>
      <c r="AF75" s="49"/>
      <c r="AG75" s="49"/>
      <c r="AH75" s="50">
        <f t="shared" si="37"/>
        <v>0</v>
      </c>
      <c r="AJ75" s="49"/>
      <c r="AK75" s="49"/>
      <c r="AL75" s="50">
        <f t="shared" si="38"/>
        <v>0</v>
      </c>
      <c r="AN75" s="49"/>
      <c r="AO75" s="49"/>
      <c r="AP75" s="50">
        <f t="shared" si="39"/>
        <v>0</v>
      </c>
      <c r="AR75" s="49"/>
      <c r="AS75" s="49"/>
      <c r="AT75" s="50">
        <f t="shared" si="40"/>
        <v>0</v>
      </c>
      <c r="AV75" s="49"/>
      <c r="AW75" s="49"/>
      <c r="AX75" s="50">
        <f t="shared" si="41"/>
        <v>0</v>
      </c>
      <c r="AZ75" s="49"/>
      <c r="BA75" s="49"/>
      <c r="BB75" s="50">
        <f t="shared" si="42"/>
        <v>0</v>
      </c>
      <c r="BD75" s="49"/>
      <c r="BE75" s="49"/>
      <c r="BF75" s="50">
        <f t="shared" si="43"/>
        <v>0</v>
      </c>
      <c r="BH75" s="49"/>
      <c r="BI75" s="49"/>
      <c r="BJ75" s="50">
        <f t="shared" si="44"/>
        <v>0</v>
      </c>
      <c r="BL75" s="49"/>
      <c r="BM75" s="49"/>
      <c r="BN75" s="50">
        <f t="shared" si="45"/>
        <v>0</v>
      </c>
      <c r="BP75" s="49"/>
      <c r="BQ75" s="49"/>
      <c r="BR75" s="50">
        <f t="shared" si="46"/>
        <v>0</v>
      </c>
      <c r="BT75" s="49"/>
      <c r="BU75" s="49"/>
      <c r="BV75" s="50">
        <f t="shared" si="47"/>
        <v>0</v>
      </c>
      <c r="BX75" s="49"/>
      <c r="BY75" s="49"/>
      <c r="BZ75" s="50">
        <f t="shared" si="48"/>
        <v>0</v>
      </c>
      <c r="CB75" s="49"/>
      <c r="CC75" s="49"/>
      <c r="CD75" s="50">
        <f t="shared" si="49"/>
        <v>0</v>
      </c>
      <c r="CF75" s="49"/>
      <c r="CG75" s="49"/>
      <c r="CH75" s="50">
        <f t="shared" si="50"/>
        <v>0</v>
      </c>
      <c r="CJ75" s="49"/>
      <c r="CK75" s="49"/>
      <c r="CL75" s="50">
        <f t="shared" si="51"/>
        <v>0</v>
      </c>
      <c r="CN75" s="49"/>
      <c r="CO75" s="49"/>
      <c r="CP75" s="50">
        <f t="shared" si="52"/>
        <v>0</v>
      </c>
      <c r="CR75" s="49"/>
      <c r="CS75" s="49"/>
      <c r="CT75" s="50">
        <f t="shared" si="53"/>
        <v>0</v>
      </c>
      <c r="CV75" s="49"/>
      <c r="CW75" s="49"/>
      <c r="CX75" s="50">
        <f t="shared" si="54"/>
        <v>0</v>
      </c>
      <c r="CZ75" s="49"/>
      <c r="DA75" s="49"/>
      <c r="DB75" s="50">
        <f t="shared" si="55"/>
        <v>0</v>
      </c>
      <c r="DD75" s="49"/>
      <c r="DE75" s="49"/>
      <c r="DF75" s="50">
        <f t="shared" si="56"/>
        <v>0</v>
      </c>
      <c r="DH75" s="49"/>
      <c r="DI75" s="49"/>
      <c r="DJ75" s="50">
        <f t="shared" si="57"/>
        <v>0</v>
      </c>
      <c r="DL75" s="49"/>
      <c r="DM75" s="49"/>
      <c r="DN75" s="50">
        <f t="shared" si="58"/>
        <v>0</v>
      </c>
      <c r="DP75" s="49"/>
      <c r="DQ75" s="49"/>
      <c r="DR75" s="50">
        <f t="shared" si="59"/>
        <v>0</v>
      </c>
      <c r="DT75" s="49"/>
      <c r="DU75" s="49"/>
      <c r="DV75" s="50">
        <f t="shared" si="60"/>
        <v>0</v>
      </c>
      <c r="DX75" s="49"/>
      <c r="DY75" s="49"/>
      <c r="DZ75" s="50">
        <f t="shared" si="61"/>
        <v>0</v>
      </c>
      <c r="EB75" s="49">
        <f t="shared" si="62"/>
        <v>0</v>
      </c>
      <c r="EC75" s="49">
        <f t="shared" si="62"/>
        <v>0</v>
      </c>
      <c r="ED75" s="49">
        <f t="shared" si="62"/>
        <v>0</v>
      </c>
    </row>
    <row r="76" spans="2:134" ht="11" customHeight="1" x14ac:dyDescent="0.35">
      <c r="B76" s="4">
        <v>111232</v>
      </c>
      <c r="C76" s="4" t="s">
        <v>82</v>
      </c>
      <c r="D76" s="4">
        <v>25</v>
      </c>
      <c r="E76" s="5">
        <v>36</v>
      </c>
      <c r="F76" s="6">
        <v>99.122621960000004</v>
      </c>
      <c r="G76" s="7"/>
      <c r="H76" s="49"/>
      <c r="I76" s="49"/>
      <c r="J76" s="50">
        <f t="shared" si="63"/>
        <v>0</v>
      </c>
      <c r="K76" s="9"/>
      <c r="L76" s="49"/>
      <c r="M76" s="49"/>
      <c r="N76" s="50">
        <f t="shared" si="32"/>
        <v>0</v>
      </c>
      <c r="O76" s="46"/>
      <c r="P76" s="49"/>
      <c r="Q76" s="49"/>
      <c r="R76" s="50">
        <f t="shared" si="33"/>
        <v>0</v>
      </c>
      <c r="T76" s="49"/>
      <c r="U76" s="49"/>
      <c r="V76" s="50">
        <f t="shared" si="34"/>
        <v>0</v>
      </c>
      <c r="X76" s="49"/>
      <c r="Y76" s="49"/>
      <c r="Z76" s="50">
        <f t="shared" si="35"/>
        <v>0</v>
      </c>
      <c r="AB76" s="49"/>
      <c r="AC76" s="49"/>
      <c r="AD76" s="50">
        <f t="shared" si="36"/>
        <v>0</v>
      </c>
      <c r="AF76" s="49"/>
      <c r="AG76" s="49"/>
      <c r="AH76" s="50">
        <f t="shared" si="37"/>
        <v>0</v>
      </c>
      <c r="AJ76" s="49"/>
      <c r="AK76" s="49"/>
      <c r="AL76" s="50">
        <f t="shared" si="38"/>
        <v>0</v>
      </c>
      <c r="AN76" s="49"/>
      <c r="AO76" s="49"/>
      <c r="AP76" s="50">
        <f t="shared" si="39"/>
        <v>0</v>
      </c>
      <c r="AR76" s="49"/>
      <c r="AS76" s="49"/>
      <c r="AT76" s="50">
        <f t="shared" si="40"/>
        <v>0</v>
      </c>
      <c r="AV76" s="49"/>
      <c r="AW76" s="49"/>
      <c r="AX76" s="50">
        <f t="shared" si="41"/>
        <v>0</v>
      </c>
      <c r="AZ76" s="49"/>
      <c r="BA76" s="49"/>
      <c r="BB76" s="50">
        <f t="shared" si="42"/>
        <v>0</v>
      </c>
      <c r="BD76" s="49"/>
      <c r="BE76" s="49"/>
      <c r="BF76" s="50">
        <f t="shared" si="43"/>
        <v>0</v>
      </c>
      <c r="BH76" s="49"/>
      <c r="BI76" s="49"/>
      <c r="BJ76" s="50">
        <f t="shared" si="44"/>
        <v>0</v>
      </c>
      <c r="BL76" s="49"/>
      <c r="BM76" s="49"/>
      <c r="BN76" s="50">
        <f t="shared" si="45"/>
        <v>0</v>
      </c>
      <c r="BP76" s="49"/>
      <c r="BQ76" s="49"/>
      <c r="BR76" s="50">
        <f t="shared" si="46"/>
        <v>0</v>
      </c>
      <c r="BT76" s="49"/>
      <c r="BU76" s="49"/>
      <c r="BV76" s="50">
        <f t="shared" si="47"/>
        <v>0</v>
      </c>
      <c r="BX76" s="49"/>
      <c r="BY76" s="49"/>
      <c r="BZ76" s="50">
        <f t="shared" si="48"/>
        <v>0</v>
      </c>
      <c r="CB76" s="49"/>
      <c r="CC76" s="49"/>
      <c r="CD76" s="50">
        <f t="shared" si="49"/>
        <v>0</v>
      </c>
      <c r="CF76" s="49"/>
      <c r="CG76" s="49"/>
      <c r="CH76" s="50">
        <f t="shared" si="50"/>
        <v>0</v>
      </c>
      <c r="CJ76" s="49"/>
      <c r="CK76" s="49"/>
      <c r="CL76" s="50">
        <f t="shared" si="51"/>
        <v>0</v>
      </c>
      <c r="CN76" s="49"/>
      <c r="CO76" s="49"/>
      <c r="CP76" s="50">
        <f t="shared" si="52"/>
        <v>0</v>
      </c>
      <c r="CR76" s="49"/>
      <c r="CS76" s="49"/>
      <c r="CT76" s="50">
        <f t="shared" si="53"/>
        <v>0</v>
      </c>
      <c r="CV76" s="49"/>
      <c r="CW76" s="49"/>
      <c r="CX76" s="50">
        <f t="shared" si="54"/>
        <v>0</v>
      </c>
      <c r="CZ76" s="49"/>
      <c r="DA76" s="49"/>
      <c r="DB76" s="50">
        <f t="shared" si="55"/>
        <v>0</v>
      </c>
      <c r="DD76" s="49"/>
      <c r="DE76" s="49"/>
      <c r="DF76" s="50">
        <f t="shared" si="56"/>
        <v>0</v>
      </c>
      <c r="DH76" s="49"/>
      <c r="DI76" s="49"/>
      <c r="DJ76" s="50">
        <f t="shared" si="57"/>
        <v>0</v>
      </c>
      <c r="DL76" s="49"/>
      <c r="DM76" s="49"/>
      <c r="DN76" s="50">
        <f t="shared" si="58"/>
        <v>0</v>
      </c>
      <c r="DP76" s="49"/>
      <c r="DQ76" s="49"/>
      <c r="DR76" s="50">
        <f t="shared" si="59"/>
        <v>0</v>
      </c>
      <c r="DT76" s="49"/>
      <c r="DU76" s="49"/>
      <c r="DV76" s="50">
        <f t="shared" si="60"/>
        <v>0</v>
      </c>
      <c r="DX76" s="49"/>
      <c r="DY76" s="49"/>
      <c r="DZ76" s="50">
        <f t="shared" si="61"/>
        <v>0</v>
      </c>
      <c r="EB76" s="49">
        <f t="shared" si="62"/>
        <v>0</v>
      </c>
      <c r="EC76" s="49">
        <f t="shared" si="62"/>
        <v>0</v>
      </c>
      <c r="ED76" s="49">
        <f t="shared" si="62"/>
        <v>0</v>
      </c>
    </row>
    <row r="77" spans="2:134" ht="11" customHeight="1" x14ac:dyDescent="0.35">
      <c r="B77" s="4">
        <v>111233</v>
      </c>
      <c r="C77" s="4" t="s">
        <v>83</v>
      </c>
      <c r="D77" s="4">
        <v>50</v>
      </c>
      <c r="E77" s="5">
        <v>18</v>
      </c>
      <c r="F77" s="6">
        <v>198.24524392000001</v>
      </c>
      <c r="G77" s="7"/>
      <c r="H77" s="49"/>
      <c r="I77" s="49"/>
      <c r="J77" s="50">
        <f t="shared" si="63"/>
        <v>0</v>
      </c>
      <c r="K77" s="9"/>
      <c r="L77" s="49"/>
      <c r="M77" s="49"/>
      <c r="N77" s="50">
        <f t="shared" si="32"/>
        <v>0</v>
      </c>
      <c r="O77" s="46"/>
      <c r="P77" s="49"/>
      <c r="Q77" s="49"/>
      <c r="R77" s="50">
        <f t="shared" si="33"/>
        <v>0</v>
      </c>
      <c r="T77" s="49"/>
      <c r="U77" s="49"/>
      <c r="V77" s="50">
        <f t="shared" si="34"/>
        <v>0</v>
      </c>
      <c r="X77" s="49"/>
      <c r="Y77" s="49"/>
      <c r="Z77" s="50">
        <f t="shared" si="35"/>
        <v>0</v>
      </c>
      <c r="AB77" s="49"/>
      <c r="AC77" s="49"/>
      <c r="AD77" s="50">
        <f t="shared" si="36"/>
        <v>0</v>
      </c>
      <c r="AF77" s="49"/>
      <c r="AG77" s="49"/>
      <c r="AH77" s="50">
        <f t="shared" si="37"/>
        <v>0</v>
      </c>
      <c r="AJ77" s="49"/>
      <c r="AK77" s="49"/>
      <c r="AL77" s="50">
        <f t="shared" si="38"/>
        <v>0</v>
      </c>
      <c r="AN77" s="49"/>
      <c r="AO77" s="49"/>
      <c r="AP77" s="50">
        <f t="shared" si="39"/>
        <v>0</v>
      </c>
      <c r="AR77" s="49"/>
      <c r="AS77" s="49"/>
      <c r="AT77" s="50">
        <f t="shared" si="40"/>
        <v>0</v>
      </c>
      <c r="AV77" s="49"/>
      <c r="AW77" s="49"/>
      <c r="AX77" s="50">
        <f t="shared" si="41"/>
        <v>0</v>
      </c>
      <c r="AZ77" s="49"/>
      <c r="BA77" s="49"/>
      <c r="BB77" s="50">
        <f t="shared" si="42"/>
        <v>0</v>
      </c>
      <c r="BD77" s="49"/>
      <c r="BE77" s="49"/>
      <c r="BF77" s="50">
        <f t="shared" si="43"/>
        <v>0</v>
      </c>
      <c r="BH77" s="49"/>
      <c r="BI77" s="49"/>
      <c r="BJ77" s="50">
        <f t="shared" si="44"/>
        <v>0</v>
      </c>
      <c r="BL77" s="49"/>
      <c r="BM77" s="49"/>
      <c r="BN77" s="50">
        <f t="shared" si="45"/>
        <v>0</v>
      </c>
      <c r="BP77" s="49"/>
      <c r="BQ77" s="49"/>
      <c r="BR77" s="50">
        <f t="shared" si="46"/>
        <v>0</v>
      </c>
      <c r="BT77" s="49"/>
      <c r="BU77" s="49"/>
      <c r="BV77" s="50">
        <f t="shared" si="47"/>
        <v>0</v>
      </c>
      <c r="BX77" s="49"/>
      <c r="BY77" s="49"/>
      <c r="BZ77" s="50">
        <f t="shared" si="48"/>
        <v>0</v>
      </c>
      <c r="CB77" s="49"/>
      <c r="CC77" s="49"/>
      <c r="CD77" s="50">
        <f t="shared" si="49"/>
        <v>0</v>
      </c>
      <c r="CF77" s="49"/>
      <c r="CG77" s="49"/>
      <c r="CH77" s="50">
        <f t="shared" si="50"/>
        <v>0</v>
      </c>
      <c r="CJ77" s="49"/>
      <c r="CK77" s="49"/>
      <c r="CL77" s="50">
        <f t="shared" si="51"/>
        <v>0</v>
      </c>
      <c r="CN77" s="49"/>
      <c r="CO77" s="49"/>
      <c r="CP77" s="50">
        <f t="shared" si="52"/>
        <v>0</v>
      </c>
      <c r="CR77" s="49"/>
      <c r="CS77" s="49"/>
      <c r="CT77" s="50">
        <f t="shared" si="53"/>
        <v>0</v>
      </c>
      <c r="CV77" s="49"/>
      <c r="CW77" s="49"/>
      <c r="CX77" s="50">
        <f t="shared" si="54"/>
        <v>0</v>
      </c>
      <c r="CZ77" s="49"/>
      <c r="DA77" s="49"/>
      <c r="DB77" s="50">
        <f t="shared" si="55"/>
        <v>0</v>
      </c>
      <c r="DD77" s="49"/>
      <c r="DE77" s="49"/>
      <c r="DF77" s="50">
        <f t="shared" si="56"/>
        <v>0</v>
      </c>
      <c r="DH77" s="49"/>
      <c r="DI77" s="49"/>
      <c r="DJ77" s="50">
        <f t="shared" si="57"/>
        <v>0</v>
      </c>
      <c r="DL77" s="49"/>
      <c r="DM77" s="49"/>
      <c r="DN77" s="50">
        <f t="shared" si="58"/>
        <v>0</v>
      </c>
      <c r="DP77" s="49"/>
      <c r="DQ77" s="49"/>
      <c r="DR77" s="50">
        <f t="shared" si="59"/>
        <v>0</v>
      </c>
      <c r="DT77" s="49"/>
      <c r="DU77" s="49"/>
      <c r="DV77" s="50">
        <f t="shared" si="60"/>
        <v>0</v>
      </c>
      <c r="DX77" s="49"/>
      <c r="DY77" s="49"/>
      <c r="DZ77" s="50">
        <f t="shared" si="61"/>
        <v>0</v>
      </c>
      <c r="EB77" s="49">
        <f t="shared" si="62"/>
        <v>0</v>
      </c>
      <c r="EC77" s="49">
        <f t="shared" si="62"/>
        <v>0</v>
      </c>
      <c r="ED77" s="49">
        <f t="shared" si="62"/>
        <v>0</v>
      </c>
    </row>
    <row r="78" spans="2:134" ht="11" customHeight="1" x14ac:dyDescent="0.35">
      <c r="B78" s="4">
        <v>111252</v>
      </c>
      <c r="C78" s="4" t="s">
        <v>84</v>
      </c>
      <c r="D78" s="4">
        <v>25</v>
      </c>
      <c r="E78" s="5">
        <v>36</v>
      </c>
      <c r="F78" s="6">
        <v>99.122621960000004</v>
      </c>
      <c r="G78" s="7"/>
      <c r="H78" s="49"/>
      <c r="I78" s="49"/>
      <c r="J78" s="50">
        <f t="shared" si="63"/>
        <v>0</v>
      </c>
      <c r="K78" s="9"/>
      <c r="L78" s="49"/>
      <c r="M78" s="49"/>
      <c r="N78" s="50">
        <f t="shared" si="32"/>
        <v>0</v>
      </c>
      <c r="O78" s="46"/>
      <c r="P78" s="49"/>
      <c r="Q78" s="49"/>
      <c r="R78" s="50">
        <f t="shared" si="33"/>
        <v>0</v>
      </c>
      <c r="T78" s="49"/>
      <c r="U78" s="49"/>
      <c r="V78" s="50">
        <f t="shared" si="34"/>
        <v>0</v>
      </c>
      <c r="X78" s="49"/>
      <c r="Y78" s="49"/>
      <c r="Z78" s="50">
        <f t="shared" si="35"/>
        <v>0</v>
      </c>
      <c r="AB78" s="49"/>
      <c r="AC78" s="49"/>
      <c r="AD78" s="50">
        <f t="shared" si="36"/>
        <v>0</v>
      </c>
      <c r="AF78" s="49"/>
      <c r="AG78" s="49"/>
      <c r="AH78" s="50">
        <f t="shared" si="37"/>
        <v>0</v>
      </c>
      <c r="AJ78" s="49"/>
      <c r="AK78" s="49"/>
      <c r="AL78" s="50">
        <f t="shared" si="38"/>
        <v>0</v>
      </c>
      <c r="AN78" s="49"/>
      <c r="AO78" s="49"/>
      <c r="AP78" s="50">
        <f t="shared" si="39"/>
        <v>0</v>
      </c>
      <c r="AR78" s="49"/>
      <c r="AS78" s="49"/>
      <c r="AT78" s="50">
        <f t="shared" si="40"/>
        <v>0</v>
      </c>
      <c r="AV78" s="49"/>
      <c r="AW78" s="49"/>
      <c r="AX78" s="50">
        <f t="shared" si="41"/>
        <v>0</v>
      </c>
      <c r="AZ78" s="49"/>
      <c r="BA78" s="49"/>
      <c r="BB78" s="50">
        <f t="shared" si="42"/>
        <v>0</v>
      </c>
      <c r="BD78" s="49"/>
      <c r="BE78" s="49"/>
      <c r="BF78" s="50">
        <f t="shared" si="43"/>
        <v>0</v>
      </c>
      <c r="BH78" s="49"/>
      <c r="BI78" s="49"/>
      <c r="BJ78" s="50">
        <f t="shared" si="44"/>
        <v>0</v>
      </c>
      <c r="BL78" s="49"/>
      <c r="BM78" s="49"/>
      <c r="BN78" s="50">
        <f t="shared" si="45"/>
        <v>0</v>
      </c>
      <c r="BP78" s="49"/>
      <c r="BQ78" s="49"/>
      <c r="BR78" s="50">
        <f t="shared" si="46"/>
        <v>0</v>
      </c>
      <c r="BT78" s="49"/>
      <c r="BU78" s="49"/>
      <c r="BV78" s="50">
        <f t="shared" si="47"/>
        <v>0</v>
      </c>
      <c r="BX78" s="49"/>
      <c r="BY78" s="49"/>
      <c r="BZ78" s="50">
        <f t="shared" si="48"/>
        <v>0</v>
      </c>
      <c r="CB78" s="49"/>
      <c r="CC78" s="49"/>
      <c r="CD78" s="50">
        <f t="shared" si="49"/>
        <v>0</v>
      </c>
      <c r="CF78" s="49"/>
      <c r="CG78" s="49"/>
      <c r="CH78" s="50">
        <f t="shared" si="50"/>
        <v>0</v>
      </c>
      <c r="CJ78" s="49"/>
      <c r="CK78" s="49"/>
      <c r="CL78" s="50">
        <f t="shared" si="51"/>
        <v>0</v>
      </c>
      <c r="CN78" s="49"/>
      <c r="CO78" s="49"/>
      <c r="CP78" s="50">
        <f t="shared" si="52"/>
        <v>0</v>
      </c>
      <c r="CR78" s="49"/>
      <c r="CS78" s="49"/>
      <c r="CT78" s="50">
        <f t="shared" si="53"/>
        <v>0</v>
      </c>
      <c r="CV78" s="49"/>
      <c r="CW78" s="49"/>
      <c r="CX78" s="50">
        <f t="shared" si="54"/>
        <v>0</v>
      </c>
      <c r="CZ78" s="49"/>
      <c r="DA78" s="49"/>
      <c r="DB78" s="50">
        <f t="shared" si="55"/>
        <v>0</v>
      </c>
      <c r="DD78" s="49"/>
      <c r="DE78" s="49"/>
      <c r="DF78" s="50">
        <f t="shared" si="56"/>
        <v>0</v>
      </c>
      <c r="DH78" s="49"/>
      <c r="DI78" s="49"/>
      <c r="DJ78" s="50">
        <f t="shared" si="57"/>
        <v>0</v>
      </c>
      <c r="DL78" s="49"/>
      <c r="DM78" s="49"/>
      <c r="DN78" s="50">
        <f t="shared" si="58"/>
        <v>0</v>
      </c>
      <c r="DP78" s="49"/>
      <c r="DQ78" s="49"/>
      <c r="DR78" s="50">
        <f t="shared" si="59"/>
        <v>0</v>
      </c>
      <c r="DT78" s="49"/>
      <c r="DU78" s="49"/>
      <c r="DV78" s="50">
        <f t="shared" si="60"/>
        <v>0</v>
      </c>
      <c r="DX78" s="49"/>
      <c r="DY78" s="49"/>
      <c r="DZ78" s="50">
        <f t="shared" si="61"/>
        <v>0</v>
      </c>
      <c r="EB78" s="49">
        <f t="shared" si="62"/>
        <v>0</v>
      </c>
      <c r="EC78" s="49">
        <f t="shared" si="62"/>
        <v>0</v>
      </c>
      <c r="ED78" s="49">
        <f t="shared" si="62"/>
        <v>0</v>
      </c>
    </row>
    <row r="79" spans="2:134" ht="11" customHeight="1" x14ac:dyDescent="0.35">
      <c r="B79" s="4">
        <v>111254</v>
      </c>
      <c r="C79" s="4" t="s">
        <v>85</v>
      </c>
      <c r="D79" s="4">
        <v>50</v>
      </c>
      <c r="E79" s="5">
        <v>18</v>
      </c>
      <c r="F79" s="6">
        <v>198.24524392000001</v>
      </c>
      <c r="G79" s="7"/>
      <c r="H79" s="49"/>
      <c r="I79" s="49"/>
      <c r="J79" s="50">
        <f t="shared" si="63"/>
        <v>0</v>
      </c>
      <c r="K79" s="9"/>
      <c r="L79" s="49"/>
      <c r="M79" s="49"/>
      <c r="N79" s="50">
        <f t="shared" si="32"/>
        <v>0</v>
      </c>
      <c r="O79" s="46"/>
      <c r="P79" s="49"/>
      <c r="Q79" s="49"/>
      <c r="R79" s="50">
        <f t="shared" si="33"/>
        <v>0</v>
      </c>
      <c r="T79" s="49"/>
      <c r="U79" s="49"/>
      <c r="V79" s="50">
        <f t="shared" si="34"/>
        <v>0</v>
      </c>
      <c r="X79" s="49"/>
      <c r="Y79" s="49"/>
      <c r="Z79" s="50">
        <f t="shared" si="35"/>
        <v>0</v>
      </c>
      <c r="AB79" s="49"/>
      <c r="AC79" s="49"/>
      <c r="AD79" s="50">
        <f t="shared" si="36"/>
        <v>0</v>
      </c>
      <c r="AF79" s="49"/>
      <c r="AG79" s="49"/>
      <c r="AH79" s="50">
        <f t="shared" si="37"/>
        <v>0</v>
      </c>
      <c r="AJ79" s="49"/>
      <c r="AK79" s="49"/>
      <c r="AL79" s="50">
        <f t="shared" si="38"/>
        <v>0</v>
      </c>
      <c r="AN79" s="49"/>
      <c r="AO79" s="49"/>
      <c r="AP79" s="50">
        <f t="shared" si="39"/>
        <v>0</v>
      </c>
      <c r="AR79" s="49"/>
      <c r="AS79" s="49"/>
      <c r="AT79" s="50">
        <f t="shared" si="40"/>
        <v>0</v>
      </c>
      <c r="AV79" s="49"/>
      <c r="AW79" s="49"/>
      <c r="AX79" s="50">
        <f t="shared" si="41"/>
        <v>0</v>
      </c>
      <c r="AZ79" s="49"/>
      <c r="BA79" s="49"/>
      <c r="BB79" s="50">
        <f t="shared" si="42"/>
        <v>0</v>
      </c>
      <c r="BD79" s="49"/>
      <c r="BE79" s="49"/>
      <c r="BF79" s="50">
        <f t="shared" si="43"/>
        <v>0</v>
      </c>
      <c r="BH79" s="49"/>
      <c r="BI79" s="49"/>
      <c r="BJ79" s="50">
        <f t="shared" si="44"/>
        <v>0</v>
      </c>
      <c r="BL79" s="49"/>
      <c r="BM79" s="49"/>
      <c r="BN79" s="50">
        <f t="shared" si="45"/>
        <v>0</v>
      </c>
      <c r="BP79" s="49"/>
      <c r="BQ79" s="49"/>
      <c r="BR79" s="50">
        <f t="shared" si="46"/>
        <v>0</v>
      </c>
      <c r="BT79" s="49"/>
      <c r="BU79" s="49"/>
      <c r="BV79" s="50">
        <f t="shared" si="47"/>
        <v>0</v>
      </c>
      <c r="BX79" s="49"/>
      <c r="BY79" s="49"/>
      <c r="BZ79" s="50">
        <f t="shared" si="48"/>
        <v>0</v>
      </c>
      <c r="CB79" s="49"/>
      <c r="CC79" s="49"/>
      <c r="CD79" s="50">
        <f t="shared" si="49"/>
        <v>0</v>
      </c>
      <c r="CF79" s="49"/>
      <c r="CG79" s="49"/>
      <c r="CH79" s="50">
        <f t="shared" si="50"/>
        <v>0</v>
      </c>
      <c r="CJ79" s="49"/>
      <c r="CK79" s="49"/>
      <c r="CL79" s="50">
        <f t="shared" si="51"/>
        <v>0</v>
      </c>
      <c r="CN79" s="49"/>
      <c r="CO79" s="49"/>
      <c r="CP79" s="50">
        <f t="shared" si="52"/>
        <v>0</v>
      </c>
      <c r="CR79" s="49"/>
      <c r="CS79" s="49"/>
      <c r="CT79" s="50">
        <f t="shared" si="53"/>
        <v>0</v>
      </c>
      <c r="CV79" s="49"/>
      <c r="CW79" s="49"/>
      <c r="CX79" s="50">
        <f t="shared" si="54"/>
        <v>0</v>
      </c>
      <c r="CZ79" s="49"/>
      <c r="DA79" s="49"/>
      <c r="DB79" s="50">
        <f t="shared" si="55"/>
        <v>0</v>
      </c>
      <c r="DD79" s="49"/>
      <c r="DE79" s="49"/>
      <c r="DF79" s="50">
        <f t="shared" si="56"/>
        <v>0</v>
      </c>
      <c r="DH79" s="49"/>
      <c r="DI79" s="49"/>
      <c r="DJ79" s="50">
        <f t="shared" si="57"/>
        <v>0</v>
      </c>
      <c r="DL79" s="49"/>
      <c r="DM79" s="49"/>
      <c r="DN79" s="50">
        <f t="shared" si="58"/>
        <v>0</v>
      </c>
      <c r="DP79" s="49"/>
      <c r="DQ79" s="49"/>
      <c r="DR79" s="50">
        <f t="shared" si="59"/>
        <v>0</v>
      </c>
      <c r="DT79" s="49"/>
      <c r="DU79" s="49"/>
      <c r="DV79" s="50">
        <f t="shared" si="60"/>
        <v>0</v>
      </c>
      <c r="DX79" s="49"/>
      <c r="DY79" s="49"/>
      <c r="DZ79" s="50">
        <f t="shared" si="61"/>
        <v>0</v>
      </c>
      <c r="EB79" s="49">
        <f t="shared" si="62"/>
        <v>0</v>
      </c>
      <c r="EC79" s="49">
        <f t="shared" si="62"/>
        <v>0</v>
      </c>
      <c r="ED79" s="49">
        <f t="shared" si="62"/>
        <v>0</v>
      </c>
    </row>
    <row r="80" spans="2:134" ht="11" customHeight="1" x14ac:dyDescent="0.35">
      <c r="B80" s="4">
        <v>101018</v>
      </c>
      <c r="C80" s="4" t="s">
        <v>86</v>
      </c>
      <c r="D80" s="4">
        <v>24</v>
      </c>
      <c r="E80" s="5">
        <v>24</v>
      </c>
      <c r="F80" s="6">
        <v>189.29879107400001</v>
      </c>
      <c r="G80" s="1"/>
      <c r="H80" s="49"/>
      <c r="I80" s="49"/>
      <c r="J80" s="50">
        <f t="shared" si="63"/>
        <v>0</v>
      </c>
      <c r="K80" s="9"/>
      <c r="L80" s="49"/>
      <c r="M80" s="49"/>
      <c r="N80" s="50">
        <f t="shared" si="32"/>
        <v>0</v>
      </c>
      <c r="O80" s="46"/>
      <c r="P80" s="49"/>
      <c r="Q80" s="49"/>
      <c r="R80" s="50">
        <f t="shared" si="33"/>
        <v>0</v>
      </c>
      <c r="T80" s="49"/>
      <c r="U80" s="49"/>
      <c r="V80" s="50">
        <f t="shared" si="34"/>
        <v>0</v>
      </c>
      <c r="X80" s="49"/>
      <c r="Y80" s="49"/>
      <c r="Z80" s="50">
        <f t="shared" si="35"/>
        <v>0</v>
      </c>
      <c r="AB80" s="49"/>
      <c r="AC80" s="49"/>
      <c r="AD80" s="50">
        <f t="shared" si="36"/>
        <v>0</v>
      </c>
      <c r="AF80" s="49"/>
      <c r="AG80" s="49"/>
      <c r="AH80" s="50">
        <f t="shared" si="37"/>
        <v>0</v>
      </c>
      <c r="AJ80" s="49"/>
      <c r="AK80" s="49"/>
      <c r="AL80" s="50">
        <f t="shared" si="38"/>
        <v>0</v>
      </c>
      <c r="AN80" s="49"/>
      <c r="AO80" s="49"/>
      <c r="AP80" s="50">
        <f t="shared" si="39"/>
        <v>0</v>
      </c>
      <c r="AR80" s="49"/>
      <c r="AS80" s="49"/>
      <c r="AT80" s="50">
        <f t="shared" si="40"/>
        <v>0</v>
      </c>
      <c r="AV80" s="49"/>
      <c r="AW80" s="49"/>
      <c r="AX80" s="50">
        <f t="shared" si="41"/>
        <v>0</v>
      </c>
      <c r="AZ80" s="49"/>
      <c r="BA80" s="49"/>
      <c r="BB80" s="50">
        <f t="shared" si="42"/>
        <v>0</v>
      </c>
      <c r="BD80" s="49"/>
      <c r="BE80" s="49"/>
      <c r="BF80" s="50">
        <f t="shared" si="43"/>
        <v>0</v>
      </c>
      <c r="BH80" s="49"/>
      <c r="BI80" s="49"/>
      <c r="BJ80" s="50">
        <f t="shared" si="44"/>
        <v>0</v>
      </c>
      <c r="BL80" s="49"/>
      <c r="BM80" s="49"/>
      <c r="BN80" s="50">
        <f t="shared" si="45"/>
        <v>0</v>
      </c>
      <c r="BP80" s="49"/>
      <c r="BQ80" s="49"/>
      <c r="BR80" s="50">
        <f t="shared" si="46"/>
        <v>0</v>
      </c>
      <c r="BT80" s="49"/>
      <c r="BU80" s="49"/>
      <c r="BV80" s="50">
        <f t="shared" si="47"/>
        <v>0</v>
      </c>
      <c r="BX80" s="49"/>
      <c r="BY80" s="49"/>
      <c r="BZ80" s="50">
        <f t="shared" si="48"/>
        <v>0</v>
      </c>
      <c r="CB80" s="49"/>
      <c r="CC80" s="49"/>
      <c r="CD80" s="50">
        <f t="shared" si="49"/>
        <v>0</v>
      </c>
      <c r="CF80" s="49"/>
      <c r="CG80" s="49"/>
      <c r="CH80" s="50">
        <f t="shared" si="50"/>
        <v>0</v>
      </c>
      <c r="CJ80" s="49"/>
      <c r="CK80" s="49"/>
      <c r="CL80" s="50">
        <f t="shared" si="51"/>
        <v>0</v>
      </c>
      <c r="CN80" s="49"/>
      <c r="CO80" s="49"/>
      <c r="CP80" s="50">
        <f t="shared" si="52"/>
        <v>0</v>
      </c>
      <c r="CR80" s="49"/>
      <c r="CS80" s="49"/>
      <c r="CT80" s="50">
        <f t="shared" si="53"/>
        <v>0</v>
      </c>
      <c r="CV80" s="49"/>
      <c r="CW80" s="49"/>
      <c r="CX80" s="50">
        <f t="shared" si="54"/>
        <v>0</v>
      </c>
      <c r="CZ80" s="49"/>
      <c r="DA80" s="49"/>
      <c r="DB80" s="50">
        <f t="shared" si="55"/>
        <v>0</v>
      </c>
      <c r="DD80" s="49"/>
      <c r="DE80" s="49"/>
      <c r="DF80" s="50">
        <f t="shared" si="56"/>
        <v>0</v>
      </c>
      <c r="DH80" s="49"/>
      <c r="DI80" s="49"/>
      <c r="DJ80" s="50">
        <f t="shared" si="57"/>
        <v>0</v>
      </c>
      <c r="DL80" s="49"/>
      <c r="DM80" s="49"/>
      <c r="DN80" s="50">
        <f t="shared" si="58"/>
        <v>0</v>
      </c>
      <c r="DP80" s="49"/>
      <c r="DQ80" s="49"/>
      <c r="DR80" s="50">
        <f t="shared" si="59"/>
        <v>0</v>
      </c>
      <c r="DT80" s="49"/>
      <c r="DU80" s="49"/>
      <c r="DV80" s="50">
        <f t="shared" si="60"/>
        <v>0</v>
      </c>
      <c r="DX80" s="49"/>
      <c r="DY80" s="49"/>
      <c r="DZ80" s="50">
        <f t="shared" si="61"/>
        <v>0</v>
      </c>
      <c r="EB80" s="49">
        <f t="shared" si="62"/>
        <v>0</v>
      </c>
      <c r="EC80" s="49">
        <f t="shared" si="62"/>
        <v>0</v>
      </c>
      <c r="ED80" s="49">
        <f t="shared" si="62"/>
        <v>0</v>
      </c>
    </row>
    <row r="81" spans="2:134" ht="11" customHeight="1" x14ac:dyDescent="0.35">
      <c r="B81" s="4">
        <v>101030</v>
      </c>
      <c r="C81" s="4" t="s">
        <v>87</v>
      </c>
      <c r="D81" s="4">
        <v>24</v>
      </c>
      <c r="E81" s="5">
        <v>24</v>
      </c>
      <c r="F81" s="6">
        <v>192.453575</v>
      </c>
      <c r="G81" s="1"/>
      <c r="H81" s="49"/>
      <c r="I81" s="49"/>
      <c r="J81" s="50">
        <f t="shared" si="63"/>
        <v>0</v>
      </c>
      <c r="K81" s="9"/>
      <c r="L81" s="49"/>
      <c r="M81" s="49"/>
      <c r="N81" s="50">
        <f t="shared" si="32"/>
        <v>0</v>
      </c>
      <c r="O81" s="46"/>
      <c r="P81" s="49"/>
      <c r="Q81" s="49"/>
      <c r="R81" s="50">
        <f t="shared" si="33"/>
        <v>0</v>
      </c>
      <c r="T81" s="49"/>
      <c r="U81" s="49"/>
      <c r="V81" s="50">
        <f t="shared" si="34"/>
        <v>0</v>
      </c>
      <c r="X81" s="49"/>
      <c r="Y81" s="49"/>
      <c r="Z81" s="50">
        <f t="shared" si="35"/>
        <v>0</v>
      </c>
      <c r="AB81" s="49"/>
      <c r="AC81" s="49"/>
      <c r="AD81" s="50">
        <f t="shared" si="36"/>
        <v>0</v>
      </c>
      <c r="AF81" s="49"/>
      <c r="AG81" s="49"/>
      <c r="AH81" s="50">
        <f t="shared" si="37"/>
        <v>0</v>
      </c>
      <c r="AJ81" s="49"/>
      <c r="AK81" s="49"/>
      <c r="AL81" s="50">
        <f t="shared" si="38"/>
        <v>0</v>
      </c>
      <c r="AN81" s="49"/>
      <c r="AO81" s="49"/>
      <c r="AP81" s="50">
        <f t="shared" si="39"/>
        <v>0</v>
      </c>
      <c r="AR81" s="49"/>
      <c r="AS81" s="49"/>
      <c r="AT81" s="50">
        <f t="shared" si="40"/>
        <v>0</v>
      </c>
      <c r="AV81" s="49"/>
      <c r="AW81" s="49"/>
      <c r="AX81" s="50">
        <f t="shared" si="41"/>
        <v>0</v>
      </c>
      <c r="AZ81" s="49"/>
      <c r="BA81" s="49"/>
      <c r="BB81" s="50">
        <f t="shared" si="42"/>
        <v>0</v>
      </c>
      <c r="BD81" s="49"/>
      <c r="BE81" s="49"/>
      <c r="BF81" s="50">
        <f t="shared" si="43"/>
        <v>0</v>
      </c>
      <c r="BH81" s="49"/>
      <c r="BI81" s="49"/>
      <c r="BJ81" s="50">
        <f t="shared" si="44"/>
        <v>0</v>
      </c>
      <c r="BL81" s="49"/>
      <c r="BM81" s="49"/>
      <c r="BN81" s="50">
        <f t="shared" si="45"/>
        <v>0</v>
      </c>
      <c r="BP81" s="49"/>
      <c r="BQ81" s="49"/>
      <c r="BR81" s="50">
        <f t="shared" si="46"/>
        <v>0</v>
      </c>
      <c r="BT81" s="49"/>
      <c r="BU81" s="49"/>
      <c r="BV81" s="50">
        <f t="shared" si="47"/>
        <v>0</v>
      </c>
      <c r="BX81" s="49"/>
      <c r="BY81" s="49"/>
      <c r="BZ81" s="50">
        <f t="shared" si="48"/>
        <v>0</v>
      </c>
      <c r="CB81" s="49"/>
      <c r="CC81" s="49"/>
      <c r="CD81" s="50">
        <f t="shared" si="49"/>
        <v>0</v>
      </c>
      <c r="CF81" s="49"/>
      <c r="CG81" s="49"/>
      <c r="CH81" s="50">
        <f t="shared" si="50"/>
        <v>0</v>
      </c>
      <c r="CJ81" s="49"/>
      <c r="CK81" s="49"/>
      <c r="CL81" s="50">
        <f t="shared" si="51"/>
        <v>0</v>
      </c>
      <c r="CN81" s="49"/>
      <c r="CO81" s="49"/>
      <c r="CP81" s="50">
        <f t="shared" si="52"/>
        <v>0</v>
      </c>
      <c r="CR81" s="49"/>
      <c r="CS81" s="49"/>
      <c r="CT81" s="50">
        <f t="shared" si="53"/>
        <v>0</v>
      </c>
      <c r="CV81" s="49"/>
      <c r="CW81" s="49"/>
      <c r="CX81" s="50">
        <f t="shared" si="54"/>
        <v>0</v>
      </c>
      <c r="CZ81" s="49"/>
      <c r="DA81" s="49"/>
      <c r="DB81" s="50">
        <f t="shared" si="55"/>
        <v>0</v>
      </c>
      <c r="DD81" s="49"/>
      <c r="DE81" s="49"/>
      <c r="DF81" s="50">
        <f t="shared" si="56"/>
        <v>0</v>
      </c>
      <c r="DH81" s="49"/>
      <c r="DI81" s="49"/>
      <c r="DJ81" s="50">
        <f t="shared" si="57"/>
        <v>0</v>
      </c>
      <c r="DL81" s="49"/>
      <c r="DM81" s="49"/>
      <c r="DN81" s="50">
        <f t="shared" si="58"/>
        <v>0</v>
      </c>
      <c r="DP81" s="49"/>
      <c r="DQ81" s="49"/>
      <c r="DR81" s="50">
        <f t="shared" si="59"/>
        <v>0</v>
      </c>
      <c r="DT81" s="49"/>
      <c r="DU81" s="49"/>
      <c r="DV81" s="50">
        <f t="shared" si="60"/>
        <v>0</v>
      </c>
      <c r="DX81" s="49"/>
      <c r="DY81" s="49"/>
      <c r="DZ81" s="50">
        <f t="shared" si="61"/>
        <v>0</v>
      </c>
      <c r="EB81" s="49">
        <f t="shared" si="62"/>
        <v>0</v>
      </c>
      <c r="EC81" s="49">
        <f t="shared" si="62"/>
        <v>0</v>
      </c>
      <c r="ED81" s="49">
        <f t="shared" si="62"/>
        <v>0</v>
      </c>
    </row>
    <row r="82" spans="2:134" ht="11" customHeight="1" x14ac:dyDescent="0.35">
      <c r="B82" s="4">
        <v>101059</v>
      </c>
      <c r="C82" s="4" t="s">
        <v>88</v>
      </c>
      <c r="D82" s="4">
        <v>18</v>
      </c>
      <c r="E82" s="5">
        <v>18</v>
      </c>
      <c r="F82" s="6">
        <v>189.29879107400001</v>
      </c>
      <c r="G82" s="1"/>
      <c r="H82" s="49"/>
      <c r="I82" s="49"/>
      <c r="J82" s="50">
        <f t="shared" si="63"/>
        <v>0</v>
      </c>
      <c r="K82" s="9"/>
      <c r="L82" s="49"/>
      <c r="M82" s="49"/>
      <c r="N82" s="50">
        <f t="shared" si="32"/>
        <v>0</v>
      </c>
      <c r="O82" s="46"/>
      <c r="P82" s="49"/>
      <c r="Q82" s="49"/>
      <c r="R82" s="50">
        <f t="shared" si="33"/>
        <v>0</v>
      </c>
      <c r="T82" s="49"/>
      <c r="U82" s="49"/>
      <c r="V82" s="50">
        <f t="shared" si="34"/>
        <v>0</v>
      </c>
      <c r="X82" s="49"/>
      <c r="Y82" s="49"/>
      <c r="Z82" s="50">
        <f t="shared" si="35"/>
        <v>0</v>
      </c>
      <c r="AB82" s="49"/>
      <c r="AC82" s="49"/>
      <c r="AD82" s="50">
        <f t="shared" si="36"/>
        <v>0</v>
      </c>
      <c r="AF82" s="49"/>
      <c r="AG82" s="49"/>
      <c r="AH82" s="50">
        <f t="shared" si="37"/>
        <v>0</v>
      </c>
      <c r="AJ82" s="49"/>
      <c r="AK82" s="49"/>
      <c r="AL82" s="50">
        <f t="shared" si="38"/>
        <v>0</v>
      </c>
      <c r="AN82" s="49"/>
      <c r="AO82" s="49"/>
      <c r="AP82" s="50">
        <f t="shared" si="39"/>
        <v>0</v>
      </c>
      <c r="AR82" s="49"/>
      <c r="AS82" s="49"/>
      <c r="AT82" s="50">
        <f t="shared" si="40"/>
        <v>0</v>
      </c>
      <c r="AV82" s="49"/>
      <c r="AW82" s="49"/>
      <c r="AX82" s="50">
        <f t="shared" si="41"/>
        <v>0</v>
      </c>
      <c r="AZ82" s="49"/>
      <c r="BA82" s="49"/>
      <c r="BB82" s="50">
        <f t="shared" si="42"/>
        <v>0</v>
      </c>
      <c r="BD82" s="49"/>
      <c r="BE82" s="49"/>
      <c r="BF82" s="50">
        <f t="shared" si="43"/>
        <v>0</v>
      </c>
      <c r="BH82" s="49"/>
      <c r="BI82" s="49"/>
      <c r="BJ82" s="50">
        <f t="shared" si="44"/>
        <v>0</v>
      </c>
      <c r="BL82" s="49"/>
      <c r="BM82" s="49"/>
      <c r="BN82" s="50">
        <f t="shared" si="45"/>
        <v>0</v>
      </c>
      <c r="BP82" s="49"/>
      <c r="BQ82" s="49"/>
      <c r="BR82" s="50">
        <f t="shared" si="46"/>
        <v>0</v>
      </c>
      <c r="BT82" s="49"/>
      <c r="BU82" s="49"/>
      <c r="BV82" s="50">
        <f t="shared" si="47"/>
        <v>0</v>
      </c>
      <c r="BX82" s="49"/>
      <c r="BY82" s="49"/>
      <c r="BZ82" s="50">
        <f t="shared" si="48"/>
        <v>0</v>
      </c>
      <c r="CB82" s="49"/>
      <c r="CC82" s="49"/>
      <c r="CD82" s="50">
        <f t="shared" si="49"/>
        <v>0</v>
      </c>
      <c r="CF82" s="49"/>
      <c r="CG82" s="49"/>
      <c r="CH82" s="50">
        <f t="shared" si="50"/>
        <v>0</v>
      </c>
      <c r="CJ82" s="49"/>
      <c r="CK82" s="49"/>
      <c r="CL82" s="50">
        <f t="shared" si="51"/>
        <v>0</v>
      </c>
      <c r="CN82" s="49"/>
      <c r="CO82" s="49"/>
      <c r="CP82" s="50">
        <f t="shared" si="52"/>
        <v>0</v>
      </c>
      <c r="CR82" s="49"/>
      <c r="CS82" s="49"/>
      <c r="CT82" s="50">
        <f t="shared" si="53"/>
        <v>0</v>
      </c>
      <c r="CV82" s="49"/>
      <c r="CW82" s="49"/>
      <c r="CX82" s="50">
        <f t="shared" si="54"/>
        <v>0</v>
      </c>
      <c r="CZ82" s="49"/>
      <c r="DA82" s="49"/>
      <c r="DB82" s="50">
        <f t="shared" si="55"/>
        <v>0</v>
      </c>
      <c r="DD82" s="49"/>
      <c r="DE82" s="49"/>
      <c r="DF82" s="50">
        <f t="shared" si="56"/>
        <v>0</v>
      </c>
      <c r="DH82" s="49"/>
      <c r="DI82" s="49"/>
      <c r="DJ82" s="50">
        <f t="shared" si="57"/>
        <v>0</v>
      </c>
      <c r="DL82" s="49"/>
      <c r="DM82" s="49"/>
      <c r="DN82" s="50">
        <f t="shared" si="58"/>
        <v>0</v>
      </c>
      <c r="DP82" s="49"/>
      <c r="DQ82" s="49"/>
      <c r="DR82" s="50">
        <f t="shared" si="59"/>
        <v>0</v>
      </c>
      <c r="DT82" s="49"/>
      <c r="DU82" s="49"/>
      <c r="DV82" s="50">
        <f t="shared" si="60"/>
        <v>0</v>
      </c>
      <c r="DX82" s="49"/>
      <c r="DY82" s="49"/>
      <c r="DZ82" s="50">
        <f t="shared" si="61"/>
        <v>0</v>
      </c>
      <c r="EB82" s="49">
        <f t="shared" si="62"/>
        <v>0</v>
      </c>
      <c r="EC82" s="49">
        <f t="shared" si="62"/>
        <v>0</v>
      </c>
      <c r="ED82" s="49">
        <f t="shared" si="62"/>
        <v>0</v>
      </c>
    </row>
    <row r="83" spans="2:134" ht="11" customHeight="1" x14ac:dyDescent="0.35">
      <c r="B83" s="4">
        <v>101404</v>
      </c>
      <c r="C83" s="4" t="s">
        <v>89</v>
      </c>
      <c r="D83" s="4">
        <v>18</v>
      </c>
      <c r="E83" s="5">
        <v>18</v>
      </c>
      <c r="F83" s="6">
        <v>141.97409327599999</v>
      </c>
      <c r="G83" s="1"/>
      <c r="H83" s="49"/>
      <c r="I83" s="49"/>
      <c r="J83" s="50">
        <f t="shared" si="63"/>
        <v>0</v>
      </c>
      <c r="K83" s="9"/>
      <c r="L83" s="49"/>
      <c r="M83" s="49"/>
      <c r="N83" s="50">
        <f t="shared" si="32"/>
        <v>0</v>
      </c>
      <c r="O83" s="46"/>
      <c r="P83" s="49"/>
      <c r="Q83" s="49"/>
      <c r="R83" s="50">
        <f t="shared" si="33"/>
        <v>0</v>
      </c>
      <c r="T83" s="49"/>
      <c r="U83" s="49"/>
      <c r="V83" s="50">
        <f t="shared" si="34"/>
        <v>0</v>
      </c>
      <c r="X83" s="49"/>
      <c r="Y83" s="49"/>
      <c r="Z83" s="50">
        <f t="shared" si="35"/>
        <v>0</v>
      </c>
      <c r="AB83" s="49"/>
      <c r="AC83" s="49"/>
      <c r="AD83" s="50">
        <f t="shared" si="36"/>
        <v>0</v>
      </c>
      <c r="AF83" s="49"/>
      <c r="AG83" s="49"/>
      <c r="AH83" s="50">
        <f t="shared" si="37"/>
        <v>0</v>
      </c>
      <c r="AJ83" s="49"/>
      <c r="AK83" s="49"/>
      <c r="AL83" s="50">
        <f t="shared" si="38"/>
        <v>0</v>
      </c>
      <c r="AN83" s="49"/>
      <c r="AO83" s="49"/>
      <c r="AP83" s="50">
        <f t="shared" si="39"/>
        <v>0</v>
      </c>
      <c r="AR83" s="49"/>
      <c r="AS83" s="49"/>
      <c r="AT83" s="50">
        <f t="shared" si="40"/>
        <v>0</v>
      </c>
      <c r="AV83" s="49"/>
      <c r="AW83" s="49"/>
      <c r="AX83" s="50">
        <f t="shared" si="41"/>
        <v>0</v>
      </c>
      <c r="AZ83" s="49"/>
      <c r="BA83" s="49"/>
      <c r="BB83" s="50">
        <f t="shared" si="42"/>
        <v>0</v>
      </c>
      <c r="BD83" s="49"/>
      <c r="BE83" s="49"/>
      <c r="BF83" s="50">
        <f t="shared" si="43"/>
        <v>0</v>
      </c>
      <c r="BH83" s="49"/>
      <c r="BI83" s="49"/>
      <c r="BJ83" s="50">
        <f t="shared" si="44"/>
        <v>0</v>
      </c>
      <c r="BL83" s="49"/>
      <c r="BM83" s="49"/>
      <c r="BN83" s="50">
        <f t="shared" si="45"/>
        <v>0</v>
      </c>
      <c r="BP83" s="49"/>
      <c r="BQ83" s="49"/>
      <c r="BR83" s="50">
        <f t="shared" si="46"/>
        <v>0</v>
      </c>
      <c r="BT83" s="49"/>
      <c r="BU83" s="49"/>
      <c r="BV83" s="50">
        <f t="shared" si="47"/>
        <v>0</v>
      </c>
      <c r="BX83" s="49"/>
      <c r="BY83" s="49"/>
      <c r="BZ83" s="50">
        <f t="shared" si="48"/>
        <v>0</v>
      </c>
      <c r="CB83" s="49"/>
      <c r="CC83" s="49"/>
      <c r="CD83" s="50">
        <f t="shared" si="49"/>
        <v>0</v>
      </c>
      <c r="CF83" s="49"/>
      <c r="CG83" s="49"/>
      <c r="CH83" s="50">
        <f t="shared" si="50"/>
        <v>0</v>
      </c>
      <c r="CJ83" s="49"/>
      <c r="CK83" s="49"/>
      <c r="CL83" s="50">
        <f t="shared" si="51"/>
        <v>0</v>
      </c>
      <c r="CN83" s="49"/>
      <c r="CO83" s="49"/>
      <c r="CP83" s="50">
        <f t="shared" si="52"/>
        <v>0</v>
      </c>
      <c r="CR83" s="49"/>
      <c r="CS83" s="49"/>
      <c r="CT83" s="50">
        <f t="shared" si="53"/>
        <v>0</v>
      </c>
      <c r="CV83" s="49"/>
      <c r="CW83" s="49"/>
      <c r="CX83" s="50">
        <f t="shared" si="54"/>
        <v>0</v>
      </c>
      <c r="CZ83" s="49"/>
      <c r="DA83" s="49"/>
      <c r="DB83" s="50">
        <f t="shared" si="55"/>
        <v>0</v>
      </c>
      <c r="DD83" s="49"/>
      <c r="DE83" s="49"/>
      <c r="DF83" s="50">
        <f t="shared" si="56"/>
        <v>0</v>
      </c>
      <c r="DH83" s="49"/>
      <c r="DI83" s="49"/>
      <c r="DJ83" s="50">
        <f t="shared" si="57"/>
        <v>0</v>
      </c>
      <c r="DL83" s="49"/>
      <c r="DM83" s="49"/>
      <c r="DN83" s="50">
        <f t="shared" si="58"/>
        <v>0</v>
      </c>
      <c r="DP83" s="49"/>
      <c r="DQ83" s="49"/>
      <c r="DR83" s="50">
        <f t="shared" si="59"/>
        <v>0</v>
      </c>
      <c r="DT83" s="49"/>
      <c r="DU83" s="49"/>
      <c r="DV83" s="50">
        <f t="shared" si="60"/>
        <v>0</v>
      </c>
      <c r="DX83" s="49"/>
      <c r="DY83" s="49"/>
      <c r="DZ83" s="50">
        <f t="shared" si="61"/>
        <v>0</v>
      </c>
      <c r="EB83" s="49">
        <f t="shared" si="62"/>
        <v>0</v>
      </c>
      <c r="EC83" s="49">
        <f t="shared" si="62"/>
        <v>0</v>
      </c>
      <c r="ED83" s="49">
        <f t="shared" si="62"/>
        <v>0</v>
      </c>
    </row>
    <row r="84" spans="2:134" ht="11" customHeight="1" x14ac:dyDescent="0.35">
      <c r="B84" s="4">
        <v>104055</v>
      </c>
      <c r="C84" s="4" t="s">
        <v>90</v>
      </c>
      <c r="D84" s="4">
        <v>25</v>
      </c>
      <c r="E84" s="5">
        <v>24</v>
      </c>
      <c r="F84" s="6">
        <v>100.236575</v>
      </c>
      <c r="G84" s="1"/>
      <c r="H84" s="49"/>
      <c r="I84" s="49"/>
      <c r="J84" s="50">
        <f t="shared" si="63"/>
        <v>0</v>
      </c>
      <c r="K84" s="9"/>
      <c r="L84" s="49"/>
      <c r="M84" s="49"/>
      <c r="N84" s="50">
        <f t="shared" si="32"/>
        <v>0</v>
      </c>
      <c r="O84" s="46"/>
      <c r="P84" s="49"/>
      <c r="Q84" s="49"/>
      <c r="R84" s="50">
        <f t="shared" si="33"/>
        <v>0</v>
      </c>
      <c r="T84" s="49"/>
      <c r="U84" s="49"/>
      <c r="V84" s="50">
        <f t="shared" si="34"/>
        <v>0</v>
      </c>
      <c r="X84" s="49"/>
      <c r="Y84" s="49"/>
      <c r="Z84" s="50">
        <f t="shared" si="35"/>
        <v>0</v>
      </c>
      <c r="AB84" s="49"/>
      <c r="AC84" s="49"/>
      <c r="AD84" s="50">
        <f t="shared" si="36"/>
        <v>0</v>
      </c>
      <c r="AF84" s="49"/>
      <c r="AG84" s="49"/>
      <c r="AH84" s="50">
        <f t="shared" si="37"/>
        <v>0</v>
      </c>
      <c r="AJ84" s="49"/>
      <c r="AK84" s="49"/>
      <c r="AL84" s="50">
        <f t="shared" si="38"/>
        <v>0</v>
      </c>
      <c r="AN84" s="49"/>
      <c r="AO84" s="49"/>
      <c r="AP84" s="50">
        <f t="shared" si="39"/>
        <v>0</v>
      </c>
      <c r="AR84" s="49"/>
      <c r="AS84" s="49"/>
      <c r="AT84" s="50">
        <f t="shared" si="40"/>
        <v>0</v>
      </c>
      <c r="AV84" s="49"/>
      <c r="AW84" s="49"/>
      <c r="AX84" s="50">
        <f t="shared" si="41"/>
        <v>0</v>
      </c>
      <c r="AZ84" s="49"/>
      <c r="BA84" s="49"/>
      <c r="BB84" s="50">
        <f t="shared" si="42"/>
        <v>0</v>
      </c>
      <c r="BD84" s="49"/>
      <c r="BE84" s="49"/>
      <c r="BF84" s="50">
        <f t="shared" si="43"/>
        <v>0</v>
      </c>
      <c r="BH84" s="49"/>
      <c r="BI84" s="49"/>
      <c r="BJ84" s="50">
        <f t="shared" si="44"/>
        <v>0</v>
      </c>
      <c r="BL84" s="49"/>
      <c r="BM84" s="49"/>
      <c r="BN84" s="50">
        <f t="shared" si="45"/>
        <v>0</v>
      </c>
      <c r="BP84" s="49"/>
      <c r="BQ84" s="49"/>
      <c r="BR84" s="50">
        <f t="shared" si="46"/>
        <v>0</v>
      </c>
      <c r="BT84" s="49"/>
      <c r="BU84" s="49"/>
      <c r="BV84" s="50">
        <f t="shared" si="47"/>
        <v>0</v>
      </c>
      <c r="BX84" s="49"/>
      <c r="BY84" s="49"/>
      <c r="BZ84" s="50">
        <f t="shared" si="48"/>
        <v>0</v>
      </c>
      <c r="CB84" s="49"/>
      <c r="CC84" s="49"/>
      <c r="CD84" s="50">
        <f t="shared" si="49"/>
        <v>0</v>
      </c>
      <c r="CF84" s="49"/>
      <c r="CG84" s="49"/>
      <c r="CH84" s="50">
        <f t="shared" si="50"/>
        <v>0</v>
      </c>
      <c r="CJ84" s="49"/>
      <c r="CK84" s="49"/>
      <c r="CL84" s="50">
        <f t="shared" si="51"/>
        <v>0</v>
      </c>
      <c r="CN84" s="49"/>
      <c r="CO84" s="49"/>
      <c r="CP84" s="50">
        <f t="shared" si="52"/>
        <v>0</v>
      </c>
      <c r="CR84" s="49"/>
      <c r="CS84" s="49"/>
      <c r="CT84" s="50">
        <f t="shared" si="53"/>
        <v>0</v>
      </c>
      <c r="CV84" s="49"/>
      <c r="CW84" s="49"/>
      <c r="CX84" s="50">
        <f t="shared" si="54"/>
        <v>0</v>
      </c>
      <c r="CZ84" s="49"/>
      <c r="DA84" s="49"/>
      <c r="DB84" s="50">
        <f t="shared" si="55"/>
        <v>0</v>
      </c>
      <c r="DD84" s="49"/>
      <c r="DE84" s="49"/>
      <c r="DF84" s="50">
        <f t="shared" si="56"/>
        <v>0</v>
      </c>
      <c r="DH84" s="49"/>
      <c r="DI84" s="49"/>
      <c r="DJ84" s="50">
        <f t="shared" si="57"/>
        <v>0</v>
      </c>
      <c r="DL84" s="49"/>
      <c r="DM84" s="49"/>
      <c r="DN84" s="50">
        <f t="shared" si="58"/>
        <v>0</v>
      </c>
      <c r="DP84" s="49"/>
      <c r="DQ84" s="49"/>
      <c r="DR84" s="50">
        <f t="shared" si="59"/>
        <v>0</v>
      </c>
      <c r="DT84" s="49"/>
      <c r="DU84" s="49"/>
      <c r="DV84" s="50">
        <f t="shared" si="60"/>
        <v>0</v>
      </c>
      <c r="DX84" s="49"/>
      <c r="DY84" s="49"/>
      <c r="DZ84" s="50">
        <f t="shared" si="61"/>
        <v>0</v>
      </c>
      <c r="EB84" s="49">
        <f t="shared" si="62"/>
        <v>0</v>
      </c>
      <c r="EC84" s="49">
        <f t="shared" si="62"/>
        <v>0</v>
      </c>
      <c r="ED84" s="49">
        <f t="shared" si="62"/>
        <v>0</v>
      </c>
    </row>
    <row r="85" spans="2:134" ht="11" customHeight="1" x14ac:dyDescent="0.35">
      <c r="B85" s="4">
        <v>101935</v>
      </c>
      <c r="C85" s="4" t="s">
        <v>91</v>
      </c>
      <c r="D85" s="4">
        <v>12</v>
      </c>
      <c r="E85" s="5">
        <v>8</v>
      </c>
      <c r="F85" s="6">
        <v>39.4372481296</v>
      </c>
      <c r="G85" s="1"/>
      <c r="H85" s="49"/>
      <c r="I85" s="49"/>
      <c r="J85" s="50">
        <f t="shared" si="63"/>
        <v>0</v>
      </c>
      <c r="K85" s="9"/>
      <c r="L85" s="49"/>
      <c r="M85" s="49"/>
      <c r="N85" s="50">
        <f t="shared" si="32"/>
        <v>0</v>
      </c>
      <c r="O85" s="46"/>
      <c r="P85" s="49"/>
      <c r="Q85" s="49"/>
      <c r="R85" s="50">
        <f t="shared" si="33"/>
        <v>0</v>
      </c>
      <c r="T85" s="49"/>
      <c r="U85" s="49"/>
      <c r="V85" s="50">
        <f t="shared" si="34"/>
        <v>0</v>
      </c>
      <c r="X85" s="49"/>
      <c r="Y85" s="49"/>
      <c r="Z85" s="50">
        <f t="shared" si="35"/>
        <v>0</v>
      </c>
      <c r="AB85" s="49"/>
      <c r="AC85" s="49"/>
      <c r="AD85" s="50">
        <f t="shared" si="36"/>
        <v>0</v>
      </c>
      <c r="AF85" s="49"/>
      <c r="AG85" s="49"/>
      <c r="AH85" s="50">
        <f t="shared" si="37"/>
        <v>0</v>
      </c>
      <c r="AJ85" s="49"/>
      <c r="AK85" s="49"/>
      <c r="AL85" s="50">
        <f t="shared" si="38"/>
        <v>0</v>
      </c>
      <c r="AN85" s="49"/>
      <c r="AO85" s="49"/>
      <c r="AP85" s="50">
        <f t="shared" si="39"/>
        <v>0</v>
      </c>
      <c r="AR85" s="49"/>
      <c r="AS85" s="49"/>
      <c r="AT85" s="50">
        <f t="shared" si="40"/>
        <v>0</v>
      </c>
      <c r="AV85" s="49"/>
      <c r="AW85" s="49"/>
      <c r="AX85" s="50">
        <f t="shared" si="41"/>
        <v>0</v>
      </c>
      <c r="AZ85" s="49"/>
      <c r="BA85" s="49"/>
      <c r="BB85" s="50">
        <f t="shared" si="42"/>
        <v>0</v>
      </c>
      <c r="BD85" s="49"/>
      <c r="BE85" s="49"/>
      <c r="BF85" s="50">
        <f t="shared" si="43"/>
        <v>0</v>
      </c>
      <c r="BH85" s="49"/>
      <c r="BI85" s="49"/>
      <c r="BJ85" s="50">
        <f t="shared" si="44"/>
        <v>0</v>
      </c>
      <c r="BL85" s="49"/>
      <c r="BM85" s="49"/>
      <c r="BN85" s="50">
        <f t="shared" si="45"/>
        <v>0</v>
      </c>
      <c r="BP85" s="49"/>
      <c r="BQ85" s="49"/>
      <c r="BR85" s="50">
        <f t="shared" si="46"/>
        <v>0</v>
      </c>
      <c r="BT85" s="49"/>
      <c r="BU85" s="49"/>
      <c r="BV85" s="50">
        <f t="shared" si="47"/>
        <v>0</v>
      </c>
      <c r="BX85" s="49"/>
      <c r="BY85" s="49"/>
      <c r="BZ85" s="50">
        <f t="shared" si="48"/>
        <v>0</v>
      </c>
      <c r="CB85" s="49"/>
      <c r="CC85" s="49"/>
      <c r="CD85" s="50">
        <f t="shared" si="49"/>
        <v>0</v>
      </c>
      <c r="CF85" s="49"/>
      <c r="CG85" s="49"/>
      <c r="CH85" s="50">
        <f t="shared" si="50"/>
        <v>0</v>
      </c>
      <c r="CJ85" s="49"/>
      <c r="CK85" s="49"/>
      <c r="CL85" s="50">
        <f t="shared" si="51"/>
        <v>0</v>
      </c>
      <c r="CN85" s="49"/>
      <c r="CO85" s="49"/>
      <c r="CP85" s="50">
        <f t="shared" si="52"/>
        <v>0</v>
      </c>
      <c r="CR85" s="49"/>
      <c r="CS85" s="49"/>
      <c r="CT85" s="50">
        <f t="shared" si="53"/>
        <v>0</v>
      </c>
      <c r="CV85" s="49"/>
      <c r="CW85" s="49"/>
      <c r="CX85" s="50">
        <f t="shared" si="54"/>
        <v>0</v>
      </c>
      <c r="CZ85" s="49"/>
      <c r="DA85" s="49"/>
      <c r="DB85" s="50">
        <f t="shared" si="55"/>
        <v>0</v>
      </c>
      <c r="DD85" s="49"/>
      <c r="DE85" s="49"/>
      <c r="DF85" s="50">
        <f t="shared" si="56"/>
        <v>0</v>
      </c>
      <c r="DH85" s="49"/>
      <c r="DI85" s="49"/>
      <c r="DJ85" s="50">
        <f t="shared" si="57"/>
        <v>0</v>
      </c>
      <c r="DL85" s="49"/>
      <c r="DM85" s="49"/>
      <c r="DN85" s="50">
        <f t="shared" si="58"/>
        <v>0</v>
      </c>
      <c r="DP85" s="49"/>
      <c r="DQ85" s="49"/>
      <c r="DR85" s="50">
        <f t="shared" si="59"/>
        <v>0</v>
      </c>
      <c r="DT85" s="49"/>
      <c r="DU85" s="49"/>
      <c r="DV85" s="50">
        <f t="shared" si="60"/>
        <v>0</v>
      </c>
      <c r="DX85" s="49"/>
      <c r="DY85" s="49"/>
      <c r="DZ85" s="50">
        <f t="shared" si="61"/>
        <v>0</v>
      </c>
      <c r="EB85" s="49">
        <f t="shared" si="62"/>
        <v>0</v>
      </c>
      <c r="EC85" s="49">
        <f t="shared" si="62"/>
        <v>0</v>
      </c>
      <c r="ED85" s="49">
        <f t="shared" si="62"/>
        <v>0</v>
      </c>
    </row>
    <row r="86" spans="2:134" ht="11" customHeight="1" x14ac:dyDescent="0.35">
      <c r="B86" s="4">
        <v>111007</v>
      </c>
      <c r="C86" s="4" t="s">
        <v>92</v>
      </c>
      <c r="D86" s="4">
        <v>24</v>
      </c>
      <c r="E86" s="5">
        <v>18</v>
      </c>
      <c r="F86" s="6">
        <v>193.64193294</v>
      </c>
      <c r="G86" s="1"/>
      <c r="H86" s="49"/>
      <c r="I86" s="49"/>
      <c r="J86" s="50">
        <f t="shared" si="63"/>
        <v>0</v>
      </c>
      <c r="K86" s="9"/>
      <c r="L86" s="49"/>
      <c r="M86" s="49"/>
      <c r="N86" s="50">
        <f t="shared" si="32"/>
        <v>0</v>
      </c>
      <c r="O86" s="46"/>
      <c r="P86" s="49"/>
      <c r="Q86" s="49"/>
      <c r="R86" s="50">
        <f t="shared" si="33"/>
        <v>0</v>
      </c>
      <c r="T86" s="49"/>
      <c r="U86" s="49"/>
      <c r="V86" s="50">
        <f t="shared" si="34"/>
        <v>0</v>
      </c>
      <c r="X86" s="49"/>
      <c r="Y86" s="49"/>
      <c r="Z86" s="50">
        <f t="shared" si="35"/>
        <v>0</v>
      </c>
      <c r="AB86" s="49"/>
      <c r="AC86" s="49"/>
      <c r="AD86" s="50">
        <f t="shared" si="36"/>
        <v>0</v>
      </c>
      <c r="AF86" s="49"/>
      <c r="AG86" s="49"/>
      <c r="AH86" s="50">
        <f t="shared" si="37"/>
        <v>0</v>
      </c>
      <c r="AJ86" s="49"/>
      <c r="AK86" s="49"/>
      <c r="AL86" s="50">
        <f t="shared" si="38"/>
        <v>0</v>
      </c>
      <c r="AN86" s="49"/>
      <c r="AO86" s="49"/>
      <c r="AP86" s="50">
        <f t="shared" si="39"/>
        <v>0</v>
      </c>
      <c r="AR86" s="49"/>
      <c r="AS86" s="49"/>
      <c r="AT86" s="50">
        <f t="shared" si="40"/>
        <v>0</v>
      </c>
      <c r="AV86" s="49"/>
      <c r="AW86" s="49"/>
      <c r="AX86" s="50">
        <f t="shared" si="41"/>
        <v>0</v>
      </c>
      <c r="AZ86" s="49"/>
      <c r="BA86" s="49"/>
      <c r="BB86" s="50">
        <f t="shared" si="42"/>
        <v>0</v>
      </c>
      <c r="BD86" s="49"/>
      <c r="BE86" s="49"/>
      <c r="BF86" s="50">
        <f t="shared" si="43"/>
        <v>0</v>
      </c>
      <c r="BH86" s="49"/>
      <c r="BI86" s="49"/>
      <c r="BJ86" s="50">
        <f t="shared" si="44"/>
        <v>0</v>
      </c>
      <c r="BL86" s="49"/>
      <c r="BM86" s="49"/>
      <c r="BN86" s="50">
        <f t="shared" si="45"/>
        <v>0</v>
      </c>
      <c r="BP86" s="49"/>
      <c r="BQ86" s="49"/>
      <c r="BR86" s="50">
        <f t="shared" si="46"/>
        <v>0</v>
      </c>
      <c r="BT86" s="49"/>
      <c r="BU86" s="49"/>
      <c r="BV86" s="50">
        <f t="shared" si="47"/>
        <v>0</v>
      </c>
      <c r="BX86" s="49"/>
      <c r="BY86" s="49"/>
      <c r="BZ86" s="50">
        <f t="shared" si="48"/>
        <v>0</v>
      </c>
      <c r="CB86" s="49"/>
      <c r="CC86" s="49"/>
      <c r="CD86" s="50">
        <f t="shared" si="49"/>
        <v>0</v>
      </c>
      <c r="CF86" s="49"/>
      <c r="CG86" s="49"/>
      <c r="CH86" s="50">
        <f t="shared" si="50"/>
        <v>0</v>
      </c>
      <c r="CJ86" s="49"/>
      <c r="CK86" s="49"/>
      <c r="CL86" s="50">
        <f t="shared" si="51"/>
        <v>0</v>
      </c>
      <c r="CN86" s="49"/>
      <c r="CO86" s="49"/>
      <c r="CP86" s="50">
        <f t="shared" si="52"/>
        <v>0</v>
      </c>
      <c r="CR86" s="49"/>
      <c r="CS86" s="49"/>
      <c r="CT86" s="50">
        <f t="shared" si="53"/>
        <v>0</v>
      </c>
      <c r="CV86" s="49"/>
      <c r="CW86" s="49"/>
      <c r="CX86" s="50">
        <f t="shared" si="54"/>
        <v>0</v>
      </c>
      <c r="CZ86" s="49"/>
      <c r="DA86" s="49"/>
      <c r="DB86" s="50">
        <f t="shared" si="55"/>
        <v>0</v>
      </c>
      <c r="DD86" s="49"/>
      <c r="DE86" s="49"/>
      <c r="DF86" s="50">
        <f t="shared" si="56"/>
        <v>0</v>
      </c>
      <c r="DH86" s="49"/>
      <c r="DI86" s="49"/>
      <c r="DJ86" s="50">
        <f t="shared" si="57"/>
        <v>0</v>
      </c>
      <c r="DL86" s="49"/>
      <c r="DM86" s="49"/>
      <c r="DN86" s="50">
        <f t="shared" si="58"/>
        <v>0</v>
      </c>
      <c r="DP86" s="49"/>
      <c r="DQ86" s="49"/>
      <c r="DR86" s="50">
        <f t="shared" si="59"/>
        <v>0</v>
      </c>
      <c r="DT86" s="49"/>
      <c r="DU86" s="49"/>
      <c r="DV86" s="50">
        <f t="shared" si="60"/>
        <v>0</v>
      </c>
      <c r="DX86" s="49"/>
      <c r="DY86" s="49"/>
      <c r="DZ86" s="50">
        <f t="shared" si="61"/>
        <v>0</v>
      </c>
      <c r="EB86" s="49">
        <f t="shared" si="62"/>
        <v>0</v>
      </c>
      <c r="EC86" s="49">
        <f t="shared" si="62"/>
        <v>0</v>
      </c>
      <c r="ED86" s="49">
        <f t="shared" si="62"/>
        <v>0</v>
      </c>
    </row>
    <row r="87" spans="2:134" ht="11" customHeight="1" x14ac:dyDescent="0.35">
      <c r="B87" s="4">
        <v>111102</v>
      </c>
      <c r="C87" s="14" t="s">
        <v>93</v>
      </c>
      <c r="D87" s="4">
        <v>18</v>
      </c>
      <c r="E87" s="5">
        <v>18</v>
      </c>
      <c r="F87" s="6">
        <v>193.64193294</v>
      </c>
      <c r="G87" s="1"/>
      <c r="H87" s="49"/>
      <c r="I87" s="49"/>
      <c r="J87" s="50">
        <f t="shared" si="63"/>
        <v>0</v>
      </c>
      <c r="K87" s="9"/>
      <c r="L87" s="49"/>
      <c r="M87" s="49"/>
      <c r="N87" s="50">
        <f t="shared" si="32"/>
        <v>0</v>
      </c>
      <c r="O87" s="46"/>
      <c r="P87" s="49"/>
      <c r="Q87" s="49"/>
      <c r="R87" s="50">
        <f t="shared" si="33"/>
        <v>0</v>
      </c>
      <c r="T87" s="49"/>
      <c r="U87" s="49"/>
      <c r="V87" s="50">
        <f t="shared" si="34"/>
        <v>0</v>
      </c>
      <c r="X87" s="49"/>
      <c r="Y87" s="49"/>
      <c r="Z87" s="50">
        <f t="shared" si="35"/>
        <v>0</v>
      </c>
      <c r="AB87" s="49"/>
      <c r="AC87" s="49"/>
      <c r="AD87" s="50">
        <f t="shared" si="36"/>
        <v>0</v>
      </c>
      <c r="AF87" s="49"/>
      <c r="AG87" s="49"/>
      <c r="AH87" s="50">
        <f t="shared" si="37"/>
        <v>0</v>
      </c>
      <c r="AJ87" s="49"/>
      <c r="AK87" s="49"/>
      <c r="AL87" s="50">
        <f t="shared" si="38"/>
        <v>0</v>
      </c>
      <c r="AN87" s="49"/>
      <c r="AO87" s="49"/>
      <c r="AP87" s="50">
        <f t="shared" si="39"/>
        <v>0</v>
      </c>
      <c r="AR87" s="49"/>
      <c r="AS87" s="49"/>
      <c r="AT87" s="50">
        <f t="shared" si="40"/>
        <v>0</v>
      </c>
      <c r="AV87" s="49"/>
      <c r="AW87" s="49"/>
      <c r="AX87" s="50">
        <f t="shared" si="41"/>
        <v>0</v>
      </c>
      <c r="AZ87" s="49"/>
      <c r="BA87" s="49"/>
      <c r="BB87" s="50">
        <f t="shared" si="42"/>
        <v>0</v>
      </c>
      <c r="BD87" s="49"/>
      <c r="BE87" s="49"/>
      <c r="BF87" s="50">
        <f t="shared" si="43"/>
        <v>0</v>
      </c>
      <c r="BH87" s="49"/>
      <c r="BI87" s="49"/>
      <c r="BJ87" s="50">
        <f t="shared" si="44"/>
        <v>0</v>
      </c>
      <c r="BL87" s="49"/>
      <c r="BM87" s="49"/>
      <c r="BN87" s="50">
        <f t="shared" si="45"/>
        <v>0</v>
      </c>
      <c r="BP87" s="49"/>
      <c r="BQ87" s="49"/>
      <c r="BR87" s="50">
        <f t="shared" si="46"/>
        <v>0</v>
      </c>
      <c r="BT87" s="49"/>
      <c r="BU87" s="49"/>
      <c r="BV87" s="50">
        <f t="shared" si="47"/>
        <v>0</v>
      </c>
      <c r="BX87" s="49"/>
      <c r="BY87" s="49"/>
      <c r="BZ87" s="50">
        <f t="shared" si="48"/>
        <v>0</v>
      </c>
      <c r="CB87" s="49"/>
      <c r="CC87" s="49"/>
      <c r="CD87" s="50">
        <f t="shared" si="49"/>
        <v>0</v>
      </c>
      <c r="CF87" s="49"/>
      <c r="CG87" s="49"/>
      <c r="CH87" s="50">
        <f t="shared" si="50"/>
        <v>0</v>
      </c>
      <c r="CJ87" s="49"/>
      <c r="CK87" s="49"/>
      <c r="CL87" s="50">
        <f t="shared" si="51"/>
        <v>0</v>
      </c>
      <c r="CN87" s="49"/>
      <c r="CO87" s="49"/>
      <c r="CP87" s="50">
        <f t="shared" si="52"/>
        <v>0</v>
      </c>
      <c r="CR87" s="49"/>
      <c r="CS87" s="49"/>
      <c r="CT87" s="50">
        <f t="shared" si="53"/>
        <v>0</v>
      </c>
      <c r="CV87" s="49"/>
      <c r="CW87" s="49"/>
      <c r="CX87" s="50">
        <f t="shared" si="54"/>
        <v>0</v>
      </c>
      <c r="CZ87" s="49"/>
      <c r="DA87" s="49"/>
      <c r="DB87" s="50">
        <f t="shared" si="55"/>
        <v>0</v>
      </c>
      <c r="DD87" s="49"/>
      <c r="DE87" s="49"/>
      <c r="DF87" s="50">
        <f t="shared" si="56"/>
        <v>0</v>
      </c>
      <c r="DH87" s="49"/>
      <c r="DI87" s="49"/>
      <c r="DJ87" s="50">
        <f t="shared" si="57"/>
        <v>0</v>
      </c>
      <c r="DL87" s="49"/>
      <c r="DM87" s="49"/>
      <c r="DN87" s="50">
        <f t="shared" si="58"/>
        <v>0</v>
      </c>
      <c r="DP87" s="49"/>
      <c r="DQ87" s="49"/>
      <c r="DR87" s="50">
        <f t="shared" si="59"/>
        <v>0</v>
      </c>
      <c r="DT87" s="49"/>
      <c r="DU87" s="49"/>
      <c r="DV87" s="50">
        <f t="shared" si="60"/>
        <v>0</v>
      </c>
      <c r="DX87" s="49"/>
      <c r="DY87" s="49"/>
      <c r="DZ87" s="50">
        <f t="shared" si="61"/>
        <v>0</v>
      </c>
      <c r="EB87" s="49">
        <f t="shared" si="62"/>
        <v>0</v>
      </c>
      <c r="EC87" s="49">
        <f t="shared" si="62"/>
        <v>0</v>
      </c>
      <c r="ED87" s="49">
        <f t="shared" si="62"/>
        <v>0</v>
      </c>
    </row>
    <row r="88" spans="2:134" ht="11" customHeight="1" x14ac:dyDescent="0.35">
      <c r="B88" s="4">
        <v>111130</v>
      </c>
      <c r="C88" s="4" t="s">
        <v>94</v>
      </c>
      <c r="D88" s="4">
        <v>24</v>
      </c>
      <c r="E88" s="5">
        <v>18</v>
      </c>
      <c r="F88" s="6">
        <v>193.64193294</v>
      </c>
      <c r="G88" s="1"/>
      <c r="H88" s="49"/>
      <c r="I88" s="49"/>
      <c r="J88" s="50">
        <f t="shared" si="63"/>
        <v>0</v>
      </c>
      <c r="K88" s="9"/>
      <c r="L88" s="49"/>
      <c r="M88" s="49"/>
      <c r="N88" s="50">
        <f t="shared" si="32"/>
        <v>0</v>
      </c>
      <c r="O88" s="46"/>
      <c r="P88" s="49"/>
      <c r="Q88" s="49"/>
      <c r="R88" s="50">
        <f t="shared" si="33"/>
        <v>0</v>
      </c>
      <c r="T88" s="49"/>
      <c r="U88" s="49"/>
      <c r="V88" s="50">
        <f t="shared" si="34"/>
        <v>0</v>
      </c>
      <c r="X88" s="49"/>
      <c r="Y88" s="49"/>
      <c r="Z88" s="50">
        <f t="shared" si="35"/>
        <v>0</v>
      </c>
      <c r="AB88" s="49"/>
      <c r="AC88" s="49"/>
      <c r="AD88" s="50">
        <f t="shared" si="36"/>
        <v>0</v>
      </c>
      <c r="AF88" s="49"/>
      <c r="AG88" s="49"/>
      <c r="AH88" s="50">
        <f t="shared" si="37"/>
        <v>0</v>
      </c>
      <c r="AJ88" s="49"/>
      <c r="AK88" s="49"/>
      <c r="AL88" s="50">
        <f t="shared" si="38"/>
        <v>0</v>
      </c>
      <c r="AN88" s="49"/>
      <c r="AO88" s="49"/>
      <c r="AP88" s="50">
        <f t="shared" si="39"/>
        <v>0</v>
      </c>
      <c r="AR88" s="49"/>
      <c r="AS88" s="49"/>
      <c r="AT88" s="50">
        <f t="shared" si="40"/>
        <v>0</v>
      </c>
      <c r="AV88" s="49"/>
      <c r="AW88" s="49"/>
      <c r="AX88" s="50">
        <f t="shared" si="41"/>
        <v>0</v>
      </c>
      <c r="AZ88" s="49"/>
      <c r="BA88" s="49"/>
      <c r="BB88" s="50">
        <f t="shared" si="42"/>
        <v>0</v>
      </c>
      <c r="BD88" s="49"/>
      <c r="BE88" s="49"/>
      <c r="BF88" s="50">
        <f t="shared" si="43"/>
        <v>0</v>
      </c>
      <c r="BH88" s="49"/>
      <c r="BI88" s="49"/>
      <c r="BJ88" s="50">
        <f t="shared" si="44"/>
        <v>0</v>
      </c>
      <c r="BL88" s="49"/>
      <c r="BM88" s="49"/>
      <c r="BN88" s="50">
        <f t="shared" si="45"/>
        <v>0</v>
      </c>
      <c r="BP88" s="49"/>
      <c r="BQ88" s="49"/>
      <c r="BR88" s="50">
        <f t="shared" si="46"/>
        <v>0</v>
      </c>
      <c r="BT88" s="49"/>
      <c r="BU88" s="49"/>
      <c r="BV88" s="50">
        <f t="shared" si="47"/>
        <v>0</v>
      </c>
      <c r="BX88" s="49"/>
      <c r="BY88" s="49"/>
      <c r="BZ88" s="50">
        <f t="shared" si="48"/>
        <v>0</v>
      </c>
      <c r="CB88" s="49"/>
      <c r="CC88" s="49"/>
      <c r="CD88" s="50">
        <f t="shared" si="49"/>
        <v>0</v>
      </c>
      <c r="CF88" s="49"/>
      <c r="CG88" s="49"/>
      <c r="CH88" s="50">
        <f t="shared" si="50"/>
        <v>0</v>
      </c>
      <c r="CJ88" s="49"/>
      <c r="CK88" s="49"/>
      <c r="CL88" s="50">
        <f t="shared" si="51"/>
        <v>0</v>
      </c>
      <c r="CN88" s="49"/>
      <c r="CO88" s="49"/>
      <c r="CP88" s="50">
        <f t="shared" si="52"/>
        <v>0</v>
      </c>
      <c r="CR88" s="49"/>
      <c r="CS88" s="49"/>
      <c r="CT88" s="50">
        <f t="shared" si="53"/>
        <v>0</v>
      </c>
      <c r="CV88" s="49"/>
      <c r="CW88" s="49"/>
      <c r="CX88" s="50">
        <f t="shared" si="54"/>
        <v>0</v>
      </c>
      <c r="CZ88" s="49"/>
      <c r="DA88" s="49"/>
      <c r="DB88" s="50">
        <f t="shared" si="55"/>
        <v>0</v>
      </c>
      <c r="DD88" s="49"/>
      <c r="DE88" s="49"/>
      <c r="DF88" s="50">
        <f t="shared" si="56"/>
        <v>0</v>
      </c>
      <c r="DH88" s="49"/>
      <c r="DI88" s="49"/>
      <c r="DJ88" s="50">
        <f t="shared" si="57"/>
        <v>0</v>
      </c>
      <c r="DL88" s="49"/>
      <c r="DM88" s="49"/>
      <c r="DN88" s="50">
        <f t="shared" si="58"/>
        <v>0</v>
      </c>
      <c r="DP88" s="49"/>
      <c r="DQ88" s="49"/>
      <c r="DR88" s="50">
        <f t="shared" si="59"/>
        <v>0</v>
      </c>
      <c r="DT88" s="49"/>
      <c r="DU88" s="49"/>
      <c r="DV88" s="50">
        <f t="shared" si="60"/>
        <v>0</v>
      </c>
      <c r="DX88" s="49"/>
      <c r="DY88" s="49"/>
      <c r="DZ88" s="50">
        <f t="shared" si="61"/>
        <v>0</v>
      </c>
      <c r="EB88" s="49">
        <f t="shared" si="62"/>
        <v>0</v>
      </c>
      <c r="EC88" s="49">
        <f t="shared" si="62"/>
        <v>0</v>
      </c>
      <c r="ED88" s="49">
        <f t="shared" si="62"/>
        <v>0</v>
      </c>
    </row>
    <row r="89" spans="2:134" ht="11" customHeight="1" x14ac:dyDescent="0.35">
      <c r="B89" s="4">
        <v>111231</v>
      </c>
      <c r="C89" s="14" t="s">
        <v>95</v>
      </c>
      <c r="D89" s="4">
        <v>50</v>
      </c>
      <c r="E89" s="5">
        <v>18</v>
      </c>
      <c r="F89" s="6">
        <v>198.24524392000001</v>
      </c>
      <c r="G89" s="1"/>
      <c r="H89" s="49"/>
      <c r="I89" s="49"/>
      <c r="J89" s="50">
        <f t="shared" si="63"/>
        <v>0</v>
      </c>
      <c r="K89" s="9"/>
      <c r="L89" s="49"/>
      <c r="M89" s="49"/>
      <c r="N89" s="50">
        <f t="shared" si="32"/>
        <v>0</v>
      </c>
      <c r="O89" s="46"/>
      <c r="P89" s="49"/>
      <c r="Q89" s="49"/>
      <c r="R89" s="50">
        <f t="shared" si="33"/>
        <v>0</v>
      </c>
      <c r="T89" s="49"/>
      <c r="U89" s="49"/>
      <c r="V89" s="50">
        <f t="shared" si="34"/>
        <v>0</v>
      </c>
      <c r="X89" s="49"/>
      <c r="Y89" s="49"/>
      <c r="Z89" s="50">
        <f t="shared" si="35"/>
        <v>0</v>
      </c>
      <c r="AB89" s="49"/>
      <c r="AC89" s="49"/>
      <c r="AD89" s="50">
        <f t="shared" si="36"/>
        <v>0</v>
      </c>
      <c r="AF89" s="49"/>
      <c r="AG89" s="49"/>
      <c r="AH89" s="50">
        <f t="shared" si="37"/>
        <v>0</v>
      </c>
      <c r="AJ89" s="49"/>
      <c r="AK89" s="49"/>
      <c r="AL89" s="50">
        <f t="shared" si="38"/>
        <v>0</v>
      </c>
      <c r="AN89" s="49"/>
      <c r="AO89" s="49"/>
      <c r="AP89" s="50">
        <f t="shared" si="39"/>
        <v>0</v>
      </c>
      <c r="AR89" s="49"/>
      <c r="AS89" s="49"/>
      <c r="AT89" s="50">
        <f t="shared" si="40"/>
        <v>0</v>
      </c>
      <c r="AV89" s="49"/>
      <c r="AW89" s="49"/>
      <c r="AX89" s="50">
        <f t="shared" si="41"/>
        <v>0</v>
      </c>
      <c r="AZ89" s="49"/>
      <c r="BA89" s="49"/>
      <c r="BB89" s="50">
        <f t="shared" si="42"/>
        <v>0</v>
      </c>
      <c r="BD89" s="49"/>
      <c r="BE89" s="49"/>
      <c r="BF89" s="50">
        <f t="shared" si="43"/>
        <v>0</v>
      </c>
      <c r="BH89" s="49"/>
      <c r="BI89" s="49"/>
      <c r="BJ89" s="50">
        <f t="shared" si="44"/>
        <v>0</v>
      </c>
      <c r="BL89" s="49"/>
      <c r="BM89" s="49"/>
      <c r="BN89" s="50">
        <f t="shared" si="45"/>
        <v>0</v>
      </c>
      <c r="BP89" s="49"/>
      <c r="BQ89" s="49"/>
      <c r="BR89" s="50">
        <f t="shared" si="46"/>
        <v>0</v>
      </c>
      <c r="BT89" s="49"/>
      <c r="BU89" s="49"/>
      <c r="BV89" s="50">
        <f t="shared" si="47"/>
        <v>0</v>
      </c>
      <c r="BX89" s="49"/>
      <c r="BY89" s="49"/>
      <c r="BZ89" s="50">
        <f t="shared" si="48"/>
        <v>0</v>
      </c>
      <c r="CB89" s="49"/>
      <c r="CC89" s="49"/>
      <c r="CD89" s="50">
        <f t="shared" si="49"/>
        <v>0</v>
      </c>
      <c r="CF89" s="49"/>
      <c r="CG89" s="49"/>
      <c r="CH89" s="50">
        <f t="shared" si="50"/>
        <v>0</v>
      </c>
      <c r="CJ89" s="49"/>
      <c r="CK89" s="49"/>
      <c r="CL89" s="50">
        <f t="shared" si="51"/>
        <v>0</v>
      </c>
      <c r="CN89" s="49"/>
      <c r="CO89" s="49"/>
      <c r="CP89" s="50">
        <f t="shared" si="52"/>
        <v>0</v>
      </c>
      <c r="CR89" s="49"/>
      <c r="CS89" s="49"/>
      <c r="CT89" s="50">
        <f t="shared" si="53"/>
        <v>0</v>
      </c>
      <c r="CV89" s="49"/>
      <c r="CW89" s="49"/>
      <c r="CX89" s="50">
        <f t="shared" si="54"/>
        <v>0</v>
      </c>
      <c r="CZ89" s="49"/>
      <c r="DA89" s="49"/>
      <c r="DB89" s="50">
        <f t="shared" si="55"/>
        <v>0</v>
      </c>
      <c r="DD89" s="49"/>
      <c r="DE89" s="49"/>
      <c r="DF89" s="50">
        <f t="shared" si="56"/>
        <v>0</v>
      </c>
      <c r="DH89" s="49"/>
      <c r="DI89" s="49"/>
      <c r="DJ89" s="50">
        <f t="shared" si="57"/>
        <v>0</v>
      </c>
      <c r="DL89" s="49"/>
      <c r="DM89" s="49"/>
      <c r="DN89" s="50">
        <f t="shared" si="58"/>
        <v>0</v>
      </c>
      <c r="DP89" s="49"/>
      <c r="DQ89" s="49"/>
      <c r="DR89" s="50">
        <f t="shared" si="59"/>
        <v>0</v>
      </c>
      <c r="DT89" s="49"/>
      <c r="DU89" s="49"/>
      <c r="DV89" s="50">
        <f t="shared" si="60"/>
        <v>0</v>
      </c>
      <c r="DX89" s="49"/>
      <c r="DY89" s="49"/>
      <c r="DZ89" s="50">
        <f t="shared" si="61"/>
        <v>0</v>
      </c>
      <c r="EB89" s="49">
        <f t="shared" si="62"/>
        <v>0</v>
      </c>
      <c r="EC89" s="49">
        <f t="shared" si="62"/>
        <v>0</v>
      </c>
      <c r="ED89" s="49">
        <f t="shared" si="62"/>
        <v>0</v>
      </c>
    </row>
    <row r="90" spans="2:134" ht="11" customHeight="1" x14ac:dyDescent="0.35">
      <c r="B90" s="4">
        <v>101038</v>
      </c>
      <c r="C90" s="14" t="s">
        <v>96</v>
      </c>
      <c r="D90" s="4">
        <v>24</v>
      </c>
      <c r="E90" s="5">
        <v>24</v>
      </c>
      <c r="F90" s="6">
        <v>189.29879107400001</v>
      </c>
      <c r="G90" s="1"/>
      <c r="H90" s="49"/>
      <c r="I90" s="49"/>
      <c r="J90" s="50">
        <f t="shared" si="63"/>
        <v>0</v>
      </c>
      <c r="K90" s="9"/>
      <c r="L90" s="49"/>
      <c r="M90" s="49"/>
      <c r="N90" s="50">
        <f t="shared" si="32"/>
        <v>0</v>
      </c>
      <c r="O90" s="46"/>
      <c r="P90" s="49"/>
      <c r="Q90" s="49"/>
      <c r="R90" s="50">
        <f t="shared" si="33"/>
        <v>0</v>
      </c>
      <c r="T90" s="49"/>
      <c r="U90" s="49"/>
      <c r="V90" s="50">
        <f t="shared" si="34"/>
        <v>0</v>
      </c>
      <c r="X90" s="49"/>
      <c r="Y90" s="49"/>
      <c r="Z90" s="50">
        <f t="shared" si="35"/>
        <v>0</v>
      </c>
      <c r="AB90" s="49"/>
      <c r="AC90" s="49"/>
      <c r="AD90" s="50">
        <f t="shared" si="36"/>
        <v>0</v>
      </c>
      <c r="AF90" s="49"/>
      <c r="AG90" s="49"/>
      <c r="AH90" s="50">
        <f t="shared" si="37"/>
        <v>0</v>
      </c>
      <c r="AJ90" s="49"/>
      <c r="AK90" s="49"/>
      <c r="AL90" s="50">
        <f t="shared" si="38"/>
        <v>0</v>
      </c>
      <c r="AN90" s="49"/>
      <c r="AO90" s="49"/>
      <c r="AP90" s="50">
        <f t="shared" si="39"/>
        <v>0</v>
      </c>
      <c r="AR90" s="49"/>
      <c r="AS90" s="49"/>
      <c r="AT90" s="50">
        <f t="shared" si="40"/>
        <v>0</v>
      </c>
      <c r="AV90" s="49"/>
      <c r="AW90" s="49"/>
      <c r="AX90" s="50">
        <f t="shared" si="41"/>
        <v>0</v>
      </c>
      <c r="AZ90" s="49"/>
      <c r="BA90" s="49"/>
      <c r="BB90" s="50">
        <f t="shared" si="42"/>
        <v>0</v>
      </c>
      <c r="BD90" s="49"/>
      <c r="BE90" s="49"/>
      <c r="BF90" s="50">
        <f t="shared" si="43"/>
        <v>0</v>
      </c>
      <c r="BH90" s="49"/>
      <c r="BI90" s="49"/>
      <c r="BJ90" s="50">
        <f t="shared" si="44"/>
        <v>0</v>
      </c>
      <c r="BL90" s="49"/>
      <c r="BM90" s="49"/>
      <c r="BN90" s="50">
        <f t="shared" si="45"/>
        <v>0</v>
      </c>
      <c r="BP90" s="49"/>
      <c r="BQ90" s="49"/>
      <c r="BR90" s="50">
        <f t="shared" si="46"/>
        <v>0</v>
      </c>
      <c r="BT90" s="49"/>
      <c r="BU90" s="49"/>
      <c r="BV90" s="50">
        <f t="shared" si="47"/>
        <v>0</v>
      </c>
      <c r="BX90" s="49"/>
      <c r="BY90" s="49"/>
      <c r="BZ90" s="50">
        <f t="shared" si="48"/>
        <v>0</v>
      </c>
      <c r="CB90" s="49"/>
      <c r="CC90" s="49"/>
      <c r="CD90" s="50">
        <f t="shared" si="49"/>
        <v>0</v>
      </c>
      <c r="CF90" s="49"/>
      <c r="CG90" s="49"/>
      <c r="CH90" s="50">
        <f t="shared" si="50"/>
        <v>0</v>
      </c>
      <c r="CJ90" s="49"/>
      <c r="CK90" s="49"/>
      <c r="CL90" s="50">
        <f t="shared" si="51"/>
        <v>0</v>
      </c>
      <c r="CN90" s="49"/>
      <c r="CO90" s="49"/>
      <c r="CP90" s="50">
        <f t="shared" si="52"/>
        <v>0</v>
      </c>
      <c r="CR90" s="49"/>
      <c r="CS90" s="49"/>
      <c r="CT90" s="50">
        <f t="shared" si="53"/>
        <v>0</v>
      </c>
      <c r="CV90" s="49"/>
      <c r="CW90" s="49"/>
      <c r="CX90" s="50">
        <f t="shared" si="54"/>
        <v>0</v>
      </c>
      <c r="CZ90" s="49"/>
      <c r="DA90" s="49"/>
      <c r="DB90" s="50">
        <f t="shared" si="55"/>
        <v>0</v>
      </c>
      <c r="DD90" s="49"/>
      <c r="DE90" s="49"/>
      <c r="DF90" s="50">
        <f t="shared" si="56"/>
        <v>0</v>
      </c>
      <c r="DH90" s="49"/>
      <c r="DI90" s="49"/>
      <c r="DJ90" s="50">
        <f t="shared" si="57"/>
        <v>0</v>
      </c>
      <c r="DL90" s="49"/>
      <c r="DM90" s="49"/>
      <c r="DN90" s="50">
        <f t="shared" si="58"/>
        <v>0</v>
      </c>
      <c r="DP90" s="49"/>
      <c r="DQ90" s="49"/>
      <c r="DR90" s="50">
        <f t="shared" si="59"/>
        <v>0</v>
      </c>
      <c r="DT90" s="49"/>
      <c r="DU90" s="49"/>
      <c r="DV90" s="50">
        <f t="shared" si="60"/>
        <v>0</v>
      </c>
      <c r="DX90" s="49"/>
      <c r="DY90" s="49"/>
      <c r="DZ90" s="50">
        <f t="shared" si="61"/>
        <v>0</v>
      </c>
      <c r="EB90" s="49">
        <f t="shared" si="62"/>
        <v>0</v>
      </c>
      <c r="EC90" s="49">
        <f t="shared" si="62"/>
        <v>0</v>
      </c>
      <c r="ED90" s="49">
        <f t="shared" si="62"/>
        <v>0</v>
      </c>
    </row>
    <row r="91" spans="2:134" ht="11" customHeight="1" x14ac:dyDescent="0.35">
      <c r="B91" s="4">
        <v>101936</v>
      </c>
      <c r="C91" s="14" t="s">
        <v>97</v>
      </c>
      <c r="D91" s="4">
        <v>12</v>
      </c>
      <c r="E91" s="5">
        <v>8</v>
      </c>
      <c r="F91" s="6">
        <v>481.09632499999998</v>
      </c>
      <c r="G91" s="1"/>
      <c r="H91" s="49"/>
      <c r="I91" s="49"/>
      <c r="J91" s="50">
        <f t="shared" si="63"/>
        <v>0</v>
      </c>
      <c r="K91" s="9"/>
      <c r="L91" s="49"/>
      <c r="M91" s="49"/>
      <c r="N91" s="50">
        <f t="shared" si="32"/>
        <v>0</v>
      </c>
      <c r="O91" s="46"/>
      <c r="P91" s="49"/>
      <c r="Q91" s="49"/>
      <c r="R91" s="50">
        <f t="shared" si="33"/>
        <v>0</v>
      </c>
      <c r="T91" s="49"/>
      <c r="U91" s="49"/>
      <c r="V91" s="50">
        <f t="shared" si="34"/>
        <v>0</v>
      </c>
      <c r="X91" s="49"/>
      <c r="Y91" s="49"/>
      <c r="Z91" s="50">
        <f t="shared" si="35"/>
        <v>0</v>
      </c>
      <c r="AB91" s="49"/>
      <c r="AC91" s="49"/>
      <c r="AD91" s="50">
        <f t="shared" si="36"/>
        <v>0</v>
      </c>
      <c r="AF91" s="49"/>
      <c r="AG91" s="49"/>
      <c r="AH91" s="50">
        <f t="shared" si="37"/>
        <v>0</v>
      </c>
      <c r="AJ91" s="49"/>
      <c r="AK91" s="49"/>
      <c r="AL91" s="50">
        <f t="shared" si="38"/>
        <v>0</v>
      </c>
      <c r="AN91" s="49"/>
      <c r="AO91" s="49"/>
      <c r="AP91" s="50">
        <f t="shared" si="39"/>
        <v>0</v>
      </c>
      <c r="AR91" s="49"/>
      <c r="AS91" s="49"/>
      <c r="AT91" s="50">
        <f t="shared" si="40"/>
        <v>0</v>
      </c>
      <c r="AV91" s="49"/>
      <c r="AW91" s="49"/>
      <c r="AX91" s="50">
        <f t="shared" si="41"/>
        <v>0</v>
      </c>
      <c r="AZ91" s="49"/>
      <c r="BA91" s="49"/>
      <c r="BB91" s="50">
        <f t="shared" si="42"/>
        <v>0</v>
      </c>
      <c r="BD91" s="49"/>
      <c r="BE91" s="49"/>
      <c r="BF91" s="50">
        <f t="shared" si="43"/>
        <v>0</v>
      </c>
      <c r="BH91" s="49"/>
      <c r="BI91" s="49"/>
      <c r="BJ91" s="50">
        <f t="shared" si="44"/>
        <v>0</v>
      </c>
      <c r="BL91" s="49"/>
      <c r="BM91" s="49"/>
      <c r="BN91" s="50">
        <f t="shared" si="45"/>
        <v>0</v>
      </c>
      <c r="BP91" s="49"/>
      <c r="BQ91" s="49"/>
      <c r="BR91" s="50">
        <f t="shared" si="46"/>
        <v>0</v>
      </c>
      <c r="BT91" s="49"/>
      <c r="BU91" s="49"/>
      <c r="BV91" s="50">
        <f t="shared" si="47"/>
        <v>0</v>
      </c>
      <c r="BX91" s="49"/>
      <c r="BY91" s="49"/>
      <c r="BZ91" s="50">
        <f t="shared" si="48"/>
        <v>0</v>
      </c>
      <c r="CB91" s="49"/>
      <c r="CC91" s="49"/>
      <c r="CD91" s="50">
        <f t="shared" si="49"/>
        <v>0</v>
      </c>
      <c r="CF91" s="49"/>
      <c r="CG91" s="49"/>
      <c r="CH91" s="50">
        <f t="shared" si="50"/>
        <v>0</v>
      </c>
      <c r="CJ91" s="49"/>
      <c r="CK91" s="49"/>
      <c r="CL91" s="50">
        <f t="shared" si="51"/>
        <v>0</v>
      </c>
      <c r="CN91" s="49"/>
      <c r="CO91" s="49"/>
      <c r="CP91" s="50">
        <f t="shared" si="52"/>
        <v>0</v>
      </c>
      <c r="CR91" s="49"/>
      <c r="CS91" s="49"/>
      <c r="CT91" s="50">
        <f t="shared" si="53"/>
        <v>0</v>
      </c>
      <c r="CV91" s="49"/>
      <c r="CW91" s="49"/>
      <c r="CX91" s="50">
        <f t="shared" si="54"/>
        <v>0</v>
      </c>
      <c r="CZ91" s="49"/>
      <c r="DA91" s="49"/>
      <c r="DB91" s="50">
        <f t="shared" si="55"/>
        <v>0</v>
      </c>
      <c r="DD91" s="49"/>
      <c r="DE91" s="49"/>
      <c r="DF91" s="50">
        <f t="shared" si="56"/>
        <v>0</v>
      </c>
      <c r="DH91" s="49"/>
      <c r="DI91" s="49"/>
      <c r="DJ91" s="50">
        <f t="shared" si="57"/>
        <v>0</v>
      </c>
      <c r="DL91" s="49"/>
      <c r="DM91" s="49"/>
      <c r="DN91" s="50">
        <f t="shared" si="58"/>
        <v>0</v>
      </c>
      <c r="DP91" s="49"/>
      <c r="DQ91" s="49"/>
      <c r="DR91" s="50">
        <f t="shared" si="59"/>
        <v>0</v>
      </c>
      <c r="DT91" s="49"/>
      <c r="DU91" s="49"/>
      <c r="DV91" s="50">
        <f t="shared" si="60"/>
        <v>0</v>
      </c>
      <c r="DX91" s="49"/>
      <c r="DY91" s="49"/>
      <c r="DZ91" s="50">
        <f t="shared" si="61"/>
        <v>0</v>
      </c>
      <c r="EB91" s="49">
        <f t="shared" si="62"/>
        <v>0</v>
      </c>
      <c r="EC91" s="49">
        <f t="shared" si="62"/>
        <v>0</v>
      </c>
      <c r="ED91" s="49">
        <f t="shared" si="62"/>
        <v>0</v>
      </c>
    </row>
    <row r="92" spans="2:134" ht="11" customHeight="1" x14ac:dyDescent="0.35">
      <c r="B92" s="4">
        <v>106021</v>
      </c>
      <c r="C92" s="14" t="s">
        <v>98</v>
      </c>
      <c r="D92" s="4">
        <v>24</v>
      </c>
      <c r="E92" s="5">
        <v>18</v>
      </c>
      <c r="F92" s="6">
        <v>189.29879107400001</v>
      </c>
      <c r="G92" s="1"/>
      <c r="H92" s="49"/>
      <c r="I92" s="49"/>
      <c r="J92" s="50">
        <f t="shared" si="63"/>
        <v>0</v>
      </c>
      <c r="K92" s="9"/>
      <c r="L92" s="49"/>
      <c r="M92" s="49"/>
      <c r="N92" s="50">
        <f t="shared" si="32"/>
        <v>0</v>
      </c>
      <c r="O92" s="46"/>
      <c r="P92" s="49"/>
      <c r="Q92" s="49"/>
      <c r="R92" s="50">
        <f t="shared" si="33"/>
        <v>0</v>
      </c>
      <c r="T92" s="49"/>
      <c r="U92" s="49"/>
      <c r="V92" s="50">
        <f t="shared" si="34"/>
        <v>0</v>
      </c>
      <c r="X92" s="49"/>
      <c r="Y92" s="49"/>
      <c r="Z92" s="50">
        <f t="shared" si="35"/>
        <v>0</v>
      </c>
      <c r="AB92" s="49"/>
      <c r="AC92" s="49"/>
      <c r="AD92" s="50">
        <f t="shared" si="36"/>
        <v>0</v>
      </c>
      <c r="AF92" s="49"/>
      <c r="AG92" s="49"/>
      <c r="AH92" s="50">
        <f t="shared" si="37"/>
        <v>0</v>
      </c>
      <c r="AJ92" s="49"/>
      <c r="AK92" s="49"/>
      <c r="AL92" s="50">
        <f t="shared" si="38"/>
        <v>0</v>
      </c>
      <c r="AN92" s="49"/>
      <c r="AO92" s="49"/>
      <c r="AP92" s="50">
        <f t="shared" si="39"/>
        <v>0</v>
      </c>
      <c r="AR92" s="49"/>
      <c r="AS92" s="49"/>
      <c r="AT92" s="50">
        <f t="shared" si="40"/>
        <v>0</v>
      </c>
      <c r="AV92" s="49"/>
      <c r="AW92" s="49"/>
      <c r="AX92" s="50">
        <f t="shared" si="41"/>
        <v>0</v>
      </c>
      <c r="AZ92" s="49"/>
      <c r="BA92" s="49"/>
      <c r="BB92" s="50">
        <f t="shared" si="42"/>
        <v>0</v>
      </c>
      <c r="BD92" s="49"/>
      <c r="BE92" s="49"/>
      <c r="BF92" s="50">
        <f t="shared" si="43"/>
        <v>0</v>
      </c>
      <c r="BH92" s="49"/>
      <c r="BI92" s="49"/>
      <c r="BJ92" s="50">
        <f t="shared" si="44"/>
        <v>0</v>
      </c>
      <c r="BL92" s="49"/>
      <c r="BM92" s="49"/>
      <c r="BN92" s="50">
        <f t="shared" si="45"/>
        <v>0</v>
      </c>
      <c r="BP92" s="49"/>
      <c r="BQ92" s="49"/>
      <c r="BR92" s="50">
        <f t="shared" si="46"/>
        <v>0</v>
      </c>
      <c r="BT92" s="49"/>
      <c r="BU92" s="49"/>
      <c r="BV92" s="50">
        <f t="shared" si="47"/>
        <v>0</v>
      </c>
      <c r="BX92" s="49"/>
      <c r="BY92" s="49"/>
      <c r="BZ92" s="50">
        <f t="shared" si="48"/>
        <v>0</v>
      </c>
      <c r="CB92" s="49"/>
      <c r="CC92" s="49"/>
      <c r="CD92" s="50">
        <f t="shared" si="49"/>
        <v>0</v>
      </c>
      <c r="CF92" s="49"/>
      <c r="CG92" s="49"/>
      <c r="CH92" s="50">
        <f t="shared" si="50"/>
        <v>0</v>
      </c>
      <c r="CJ92" s="49"/>
      <c r="CK92" s="49"/>
      <c r="CL92" s="50">
        <f t="shared" si="51"/>
        <v>0</v>
      </c>
      <c r="CN92" s="49"/>
      <c r="CO92" s="49"/>
      <c r="CP92" s="50">
        <f t="shared" si="52"/>
        <v>0</v>
      </c>
      <c r="CR92" s="49"/>
      <c r="CS92" s="49"/>
      <c r="CT92" s="50">
        <f t="shared" si="53"/>
        <v>0</v>
      </c>
      <c r="CV92" s="49"/>
      <c r="CW92" s="49"/>
      <c r="CX92" s="50">
        <f t="shared" si="54"/>
        <v>0</v>
      </c>
      <c r="CZ92" s="49"/>
      <c r="DA92" s="49"/>
      <c r="DB92" s="50">
        <f t="shared" si="55"/>
        <v>0</v>
      </c>
      <c r="DD92" s="49"/>
      <c r="DE92" s="49"/>
      <c r="DF92" s="50">
        <f t="shared" si="56"/>
        <v>0</v>
      </c>
      <c r="DH92" s="49"/>
      <c r="DI92" s="49"/>
      <c r="DJ92" s="50">
        <f t="shared" si="57"/>
        <v>0</v>
      </c>
      <c r="DL92" s="49"/>
      <c r="DM92" s="49"/>
      <c r="DN92" s="50">
        <f t="shared" si="58"/>
        <v>0</v>
      </c>
      <c r="DP92" s="49"/>
      <c r="DQ92" s="49"/>
      <c r="DR92" s="50">
        <f t="shared" si="59"/>
        <v>0</v>
      </c>
      <c r="DT92" s="49"/>
      <c r="DU92" s="49"/>
      <c r="DV92" s="50">
        <f t="shared" si="60"/>
        <v>0</v>
      </c>
      <c r="DX92" s="49"/>
      <c r="DY92" s="49"/>
      <c r="DZ92" s="50">
        <f t="shared" si="61"/>
        <v>0</v>
      </c>
      <c r="EB92" s="49">
        <f t="shared" si="62"/>
        <v>0</v>
      </c>
      <c r="EC92" s="49">
        <f t="shared" si="62"/>
        <v>0</v>
      </c>
      <c r="ED92" s="49">
        <f t="shared" si="62"/>
        <v>0</v>
      </c>
    </row>
    <row r="93" spans="2:134" ht="11" customHeight="1" x14ac:dyDescent="0.35">
      <c r="B93" s="4">
        <v>106510</v>
      </c>
      <c r="C93" s="14" t="s">
        <v>99</v>
      </c>
      <c r="D93" s="4">
        <v>12</v>
      </c>
      <c r="E93" s="5">
        <v>18</v>
      </c>
      <c r="F93" s="6">
        <v>190.31564392000001</v>
      </c>
      <c r="G93" s="1"/>
      <c r="H93" s="49"/>
      <c r="I93" s="49"/>
      <c r="J93" s="50">
        <f t="shared" si="63"/>
        <v>0</v>
      </c>
      <c r="K93" s="9"/>
      <c r="L93" s="49"/>
      <c r="M93" s="49"/>
      <c r="N93" s="50">
        <f t="shared" si="32"/>
        <v>0</v>
      </c>
      <c r="O93" s="46"/>
      <c r="P93" s="49"/>
      <c r="Q93" s="49"/>
      <c r="R93" s="50">
        <f t="shared" si="33"/>
        <v>0</v>
      </c>
      <c r="T93" s="49"/>
      <c r="U93" s="49"/>
      <c r="V93" s="50">
        <f t="shared" si="34"/>
        <v>0</v>
      </c>
      <c r="X93" s="49"/>
      <c r="Y93" s="49"/>
      <c r="Z93" s="50">
        <f t="shared" si="35"/>
        <v>0</v>
      </c>
      <c r="AB93" s="49"/>
      <c r="AC93" s="49"/>
      <c r="AD93" s="50">
        <f t="shared" si="36"/>
        <v>0</v>
      </c>
      <c r="AF93" s="49"/>
      <c r="AG93" s="49"/>
      <c r="AH93" s="50">
        <f t="shared" si="37"/>
        <v>0</v>
      </c>
      <c r="AJ93" s="49"/>
      <c r="AK93" s="49"/>
      <c r="AL93" s="50">
        <f t="shared" si="38"/>
        <v>0</v>
      </c>
      <c r="AN93" s="49"/>
      <c r="AO93" s="49"/>
      <c r="AP93" s="50">
        <f t="shared" si="39"/>
        <v>0</v>
      </c>
      <c r="AR93" s="49"/>
      <c r="AS93" s="49"/>
      <c r="AT93" s="50">
        <f t="shared" si="40"/>
        <v>0</v>
      </c>
      <c r="AV93" s="49"/>
      <c r="AW93" s="49"/>
      <c r="AX93" s="50">
        <f t="shared" si="41"/>
        <v>0</v>
      </c>
      <c r="AZ93" s="49"/>
      <c r="BA93" s="49"/>
      <c r="BB93" s="50">
        <f t="shared" si="42"/>
        <v>0</v>
      </c>
      <c r="BD93" s="49"/>
      <c r="BE93" s="49"/>
      <c r="BF93" s="50">
        <f t="shared" si="43"/>
        <v>0</v>
      </c>
      <c r="BH93" s="49"/>
      <c r="BI93" s="49"/>
      <c r="BJ93" s="50">
        <f t="shared" si="44"/>
        <v>0</v>
      </c>
      <c r="BL93" s="49"/>
      <c r="BM93" s="49"/>
      <c r="BN93" s="50">
        <f t="shared" si="45"/>
        <v>0</v>
      </c>
      <c r="BP93" s="49"/>
      <c r="BQ93" s="49"/>
      <c r="BR93" s="50">
        <f t="shared" si="46"/>
        <v>0</v>
      </c>
      <c r="BT93" s="49"/>
      <c r="BU93" s="49"/>
      <c r="BV93" s="50">
        <f t="shared" si="47"/>
        <v>0</v>
      </c>
      <c r="BX93" s="49"/>
      <c r="BY93" s="49"/>
      <c r="BZ93" s="50">
        <f t="shared" si="48"/>
        <v>0</v>
      </c>
      <c r="CB93" s="49"/>
      <c r="CC93" s="49"/>
      <c r="CD93" s="50">
        <f t="shared" si="49"/>
        <v>0</v>
      </c>
      <c r="CF93" s="49"/>
      <c r="CG93" s="49"/>
      <c r="CH93" s="50">
        <f t="shared" si="50"/>
        <v>0</v>
      </c>
      <c r="CJ93" s="49"/>
      <c r="CK93" s="49"/>
      <c r="CL93" s="50">
        <f t="shared" si="51"/>
        <v>0</v>
      </c>
      <c r="CN93" s="49"/>
      <c r="CO93" s="49"/>
      <c r="CP93" s="50">
        <f t="shared" si="52"/>
        <v>0</v>
      </c>
      <c r="CR93" s="49"/>
      <c r="CS93" s="49"/>
      <c r="CT93" s="50">
        <f t="shared" si="53"/>
        <v>0</v>
      </c>
      <c r="CV93" s="49"/>
      <c r="CW93" s="49"/>
      <c r="CX93" s="50">
        <f t="shared" si="54"/>
        <v>0</v>
      </c>
      <c r="CZ93" s="49"/>
      <c r="DA93" s="49"/>
      <c r="DB93" s="50">
        <f t="shared" si="55"/>
        <v>0</v>
      </c>
      <c r="DD93" s="49"/>
      <c r="DE93" s="49"/>
      <c r="DF93" s="50">
        <f t="shared" si="56"/>
        <v>0</v>
      </c>
      <c r="DH93" s="49"/>
      <c r="DI93" s="49"/>
      <c r="DJ93" s="50">
        <f t="shared" si="57"/>
        <v>0</v>
      </c>
      <c r="DL93" s="49"/>
      <c r="DM93" s="49"/>
      <c r="DN93" s="50">
        <f t="shared" si="58"/>
        <v>0</v>
      </c>
      <c r="DP93" s="49"/>
      <c r="DQ93" s="49"/>
      <c r="DR93" s="50">
        <f t="shared" si="59"/>
        <v>0</v>
      </c>
      <c r="DT93" s="49"/>
      <c r="DU93" s="49"/>
      <c r="DV93" s="50">
        <f t="shared" si="60"/>
        <v>0</v>
      </c>
      <c r="DX93" s="49"/>
      <c r="DY93" s="49"/>
      <c r="DZ93" s="50">
        <f t="shared" si="61"/>
        <v>0</v>
      </c>
      <c r="EB93" s="49">
        <f t="shared" si="62"/>
        <v>0</v>
      </c>
      <c r="EC93" s="49">
        <f t="shared" si="62"/>
        <v>0</v>
      </c>
      <c r="ED93" s="49">
        <f t="shared" si="62"/>
        <v>0</v>
      </c>
    </row>
    <row r="94" spans="2:134" ht="11" customHeight="1" x14ac:dyDescent="0.35">
      <c r="B94" s="4">
        <v>111201</v>
      </c>
      <c r="C94" s="14" t="s">
        <v>100</v>
      </c>
      <c r="D94" s="4">
        <v>50</v>
      </c>
      <c r="E94" s="5">
        <v>18</v>
      </c>
      <c r="F94" s="6">
        <v>198.24524392000001</v>
      </c>
      <c r="G94" s="1"/>
      <c r="H94" s="49"/>
      <c r="I94" s="49"/>
      <c r="J94" s="50">
        <f t="shared" si="63"/>
        <v>0</v>
      </c>
      <c r="K94" s="9"/>
      <c r="L94" s="49"/>
      <c r="M94" s="49"/>
      <c r="N94" s="50">
        <f t="shared" si="32"/>
        <v>0</v>
      </c>
      <c r="O94" s="46"/>
      <c r="P94" s="49"/>
      <c r="Q94" s="49"/>
      <c r="R94" s="50">
        <f t="shared" si="33"/>
        <v>0</v>
      </c>
      <c r="T94" s="49"/>
      <c r="U94" s="49"/>
      <c r="V94" s="50">
        <f t="shared" si="34"/>
        <v>0</v>
      </c>
      <c r="X94" s="49"/>
      <c r="Y94" s="49"/>
      <c r="Z94" s="50">
        <f t="shared" si="35"/>
        <v>0</v>
      </c>
      <c r="AB94" s="49"/>
      <c r="AC94" s="49"/>
      <c r="AD94" s="50">
        <f t="shared" si="36"/>
        <v>0</v>
      </c>
      <c r="AF94" s="49"/>
      <c r="AG94" s="49"/>
      <c r="AH94" s="50">
        <f t="shared" si="37"/>
        <v>0</v>
      </c>
      <c r="AJ94" s="49"/>
      <c r="AK94" s="49"/>
      <c r="AL94" s="50">
        <f t="shared" si="38"/>
        <v>0</v>
      </c>
      <c r="AN94" s="49"/>
      <c r="AO94" s="49"/>
      <c r="AP94" s="50">
        <f t="shared" si="39"/>
        <v>0</v>
      </c>
      <c r="AR94" s="49"/>
      <c r="AS94" s="49"/>
      <c r="AT94" s="50">
        <f t="shared" si="40"/>
        <v>0</v>
      </c>
      <c r="AV94" s="49"/>
      <c r="AW94" s="49"/>
      <c r="AX94" s="50">
        <f t="shared" si="41"/>
        <v>0</v>
      </c>
      <c r="AZ94" s="49"/>
      <c r="BA94" s="49"/>
      <c r="BB94" s="50">
        <f t="shared" si="42"/>
        <v>0</v>
      </c>
      <c r="BD94" s="49"/>
      <c r="BE94" s="49"/>
      <c r="BF94" s="50">
        <f t="shared" si="43"/>
        <v>0</v>
      </c>
      <c r="BH94" s="49"/>
      <c r="BI94" s="49"/>
      <c r="BJ94" s="50">
        <f t="shared" si="44"/>
        <v>0</v>
      </c>
      <c r="BL94" s="49"/>
      <c r="BM94" s="49"/>
      <c r="BN94" s="50">
        <f t="shared" si="45"/>
        <v>0</v>
      </c>
      <c r="BP94" s="49"/>
      <c r="BQ94" s="49"/>
      <c r="BR94" s="50">
        <f t="shared" si="46"/>
        <v>0</v>
      </c>
      <c r="BT94" s="49"/>
      <c r="BU94" s="49"/>
      <c r="BV94" s="50">
        <f t="shared" si="47"/>
        <v>0</v>
      </c>
      <c r="BX94" s="49"/>
      <c r="BY94" s="49"/>
      <c r="BZ94" s="50">
        <f t="shared" si="48"/>
        <v>0</v>
      </c>
      <c r="CB94" s="49"/>
      <c r="CC94" s="49"/>
      <c r="CD94" s="50">
        <f t="shared" si="49"/>
        <v>0</v>
      </c>
      <c r="CF94" s="49"/>
      <c r="CG94" s="49"/>
      <c r="CH94" s="50">
        <f t="shared" si="50"/>
        <v>0</v>
      </c>
      <c r="CJ94" s="49"/>
      <c r="CK94" s="49"/>
      <c r="CL94" s="50">
        <f t="shared" si="51"/>
        <v>0</v>
      </c>
      <c r="CN94" s="49"/>
      <c r="CO94" s="49"/>
      <c r="CP94" s="50">
        <f t="shared" si="52"/>
        <v>0</v>
      </c>
      <c r="CR94" s="49"/>
      <c r="CS94" s="49"/>
      <c r="CT94" s="50">
        <f t="shared" si="53"/>
        <v>0</v>
      </c>
      <c r="CV94" s="49"/>
      <c r="CW94" s="49"/>
      <c r="CX94" s="50">
        <f t="shared" si="54"/>
        <v>0</v>
      </c>
      <c r="CZ94" s="49"/>
      <c r="DA94" s="49"/>
      <c r="DB94" s="50">
        <f t="shared" si="55"/>
        <v>0</v>
      </c>
      <c r="DD94" s="49"/>
      <c r="DE94" s="49"/>
      <c r="DF94" s="50">
        <f t="shared" si="56"/>
        <v>0</v>
      </c>
      <c r="DH94" s="49"/>
      <c r="DI94" s="49"/>
      <c r="DJ94" s="50">
        <f t="shared" si="57"/>
        <v>0</v>
      </c>
      <c r="DL94" s="49"/>
      <c r="DM94" s="49"/>
      <c r="DN94" s="50">
        <f t="shared" si="58"/>
        <v>0</v>
      </c>
      <c r="DP94" s="49"/>
      <c r="DQ94" s="49"/>
      <c r="DR94" s="50">
        <f t="shared" si="59"/>
        <v>0</v>
      </c>
      <c r="DT94" s="49"/>
      <c r="DU94" s="49"/>
      <c r="DV94" s="50">
        <f t="shared" si="60"/>
        <v>0</v>
      </c>
      <c r="DX94" s="49"/>
      <c r="DY94" s="49"/>
      <c r="DZ94" s="50">
        <f t="shared" si="61"/>
        <v>0</v>
      </c>
      <c r="EB94" s="49">
        <f t="shared" si="62"/>
        <v>0</v>
      </c>
      <c r="EC94" s="49">
        <f t="shared" si="62"/>
        <v>0</v>
      </c>
      <c r="ED94" s="49">
        <f t="shared" si="62"/>
        <v>0</v>
      </c>
    </row>
    <row r="95" spans="2:134" ht="11" customHeight="1" x14ac:dyDescent="0.35">
      <c r="B95" s="4">
        <v>111211</v>
      </c>
      <c r="C95" s="14" t="s">
        <v>101</v>
      </c>
      <c r="D95" s="4">
        <v>50</v>
      </c>
      <c r="E95" s="5">
        <v>18</v>
      </c>
      <c r="F95" s="6">
        <v>198.24524392000001</v>
      </c>
      <c r="G95" s="1"/>
      <c r="H95" s="49"/>
      <c r="I95" s="49"/>
      <c r="J95" s="50">
        <f t="shared" si="63"/>
        <v>0</v>
      </c>
      <c r="K95" s="9"/>
      <c r="L95" s="49"/>
      <c r="M95" s="49"/>
      <c r="N95" s="50">
        <f t="shared" si="32"/>
        <v>0</v>
      </c>
      <c r="O95" s="46"/>
      <c r="P95" s="49"/>
      <c r="Q95" s="49"/>
      <c r="R95" s="50">
        <f t="shared" si="33"/>
        <v>0</v>
      </c>
      <c r="T95" s="49"/>
      <c r="U95" s="49"/>
      <c r="V95" s="50">
        <f t="shared" si="34"/>
        <v>0</v>
      </c>
      <c r="X95" s="49"/>
      <c r="Y95" s="49"/>
      <c r="Z95" s="50">
        <f t="shared" si="35"/>
        <v>0</v>
      </c>
      <c r="AB95" s="49"/>
      <c r="AC95" s="49"/>
      <c r="AD95" s="50">
        <f t="shared" si="36"/>
        <v>0</v>
      </c>
      <c r="AF95" s="49"/>
      <c r="AG95" s="49"/>
      <c r="AH95" s="50">
        <f t="shared" si="37"/>
        <v>0</v>
      </c>
      <c r="AJ95" s="49"/>
      <c r="AK95" s="49"/>
      <c r="AL95" s="50">
        <f t="shared" si="38"/>
        <v>0</v>
      </c>
      <c r="AN95" s="49"/>
      <c r="AO95" s="49"/>
      <c r="AP95" s="50">
        <f t="shared" si="39"/>
        <v>0</v>
      </c>
      <c r="AR95" s="49"/>
      <c r="AS95" s="49"/>
      <c r="AT95" s="50">
        <f t="shared" si="40"/>
        <v>0</v>
      </c>
      <c r="AV95" s="49"/>
      <c r="AW95" s="49"/>
      <c r="AX95" s="50">
        <f t="shared" si="41"/>
        <v>0</v>
      </c>
      <c r="AZ95" s="49"/>
      <c r="BA95" s="49"/>
      <c r="BB95" s="50">
        <f t="shared" si="42"/>
        <v>0</v>
      </c>
      <c r="BD95" s="49"/>
      <c r="BE95" s="49"/>
      <c r="BF95" s="50">
        <f t="shared" si="43"/>
        <v>0</v>
      </c>
      <c r="BH95" s="49"/>
      <c r="BI95" s="49"/>
      <c r="BJ95" s="50">
        <f t="shared" si="44"/>
        <v>0</v>
      </c>
      <c r="BL95" s="49"/>
      <c r="BM95" s="49"/>
      <c r="BN95" s="50">
        <f t="shared" si="45"/>
        <v>0</v>
      </c>
      <c r="BP95" s="49"/>
      <c r="BQ95" s="49"/>
      <c r="BR95" s="50">
        <f t="shared" si="46"/>
        <v>0</v>
      </c>
      <c r="BT95" s="49"/>
      <c r="BU95" s="49"/>
      <c r="BV95" s="50">
        <f t="shared" si="47"/>
        <v>0</v>
      </c>
      <c r="BX95" s="49"/>
      <c r="BY95" s="49"/>
      <c r="BZ95" s="50">
        <f t="shared" si="48"/>
        <v>0</v>
      </c>
      <c r="CB95" s="49"/>
      <c r="CC95" s="49"/>
      <c r="CD95" s="50">
        <f t="shared" si="49"/>
        <v>0</v>
      </c>
      <c r="CF95" s="49"/>
      <c r="CG95" s="49"/>
      <c r="CH95" s="50">
        <f t="shared" si="50"/>
        <v>0</v>
      </c>
      <c r="CJ95" s="49"/>
      <c r="CK95" s="49"/>
      <c r="CL95" s="50">
        <f t="shared" si="51"/>
        <v>0</v>
      </c>
      <c r="CN95" s="49"/>
      <c r="CO95" s="49"/>
      <c r="CP95" s="50">
        <f t="shared" si="52"/>
        <v>0</v>
      </c>
      <c r="CR95" s="49"/>
      <c r="CS95" s="49"/>
      <c r="CT95" s="50">
        <f t="shared" si="53"/>
        <v>0</v>
      </c>
      <c r="CV95" s="49"/>
      <c r="CW95" s="49"/>
      <c r="CX95" s="50">
        <f t="shared" si="54"/>
        <v>0</v>
      </c>
      <c r="CZ95" s="49"/>
      <c r="DA95" s="49"/>
      <c r="DB95" s="50">
        <f t="shared" si="55"/>
        <v>0</v>
      </c>
      <c r="DD95" s="49"/>
      <c r="DE95" s="49"/>
      <c r="DF95" s="50">
        <f t="shared" si="56"/>
        <v>0</v>
      </c>
      <c r="DH95" s="49"/>
      <c r="DI95" s="49"/>
      <c r="DJ95" s="50">
        <f t="shared" si="57"/>
        <v>0</v>
      </c>
      <c r="DL95" s="49"/>
      <c r="DM95" s="49"/>
      <c r="DN95" s="50">
        <f t="shared" si="58"/>
        <v>0</v>
      </c>
      <c r="DP95" s="49"/>
      <c r="DQ95" s="49"/>
      <c r="DR95" s="50">
        <f t="shared" si="59"/>
        <v>0</v>
      </c>
      <c r="DT95" s="49"/>
      <c r="DU95" s="49"/>
      <c r="DV95" s="50">
        <f t="shared" si="60"/>
        <v>0</v>
      </c>
      <c r="DX95" s="49"/>
      <c r="DY95" s="49"/>
      <c r="DZ95" s="50">
        <f t="shared" si="61"/>
        <v>0</v>
      </c>
      <c r="EB95" s="49">
        <f t="shared" si="62"/>
        <v>0</v>
      </c>
      <c r="EC95" s="49">
        <f t="shared" si="62"/>
        <v>0</v>
      </c>
      <c r="ED95" s="49">
        <f t="shared" si="62"/>
        <v>0</v>
      </c>
    </row>
    <row r="96" spans="2:134" ht="11" customHeight="1" x14ac:dyDescent="0.35">
      <c r="B96" s="4">
        <v>111221</v>
      </c>
      <c r="C96" s="14" t="s">
        <v>102</v>
      </c>
      <c r="D96" s="4">
        <v>50</v>
      </c>
      <c r="E96" s="5">
        <v>18</v>
      </c>
      <c r="F96" s="6">
        <v>198.24524392000001</v>
      </c>
      <c r="G96" s="1"/>
      <c r="H96" s="49"/>
      <c r="I96" s="49"/>
      <c r="J96" s="50">
        <f t="shared" si="63"/>
        <v>0</v>
      </c>
      <c r="K96" s="9"/>
      <c r="L96" s="49"/>
      <c r="M96" s="49"/>
      <c r="N96" s="50">
        <f t="shared" si="32"/>
        <v>0</v>
      </c>
      <c r="O96" s="46"/>
      <c r="P96" s="49"/>
      <c r="Q96" s="49"/>
      <c r="R96" s="50">
        <f t="shared" si="33"/>
        <v>0</v>
      </c>
      <c r="T96" s="49"/>
      <c r="U96" s="49"/>
      <c r="V96" s="50">
        <f t="shared" si="34"/>
        <v>0</v>
      </c>
      <c r="X96" s="49"/>
      <c r="Y96" s="49"/>
      <c r="Z96" s="50">
        <f t="shared" si="35"/>
        <v>0</v>
      </c>
      <c r="AB96" s="49"/>
      <c r="AC96" s="49"/>
      <c r="AD96" s="50">
        <f t="shared" si="36"/>
        <v>0</v>
      </c>
      <c r="AF96" s="49"/>
      <c r="AG96" s="49"/>
      <c r="AH96" s="50">
        <f t="shared" si="37"/>
        <v>0</v>
      </c>
      <c r="AJ96" s="49"/>
      <c r="AK96" s="49"/>
      <c r="AL96" s="50">
        <f t="shared" si="38"/>
        <v>0</v>
      </c>
      <c r="AN96" s="49"/>
      <c r="AO96" s="49"/>
      <c r="AP96" s="50">
        <f t="shared" si="39"/>
        <v>0</v>
      </c>
      <c r="AR96" s="49"/>
      <c r="AS96" s="49"/>
      <c r="AT96" s="50">
        <f t="shared" si="40"/>
        <v>0</v>
      </c>
      <c r="AV96" s="49"/>
      <c r="AW96" s="49"/>
      <c r="AX96" s="50">
        <f t="shared" si="41"/>
        <v>0</v>
      </c>
      <c r="AZ96" s="49"/>
      <c r="BA96" s="49"/>
      <c r="BB96" s="50">
        <f t="shared" si="42"/>
        <v>0</v>
      </c>
      <c r="BD96" s="49"/>
      <c r="BE96" s="49"/>
      <c r="BF96" s="50">
        <f t="shared" si="43"/>
        <v>0</v>
      </c>
      <c r="BH96" s="49"/>
      <c r="BI96" s="49"/>
      <c r="BJ96" s="50">
        <f t="shared" si="44"/>
        <v>0</v>
      </c>
      <c r="BL96" s="49"/>
      <c r="BM96" s="49"/>
      <c r="BN96" s="50">
        <f t="shared" si="45"/>
        <v>0</v>
      </c>
      <c r="BP96" s="49"/>
      <c r="BQ96" s="49"/>
      <c r="BR96" s="50">
        <f t="shared" si="46"/>
        <v>0</v>
      </c>
      <c r="BT96" s="49"/>
      <c r="BU96" s="49"/>
      <c r="BV96" s="50">
        <f t="shared" si="47"/>
        <v>0</v>
      </c>
      <c r="BX96" s="49"/>
      <c r="BY96" s="49"/>
      <c r="BZ96" s="50">
        <f t="shared" si="48"/>
        <v>0</v>
      </c>
      <c r="CB96" s="49"/>
      <c r="CC96" s="49"/>
      <c r="CD96" s="50">
        <f t="shared" si="49"/>
        <v>0</v>
      </c>
      <c r="CF96" s="49"/>
      <c r="CG96" s="49"/>
      <c r="CH96" s="50">
        <f t="shared" si="50"/>
        <v>0</v>
      </c>
      <c r="CJ96" s="49"/>
      <c r="CK96" s="49"/>
      <c r="CL96" s="50">
        <f t="shared" si="51"/>
        <v>0</v>
      </c>
      <c r="CN96" s="49"/>
      <c r="CO96" s="49"/>
      <c r="CP96" s="50">
        <f t="shared" si="52"/>
        <v>0</v>
      </c>
      <c r="CR96" s="49"/>
      <c r="CS96" s="49"/>
      <c r="CT96" s="50">
        <f t="shared" si="53"/>
        <v>0</v>
      </c>
      <c r="CV96" s="49"/>
      <c r="CW96" s="49"/>
      <c r="CX96" s="50">
        <f t="shared" si="54"/>
        <v>0</v>
      </c>
      <c r="CZ96" s="49"/>
      <c r="DA96" s="49"/>
      <c r="DB96" s="50">
        <f t="shared" si="55"/>
        <v>0</v>
      </c>
      <c r="DD96" s="49"/>
      <c r="DE96" s="49"/>
      <c r="DF96" s="50">
        <f t="shared" si="56"/>
        <v>0</v>
      </c>
      <c r="DH96" s="49"/>
      <c r="DI96" s="49"/>
      <c r="DJ96" s="50">
        <f t="shared" si="57"/>
        <v>0</v>
      </c>
      <c r="DL96" s="49"/>
      <c r="DM96" s="49"/>
      <c r="DN96" s="50">
        <f t="shared" si="58"/>
        <v>0</v>
      </c>
      <c r="DP96" s="49"/>
      <c r="DQ96" s="49"/>
      <c r="DR96" s="50">
        <f t="shared" si="59"/>
        <v>0</v>
      </c>
      <c r="DT96" s="49"/>
      <c r="DU96" s="49"/>
      <c r="DV96" s="50">
        <f t="shared" si="60"/>
        <v>0</v>
      </c>
      <c r="DX96" s="49"/>
      <c r="DY96" s="49"/>
      <c r="DZ96" s="50">
        <f t="shared" si="61"/>
        <v>0</v>
      </c>
      <c r="EB96" s="49">
        <f t="shared" si="62"/>
        <v>0</v>
      </c>
      <c r="EC96" s="49">
        <f t="shared" si="62"/>
        <v>0</v>
      </c>
      <c r="ED96" s="49">
        <f t="shared" si="62"/>
        <v>0</v>
      </c>
    </row>
    <row r="97" spans="2:134" ht="11" customHeight="1" x14ac:dyDescent="0.35">
      <c r="B97" s="4">
        <v>111251</v>
      </c>
      <c r="C97" s="14" t="s">
        <v>103</v>
      </c>
      <c r="D97" s="4">
        <v>50</v>
      </c>
      <c r="E97" s="5">
        <v>18</v>
      </c>
      <c r="F97" s="6">
        <v>198.24524392000001</v>
      </c>
      <c r="G97" s="1"/>
      <c r="H97" s="49"/>
      <c r="I97" s="49"/>
      <c r="J97" s="50">
        <f t="shared" si="63"/>
        <v>0</v>
      </c>
      <c r="K97" s="9"/>
      <c r="L97" s="49"/>
      <c r="M97" s="49"/>
      <c r="N97" s="50">
        <f t="shared" si="32"/>
        <v>0</v>
      </c>
      <c r="O97" s="46"/>
      <c r="P97" s="49"/>
      <c r="Q97" s="49"/>
      <c r="R97" s="50">
        <f t="shared" si="33"/>
        <v>0</v>
      </c>
      <c r="T97" s="49"/>
      <c r="U97" s="49"/>
      <c r="V97" s="50">
        <f t="shared" si="34"/>
        <v>0</v>
      </c>
      <c r="X97" s="49"/>
      <c r="Y97" s="49"/>
      <c r="Z97" s="50">
        <f t="shared" si="35"/>
        <v>0</v>
      </c>
      <c r="AB97" s="49"/>
      <c r="AC97" s="49"/>
      <c r="AD97" s="50">
        <f t="shared" si="36"/>
        <v>0</v>
      </c>
      <c r="AF97" s="49"/>
      <c r="AG97" s="49"/>
      <c r="AH97" s="50">
        <f t="shared" si="37"/>
        <v>0</v>
      </c>
      <c r="AJ97" s="49"/>
      <c r="AK97" s="49"/>
      <c r="AL97" s="50">
        <f t="shared" si="38"/>
        <v>0</v>
      </c>
      <c r="AN97" s="49"/>
      <c r="AO97" s="49"/>
      <c r="AP97" s="50">
        <f t="shared" si="39"/>
        <v>0</v>
      </c>
      <c r="AR97" s="49"/>
      <c r="AS97" s="49"/>
      <c r="AT97" s="50">
        <f t="shared" si="40"/>
        <v>0</v>
      </c>
      <c r="AV97" s="49"/>
      <c r="AW97" s="49"/>
      <c r="AX97" s="50">
        <f t="shared" si="41"/>
        <v>0</v>
      </c>
      <c r="AZ97" s="49"/>
      <c r="BA97" s="49"/>
      <c r="BB97" s="50">
        <f t="shared" si="42"/>
        <v>0</v>
      </c>
      <c r="BD97" s="49"/>
      <c r="BE97" s="49"/>
      <c r="BF97" s="50">
        <f t="shared" si="43"/>
        <v>0</v>
      </c>
      <c r="BH97" s="49"/>
      <c r="BI97" s="49"/>
      <c r="BJ97" s="50">
        <f t="shared" si="44"/>
        <v>0</v>
      </c>
      <c r="BL97" s="49"/>
      <c r="BM97" s="49"/>
      <c r="BN97" s="50">
        <f t="shared" si="45"/>
        <v>0</v>
      </c>
      <c r="BP97" s="49"/>
      <c r="BQ97" s="49"/>
      <c r="BR97" s="50">
        <f t="shared" si="46"/>
        <v>0</v>
      </c>
      <c r="BT97" s="49"/>
      <c r="BU97" s="49"/>
      <c r="BV97" s="50">
        <f t="shared" si="47"/>
        <v>0</v>
      </c>
      <c r="BX97" s="49"/>
      <c r="BY97" s="49"/>
      <c r="BZ97" s="50">
        <f t="shared" si="48"/>
        <v>0</v>
      </c>
      <c r="CB97" s="49"/>
      <c r="CC97" s="49"/>
      <c r="CD97" s="50">
        <f t="shared" si="49"/>
        <v>0</v>
      </c>
      <c r="CF97" s="49"/>
      <c r="CG97" s="49"/>
      <c r="CH97" s="50">
        <f t="shared" si="50"/>
        <v>0</v>
      </c>
      <c r="CJ97" s="49"/>
      <c r="CK97" s="49"/>
      <c r="CL97" s="50">
        <f t="shared" si="51"/>
        <v>0</v>
      </c>
      <c r="CN97" s="49"/>
      <c r="CO97" s="49"/>
      <c r="CP97" s="50">
        <f t="shared" si="52"/>
        <v>0</v>
      </c>
      <c r="CR97" s="49"/>
      <c r="CS97" s="49"/>
      <c r="CT97" s="50">
        <f t="shared" si="53"/>
        <v>0</v>
      </c>
      <c r="CV97" s="49"/>
      <c r="CW97" s="49"/>
      <c r="CX97" s="50">
        <f t="shared" si="54"/>
        <v>0</v>
      </c>
      <c r="CZ97" s="49"/>
      <c r="DA97" s="49"/>
      <c r="DB97" s="50">
        <f t="shared" si="55"/>
        <v>0</v>
      </c>
      <c r="DD97" s="49"/>
      <c r="DE97" s="49"/>
      <c r="DF97" s="50">
        <f t="shared" si="56"/>
        <v>0</v>
      </c>
      <c r="DH97" s="49"/>
      <c r="DI97" s="49"/>
      <c r="DJ97" s="50">
        <f t="shared" si="57"/>
        <v>0</v>
      </c>
      <c r="DL97" s="49"/>
      <c r="DM97" s="49"/>
      <c r="DN97" s="50">
        <f t="shared" si="58"/>
        <v>0</v>
      </c>
      <c r="DP97" s="49"/>
      <c r="DQ97" s="49"/>
      <c r="DR97" s="50">
        <f t="shared" si="59"/>
        <v>0</v>
      </c>
      <c r="DT97" s="49"/>
      <c r="DU97" s="49"/>
      <c r="DV97" s="50">
        <f t="shared" si="60"/>
        <v>0</v>
      </c>
      <c r="DX97" s="49"/>
      <c r="DY97" s="49"/>
      <c r="DZ97" s="50">
        <f t="shared" si="61"/>
        <v>0</v>
      </c>
      <c r="EB97" s="49">
        <f t="shared" si="62"/>
        <v>0</v>
      </c>
      <c r="EC97" s="49">
        <f t="shared" si="62"/>
        <v>0</v>
      </c>
      <c r="ED97" s="49">
        <f t="shared" si="62"/>
        <v>0</v>
      </c>
    </row>
    <row r="98" spans="2:134" ht="11" customHeight="1" x14ac:dyDescent="0.35">
      <c r="B98" s="4">
        <v>102162</v>
      </c>
      <c r="C98" s="14" t="s">
        <v>104</v>
      </c>
      <c r="D98" s="4">
        <v>50</v>
      </c>
      <c r="E98" s="5">
        <v>18</v>
      </c>
      <c r="F98" s="6">
        <v>200.47</v>
      </c>
      <c r="G98" s="1"/>
      <c r="H98" s="49"/>
      <c r="I98" s="49"/>
      <c r="J98" s="50">
        <f t="shared" si="63"/>
        <v>0</v>
      </c>
      <c r="K98" s="9"/>
      <c r="L98" s="49"/>
      <c r="M98" s="49"/>
      <c r="N98" s="50">
        <f t="shared" si="32"/>
        <v>0</v>
      </c>
      <c r="O98" s="46"/>
      <c r="P98" s="49"/>
      <c r="Q98" s="49"/>
      <c r="R98" s="50">
        <f t="shared" si="33"/>
        <v>0</v>
      </c>
      <c r="T98" s="49"/>
      <c r="U98" s="49"/>
      <c r="V98" s="50">
        <f t="shared" si="34"/>
        <v>0</v>
      </c>
      <c r="X98" s="49"/>
      <c r="Y98" s="49"/>
      <c r="Z98" s="50">
        <f t="shared" si="35"/>
        <v>0</v>
      </c>
      <c r="AB98" s="49"/>
      <c r="AC98" s="49"/>
      <c r="AD98" s="50">
        <f t="shared" si="36"/>
        <v>0</v>
      </c>
      <c r="AF98" s="49"/>
      <c r="AG98" s="49"/>
      <c r="AH98" s="50">
        <f t="shared" si="37"/>
        <v>0</v>
      </c>
      <c r="AJ98" s="49"/>
      <c r="AK98" s="49"/>
      <c r="AL98" s="50">
        <f t="shared" si="38"/>
        <v>0</v>
      </c>
      <c r="AN98" s="49"/>
      <c r="AO98" s="49"/>
      <c r="AP98" s="50">
        <f t="shared" si="39"/>
        <v>0</v>
      </c>
      <c r="AR98" s="49"/>
      <c r="AS98" s="49"/>
      <c r="AT98" s="50">
        <f t="shared" si="40"/>
        <v>0</v>
      </c>
      <c r="AV98" s="49"/>
      <c r="AW98" s="49"/>
      <c r="AX98" s="50">
        <f t="shared" si="41"/>
        <v>0</v>
      </c>
      <c r="AZ98" s="49"/>
      <c r="BA98" s="49"/>
      <c r="BB98" s="50">
        <f t="shared" si="42"/>
        <v>0</v>
      </c>
      <c r="BD98" s="49"/>
      <c r="BE98" s="49"/>
      <c r="BF98" s="50">
        <f t="shared" si="43"/>
        <v>0</v>
      </c>
      <c r="BH98" s="49"/>
      <c r="BI98" s="49"/>
      <c r="BJ98" s="50">
        <f t="shared" si="44"/>
        <v>0</v>
      </c>
      <c r="BL98" s="49"/>
      <c r="BM98" s="49"/>
      <c r="BN98" s="50">
        <f t="shared" si="45"/>
        <v>0</v>
      </c>
      <c r="BP98" s="49"/>
      <c r="BQ98" s="49"/>
      <c r="BR98" s="50">
        <f t="shared" si="46"/>
        <v>0</v>
      </c>
      <c r="BT98" s="49"/>
      <c r="BU98" s="49"/>
      <c r="BV98" s="50">
        <f t="shared" si="47"/>
        <v>0</v>
      </c>
      <c r="BX98" s="49"/>
      <c r="BY98" s="49"/>
      <c r="BZ98" s="50">
        <f t="shared" si="48"/>
        <v>0</v>
      </c>
      <c r="CB98" s="49"/>
      <c r="CC98" s="49"/>
      <c r="CD98" s="50">
        <f t="shared" si="49"/>
        <v>0</v>
      </c>
      <c r="CF98" s="49"/>
      <c r="CG98" s="49"/>
      <c r="CH98" s="50">
        <f t="shared" si="50"/>
        <v>0</v>
      </c>
      <c r="CJ98" s="49"/>
      <c r="CK98" s="49"/>
      <c r="CL98" s="50">
        <f t="shared" si="51"/>
        <v>0</v>
      </c>
      <c r="CN98" s="49"/>
      <c r="CO98" s="49"/>
      <c r="CP98" s="50">
        <f t="shared" si="52"/>
        <v>0</v>
      </c>
      <c r="CR98" s="49"/>
      <c r="CS98" s="49"/>
      <c r="CT98" s="50">
        <f t="shared" si="53"/>
        <v>0</v>
      </c>
      <c r="CV98" s="49"/>
      <c r="CW98" s="49"/>
      <c r="CX98" s="50">
        <f t="shared" si="54"/>
        <v>0</v>
      </c>
      <c r="CZ98" s="49"/>
      <c r="DA98" s="49"/>
      <c r="DB98" s="50">
        <f t="shared" si="55"/>
        <v>0</v>
      </c>
      <c r="DD98" s="49"/>
      <c r="DE98" s="49"/>
      <c r="DF98" s="50">
        <f t="shared" si="56"/>
        <v>0</v>
      </c>
      <c r="DH98" s="49"/>
      <c r="DI98" s="49"/>
      <c r="DJ98" s="50">
        <f t="shared" si="57"/>
        <v>0</v>
      </c>
      <c r="DL98" s="49"/>
      <c r="DM98" s="49"/>
      <c r="DN98" s="50">
        <f t="shared" si="58"/>
        <v>0</v>
      </c>
      <c r="DP98" s="49"/>
      <c r="DQ98" s="49"/>
      <c r="DR98" s="50">
        <f t="shared" si="59"/>
        <v>0</v>
      </c>
      <c r="DT98" s="49"/>
      <c r="DU98" s="49"/>
      <c r="DV98" s="50">
        <f t="shared" si="60"/>
        <v>0</v>
      </c>
      <c r="DX98" s="49"/>
      <c r="DY98" s="49"/>
      <c r="DZ98" s="50">
        <f t="shared" si="61"/>
        <v>0</v>
      </c>
      <c r="EB98" s="49">
        <f t="shared" si="62"/>
        <v>0</v>
      </c>
      <c r="EC98" s="49">
        <f t="shared" si="62"/>
        <v>0</v>
      </c>
      <c r="ED98" s="49">
        <f t="shared" si="62"/>
        <v>0</v>
      </c>
    </row>
    <row r="99" spans="2:134" ht="11" customHeight="1" x14ac:dyDescent="0.35">
      <c r="B99" s="4">
        <v>102944</v>
      </c>
      <c r="C99" s="14" t="s">
        <v>105</v>
      </c>
      <c r="D99" s="4">
        <v>12</v>
      </c>
      <c r="E99" s="5">
        <v>12</v>
      </c>
      <c r="F99" s="6">
        <v>237.3</v>
      </c>
      <c r="G99" s="1"/>
      <c r="H99" s="49"/>
      <c r="I99" s="49"/>
      <c r="J99" s="50">
        <f t="shared" si="63"/>
        <v>0</v>
      </c>
      <c r="K99" s="9"/>
      <c r="L99" s="49"/>
      <c r="M99" s="49"/>
      <c r="N99" s="50">
        <f t="shared" si="32"/>
        <v>0</v>
      </c>
      <c r="O99" s="46"/>
      <c r="P99" s="49"/>
      <c r="Q99" s="49"/>
      <c r="R99" s="50">
        <f t="shared" si="33"/>
        <v>0</v>
      </c>
      <c r="T99" s="49"/>
      <c r="U99" s="49"/>
      <c r="V99" s="50">
        <f t="shared" si="34"/>
        <v>0</v>
      </c>
      <c r="X99" s="49"/>
      <c r="Y99" s="49"/>
      <c r="Z99" s="50">
        <f t="shared" si="35"/>
        <v>0</v>
      </c>
      <c r="AB99" s="49"/>
      <c r="AC99" s="49"/>
      <c r="AD99" s="50">
        <f t="shared" si="36"/>
        <v>0</v>
      </c>
      <c r="AF99" s="49"/>
      <c r="AG99" s="49"/>
      <c r="AH99" s="50">
        <f t="shared" si="37"/>
        <v>0</v>
      </c>
      <c r="AJ99" s="49"/>
      <c r="AK99" s="49"/>
      <c r="AL99" s="50">
        <f t="shared" si="38"/>
        <v>0</v>
      </c>
      <c r="AN99" s="49"/>
      <c r="AO99" s="49"/>
      <c r="AP99" s="50">
        <f t="shared" si="39"/>
        <v>0</v>
      </c>
      <c r="AR99" s="49"/>
      <c r="AS99" s="49"/>
      <c r="AT99" s="50">
        <f t="shared" si="40"/>
        <v>0</v>
      </c>
      <c r="AV99" s="49"/>
      <c r="AW99" s="49"/>
      <c r="AX99" s="50">
        <f t="shared" si="41"/>
        <v>0</v>
      </c>
      <c r="AZ99" s="49"/>
      <c r="BA99" s="49"/>
      <c r="BB99" s="50">
        <f t="shared" si="42"/>
        <v>0</v>
      </c>
      <c r="BD99" s="49"/>
      <c r="BE99" s="49"/>
      <c r="BF99" s="50">
        <f t="shared" si="43"/>
        <v>0</v>
      </c>
      <c r="BH99" s="49"/>
      <c r="BI99" s="49"/>
      <c r="BJ99" s="50">
        <f t="shared" si="44"/>
        <v>0</v>
      </c>
      <c r="BL99" s="49"/>
      <c r="BM99" s="49"/>
      <c r="BN99" s="50">
        <f t="shared" si="45"/>
        <v>0</v>
      </c>
      <c r="BP99" s="49"/>
      <c r="BQ99" s="49"/>
      <c r="BR99" s="50">
        <f t="shared" si="46"/>
        <v>0</v>
      </c>
      <c r="BT99" s="49"/>
      <c r="BU99" s="49"/>
      <c r="BV99" s="50">
        <f t="shared" si="47"/>
        <v>0</v>
      </c>
      <c r="BX99" s="49"/>
      <c r="BY99" s="49"/>
      <c r="BZ99" s="50">
        <f t="shared" si="48"/>
        <v>0</v>
      </c>
      <c r="CB99" s="49"/>
      <c r="CC99" s="49"/>
      <c r="CD99" s="50">
        <f t="shared" si="49"/>
        <v>0</v>
      </c>
      <c r="CF99" s="49"/>
      <c r="CG99" s="49"/>
      <c r="CH99" s="50">
        <f t="shared" si="50"/>
        <v>0</v>
      </c>
      <c r="CJ99" s="49"/>
      <c r="CK99" s="49"/>
      <c r="CL99" s="50">
        <f t="shared" si="51"/>
        <v>0</v>
      </c>
      <c r="CN99" s="49"/>
      <c r="CO99" s="49"/>
      <c r="CP99" s="50">
        <f t="shared" si="52"/>
        <v>0</v>
      </c>
      <c r="CR99" s="49"/>
      <c r="CS99" s="49"/>
      <c r="CT99" s="50">
        <f t="shared" si="53"/>
        <v>0</v>
      </c>
      <c r="CV99" s="49"/>
      <c r="CW99" s="49"/>
      <c r="CX99" s="50">
        <f t="shared" si="54"/>
        <v>0</v>
      </c>
      <c r="CZ99" s="49"/>
      <c r="DA99" s="49"/>
      <c r="DB99" s="50">
        <f t="shared" si="55"/>
        <v>0</v>
      </c>
      <c r="DD99" s="49"/>
      <c r="DE99" s="49"/>
      <c r="DF99" s="50">
        <f t="shared" si="56"/>
        <v>0</v>
      </c>
      <c r="DH99" s="49"/>
      <c r="DI99" s="49"/>
      <c r="DJ99" s="50">
        <f t="shared" si="57"/>
        <v>0</v>
      </c>
      <c r="DL99" s="49"/>
      <c r="DM99" s="49"/>
      <c r="DN99" s="50">
        <f t="shared" si="58"/>
        <v>0</v>
      </c>
      <c r="DP99" s="49"/>
      <c r="DQ99" s="49"/>
      <c r="DR99" s="50">
        <f t="shared" si="59"/>
        <v>0</v>
      </c>
      <c r="DT99" s="49"/>
      <c r="DU99" s="49"/>
      <c r="DV99" s="50">
        <f t="shared" si="60"/>
        <v>0</v>
      </c>
      <c r="DX99" s="49"/>
      <c r="DY99" s="49"/>
      <c r="DZ99" s="50">
        <f t="shared" si="61"/>
        <v>0</v>
      </c>
      <c r="EB99" s="49">
        <f t="shared" si="62"/>
        <v>0</v>
      </c>
      <c r="EC99" s="49">
        <f t="shared" si="62"/>
        <v>0</v>
      </c>
      <c r="ED99" s="49">
        <f t="shared" si="62"/>
        <v>0</v>
      </c>
    </row>
    <row r="100" spans="2:134" ht="11" customHeight="1" x14ac:dyDescent="0.35">
      <c r="B100" s="4">
        <v>102945</v>
      </c>
      <c r="C100" s="14" t="s">
        <v>106</v>
      </c>
      <c r="D100" s="4">
        <v>12</v>
      </c>
      <c r="E100" s="5">
        <v>12</v>
      </c>
      <c r="F100" s="6">
        <v>237.3</v>
      </c>
      <c r="G100" s="1"/>
      <c r="H100" s="49"/>
      <c r="I100" s="49"/>
      <c r="J100" s="50">
        <f t="shared" si="63"/>
        <v>0</v>
      </c>
      <c r="K100" s="9"/>
      <c r="L100" s="49"/>
      <c r="M100" s="49"/>
      <c r="N100" s="50">
        <f t="shared" si="32"/>
        <v>0</v>
      </c>
      <c r="O100" s="46"/>
      <c r="P100" s="49"/>
      <c r="Q100" s="49"/>
      <c r="R100" s="50">
        <f t="shared" si="33"/>
        <v>0</v>
      </c>
      <c r="T100" s="49"/>
      <c r="U100" s="49"/>
      <c r="V100" s="50">
        <f t="shared" si="34"/>
        <v>0</v>
      </c>
      <c r="X100" s="49"/>
      <c r="Y100" s="49"/>
      <c r="Z100" s="50">
        <f t="shared" si="35"/>
        <v>0</v>
      </c>
      <c r="AB100" s="49"/>
      <c r="AC100" s="49"/>
      <c r="AD100" s="50">
        <f t="shared" si="36"/>
        <v>0</v>
      </c>
      <c r="AF100" s="49"/>
      <c r="AG100" s="49"/>
      <c r="AH100" s="50">
        <f t="shared" si="37"/>
        <v>0</v>
      </c>
      <c r="AJ100" s="49"/>
      <c r="AK100" s="49"/>
      <c r="AL100" s="50">
        <f t="shared" si="38"/>
        <v>0</v>
      </c>
      <c r="AN100" s="49"/>
      <c r="AO100" s="49"/>
      <c r="AP100" s="50">
        <f t="shared" si="39"/>
        <v>0</v>
      </c>
      <c r="AR100" s="49"/>
      <c r="AS100" s="49"/>
      <c r="AT100" s="50">
        <f t="shared" si="40"/>
        <v>0</v>
      </c>
      <c r="AV100" s="49"/>
      <c r="AW100" s="49"/>
      <c r="AX100" s="50">
        <f t="shared" si="41"/>
        <v>0</v>
      </c>
      <c r="AZ100" s="49"/>
      <c r="BA100" s="49"/>
      <c r="BB100" s="50">
        <f t="shared" si="42"/>
        <v>0</v>
      </c>
      <c r="BD100" s="49"/>
      <c r="BE100" s="49"/>
      <c r="BF100" s="50">
        <f t="shared" si="43"/>
        <v>0</v>
      </c>
      <c r="BH100" s="49"/>
      <c r="BI100" s="49"/>
      <c r="BJ100" s="50">
        <f t="shared" si="44"/>
        <v>0</v>
      </c>
      <c r="BL100" s="49"/>
      <c r="BM100" s="49"/>
      <c r="BN100" s="50">
        <f t="shared" si="45"/>
        <v>0</v>
      </c>
      <c r="BP100" s="49"/>
      <c r="BQ100" s="49"/>
      <c r="BR100" s="50">
        <f t="shared" si="46"/>
        <v>0</v>
      </c>
      <c r="BT100" s="49"/>
      <c r="BU100" s="49"/>
      <c r="BV100" s="50">
        <f t="shared" si="47"/>
        <v>0</v>
      </c>
      <c r="BX100" s="49"/>
      <c r="BY100" s="49"/>
      <c r="BZ100" s="50">
        <f t="shared" si="48"/>
        <v>0</v>
      </c>
      <c r="CB100" s="49"/>
      <c r="CC100" s="49"/>
      <c r="CD100" s="50">
        <f t="shared" si="49"/>
        <v>0</v>
      </c>
      <c r="CF100" s="49"/>
      <c r="CG100" s="49"/>
      <c r="CH100" s="50">
        <f t="shared" si="50"/>
        <v>0</v>
      </c>
      <c r="CJ100" s="49"/>
      <c r="CK100" s="49"/>
      <c r="CL100" s="50">
        <f t="shared" si="51"/>
        <v>0</v>
      </c>
      <c r="CN100" s="49"/>
      <c r="CO100" s="49"/>
      <c r="CP100" s="50">
        <f t="shared" si="52"/>
        <v>0</v>
      </c>
      <c r="CR100" s="49"/>
      <c r="CS100" s="49"/>
      <c r="CT100" s="50">
        <f t="shared" si="53"/>
        <v>0</v>
      </c>
      <c r="CV100" s="49"/>
      <c r="CW100" s="49"/>
      <c r="CX100" s="50">
        <f t="shared" si="54"/>
        <v>0</v>
      </c>
      <c r="CZ100" s="49"/>
      <c r="DA100" s="49"/>
      <c r="DB100" s="50">
        <f t="shared" si="55"/>
        <v>0</v>
      </c>
      <c r="DD100" s="49"/>
      <c r="DE100" s="49"/>
      <c r="DF100" s="50">
        <f t="shared" si="56"/>
        <v>0</v>
      </c>
      <c r="DH100" s="49"/>
      <c r="DI100" s="49"/>
      <c r="DJ100" s="50">
        <f t="shared" si="57"/>
        <v>0</v>
      </c>
      <c r="DL100" s="49"/>
      <c r="DM100" s="49"/>
      <c r="DN100" s="50">
        <f t="shared" si="58"/>
        <v>0</v>
      </c>
      <c r="DP100" s="49"/>
      <c r="DQ100" s="49"/>
      <c r="DR100" s="50">
        <f t="shared" si="59"/>
        <v>0</v>
      </c>
      <c r="DT100" s="49"/>
      <c r="DU100" s="49"/>
      <c r="DV100" s="50">
        <f t="shared" si="60"/>
        <v>0</v>
      </c>
      <c r="DX100" s="49"/>
      <c r="DY100" s="49"/>
      <c r="DZ100" s="50">
        <f t="shared" si="61"/>
        <v>0</v>
      </c>
      <c r="EB100" s="49">
        <f t="shared" si="62"/>
        <v>0</v>
      </c>
      <c r="EC100" s="49">
        <f t="shared" si="62"/>
        <v>0</v>
      </c>
      <c r="ED100" s="49">
        <f t="shared" si="62"/>
        <v>0</v>
      </c>
    </row>
    <row r="101" spans="2:134" ht="11" customHeight="1" x14ac:dyDescent="0.35">
      <c r="B101" s="4">
        <v>106621</v>
      </c>
      <c r="C101" s="14" t="s">
        <v>107</v>
      </c>
      <c r="D101" s="4">
        <v>12</v>
      </c>
      <c r="E101" s="5">
        <v>12</v>
      </c>
      <c r="F101" s="6">
        <v>468.865061078</v>
      </c>
      <c r="G101" s="1"/>
      <c r="H101" s="49"/>
      <c r="I101" s="49"/>
      <c r="J101" s="50">
        <f t="shared" si="63"/>
        <v>0</v>
      </c>
      <c r="K101" s="9"/>
      <c r="L101" s="49"/>
      <c r="M101" s="49"/>
      <c r="N101" s="50">
        <f t="shared" si="32"/>
        <v>0</v>
      </c>
      <c r="O101" s="46"/>
      <c r="P101" s="49"/>
      <c r="Q101" s="49"/>
      <c r="R101" s="50">
        <f t="shared" si="33"/>
        <v>0</v>
      </c>
      <c r="T101" s="49"/>
      <c r="U101" s="49"/>
      <c r="V101" s="50">
        <f t="shared" si="34"/>
        <v>0</v>
      </c>
      <c r="X101" s="49"/>
      <c r="Y101" s="49"/>
      <c r="Z101" s="50">
        <f t="shared" si="35"/>
        <v>0</v>
      </c>
      <c r="AB101" s="49"/>
      <c r="AC101" s="49"/>
      <c r="AD101" s="50">
        <f t="shared" si="36"/>
        <v>0</v>
      </c>
      <c r="AF101" s="49"/>
      <c r="AG101" s="49"/>
      <c r="AH101" s="50">
        <f t="shared" si="37"/>
        <v>0</v>
      </c>
      <c r="AJ101" s="49"/>
      <c r="AK101" s="49"/>
      <c r="AL101" s="50">
        <f t="shared" si="38"/>
        <v>0</v>
      </c>
      <c r="AN101" s="49"/>
      <c r="AO101" s="49"/>
      <c r="AP101" s="50">
        <f t="shared" si="39"/>
        <v>0</v>
      </c>
      <c r="AR101" s="49"/>
      <c r="AS101" s="49"/>
      <c r="AT101" s="50">
        <f t="shared" si="40"/>
        <v>0</v>
      </c>
      <c r="AV101" s="49"/>
      <c r="AW101" s="49"/>
      <c r="AX101" s="50">
        <f t="shared" si="41"/>
        <v>0</v>
      </c>
      <c r="AZ101" s="49"/>
      <c r="BA101" s="49"/>
      <c r="BB101" s="50">
        <f t="shared" si="42"/>
        <v>0</v>
      </c>
      <c r="BD101" s="49"/>
      <c r="BE101" s="49"/>
      <c r="BF101" s="50">
        <f t="shared" si="43"/>
        <v>0</v>
      </c>
      <c r="BH101" s="49"/>
      <c r="BI101" s="49"/>
      <c r="BJ101" s="50">
        <f t="shared" si="44"/>
        <v>0</v>
      </c>
      <c r="BL101" s="49"/>
      <c r="BM101" s="49"/>
      <c r="BN101" s="50">
        <f t="shared" si="45"/>
        <v>0</v>
      </c>
      <c r="BP101" s="49"/>
      <c r="BQ101" s="49"/>
      <c r="BR101" s="50">
        <f t="shared" si="46"/>
        <v>0</v>
      </c>
      <c r="BT101" s="49"/>
      <c r="BU101" s="49"/>
      <c r="BV101" s="50">
        <f t="shared" si="47"/>
        <v>0</v>
      </c>
      <c r="BX101" s="49"/>
      <c r="BY101" s="49"/>
      <c r="BZ101" s="50">
        <f t="shared" si="48"/>
        <v>0</v>
      </c>
      <c r="CB101" s="49"/>
      <c r="CC101" s="49"/>
      <c r="CD101" s="50">
        <f t="shared" si="49"/>
        <v>0</v>
      </c>
      <c r="CF101" s="49"/>
      <c r="CG101" s="49"/>
      <c r="CH101" s="50">
        <f t="shared" si="50"/>
        <v>0</v>
      </c>
      <c r="CJ101" s="49"/>
      <c r="CK101" s="49"/>
      <c r="CL101" s="50">
        <f t="shared" si="51"/>
        <v>0</v>
      </c>
      <c r="CN101" s="49"/>
      <c r="CO101" s="49"/>
      <c r="CP101" s="50">
        <f t="shared" si="52"/>
        <v>0</v>
      </c>
      <c r="CR101" s="49"/>
      <c r="CS101" s="49"/>
      <c r="CT101" s="50">
        <f t="shared" si="53"/>
        <v>0</v>
      </c>
      <c r="CV101" s="49"/>
      <c r="CW101" s="49"/>
      <c r="CX101" s="50">
        <f t="shared" si="54"/>
        <v>0</v>
      </c>
      <c r="CZ101" s="49"/>
      <c r="DA101" s="49"/>
      <c r="DB101" s="50">
        <f t="shared" si="55"/>
        <v>0</v>
      </c>
      <c r="DD101" s="49"/>
      <c r="DE101" s="49"/>
      <c r="DF101" s="50">
        <f t="shared" si="56"/>
        <v>0</v>
      </c>
      <c r="DH101" s="49"/>
      <c r="DI101" s="49"/>
      <c r="DJ101" s="50">
        <f t="shared" si="57"/>
        <v>0</v>
      </c>
      <c r="DL101" s="49"/>
      <c r="DM101" s="49"/>
      <c r="DN101" s="50">
        <f t="shared" si="58"/>
        <v>0</v>
      </c>
      <c r="DP101" s="49"/>
      <c r="DQ101" s="49"/>
      <c r="DR101" s="50">
        <f t="shared" si="59"/>
        <v>0</v>
      </c>
      <c r="DT101" s="49"/>
      <c r="DU101" s="49"/>
      <c r="DV101" s="50">
        <f t="shared" si="60"/>
        <v>0</v>
      </c>
      <c r="DX101" s="49"/>
      <c r="DY101" s="49"/>
      <c r="DZ101" s="50">
        <f t="shared" si="61"/>
        <v>0</v>
      </c>
      <c r="EB101" s="49">
        <f t="shared" si="62"/>
        <v>0</v>
      </c>
      <c r="EC101" s="49">
        <f t="shared" si="62"/>
        <v>0</v>
      </c>
      <c r="ED101" s="49">
        <f t="shared" si="62"/>
        <v>0</v>
      </c>
    </row>
    <row r="102" spans="2:134" ht="11" customHeight="1" x14ac:dyDescent="0.35">
      <c r="B102" s="4">
        <v>109016</v>
      </c>
      <c r="C102" s="14" t="s">
        <v>108</v>
      </c>
      <c r="D102" s="4">
        <v>30</v>
      </c>
      <c r="E102" s="5">
        <v>40</v>
      </c>
      <c r="F102" s="6">
        <f>81.08016*2</f>
        <v>162.16032000000001</v>
      </c>
      <c r="G102" s="1"/>
      <c r="H102" s="49"/>
      <c r="I102" s="49"/>
      <c r="J102" s="50">
        <f t="shared" si="63"/>
        <v>0</v>
      </c>
      <c r="K102" s="9"/>
      <c r="L102" s="49"/>
      <c r="M102" s="49"/>
      <c r="N102" s="50">
        <f t="shared" si="32"/>
        <v>0</v>
      </c>
      <c r="O102" s="46"/>
      <c r="P102" s="49"/>
      <c r="Q102" s="49"/>
      <c r="R102" s="50">
        <f t="shared" si="33"/>
        <v>0</v>
      </c>
      <c r="T102" s="49"/>
      <c r="U102" s="49"/>
      <c r="V102" s="50">
        <f t="shared" si="34"/>
        <v>0</v>
      </c>
      <c r="X102" s="49"/>
      <c r="Y102" s="49"/>
      <c r="Z102" s="50">
        <f t="shared" si="35"/>
        <v>0</v>
      </c>
      <c r="AB102" s="49"/>
      <c r="AC102" s="49"/>
      <c r="AD102" s="50">
        <f t="shared" si="36"/>
        <v>0</v>
      </c>
      <c r="AF102" s="49"/>
      <c r="AG102" s="49"/>
      <c r="AH102" s="50">
        <f t="shared" si="37"/>
        <v>0</v>
      </c>
      <c r="AJ102" s="49"/>
      <c r="AK102" s="49"/>
      <c r="AL102" s="50">
        <f t="shared" si="38"/>
        <v>0</v>
      </c>
      <c r="AN102" s="49"/>
      <c r="AO102" s="49"/>
      <c r="AP102" s="50">
        <f t="shared" si="39"/>
        <v>0</v>
      </c>
      <c r="AR102" s="49"/>
      <c r="AS102" s="49"/>
      <c r="AT102" s="50">
        <f t="shared" si="40"/>
        <v>0</v>
      </c>
      <c r="AV102" s="49"/>
      <c r="AW102" s="49"/>
      <c r="AX102" s="50">
        <f t="shared" si="41"/>
        <v>0</v>
      </c>
      <c r="AZ102" s="49"/>
      <c r="BA102" s="49"/>
      <c r="BB102" s="50">
        <f t="shared" si="42"/>
        <v>0</v>
      </c>
      <c r="BD102" s="49"/>
      <c r="BE102" s="49"/>
      <c r="BF102" s="50">
        <f t="shared" si="43"/>
        <v>0</v>
      </c>
      <c r="BH102" s="49"/>
      <c r="BI102" s="49"/>
      <c r="BJ102" s="50">
        <f t="shared" si="44"/>
        <v>0</v>
      </c>
      <c r="BL102" s="49"/>
      <c r="BM102" s="49"/>
      <c r="BN102" s="50">
        <f t="shared" si="45"/>
        <v>0</v>
      </c>
      <c r="BP102" s="49"/>
      <c r="BQ102" s="49"/>
      <c r="BR102" s="50">
        <f t="shared" si="46"/>
        <v>0</v>
      </c>
      <c r="BT102" s="49"/>
      <c r="BU102" s="49"/>
      <c r="BV102" s="50">
        <f t="shared" si="47"/>
        <v>0</v>
      </c>
      <c r="BX102" s="49"/>
      <c r="BY102" s="49"/>
      <c r="BZ102" s="50">
        <f t="shared" si="48"/>
        <v>0</v>
      </c>
      <c r="CB102" s="49"/>
      <c r="CC102" s="49"/>
      <c r="CD102" s="50">
        <f t="shared" si="49"/>
        <v>0</v>
      </c>
      <c r="CF102" s="49"/>
      <c r="CG102" s="49"/>
      <c r="CH102" s="50">
        <f t="shared" si="50"/>
        <v>0</v>
      </c>
      <c r="CJ102" s="49"/>
      <c r="CK102" s="49"/>
      <c r="CL102" s="50">
        <f t="shared" si="51"/>
        <v>0</v>
      </c>
      <c r="CN102" s="49"/>
      <c r="CO102" s="49"/>
      <c r="CP102" s="50">
        <f t="shared" si="52"/>
        <v>0</v>
      </c>
      <c r="CR102" s="49"/>
      <c r="CS102" s="49"/>
      <c r="CT102" s="50">
        <f t="shared" si="53"/>
        <v>0</v>
      </c>
      <c r="CV102" s="49"/>
      <c r="CW102" s="49"/>
      <c r="CX102" s="50">
        <f t="shared" si="54"/>
        <v>0</v>
      </c>
      <c r="CZ102" s="49"/>
      <c r="DA102" s="49"/>
      <c r="DB102" s="50">
        <f t="shared" si="55"/>
        <v>0</v>
      </c>
      <c r="DD102" s="49"/>
      <c r="DE102" s="49"/>
      <c r="DF102" s="50">
        <f t="shared" si="56"/>
        <v>0</v>
      </c>
      <c r="DH102" s="49"/>
      <c r="DI102" s="49"/>
      <c r="DJ102" s="50">
        <f t="shared" si="57"/>
        <v>0</v>
      </c>
      <c r="DL102" s="49"/>
      <c r="DM102" s="49"/>
      <c r="DN102" s="50">
        <f t="shared" si="58"/>
        <v>0</v>
      </c>
      <c r="DP102" s="49"/>
      <c r="DQ102" s="49"/>
      <c r="DR102" s="50">
        <f t="shared" si="59"/>
        <v>0</v>
      </c>
      <c r="DT102" s="49"/>
      <c r="DU102" s="49"/>
      <c r="DV102" s="50">
        <f t="shared" si="60"/>
        <v>0</v>
      </c>
      <c r="DX102" s="49"/>
      <c r="DY102" s="49"/>
      <c r="DZ102" s="50">
        <f t="shared" si="61"/>
        <v>0</v>
      </c>
      <c r="EB102" s="49">
        <f t="shared" si="62"/>
        <v>0</v>
      </c>
      <c r="EC102" s="49">
        <f t="shared" si="62"/>
        <v>0</v>
      </c>
      <c r="ED102" s="49">
        <f t="shared" si="62"/>
        <v>0</v>
      </c>
    </row>
    <row r="103" spans="2:134" ht="11" customHeight="1" x14ac:dyDescent="0.35">
      <c r="B103" s="4">
        <v>101878</v>
      </c>
      <c r="C103" s="14" t="s">
        <v>109</v>
      </c>
      <c r="D103" s="4">
        <v>24</v>
      </c>
      <c r="E103" s="5">
        <v>24</v>
      </c>
      <c r="F103" s="6">
        <v>189.29879107400001</v>
      </c>
      <c r="G103" s="1"/>
      <c r="H103" s="49"/>
      <c r="I103" s="49"/>
      <c r="J103" s="50">
        <f t="shared" si="63"/>
        <v>0</v>
      </c>
      <c r="K103" s="9"/>
      <c r="L103" s="49"/>
      <c r="M103" s="49"/>
      <c r="N103" s="50">
        <f t="shared" si="32"/>
        <v>0</v>
      </c>
      <c r="O103" s="46"/>
      <c r="P103" s="49"/>
      <c r="Q103" s="49"/>
      <c r="R103" s="50">
        <f t="shared" si="33"/>
        <v>0</v>
      </c>
      <c r="T103" s="49"/>
      <c r="U103" s="49"/>
      <c r="V103" s="50">
        <f t="shared" si="34"/>
        <v>0</v>
      </c>
      <c r="X103" s="49"/>
      <c r="Y103" s="49"/>
      <c r="Z103" s="50">
        <f t="shared" si="35"/>
        <v>0</v>
      </c>
      <c r="AB103" s="49"/>
      <c r="AC103" s="49"/>
      <c r="AD103" s="50">
        <f t="shared" si="36"/>
        <v>0</v>
      </c>
      <c r="AF103" s="49"/>
      <c r="AG103" s="49"/>
      <c r="AH103" s="50">
        <f t="shared" si="37"/>
        <v>0</v>
      </c>
      <c r="AJ103" s="49"/>
      <c r="AK103" s="49"/>
      <c r="AL103" s="50">
        <f t="shared" si="38"/>
        <v>0</v>
      </c>
      <c r="AN103" s="49"/>
      <c r="AO103" s="49"/>
      <c r="AP103" s="50">
        <f t="shared" si="39"/>
        <v>0</v>
      </c>
      <c r="AR103" s="49"/>
      <c r="AS103" s="49"/>
      <c r="AT103" s="50">
        <f t="shared" si="40"/>
        <v>0</v>
      </c>
      <c r="AV103" s="49"/>
      <c r="AW103" s="49"/>
      <c r="AX103" s="50">
        <f t="shared" si="41"/>
        <v>0</v>
      </c>
      <c r="AZ103" s="49"/>
      <c r="BA103" s="49"/>
      <c r="BB103" s="50">
        <f t="shared" si="42"/>
        <v>0</v>
      </c>
      <c r="BD103" s="49"/>
      <c r="BE103" s="49"/>
      <c r="BF103" s="50">
        <f t="shared" si="43"/>
        <v>0</v>
      </c>
      <c r="BH103" s="49"/>
      <c r="BI103" s="49"/>
      <c r="BJ103" s="50">
        <f t="shared" si="44"/>
        <v>0</v>
      </c>
      <c r="BL103" s="49"/>
      <c r="BM103" s="49"/>
      <c r="BN103" s="50">
        <f t="shared" si="45"/>
        <v>0</v>
      </c>
      <c r="BP103" s="49"/>
      <c r="BQ103" s="49"/>
      <c r="BR103" s="50">
        <f t="shared" si="46"/>
        <v>0</v>
      </c>
      <c r="BT103" s="49"/>
      <c r="BU103" s="49"/>
      <c r="BV103" s="50">
        <f t="shared" si="47"/>
        <v>0</v>
      </c>
      <c r="BX103" s="49"/>
      <c r="BY103" s="49"/>
      <c r="BZ103" s="50">
        <f t="shared" si="48"/>
        <v>0</v>
      </c>
      <c r="CB103" s="49"/>
      <c r="CC103" s="49"/>
      <c r="CD103" s="50">
        <f t="shared" si="49"/>
        <v>0</v>
      </c>
      <c r="CF103" s="49"/>
      <c r="CG103" s="49"/>
      <c r="CH103" s="50">
        <f t="shared" si="50"/>
        <v>0</v>
      </c>
      <c r="CJ103" s="49"/>
      <c r="CK103" s="49"/>
      <c r="CL103" s="50">
        <f t="shared" si="51"/>
        <v>0</v>
      </c>
      <c r="CN103" s="49"/>
      <c r="CO103" s="49"/>
      <c r="CP103" s="50">
        <f t="shared" si="52"/>
        <v>0</v>
      </c>
      <c r="CR103" s="49"/>
      <c r="CS103" s="49"/>
      <c r="CT103" s="50">
        <f t="shared" si="53"/>
        <v>0</v>
      </c>
      <c r="CV103" s="49"/>
      <c r="CW103" s="49"/>
      <c r="CX103" s="50">
        <f t="shared" si="54"/>
        <v>0</v>
      </c>
      <c r="CZ103" s="49"/>
      <c r="DA103" s="49"/>
      <c r="DB103" s="50">
        <f t="shared" si="55"/>
        <v>0</v>
      </c>
      <c r="DD103" s="49"/>
      <c r="DE103" s="49"/>
      <c r="DF103" s="50">
        <f t="shared" si="56"/>
        <v>0</v>
      </c>
      <c r="DH103" s="49"/>
      <c r="DI103" s="49"/>
      <c r="DJ103" s="50">
        <f t="shared" si="57"/>
        <v>0</v>
      </c>
      <c r="DL103" s="49"/>
      <c r="DM103" s="49"/>
      <c r="DN103" s="50">
        <f t="shared" si="58"/>
        <v>0</v>
      </c>
      <c r="DP103" s="49"/>
      <c r="DQ103" s="49"/>
      <c r="DR103" s="50">
        <f t="shared" si="59"/>
        <v>0</v>
      </c>
      <c r="DT103" s="49"/>
      <c r="DU103" s="49"/>
      <c r="DV103" s="50">
        <f t="shared" si="60"/>
        <v>0</v>
      </c>
      <c r="DX103" s="49"/>
      <c r="DY103" s="49"/>
      <c r="DZ103" s="50">
        <f t="shared" si="61"/>
        <v>0</v>
      </c>
      <c r="EB103" s="49">
        <f t="shared" si="62"/>
        <v>0</v>
      </c>
      <c r="EC103" s="49">
        <f t="shared" si="62"/>
        <v>0</v>
      </c>
      <c r="ED103" s="49">
        <f t="shared" si="62"/>
        <v>0</v>
      </c>
    </row>
    <row r="104" spans="2:134" ht="11" customHeight="1" x14ac:dyDescent="0.35">
      <c r="B104" s="4">
        <v>102932</v>
      </c>
      <c r="C104" s="14" t="s">
        <v>110</v>
      </c>
      <c r="D104" s="4">
        <v>75</v>
      </c>
      <c r="E104" s="5">
        <v>18</v>
      </c>
      <c r="F104" s="6">
        <v>315</v>
      </c>
      <c r="G104" s="1"/>
      <c r="H104" s="49"/>
      <c r="I104" s="49"/>
      <c r="J104" s="50">
        <f t="shared" si="63"/>
        <v>0</v>
      </c>
      <c r="K104" s="9"/>
      <c r="L104" s="49"/>
      <c r="M104" s="49"/>
      <c r="N104" s="50">
        <f t="shared" si="32"/>
        <v>0</v>
      </c>
      <c r="O104" s="46"/>
      <c r="P104" s="49"/>
      <c r="Q104" s="49"/>
      <c r="R104" s="50">
        <f t="shared" si="33"/>
        <v>0</v>
      </c>
      <c r="T104" s="49"/>
      <c r="U104" s="49"/>
      <c r="V104" s="50">
        <f t="shared" si="34"/>
        <v>0</v>
      </c>
      <c r="X104" s="49"/>
      <c r="Y104" s="49"/>
      <c r="Z104" s="50">
        <f t="shared" si="35"/>
        <v>0</v>
      </c>
      <c r="AB104" s="49"/>
      <c r="AC104" s="49"/>
      <c r="AD104" s="50">
        <f t="shared" si="36"/>
        <v>0</v>
      </c>
      <c r="AF104" s="49"/>
      <c r="AG104" s="49"/>
      <c r="AH104" s="50">
        <f t="shared" si="37"/>
        <v>0</v>
      </c>
      <c r="AJ104" s="49"/>
      <c r="AK104" s="49"/>
      <c r="AL104" s="50">
        <f t="shared" si="38"/>
        <v>0</v>
      </c>
      <c r="AN104" s="49"/>
      <c r="AO104" s="49"/>
      <c r="AP104" s="50">
        <f t="shared" si="39"/>
        <v>0</v>
      </c>
      <c r="AR104" s="49"/>
      <c r="AS104" s="49"/>
      <c r="AT104" s="50">
        <f t="shared" si="40"/>
        <v>0</v>
      </c>
      <c r="AV104" s="49"/>
      <c r="AW104" s="49"/>
      <c r="AX104" s="50">
        <f t="shared" si="41"/>
        <v>0</v>
      </c>
      <c r="AZ104" s="49"/>
      <c r="BA104" s="49"/>
      <c r="BB104" s="50">
        <f t="shared" si="42"/>
        <v>0</v>
      </c>
      <c r="BD104" s="49"/>
      <c r="BE104" s="49"/>
      <c r="BF104" s="50">
        <f t="shared" si="43"/>
        <v>0</v>
      </c>
      <c r="BH104" s="49"/>
      <c r="BI104" s="49"/>
      <c r="BJ104" s="50">
        <f t="shared" si="44"/>
        <v>0</v>
      </c>
      <c r="BL104" s="49"/>
      <c r="BM104" s="49"/>
      <c r="BN104" s="50">
        <f t="shared" si="45"/>
        <v>0</v>
      </c>
      <c r="BP104" s="49"/>
      <c r="BQ104" s="49"/>
      <c r="BR104" s="50">
        <f t="shared" si="46"/>
        <v>0</v>
      </c>
      <c r="BT104" s="49"/>
      <c r="BU104" s="49"/>
      <c r="BV104" s="50">
        <f t="shared" si="47"/>
        <v>0</v>
      </c>
      <c r="BX104" s="49"/>
      <c r="BY104" s="49"/>
      <c r="BZ104" s="50">
        <f t="shared" si="48"/>
        <v>0</v>
      </c>
      <c r="CB104" s="49"/>
      <c r="CC104" s="49"/>
      <c r="CD104" s="50">
        <f t="shared" si="49"/>
        <v>0</v>
      </c>
      <c r="CF104" s="49"/>
      <c r="CG104" s="49"/>
      <c r="CH104" s="50">
        <f t="shared" si="50"/>
        <v>0</v>
      </c>
      <c r="CJ104" s="49"/>
      <c r="CK104" s="49"/>
      <c r="CL104" s="50">
        <f t="shared" si="51"/>
        <v>0</v>
      </c>
      <c r="CN104" s="49"/>
      <c r="CO104" s="49"/>
      <c r="CP104" s="50">
        <f t="shared" si="52"/>
        <v>0</v>
      </c>
      <c r="CR104" s="49"/>
      <c r="CS104" s="49"/>
      <c r="CT104" s="50">
        <f t="shared" si="53"/>
        <v>0</v>
      </c>
      <c r="CV104" s="49"/>
      <c r="CW104" s="49"/>
      <c r="CX104" s="50">
        <f t="shared" si="54"/>
        <v>0</v>
      </c>
      <c r="CZ104" s="49"/>
      <c r="DA104" s="49"/>
      <c r="DB104" s="50">
        <f t="shared" si="55"/>
        <v>0</v>
      </c>
      <c r="DD104" s="49"/>
      <c r="DE104" s="49"/>
      <c r="DF104" s="50">
        <f t="shared" si="56"/>
        <v>0</v>
      </c>
      <c r="DH104" s="49"/>
      <c r="DI104" s="49"/>
      <c r="DJ104" s="50">
        <f t="shared" si="57"/>
        <v>0</v>
      </c>
      <c r="DL104" s="49"/>
      <c r="DM104" s="49"/>
      <c r="DN104" s="50">
        <f t="shared" si="58"/>
        <v>0</v>
      </c>
      <c r="DP104" s="49"/>
      <c r="DQ104" s="49"/>
      <c r="DR104" s="50">
        <f t="shared" si="59"/>
        <v>0</v>
      </c>
      <c r="DT104" s="49"/>
      <c r="DU104" s="49"/>
      <c r="DV104" s="50">
        <f t="shared" si="60"/>
        <v>0</v>
      </c>
      <c r="DX104" s="49"/>
      <c r="DY104" s="49"/>
      <c r="DZ104" s="50">
        <f t="shared" si="61"/>
        <v>0</v>
      </c>
      <c r="EB104" s="49">
        <f t="shared" si="62"/>
        <v>0</v>
      </c>
      <c r="EC104" s="49">
        <f t="shared" si="62"/>
        <v>0</v>
      </c>
      <c r="ED104" s="49">
        <f t="shared" si="62"/>
        <v>0</v>
      </c>
    </row>
    <row r="105" spans="2:134" ht="11" customHeight="1" x14ac:dyDescent="0.35">
      <c r="B105" s="4">
        <v>106531</v>
      </c>
      <c r="C105" s="14" t="s">
        <v>111</v>
      </c>
      <c r="D105" s="4">
        <v>36</v>
      </c>
      <c r="E105" s="5">
        <v>18</v>
      </c>
      <c r="F105" s="6">
        <v>189.29879107400001</v>
      </c>
      <c r="G105" s="1"/>
      <c r="H105" s="49"/>
      <c r="I105" s="49"/>
      <c r="J105" s="50">
        <f t="shared" si="63"/>
        <v>0</v>
      </c>
      <c r="K105" s="9"/>
      <c r="L105" s="49"/>
      <c r="M105" s="49"/>
      <c r="N105" s="50">
        <f t="shared" si="32"/>
        <v>0</v>
      </c>
      <c r="O105" s="46"/>
      <c r="P105" s="49"/>
      <c r="Q105" s="49"/>
      <c r="R105" s="50">
        <f t="shared" si="33"/>
        <v>0</v>
      </c>
      <c r="T105" s="49"/>
      <c r="U105" s="49"/>
      <c r="V105" s="50">
        <f t="shared" si="34"/>
        <v>0</v>
      </c>
      <c r="X105" s="49"/>
      <c r="Y105" s="49"/>
      <c r="Z105" s="50">
        <f t="shared" si="35"/>
        <v>0</v>
      </c>
      <c r="AB105" s="49"/>
      <c r="AC105" s="49"/>
      <c r="AD105" s="50">
        <f t="shared" si="36"/>
        <v>0</v>
      </c>
      <c r="AF105" s="49"/>
      <c r="AG105" s="49"/>
      <c r="AH105" s="50">
        <f t="shared" si="37"/>
        <v>0</v>
      </c>
      <c r="AJ105" s="49"/>
      <c r="AK105" s="49"/>
      <c r="AL105" s="50">
        <f t="shared" si="38"/>
        <v>0</v>
      </c>
      <c r="AN105" s="49"/>
      <c r="AO105" s="49"/>
      <c r="AP105" s="50">
        <f t="shared" si="39"/>
        <v>0</v>
      </c>
      <c r="AR105" s="49"/>
      <c r="AS105" s="49"/>
      <c r="AT105" s="50">
        <f t="shared" si="40"/>
        <v>0</v>
      </c>
      <c r="AV105" s="49"/>
      <c r="AW105" s="49"/>
      <c r="AX105" s="50">
        <f t="shared" si="41"/>
        <v>0</v>
      </c>
      <c r="AZ105" s="49"/>
      <c r="BA105" s="49"/>
      <c r="BB105" s="50">
        <f t="shared" si="42"/>
        <v>0</v>
      </c>
      <c r="BD105" s="49"/>
      <c r="BE105" s="49"/>
      <c r="BF105" s="50">
        <f t="shared" si="43"/>
        <v>0</v>
      </c>
      <c r="BH105" s="49"/>
      <c r="BI105" s="49"/>
      <c r="BJ105" s="50">
        <f t="shared" si="44"/>
        <v>0</v>
      </c>
      <c r="BL105" s="49"/>
      <c r="BM105" s="49"/>
      <c r="BN105" s="50">
        <f t="shared" si="45"/>
        <v>0</v>
      </c>
      <c r="BP105" s="49"/>
      <c r="BQ105" s="49"/>
      <c r="BR105" s="50">
        <f t="shared" si="46"/>
        <v>0</v>
      </c>
      <c r="BT105" s="49"/>
      <c r="BU105" s="49"/>
      <c r="BV105" s="50">
        <f t="shared" si="47"/>
        <v>0</v>
      </c>
      <c r="BX105" s="49"/>
      <c r="BY105" s="49"/>
      <c r="BZ105" s="50">
        <f t="shared" si="48"/>
        <v>0</v>
      </c>
      <c r="CB105" s="49"/>
      <c r="CC105" s="49"/>
      <c r="CD105" s="50">
        <f t="shared" si="49"/>
        <v>0</v>
      </c>
      <c r="CF105" s="49"/>
      <c r="CG105" s="49"/>
      <c r="CH105" s="50">
        <f t="shared" si="50"/>
        <v>0</v>
      </c>
      <c r="CJ105" s="49"/>
      <c r="CK105" s="49"/>
      <c r="CL105" s="50">
        <f t="shared" si="51"/>
        <v>0</v>
      </c>
      <c r="CN105" s="49"/>
      <c r="CO105" s="49"/>
      <c r="CP105" s="50">
        <f t="shared" si="52"/>
        <v>0</v>
      </c>
      <c r="CR105" s="49"/>
      <c r="CS105" s="49"/>
      <c r="CT105" s="50">
        <f t="shared" si="53"/>
        <v>0</v>
      </c>
      <c r="CV105" s="49"/>
      <c r="CW105" s="49"/>
      <c r="CX105" s="50">
        <f t="shared" si="54"/>
        <v>0</v>
      </c>
      <c r="CZ105" s="49"/>
      <c r="DA105" s="49"/>
      <c r="DB105" s="50">
        <f t="shared" si="55"/>
        <v>0</v>
      </c>
      <c r="DD105" s="49"/>
      <c r="DE105" s="49"/>
      <c r="DF105" s="50">
        <f t="shared" si="56"/>
        <v>0</v>
      </c>
      <c r="DH105" s="49"/>
      <c r="DI105" s="49"/>
      <c r="DJ105" s="50">
        <f t="shared" si="57"/>
        <v>0</v>
      </c>
      <c r="DL105" s="49"/>
      <c r="DM105" s="49"/>
      <c r="DN105" s="50">
        <f t="shared" si="58"/>
        <v>0</v>
      </c>
      <c r="DP105" s="49"/>
      <c r="DQ105" s="49"/>
      <c r="DR105" s="50">
        <f t="shared" si="59"/>
        <v>0</v>
      </c>
      <c r="DT105" s="49"/>
      <c r="DU105" s="49"/>
      <c r="DV105" s="50">
        <f t="shared" si="60"/>
        <v>0</v>
      </c>
      <c r="DX105" s="49"/>
      <c r="DY105" s="49"/>
      <c r="DZ105" s="50">
        <f t="shared" si="61"/>
        <v>0</v>
      </c>
      <c r="EB105" s="49">
        <f t="shared" si="62"/>
        <v>0</v>
      </c>
      <c r="EC105" s="49">
        <f t="shared" si="62"/>
        <v>0</v>
      </c>
      <c r="ED105" s="49">
        <f t="shared" si="62"/>
        <v>0</v>
      </c>
    </row>
    <row r="106" spans="2:134" ht="11" customHeight="1" x14ac:dyDescent="0.35">
      <c r="B106" s="4">
        <v>109410</v>
      </c>
      <c r="C106" s="14" t="s">
        <v>112</v>
      </c>
      <c r="D106" s="4">
        <v>20</v>
      </c>
      <c r="E106" s="5">
        <v>18</v>
      </c>
      <c r="F106" s="6">
        <v>20.277777</v>
      </c>
      <c r="G106" s="1"/>
      <c r="H106" s="49"/>
      <c r="I106" s="49"/>
      <c r="J106" s="50">
        <f t="shared" si="63"/>
        <v>0</v>
      </c>
      <c r="K106" s="9"/>
      <c r="L106" s="49"/>
      <c r="M106" s="49"/>
      <c r="N106" s="50">
        <f t="shared" si="32"/>
        <v>0</v>
      </c>
      <c r="O106" s="46"/>
      <c r="P106" s="49"/>
      <c r="Q106" s="49"/>
      <c r="R106" s="50">
        <f t="shared" si="33"/>
        <v>0</v>
      </c>
      <c r="T106" s="49"/>
      <c r="U106" s="49"/>
      <c r="V106" s="50">
        <f t="shared" si="34"/>
        <v>0</v>
      </c>
      <c r="X106" s="49"/>
      <c r="Y106" s="49"/>
      <c r="Z106" s="50">
        <f t="shared" si="35"/>
        <v>0</v>
      </c>
      <c r="AB106" s="49"/>
      <c r="AC106" s="49"/>
      <c r="AD106" s="50">
        <f t="shared" si="36"/>
        <v>0</v>
      </c>
      <c r="AF106" s="49"/>
      <c r="AG106" s="49"/>
      <c r="AH106" s="50">
        <f t="shared" si="37"/>
        <v>0</v>
      </c>
      <c r="AJ106" s="49"/>
      <c r="AK106" s="49"/>
      <c r="AL106" s="50">
        <f t="shared" si="38"/>
        <v>0</v>
      </c>
      <c r="AN106" s="49"/>
      <c r="AO106" s="49"/>
      <c r="AP106" s="50">
        <f t="shared" si="39"/>
        <v>0</v>
      </c>
      <c r="AR106" s="49"/>
      <c r="AS106" s="49"/>
      <c r="AT106" s="50">
        <f t="shared" si="40"/>
        <v>0</v>
      </c>
      <c r="AV106" s="49"/>
      <c r="AW106" s="49"/>
      <c r="AX106" s="50">
        <f t="shared" si="41"/>
        <v>0</v>
      </c>
      <c r="AZ106" s="49"/>
      <c r="BA106" s="49"/>
      <c r="BB106" s="50">
        <f t="shared" si="42"/>
        <v>0</v>
      </c>
      <c r="BD106" s="49"/>
      <c r="BE106" s="49"/>
      <c r="BF106" s="50">
        <f t="shared" si="43"/>
        <v>0</v>
      </c>
      <c r="BH106" s="49"/>
      <c r="BI106" s="49"/>
      <c r="BJ106" s="50">
        <f t="shared" si="44"/>
        <v>0</v>
      </c>
      <c r="BL106" s="49"/>
      <c r="BM106" s="49"/>
      <c r="BN106" s="50">
        <f t="shared" si="45"/>
        <v>0</v>
      </c>
      <c r="BP106" s="49"/>
      <c r="BQ106" s="49"/>
      <c r="BR106" s="50">
        <f t="shared" si="46"/>
        <v>0</v>
      </c>
      <c r="BT106" s="49"/>
      <c r="BU106" s="49"/>
      <c r="BV106" s="50">
        <f t="shared" si="47"/>
        <v>0</v>
      </c>
      <c r="BX106" s="49"/>
      <c r="BY106" s="49"/>
      <c r="BZ106" s="50">
        <f t="shared" si="48"/>
        <v>0</v>
      </c>
      <c r="CB106" s="49"/>
      <c r="CC106" s="49"/>
      <c r="CD106" s="50">
        <f t="shared" si="49"/>
        <v>0</v>
      </c>
      <c r="CF106" s="49"/>
      <c r="CG106" s="49"/>
      <c r="CH106" s="50">
        <f t="shared" si="50"/>
        <v>0</v>
      </c>
      <c r="CJ106" s="49"/>
      <c r="CK106" s="49"/>
      <c r="CL106" s="50">
        <f t="shared" si="51"/>
        <v>0</v>
      </c>
      <c r="CN106" s="49"/>
      <c r="CO106" s="49"/>
      <c r="CP106" s="50">
        <f t="shared" si="52"/>
        <v>0</v>
      </c>
      <c r="CR106" s="49"/>
      <c r="CS106" s="49"/>
      <c r="CT106" s="50">
        <f t="shared" si="53"/>
        <v>0</v>
      </c>
      <c r="CV106" s="49"/>
      <c r="CW106" s="49"/>
      <c r="CX106" s="50">
        <f t="shared" si="54"/>
        <v>0</v>
      </c>
      <c r="CZ106" s="49"/>
      <c r="DA106" s="49"/>
      <c r="DB106" s="50">
        <f t="shared" si="55"/>
        <v>0</v>
      </c>
      <c r="DD106" s="49"/>
      <c r="DE106" s="49"/>
      <c r="DF106" s="50">
        <f t="shared" si="56"/>
        <v>0</v>
      </c>
      <c r="DH106" s="49"/>
      <c r="DI106" s="49"/>
      <c r="DJ106" s="50">
        <f t="shared" si="57"/>
        <v>0</v>
      </c>
      <c r="DL106" s="49"/>
      <c r="DM106" s="49"/>
      <c r="DN106" s="50">
        <f t="shared" si="58"/>
        <v>0</v>
      </c>
      <c r="DP106" s="49"/>
      <c r="DQ106" s="49"/>
      <c r="DR106" s="50">
        <f t="shared" si="59"/>
        <v>0</v>
      </c>
      <c r="DT106" s="49"/>
      <c r="DU106" s="49"/>
      <c r="DV106" s="50">
        <f t="shared" si="60"/>
        <v>0</v>
      </c>
      <c r="DX106" s="49"/>
      <c r="DY106" s="49"/>
      <c r="DZ106" s="50">
        <f t="shared" si="61"/>
        <v>0</v>
      </c>
      <c r="EB106" s="49">
        <f t="shared" si="62"/>
        <v>0</v>
      </c>
      <c r="EC106" s="49">
        <f t="shared" si="62"/>
        <v>0</v>
      </c>
      <c r="ED106" s="49">
        <f t="shared" si="62"/>
        <v>0</v>
      </c>
    </row>
    <row r="107" spans="2:134" ht="11" customHeight="1" x14ac:dyDescent="0.35">
      <c r="B107" s="4" t="s">
        <v>113</v>
      </c>
      <c r="C107" s="14" t="s">
        <v>114</v>
      </c>
      <c r="D107" s="4">
        <v>6</v>
      </c>
      <c r="E107" s="5">
        <v>12</v>
      </c>
      <c r="F107" s="6">
        <v>484.75580000000002</v>
      </c>
      <c r="G107" s="1"/>
      <c r="H107" s="49"/>
      <c r="I107" s="49"/>
      <c r="J107" s="50">
        <f t="shared" si="63"/>
        <v>0</v>
      </c>
      <c r="K107" s="9"/>
      <c r="L107" s="49"/>
      <c r="M107" s="49"/>
      <c r="N107" s="50">
        <f t="shared" si="32"/>
        <v>0</v>
      </c>
      <c r="O107" s="46"/>
      <c r="P107" s="49"/>
      <c r="Q107" s="49"/>
      <c r="R107" s="50">
        <f t="shared" si="33"/>
        <v>0</v>
      </c>
      <c r="T107" s="49"/>
      <c r="U107" s="49"/>
      <c r="V107" s="50">
        <f t="shared" si="34"/>
        <v>0</v>
      </c>
      <c r="X107" s="49"/>
      <c r="Y107" s="49"/>
      <c r="Z107" s="50">
        <f t="shared" si="35"/>
        <v>0</v>
      </c>
      <c r="AB107" s="49"/>
      <c r="AC107" s="49"/>
      <c r="AD107" s="50">
        <f t="shared" si="36"/>
        <v>0</v>
      </c>
      <c r="AF107" s="49"/>
      <c r="AG107" s="49"/>
      <c r="AH107" s="50">
        <f t="shared" si="37"/>
        <v>0</v>
      </c>
      <c r="AJ107" s="49"/>
      <c r="AK107" s="49"/>
      <c r="AL107" s="50">
        <f t="shared" si="38"/>
        <v>0</v>
      </c>
      <c r="AN107" s="49"/>
      <c r="AO107" s="49"/>
      <c r="AP107" s="50">
        <f t="shared" si="39"/>
        <v>0</v>
      </c>
      <c r="AR107" s="49"/>
      <c r="AS107" s="49"/>
      <c r="AT107" s="50">
        <f t="shared" si="40"/>
        <v>0</v>
      </c>
      <c r="AV107" s="49"/>
      <c r="AW107" s="49"/>
      <c r="AX107" s="50">
        <f t="shared" si="41"/>
        <v>0</v>
      </c>
      <c r="AZ107" s="49"/>
      <c r="BA107" s="49"/>
      <c r="BB107" s="50">
        <f t="shared" si="42"/>
        <v>0</v>
      </c>
      <c r="BD107" s="49"/>
      <c r="BE107" s="49"/>
      <c r="BF107" s="50">
        <f t="shared" si="43"/>
        <v>0</v>
      </c>
      <c r="BH107" s="49"/>
      <c r="BI107" s="49"/>
      <c r="BJ107" s="50">
        <f t="shared" si="44"/>
        <v>0</v>
      </c>
      <c r="BL107" s="49"/>
      <c r="BM107" s="49"/>
      <c r="BN107" s="50">
        <f t="shared" si="45"/>
        <v>0</v>
      </c>
      <c r="BP107" s="49"/>
      <c r="BQ107" s="49"/>
      <c r="BR107" s="50">
        <f t="shared" si="46"/>
        <v>0</v>
      </c>
      <c r="BT107" s="49"/>
      <c r="BU107" s="49"/>
      <c r="BV107" s="50">
        <f t="shared" si="47"/>
        <v>0</v>
      </c>
      <c r="BX107" s="49"/>
      <c r="BY107" s="49"/>
      <c r="BZ107" s="50">
        <f t="shared" si="48"/>
        <v>0</v>
      </c>
      <c r="CB107" s="49"/>
      <c r="CC107" s="49"/>
      <c r="CD107" s="50">
        <f t="shared" si="49"/>
        <v>0</v>
      </c>
      <c r="CF107" s="49"/>
      <c r="CG107" s="49"/>
      <c r="CH107" s="50">
        <f t="shared" si="50"/>
        <v>0</v>
      </c>
      <c r="CJ107" s="49"/>
      <c r="CK107" s="49"/>
      <c r="CL107" s="50">
        <f t="shared" si="51"/>
        <v>0</v>
      </c>
      <c r="CN107" s="49"/>
      <c r="CO107" s="49"/>
      <c r="CP107" s="50">
        <f t="shared" si="52"/>
        <v>0</v>
      </c>
      <c r="CR107" s="49"/>
      <c r="CS107" s="49"/>
      <c r="CT107" s="50">
        <f t="shared" si="53"/>
        <v>0</v>
      </c>
      <c r="CV107" s="49"/>
      <c r="CW107" s="49"/>
      <c r="CX107" s="50">
        <f t="shared" si="54"/>
        <v>0</v>
      </c>
      <c r="CZ107" s="49"/>
      <c r="DA107" s="49"/>
      <c r="DB107" s="50">
        <f t="shared" si="55"/>
        <v>0</v>
      </c>
      <c r="DD107" s="49"/>
      <c r="DE107" s="49"/>
      <c r="DF107" s="50">
        <f t="shared" si="56"/>
        <v>0</v>
      </c>
      <c r="DH107" s="49"/>
      <c r="DI107" s="49"/>
      <c r="DJ107" s="50">
        <f t="shared" si="57"/>
        <v>0</v>
      </c>
      <c r="DL107" s="49"/>
      <c r="DM107" s="49"/>
      <c r="DN107" s="50">
        <f t="shared" si="58"/>
        <v>0</v>
      </c>
      <c r="DP107" s="49"/>
      <c r="DQ107" s="49"/>
      <c r="DR107" s="50">
        <f t="shared" si="59"/>
        <v>0</v>
      </c>
      <c r="DT107" s="49"/>
      <c r="DU107" s="49"/>
      <c r="DV107" s="50">
        <f t="shared" si="60"/>
        <v>0</v>
      </c>
      <c r="DX107" s="49"/>
      <c r="DY107" s="49"/>
      <c r="DZ107" s="50">
        <f t="shared" si="61"/>
        <v>0</v>
      </c>
      <c r="EB107" s="49">
        <f t="shared" si="62"/>
        <v>0</v>
      </c>
      <c r="EC107" s="49">
        <f t="shared" si="62"/>
        <v>0</v>
      </c>
      <c r="ED107" s="49">
        <f t="shared" si="62"/>
        <v>0</v>
      </c>
    </row>
    <row r="108" spans="2:134" ht="11" customHeight="1" x14ac:dyDescent="0.35">
      <c r="B108" s="4">
        <v>0</v>
      </c>
      <c r="C108" s="14" t="s">
        <v>115</v>
      </c>
      <c r="D108" s="4">
        <v>50</v>
      </c>
      <c r="E108" s="5">
        <v>18</v>
      </c>
      <c r="F108" s="6">
        <v>198.24524392000001</v>
      </c>
      <c r="G108" s="1"/>
      <c r="H108" s="49"/>
      <c r="I108" s="49"/>
      <c r="J108" s="50">
        <f t="shared" si="63"/>
        <v>0</v>
      </c>
      <c r="K108" s="9"/>
      <c r="L108" s="49"/>
      <c r="M108" s="49"/>
      <c r="N108" s="50">
        <f t="shared" si="32"/>
        <v>0</v>
      </c>
      <c r="O108" s="46"/>
      <c r="P108" s="49"/>
      <c r="Q108" s="49"/>
      <c r="R108" s="50">
        <f t="shared" si="33"/>
        <v>0</v>
      </c>
      <c r="T108" s="49"/>
      <c r="U108" s="49"/>
      <c r="V108" s="50">
        <f t="shared" si="34"/>
        <v>0</v>
      </c>
      <c r="X108" s="49"/>
      <c r="Y108" s="49"/>
      <c r="Z108" s="50">
        <f t="shared" si="35"/>
        <v>0</v>
      </c>
      <c r="AB108" s="49"/>
      <c r="AC108" s="49"/>
      <c r="AD108" s="50">
        <f t="shared" si="36"/>
        <v>0</v>
      </c>
      <c r="AF108" s="49"/>
      <c r="AG108" s="49"/>
      <c r="AH108" s="50">
        <f t="shared" si="37"/>
        <v>0</v>
      </c>
      <c r="AJ108" s="49"/>
      <c r="AK108" s="49"/>
      <c r="AL108" s="50">
        <f t="shared" si="38"/>
        <v>0</v>
      </c>
      <c r="AN108" s="49"/>
      <c r="AO108" s="49"/>
      <c r="AP108" s="50">
        <f t="shared" si="39"/>
        <v>0</v>
      </c>
      <c r="AR108" s="49"/>
      <c r="AS108" s="49"/>
      <c r="AT108" s="50">
        <f t="shared" si="40"/>
        <v>0</v>
      </c>
      <c r="AV108" s="49"/>
      <c r="AW108" s="49"/>
      <c r="AX108" s="50">
        <f t="shared" si="41"/>
        <v>0</v>
      </c>
      <c r="AZ108" s="49"/>
      <c r="BA108" s="49"/>
      <c r="BB108" s="50">
        <f t="shared" si="42"/>
        <v>0</v>
      </c>
      <c r="BD108" s="49"/>
      <c r="BE108" s="49"/>
      <c r="BF108" s="50">
        <f t="shared" si="43"/>
        <v>0</v>
      </c>
      <c r="BH108" s="49"/>
      <c r="BI108" s="49"/>
      <c r="BJ108" s="50">
        <f t="shared" si="44"/>
        <v>0</v>
      </c>
      <c r="BL108" s="49"/>
      <c r="BM108" s="49"/>
      <c r="BN108" s="50">
        <f t="shared" si="45"/>
        <v>0</v>
      </c>
      <c r="BP108" s="49"/>
      <c r="BQ108" s="49"/>
      <c r="BR108" s="50">
        <f t="shared" si="46"/>
        <v>0</v>
      </c>
      <c r="BT108" s="49"/>
      <c r="BU108" s="49"/>
      <c r="BV108" s="50">
        <f t="shared" si="47"/>
        <v>0</v>
      </c>
      <c r="BX108" s="49"/>
      <c r="BY108" s="49"/>
      <c r="BZ108" s="50">
        <f t="shared" si="48"/>
        <v>0</v>
      </c>
      <c r="CB108" s="49"/>
      <c r="CC108" s="49"/>
      <c r="CD108" s="50">
        <f t="shared" si="49"/>
        <v>0</v>
      </c>
      <c r="CF108" s="49"/>
      <c r="CG108" s="49"/>
      <c r="CH108" s="50">
        <f t="shared" si="50"/>
        <v>0</v>
      </c>
      <c r="CJ108" s="49"/>
      <c r="CK108" s="49"/>
      <c r="CL108" s="50">
        <f t="shared" si="51"/>
        <v>0</v>
      </c>
      <c r="CN108" s="49"/>
      <c r="CO108" s="49"/>
      <c r="CP108" s="50">
        <f t="shared" si="52"/>
        <v>0</v>
      </c>
      <c r="CR108" s="49"/>
      <c r="CS108" s="49"/>
      <c r="CT108" s="50">
        <f t="shared" si="53"/>
        <v>0</v>
      </c>
      <c r="CV108" s="49"/>
      <c r="CW108" s="49"/>
      <c r="CX108" s="50">
        <f t="shared" si="54"/>
        <v>0</v>
      </c>
      <c r="CZ108" s="49"/>
      <c r="DA108" s="49"/>
      <c r="DB108" s="50">
        <f t="shared" si="55"/>
        <v>0</v>
      </c>
      <c r="DD108" s="49"/>
      <c r="DE108" s="49"/>
      <c r="DF108" s="50">
        <f t="shared" si="56"/>
        <v>0</v>
      </c>
      <c r="DH108" s="49"/>
      <c r="DI108" s="49"/>
      <c r="DJ108" s="50">
        <f t="shared" si="57"/>
        <v>0</v>
      </c>
      <c r="DL108" s="49"/>
      <c r="DM108" s="49"/>
      <c r="DN108" s="50">
        <f t="shared" si="58"/>
        <v>0</v>
      </c>
      <c r="DP108" s="49"/>
      <c r="DQ108" s="49"/>
      <c r="DR108" s="50">
        <f t="shared" si="59"/>
        <v>0</v>
      </c>
      <c r="DT108" s="49"/>
      <c r="DU108" s="49"/>
      <c r="DV108" s="50">
        <f t="shared" si="60"/>
        <v>0</v>
      </c>
      <c r="DX108" s="49"/>
      <c r="DY108" s="49"/>
      <c r="DZ108" s="50">
        <f t="shared" si="61"/>
        <v>0</v>
      </c>
      <c r="EB108" s="49">
        <f t="shared" si="62"/>
        <v>0</v>
      </c>
      <c r="EC108" s="49">
        <f t="shared" si="62"/>
        <v>0</v>
      </c>
      <c r="ED108" s="49">
        <f t="shared" si="62"/>
        <v>0</v>
      </c>
    </row>
    <row r="109" spans="2:134" ht="11" customHeight="1" x14ac:dyDescent="0.35">
      <c r="B109" s="15"/>
      <c r="C109" s="1"/>
      <c r="D109" s="1"/>
      <c r="E109" s="1"/>
      <c r="F109" s="1"/>
      <c r="G109" s="1"/>
      <c r="H109" s="1">
        <f>SUM(H4:H108)</f>
        <v>0</v>
      </c>
      <c r="I109" s="1">
        <f>SUM(I4:I108)</f>
        <v>0</v>
      </c>
      <c r="J109" s="1">
        <f>SUM(J4:J108)</f>
        <v>0</v>
      </c>
      <c r="K109" s="1"/>
      <c r="L109" s="1">
        <f>SUM(L4:L108)</f>
        <v>0</v>
      </c>
      <c r="M109" s="1">
        <f>SUM(M4:M108)</f>
        <v>0</v>
      </c>
      <c r="N109" s="1">
        <f>SUM(N4:N108)</f>
        <v>0</v>
      </c>
      <c r="O109" s="47"/>
      <c r="P109" s="1">
        <f>SUM(P4:P108)</f>
        <v>0</v>
      </c>
      <c r="Q109" s="1">
        <f>SUM(Q4:Q108)</f>
        <v>0</v>
      </c>
      <c r="R109" s="1">
        <f>SUM(R4:R108)</f>
        <v>0</v>
      </c>
      <c r="T109" s="1">
        <f>SUM(T4:T108)</f>
        <v>0</v>
      </c>
      <c r="U109" s="1">
        <f>SUM(U4:U108)</f>
        <v>0</v>
      </c>
      <c r="V109" s="1">
        <f>SUM(V4:V108)</f>
        <v>0</v>
      </c>
      <c r="X109" s="1">
        <f>SUM(X4:X108)</f>
        <v>0</v>
      </c>
      <c r="Y109" s="1">
        <f>SUM(Y4:Y108)</f>
        <v>0</v>
      </c>
      <c r="Z109" s="1">
        <f>SUM(Z4:Z108)</f>
        <v>0</v>
      </c>
      <c r="AB109" s="1">
        <f>SUM(AB4:AB108)</f>
        <v>0</v>
      </c>
      <c r="AC109" s="1">
        <f>SUM(AC4:AC108)</f>
        <v>0</v>
      </c>
      <c r="AD109" s="1">
        <f>SUM(AD4:AD108)</f>
        <v>0</v>
      </c>
      <c r="AF109" s="1">
        <f>SUM(AF4:AF108)</f>
        <v>0</v>
      </c>
      <c r="AG109" s="1">
        <f>SUM(AG4:AG108)</f>
        <v>0</v>
      </c>
      <c r="AH109" s="1">
        <f>SUM(AH4:AH108)</f>
        <v>0</v>
      </c>
      <c r="AJ109" s="1">
        <f>SUM(AJ4:AJ108)</f>
        <v>0</v>
      </c>
      <c r="AK109" s="1">
        <f>SUM(AK4:AK108)</f>
        <v>0</v>
      </c>
      <c r="AL109" s="1">
        <f>SUM(AL4:AL108)</f>
        <v>0</v>
      </c>
      <c r="AN109" s="1">
        <f>SUM(AN4:AN108)</f>
        <v>0</v>
      </c>
      <c r="AO109" s="1">
        <f>SUM(AO4:AO108)</f>
        <v>0</v>
      </c>
      <c r="AP109" s="1">
        <f>SUM(AP4:AP108)</f>
        <v>0</v>
      </c>
      <c r="AR109" s="1">
        <f>SUM(AR4:AR108)</f>
        <v>0</v>
      </c>
      <c r="AS109" s="1">
        <f>SUM(AS4:AS108)</f>
        <v>0</v>
      </c>
      <c r="AT109" s="1">
        <f>SUM(AT4:AT108)</f>
        <v>0</v>
      </c>
      <c r="AV109" s="1">
        <f>SUM(AV4:AV108)</f>
        <v>0</v>
      </c>
      <c r="AW109" s="1">
        <f>SUM(AW4:AW108)</f>
        <v>0</v>
      </c>
      <c r="AX109" s="1">
        <f>SUM(AX4:AX108)</f>
        <v>0</v>
      </c>
      <c r="AZ109" s="1">
        <f>SUM(AZ4:AZ108)</f>
        <v>0</v>
      </c>
      <c r="BA109" s="1">
        <f>SUM(BA4:BA108)</f>
        <v>0</v>
      </c>
      <c r="BB109" s="1">
        <f>SUM(BB4:BB108)</f>
        <v>0</v>
      </c>
      <c r="BD109" s="1">
        <f>SUM(BD4:BD108)</f>
        <v>0</v>
      </c>
      <c r="BE109" s="1">
        <f>SUM(BE4:BE108)</f>
        <v>0</v>
      </c>
      <c r="BF109" s="1">
        <f>SUM(BF4:BF108)</f>
        <v>0</v>
      </c>
      <c r="BH109" s="1">
        <f>SUM(BH4:BH108)</f>
        <v>0</v>
      </c>
      <c r="BI109" s="1">
        <f>SUM(BI4:BI108)</f>
        <v>0</v>
      </c>
      <c r="BJ109" s="1">
        <f>SUM(BJ4:BJ108)</f>
        <v>0</v>
      </c>
      <c r="BL109" s="1">
        <f>SUM(BL4:BL108)</f>
        <v>0</v>
      </c>
      <c r="BM109" s="1">
        <f>SUM(BM4:BM108)</f>
        <v>0</v>
      </c>
      <c r="BN109" s="1">
        <f>SUM(BN4:BN108)</f>
        <v>0</v>
      </c>
      <c r="BP109" s="1">
        <f>SUM(BP4:BP108)</f>
        <v>0</v>
      </c>
      <c r="BQ109" s="1">
        <f>SUM(BQ4:BQ108)</f>
        <v>0</v>
      </c>
      <c r="BR109" s="1">
        <f>SUM(BR4:BR108)</f>
        <v>0</v>
      </c>
      <c r="BT109" s="1">
        <f>SUM(BT4:BT108)</f>
        <v>0</v>
      </c>
      <c r="BU109" s="1">
        <f>SUM(BU4:BU108)</f>
        <v>0</v>
      </c>
      <c r="BV109" s="1">
        <f>SUM(BV4:BV108)</f>
        <v>0</v>
      </c>
      <c r="BX109" s="1">
        <f>SUM(BX4:BX108)</f>
        <v>0</v>
      </c>
      <c r="BY109" s="1">
        <f>SUM(BY4:BY108)</f>
        <v>0</v>
      </c>
      <c r="BZ109" s="1">
        <f>SUM(BZ4:BZ108)</f>
        <v>0</v>
      </c>
      <c r="CB109" s="1">
        <f>SUM(CB4:CB108)</f>
        <v>0</v>
      </c>
      <c r="CC109" s="1">
        <f>SUM(CC4:CC108)</f>
        <v>0</v>
      </c>
      <c r="CD109" s="1">
        <f>SUM(CD4:CD108)</f>
        <v>0</v>
      </c>
      <c r="CF109" s="1">
        <f>SUM(CF4:CF108)</f>
        <v>0</v>
      </c>
      <c r="CG109" s="1">
        <f>SUM(CG4:CG108)</f>
        <v>0</v>
      </c>
      <c r="CH109" s="1">
        <f>SUM(CH4:CH108)</f>
        <v>0</v>
      </c>
      <c r="CJ109" s="1">
        <f>SUM(CJ4:CJ108)</f>
        <v>0</v>
      </c>
      <c r="CK109" s="1">
        <f>SUM(CK4:CK108)</f>
        <v>0</v>
      </c>
      <c r="CL109" s="1">
        <f>SUM(CL4:CL108)</f>
        <v>0</v>
      </c>
      <c r="CN109" s="1">
        <f t="shared" ref="CN109:CP109" si="64">SUM(CN4:CN108)</f>
        <v>0</v>
      </c>
      <c r="CO109" s="1">
        <f t="shared" si="64"/>
        <v>0</v>
      </c>
      <c r="CP109" s="1">
        <f t="shared" si="64"/>
        <v>0</v>
      </c>
      <c r="CR109" s="1">
        <f t="shared" ref="CR109:CT109" si="65">SUM(CR4:CR108)</f>
        <v>0</v>
      </c>
      <c r="CS109" s="1">
        <f t="shared" si="65"/>
        <v>0</v>
      </c>
      <c r="CT109" s="1">
        <f t="shared" si="65"/>
        <v>0</v>
      </c>
      <c r="CV109" s="1">
        <f t="shared" ref="CV109:CX109" si="66">SUM(CV4:CV108)</f>
        <v>0</v>
      </c>
      <c r="CW109" s="1">
        <f t="shared" si="66"/>
        <v>0</v>
      </c>
      <c r="CX109" s="1">
        <f t="shared" si="66"/>
        <v>0</v>
      </c>
      <c r="CZ109" s="1">
        <f t="shared" ref="CZ109:DB109" si="67">SUM(CZ4:CZ108)</f>
        <v>0</v>
      </c>
      <c r="DA109" s="1">
        <f t="shared" si="67"/>
        <v>0</v>
      </c>
      <c r="DB109" s="1">
        <f t="shared" si="67"/>
        <v>0</v>
      </c>
      <c r="DD109" s="1">
        <f t="shared" ref="DD109:DF109" si="68">SUM(DD4:DD108)</f>
        <v>0</v>
      </c>
      <c r="DE109" s="1">
        <f t="shared" si="68"/>
        <v>0</v>
      </c>
      <c r="DF109" s="1">
        <f t="shared" si="68"/>
        <v>0</v>
      </c>
      <c r="DH109" s="1">
        <f t="shared" ref="DH109:DJ109" si="69">SUM(DH4:DH108)</f>
        <v>0</v>
      </c>
      <c r="DI109" s="1">
        <f t="shared" si="69"/>
        <v>0</v>
      </c>
      <c r="DJ109" s="1">
        <f t="shared" si="69"/>
        <v>0</v>
      </c>
      <c r="DL109" s="1">
        <f t="shared" ref="DL109:DN109" si="70">SUM(DL4:DL108)</f>
        <v>0</v>
      </c>
      <c r="DM109" s="1">
        <f t="shared" si="70"/>
        <v>0</v>
      </c>
      <c r="DN109" s="1">
        <f t="shared" si="70"/>
        <v>0</v>
      </c>
      <c r="DP109" s="1">
        <f t="shared" ref="DP109:DR109" si="71">SUM(DP4:DP108)</f>
        <v>0</v>
      </c>
      <c r="DQ109" s="1">
        <f t="shared" si="71"/>
        <v>0</v>
      </c>
      <c r="DR109" s="1">
        <f t="shared" si="71"/>
        <v>0</v>
      </c>
      <c r="DT109" s="1">
        <f t="shared" ref="DT109:DV109" si="72">SUM(DT4:DT108)</f>
        <v>0</v>
      </c>
      <c r="DU109" s="1">
        <f t="shared" si="72"/>
        <v>0</v>
      </c>
      <c r="DV109" s="1">
        <f t="shared" si="72"/>
        <v>0</v>
      </c>
      <c r="DX109" s="1">
        <f t="shared" ref="DX109:DZ109" si="73">SUM(DX4:DX108)</f>
        <v>0</v>
      </c>
      <c r="DY109" s="1">
        <f t="shared" si="73"/>
        <v>0</v>
      </c>
      <c r="DZ109" s="1">
        <f t="shared" si="73"/>
        <v>0</v>
      </c>
      <c r="EB109" s="1">
        <f t="shared" ref="EB109:ED109" si="74">SUM(EB4:EB108)</f>
        <v>0</v>
      </c>
      <c r="EC109" s="1">
        <f t="shared" si="74"/>
        <v>0</v>
      </c>
      <c r="ED109" s="1">
        <f t="shared" si="74"/>
        <v>0</v>
      </c>
    </row>
    <row r="110" spans="2:134" x14ac:dyDescent="0.35">
      <c r="L110" s="48"/>
      <c r="M110" s="48"/>
      <c r="N110" s="48"/>
      <c r="O110" s="48"/>
    </row>
  </sheetData>
  <conditionalFormatting sqref="B4:B79 B109">
    <cfRule type="duplicateValues" dxfId="14" priority="5"/>
  </conditionalFormatting>
  <conditionalFormatting sqref="B4:B108">
    <cfRule type="duplicateValues" dxfId="13" priority="1"/>
    <cfRule type="duplicateValues" dxfId="12" priority="2"/>
  </conditionalFormatting>
  <conditionalFormatting sqref="B80:B84">
    <cfRule type="duplicateValues" dxfId="11" priority="4"/>
  </conditionalFormatting>
  <conditionalFormatting sqref="B85:B108">
    <cfRule type="duplicateValues" dxfId="10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5819-8458-43C2-998E-558A0E89BAC2}">
  <dimension ref="B2:ED110"/>
  <sheetViews>
    <sheetView workbookViewId="0">
      <pane xSplit="5" ySplit="3" topLeftCell="DI4" activePane="bottomRight" state="frozen"/>
      <selection pane="topRight" activeCell="F1" sqref="F1"/>
      <selection pane="bottomLeft" activeCell="A4" sqref="A4"/>
      <selection pane="bottomRight" activeCell="DI4" sqref="DI4"/>
    </sheetView>
  </sheetViews>
  <sheetFormatPr defaultRowHeight="14.5" x14ac:dyDescent="0.35"/>
  <cols>
    <col min="3" max="3" width="38.81640625" customWidth="1"/>
    <col min="7" max="7" width="2.90625" customWidth="1"/>
    <col min="11" max="11" width="3.26953125" customWidth="1"/>
    <col min="15" max="15" width="3.26953125" customWidth="1"/>
    <col min="19" max="19" width="3.26953125" customWidth="1"/>
    <col min="23" max="23" width="3.26953125" customWidth="1"/>
    <col min="27" max="27" width="3.26953125" customWidth="1"/>
    <col min="31" max="31" width="3.26953125" customWidth="1"/>
    <col min="35" max="35" width="3.26953125" customWidth="1"/>
    <col min="39" max="39" width="3.26953125" customWidth="1"/>
    <col min="43" max="43" width="3.26953125" customWidth="1"/>
    <col min="47" max="47" width="3.26953125" customWidth="1"/>
    <col min="51" max="51" width="3.26953125" customWidth="1"/>
    <col min="55" max="55" width="3.26953125" customWidth="1"/>
    <col min="59" max="59" width="3.26953125" customWidth="1"/>
    <col min="63" max="63" width="3.26953125" customWidth="1"/>
    <col min="67" max="67" width="3.26953125" customWidth="1"/>
    <col min="71" max="71" width="3.26953125" customWidth="1"/>
    <col min="75" max="75" width="3.26953125" customWidth="1"/>
    <col min="79" max="79" width="3.26953125" customWidth="1"/>
    <col min="83" max="83" width="3.26953125" customWidth="1"/>
    <col min="87" max="87" width="3.26953125" customWidth="1"/>
    <col min="91" max="91" width="3.26953125" customWidth="1"/>
    <col min="95" max="95" width="3.26953125" customWidth="1"/>
    <col min="99" max="99" width="3.26953125" customWidth="1"/>
    <col min="103" max="103" width="3.26953125" customWidth="1"/>
    <col min="107" max="107" width="3.26953125" customWidth="1"/>
    <col min="111" max="111" width="3.26953125" customWidth="1"/>
    <col min="115" max="115" width="3.26953125" customWidth="1"/>
    <col min="119" max="119" width="3.26953125" customWidth="1"/>
    <col min="123" max="123" width="3.26953125" customWidth="1"/>
    <col min="127" max="127" width="3.26953125" customWidth="1"/>
    <col min="131" max="131" width="3.26953125" customWidth="1"/>
  </cols>
  <sheetData>
    <row r="2" spans="2:134" x14ac:dyDescent="0.35">
      <c r="B2" s="1"/>
      <c r="C2" s="1"/>
      <c r="D2" s="1"/>
      <c r="E2" s="1"/>
      <c r="F2" s="1"/>
      <c r="G2" s="1"/>
      <c r="H2" s="1" t="s">
        <v>123</v>
      </c>
      <c r="I2" s="1"/>
      <c r="J2" s="1"/>
      <c r="K2" s="1"/>
      <c r="L2" s="1" t="s">
        <v>124</v>
      </c>
      <c r="M2" s="1"/>
      <c r="N2" s="1"/>
      <c r="O2" s="51"/>
      <c r="P2" s="1" t="s">
        <v>125</v>
      </c>
      <c r="Q2" s="1"/>
      <c r="R2" s="1"/>
      <c r="T2" s="1" t="s">
        <v>126</v>
      </c>
      <c r="U2" s="1"/>
      <c r="V2" s="1"/>
      <c r="X2" s="1" t="s">
        <v>127</v>
      </c>
      <c r="Y2" s="1"/>
      <c r="Z2" s="1"/>
      <c r="AB2" s="1" t="s">
        <v>128</v>
      </c>
      <c r="AC2" s="1"/>
      <c r="AD2" s="1"/>
      <c r="AF2" s="1" t="s">
        <v>129</v>
      </c>
      <c r="AG2" s="1"/>
      <c r="AH2" s="1"/>
      <c r="AJ2" s="1" t="s">
        <v>130</v>
      </c>
      <c r="AK2" s="1"/>
      <c r="AL2" s="1"/>
      <c r="AN2" s="1" t="s">
        <v>131</v>
      </c>
      <c r="AO2" s="1"/>
      <c r="AP2" s="1"/>
      <c r="AR2" s="1" t="s">
        <v>132</v>
      </c>
      <c r="AS2" s="1"/>
      <c r="AT2" s="1"/>
      <c r="AV2" s="1" t="s">
        <v>133</v>
      </c>
      <c r="AW2" s="1"/>
      <c r="AX2" s="1"/>
      <c r="AZ2" s="1" t="s">
        <v>134</v>
      </c>
      <c r="BA2" s="1"/>
      <c r="BB2" s="1"/>
      <c r="BD2" s="1" t="s">
        <v>135</v>
      </c>
      <c r="BE2" s="1"/>
      <c r="BF2" s="1"/>
      <c r="BH2" s="1" t="s">
        <v>136</v>
      </c>
      <c r="BI2" s="1"/>
      <c r="BJ2" s="1"/>
      <c r="BL2" s="1" t="s">
        <v>137</v>
      </c>
      <c r="BM2" s="1"/>
      <c r="BN2" s="1"/>
      <c r="BP2" s="1" t="s">
        <v>138</v>
      </c>
      <c r="BQ2" s="1"/>
      <c r="BR2" s="1"/>
      <c r="BT2" s="1" t="s">
        <v>139</v>
      </c>
      <c r="BU2" s="1"/>
      <c r="BV2" s="1"/>
      <c r="BX2" s="1" t="s">
        <v>141</v>
      </c>
      <c r="BY2" s="1"/>
      <c r="BZ2" s="1"/>
      <c r="CB2" s="1" t="s">
        <v>142</v>
      </c>
      <c r="CC2" s="1"/>
      <c r="CD2" s="1"/>
      <c r="CF2" s="1" t="s">
        <v>143</v>
      </c>
      <c r="CG2" s="1"/>
      <c r="CH2" s="1"/>
      <c r="CJ2" s="1" t="s">
        <v>144</v>
      </c>
      <c r="CK2" s="1"/>
      <c r="CL2" s="1"/>
      <c r="CN2" s="1" t="s">
        <v>154</v>
      </c>
      <c r="CO2" s="1"/>
      <c r="CP2" s="1"/>
      <c r="CR2" s="1" t="s">
        <v>153</v>
      </c>
      <c r="CS2" s="1"/>
      <c r="CT2" s="1"/>
      <c r="CV2" s="1" t="s">
        <v>152</v>
      </c>
      <c r="CW2" s="1"/>
      <c r="CX2" s="1"/>
      <c r="CZ2" s="1" t="s">
        <v>151</v>
      </c>
      <c r="DA2" s="1"/>
      <c r="DB2" s="1"/>
      <c r="DD2" s="1" t="s">
        <v>150</v>
      </c>
      <c r="DE2" s="1"/>
      <c r="DF2" s="1"/>
      <c r="DH2" s="1" t="s">
        <v>149</v>
      </c>
      <c r="DI2" s="1"/>
      <c r="DJ2" s="1"/>
      <c r="DL2" s="1" t="s">
        <v>148</v>
      </c>
      <c r="DM2" s="1"/>
      <c r="DN2" s="1"/>
      <c r="DP2" s="1" t="s">
        <v>147</v>
      </c>
      <c r="DQ2" s="1"/>
      <c r="DR2" s="1"/>
      <c r="DT2" s="1" t="s">
        <v>146</v>
      </c>
      <c r="DU2" s="1"/>
      <c r="DV2" s="1"/>
      <c r="DX2" s="1" t="s">
        <v>145</v>
      </c>
      <c r="DY2" s="1"/>
      <c r="DZ2" s="1"/>
      <c r="EB2" s="1" t="s">
        <v>116</v>
      </c>
      <c r="EC2" s="1"/>
      <c r="ED2" s="1"/>
    </row>
    <row r="3" spans="2:134" ht="16" customHeight="1" x14ac:dyDescent="0.35">
      <c r="B3" s="20" t="s">
        <v>0</v>
      </c>
      <c r="C3" s="20" t="s">
        <v>1</v>
      </c>
      <c r="D3" s="20" t="s">
        <v>2</v>
      </c>
      <c r="E3" s="20" t="s">
        <v>2</v>
      </c>
      <c r="F3" s="20" t="s">
        <v>3</v>
      </c>
      <c r="G3" s="1"/>
      <c r="H3" s="2" t="s">
        <v>4</v>
      </c>
      <c r="I3" s="2" t="s">
        <v>5</v>
      </c>
      <c r="J3" s="2" t="s">
        <v>140</v>
      </c>
      <c r="K3" s="1"/>
      <c r="L3" s="2" t="s">
        <v>4</v>
      </c>
      <c r="M3" s="2" t="s">
        <v>5</v>
      </c>
      <c r="N3" s="2" t="s">
        <v>140</v>
      </c>
      <c r="O3" s="45"/>
      <c r="P3" s="2" t="s">
        <v>4</v>
      </c>
      <c r="Q3" s="2" t="s">
        <v>5</v>
      </c>
      <c r="R3" s="2" t="s">
        <v>140</v>
      </c>
      <c r="T3" s="2" t="s">
        <v>4</v>
      </c>
      <c r="U3" s="2" t="s">
        <v>5</v>
      </c>
      <c r="V3" s="2" t="s">
        <v>140</v>
      </c>
      <c r="X3" s="2" t="s">
        <v>4</v>
      </c>
      <c r="Y3" s="2" t="s">
        <v>5</v>
      </c>
      <c r="Z3" s="2" t="s">
        <v>140</v>
      </c>
      <c r="AB3" s="2" t="s">
        <v>4</v>
      </c>
      <c r="AC3" s="2" t="s">
        <v>5</v>
      </c>
      <c r="AD3" s="2" t="s">
        <v>140</v>
      </c>
      <c r="AF3" s="2" t="s">
        <v>4</v>
      </c>
      <c r="AG3" s="2" t="s">
        <v>5</v>
      </c>
      <c r="AH3" s="2" t="s">
        <v>140</v>
      </c>
      <c r="AJ3" s="2" t="s">
        <v>4</v>
      </c>
      <c r="AK3" s="2" t="s">
        <v>5</v>
      </c>
      <c r="AL3" s="2" t="s">
        <v>140</v>
      </c>
      <c r="AN3" s="2" t="s">
        <v>4</v>
      </c>
      <c r="AO3" s="2" t="s">
        <v>5</v>
      </c>
      <c r="AP3" s="2" t="s">
        <v>140</v>
      </c>
      <c r="AR3" s="2" t="s">
        <v>4</v>
      </c>
      <c r="AS3" s="2" t="s">
        <v>5</v>
      </c>
      <c r="AT3" s="2" t="s">
        <v>140</v>
      </c>
      <c r="AV3" s="2" t="s">
        <v>4</v>
      </c>
      <c r="AW3" s="2" t="s">
        <v>5</v>
      </c>
      <c r="AX3" s="2" t="s">
        <v>140</v>
      </c>
      <c r="AZ3" s="2" t="s">
        <v>4</v>
      </c>
      <c r="BA3" s="2" t="s">
        <v>5</v>
      </c>
      <c r="BB3" s="2" t="s">
        <v>140</v>
      </c>
      <c r="BD3" s="2" t="s">
        <v>4</v>
      </c>
      <c r="BE3" s="2" t="s">
        <v>5</v>
      </c>
      <c r="BF3" s="2" t="s">
        <v>140</v>
      </c>
      <c r="BH3" s="2" t="s">
        <v>4</v>
      </c>
      <c r="BI3" s="2" t="s">
        <v>5</v>
      </c>
      <c r="BJ3" s="2" t="s">
        <v>140</v>
      </c>
      <c r="BL3" s="2" t="s">
        <v>4</v>
      </c>
      <c r="BM3" s="2" t="s">
        <v>5</v>
      </c>
      <c r="BN3" s="2" t="s">
        <v>140</v>
      </c>
      <c r="BP3" s="2" t="s">
        <v>4</v>
      </c>
      <c r="BQ3" s="2" t="s">
        <v>5</v>
      </c>
      <c r="BR3" s="2" t="s">
        <v>140</v>
      </c>
      <c r="BT3" s="2" t="s">
        <v>4</v>
      </c>
      <c r="BU3" s="2" t="s">
        <v>5</v>
      </c>
      <c r="BV3" s="2" t="s">
        <v>140</v>
      </c>
      <c r="BX3" s="2" t="s">
        <v>4</v>
      </c>
      <c r="BY3" s="2" t="s">
        <v>5</v>
      </c>
      <c r="BZ3" s="2" t="s">
        <v>140</v>
      </c>
      <c r="CB3" s="2" t="s">
        <v>4</v>
      </c>
      <c r="CC3" s="2" t="s">
        <v>5</v>
      </c>
      <c r="CD3" s="2" t="s">
        <v>140</v>
      </c>
      <c r="CF3" s="2" t="s">
        <v>4</v>
      </c>
      <c r="CG3" s="2" t="s">
        <v>5</v>
      </c>
      <c r="CH3" s="2" t="s">
        <v>140</v>
      </c>
      <c r="CJ3" s="2" t="s">
        <v>4</v>
      </c>
      <c r="CK3" s="2" t="s">
        <v>5</v>
      </c>
      <c r="CL3" s="2" t="s">
        <v>140</v>
      </c>
      <c r="CN3" s="2" t="s">
        <v>4</v>
      </c>
      <c r="CO3" s="2" t="s">
        <v>5</v>
      </c>
      <c r="CP3" s="2" t="s">
        <v>140</v>
      </c>
      <c r="CR3" s="2" t="s">
        <v>4</v>
      </c>
      <c r="CS3" s="2" t="s">
        <v>5</v>
      </c>
      <c r="CT3" s="2" t="s">
        <v>140</v>
      </c>
      <c r="CV3" s="2" t="s">
        <v>4</v>
      </c>
      <c r="CW3" s="2" t="s">
        <v>5</v>
      </c>
      <c r="CX3" s="2" t="s">
        <v>140</v>
      </c>
      <c r="CZ3" s="2" t="s">
        <v>4</v>
      </c>
      <c r="DA3" s="2" t="s">
        <v>5</v>
      </c>
      <c r="DB3" s="2" t="s">
        <v>140</v>
      </c>
      <c r="DD3" s="2" t="s">
        <v>4</v>
      </c>
      <c r="DE3" s="2" t="s">
        <v>5</v>
      </c>
      <c r="DF3" s="2" t="s">
        <v>140</v>
      </c>
      <c r="DH3" s="2" t="s">
        <v>4</v>
      </c>
      <c r="DI3" s="2" t="s">
        <v>5</v>
      </c>
      <c r="DJ3" s="2" t="s">
        <v>140</v>
      </c>
      <c r="DL3" s="2" t="s">
        <v>4</v>
      </c>
      <c r="DM3" s="2" t="s">
        <v>5</v>
      </c>
      <c r="DN3" s="2" t="s">
        <v>140</v>
      </c>
      <c r="DP3" s="2" t="s">
        <v>4</v>
      </c>
      <c r="DQ3" s="2" t="s">
        <v>5</v>
      </c>
      <c r="DR3" s="2" t="s">
        <v>140</v>
      </c>
      <c r="DT3" s="2" t="s">
        <v>4</v>
      </c>
      <c r="DU3" s="2" t="s">
        <v>5</v>
      </c>
      <c r="DV3" s="2" t="s">
        <v>140</v>
      </c>
      <c r="DX3" s="2" t="s">
        <v>4</v>
      </c>
      <c r="DY3" s="2" t="s">
        <v>5</v>
      </c>
      <c r="DZ3" s="2" t="s">
        <v>140</v>
      </c>
      <c r="EB3" s="2" t="s">
        <v>4</v>
      </c>
      <c r="EC3" s="2" t="s">
        <v>5</v>
      </c>
      <c r="ED3" s="2" t="s">
        <v>140</v>
      </c>
    </row>
    <row r="4" spans="2:134" ht="11" customHeight="1" x14ac:dyDescent="0.35">
      <c r="B4" s="4">
        <v>101003</v>
      </c>
      <c r="C4" s="4" t="s">
        <v>10</v>
      </c>
      <c r="D4" s="4">
        <v>1</v>
      </c>
      <c r="E4" s="5">
        <v>48</v>
      </c>
      <c r="F4" s="6">
        <v>39.4372481296</v>
      </c>
      <c r="G4" s="7"/>
      <c r="H4" s="49"/>
      <c r="I4" s="49"/>
      <c r="J4" s="50">
        <f>(I4/E4)+H4</f>
        <v>0</v>
      </c>
      <c r="K4" s="9"/>
      <c r="L4" s="49"/>
      <c r="M4" s="49"/>
      <c r="N4" s="50">
        <f>(M4/E4)+L4</f>
        <v>0</v>
      </c>
      <c r="O4" s="46"/>
      <c r="P4" s="49"/>
      <c r="Q4" s="49"/>
      <c r="R4" s="50">
        <f>(Q4/E4)+P4</f>
        <v>0</v>
      </c>
      <c r="T4" s="49"/>
      <c r="U4" s="49"/>
      <c r="V4" s="50">
        <f>(U4/E4)+T4</f>
        <v>0</v>
      </c>
      <c r="X4" s="49"/>
      <c r="Y4" s="49"/>
      <c r="Z4" s="50">
        <f>(Y4/E4)+X4</f>
        <v>0</v>
      </c>
      <c r="AB4" s="49"/>
      <c r="AC4" s="49"/>
      <c r="AD4" s="50">
        <f>(AC4/E4)+AB4</f>
        <v>0</v>
      </c>
      <c r="AF4" s="49"/>
      <c r="AG4" s="49"/>
      <c r="AH4" s="50">
        <f>(AG4/E4)+AF4</f>
        <v>0</v>
      </c>
      <c r="AJ4" s="49"/>
      <c r="AK4" s="49"/>
      <c r="AL4" s="50">
        <f>(AK4/E4)+AJ4</f>
        <v>0</v>
      </c>
      <c r="AN4" s="49"/>
      <c r="AO4" s="49"/>
      <c r="AP4" s="50">
        <f>(AO4/E4)+AN4</f>
        <v>0</v>
      </c>
      <c r="AR4" s="49"/>
      <c r="AS4" s="49"/>
      <c r="AT4" s="50">
        <f>(AS4/E4)+AR4</f>
        <v>0</v>
      </c>
      <c r="AV4" s="49"/>
      <c r="AW4" s="49"/>
      <c r="AX4" s="50">
        <f>(AW4/E4)+AV4</f>
        <v>0</v>
      </c>
      <c r="AZ4" s="49"/>
      <c r="BA4" s="49"/>
      <c r="BB4" s="50">
        <f>(BA4/E4)+AZ4</f>
        <v>0</v>
      </c>
      <c r="BD4" s="49"/>
      <c r="BE4" s="49"/>
      <c r="BF4" s="50">
        <f>(BE4/E4)+BD4</f>
        <v>0</v>
      </c>
      <c r="BH4" s="49"/>
      <c r="BI4" s="49"/>
      <c r="BJ4" s="50">
        <f>(BI4/E4)+BH4</f>
        <v>0</v>
      </c>
      <c r="BL4" s="49"/>
      <c r="BM4" s="49"/>
      <c r="BN4" s="50">
        <f>(BM4/E4)+BL4</f>
        <v>0</v>
      </c>
      <c r="BP4" s="49"/>
      <c r="BQ4" s="49"/>
      <c r="BR4" s="50">
        <f>(BQ4/E4)+BP4</f>
        <v>0</v>
      </c>
      <c r="BT4" s="49"/>
      <c r="BU4" s="49"/>
      <c r="BV4" s="50">
        <f>(BU4/E4)+BT4</f>
        <v>0</v>
      </c>
      <c r="BX4" s="49"/>
      <c r="BY4" s="49"/>
      <c r="BZ4" s="50">
        <f>(BY4/E4)+BX4</f>
        <v>0</v>
      </c>
      <c r="CB4" s="49"/>
      <c r="CC4" s="49"/>
      <c r="CD4" s="50">
        <f>(CC4/E4)+CB4</f>
        <v>0</v>
      </c>
      <c r="CF4" s="49"/>
      <c r="CG4" s="49"/>
      <c r="CH4" s="50">
        <f>(CG4/E4)+CF4</f>
        <v>0</v>
      </c>
      <c r="CJ4" s="49"/>
      <c r="CK4" s="49"/>
      <c r="CL4" s="50">
        <f>(CK4/E4)+CJ4</f>
        <v>0</v>
      </c>
      <c r="CN4" s="49"/>
      <c r="CO4" s="49"/>
      <c r="CP4" s="50">
        <f>(CO4/E4)+CN4</f>
        <v>0</v>
      </c>
      <c r="CR4" s="49"/>
      <c r="CS4" s="49"/>
      <c r="CT4" s="50">
        <f>(CS4/E4)+CR4</f>
        <v>0</v>
      </c>
      <c r="CV4" s="49"/>
      <c r="CW4" s="49"/>
      <c r="CX4" s="50">
        <f>(CW4/E4)+CV4</f>
        <v>0</v>
      </c>
      <c r="CZ4" s="49"/>
      <c r="DA4" s="49"/>
      <c r="DB4" s="50">
        <f>(DA4/E4)+CZ4</f>
        <v>0</v>
      </c>
      <c r="DD4" s="49"/>
      <c r="DE4" s="49"/>
      <c r="DF4" s="50">
        <f>(DE4/E4)+DD4</f>
        <v>0</v>
      </c>
      <c r="DH4" s="49"/>
      <c r="DI4" s="49"/>
      <c r="DJ4" s="50">
        <f>(DI4/E4)+DH4</f>
        <v>0</v>
      </c>
      <c r="DL4" s="49"/>
      <c r="DM4" s="49"/>
      <c r="DN4" s="50">
        <f>(DM4/E4)+DL4</f>
        <v>0</v>
      </c>
      <c r="DP4" s="49"/>
      <c r="DQ4" s="49"/>
      <c r="DR4" s="50">
        <f>(DQ4/E4)+DP4</f>
        <v>0</v>
      </c>
      <c r="DT4" s="49"/>
      <c r="DU4" s="49"/>
      <c r="DV4" s="50">
        <f>(DU4/E4)+DT4</f>
        <v>0</v>
      </c>
      <c r="DX4" s="49"/>
      <c r="DY4" s="49"/>
      <c r="DZ4" s="50">
        <f>(DY4/E4)+DX4</f>
        <v>0</v>
      </c>
      <c r="EB4" s="49">
        <f>H4+L4+P4+T4+X4+AB4+AF4+AJ4+AN4+AR4+AV4+AZ4+BD4+BH4+BL4+BP4+BT4+BX4+CB4+CF4+CJ4+CN4+CR4+CV4+CZ4+DD4+DH4+DL4+DP4+DT4+DX4</f>
        <v>0</v>
      </c>
      <c r="EC4" s="49">
        <f>I4+M4+Q4+U4+Y4+AC4+AG4+AK4+AO4+AS4+AW4+BA4+BE4+BI4+BM4+BQ4+BU4+BY4+CC4+CG4+CK4+CO4+CS4+CW4+DA4+DE4+DI4+DM4+DQ4+DU4+DY4</f>
        <v>0</v>
      </c>
      <c r="ED4" s="49">
        <f>J4+N4+R4+V4+Z4+AD4+AH4+AL4+AP4+AT4+AX4+BB4+BF4+BJ4+BN4+BR4+BV4+BZ4+CD4+CH4+CL4+CP4+CT4+CX4+DB4+DF4+DJ4+DN4+DR4+DV4+DZ4</f>
        <v>0</v>
      </c>
    </row>
    <row r="5" spans="2:134" ht="11" customHeight="1" x14ac:dyDescent="0.35">
      <c r="B5" s="4">
        <v>101017</v>
      </c>
      <c r="C5" s="4" t="s">
        <v>11</v>
      </c>
      <c r="D5" s="4">
        <v>1</v>
      </c>
      <c r="E5" s="5">
        <v>48</v>
      </c>
      <c r="F5" s="6">
        <v>39.4372481296</v>
      </c>
      <c r="G5" s="7"/>
      <c r="H5" s="49"/>
      <c r="I5" s="49"/>
      <c r="J5" s="50">
        <f>(I5/E5)+H5</f>
        <v>0</v>
      </c>
      <c r="K5" s="9"/>
      <c r="L5" s="49"/>
      <c r="M5" s="49"/>
      <c r="N5" s="50">
        <f t="shared" ref="N5:N68" si="0">(M5/E5)+L5</f>
        <v>0</v>
      </c>
      <c r="O5" s="46"/>
      <c r="P5" s="49"/>
      <c r="Q5" s="49"/>
      <c r="R5" s="50">
        <f t="shared" ref="R5:R68" si="1">(Q5/E5)+P5</f>
        <v>0</v>
      </c>
      <c r="T5" s="49"/>
      <c r="U5" s="49"/>
      <c r="V5" s="50">
        <f t="shared" ref="V5:V68" si="2">(U5/E5)+T5</f>
        <v>0</v>
      </c>
      <c r="X5" s="49"/>
      <c r="Y5" s="49"/>
      <c r="Z5" s="50">
        <f t="shared" ref="Z5:Z68" si="3">(Y5/E5)+X5</f>
        <v>0</v>
      </c>
      <c r="AB5" s="49"/>
      <c r="AC5" s="49"/>
      <c r="AD5" s="50">
        <f t="shared" ref="AD5:AD68" si="4">(AC5/E5)+AB5</f>
        <v>0</v>
      </c>
      <c r="AF5" s="49"/>
      <c r="AG5" s="49"/>
      <c r="AH5" s="50">
        <f t="shared" ref="AH5:AH68" si="5">(AG5/E5)+AF5</f>
        <v>0</v>
      </c>
      <c r="AJ5" s="49"/>
      <c r="AK5" s="49"/>
      <c r="AL5" s="50">
        <f t="shared" ref="AL5:AL68" si="6">(AK5/E5)+AJ5</f>
        <v>0</v>
      </c>
      <c r="AN5" s="49"/>
      <c r="AO5" s="49"/>
      <c r="AP5" s="50">
        <f t="shared" ref="AP5:AP68" si="7">(AO5/E5)+AN5</f>
        <v>0</v>
      </c>
      <c r="AR5" s="49"/>
      <c r="AS5" s="49"/>
      <c r="AT5" s="50">
        <f t="shared" ref="AT5:AT68" si="8">(AS5/E5)+AR5</f>
        <v>0</v>
      </c>
      <c r="AV5" s="49"/>
      <c r="AW5" s="49"/>
      <c r="AX5" s="50">
        <f t="shared" ref="AX5:AX68" si="9">(AW5/E5)+AV5</f>
        <v>0</v>
      </c>
      <c r="AZ5" s="49"/>
      <c r="BA5" s="49"/>
      <c r="BB5" s="50">
        <f t="shared" ref="BB5:BB68" si="10">(BA5/E5)+AZ5</f>
        <v>0</v>
      </c>
      <c r="BD5" s="49"/>
      <c r="BE5" s="49"/>
      <c r="BF5" s="50">
        <f t="shared" ref="BF5:BF68" si="11">(BE5/E5)+BD5</f>
        <v>0</v>
      </c>
      <c r="BH5" s="49"/>
      <c r="BI5" s="49"/>
      <c r="BJ5" s="50">
        <f t="shared" ref="BJ5:BJ68" si="12">(BI5/E5)+BH5</f>
        <v>0</v>
      </c>
      <c r="BL5" s="49"/>
      <c r="BM5" s="49"/>
      <c r="BN5" s="50">
        <f t="shared" ref="BN5:BN68" si="13">(BM5/E5)+BL5</f>
        <v>0</v>
      </c>
      <c r="BP5" s="49"/>
      <c r="BQ5" s="49"/>
      <c r="BR5" s="50">
        <f t="shared" ref="BR5:BR68" si="14">(BQ5/E5)+BP5</f>
        <v>0</v>
      </c>
      <c r="BT5" s="49"/>
      <c r="BU5" s="49"/>
      <c r="BV5" s="50">
        <f t="shared" ref="BV5:BV68" si="15">(BU5/E5)+BT5</f>
        <v>0</v>
      </c>
      <c r="BX5" s="49"/>
      <c r="BY5" s="49"/>
      <c r="BZ5" s="50">
        <f t="shared" ref="BZ5:BZ68" si="16">(BY5/E5)+BX5</f>
        <v>0</v>
      </c>
      <c r="CB5" s="49"/>
      <c r="CC5" s="49"/>
      <c r="CD5" s="50">
        <f t="shared" ref="CD5:CD68" si="17">(CC5/E5)+CB5</f>
        <v>0</v>
      </c>
      <c r="CF5" s="49"/>
      <c r="CG5" s="49"/>
      <c r="CH5" s="50">
        <f t="shared" ref="CH5:CH68" si="18">(CG5/E5)+CF5</f>
        <v>0</v>
      </c>
      <c r="CJ5" s="49"/>
      <c r="CK5" s="49"/>
      <c r="CL5" s="50">
        <f t="shared" ref="CL5:CL68" si="19">(CK5/E5)+CJ5</f>
        <v>0</v>
      </c>
      <c r="CN5" s="49"/>
      <c r="CO5" s="49"/>
      <c r="CP5" s="50">
        <f t="shared" ref="CP5:CP68" si="20">(CO5/E5)+CN5</f>
        <v>0</v>
      </c>
      <c r="CR5" s="49"/>
      <c r="CS5" s="49"/>
      <c r="CT5" s="50">
        <f t="shared" ref="CT5:CT68" si="21">(CS5/E5)+CR5</f>
        <v>0</v>
      </c>
      <c r="CV5" s="49"/>
      <c r="CW5" s="49"/>
      <c r="CX5" s="50">
        <f t="shared" ref="CX5:CX68" si="22">(CW5/E5)+CV5</f>
        <v>0</v>
      </c>
      <c r="CZ5" s="49"/>
      <c r="DA5" s="49"/>
      <c r="DB5" s="50">
        <f t="shared" ref="DB5:DB68" si="23">(DA5/E5)+CZ5</f>
        <v>0</v>
      </c>
      <c r="DD5" s="49"/>
      <c r="DE5" s="49"/>
      <c r="DF5" s="50">
        <f t="shared" ref="DF5:DF68" si="24">(DE5/E5)+DD5</f>
        <v>0</v>
      </c>
      <c r="DH5" s="49"/>
      <c r="DI5" s="49"/>
      <c r="DJ5" s="50">
        <f t="shared" ref="DJ5:DJ68" si="25">(DI5/E5)+DH5</f>
        <v>0</v>
      </c>
      <c r="DL5" s="49"/>
      <c r="DM5" s="49"/>
      <c r="DN5" s="50">
        <f t="shared" ref="DN5:DN68" si="26">(DM5/E5)+DL5</f>
        <v>0</v>
      </c>
      <c r="DP5" s="49"/>
      <c r="DQ5" s="49"/>
      <c r="DR5" s="50">
        <f t="shared" ref="DR5:DR68" si="27">(DQ5/E5)+DP5</f>
        <v>0</v>
      </c>
      <c r="DT5" s="49"/>
      <c r="DU5" s="49"/>
      <c r="DV5" s="50">
        <f t="shared" ref="DV5:DV68" si="28">(DU5/E5)+DT5</f>
        <v>0</v>
      </c>
      <c r="DX5" s="49"/>
      <c r="DY5" s="49"/>
      <c r="DZ5" s="50">
        <f t="shared" ref="DZ5:DZ68" si="29">(DY5/E5)+DX5</f>
        <v>0</v>
      </c>
      <c r="EB5" s="49">
        <f t="shared" ref="EB5:ED68" si="30">H5+L5+P5+T5+X5+AB5+AF5+AJ5+AN5+AR5+AV5+AZ5+BD5+BH5+BL5+BP5+BT5+BX5+CB5+CF5+CJ5+CN5+CR5+CV5+CZ5+DD5+DH5+DL5+DP5+DT5+DX5</f>
        <v>0</v>
      </c>
      <c r="EC5" s="49">
        <f t="shared" si="30"/>
        <v>0</v>
      </c>
      <c r="ED5" s="49">
        <f t="shared" si="30"/>
        <v>0</v>
      </c>
    </row>
    <row r="6" spans="2:134" ht="11" customHeight="1" x14ac:dyDescent="0.35">
      <c r="B6" s="4">
        <v>101037</v>
      </c>
      <c r="C6" s="4" t="s">
        <v>12</v>
      </c>
      <c r="D6" s="4">
        <v>1</v>
      </c>
      <c r="E6" s="5">
        <v>48</v>
      </c>
      <c r="F6" s="6">
        <v>39.4372481296</v>
      </c>
      <c r="G6" s="7"/>
      <c r="H6" s="49"/>
      <c r="I6" s="49"/>
      <c r="J6" s="50">
        <f>(I6/E6)+H6</f>
        <v>0</v>
      </c>
      <c r="K6" s="9"/>
      <c r="L6" s="49"/>
      <c r="M6" s="49"/>
      <c r="N6" s="50">
        <f t="shared" si="0"/>
        <v>0</v>
      </c>
      <c r="O6" s="46"/>
      <c r="P6" s="49"/>
      <c r="Q6" s="49"/>
      <c r="R6" s="50">
        <f t="shared" si="1"/>
        <v>0</v>
      </c>
      <c r="T6" s="49"/>
      <c r="U6" s="49"/>
      <c r="V6" s="50">
        <f t="shared" si="2"/>
        <v>0</v>
      </c>
      <c r="X6" s="49"/>
      <c r="Y6" s="49"/>
      <c r="Z6" s="50">
        <f t="shared" si="3"/>
        <v>0</v>
      </c>
      <c r="AB6" s="49"/>
      <c r="AC6" s="49"/>
      <c r="AD6" s="50">
        <f t="shared" si="4"/>
        <v>0</v>
      </c>
      <c r="AF6" s="49"/>
      <c r="AG6" s="49"/>
      <c r="AH6" s="50">
        <f t="shared" si="5"/>
        <v>0</v>
      </c>
      <c r="AJ6" s="49"/>
      <c r="AK6" s="49"/>
      <c r="AL6" s="50">
        <f t="shared" si="6"/>
        <v>0</v>
      </c>
      <c r="AN6" s="49"/>
      <c r="AO6" s="49"/>
      <c r="AP6" s="50">
        <f t="shared" si="7"/>
        <v>0</v>
      </c>
      <c r="AR6" s="49"/>
      <c r="AS6" s="49"/>
      <c r="AT6" s="50">
        <f t="shared" si="8"/>
        <v>0</v>
      </c>
      <c r="AV6" s="49"/>
      <c r="AW6" s="49"/>
      <c r="AX6" s="50">
        <f t="shared" si="9"/>
        <v>0</v>
      </c>
      <c r="AZ6" s="49"/>
      <c r="BA6" s="49"/>
      <c r="BB6" s="50">
        <f t="shared" si="10"/>
        <v>0</v>
      </c>
      <c r="BD6" s="49"/>
      <c r="BE6" s="49"/>
      <c r="BF6" s="50">
        <f t="shared" si="11"/>
        <v>0</v>
      </c>
      <c r="BH6" s="49"/>
      <c r="BI6" s="49"/>
      <c r="BJ6" s="50">
        <f t="shared" si="12"/>
        <v>0</v>
      </c>
      <c r="BL6" s="49"/>
      <c r="BM6" s="49"/>
      <c r="BN6" s="50">
        <f t="shared" si="13"/>
        <v>0</v>
      </c>
      <c r="BP6" s="49"/>
      <c r="BQ6" s="49"/>
      <c r="BR6" s="50">
        <f t="shared" si="14"/>
        <v>0</v>
      </c>
      <c r="BT6" s="49"/>
      <c r="BU6" s="49"/>
      <c r="BV6" s="50">
        <f t="shared" si="15"/>
        <v>0</v>
      </c>
      <c r="BX6" s="49"/>
      <c r="BY6" s="49"/>
      <c r="BZ6" s="50">
        <f t="shared" si="16"/>
        <v>0</v>
      </c>
      <c r="CB6" s="49"/>
      <c r="CC6" s="49"/>
      <c r="CD6" s="50">
        <f t="shared" si="17"/>
        <v>0</v>
      </c>
      <c r="CF6" s="49"/>
      <c r="CG6" s="49"/>
      <c r="CH6" s="50">
        <f t="shared" si="18"/>
        <v>0</v>
      </c>
      <c r="CJ6" s="49"/>
      <c r="CK6" s="49"/>
      <c r="CL6" s="50">
        <f t="shared" si="19"/>
        <v>0</v>
      </c>
      <c r="CN6" s="49"/>
      <c r="CO6" s="49"/>
      <c r="CP6" s="50">
        <f t="shared" si="20"/>
        <v>0</v>
      </c>
      <c r="CR6" s="49"/>
      <c r="CS6" s="49"/>
      <c r="CT6" s="50">
        <f t="shared" si="21"/>
        <v>0</v>
      </c>
      <c r="CV6" s="49"/>
      <c r="CW6" s="49"/>
      <c r="CX6" s="50">
        <f t="shared" si="22"/>
        <v>0</v>
      </c>
      <c r="CZ6" s="49"/>
      <c r="DA6" s="49"/>
      <c r="DB6" s="50">
        <f t="shared" si="23"/>
        <v>0</v>
      </c>
      <c r="DD6" s="49"/>
      <c r="DE6" s="49"/>
      <c r="DF6" s="50">
        <f t="shared" si="24"/>
        <v>0</v>
      </c>
      <c r="DH6" s="49"/>
      <c r="DI6" s="49"/>
      <c r="DJ6" s="50">
        <f t="shared" si="25"/>
        <v>0</v>
      </c>
      <c r="DL6" s="49"/>
      <c r="DM6" s="49"/>
      <c r="DN6" s="50">
        <f t="shared" si="26"/>
        <v>0</v>
      </c>
      <c r="DP6" s="49"/>
      <c r="DQ6" s="49"/>
      <c r="DR6" s="50">
        <f t="shared" si="27"/>
        <v>0</v>
      </c>
      <c r="DT6" s="49"/>
      <c r="DU6" s="49"/>
      <c r="DV6" s="50">
        <f t="shared" si="28"/>
        <v>0</v>
      </c>
      <c r="DX6" s="49"/>
      <c r="DY6" s="49"/>
      <c r="DZ6" s="50">
        <f t="shared" si="29"/>
        <v>0</v>
      </c>
      <c r="EB6" s="49">
        <f t="shared" si="30"/>
        <v>0</v>
      </c>
      <c r="EC6" s="49">
        <f t="shared" si="30"/>
        <v>0</v>
      </c>
      <c r="ED6" s="49">
        <f t="shared" si="30"/>
        <v>0</v>
      </c>
    </row>
    <row r="7" spans="2:134" ht="11" customHeight="1" x14ac:dyDescent="0.35">
      <c r="B7" s="4">
        <v>101045</v>
      </c>
      <c r="C7" s="4" t="s">
        <v>13</v>
      </c>
      <c r="D7" s="4">
        <v>18</v>
      </c>
      <c r="E7" s="5">
        <v>18</v>
      </c>
      <c r="F7" s="6">
        <v>288.68044392000002</v>
      </c>
      <c r="G7" s="7"/>
      <c r="H7" s="49"/>
      <c r="I7" s="49"/>
      <c r="J7" s="50">
        <f t="shared" ref="J7:J70" si="31">(I7/E7)+H7</f>
        <v>0</v>
      </c>
      <c r="K7" s="9"/>
      <c r="L7" s="49"/>
      <c r="M7" s="49"/>
      <c r="N7" s="50">
        <f t="shared" si="0"/>
        <v>0</v>
      </c>
      <c r="O7" s="46"/>
      <c r="P7" s="49"/>
      <c r="Q7" s="49"/>
      <c r="R7" s="50">
        <f t="shared" si="1"/>
        <v>0</v>
      </c>
      <c r="T7" s="49"/>
      <c r="U7" s="49"/>
      <c r="V7" s="50">
        <f t="shared" si="2"/>
        <v>0</v>
      </c>
      <c r="X7" s="49"/>
      <c r="Y7" s="49"/>
      <c r="Z7" s="50">
        <f t="shared" si="3"/>
        <v>0</v>
      </c>
      <c r="AB7" s="49"/>
      <c r="AC7" s="49"/>
      <c r="AD7" s="50">
        <f t="shared" si="4"/>
        <v>0</v>
      </c>
      <c r="AF7" s="49"/>
      <c r="AG7" s="49"/>
      <c r="AH7" s="50">
        <f t="shared" si="5"/>
        <v>0</v>
      </c>
      <c r="AJ7" s="49"/>
      <c r="AK7" s="49"/>
      <c r="AL7" s="50">
        <f t="shared" si="6"/>
        <v>0</v>
      </c>
      <c r="AN7" s="49"/>
      <c r="AO7" s="49"/>
      <c r="AP7" s="50">
        <f t="shared" si="7"/>
        <v>0</v>
      </c>
      <c r="AR7" s="49"/>
      <c r="AS7" s="49"/>
      <c r="AT7" s="50">
        <f t="shared" si="8"/>
        <v>0</v>
      </c>
      <c r="AV7" s="49"/>
      <c r="AW7" s="49"/>
      <c r="AX7" s="50">
        <f t="shared" si="9"/>
        <v>0</v>
      </c>
      <c r="AZ7" s="49"/>
      <c r="BA7" s="49"/>
      <c r="BB7" s="50">
        <f t="shared" si="10"/>
        <v>0</v>
      </c>
      <c r="BD7" s="49"/>
      <c r="BE7" s="49"/>
      <c r="BF7" s="50">
        <f t="shared" si="11"/>
        <v>0</v>
      </c>
      <c r="BH7" s="49"/>
      <c r="BI7" s="49"/>
      <c r="BJ7" s="50">
        <f t="shared" si="12"/>
        <v>0</v>
      </c>
      <c r="BL7" s="49"/>
      <c r="BM7" s="49"/>
      <c r="BN7" s="50">
        <f t="shared" si="13"/>
        <v>0</v>
      </c>
      <c r="BP7" s="49"/>
      <c r="BQ7" s="49"/>
      <c r="BR7" s="50">
        <f t="shared" si="14"/>
        <v>0</v>
      </c>
      <c r="BT7" s="49"/>
      <c r="BU7" s="49"/>
      <c r="BV7" s="50">
        <f t="shared" si="15"/>
        <v>0</v>
      </c>
      <c r="BX7" s="49"/>
      <c r="BY7" s="49"/>
      <c r="BZ7" s="50">
        <f t="shared" si="16"/>
        <v>0</v>
      </c>
      <c r="CB7" s="49"/>
      <c r="CC7" s="49"/>
      <c r="CD7" s="50">
        <f t="shared" si="17"/>
        <v>0</v>
      </c>
      <c r="CF7" s="49"/>
      <c r="CG7" s="49"/>
      <c r="CH7" s="50">
        <f t="shared" si="18"/>
        <v>0</v>
      </c>
      <c r="CJ7" s="49"/>
      <c r="CK7" s="49"/>
      <c r="CL7" s="50">
        <f t="shared" si="19"/>
        <v>0</v>
      </c>
      <c r="CN7" s="49"/>
      <c r="CO7" s="49"/>
      <c r="CP7" s="50">
        <f t="shared" si="20"/>
        <v>0</v>
      </c>
      <c r="CR7" s="49"/>
      <c r="CS7" s="49"/>
      <c r="CT7" s="50">
        <f t="shared" si="21"/>
        <v>0</v>
      </c>
      <c r="CV7" s="49"/>
      <c r="CW7" s="49"/>
      <c r="CX7" s="50">
        <f t="shared" si="22"/>
        <v>0</v>
      </c>
      <c r="CZ7" s="49"/>
      <c r="DA7" s="49"/>
      <c r="DB7" s="50">
        <f t="shared" si="23"/>
        <v>0</v>
      </c>
      <c r="DD7" s="49"/>
      <c r="DE7" s="49"/>
      <c r="DF7" s="50">
        <f t="shared" si="24"/>
        <v>0</v>
      </c>
      <c r="DH7" s="49"/>
      <c r="DI7" s="49"/>
      <c r="DJ7" s="50">
        <f t="shared" si="25"/>
        <v>0</v>
      </c>
      <c r="DL7" s="49"/>
      <c r="DM7" s="49"/>
      <c r="DN7" s="50">
        <f t="shared" si="26"/>
        <v>0</v>
      </c>
      <c r="DP7" s="49"/>
      <c r="DQ7" s="49"/>
      <c r="DR7" s="50">
        <f t="shared" si="27"/>
        <v>0</v>
      </c>
      <c r="DT7" s="49"/>
      <c r="DU7" s="49"/>
      <c r="DV7" s="50">
        <f t="shared" si="28"/>
        <v>0</v>
      </c>
      <c r="DX7" s="49"/>
      <c r="DY7" s="49"/>
      <c r="DZ7" s="50">
        <f t="shared" si="29"/>
        <v>0</v>
      </c>
      <c r="EB7" s="49">
        <f t="shared" si="30"/>
        <v>0</v>
      </c>
      <c r="EC7" s="49">
        <f t="shared" si="30"/>
        <v>0</v>
      </c>
      <c r="ED7" s="49">
        <f t="shared" si="30"/>
        <v>0</v>
      </c>
    </row>
    <row r="8" spans="2:134" ht="11" customHeight="1" x14ac:dyDescent="0.35">
      <c r="B8" s="4">
        <v>101057</v>
      </c>
      <c r="C8" s="4" t="s">
        <v>14</v>
      </c>
      <c r="D8" s="4">
        <v>1</v>
      </c>
      <c r="E8" s="5">
        <v>48</v>
      </c>
      <c r="F8" s="6">
        <v>39.4372481296</v>
      </c>
      <c r="G8" s="7"/>
      <c r="H8" s="49"/>
      <c r="I8" s="49"/>
      <c r="J8" s="50">
        <f t="shared" si="31"/>
        <v>0</v>
      </c>
      <c r="K8" s="9"/>
      <c r="L8" s="49"/>
      <c r="M8" s="49"/>
      <c r="N8" s="50">
        <f t="shared" si="0"/>
        <v>0</v>
      </c>
      <c r="O8" s="46"/>
      <c r="P8" s="49"/>
      <c r="Q8" s="49"/>
      <c r="R8" s="50">
        <f t="shared" si="1"/>
        <v>0</v>
      </c>
      <c r="T8" s="49"/>
      <c r="U8" s="49"/>
      <c r="V8" s="50">
        <f t="shared" si="2"/>
        <v>0</v>
      </c>
      <c r="X8" s="49"/>
      <c r="Y8" s="49"/>
      <c r="Z8" s="50">
        <f t="shared" si="3"/>
        <v>0</v>
      </c>
      <c r="AB8" s="49"/>
      <c r="AC8" s="49"/>
      <c r="AD8" s="50">
        <f t="shared" si="4"/>
        <v>0</v>
      </c>
      <c r="AF8" s="49"/>
      <c r="AG8" s="49"/>
      <c r="AH8" s="50">
        <f t="shared" si="5"/>
        <v>0</v>
      </c>
      <c r="AJ8" s="49"/>
      <c r="AK8" s="49"/>
      <c r="AL8" s="50">
        <f t="shared" si="6"/>
        <v>0</v>
      </c>
      <c r="AN8" s="49"/>
      <c r="AO8" s="49"/>
      <c r="AP8" s="50">
        <f t="shared" si="7"/>
        <v>0</v>
      </c>
      <c r="AR8" s="49"/>
      <c r="AS8" s="49"/>
      <c r="AT8" s="50">
        <f t="shared" si="8"/>
        <v>0</v>
      </c>
      <c r="AV8" s="49"/>
      <c r="AW8" s="49"/>
      <c r="AX8" s="50">
        <f t="shared" si="9"/>
        <v>0</v>
      </c>
      <c r="AZ8" s="49"/>
      <c r="BA8" s="49"/>
      <c r="BB8" s="50">
        <f t="shared" si="10"/>
        <v>0</v>
      </c>
      <c r="BD8" s="49"/>
      <c r="BE8" s="49"/>
      <c r="BF8" s="50">
        <f t="shared" si="11"/>
        <v>0</v>
      </c>
      <c r="BH8" s="49"/>
      <c r="BI8" s="49"/>
      <c r="BJ8" s="50">
        <f t="shared" si="12"/>
        <v>0</v>
      </c>
      <c r="BL8" s="49"/>
      <c r="BM8" s="49"/>
      <c r="BN8" s="50">
        <f t="shared" si="13"/>
        <v>0</v>
      </c>
      <c r="BP8" s="49"/>
      <c r="BQ8" s="49"/>
      <c r="BR8" s="50">
        <f t="shared" si="14"/>
        <v>0</v>
      </c>
      <c r="BT8" s="49"/>
      <c r="BU8" s="49"/>
      <c r="BV8" s="50">
        <f t="shared" si="15"/>
        <v>0</v>
      </c>
      <c r="BX8" s="49"/>
      <c r="BY8" s="49"/>
      <c r="BZ8" s="50">
        <f t="shared" si="16"/>
        <v>0</v>
      </c>
      <c r="CB8" s="49"/>
      <c r="CC8" s="49"/>
      <c r="CD8" s="50">
        <f t="shared" si="17"/>
        <v>0</v>
      </c>
      <c r="CF8" s="49"/>
      <c r="CG8" s="49"/>
      <c r="CH8" s="50">
        <f t="shared" si="18"/>
        <v>0</v>
      </c>
      <c r="CJ8" s="49"/>
      <c r="CK8" s="49"/>
      <c r="CL8" s="50">
        <f t="shared" si="19"/>
        <v>0</v>
      </c>
      <c r="CN8" s="49"/>
      <c r="CO8" s="49"/>
      <c r="CP8" s="50">
        <f t="shared" si="20"/>
        <v>0</v>
      </c>
      <c r="CR8" s="49"/>
      <c r="CS8" s="49"/>
      <c r="CT8" s="50">
        <f t="shared" si="21"/>
        <v>0</v>
      </c>
      <c r="CV8" s="49"/>
      <c r="CW8" s="49"/>
      <c r="CX8" s="50">
        <f t="shared" si="22"/>
        <v>0</v>
      </c>
      <c r="CZ8" s="49"/>
      <c r="DA8" s="49"/>
      <c r="DB8" s="50">
        <f t="shared" si="23"/>
        <v>0</v>
      </c>
      <c r="DD8" s="49"/>
      <c r="DE8" s="49"/>
      <c r="DF8" s="50">
        <f t="shared" si="24"/>
        <v>0</v>
      </c>
      <c r="DH8" s="49"/>
      <c r="DI8" s="49"/>
      <c r="DJ8" s="50">
        <f t="shared" si="25"/>
        <v>0</v>
      </c>
      <c r="DL8" s="49"/>
      <c r="DM8" s="49"/>
      <c r="DN8" s="50">
        <f t="shared" si="26"/>
        <v>0</v>
      </c>
      <c r="DP8" s="49"/>
      <c r="DQ8" s="49"/>
      <c r="DR8" s="50">
        <f t="shared" si="27"/>
        <v>0</v>
      </c>
      <c r="DT8" s="49"/>
      <c r="DU8" s="49"/>
      <c r="DV8" s="50">
        <f t="shared" si="28"/>
        <v>0</v>
      </c>
      <c r="DX8" s="49"/>
      <c r="DY8" s="49"/>
      <c r="DZ8" s="50">
        <f t="shared" si="29"/>
        <v>0</v>
      </c>
      <c r="EB8" s="49">
        <f t="shared" si="30"/>
        <v>0</v>
      </c>
      <c r="EC8" s="49">
        <f t="shared" si="30"/>
        <v>0</v>
      </c>
      <c r="ED8" s="49">
        <f t="shared" si="30"/>
        <v>0</v>
      </c>
    </row>
    <row r="9" spans="2:134" ht="11" customHeight="1" x14ac:dyDescent="0.35">
      <c r="B9" s="4">
        <v>101058</v>
      </c>
      <c r="C9" s="4" t="s">
        <v>15</v>
      </c>
      <c r="D9" s="4">
        <v>24</v>
      </c>
      <c r="E9" s="5">
        <v>24</v>
      </c>
      <c r="F9" s="6">
        <v>189.29879107400001</v>
      </c>
      <c r="G9" s="7"/>
      <c r="H9" s="49"/>
      <c r="I9" s="49"/>
      <c r="J9" s="50">
        <f t="shared" si="31"/>
        <v>0</v>
      </c>
      <c r="K9" s="9"/>
      <c r="L9" s="49"/>
      <c r="M9" s="49"/>
      <c r="N9" s="50">
        <f t="shared" si="0"/>
        <v>0</v>
      </c>
      <c r="O9" s="46"/>
      <c r="P9" s="49"/>
      <c r="Q9" s="49"/>
      <c r="R9" s="50">
        <f t="shared" si="1"/>
        <v>0</v>
      </c>
      <c r="T9" s="49"/>
      <c r="U9" s="49"/>
      <c r="V9" s="50">
        <f t="shared" si="2"/>
        <v>0</v>
      </c>
      <c r="X9" s="49"/>
      <c r="Y9" s="49"/>
      <c r="Z9" s="50">
        <f t="shared" si="3"/>
        <v>0</v>
      </c>
      <c r="AB9" s="49"/>
      <c r="AC9" s="49"/>
      <c r="AD9" s="50">
        <f t="shared" si="4"/>
        <v>0</v>
      </c>
      <c r="AF9" s="49"/>
      <c r="AG9" s="49"/>
      <c r="AH9" s="50">
        <f t="shared" si="5"/>
        <v>0</v>
      </c>
      <c r="AJ9" s="49"/>
      <c r="AK9" s="49"/>
      <c r="AL9" s="50">
        <f t="shared" si="6"/>
        <v>0</v>
      </c>
      <c r="AN9" s="49"/>
      <c r="AO9" s="49"/>
      <c r="AP9" s="50">
        <f t="shared" si="7"/>
        <v>0</v>
      </c>
      <c r="AR9" s="49"/>
      <c r="AS9" s="49"/>
      <c r="AT9" s="50">
        <f t="shared" si="8"/>
        <v>0</v>
      </c>
      <c r="AV9" s="49"/>
      <c r="AW9" s="49"/>
      <c r="AX9" s="50">
        <f t="shared" si="9"/>
        <v>0</v>
      </c>
      <c r="AZ9" s="49"/>
      <c r="BA9" s="49"/>
      <c r="BB9" s="50">
        <f t="shared" si="10"/>
        <v>0</v>
      </c>
      <c r="BD9" s="49"/>
      <c r="BE9" s="49"/>
      <c r="BF9" s="50">
        <f t="shared" si="11"/>
        <v>0</v>
      </c>
      <c r="BH9" s="49"/>
      <c r="BI9" s="49"/>
      <c r="BJ9" s="50">
        <f t="shared" si="12"/>
        <v>0</v>
      </c>
      <c r="BL9" s="49"/>
      <c r="BM9" s="49"/>
      <c r="BN9" s="50">
        <f t="shared" si="13"/>
        <v>0</v>
      </c>
      <c r="BP9" s="49"/>
      <c r="BQ9" s="49"/>
      <c r="BR9" s="50">
        <f t="shared" si="14"/>
        <v>0</v>
      </c>
      <c r="BT9" s="49"/>
      <c r="BU9" s="49"/>
      <c r="BV9" s="50">
        <f t="shared" si="15"/>
        <v>0</v>
      </c>
      <c r="BX9" s="49"/>
      <c r="BY9" s="49"/>
      <c r="BZ9" s="50">
        <f t="shared" si="16"/>
        <v>0</v>
      </c>
      <c r="CB9" s="49"/>
      <c r="CC9" s="49"/>
      <c r="CD9" s="50">
        <f t="shared" si="17"/>
        <v>0</v>
      </c>
      <c r="CF9" s="49"/>
      <c r="CG9" s="49"/>
      <c r="CH9" s="50">
        <f t="shared" si="18"/>
        <v>0</v>
      </c>
      <c r="CJ9" s="49"/>
      <c r="CK9" s="49"/>
      <c r="CL9" s="50">
        <f t="shared" si="19"/>
        <v>0</v>
      </c>
      <c r="CN9" s="49"/>
      <c r="CO9" s="49"/>
      <c r="CP9" s="50">
        <f t="shared" si="20"/>
        <v>0</v>
      </c>
      <c r="CR9" s="49"/>
      <c r="CS9" s="49"/>
      <c r="CT9" s="50">
        <f t="shared" si="21"/>
        <v>0</v>
      </c>
      <c r="CV9" s="49"/>
      <c r="CW9" s="49"/>
      <c r="CX9" s="50">
        <f t="shared" si="22"/>
        <v>0</v>
      </c>
      <c r="CZ9" s="49"/>
      <c r="DA9" s="49"/>
      <c r="DB9" s="50">
        <f t="shared" si="23"/>
        <v>0</v>
      </c>
      <c r="DD9" s="49"/>
      <c r="DE9" s="49"/>
      <c r="DF9" s="50">
        <f t="shared" si="24"/>
        <v>0</v>
      </c>
      <c r="DH9" s="49"/>
      <c r="DI9" s="49"/>
      <c r="DJ9" s="50">
        <f t="shared" si="25"/>
        <v>0</v>
      </c>
      <c r="DL9" s="49"/>
      <c r="DM9" s="49"/>
      <c r="DN9" s="50">
        <f t="shared" si="26"/>
        <v>0</v>
      </c>
      <c r="DP9" s="49"/>
      <c r="DQ9" s="49"/>
      <c r="DR9" s="50">
        <f t="shared" si="27"/>
        <v>0</v>
      </c>
      <c r="DT9" s="49"/>
      <c r="DU9" s="49"/>
      <c r="DV9" s="50">
        <f t="shared" si="28"/>
        <v>0</v>
      </c>
      <c r="DX9" s="49"/>
      <c r="DY9" s="49"/>
      <c r="DZ9" s="50">
        <f t="shared" si="29"/>
        <v>0</v>
      </c>
      <c r="EB9" s="49">
        <f t="shared" si="30"/>
        <v>0</v>
      </c>
      <c r="EC9" s="49">
        <f t="shared" si="30"/>
        <v>0</v>
      </c>
      <c r="ED9" s="49">
        <f t="shared" si="30"/>
        <v>0</v>
      </c>
    </row>
    <row r="10" spans="2:134" ht="11" customHeight="1" x14ac:dyDescent="0.35">
      <c r="B10" s="4">
        <v>101205</v>
      </c>
      <c r="C10" s="4" t="s">
        <v>16</v>
      </c>
      <c r="D10" s="4">
        <v>1</v>
      </c>
      <c r="E10" s="5">
        <v>48</v>
      </c>
      <c r="F10" s="6">
        <v>39.4372481296</v>
      </c>
      <c r="G10" s="7"/>
      <c r="H10" s="49"/>
      <c r="I10" s="49"/>
      <c r="J10" s="50">
        <f t="shared" si="31"/>
        <v>0</v>
      </c>
      <c r="K10" s="9"/>
      <c r="L10" s="49"/>
      <c r="M10" s="49"/>
      <c r="N10" s="50">
        <f t="shared" si="0"/>
        <v>0</v>
      </c>
      <c r="O10" s="46"/>
      <c r="P10" s="49"/>
      <c r="Q10" s="49"/>
      <c r="R10" s="50">
        <f t="shared" si="1"/>
        <v>0</v>
      </c>
      <c r="T10" s="49"/>
      <c r="U10" s="49"/>
      <c r="V10" s="50">
        <f t="shared" si="2"/>
        <v>0</v>
      </c>
      <c r="X10" s="49"/>
      <c r="Y10" s="49"/>
      <c r="Z10" s="50">
        <f t="shared" si="3"/>
        <v>0</v>
      </c>
      <c r="AB10" s="49"/>
      <c r="AC10" s="49"/>
      <c r="AD10" s="50">
        <f t="shared" si="4"/>
        <v>0</v>
      </c>
      <c r="AF10" s="49"/>
      <c r="AG10" s="49"/>
      <c r="AH10" s="50">
        <f t="shared" si="5"/>
        <v>0</v>
      </c>
      <c r="AJ10" s="49"/>
      <c r="AK10" s="49"/>
      <c r="AL10" s="50">
        <f t="shared" si="6"/>
        <v>0</v>
      </c>
      <c r="AN10" s="49"/>
      <c r="AO10" s="49"/>
      <c r="AP10" s="50">
        <f t="shared" si="7"/>
        <v>0</v>
      </c>
      <c r="AR10" s="49"/>
      <c r="AS10" s="49"/>
      <c r="AT10" s="50">
        <f t="shared" si="8"/>
        <v>0</v>
      </c>
      <c r="AV10" s="49"/>
      <c r="AW10" s="49"/>
      <c r="AX10" s="50">
        <f t="shared" si="9"/>
        <v>0</v>
      </c>
      <c r="AZ10" s="49"/>
      <c r="BA10" s="49"/>
      <c r="BB10" s="50">
        <f t="shared" si="10"/>
        <v>0</v>
      </c>
      <c r="BD10" s="49"/>
      <c r="BE10" s="49"/>
      <c r="BF10" s="50">
        <f t="shared" si="11"/>
        <v>0</v>
      </c>
      <c r="BH10" s="49"/>
      <c r="BI10" s="49"/>
      <c r="BJ10" s="50">
        <f t="shared" si="12"/>
        <v>0</v>
      </c>
      <c r="BL10" s="49"/>
      <c r="BM10" s="49"/>
      <c r="BN10" s="50">
        <f t="shared" si="13"/>
        <v>0</v>
      </c>
      <c r="BP10" s="49"/>
      <c r="BQ10" s="49"/>
      <c r="BR10" s="50">
        <f t="shared" si="14"/>
        <v>0</v>
      </c>
      <c r="BT10" s="49"/>
      <c r="BU10" s="49"/>
      <c r="BV10" s="50">
        <f t="shared" si="15"/>
        <v>0</v>
      </c>
      <c r="BX10" s="49"/>
      <c r="BY10" s="49"/>
      <c r="BZ10" s="50">
        <f t="shared" si="16"/>
        <v>0</v>
      </c>
      <c r="CB10" s="49"/>
      <c r="CC10" s="49"/>
      <c r="CD10" s="50">
        <f t="shared" si="17"/>
        <v>0</v>
      </c>
      <c r="CF10" s="49"/>
      <c r="CG10" s="49"/>
      <c r="CH10" s="50">
        <f t="shared" si="18"/>
        <v>0</v>
      </c>
      <c r="CJ10" s="49"/>
      <c r="CK10" s="49"/>
      <c r="CL10" s="50">
        <f t="shared" si="19"/>
        <v>0</v>
      </c>
      <c r="CN10" s="49"/>
      <c r="CO10" s="49"/>
      <c r="CP10" s="50">
        <f t="shared" si="20"/>
        <v>0</v>
      </c>
      <c r="CR10" s="49"/>
      <c r="CS10" s="49"/>
      <c r="CT10" s="50">
        <f t="shared" si="21"/>
        <v>0</v>
      </c>
      <c r="CV10" s="49"/>
      <c r="CW10" s="49"/>
      <c r="CX10" s="50">
        <f t="shared" si="22"/>
        <v>0</v>
      </c>
      <c r="CZ10" s="49"/>
      <c r="DA10" s="49"/>
      <c r="DB10" s="50">
        <f t="shared" si="23"/>
        <v>0</v>
      </c>
      <c r="DD10" s="49"/>
      <c r="DE10" s="49"/>
      <c r="DF10" s="50">
        <f t="shared" si="24"/>
        <v>0</v>
      </c>
      <c r="DH10" s="49"/>
      <c r="DI10" s="49"/>
      <c r="DJ10" s="50">
        <f t="shared" si="25"/>
        <v>0</v>
      </c>
      <c r="DL10" s="49"/>
      <c r="DM10" s="49"/>
      <c r="DN10" s="50">
        <f t="shared" si="26"/>
        <v>0</v>
      </c>
      <c r="DP10" s="49"/>
      <c r="DQ10" s="49"/>
      <c r="DR10" s="50">
        <f t="shared" si="27"/>
        <v>0</v>
      </c>
      <c r="DT10" s="49"/>
      <c r="DU10" s="49"/>
      <c r="DV10" s="50">
        <f t="shared" si="28"/>
        <v>0</v>
      </c>
      <c r="DX10" s="49"/>
      <c r="DY10" s="49"/>
      <c r="DZ10" s="50">
        <f t="shared" si="29"/>
        <v>0</v>
      </c>
      <c r="EB10" s="49">
        <f t="shared" si="30"/>
        <v>0</v>
      </c>
      <c r="EC10" s="49">
        <f t="shared" si="30"/>
        <v>0</v>
      </c>
      <c r="ED10" s="49">
        <f t="shared" si="30"/>
        <v>0</v>
      </c>
    </row>
    <row r="11" spans="2:134" ht="11" customHeight="1" x14ac:dyDescent="0.35">
      <c r="B11" s="4">
        <v>101333</v>
      </c>
      <c r="C11" s="4" t="s">
        <v>17</v>
      </c>
      <c r="D11" s="4">
        <v>24</v>
      </c>
      <c r="E11" s="5">
        <v>24</v>
      </c>
      <c r="F11" s="6">
        <v>189.29879107400001</v>
      </c>
      <c r="G11" s="7"/>
      <c r="H11" s="49"/>
      <c r="I11" s="49"/>
      <c r="J11" s="50">
        <f t="shared" si="31"/>
        <v>0</v>
      </c>
      <c r="K11" s="9"/>
      <c r="L11" s="49"/>
      <c r="M11" s="49"/>
      <c r="N11" s="50">
        <f t="shared" si="0"/>
        <v>0</v>
      </c>
      <c r="O11" s="46"/>
      <c r="P11" s="49"/>
      <c r="Q11" s="49"/>
      <c r="R11" s="50">
        <f t="shared" si="1"/>
        <v>0</v>
      </c>
      <c r="T11" s="49"/>
      <c r="U11" s="49"/>
      <c r="V11" s="50">
        <f t="shared" si="2"/>
        <v>0</v>
      </c>
      <c r="X11" s="49"/>
      <c r="Y11" s="49"/>
      <c r="Z11" s="50">
        <f t="shared" si="3"/>
        <v>0</v>
      </c>
      <c r="AB11" s="49"/>
      <c r="AC11" s="49"/>
      <c r="AD11" s="50">
        <f t="shared" si="4"/>
        <v>0</v>
      </c>
      <c r="AF11" s="49"/>
      <c r="AG11" s="49"/>
      <c r="AH11" s="50">
        <f t="shared" si="5"/>
        <v>0</v>
      </c>
      <c r="AJ11" s="49"/>
      <c r="AK11" s="49"/>
      <c r="AL11" s="50">
        <f t="shared" si="6"/>
        <v>0</v>
      </c>
      <c r="AN11" s="49"/>
      <c r="AO11" s="49"/>
      <c r="AP11" s="50">
        <f t="shared" si="7"/>
        <v>0</v>
      </c>
      <c r="AR11" s="49"/>
      <c r="AS11" s="49"/>
      <c r="AT11" s="50">
        <f t="shared" si="8"/>
        <v>0</v>
      </c>
      <c r="AV11" s="49"/>
      <c r="AW11" s="49"/>
      <c r="AX11" s="50">
        <f t="shared" si="9"/>
        <v>0</v>
      </c>
      <c r="AZ11" s="49"/>
      <c r="BA11" s="49"/>
      <c r="BB11" s="50">
        <f t="shared" si="10"/>
        <v>0</v>
      </c>
      <c r="BD11" s="49"/>
      <c r="BE11" s="49"/>
      <c r="BF11" s="50">
        <f t="shared" si="11"/>
        <v>0</v>
      </c>
      <c r="BH11" s="49"/>
      <c r="BI11" s="49"/>
      <c r="BJ11" s="50">
        <f t="shared" si="12"/>
        <v>0</v>
      </c>
      <c r="BL11" s="49"/>
      <c r="BM11" s="49"/>
      <c r="BN11" s="50">
        <f t="shared" si="13"/>
        <v>0</v>
      </c>
      <c r="BP11" s="49"/>
      <c r="BQ11" s="49"/>
      <c r="BR11" s="50">
        <f t="shared" si="14"/>
        <v>0</v>
      </c>
      <c r="BT11" s="49"/>
      <c r="BU11" s="49"/>
      <c r="BV11" s="50">
        <f t="shared" si="15"/>
        <v>0</v>
      </c>
      <c r="BX11" s="49"/>
      <c r="BY11" s="49"/>
      <c r="BZ11" s="50">
        <f t="shared" si="16"/>
        <v>0</v>
      </c>
      <c r="CB11" s="49"/>
      <c r="CC11" s="49"/>
      <c r="CD11" s="50">
        <f t="shared" si="17"/>
        <v>0</v>
      </c>
      <c r="CF11" s="49"/>
      <c r="CG11" s="49"/>
      <c r="CH11" s="50">
        <f t="shared" si="18"/>
        <v>0</v>
      </c>
      <c r="CJ11" s="49"/>
      <c r="CK11" s="49"/>
      <c r="CL11" s="50">
        <f t="shared" si="19"/>
        <v>0</v>
      </c>
      <c r="CN11" s="49"/>
      <c r="CO11" s="49"/>
      <c r="CP11" s="50">
        <f t="shared" si="20"/>
        <v>0</v>
      </c>
      <c r="CR11" s="49"/>
      <c r="CS11" s="49"/>
      <c r="CT11" s="50">
        <f t="shared" si="21"/>
        <v>0</v>
      </c>
      <c r="CV11" s="49"/>
      <c r="CW11" s="49"/>
      <c r="CX11" s="50">
        <f t="shared" si="22"/>
        <v>0</v>
      </c>
      <c r="CZ11" s="49"/>
      <c r="DA11" s="49"/>
      <c r="DB11" s="50">
        <f t="shared" si="23"/>
        <v>0</v>
      </c>
      <c r="DD11" s="49"/>
      <c r="DE11" s="49"/>
      <c r="DF11" s="50">
        <f t="shared" si="24"/>
        <v>0</v>
      </c>
      <c r="DH11" s="49"/>
      <c r="DI11" s="49"/>
      <c r="DJ11" s="50">
        <f t="shared" si="25"/>
        <v>0</v>
      </c>
      <c r="DL11" s="49"/>
      <c r="DM11" s="49"/>
      <c r="DN11" s="50">
        <f t="shared" si="26"/>
        <v>0</v>
      </c>
      <c r="DP11" s="49"/>
      <c r="DQ11" s="49"/>
      <c r="DR11" s="50">
        <f t="shared" si="27"/>
        <v>0</v>
      </c>
      <c r="DT11" s="49"/>
      <c r="DU11" s="49"/>
      <c r="DV11" s="50">
        <f t="shared" si="28"/>
        <v>0</v>
      </c>
      <c r="DX11" s="49"/>
      <c r="DY11" s="49"/>
      <c r="DZ11" s="50">
        <f t="shared" si="29"/>
        <v>0</v>
      </c>
      <c r="EB11" s="49">
        <f t="shared" si="30"/>
        <v>0</v>
      </c>
      <c r="EC11" s="49">
        <f t="shared" si="30"/>
        <v>0</v>
      </c>
      <c r="ED11" s="49">
        <f t="shared" si="30"/>
        <v>0</v>
      </c>
    </row>
    <row r="12" spans="2:134" ht="11" customHeight="1" x14ac:dyDescent="0.35">
      <c r="B12" s="4">
        <v>101354</v>
      </c>
      <c r="C12" s="4" t="s">
        <v>18</v>
      </c>
      <c r="D12" s="4">
        <v>24</v>
      </c>
      <c r="E12" s="5">
        <v>24</v>
      </c>
      <c r="F12" s="6">
        <v>189.29879107400001</v>
      </c>
      <c r="G12" s="7"/>
      <c r="H12" s="49"/>
      <c r="I12" s="49"/>
      <c r="J12" s="50">
        <f t="shared" si="31"/>
        <v>0</v>
      </c>
      <c r="K12" s="9"/>
      <c r="L12" s="49"/>
      <c r="M12" s="49"/>
      <c r="N12" s="50">
        <f t="shared" si="0"/>
        <v>0</v>
      </c>
      <c r="O12" s="46"/>
      <c r="P12" s="49"/>
      <c r="Q12" s="49"/>
      <c r="R12" s="50">
        <f t="shared" si="1"/>
        <v>0</v>
      </c>
      <c r="T12" s="49"/>
      <c r="U12" s="49"/>
      <c r="V12" s="50">
        <f t="shared" si="2"/>
        <v>0</v>
      </c>
      <c r="X12" s="49"/>
      <c r="Y12" s="49"/>
      <c r="Z12" s="50">
        <f t="shared" si="3"/>
        <v>0</v>
      </c>
      <c r="AB12" s="49"/>
      <c r="AC12" s="49"/>
      <c r="AD12" s="50">
        <f t="shared" si="4"/>
        <v>0</v>
      </c>
      <c r="AF12" s="49"/>
      <c r="AG12" s="49"/>
      <c r="AH12" s="50">
        <f t="shared" si="5"/>
        <v>0</v>
      </c>
      <c r="AJ12" s="49"/>
      <c r="AK12" s="49"/>
      <c r="AL12" s="50">
        <f t="shared" si="6"/>
        <v>0</v>
      </c>
      <c r="AN12" s="49"/>
      <c r="AO12" s="49"/>
      <c r="AP12" s="50">
        <f t="shared" si="7"/>
        <v>0</v>
      </c>
      <c r="AR12" s="49"/>
      <c r="AS12" s="49"/>
      <c r="AT12" s="50">
        <f t="shared" si="8"/>
        <v>0</v>
      </c>
      <c r="AV12" s="49"/>
      <c r="AW12" s="49"/>
      <c r="AX12" s="50">
        <f t="shared" si="9"/>
        <v>0</v>
      </c>
      <c r="AZ12" s="49"/>
      <c r="BA12" s="49"/>
      <c r="BB12" s="50">
        <f t="shared" si="10"/>
        <v>0</v>
      </c>
      <c r="BD12" s="49"/>
      <c r="BE12" s="49"/>
      <c r="BF12" s="50">
        <f t="shared" si="11"/>
        <v>0</v>
      </c>
      <c r="BH12" s="49"/>
      <c r="BI12" s="49"/>
      <c r="BJ12" s="50">
        <f t="shared" si="12"/>
        <v>0</v>
      </c>
      <c r="BL12" s="49"/>
      <c r="BM12" s="49"/>
      <c r="BN12" s="50">
        <f t="shared" si="13"/>
        <v>0</v>
      </c>
      <c r="BP12" s="49"/>
      <c r="BQ12" s="49"/>
      <c r="BR12" s="50">
        <f t="shared" si="14"/>
        <v>0</v>
      </c>
      <c r="BT12" s="49"/>
      <c r="BU12" s="49"/>
      <c r="BV12" s="50">
        <f t="shared" si="15"/>
        <v>0</v>
      </c>
      <c r="BX12" s="49"/>
      <c r="BY12" s="49"/>
      <c r="BZ12" s="50">
        <f t="shared" si="16"/>
        <v>0</v>
      </c>
      <c r="CB12" s="49"/>
      <c r="CC12" s="49"/>
      <c r="CD12" s="50">
        <f t="shared" si="17"/>
        <v>0</v>
      </c>
      <c r="CF12" s="49"/>
      <c r="CG12" s="49"/>
      <c r="CH12" s="50">
        <f t="shared" si="18"/>
        <v>0</v>
      </c>
      <c r="CJ12" s="49"/>
      <c r="CK12" s="49"/>
      <c r="CL12" s="50">
        <f t="shared" si="19"/>
        <v>0</v>
      </c>
      <c r="CN12" s="49"/>
      <c r="CO12" s="49"/>
      <c r="CP12" s="50">
        <f t="shared" si="20"/>
        <v>0</v>
      </c>
      <c r="CR12" s="49"/>
      <c r="CS12" s="49"/>
      <c r="CT12" s="50">
        <f t="shared" si="21"/>
        <v>0</v>
      </c>
      <c r="CV12" s="49"/>
      <c r="CW12" s="49"/>
      <c r="CX12" s="50">
        <f t="shared" si="22"/>
        <v>0</v>
      </c>
      <c r="CZ12" s="49"/>
      <c r="DA12" s="49"/>
      <c r="DB12" s="50">
        <f t="shared" si="23"/>
        <v>0</v>
      </c>
      <c r="DD12" s="49"/>
      <c r="DE12" s="49"/>
      <c r="DF12" s="50">
        <f t="shared" si="24"/>
        <v>0</v>
      </c>
      <c r="DH12" s="49"/>
      <c r="DI12" s="49"/>
      <c r="DJ12" s="50">
        <f t="shared" si="25"/>
        <v>0</v>
      </c>
      <c r="DL12" s="49"/>
      <c r="DM12" s="49"/>
      <c r="DN12" s="50">
        <f t="shared" si="26"/>
        <v>0</v>
      </c>
      <c r="DP12" s="49"/>
      <c r="DQ12" s="49"/>
      <c r="DR12" s="50">
        <f t="shared" si="27"/>
        <v>0</v>
      </c>
      <c r="DT12" s="49"/>
      <c r="DU12" s="49"/>
      <c r="DV12" s="50">
        <f t="shared" si="28"/>
        <v>0</v>
      </c>
      <c r="DX12" s="49"/>
      <c r="DY12" s="49"/>
      <c r="DZ12" s="50">
        <f t="shared" si="29"/>
        <v>0</v>
      </c>
      <c r="EB12" s="49">
        <f t="shared" si="30"/>
        <v>0</v>
      </c>
      <c r="EC12" s="49">
        <f t="shared" si="30"/>
        <v>0</v>
      </c>
      <c r="ED12" s="49">
        <f t="shared" si="30"/>
        <v>0</v>
      </c>
    </row>
    <row r="13" spans="2:134" ht="11" customHeight="1" x14ac:dyDescent="0.35">
      <c r="B13" s="4">
        <v>101835</v>
      </c>
      <c r="C13" s="4" t="s">
        <v>19</v>
      </c>
      <c r="D13" s="4">
        <v>24</v>
      </c>
      <c r="E13" s="5">
        <v>24</v>
      </c>
      <c r="F13" s="6">
        <v>192.453575</v>
      </c>
      <c r="G13" s="7"/>
      <c r="H13" s="49"/>
      <c r="I13" s="49"/>
      <c r="J13" s="50">
        <f t="shared" si="31"/>
        <v>0</v>
      </c>
      <c r="K13" s="9"/>
      <c r="L13" s="49"/>
      <c r="M13" s="49"/>
      <c r="N13" s="50">
        <f t="shared" si="0"/>
        <v>0</v>
      </c>
      <c r="O13" s="46"/>
      <c r="P13" s="49"/>
      <c r="Q13" s="49"/>
      <c r="R13" s="50">
        <f t="shared" si="1"/>
        <v>0</v>
      </c>
      <c r="T13" s="49"/>
      <c r="U13" s="49"/>
      <c r="V13" s="50">
        <f t="shared" si="2"/>
        <v>0</v>
      </c>
      <c r="X13" s="49"/>
      <c r="Y13" s="49"/>
      <c r="Z13" s="50">
        <f t="shared" si="3"/>
        <v>0</v>
      </c>
      <c r="AB13" s="49"/>
      <c r="AC13" s="49"/>
      <c r="AD13" s="50">
        <f t="shared" si="4"/>
        <v>0</v>
      </c>
      <c r="AF13" s="49"/>
      <c r="AG13" s="49"/>
      <c r="AH13" s="50">
        <f t="shared" si="5"/>
        <v>0</v>
      </c>
      <c r="AJ13" s="49"/>
      <c r="AK13" s="49"/>
      <c r="AL13" s="50">
        <f t="shared" si="6"/>
        <v>0</v>
      </c>
      <c r="AN13" s="49"/>
      <c r="AO13" s="49"/>
      <c r="AP13" s="50">
        <f t="shared" si="7"/>
        <v>0</v>
      </c>
      <c r="AR13" s="49"/>
      <c r="AS13" s="49"/>
      <c r="AT13" s="50">
        <f t="shared" si="8"/>
        <v>0</v>
      </c>
      <c r="AV13" s="49"/>
      <c r="AW13" s="49"/>
      <c r="AX13" s="50">
        <f t="shared" si="9"/>
        <v>0</v>
      </c>
      <c r="AZ13" s="49"/>
      <c r="BA13" s="49"/>
      <c r="BB13" s="50">
        <f t="shared" si="10"/>
        <v>0</v>
      </c>
      <c r="BD13" s="49"/>
      <c r="BE13" s="49"/>
      <c r="BF13" s="50">
        <f t="shared" si="11"/>
        <v>0</v>
      </c>
      <c r="BH13" s="49"/>
      <c r="BI13" s="49"/>
      <c r="BJ13" s="50">
        <f t="shared" si="12"/>
        <v>0</v>
      </c>
      <c r="BL13" s="49"/>
      <c r="BM13" s="49"/>
      <c r="BN13" s="50">
        <f t="shared" si="13"/>
        <v>0</v>
      </c>
      <c r="BP13" s="49"/>
      <c r="BQ13" s="49"/>
      <c r="BR13" s="50">
        <f t="shared" si="14"/>
        <v>0</v>
      </c>
      <c r="BT13" s="49"/>
      <c r="BU13" s="49"/>
      <c r="BV13" s="50">
        <f t="shared" si="15"/>
        <v>0</v>
      </c>
      <c r="BX13" s="49"/>
      <c r="BY13" s="49"/>
      <c r="BZ13" s="50">
        <f t="shared" si="16"/>
        <v>0</v>
      </c>
      <c r="CB13" s="49"/>
      <c r="CC13" s="49"/>
      <c r="CD13" s="50">
        <f t="shared" si="17"/>
        <v>0</v>
      </c>
      <c r="CF13" s="49"/>
      <c r="CG13" s="49"/>
      <c r="CH13" s="50">
        <f t="shared" si="18"/>
        <v>0</v>
      </c>
      <c r="CJ13" s="49"/>
      <c r="CK13" s="49"/>
      <c r="CL13" s="50">
        <f t="shared" si="19"/>
        <v>0</v>
      </c>
      <c r="CN13" s="49"/>
      <c r="CO13" s="49"/>
      <c r="CP13" s="50">
        <f t="shared" si="20"/>
        <v>0</v>
      </c>
      <c r="CR13" s="49"/>
      <c r="CS13" s="49"/>
      <c r="CT13" s="50">
        <f t="shared" si="21"/>
        <v>0</v>
      </c>
      <c r="CV13" s="49"/>
      <c r="CW13" s="49"/>
      <c r="CX13" s="50">
        <f t="shared" si="22"/>
        <v>0</v>
      </c>
      <c r="CZ13" s="49"/>
      <c r="DA13" s="49"/>
      <c r="DB13" s="50">
        <f t="shared" si="23"/>
        <v>0</v>
      </c>
      <c r="DD13" s="49"/>
      <c r="DE13" s="49"/>
      <c r="DF13" s="50">
        <f t="shared" si="24"/>
        <v>0</v>
      </c>
      <c r="DH13" s="49"/>
      <c r="DI13" s="49"/>
      <c r="DJ13" s="50">
        <f t="shared" si="25"/>
        <v>0</v>
      </c>
      <c r="DL13" s="49"/>
      <c r="DM13" s="49"/>
      <c r="DN13" s="50">
        <f t="shared" si="26"/>
        <v>0</v>
      </c>
      <c r="DP13" s="49"/>
      <c r="DQ13" s="49"/>
      <c r="DR13" s="50">
        <f t="shared" si="27"/>
        <v>0</v>
      </c>
      <c r="DT13" s="49"/>
      <c r="DU13" s="49"/>
      <c r="DV13" s="50">
        <f t="shared" si="28"/>
        <v>0</v>
      </c>
      <c r="DX13" s="49"/>
      <c r="DY13" s="49"/>
      <c r="DZ13" s="50">
        <f t="shared" si="29"/>
        <v>0</v>
      </c>
      <c r="EB13" s="49">
        <f t="shared" si="30"/>
        <v>0</v>
      </c>
      <c r="EC13" s="49">
        <f t="shared" si="30"/>
        <v>0</v>
      </c>
      <c r="ED13" s="49">
        <f t="shared" si="30"/>
        <v>0</v>
      </c>
    </row>
    <row r="14" spans="2:134" ht="11" customHeight="1" x14ac:dyDescent="0.35">
      <c r="B14" s="4">
        <v>101861</v>
      </c>
      <c r="C14" s="4" t="s">
        <v>20</v>
      </c>
      <c r="D14" s="4">
        <v>24</v>
      </c>
      <c r="E14" s="5">
        <v>12</v>
      </c>
      <c r="F14" s="6">
        <v>187.195471164</v>
      </c>
      <c r="G14" s="7"/>
      <c r="H14" s="49"/>
      <c r="I14" s="49"/>
      <c r="J14" s="50">
        <f t="shared" si="31"/>
        <v>0</v>
      </c>
      <c r="K14" s="9"/>
      <c r="L14" s="49"/>
      <c r="M14" s="49"/>
      <c r="N14" s="50">
        <f t="shared" si="0"/>
        <v>0</v>
      </c>
      <c r="O14" s="46"/>
      <c r="P14" s="49"/>
      <c r="Q14" s="49"/>
      <c r="R14" s="50">
        <f t="shared" si="1"/>
        <v>0</v>
      </c>
      <c r="T14" s="49"/>
      <c r="U14" s="49"/>
      <c r="V14" s="50">
        <f t="shared" si="2"/>
        <v>0</v>
      </c>
      <c r="X14" s="49"/>
      <c r="Y14" s="49"/>
      <c r="Z14" s="50">
        <f t="shared" si="3"/>
        <v>0</v>
      </c>
      <c r="AB14" s="49"/>
      <c r="AC14" s="49"/>
      <c r="AD14" s="50">
        <f t="shared" si="4"/>
        <v>0</v>
      </c>
      <c r="AF14" s="49"/>
      <c r="AG14" s="49"/>
      <c r="AH14" s="50">
        <f t="shared" si="5"/>
        <v>0</v>
      </c>
      <c r="AJ14" s="49"/>
      <c r="AK14" s="49"/>
      <c r="AL14" s="50">
        <f t="shared" si="6"/>
        <v>0</v>
      </c>
      <c r="AN14" s="49"/>
      <c r="AO14" s="49"/>
      <c r="AP14" s="50">
        <f t="shared" si="7"/>
        <v>0</v>
      </c>
      <c r="AR14" s="49"/>
      <c r="AS14" s="49"/>
      <c r="AT14" s="50">
        <f t="shared" si="8"/>
        <v>0</v>
      </c>
      <c r="AV14" s="49"/>
      <c r="AW14" s="49"/>
      <c r="AX14" s="50">
        <f t="shared" si="9"/>
        <v>0</v>
      </c>
      <c r="AZ14" s="49"/>
      <c r="BA14" s="49"/>
      <c r="BB14" s="50">
        <f t="shared" si="10"/>
        <v>0</v>
      </c>
      <c r="BD14" s="49"/>
      <c r="BE14" s="49"/>
      <c r="BF14" s="50">
        <f t="shared" si="11"/>
        <v>0</v>
      </c>
      <c r="BH14" s="49"/>
      <c r="BI14" s="49"/>
      <c r="BJ14" s="50">
        <f t="shared" si="12"/>
        <v>0</v>
      </c>
      <c r="BL14" s="49"/>
      <c r="BM14" s="49"/>
      <c r="BN14" s="50">
        <f t="shared" si="13"/>
        <v>0</v>
      </c>
      <c r="BP14" s="49"/>
      <c r="BQ14" s="49"/>
      <c r="BR14" s="50">
        <f t="shared" si="14"/>
        <v>0</v>
      </c>
      <c r="BT14" s="49"/>
      <c r="BU14" s="49"/>
      <c r="BV14" s="50">
        <f t="shared" si="15"/>
        <v>0</v>
      </c>
      <c r="BX14" s="49"/>
      <c r="BY14" s="49"/>
      <c r="BZ14" s="50">
        <f t="shared" si="16"/>
        <v>0</v>
      </c>
      <c r="CB14" s="49"/>
      <c r="CC14" s="49"/>
      <c r="CD14" s="50">
        <f t="shared" si="17"/>
        <v>0</v>
      </c>
      <c r="CF14" s="49"/>
      <c r="CG14" s="49"/>
      <c r="CH14" s="50">
        <f t="shared" si="18"/>
        <v>0</v>
      </c>
      <c r="CJ14" s="49"/>
      <c r="CK14" s="49"/>
      <c r="CL14" s="50">
        <f t="shared" si="19"/>
        <v>0</v>
      </c>
      <c r="CN14" s="49"/>
      <c r="CO14" s="49"/>
      <c r="CP14" s="50">
        <f t="shared" si="20"/>
        <v>0</v>
      </c>
      <c r="CR14" s="49"/>
      <c r="CS14" s="49"/>
      <c r="CT14" s="50">
        <f t="shared" si="21"/>
        <v>0</v>
      </c>
      <c r="CV14" s="49"/>
      <c r="CW14" s="49"/>
      <c r="CX14" s="50">
        <f t="shared" si="22"/>
        <v>0</v>
      </c>
      <c r="CZ14" s="49"/>
      <c r="DA14" s="49"/>
      <c r="DB14" s="50">
        <f t="shared" si="23"/>
        <v>0</v>
      </c>
      <c r="DD14" s="49"/>
      <c r="DE14" s="49"/>
      <c r="DF14" s="50">
        <f t="shared" si="24"/>
        <v>0</v>
      </c>
      <c r="DH14" s="49"/>
      <c r="DI14" s="49"/>
      <c r="DJ14" s="50">
        <f t="shared" si="25"/>
        <v>0</v>
      </c>
      <c r="DL14" s="49"/>
      <c r="DM14" s="49"/>
      <c r="DN14" s="50">
        <f t="shared" si="26"/>
        <v>0</v>
      </c>
      <c r="DP14" s="49"/>
      <c r="DQ14" s="49"/>
      <c r="DR14" s="50">
        <f t="shared" si="27"/>
        <v>0</v>
      </c>
      <c r="DT14" s="49"/>
      <c r="DU14" s="49"/>
      <c r="DV14" s="50">
        <f t="shared" si="28"/>
        <v>0</v>
      </c>
      <c r="DX14" s="49"/>
      <c r="DY14" s="49"/>
      <c r="DZ14" s="50">
        <f t="shared" si="29"/>
        <v>0</v>
      </c>
      <c r="EB14" s="49">
        <f t="shared" si="30"/>
        <v>0</v>
      </c>
      <c r="EC14" s="49">
        <f t="shared" si="30"/>
        <v>0</v>
      </c>
      <c r="ED14" s="49">
        <f t="shared" si="30"/>
        <v>0</v>
      </c>
    </row>
    <row r="15" spans="2:134" ht="11" customHeight="1" x14ac:dyDescent="0.35">
      <c r="B15" s="4">
        <v>101879</v>
      </c>
      <c r="C15" s="4" t="s">
        <v>21</v>
      </c>
      <c r="D15" s="4">
        <v>18</v>
      </c>
      <c r="E15" s="5">
        <v>18</v>
      </c>
      <c r="F15" s="6">
        <v>288.68044392000002</v>
      </c>
      <c r="G15" s="7"/>
      <c r="H15" s="49"/>
      <c r="I15" s="49"/>
      <c r="J15" s="50">
        <f t="shared" si="31"/>
        <v>0</v>
      </c>
      <c r="K15" s="9"/>
      <c r="L15" s="49"/>
      <c r="M15" s="49"/>
      <c r="N15" s="50">
        <f t="shared" si="0"/>
        <v>0</v>
      </c>
      <c r="O15" s="46"/>
      <c r="P15" s="49"/>
      <c r="Q15" s="49"/>
      <c r="R15" s="50">
        <f t="shared" si="1"/>
        <v>0</v>
      </c>
      <c r="T15" s="49"/>
      <c r="U15" s="49"/>
      <c r="V15" s="50">
        <f t="shared" si="2"/>
        <v>0</v>
      </c>
      <c r="X15" s="49"/>
      <c r="Y15" s="49"/>
      <c r="Z15" s="50">
        <f t="shared" si="3"/>
        <v>0</v>
      </c>
      <c r="AB15" s="49"/>
      <c r="AC15" s="49"/>
      <c r="AD15" s="50">
        <f t="shared" si="4"/>
        <v>0</v>
      </c>
      <c r="AF15" s="49"/>
      <c r="AG15" s="49"/>
      <c r="AH15" s="50">
        <f t="shared" si="5"/>
        <v>0</v>
      </c>
      <c r="AJ15" s="49"/>
      <c r="AK15" s="49"/>
      <c r="AL15" s="50">
        <f t="shared" si="6"/>
        <v>0</v>
      </c>
      <c r="AN15" s="49"/>
      <c r="AO15" s="49"/>
      <c r="AP15" s="50">
        <f t="shared" si="7"/>
        <v>0</v>
      </c>
      <c r="AR15" s="49"/>
      <c r="AS15" s="49"/>
      <c r="AT15" s="50">
        <f t="shared" si="8"/>
        <v>0</v>
      </c>
      <c r="AV15" s="49"/>
      <c r="AW15" s="49"/>
      <c r="AX15" s="50">
        <f t="shared" si="9"/>
        <v>0</v>
      </c>
      <c r="AZ15" s="49"/>
      <c r="BA15" s="49"/>
      <c r="BB15" s="50">
        <f t="shared" si="10"/>
        <v>0</v>
      </c>
      <c r="BD15" s="49"/>
      <c r="BE15" s="49"/>
      <c r="BF15" s="50">
        <f t="shared" si="11"/>
        <v>0</v>
      </c>
      <c r="BH15" s="49"/>
      <c r="BI15" s="49"/>
      <c r="BJ15" s="50">
        <f t="shared" si="12"/>
        <v>0</v>
      </c>
      <c r="BL15" s="49"/>
      <c r="BM15" s="49"/>
      <c r="BN15" s="50">
        <f t="shared" si="13"/>
        <v>0</v>
      </c>
      <c r="BP15" s="49"/>
      <c r="BQ15" s="49"/>
      <c r="BR15" s="50">
        <f t="shared" si="14"/>
        <v>0</v>
      </c>
      <c r="BT15" s="49"/>
      <c r="BU15" s="49"/>
      <c r="BV15" s="50">
        <f t="shared" si="15"/>
        <v>0</v>
      </c>
      <c r="BX15" s="49"/>
      <c r="BY15" s="49"/>
      <c r="BZ15" s="50">
        <f t="shared" si="16"/>
        <v>0</v>
      </c>
      <c r="CB15" s="49"/>
      <c r="CC15" s="49"/>
      <c r="CD15" s="50">
        <f t="shared" si="17"/>
        <v>0</v>
      </c>
      <c r="CF15" s="49"/>
      <c r="CG15" s="49"/>
      <c r="CH15" s="50">
        <f t="shared" si="18"/>
        <v>0</v>
      </c>
      <c r="CJ15" s="49"/>
      <c r="CK15" s="49"/>
      <c r="CL15" s="50">
        <f t="shared" si="19"/>
        <v>0</v>
      </c>
      <c r="CN15" s="49"/>
      <c r="CO15" s="49"/>
      <c r="CP15" s="50">
        <f t="shared" si="20"/>
        <v>0</v>
      </c>
      <c r="CR15" s="49"/>
      <c r="CS15" s="49"/>
      <c r="CT15" s="50">
        <f t="shared" si="21"/>
        <v>0</v>
      </c>
      <c r="CV15" s="49"/>
      <c r="CW15" s="49"/>
      <c r="CX15" s="50">
        <f t="shared" si="22"/>
        <v>0</v>
      </c>
      <c r="CZ15" s="49"/>
      <c r="DA15" s="49"/>
      <c r="DB15" s="50">
        <f t="shared" si="23"/>
        <v>0</v>
      </c>
      <c r="DD15" s="49"/>
      <c r="DE15" s="49"/>
      <c r="DF15" s="50">
        <f t="shared" si="24"/>
        <v>0</v>
      </c>
      <c r="DH15" s="49"/>
      <c r="DI15" s="49"/>
      <c r="DJ15" s="50">
        <f t="shared" si="25"/>
        <v>0</v>
      </c>
      <c r="DL15" s="49"/>
      <c r="DM15" s="49"/>
      <c r="DN15" s="50">
        <f t="shared" si="26"/>
        <v>0</v>
      </c>
      <c r="DP15" s="49"/>
      <c r="DQ15" s="49"/>
      <c r="DR15" s="50">
        <f t="shared" si="27"/>
        <v>0</v>
      </c>
      <c r="DT15" s="49"/>
      <c r="DU15" s="49"/>
      <c r="DV15" s="50">
        <f t="shared" si="28"/>
        <v>0</v>
      </c>
      <c r="DX15" s="49"/>
      <c r="DY15" s="49"/>
      <c r="DZ15" s="50">
        <f t="shared" si="29"/>
        <v>0</v>
      </c>
      <c r="EB15" s="49">
        <f t="shared" si="30"/>
        <v>0</v>
      </c>
      <c r="EC15" s="49">
        <f t="shared" si="30"/>
        <v>0</v>
      </c>
      <c r="ED15" s="49">
        <f t="shared" si="30"/>
        <v>0</v>
      </c>
    </row>
    <row r="16" spans="2:134" ht="11" customHeight="1" x14ac:dyDescent="0.35">
      <c r="B16" s="4">
        <v>101930</v>
      </c>
      <c r="C16" s="4" t="s">
        <v>22</v>
      </c>
      <c r="D16" s="4">
        <v>12</v>
      </c>
      <c r="E16" s="5">
        <v>8</v>
      </c>
      <c r="F16" s="6">
        <v>481.13467500000002</v>
      </c>
      <c r="G16" s="7"/>
      <c r="H16" s="49"/>
      <c r="I16" s="49"/>
      <c r="J16" s="50">
        <f t="shared" si="31"/>
        <v>0</v>
      </c>
      <c r="K16" s="9"/>
      <c r="L16" s="49"/>
      <c r="M16" s="49"/>
      <c r="N16" s="50">
        <f t="shared" si="0"/>
        <v>0</v>
      </c>
      <c r="O16" s="46"/>
      <c r="P16" s="49"/>
      <c r="Q16" s="49"/>
      <c r="R16" s="50">
        <f t="shared" si="1"/>
        <v>0</v>
      </c>
      <c r="T16" s="49"/>
      <c r="U16" s="49"/>
      <c r="V16" s="50">
        <f t="shared" si="2"/>
        <v>0</v>
      </c>
      <c r="X16" s="49"/>
      <c r="Y16" s="49"/>
      <c r="Z16" s="50">
        <f t="shared" si="3"/>
        <v>0</v>
      </c>
      <c r="AB16" s="49"/>
      <c r="AC16" s="49"/>
      <c r="AD16" s="50">
        <f t="shared" si="4"/>
        <v>0</v>
      </c>
      <c r="AF16" s="49"/>
      <c r="AG16" s="49"/>
      <c r="AH16" s="50">
        <f t="shared" si="5"/>
        <v>0</v>
      </c>
      <c r="AJ16" s="49"/>
      <c r="AK16" s="49"/>
      <c r="AL16" s="50">
        <f t="shared" si="6"/>
        <v>0</v>
      </c>
      <c r="AN16" s="49"/>
      <c r="AO16" s="49"/>
      <c r="AP16" s="50">
        <f t="shared" si="7"/>
        <v>0</v>
      </c>
      <c r="AR16" s="49"/>
      <c r="AS16" s="49"/>
      <c r="AT16" s="50">
        <f t="shared" si="8"/>
        <v>0</v>
      </c>
      <c r="AV16" s="49"/>
      <c r="AW16" s="49"/>
      <c r="AX16" s="50">
        <f t="shared" si="9"/>
        <v>0</v>
      </c>
      <c r="AZ16" s="49"/>
      <c r="BA16" s="49"/>
      <c r="BB16" s="50">
        <f t="shared" si="10"/>
        <v>0</v>
      </c>
      <c r="BD16" s="49"/>
      <c r="BE16" s="49"/>
      <c r="BF16" s="50">
        <f t="shared" si="11"/>
        <v>0</v>
      </c>
      <c r="BH16" s="49"/>
      <c r="BI16" s="49"/>
      <c r="BJ16" s="50">
        <f t="shared" si="12"/>
        <v>0</v>
      </c>
      <c r="BL16" s="49"/>
      <c r="BM16" s="49"/>
      <c r="BN16" s="50">
        <f t="shared" si="13"/>
        <v>0</v>
      </c>
      <c r="BP16" s="49"/>
      <c r="BQ16" s="49"/>
      <c r="BR16" s="50">
        <f t="shared" si="14"/>
        <v>0</v>
      </c>
      <c r="BT16" s="49"/>
      <c r="BU16" s="49"/>
      <c r="BV16" s="50">
        <f t="shared" si="15"/>
        <v>0</v>
      </c>
      <c r="BX16" s="49"/>
      <c r="BY16" s="49"/>
      <c r="BZ16" s="50">
        <f t="shared" si="16"/>
        <v>0</v>
      </c>
      <c r="CB16" s="49"/>
      <c r="CC16" s="49"/>
      <c r="CD16" s="50">
        <f t="shared" si="17"/>
        <v>0</v>
      </c>
      <c r="CF16" s="49"/>
      <c r="CG16" s="49"/>
      <c r="CH16" s="50">
        <f t="shared" si="18"/>
        <v>0</v>
      </c>
      <c r="CJ16" s="49"/>
      <c r="CK16" s="49"/>
      <c r="CL16" s="50">
        <f t="shared" si="19"/>
        <v>0</v>
      </c>
      <c r="CN16" s="49"/>
      <c r="CO16" s="49"/>
      <c r="CP16" s="50">
        <f t="shared" si="20"/>
        <v>0</v>
      </c>
      <c r="CR16" s="49"/>
      <c r="CS16" s="49"/>
      <c r="CT16" s="50">
        <f t="shared" si="21"/>
        <v>0</v>
      </c>
      <c r="CV16" s="49"/>
      <c r="CW16" s="49"/>
      <c r="CX16" s="50">
        <f t="shared" si="22"/>
        <v>0</v>
      </c>
      <c r="CZ16" s="49"/>
      <c r="DA16" s="49"/>
      <c r="DB16" s="50">
        <f t="shared" si="23"/>
        <v>0</v>
      </c>
      <c r="DD16" s="49"/>
      <c r="DE16" s="49"/>
      <c r="DF16" s="50">
        <f t="shared" si="24"/>
        <v>0</v>
      </c>
      <c r="DH16" s="49"/>
      <c r="DI16" s="49"/>
      <c r="DJ16" s="50">
        <f t="shared" si="25"/>
        <v>0</v>
      </c>
      <c r="DL16" s="49"/>
      <c r="DM16" s="49"/>
      <c r="DN16" s="50">
        <f t="shared" si="26"/>
        <v>0</v>
      </c>
      <c r="DP16" s="49"/>
      <c r="DQ16" s="49"/>
      <c r="DR16" s="50">
        <f t="shared" si="27"/>
        <v>0</v>
      </c>
      <c r="DT16" s="49"/>
      <c r="DU16" s="49"/>
      <c r="DV16" s="50">
        <f t="shared" si="28"/>
        <v>0</v>
      </c>
      <c r="DX16" s="49"/>
      <c r="DY16" s="49"/>
      <c r="DZ16" s="50">
        <f t="shared" si="29"/>
        <v>0</v>
      </c>
      <c r="EB16" s="49">
        <f t="shared" si="30"/>
        <v>0</v>
      </c>
      <c r="EC16" s="49">
        <f t="shared" si="30"/>
        <v>0</v>
      </c>
      <c r="ED16" s="49">
        <f t="shared" si="30"/>
        <v>0</v>
      </c>
    </row>
    <row r="17" spans="2:134" ht="11" customHeight="1" x14ac:dyDescent="0.35">
      <c r="B17" s="4">
        <v>101931</v>
      </c>
      <c r="C17" s="4" t="s">
        <v>23</v>
      </c>
      <c r="D17" s="4">
        <v>12</v>
      </c>
      <c r="E17" s="5">
        <v>8</v>
      </c>
      <c r="F17" s="6">
        <v>481.13467500000002</v>
      </c>
      <c r="G17" s="7"/>
      <c r="H17" s="49"/>
      <c r="I17" s="49"/>
      <c r="J17" s="50">
        <f t="shared" si="31"/>
        <v>0</v>
      </c>
      <c r="K17" s="9"/>
      <c r="L17" s="49"/>
      <c r="M17" s="49"/>
      <c r="N17" s="50">
        <f t="shared" si="0"/>
        <v>0</v>
      </c>
      <c r="O17" s="46"/>
      <c r="P17" s="49"/>
      <c r="Q17" s="49"/>
      <c r="R17" s="50">
        <f t="shared" si="1"/>
        <v>0</v>
      </c>
      <c r="T17" s="49"/>
      <c r="U17" s="49"/>
      <c r="V17" s="50">
        <f t="shared" si="2"/>
        <v>0</v>
      </c>
      <c r="X17" s="49"/>
      <c r="Y17" s="49"/>
      <c r="Z17" s="50">
        <f t="shared" si="3"/>
        <v>0</v>
      </c>
      <c r="AB17" s="49"/>
      <c r="AC17" s="49"/>
      <c r="AD17" s="50">
        <f t="shared" si="4"/>
        <v>0</v>
      </c>
      <c r="AF17" s="49"/>
      <c r="AG17" s="49"/>
      <c r="AH17" s="50">
        <f t="shared" si="5"/>
        <v>0</v>
      </c>
      <c r="AJ17" s="49"/>
      <c r="AK17" s="49"/>
      <c r="AL17" s="50">
        <f t="shared" si="6"/>
        <v>0</v>
      </c>
      <c r="AN17" s="49"/>
      <c r="AO17" s="49"/>
      <c r="AP17" s="50">
        <f t="shared" si="7"/>
        <v>0</v>
      </c>
      <c r="AR17" s="49"/>
      <c r="AS17" s="49"/>
      <c r="AT17" s="50">
        <f t="shared" si="8"/>
        <v>0</v>
      </c>
      <c r="AV17" s="49"/>
      <c r="AW17" s="49"/>
      <c r="AX17" s="50">
        <f t="shared" si="9"/>
        <v>0</v>
      </c>
      <c r="AZ17" s="49"/>
      <c r="BA17" s="49"/>
      <c r="BB17" s="50">
        <f t="shared" si="10"/>
        <v>0</v>
      </c>
      <c r="BD17" s="49"/>
      <c r="BE17" s="49"/>
      <c r="BF17" s="50">
        <f t="shared" si="11"/>
        <v>0</v>
      </c>
      <c r="BH17" s="49"/>
      <c r="BI17" s="49"/>
      <c r="BJ17" s="50">
        <f t="shared" si="12"/>
        <v>0</v>
      </c>
      <c r="BL17" s="49"/>
      <c r="BM17" s="49"/>
      <c r="BN17" s="50">
        <f t="shared" si="13"/>
        <v>0</v>
      </c>
      <c r="BP17" s="49"/>
      <c r="BQ17" s="49"/>
      <c r="BR17" s="50">
        <f t="shared" si="14"/>
        <v>0</v>
      </c>
      <c r="BT17" s="49"/>
      <c r="BU17" s="49"/>
      <c r="BV17" s="50">
        <f t="shared" si="15"/>
        <v>0</v>
      </c>
      <c r="BX17" s="49"/>
      <c r="BY17" s="49"/>
      <c r="BZ17" s="50">
        <f t="shared" si="16"/>
        <v>0</v>
      </c>
      <c r="CB17" s="49"/>
      <c r="CC17" s="49"/>
      <c r="CD17" s="50">
        <f t="shared" si="17"/>
        <v>0</v>
      </c>
      <c r="CF17" s="49"/>
      <c r="CG17" s="49"/>
      <c r="CH17" s="50">
        <f t="shared" si="18"/>
        <v>0</v>
      </c>
      <c r="CJ17" s="49"/>
      <c r="CK17" s="49"/>
      <c r="CL17" s="50">
        <f t="shared" si="19"/>
        <v>0</v>
      </c>
      <c r="CN17" s="49"/>
      <c r="CO17" s="49"/>
      <c r="CP17" s="50">
        <f t="shared" si="20"/>
        <v>0</v>
      </c>
      <c r="CR17" s="49"/>
      <c r="CS17" s="49"/>
      <c r="CT17" s="50">
        <f t="shared" si="21"/>
        <v>0</v>
      </c>
      <c r="CV17" s="49"/>
      <c r="CW17" s="49"/>
      <c r="CX17" s="50">
        <f t="shared" si="22"/>
        <v>0</v>
      </c>
      <c r="CZ17" s="49"/>
      <c r="DA17" s="49"/>
      <c r="DB17" s="50">
        <f t="shared" si="23"/>
        <v>0</v>
      </c>
      <c r="DD17" s="49"/>
      <c r="DE17" s="49"/>
      <c r="DF17" s="50">
        <f t="shared" si="24"/>
        <v>0</v>
      </c>
      <c r="DH17" s="49"/>
      <c r="DI17" s="49"/>
      <c r="DJ17" s="50">
        <f t="shared" si="25"/>
        <v>0</v>
      </c>
      <c r="DL17" s="49"/>
      <c r="DM17" s="49"/>
      <c r="DN17" s="50">
        <f t="shared" si="26"/>
        <v>0</v>
      </c>
      <c r="DP17" s="49"/>
      <c r="DQ17" s="49"/>
      <c r="DR17" s="50">
        <f t="shared" si="27"/>
        <v>0</v>
      </c>
      <c r="DT17" s="49"/>
      <c r="DU17" s="49"/>
      <c r="DV17" s="50">
        <f t="shared" si="28"/>
        <v>0</v>
      </c>
      <c r="DX17" s="49"/>
      <c r="DY17" s="49"/>
      <c r="DZ17" s="50">
        <f t="shared" si="29"/>
        <v>0</v>
      </c>
      <c r="EB17" s="49">
        <f t="shared" si="30"/>
        <v>0</v>
      </c>
      <c r="EC17" s="49">
        <f t="shared" si="30"/>
        <v>0</v>
      </c>
      <c r="ED17" s="49">
        <f t="shared" si="30"/>
        <v>0</v>
      </c>
    </row>
    <row r="18" spans="2:134" ht="11" customHeight="1" x14ac:dyDescent="0.35">
      <c r="B18" s="4">
        <v>101932</v>
      </c>
      <c r="C18" s="4" t="s">
        <v>24</v>
      </c>
      <c r="D18" s="4">
        <v>12</v>
      </c>
      <c r="E18" s="5">
        <v>8</v>
      </c>
      <c r="F18" s="6">
        <v>481.13467500000002</v>
      </c>
      <c r="G18" s="7"/>
      <c r="H18" s="49"/>
      <c r="I18" s="49"/>
      <c r="J18" s="50">
        <f t="shared" si="31"/>
        <v>0</v>
      </c>
      <c r="K18" s="9"/>
      <c r="L18" s="49"/>
      <c r="M18" s="49"/>
      <c r="N18" s="50">
        <f t="shared" si="0"/>
        <v>0</v>
      </c>
      <c r="O18" s="46"/>
      <c r="P18" s="49"/>
      <c r="Q18" s="49"/>
      <c r="R18" s="50">
        <f t="shared" si="1"/>
        <v>0</v>
      </c>
      <c r="T18" s="49"/>
      <c r="U18" s="49"/>
      <c r="V18" s="50">
        <f t="shared" si="2"/>
        <v>0</v>
      </c>
      <c r="X18" s="49"/>
      <c r="Y18" s="49"/>
      <c r="Z18" s="50">
        <f t="shared" si="3"/>
        <v>0</v>
      </c>
      <c r="AB18" s="49"/>
      <c r="AC18" s="49"/>
      <c r="AD18" s="50">
        <f t="shared" si="4"/>
        <v>0</v>
      </c>
      <c r="AF18" s="49"/>
      <c r="AG18" s="49"/>
      <c r="AH18" s="50">
        <f t="shared" si="5"/>
        <v>0</v>
      </c>
      <c r="AJ18" s="49"/>
      <c r="AK18" s="49"/>
      <c r="AL18" s="50">
        <f t="shared" si="6"/>
        <v>0</v>
      </c>
      <c r="AN18" s="49"/>
      <c r="AO18" s="49"/>
      <c r="AP18" s="50">
        <f t="shared" si="7"/>
        <v>0</v>
      </c>
      <c r="AR18" s="49"/>
      <c r="AS18" s="49"/>
      <c r="AT18" s="50">
        <f t="shared" si="8"/>
        <v>0</v>
      </c>
      <c r="AV18" s="49"/>
      <c r="AW18" s="49"/>
      <c r="AX18" s="50">
        <f t="shared" si="9"/>
        <v>0</v>
      </c>
      <c r="AZ18" s="49"/>
      <c r="BA18" s="49"/>
      <c r="BB18" s="50">
        <f t="shared" si="10"/>
        <v>0</v>
      </c>
      <c r="BD18" s="49"/>
      <c r="BE18" s="49"/>
      <c r="BF18" s="50">
        <f t="shared" si="11"/>
        <v>0</v>
      </c>
      <c r="BH18" s="49"/>
      <c r="BI18" s="49"/>
      <c r="BJ18" s="50">
        <f t="shared" si="12"/>
        <v>0</v>
      </c>
      <c r="BL18" s="49"/>
      <c r="BM18" s="49"/>
      <c r="BN18" s="50">
        <f t="shared" si="13"/>
        <v>0</v>
      </c>
      <c r="BP18" s="49"/>
      <c r="BQ18" s="49"/>
      <c r="BR18" s="50">
        <f t="shared" si="14"/>
        <v>0</v>
      </c>
      <c r="BT18" s="49"/>
      <c r="BU18" s="49"/>
      <c r="BV18" s="50">
        <f t="shared" si="15"/>
        <v>0</v>
      </c>
      <c r="BX18" s="49"/>
      <c r="BY18" s="49"/>
      <c r="BZ18" s="50">
        <f t="shared" si="16"/>
        <v>0</v>
      </c>
      <c r="CB18" s="49"/>
      <c r="CC18" s="49"/>
      <c r="CD18" s="50">
        <f t="shared" si="17"/>
        <v>0</v>
      </c>
      <c r="CF18" s="49"/>
      <c r="CG18" s="49"/>
      <c r="CH18" s="50">
        <f t="shared" si="18"/>
        <v>0</v>
      </c>
      <c r="CJ18" s="49"/>
      <c r="CK18" s="49"/>
      <c r="CL18" s="50">
        <f t="shared" si="19"/>
        <v>0</v>
      </c>
      <c r="CN18" s="49"/>
      <c r="CO18" s="49"/>
      <c r="CP18" s="50">
        <f t="shared" si="20"/>
        <v>0</v>
      </c>
      <c r="CR18" s="49"/>
      <c r="CS18" s="49"/>
      <c r="CT18" s="50">
        <f t="shared" si="21"/>
        <v>0</v>
      </c>
      <c r="CV18" s="49"/>
      <c r="CW18" s="49"/>
      <c r="CX18" s="50">
        <f t="shared" si="22"/>
        <v>0</v>
      </c>
      <c r="CZ18" s="49"/>
      <c r="DA18" s="49"/>
      <c r="DB18" s="50">
        <f t="shared" si="23"/>
        <v>0</v>
      </c>
      <c r="DD18" s="49"/>
      <c r="DE18" s="49"/>
      <c r="DF18" s="50">
        <f t="shared" si="24"/>
        <v>0</v>
      </c>
      <c r="DH18" s="49"/>
      <c r="DI18" s="49"/>
      <c r="DJ18" s="50">
        <f t="shared" si="25"/>
        <v>0</v>
      </c>
      <c r="DL18" s="49"/>
      <c r="DM18" s="49"/>
      <c r="DN18" s="50">
        <f t="shared" si="26"/>
        <v>0</v>
      </c>
      <c r="DP18" s="49"/>
      <c r="DQ18" s="49"/>
      <c r="DR18" s="50">
        <f t="shared" si="27"/>
        <v>0</v>
      </c>
      <c r="DT18" s="49"/>
      <c r="DU18" s="49"/>
      <c r="DV18" s="50">
        <f t="shared" si="28"/>
        <v>0</v>
      </c>
      <c r="DX18" s="49"/>
      <c r="DY18" s="49"/>
      <c r="DZ18" s="50">
        <f t="shared" si="29"/>
        <v>0</v>
      </c>
      <c r="EB18" s="49">
        <f t="shared" si="30"/>
        <v>0</v>
      </c>
      <c r="EC18" s="49">
        <f t="shared" si="30"/>
        <v>0</v>
      </c>
      <c r="ED18" s="49">
        <f t="shared" si="30"/>
        <v>0</v>
      </c>
    </row>
    <row r="19" spans="2:134" ht="11" customHeight="1" x14ac:dyDescent="0.35">
      <c r="B19" s="4">
        <v>101933</v>
      </c>
      <c r="C19" s="4" t="s">
        <v>25</v>
      </c>
      <c r="D19" s="4">
        <v>12</v>
      </c>
      <c r="E19" s="5">
        <v>8</v>
      </c>
      <c r="F19" s="6">
        <v>481.13467500000002</v>
      </c>
      <c r="G19" s="7"/>
      <c r="H19" s="49"/>
      <c r="I19" s="49"/>
      <c r="J19" s="50">
        <f t="shared" si="31"/>
        <v>0</v>
      </c>
      <c r="K19" s="9"/>
      <c r="L19" s="49"/>
      <c r="M19" s="49"/>
      <c r="N19" s="50">
        <f t="shared" si="0"/>
        <v>0</v>
      </c>
      <c r="O19" s="46"/>
      <c r="P19" s="49"/>
      <c r="Q19" s="49"/>
      <c r="R19" s="50">
        <f t="shared" si="1"/>
        <v>0</v>
      </c>
      <c r="T19" s="49"/>
      <c r="U19" s="49"/>
      <c r="V19" s="50">
        <f t="shared" si="2"/>
        <v>0</v>
      </c>
      <c r="X19" s="49"/>
      <c r="Y19" s="49"/>
      <c r="Z19" s="50">
        <f t="shared" si="3"/>
        <v>0</v>
      </c>
      <c r="AB19" s="49"/>
      <c r="AC19" s="49"/>
      <c r="AD19" s="50">
        <f t="shared" si="4"/>
        <v>0</v>
      </c>
      <c r="AF19" s="49"/>
      <c r="AG19" s="49"/>
      <c r="AH19" s="50">
        <f t="shared" si="5"/>
        <v>0</v>
      </c>
      <c r="AJ19" s="49"/>
      <c r="AK19" s="49"/>
      <c r="AL19" s="50">
        <f t="shared" si="6"/>
        <v>0</v>
      </c>
      <c r="AN19" s="49"/>
      <c r="AO19" s="49"/>
      <c r="AP19" s="50">
        <f t="shared" si="7"/>
        <v>0</v>
      </c>
      <c r="AR19" s="49"/>
      <c r="AS19" s="49"/>
      <c r="AT19" s="50">
        <f t="shared" si="8"/>
        <v>0</v>
      </c>
      <c r="AV19" s="49"/>
      <c r="AW19" s="49"/>
      <c r="AX19" s="50">
        <f t="shared" si="9"/>
        <v>0</v>
      </c>
      <c r="AZ19" s="49"/>
      <c r="BA19" s="49"/>
      <c r="BB19" s="50">
        <f t="shared" si="10"/>
        <v>0</v>
      </c>
      <c r="BD19" s="49"/>
      <c r="BE19" s="49"/>
      <c r="BF19" s="50">
        <f t="shared" si="11"/>
        <v>0</v>
      </c>
      <c r="BH19" s="49"/>
      <c r="BI19" s="49"/>
      <c r="BJ19" s="50">
        <f t="shared" si="12"/>
        <v>0</v>
      </c>
      <c r="BL19" s="49"/>
      <c r="BM19" s="49"/>
      <c r="BN19" s="50">
        <f t="shared" si="13"/>
        <v>0</v>
      </c>
      <c r="BP19" s="49"/>
      <c r="BQ19" s="49"/>
      <c r="BR19" s="50">
        <f t="shared" si="14"/>
        <v>0</v>
      </c>
      <c r="BT19" s="49"/>
      <c r="BU19" s="49"/>
      <c r="BV19" s="50">
        <f t="shared" si="15"/>
        <v>0</v>
      </c>
      <c r="BX19" s="49"/>
      <c r="BY19" s="49"/>
      <c r="BZ19" s="50">
        <f t="shared" si="16"/>
        <v>0</v>
      </c>
      <c r="CB19" s="49"/>
      <c r="CC19" s="49"/>
      <c r="CD19" s="50">
        <f t="shared" si="17"/>
        <v>0</v>
      </c>
      <c r="CF19" s="49"/>
      <c r="CG19" s="49"/>
      <c r="CH19" s="50">
        <f t="shared" si="18"/>
        <v>0</v>
      </c>
      <c r="CJ19" s="49"/>
      <c r="CK19" s="49"/>
      <c r="CL19" s="50">
        <f t="shared" si="19"/>
        <v>0</v>
      </c>
      <c r="CN19" s="49"/>
      <c r="CO19" s="49"/>
      <c r="CP19" s="50">
        <f t="shared" si="20"/>
        <v>0</v>
      </c>
      <c r="CR19" s="49"/>
      <c r="CS19" s="49"/>
      <c r="CT19" s="50">
        <f t="shared" si="21"/>
        <v>0</v>
      </c>
      <c r="CV19" s="49"/>
      <c r="CW19" s="49"/>
      <c r="CX19" s="50">
        <f t="shared" si="22"/>
        <v>0</v>
      </c>
      <c r="CZ19" s="49"/>
      <c r="DA19" s="49"/>
      <c r="DB19" s="50">
        <f t="shared" si="23"/>
        <v>0</v>
      </c>
      <c r="DD19" s="49"/>
      <c r="DE19" s="49"/>
      <c r="DF19" s="50">
        <f t="shared" si="24"/>
        <v>0</v>
      </c>
      <c r="DH19" s="49"/>
      <c r="DI19" s="49"/>
      <c r="DJ19" s="50">
        <f t="shared" si="25"/>
        <v>0</v>
      </c>
      <c r="DL19" s="49"/>
      <c r="DM19" s="49"/>
      <c r="DN19" s="50">
        <f t="shared" si="26"/>
        <v>0</v>
      </c>
      <c r="DP19" s="49"/>
      <c r="DQ19" s="49"/>
      <c r="DR19" s="50">
        <f t="shared" si="27"/>
        <v>0</v>
      </c>
      <c r="DT19" s="49"/>
      <c r="DU19" s="49"/>
      <c r="DV19" s="50">
        <f t="shared" si="28"/>
        <v>0</v>
      </c>
      <c r="DX19" s="49"/>
      <c r="DY19" s="49"/>
      <c r="DZ19" s="50">
        <f t="shared" si="29"/>
        <v>0</v>
      </c>
      <c r="EB19" s="49">
        <f t="shared" si="30"/>
        <v>0</v>
      </c>
      <c r="EC19" s="49">
        <f t="shared" si="30"/>
        <v>0</v>
      </c>
      <c r="ED19" s="49">
        <f t="shared" si="30"/>
        <v>0</v>
      </c>
    </row>
    <row r="20" spans="2:134" ht="11" customHeight="1" x14ac:dyDescent="0.35">
      <c r="B20" s="4">
        <v>101934</v>
      </c>
      <c r="C20" s="4" t="s">
        <v>26</v>
      </c>
      <c r="D20" s="4">
        <v>12</v>
      </c>
      <c r="E20" s="5">
        <v>8</v>
      </c>
      <c r="F20" s="6">
        <v>481.13467500000002</v>
      </c>
      <c r="G20" s="7"/>
      <c r="H20" s="49"/>
      <c r="I20" s="49"/>
      <c r="J20" s="50">
        <f t="shared" si="31"/>
        <v>0</v>
      </c>
      <c r="K20" s="9"/>
      <c r="L20" s="49"/>
      <c r="M20" s="49"/>
      <c r="N20" s="50">
        <f t="shared" si="0"/>
        <v>0</v>
      </c>
      <c r="O20" s="46"/>
      <c r="P20" s="49"/>
      <c r="Q20" s="49"/>
      <c r="R20" s="50">
        <f t="shared" si="1"/>
        <v>0</v>
      </c>
      <c r="T20" s="49"/>
      <c r="U20" s="49"/>
      <c r="V20" s="50">
        <f t="shared" si="2"/>
        <v>0</v>
      </c>
      <c r="X20" s="49"/>
      <c r="Y20" s="49"/>
      <c r="Z20" s="50">
        <f t="shared" si="3"/>
        <v>0</v>
      </c>
      <c r="AB20" s="49"/>
      <c r="AC20" s="49"/>
      <c r="AD20" s="50">
        <f t="shared" si="4"/>
        <v>0</v>
      </c>
      <c r="AF20" s="49"/>
      <c r="AG20" s="49"/>
      <c r="AH20" s="50">
        <f t="shared" si="5"/>
        <v>0</v>
      </c>
      <c r="AJ20" s="49"/>
      <c r="AK20" s="49"/>
      <c r="AL20" s="50">
        <f t="shared" si="6"/>
        <v>0</v>
      </c>
      <c r="AN20" s="49"/>
      <c r="AO20" s="49"/>
      <c r="AP20" s="50">
        <f t="shared" si="7"/>
        <v>0</v>
      </c>
      <c r="AR20" s="49"/>
      <c r="AS20" s="49"/>
      <c r="AT20" s="50">
        <f t="shared" si="8"/>
        <v>0</v>
      </c>
      <c r="AV20" s="49"/>
      <c r="AW20" s="49"/>
      <c r="AX20" s="50">
        <f t="shared" si="9"/>
        <v>0</v>
      </c>
      <c r="AZ20" s="49"/>
      <c r="BA20" s="49"/>
      <c r="BB20" s="50">
        <f t="shared" si="10"/>
        <v>0</v>
      </c>
      <c r="BD20" s="49"/>
      <c r="BE20" s="49"/>
      <c r="BF20" s="50">
        <f t="shared" si="11"/>
        <v>0</v>
      </c>
      <c r="BH20" s="49"/>
      <c r="BI20" s="49"/>
      <c r="BJ20" s="50">
        <f t="shared" si="12"/>
        <v>0</v>
      </c>
      <c r="BL20" s="49"/>
      <c r="BM20" s="49"/>
      <c r="BN20" s="50">
        <f t="shared" si="13"/>
        <v>0</v>
      </c>
      <c r="BP20" s="49"/>
      <c r="BQ20" s="49"/>
      <c r="BR20" s="50">
        <f t="shared" si="14"/>
        <v>0</v>
      </c>
      <c r="BT20" s="49"/>
      <c r="BU20" s="49"/>
      <c r="BV20" s="50">
        <f t="shared" si="15"/>
        <v>0</v>
      </c>
      <c r="BX20" s="49"/>
      <c r="BY20" s="49"/>
      <c r="BZ20" s="50">
        <f t="shared" si="16"/>
        <v>0</v>
      </c>
      <c r="CB20" s="49"/>
      <c r="CC20" s="49"/>
      <c r="CD20" s="50">
        <f t="shared" si="17"/>
        <v>0</v>
      </c>
      <c r="CF20" s="49"/>
      <c r="CG20" s="49"/>
      <c r="CH20" s="50">
        <f t="shared" si="18"/>
        <v>0</v>
      </c>
      <c r="CJ20" s="49"/>
      <c r="CK20" s="49"/>
      <c r="CL20" s="50">
        <f t="shared" si="19"/>
        <v>0</v>
      </c>
      <c r="CN20" s="49"/>
      <c r="CO20" s="49"/>
      <c r="CP20" s="50">
        <f t="shared" si="20"/>
        <v>0</v>
      </c>
      <c r="CR20" s="49"/>
      <c r="CS20" s="49"/>
      <c r="CT20" s="50">
        <f t="shared" si="21"/>
        <v>0</v>
      </c>
      <c r="CV20" s="49"/>
      <c r="CW20" s="49"/>
      <c r="CX20" s="50">
        <f t="shared" si="22"/>
        <v>0</v>
      </c>
      <c r="CZ20" s="49"/>
      <c r="DA20" s="49"/>
      <c r="DB20" s="50">
        <f t="shared" si="23"/>
        <v>0</v>
      </c>
      <c r="DD20" s="49"/>
      <c r="DE20" s="49"/>
      <c r="DF20" s="50">
        <f t="shared" si="24"/>
        <v>0</v>
      </c>
      <c r="DH20" s="49"/>
      <c r="DI20" s="49"/>
      <c r="DJ20" s="50">
        <f t="shared" si="25"/>
        <v>0</v>
      </c>
      <c r="DL20" s="49"/>
      <c r="DM20" s="49"/>
      <c r="DN20" s="50">
        <f t="shared" si="26"/>
        <v>0</v>
      </c>
      <c r="DP20" s="49"/>
      <c r="DQ20" s="49"/>
      <c r="DR20" s="50">
        <f t="shared" si="27"/>
        <v>0</v>
      </c>
      <c r="DT20" s="49"/>
      <c r="DU20" s="49"/>
      <c r="DV20" s="50">
        <f t="shared" si="28"/>
        <v>0</v>
      </c>
      <c r="DX20" s="49"/>
      <c r="DY20" s="49"/>
      <c r="DZ20" s="50">
        <f t="shared" si="29"/>
        <v>0</v>
      </c>
      <c r="EB20" s="49">
        <f t="shared" si="30"/>
        <v>0</v>
      </c>
      <c r="EC20" s="49">
        <f t="shared" si="30"/>
        <v>0</v>
      </c>
      <c r="ED20" s="49">
        <f t="shared" si="30"/>
        <v>0</v>
      </c>
    </row>
    <row r="21" spans="2:134" ht="11" customHeight="1" x14ac:dyDescent="0.35">
      <c r="B21" s="4">
        <v>102155</v>
      </c>
      <c r="C21" s="4" t="s">
        <v>27</v>
      </c>
      <c r="D21" s="4">
        <v>1</v>
      </c>
      <c r="E21" s="5">
        <v>12</v>
      </c>
      <c r="F21" s="6">
        <v>394.37248129599999</v>
      </c>
      <c r="G21" s="7"/>
      <c r="H21" s="49"/>
      <c r="I21" s="49"/>
      <c r="J21" s="50">
        <f t="shared" si="31"/>
        <v>0</v>
      </c>
      <c r="K21" s="9"/>
      <c r="L21" s="49"/>
      <c r="M21" s="49"/>
      <c r="N21" s="50">
        <f t="shared" si="0"/>
        <v>0</v>
      </c>
      <c r="O21" s="46"/>
      <c r="P21" s="49"/>
      <c r="Q21" s="49"/>
      <c r="R21" s="50">
        <f t="shared" si="1"/>
        <v>0</v>
      </c>
      <c r="T21" s="49"/>
      <c r="U21" s="49"/>
      <c r="V21" s="50">
        <f t="shared" si="2"/>
        <v>0</v>
      </c>
      <c r="X21" s="49"/>
      <c r="Y21" s="49"/>
      <c r="Z21" s="50">
        <f t="shared" si="3"/>
        <v>0</v>
      </c>
      <c r="AB21" s="49"/>
      <c r="AC21" s="49"/>
      <c r="AD21" s="50">
        <f t="shared" si="4"/>
        <v>0</v>
      </c>
      <c r="AF21" s="49"/>
      <c r="AG21" s="49"/>
      <c r="AH21" s="50">
        <f t="shared" si="5"/>
        <v>0</v>
      </c>
      <c r="AJ21" s="49"/>
      <c r="AK21" s="49"/>
      <c r="AL21" s="50">
        <f t="shared" si="6"/>
        <v>0</v>
      </c>
      <c r="AN21" s="49"/>
      <c r="AO21" s="49"/>
      <c r="AP21" s="50">
        <f t="shared" si="7"/>
        <v>0</v>
      </c>
      <c r="AR21" s="49"/>
      <c r="AS21" s="49"/>
      <c r="AT21" s="50">
        <f t="shared" si="8"/>
        <v>0</v>
      </c>
      <c r="AV21" s="49"/>
      <c r="AW21" s="49"/>
      <c r="AX21" s="50">
        <f t="shared" si="9"/>
        <v>0</v>
      </c>
      <c r="AZ21" s="49"/>
      <c r="BA21" s="49"/>
      <c r="BB21" s="50">
        <f t="shared" si="10"/>
        <v>0</v>
      </c>
      <c r="BD21" s="49"/>
      <c r="BE21" s="49"/>
      <c r="BF21" s="50">
        <f t="shared" si="11"/>
        <v>0</v>
      </c>
      <c r="BH21" s="49"/>
      <c r="BI21" s="49"/>
      <c r="BJ21" s="50">
        <f t="shared" si="12"/>
        <v>0</v>
      </c>
      <c r="BL21" s="49"/>
      <c r="BM21" s="49"/>
      <c r="BN21" s="50">
        <f t="shared" si="13"/>
        <v>0</v>
      </c>
      <c r="BP21" s="49"/>
      <c r="BQ21" s="49"/>
      <c r="BR21" s="50">
        <f t="shared" si="14"/>
        <v>0</v>
      </c>
      <c r="BT21" s="49"/>
      <c r="BU21" s="49"/>
      <c r="BV21" s="50">
        <f t="shared" si="15"/>
        <v>0</v>
      </c>
      <c r="BX21" s="49"/>
      <c r="BY21" s="49"/>
      <c r="BZ21" s="50">
        <f t="shared" si="16"/>
        <v>0</v>
      </c>
      <c r="CB21" s="49"/>
      <c r="CC21" s="49"/>
      <c r="CD21" s="50">
        <f t="shared" si="17"/>
        <v>0</v>
      </c>
      <c r="CF21" s="49"/>
      <c r="CG21" s="49"/>
      <c r="CH21" s="50">
        <f t="shared" si="18"/>
        <v>0</v>
      </c>
      <c r="CJ21" s="49"/>
      <c r="CK21" s="49"/>
      <c r="CL21" s="50">
        <f t="shared" si="19"/>
        <v>0</v>
      </c>
      <c r="CN21" s="49"/>
      <c r="CO21" s="49"/>
      <c r="CP21" s="50">
        <f t="shared" si="20"/>
        <v>0</v>
      </c>
      <c r="CR21" s="49"/>
      <c r="CS21" s="49"/>
      <c r="CT21" s="50">
        <f t="shared" si="21"/>
        <v>0</v>
      </c>
      <c r="CV21" s="49"/>
      <c r="CW21" s="49"/>
      <c r="CX21" s="50">
        <f t="shared" si="22"/>
        <v>0</v>
      </c>
      <c r="CZ21" s="49"/>
      <c r="DA21" s="49"/>
      <c r="DB21" s="50">
        <f t="shared" si="23"/>
        <v>0</v>
      </c>
      <c r="DD21" s="49"/>
      <c r="DE21" s="49"/>
      <c r="DF21" s="50">
        <f t="shared" si="24"/>
        <v>0</v>
      </c>
      <c r="DH21" s="49"/>
      <c r="DI21" s="49"/>
      <c r="DJ21" s="50">
        <f t="shared" si="25"/>
        <v>0</v>
      </c>
      <c r="DL21" s="49"/>
      <c r="DM21" s="49"/>
      <c r="DN21" s="50">
        <f t="shared" si="26"/>
        <v>0</v>
      </c>
      <c r="DP21" s="49"/>
      <c r="DQ21" s="49"/>
      <c r="DR21" s="50">
        <f t="shared" si="27"/>
        <v>0</v>
      </c>
      <c r="DT21" s="49"/>
      <c r="DU21" s="49"/>
      <c r="DV21" s="50">
        <f t="shared" si="28"/>
        <v>0</v>
      </c>
      <c r="DX21" s="49"/>
      <c r="DY21" s="49"/>
      <c r="DZ21" s="50">
        <f t="shared" si="29"/>
        <v>0</v>
      </c>
      <c r="EB21" s="49">
        <f t="shared" si="30"/>
        <v>0</v>
      </c>
      <c r="EC21" s="49">
        <f t="shared" si="30"/>
        <v>0</v>
      </c>
      <c r="ED21" s="49">
        <f t="shared" si="30"/>
        <v>0</v>
      </c>
    </row>
    <row r="22" spans="2:134" ht="11" customHeight="1" x14ac:dyDescent="0.35">
      <c r="B22" s="4">
        <v>102157</v>
      </c>
      <c r="C22" s="4" t="s">
        <v>28</v>
      </c>
      <c r="D22" s="4">
        <v>50</v>
      </c>
      <c r="E22" s="5">
        <v>18</v>
      </c>
      <c r="F22" s="6">
        <v>200.47282196</v>
      </c>
      <c r="G22" s="7"/>
      <c r="H22" s="49"/>
      <c r="I22" s="49"/>
      <c r="J22" s="50">
        <f t="shared" si="31"/>
        <v>0</v>
      </c>
      <c r="K22" s="9"/>
      <c r="L22" s="49"/>
      <c r="M22" s="49"/>
      <c r="N22" s="50">
        <f t="shared" si="0"/>
        <v>0</v>
      </c>
      <c r="O22" s="46"/>
      <c r="P22" s="49"/>
      <c r="Q22" s="49"/>
      <c r="R22" s="50">
        <f t="shared" si="1"/>
        <v>0</v>
      </c>
      <c r="T22" s="49"/>
      <c r="U22" s="49"/>
      <c r="V22" s="50">
        <f t="shared" si="2"/>
        <v>0</v>
      </c>
      <c r="X22" s="49"/>
      <c r="Y22" s="49"/>
      <c r="Z22" s="50">
        <f t="shared" si="3"/>
        <v>0</v>
      </c>
      <c r="AB22" s="49"/>
      <c r="AC22" s="49"/>
      <c r="AD22" s="50">
        <f t="shared" si="4"/>
        <v>0</v>
      </c>
      <c r="AF22" s="49"/>
      <c r="AG22" s="49"/>
      <c r="AH22" s="50">
        <f t="shared" si="5"/>
        <v>0</v>
      </c>
      <c r="AJ22" s="49"/>
      <c r="AK22" s="49"/>
      <c r="AL22" s="50">
        <f t="shared" si="6"/>
        <v>0</v>
      </c>
      <c r="AN22" s="49"/>
      <c r="AO22" s="49"/>
      <c r="AP22" s="50">
        <f t="shared" si="7"/>
        <v>0</v>
      </c>
      <c r="AR22" s="49"/>
      <c r="AS22" s="49"/>
      <c r="AT22" s="50">
        <f t="shared" si="8"/>
        <v>0</v>
      </c>
      <c r="AV22" s="49"/>
      <c r="AW22" s="49"/>
      <c r="AX22" s="50">
        <f t="shared" si="9"/>
        <v>0</v>
      </c>
      <c r="AZ22" s="49"/>
      <c r="BA22" s="49"/>
      <c r="BB22" s="50">
        <f t="shared" si="10"/>
        <v>0</v>
      </c>
      <c r="BD22" s="49"/>
      <c r="BE22" s="49"/>
      <c r="BF22" s="50">
        <f t="shared" si="11"/>
        <v>0</v>
      </c>
      <c r="BH22" s="49"/>
      <c r="BI22" s="49"/>
      <c r="BJ22" s="50">
        <f t="shared" si="12"/>
        <v>0</v>
      </c>
      <c r="BL22" s="49"/>
      <c r="BM22" s="49"/>
      <c r="BN22" s="50">
        <f t="shared" si="13"/>
        <v>0</v>
      </c>
      <c r="BP22" s="49"/>
      <c r="BQ22" s="49"/>
      <c r="BR22" s="50">
        <f t="shared" si="14"/>
        <v>0</v>
      </c>
      <c r="BT22" s="49"/>
      <c r="BU22" s="49"/>
      <c r="BV22" s="50">
        <f t="shared" si="15"/>
        <v>0</v>
      </c>
      <c r="BX22" s="49"/>
      <c r="BY22" s="49"/>
      <c r="BZ22" s="50">
        <f t="shared" si="16"/>
        <v>0</v>
      </c>
      <c r="CB22" s="49"/>
      <c r="CC22" s="49"/>
      <c r="CD22" s="50">
        <f t="shared" si="17"/>
        <v>0</v>
      </c>
      <c r="CF22" s="49"/>
      <c r="CG22" s="49"/>
      <c r="CH22" s="50">
        <f t="shared" si="18"/>
        <v>0</v>
      </c>
      <c r="CJ22" s="49"/>
      <c r="CK22" s="49"/>
      <c r="CL22" s="50">
        <f t="shared" si="19"/>
        <v>0</v>
      </c>
      <c r="CN22" s="49"/>
      <c r="CO22" s="49"/>
      <c r="CP22" s="50">
        <f t="shared" si="20"/>
        <v>0</v>
      </c>
      <c r="CR22" s="49"/>
      <c r="CS22" s="49"/>
      <c r="CT22" s="50">
        <f t="shared" si="21"/>
        <v>0</v>
      </c>
      <c r="CV22" s="49"/>
      <c r="CW22" s="49"/>
      <c r="CX22" s="50">
        <f t="shared" si="22"/>
        <v>0</v>
      </c>
      <c r="CZ22" s="49"/>
      <c r="DA22" s="49"/>
      <c r="DB22" s="50">
        <f t="shared" si="23"/>
        <v>0</v>
      </c>
      <c r="DD22" s="49"/>
      <c r="DE22" s="49"/>
      <c r="DF22" s="50">
        <f t="shared" si="24"/>
        <v>0</v>
      </c>
      <c r="DH22" s="49"/>
      <c r="DI22" s="49"/>
      <c r="DJ22" s="50">
        <f t="shared" si="25"/>
        <v>0</v>
      </c>
      <c r="DL22" s="49"/>
      <c r="DM22" s="49"/>
      <c r="DN22" s="50">
        <f t="shared" si="26"/>
        <v>0</v>
      </c>
      <c r="DP22" s="49"/>
      <c r="DQ22" s="49"/>
      <c r="DR22" s="50">
        <f t="shared" si="27"/>
        <v>0</v>
      </c>
      <c r="DT22" s="49"/>
      <c r="DU22" s="49"/>
      <c r="DV22" s="50">
        <f t="shared" si="28"/>
        <v>0</v>
      </c>
      <c r="DX22" s="49"/>
      <c r="DY22" s="49"/>
      <c r="DZ22" s="50">
        <f t="shared" si="29"/>
        <v>0</v>
      </c>
      <c r="EB22" s="49">
        <f t="shared" si="30"/>
        <v>0</v>
      </c>
      <c r="EC22" s="49">
        <f t="shared" si="30"/>
        <v>0</v>
      </c>
      <c r="ED22" s="49">
        <f t="shared" si="30"/>
        <v>0</v>
      </c>
    </row>
    <row r="23" spans="2:134" ht="11" customHeight="1" x14ac:dyDescent="0.35">
      <c r="B23" s="4">
        <v>102926</v>
      </c>
      <c r="C23" s="4" t="s">
        <v>29</v>
      </c>
      <c r="D23" s="4">
        <v>50</v>
      </c>
      <c r="E23" s="5">
        <v>18</v>
      </c>
      <c r="F23" s="6">
        <v>197.18624064799999</v>
      </c>
      <c r="G23" s="7"/>
      <c r="H23" s="49"/>
      <c r="I23" s="49"/>
      <c r="J23" s="50">
        <f t="shared" si="31"/>
        <v>0</v>
      </c>
      <c r="K23" s="9"/>
      <c r="L23" s="49"/>
      <c r="M23" s="49"/>
      <c r="N23" s="50">
        <f t="shared" si="0"/>
        <v>0</v>
      </c>
      <c r="O23" s="46"/>
      <c r="P23" s="49"/>
      <c r="Q23" s="49"/>
      <c r="R23" s="50">
        <f t="shared" si="1"/>
        <v>0</v>
      </c>
      <c r="T23" s="49"/>
      <c r="U23" s="49"/>
      <c r="V23" s="50">
        <f t="shared" si="2"/>
        <v>0</v>
      </c>
      <c r="X23" s="49"/>
      <c r="Y23" s="49"/>
      <c r="Z23" s="50">
        <f t="shared" si="3"/>
        <v>0</v>
      </c>
      <c r="AB23" s="49"/>
      <c r="AC23" s="49"/>
      <c r="AD23" s="50">
        <f t="shared" si="4"/>
        <v>0</v>
      </c>
      <c r="AF23" s="49"/>
      <c r="AG23" s="49"/>
      <c r="AH23" s="50">
        <f t="shared" si="5"/>
        <v>0</v>
      </c>
      <c r="AJ23" s="49"/>
      <c r="AK23" s="49"/>
      <c r="AL23" s="50">
        <f t="shared" si="6"/>
        <v>0</v>
      </c>
      <c r="AN23" s="49"/>
      <c r="AO23" s="49"/>
      <c r="AP23" s="50">
        <f t="shared" si="7"/>
        <v>0</v>
      </c>
      <c r="AR23" s="49"/>
      <c r="AS23" s="49"/>
      <c r="AT23" s="50">
        <f t="shared" si="8"/>
        <v>0</v>
      </c>
      <c r="AV23" s="49"/>
      <c r="AW23" s="49"/>
      <c r="AX23" s="50">
        <f t="shared" si="9"/>
        <v>0</v>
      </c>
      <c r="AZ23" s="49"/>
      <c r="BA23" s="49"/>
      <c r="BB23" s="50">
        <f t="shared" si="10"/>
        <v>0</v>
      </c>
      <c r="BD23" s="49"/>
      <c r="BE23" s="49"/>
      <c r="BF23" s="50">
        <f t="shared" si="11"/>
        <v>0</v>
      </c>
      <c r="BH23" s="49"/>
      <c r="BI23" s="49"/>
      <c r="BJ23" s="50">
        <f t="shared" si="12"/>
        <v>0</v>
      </c>
      <c r="BL23" s="49"/>
      <c r="BM23" s="49"/>
      <c r="BN23" s="50">
        <f t="shared" si="13"/>
        <v>0</v>
      </c>
      <c r="BP23" s="49"/>
      <c r="BQ23" s="49"/>
      <c r="BR23" s="50">
        <f t="shared" si="14"/>
        <v>0</v>
      </c>
      <c r="BT23" s="49"/>
      <c r="BU23" s="49"/>
      <c r="BV23" s="50">
        <f t="shared" si="15"/>
        <v>0</v>
      </c>
      <c r="BX23" s="49"/>
      <c r="BY23" s="49"/>
      <c r="BZ23" s="50">
        <f t="shared" si="16"/>
        <v>0</v>
      </c>
      <c r="CB23" s="49"/>
      <c r="CC23" s="49"/>
      <c r="CD23" s="50">
        <f t="shared" si="17"/>
        <v>0</v>
      </c>
      <c r="CF23" s="49"/>
      <c r="CG23" s="49"/>
      <c r="CH23" s="50">
        <f t="shared" si="18"/>
        <v>0</v>
      </c>
      <c r="CJ23" s="49"/>
      <c r="CK23" s="49"/>
      <c r="CL23" s="50">
        <f t="shared" si="19"/>
        <v>0</v>
      </c>
      <c r="CN23" s="49"/>
      <c r="CO23" s="49"/>
      <c r="CP23" s="50">
        <f t="shared" si="20"/>
        <v>0</v>
      </c>
      <c r="CR23" s="49"/>
      <c r="CS23" s="49"/>
      <c r="CT23" s="50">
        <f t="shared" si="21"/>
        <v>0</v>
      </c>
      <c r="CV23" s="49"/>
      <c r="CW23" s="49"/>
      <c r="CX23" s="50">
        <f t="shared" si="22"/>
        <v>0</v>
      </c>
      <c r="CZ23" s="49"/>
      <c r="DA23" s="49"/>
      <c r="DB23" s="50">
        <f t="shared" si="23"/>
        <v>0</v>
      </c>
      <c r="DD23" s="49"/>
      <c r="DE23" s="49"/>
      <c r="DF23" s="50">
        <f t="shared" si="24"/>
        <v>0</v>
      </c>
      <c r="DH23" s="49"/>
      <c r="DI23" s="49"/>
      <c r="DJ23" s="50">
        <f t="shared" si="25"/>
        <v>0</v>
      </c>
      <c r="DL23" s="49"/>
      <c r="DM23" s="49"/>
      <c r="DN23" s="50">
        <f t="shared" si="26"/>
        <v>0</v>
      </c>
      <c r="DP23" s="49"/>
      <c r="DQ23" s="49"/>
      <c r="DR23" s="50">
        <f t="shared" si="27"/>
        <v>0</v>
      </c>
      <c r="DT23" s="49"/>
      <c r="DU23" s="49"/>
      <c r="DV23" s="50">
        <f t="shared" si="28"/>
        <v>0</v>
      </c>
      <c r="DX23" s="49"/>
      <c r="DY23" s="49"/>
      <c r="DZ23" s="50">
        <f t="shared" si="29"/>
        <v>0</v>
      </c>
      <c r="EB23" s="49">
        <f t="shared" si="30"/>
        <v>0</v>
      </c>
      <c r="EC23" s="49">
        <f t="shared" si="30"/>
        <v>0</v>
      </c>
      <c r="ED23" s="49">
        <f t="shared" si="30"/>
        <v>0</v>
      </c>
    </row>
    <row r="24" spans="2:134" ht="11" customHeight="1" x14ac:dyDescent="0.35">
      <c r="B24" s="4">
        <v>102929</v>
      </c>
      <c r="C24" s="4" t="s">
        <v>30</v>
      </c>
      <c r="D24" s="4">
        <v>50</v>
      </c>
      <c r="E24" s="5">
        <v>18</v>
      </c>
      <c r="F24" s="6">
        <v>200.47282196</v>
      </c>
      <c r="G24" s="7"/>
      <c r="H24" s="49"/>
      <c r="I24" s="49"/>
      <c r="J24" s="50">
        <f t="shared" si="31"/>
        <v>0</v>
      </c>
      <c r="K24" s="9"/>
      <c r="L24" s="49"/>
      <c r="M24" s="49"/>
      <c r="N24" s="50">
        <f t="shared" si="0"/>
        <v>0</v>
      </c>
      <c r="O24" s="46"/>
      <c r="P24" s="49"/>
      <c r="Q24" s="49"/>
      <c r="R24" s="50">
        <f t="shared" si="1"/>
        <v>0</v>
      </c>
      <c r="T24" s="49"/>
      <c r="U24" s="49"/>
      <c r="V24" s="50">
        <f t="shared" si="2"/>
        <v>0</v>
      </c>
      <c r="X24" s="49"/>
      <c r="Y24" s="49"/>
      <c r="Z24" s="50">
        <f t="shared" si="3"/>
        <v>0</v>
      </c>
      <c r="AB24" s="49"/>
      <c r="AC24" s="49"/>
      <c r="AD24" s="50">
        <f t="shared" si="4"/>
        <v>0</v>
      </c>
      <c r="AF24" s="49"/>
      <c r="AG24" s="49"/>
      <c r="AH24" s="50">
        <f t="shared" si="5"/>
        <v>0</v>
      </c>
      <c r="AJ24" s="49"/>
      <c r="AK24" s="49"/>
      <c r="AL24" s="50">
        <f t="shared" si="6"/>
        <v>0</v>
      </c>
      <c r="AN24" s="49"/>
      <c r="AO24" s="49"/>
      <c r="AP24" s="50">
        <f t="shared" si="7"/>
        <v>0</v>
      </c>
      <c r="AR24" s="49"/>
      <c r="AS24" s="49"/>
      <c r="AT24" s="50">
        <f t="shared" si="8"/>
        <v>0</v>
      </c>
      <c r="AV24" s="49"/>
      <c r="AW24" s="49"/>
      <c r="AX24" s="50">
        <f t="shared" si="9"/>
        <v>0</v>
      </c>
      <c r="AZ24" s="49"/>
      <c r="BA24" s="49"/>
      <c r="BB24" s="50">
        <f t="shared" si="10"/>
        <v>0</v>
      </c>
      <c r="BD24" s="49"/>
      <c r="BE24" s="49"/>
      <c r="BF24" s="50">
        <f t="shared" si="11"/>
        <v>0</v>
      </c>
      <c r="BH24" s="49"/>
      <c r="BI24" s="49"/>
      <c r="BJ24" s="50">
        <f t="shared" si="12"/>
        <v>0</v>
      </c>
      <c r="BL24" s="49"/>
      <c r="BM24" s="49"/>
      <c r="BN24" s="50">
        <f t="shared" si="13"/>
        <v>0</v>
      </c>
      <c r="BP24" s="49"/>
      <c r="BQ24" s="49"/>
      <c r="BR24" s="50">
        <f t="shared" si="14"/>
        <v>0</v>
      </c>
      <c r="BT24" s="49"/>
      <c r="BU24" s="49"/>
      <c r="BV24" s="50">
        <f t="shared" si="15"/>
        <v>0</v>
      </c>
      <c r="BX24" s="49"/>
      <c r="BY24" s="49"/>
      <c r="BZ24" s="50">
        <f t="shared" si="16"/>
        <v>0</v>
      </c>
      <c r="CB24" s="49"/>
      <c r="CC24" s="49"/>
      <c r="CD24" s="50">
        <f t="shared" si="17"/>
        <v>0</v>
      </c>
      <c r="CF24" s="49"/>
      <c r="CG24" s="49"/>
      <c r="CH24" s="50">
        <f t="shared" si="18"/>
        <v>0</v>
      </c>
      <c r="CJ24" s="49"/>
      <c r="CK24" s="49"/>
      <c r="CL24" s="50">
        <f t="shared" si="19"/>
        <v>0</v>
      </c>
      <c r="CN24" s="49"/>
      <c r="CO24" s="49"/>
      <c r="CP24" s="50">
        <f t="shared" si="20"/>
        <v>0</v>
      </c>
      <c r="CR24" s="49"/>
      <c r="CS24" s="49"/>
      <c r="CT24" s="50">
        <f t="shared" si="21"/>
        <v>0</v>
      </c>
      <c r="CV24" s="49"/>
      <c r="CW24" s="49"/>
      <c r="CX24" s="50">
        <f t="shared" si="22"/>
        <v>0</v>
      </c>
      <c r="CZ24" s="49"/>
      <c r="DA24" s="49"/>
      <c r="DB24" s="50">
        <f t="shared" si="23"/>
        <v>0</v>
      </c>
      <c r="DD24" s="49"/>
      <c r="DE24" s="49"/>
      <c r="DF24" s="50">
        <f t="shared" si="24"/>
        <v>0</v>
      </c>
      <c r="DH24" s="49"/>
      <c r="DI24" s="49"/>
      <c r="DJ24" s="50">
        <f t="shared" si="25"/>
        <v>0</v>
      </c>
      <c r="DL24" s="49"/>
      <c r="DM24" s="49"/>
      <c r="DN24" s="50">
        <f t="shared" si="26"/>
        <v>0</v>
      </c>
      <c r="DP24" s="49"/>
      <c r="DQ24" s="49"/>
      <c r="DR24" s="50">
        <f t="shared" si="27"/>
        <v>0</v>
      </c>
      <c r="DT24" s="49"/>
      <c r="DU24" s="49"/>
      <c r="DV24" s="50">
        <f t="shared" si="28"/>
        <v>0</v>
      </c>
      <c r="DX24" s="49"/>
      <c r="DY24" s="49"/>
      <c r="DZ24" s="50">
        <f t="shared" si="29"/>
        <v>0</v>
      </c>
      <c r="EB24" s="49">
        <f t="shared" si="30"/>
        <v>0</v>
      </c>
      <c r="EC24" s="49">
        <f t="shared" si="30"/>
        <v>0</v>
      </c>
      <c r="ED24" s="49">
        <f t="shared" si="30"/>
        <v>0</v>
      </c>
    </row>
    <row r="25" spans="2:134" ht="11" customHeight="1" x14ac:dyDescent="0.35">
      <c r="B25" s="4">
        <v>103008</v>
      </c>
      <c r="C25" s="4" t="s">
        <v>31</v>
      </c>
      <c r="D25" s="4">
        <v>18</v>
      </c>
      <c r="E25" s="5">
        <v>18</v>
      </c>
      <c r="F25" s="6">
        <v>198.24262196000001</v>
      </c>
      <c r="G25" s="7"/>
      <c r="H25" s="49"/>
      <c r="I25" s="49"/>
      <c r="J25" s="50">
        <f t="shared" si="31"/>
        <v>0</v>
      </c>
      <c r="K25" s="9"/>
      <c r="L25" s="49"/>
      <c r="M25" s="49"/>
      <c r="N25" s="50">
        <f t="shared" si="0"/>
        <v>0</v>
      </c>
      <c r="O25" s="46"/>
      <c r="P25" s="49"/>
      <c r="Q25" s="49"/>
      <c r="R25" s="50">
        <f t="shared" si="1"/>
        <v>0</v>
      </c>
      <c r="T25" s="49"/>
      <c r="U25" s="49"/>
      <c r="V25" s="50">
        <f t="shared" si="2"/>
        <v>0</v>
      </c>
      <c r="X25" s="49"/>
      <c r="Y25" s="49"/>
      <c r="Z25" s="50">
        <f t="shared" si="3"/>
        <v>0</v>
      </c>
      <c r="AB25" s="49"/>
      <c r="AC25" s="49"/>
      <c r="AD25" s="50">
        <f t="shared" si="4"/>
        <v>0</v>
      </c>
      <c r="AF25" s="49"/>
      <c r="AG25" s="49"/>
      <c r="AH25" s="50">
        <f t="shared" si="5"/>
        <v>0</v>
      </c>
      <c r="AJ25" s="49"/>
      <c r="AK25" s="49"/>
      <c r="AL25" s="50">
        <f t="shared" si="6"/>
        <v>0</v>
      </c>
      <c r="AN25" s="49"/>
      <c r="AO25" s="49"/>
      <c r="AP25" s="50">
        <f t="shared" si="7"/>
        <v>0</v>
      </c>
      <c r="AR25" s="49"/>
      <c r="AS25" s="49"/>
      <c r="AT25" s="50">
        <f t="shared" si="8"/>
        <v>0</v>
      </c>
      <c r="AV25" s="49"/>
      <c r="AW25" s="49"/>
      <c r="AX25" s="50">
        <f t="shared" si="9"/>
        <v>0</v>
      </c>
      <c r="AZ25" s="49"/>
      <c r="BA25" s="49"/>
      <c r="BB25" s="50">
        <f t="shared" si="10"/>
        <v>0</v>
      </c>
      <c r="BD25" s="49"/>
      <c r="BE25" s="49"/>
      <c r="BF25" s="50">
        <f t="shared" si="11"/>
        <v>0</v>
      </c>
      <c r="BH25" s="49"/>
      <c r="BI25" s="49"/>
      <c r="BJ25" s="50">
        <f t="shared" si="12"/>
        <v>0</v>
      </c>
      <c r="BL25" s="49"/>
      <c r="BM25" s="49"/>
      <c r="BN25" s="50">
        <f t="shared" si="13"/>
        <v>0</v>
      </c>
      <c r="BP25" s="49"/>
      <c r="BQ25" s="49"/>
      <c r="BR25" s="50">
        <f t="shared" si="14"/>
        <v>0</v>
      </c>
      <c r="BT25" s="49"/>
      <c r="BU25" s="49"/>
      <c r="BV25" s="50">
        <f t="shared" si="15"/>
        <v>0</v>
      </c>
      <c r="BX25" s="49"/>
      <c r="BY25" s="49"/>
      <c r="BZ25" s="50">
        <f t="shared" si="16"/>
        <v>0</v>
      </c>
      <c r="CB25" s="49"/>
      <c r="CC25" s="49"/>
      <c r="CD25" s="50">
        <f t="shared" si="17"/>
        <v>0</v>
      </c>
      <c r="CF25" s="49"/>
      <c r="CG25" s="49"/>
      <c r="CH25" s="50">
        <f t="shared" si="18"/>
        <v>0</v>
      </c>
      <c r="CJ25" s="49"/>
      <c r="CK25" s="49"/>
      <c r="CL25" s="50">
        <f t="shared" si="19"/>
        <v>0</v>
      </c>
      <c r="CN25" s="49"/>
      <c r="CO25" s="49"/>
      <c r="CP25" s="50">
        <f t="shared" si="20"/>
        <v>0</v>
      </c>
      <c r="CR25" s="49"/>
      <c r="CS25" s="49"/>
      <c r="CT25" s="50">
        <f t="shared" si="21"/>
        <v>0</v>
      </c>
      <c r="CV25" s="49"/>
      <c r="CW25" s="49"/>
      <c r="CX25" s="50">
        <f t="shared" si="22"/>
        <v>0</v>
      </c>
      <c r="CZ25" s="49"/>
      <c r="DA25" s="49"/>
      <c r="DB25" s="50">
        <f t="shared" si="23"/>
        <v>0</v>
      </c>
      <c r="DD25" s="49"/>
      <c r="DE25" s="49"/>
      <c r="DF25" s="50">
        <f t="shared" si="24"/>
        <v>0</v>
      </c>
      <c r="DH25" s="49"/>
      <c r="DI25" s="49"/>
      <c r="DJ25" s="50">
        <f t="shared" si="25"/>
        <v>0</v>
      </c>
      <c r="DL25" s="49"/>
      <c r="DM25" s="49"/>
      <c r="DN25" s="50">
        <f t="shared" si="26"/>
        <v>0</v>
      </c>
      <c r="DP25" s="49"/>
      <c r="DQ25" s="49"/>
      <c r="DR25" s="50">
        <f t="shared" si="27"/>
        <v>0</v>
      </c>
      <c r="DT25" s="49"/>
      <c r="DU25" s="49"/>
      <c r="DV25" s="50">
        <f t="shared" si="28"/>
        <v>0</v>
      </c>
      <c r="DX25" s="49"/>
      <c r="DY25" s="49"/>
      <c r="DZ25" s="50">
        <f t="shared" si="29"/>
        <v>0</v>
      </c>
      <c r="EB25" s="49">
        <f t="shared" si="30"/>
        <v>0</v>
      </c>
      <c r="EC25" s="49">
        <f t="shared" si="30"/>
        <v>0</v>
      </c>
      <c r="ED25" s="49">
        <f t="shared" si="30"/>
        <v>0</v>
      </c>
    </row>
    <row r="26" spans="2:134" ht="11" customHeight="1" x14ac:dyDescent="0.35">
      <c r="B26" s="4">
        <v>103012</v>
      </c>
      <c r="C26" s="4" t="s">
        <v>32</v>
      </c>
      <c r="D26" s="4">
        <v>50</v>
      </c>
      <c r="E26" s="5">
        <v>18</v>
      </c>
      <c r="F26" s="6">
        <v>198.24262196000001</v>
      </c>
      <c r="G26" s="7"/>
      <c r="H26" s="49"/>
      <c r="I26" s="49"/>
      <c r="J26" s="50">
        <f t="shared" si="31"/>
        <v>0</v>
      </c>
      <c r="K26" s="9"/>
      <c r="L26" s="49"/>
      <c r="M26" s="49"/>
      <c r="N26" s="50">
        <f t="shared" si="0"/>
        <v>0</v>
      </c>
      <c r="O26" s="46"/>
      <c r="P26" s="49"/>
      <c r="Q26" s="49"/>
      <c r="R26" s="50">
        <f t="shared" si="1"/>
        <v>0</v>
      </c>
      <c r="T26" s="49"/>
      <c r="U26" s="49"/>
      <c r="V26" s="50">
        <f t="shared" si="2"/>
        <v>0</v>
      </c>
      <c r="X26" s="49"/>
      <c r="Y26" s="49"/>
      <c r="Z26" s="50">
        <f t="shared" si="3"/>
        <v>0</v>
      </c>
      <c r="AB26" s="49"/>
      <c r="AC26" s="49"/>
      <c r="AD26" s="50">
        <f t="shared" si="4"/>
        <v>0</v>
      </c>
      <c r="AF26" s="49"/>
      <c r="AG26" s="49"/>
      <c r="AH26" s="50">
        <f t="shared" si="5"/>
        <v>0</v>
      </c>
      <c r="AJ26" s="49"/>
      <c r="AK26" s="49"/>
      <c r="AL26" s="50">
        <f t="shared" si="6"/>
        <v>0</v>
      </c>
      <c r="AN26" s="49"/>
      <c r="AO26" s="49"/>
      <c r="AP26" s="50">
        <f t="shared" si="7"/>
        <v>0</v>
      </c>
      <c r="AR26" s="49"/>
      <c r="AS26" s="49"/>
      <c r="AT26" s="50">
        <f t="shared" si="8"/>
        <v>0</v>
      </c>
      <c r="AV26" s="49"/>
      <c r="AW26" s="49"/>
      <c r="AX26" s="50">
        <f t="shared" si="9"/>
        <v>0</v>
      </c>
      <c r="AZ26" s="49"/>
      <c r="BA26" s="49"/>
      <c r="BB26" s="50">
        <f t="shared" si="10"/>
        <v>0</v>
      </c>
      <c r="BD26" s="49"/>
      <c r="BE26" s="49"/>
      <c r="BF26" s="50">
        <f t="shared" si="11"/>
        <v>0</v>
      </c>
      <c r="BH26" s="49"/>
      <c r="BI26" s="49"/>
      <c r="BJ26" s="50">
        <f t="shared" si="12"/>
        <v>0</v>
      </c>
      <c r="BL26" s="49"/>
      <c r="BM26" s="49"/>
      <c r="BN26" s="50">
        <f t="shared" si="13"/>
        <v>0</v>
      </c>
      <c r="BP26" s="49"/>
      <c r="BQ26" s="49"/>
      <c r="BR26" s="50">
        <f t="shared" si="14"/>
        <v>0</v>
      </c>
      <c r="BT26" s="49"/>
      <c r="BU26" s="49"/>
      <c r="BV26" s="50">
        <f t="shared" si="15"/>
        <v>0</v>
      </c>
      <c r="BX26" s="49"/>
      <c r="BY26" s="49"/>
      <c r="BZ26" s="50">
        <f t="shared" si="16"/>
        <v>0</v>
      </c>
      <c r="CB26" s="49"/>
      <c r="CC26" s="49"/>
      <c r="CD26" s="50">
        <f t="shared" si="17"/>
        <v>0</v>
      </c>
      <c r="CF26" s="49"/>
      <c r="CG26" s="49"/>
      <c r="CH26" s="50">
        <f t="shared" si="18"/>
        <v>0</v>
      </c>
      <c r="CJ26" s="49"/>
      <c r="CK26" s="49"/>
      <c r="CL26" s="50">
        <f t="shared" si="19"/>
        <v>0</v>
      </c>
      <c r="CN26" s="49"/>
      <c r="CO26" s="49"/>
      <c r="CP26" s="50">
        <f t="shared" si="20"/>
        <v>0</v>
      </c>
      <c r="CR26" s="49"/>
      <c r="CS26" s="49"/>
      <c r="CT26" s="50">
        <f t="shared" si="21"/>
        <v>0</v>
      </c>
      <c r="CV26" s="49"/>
      <c r="CW26" s="49"/>
      <c r="CX26" s="50">
        <f t="shared" si="22"/>
        <v>0</v>
      </c>
      <c r="CZ26" s="49"/>
      <c r="DA26" s="49"/>
      <c r="DB26" s="50">
        <f t="shared" si="23"/>
        <v>0</v>
      </c>
      <c r="DD26" s="49"/>
      <c r="DE26" s="49"/>
      <c r="DF26" s="50">
        <f t="shared" si="24"/>
        <v>0</v>
      </c>
      <c r="DH26" s="49"/>
      <c r="DI26" s="49"/>
      <c r="DJ26" s="50">
        <f t="shared" si="25"/>
        <v>0</v>
      </c>
      <c r="DL26" s="49"/>
      <c r="DM26" s="49"/>
      <c r="DN26" s="50">
        <f t="shared" si="26"/>
        <v>0</v>
      </c>
      <c r="DP26" s="49"/>
      <c r="DQ26" s="49"/>
      <c r="DR26" s="50">
        <f t="shared" si="27"/>
        <v>0</v>
      </c>
      <c r="DT26" s="49"/>
      <c r="DU26" s="49"/>
      <c r="DV26" s="50">
        <f t="shared" si="28"/>
        <v>0</v>
      </c>
      <c r="DX26" s="49"/>
      <c r="DY26" s="49"/>
      <c r="DZ26" s="50">
        <f t="shared" si="29"/>
        <v>0</v>
      </c>
      <c r="EB26" s="49">
        <f t="shared" si="30"/>
        <v>0</v>
      </c>
      <c r="EC26" s="49">
        <f t="shared" si="30"/>
        <v>0</v>
      </c>
      <c r="ED26" s="49">
        <f t="shared" si="30"/>
        <v>0</v>
      </c>
    </row>
    <row r="27" spans="2:134" ht="11" customHeight="1" x14ac:dyDescent="0.35">
      <c r="B27" s="4">
        <v>103020</v>
      </c>
      <c r="C27" s="4" t="s">
        <v>33</v>
      </c>
      <c r="D27" s="4">
        <v>12</v>
      </c>
      <c r="E27" s="5">
        <v>8</v>
      </c>
      <c r="F27" s="6">
        <v>481.09632499999998</v>
      </c>
      <c r="G27" s="7"/>
      <c r="H27" s="49"/>
      <c r="I27" s="49"/>
      <c r="J27" s="50">
        <f t="shared" si="31"/>
        <v>0</v>
      </c>
      <c r="K27" s="9"/>
      <c r="L27" s="49"/>
      <c r="M27" s="49"/>
      <c r="N27" s="50">
        <f t="shared" si="0"/>
        <v>0</v>
      </c>
      <c r="O27" s="46"/>
      <c r="P27" s="49"/>
      <c r="Q27" s="49"/>
      <c r="R27" s="50">
        <f t="shared" si="1"/>
        <v>0</v>
      </c>
      <c r="T27" s="49"/>
      <c r="U27" s="49"/>
      <c r="V27" s="50">
        <f t="shared" si="2"/>
        <v>0</v>
      </c>
      <c r="X27" s="49"/>
      <c r="Y27" s="49"/>
      <c r="Z27" s="50">
        <f t="shared" si="3"/>
        <v>0</v>
      </c>
      <c r="AB27" s="49"/>
      <c r="AC27" s="49"/>
      <c r="AD27" s="50">
        <f t="shared" si="4"/>
        <v>0</v>
      </c>
      <c r="AF27" s="49"/>
      <c r="AG27" s="49"/>
      <c r="AH27" s="50">
        <f t="shared" si="5"/>
        <v>0</v>
      </c>
      <c r="AJ27" s="49"/>
      <c r="AK27" s="49"/>
      <c r="AL27" s="50">
        <f t="shared" si="6"/>
        <v>0</v>
      </c>
      <c r="AN27" s="49"/>
      <c r="AO27" s="49"/>
      <c r="AP27" s="50">
        <f t="shared" si="7"/>
        <v>0</v>
      </c>
      <c r="AR27" s="49"/>
      <c r="AS27" s="49"/>
      <c r="AT27" s="50">
        <f t="shared" si="8"/>
        <v>0</v>
      </c>
      <c r="AV27" s="49"/>
      <c r="AW27" s="49"/>
      <c r="AX27" s="50">
        <f t="shared" si="9"/>
        <v>0</v>
      </c>
      <c r="AZ27" s="49"/>
      <c r="BA27" s="49"/>
      <c r="BB27" s="50">
        <f t="shared" si="10"/>
        <v>0</v>
      </c>
      <c r="BD27" s="49"/>
      <c r="BE27" s="49"/>
      <c r="BF27" s="50">
        <f t="shared" si="11"/>
        <v>0</v>
      </c>
      <c r="BH27" s="49"/>
      <c r="BI27" s="49"/>
      <c r="BJ27" s="50">
        <f t="shared" si="12"/>
        <v>0</v>
      </c>
      <c r="BL27" s="49"/>
      <c r="BM27" s="49"/>
      <c r="BN27" s="50">
        <f t="shared" si="13"/>
        <v>0</v>
      </c>
      <c r="BP27" s="49"/>
      <c r="BQ27" s="49"/>
      <c r="BR27" s="50">
        <f t="shared" si="14"/>
        <v>0</v>
      </c>
      <c r="BT27" s="49"/>
      <c r="BU27" s="49"/>
      <c r="BV27" s="50">
        <f t="shared" si="15"/>
        <v>0</v>
      </c>
      <c r="BX27" s="49"/>
      <c r="BY27" s="49"/>
      <c r="BZ27" s="50">
        <f t="shared" si="16"/>
        <v>0</v>
      </c>
      <c r="CB27" s="49"/>
      <c r="CC27" s="49"/>
      <c r="CD27" s="50">
        <f t="shared" si="17"/>
        <v>0</v>
      </c>
      <c r="CF27" s="49"/>
      <c r="CG27" s="49"/>
      <c r="CH27" s="50">
        <f t="shared" si="18"/>
        <v>0</v>
      </c>
      <c r="CJ27" s="49"/>
      <c r="CK27" s="49"/>
      <c r="CL27" s="50">
        <f t="shared" si="19"/>
        <v>0</v>
      </c>
      <c r="CN27" s="49"/>
      <c r="CO27" s="49"/>
      <c r="CP27" s="50">
        <f t="shared" si="20"/>
        <v>0</v>
      </c>
      <c r="CR27" s="49"/>
      <c r="CS27" s="49"/>
      <c r="CT27" s="50">
        <f t="shared" si="21"/>
        <v>0</v>
      </c>
      <c r="CV27" s="49"/>
      <c r="CW27" s="49"/>
      <c r="CX27" s="50">
        <f t="shared" si="22"/>
        <v>0</v>
      </c>
      <c r="CZ27" s="49"/>
      <c r="DA27" s="49"/>
      <c r="DB27" s="50">
        <f t="shared" si="23"/>
        <v>0</v>
      </c>
      <c r="DD27" s="49"/>
      <c r="DE27" s="49"/>
      <c r="DF27" s="50">
        <f t="shared" si="24"/>
        <v>0</v>
      </c>
      <c r="DH27" s="49"/>
      <c r="DI27" s="49"/>
      <c r="DJ27" s="50">
        <f t="shared" si="25"/>
        <v>0</v>
      </c>
      <c r="DL27" s="49"/>
      <c r="DM27" s="49"/>
      <c r="DN27" s="50">
        <f t="shared" si="26"/>
        <v>0</v>
      </c>
      <c r="DP27" s="49"/>
      <c r="DQ27" s="49"/>
      <c r="DR27" s="50">
        <f t="shared" si="27"/>
        <v>0</v>
      </c>
      <c r="DT27" s="49"/>
      <c r="DU27" s="49"/>
      <c r="DV27" s="50">
        <f t="shared" si="28"/>
        <v>0</v>
      </c>
      <c r="DX27" s="49"/>
      <c r="DY27" s="49"/>
      <c r="DZ27" s="50">
        <f t="shared" si="29"/>
        <v>0</v>
      </c>
      <c r="EB27" s="49">
        <f t="shared" si="30"/>
        <v>0</v>
      </c>
      <c r="EC27" s="49">
        <f t="shared" si="30"/>
        <v>0</v>
      </c>
      <c r="ED27" s="49">
        <f t="shared" si="30"/>
        <v>0</v>
      </c>
    </row>
    <row r="28" spans="2:134" ht="11" customHeight="1" x14ac:dyDescent="0.35">
      <c r="B28" s="4">
        <v>104056</v>
      </c>
      <c r="C28" s="4" t="s">
        <v>34</v>
      </c>
      <c r="D28" s="4">
        <v>50</v>
      </c>
      <c r="E28" s="5">
        <v>18</v>
      </c>
      <c r="F28" s="6">
        <v>200.47282196</v>
      </c>
      <c r="G28" s="7"/>
      <c r="H28" s="49"/>
      <c r="I28" s="49"/>
      <c r="J28" s="50">
        <f t="shared" si="31"/>
        <v>0</v>
      </c>
      <c r="K28" s="9"/>
      <c r="L28" s="49"/>
      <c r="M28" s="49"/>
      <c r="N28" s="50">
        <f t="shared" si="0"/>
        <v>0</v>
      </c>
      <c r="O28" s="46"/>
      <c r="P28" s="49"/>
      <c r="Q28" s="49"/>
      <c r="R28" s="50">
        <f t="shared" si="1"/>
        <v>0</v>
      </c>
      <c r="T28" s="49"/>
      <c r="U28" s="49"/>
      <c r="V28" s="50">
        <f t="shared" si="2"/>
        <v>0</v>
      </c>
      <c r="X28" s="49"/>
      <c r="Y28" s="49"/>
      <c r="Z28" s="50">
        <f t="shared" si="3"/>
        <v>0</v>
      </c>
      <c r="AB28" s="49"/>
      <c r="AC28" s="49"/>
      <c r="AD28" s="50">
        <f t="shared" si="4"/>
        <v>0</v>
      </c>
      <c r="AF28" s="49"/>
      <c r="AG28" s="49"/>
      <c r="AH28" s="50">
        <f t="shared" si="5"/>
        <v>0</v>
      </c>
      <c r="AJ28" s="49"/>
      <c r="AK28" s="49"/>
      <c r="AL28" s="50">
        <f t="shared" si="6"/>
        <v>0</v>
      </c>
      <c r="AN28" s="49"/>
      <c r="AO28" s="49"/>
      <c r="AP28" s="50">
        <f t="shared" si="7"/>
        <v>0</v>
      </c>
      <c r="AR28" s="49"/>
      <c r="AS28" s="49"/>
      <c r="AT28" s="50">
        <f t="shared" si="8"/>
        <v>0</v>
      </c>
      <c r="AV28" s="49"/>
      <c r="AW28" s="49"/>
      <c r="AX28" s="50">
        <f t="shared" si="9"/>
        <v>0</v>
      </c>
      <c r="AZ28" s="49"/>
      <c r="BA28" s="49"/>
      <c r="BB28" s="50">
        <f t="shared" si="10"/>
        <v>0</v>
      </c>
      <c r="BD28" s="49"/>
      <c r="BE28" s="49"/>
      <c r="BF28" s="50">
        <f t="shared" si="11"/>
        <v>0</v>
      </c>
      <c r="BH28" s="49"/>
      <c r="BI28" s="49"/>
      <c r="BJ28" s="50">
        <f t="shared" si="12"/>
        <v>0</v>
      </c>
      <c r="BL28" s="49"/>
      <c r="BM28" s="49"/>
      <c r="BN28" s="50">
        <f t="shared" si="13"/>
        <v>0</v>
      </c>
      <c r="BP28" s="49"/>
      <c r="BQ28" s="49"/>
      <c r="BR28" s="50">
        <f t="shared" si="14"/>
        <v>0</v>
      </c>
      <c r="BT28" s="49"/>
      <c r="BU28" s="49"/>
      <c r="BV28" s="50">
        <f t="shared" si="15"/>
        <v>0</v>
      </c>
      <c r="BX28" s="49"/>
      <c r="BY28" s="49"/>
      <c r="BZ28" s="50">
        <f t="shared" si="16"/>
        <v>0</v>
      </c>
      <c r="CB28" s="49"/>
      <c r="CC28" s="49"/>
      <c r="CD28" s="50">
        <f t="shared" si="17"/>
        <v>0</v>
      </c>
      <c r="CF28" s="49"/>
      <c r="CG28" s="49"/>
      <c r="CH28" s="50">
        <f t="shared" si="18"/>
        <v>0</v>
      </c>
      <c r="CJ28" s="49"/>
      <c r="CK28" s="49"/>
      <c r="CL28" s="50">
        <f t="shared" si="19"/>
        <v>0</v>
      </c>
      <c r="CN28" s="49"/>
      <c r="CO28" s="49"/>
      <c r="CP28" s="50">
        <f t="shared" si="20"/>
        <v>0</v>
      </c>
      <c r="CR28" s="49"/>
      <c r="CS28" s="49"/>
      <c r="CT28" s="50">
        <f t="shared" si="21"/>
        <v>0</v>
      </c>
      <c r="CV28" s="49"/>
      <c r="CW28" s="49"/>
      <c r="CX28" s="50">
        <f t="shared" si="22"/>
        <v>0</v>
      </c>
      <c r="CZ28" s="49"/>
      <c r="DA28" s="49"/>
      <c r="DB28" s="50">
        <f t="shared" si="23"/>
        <v>0</v>
      </c>
      <c r="DD28" s="49"/>
      <c r="DE28" s="49"/>
      <c r="DF28" s="50">
        <f t="shared" si="24"/>
        <v>0</v>
      </c>
      <c r="DH28" s="49"/>
      <c r="DI28" s="49"/>
      <c r="DJ28" s="50">
        <f t="shared" si="25"/>
        <v>0</v>
      </c>
      <c r="DL28" s="49"/>
      <c r="DM28" s="49"/>
      <c r="DN28" s="50">
        <f t="shared" si="26"/>
        <v>0</v>
      </c>
      <c r="DP28" s="49"/>
      <c r="DQ28" s="49"/>
      <c r="DR28" s="50">
        <f t="shared" si="27"/>
        <v>0</v>
      </c>
      <c r="DT28" s="49"/>
      <c r="DU28" s="49"/>
      <c r="DV28" s="50">
        <f t="shared" si="28"/>
        <v>0</v>
      </c>
      <c r="DX28" s="49"/>
      <c r="DY28" s="49"/>
      <c r="DZ28" s="50">
        <f t="shared" si="29"/>
        <v>0</v>
      </c>
      <c r="EB28" s="49">
        <f t="shared" si="30"/>
        <v>0</v>
      </c>
      <c r="EC28" s="49">
        <f t="shared" si="30"/>
        <v>0</v>
      </c>
      <c r="ED28" s="49">
        <f t="shared" si="30"/>
        <v>0</v>
      </c>
    </row>
    <row r="29" spans="2:134" ht="11" customHeight="1" x14ac:dyDescent="0.35">
      <c r="B29" s="4">
        <v>106023</v>
      </c>
      <c r="C29" s="4" t="s">
        <v>35</v>
      </c>
      <c r="D29" s="4">
        <v>24</v>
      </c>
      <c r="E29" s="5">
        <v>18</v>
      </c>
      <c r="F29" s="6">
        <v>192.45406706</v>
      </c>
      <c r="G29" s="7"/>
      <c r="H29" s="49"/>
      <c r="I29" s="49"/>
      <c r="J29" s="50">
        <f t="shared" si="31"/>
        <v>0</v>
      </c>
      <c r="K29" s="9"/>
      <c r="L29" s="49"/>
      <c r="M29" s="49"/>
      <c r="N29" s="50">
        <f t="shared" si="0"/>
        <v>0</v>
      </c>
      <c r="O29" s="46"/>
      <c r="P29" s="49"/>
      <c r="Q29" s="49"/>
      <c r="R29" s="50">
        <f t="shared" si="1"/>
        <v>0</v>
      </c>
      <c r="T29" s="49"/>
      <c r="U29" s="49"/>
      <c r="V29" s="50">
        <f t="shared" si="2"/>
        <v>0</v>
      </c>
      <c r="X29" s="49"/>
      <c r="Y29" s="49"/>
      <c r="Z29" s="50">
        <f t="shared" si="3"/>
        <v>0</v>
      </c>
      <c r="AB29" s="49"/>
      <c r="AC29" s="49"/>
      <c r="AD29" s="50">
        <f t="shared" si="4"/>
        <v>0</v>
      </c>
      <c r="AF29" s="49"/>
      <c r="AG29" s="49"/>
      <c r="AH29" s="50">
        <f t="shared" si="5"/>
        <v>0</v>
      </c>
      <c r="AJ29" s="49"/>
      <c r="AK29" s="49"/>
      <c r="AL29" s="50">
        <f t="shared" si="6"/>
        <v>0</v>
      </c>
      <c r="AN29" s="49"/>
      <c r="AO29" s="49"/>
      <c r="AP29" s="50">
        <f t="shared" si="7"/>
        <v>0</v>
      </c>
      <c r="AR29" s="49"/>
      <c r="AS29" s="49"/>
      <c r="AT29" s="50">
        <f t="shared" si="8"/>
        <v>0</v>
      </c>
      <c r="AV29" s="49"/>
      <c r="AW29" s="49"/>
      <c r="AX29" s="50">
        <f t="shared" si="9"/>
        <v>0</v>
      </c>
      <c r="AZ29" s="49"/>
      <c r="BA29" s="49"/>
      <c r="BB29" s="50">
        <f t="shared" si="10"/>
        <v>0</v>
      </c>
      <c r="BD29" s="49"/>
      <c r="BE29" s="49"/>
      <c r="BF29" s="50">
        <f t="shared" si="11"/>
        <v>0</v>
      </c>
      <c r="BH29" s="49"/>
      <c r="BI29" s="49"/>
      <c r="BJ29" s="50">
        <f t="shared" si="12"/>
        <v>0</v>
      </c>
      <c r="BL29" s="49"/>
      <c r="BM29" s="49"/>
      <c r="BN29" s="50">
        <f t="shared" si="13"/>
        <v>0</v>
      </c>
      <c r="BP29" s="49"/>
      <c r="BQ29" s="49"/>
      <c r="BR29" s="50">
        <f t="shared" si="14"/>
        <v>0</v>
      </c>
      <c r="BT29" s="49"/>
      <c r="BU29" s="49"/>
      <c r="BV29" s="50">
        <f t="shared" si="15"/>
        <v>0</v>
      </c>
      <c r="BX29" s="49"/>
      <c r="BY29" s="49"/>
      <c r="BZ29" s="50">
        <f t="shared" si="16"/>
        <v>0</v>
      </c>
      <c r="CB29" s="49"/>
      <c r="CC29" s="49"/>
      <c r="CD29" s="50">
        <f t="shared" si="17"/>
        <v>0</v>
      </c>
      <c r="CF29" s="49"/>
      <c r="CG29" s="49"/>
      <c r="CH29" s="50">
        <f t="shared" si="18"/>
        <v>0</v>
      </c>
      <c r="CJ29" s="49"/>
      <c r="CK29" s="49"/>
      <c r="CL29" s="50">
        <f t="shared" si="19"/>
        <v>0</v>
      </c>
      <c r="CN29" s="49"/>
      <c r="CO29" s="49"/>
      <c r="CP29" s="50">
        <f t="shared" si="20"/>
        <v>0</v>
      </c>
      <c r="CR29" s="49"/>
      <c r="CS29" s="49"/>
      <c r="CT29" s="50">
        <f t="shared" si="21"/>
        <v>0</v>
      </c>
      <c r="CV29" s="49"/>
      <c r="CW29" s="49"/>
      <c r="CX29" s="50">
        <f t="shared" si="22"/>
        <v>0</v>
      </c>
      <c r="CZ29" s="49"/>
      <c r="DA29" s="49"/>
      <c r="DB29" s="50">
        <f t="shared" si="23"/>
        <v>0</v>
      </c>
      <c r="DD29" s="49"/>
      <c r="DE29" s="49"/>
      <c r="DF29" s="50">
        <f t="shared" si="24"/>
        <v>0</v>
      </c>
      <c r="DH29" s="49"/>
      <c r="DI29" s="49"/>
      <c r="DJ29" s="50">
        <f t="shared" si="25"/>
        <v>0</v>
      </c>
      <c r="DL29" s="49"/>
      <c r="DM29" s="49"/>
      <c r="DN29" s="50">
        <f t="shared" si="26"/>
        <v>0</v>
      </c>
      <c r="DP29" s="49"/>
      <c r="DQ29" s="49"/>
      <c r="DR29" s="50">
        <f t="shared" si="27"/>
        <v>0</v>
      </c>
      <c r="DT29" s="49"/>
      <c r="DU29" s="49"/>
      <c r="DV29" s="50">
        <f t="shared" si="28"/>
        <v>0</v>
      </c>
      <c r="DX29" s="49"/>
      <c r="DY29" s="49"/>
      <c r="DZ29" s="50">
        <f t="shared" si="29"/>
        <v>0</v>
      </c>
      <c r="EB29" s="49">
        <f t="shared" si="30"/>
        <v>0</v>
      </c>
      <c r="EC29" s="49">
        <f t="shared" si="30"/>
        <v>0</v>
      </c>
      <c r="ED29" s="49">
        <f t="shared" si="30"/>
        <v>0</v>
      </c>
    </row>
    <row r="30" spans="2:134" ht="11" customHeight="1" x14ac:dyDescent="0.35">
      <c r="B30" s="4">
        <v>106054</v>
      </c>
      <c r="C30" s="4" t="s">
        <v>36</v>
      </c>
      <c r="D30" s="4">
        <v>1</v>
      </c>
      <c r="E30" s="5">
        <v>12</v>
      </c>
      <c r="F30" s="6">
        <v>400.62864317399999</v>
      </c>
      <c r="G30" s="7"/>
      <c r="H30" s="49"/>
      <c r="I30" s="49"/>
      <c r="J30" s="50">
        <f t="shared" si="31"/>
        <v>0</v>
      </c>
      <c r="K30" s="9"/>
      <c r="L30" s="49"/>
      <c r="M30" s="49"/>
      <c r="N30" s="50">
        <f t="shared" si="0"/>
        <v>0</v>
      </c>
      <c r="O30" s="46"/>
      <c r="P30" s="49"/>
      <c r="Q30" s="49"/>
      <c r="R30" s="50">
        <f t="shared" si="1"/>
        <v>0</v>
      </c>
      <c r="T30" s="49"/>
      <c r="U30" s="49"/>
      <c r="V30" s="50">
        <f t="shared" si="2"/>
        <v>0</v>
      </c>
      <c r="X30" s="49"/>
      <c r="Y30" s="49"/>
      <c r="Z30" s="50">
        <f t="shared" si="3"/>
        <v>0</v>
      </c>
      <c r="AB30" s="49"/>
      <c r="AC30" s="49"/>
      <c r="AD30" s="50">
        <f t="shared" si="4"/>
        <v>0</v>
      </c>
      <c r="AF30" s="49"/>
      <c r="AG30" s="49"/>
      <c r="AH30" s="50">
        <f t="shared" si="5"/>
        <v>0</v>
      </c>
      <c r="AJ30" s="49"/>
      <c r="AK30" s="49"/>
      <c r="AL30" s="50">
        <f t="shared" si="6"/>
        <v>0</v>
      </c>
      <c r="AN30" s="49"/>
      <c r="AO30" s="49"/>
      <c r="AP30" s="50">
        <f t="shared" si="7"/>
        <v>0</v>
      </c>
      <c r="AR30" s="49"/>
      <c r="AS30" s="49"/>
      <c r="AT30" s="50">
        <f t="shared" si="8"/>
        <v>0</v>
      </c>
      <c r="AV30" s="49"/>
      <c r="AW30" s="49"/>
      <c r="AX30" s="50">
        <f t="shared" si="9"/>
        <v>0</v>
      </c>
      <c r="AZ30" s="49"/>
      <c r="BA30" s="49"/>
      <c r="BB30" s="50">
        <f t="shared" si="10"/>
        <v>0</v>
      </c>
      <c r="BD30" s="49"/>
      <c r="BE30" s="49"/>
      <c r="BF30" s="50">
        <f t="shared" si="11"/>
        <v>0</v>
      </c>
      <c r="BH30" s="49"/>
      <c r="BI30" s="49"/>
      <c r="BJ30" s="50">
        <f t="shared" si="12"/>
        <v>0</v>
      </c>
      <c r="BL30" s="49"/>
      <c r="BM30" s="49"/>
      <c r="BN30" s="50">
        <f t="shared" si="13"/>
        <v>0</v>
      </c>
      <c r="BP30" s="49"/>
      <c r="BQ30" s="49"/>
      <c r="BR30" s="50">
        <f t="shared" si="14"/>
        <v>0</v>
      </c>
      <c r="BT30" s="49"/>
      <c r="BU30" s="49"/>
      <c r="BV30" s="50">
        <f t="shared" si="15"/>
        <v>0</v>
      </c>
      <c r="BX30" s="49"/>
      <c r="BY30" s="49"/>
      <c r="BZ30" s="50">
        <f t="shared" si="16"/>
        <v>0</v>
      </c>
      <c r="CB30" s="49"/>
      <c r="CC30" s="49"/>
      <c r="CD30" s="50">
        <f t="shared" si="17"/>
        <v>0</v>
      </c>
      <c r="CF30" s="49"/>
      <c r="CG30" s="49"/>
      <c r="CH30" s="50">
        <f t="shared" si="18"/>
        <v>0</v>
      </c>
      <c r="CJ30" s="49"/>
      <c r="CK30" s="49"/>
      <c r="CL30" s="50">
        <f t="shared" si="19"/>
        <v>0</v>
      </c>
      <c r="CN30" s="49"/>
      <c r="CO30" s="49"/>
      <c r="CP30" s="50">
        <f t="shared" si="20"/>
        <v>0</v>
      </c>
      <c r="CR30" s="49"/>
      <c r="CS30" s="49"/>
      <c r="CT30" s="50">
        <f t="shared" si="21"/>
        <v>0</v>
      </c>
      <c r="CV30" s="49"/>
      <c r="CW30" s="49"/>
      <c r="CX30" s="50">
        <f t="shared" si="22"/>
        <v>0</v>
      </c>
      <c r="CZ30" s="49"/>
      <c r="DA30" s="49"/>
      <c r="DB30" s="50">
        <f t="shared" si="23"/>
        <v>0</v>
      </c>
      <c r="DD30" s="49"/>
      <c r="DE30" s="49"/>
      <c r="DF30" s="50">
        <f t="shared" si="24"/>
        <v>0</v>
      </c>
      <c r="DH30" s="49"/>
      <c r="DI30" s="49"/>
      <c r="DJ30" s="50">
        <f t="shared" si="25"/>
        <v>0</v>
      </c>
      <c r="DL30" s="49"/>
      <c r="DM30" s="49"/>
      <c r="DN30" s="50">
        <f t="shared" si="26"/>
        <v>0</v>
      </c>
      <c r="DP30" s="49"/>
      <c r="DQ30" s="49"/>
      <c r="DR30" s="50">
        <f t="shared" si="27"/>
        <v>0</v>
      </c>
      <c r="DT30" s="49"/>
      <c r="DU30" s="49"/>
      <c r="DV30" s="50">
        <f t="shared" si="28"/>
        <v>0</v>
      </c>
      <c r="DX30" s="49"/>
      <c r="DY30" s="49"/>
      <c r="DZ30" s="50">
        <f t="shared" si="29"/>
        <v>0</v>
      </c>
      <c r="EB30" s="49">
        <f t="shared" si="30"/>
        <v>0</v>
      </c>
      <c r="EC30" s="49">
        <f t="shared" si="30"/>
        <v>0</v>
      </c>
      <c r="ED30" s="49">
        <f t="shared" si="30"/>
        <v>0</v>
      </c>
    </row>
    <row r="31" spans="2:134" ht="11" customHeight="1" x14ac:dyDescent="0.35">
      <c r="B31" s="4">
        <v>106057</v>
      </c>
      <c r="C31" s="4" t="s">
        <v>37</v>
      </c>
      <c r="D31" s="4">
        <v>70</v>
      </c>
      <c r="E31" s="5">
        <v>18</v>
      </c>
      <c r="F31" s="6">
        <v>280.44265340800001</v>
      </c>
      <c r="G31" s="7"/>
      <c r="H31" s="49"/>
      <c r="I31" s="49"/>
      <c r="J31" s="50">
        <f t="shared" si="31"/>
        <v>0</v>
      </c>
      <c r="K31" s="9"/>
      <c r="L31" s="49"/>
      <c r="M31" s="49"/>
      <c r="N31" s="50">
        <f t="shared" si="0"/>
        <v>0</v>
      </c>
      <c r="O31" s="46"/>
      <c r="P31" s="49"/>
      <c r="Q31" s="49"/>
      <c r="R31" s="50">
        <f t="shared" si="1"/>
        <v>0</v>
      </c>
      <c r="T31" s="49"/>
      <c r="U31" s="49"/>
      <c r="V31" s="50">
        <f t="shared" si="2"/>
        <v>0</v>
      </c>
      <c r="X31" s="49"/>
      <c r="Y31" s="49"/>
      <c r="Z31" s="50">
        <f t="shared" si="3"/>
        <v>0</v>
      </c>
      <c r="AB31" s="49"/>
      <c r="AC31" s="49"/>
      <c r="AD31" s="50">
        <f t="shared" si="4"/>
        <v>0</v>
      </c>
      <c r="AF31" s="49"/>
      <c r="AG31" s="49"/>
      <c r="AH31" s="50">
        <f t="shared" si="5"/>
        <v>0</v>
      </c>
      <c r="AJ31" s="49"/>
      <c r="AK31" s="49"/>
      <c r="AL31" s="50">
        <f t="shared" si="6"/>
        <v>0</v>
      </c>
      <c r="AN31" s="49"/>
      <c r="AO31" s="49"/>
      <c r="AP31" s="50">
        <f t="shared" si="7"/>
        <v>0</v>
      </c>
      <c r="AR31" s="49"/>
      <c r="AS31" s="49"/>
      <c r="AT31" s="50">
        <f t="shared" si="8"/>
        <v>0</v>
      </c>
      <c r="AV31" s="49"/>
      <c r="AW31" s="49"/>
      <c r="AX31" s="50">
        <f t="shared" si="9"/>
        <v>0</v>
      </c>
      <c r="AZ31" s="49"/>
      <c r="BA31" s="49"/>
      <c r="BB31" s="50">
        <f t="shared" si="10"/>
        <v>0</v>
      </c>
      <c r="BD31" s="49"/>
      <c r="BE31" s="49"/>
      <c r="BF31" s="50">
        <f t="shared" si="11"/>
        <v>0</v>
      </c>
      <c r="BH31" s="49"/>
      <c r="BI31" s="49"/>
      <c r="BJ31" s="50">
        <f t="shared" si="12"/>
        <v>0</v>
      </c>
      <c r="BL31" s="49"/>
      <c r="BM31" s="49"/>
      <c r="BN31" s="50">
        <f t="shared" si="13"/>
        <v>0</v>
      </c>
      <c r="BP31" s="49"/>
      <c r="BQ31" s="49"/>
      <c r="BR31" s="50">
        <f t="shared" si="14"/>
        <v>0</v>
      </c>
      <c r="BT31" s="49"/>
      <c r="BU31" s="49"/>
      <c r="BV31" s="50">
        <f t="shared" si="15"/>
        <v>0</v>
      </c>
      <c r="BX31" s="49"/>
      <c r="BY31" s="49"/>
      <c r="BZ31" s="50">
        <f t="shared" si="16"/>
        <v>0</v>
      </c>
      <c r="CB31" s="49"/>
      <c r="CC31" s="49"/>
      <c r="CD31" s="50">
        <f t="shared" si="17"/>
        <v>0</v>
      </c>
      <c r="CF31" s="49"/>
      <c r="CG31" s="49"/>
      <c r="CH31" s="50">
        <f t="shared" si="18"/>
        <v>0</v>
      </c>
      <c r="CJ31" s="49"/>
      <c r="CK31" s="49"/>
      <c r="CL31" s="50">
        <f t="shared" si="19"/>
        <v>0</v>
      </c>
      <c r="CN31" s="49"/>
      <c r="CO31" s="49"/>
      <c r="CP31" s="50">
        <f t="shared" si="20"/>
        <v>0</v>
      </c>
      <c r="CR31" s="49"/>
      <c r="CS31" s="49"/>
      <c r="CT31" s="50">
        <f t="shared" si="21"/>
        <v>0</v>
      </c>
      <c r="CV31" s="49"/>
      <c r="CW31" s="49"/>
      <c r="CX31" s="50">
        <f t="shared" si="22"/>
        <v>0</v>
      </c>
      <c r="CZ31" s="49"/>
      <c r="DA31" s="49"/>
      <c r="DB31" s="50">
        <f t="shared" si="23"/>
        <v>0</v>
      </c>
      <c r="DD31" s="49"/>
      <c r="DE31" s="49"/>
      <c r="DF31" s="50">
        <f t="shared" si="24"/>
        <v>0</v>
      </c>
      <c r="DH31" s="49"/>
      <c r="DI31" s="49"/>
      <c r="DJ31" s="50">
        <f t="shared" si="25"/>
        <v>0</v>
      </c>
      <c r="DL31" s="49"/>
      <c r="DM31" s="49"/>
      <c r="DN31" s="50">
        <f t="shared" si="26"/>
        <v>0</v>
      </c>
      <c r="DP31" s="49"/>
      <c r="DQ31" s="49"/>
      <c r="DR31" s="50">
        <f t="shared" si="27"/>
        <v>0</v>
      </c>
      <c r="DT31" s="49"/>
      <c r="DU31" s="49"/>
      <c r="DV31" s="50">
        <f t="shared" si="28"/>
        <v>0</v>
      </c>
      <c r="DX31" s="49"/>
      <c r="DY31" s="49"/>
      <c r="DZ31" s="50">
        <f t="shared" si="29"/>
        <v>0</v>
      </c>
      <c r="EB31" s="49">
        <f t="shared" si="30"/>
        <v>0</v>
      </c>
      <c r="EC31" s="49">
        <f t="shared" si="30"/>
        <v>0</v>
      </c>
      <c r="ED31" s="49">
        <f t="shared" si="30"/>
        <v>0</v>
      </c>
    </row>
    <row r="32" spans="2:134" ht="11" customHeight="1" x14ac:dyDescent="0.35">
      <c r="B32" s="4">
        <v>106221</v>
      </c>
      <c r="C32" s="4" t="s">
        <v>38</v>
      </c>
      <c r="D32" s="4">
        <v>24</v>
      </c>
      <c r="E32" s="5">
        <v>18</v>
      </c>
      <c r="F32" s="6">
        <v>192.45406706</v>
      </c>
      <c r="G32" s="7"/>
      <c r="H32" s="49"/>
      <c r="I32" s="49"/>
      <c r="J32" s="50">
        <f t="shared" si="31"/>
        <v>0</v>
      </c>
      <c r="K32" s="9"/>
      <c r="L32" s="49"/>
      <c r="M32" s="49"/>
      <c r="N32" s="50">
        <f t="shared" si="0"/>
        <v>0</v>
      </c>
      <c r="O32" s="46"/>
      <c r="P32" s="49"/>
      <c r="Q32" s="49"/>
      <c r="R32" s="50">
        <f t="shared" si="1"/>
        <v>0</v>
      </c>
      <c r="T32" s="49"/>
      <c r="U32" s="49"/>
      <c r="V32" s="50">
        <f t="shared" si="2"/>
        <v>0</v>
      </c>
      <c r="X32" s="49"/>
      <c r="Y32" s="49"/>
      <c r="Z32" s="50">
        <f t="shared" si="3"/>
        <v>0</v>
      </c>
      <c r="AB32" s="49"/>
      <c r="AC32" s="49"/>
      <c r="AD32" s="50">
        <f t="shared" si="4"/>
        <v>0</v>
      </c>
      <c r="AF32" s="49"/>
      <c r="AG32" s="49"/>
      <c r="AH32" s="50">
        <f t="shared" si="5"/>
        <v>0</v>
      </c>
      <c r="AJ32" s="49"/>
      <c r="AK32" s="49"/>
      <c r="AL32" s="50">
        <f t="shared" si="6"/>
        <v>0</v>
      </c>
      <c r="AN32" s="49"/>
      <c r="AO32" s="49"/>
      <c r="AP32" s="50">
        <f t="shared" si="7"/>
        <v>0</v>
      </c>
      <c r="AR32" s="49"/>
      <c r="AS32" s="49"/>
      <c r="AT32" s="50">
        <f t="shared" si="8"/>
        <v>0</v>
      </c>
      <c r="AV32" s="49"/>
      <c r="AW32" s="49"/>
      <c r="AX32" s="50">
        <f t="shared" si="9"/>
        <v>0</v>
      </c>
      <c r="AZ32" s="49"/>
      <c r="BA32" s="49"/>
      <c r="BB32" s="50">
        <f t="shared" si="10"/>
        <v>0</v>
      </c>
      <c r="BD32" s="49"/>
      <c r="BE32" s="49"/>
      <c r="BF32" s="50">
        <f t="shared" si="11"/>
        <v>0</v>
      </c>
      <c r="BH32" s="49"/>
      <c r="BI32" s="49"/>
      <c r="BJ32" s="50">
        <f t="shared" si="12"/>
        <v>0</v>
      </c>
      <c r="BL32" s="49"/>
      <c r="BM32" s="49"/>
      <c r="BN32" s="50">
        <f t="shared" si="13"/>
        <v>0</v>
      </c>
      <c r="BP32" s="49"/>
      <c r="BQ32" s="49"/>
      <c r="BR32" s="50">
        <f t="shared" si="14"/>
        <v>0</v>
      </c>
      <c r="BT32" s="49"/>
      <c r="BU32" s="49"/>
      <c r="BV32" s="50">
        <f t="shared" si="15"/>
        <v>0</v>
      </c>
      <c r="BX32" s="49"/>
      <c r="BY32" s="49"/>
      <c r="BZ32" s="50">
        <f t="shared" si="16"/>
        <v>0</v>
      </c>
      <c r="CB32" s="49"/>
      <c r="CC32" s="49"/>
      <c r="CD32" s="50">
        <f t="shared" si="17"/>
        <v>0</v>
      </c>
      <c r="CF32" s="49"/>
      <c r="CG32" s="49"/>
      <c r="CH32" s="50">
        <f t="shared" si="18"/>
        <v>0</v>
      </c>
      <c r="CJ32" s="49"/>
      <c r="CK32" s="49"/>
      <c r="CL32" s="50">
        <f t="shared" si="19"/>
        <v>0</v>
      </c>
      <c r="CN32" s="49"/>
      <c r="CO32" s="49"/>
      <c r="CP32" s="50">
        <f t="shared" si="20"/>
        <v>0</v>
      </c>
      <c r="CR32" s="49"/>
      <c r="CS32" s="49"/>
      <c r="CT32" s="50">
        <f t="shared" si="21"/>
        <v>0</v>
      </c>
      <c r="CV32" s="49"/>
      <c r="CW32" s="49"/>
      <c r="CX32" s="50">
        <f t="shared" si="22"/>
        <v>0</v>
      </c>
      <c r="CZ32" s="49"/>
      <c r="DA32" s="49"/>
      <c r="DB32" s="50">
        <f t="shared" si="23"/>
        <v>0</v>
      </c>
      <c r="DD32" s="49"/>
      <c r="DE32" s="49"/>
      <c r="DF32" s="50">
        <f t="shared" si="24"/>
        <v>0</v>
      </c>
      <c r="DH32" s="49"/>
      <c r="DI32" s="49"/>
      <c r="DJ32" s="50">
        <f t="shared" si="25"/>
        <v>0</v>
      </c>
      <c r="DL32" s="49"/>
      <c r="DM32" s="49"/>
      <c r="DN32" s="50">
        <f t="shared" si="26"/>
        <v>0</v>
      </c>
      <c r="DP32" s="49"/>
      <c r="DQ32" s="49"/>
      <c r="DR32" s="50">
        <f t="shared" si="27"/>
        <v>0</v>
      </c>
      <c r="DT32" s="49"/>
      <c r="DU32" s="49"/>
      <c r="DV32" s="50">
        <f t="shared" si="28"/>
        <v>0</v>
      </c>
      <c r="DX32" s="49"/>
      <c r="DY32" s="49"/>
      <c r="DZ32" s="50">
        <f t="shared" si="29"/>
        <v>0</v>
      </c>
      <c r="EB32" s="49">
        <f t="shared" si="30"/>
        <v>0</v>
      </c>
      <c r="EC32" s="49">
        <f t="shared" si="30"/>
        <v>0</v>
      </c>
      <c r="ED32" s="49">
        <f t="shared" si="30"/>
        <v>0</v>
      </c>
    </row>
    <row r="33" spans="2:134" ht="11" customHeight="1" x14ac:dyDescent="0.35">
      <c r="B33" s="4">
        <v>106318</v>
      </c>
      <c r="C33" s="4" t="s">
        <v>39</v>
      </c>
      <c r="D33" s="4">
        <v>24</v>
      </c>
      <c r="E33" s="5">
        <v>18</v>
      </c>
      <c r="F33" s="6">
        <v>192.45406706</v>
      </c>
      <c r="G33" s="7"/>
      <c r="H33" s="49"/>
      <c r="I33" s="49"/>
      <c r="J33" s="50">
        <f t="shared" si="31"/>
        <v>0</v>
      </c>
      <c r="K33" s="9"/>
      <c r="L33" s="49"/>
      <c r="M33" s="49"/>
      <c r="N33" s="50">
        <f t="shared" si="0"/>
        <v>0</v>
      </c>
      <c r="O33" s="46"/>
      <c r="P33" s="49"/>
      <c r="Q33" s="49"/>
      <c r="R33" s="50">
        <f t="shared" si="1"/>
        <v>0</v>
      </c>
      <c r="T33" s="49"/>
      <c r="U33" s="49"/>
      <c r="V33" s="50">
        <f t="shared" si="2"/>
        <v>0</v>
      </c>
      <c r="X33" s="49"/>
      <c r="Y33" s="49"/>
      <c r="Z33" s="50">
        <f t="shared" si="3"/>
        <v>0</v>
      </c>
      <c r="AB33" s="49"/>
      <c r="AC33" s="49"/>
      <c r="AD33" s="50">
        <f t="shared" si="4"/>
        <v>0</v>
      </c>
      <c r="AF33" s="49"/>
      <c r="AG33" s="49"/>
      <c r="AH33" s="50">
        <f t="shared" si="5"/>
        <v>0</v>
      </c>
      <c r="AJ33" s="49"/>
      <c r="AK33" s="49"/>
      <c r="AL33" s="50">
        <f t="shared" si="6"/>
        <v>0</v>
      </c>
      <c r="AN33" s="49"/>
      <c r="AO33" s="49"/>
      <c r="AP33" s="50">
        <f t="shared" si="7"/>
        <v>0</v>
      </c>
      <c r="AR33" s="49"/>
      <c r="AS33" s="49"/>
      <c r="AT33" s="50">
        <f t="shared" si="8"/>
        <v>0</v>
      </c>
      <c r="AV33" s="49"/>
      <c r="AW33" s="49"/>
      <c r="AX33" s="50">
        <f t="shared" si="9"/>
        <v>0</v>
      </c>
      <c r="AZ33" s="49"/>
      <c r="BA33" s="49"/>
      <c r="BB33" s="50">
        <f t="shared" si="10"/>
        <v>0</v>
      </c>
      <c r="BD33" s="49"/>
      <c r="BE33" s="49"/>
      <c r="BF33" s="50">
        <f t="shared" si="11"/>
        <v>0</v>
      </c>
      <c r="BH33" s="49"/>
      <c r="BI33" s="49"/>
      <c r="BJ33" s="50">
        <f t="shared" si="12"/>
        <v>0</v>
      </c>
      <c r="BL33" s="49"/>
      <c r="BM33" s="49"/>
      <c r="BN33" s="50">
        <f t="shared" si="13"/>
        <v>0</v>
      </c>
      <c r="BP33" s="49"/>
      <c r="BQ33" s="49"/>
      <c r="BR33" s="50">
        <f t="shared" si="14"/>
        <v>0</v>
      </c>
      <c r="BT33" s="49"/>
      <c r="BU33" s="49"/>
      <c r="BV33" s="50">
        <f t="shared" si="15"/>
        <v>0</v>
      </c>
      <c r="BX33" s="49"/>
      <c r="BY33" s="49"/>
      <c r="BZ33" s="50">
        <f t="shared" si="16"/>
        <v>0</v>
      </c>
      <c r="CB33" s="49"/>
      <c r="CC33" s="49"/>
      <c r="CD33" s="50">
        <f t="shared" si="17"/>
        <v>0</v>
      </c>
      <c r="CF33" s="49"/>
      <c r="CG33" s="49"/>
      <c r="CH33" s="50">
        <f t="shared" si="18"/>
        <v>0</v>
      </c>
      <c r="CJ33" s="49"/>
      <c r="CK33" s="49"/>
      <c r="CL33" s="50">
        <f t="shared" si="19"/>
        <v>0</v>
      </c>
      <c r="CN33" s="49"/>
      <c r="CO33" s="49"/>
      <c r="CP33" s="50">
        <f t="shared" si="20"/>
        <v>0</v>
      </c>
      <c r="CR33" s="49"/>
      <c r="CS33" s="49"/>
      <c r="CT33" s="50">
        <f t="shared" si="21"/>
        <v>0</v>
      </c>
      <c r="CV33" s="49"/>
      <c r="CW33" s="49"/>
      <c r="CX33" s="50">
        <f t="shared" si="22"/>
        <v>0</v>
      </c>
      <c r="CZ33" s="49"/>
      <c r="DA33" s="49"/>
      <c r="DB33" s="50">
        <f t="shared" si="23"/>
        <v>0</v>
      </c>
      <c r="DD33" s="49"/>
      <c r="DE33" s="49"/>
      <c r="DF33" s="50">
        <f t="shared" si="24"/>
        <v>0</v>
      </c>
      <c r="DH33" s="49"/>
      <c r="DI33" s="49"/>
      <c r="DJ33" s="50">
        <f t="shared" si="25"/>
        <v>0</v>
      </c>
      <c r="DL33" s="49"/>
      <c r="DM33" s="49"/>
      <c r="DN33" s="50">
        <f t="shared" si="26"/>
        <v>0</v>
      </c>
      <c r="DP33" s="49"/>
      <c r="DQ33" s="49"/>
      <c r="DR33" s="50">
        <f t="shared" si="27"/>
        <v>0</v>
      </c>
      <c r="DT33" s="49"/>
      <c r="DU33" s="49"/>
      <c r="DV33" s="50">
        <f t="shared" si="28"/>
        <v>0</v>
      </c>
      <c r="DX33" s="49"/>
      <c r="DY33" s="49"/>
      <c r="DZ33" s="50">
        <f t="shared" si="29"/>
        <v>0</v>
      </c>
      <c r="EB33" s="49">
        <f t="shared" si="30"/>
        <v>0</v>
      </c>
      <c r="EC33" s="49">
        <f t="shared" si="30"/>
        <v>0</v>
      </c>
      <c r="ED33" s="49">
        <f t="shared" si="30"/>
        <v>0</v>
      </c>
    </row>
    <row r="34" spans="2:134" ht="11" customHeight="1" x14ac:dyDescent="0.35">
      <c r="B34" s="4">
        <v>106506</v>
      </c>
      <c r="C34" s="4" t="s">
        <v>40</v>
      </c>
      <c r="D34" s="4">
        <v>24</v>
      </c>
      <c r="E34" s="5">
        <v>24</v>
      </c>
      <c r="F34" s="6">
        <v>189.29879107400001</v>
      </c>
      <c r="G34" s="7"/>
      <c r="H34" s="49"/>
      <c r="I34" s="49"/>
      <c r="J34" s="50">
        <f t="shared" si="31"/>
        <v>0</v>
      </c>
      <c r="K34" s="9"/>
      <c r="L34" s="49"/>
      <c r="M34" s="49"/>
      <c r="N34" s="50">
        <f t="shared" si="0"/>
        <v>0</v>
      </c>
      <c r="O34" s="46"/>
      <c r="P34" s="49"/>
      <c r="Q34" s="49"/>
      <c r="R34" s="50">
        <f t="shared" si="1"/>
        <v>0</v>
      </c>
      <c r="T34" s="49"/>
      <c r="U34" s="49"/>
      <c r="V34" s="50">
        <f t="shared" si="2"/>
        <v>0</v>
      </c>
      <c r="X34" s="49"/>
      <c r="Y34" s="49"/>
      <c r="Z34" s="50">
        <f t="shared" si="3"/>
        <v>0</v>
      </c>
      <c r="AB34" s="49"/>
      <c r="AC34" s="49"/>
      <c r="AD34" s="50">
        <f t="shared" si="4"/>
        <v>0</v>
      </c>
      <c r="AF34" s="49"/>
      <c r="AG34" s="49"/>
      <c r="AH34" s="50">
        <f t="shared" si="5"/>
        <v>0</v>
      </c>
      <c r="AJ34" s="49"/>
      <c r="AK34" s="49"/>
      <c r="AL34" s="50">
        <f t="shared" si="6"/>
        <v>0</v>
      </c>
      <c r="AN34" s="49"/>
      <c r="AO34" s="49"/>
      <c r="AP34" s="50">
        <f t="shared" si="7"/>
        <v>0</v>
      </c>
      <c r="AR34" s="49"/>
      <c r="AS34" s="49"/>
      <c r="AT34" s="50">
        <f t="shared" si="8"/>
        <v>0</v>
      </c>
      <c r="AV34" s="49"/>
      <c r="AW34" s="49"/>
      <c r="AX34" s="50">
        <f t="shared" si="9"/>
        <v>0</v>
      </c>
      <c r="AZ34" s="49"/>
      <c r="BA34" s="49"/>
      <c r="BB34" s="50">
        <f t="shared" si="10"/>
        <v>0</v>
      </c>
      <c r="BD34" s="49"/>
      <c r="BE34" s="49"/>
      <c r="BF34" s="50">
        <f t="shared" si="11"/>
        <v>0</v>
      </c>
      <c r="BH34" s="49"/>
      <c r="BI34" s="49"/>
      <c r="BJ34" s="50">
        <f t="shared" si="12"/>
        <v>0</v>
      </c>
      <c r="BL34" s="49"/>
      <c r="BM34" s="49"/>
      <c r="BN34" s="50">
        <f t="shared" si="13"/>
        <v>0</v>
      </c>
      <c r="BP34" s="49"/>
      <c r="BQ34" s="49"/>
      <c r="BR34" s="50">
        <f t="shared" si="14"/>
        <v>0</v>
      </c>
      <c r="BT34" s="49"/>
      <c r="BU34" s="49"/>
      <c r="BV34" s="50">
        <f t="shared" si="15"/>
        <v>0</v>
      </c>
      <c r="BX34" s="49"/>
      <c r="BY34" s="49"/>
      <c r="BZ34" s="50">
        <f t="shared" si="16"/>
        <v>0</v>
      </c>
      <c r="CB34" s="49"/>
      <c r="CC34" s="49"/>
      <c r="CD34" s="50">
        <f t="shared" si="17"/>
        <v>0</v>
      </c>
      <c r="CF34" s="49"/>
      <c r="CG34" s="49"/>
      <c r="CH34" s="50">
        <f t="shared" si="18"/>
        <v>0</v>
      </c>
      <c r="CJ34" s="49"/>
      <c r="CK34" s="49"/>
      <c r="CL34" s="50">
        <f t="shared" si="19"/>
        <v>0</v>
      </c>
      <c r="CN34" s="49"/>
      <c r="CO34" s="49"/>
      <c r="CP34" s="50">
        <f t="shared" si="20"/>
        <v>0</v>
      </c>
      <c r="CR34" s="49"/>
      <c r="CS34" s="49"/>
      <c r="CT34" s="50">
        <f t="shared" si="21"/>
        <v>0</v>
      </c>
      <c r="CV34" s="49"/>
      <c r="CW34" s="49"/>
      <c r="CX34" s="50">
        <f t="shared" si="22"/>
        <v>0</v>
      </c>
      <c r="CZ34" s="49"/>
      <c r="DA34" s="49"/>
      <c r="DB34" s="50">
        <f t="shared" si="23"/>
        <v>0</v>
      </c>
      <c r="DD34" s="49"/>
      <c r="DE34" s="49"/>
      <c r="DF34" s="50">
        <f t="shared" si="24"/>
        <v>0</v>
      </c>
      <c r="DH34" s="49"/>
      <c r="DI34" s="49"/>
      <c r="DJ34" s="50">
        <f t="shared" si="25"/>
        <v>0</v>
      </c>
      <c r="DL34" s="49"/>
      <c r="DM34" s="49"/>
      <c r="DN34" s="50">
        <f t="shared" si="26"/>
        <v>0</v>
      </c>
      <c r="DP34" s="49"/>
      <c r="DQ34" s="49"/>
      <c r="DR34" s="50">
        <f t="shared" si="27"/>
        <v>0</v>
      </c>
      <c r="DT34" s="49"/>
      <c r="DU34" s="49"/>
      <c r="DV34" s="50">
        <f t="shared" si="28"/>
        <v>0</v>
      </c>
      <c r="DX34" s="49"/>
      <c r="DY34" s="49"/>
      <c r="DZ34" s="50">
        <f t="shared" si="29"/>
        <v>0</v>
      </c>
      <c r="EB34" s="49">
        <f t="shared" si="30"/>
        <v>0</v>
      </c>
      <c r="EC34" s="49">
        <f t="shared" si="30"/>
        <v>0</v>
      </c>
      <c r="ED34" s="49">
        <f t="shared" si="30"/>
        <v>0</v>
      </c>
    </row>
    <row r="35" spans="2:134" ht="11" customHeight="1" x14ac:dyDescent="0.35">
      <c r="B35" s="4">
        <v>106507</v>
      </c>
      <c r="C35" s="4" t="s">
        <v>41</v>
      </c>
      <c r="D35" s="4">
        <v>18</v>
      </c>
      <c r="E35" s="5">
        <v>18</v>
      </c>
      <c r="F35" s="6">
        <v>288.68044392000002</v>
      </c>
      <c r="G35" s="7"/>
      <c r="H35" s="49"/>
      <c r="I35" s="49"/>
      <c r="J35" s="50">
        <f t="shared" si="31"/>
        <v>0</v>
      </c>
      <c r="K35" s="9"/>
      <c r="L35" s="49"/>
      <c r="M35" s="49"/>
      <c r="N35" s="50">
        <f t="shared" si="0"/>
        <v>0</v>
      </c>
      <c r="O35" s="46"/>
      <c r="P35" s="49"/>
      <c r="Q35" s="49"/>
      <c r="R35" s="50">
        <f t="shared" si="1"/>
        <v>0</v>
      </c>
      <c r="T35" s="49"/>
      <c r="U35" s="49"/>
      <c r="V35" s="50">
        <f t="shared" si="2"/>
        <v>0</v>
      </c>
      <c r="X35" s="49"/>
      <c r="Y35" s="49"/>
      <c r="Z35" s="50">
        <f t="shared" si="3"/>
        <v>0</v>
      </c>
      <c r="AB35" s="49"/>
      <c r="AC35" s="49"/>
      <c r="AD35" s="50">
        <f t="shared" si="4"/>
        <v>0</v>
      </c>
      <c r="AF35" s="49"/>
      <c r="AG35" s="49"/>
      <c r="AH35" s="50">
        <f t="shared" si="5"/>
        <v>0</v>
      </c>
      <c r="AJ35" s="49"/>
      <c r="AK35" s="49"/>
      <c r="AL35" s="50">
        <f t="shared" si="6"/>
        <v>0</v>
      </c>
      <c r="AN35" s="49"/>
      <c r="AO35" s="49"/>
      <c r="AP35" s="50">
        <f t="shared" si="7"/>
        <v>0</v>
      </c>
      <c r="AR35" s="49"/>
      <c r="AS35" s="49"/>
      <c r="AT35" s="50">
        <f t="shared" si="8"/>
        <v>0</v>
      </c>
      <c r="AV35" s="49"/>
      <c r="AW35" s="49"/>
      <c r="AX35" s="50">
        <f t="shared" si="9"/>
        <v>0</v>
      </c>
      <c r="AZ35" s="49"/>
      <c r="BA35" s="49"/>
      <c r="BB35" s="50">
        <f t="shared" si="10"/>
        <v>0</v>
      </c>
      <c r="BD35" s="49"/>
      <c r="BE35" s="49"/>
      <c r="BF35" s="50">
        <f t="shared" si="11"/>
        <v>0</v>
      </c>
      <c r="BH35" s="49"/>
      <c r="BI35" s="49"/>
      <c r="BJ35" s="50">
        <f t="shared" si="12"/>
        <v>0</v>
      </c>
      <c r="BL35" s="49"/>
      <c r="BM35" s="49"/>
      <c r="BN35" s="50">
        <f t="shared" si="13"/>
        <v>0</v>
      </c>
      <c r="BP35" s="49"/>
      <c r="BQ35" s="49"/>
      <c r="BR35" s="50">
        <f t="shared" si="14"/>
        <v>0</v>
      </c>
      <c r="BT35" s="49"/>
      <c r="BU35" s="49"/>
      <c r="BV35" s="50">
        <f t="shared" si="15"/>
        <v>0</v>
      </c>
      <c r="BX35" s="49"/>
      <c r="BY35" s="49"/>
      <c r="BZ35" s="50">
        <f t="shared" si="16"/>
        <v>0</v>
      </c>
      <c r="CB35" s="49"/>
      <c r="CC35" s="49"/>
      <c r="CD35" s="50">
        <f t="shared" si="17"/>
        <v>0</v>
      </c>
      <c r="CF35" s="49"/>
      <c r="CG35" s="49"/>
      <c r="CH35" s="50">
        <f t="shared" si="18"/>
        <v>0</v>
      </c>
      <c r="CJ35" s="49"/>
      <c r="CK35" s="49"/>
      <c r="CL35" s="50">
        <f t="shared" si="19"/>
        <v>0</v>
      </c>
      <c r="CN35" s="49"/>
      <c r="CO35" s="49"/>
      <c r="CP35" s="50">
        <f t="shared" si="20"/>
        <v>0</v>
      </c>
      <c r="CR35" s="49"/>
      <c r="CS35" s="49"/>
      <c r="CT35" s="50">
        <f t="shared" si="21"/>
        <v>0</v>
      </c>
      <c r="CV35" s="49"/>
      <c r="CW35" s="49"/>
      <c r="CX35" s="50">
        <f t="shared" si="22"/>
        <v>0</v>
      </c>
      <c r="CZ35" s="49"/>
      <c r="DA35" s="49"/>
      <c r="DB35" s="50">
        <f t="shared" si="23"/>
        <v>0</v>
      </c>
      <c r="DD35" s="49"/>
      <c r="DE35" s="49"/>
      <c r="DF35" s="50">
        <f t="shared" si="24"/>
        <v>0</v>
      </c>
      <c r="DH35" s="49"/>
      <c r="DI35" s="49"/>
      <c r="DJ35" s="50">
        <f t="shared" si="25"/>
        <v>0</v>
      </c>
      <c r="DL35" s="49"/>
      <c r="DM35" s="49"/>
      <c r="DN35" s="50">
        <f t="shared" si="26"/>
        <v>0</v>
      </c>
      <c r="DP35" s="49"/>
      <c r="DQ35" s="49"/>
      <c r="DR35" s="50">
        <f t="shared" si="27"/>
        <v>0</v>
      </c>
      <c r="DT35" s="49"/>
      <c r="DU35" s="49"/>
      <c r="DV35" s="50">
        <f t="shared" si="28"/>
        <v>0</v>
      </c>
      <c r="DX35" s="49"/>
      <c r="DY35" s="49"/>
      <c r="DZ35" s="50">
        <f t="shared" si="29"/>
        <v>0</v>
      </c>
      <c r="EB35" s="49">
        <f t="shared" si="30"/>
        <v>0</v>
      </c>
      <c r="EC35" s="49">
        <f t="shared" si="30"/>
        <v>0</v>
      </c>
      <c r="ED35" s="49">
        <f t="shared" si="30"/>
        <v>0</v>
      </c>
    </row>
    <row r="36" spans="2:134" ht="11" customHeight="1" x14ac:dyDescent="0.35">
      <c r="B36" s="4">
        <v>106508</v>
      </c>
      <c r="C36" s="4" t="s">
        <v>42</v>
      </c>
      <c r="D36" s="4">
        <v>12</v>
      </c>
      <c r="E36" s="5">
        <v>12</v>
      </c>
      <c r="F36" s="6">
        <v>187.195471164</v>
      </c>
      <c r="G36" s="7"/>
      <c r="H36" s="49"/>
      <c r="I36" s="49"/>
      <c r="J36" s="50">
        <f t="shared" si="31"/>
        <v>0</v>
      </c>
      <c r="K36" s="9"/>
      <c r="L36" s="49"/>
      <c r="M36" s="49"/>
      <c r="N36" s="50">
        <f t="shared" si="0"/>
        <v>0</v>
      </c>
      <c r="O36" s="46"/>
      <c r="P36" s="49"/>
      <c r="Q36" s="49"/>
      <c r="R36" s="50">
        <f t="shared" si="1"/>
        <v>0</v>
      </c>
      <c r="T36" s="49"/>
      <c r="U36" s="49"/>
      <c r="V36" s="50">
        <f t="shared" si="2"/>
        <v>0</v>
      </c>
      <c r="X36" s="49"/>
      <c r="Y36" s="49"/>
      <c r="Z36" s="50">
        <f t="shared" si="3"/>
        <v>0</v>
      </c>
      <c r="AB36" s="49"/>
      <c r="AC36" s="49"/>
      <c r="AD36" s="50">
        <f t="shared" si="4"/>
        <v>0</v>
      </c>
      <c r="AF36" s="49"/>
      <c r="AG36" s="49"/>
      <c r="AH36" s="50">
        <f t="shared" si="5"/>
        <v>0</v>
      </c>
      <c r="AJ36" s="49"/>
      <c r="AK36" s="49"/>
      <c r="AL36" s="50">
        <f t="shared" si="6"/>
        <v>0</v>
      </c>
      <c r="AN36" s="49"/>
      <c r="AO36" s="49"/>
      <c r="AP36" s="50">
        <f t="shared" si="7"/>
        <v>0</v>
      </c>
      <c r="AR36" s="49"/>
      <c r="AS36" s="49"/>
      <c r="AT36" s="50">
        <f t="shared" si="8"/>
        <v>0</v>
      </c>
      <c r="AV36" s="49"/>
      <c r="AW36" s="49"/>
      <c r="AX36" s="50">
        <f t="shared" si="9"/>
        <v>0</v>
      </c>
      <c r="AZ36" s="49"/>
      <c r="BA36" s="49"/>
      <c r="BB36" s="50">
        <f t="shared" si="10"/>
        <v>0</v>
      </c>
      <c r="BD36" s="49"/>
      <c r="BE36" s="49"/>
      <c r="BF36" s="50">
        <f t="shared" si="11"/>
        <v>0</v>
      </c>
      <c r="BH36" s="49"/>
      <c r="BI36" s="49"/>
      <c r="BJ36" s="50">
        <f t="shared" si="12"/>
        <v>0</v>
      </c>
      <c r="BL36" s="49"/>
      <c r="BM36" s="49"/>
      <c r="BN36" s="50">
        <f t="shared" si="13"/>
        <v>0</v>
      </c>
      <c r="BP36" s="49"/>
      <c r="BQ36" s="49"/>
      <c r="BR36" s="50">
        <f t="shared" si="14"/>
        <v>0</v>
      </c>
      <c r="BT36" s="49"/>
      <c r="BU36" s="49"/>
      <c r="BV36" s="50">
        <f t="shared" si="15"/>
        <v>0</v>
      </c>
      <c r="BX36" s="49"/>
      <c r="BY36" s="49"/>
      <c r="BZ36" s="50">
        <f t="shared" si="16"/>
        <v>0</v>
      </c>
      <c r="CB36" s="49"/>
      <c r="CC36" s="49"/>
      <c r="CD36" s="50">
        <f t="shared" si="17"/>
        <v>0</v>
      </c>
      <c r="CF36" s="49"/>
      <c r="CG36" s="49"/>
      <c r="CH36" s="50">
        <f t="shared" si="18"/>
        <v>0</v>
      </c>
      <c r="CJ36" s="49"/>
      <c r="CK36" s="49"/>
      <c r="CL36" s="50">
        <f t="shared" si="19"/>
        <v>0</v>
      </c>
      <c r="CN36" s="49"/>
      <c r="CO36" s="49"/>
      <c r="CP36" s="50">
        <f t="shared" si="20"/>
        <v>0</v>
      </c>
      <c r="CR36" s="49"/>
      <c r="CS36" s="49"/>
      <c r="CT36" s="50">
        <f t="shared" si="21"/>
        <v>0</v>
      </c>
      <c r="CV36" s="49"/>
      <c r="CW36" s="49"/>
      <c r="CX36" s="50">
        <f t="shared" si="22"/>
        <v>0</v>
      </c>
      <c r="CZ36" s="49"/>
      <c r="DA36" s="49"/>
      <c r="DB36" s="50">
        <f t="shared" si="23"/>
        <v>0</v>
      </c>
      <c r="DD36" s="49"/>
      <c r="DE36" s="49"/>
      <c r="DF36" s="50">
        <f t="shared" si="24"/>
        <v>0</v>
      </c>
      <c r="DH36" s="49"/>
      <c r="DI36" s="49"/>
      <c r="DJ36" s="50">
        <f t="shared" si="25"/>
        <v>0</v>
      </c>
      <c r="DL36" s="49"/>
      <c r="DM36" s="49"/>
      <c r="DN36" s="50">
        <f t="shared" si="26"/>
        <v>0</v>
      </c>
      <c r="DP36" s="49"/>
      <c r="DQ36" s="49"/>
      <c r="DR36" s="50">
        <f t="shared" si="27"/>
        <v>0</v>
      </c>
      <c r="DT36" s="49"/>
      <c r="DU36" s="49"/>
      <c r="DV36" s="50">
        <f t="shared" si="28"/>
        <v>0</v>
      </c>
      <c r="DX36" s="49"/>
      <c r="DY36" s="49"/>
      <c r="DZ36" s="50">
        <f t="shared" si="29"/>
        <v>0</v>
      </c>
      <c r="EB36" s="49">
        <f t="shared" si="30"/>
        <v>0</v>
      </c>
      <c r="EC36" s="49">
        <f t="shared" si="30"/>
        <v>0</v>
      </c>
      <c r="ED36" s="49">
        <f t="shared" si="30"/>
        <v>0</v>
      </c>
    </row>
    <row r="37" spans="2:134" ht="11" customHeight="1" x14ac:dyDescent="0.35">
      <c r="B37" s="4">
        <v>106509</v>
      </c>
      <c r="C37" s="4" t="s">
        <v>43</v>
      </c>
      <c r="D37" s="4">
        <v>12</v>
      </c>
      <c r="E37" s="5">
        <v>12</v>
      </c>
      <c r="F37" s="6">
        <v>475.78878293999998</v>
      </c>
      <c r="G37" s="7"/>
      <c r="H37" s="49"/>
      <c r="I37" s="49"/>
      <c r="J37" s="50">
        <f t="shared" si="31"/>
        <v>0</v>
      </c>
      <c r="K37" s="9"/>
      <c r="L37" s="49"/>
      <c r="M37" s="49"/>
      <c r="N37" s="50">
        <f t="shared" si="0"/>
        <v>0</v>
      </c>
      <c r="O37" s="46"/>
      <c r="P37" s="49"/>
      <c r="Q37" s="49"/>
      <c r="R37" s="50">
        <f t="shared" si="1"/>
        <v>0</v>
      </c>
      <c r="T37" s="49"/>
      <c r="U37" s="49"/>
      <c r="V37" s="50">
        <f t="shared" si="2"/>
        <v>0</v>
      </c>
      <c r="X37" s="49"/>
      <c r="Y37" s="49"/>
      <c r="Z37" s="50">
        <f t="shared" si="3"/>
        <v>0</v>
      </c>
      <c r="AB37" s="49"/>
      <c r="AC37" s="49"/>
      <c r="AD37" s="50">
        <f t="shared" si="4"/>
        <v>0</v>
      </c>
      <c r="AF37" s="49"/>
      <c r="AG37" s="49"/>
      <c r="AH37" s="50">
        <f t="shared" si="5"/>
        <v>0</v>
      </c>
      <c r="AJ37" s="49"/>
      <c r="AK37" s="49"/>
      <c r="AL37" s="50">
        <f t="shared" si="6"/>
        <v>0</v>
      </c>
      <c r="AN37" s="49"/>
      <c r="AO37" s="49"/>
      <c r="AP37" s="50">
        <f t="shared" si="7"/>
        <v>0</v>
      </c>
      <c r="AR37" s="49"/>
      <c r="AS37" s="49"/>
      <c r="AT37" s="50">
        <f t="shared" si="8"/>
        <v>0</v>
      </c>
      <c r="AV37" s="49"/>
      <c r="AW37" s="49"/>
      <c r="AX37" s="50">
        <f t="shared" si="9"/>
        <v>0</v>
      </c>
      <c r="AZ37" s="49"/>
      <c r="BA37" s="49"/>
      <c r="BB37" s="50">
        <f t="shared" si="10"/>
        <v>0</v>
      </c>
      <c r="BD37" s="49"/>
      <c r="BE37" s="49"/>
      <c r="BF37" s="50">
        <f t="shared" si="11"/>
        <v>0</v>
      </c>
      <c r="BH37" s="49"/>
      <c r="BI37" s="49"/>
      <c r="BJ37" s="50">
        <f t="shared" si="12"/>
        <v>0</v>
      </c>
      <c r="BL37" s="49"/>
      <c r="BM37" s="49"/>
      <c r="BN37" s="50">
        <f t="shared" si="13"/>
        <v>0</v>
      </c>
      <c r="BP37" s="49"/>
      <c r="BQ37" s="49"/>
      <c r="BR37" s="50">
        <f t="shared" si="14"/>
        <v>0</v>
      </c>
      <c r="BT37" s="49"/>
      <c r="BU37" s="49"/>
      <c r="BV37" s="50">
        <f t="shared" si="15"/>
        <v>0</v>
      </c>
      <c r="BX37" s="49"/>
      <c r="BY37" s="49"/>
      <c r="BZ37" s="50">
        <f t="shared" si="16"/>
        <v>0</v>
      </c>
      <c r="CB37" s="49"/>
      <c r="CC37" s="49"/>
      <c r="CD37" s="50">
        <f t="shared" si="17"/>
        <v>0</v>
      </c>
      <c r="CF37" s="49"/>
      <c r="CG37" s="49"/>
      <c r="CH37" s="50">
        <f t="shared" si="18"/>
        <v>0</v>
      </c>
      <c r="CJ37" s="49"/>
      <c r="CK37" s="49"/>
      <c r="CL37" s="50">
        <f t="shared" si="19"/>
        <v>0</v>
      </c>
      <c r="CN37" s="49"/>
      <c r="CO37" s="49"/>
      <c r="CP37" s="50">
        <f t="shared" si="20"/>
        <v>0</v>
      </c>
      <c r="CR37" s="49"/>
      <c r="CS37" s="49"/>
      <c r="CT37" s="50">
        <f t="shared" si="21"/>
        <v>0</v>
      </c>
      <c r="CV37" s="49"/>
      <c r="CW37" s="49"/>
      <c r="CX37" s="50">
        <f t="shared" si="22"/>
        <v>0</v>
      </c>
      <c r="CZ37" s="49"/>
      <c r="DA37" s="49"/>
      <c r="DB37" s="50">
        <f t="shared" si="23"/>
        <v>0</v>
      </c>
      <c r="DD37" s="49"/>
      <c r="DE37" s="49"/>
      <c r="DF37" s="50">
        <f t="shared" si="24"/>
        <v>0</v>
      </c>
      <c r="DH37" s="49"/>
      <c r="DI37" s="49"/>
      <c r="DJ37" s="50">
        <f t="shared" si="25"/>
        <v>0</v>
      </c>
      <c r="DL37" s="49"/>
      <c r="DM37" s="49"/>
      <c r="DN37" s="50">
        <f t="shared" si="26"/>
        <v>0</v>
      </c>
      <c r="DP37" s="49"/>
      <c r="DQ37" s="49"/>
      <c r="DR37" s="50">
        <f t="shared" si="27"/>
        <v>0</v>
      </c>
      <c r="DT37" s="49"/>
      <c r="DU37" s="49"/>
      <c r="DV37" s="50">
        <f t="shared" si="28"/>
        <v>0</v>
      </c>
      <c r="DX37" s="49"/>
      <c r="DY37" s="49"/>
      <c r="DZ37" s="50">
        <f t="shared" si="29"/>
        <v>0</v>
      </c>
      <c r="EB37" s="49">
        <f t="shared" si="30"/>
        <v>0</v>
      </c>
      <c r="EC37" s="49">
        <f t="shared" si="30"/>
        <v>0</v>
      </c>
      <c r="ED37" s="49">
        <f t="shared" si="30"/>
        <v>0</v>
      </c>
    </row>
    <row r="38" spans="2:134" ht="11" customHeight="1" x14ac:dyDescent="0.35">
      <c r="B38" s="4">
        <v>106515</v>
      </c>
      <c r="C38" s="4" t="s">
        <v>44</v>
      </c>
      <c r="D38" s="4">
        <v>12</v>
      </c>
      <c r="E38" s="5">
        <v>12</v>
      </c>
      <c r="F38" s="6">
        <v>190.17517436</v>
      </c>
      <c r="G38" s="7"/>
      <c r="H38" s="49"/>
      <c r="I38" s="49"/>
      <c r="J38" s="50">
        <f t="shared" si="31"/>
        <v>0</v>
      </c>
      <c r="K38" s="9"/>
      <c r="L38" s="49"/>
      <c r="M38" s="49"/>
      <c r="N38" s="50">
        <f t="shared" si="0"/>
        <v>0</v>
      </c>
      <c r="O38" s="46"/>
      <c r="P38" s="49"/>
      <c r="Q38" s="49"/>
      <c r="R38" s="50">
        <f t="shared" si="1"/>
        <v>0</v>
      </c>
      <c r="T38" s="49"/>
      <c r="U38" s="49"/>
      <c r="V38" s="50">
        <f t="shared" si="2"/>
        <v>0</v>
      </c>
      <c r="X38" s="49"/>
      <c r="Y38" s="49"/>
      <c r="Z38" s="50">
        <f t="shared" si="3"/>
        <v>0</v>
      </c>
      <c r="AB38" s="49"/>
      <c r="AC38" s="49"/>
      <c r="AD38" s="50">
        <f t="shared" si="4"/>
        <v>0</v>
      </c>
      <c r="AF38" s="49"/>
      <c r="AG38" s="49"/>
      <c r="AH38" s="50">
        <f t="shared" si="5"/>
        <v>0</v>
      </c>
      <c r="AJ38" s="49"/>
      <c r="AK38" s="49"/>
      <c r="AL38" s="50">
        <f t="shared" si="6"/>
        <v>0</v>
      </c>
      <c r="AN38" s="49"/>
      <c r="AO38" s="49"/>
      <c r="AP38" s="50">
        <f t="shared" si="7"/>
        <v>0</v>
      </c>
      <c r="AR38" s="49"/>
      <c r="AS38" s="49"/>
      <c r="AT38" s="50">
        <f t="shared" si="8"/>
        <v>0</v>
      </c>
      <c r="AV38" s="49"/>
      <c r="AW38" s="49"/>
      <c r="AX38" s="50">
        <f t="shared" si="9"/>
        <v>0</v>
      </c>
      <c r="AZ38" s="49"/>
      <c r="BA38" s="49"/>
      <c r="BB38" s="50">
        <f t="shared" si="10"/>
        <v>0</v>
      </c>
      <c r="BD38" s="49"/>
      <c r="BE38" s="49"/>
      <c r="BF38" s="50">
        <f t="shared" si="11"/>
        <v>0</v>
      </c>
      <c r="BH38" s="49"/>
      <c r="BI38" s="49"/>
      <c r="BJ38" s="50">
        <f t="shared" si="12"/>
        <v>0</v>
      </c>
      <c r="BL38" s="49"/>
      <c r="BM38" s="49"/>
      <c r="BN38" s="50">
        <f t="shared" si="13"/>
        <v>0</v>
      </c>
      <c r="BP38" s="49"/>
      <c r="BQ38" s="49"/>
      <c r="BR38" s="50">
        <f t="shared" si="14"/>
        <v>0</v>
      </c>
      <c r="BT38" s="49"/>
      <c r="BU38" s="49"/>
      <c r="BV38" s="50">
        <f t="shared" si="15"/>
        <v>0</v>
      </c>
      <c r="BX38" s="49"/>
      <c r="BY38" s="49"/>
      <c r="BZ38" s="50">
        <f t="shared" si="16"/>
        <v>0</v>
      </c>
      <c r="CB38" s="49"/>
      <c r="CC38" s="49"/>
      <c r="CD38" s="50">
        <f t="shared" si="17"/>
        <v>0</v>
      </c>
      <c r="CF38" s="49"/>
      <c r="CG38" s="49"/>
      <c r="CH38" s="50">
        <f t="shared" si="18"/>
        <v>0</v>
      </c>
      <c r="CJ38" s="49"/>
      <c r="CK38" s="49"/>
      <c r="CL38" s="50">
        <f t="shared" si="19"/>
        <v>0</v>
      </c>
      <c r="CN38" s="49"/>
      <c r="CO38" s="49"/>
      <c r="CP38" s="50">
        <f t="shared" si="20"/>
        <v>0</v>
      </c>
      <c r="CR38" s="49"/>
      <c r="CS38" s="49"/>
      <c r="CT38" s="50">
        <f t="shared" si="21"/>
        <v>0</v>
      </c>
      <c r="CV38" s="49"/>
      <c r="CW38" s="49"/>
      <c r="CX38" s="50">
        <f t="shared" si="22"/>
        <v>0</v>
      </c>
      <c r="CZ38" s="49"/>
      <c r="DA38" s="49"/>
      <c r="DB38" s="50">
        <f t="shared" si="23"/>
        <v>0</v>
      </c>
      <c r="DD38" s="49"/>
      <c r="DE38" s="49"/>
      <c r="DF38" s="50">
        <f t="shared" si="24"/>
        <v>0</v>
      </c>
      <c r="DH38" s="49"/>
      <c r="DI38" s="49"/>
      <c r="DJ38" s="50">
        <f t="shared" si="25"/>
        <v>0</v>
      </c>
      <c r="DL38" s="49"/>
      <c r="DM38" s="49"/>
      <c r="DN38" s="50">
        <f t="shared" si="26"/>
        <v>0</v>
      </c>
      <c r="DP38" s="49"/>
      <c r="DQ38" s="49"/>
      <c r="DR38" s="50">
        <f t="shared" si="27"/>
        <v>0</v>
      </c>
      <c r="DT38" s="49"/>
      <c r="DU38" s="49"/>
      <c r="DV38" s="50">
        <f t="shared" si="28"/>
        <v>0</v>
      </c>
      <c r="DX38" s="49"/>
      <c r="DY38" s="49"/>
      <c r="DZ38" s="50">
        <f t="shared" si="29"/>
        <v>0</v>
      </c>
      <c r="EB38" s="49">
        <f t="shared" si="30"/>
        <v>0</v>
      </c>
      <c r="EC38" s="49">
        <f t="shared" si="30"/>
        <v>0</v>
      </c>
      <c r="ED38" s="49">
        <f t="shared" si="30"/>
        <v>0</v>
      </c>
    </row>
    <row r="39" spans="2:134" ht="11" customHeight="1" x14ac:dyDescent="0.35">
      <c r="B39" s="4">
        <v>106526</v>
      </c>
      <c r="C39" s="4" t="s">
        <v>45</v>
      </c>
      <c r="D39" s="4">
        <v>24</v>
      </c>
      <c r="E39" s="5">
        <v>18</v>
      </c>
      <c r="F39" s="6">
        <v>189.29879107400001</v>
      </c>
      <c r="G39" s="7"/>
      <c r="H39" s="49"/>
      <c r="I39" s="49"/>
      <c r="J39" s="50">
        <f t="shared" si="31"/>
        <v>0</v>
      </c>
      <c r="K39" s="9"/>
      <c r="L39" s="49"/>
      <c r="M39" s="49"/>
      <c r="N39" s="50">
        <f t="shared" si="0"/>
        <v>0</v>
      </c>
      <c r="O39" s="46"/>
      <c r="P39" s="49"/>
      <c r="Q39" s="49"/>
      <c r="R39" s="50">
        <f t="shared" si="1"/>
        <v>0</v>
      </c>
      <c r="T39" s="49"/>
      <c r="U39" s="49"/>
      <c r="V39" s="50">
        <f t="shared" si="2"/>
        <v>0</v>
      </c>
      <c r="X39" s="49"/>
      <c r="Y39" s="49"/>
      <c r="Z39" s="50">
        <f t="shared" si="3"/>
        <v>0</v>
      </c>
      <c r="AB39" s="49"/>
      <c r="AC39" s="49"/>
      <c r="AD39" s="50">
        <f t="shared" si="4"/>
        <v>0</v>
      </c>
      <c r="AF39" s="49"/>
      <c r="AG39" s="49"/>
      <c r="AH39" s="50">
        <f t="shared" si="5"/>
        <v>0</v>
      </c>
      <c r="AJ39" s="49"/>
      <c r="AK39" s="49"/>
      <c r="AL39" s="50">
        <f t="shared" si="6"/>
        <v>0</v>
      </c>
      <c r="AN39" s="49"/>
      <c r="AO39" s="49"/>
      <c r="AP39" s="50">
        <f t="shared" si="7"/>
        <v>0</v>
      </c>
      <c r="AR39" s="49"/>
      <c r="AS39" s="49"/>
      <c r="AT39" s="50">
        <f t="shared" si="8"/>
        <v>0</v>
      </c>
      <c r="AV39" s="49"/>
      <c r="AW39" s="49"/>
      <c r="AX39" s="50">
        <f t="shared" si="9"/>
        <v>0</v>
      </c>
      <c r="AZ39" s="49"/>
      <c r="BA39" s="49"/>
      <c r="BB39" s="50">
        <f t="shared" si="10"/>
        <v>0</v>
      </c>
      <c r="BD39" s="49"/>
      <c r="BE39" s="49"/>
      <c r="BF39" s="50">
        <f t="shared" si="11"/>
        <v>0</v>
      </c>
      <c r="BH39" s="49"/>
      <c r="BI39" s="49"/>
      <c r="BJ39" s="50">
        <f t="shared" si="12"/>
        <v>0</v>
      </c>
      <c r="BL39" s="49"/>
      <c r="BM39" s="49"/>
      <c r="BN39" s="50">
        <f t="shared" si="13"/>
        <v>0</v>
      </c>
      <c r="BP39" s="49"/>
      <c r="BQ39" s="49"/>
      <c r="BR39" s="50">
        <f t="shared" si="14"/>
        <v>0</v>
      </c>
      <c r="BT39" s="49"/>
      <c r="BU39" s="49"/>
      <c r="BV39" s="50">
        <f t="shared" si="15"/>
        <v>0</v>
      </c>
      <c r="BX39" s="49"/>
      <c r="BY39" s="49"/>
      <c r="BZ39" s="50">
        <f t="shared" si="16"/>
        <v>0</v>
      </c>
      <c r="CB39" s="49"/>
      <c r="CC39" s="49"/>
      <c r="CD39" s="50">
        <f t="shared" si="17"/>
        <v>0</v>
      </c>
      <c r="CF39" s="49"/>
      <c r="CG39" s="49"/>
      <c r="CH39" s="50">
        <f t="shared" si="18"/>
        <v>0</v>
      </c>
      <c r="CJ39" s="49"/>
      <c r="CK39" s="49"/>
      <c r="CL39" s="50">
        <f t="shared" si="19"/>
        <v>0</v>
      </c>
      <c r="CN39" s="49"/>
      <c r="CO39" s="49"/>
      <c r="CP39" s="50">
        <f t="shared" si="20"/>
        <v>0</v>
      </c>
      <c r="CR39" s="49"/>
      <c r="CS39" s="49"/>
      <c r="CT39" s="50">
        <f t="shared" si="21"/>
        <v>0</v>
      </c>
      <c r="CV39" s="49"/>
      <c r="CW39" s="49"/>
      <c r="CX39" s="50">
        <f t="shared" si="22"/>
        <v>0</v>
      </c>
      <c r="CZ39" s="49"/>
      <c r="DA39" s="49"/>
      <c r="DB39" s="50">
        <f t="shared" si="23"/>
        <v>0</v>
      </c>
      <c r="DD39" s="49"/>
      <c r="DE39" s="49"/>
      <c r="DF39" s="50">
        <f t="shared" si="24"/>
        <v>0</v>
      </c>
      <c r="DH39" s="49"/>
      <c r="DI39" s="49"/>
      <c r="DJ39" s="50">
        <f t="shared" si="25"/>
        <v>0</v>
      </c>
      <c r="DL39" s="49"/>
      <c r="DM39" s="49"/>
      <c r="DN39" s="50">
        <f t="shared" si="26"/>
        <v>0</v>
      </c>
      <c r="DP39" s="49"/>
      <c r="DQ39" s="49"/>
      <c r="DR39" s="50">
        <f t="shared" si="27"/>
        <v>0</v>
      </c>
      <c r="DT39" s="49"/>
      <c r="DU39" s="49"/>
      <c r="DV39" s="50">
        <f t="shared" si="28"/>
        <v>0</v>
      </c>
      <c r="DX39" s="49"/>
      <c r="DY39" s="49"/>
      <c r="DZ39" s="50">
        <f t="shared" si="29"/>
        <v>0</v>
      </c>
      <c r="EB39" s="49">
        <f t="shared" si="30"/>
        <v>0</v>
      </c>
      <c r="EC39" s="49">
        <f t="shared" si="30"/>
        <v>0</v>
      </c>
      <c r="ED39" s="49">
        <f t="shared" si="30"/>
        <v>0</v>
      </c>
    </row>
    <row r="40" spans="2:134" ht="11" customHeight="1" x14ac:dyDescent="0.35">
      <c r="B40" s="4">
        <v>106527</v>
      </c>
      <c r="C40" s="4" t="s">
        <v>46</v>
      </c>
      <c r="D40" s="4">
        <v>24</v>
      </c>
      <c r="E40" s="5">
        <v>18</v>
      </c>
      <c r="F40" s="6">
        <v>189.29879107400001</v>
      </c>
      <c r="G40" s="7"/>
      <c r="H40" s="49"/>
      <c r="I40" s="49"/>
      <c r="J40" s="50">
        <f t="shared" si="31"/>
        <v>0</v>
      </c>
      <c r="K40" s="9"/>
      <c r="L40" s="49"/>
      <c r="M40" s="49"/>
      <c r="N40" s="50">
        <f t="shared" si="0"/>
        <v>0</v>
      </c>
      <c r="O40" s="46"/>
      <c r="P40" s="49"/>
      <c r="Q40" s="49"/>
      <c r="R40" s="50">
        <f t="shared" si="1"/>
        <v>0</v>
      </c>
      <c r="T40" s="49"/>
      <c r="U40" s="49"/>
      <c r="V40" s="50">
        <f t="shared" si="2"/>
        <v>0</v>
      </c>
      <c r="X40" s="49"/>
      <c r="Y40" s="49"/>
      <c r="Z40" s="50">
        <f t="shared" si="3"/>
        <v>0</v>
      </c>
      <c r="AB40" s="49"/>
      <c r="AC40" s="49"/>
      <c r="AD40" s="50">
        <f t="shared" si="4"/>
        <v>0</v>
      </c>
      <c r="AF40" s="49"/>
      <c r="AG40" s="49"/>
      <c r="AH40" s="50">
        <f t="shared" si="5"/>
        <v>0</v>
      </c>
      <c r="AJ40" s="49"/>
      <c r="AK40" s="49"/>
      <c r="AL40" s="50">
        <f t="shared" si="6"/>
        <v>0</v>
      </c>
      <c r="AN40" s="49"/>
      <c r="AO40" s="49"/>
      <c r="AP40" s="50">
        <f t="shared" si="7"/>
        <v>0</v>
      </c>
      <c r="AR40" s="49"/>
      <c r="AS40" s="49"/>
      <c r="AT40" s="50">
        <f t="shared" si="8"/>
        <v>0</v>
      </c>
      <c r="AV40" s="49"/>
      <c r="AW40" s="49"/>
      <c r="AX40" s="50">
        <f t="shared" si="9"/>
        <v>0</v>
      </c>
      <c r="AZ40" s="49"/>
      <c r="BA40" s="49"/>
      <c r="BB40" s="50">
        <f t="shared" si="10"/>
        <v>0</v>
      </c>
      <c r="BD40" s="49"/>
      <c r="BE40" s="49"/>
      <c r="BF40" s="50">
        <f t="shared" si="11"/>
        <v>0</v>
      </c>
      <c r="BH40" s="49"/>
      <c r="BI40" s="49"/>
      <c r="BJ40" s="50">
        <f t="shared" si="12"/>
        <v>0</v>
      </c>
      <c r="BL40" s="49"/>
      <c r="BM40" s="49"/>
      <c r="BN40" s="50">
        <f t="shared" si="13"/>
        <v>0</v>
      </c>
      <c r="BP40" s="49"/>
      <c r="BQ40" s="49"/>
      <c r="BR40" s="50">
        <f t="shared" si="14"/>
        <v>0</v>
      </c>
      <c r="BT40" s="49"/>
      <c r="BU40" s="49"/>
      <c r="BV40" s="50">
        <f t="shared" si="15"/>
        <v>0</v>
      </c>
      <c r="BX40" s="49"/>
      <c r="BY40" s="49"/>
      <c r="BZ40" s="50">
        <f t="shared" si="16"/>
        <v>0</v>
      </c>
      <c r="CB40" s="49"/>
      <c r="CC40" s="49"/>
      <c r="CD40" s="50">
        <f t="shared" si="17"/>
        <v>0</v>
      </c>
      <c r="CF40" s="49"/>
      <c r="CG40" s="49"/>
      <c r="CH40" s="50">
        <f t="shared" si="18"/>
        <v>0</v>
      </c>
      <c r="CJ40" s="49"/>
      <c r="CK40" s="49"/>
      <c r="CL40" s="50">
        <f t="shared" si="19"/>
        <v>0</v>
      </c>
      <c r="CN40" s="49"/>
      <c r="CO40" s="49"/>
      <c r="CP40" s="50">
        <f t="shared" si="20"/>
        <v>0</v>
      </c>
      <c r="CR40" s="49"/>
      <c r="CS40" s="49"/>
      <c r="CT40" s="50">
        <f t="shared" si="21"/>
        <v>0</v>
      </c>
      <c r="CV40" s="49"/>
      <c r="CW40" s="49"/>
      <c r="CX40" s="50">
        <f t="shared" si="22"/>
        <v>0</v>
      </c>
      <c r="CZ40" s="49"/>
      <c r="DA40" s="49"/>
      <c r="DB40" s="50">
        <f t="shared" si="23"/>
        <v>0</v>
      </c>
      <c r="DD40" s="49"/>
      <c r="DE40" s="49"/>
      <c r="DF40" s="50">
        <f t="shared" si="24"/>
        <v>0</v>
      </c>
      <c r="DH40" s="49"/>
      <c r="DI40" s="49"/>
      <c r="DJ40" s="50">
        <f t="shared" si="25"/>
        <v>0</v>
      </c>
      <c r="DL40" s="49"/>
      <c r="DM40" s="49"/>
      <c r="DN40" s="50">
        <f t="shared" si="26"/>
        <v>0</v>
      </c>
      <c r="DP40" s="49"/>
      <c r="DQ40" s="49"/>
      <c r="DR40" s="50">
        <f t="shared" si="27"/>
        <v>0</v>
      </c>
      <c r="DT40" s="49"/>
      <c r="DU40" s="49"/>
      <c r="DV40" s="50">
        <f t="shared" si="28"/>
        <v>0</v>
      </c>
      <c r="DX40" s="49"/>
      <c r="DY40" s="49"/>
      <c r="DZ40" s="50">
        <f t="shared" si="29"/>
        <v>0</v>
      </c>
      <c r="EB40" s="49">
        <f t="shared" si="30"/>
        <v>0</v>
      </c>
      <c r="EC40" s="49">
        <f t="shared" si="30"/>
        <v>0</v>
      </c>
      <c r="ED40" s="49">
        <f t="shared" si="30"/>
        <v>0</v>
      </c>
    </row>
    <row r="41" spans="2:134" ht="11" customHeight="1" x14ac:dyDescent="0.35">
      <c r="B41" s="4">
        <v>106528</v>
      </c>
      <c r="C41" s="4" t="s">
        <v>47</v>
      </c>
      <c r="D41" s="4">
        <v>24</v>
      </c>
      <c r="E41" s="5">
        <v>18</v>
      </c>
      <c r="F41" s="6">
        <v>189.29879107400001</v>
      </c>
      <c r="G41" s="7"/>
      <c r="H41" s="49"/>
      <c r="I41" s="49"/>
      <c r="J41" s="50">
        <f t="shared" si="31"/>
        <v>0</v>
      </c>
      <c r="K41" s="9"/>
      <c r="L41" s="49"/>
      <c r="M41" s="49"/>
      <c r="N41" s="50">
        <f t="shared" si="0"/>
        <v>0</v>
      </c>
      <c r="O41" s="46"/>
      <c r="P41" s="49"/>
      <c r="Q41" s="49"/>
      <c r="R41" s="50">
        <f t="shared" si="1"/>
        <v>0</v>
      </c>
      <c r="T41" s="49"/>
      <c r="U41" s="49"/>
      <c r="V41" s="50">
        <f t="shared" si="2"/>
        <v>0</v>
      </c>
      <c r="X41" s="49"/>
      <c r="Y41" s="49"/>
      <c r="Z41" s="50">
        <f t="shared" si="3"/>
        <v>0</v>
      </c>
      <c r="AB41" s="49"/>
      <c r="AC41" s="49"/>
      <c r="AD41" s="50">
        <f t="shared" si="4"/>
        <v>0</v>
      </c>
      <c r="AF41" s="49"/>
      <c r="AG41" s="49"/>
      <c r="AH41" s="50">
        <f t="shared" si="5"/>
        <v>0</v>
      </c>
      <c r="AJ41" s="49"/>
      <c r="AK41" s="49"/>
      <c r="AL41" s="50">
        <f t="shared" si="6"/>
        <v>0</v>
      </c>
      <c r="AN41" s="49"/>
      <c r="AO41" s="49"/>
      <c r="AP41" s="50">
        <f t="shared" si="7"/>
        <v>0</v>
      </c>
      <c r="AR41" s="49"/>
      <c r="AS41" s="49"/>
      <c r="AT41" s="50">
        <f t="shared" si="8"/>
        <v>0</v>
      </c>
      <c r="AV41" s="49"/>
      <c r="AW41" s="49"/>
      <c r="AX41" s="50">
        <f t="shared" si="9"/>
        <v>0</v>
      </c>
      <c r="AZ41" s="49"/>
      <c r="BA41" s="49"/>
      <c r="BB41" s="50">
        <f t="shared" si="10"/>
        <v>0</v>
      </c>
      <c r="BD41" s="49"/>
      <c r="BE41" s="49"/>
      <c r="BF41" s="50">
        <f t="shared" si="11"/>
        <v>0</v>
      </c>
      <c r="BH41" s="49"/>
      <c r="BI41" s="49"/>
      <c r="BJ41" s="50">
        <f t="shared" si="12"/>
        <v>0</v>
      </c>
      <c r="BL41" s="49"/>
      <c r="BM41" s="49"/>
      <c r="BN41" s="50">
        <f t="shared" si="13"/>
        <v>0</v>
      </c>
      <c r="BP41" s="49"/>
      <c r="BQ41" s="49"/>
      <c r="BR41" s="50">
        <f t="shared" si="14"/>
        <v>0</v>
      </c>
      <c r="BT41" s="49"/>
      <c r="BU41" s="49"/>
      <c r="BV41" s="50">
        <f t="shared" si="15"/>
        <v>0</v>
      </c>
      <c r="BX41" s="49"/>
      <c r="BY41" s="49"/>
      <c r="BZ41" s="50">
        <f t="shared" si="16"/>
        <v>0</v>
      </c>
      <c r="CB41" s="49"/>
      <c r="CC41" s="49"/>
      <c r="CD41" s="50">
        <f t="shared" si="17"/>
        <v>0</v>
      </c>
      <c r="CF41" s="49"/>
      <c r="CG41" s="49"/>
      <c r="CH41" s="50">
        <f t="shared" si="18"/>
        <v>0</v>
      </c>
      <c r="CJ41" s="49"/>
      <c r="CK41" s="49"/>
      <c r="CL41" s="50">
        <f t="shared" si="19"/>
        <v>0</v>
      </c>
      <c r="CN41" s="49"/>
      <c r="CO41" s="49"/>
      <c r="CP41" s="50">
        <f t="shared" si="20"/>
        <v>0</v>
      </c>
      <c r="CR41" s="49"/>
      <c r="CS41" s="49"/>
      <c r="CT41" s="50">
        <f t="shared" si="21"/>
        <v>0</v>
      </c>
      <c r="CV41" s="49"/>
      <c r="CW41" s="49"/>
      <c r="CX41" s="50">
        <f t="shared" si="22"/>
        <v>0</v>
      </c>
      <c r="CZ41" s="49"/>
      <c r="DA41" s="49"/>
      <c r="DB41" s="50">
        <f t="shared" si="23"/>
        <v>0</v>
      </c>
      <c r="DD41" s="49"/>
      <c r="DE41" s="49"/>
      <c r="DF41" s="50">
        <f t="shared" si="24"/>
        <v>0</v>
      </c>
      <c r="DH41" s="49"/>
      <c r="DI41" s="49"/>
      <c r="DJ41" s="50">
        <f t="shared" si="25"/>
        <v>0</v>
      </c>
      <c r="DL41" s="49"/>
      <c r="DM41" s="49"/>
      <c r="DN41" s="50">
        <f t="shared" si="26"/>
        <v>0</v>
      </c>
      <c r="DP41" s="49"/>
      <c r="DQ41" s="49"/>
      <c r="DR41" s="50">
        <f t="shared" si="27"/>
        <v>0</v>
      </c>
      <c r="DT41" s="49"/>
      <c r="DU41" s="49"/>
      <c r="DV41" s="50">
        <f t="shared" si="28"/>
        <v>0</v>
      </c>
      <c r="DX41" s="49"/>
      <c r="DY41" s="49"/>
      <c r="DZ41" s="50">
        <f t="shared" si="29"/>
        <v>0</v>
      </c>
      <c r="EB41" s="49">
        <f t="shared" si="30"/>
        <v>0</v>
      </c>
      <c r="EC41" s="49">
        <f t="shared" si="30"/>
        <v>0</v>
      </c>
      <c r="ED41" s="49">
        <f t="shared" si="30"/>
        <v>0</v>
      </c>
    </row>
    <row r="42" spans="2:134" ht="11" customHeight="1" x14ac:dyDescent="0.35">
      <c r="B42" s="4">
        <v>106608</v>
      </c>
      <c r="C42" s="4" t="s">
        <v>48</v>
      </c>
      <c r="D42" s="4">
        <v>12</v>
      </c>
      <c r="E42" s="5">
        <v>24</v>
      </c>
      <c r="F42" s="6">
        <v>190.671775</v>
      </c>
      <c r="G42" s="7"/>
      <c r="H42" s="49"/>
      <c r="I42" s="49"/>
      <c r="J42" s="50">
        <f t="shared" si="31"/>
        <v>0</v>
      </c>
      <c r="K42" s="9"/>
      <c r="L42" s="49"/>
      <c r="M42" s="49"/>
      <c r="N42" s="50">
        <f t="shared" si="0"/>
        <v>0</v>
      </c>
      <c r="O42" s="46"/>
      <c r="P42" s="49"/>
      <c r="Q42" s="49"/>
      <c r="R42" s="50">
        <f t="shared" si="1"/>
        <v>0</v>
      </c>
      <c r="T42" s="49"/>
      <c r="U42" s="49"/>
      <c r="V42" s="50">
        <f t="shared" si="2"/>
        <v>0</v>
      </c>
      <c r="X42" s="49"/>
      <c r="Y42" s="49"/>
      <c r="Z42" s="50">
        <f t="shared" si="3"/>
        <v>0</v>
      </c>
      <c r="AB42" s="49"/>
      <c r="AC42" s="49"/>
      <c r="AD42" s="50">
        <f t="shared" si="4"/>
        <v>0</v>
      </c>
      <c r="AF42" s="49"/>
      <c r="AG42" s="49"/>
      <c r="AH42" s="50">
        <f t="shared" si="5"/>
        <v>0</v>
      </c>
      <c r="AJ42" s="49"/>
      <c r="AK42" s="49"/>
      <c r="AL42" s="50">
        <f t="shared" si="6"/>
        <v>0</v>
      </c>
      <c r="AN42" s="49"/>
      <c r="AO42" s="49"/>
      <c r="AP42" s="50">
        <f t="shared" si="7"/>
        <v>0</v>
      </c>
      <c r="AR42" s="49"/>
      <c r="AS42" s="49"/>
      <c r="AT42" s="50">
        <f t="shared" si="8"/>
        <v>0</v>
      </c>
      <c r="AV42" s="49"/>
      <c r="AW42" s="49"/>
      <c r="AX42" s="50">
        <f t="shared" si="9"/>
        <v>0</v>
      </c>
      <c r="AZ42" s="49"/>
      <c r="BA42" s="49"/>
      <c r="BB42" s="50">
        <f t="shared" si="10"/>
        <v>0</v>
      </c>
      <c r="BD42" s="49"/>
      <c r="BE42" s="49"/>
      <c r="BF42" s="50">
        <f t="shared" si="11"/>
        <v>0</v>
      </c>
      <c r="BH42" s="49"/>
      <c r="BI42" s="49"/>
      <c r="BJ42" s="50">
        <f t="shared" si="12"/>
        <v>0</v>
      </c>
      <c r="BL42" s="49"/>
      <c r="BM42" s="49"/>
      <c r="BN42" s="50">
        <f t="shared" si="13"/>
        <v>0</v>
      </c>
      <c r="BP42" s="49"/>
      <c r="BQ42" s="49"/>
      <c r="BR42" s="50">
        <f t="shared" si="14"/>
        <v>0</v>
      </c>
      <c r="BT42" s="49"/>
      <c r="BU42" s="49"/>
      <c r="BV42" s="50">
        <f t="shared" si="15"/>
        <v>0</v>
      </c>
      <c r="BX42" s="49"/>
      <c r="BY42" s="49"/>
      <c r="BZ42" s="50">
        <f t="shared" si="16"/>
        <v>0</v>
      </c>
      <c r="CB42" s="49"/>
      <c r="CC42" s="49"/>
      <c r="CD42" s="50">
        <f t="shared" si="17"/>
        <v>0</v>
      </c>
      <c r="CF42" s="49"/>
      <c r="CG42" s="49"/>
      <c r="CH42" s="50">
        <f t="shared" si="18"/>
        <v>0</v>
      </c>
      <c r="CJ42" s="49"/>
      <c r="CK42" s="49"/>
      <c r="CL42" s="50">
        <f t="shared" si="19"/>
        <v>0</v>
      </c>
      <c r="CN42" s="49"/>
      <c r="CO42" s="49"/>
      <c r="CP42" s="50">
        <f t="shared" si="20"/>
        <v>0</v>
      </c>
      <c r="CR42" s="49"/>
      <c r="CS42" s="49"/>
      <c r="CT42" s="50">
        <f t="shared" si="21"/>
        <v>0</v>
      </c>
      <c r="CV42" s="49"/>
      <c r="CW42" s="49"/>
      <c r="CX42" s="50">
        <f t="shared" si="22"/>
        <v>0</v>
      </c>
      <c r="CZ42" s="49"/>
      <c r="DA42" s="49"/>
      <c r="DB42" s="50">
        <f t="shared" si="23"/>
        <v>0</v>
      </c>
      <c r="DD42" s="49"/>
      <c r="DE42" s="49"/>
      <c r="DF42" s="50">
        <f t="shared" si="24"/>
        <v>0</v>
      </c>
      <c r="DH42" s="49"/>
      <c r="DI42" s="49"/>
      <c r="DJ42" s="50">
        <f t="shared" si="25"/>
        <v>0</v>
      </c>
      <c r="DL42" s="49"/>
      <c r="DM42" s="49"/>
      <c r="DN42" s="50">
        <f t="shared" si="26"/>
        <v>0</v>
      </c>
      <c r="DP42" s="49"/>
      <c r="DQ42" s="49"/>
      <c r="DR42" s="50">
        <f t="shared" si="27"/>
        <v>0</v>
      </c>
      <c r="DT42" s="49"/>
      <c r="DU42" s="49"/>
      <c r="DV42" s="50">
        <f t="shared" si="28"/>
        <v>0</v>
      </c>
      <c r="DX42" s="49"/>
      <c r="DY42" s="49"/>
      <c r="DZ42" s="50">
        <f t="shared" si="29"/>
        <v>0</v>
      </c>
      <c r="EB42" s="49">
        <f t="shared" si="30"/>
        <v>0</v>
      </c>
      <c r="EC42" s="49">
        <f t="shared" si="30"/>
        <v>0</v>
      </c>
      <c r="ED42" s="49">
        <f t="shared" si="30"/>
        <v>0</v>
      </c>
    </row>
    <row r="43" spans="2:134" ht="11" customHeight="1" x14ac:dyDescent="0.35">
      <c r="B43" s="4">
        <v>106609</v>
      </c>
      <c r="C43" s="4" t="s">
        <v>49</v>
      </c>
      <c r="D43" s="4">
        <v>12</v>
      </c>
      <c r="E43" s="5">
        <v>24</v>
      </c>
      <c r="F43" s="6">
        <v>190.671775</v>
      </c>
      <c r="G43" s="7"/>
      <c r="H43" s="49"/>
      <c r="I43" s="49"/>
      <c r="J43" s="50">
        <f t="shared" si="31"/>
        <v>0</v>
      </c>
      <c r="K43" s="9"/>
      <c r="L43" s="49"/>
      <c r="M43" s="49"/>
      <c r="N43" s="50">
        <f t="shared" si="0"/>
        <v>0</v>
      </c>
      <c r="O43" s="46"/>
      <c r="P43" s="49"/>
      <c r="Q43" s="49"/>
      <c r="R43" s="50">
        <f t="shared" si="1"/>
        <v>0</v>
      </c>
      <c r="T43" s="49"/>
      <c r="U43" s="49"/>
      <c r="V43" s="50">
        <f t="shared" si="2"/>
        <v>0</v>
      </c>
      <c r="X43" s="49"/>
      <c r="Y43" s="49"/>
      <c r="Z43" s="50">
        <f t="shared" si="3"/>
        <v>0</v>
      </c>
      <c r="AB43" s="49"/>
      <c r="AC43" s="49"/>
      <c r="AD43" s="50">
        <f t="shared" si="4"/>
        <v>0</v>
      </c>
      <c r="AF43" s="49"/>
      <c r="AG43" s="49"/>
      <c r="AH43" s="50">
        <f t="shared" si="5"/>
        <v>0</v>
      </c>
      <c r="AJ43" s="49"/>
      <c r="AK43" s="49"/>
      <c r="AL43" s="50">
        <f t="shared" si="6"/>
        <v>0</v>
      </c>
      <c r="AN43" s="49"/>
      <c r="AO43" s="49"/>
      <c r="AP43" s="50">
        <f t="shared" si="7"/>
        <v>0</v>
      </c>
      <c r="AR43" s="49"/>
      <c r="AS43" s="49"/>
      <c r="AT43" s="50">
        <f t="shared" si="8"/>
        <v>0</v>
      </c>
      <c r="AV43" s="49"/>
      <c r="AW43" s="49"/>
      <c r="AX43" s="50">
        <f t="shared" si="9"/>
        <v>0</v>
      </c>
      <c r="AZ43" s="49"/>
      <c r="BA43" s="49"/>
      <c r="BB43" s="50">
        <f t="shared" si="10"/>
        <v>0</v>
      </c>
      <c r="BD43" s="49"/>
      <c r="BE43" s="49"/>
      <c r="BF43" s="50">
        <f t="shared" si="11"/>
        <v>0</v>
      </c>
      <c r="BH43" s="49"/>
      <c r="BI43" s="49"/>
      <c r="BJ43" s="50">
        <f t="shared" si="12"/>
        <v>0</v>
      </c>
      <c r="BL43" s="49"/>
      <c r="BM43" s="49"/>
      <c r="BN43" s="50">
        <f t="shared" si="13"/>
        <v>0</v>
      </c>
      <c r="BP43" s="49"/>
      <c r="BQ43" s="49"/>
      <c r="BR43" s="50">
        <f t="shared" si="14"/>
        <v>0</v>
      </c>
      <c r="BT43" s="49"/>
      <c r="BU43" s="49"/>
      <c r="BV43" s="50">
        <f t="shared" si="15"/>
        <v>0</v>
      </c>
      <c r="BX43" s="49"/>
      <c r="BY43" s="49"/>
      <c r="BZ43" s="50">
        <f t="shared" si="16"/>
        <v>0</v>
      </c>
      <c r="CB43" s="49"/>
      <c r="CC43" s="49"/>
      <c r="CD43" s="50">
        <f t="shared" si="17"/>
        <v>0</v>
      </c>
      <c r="CF43" s="49"/>
      <c r="CG43" s="49"/>
      <c r="CH43" s="50">
        <f t="shared" si="18"/>
        <v>0</v>
      </c>
      <c r="CJ43" s="49"/>
      <c r="CK43" s="49"/>
      <c r="CL43" s="50">
        <f t="shared" si="19"/>
        <v>0</v>
      </c>
      <c r="CN43" s="49"/>
      <c r="CO43" s="49"/>
      <c r="CP43" s="50">
        <f t="shared" si="20"/>
        <v>0</v>
      </c>
      <c r="CR43" s="49"/>
      <c r="CS43" s="49"/>
      <c r="CT43" s="50">
        <f t="shared" si="21"/>
        <v>0</v>
      </c>
      <c r="CV43" s="49"/>
      <c r="CW43" s="49"/>
      <c r="CX43" s="50">
        <f t="shared" si="22"/>
        <v>0</v>
      </c>
      <c r="CZ43" s="49"/>
      <c r="DA43" s="49"/>
      <c r="DB43" s="50">
        <f t="shared" si="23"/>
        <v>0</v>
      </c>
      <c r="DD43" s="49"/>
      <c r="DE43" s="49"/>
      <c r="DF43" s="50">
        <f t="shared" si="24"/>
        <v>0</v>
      </c>
      <c r="DH43" s="49"/>
      <c r="DI43" s="49"/>
      <c r="DJ43" s="50">
        <f t="shared" si="25"/>
        <v>0</v>
      </c>
      <c r="DL43" s="49"/>
      <c r="DM43" s="49"/>
      <c r="DN43" s="50">
        <f t="shared" si="26"/>
        <v>0</v>
      </c>
      <c r="DP43" s="49"/>
      <c r="DQ43" s="49"/>
      <c r="DR43" s="50">
        <f t="shared" si="27"/>
        <v>0</v>
      </c>
      <c r="DT43" s="49"/>
      <c r="DU43" s="49"/>
      <c r="DV43" s="50">
        <f t="shared" si="28"/>
        <v>0</v>
      </c>
      <c r="DX43" s="49"/>
      <c r="DY43" s="49"/>
      <c r="DZ43" s="50">
        <f t="shared" si="29"/>
        <v>0</v>
      </c>
      <c r="EB43" s="49">
        <f t="shared" si="30"/>
        <v>0</v>
      </c>
      <c r="EC43" s="49">
        <f t="shared" si="30"/>
        <v>0</v>
      </c>
      <c r="ED43" s="49">
        <f t="shared" si="30"/>
        <v>0</v>
      </c>
    </row>
    <row r="44" spans="2:134" ht="11" customHeight="1" x14ac:dyDescent="0.35">
      <c r="B44" s="4">
        <v>106611</v>
      </c>
      <c r="C44" s="4" t="s">
        <v>50</v>
      </c>
      <c r="D44" s="4">
        <v>12</v>
      </c>
      <c r="E44" s="5">
        <v>24</v>
      </c>
      <c r="F44" s="6">
        <v>190.671775</v>
      </c>
      <c r="G44" s="7"/>
      <c r="H44" s="49"/>
      <c r="I44" s="49"/>
      <c r="J44" s="50">
        <f t="shared" si="31"/>
        <v>0</v>
      </c>
      <c r="K44" s="9"/>
      <c r="L44" s="49"/>
      <c r="M44" s="49"/>
      <c r="N44" s="50">
        <f t="shared" si="0"/>
        <v>0</v>
      </c>
      <c r="O44" s="46"/>
      <c r="P44" s="49"/>
      <c r="Q44" s="49"/>
      <c r="R44" s="50">
        <f t="shared" si="1"/>
        <v>0</v>
      </c>
      <c r="T44" s="49"/>
      <c r="U44" s="49"/>
      <c r="V44" s="50">
        <f t="shared" si="2"/>
        <v>0</v>
      </c>
      <c r="X44" s="49"/>
      <c r="Y44" s="49"/>
      <c r="Z44" s="50">
        <f t="shared" si="3"/>
        <v>0</v>
      </c>
      <c r="AB44" s="49"/>
      <c r="AC44" s="49"/>
      <c r="AD44" s="50">
        <f t="shared" si="4"/>
        <v>0</v>
      </c>
      <c r="AF44" s="49"/>
      <c r="AG44" s="49"/>
      <c r="AH44" s="50">
        <f t="shared" si="5"/>
        <v>0</v>
      </c>
      <c r="AJ44" s="49"/>
      <c r="AK44" s="49"/>
      <c r="AL44" s="50">
        <f t="shared" si="6"/>
        <v>0</v>
      </c>
      <c r="AN44" s="49"/>
      <c r="AO44" s="49"/>
      <c r="AP44" s="50">
        <f t="shared" si="7"/>
        <v>0</v>
      </c>
      <c r="AR44" s="49"/>
      <c r="AS44" s="49"/>
      <c r="AT44" s="50">
        <f t="shared" si="8"/>
        <v>0</v>
      </c>
      <c r="AV44" s="49"/>
      <c r="AW44" s="49"/>
      <c r="AX44" s="50">
        <f t="shared" si="9"/>
        <v>0</v>
      </c>
      <c r="AZ44" s="49"/>
      <c r="BA44" s="49"/>
      <c r="BB44" s="50">
        <f t="shared" si="10"/>
        <v>0</v>
      </c>
      <c r="BD44" s="49"/>
      <c r="BE44" s="49"/>
      <c r="BF44" s="50">
        <f t="shared" si="11"/>
        <v>0</v>
      </c>
      <c r="BH44" s="49"/>
      <c r="BI44" s="49"/>
      <c r="BJ44" s="50">
        <f t="shared" si="12"/>
        <v>0</v>
      </c>
      <c r="BL44" s="49"/>
      <c r="BM44" s="49"/>
      <c r="BN44" s="50">
        <f t="shared" si="13"/>
        <v>0</v>
      </c>
      <c r="BP44" s="49"/>
      <c r="BQ44" s="49"/>
      <c r="BR44" s="50">
        <f t="shared" si="14"/>
        <v>0</v>
      </c>
      <c r="BT44" s="49"/>
      <c r="BU44" s="49"/>
      <c r="BV44" s="50">
        <f t="shared" si="15"/>
        <v>0</v>
      </c>
      <c r="BX44" s="49"/>
      <c r="BY44" s="49"/>
      <c r="BZ44" s="50">
        <f t="shared" si="16"/>
        <v>0</v>
      </c>
      <c r="CB44" s="49"/>
      <c r="CC44" s="49"/>
      <c r="CD44" s="50">
        <f t="shared" si="17"/>
        <v>0</v>
      </c>
      <c r="CF44" s="49"/>
      <c r="CG44" s="49"/>
      <c r="CH44" s="50">
        <f t="shared" si="18"/>
        <v>0</v>
      </c>
      <c r="CJ44" s="49"/>
      <c r="CK44" s="49"/>
      <c r="CL44" s="50">
        <f t="shared" si="19"/>
        <v>0</v>
      </c>
      <c r="CN44" s="49"/>
      <c r="CO44" s="49"/>
      <c r="CP44" s="50">
        <f t="shared" si="20"/>
        <v>0</v>
      </c>
      <c r="CR44" s="49"/>
      <c r="CS44" s="49"/>
      <c r="CT44" s="50">
        <f t="shared" si="21"/>
        <v>0</v>
      </c>
      <c r="CV44" s="49"/>
      <c r="CW44" s="49"/>
      <c r="CX44" s="50">
        <f t="shared" si="22"/>
        <v>0</v>
      </c>
      <c r="CZ44" s="49"/>
      <c r="DA44" s="49"/>
      <c r="DB44" s="50">
        <f t="shared" si="23"/>
        <v>0</v>
      </c>
      <c r="DD44" s="49"/>
      <c r="DE44" s="49"/>
      <c r="DF44" s="50">
        <f t="shared" si="24"/>
        <v>0</v>
      </c>
      <c r="DH44" s="49"/>
      <c r="DI44" s="49"/>
      <c r="DJ44" s="50">
        <f t="shared" si="25"/>
        <v>0</v>
      </c>
      <c r="DL44" s="49"/>
      <c r="DM44" s="49"/>
      <c r="DN44" s="50">
        <f t="shared" si="26"/>
        <v>0</v>
      </c>
      <c r="DP44" s="49"/>
      <c r="DQ44" s="49"/>
      <c r="DR44" s="50">
        <f t="shared" si="27"/>
        <v>0</v>
      </c>
      <c r="DT44" s="49"/>
      <c r="DU44" s="49"/>
      <c r="DV44" s="50">
        <f t="shared" si="28"/>
        <v>0</v>
      </c>
      <c r="DX44" s="49"/>
      <c r="DY44" s="49"/>
      <c r="DZ44" s="50">
        <f t="shared" si="29"/>
        <v>0</v>
      </c>
      <c r="EB44" s="49">
        <f t="shared" si="30"/>
        <v>0</v>
      </c>
      <c r="EC44" s="49">
        <f t="shared" si="30"/>
        <v>0</v>
      </c>
      <c r="ED44" s="49">
        <f t="shared" si="30"/>
        <v>0</v>
      </c>
    </row>
    <row r="45" spans="2:134" ht="11" customHeight="1" x14ac:dyDescent="0.35">
      <c r="B45" s="4">
        <v>106616</v>
      </c>
      <c r="C45" s="4" t="s">
        <v>51</v>
      </c>
      <c r="D45" s="4">
        <v>6</v>
      </c>
      <c r="E45" s="5">
        <v>12</v>
      </c>
      <c r="F45" s="6">
        <v>476.67968294000002</v>
      </c>
      <c r="G45" s="7"/>
      <c r="H45" s="49"/>
      <c r="I45" s="49"/>
      <c r="J45" s="50">
        <f t="shared" si="31"/>
        <v>0</v>
      </c>
      <c r="K45" s="9"/>
      <c r="L45" s="49"/>
      <c r="M45" s="49"/>
      <c r="N45" s="50">
        <f t="shared" si="0"/>
        <v>0</v>
      </c>
      <c r="O45" s="46"/>
      <c r="P45" s="49"/>
      <c r="Q45" s="49"/>
      <c r="R45" s="50">
        <f t="shared" si="1"/>
        <v>0</v>
      </c>
      <c r="T45" s="49"/>
      <c r="U45" s="49"/>
      <c r="V45" s="50">
        <f t="shared" si="2"/>
        <v>0</v>
      </c>
      <c r="X45" s="49"/>
      <c r="Y45" s="49"/>
      <c r="Z45" s="50">
        <f t="shared" si="3"/>
        <v>0</v>
      </c>
      <c r="AB45" s="49"/>
      <c r="AC45" s="49"/>
      <c r="AD45" s="50">
        <f t="shared" si="4"/>
        <v>0</v>
      </c>
      <c r="AF45" s="49"/>
      <c r="AG45" s="49"/>
      <c r="AH45" s="50">
        <f t="shared" si="5"/>
        <v>0</v>
      </c>
      <c r="AJ45" s="49"/>
      <c r="AK45" s="49"/>
      <c r="AL45" s="50">
        <f t="shared" si="6"/>
        <v>0</v>
      </c>
      <c r="AN45" s="49"/>
      <c r="AO45" s="49"/>
      <c r="AP45" s="50">
        <f t="shared" si="7"/>
        <v>0</v>
      </c>
      <c r="AR45" s="49"/>
      <c r="AS45" s="49"/>
      <c r="AT45" s="50">
        <f t="shared" si="8"/>
        <v>0</v>
      </c>
      <c r="AV45" s="49"/>
      <c r="AW45" s="49"/>
      <c r="AX45" s="50">
        <f t="shared" si="9"/>
        <v>0</v>
      </c>
      <c r="AZ45" s="49"/>
      <c r="BA45" s="49"/>
      <c r="BB45" s="50">
        <f t="shared" si="10"/>
        <v>0</v>
      </c>
      <c r="BD45" s="49"/>
      <c r="BE45" s="49"/>
      <c r="BF45" s="50">
        <f t="shared" si="11"/>
        <v>0</v>
      </c>
      <c r="BH45" s="49"/>
      <c r="BI45" s="49"/>
      <c r="BJ45" s="50">
        <f t="shared" si="12"/>
        <v>0</v>
      </c>
      <c r="BL45" s="49"/>
      <c r="BM45" s="49"/>
      <c r="BN45" s="50">
        <f t="shared" si="13"/>
        <v>0</v>
      </c>
      <c r="BP45" s="49"/>
      <c r="BQ45" s="49"/>
      <c r="BR45" s="50">
        <f t="shared" si="14"/>
        <v>0</v>
      </c>
      <c r="BT45" s="49"/>
      <c r="BU45" s="49"/>
      <c r="BV45" s="50">
        <f t="shared" si="15"/>
        <v>0</v>
      </c>
      <c r="BX45" s="49"/>
      <c r="BY45" s="49"/>
      <c r="BZ45" s="50">
        <f t="shared" si="16"/>
        <v>0</v>
      </c>
      <c r="CB45" s="49"/>
      <c r="CC45" s="49"/>
      <c r="CD45" s="50">
        <f t="shared" si="17"/>
        <v>0</v>
      </c>
      <c r="CF45" s="49"/>
      <c r="CG45" s="49"/>
      <c r="CH45" s="50">
        <f t="shared" si="18"/>
        <v>0</v>
      </c>
      <c r="CJ45" s="49"/>
      <c r="CK45" s="49"/>
      <c r="CL45" s="50">
        <f t="shared" si="19"/>
        <v>0</v>
      </c>
      <c r="CN45" s="49"/>
      <c r="CO45" s="49"/>
      <c r="CP45" s="50">
        <f t="shared" si="20"/>
        <v>0</v>
      </c>
      <c r="CR45" s="49"/>
      <c r="CS45" s="49"/>
      <c r="CT45" s="50">
        <f t="shared" si="21"/>
        <v>0</v>
      </c>
      <c r="CV45" s="49"/>
      <c r="CW45" s="49"/>
      <c r="CX45" s="50">
        <f t="shared" si="22"/>
        <v>0</v>
      </c>
      <c r="CZ45" s="49"/>
      <c r="DA45" s="49"/>
      <c r="DB45" s="50">
        <f t="shared" si="23"/>
        <v>0</v>
      </c>
      <c r="DD45" s="49"/>
      <c r="DE45" s="49"/>
      <c r="DF45" s="50">
        <f t="shared" si="24"/>
        <v>0</v>
      </c>
      <c r="DH45" s="49"/>
      <c r="DI45" s="49"/>
      <c r="DJ45" s="50">
        <f t="shared" si="25"/>
        <v>0</v>
      </c>
      <c r="DL45" s="49"/>
      <c r="DM45" s="49"/>
      <c r="DN45" s="50">
        <f t="shared" si="26"/>
        <v>0</v>
      </c>
      <c r="DP45" s="49"/>
      <c r="DQ45" s="49"/>
      <c r="DR45" s="50">
        <f t="shared" si="27"/>
        <v>0</v>
      </c>
      <c r="DT45" s="49"/>
      <c r="DU45" s="49"/>
      <c r="DV45" s="50">
        <f t="shared" si="28"/>
        <v>0</v>
      </c>
      <c r="DX45" s="49"/>
      <c r="DY45" s="49"/>
      <c r="DZ45" s="50">
        <f t="shared" si="29"/>
        <v>0</v>
      </c>
      <c r="EB45" s="49">
        <f t="shared" si="30"/>
        <v>0</v>
      </c>
      <c r="EC45" s="49">
        <f t="shared" si="30"/>
        <v>0</v>
      </c>
      <c r="ED45" s="49">
        <f t="shared" si="30"/>
        <v>0</v>
      </c>
    </row>
    <row r="46" spans="2:134" ht="11" customHeight="1" x14ac:dyDescent="0.35">
      <c r="B46" s="4">
        <v>106617</v>
      </c>
      <c r="C46" s="4" t="s">
        <v>52</v>
      </c>
      <c r="D46" s="4">
        <v>6</v>
      </c>
      <c r="E46" s="5">
        <v>12</v>
      </c>
      <c r="F46" s="6">
        <v>476.67968294000002</v>
      </c>
      <c r="G46" s="7"/>
      <c r="H46" s="49"/>
      <c r="I46" s="49"/>
      <c r="J46" s="50">
        <f t="shared" si="31"/>
        <v>0</v>
      </c>
      <c r="K46" s="9"/>
      <c r="L46" s="49"/>
      <c r="M46" s="49"/>
      <c r="N46" s="50">
        <f t="shared" si="0"/>
        <v>0</v>
      </c>
      <c r="O46" s="46"/>
      <c r="P46" s="49"/>
      <c r="Q46" s="49"/>
      <c r="R46" s="50">
        <f t="shared" si="1"/>
        <v>0</v>
      </c>
      <c r="T46" s="49"/>
      <c r="U46" s="49"/>
      <c r="V46" s="50">
        <f t="shared" si="2"/>
        <v>0</v>
      </c>
      <c r="X46" s="49"/>
      <c r="Y46" s="49"/>
      <c r="Z46" s="50">
        <f t="shared" si="3"/>
        <v>0</v>
      </c>
      <c r="AB46" s="49"/>
      <c r="AC46" s="49"/>
      <c r="AD46" s="50">
        <f t="shared" si="4"/>
        <v>0</v>
      </c>
      <c r="AF46" s="49"/>
      <c r="AG46" s="49"/>
      <c r="AH46" s="50">
        <f t="shared" si="5"/>
        <v>0</v>
      </c>
      <c r="AJ46" s="49"/>
      <c r="AK46" s="49"/>
      <c r="AL46" s="50">
        <f t="shared" si="6"/>
        <v>0</v>
      </c>
      <c r="AN46" s="49"/>
      <c r="AO46" s="49"/>
      <c r="AP46" s="50">
        <f t="shared" si="7"/>
        <v>0</v>
      </c>
      <c r="AR46" s="49"/>
      <c r="AS46" s="49"/>
      <c r="AT46" s="50">
        <f t="shared" si="8"/>
        <v>0</v>
      </c>
      <c r="AV46" s="49"/>
      <c r="AW46" s="49"/>
      <c r="AX46" s="50">
        <f t="shared" si="9"/>
        <v>0</v>
      </c>
      <c r="AZ46" s="49"/>
      <c r="BA46" s="49"/>
      <c r="BB46" s="50">
        <f t="shared" si="10"/>
        <v>0</v>
      </c>
      <c r="BD46" s="49"/>
      <c r="BE46" s="49"/>
      <c r="BF46" s="50">
        <f t="shared" si="11"/>
        <v>0</v>
      </c>
      <c r="BH46" s="49"/>
      <c r="BI46" s="49"/>
      <c r="BJ46" s="50">
        <f t="shared" si="12"/>
        <v>0</v>
      </c>
      <c r="BL46" s="49"/>
      <c r="BM46" s="49"/>
      <c r="BN46" s="50">
        <f t="shared" si="13"/>
        <v>0</v>
      </c>
      <c r="BP46" s="49"/>
      <c r="BQ46" s="49"/>
      <c r="BR46" s="50">
        <f t="shared" si="14"/>
        <v>0</v>
      </c>
      <c r="BT46" s="49"/>
      <c r="BU46" s="49"/>
      <c r="BV46" s="50">
        <f t="shared" si="15"/>
        <v>0</v>
      </c>
      <c r="BX46" s="49"/>
      <c r="BY46" s="49"/>
      <c r="BZ46" s="50">
        <f t="shared" si="16"/>
        <v>0</v>
      </c>
      <c r="CB46" s="49"/>
      <c r="CC46" s="49"/>
      <c r="CD46" s="50">
        <f t="shared" si="17"/>
        <v>0</v>
      </c>
      <c r="CF46" s="49"/>
      <c r="CG46" s="49"/>
      <c r="CH46" s="50">
        <f t="shared" si="18"/>
        <v>0</v>
      </c>
      <c r="CJ46" s="49"/>
      <c r="CK46" s="49"/>
      <c r="CL46" s="50">
        <f t="shared" si="19"/>
        <v>0</v>
      </c>
      <c r="CN46" s="49"/>
      <c r="CO46" s="49"/>
      <c r="CP46" s="50">
        <f t="shared" si="20"/>
        <v>0</v>
      </c>
      <c r="CR46" s="49"/>
      <c r="CS46" s="49"/>
      <c r="CT46" s="50">
        <f t="shared" si="21"/>
        <v>0</v>
      </c>
      <c r="CV46" s="49"/>
      <c r="CW46" s="49"/>
      <c r="CX46" s="50">
        <f t="shared" si="22"/>
        <v>0</v>
      </c>
      <c r="CZ46" s="49"/>
      <c r="DA46" s="49"/>
      <c r="DB46" s="50">
        <f t="shared" si="23"/>
        <v>0</v>
      </c>
      <c r="DD46" s="49"/>
      <c r="DE46" s="49"/>
      <c r="DF46" s="50">
        <f t="shared" si="24"/>
        <v>0</v>
      </c>
      <c r="DH46" s="49"/>
      <c r="DI46" s="49"/>
      <c r="DJ46" s="50">
        <f t="shared" si="25"/>
        <v>0</v>
      </c>
      <c r="DL46" s="49"/>
      <c r="DM46" s="49"/>
      <c r="DN46" s="50">
        <f t="shared" si="26"/>
        <v>0</v>
      </c>
      <c r="DP46" s="49"/>
      <c r="DQ46" s="49"/>
      <c r="DR46" s="50">
        <f t="shared" si="27"/>
        <v>0</v>
      </c>
      <c r="DT46" s="49"/>
      <c r="DU46" s="49"/>
      <c r="DV46" s="50">
        <f t="shared" si="28"/>
        <v>0</v>
      </c>
      <c r="DX46" s="49"/>
      <c r="DY46" s="49"/>
      <c r="DZ46" s="50">
        <f t="shared" si="29"/>
        <v>0</v>
      </c>
      <c r="EB46" s="49">
        <f t="shared" si="30"/>
        <v>0</v>
      </c>
      <c r="EC46" s="49">
        <f t="shared" si="30"/>
        <v>0</v>
      </c>
      <c r="ED46" s="49">
        <f t="shared" si="30"/>
        <v>0</v>
      </c>
    </row>
    <row r="47" spans="2:134" ht="11" customHeight="1" x14ac:dyDescent="0.35">
      <c r="B47" s="4">
        <v>106618</v>
      </c>
      <c r="C47" s="4" t="s">
        <v>53</v>
      </c>
      <c r="D47" s="4">
        <v>6</v>
      </c>
      <c r="E47" s="5">
        <v>12</v>
      </c>
      <c r="F47" s="6">
        <v>476.67968294000002</v>
      </c>
      <c r="G47" s="7"/>
      <c r="H47" s="49"/>
      <c r="I47" s="49"/>
      <c r="J47" s="50">
        <f t="shared" si="31"/>
        <v>0</v>
      </c>
      <c r="K47" s="9"/>
      <c r="L47" s="49"/>
      <c r="M47" s="49"/>
      <c r="N47" s="50">
        <f t="shared" si="0"/>
        <v>0</v>
      </c>
      <c r="O47" s="46"/>
      <c r="P47" s="49"/>
      <c r="Q47" s="49"/>
      <c r="R47" s="50">
        <f t="shared" si="1"/>
        <v>0</v>
      </c>
      <c r="T47" s="49"/>
      <c r="U47" s="49"/>
      <c r="V47" s="50">
        <f t="shared" si="2"/>
        <v>0</v>
      </c>
      <c r="X47" s="49"/>
      <c r="Y47" s="49"/>
      <c r="Z47" s="50">
        <f t="shared" si="3"/>
        <v>0</v>
      </c>
      <c r="AB47" s="49"/>
      <c r="AC47" s="49"/>
      <c r="AD47" s="50">
        <f t="shared" si="4"/>
        <v>0</v>
      </c>
      <c r="AF47" s="49"/>
      <c r="AG47" s="49"/>
      <c r="AH47" s="50">
        <f t="shared" si="5"/>
        <v>0</v>
      </c>
      <c r="AJ47" s="49"/>
      <c r="AK47" s="49"/>
      <c r="AL47" s="50">
        <f t="shared" si="6"/>
        <v>0</v>
      </c>
      <c r="AN47" s="49"/>
      <c r="AO47" s="49"/>
      <c r="AP47" s="50">
        <f t="shared" si="7"/>
        <v>0</v>
      </c>
      <c r="AR47" s="49"/>
      <c r="AS47" s="49"/>
      <c r="AT47" s="50">
        <f t="shared" si="8"/>
        <v>0</v>
      </c>
      <c r="AV47" s="49"/>
      <c r="AW47" s="49"/>
      <c r="AX47" s="50">
        <f t="shared" si="9"/>
        <v>0</v>
      </c>
      <c r="AZ47" s="49"/>
      <c r="BA47" s="49"/>
      <c r="BB47" s="50">
        <f t="shared" si="10"/>
        <v>0</v>
      </c>
      <c r="BD47" s="49"/>
      <c r="BE47" s="49"/>
      <c r="BF47" s="50">
        <f t="shared" si="11"/>
        <v>0</v>
      </c>
      <c r="BH47" s="49"/>
      <c r="BI47" s="49"/>
      <c r="BJ47" s="50">
        <f t="shared" si="12"/>
        <v>0</v>
      </c>
      <c r="BL47" s="49"/>
      <c r="BM47" s="49"/>
      <c r="BN47" s="50">
        <f t="shared" si="13"/>
        <v>0</v>
      </c>
      <c r="BP47" s="49"/>
      <c r="BQ47" s="49"/>
      <c r="BR47" s="50">
        <f t="shared" si="14"/>
        <v>0</v>
      </c>
      <c r="BT47" s="49"/>
      <c r="BU47" s="49"/>
      <c r="BV47" s="50">
        <f t="shared" si="15"/>
        <v>0</v>
      </c>
      <c r="BX47" s="49"/>
      <c r="BY47" s="49"/>
      <c r="BZ47" s="50">
        <f t="shared" si="16"/>
        <v>0</v>
      </c>
      <c r="CB47" s="49"/>
      <c r="CC47" s="49"/>
      <c r="CD47" s="50">
        <f t="shared" si="17"/>
        <v>0</v>
      </c>
      <c r="CF47" s="49"/>
      <c r="CG47" s="49"/>
      <c r="CH47" s="50">
        <f t="shared" si="18"/>
        <v>0</v>
      </c>
      <c r="CJ47" s="49"/>
      <c r="CK47" s="49"/>
      <c r="CL47" s="50">
        <f t="shared" si="19"/>
        <v>0</v>
      </c>
      <c r="CN47" s="49"/>
      <c r="CO47" s="49"/>
      <c r="CP47" s="50">
        <f t="shared" si="20"/>
        <v>0</v>
      </c>
      <c r="CR47" s="49"/>
      <c r="CS47" s="49"/>
      <c r="CT47" s="50">
        <f t="shared" si="21"/>
        <v>0</v>
      </c>
      <c r="CV47" s="49"/>
      <c r="CW47" s="49"/>
      <c r="CX47" s="50">
        <f t="shared" si="22"/>
        <v>0</v>
      </c>
      <c r="CZ47" s="49"/>
      <c r="DA47" s="49"/>
      <c r="DB47" s="50">
        <f t="shared" si="23"/>
        <v>0</v>
      </c>
      <c r="DD47" s="49"/>
      <c r="DE47" s="49"/>
      <c r="DF47" s="50">
        <f t="shared" si="24"/>
        <v>0</v>
      </c>
      <c r="DH47" s="49"/>
      <c r="DI47" s="49"/>
      <c r="DJ47" s="50">
        <f t="shared" si="25"/>
        <v>0</v>
      </c>
      <c r="DL47" s="49"/>
      <c r="DM47" s="49"/>
      <c r="DN47" s="50">
        <f t="shared" si="26"/>
        <v>0</v>
      </c>
      <c r="DP47" s="49"/>
      <c r="DQ47" s="49"/>
      <c r="DR47" s="50">
        <f t="shared" si="27"/>
        <v>0</v>
      </c>
      <c r="DT47" s="49"/>
      <c r="DU47" s="49"/>
      <c r="DV47" s="50">
        <f t="shared" si="28"/>
        <v>0</v>
      </c>
      <c r="DX47" s="49"/>
      <c r="DY47" s="49"/>
      <c r="DZ47" s="50">
        <f t="shared" si="29"/>
        <v>0</v>
      </c>
      <c r="EB47" s="49">
        <f t="shared" si="30"/>
        <v>0</v>
      </c>
      <c r="EC47" s="49">
        <f t="shared" si="30"/>
        <v>0</v>
      </c>
      <c r="ED47" s="49">
        <f t="shared" si="30"/>
        <v>0</v>
      </c>
    </row>
    <row r="48" spans="2:134" ht="11" customHeight="1" x14ac:dyDescent="0.35">
      <c r="B48" s="4">
        <v>106620</v>
      </c>
      <c r="C48" s="4" t="s">
        <v>54</v>
      </c>
      <c r="D48" s="4">
        <v>12</v>
      </c>
      <c r="E48" s="5">
        <v>12</v>
      </c>
      <c r="F48" s="6">
        <v>468.865061078</v>
      </c>
      <c r="G48" s="7"/>
      <c r="H48" s="49"/>
      <c r="I48" s="49"/>
      <c r="J48" s="50">
        <f t="shared" si="31"/>
        <v>0</v>
      </c>
      <c r="K48" s="9"/>
      <c r="L48" s="49"/>
      <c r="M48" s="49"/>
      <c r="N48" s="50">
        <f t="shared" si="0"/>
        <v>0</v>
      </c>
      <c r="O48" s="46"/>
      <c r="P48" s="49"/>
      <c r="Q48" s="49"/>
      <c r="R48" s="50">
        <f t="shared" si="1"/>
        <v>0</v>
      </c>
      <c r="T48" s="49"/>
      <c r="U48" s="49"/>
      <c r="V48" s="50">
        <f t="shared" si="2"/>
        <v>0</v>
      </c>
      <c r="X48" s="49"/>
      <c r="Y48" s="49"/>
      <c r="Z48" s="50">
        <f t="shared" si="3"/>
        <v>0</v>
      </c>
      <c r="AB48" s="49"/>
      <c r="AC48" s="49"/>
      <c r="AD48" s="50">
        <f t="shared" si="4"/>
        <v>0</v>
      </c>
      <c r="AF48" s="49"/>
      <c r="AG48" s="49"/>
      <c r="AH48" s="50">
        <f t="shared" si="5"/>
        <v>0</v>
      </c>
      <c r="AJ48" s="49"/>
      <c r="AK48" s="49"/>
      <c r="AL48" s="50">
        <f t="shared" si="6"/>
        <v>0</v>
      </c>
      <c r="AN48" s="49"/>
      <c r="AO48" s="49"/>
      <c r="AP48" s="50">
        <f t="shared" si="7"/>
        <v>0</v>
      </c>
      <c r="AR48" s="49"/>
      <c r="AS48" s="49"/>
      <c r="AT48" s="50">
        <f t="shared" si="8"/>
        <v>0</v>
      </c>
      <c r="AV48" s="49"/>
      <c r="AW48" s="49"/>
      <c r="AX48" s="50">
        <f t="shared" si="9"/>
        <v>0</v>
      </c>
      <c r="AZ48" s="49"/>
      <c r="BA48" s="49"/>
      <c r="BB48" s="50">
        <f t="shared" si="10"/>
        <v>0</v>
      </c>
      <c r="BD48" s="49"/>
      <c r="BE48" s="49"/>
      <c r="BF48" s="50">
        <f t="shared" si="11"/>
        <v>0</v>
      </c>
      <c r="BH48" s="49"/>
      <c r="BI48" s="49"/>
      <c r="BJ48" s="50">
        <f t="shared" si="12"/>
        <v>0</v>
      </c>
      <c r="BL48" s="49"/>
      <c r="BM48" s="49"/>
      <c r="BN48" s="50">
        <f t="shared" si="13"/>
        <v>0</v>
      </c>
      <c r="BP48" s="49"/>
      <c r="BQ48" s="49"/>
      <c r="BR48" s="50">
        <f t="shared" si="14"/>
        <v>0</v>
      </c>
      <c r="BT48" s="49"/>
      <c r="BU48" s="49"/>
      <c r="BV48" s="50">
        <f t="shared" si="15"/>
        <v>0</v>
      </c>
      <c r="BX48" s="49"/>
      <c r="BY48" s="49"/>
      <c r="BZ48" s="50">
        <f t="shared" si="16"/>
        <v>0</v>
      </c>
      <c r="CB48" s="49"/>
      <c r="CC48" s="49"/>
      <c r="CD48" s="50">
        <f t="shared" si="17"/>
        <v>0</v>
      </c>
      <c r="CF48" s="49"/>
      <c r="CG48" s="49"/>
      <c r="CH48" s="50">
        <f t="shared" si="18"/>
        <v>0</v>
      </c>
      <c r="CJ48" s="49"/>
      <c r="CK48" s="49"/>
      <c r="CL48" s="50">
        <f t="shared" si="19"/>
        <v>0</v>
      </c>
      <c r="CN48" s="49"/>
      <c r="CO48" s="49"/>
      <c r="CP48" s="50">
        <f t="shared" si="20"/>
        <v>0</v>
      </c>
      <c r="CR48" s="49"/>
      <c r="CS48" s="49"/>
      <c r="CT48" s="50">
        <f t="shared" si="21"/>
        <v>0</v>
      </c>
      <c r="CV48" s="49"/>
      <c r="CW48" s="49"/>
      <c r="CX48" s="50">
        <f t="shared" si="22"/>
        <v>0</v>
      </c>
      <c r="CZ48" s="49"/>
      <c r="DA48" s="49"/>
      <c r="DB48" s="50">
        <f t="shared" si="23"/>
        <v>0</v>
      </c>
      <c r="DD48" s="49"/>
      <c r="DE48" s="49"/>
      <c r="DF48" s="50">
        <f t="shared" si="24"/>
        <v>0</v>
      </c>
      <c r="DH48" s="49"/>
      <c r="DI48" s="49"/>
      <c r="DJ48" s="50">
        <f t="shared" si="25"/>
        <v>0</v>
      </c>
      <c r="DL48" s="49"/>
      <c r="DM48" s="49"/>
      <c r="DN48" s="50">
        <f t="shared" si="26"/>
        <v>0</v>
      </c>
      <c r="DP48" s="49"/>
      <c r="DQ48" s="49"/>
      <c r="DR48" s="50">
        <f t="shared" si="27"/>
        <v>0</v>
      </c>
      <c r="DT48" s="49"/>
      <c r="DU48" s="49"/>
      <c r="DV48" s="50">
        <f t="shared" si="28"/>
        <v>0</v>
      </c>
      <c r="DX48" s="49"/>
      <c r="DY48" s="49"/>
      <c r="DZ48" s="50">
        <f t="shared" si="29"/>
        <v>0</v>
      </c>
      <c r="EB48" s="49">
        <f t="shared" si="30"/>
        <v>0</v>
      </c>
      <c r="EC48" s="49">
        <f t="shared" si="30"/>
        <v>0</v>
      </c>
      <c r="ED48" s="49">
        <f t="shared" si="30"/>
        <v>0</v>
      </c>
    </row>
    <row r="49" spans="2:134" ht="11" customHeight="1" x14ac:dyDescent="0.35">
      <c r="B49" s="4">
        <v>106622</v>
      </c>
      <c r="C49" s="4" t="s">
        <v>55</v>
      </c>
      <c r="D49" s="4">
        <v>12</v>
      </c>
      <c r="E49" s="5">
        <v>12</v>
      </c>
      <c r="F49" s="6">
        <v>468.865061078</v>
      </c>
      <c r="G49" s="7"/>
      <c r="H49" s="49"/>
      <c r="I49" s="49"/>
      <c r="J49" s="50">
        <f t="shared" si="31"/>
        <v>0</v>
      </c>
      <c r="K49" s="9"/>
      <c r="L49" s="49"/>
      <c r="M49" s="49"/>
      <c r="N49" s="50">
        <f t="shared" si="0"/>
        <v>0</v>
      </c>
      <c r="O49" s="46"/>
      <c r="P49" s="49"/>
      <c r="Q49" s="49"/>
      <c r="R49" s="50">
        <f t="shared" si="1"/>
        <v>0</v>
      </c>
      <c r="T49" s="49"/>
      <c r="U49" s="49"/>
      <c r="V49" s="50">
        <f t="shared" si="2"/>
        <v>0</v>
      </c>
      <c r="X49" s="49"/>
      <c r="Y49" s="49"/>
      <c r="Z49" s="50">
        <f t="shared" si="3"/>
        <v>0</v>
      </c>
      <c r="AB49" s="49"/>
      <c r="AC49" s="49"/>
      <c r="AD49" s="50">
        <f t="shared" si="4"/>
        <v>0</v>
      </c>
      <c r="AF49" s="49"/>
      <c r="AG49" s="49"/>
      <c r="AH49" s="50">
        <f t="shared" si="5"/>
        <v>0</v>
      </c>
      <c r="AJ49" s="49"/>
      <c r="AK49" s="49"/>
      <c r="AL49" s="50">
        <f t="shared" si="6"/>
        <v>0</v>
      </c>
      <c r="AN49" s="49"/>
      <c r="AO49" s="49"/>
      <c r="AP49" s="50">
        <f t="shared" si="7"/>
        <v>0</v>
      </c>
      <c r="AR49" s="49"/>
      <c r="AS49" s="49"/>
      <c r="AT49" s="50">
        <f t="shared" si="8"/>
        <v>0</v>
      </c>
      <c r="AV49" s="49"/>
      <c r="AW49" s="49"/>
      <c r="AX49" s="50">
        <f t="shared" si="9"/>
        <v>0</v>
      </c>
      <c r="AZ49" s="49"/>
      <c r="BA49" s="49"/>
      <c r="BB49" s="50">
        <f t="shared" si="10"/>
        <v>0</v>
      </c>
      <c r="BD49" s="49"/>
      <c r="BE49" s="49"/>
      <c r="BF49" s="50">
        <f t="shared" si="11"/>
        <v>0</v>
      </c>
      <c r="BH49" s="49"/>
      <c r="BI49" s="49"/>
      <c r="BJ49" s="50">
        <f t="shared" si="12"/>
        <v>0</v>
      </c>
      <c r="BL49" s="49"/>
      <c r="BM49" s="49"/>
      <c r="BN49" s="50">
        <f t="shared" si="13"/>
        <v>0</v>
      </c>
      <c r="BP49" s="49"/>
      <c r="BQ49" s="49"/>
      <c r="BR49" s="50">
        <f t="shared" si="14"/>
        <v>0</v>
      </c>
      <c r="BT49" s="49"/>
      <c r="BU49" s="49"/>
      <c r="BV49" s="50">
        <f t="shared" si="15"/>
        <v>0</v>
      </c>
      <c r="BX49" s="49"/>
      <c r="BY49" s="49"/>
      <c r="BZ49" s="50">
        <f t="shared" si="16"/>
        <v>0</v>
      </c>
      <c r="CB49" s="49"/>
      <c r="CC49" s="49"/>
      <c r="CD49" s="50">
        <f t="shared" si="17"/>
        <v>0</v>
      </c>
      <c r="CF49" s="49"/>
      <c r="CG49" s="49"/>
      <c r="CH49" s="50">
        <f t="shared" si="18"/>
        <v>0</v>
      </c>
      <c r="CJ49" s="49"/>
      <c r="CK49" s="49"/>
      <c r="CL49" s="50">
        <f t="shared" si="19"/>
        <v>0</v>
      </c>
      <c r="CN49" s="49"/>
      <c r="CO49" s="49"/>
      <c r="CP49" s="50">
        <f t="shared" si="20"/>
        <v>0</v>
      </c>
      <c r="CR49" s="49"/>
      <c r="CS49" s="49"/>
      <c r="CT49" s="50">
        <f t="shared" si="21"/>
        <v>0</v>
      </c>
      <c r="CV49" s="49"/>
      <c r="CW49" s="49"/>
      <c r="CX49" s="50">
        <f t="shared" si="22"/>
        <v>0</v>
      </c>
      <c r="CZ49" s="49"/>
      <c r="DA49" s="49"/>
      <c r="DB49" s="50">
        <f t="shared" si="23"/>
        <v>0</v>
      </c>
      <c r="DD49" s="49"/>
      <c r="DE49" s="49"/>
      <c r="DF49" s="50">
        <f t="shared" si="24"/>
        <v>0</v>
      </c>
      <c r="DH49" s="49"/>
      <c r="DI49" s="49"/>
      <c r="DJ49" s="50">
        <f t="shared" si="25"/>
        <v>0</v>
      </c>
      <c r="DL49" s="49"/>
      <c r="DM49" s="49"/>
      <c r="DN49" s="50">
        <f t="shared" si="26"/>
        <v>0</v>
      </c>
      <c r="DP49" s="49"/>
      <c r="DQ49" s="49"/>
      <c r="DR49" s="50">
        <f t="shared" si="27"/>
        <v>0</v>
      </c>
      <c r="DT49" s="49"/>
      <c r="DU49" s="49"/>
      <c r="DV49" s="50">
        <f t="shared" si="28"/>
        <v>0</v>
      </c>
      <c r="DX49" s="49"/>
      <c r="DY49" s="49"/>
      <c r="DZ49" s="50">
        <f t="shared" si="29"/>
        <v>0</v>
      </c>
      <c r="EB49" s="49">
        <f t="shared" si="30"/>
        <v>0</v>
      </c>
      <c r="EC49" s="49">
        <f t="shared" si="30"/>
        <v>0</v>
      </c>
      <c r="ED49" s="49">
        <f t="shared" si="30"/>
        <v>0</v>
      </c>
    </row>
    <row r="50" spans="2:134" ht="11" customHeight="1" x14ac:dyDescent="0.35">
      <c r="B50" s="4">
        <v>107013</v>
      </c>
      <c r="C50" s="4" t="s">
        <v>56</v>
      </c>
      <c r="D50" s="4">
        <v>1</v>
      </c>
      <c r="E50" s="5">
        <v>24</v>
      </c>
      <c r="F50" s="6">
        <v>197.18624064799999</v>
      </c>
      <c r="G50" s="7"/>
      <c r="H50" s="49"/>
      <c r="I50" s="49"/>
      <c r="J50" s="50">
        <f t="shared" si="31"/>
        <v>0</v>
      </c>
      <c r="K50" s="9"/>
      <c r="L50" s="49"/>
      <c r="M50" s="49"/>
      <c r="N50" s="50">
        <f t="shared" si="0"/>
        <v>0</v>
      </c>
      <c r="O50" s="46"/>
      <c r="P50" s="49"/>
      <c r="Q50" s="49"/>
      <c r="R50" s="50">
        <f t="shared" si="1"/>
        <v>0</v>
      </c>
      <c r="T50" s="49"/>
      <c r="U50" s="49"/>
      <c r="V50" s="50">
        <f t="shared" si="2"/>
        <v>0</v>
      </c>
      <c r="X50" s="49"/>
      <c r="Y50" s="49"/>
      <c r="Z50" s="50">
        <f t="shared" si="3"/>
        <v>0</v>
      </c>
      <c r="AB50" s="49"/>
      <c r="AC50" s="49"/>
      <c r="AD50" s="50">
        <f t="shared" si="4"/>
        <v>0</v>
      </c>
      <c r="AF50" s="49"/>
      <c r="AG50" s="49"/>
      <c r="AH50" s="50">
        <f t="shared" si="5"/>
        <v>0</v>
      </c>
      <c r="AJ50" s="49"/>
      <c r="AK50" s="49"/>
      <c r="AL50" s="50">
        <f t="shared" si="6"/>
        <v>0</v>
      </c>
      <c r="AN50" s="49"/>
      <c r="AO50" s="49"/>
      <c r="AP50" s="50">
        <f t="shared" si="7"/>
        <v>0</v>
      </c>
      <c r="AR50" s="49"/>
      <c r="AS50" s="49"/>
      <c r="AT50" s="50">
        <f t="shared" si="8"/>
        <v>0</v>
      </c>
      <c r="AV50" s="49"/>
      <c r="AW50" s="49"/>
      <c r="AX50" s="50">
        <f t="shared" si="9"/>
        <v>0</v>
      </c>
      <c r="AZ50" s="49"/>
      <c r="BA50" s="49"/>
      <c r="BB50" s="50">
        <f t="shared" si="10"/>
        <v>0</v>
      </c>
      <c r="BD50" s="49"/>
      <c r="BE50" s="49"/>
      <c r="BF50" s="50">
        <f t="shared" si="11"/>
        <v>0</v>
      </c>
      <c r="BH50" s="49"/>
      <c r="BI50" s="49"/>
      <c r="BJ50" s="50">
        <f t="shared" si="12"/>
        <v>0</v>
      </c>
      <c r="BL50" s="49"/>
      <c r="BM50" s="49"/>
      <c r="BN50" s="50">
        <f t="shared" si="13"/>
        <v>0</v>
      </c>
      <c r="BP50" s="49"/>
      <c r="BQ50" s="49"/>
      <c r="BR50" s="50">
        <f t="shared" si="14"/>
        <v>0</v>
      </c>
      <c r="BT50" s="49"/>
      <c r="BU50" s="49"/>
      <c r="BV50" s="50">
        <f t="shared" si="15"/>
        <v>0</v>
      </c>
      <c r="BX50" s="49"/>
      <c r="BY50" s="49"/>
      <c r="BZ50" s="50">
        <f t="shared" si="16"/>
        <v>0</v>
      </c>
      <c r="CB50" s="49"/>
      <c r="CC50" s="49"/>
      <c r="CD50" s="50">
        <f t="shared" si="17"/>
        <v>0</v>
      </c>
      <c r="CF50" s="49"/>
      <c r="CG50" s="49"/>
      <c r="CH50" s="50">
        <f t="shared" si="18"/>
        <v>0</v>
      </c>
      <c r="CJ50" s="49"/>
      <c r="CK50" s="49"/>
      <c r="CL50" s="50">
        <f t="shared" si="19"/>
        <v>0</v>
      </c>
      <c r="CN50" s="49"/>
      <c r="CO50" s="49"/>
      <c r="CP50" s="50">
        <f t="shared" si="20"/>
        <v>0</v>
      </c>
      <c r="CR50" s="49"/>
      <c r="CS50" s="49"/>
      <c r="CT50" s="50">
        <f t="shared" si="21"/>
        <v>0</v>
      </c>
      <c r="CV50" s="49"/>
      <c r="CW50" s="49"/>
      <c r="CX50" s="50">
        <f t="shared" si="22"/>
        <v>0</v>
      </c>
      <c r="CZ50" s="49"/>
      <c r="DA50" s="49"/>
      <c r="DB50" s="50">
        <f t="shared" si="23"/>
        <v>0</v>
      </c>
      <c r="DD50" s="49"/>
      <c r="DE50" s="49"/>
      <c r="DF50" s="50">
        <f t="shared" si="24"/>
        <v>0</v>
      </c>
      <c r="DH50" s="49"/>
      <c r="DI50" s="49"/>
      <c r="DJ50" s="50">
        <f t="shared" si="25"/>
        <v>0</v>
      </c>
      <c r="DL50" s="49"/>
      <c r="DM50" s="49"/>
      <c r="DN50" s="50">
        <f t="shared" si="26"/>
        <v>0</v>
      </c>
      <c r="DP50" s="49"/>
      <c r="DQ50" s="49"/>
      <c r="DR50" s="50">
        <f t="shared" si="27"/>
        <v>0</v>
      </c>
      <c r="DT50" s="49"/>
      <c r="DU50" s="49"/>
      <c r="DV50" s="50">
        <f t="shared" si="28"/>
        <v>0</v>
      </c>
      <c r="DX50" s="49"/>
      <c r="DY50" s="49"/>
      <c r="DZ50" s="50">
        <f t="shared" si="29"/>
        <v>0</v>
      </c>
      <c r="EB50" s="49">
        <f t="shared" si="30"/>
        <v>0</v>
      </c>
      <c r="EC50" s="49">
        <f t="shared" si="30"/>
        <v>0</v>
      </c>
      <c r="ED50" s="49">
        <f t="shared" si="30"/>
        <v>0</v>
      </c>
    </row>
    <row r="51" spans="2:134" ht="11" customHeight="1" x14ac:dyDescent="0.35">
      <c r="B51" s="4">
        <v>107017</v>
      </c>
      <c r="C51" s="4" t="s">
        <v>57</v>
      </c>
      <c r="D51" s="4">
        <v>100</v>
      </c>
      <c r="E51" s="5">
        <v>12</v>
      </c>
      <c r="F51" s="6">
        <v>801.89063294000005</v>
      </c>
      <c r="G51" s="7"/>
      <c r="H51" s="49"/>
      <c r="I51" s="49"/>
      <c r="J51" s="50">
        <f t="shared" si="31"/>
        <v>0</v>
      </c>
      <c r="K51" s="9"/>
      <c r="L51" s="49"/>
      <c r="M51" s="49"/>
      <c r="N51" s="50">
        <f t="shared" si="0"/>
        <v>0</v>
      </c>
      <c r="O51" s="46"/>
      <c r="P51" s="49"/>
      <c r="Q51" s="49"/>
      <c r="R51" s="50">
        <f t="shared" si="1"/>
        <v>0</v>
      </c>
      <c r="T51" s="49"/>
      <c r="U51" s="49"/>
      <c r="V51" s="50">
        <f t="shared" si="2"/>
        <v>0</v>
      </c>
      <c r="X51" s="49"/>
      <c r="Y51" s="49"/>
      <c r="Z51" s="50">
        <f t="shared" si="3"/>
        <v>0</v>
      </c>
      <c r="AB51" s="49"/>
      <c r="AC51" s="49"/>
      <c r="AD51" s="50">
        <f t="shared" si="4"/>
        <v>0</v>
      </c>
      <c r="AF51" s="49"/>
      <c r="AG51" s="49"/>
      <c r="AH51" s="50">
        <f t="shared" si="5"/>
        <v>0</v>
      </c>
      <c r="AJ51" s="49"/>
      <c r="AK51" s="49"/>
      <c r="AL51" s="50">
        <f t="shared" si="6"/>
        <v>0</v>
      </c>
      <c r="AN51" s="49"/>
      <c r="AO51" s="49"/>
      <c r="AP51" s="50">
        <f t="shared" si="7"/>
        <v>0</v>
      </c>
      <c r="AR51" s="49"/>
      <c r="AS51" s="49"/>
      <c r="AT51" s="50">
        <f t="shared" si="8"/>
        <v>0</v>
      </c>
      <c r="AV51" s="49"/>
      <c r="AW51" s="49"/>
      <c r="AX51" s="50">
        <f t="shared" si="9"/>
        <v>0</v>
      </c>
      <c r="AZ51" s="49"/>
      <c r="BA51" s="49"/>
      <c r="BB51" s="50">
        <f t="shared" si="10"/>
        <v>0</v>
      </c>
      <c r="BD51" s="49"/>
      <c r="BE51" s="49"/>
      <c r="BF51" s="50">
        <f t="shared" si="11"/>
        <v>0</v>
      </c>
      <c r="BH51" s="49"/>
      <c r="BI51" s="49"/>
      <c r="BJ51" s="50">
        <f t="shared" si="12"/>
        <v>0</v>
      </c>
      <c r="BL51" s="49"/>
      <c r="BM51" s="49"/>
      <c r="BN51" s="50">
        <f t="shared" si="13"/>
        <v>0</v>
      </c>
      <c r="BP51" s="49"/>
      <c r="BQ51" s="49"/>
      <c r="BR51" s="50">
        <f t="shared" si="14"/>
        <v>0</v>
      </c>
      <c r="BT51" s="49"/>
      <c r="BU51" s="49"/>
      <c r="BV51" s="50">
        <f t="shared" si="15"/>
        <v>0</v>
      </c>
      <c r="BX51" s="49"/>
      <c r="BY51" s="49"/>
      <c r="BZ51" s="50">
        <f t="shared" si="16"/>
        <v>0</v>
      </c>
      <c r="CB51" s="49"/>
      <c r="CC51" s="49"/>
      <c r="CD51" s="50">
        <f t="shared" si="17"/>
        <v>0</v>
      </c>
      <c r="CF51" s="49"/>
      <c r="CG51" s="49"/>
      <c r="CH51" s="50">
        <f t="shared" si="18"/>
        <v>0</v>
      </c>
      <c r="CJ51" s="49"/>
      <c r="CK51" s="49"/>
      <c r="CL51" s="50">
        <f t="shared" si="19"/>
        <v>0</v>
      </c>
      <c r="CN51" s="49"/>
      <c r="CO51" s="49"/>
      <c r="CP51" s="50">
        <f t="shared" si="20"/>
        <v>0</v>
      </c>
      <c r="CR51" s="49"/>
      <c r="CS51" s="49"/>
      <c r="CT51" s="50">
        <f t="shared" si="21"/>
        <v>0</v>
      </c>
      <c r="CV51" s="49"/>
      <c r="CW51" s="49"/>
      <c r="CX51" s="50">
        <f t="shared" si="22"/>
        <v>0</v>
      </c>
      <c r="CZ51" s="49"/>
      <c r="DA51" s="49"/>
      <c r="DB51" s="50">
        <f t="shared" si="23"/>
        <v>0</v>
      </c>
      <c r="DD51" s="49"/>
      <c r="DE51" s="49"/>
      <c r="DF51" s="50">
        <f t="shared" si="24"/>
        <v>0</v>
      </c>
      <c r="DH51" s="49"/>
      <c r="DI51" s="49"/>
      <c r="DJ51" s="50">
        <f t="shared" si="25"/>
        <v>0</v>
      </c>
      <c r="DL51" s="49"/>
      <c r="DM51" s="49"/>
      <c r="DN51" s="50">
        <f t="shared" si="26"/>
        <v>0</v>
      </c>
      <c r="DP51" s="49"/>
      <c r="DQ51" s="49"/>
      <c r="DR51" s="50">
        <f t="shared" si="27"/>
        <v>0</v>
      </c>
      <c r="DT51" s="49"/>
      <c r="DU51" s="49"/>
      <c r="DV51" s="50">
        <f t="shared" si="28"/>
        <v>0</v>
      </c>
      <c r="DX51" s="49"/>
      <c r="DY51" s="49"/>
      <c r="DZ51" s="50">
        <f t="shared" si="29"/>
        <v>0</v>
      </c>
      <c r="EB51" s="49">
        <f t="shared" si="30"/>
        <v>0</v>
      </c>
      <c r="EC51" s="49">
        <f t="shared" si="30"/>
        <v>0</v>
      </c>
      <c r="ED51" s="49">
        <f t="shared" si="30"/>
        <v>0</v>
      </c>
    </row>
    <row r="52" spans="2:134" ht="11" customHeight="1" x14ac:dyDescent="0.35">
      <c r="B52" s="4">
        <v>107511</v>
      </c>
      <c r="C52" s="4" t="s">
        <v>58</v>
      </c>
      <c r="D52" s="4">
        <v>12</v>
      </c>
      <c r="E52" s="5">
        <v>24</v>
      </c>
      <c r="F52" s="6">
        <v>288.68257499999999</v>
      </c>
      <c r="G52" s="7"/>
      <c r="H52" s="49"/>
      <c r="I52" s="49"/>
      <c r="J52" s="50">
        <f t="shared" si="31"/>
        <v>0</v>
      </c>
      <c r="K52" s="9"/>
      <c r="L52" s="49"/>
      <c r="M52" s="49"/>
      <c r="N52" s="50">
        <f t="shared" si="0"/>
        <v>0</v>
      </c>
      <c r="O52" s="46"/>
      <c r="P52" s="49"/>
      <c r="Q52" s="49"/>
      <c r="R52" s="50">
        <f t="shared" si="1"/>
        <v>0</v>
      </c>
      <c r="T52" s="49"/>
      <c r="U52" s="49"/>
      <c r="V52" s="50">
        <f t="shared" si="2"/>
        <v>0</v>
      </c>
      <c r="X52" s="49"/>
      <c r="Y52" s="49"/>
      <c r="Z52" s="50">
        <f t="shared" si="3"/>
        <v>0</v>
      </c>
      <c r="AB52" s="49"/>
      <c r="AC52" s="49"/>
      <c r="AD52" s="50">
        <f t="shared" si="4"/>
        <v>0</v>
      </c>
      <c r="AF52" s="49"/>
      <c r="AG52" s="49"/>
      <c r="AH52" s="50">
        <f t="shared" si="5"/>
        <v>0</v>
      </c>
      <c r="AJ52" s="49"/>
      <c r="AK52" s="49"/>
      <c r="AL52" s="50">
        <f t="shared" si="6"/>
        <v>0</v>
      </c>
      <c r="AN52" s="49"/>
      <c r="AO52" s="49"/>
      <c r="AP52" s="50">
        <f t="shared" si="7"/>
        <v>0</v>
      </c>
      <c r="AR52" s="49"/>
      <c r="AS52" s="49"/>
      <c r="AT52" s="50">
        <f t="shared" si="8"/>
        <v>0</v>
      </c>
      <c r="AV52" s="49"/>
      <c r="AW52" s="49"/>
      <c r="AX52" s="50">
        <f t="shared" si="9"/>
        <v>0</v>
      </c>
      <c r="AZ52" s="49"/>
      <c r="BA52" s="49"/>
      <c r="BB52" s="50">
        <f t="shared" si="10"/>
        <v>0</v>
      </c>
      <c r="BD52" s="49"/>
      <c r="BE52" s="49"/>
      <c r="BF52" s="50">
        <f t="shared" si="11"/>
        <v>0</v>
      </c>
      <c r="BH52" s="49"/>
      <c r="BI52" s="49"/>
      <c r="BJ52" s="50">
        <f t="shared" si="12"/>
        <v>0</v>
      </c>
      <c r="BL52" s="49"/>
      <c r="BM52" s="49"/>
      <c r="BN52" s="50">
        <f t="shared" si="13"/>
        <v>0</v>
      </c>
      <c r="BP52" s="49"/>
      <c r="BQ52" s="49"/>
      <c r="BR52" s="50">
        <f t="shared" si="14"/>
        <v>0</v>
      </c>
      <c r="BT52" s="49"/>
      <c r="BU52" s="49"/>
      <c r="BV52" s="50">
        <f t="shared" si="15"/>
        <v>0</v>
      </c>
      <c r="BX52" s="49"/>
      <c r="BY52" s="49"/>
      <c r="BZ52" s="50">
        <f t="shared" si="16"/>
        <v>0</v>
      </c>
      <c r="CB52" s="49"/>
      <c r="CC52" s="49"/>
      <c r="CD52" s="50">
        <f t="shared" si="17"/>
        <v>0</v>
      </c>
      <c r="CF52" s="49"/>
      <c r="CG52" s="49"/>
      <c r="CH52" s="50">
        <f t="shared" si="18"/>
        <v>0</v>
      </c>
      <c r="CJ52" s="49"/>
      <c r="CK52" s="49"/>
      <c r="CL52" s="50">
        <f t="shared" si="19"/>
        <v>0</v>
      </c>
      <c r="CN52" s="49"/>
      <c r="CO52" s="49"/>
      <c r="CP52" s="50">
        <f t="shared" si="20"/>
        <v>0</v>
      </c>
      <c r="CR52" s="49"/>
      <c r="CS52" s="49"/>
      <c r="CT52" s="50">
        <f t="shared" si="21"/>
        <v>0</v>
      </c>
      <c r="CV52" s="49"/>
      <c r="CW52" s="49"/>
      <c r="CX52" s="50">
        <f t="shared" si="22"/>
        <v>0</v>
      </c>
      <c r="CZ52" s="49"/>
      <c r="DA52" s="49"/>
      <c r="DB52" s="50">
        <f t="shared" si="23"/>
        <v>0</v>
      </c>
      <c r="DD52" s="49"/>
      <c r="DE52" s="49"/>
      <c r="DF52" s="50">
        <f t="shared" si="24"/>
        <v>0</v>
      </c>
      <c r="DH52" s="49"/>
      <c r="DI52" s="49"/>
      <c r="DJ52" s="50">
        <f t="shared" si="25"/>
        <v>0</v>
      </c>
      <c r="DL52" s="49"/>
      <c r="DM52" s="49"/>
      <c r="DN52" s="50">
        <f t="shared" si="26"/>
        <v>0</v>
      </c>
      <c r="DP52" s="49"/>
      <c r="DQ52" s="49"/>
      <c r="DR52" s="50">
        <f t="shared" si="27"/>
        <v>0</v>
      </c>
      <c r="DT52" s="49"/>
      <c r="DU52" s="49"/>
      <c r="DV52" s="50">
        <f t="shared" si="28"/>
        <v>0</v>
      </c>
      <c r="DX52" s="49"/>
      <c r="DY52" s="49"/>
      <c r="DZ52" s="50">
        <f t="shared" si="29"/>
        <v>0</v>
      </c>
      <c r="EB52" s="49">
        <f t="shared" si="30"/>
        <v>0</v>
      </c>
      <c r="EC52" s="49">
        <f t="shared" si="30"/>
        <v>0</v>
      </c>
      <c r="ED52" s="49">
        <f t="shared" si="30"/>
        <v>0</v>
      </c>
    </row>
    <row r="53" spans="2:134" ht="11" customHeight="1" x14ac:dyDescent="0.35">
      <c r="B53" s="4">
        <v>109014</v>
      </c>
      <c r="C53" s="4" t="s">
        <v>59</v>
      </c>
      <c r="D53" s="4">
        <v>1</v>
      </c>
      <c r="E53" s="5">
        <v>60</v>
      </c>
      <c r="F53" s="6">
        <v>40.540080000000003</v>
      </c>
      <c r="G53" s="7"/>
      <c r="H53" s="49"/>
      <c r="I53" s="49"/>
      <c r="J53" s="50">
        <f t="shared" si="31"/>
        <v>0</v>
      </c>
      <c r="K53" s="9"/>
      <c r="L53" s="49"/>
      <c r="M53" s="49"/>
      <c r="N53" s="50">
        <f t="shared" si="0"/>
        <v>0</v>
      </c>
      <c r="O53" s="46"/>
      <c r="P53" s="49"/>
      <c r="Q53" s="49"/>
      <c r="R53" s="50">
        <f t="shared" si="1"/>
        <v>0</v>
      </c>
      <c r="T53" s="49"/>
      <c r="U53" s="49"/>
      <c r="V53" s="50">
        <f t="shared" si="2"/>
        <v>0</v>
      </c>
      <c r="X53" s="49"/>
      <c r="Y53" s="49"/>
      <c r="Z53" s="50">
        <f t="shared" si="3"/>
        <v>0</v>
      </c>
      <c r="AB53" s="49"/>
      <c r="AC53" s="49"/>
      <c r="AD53" s="50">
        <f t="shared" si="4"/>
        <v>0</v>
      </c>
      <c r="AF53" s="49"/>
      <c r="AG53" s="49"/>
      <c r="AH53" s="50">
        <f t="shared" si="5"/>
        <v>0</v>
      </c>
      <c r="AJ53" s="49"/>
      <c r="AK53" s="49"/>
      <c r="AL53" s="50">
        <f t="shared" si="6"/>
        <v>0</v>
      </c>
      <c r="AN53" s="49"/>
      <c r="AO53" s="49"/>
      <c r="AP53" s="50">
        <f t="shared" si="7"/>
        <v>0</v>
      </c>
      <c r="AR53" s="49"/>
      <c r="AS53" s="49"/>
      <c r="AT53" s="50">
        <f t="shared" si="8"/>
        <v>0</v>
      </c>
      <c r="AV53" s="49"/>
      <c r="AW53" s="49"/>
      <c r="AX53" s="50">
        <f t="shared" si="9"/>
        <v>0</v>
      </c>
      <c r="AZ53" s="49"/>
      <c r="BA53" s="49"/>
      <c r="BB53" s="50">
        <f t="shared" si="10"/>
        <v>0</v>
      </c>
      <c r="BD53" s="49"/>
      <c r="BE53" s="49"/>
      <c r="BF53" s="50">
        <f t="shared" si="11"/>
        <v>0</v>
      </c>
      <c r="BH53" s="49"/>
      <c r="BI53" s="49"/>
      <c r="BJ53" s="50">
        <f t="shared" si="12"/>
        <v>0</v>
      </c>
      <c r="BL53" s="49"/>
      <c r="BM53" s="49"/>
      <c r="BN53" s="50">
        <f t="shared" si="13"/>
        <v>0</v>
      </c>
      <c r="BP53" s="49"/>
      <c r="BQ53" s="49"/>
      <c r="BR53" s="50">
        <f t="shared" si="14"/>
        <v>0</v>
      </c>
      <c r="BT53" s="49"/>
      <c r="BU53" s="49"/>
      <c r="BV53" s="50">
        <f t="shared" si="15"/>
        <v>0</v>
      </c>
      <c r="BX53" s="49"/>
      <c r="BY53" s="49"/>
      <c r="BZ53" s="50">
        <f t="shared" si="16"/>
        <v>0</v>
      </c>
      <c r="CB53" s="49"/>
      <c r="CC53" s="49"/>
      <c r="CD53" s="50">
        <f t="shared" si="17"/>
        <v>0</v>
      </c>
      <c r="CF53" s="49"/>
      <c r="CG53" s="49"/>
      <c r="CH53" s="50">
        <f t="shared" si="18"/>
        <v>0</v>
      </c>
      <c r="CJ53" s="49"/>
      <c r="CK53" s="49"/>
      <c r="CL53" s="50">
        <f t="shared" si="19"/>
        <v>0</v>
      </c>
      <c r="CN53" s="49"/>
      <c r="CO53" s="49"/>
      <c r="CP53" s="50">
        <f t="shared" si="20"/>
        <v>0</v>
      </c>
      <c r="CR53" s="49"/>
      <c r="CS53" s="49"/>
      <c r="CT53" s="50">
        <f t="shared" si="21"/>
        <v>0</v>
      </c>
      <c r="CV53" s="49"/>
      <c r="CW53" s="49"/>
      <c r="CX53" s="50">
        <f t="shared" si="22"/>
        <v>0</v>
      </c>
      <c r="CZ53" s="49"/>
      <c r="DA53" s="49"/>
      <c r="DB53" s="50">
        <f t="shared" si="23"/>
        <v>0</v>
      </c>
      <c r="DD53" s="49"/>
      <c r="DE53" s="49"/>
      <c r="DF53" s="50">
        <f t="shared" si="24"/>
        <v>0</v>
      </c>
      <c r="DH53" s="49"/>
      <c r="DI53" s="49"/>
      <c r="DJ53" s="50">
        <f t="shared" si="25"/>
        <v>0</v>
      </c>
      <c r="DL53" s="49"/>
      <c r="DM53" s="49"/>
      <c r="DN53" s="50">
        <f t="shared" si="26"/>
        <v>0</v>
      </c>
      <c r="DP53" s="49"/>
      <c r="DQ53" s="49"/>
      <c r="DR53" s="50">
        <f t="shared" si="27"/>
        <v>0</v>
      </c>
      <c r="DT53" s="49"/>
      <c r="DU53" s="49"/>
      <c r="DV53" s="50">
        <f t="shared" si="28"/>
        <v>0</v>
      </c>
      <c r="DX53" s="49"/>
      <c r="DY53" s="49"/>
      <c r="DZ53" s="50">
        <f t="shared" si="29"/>
        <v>0</v>
      </c>
      <c r="EB53" s="49">
        <f t="shared" si="30"/>
        <v>0</v>
      </c>
      <c r="EC53" s="49">
        <f t="shared" si="30"/>
        <v>0</v>
      </c>
      <c r="ED53" s="49">
        <f t="shared" si="30"/>
        <v>0</v>
      </c>
    </row>
    <row r="54" spans="2:134" ht="11" customHeight="1" x14ac:dyDescent="0.35">
      <c r="B54" s="4">
        <v>109015</v>
      </c>
      <c r="C54" s="4" t="s">
        <v>60</v>
      </c>
      <c r="D54" s="4">
        <v>1</v>
      </c>
      <c r="E54" s="5">
        <v>60</v>
      </c>
      <c r="F54" s="6">
        <v>40.540080000000003</v>
      </c>
      <c r="G54" s="7"/>
      <c r="H54" s="49"/>
      <c r="I54" s="49"/>
      <c r="J54" s="50">
        <f t="shared" si="31"/>
        <v>0</v>
      </c>
      <c r="K54" s="9"/>
      <c r="L54" s="49"/>
      <c r="M54" s="49"/>
      <c r="N54" s="50">
        <f t="shared" si="0"/>
        <v>0</v>
      </c>
      <c r="O54" s="46"/>
      <c r="P54" s="49"/>
      <c r="Q54" s="49"/>
      <c r="R54" s="50">
        <f t="shared" si="1"/>
        <v>0</v>
      </c>
      <c r="T54" s="49"/>
      <c r="U54" s="49"/>
      <c r="V54" s="50">
        <f t="shared" si="2"/>
        <v>0</v>
      </c>
      <c r="X54" s="49"/>
      <c r="Y54" s="49"/>
      <c r="Z54" s="50">
        <f t="shared" si="3"/>
        <v>0</v>
      </c>
      <c r="AB54" s="49"/>
      <c r="AC54" s="49"/>
      <c r="AD54" s="50">
        <f t="shared" si="4"/>
        <v>0</v>
      </c>
      <c r="AF54" s="49"/>
      <c r="AG54" s="49"/>
      <c r="AH54" s="50">
        <f t="shared" si="5"/>
        <v>0</v>
      </c>
      <c r="AJ54" s="49"/>
      <c r="AK54" s="49"/>
      <c r="AL54" s="50">
        <f t="shared" si="6"/>
        <v>0</v>
      </c>
      <c r="AN54" s="49"/>
      <c r="AO54" s="49"/>
      <c r="AP54" s="50">
        <f t="shared" si="7"/>
        <v>0</v>
      </c>
      <c r="AR54" s="49"/>
      <c r="AS54" s="49"/>
      <c r="AT54" s="50">
        <f t="shared" si="8"/>
        <v>0</v>
      </c>
      <c r="AV54" s="49"/>
      <c r="AW54" s="49"/>
      <c r="AX54" s="50">
        <f t="shared" si="9"/>
        <v>0</v>
      </c>
      <c r="AZ54" s="49"/>
      <c r="BA54" s="49"/>
      <c r="BB54" s="50">
        <f t="shared" si="10"/>
        <v>0</v>
      </c>
      <c r="BD54" s="49"/>
      <c r="BE54" s="49"/>
      <c r="BF54" s="50">
        <f t="shared" si="11"/>
        <v>0</v>
      </c>
      <c r="BH54" s="49"/>
      <c r="BI54" s="49"/>
      <c r="BJ54" s="50">
        <f t="shared" si="12"/>
        <v>0</v>
      </c>
      <c r="BL54" s="49"/>
      <c r="BM54" s="49"/>
      <c r="BN54" s="50">
        <f t="shared" si="13"/>
        <v>0</v>
      </c>
      <c r="BP54" s="49"/>
      <c r="BQ54" s="49"/>
      <c r="BR54" s="50">
        <f t="shared" si="14"/>
        <v>0</v>
      </c>
      <c r="BT54" s="49"/>
      <c r="BU54" s="49"/>
      <c r="BV54" s="50">
        <f t="shared" si="15"/>
        <v>0</v>
      </c>
      <c r="BX54" s="49"/>
      <c r="BY54" s="49"/>
      <c r="BZ54" s="50">
        <f t="shared" si="16"/>
        <v>0</v>
      </c>
      <c r="CB54" s="49"/>
      <c r="CC54" s="49"/>
      <c r="CD54" s="50">
        <f t="shared" si="17"/>
        <v>0</v>
      </c>
      <c r="CF54" s="49"/>
      <c r="CG54" s="49"/>
      <c r="CH54" s="50">
        <f t="shared" si="18"/>
        <v>0</v>
      </c>
      <c r="CJ54" s="49"/>
      <c r="CK54" s="49"/>
      <c r="CL54" s="50">
        <f t="shared" si="19"/>
        <v>0</v>
      </c>
      <c r="CN54" s="49"/>
      <c r="CO54" s="49"/>
      <c r="CP54" s="50">
        <f t="shared" si="20"/>
        <v>0</v>
      </c>
      <c r="CR54" s="49"/>
      <c r="CS54" s="49"/>
      <c r="CT54" s="50">
        <f t="shared" si="21"/>
        <v>0</v>
      </c>
      <c r="CV54" s="49"/>
      <c r="CW54" s="49"/>
      <c r="CX54" s="50">
        <f t="shared" si="22"/>
        <v>0</v>
      </c>
      <c r="CZ54" s="49"/>
      <c r="DA54" s="49"/>
      <c r="DB54" s="50">
        <f t="shared" si="23"/>
        <v>0</v>
      </c>
      <c r="DD54" s="49"/>
      <c r="DE54" s="49"/>
      <c r="DF54" s="50">
        <f t="shared" si="24"/>
        <v>0</v>
      </c>
      <c r="DH54" s="49"/>
      <c r="DI54" s="49"/>
      <c r="DJ54" s="50">
        <f t="shared" si="25"/>
        <v>0</v>
      </c>
      <c r="DL54" s="49"/>
      <c r="DM54" s="49"/>
      <c r="DN54" s="50">
        <f t="shared" si="26"/>
        <v>0</v>
      </c>
      <c r="DP54" s="49"/>
      <c r="DQ54" s="49"/>
      <c r="DR54" s="50">
        <f t="shared" si="27"/>
        <v>0</v>
      </c>
      <c r="DT54" s="49"/>
      <c r="DU54" s="49"/>
      <c r="DV54" s="50">
        <f t="shared" si="28"/>
        <v>0</v>
      </c>
      <c r="DX54" s="49"/>
      <c r="DY54" s="49"/>
      <c r="DZ54" s="50">
        <f t="shared" si="29"/>
        <v>0</v>
      </c>
      <c r="EB54" s="49">
        <f t="shared" si="30"/>
        <v>0</v>
      </c>
      <c r="EC54" s="49">
        <f t="shared" si="30"/>
        <v>0</v>
      </c>
      <c r="ED54" s="49">
        <f t="shared" si="30"/>
        <v>0</v>
      </c>
    </row>
    <row r="55" spans="2:134" ht="11" customHeight="1" x14ac:dyDescent="0.35">
      <c r="B55" s="4">
        <v>109025</v>
      </c>
      <c r="C55" s="4" t="s">
        <v>61</v>
      </c>
      <c r="D55" s="4">
        <v>18</v>
      </c>
      <c r="E55" s="5">
        <v>18</v>
      </c>
      <c r="F55" s="6">
        <v>140.22132670400001</v>
      </c>
      <c r="G55" s="7"/>
      <c r="H55" s="49"/>
      <c r="I55" s="49"/>
      <c r="J55" s="50">
        <f t="shared" si="31"/>
        <v>0</v>
      </c>
      <c r="K55" s="9"/>
      <c r="L55" s="49"/>
      <c r="M55" s="49"/>
      <c r="N55" s="50">
        <f t="shared" si="0"/>
        <v>0</v>
      </c>
      <c r="O55" s="46"/>
      <c r="P55" s="49"/>
      <c r="Q55" s="49"/>
      <c r="R55" s="50">
        <f t="shared" si="1"/>
        <v>0</v>
      </c>
      <c r="T55" s="49"/>
      <c r="U55" s="49"/>
      <c r="V55" s="50">
        <f t="shared" si="2"/>
        <v>0</v>
      </c>
      <c r="X55" s="49"/>
      <c r="Y55" s="49"/>
      <c r="Z55" s="50">
        <f t="shared" si="3"/>
        <v>0</v>
      </c>
      <c r="AB55" s="49"/>
      <c r="AC55" s="49"/>
      <c r="AD55" s="50">
        <f t="shared" si="4"/>
        <v>0</v>
      </c>
      <c r="AF55" s="49"/>
      <c r="AG55" s="49"/>
      <c r="AH55" s="50">
        <f t="shared" si="5"/>
        <v>0</v>
      </c>
      <c r="AJ55" s="49"/>
      <c r="AK55" s="49"/>
      <c r="AL55" s="50">
        <f t="shared" si="6"/>
        <v>0</v>
      </c>
      <c r="AN55" s="49"/>
      <c r="AO55" s="49"/>
      <c r="AP55" s="50">
        <f t="shared" si="7"/>
        <v>0</v>
      </c>
      <c r="AR55" s="49"/>
      <c r="AS55" s="49"/>
      <c r="AT55" s="50">
        <f t="shared" si="8"/>
        <v>0</v>
      </c>
      <c r="AV55" s="49"/>
      <c r="AW55" s="49"/>
      <c r="AX55" s="50">
        <f t="shared" si="9"/>
        <v>0</v>
      </c>
      <c r="AZ55" s="49"/>
      <c r="BA55" s="49"/>
      <c r="BB55" s="50">
        <f t="shared" si="10"/>
        <v>0</v>
      </c>
      <c r="BD55" s="49"/>
      <c r="BE55" s="49"/>
      <c r="BF55" s="50">
        <f t="shared" si="11"/>
        <v>0</v>
      </c>
      <c r="BH55" s="49"/>
      <c r="BI55" s="49"/>
      <c r="BJ55" s="50">
        <f t="shared" si="12"/>
        <v>0</v>
      </c>
      <c r="BL55" s="49"/>
      <c r="BM55" s="49"/>
      <c r="BN55" s="50">
        <f t="shared" si="13"/>
        <v>0</v>
      </c>
      <c r="BP55" s="49"/>
      <c r="BQ55" s="49"/>
      <c r="BR55" s="50">
        <f t="shared" si="14"/>
        <v>0</v>
      </c>
      <c r="BT55" s="49"/>
      <c r="BU55" s="49"/>
      <c r="BV55" s="50">
        <f t="shared" si="15"/>
        <v>0</v>
      </c>
      <c r="BX55" s="49"/>
      <c r="BY55" s="49"/>
      <c r="BZ55" s="50">
        <f t="shared" si="16"/>
        <v>0</v>
      </c>
      <c r="CB55" s="49"/>
      <c r="CC55" s="49"/>
      <c r="CD55" s="50">
        <f t="shared" si="17"/>
        <v>0</v>
      </c>
      <c r="CF55" s="49"/>
      <c r="CG55" s="49"/>
      <c r="CH55" s="50">
        <f t="shared" si="18"/>
        <v>0</v>
      </c>
      <c r="CJ55" s="49"/>
      <c r="CK55" s="49"/>
      <c r="CL55" s="50">
        <f t="shared" si="19"/>
        <v>0</v>
      </c>
      <c r="CN55" s="49"/>
      <c r="CO55" s="49"/>
      <c r="CP55" s="50">
        <f t="shared" si="20"/>
        <v>0</v>
      </c>
      <c r="CR55" s="49"/>
      <c r="CS55" s="49"/>
      <c r="CT55" s="50">
        <f t="shared" si="21"/>
        <v>0</v>
      </c>
      <c r="CV55" s="49"/>
      <c r="CW55" s="49"/>
      <c r="CX55" s="50">
        <f t="shared" si="22"/>
        <v>0</v>
      </c>
      <c r="CZ55" s="49"/>
      <c r="DA55" s="49"/>
      <c r="DB55" s="50">
        <f t="shared" si="23"/>
        <v>0</v>
      </c>
      <c r="DD55" s="49"/>
      <c r="DE55" s="49"/>
      <c r="DF55" s="50">
        <f t="shared" si="24"/>
        <v>0</v>
      </c>
      <c r="DH55" s="49"/>
      <c r="DI55" s="49"/>
      <c r="DJ55" s="50">
        <f t="shared" si="25"/>
        <v>0</v>
      </c>
      <c r="DL55" s="49"/>
      <c r="DM55" s="49"/>
      <c r="DN55" s="50">
        <f t="shared" si="26"/>
        <v>0</v>
      </c>
      <c r="DP55" s="49"/>
      <c r="DQ55" s="49"/>
      <c r="DR55" s="50">
        <f t="shared" si="27"/>
        <v>0</v>
      </c>
      <c r="DT55" s="49"/>
      <c r="DU55" s="49"/>
      <c r="DV55" s="50">
        <f t="shared" si="28"/>
        <v>0</v>
      </c>
      <c r="DX55" s="49"/>
      <c r="DY55" s="49"/>
      <c r="DZ55" s="50">
        <f t="shared" si="29"/>
        <v>0</v>
      </c>
      <c r="EB55" s="49">
        <f t="shared" si="30"/>
        <v>0</v>
      </c>
      <c r="EC55" s="49">
        <f t="shared" si="30"/>
        <v>0</v>
      </c>
      <c r="ED55" s="49">
        <f t="shared" si="30"/>
        <v>0</v>
      </c>
    </row>
    <row r="56" spans="2:134" ht="11" customHeight="1" x14ac:dyDescent="0.35">
      <c r="B56" s="4">
        <v>109026</v>
      </c>
      <c r="C56" s="4" t="s">
        <v>62</v>
      </c>
      <c r="D56" s="4">
        <v>18</v>
      </c>
      <c r="E56" s="5">
        <v>18</v>
      </c>
      <c r="F56" s="6">
        <v>140.22132670400001</v>
      </c>
      <c r="G56" s="7"/>
      <c r="H56" s="49"/>
      <c r="I56" s="49"/>
      <c r="J56" s="50">
        <f t="shared" si="31"/>
        <v>0</v>
      </c>
      <c r="K56" s="9"/>
      <c r="L56" s="49"/>
      <c r="M56" s="49"/>
      <c r="N56" s="50">
        <f t="shared" si="0"/>
        <v>0</v>
      </c>
      <c r="O56" s="46"/>
      <c r="P56" s="49"/>
      <c r="Q56" s="49"/>
      <c r="R56" s="50">
        <f t="shared" si="1"/>
        <v>0</v>
      </c>
      <c r="T56" s="49"/>
      <c r="U56" s="49"/>
      <c r="V56" s="50">
        <f t="shared" si="2"/>
        <v>0</v>
      </c>
      <c r="X56" s="49"/>
      <c r="Y56" s="49"/>
      <c r="Z56" s="50">
        <f t="shared" si="3"/>
        <v>0</v>
      </c>
      <c r="AB56" s="49"/>
      <c r="AC56" s="49"/>
      <c r="AD56" s="50">
        <f t="shared" si="4"/>
        <v>0</v>
      </c>
      <c r="AF56" s="49"/>
      <c r="AG56" s="49"/>
      <c r="AH56" s="50">
        <f t="shared" si="5"/>
        <v>0</v>
      </c>
      <c r="AJ56" s="49"/>
      <c r="AK56" s="49"/>
      <c r="AL56" s="50">
        <f t="shared" si="6"/>
        <v>0</v>
      </c>
      <c r="AN56" s="49"/>
      <c r="AO56" s="49"/>
      <c r="AP56" s="50">
        <f t="shared" si="7"/>
        <v>0</v>
      </c>
      <c r="AR56" s="49"/>
      <c r="AS56" s="49"/>
      <c r="AT56" s="50">
        <f t="shared" si="8"/>
        <v>0</v>
      </c>
      <c r="AV56" s="49"/>
      <c r="AW56" s="49"/>
      <c r="AX56" s="50">
        <f t="shared" si="9"/>
        <v>0</v>
      </c>
      <c r="AZ56" s="49"/>
      <c r="BA56" s="49"/>
      <c r="BB56" s="50">
        <f t="shared" si="10"/>
        <v>0</v>
      </c>
      <c r="BD56" s="49"/>
      <c r="BE56" s="49"/>
      <c r="BF56" s="50">
        <f t="shared" si="11"/>
        <v>0</v>
      </c>
      <c r="BH56" s="49"/>
      <c r="BI56" s="49"/>
      <c r="BJ56" s="50">
        <f t="shared" si="12"/>
        <v>0</v>
      </c>
      <c r="BL56" s="49"/>
      <c r="BM56" s="49"/>
      <c r="BN56" s="50">
        <f t="shared" si="13"/>
        <v>0</v>
      </c>
      <c r="BP56" s="49"/>
      <c r="BQ56" s="49"/>
      <c r="BR56" s="50">
        <f t="shared" si="14"/>
        <v>0</v>
      </c>
      <c r="BT56" s="49"/>
      <c r="BU56" s="49"/>
      <c r="BV56" s="50">
        <f t="shared" si="15"/>
        <v>0</v>
      </c>
      <c r="BX56" s="49"/>
      <c r="BY56" s="49"/>
      <c r="BZ56" s="50">
        <f t="shared" si="16"/>
        <v>0</v>
      </c>
      <c r="CB56" s="49"/>
      <c r="CC56" s="49"/>
      <c r="CD56" s="50">
        <f t="shared" si="17"/>
        <v>0</v>
      </c>
      <c r="CF56" s="49"/>
      <c r="CG56" s="49"/>
      <c r="CH56" s="50">
        <f t="shared" si="18"/>
        <v>0</v>
      </c>
      <c r="CJ56" s="49"/>
      <c r="CK56" s="49"/>
      <c r="CL56" s="50">
        <f t="shared" si="19"/>
        <v>0</v>
      </c>
      <c r="CN56" s="49"/>
      <c r="CO56" s="49"/>
      <c r="CP56" s="50">
        <f t="shared" si="20"/>
        <v>0</v>
      </c>
      <c r="CR56" s="49"/>
      <c r="CS56" s="49"/>
      <c r="CT56" s="50">
        <f t="shared" si="21"/>
        <v>0</v>
      </c>
      <c r="CV56" s="49"/>
      <c r="CW56" s="49"/>
      <c r="CX56" s="50">
        <f t="shared" si="22"/>
        <v>0</v>
      </c>
      <c r="CZ56" s="49"/>
      <c r="DA56" s="49"/>
      <c r="DB56" s="50">
        <f t="shared" si="23"/>
        <v>0</v>
      </c>
      <c r="DD56" s="49"/>
      <c r="DE56" s="49"/>
      <c r="DF56" s="50">
        <f t="shared" si="24"/>
        <v>0</v>
      </c>
      <c r="DH56" s="49"/>
      <c r="DI56" s="49"/>
      <c r="DJ56" s="50">
        <f t="shared" si="25"/>
        <v>0</v>
      </c>
      <c r="DL56" s="49"/>
      <c r="DM56" s="49"/>
      <c r="DN56" s="50">
        <f t="shared" si="26"/>
        <v>0</v>
      </c>
      <c r="DP56" s="49"/>
      <c r="DQ56" s="49"/>
      <c r="DR56" s="50">
        <f t="shared" si="27"/>
        <v>0</v>
      </c>
      <c r="DT56" s="49"/>
      <c r="DU56" s="49"/>
      <c r="DV56" s="50">
        <f t="shared" si="28"/>
        <v>0</v>
      </c>
      <c r="DX56" s="49"/>
      <c r="DY56" s="49"/>
      <c r="DZ56" s="50">
        <f t="shared" si="29"/>
        <v>0</v>
      </c>
      <c r="EB56" s="49">
        <f t="shared" si="30"/>
        <v>0</v>
      </c>
      <c r="EC56" s="49">
        <f t="shared" si="30"/>
        <v>0</v>
      </c>
      <c r="ED56" s="49">
        <f t="shared" si="30"/>
        <v>0</v>
      </c>
    </row>
    <row r="57" spans="2:134" ht="11" customHeight="1" x14ac:dyDescent="0.35">
      <c r="B57" s="4">
        <v>109207</v>
      </c>
      <c r="C57" s="4" t="s">
        <v>63</v>
      </c>
      <c r="D57" s="4">
        <v>24</v>
      </c>
      <c r="E57" s="5">
        <v>18</v>
      </c>
      <c r="F57" s="6">
        <v>194.23586706</v>
      </c>
      <c r="G57" s="7"/>
      <c r="H57" s="49"/>
      <c r="I57" s="49"/>
      <c r="J57" s="50">
        <f t="shared" si="31"/>
        <v>0</v>
      </c>
      <c r="K57" s="9"/>
      <c r="L57" s="49"/>
      <c r="M57" s="49"/>
      <c r="N57" s="50">
        <f t="shared" si="0"/>
        <v>0</v>
      </c>
      <c r="O57" s="46"/>
      <c r="P57" s="49"/>
      <c r="Q57" s="49"/>
      <c r="R57" s="50">
        <f t="shared" si="1"/>
        <v>0</v>
      </c>
      <c r="T57" s="49"/>
      <c r="U57" s="49"/>
      <c r="V57" s="50">
        <f t="shared" si="2"/>
        <v>0</v>
      </c>
      <c r="X57" s="49"/>
      <c r="Y57" s="49"/>
      <c r="Z57" s="50">
        <f t="shared" si="3"/>
        <v>0</v>
      </c>
      <c r="AB57" s="49"/>
      <c r="AC57" s="49"/>
      <c r="AD57" s="50">
        <f t="shared" si="4"/>
        <v>0</v>
      </c>
      <c r="AF57" s="49"/>
      <c r="AG57" s="49"/>
      <c r="AH57" s="50">
        <f t="shared" si="5"/>
        <v>0</v>
      </c>
      <c r="AJ57" s="49"/>
      <c r="AK57" s="49"/>
      <c r="AL57" s="50">
        <f t="shared" si="6"/>
        <v>0</v>
      </c>
      <c r="AN57" s="49"/>
      <c r="AO57" s="49"/>
      <c r="AP57" s="50">
        <f t="shared" si="7"/>
        <v>0</v>
      </c>
      <c r="AR57" s="49"/>
      <c r="AS57" s="49"/>
      <c r="AT57" s="50">
        <f t="shared" si="8"/>
        <v>0</v>
      </c>
      <c r="AV57" s="49"/>
      <c r="AW57" s="49"/>
      <c r="AX57" s="50">
        <f t="shared" si="9"/>
        <v>0</v>
      </c>
      <c r="AZ57" s="49"/>
      <c r="BA57" s="49"/>
      <c r="BB57" s="50">
        <f t="shared" si="10"/>
        <v>0</v>
      </c>
      <c r="BD57" s="49"/>
      <c r="BE57" s="49"/>
      <c r="BF57" s="50">
        <f t="shared" si="11"/>
        <v>0</v>
      </c>
      <c r="BH57" s="49"/>
      <c r="BI57" s="49"/>
      <c r="BJ57" s="50">
        <f t="shared" si="12"/>
        <v>0</v>
      </c>
      <c r="BL57" s="49"/>
      <c r="BM57" s="49"/>
      <c r="BN57" s="50">
        <f t="shared" si="13"/>
        <v>0</v>
      </c>
      <c r="BP57" s="49"/>
      <c r="BQ57" s="49"/>
      <c r="BR57" s="50">
        <f t="shared" si="14"/>
        <v>0</v>
      </c>
      <c r="BT57" s="49"/>
      <c r="BU57" s="49"/>
      <c r="BV57" s="50">
        <f t="shared" si="15"/>
        <v>0</v>
      </c>
      <c r="BX57" s="49"/>
      <c r="BY57" s="49"/>
      <c r="BZ57" s="50">
        <f t="shared" si="16"/>
        <v>0</v>
      </c>
      <c r="CB57" s="49"/>
      <c r="CC57" s="49"/>
      <c r="CD57" s="50">
        <f t="shared" si="17"/>
        <v>0</v>
      </c>
      <c r="CF57" s="49"/>
      <c r="CG57" s="49"/>
      <c r="CH57" s="50">
        <f t="shared" si="18"/>
        <v>0</v>
      </c>
      <c r="CJ57" s="49"/>
      <c r="CK57" s="49"/>
      <c r="CL57" s="50">
        <f t="shared" si="19"/>
        <v>0</v>
      </c>
      <c r="CN57" s="49"/>
      <c r="CO57" s="49"/>
      <c r="CP57" s="50">
        <f t="shared" si="20"/>
        <v>0</v>
      </c>
      <c r="CR57" s="49"/>
      <c r="CS57" s="49"/>
      <c r="CT57" s="50">
        <f t="shared" si="21"/>
        <v>0</v>
      </c>
      <c r="CV57" s="49"/>
      <c r="CW57" s="49"/>
      <c r="CX57" s="50">
        <f t="shared" si="22"/>
        <v>0</v>
      </c>
      <c r="CZ57" s="49"/>
      <c r="DA57" s="49"/>
      <c r="DB57" s="50">
        <f t="shared" si="23"/>
        <v>0</v>
      </c>
      <c r="DD57" s="49"/>
      <c r="DE57" s="49"/>
      <c r="DF57" s="50">
        <f t="shared" si="24"/>
        <v>0</v>
      </c>
      <c r="DH57" s="49"/>
      <c r="DI57" s="49"/>
      <c r="DJ57" s="50">
        <f t="shared" si="25"/>
        <v>0</v>
      </c>
      <c r="DL57" s="49"/>
      <c r="DM57" s="49"/>
      <c r="DN57" s="50">
        <f t="shared" si="26"/>
        <v>0</v>
      </c>
      <c r="DP57" s="49"/>
      <c r="DQ57" s="49"/>
      <c r="DR57" s="50">
        <f t="shared" si="27"/>
        <v>0</v>
      </c>
      <c r="DT57" s="49"/>
      <c r="DU57" s="49"/>
      <c r="DV57" s="50">
        <f t="shared" si="28"/>
        <v>0</v>
      </c>
      <c r="DX57" s="49"/>
      <c r="DY57" s="49"/>
      <c r="DZ57" s="50">
        <f t="shared" si="29"/>
        <v>0</v>
      </c>
      <c r="EB57" s="49">
        <f t="shared" si="30"/>
        <v>0</v>
      </c>
      <c r="EC57" s="49">
        <f t="shared" si="30"/>
        <v>0</v>
      </c>
      <c r="ED57" s="49">
        <f t="shared" si="30"/>
        <v>0</v>
      </c>
    </row>
    <row r="58" spans="2:134" ht="11" customHeight="1" x14ac:dyDescent="0.35">
      <c r="B58" s="4">
        <v>109503</v>
      </c>
      <c r="C58" s="4" t="s">
        <v>64</v>
      </c>
      <c r="D58" s="4">
        <v>24</v>
      </c>
      <c r="E58" s="5">
        <v>18</v>
      </c>
      <c r="F58" s="6">
        <v>189.29879107400001</v>
      </c>
      <c r="G58" s="7"/>
      <c r="H58" s="49"/>
      <c r="I58" s="49"/>
      <c r="J58" s="50">
        <f t="shared" si="31"/>
        <v>0</v>
      </c>
      <c r="K58" s="9"/>
      <c r="L58" s="49"/>
      <c r="M58" s="49"/>
      <c r="N58" s="50">
        <f t="shared" si="0"/>
        <v>0</v>
      </c>
      <c r="O58" s="46"/>
      <c r="P58" s="49"/>
      <c r="Q58" s="49"/>
      <c r="R58" s="50">
        <f t="shared" si="1"/>
        <v>0</v>
      </c>
      <c r="T58" s="49"/>
      <c r="U58" s="49"/>
      <c r="V58" s="50">
        <f t="shared" si="2"/>
        <v>0</v>
      </c>
      <c r="X58" s="49"/>
      <c r="Y58" s="49"/>
      <c r="Z58" s="50">
        <f t="shared" si="3"/>
        <v>0</v>
      </c>
      <c r="AB58" s="49"/>
      <c r="AC58" s="49"/>
      <c r="AD58" s="50">
        <f t="shared" si="4"/>
        <v>0</v>
      </c>
      <c r="AF58" s="49"/>
      <c r="AG58" s="49"/>
      <c r="AH58" s="50">
        <f t="shared" si="5"/>
        <v>0</v>
      </c>
      <c r="AJ58" s="49"/>
      <c r="AK58" s="49"/>
      <c r="AL58" s="50">
        <f t="shared" si="6"/>
        <v>0</v>
      </c>
      <c r="AN58" s="49"/>
      <c r="AO58" s="49"/>
      <c r="AP58" s="50">
        <f t="shared" si="7"/>
        <v>0</v>
      </c>
      <c r="AR58" s="49"/>
      <c r="AS58" s="49"/>
      <c r="AT58" s="50">
        <f t="shared" si="8"/>
        <v>0</v>
      </c>
      <c r="AV58" s="49"/>
      <c r="AW58" s="49"/>
      <c r="AX58" s="50">
        <f t="shared" si="9"/>
        <v>0</v>
      </c>
      <c r="AZ58" s="49"/>
      <c r="BA58" s="49"/>
      <c r="BB58" s="50">
        <f t="shared" si="10"/>
        <v>0</v>
      </c>
      <c r="BD58" s="49"/>
      <c r="BE58" s="49"/>
      <c r="BF58" s="50">
        <f t="shared" si="11"/>
        <v>0</v>
      </c>
      <c r="BH58" s="49"/>
      <c r="BI58" s="49"/>
      <c r="BJ58" s="50">
        <f t="shared" si="12"/>
        <v>0</v>
      </c>
      <c r="BL58" s="49"/>
      <c r="BM58" s="49"/>
      <c r="BN58" s="50">
        <f t="shared" si="13"/>
        <v>0</v>
      </c>
      <c r="BP58" s="49"/>
      <c r="BQ58" s="49"/>
      <c r="BR58" s="50">
        <f t="shared" si="14"/>
        <v>0</v>
      </c>
      <c r="BT58" s="49"/>
      <c r="BU58" s="49"/>
      <c r="BV58" s="50">
        <f t="shared" si="15"/>
        <v>0</v>
      </c>
      <c r="BX58" s="49"/>
      <c r="BY58" s="49"/>
      <c r="BZ58" s="50">
        <f t="shared" si="16"/>
        <v>0</v>
      </c>
      <c r="CB58" s="49"/>
      <c r="CC58" s="49"/>
      <c r="CD58" s="50">
        <f t="shared" si="17"/>
        <v>0</v>
      </c>
      <c r="CF58" s="49"/>
      <c r="CG58" s="49"/>
      <c r="CH58" s="50">
        <f t="shared" si="18"/>
        <v>0</v>
      </c>
      <c r="CJ58" s="49"/>
      <c r="CK58" s="49"/>
      <c r="CL58" s="50">
        <f t="shared" si="19"/>
        <v>0</v>
      </c>
      <c r="CN58" s="49"/>
      <c r="CO58" s="49"/>
      <c r="CP58" s="50">
        <f t="shared" si="20"/>
        <v>0</v>
      </c>
      <c r="CR58" s="49"/>
      <c r="CS58" s="49"/>
      <c r="CT58" s="50">
        <f t="shared" si="21"/>
        <v>0</v>
      </c>
      <c r="CV58" s="49"/>
      <c r="CW58" s="49"/>
      <c r="CX58" s="50">
        <f t="shared" si="22"/>
        <v>0</v>
      </c>
      <c r="CZ58" s="49"/>
      <c r="DA58" s="49"/>
      <c r="DB58" s="50">
        <f t="shared" si="23"/>
        <v>0</v>
      </c>
      <c r="DD58" s="49"/>
      <c r="DE58" s="49"/>
      <c r="DF58" s="50">
        <f t="shared" si="24"/>
        <v>0</v>
      </c>
      <c r="DH58" s="49"/>
      <c r="DI58" s="49"/>
      <c r="DJ58" s="50">
        <f t="shared" si="25"/>
        <v>0</v>
      </c>
      <c r="DL58" s="49"/>
      <c r="DM58" s="49"/>
      <c r="DN58" s="50">
        <f t="shared" si="26"/>
        <v>0</v>
      </c>
      <c r="DP58" s="49"/>
      <c r="DQ58" s="49"/>
      <c r="DR58" s="50">
        <f t="shared" si="27"/>
        <v>0</v>
      </c>
      <c r="DT58" s="49"/>
      <c r="DU58" s="49"/>
      <c r="DV58" s="50">
        <f t="shared" si="28"/>
        <v>0</v>
      </c>
      <c r="DX58" s="49"/>
      <c r="DY58" s="49"/>
      <c r="DZ58" s="50">
        <f t="shared" si="29"/>
        <v>0</v>
      </c>
      <c r="EB58" s="49">
        <f t="shared" si="30"/>
        <v>0</v>
      </c>
      <c r="EC58" s="49">
        <f t="shared" si="30"/>
        <v>0</v>
      </c>
      <c r="ED58" s="49">
        <f t="shared" si="30"/>
        <v>0</v>
      </c>
    </row>
    <row r="59" spans="2:134" ht="11" customHeight="1" x14ac:dyDescent="0.35">
      <c r="B59" s="4">
        <v>109504</v>
      </c>
      <c r="C59" s="4" t="s">
        <v>65</v>
      </c>
      <c r="D59" s="4">
        <v>24</v>
      </c>
      <c r="E59" s="5">
        <v>18</v>
      </c>
      <c r="F59" s="6">
        <v>189.29879107400001</v>
      </c>
      <c r="G59" s="7"/>
      <c r="H59" s="49"/>
      <c r="I59" s="49"/>
      <c r="J59" s="50">
        <f t="shared" si="31"/>
        <v>0</v>
      </c>
      <c r="K59" s="9"/>
      <c r="L59" s="49"/>
      <c r="M59" s="49"/>
      <c r="N59" s="50">
        <f t="shared" si="0"/>
        <v>0</v>
      </c>
      <c r="O59" s="46"/>
      <c r="P59" s="49"/>
      <c r="Q59" s="49"/>
      <c r="R59" s="50">
        <f t="shared" si="1"/>
        <v>0</v>
      </c>
      <c r="T59" s="49"/>
      <c r="U59" s="49"/>
      <c r="V59" s="50">
        <f t="shared" si="2"/>
        <v>0</v>
      </c>
      <c r="X59" s="49"/>
      <c r="Y59" s="49"/>
      <c r="Z59" s="50">
        <f t="shared" si="3"/>
        <v>0</v>
      </c>
      <c r="AB59" s="49"/>
      <c r="AC59" s="49"/>
      <c r="AD59" s="50">
        <f t="shared" si="4"/>
        <v>0</v>
      </c>
      <c r="AF59" s="49"/>
      <c r="AG59" s="49"/>
      <c r="AH59" s="50">
        <f t="shared" si="5"/>
        <v>0</v>
      </c>
      <c r="AJ59" s="49"/>
      <c r="AK59" s="49"/>
      <c r="AL59" s="50">
        <f t="shared" si="6"/>
        <v>0</v>
      </c>
      <c r="AN59" s="49"/>
      <c r="AO59" s="49"/>
      <c r="AP59" s="50">
        <f t="shared" si="7"/>
        <v>0</v>
      </c>
      <c r="AR59" s="49"/>
      <c r="AS59" s="49"/>
      <c r="AT59" s="50">
        <f t="shared" si="8"/>
        <v>0</v>
      </c>
      <c r="AV59" s="49"/>
      <c r="AW59" s="49"/>
      <c r="AX59" s="50">
        <f t="shared" si="9"/>
        <v>0</v>
      </c>
      <c r="AZ59" s="49"/>
      <c r="BA59" s="49"/>
      <c r="BB59" s="50">
        <f t="shared" si="10"/>
        <v>0</v>
      </c>
      <c r="BD59" s="49"/>
      <c r="BE59" s="49"/>
      <c r="BF59" s="50">
        <f t="shared" si="11"/>
        <v>0</v>
      </c>
      <c r="BH59" s="49"/>
      <c r="BI59" s="49"/>
      <c r="BJ59" s="50">
        <f t="shared" si="12"/>
        <v>0</v>
      </c>
      <c r="BL59" s="49"/>
      <c r="BM59" s="49"/>
      <c r="BN59" s="50">
        <f t="shared" si="13"/>
        <v>0</v>
      </c>
      <c r="BP59" s="49"/>
      <c r="BQ59" s="49"/>
      <c r="BR59" s="50">
        <f t="shared" si="14"/>
        <v>0</v>
      </c>
      <c r="BT59" s="49"/>
      <c r="BU59" s="49"/>
      <c r="BV59" s="50">
        <f t="shared" si="15"/>
        <v>0</v>
      </c>
      <c r="BX59" s="49"/>
      <c r="BY59" s="49"/>
      <c r="BZ59" s="50">
        <f t="shared" si="16"/>
        <v>0</v>
      </c>
      <c r="CB59" s="49"/>
      <c r="CC59" s="49"/>
      <c r="CD59" s="50">
        <f t="shared" si="17"/>
        <v>0</v>
      </c>
      <c r="CF59" s="49"/>
      <c r="CG59" s="49"/>
      <c r="CH59" s="50">
        <f t="shared" si="18"/>
        <v>0</v>
      </c>
      <c r="CJ59" s="49"/>
      <c r="CK59" s="49"/>
      <c r="CL59" s="50">
        <f t="shared" si="19"/>
        <v>0</v>
      </c>
      <c r="CN59" s="49"/>
      <c r="CO59" s="49"/>
      <c r="CP59" s="50">
        <f t="shared" si="20"/>
        <v>0</v>
      </c>
      <c r="CR59" s="49"/>
      <c r="CS59" s="49"/>
      <c r="CT59" s="50">
        <f t="shared" si="21"/>
        <v>0</v>
      </c>
      <c r="CV59" s="49"/>
      <c r="CW59" s="49"/>
      <c r="CX59" s="50">
        <f t="shared" si="22"/>
        <v>0</v>
      </c>
      <c r="CZ59" s="49"/>
      <c r="DA59" s="49"/>
      <c r="DB59" s="50">
        <f t="shared" si="23"/>
        <v>0</v>
      </c>
      <c r="DD59" s="49"/>
      <c r="DE59" s="49"/>
      <c r="DF59" s="50">
        <f t="shared" si="24"/>
        <v>0</v>
      </c>
      <c r="DH59" s="49"/>
      <c r="DI59" s="49"/>
      <c r="DJ59" s="50">
        <f t="shared" si="25"/>
        <v>0</v>
      </c>
      <c r="DL59" s="49"/>
      <c r="DM59" s="49"/>
      <c r="DN59" s="50">
        <f t="shared" si="26"/>
        <v>0</v>
      </c>
      <c r="DP59" s="49"/>
      <c r="DQ59" s="49"/>
      <c r="DR59" s="50">
        <f t="shared" si="27"/>
        <v>0</v>
      </c>
      <c r="DT59" s="49"/>
      <c r="DU59" s="49"/>
      <c r="DV59" s="50">
        <f t="shared" si="28"/>
        <v>0</v>
      </c>
      <c r="DX59" s="49"/>
      <c r="DY59" s="49"/>
      <c r="DZ59" s="50">
        <f t="shared" si="29"/>
        <v>0</v>
      </c>
      <c r="EB59" s="49">
        <f t="shared" si="30"/>
        <v>0</v>
      </c>
      <c r="EC59" s="49">
        <f t="shared" si="30"/>
        <v>0</v>
      </c>
      <c r="ED59" s="49">
        <f t="shared" si="30"/>
        <v>0</v>
      </c>
    </row>
    <row r="60" spans="2:134" ht="11" customHeight="1" x14ac:dyDescent="0.35">
      <c r="B60" s="4">
        <v>109517</v>
      </c>
      <c r="C60" s="4" t="s">
        <v>66</v>
      </c>
      <c r="D60" s="4">
        <v>12</v>
      </c>
      <c r="E60" s="5">
        <v>24</v>
      </c>
      <c r="F60" s="6">
        <v>286.53841705999997</v>
      </c>
      <c r="G60" s="7"/>
      <c r="H60" s="49"/>
      <c r="I60" s="49"/>
      <c r="J60" s="50">
        <f t="shared" si="31"/>
        <v>0</v>
      </c>
      <c r="K60" s="9"/>
      <c r="L60" s="49"/>
      <c r="M60" s="49"/>
      <c r="N60" s="50">
        <f t="shared" si="0"/>
        <v>0</v>
      </c>
      <c r="O60" s="46"/>
      <c r="P60" s="49"/>
      <c r="Q60" s="49"/>
      <c r="R60" s="50">
        <f t="shared" si="1"/>
        <v>0</v>
      </c>
      <c r="T60" s="49"/>
      <c r="U60" s="49"/>
      <c r="V60" s="50">
        <f t="shared" si="2"/>
        <v>0</v>
      </c>
      <c r="X60" s="49"/>
      <c r="Y60" s="49"/>
      <c r="Z60" s="50">
        <f t="shared" si="3"/>
        <v>0</v>
      </c>
      <c r="AB60" s="49"/>
      <c r="AC60" s="49"/>
      <c r="AD60" s="50">
        <f t="shared" si="4"/>
        <v>0</v>
      </c>
      <c r="AF60" s="49"/>
      <c r="AG60" s="49"/>
      <c r="AH60" s="50">
        <f t="shared" si="5"/>
        <v>0</v>
      </c>
      <c r="AJ60" s="49"/>
      <c r="AK60" s="49"/>
      <c r="AL60" s="50">
        <f t="shared" si="6"/>
        <v>0</v>
      </c>
      <c r="AN60" s="49"/>
      <c r="AO60" s="49"/>
      <c r="AP60" s="50">
        <f t="shared" si="7"/>
        <v>0</v>
      </c>
      <c r="AR60" s="49"/>
      <c r="AS60" s="49"/>
      <c r="AT60" s="50">
        <f t="shared" si="8"/>
        <v>0</v>
      </c>
      <c r="AV60" s="49"/>
      <c r="AW60" s="49"/>
      <c r="AX60" s="50">
        <f t="shared" si="9"/>
        <v>0</v>
      </c>
      <c r="AZ60" s="49"/>
      <c r="BA60" s="49"/>
      <c r="BB60" s="50">
        <f t="shared" si="10"/>
        <v>0</v>
      </c>
      <c r="BD60" s="49"/>
      <c r="BE60" s="49"/>
      <c r="BF60" s="50">
        <f t="shared" si="11"/>
        <v>0</v>
      </c>
      <c r="BH60" s="49"/>
      <c r="BI60" s="49"/>
      <c r="BJ60" s="50">
        <f t="shared" si="12"/>
        <v>0</v>
      </c>
      <c r="BL60" s="49"/>
      <c r="BM60" s="49"/>
      <c r="BN60" s="50">
        <f t="shared" si="13"/>
        <v>0</v>
      </c>
      <c r="BP60" s="49"/>
      <c r="BQ60" s="49"/>
      <c r="BR60" s="50">
        <f t="shared" si="14"/>
        <v>0</v>
      </c>
      <c r="BT60" s="49"/>
      <c r="BU60" s="49"/>
      <c r="BV60" s="50">
        <f t="shared" si="15"/>
        <v>0</v>
      </c>
      <c r="BX60" s="49"/>
      <c r="BY60" s="49"/>
      <c r="BZ60" s="50">
        <f t="shared" si="16"/>
        <v>0</v>
      </c>
      <c r="CB60" s="49"/>
      <c r="CC60" s="49"/>
      <c r="CD60" s="50">
        <f t="shared" si="17"/>
        <v>0</v>
      </c>
      <c r="CF60" s="49"/>
      <c r="CG60" s="49"/>
      <c r="CH60" s="50">
        <f t="shared" si="18"/>
        <v>0</v>
      </c>
      <c r="CJ60" s="49"/>
      <c r="CK60" s="49"/>
      <c r="CL60" s="50">
        <f t="shared" si="19"/>
        <v>0</v>
      </c>
      <c r="CN60" s="49"/>
      <c r="CO60" s="49"/>
      <c r="CP60" s="50">
        <f t="shared" si="20"/>
        <v>0</v>
      </c>
      <c r="CR60" s="49"/>
      <c r="CS60" s="49"/>
      <c r="CT60" s="50">
        <f t="shared" si="21"/>
        <v>0</v>
      </c>
      <c r="CV60" s="49"/>
      <c r="CW60" s="49"/>
      <c r="CX60" s="50">
        <f t="shared" si="22"/>
        <v>0</v>
      </c>
      <c r="CZ60" s="49"/>
      <c r="DA60" s="49"/>
      <c r="DB60" s="50">
        <f t="shared" si="23"/>
        <v>0</v>
      </c>
      <c r="DD60" s="49"/>
      <c r="DE60" s="49"/>
      <c r="DF60" s="50">
        <f t="shared" si="24"/>
        <v>0</v>
      </c>
      <c r="DH60" s="49"/>
      <c r="DI60" s="49"/>
      <c r="DJ60" s="50">
        <f t="shared" si="25"/>
        <v>0</v>
      </c>
      <c r="DL60" s="49"/>
      <c r="DM60" s="49"/>
      <c r="DN60" s="50">
        <f t="shared" si="26"/>
        <v>0</v>
      </c>
      <c r="DP60" s="49"/>
      <c r="DQ60" s="49"/>
      <c r="DR60" s="50">
        <f t="shared" si="27"/>
        <v>0</v>
      </c>
      <c r="DT60" s="49"/>
      <c r="DU60" s="49"/>
      <c r="DV60" s="50">
        <f t="shared" si="28"/>
        <v>0</v>
      </c>
      <c r="DX60" s="49"/>
      <c r="DY60" s="49"/>
      <c r="DZ60" s="50">
        <f t="shared" si="29"/>
        <v>0</v>
      </c>
      <c r="EB60" s="49">
        <f t="shared" si="30"/>
        <v>0</v>
      </c>
      <c r="EC60" s="49">
        <f t="shared" si="30"/>
        <v>0</v>
      </c>
      <c r="ED60" s="49">
        <f t="shared" si="30"/>
        <v>0</v>
      </c>
    </row>
    <row r="61" spans="2:134" ht="11" customHeight="1" x14ac:dyDescent="0.35">
      <c r="B61" s="4">
        <v>110151</v>
      </c>
      <c r="C61" s="4" t="s">
        <v>67</v>
      </c>
      <c r="D61" s="4">
        <v>18</v>
      </c>
      <c r="E61" s="5">
        <v>18</v>
      </c>
      <c r="F61" s="6">
        <v>425.922279828</v>
      </c>
      <c r="G61" s="7"/>
      <c r="H61" s="49"/>
      <c r="I61" s="49"/>
      <c r="J61" s="50">
        <f t="shared" si="31"/>
        <v>0</v>
      </c>
      <c r="K61" s="9"/>
      <c r="L61" s="49"/>
      <c r="M61" s="49"/>
      <c r="N61" s="50">
        <f t="shared" si="0"/>
        <v>0</v>
      </c>
      <c r="O61" s="46"/>
      <c r="P61" s="49"/>
      <c r="Q61" s="49"/>
      <c r="R61" s="50">
        <f t="shared" si="1"/>
        <v>0</v>
      </c>
      <c r="T61" s="49"/>
      <c r="U61" s="49"/>
      <c r="V61" s="50">
        <f t="shared" si="2"/>
        <v>0</v>
      </c>
      <c r="X61" s="49"/>
      <c r="Y61" s="49"/>
      <c r="Z61" s="50">
        <f t="shared" si="3"/>
        <v>0</v>
      </c>
      <c r="AB61" s="49"/>
      <c r="AC61" s="49"/>
      <c r="AD61" s="50">
        <f t="shared" si="4"/>
        <v>0</v>
      </c>
      <c r="AF61" s="49"/>
      <c r="AG61" s="49"/>
      <c r="AH61" s="50">
        <f t="shared" si="5"/>
        <v>0</v>
      </c>
      <c r="AJ61" s="49"/>
      <c r="AK61" s="49"/>
      <c r="AL61" s="50">
        <f t="shared" si="6"/>
        <v>0</v>
      </c>
      <c r="AN61" s="49"/>
      <c r="AO61" s="49"/>
      <c r="AP61" s="50">
        <f t="shared" si="7"/>
        <v>0</v>
      </c>
      <c r="AR61" s="49"/>
      <c r="AS61" s="49"/>
      <c r="AT61" s="50">
        <f t="shared" si="8"/>
        <v>0</v>
      </c>
      <c r="AV61" s="49"/>
      <c r="AW61" s="49"/>
      <c r="AX61" s="50">
        <f t="shared" si="9"/>
        <v>0</v>
      </c>
      <c r="AZ61" s="49"/>
      <c r="BA61" s="49"/>
      <c r="BB61" s="50">
        <f t="shared" si="10"/>
        <v>0</v>
      </c>
      <c r="BD61" s="49"/>
      <c r="BE61" s="49"/>
      <c r="BF61" s="50">
        <f t="shared" si="11"/>
        <v>0</v>
      </c>
      <c r="BH61" s="49"/>
      <c r="BI61" s="49"/>
      <c r="BJ61" s="50">
        <f t="shared" si="12"/>
        <v>0</v>
      </c>
      <c r="BL61" s="49"/>
      <c r="BM61" s="49"/>
      <c r="BN61" s="50">
        <f t="shared" si="13"/>
        <v>0</v>
      </c>
      <c r="BP61" s="49"/>
      <c r="BQ61" s="49"/>
      <c r="BR61" s="50">
        <f t="shared" si="14"/>
        <v>0</v>
      </c>
      <c r="BT61" s="49"/>
      <c r="BU61" s="49"/>
      <c r="BV61" s="50">
        <f t="shared" si="15"/>
        <v>0</v>
      </c>
      <c r="BX61" s="49"/>
      <c r="BY61" s="49"/>
      <c r="BZ61" s="50">
        <f t="shared" si="16"/>
        <v>0</v>
      </c>
      <c r="CB61" s="49"/>
      <c r="CC61" s="49"/>
      <c r="CD61" s="50">
        <f t="shared" si="17"/>
        <v>0</v>
      </c>
      <c r="CF61" s="49"/>
      <c r="CG61" s="49"/>
      <c r="CH61" s="50">
        <f t="shared" si="18"/>
        <v>0</v>
      </c>
      <c r="CJ61" s="49"/>
      <c r="CK61" s="49"/>
      <c r="CL61" s="50">
        <f t="shared" si="19"/>
        <v>0</v>
      </c>
      <c r="CN61" s="49"/>
      <c r="CO61" s="49"/>
      <c r="CP61" s="50">
        <f t="shared" si="20"/>
        <v>0</v>
      </c>
      <c r="CR61" s="49"/>
      <c r="CS61" s="49"/>
      <c r="CT61" s="50">
        <f t="shared" si="21"/>
        <v>0</v>
      </c>
      <c r="CV61" s="49"/>
      <c r="CW61" s="49"/>
      <c r="CX61" s="50">
        <f t="shared" si="22"/>
        <v>0</v>
      </c>
      <c r="CZ61" s="49"/>
      <c r="DA61" s="49"/>
      <c r="DB61" s="50">
        <f t="shared" si="23"/>
        <v>0</v>
      </c>
      <c r="DD61" s="49"/>
      <c r="DE61" s="49"/>
      <c r="DF61" s="50">
        <f t="shared" si="24"/>
        <v>0</v>
      </c>
      <c r="DH61" s="49"/>
      <c r="DI61" s="49"/>
      <c r="DJ61" s="50">
        <f t="shared" si="25"/>
        <v>0</v>
      </c>
      <c r="DL61" s="49"/>
      <c r="DM61" s="49"/>
      <c r="DN61" s="50">
        <f t="shared" si="26"/>
        <v>0</v>
      </c>
      <c r="DP61" s="49"/>
      <c r="DQ61" s="49"/>
      <c r="DR61" s="50">
        <f t="shared" si="27"/>
        <v>0</v>
      </c>
      <c r="DT61" s="49"/>
      <c r="DU61" s="49"/>
      <c r="DV61" s="50">
        <f t="shared" si="28"/>
        <v>0</v>
      </c>
      <c r="DX61" s="49"/>
      <c r="DY61" s="49"/>
      <c r="DZ61" s="50">
        <f t="shared" si="29"/>
        <v>0</v>
      </c>
      <c r="EB61" s="49">
        <f t="shared" si="30"/>
        <v>0</v>
      </c>
      <c r="EC61" s="49">
        <f t="shared" si="30"/>
        <v>0</v>
      </c>
      <c r="ED61" s="49">
        <f t="shared" si="30"/>
        <v>0</v>
      </c>
    </row>
    <row r="62" spans="2:134" ht="11" customHeight="1" x14ac:dyDescent="0.35">
      <c r="B62" s="4">
        <v>110157</v>
      </c>
      <c r="C62" s="4" t="s">
        <v>68</v>
      </c>
      <c r="D62" s="4">
        <v>18</v>
      </c>
      <c r="E62" s="5">
        <v>18</v>
      </c>
      <c r="F62" s="6">
        <v>721.70176705999995</v>
      </c>
      <c r="G62" s="7"/>
      <c r="H62" s="49"/>
      <c r="I62" s="49"/>
      <c r="J62" s="50">
        <f t="shared" si="31"/>
        <v>0</v>
      </c>
      <c r="K62" s="9"/>
      <c r="L62" s="49"/>
      <c r="M62" s="49"/>
      <c r="N62" s="50">
        <f t="shared" si="0"/>
        <v>0</v>
      </c>
      <c r="O62" s="46"/>
      <c r="P62" s="49"/>
      <c r="Q62" s="49"/>
      <c r="R62" s="50">
        <f t="shared" si="1"/>
        <v>0</v>
      </c>
      <c r="T62" s="49"/>
      <c r="U62" s="49"/>
      <c r="V62" s="50">
        <f t="shared" si="2"/>
        <v>0</v>
      </c>
      <c r="X62" s="49"/>
      <c r="Y62" s="49"/>
      <c r="Z62" s="50">
        <f t="shared" si="3"/>
        <v>0</v>
      </c>
      <c r="AB62" s="49"/>
      <c r="AC62" s="49"/>
      <c r="AD62" s="50">
        <f t="shared" si="4"/>
        <v>0</v>
      </c>
      <c r="AF62" s="49"/>
      <c r="AG62" s="49"/>
      <c r="AH62" s="50">
        <f t="shared" si="5"/>
        <v>0</v>
      </c>
      <c r="AJ62" s="49"/>
      <c r="AK62" s="49"/>
      <c r="AL62" s="50">
        <f t="shared" si="6"/>
        <v>0</v>
      </c>
      <c r="AN62" s="49"/>
      <c r="AO62" s="49"/>
      <c r="AP62" s="50">
        <f t="shared" si="7"/>
        <v>0</v>
      </c>
      <c r="AR62" s="49"/>
      <c r="AS62" s="49"/>
      <c r="AT62" s="50">
        <f t="shared" si="8"/>
        <v>0</v>
      </c>
      <c r="AV62" s="49"/>
      <c r="AW62" s="49"/>
      <c r="AX62" s="50">
        <f t="shared" si="9"/>
        <v>0</v>
      </c>
      <c r="AZ62" s="49"/>
      <c r="BA62" s="49"/>
      <c r="BB62" s="50">
        <f t="shared" si="10"/>
        <v>0</v>
      </c>
      <c r="BD62" s="49"/>
      <c r="BE62" s="49"/>
      <c r="BF62" s="50">
        <f t="shared" si="11"/>
        <v>0</v>
      </c>
      <c r="BH62" s="49"/>
      <c r="BI62" s="49"/>
      <c r="BJ62" s="50">
        <f t="shared" si="12"/>
        <v>0</v>
      </c>
      <c r="BL62" s="49"/>
      <c r="BM62" s="49"/>
      <c r="BN62" s="50">
        <f t="shared" si="13"/>
        <v>0</v>
      </c>
      <c r="BP62" s="49"/>
      <c r="BQ62" s="49"/>
      <c r="BR62" s="50">
        <f t="shared" si="14"/>
        <v>0</v>
      </c>
      <c r="BT62" s="49"/>
      <c r="BU62" s="49"/>
      <c r="BV62" s="50">
        <f t="shared" si="15"/>
        <v>0</v>
      </c>
      <c r="BX62" s="49"/>
      <c r="BY62" s="49"/>
      <c r="BZ62" s="50">
        <f t="shared" si="16"/>
        <v>0</v>
      </c>
      <c r="CB62" s="49"/>
      <c r="CC62" s="49"/>
      <c r="CD62" s="50">
        <f t="shared" si="17"/>
        <v>0</v>
      </c>
      <c r="CF62" s="49"/>
      <c r="CG62" s="49"/>
      <c r="CH62" s="50">
        <f t="shared" si="18"/>
        <v>0</v>
      </c>
      <c r="CJ62" s="49"/>
      <c r="CK62" s="49"/>
      <c r="CL62" s="50">
        <f t="shared" si="19"/>
        <v>0</v>
      </c>
      <c r="CN62" s="49"/>
      <c r="CO62" s="49"/>
      <c r="CP62" s="50">
        <f t="shared" si="20"/>
        <v>0</v>
      </c>
      <c r="CR62" s="49"/>
      <c r="CS62" s="49"/>
      <c r="CT62" s="50">
        <f t="shared" si="21"/>
        <v>0</v>
      </c>
      <c r="CV62" s="49"/>
      <c r="CW62" s="49"/>
      <c r="CX62" s="50">
        <f t="shared" si="22"/>
        <v>0</v>
      </c>
      <c r="CZ62" s="49"/>
      <c r="DA62" s="49"/>
      <c r="DB62" s="50">
        <f t="shared" si="23"/>
        <v>0</v>
      </c>
      <c r="DD62" s="49"/>
      <c r="DE62" s="49"/>
      <c r="DF62" s="50">
        <f t="shared" si="24"/>
        <v>0</v>
      </c>
      <c r="DH62" s="49"/>
      <c r="DI62" s="49"/>
      <c r="DJ62" s="50">
        <f t="shared" si="25"/>
        <v>0</v>
      </c>
      <c r="DL62" s="49"/>
      <c r="DM62" s="49"/>
      <c r="DN62" s="50">
        <f t="shared" si="26"/>
        <v>0</v>
      </c>
      <c r="DP62" s="49"/>
      <c r="DQ62" s="49"/>
      <c r="DR62" s="50">
        <f t="shared" si="27"/>
        <v>0</v>
      </c>
      <c r="DT62" s="49"/>
      <c r="DU62" s="49"/>
      <c r="DV62" s="50">
        <f t="shared" si="28"/>
        <v>0</v>
      </c>
      <c r="DX62" s="49"/>
      <c r="DY62" s="49"/>
      <c r="DZ62" s="50">
        <f t="shared" si="29"/>
        <v>0</v>
      </c>
      <c r="EB62" s="49">
        <f t="shared" si="30"/>
        <v>0</v>
      </c>
      <c r="EC62" s="49">
        <f t="shared" si="30"/>
        <v>0</v>
      </c>
      <c r="ED62" s="49">
        <f t="shared" si="30"/>
        <v>0</v>
      </c>
    </row>
    <row r="63" spans="2:134" ht="11" customHeight="1" x14ac:dyDescent="0.35">
      <c r="B63" s="4">
        <v>111002</v>
      </c>
      <c r="C63" s="4" t="s">
        <v>69</v>
      </c>
      <c r="D63" s="4">
        <v>12</v>
      </c>
      <c r="E63" s="5">
        <v>18</v>
      </c>
      <c r="F63" s="6">
        <v>190.46151740799999</v>
      </c>
      <c r="G63" s="7"/>
      <c r="H63" s="49"/>
      <c r="I63" s="49"/>
      <c r="J63" s="50">
        <f t="shared" si="31"/>
        <v>0</v>
      </c>
      <c r="K63" s="9"/>
      <c r="L63" s="49"/>
      <c r="M63" s="49"/>
      <c r="N63" s="50">
        <f t="shared" si="0"/>
        <v>0</v>
      </c>
      <c r="O63" s="46"/>
      <c r="P63" s="49"/>
      <c r="Q63" s="49"/>
      <c r="R63" s="50">
        <f t="shared" si="1"/>
        <v>0</v>
      </c>
      <c r="T63" s="49"/>
      <c r="U63" s="49"/>
      <c r="V63" s="50">
        <f t="shared" si="2"/>
        <v>0</v>
      </c>
      <c r="X63" s="49"/>
      <c r="Y63" s="49"/>
      <c r="Z63" s="50">
        <f t="shared" si="3"/>
        <v>0</v>
      </c>
      <c r="AB63" s="49"/>
      <c r="AC63" s="49"/>
      <c r="AD63" s="50">
        <f t="shared" si="4"/>
        <v>0</v>
      </c>
      <c r="AF63" s="49"/>
      <c r="AG63" s="49"/>
      <c r="AH63" s="50">
        <f t="shared" si="5"/>
        <v>0</v>
      </c>
      <c r="AJ63" s="49"/>
      <c r="AK63" s="49"/>
      <c r="AL63" s="50">
        <f t="shared" si="6"/>
        <v>0</v>
      </c>
      <c r="AN63" s="49"/>
      <c r="AO63" s="49"/>
      <c r="AP63" s="50">
        <f t="shared" si="7"/>
        <v>0</v>
      </c>
      <c r="AR63" s="49"/>
      <c r="AS63" s="49"/>
      <c r="AT63" s="50">
        <f t="shared" si="8"/>
        <v>0</v>
      </c>
      <c r="AV63" s="49"/>
      <c r="AW63" s="49"/>
      <c r="AX63" s="50">
        <f t="shared" si="9"/>
        <v>0</v>
      </c>
      <c r="AZ63" s="49"/>
      <c r="BA63" s="49"/>
      <c r="BB63" s="50">
        <f t="shared" si="10"/>
        <v>0</v>
      </c>
      <c r="BD63" s="49"/>
      <c r="BE63" s="49"/>
      <c r="BF63" s="50">
        <f t="shared" si="11"/>
        <v>0</v>
      </c>
      <c r="BH63" s="49"/>
      <c r="BI63" s="49"/>
      <c r="BJ63" s="50">
        <f t="shared" si="12"/>
        <v>0</v>
      </c>
      <c r="BL63" s="49"/>
      <c r="BM63" s="49"/>
      <c r="BN63" s="50">
        <f t="shared" si="13"/>
        <v>0</v>
      </c>
      <c r="BP63" s="49"/>
      <c r="BQ63" s="49"/>
      <c r="BR63" s="50">
        <f t="shared" si="14"/>
        <v>0</v>
      </c>
      <c r="BT63" s="49"/>
      <c r="BU63" s="49"/>
      <c r="BV63" s="50">
        <f t="shared" si="15"/>
        <v>0</v>
      </c>
      <c r="BX63" s="49"/>
      <c r="BY63" s="49"/>
      <c r="BZ63" s="50">
        <f t="shared" si="16"/>
        <v>0</v>
      </c>
      <c r="CB63" s="49"/>
      <c r="CC63" s="49"/>
      <c r="CD63" s="50">
        <f t="shared" si="17"/>
        <v>0</v>
      </c>
      <c r="CF63" s="49"/>
      <c r="CG63" s="49"/>
      <c r="CH63" s="50">
        <f t="shared" si="18"/>
        <v>0</v>
      </c>
      <c r="CJ63" s="49"/>
      <c r="CK63" s="49"/>
      <c r="CL63" s="50">
        <f t="shared" si="19"/>
        <v>0</v>
      </c>
      <c r="CN63" s="49"/>
      <c r="CO63" s="49"/>
      <c r="CP63" s="50">
        <f t="shared" si="20"/>
        <v>0</v>
      </c>
      <c r="CR63" s="49"/>
      <c r="CS63" s="49"/>
      <c r="CT63" s="50">
        <f t="shared" si="21"/>
        <v>0</v>
      </c>
      <c r="CV63" s="49"/>
      <c r="CW63" s="49"/>
      <c r="CX63" s="50">
        <f t="shared" si="22"/>
        <v>0</v>
      </c>
      <c r="CZ63" s="49"/>
      <c r="DA63" s="49"/>
      <c r="DB63" s="50">
        <f t="shared" si="23"/>
        <v>0</v>
      </c>
      <c r="DD63" s="49"/>
      <c r="DE63" s="49"/>
      <c r="DF63" s="50">
        <f t="shared" si="24"/>
        <v>0</v>
      </c>
      <c r="DH63" s="49"/>
      <c r="DI63" s="49"/>
      <c r="DJ63" s="50">
        <f t="shared" si="25"/>
        <v>0</v>
      </c>
      <c r="DL63" s="49"/>
      <c r="DM63" s="49"/>
      <c r="DN63" s="50">
        <f t="shared" si="26"/>
        <v>0</v>
      </c>
      <c r="DP63" s="49"/>
      <c r="DQ63" s="49"/>
      <c r="DR63" s="50">
        <f t="shared" si="27"/>
        <v>0</v>
      </c>
      <c r="DT63" s="49"/>
      <c r="DU63" s="49"/>
      <c r="DV63" s="50">
        <f t="shared" si="28"/>
        <v>0</v>
      </c>
      <c r="DX63" s="49"/>
      <c r="DY63" s="49"/>
      <c r="DZ63" s="50">
        <f t="shared" si="29"/>
        <v>0</v>
      </c>
      <c r="EB63" s="49">
        <f t="shared" si="30"/>
        <v>0</v>
      </c>
      <c r="EC63" s="49">
        <f t="shared" si="30"/>
        <v>0</v>
      </c>
      <c r="ED63" s="49">
        <f t="shared" si="30"/>
        <v>0</v>
      </c>
    </row>
    <row r="64" spans="2:134" ht="11" customHeight="1" x14ac:dyDescent="0.35">
      <c r="B64" s="4">
        <v>111006</v>
      </c>
      <c r="C64" s="4" t="s">
        <v>70</v>
      </c>
      <c r="D64" s="4">
        <v>24</v>
      </c>
      <c r="E64" s="5">
        <v>18</v>
      </c>
      <c r="F64" s="6">
        <v>193.64193294</v>
      </c>
      <c r="G64" s="7"/>
      <c r="H64" s="49"/>
      <c r="I64" s="49"/>
      <c r="J64" s="50">
        <f t="shared" si="31"/>
        <v>0</v>
      </c>
      <c r="K64" s="9"/>
      <c r="L64" s="49"/>
      <c r="M64" s="49"/>
      <c r="N64" s="50">
        <f t="shared" si="0"/>
        <v>0</v>
      </c>
      <c r="O64" s="46"/>
      <c r="P64" s="49"/>
      <c r="Q64" s="49"/>
      <c r="R64" s="50">
        <f t="shared" si="1"/>
        <v>0</v>
      </c>
      <c r="T64" s="49"/>
      <c r="U64" s="49"/>
      <c r="V64" s="50">
        <f t="shared" si="2"/>
        <v>0</v>
      </c>
      <c r="X64" s="49"/>
      <c r="Y64" s="49"/>
      <c r="Z64" s="50">
        <f t="shared" si="3"/>
        <v>0</v>
      </c>
      <c r="AB64" s="49"/>
      <c r="AC64" s="49"/>
      <c r="AD64" s="50">
        <f t="shared" si="4"/>
        <v>0</v>
      </c>
      <c r="AF64" s="49"/>
      <c r="AG64" s="49"/>
      <c r="AH64" s="50">
        <f t="shared" si="5"/>
        <v>0</v>
      </c>
      <c r="AJ64" s="49"/>
      <c r="AK64" s="49"/>
      <c r="AL64" s="50">
        <f t="shared" si="6"/>
        <v>0</v>
      </c>
      <c r="AN64" s="49"/>
      <c r="AO64" s="49"/>
      <c r="AP64" s="50">
        <f t="shared" si="7"/>
        <v>0</v>
      </c>
      <c r="AR64" s="49"/>
      <c r="AS64" s="49"/>
      <c r="AT64" s="50">
        <f t="shared" si="8"/>
        <v>0</v>
      </c>
      <c r="AV64" s="49"/>
      <c r="AW64" s="49"/>
      <c r="AX64" s="50">
        <f t="shared" si="9"/>
        <v>0</v>
      </c>
      <c r="AZ64" s="49"/>
      <c r="BA64" s="49"/>
      <c r="BB64" s="50">
        <f t="shared" si="10"/>
        <v>0</v>
      </c>
      <c r="BD64" s="49"/>
      <c r="BE64" s="49"/>
      <c r="BF64" s="50">
        <f t="shared" si="11"/>
        <v>0</v>
      </c>
      <c r="BH64" s="49"/>
      <c r="BI64" s="49"/>
      <c r="BJ64" s="50">
        <f t="shared" si="12"/>
        <v>0</v>
      </c>
      <c r="BL64" s="49"/>
      <c r="BM64" s="49"/>
      <c r="BN64" s="50">
        <f t="shared" si="13"/>
        <v>0</v>
      </c>
      <c r="BP64" s="49"/>
      <c r="BQ64" s="49"/>
      <c r="BR64" s="50">
        <f t="shared" si="14"/>
        <v>0</v>
      </c>
      <c r="BT64" s="49"/>
      <c r="BU64" s="49"/>
      <c r="BV64" s="50">
        <f t="shared" si="15"/>
        <v>0</v>
      </c>
      <c r="BX64" s="49"/>
      <c r="BY64" s="49"/>
      <c r="BZ64" s="50">
        <f t="shared" si="16"/>
        <v>0</v>
      </c>
      <c r="CB64" s="49"/>
      <c r="CC64" s="49"/>
      <c r="CD64" s="50">
        <f t="shared" si="17"/>
        <v>0</v>
      </c>
      <c r="CF64" s="49"/>
      <c r="CG64" s="49"/>
      <c r="CH64" s="50">
        <f t="shared" si="18"/>
        <v>0</v>
      </c>
      <c r="CJ64" s="49"/>
      <c r="CK64" s="49"/>
      <c r="CL64" s="50">
        <f t="shared" si="19"/>
        <v>0</v>
      </c>
      <c r="CN64" s="49"/>
      <c r="CO64" s="49"/>
      <c r="CP64" s="50">
        <f t="shared" si="20"/>
        <v>0</v>
      </c>
      <c r="CR64" s="49"/>
      <c r="CS64" s="49"/>
      <c r="CT64" s="50">
        <f t="shared" si="21"/>
        <v>0</v>
      </c>
      <c r="CV64" s="49"/>
      <c r="CW64" s="49"/>
      <c r="CX64" s="50">
        <f t="shared" si="22"/>
        <v>0</v>
      </c>
      <c r="CZ64" s="49"/>
      <c r="DA64" s="49"/>
      <c r="DB64" s="50">
        <f t="shared" si="23"/>
        <v>0</v>
      </c>
      <c r="DD64" s="49"/>
      <c r="DE64" s="49"/>
      <c r="DF64" s="50">
        <f t="shared" si="24"/>
        <v>0</v>
      </c>
      <c r="DH64" s="49"/>
      <c r="DI64" s="49"/>
      <c r="DJ64" s="50">
        <f t="shared" si="25"/>
        <v>0</v>
      </c>
      <c r="DL64" s="49"/>
      <c r="DM64" s="49"/>
      <c r="DN64" s="50">
        <f t="shared" si="26"/>
        <v>0</v>
      </c>
      <c r="DP64" s="49"/>
      <c r="DQ64" s="49"/>
      <c r="DR64" s="50">
        <f t="shared" si="27"/>
        <v>0</v>
      </c>
      <c r="DT64" s="49"/>
      <c r="DU64" s="49"/>
      <c r="DV64" s="50">
        <f t="shared" si="28"/>
        <v>0</v>
      </c>
      <c r="DX64" s="49"/>
      <c r="DY64" s="49"/>
      <c r="DZ64" s="50">
        <f t="shared" si="29"/>
        <v>0</v>
      </c>
      <c r="EB64" s="49">
        <f t="shared" si="30"/>
        <v>0</v>
      </c>
      <c r="EC64" s="49">
        <f t="shared" si="30"/>
        <v>0</v>
      </c>
      <c r="ED64" s="49">
        <f t="shared" si="30"/>
        <v>0</v>
      </c>
    </row>
    <row r="65" spans="2:134" ht="11" customHeight="1" x14ac:dyDescent="0.35">
      <c r="B65" s="4">
        <v>111107</v>
      </c>
      <c r="C65" s="4" t="s">
        <v>71</v>
      </c>
      <c r="D65" s="4">
        <v>1</v>
      </c>
      <c r="E65" s="5">
        <v>48</v>
      </c>
      <c r="F65" s="6">
        <v>39.4372481296</v>
      </c>
      <c r="G65" s="7"/>
      <c r="H65" s="49"/>
      <c r="I65" s="49"/>
      <c r="J65" s="50">
        <f t="shared" si="31"/>
        <v>0</v>
      </c>
      <c r="K65" s="9"/>
      <c r="L65" s="49"/>
      <c r="M65" s="49"/>
      <c r="N65" s="50">
        <f t="shared" si="0"/>
        <v>0</v>
      </c>
      <c r="O65" s="46"/>
      <c r="P65" s="49"/>
      <c r="Q65" s="49"/>
      <c r="R65" s="50">
        <f t="shared" si="1"/>
        <v>0</v>
      </c>
      <c r="T65" s="49"/>
      <c r="U65" s="49"/>
      <c r="V65" s="50">
        <f t="shared" si="2"/>
        <v>0</v>
      </c>
      <c r="X65" s="49"/>
      <c r="Y65" s="49"/>
      <c r="Z65" s="50">
        <f t="shared" si="3"/>
        <v>0</v>
      </c>
      <c r="AB65" s="49"/>
      <c r="AC65" s="49"/>
      <c r="AD65" s="50">
        <f t="shared" si="4"/>
        <v>0</v>
      </c>
      <c r="AF65" s="49"/>
      <c r="AG65" s="49"/>
      <c r="AH65" s="50">
        <f t="shared" si="5"/>
        <v>0</v>
      </c>
      <c r="AJ65" s="49"/>
      <c r="AK65" s="49"/>
      <c r="AL65" s="50">
        <f t="shared" si="6"/>
        <v>0</v>
      </c>
      <c r="AN65" s="49"/>
      <c r="AO65" s="49"/>
      <c r="AP65" s="50">
        <f t="shared" si="7"/>
        <v>0</v>
      </c>
      <c r="AR65" s="49"/>
      <c r="AS65" s="49"/>
      <c r="AT65" s="50">
        <f t="shared" si="8"/>
        <v>0</v>
      </c>
      <c r="AV65" s="49"/>
      <c r="AW65" s="49"/>
      <c r="AX65" s="50">
        <f t="shared" si="9"/>
        <v>0</v>
      </c>
      <c r="AZ65" s="49"/>
      <c r="BA65" s="49"/>
      <c r="BB65" s="50">
        <f t="shared" si="10"/>
        <v>0</v>
      </c>
      <c r="BD65" s="49"/>
      <c r="BE65" s="49"/>
      <c r="BF65" s="50">
        <f t="shared" si="11"/>
        <v>0</v>
      </c>
      <c r="BH65" s="49"/>
      <c r="BI65" s="49"/>
      <c r="BJ65" s="50">
        <f t="shared" si="12"/>
        <v>0</v>
      </c>
      <c r="BL65" s="49"/>
      <c r="BM65" s="49"/>
      <c r="BN65" s="50">
        <f t="shared" si="13"/>
        <v>0</v>
      </c>
      <c r="BP65" s="49"/>
      <c r="BQ65" s="49"/>
      <c r="BR65" s="50">
        <f t="shared" si="14"/>
        <v>0</v>
      </c>
      <c r="BT65" s="49"/>
      <c r="BU65" s="49"/>
      <c r="BV65" s="50">
        <f t="shared" si="15"/>
        <v>0</v>
      </c>
      <c r="BX65" s="49"/>
      <c r="BY65" s="49"/>
      <c r="BZ65" s="50">
        <f t="shared" si="16"/>
        <v>0</v>
      </c>
      <c r="CB65" s="49"/>
      <c r="CC65" s="49"/>
      <c r="CD65" s="50">
        <f t="shared" si="17"/>
        <v>0</v>
      </c>
      <c r="CF65" s="49"/>
      <c r="CG65" s="49"/>
      <c r="CH65" s="50">
        <f t="shared" si="18"/>
        <v>0</v>
      </c>
      <c r="CJ65" s="49"/>
      <c r="CK65" s="49"/>
      <c r="CL65" s="50">
        <f t="shared" si="19"/>
        <v>0</v>
      </c>
      <c r="CN65" s="49"/>
      <c r="CO65" s="49"/>
      <c r="CP65" s="50">
        <f t="shared" si="20"/>
        <v>0</v>
      </c>
      <c r="CR65" s="49"/>
      <c r="CS65" s="49"/>
      <c r="CT65" s="50">
        <f t="shared" si="21"/>
        <v>0</v>
      </c>
      <c r="CV65" s="49"/>
      <c r="CW65" s="49"/>
      <c r="CX65" s="50">
        <f t="shared" si="22"/>
        <v>0</v>
      </c>
      <c r="CZ65" s="49"/>
      <c r="DA65" s="49"/>
      <c r="DB65" s="50">
        <f t="shared" si="23"/>
        <v>0</v>
      </c>
      <c r="DD65" s="49"/>
      <c r="DE65" s="49"/>
      <c r="DF65" s="50">
        <f t="shared" si="24"/>
        <v>0</v>
      </c>
      <c r="DH65" s="49"/>
      <c r="DI65" s="49"/>
      <c r="DJ65" s="50">
        <f t="shared" si="25"/>
        <v>0</v>
      </c>
      <c r="DL65" s="49"/>
      <c r="DM65" s="49"/>
      <c r="DN65" s="50">
        <f t="shared" si="26"/>
        <v>0</v>
      </c>
      <c r="DP65" s="49"/>
      <c r="DQ65" s="49"/>
      <c r="DR65" s="50">
        <f t="shared" si="27"/>
        <v>0</v>
      </c>
      <c r="DT65" s="49"/>
      <c r="DU65" s="49"/>
      <c r="DV65" s="50">
        <f t="shared" si="28"/>
        <v>0</v>
      </c>
      <c r="DX65" s="49"/>
      <c r="DY65" s="49"/>
      <c r="DZ65" s="50">
        <f t="shared" si="29"/>
        <v>0</v>
      </c>
      <c r="EB65" s="49">
        <f t="shared" si="30"/>
        <v>0</v>
      </c>
      <c r="EC65" s="49">
        <f t="shared" si="30"/>
        <v>0</v>
      </c>
      <c r="ED65" s="49">
        <f t="shared" si="30"/>
        <v>0</v>
      </c>
    </row>
    <row r="66" spans="2:134" ht="11" customHeight="1" x14ac:dyDescent="0.35">
      <c r="B66" s="4">
        <v>111108</v>
      </c>
      <c r="C66" s="4" t="s">
        <v>72</v>
      </c>
      <c r="D66" s="4">
        <v>1</v>
      </c>
      <c r="E66" s="5">
        <v>48</v>
      </c>
      <c r="F66" s="6">
        <v>39.4372481296</v>
      </c>
      <c r="G66" s="7"/>
      <c r="H66" s="49"/>
      <c r="I66" s="49"/>
      <c r="J66" s="50">
        <f t="shared" si="31"/>
        <v>0</v>
      </c>
      <c r="K66" s="9"/>
      <c r="L66" s="49"/>
      <c r="M66" s="49"/>
      <c r="N66" s="50">
        <f t="shared" si="0"/>
        <v>0</v>
      </c>
      <c r="O66" s="46"/>
      <c r="P66" s="49"/>
      <c r="Q66" s="49"/>
      <c r="R66" s="50">
        <f t="shared" si="1"/>
        <v>0</v>
      </c>
      <c r="T66" s="49"/>
      <c r="U66" s="49"/>
      <c r="V66" s="50">
        <f t="shared" si="2"/>
        <v>0</v>
      </c>
      <c r="X66" s="49"/>
      <c r="Y66" s="49"/>
      <c r="Z66" s="50">
        <f t="shared" si="3"/>
        <v>0</v>
      </c>
      <c r="AB66" s="49"/>
      <c r="AC66" s="49"/>
      <c r="AD66" s="50">
        <f t="shared" si="4"/>
        <v>0</v>
      </c>
      <c r="AF66" s="49"/>
      <c r="AG66" s="49"/>
      <c r="AH66" s="50">
        <f t="shared" si="5"/>
        <v>0</v>
      </c>
      <c r="AJ66" s="49"/>
      <c r="AK66" s="49"/>
      <c r="AL66" s="50">
        <f t="shared" si="6"/>
        <v>0</v>
      </c>
      <c r="AN66" s="49"/>
      <c r="AO66" s="49"/>
      <c r="AP66" s="50">
        <f t="shared" si="7"/>
        <v>0</v>
      </c>
      <c r="AR66" s="49"/>
      <c r="AS66" s="49"/>
      <c r="AT66" s="50">
        <f t="shared" si="8"/>
        <v>0</v>
      </c>
      <c r="AV66" s="49"/>
      <c r="AW66" s="49"/>
      <c r="AX66" s="50">
        <f t="shared" si="9"/>
        <v>0</v>
      </c>
      <c r="AZ66" s="49"/>
      <c r="BA66" s="49"/>
      <c r="BB66" s="50">
        <f t="shared" si="10"/>
        <v>0</v>
      </c>
      <c r="BD66" s="49"/>
      <c r="BE66" s="49"/>
      <c r="BF66" s="50">
        <f t="shared" si="11"/>
        <v>0</v>
      </c>
      <c r="BH66" s="49"/>
      <c r="BI66" s="49"/>
      <c r="BJ66" s="50">
        <f t="shared" si="12"/>
        <v>0</v>
      </c>
      <c r="BL66" s="49"/>
      <c r="BM66" s="49"/>
      <c r="BN66" s="50">
        <f t="shared" si="13"/>
        <v>0</v>
      </c>
      <c r="BP66" s="49"/>
      <c r="BQ66" s="49"/>
      <c r="BR66" s="50">
        <f t="shared" si="14"/>
        <v>0</v>
      </c>
      <c r="BT66" s="49"/>
      <c r="BU66" s="49"/>
      <c r="BV66" s="50">
        <f t="shared" si="15"/>
        <v>0</v>
      </c>
      <c r="BX66" s="49"/>
      <c r="BY66" s="49"/>
      <c r="BZ66" s="50">
        <f t="shared" si="16"/>
        <v>0</v>
      </c>
      <c r="CB66" s="49"/>
      <c r="CC66" s="49"/>
      <c r="CD66" s="50">
        <f t="shared" si="17"/>
        <v>0</v>
      </c>
      <c r="CF66" s="49"/>
      <c r="CG66" s="49"/>
      <c r="CH66" s="50">
        <f t="shared" si="18"/>
        <v>0</v>
      </c>
      <c r="CJ66" s="49"/>
      <c r="CK66" s="49"/>
      <c r="CL66" s="50">
        <f t="shared" si="19"/>
        <v>0</v>
      </c>
      <c r="CN66" s="49"/>
      <c r="CO66" s="49"/>
      <c r="CP66" s="50">
        <f t="shared" si="20"/>
        <v>0</v>
      </c>
      <c r="CR66" s="49"/>
      <c r="CS66" s="49"/>
      <c r="CT66" s="50">
        <f t="shared" si="21"/>
        <v>0</v>
      </c>
      <c r="CV66" s="49"/>
      <c r="CW66" s="49"/>
      <c r="CX66" s="50">
        <f t="shared" si="22"/>
        <v>0</v>
      </c>
      <c r="CZ66" s="49"/>
      <c r="DA66" s="49"/>
      <c r="DB66" s="50">
        <f t="shared" si="23"/>
        <v>0</v>
      </c>
      <c r="DD66" s="49"/>
      <c r="DE66" s="49"/>
      <c r="DF66" s="50">
        <f t="shared" si="24"/>
        <v>0</v>
      </c>
      <c r="DH66" s="49"/>
      <c r="DI66" s="49"/>
      <c r="DJ66" s="50">
        <f t="shared" si="25"/>
        <v>0</v>
      </c>
      <c r="DL66" s="49"/>
      <c r="DM66" s="49"/>
      <c r="DN66" s="50">
        <f t="shared" si="26"/>
        <v>0</v>
      </c>
      <c r="DP66" s="49"/>
      <c r="DQ66" s="49"/>
      <c r="DR66" s="50">
        <f t="shared" si="27"/>
        <v>0</v>
      </c>
      <c r="DT66" s="49"/>
      <c r="DU66" s="49"/>
      <c r="DV66" s="50">
        <f t="shared" si="28"/>
        <v>0</v>
      </c>
      <c r="DX66" s="49"/>
      <c r="DY66" s="49"/>
      <c r="DZ66" s="50">
        <f t="shared" si="29"/>
        <v>0</v>
      </c>
      <c r="EB66" s="49">
        <f t="shared" si="30"/>
        <v>0</v>
      </c>
      <c r="EC66" s="49">
        <f t="shared" si="30"/>
        <v>0</v>
      </c>
      <c r="ED66" s="49">
        <f t="shared" si="30"/>
        <v>0</v>
      </c>
    </row>
    <row r="67" spans="2:134" ht="11" customHeight="1" x14ac:dyDescent="0.35">
      <c r="B67" s="4">
        <v>111109</v>
      </c>
      <c r="C67" s="4" t="s">
        <v>73</v>
      </c>
      <c r="D67" s="4">
        <v>12</v>
      </c>
      <c r="E67" s="5">
        <v>18</v>
      </c>
      <c r="F67" s="6">
        <v>190.46151740799999</v>
      </c>
      <c r="G67" s="7"/>
      <c r="H67" s="49"/>
      <c r="I67" s="49"/>
      <c r="J67" s="50">
        <f t="shared" si="31"/>
        <v>0</v>
      </c>
      <c r="K67" s="9"/>
      <c r="L67" s="49"/>
      <c r="M67" s="49"/>
      <c r="N67" s="50">
        <f t="shared" si="0"/>
        <v>0</v>
      </c>
      <c r="O67" s="46"/>
      <c r="P67" s="49"/>
      <c r="Q67" s="49"/>
      <c r="R67" s="50">
        <f t="shared" si="1"/>
        <v>0</v>
      </c>
      <c r="T67" s="49"/>
      <c r="U67" s="49"/>
      <c r="V67" s="50">
        <f t="shared" si="2"/>
        <v>0</v>
      </c>
      <c r="X67" s="49"/>
      <c r="Y67" s="49"/>
      <c r="Z67" s="50">
        <f t="shared" si="3"/>
        <v>0</v>
      </c>
      <c r="AB67" s="49"/>
      <c r="AC67" s="49"/>
      <c r="AD67" s="50">
        <f t="shared" si="4"/>
        <v>0</v>
      </c>
      <c r="AF67" s="49"/>
      <c r="AG67" s="49"/>
      <c r="AH67" s="50">
        <f t="shared" si="5"/>
        <v>0</v>
      </c>
      <c r="AJ67" s="49"/>
      <c r="AK67" s="49"/>
      <c r="AL67" s="50">
        <f t="shared" si="6"/>
        <v>0</v>
      </c>
      <c r="AN67" s="49"/>
      <c r="AO67" s="49"/>
      <c r="AP67" s="50">
        <f t="shared" si="7"/>
        <v>0</v>
      </c>
      <c r="AR67" s="49"/>
      <c r="AS67" s="49"/>
      <c r="AT67" s="50">
        <f t="shared" si="8"/>
        <v>0</v>
      </c>
      <c r="AV67" s="49"/>
      <c r="AW67" s="49"/>
      <c r="AX67" s="50">
        <f t="shared" si="9"/>
        <v>0</v>
      </c>
      <c r="AZ67" s="49"/>
      <c r="BA67" s="49"/>
      <c r="BB67" s="50">
        <f t="shared" si="10"/>
        <v>0</v>
      </c>
      <c r="BD67" s="49"/>
      <c r="BE67" s="49"/>
      <c r="BF67" s="50">
        <f t="shared" si="11"/>
        <v>0</v>
      </c>
      <c r="BH67" s="49"/>
      <c r="BI67" s="49"/>
      <c r="BJ67" s="50">
        <f t="shared" si="12"/>
        <v>0</v>
      </c>
      <c r="BL67" s="49"/>
      <c r="BM67" s="49"/>
      <c r="BN67" s="50">
        <f t="shared" si="13"/>
        <v>0</v>
      </c>
      <c r="BP67" s="49"/>
      <c r="BQ67" s="49"/>
      <c r="BR67" s="50">
        <f t="shared" si="14"/>
        <v>0</v>
      </c>
      <c r="BT67" s="49"/>
      <c r="BU67" s="49"/>
      <c r="BV67" s="50">
        <f t="shared" si="15"/>
        <v>0</v>
      </c>
      <c r="BX67" s="49"/>
      <c r="BY67" s="49"/>
      <c r="BZ67" s="50">
        <f t="shared" si="16"/>
        <v>0</v>
      </c>
      <c r="CB67" s="49"/>
      <c r="CC67" s="49"/>
      <c r="CD67" s="50">
        <f t="shared" si="17"/>
        <v>0</v>
      </c>
      <c r="CF67" s="49"/>
      <c r="CG67" s="49"/>
      <c r="CH67" s="50">
        <f t="shared" si="18"/>
        <v>0</v>
      </c>
      <c r="CJ67" s="49"/>
      <c r="CK67" s="49"/>
      <c r="CL67" s="50">
        <f t="shared" si="19"/>
        <v>0</v>
      </c>
      <c r="CN67" s="49"/>
      <c r="CO67" s="49"/>
      <c r="CP67" s="50">
        <f t="shared" si="20"/>
        <v>0</v>
      </c>
      <c r="CR67" s="49"/>
      <c r="CS67" s="49"/>
      <c r="CT67" s="50">
        <f t="shared" si="21"/>
        <v>0</v>
      </c>
      <c r="CV67" s="49"/>
      <c r="CW67" s="49"/>
      <c r="CX67" s="50">
        <f t="shared" si="22"/>
        <v>0</v>
      </c>
      <c r="CZ67" s="49"/>
      <c r="DA67" s="49"/>
      <c r="DB67" s="50">
        <f t="shared" si="23"/>
        <v>0</v>
      </c>
      <c r="DD67" s="49"/>
      <c r="DE67" s="49"/>
      <c r="DF67" s="50">
        <f t="shared" si="24"/>
        <v>0</v>
      </c>
      <c r="DH67" s="49"/>
      <c r="DI67" s="49"/>
      <c r="DJ67" s="50">
        <f t="shared" si="25"/>
        <v>0</v>
      </c>
      <c r="DL67" s="49"/>
      <c r="DM67" s="49"/>
      <c r="DN67" s="50">
        <f t="shared" si="26"/>
        <v>0</v>
      </c>
      <c r="DP67" s="49"/>
      <c r="DQ67" s="49"/>
      <c r="DR67" s="50">
        <f t="shared" si="27"/>
        <v>0</v>
      </c>
      <c r="DT67" s="49"/>
      <c r="DU67" s="49"/>
      <c r="DV67" s="50">
        <f t="shared" si="28"/>
        <v>0</v>
      </c>
      <c r="DX67" s="49"/>
      <c r="DY67" s="49"/>
      <c r="DZ67" s="50">
        <f t="shared" si="29"/>
        <v>0</v>
      </c>
      <c r="EB67" s="49">
        <f t="shared" si="30"/>
        <v>0</v>
      </c>
      <c r="EC67" s="49">
        <f t="shared" si="30"/>
        <v>0</v>
      </c>
      <c r="ED67" s="49">
        <f t="shared" si="30"/>
        <v>0</v>
      </c>
    </row>
    <row r="68" spans="2:134" ht="11" customHeight="1" x14ac:dyDescent="0.35">
      <c r="B68" s="4">
        <v>111124</v>
      </c>
      <c r="C68" s="4" t="s">
        <v>74</v>
      </c>
      <c r="D68" s="4">
        <v>24</v>
      </c>
      <c r="E68" s="5">
        <v>18</v>
      </c>
      <c r="F68" s="6">
        <v>193.64193294</v>
      </c>
      <c r="G68" s="7"/>
      <c r="H68" s="49"/>
      <c r="I68" s="49"/>
      <c r="J68" s="50">
        <f t="shared" si="31"/>
        <v>0</v>
      </c>
      <c r="K68" s="9"/>
      <c r="L68" s="49"/>
      <c r="M68" s="49"/>
      <c r="N68" s="50">
        <f t="shared" si="0"/>
        <v>0</v>
      </c>
      <c r="O68" s="46"/>
      <c r="P68" s="49"/>
      <c r="Q68" s="49"/>
      <c r="R68" s="50">
        <f t="shared" si="1"/>
        <v>0</v>
      </c>
      <c r="T68" s="49"/>
      <c r="U68" s="49"/>
      <c r="V68" s="50">
        <f t="shared" si="2"/>
        <v>0</v>
      </c>
      <c r="X68" s="49"/>
      <c r="Y68" s="49"/>
      <c r="Z68" s="50">
        <f t="shared" si="3"/>
        <v>0</v>
      </c>
      <c r="AB68" s="49"/>
      <c r="AC68" s="49"/>
      <c r="AD68" s="50">
        <f t="shared" si="4"/>
        <v>0</v>
      </c>
      <c r="AF68" s="49"/>
      <c r="AG68" s="49"/>
      <c r="AH68" s="50">
        <f t="shared" si="5"/>
        <v>0</v>
      </c>
      <c r="AJ68" s="49"/>
      <c r="AK68" s="49"/>
      <c r="AL68" s="50">
        <f t="shared" si="6"/>
        <v>0</v>
      </c>
      <c r="AN68" s="49"/>
      <c r="AO68" s="49"/>
      <c r="AP68" s="50">
        <f t="shared" si="7"/>
        <v>0</v>
      </c>
      <c r="AR68" s="49"/>
      <c r="AS68" s="49"/>
      <c r="AT68" s="50">
        <f t="shared" si="8"/>
        <v>0</v>
      </c>
      <c r="AV68" s="49"/>
      <c r="AW68" s="49"/>
      <c r="AX68" s="50">
        <f t="shared" si="9"/>
        <v>0</v>
      </c>
      <c r="AZ68" s="49"/>
      <c r="BA68" s="49"/>
      <c r="BB68" s="50">
        <f t="shared" si="10"/>
        <v>0</v>
      </c>
      <c r="BD68" s="49"/>
      <c r="BE68" s="49"/>
      <c r="BF68" s="50">
        <f t="shared" si="11"/>
        <v>0</v>
      </c>
      <c r="BH68" s="49"/>
      <c r="BI68" s="49"/>
      <c r="BJ68" s="50">
        <f t="shared" si="12"/>
        <v>0</v>
      </c>
      <c r="BL68" s="49"/>
      <c r="BM68" s="49"/>
      <c r="BN68" s="50">
        <f t="shared" si="13"/>
        <v>0</v>
      </c>
      <c r="BP68" s="49"/>
      <c r="BQ68" s="49"/>
      <c r="BR68" s="50">
        <f t="shared" si="14"/>
        <v>0</v>
      </c>
      <c r="BT68" s="49"/>
      <c r="BU68" s="49"/>
      <c r="BV68" s="50">
        <f t="shared" si="15"/>
        <v>0</v>
      </c>
      <c r="BX68" s="49"/>
      <c r="BY68" s="49"/>
      <c r="BZ68" s="50">
        <f t="shared" si="16"/>
        <v>0</v>
      </c>
      <c r="CB68" s="49"/>
      <c r="CC68" s="49"/>
      <c r="CD68" s="50">
        <f t="shared" si="17"/>
        <v>0</v>
      </c>
      <c r="CF68" s="49"/>
      <c r="CG68" s="49"/>
      <c r="CH68" s="50">
        <f t="shared" si="18"/>
        <v>0</v>
      </c>
      <c r="CJ68" s="49"/>
      <c r="CK68" s="49"/>
      <c r="CL68" s="50">
        <f t="shared" si="19"/>
        <v>0</v>
      </c>
      <c r="CN68" s="49"/>
      <c r="CO68" s="49"/>
      <c r="CP68" s="50">
        <f t="shared" si="20"/>
        <v>0</v>
      </c>
      <c r="CR68" s="49"/>
      <c r="CS68" s="49"/>
      <c r="CT68" s="50">
        <f t="shared" si="21"/>
        <v>0</v>
      </c>
      <c r="CV68" s="49"/>
      <c r="CW68" s="49"/>
      <c r="CX68" s="50">
        <f t="shared" si="22"/>
        <v>0</v>
      </c>
      <c r="CZ68" s="49"/>
      <c r="DA68" s="49"/>
      <c r="DB68" s="50">
        <f t="shared" si="23"/>
        <v>0</v>
      </c>
      <c r="DD68" s="49"/>
      <c r="DE68" s="49"/>
      <c r="DF68" s="50">
        <f t="shared" si="24"/>
        <v>0</v>
      </c>
      <c r="DH68" s="49"/>
      <c r="DI68" s="49"/>
      <c r="DJ68" s="50">
        <f t="shared" si="25"/>
        <v>0</v>
      </c>
      <c r="DL68" s="49"/>
      <c r="DM68" s="49"/>
      <c r="DN68" s="50">
        <f t="shared" si="26"/>
        <v>0</v>
      </c>
      <c r="DP68" s="49"/>
      <c r="DQ68" s="49"/>
      <c r="DR68" s="50">
        <f t="shared" si="27"/>
        <v>0</v>
      </c>
      <c r="DT68" s="49"/>
      <c r="DU68" s="49"/>
      <c r="DV68" s="50">
        <f t="shared" si="28"/>
        <v>0</v>
      </c>
      <c r="DX68" s="49"/>
      <c r="DY68" s="49"/>
      <c r="DZ68" s="50">
        <f t="shared" si="29"/>
        <v>0</v>
      </c>
      <c r="EB68" s="49">
        <f t="shared" si="30"/>
        <v>0</v>
      </c>
      <c r="EC68" s="49">
        <f t="shared" si="30"/>
        <v>0</v>
      </c>
      <c r="ED68" s="49">
        <f t="shared" si="30"/>
        <v>0</v>
      </c>
    </row>
    <row r="69" spans="2:134" ht="11" customHeight="1" x14ac:dyDescent="0.35">
      <c r="B69" s="4">
        <v>111131</v>
      </c>
      <c r="C69" s="4" t="s">
        <v>75</v>
      </c>
      <c r="D69" s="4">
        <v>12</v>
      </c>
      <c r="E69" s="5">
        <v>8</v>
      </c>
      <c r="F69" s="6">
        <v>481.09632499999998</v>
      </c>
      <c r="G69" s="7"/>
      <c r="H69" s="49"/>
      <c r="I69" s="49"/>
      <c r="J69" s="50">
        <f t="shared" si="31"/>
        <v>0</v>
      </c>
      <c r="K69" s="9"/>
      <c r="L69" s="49"/>
      <c r="M69" s="49"/>
      <c r="N69" s="50">
        <f t="shared" ref="N69:N108" si="32">(M69/E69)+L69</f>
        <v>0</v>
      </c>
      <c r="O69" s="46"/>
      <c r="P69" s="49"/>
      <c r="Q69" s="49"/>
      <c r="R69" s="50">
        <f t="shared" ref="R69:R108" si="33">(Q69/E69)+P69</f>
        <v>0</v>
      </c>
      <c r="T69" s="49"/>
      <c r="U69" s="49"/>
      <c r="V69" s="50">
        <f t="shared" ref="V69:V108" si="34">(U69/E69)+T69</f>
        <v>0</v>
      </c>
      <c r="X69" s="49"/>
      <c r="Y69" s="49"/>
      <c r="Z69" s="50">
        <f t="shared" ref="Z69:Z108" si="35">(Y69/E69)+X69</f>
        <v>0</v>
      </c>
      <c r="AB69" s="49"/>
      <c r="AC69" s="49"/>
      <c r="AD69" s="50">
        <f t="shared" ref="AD69:AD108" si="36">(AC69/E69)+AB69</f>
        <v>0</v>
      </c>
      <c r="AF69" s="49"/>
      <c r="AG69" s="49"/>
      <c r="AH69" s="50">
        <f t="shared" ref="AH69:AH108" si="37">(AG69/E69)+AF69</f>
        <v>0</v>
      </c>
      <c r="AJ69" s="49"/>
      <c r="AK69" s="49"/>
      <c r="AL69" s="50">
        <f t="shared" ref="AL69:AL108" si="38">(AK69/E69)+AJ69</f>
        <v>0</v>
      </c>
      <c r="AN69" s="49"/>
      <c r="AO69" s="49"/>
      <c r="AP69" s="50">
        <f t="shared" ref="AP69:AP108" si="39">(AO69/E69)+AN69</f>
        <v>0</v>
      </c>
      <c r="AR69" s="49"/>
      <c r="AS69" s="49"/>
      <c r="AT69" s="50">
        <f t="shared" ref="AT69:AT108" si="40">(AS69/E69)+AR69</f>
        <v>0</v>
      </c>
      <c r="AV69" s="49"/>
      <c r="AW69" s="49"/>
      <c r="AX69" s="50">
        <f t="shared" ref="AX69:AX108" si="41">(AW69/E69)+AV69</f>
        <v>0</v>
      </c>
      <c r="AZ69" s="49"/>
      <c r="BA69" s="49"/>
      <c r="BB69" s="50">
        <f t="shared" ref="BB69:BB108" si="42">(BA69/E69)+AZ69</f>
        <v>0</v>
      </c>
      <c r="BD69" s="49"/>
      <c r="BE69" s="49"/>
      <c r="BF69" s="50">
        <f t="shared" ref="BF69:BF108" si="43">(BE69/E69)+BD69</f>
        <v>0</v>
      </c>
      <c r="BH69" s="49"/>
      <c r="BI69" s="49"/>
      <c r="BJ69" s="50">
        <f t="shared" ref="BJ69:BJ108" si="44">(BI69/E69)+BH69</f>
        <v>0</v>
      </c>
      <c r="BL69" s="49"/>
      <c r="BM69" s="49"/>
      <c r="BN69" s="50">
        <f t="shared" ref="BN69:BN108" si="45">(BM69/E69)+BL69</f>
        <v>0</v>
      </c>
      <c r="BP69" s="49"/>
      <c r="BQ69" s="49"/>
      <c r="BR69" s="50">
        <f t="shared" ref="BR69:BR108" si="46">(BQ69/E69)+BP69</f>
        <v>0</v>
      </c>
      <c r="BT69" s="49"/>
      <c r="BU69" s="49"/>
      <c r="BV69" s="50">
        <f t="shared" ref="BV69:BV108" si="47">(BU69/E69)+BT69</f>
        <v>0</v>
      </c>
      <c r="BX69" s="49"/>
      <c r="BY69" s="49"/>
      <c r="BZ69" s="50">
        <f t="shared" ref="BZ69:BZ108" si="48">(BY69/E69)+BX69</f>
        <v>0</v>
      </c>
      <c r="CB69" s="49"/>
      <c r="CC69" s="49"/>
      <c r="CD69" s="50">
        <f t="shared" ref="CD69:CD108" si="49">(CC69/E69)+CB69</f>
        <v>0</v>
      </c>
      <c r="CF69" s="49"/>
      <c r="CG69" s="49"/>
      <c r="CH69" s="50">
        <f t="shared" ref="CH69:CH108" si="50">(CG69/E69)+CF69</f>
        <v>0</v>
      </c>
      <c r="CJ69" s="49"/>
      <c r="CK69" s="49"/>
      <c r="CL69" s="50">
        <f t="shared" ref="CL69:CL108" si="51">(CK69/E69)+CJ69</f>
        <v>0</v>
      </c>
      <c r="CN69" s="49"/>
      <c r="CO69" s="49"/>
      <c r="CP69" s="50">
        <f t="shared" ref="CP69:CP108" si="52">(CO69/E69)+CN69</f>
        <v>0</v>
      </c>
      <c r="CR69" s="49"/>
      <c r="CS69" s="49"/>
      <c r="CT69" s="50">
        <f t="shared" ref="CT69:CT108" si="53">(CS69/E69)+CR69</f>
        <v>0</v>
      </c>
      <c r="CV69" s="49"/>
      <c r="CW69" s="49"/>
      <c r="CX69" s="50">
        <f t="shared" ref="CX69:CX108" si="54">(CW69/E69)+CV69</f>
        <v>0</v>
      </c>
      <c r="CZ69" s="49"/>
      <c r="DA69" s="49"/>
      <c r="DB69" s="50">
        <f t="shared" ref="DB69:DB108" si="55">(DA69/E69)+CZ69</f>
        <v>0</v>
      </c>
      <c r="DD69" s="49"/>
      <c r="DE69" s="49"/>
      <c r="DF69" s="50">
        <f t="shared" ref="DF69:DF108" si="56">(DE69/E69)+DD69</f>
        <v>0</v>
      </c>
      <c r="DH69" s="49"/>
      <c r="DI69" s="49"/>
      <c r="DJ69" s="50">
        <f t="shared" ref="DJ69:DJ108" si="57">(DI69/E69)+DH69</f>
        <v>0</v>
      </c>
      <c r="DL69" s="49"/>
      <c r="DM69" s="49"/>
      <c r="DN69" s="50">
        <f t="shared" ref="DN69:DN108" si="58">(DM69/E69)+DL69</f>
        <v>0</v>
      </c>
      <c r="DP69" s="49"/>
      <c r="DQ69" s="49"/>
      <c r="DR69" s="50">
        <f t="shared" ref="DR69:DR108" si="59">(DQ69/E69)+DP69</f>
        <v>0</v>
      </c>
      <c r="DT69" s="49"/>
      <c r="DU69" s="49"/>
      <c r="DV69" s="50">
        <f t="shared" ref="DV69:DV108" si="60">(DU69/E69)+DT69</f>
        <v>0</v>
      </c>
      <c r="DX69" s="49"/>
      <c r="DY69" s="49"/>
      <c r="DZ69" s="50">
        <f t="shared" ref="DZ69:DZ108" si="61">(DY69/E69)+DX69</f>
        <v>0</v>
      </c>
      <c r="EB69" s="49">
        <f t="shared" ref="EB69:ED108" si="62">H69+L69+P69+T69+X69+AB69+AF69+AJ69+AN69+AR69+AV69+AZ69+BD69+BH69+BL69+BP69+BT69+BX69+CB69+CF69+CJ69+CN69+CR69+CV69+CZ69+DD69+DH69+DL69+DP69+DT69+DX69</f>
        <v>0</v>
      </c>
      <c r="EC69" s="49">
        <f t="shared" si="62"/>
        <v>0</v>
      </c>
      <c r="ED69" s="49">
        <f t="shared" si="62"/>
        <v>0</v>
      </c>
    </row>
    <row r="70" spans="2:134" ht="11" customHeight="1" x14ac:dyDescent="0.35">
      <c r="B70" s="4">
        <v>111202</v>
      </c>
      <c r="C70" s="4" t="s">
        <v>76</v>
      </c>
      <c r="D70" s="4">
        <v>25</v>
      </c>
      <c r="E70" s="5">
        <v>36</v>
      </c>
      <c r="F70" s="6">
        <v>99.122261960000003</v>
      </c>
      <c r="G70" s="7"/>
      <c r="H70" s="49"/>
      <c r="I70" s="49"/>
      <c r="J70" s="50">
        <f t="shared" si="31"/>
        <v>0</v>
      </c>
      <c r="K70" s="9"/>
      <c r="L70" s="49"/>
      <c r="M70" s="49"/>
      <c r="N70" s="50">
        <f t="shared" si="32"/>
        <v>0</v>
      </c>
      <c r="O70" s="46"/>
      <c r="P70" s="49"/>
      <c r="Q70" s="49"/>
      <c r="R70" s="50">
        <f t="shared" si="33"/>
        <v>0</v>
      </c>
      <c r="T70" s="49"/>
      <c r="U70" s="49"/>
      <c r="V70" s="50">
        <f t="shared" si="34"/>
        <v>0</v>
      </c>
      <c r="X70" s="49"/>
      <c r="Y70" s="49"/>
      <c r="Z70" s="50">
        <f t="shared" si="35"/>
        <v>0</v>
      </c>
      <c r="AB70" s="49"/>
      <c r="AC70" s="49"/>
      <c r="AD70" s="50">
        <f t="shared" si="36"/>
        <v>0</v>
      </c>
      <c r="AF70" s="49"/>
      <c r="AG70" s="49"/>
      <c r="AH70" s="50">
        <f t="shared" si="37"/>
        <v>0</v>
      </c>
      <c r="AJ70" s="49"/>
      <c r="AK70" s="49"/>
      <c r="AL70" s="50">
        <f t="shared" si="38"/>
        <v>0</v>
      </c>
      <c r="AN70" s="49"/>
      <c r="AO70" s="49"/>
      <c r="AP70" s="50">
        <f t="shared" si="39"/>
        <v>0</v>
      </c>
      <c r="AR70" s="49"/>
      <c r="AS70" s="49"/>
      <c r="AT70" s="50">
        <f t="shared" si="40"/>
        <v>0</v>
      </c>
      <c r="AV70" s="49"/>
      <c r="AW70" s="49"/>
      <c r="AX70" s="50">
        <f t="shared" si="41"/>
        <v>0</v>
      </c>
      <c r="AZ70" s="49"/>
      <c r="BA70" s="49"/>
      <c r="BB70" s="50">
        <f t="shared" si="42"/>
        <v>0</v>
      </c>
      <c r="BD70" s="49"/>
      <c r="BE70" s="49"/>
      <c r="BF70" s="50">
        <f t="shared" si="43"/>
        <v>0</v>
      </c>
      <c r="BH70" s="49"/>
      <c r="BI70" s="49"/>
      <c r="BJ70" s="50">
        <f t="shared" si="44"/>
        <v>0</v>
      </c>
      <c r="BL70" s="49"/>
      <c r="BM70" s="49"/>
      <c r="BN70" s="50">
        <f t="shared" si="45"/>
        <v>0</v>
      </c>
      <c r="BP70" s="49"/>
      <c r="BQ70" s="49"/>
      <c r="BR70" s="50">
        <f t="shared" si="46"/>
        <v>0</v>
      </c>
      <c r="BT70" s="49"/>
      <c r="BU70" s="49"/>
      <c r="BV70" s="50">
        <f t="shared" si="47"/>
        <v>0</v>
      </c>
      <c r="BX70" s="49"/>
      <c r="BY70" s="49"/>
      <c r="BZ70" s="50">
        <f t="shared" si="48"/>
        <v>0</v>
      </c>
      <c r="CB70" s="49"/>
      <c r="CC70" s="49"/>
      <c r="CD70" s="50">
        <f t="shared" si="49"/>
        <v>0</v>
      </c>
      <c r="CF70" s="49"/>
      <c r="CG70" s="49"/>
      <c r="CH70" s="50">
        <f t="shared" si="50"/>
        <v>0</v>
      </c>
      <c r="CJ70" s="49"/>
      <c r="CK70" s="49"/>
      <c r="CL70" s="50">
        <f t="shared" si="51"/>
        <v>0</v>
      </c>
      <c r="CN70" s="49"/>
      <c r="CO70" s="49"/>
      <c r="CP70" s="50">
        <f t="shared" si="52"/>
        <v>0</v>
      </c>
      <c r="CR70" s="49"/>
      <c r="CS70" s="49"/>
      <c r="CT70" s="50">
        <f t="shared" si="53"/>
        <v>0</v>
      </c>
      <c r="CV70" s="49"/>
      <c r="CW70" s="49"/>
      <c r="CX70" s="50">
        <f t="shared" si="54"/>
        <v>0</v>
      </c>
      <c r="CZ70" s="49"/>
      <c r="DA70" s="49"/>
      <c r="DB70" s="50">
        <f t="shared" si="55"/>
        <v>0</v>
      </c>
      <c r="DD70" s="49"/>
      <c r="DE70" s="49"/>
      <c r="DF70" s="50">
        <f t="shared" si="56"/>
        <v>0</v>
      </c>
      <c r="DH70" s="49"/>
      <c r="DI70" s="49"/>
      <c r="DJ70" s="50">
        <f t="shared" si="57"/>
        <v>0</v>
      </c>
      <c r="DL70" s="49"/>
      <c r="DM70" s="49"/>
      <c r="DN70" s="50">
        <f t="shared" si="58"/>
        <v>0</v>
      </c>
      <c r="DP70" s="49"/>
      <c r="DQ70" s="49"/>
      <c r="DR70" s="50">
        <f t="shared" si="59"/>
        <v>0</v>
      </c>
      <c r="DT70" s="49"/>
      <c r="DU70" s="49"/>
      <c r="DV70" s="50">
        <f t="shared" si="60"/>
        <v>0</v>
      </c>
      <c r="DX70" s="49"/>
      <c r="DY70" s="49"/>
      <c r="DZ70" s="50">
        <f t="shared" si="61"/>
        <v>0</v>
      </c>
      <c r="EB70" s="49">
        <f t="shared" si="62"/>
        <v>0</v>
      </c>
      <c r="EC70" s="49">
        <f t="shared" si="62"/>
        <v>0</v>
      </c>
      <c r="ED70" s="49">
        <f t="shared" si="62"/>
        <v>0</v>
      </c>
    </row>
    <row r="71" spans="2:134" ht="11" customHeight="1" x14ac:dyDescent="0.35">
      <c r="B71" s="4">
        <v>111203</v>
      </c>
      <c r="C71" s="4" t="s">
        <v>77</v>
      </c>
      <c r="D71" s="4">
        <v>50</v>
      </c>
      <c r="E71" s="5">
        <v>18</v>
      </c>
      <c r="F71" s="6">
        <v>198.24524392000001</v>
      </c>
      <c r="G71" s="7"/>
      <c r="H71" s="49"/>
      <c r="I71" s="49"/>
      <c r="J71" s="50">
        <f t="shared" ref="J71:J108" si="63">(I71/E71)+H71</f>
        <v>0</v>
      </c>
      <c r="K71" s="9"/>
      <c r="L71" s="49"/>
      <c r="M71" s="49"/>
      <c r="N71" s="50">
        <f t="shared" si="32"/>
        <v>0</v>
      </c>
      <c r="O71" s="46"/>
      <c r="P71" s="49"/>
      <c r="Q71" s="49"/>
      <c r="R71" s="50">
        <f t="shared" si="33"/>
        <v>0</v>
      </c>
      <c r="T71" s="49"/>
      <c r="U71" s="49"/>
      <c r="V71" s="50">
        <f t="shared" si="34"/>
        <v>0</v>
      </c>
      <c r="X71" s="49"/>
      <c r="Y71" s="49"/>
      <c r="Z71" s="50">
        <f t="shared" si="35"/>
        <v>0</v>
      </c>
      <c r="AB71" s="49"/>
      <c r="AC71" s="49"/>
      <c r="AD71" s="50">
        <f t="shared" si="36"/>
        <v>0</v>
      </c>
      <c r="AF71" s="49"/>
      <c r="AG71" s="49"/>
      <c r="AH71" s="50">
        <f t="shared" si="37"/>
        <v>0</v>
      </c>
      <c r="AJ71" s="49"/>
      <c r="AK71" s="49"/>
      <c r="AL71" s="50">
        <f t="shared" si="38"/>
        <v>0</v>
      </c>
      <c r="AN71" s="49"/>
      <c r="AO71" s="49"/>
      <c r="AP71" s="50">
        <f t="shared" si="39"/>
        <v>0</v>
      </c>
      <c r="AR71" s="49"/>
      <c r="AS71" s="49"/>
      <c r="AT71" s="50">
        <f t="shared" si="40"/>
        <v>0</v>
      </c>
      <c r="AV71" s="49"/>
      <c r="AW71" s="49"/>
      <c r="AX71" s="50">
        <f t="shared" si="41"/>
        <v>0</v>
      </c>
      <c r="AZ71" s="49"/>
      <c r="BA71" s="49"/>
      <c r="BB71" s="50">
        <f t="shared" si="42"/>
        <v>0</v>
      </c>
      <c r="BD71" s="49"/>
      <c r="BE71" s="49"/>
      <c r="BF71" s="50">
        <f t="shared" si="43"/>
        <v>0</v>
      </c>
      <c r="BH71" s="49"/>
      <c r="BI71" s="49"/>
      <c r="BJ71" s="50">
        <f t="shared" si="44"/>
        <v>0</v>
      </c>
      <c r="BL71" s="49"/>
      <c r="BM71" s="49"/>
      <c r="BN71" s="50">
        <f t="shared" si="45"/>
        <v>0</v>
      </c>
      <c r="BP71" s="49"/>
      <c r="BQ71" s="49"/>
      <c r="BR71" s="50">
        <f t="shared" si="46"/>
        <v>0</v>
      </c>
      <c r="BT71" s="49"/>
      <c r="BU71" s="49"/>
      <c r="BV71" s="50">
        <f t="shared" si="47"/>
        <v>0</v>
      </c>
      <c r="BX71" s="49"/>
      <c r="BY71" s="49"/>
      <c r="BZ71" s="50">
        <f t="shared" si="48"/>
        <v>0</v>
      </c>
      <c r="CB71" s="49"/>
      <c r="CC71" s="49"/>
      <c r="CD71" s="50">
        <f t="shared" si="49"/>
        <v>0</v>
      </c>
      <c r="CF71" s="49"/>
      <c r="CG71" s="49"/>
      <c r="CH71" s="50">
        <f t="shared" si="50"/>
        <v>0</v>
      </c>
      <c r="CJ71" s="49"/>
      <c r="CK71" s="49"/>
      <c r="CL71" s="50">
        <f t="shared" si="51"/>
        <v>0</v>
      </c>
      <c r="CN71" s="49"/>
      <c r="CO71" s="49"/>
      <c r="CP71" s="50">
        <f t="shared" si="52"/>
        <v>0</v>
      </c>
      <c r="CR71" s="49"/>
      <c r="CS71" s="49"/>
      <c r="CT71" s="50">
        <f t="shared" si="53"/>
        <v>0</v>
      </c>
      <c r="CV71" s="49"/>
      <c r="CW71" s="49"/>
      <c r="CX71" s="50">
        <f t="shared" si="54"/>
        <v>0</v>
      </c>
      <c r="CZ71" s="49"/>
      <c r="DA71" s="49"/>
      <c r="DB71" s="50">
        <f t="shared" si="55"/>
        <v>0</v>
      </c>
      <c r="DD71" s="49"/>
      <c r="DE71" s="49"/>
      <c r="DF71" s="50">
        <f t="shared" si="56"/>
        <v>0</v>
      </c>
      <c r="DH71" s="49"/>
      <c r="DI71" s="49"/>
      <c r="DJ71" s="50">
        <f t="shared" si="57"/>
        <v>0</v>
      </c>
      <c r="DL71" s="49"/>
      <c r="DM71" s="49"/>
      <c r="DN71" s="50">
        <f t="shared" si="58"/>
        <v>0</v>
      </c>
      <c r="DP71" s="49"/>
      <c r="DQ71" s="49"/>
      <c r="DR71" s="50">
        <f t="shared" si="59"/>
        <v>0</v>
      </c>
      <c r="DT71" s="49"/>
      <c r="DU71" s="49"/>
      <c r="DV71" s="50">
        <f t="shared" si="60"/>
        <v>0</v>
      </c>
      <c r="DX71" s="49"/>
      <c r="DY71" s="49"/>
      <c r="DZ71" s="50">
        <f t="shared" si="61"/>
        <v>0</v>
      </c>
      <c r="EB71" s="49">
        <f t="shared" si="62"/>
        <v>0</v>
      </c>
      <c r="EC71" s="49">
        <f t="shared" si="62"/>
        <v>0</v>
      </c>
      <c r="ED71" s="49">
        <f t="shared" si="62"/>
        <v>0</v>
      </c>
    </row>
    <row r="72" spans="2:134" ht="11" customHeight="1" x14ac:dyDescent="0.35">
      <c r="B72" s="4">
        <v>111212</v>
      </c>
      <c r="C72" s="4" t="s">
        <v>78</v>
      </c>
      <c r="D72" s="4">
        <v>25</v>
      </c>
      <c r="E72" s="5">
        <v>36</v>
      </c>
      <c r="F72" s="6">
        <v>99.122621960000004</v>
      </c>
      <c r="G72" s="7"/>
      <c r="H72" s="49"/>
      <c r="I72" s="49"/>
      <c r="J72" s="50">
        <f t="shared" si="63"/>
        <v>0</v>
      </c>
      <c r="K72" s="9"/>
      <c r="L72" s="49"/>
      <c r="M72" s="49"/>
      <c r="N72" s="50">
        <f t="shared" si="32"/>
        <v>0</v>
      </c>
      <c r="O72" s="46"/>
      <c r="P72" s="49"/>
      <c r="Q72" s="49"/>
      <c r="R72" s="50">
        <f t="shared" si="33"/>
        <v>0</v>
      </c>
      <c r="T72" s="49"/>
      <c r="U72" s="49"/>
      <c r="V72" s="50">
        <f t="shared" si="34"/>
        <v>0</v>
      </c>
      <c r="X72" s="49"/>
      <c r="Y72" s="49"/>
      <c r="Z72" s="50">
        <f t="shared" si="35"/>
        <v>0</v>
      </c>
      <c r="AB72" s="49"/>
      <c r="AC72" s="49"/>
      <c r="AD72" s="50">
        <f t="shared" si="36"/>
        <v>0</v>
      </c>
      <c r="AF72" s="49"/>
      <c r="AG72" s="49"/>
      <c r="AH72" s="50">
        <f t="shared" si="37"/>
        <v>0</v>
      </c>
      <c r="AJ72" s="49"/>
      <c r="AK72" s="49"/>
      <c r="AL72" s="50">
        <f t="shared" si="38"/>
        <v>0</v>
      </c>
      <c r="AN72" s="49"/>
      <c r="AO72" s="49"/>
      <c r="AP72" s="50">
        <f t="shared" si="39"/>
        <v>0</v>
      </c>
      <c r="AR72" s="49"/>
      <c r="AS72" s="49"/>
      <c r="AT72" s="50">
        <f t="shared" si="40"/>
        <v>0</v>
      </c>
      <c r="AV72" s="49"/>
      <c r="AW72" s="49"/>
      <c r="AX72" s="50">
        <f t="shared" si="41"/>
        <v>0</v>
      </c>
      <c r="AZ72" s="49"/>
      <c r="BA72" s="49"/>
      <c r="BB72" s="50">
        <f t="shared" si="42"/>
        <v>0</v>
      </c>
      <c r="BD72" s="49"/>
      <c r="BE72" s="49"/>
      <c r="BF72" s="50">
        <f t="shared" si="43"/>
        <v>0</v>
      </c>
      <c r="BH72" s="49"/>
      <c r="BI72" s="49"/>
      <c r="BJ72" s="50">
        <f t="shared" si="44"/>
        <v>0</v>
      </c>
      <c r="BL72" s="49"/>
      <c r="BM72" s="49"/>
      <c r="BN72" s="50">
        <f t="shared" si="45"/>
        <v>0</v>
      </c>
      <c r="BP72" s="49"/>
      <c r="BQ72" s="49"/>
      <c r="BR72" s="50">
        <f t="shared" si="46"/>
        <v>0</v>
      </c>
      <c r="BT72" s="49"/>
      <c r="BU72" s="49"/>
      <c r="BV72" s="50">
        <f t="shared" si="47"/>
        <v>0</v>
      </c>
      <c r="BX72" s="49"/>
      <c r="BY72" s="49"/>
      <c r="BZ72" s="50">
        <f t="shared" si="48"/>
        <v>0</v>
      </c>
      <c r="CB72" s="49"/>
      <c r="CC72" s="49"/>
      <c r="CD72" s="50">
        <f t="shared" si="49"/>
        <v>0</v>
      </c>
      <c r="CF72" s="49"/>
      <c r="CG72" s="49"/>
      <c r="CH72" s="50">
        <f t="shared" si="50"/>
        <v>0</v>
      </c>
      <c r="CJ72" s="49"/>
      <c r="CK72" s="49"/>
      <c r="CL72" s="50">
        <f t="shared" si="51"/>
        <v>0</v>
      </c>
      <c r="CN72" s="49"/>
      <c r="CO72" s="49"/>
      <c r="CP72" s="50">
        <f t="shared" si="52"/>
        <v>0</v>
      </c>
      <c r="CR72" s="49"/>
      <c r="CS72" s="49"/>
      <c r="CT72" s="50">
        <f t="shared" si="53"/>
        <v>0</v>
      </c>
      <c r="CV72" s="49"/>
      <c r="CW72" s="49"/>
      <c r="CX72" s="50">
        <f t="shared" si="54"/>
        <v>0</v>
      </c>
      <c r="CZ72" s="49"/>
      <c r="DA72" s="49"/>
      <c r="DB72" s="50">
        <f t="shared" si="55"/>
        <v>0</v>
      </c>
      <c r="DD72" s="49"/>
      <c r="DE72" s="49"/>
      <c r="DF72" s="50">
        <f t="shared" si="56"/>
        <v>0</v>
      </c>
      <c r="DH72" s="49"/>
      <c r="DI72" s="49"/>
      <c r="DJ72" s="50">
        <f t="shared" si="57"/>
        <v>0</v>
      </c>
      <c r="DL72" s="49"/>
      <c r="DM72" s="49"/>
      <c r="DN72" s="50">
        <f t="shared" si="58"/>
        <v>0</v>
      </c>
      <c r="DP72" s="49"/>
      <c r="DQ72" s="49"/>
      <c r="DR72" s="50">
        <f t="shared" si="59"/>
        <v>0</v>
      </c>
      <c r="DT72" s="49"/>
      <c r="DU72" s="49"/>
      <c r="DV72" s="50">
        <f t="shared" si="60"/>
        <v>0</v>
      </c>
      <c r="DX72" s="49"/>
      <c r="DY72" s="49"/>
      <c r="DZ72" s="50">
        <f t="shared" si="61"/>
        <v>0</v>
      </c>
      <c r="EB72" s="49">
        <f t="shared" si="62"/>
        <v>0</v>
      </c>
      <c r="EC72" s="49">
        <f t="shared" si="62"/>
        <v>0</v>
      </c>
      <c r="ED72" s="49">
        <f t="shared" si="62"/>
        <v>0</v>
      </c>
    </row>
    <row r="73" spans="2:134" ht="11" customHeight="1" x14ac:dyDescent="0.35">
      <c r="B73" s="4">
        <v>111213</v>
      </c>
      <c r="C73" s="4" t="s">
        <v>79</v>
      </c>
      <c r="D73" s="4">
        <v>50</v>
      </c>
      <c r="E73" s="5">
        <v>18</v>
      </c>
      <c r="F73" s="6">
        <v>198.24524392000001</v>
      </c>
      <c r="G73" s="7"/>
      <c r="H73" s="49"/>
      <c r="I73" s="49"/>
      <c r="J73" s="50">
        <f t="shared" si="63"/>
        <v>0</v>
      </c>
      <c r="K73" s="9"/>
      <c r="L73" s="49"/>
      <c r="M73" s="49"/>
      <c r="N73" s="50">
        <f t="shared" si="32"/>
        <v>0</v>
      </c>
      <c r="O73" s="46"/>
      <c r="P73" s="49"/>
      <c r="Q73" s="49"/>
      <c r="R73" s="50">
        <f t="shared" si="33"/>
        <v>0</v>
      </c>
      <c r="T73" s="49"/>
      <c r="U73" s="49"/>
      <c r="V73" s="50">
        <f t="shared" si="34"/>
        <v>0</v>
      </c>
      <c r="X73" s="49"/>
      <c r="Y73" s="49"/>
      <c r="Z73" s="50">
        <f t="shared" si="35"/>
        <v>0</v>
      </c>
      <c r="AB73" s="49"/>
      <c r="AC73" s="49"/>
      <c r="AD73" s="50">
        <f t="shared" si="36"/>
        <v>0</v>
      </c>
      <c r="AF73" s="49"/>
      <c r="AG73" s="49"/>
      <c r="AH73" s="50">
        <f t="shared" si="37"/>
        <v>0</v>
      </c>
      <c r="AJ73" s="49"/>
      <c r="AK73" s="49"/>
      <c r="AL73" s="50">
        <f t="shared" si="38"/>
        <v>0</v>
      </c>
      <c r="AN73" s="49"/>
      <c r="AO73" s="49"/>
      <c r="AP73" s="50">
        <f t="shared" si="39"/>
        <v>0</v>
      </c>
      <c r="AR73" s="49"/>
      <c r="AS73" s="49"/>
      <c r="AT73" s="50">
        <f t="shared" si="40"/>
        <v>0</v>
      </c>
      <c r="AV73" s="49"/>
      <c r="AW73" s="49"/>
      <c r="AX73" s="50">
        <f t="shared" si="41"/>
        <v>0</v>
      </c>
      <c r="AZ73" s="49"/>
      <c r="BA73" s="49"/>
      <c r="BB73" s="50">
        <f t="shared" si="42"/>
        <v>0</v>
      </c>
      <c r="BD73" s="49"/>
      <c r="BE73" s="49"/>
      <c r="BF73" s="50">
        <f t="shared" si="43"/>
        <v>0</v>
      </c>
      <c r="BH73" s="49"/>
      <c r="BI73" s="49"/>
      <c r="BJ73" s="50">
        <f t="shared" si="44"/>
        <v>0</v>
      </c>
      <c r="BL73" s="49"/>
      <c r="BM73" s="49"/>
      <c r="BN73" s="50">
        <f t="shared" si="45"/>
        <v>0</v>
      </c>
      <c r="BP73" s="49"/>
      <c r="BQ73" s="49"/>
      <c r="BR73" s="50">
        <f t="shared" si="46"/>
        <v>0</v>
      </c>
      <c r="BT73" s="49"/>
      <c r="BU73" s="49"/>
      <c r="BV73" s="50">
        <f t="shared" si="47"/>
        <v>0</v>
      </c>
      <c r="BX73" s="49"/>
      <c r="BY73" s="49"/>
      <c r="BZ73" s="50">
        <f t="shared" si="48"/>
        <v>0</v>
      </c>
      <c r="CB73" s="49"/>
      <c r="CC73" s="49"/>
      <c r="CD73" s="50">
        <f t="shared" si="49"/>
        <v>0</v>
      </c>
      <c r="CF73" s="49"/>
      <c r="CG73" s="49"/>
      <c r="CH73" s="50">
        <f t="shared" si="50"/>
        <v>0</v>
      </c>
      <c r="CJ73" s="49"/>
      <c r="CK73" s="49"/>
      <c r="CL73" s="50">
        <f t="shared" si="51"/>
        <v>0</v>
      </c>
      <c r="CN73" s="49"/>
      <c r="CO73" s="49"/>
      <c r="CP73" s="50">
        <f t="shared" si="52"/>
        <v>0</v>
      </c>
      <c r="CR73" s="49"/>
      <c r="CS73" s="49"/>
      <c r="CT73" s="50">
        <f t="shared" si="53"/>
        <v>0</v>
      </c>
      <c r="CV73" s="49"/>
      <c r="CW73" s="49"/>
      <c r="CX73" s="50">
        <f t="shared" si="54"/>
        <v>0</v>
      </c>
      <c r="CZ73" s="49"/>
      <c r="DA73" s="49"/>
      <c r="DB73" s="50">
        <f t="shared" si="55"/>
        <v>0</v>
      </c>
      <c r="DD73" s="49"/>
      <c r="DE73" s="49"/>
      <c r="DF73" s="50">
        <f t="shared" si="56"/>
        <v>0</v>
      </c>
      <c r="DH73" s="49"/>
      <c r="DI73" s="49"/>
      <c r="DJ73" s="50">
        <f t="shared" si="57"/>
        <v>0</v>
      </c>
      <c r="DL73" s="49"/>
      <c r="DM73" s="49"/>
      <c r="DN73" s="50">
        <f t="shared" si="58"/>
        <v>0</v>
      </c>
      <c r="DP73" s="49"/>
      <c r="DQ73" s="49"/>
      <c r="DR73" s="50">
        <f t="shared" si="59"/>
        <v>0</v>
      </c>
      <c r="DT73" s="49"/>
      <c r="DU73" s="49"/>
      <c r="DV73" s="50">
        <f t="shared" si="60"/>
        <v>0</v>
      </c>
      <c r="DX73" s="49"/>
      <c r="DY73" s="49"/>
      <c r="DZ73" s="50">
        <f t="shared" si="61"/>
        <v>0</v>
      </c>
      <c r="EB73" s="49">
        <f t="shared" si="62"/>
        <v>0</v>
      </c>
      <c r="EC73" s="49">
        <f t="shared" si="62"/>
        <v>0</v>
      </c>
      <c r="ED73" s="49">
        <f t="shared" si="62"/>
        <v>0</v>
      </c>
    </row>
    <row r="74" spans="2:134" ht="11" customHeight="1" x14ac:dyDescent="0.35">
      <c r="B74" s="4">
        <v>111222</v>
      </c>
      <c r="C74" s="4" t="s">
        <v>80</v>
      </c>
      <c r="D74" s="4">
        <v>25</v>
      </c>
      <c r="E74" s="5">
        <v>36</v>
      </c>
      <c r="F74" s="6">
        <v>99.122621960000004</v>
      </c>
      <c r="G74" s="7"/>
      <c r="H74" s="49"/>
      <c r="I74" s="49"/>
      <c r="J74" s="50">
        <f t="shared" si="63"/>
        <v>0</v>
      </c>
      <c r="K74" s="9"/>
      <c r="L74" s="49"/>
      <c r="M74" s="49"/>
      <c r="N74" s="50">
        <f t="shared" si="32"/>
        <v>0</v>
      </c>
      <c r="O74" s="46"/>
      <c r="P74" s="49"/>
      <c r="Q74" s="49"/>
      <c r="R74" s="50">
        <f t="shared" si="33"/>
        <v>0</v>
      </c>
      <c r="T74" s="49"/>
      <c r="U74" s="49"/>
      <c r="V74" s="50">
        <f t="shared" si="34"/>
        <v>0</v>
      </c>
      <c r="X74" s="49"/>
      <c r="Y74" s="49"/>
      <c r="Z74" s="50">
        <f t="shared" si="35"/>
        <v>0</v>
      </c>
      <c r="AB74" s="49"/>
      <c r="AC74" s="49"/>
      <c r="AD74" s="50">
        <f t="shared" si="36"/>
        <v>0</v>
      </c>
      <c r="AF74" s="49"/>
      <c r="AG74" s="49"/>
      <c r="AH74" s="50">
        <f t="shared" si="37"/>
        <v>0</v>
      </c>
      <c r="AJ74" s="49"/>
      <c r="AK74" s="49"/>
      <c r="AL74" s="50">
        <f t="shared" si="38"/>
        <v>0</v>
      </c>
      <c r="AN74" s="49"/>
      <c r="AO74" s="49"/>
      <c r="AP74" s="50">
        <f t="shared" si="39"/>
        <v>0</v>
      </c>
      <c r="AR74" s="49"/>
      <c r="AS74" s="49"/>
      <c r="AT74" s="50">
        <f t="shared" si="40"/>
        <v>0</v>
      </c>
      <c r="AV74" s="49"/>
      <c r="AW74" s="49"/>
      <c r="AX74" s="50">
        <f t="shared" si="41"/>
        <v>0</v>
      </c>
      <c r="AZ74" s="49"/>
      <c r="BA74" s="49"/>
      <c r="BB74" s="50">
        <f t="shared" si="42"/>
        <v>0</v>
      </c>
      <c r="BD74" s="49"/>
      <c r="BE74" s="49"/>
      <c r="BF74" s="50">
        <f t="shared" si="43"/>
        <v>0</v>
      </c>
      <c r="BH74" s="49"/>
      <c r="BI74" s="49"/>
      <c r="BJ74" s="50">
        <f t="shared" si="44"/>
        <v>0</v>
      </c>
      <c r="BL74" s="49"/>
      <c r="BM74" s="49"/>
      <c r="BN74" s="50">
        <f t="shared" si="45"/>
        <v>0</v>
      </c>
      <c r="BP74" s="49"/>
      <c r="BQ74" s="49"/>
      <c r="BR74" s="50">
        <f t="shared" si="46"/>
        <v>0</v>
      </c>
      <c r="BT74" s="49"/>
      <c r="BU74" s="49"/>
      <c r="BV74" s="50">
        <f t="shared" si="47"/>
        <v>0</v>
      </c>
      <c r="BX74" s="49"/>
      <c r="BY74" s="49"/>
      <c r="BZ74" s="50">
        <f t="shared" si="48"/>
        <v>0</v>
      </c>
      <c r="CB74" s="49"/>
      <c r="CC74" s="49"/>
      <c r="CD74" s="50">
        <f t="shared" si="49"/>
        <v>0</v>
      </c>
      <c r="CF74" s="49"/>
      <c r="CG74" s="49"/>
      <c r="CH74" s="50">
        <f t="shared" si="50"/>
        <v>0</v>
      </c>
      <c r="CJ74" s="49"/>
      <c r="CK74" s="49"/>
      <c r="CL74" s="50">
        <f t="shared" si="51"/>
        <v>0</v>
      </c>
      <c r="CN74" s="49"/>
      <c r="CO74" s="49"/>
      <c r="CP74" s="50">
        <f t="shared" si="52"/>
        <v>0</v>
      </c>
      <c r="CR74" s="49"/>
      <c r="CS74" s="49"/>
      <c r="CT74" s="50">
        <f t="shared" si="53"/>
        <v>0</v>
      </c>
      <c r="CV74" s="49"/>
      <c r="CW74" s="49"/>
      <c r="CX74" s="50">
        <f t="shared" si="54"/>
        <v>0</v>
      </c>
      <c r="CZ74" s="49"/>
      <c r="DA74" s="49"/>
      <c r="DB74" s="50">
        <f t="shared" si="55"/>
        <v>0</v>
      </c>
      <c r="DD74" s="49"/>
      <c r="DE74" s="49"/>
      <c r="DF74" s="50">
        <f t="shared" si="56"/>
        <v>0</v>
      </c>
      <c r="DH74" s="49"/>
      <c r="DI74" s="49"/>
      <c r="DJ74" s="50">
        <f t="shared" si="57"/>
        <v>0</v>
      </c>
      <c r="DL74" s="49"/>
      <c r="DM74" s="49"/>
      <c r="DN74" s="50">
        <f t="shared" si="58"/>
        <v>0</v>
      </c>
      <c r="DP74" s="49"/>
      <c r="DQ74" s="49"/>
      <c r="DR74" s="50">
        <f t="shared" si="59"/>
        <v>0</v>
      </c>
      <c r="DT74" s="49"/>
      <c r="DU74" s="49"/>
      <c r="DV74" s="50">
        <f t="shared" si="60"/>
        <v>0</v>
      </c>
      <c r="DX74" s="49"/>
      <c r="DY74" s="49"/>
      <c r="DZ74" s="50">
        <f t="shared" si="61"/>
        <v>0</v>
      </c>
      <c r="EB74" s="49">
        <f t="shared" si="62"/>
        <v>0</v>
      </c>
      <c r="EC74" s="49">
        <f t="shared" si="62"/>
        <v>0</v>
      </c>
      <c r="ED74" s="49">
        <f t="shared" si="62"/>
        <v>0</v>
      </c>
    </row>
    <row r="75" spans="2:134" ht="11" customHeight="1" x14ac:dyDescent="0.35">
      <c r="B75" s="4">
        <v>111223</v>
      </c>
      <c r="C75" s="4" t="s">
        <v>81</v>
      </c>
      <c r="D75" s="4">
        <v>50</v>
      </c>
      <c r="E75" s="5">
        <v>18</v>
      </c>
      <c r="F75" s="6">
        <v>198.24524392000001</v>
      </c>
      <c r="G75" s="7"/>
      <c r="H75" s="49"/>
      <c r="I75" s="49"/>
      <c r="J75" s="50">
        <f t="shared" si="63"/>
        <v>0</v>
      </c>
      <c r="K75" s="9"/>
      <c r="L75" s="49"/>
      <c r="M75" s="49"/>
      <c r="N75" s="50">
        <f t="shared" si="32"/>
        <v>0</v>
      </c>
      <c r="O75" s="46"/>
      <c r="P75" s="49"/>
      <c r="Q75" s="49"/>
      <c r="R75" s="50">
        <f t="shared" si="33"/>
        <v>0</v>
      </c>
      <c r="T75" s="49"/>
      <c r="U75" s="49"/>
      <c r="V75" s="50">
        <f t="shared" si="34"/>
        <v>0</v>
      </c>
      <c r="X75" s="49"/>
      <c r="Y75" s="49"/>
      <c r="Z75" s="50">
        <f t="shared" si="35"/>
        <v>0</v>
      </c>
      <c r="AB75" s="49"/>
      <c r="AC75" s="49"/>
      <c r="AD75" s="50">
        <f t="shared" si="36"/>
        <v>0</v>
      </c>
      <c r="AF75" s="49"/>
      <c r="AG75" s="49"/>
      <c r="AH75" s="50">
        <f t="shared" si="37"/>
        <v>0</v>
      </c>
      <c r="AJ75" s="49"/>
      <c r="AK75" s="49"/>
      <c r="AL75" s="50">
        <f t="shared" si="38"/>
        <v>0</v>
      </c>
      <c r="AN75" s="49"/>
      <c r="AO75" s="49"/>
      <c r="AP75" s="50">
        <f t="shared" si="39"/>
        <v>0</v>
      </c>
      <c r="AR75" s="49"/>
      <c r="AS75" s="49"/>
      <c r="AT75" s="50">
        <f t="shared" si="40"/>
        <v>0</v>
      </c>
      <c r="AV75" s="49"/>
      <c r="AW75" s="49"/>
      <c r="AX75" s="50">
        <f t="shared" si="41"/>
        <v>0</v>
      </c>
      <c r="AZ75" s="49"/>
      <c r="BA75" s="49"/>
      <c r="BB75" s="50">
        <f t="shared" si="42"/>
        <v>0</v>
      </c>
      <c r="BD75" s="49"/>
      <c r="BE75" s="49"/>
      <c r="BF75" s="50">
        <f t="shared" si="43"/>
        <v>0</v>
      </c>
      <c r="BH75" s="49"/>
      <c r="BI75" s="49"/>
      <c r="BJ75" s="50">
        <f t="shared" si="44"/>
        <v>0</v>
      </c>
      <c r="BL75" s="49"/>
      <c r="BM75" s="49"/>
      <c r="BN75" s="50">
        <f t="shared" si="45"/>
        <v>0</v>
      </c>
      <c r="BP75" s="49"/>
      <c r="BQ75" s="49"/>
      <c r="BR75" s="50">
        <f t="shared" si="46"/>
        <v>0</v>
      </c>
      <c r="BT75" s="49"/>
      <c r="BU75" s="49"/>
      <c r="BV75" s="50">
        <f t="shared" si="47"/>
        <v>0</v>
      </c>
      <c r="BX75" s="49"/>
      <c r="BY75" s="49"/>
      <c r="BZ75" s="50">
        <f t="shared" si="48"/>
        <v>0</v>
      </c>
      <c r="CB75" s="49"/>
      <c r="CC75" s="49"/>
      <c r="CD75" s="50">
        <f t="shared" si="49"/>
        <v>0</v>
      </c>
      <c r="CF75" s="49"/>
      <c r="CG75" s="49"/>
      <c r="CH75" s="50">
        <f t="shared" si="50"/>
        <v>0</v>
      </c>
      <c r="CJ75" s="49"/>
      <c r="CK75" s="49"/>
      <c r="CL75" s="50">
        <f t="shared" si="51"/>
        <v>0</v>
      </c>
      <c r="CN75" s="49"/>
      <c r="CO75" s="49"/>
      <c r="CP75" s="50">
        <f t="shared" si="52"/>
        <v>0</v>
      </c>
      <c r="CR75" s="49"/>
      <c r="CS75" s="49"/>
      <c r="CT75" s="50">
        <f t="shared" si="53"/>
        <v>0</v>
      </c>
      <c r="CV75" s="49"/>
      <c r="CW75" s="49"/>
      <c r="CX75" s="50">
        <f t="shared" si="54"/>
        <v>0</v>
      </c>
      <c r="CZ75" s="49"/>
      <c r="DA75" s="49"/>
      <c r="DB75" s="50">
        <f t="shared" si="55"/>
        <v>0</v>
      </c>
      <c r="DD75" s="49"/>
      <c r="DE75" s="49"/>
      <c r="DF75" s="50">
        <f t="shared" si="56"/>
        <v>0</v>
      </c>
      <c r="DH75" s="49"/>
      <c r="DI75" s="49"/>
      <c r="DJ75" s="50">
        <f t="shared" si="57"/>
        <v>0</v>
      </c>
      <c r="DL75" s="49"/>
      <c r="DM75" s="49"/>
      <c r="DN75" s="50">
        <f t="shared" si="58"/>
        <v>0</v>
      </c>
      <c r="DP75" s="49"/>
      <c r="DQ75" s="49"/>
      <c r="DR75" s="50">
        <f t="shared" si="59"/>
        <v>0</v>
      </c>
      <c r="DT75" s="49"/>
      <c r="DU75" s="49"/>
      <c r="DV75" s="50">
        <f t="shared" si="60"/>
        <v>0</v>
      </c>
      <c r="DX75" s="49"/>
      <c r="DY75" s="49"/>
      <c r="DZ75" s="50">
        <f t="shared" si="61"/>
        <v>0</v>
      </c>
      <c r="EB75" s="49">
        <f t="shared" si="62"/>
        <v>0</v>
      </c>
      <c r="EC75" s="49">
        <f t="shared" si="62"/>
        <v>0</v>
      </c>
      <c r="ED75" s="49">
        <f t="shared" si="62"/>
        <v>0</v>
      </c>
    </row>
    <row r="76" spans="2:134" ht="11" customHeight="1" x14ac:dyDescent="0.35">
      <c r="B76" s="4">
        <v>111232</v>
      </c>
      <c r="C76" s="4" t="s">
        <v>82</v>
      </c>
      <c r="D76" s="4">
        <v>25</v>
      </c>
      <c r="E76" s="5">
        <v>36</v>
      </c>
      <c r="F76" s="6">
        <v>99.122621960000004</v>
      </c>
      <c r="G76" s="7"/>
      <c r="H76" s="49"/>
      <c r="I76" s="49"/>
      <c r="J76" s="50">
        <f t="shared" si="63"/>
        <v>0</v>
      </c>
      <c r="K76" s="9"/>
      <c r="L76" s="49"/>
      <c r="M76" s="49"/>
      <c r="N76" s="50">
        <f t="shared" si="32"/>
        <v>0</v>
      </c>
      <c r="O76" s="46"/>
      <c r="P76" s="49"/>
      <c r="Q76" s="49"/>
      <c r="R76" s="50">
        <f t="shared" si="33"/>
        <v>0</v>
      </c>
      <c r="T76" s="49"/>
      <c r="U76" s="49"/>
      <c r="V76" s="50">
        <f t="shared" si="34"/>
        <v>0</v>
      </c>
      <c r="X76" s="49"/>
      <c r="Y76" s="49"/>
      <c r="Z76" s="50">
        <f t="shared" si="35"/>
        <v>0</v>
      </c>
      <c r="AB76" s="49"/>
      <c r="AC76" s="49"/>
      <c r="AD76" s="50">
        <f t="shared" si="36"/>
        <v>0</v>
      </c>
      <c r="AF76" s="49"/>
      <c r="AG76" s="49"/>
      <c r="AH76" s="50">
        <f t="shared" si="37"/>
        <v>0</v>
      </c>
      <c r="AJ76" s="49"/>
      <c r="AK76" s="49"/>
      <c r="AL76" s="50">
        <f t="shared" si="38"/>
        <v>0</v>
      </c>
      <c r="AN76" s="49"/>
      <c r="AO76" s="49"/>
      <c r="AP76" s="50">
        <f t="shared" si="39"/>
        <v>0</v>
      </c>
      <c r="AR76" s="49"/>
      <c r="AS76" s="49"/>
      <c r="AT76" s="50">
        <f t="shared" si="40"/>
        <v>0</v>
      </c>
      <c r="AV76" s="49"/>
      <c r="AW76" s="49"/>
      <c r="AX76" s="50">
        <f t="shared" si="41"/>
        <v>0</v>
      </c>
      <c r="AZ76" s="49"/>
      <c r="BA76" s="49"/>
      <c r="BB76" s="50">
        <f t="shared" si="42"/>
        <v>0</v>
      </c>
      <c r="BD76" s="49"/>
      <c r="BE76" s="49"/>
      <c r="BF76" s="50">
        <f t="shared" si="43"/>
        <v>0</v>
      </c>
      <c r="BH76" s="49"/>
      <c r="BI76" s="49"/>
      <c r="BJ76" s="50">
        <f t="shared" si="44"/>
        <v>0</v>
      </c>
      <c r="BL76" s="49"/>
      <c r="BM76" s="49"/>
      <c r="BN76" s="50">
        <f t="shared" si="45"/>
        <v>0</v>
      </c>
      <c r="BP76" s="49"/>
      <c r="BQ76" s="49"/>
      <c r="BR76" s="50">
        <f t="shared" si="46"/>
        <v>0</v>
      </c>
      <c r="BT76" s="49"/>
      <c r="BU76" s="49"/>
      <c r="BV76" s="50">
        <f t="shared" si="47"/>
        <v>0</v>
      </c>
      <c r="BX76" s="49"/>
      <c r="BY76" s="49"/>
      <c r="BZ76" s="50">
        <f t="shared" si="48"/>
        <v>0</v>
      </c>
      <c r="CB76" s="49"/>
      <c r="CC76" s="49"/>
      <c r="CD76" s="50">
        <f t="shared" si="49"/>
        <v>0</v>
      </c>
      <c r="CF76" s="49"/>
      <c r="CG76" s="49"/>
      <c r="CH76" s="50">
        <f t="shared" si="50"/>
        <v>0</v>
      </c>
      <c r="CJ76" s="49"/>
      <c r="CK76" s="49"/>
      <c r="CL76" s="50">
        <f t="shared" si="51"/>
        <v>0</v>
      </c>
      <c r="CN76" s="49"/>
      <c r="CO76" s="49"/>
      <c r="CP76" s="50">
        <f t="shared" si="52"/>
        <v>0</v>
      </c>
      <c r="CR76" s="49"/>
      <c r="CS76" s="49"/>
      <c r="CT76" s="50">
        <f t="shared" si="53"/>
        <v>0</v>
      </c>
      <c r="CV76" s="49"/>
      <c r="CW76" s="49"/>
      <c r="CX76" s="50">
        <f t="shared" si="54"/>
        <v>0</v>
      </c>
      <c r="CZ76" s="49"/>
      <c r="DA76" s="49"/>
      <c r="DB76" s="50">
        <f t="shared" si="55"/>
        <v>0</v>
      </c>
      <c r="DD76" s="49"/>
      <c r="DE76" s="49"/>
      <c r="DF76" s="50">
        <f t="shared" si="56"/>
        <v>0</v>
      </c>
      <c r="DH76" s="49"/>
      <c r="DI76" s="49"/>
      <c r="DJ76" s="50">
        <f t="shared" si="57"/>
        <v>0</v>
      </c>
      <c r="DL76" s="49"/>
      <c r="DM76" s="49"/>
      <c r="DN76" s="50">
        <f t="shared" si="58"/>
        <v>0</v>
      </c>
      <c r="DP76" s="49"/>
      <c r="DQ76" s="49"/>
      <c r="DR76" s="50">
        <f t="shared" si="59"/>
        <v>0</v>
      </c>
      <c r="DT76" s="49"/>
      <c r="DU76" s="49"/>
      <c r="DV76" s="50">
        <f t="shared" si="60"/>
        <v>0</v>
      </c>
      <c r="DX76" s="49"/>
      <c r="DY76" s="49"/>
      <c r="DZ76" s="50">
        <f t="shared" si="61"/>
        <v>0</v>
      </c>
      <c r="EB76" s="49">
        <f t="shared" si="62"/>
        <v>0</v>
      </c>
      <c r="EC76" s="49">
        <f t="shared" si="62"/>
        <v>0</v>
      </c>
      <c r="ED76" s="49">
        <f t="shared" si="62"/>
        <v>0</v>
      </c>
    </row>
    <row r="77" spans="2:134" ht="11" customHeight="1" x14ac:dyDescent="0.35">
      <c r="B77" s="4">
        <v>111233</v>
      </c>
      <c r="C77" s="4" t="s">
        <v>83</v>
      </c>
      <c r="D77" s="4">
        <v>50</v>
      </c>
      <c r="E77" s="5">
        <v>18</v>
      </c>
      <c r="F77" s="6">
        <v>198.24524392000001</v>
      </c>
      <c r="G77" s="7"/>
      <c r="H77" s="49"/>
      <c r="I77" s="49"/>
      <c r="J77" s="50">
        <f t="shared" si="63"/>
        <v>0</v>
      </c>
      <c r="K77" s="9"/>
      <c r="L77" s="49"/>
      <c r="M77" s="49"/>
      <c r="N77" s="50">
        <f t="shared" si="32"/>
        <v>0</v>
      </c>
      <c r="O77" s="46"/>
      <c r="P77" s="49"/>
      <c r="Q77" s="49"/>
      <c r="R77" s="50">
        <f t="shared" si="33"/>
        <v>0</v>
      </c>
      <c r="T77" s="49"/>
      <c r="U77" s="49"/>
      <c r="V77" s="50">
        <f t="shared" si="34"/>
        <v>0</v>
      </c>
      <c r="X77" s="49"/>
      <c r="Y77" s="49"/>
      <c r="Z77" s="50">
        <f t="shared" si="35"/>
        <v>0</v>
      </c>
      <c r="AB77" s="49"/>
      <c r="AC77" s="49"/>
      <c r="AD77" s="50">
        <f t="shared" si="36"/>
        <v>0</v>
      </c>
      <c r="AF77" s="49"/>
      <c r="AG77" s="49"/>
      <c r="AH77" s="50">
        <f t="shared" si="37"/>
        <v>0</v>
      </c>
      <c r="AJ77" s="49"/>
      <c r="AK77" s="49"/>
      <c r="AL77" s="50">
        <f t="shared" si="38"/>
        <v>0</v>
      </c>
      <c r="AN77" s="49"/>
      <c r="AO77" s="49"/>
      <c r="AP77" s="50">
        <f t="shared" si="39"/>
        <v>0</v>
      </c>
      <c r="AR77" s="49"/>
      <c r="AS77" s="49"/>
      <c r="AT77" s="50">
        <f t="shared" si="40"/>
        <v>0</v>
      </c>
      <c r="AV77" s="49"/>
      <c r="AW77" s="49"/>
      <c r="AX77" s="50">
        <f t="shared" si="41"/>
        <v>0</v>
      </c>
      <c r="AZ77" s="49"/>
      <c r="BA77" s="49"/>
      <c r="BB77" s="50">
        <f t="shared" si="42"/>
        <v>0</v>
      </c>
      <c r="BD77" s="49"/>
      <c r="BE77" s="49"/>
      <c r="BF77" s="50">
        <f t="shared" si="43"/>
        <v>0</v>
      </c>
      <c r="BH77" s="49"/>
      <c r="BI77" s="49"/>
      <c r="BJ77" s="50">
        <f t="shared" si="44"/>
        <v>0</v>
      </c>
      <c r="BL77" s="49"/>
      <c r="BM77" s="49"/>
      <c r="BN77" s="50">
        <f t="shared" si="45"/>
        <v>0</v>
      </c>
      <c r="BP77" s="49"/>
      <c r="BQ77" s="49"/>
      <c r="BR77" s="50">
        <f t="shared" si="46"/>
        <v>0</v>
      </c>
      <c r="BT77" s="49"/>
      <c r="BU77" s="49"/>
      <c r="BV77" s="50">
        <f t="shared" si="47"/>
        <v>0</v>
      </c>
      <c r="BX77" s="49"/>
      <c r="BY77" s="49"/>
      <c r="BZ77" s="50">
        <f t="shared" si="48"/>
        <v>0</v>
      </c>
      <c r="CB77" s="49"/>
      <c r="CC77" s="49"/>
      <c r="CD77" s="50">
        <f t="shared" si="49"/>
        <v>0</v>
      </c>
      <c r="CF77" s="49"/>
      <c r="CG77" s="49"/>
      <c r="CH77" s="50">
        <f t="shared" si="50"/>
        <v>0</v>
      </c>
      <c r="CJ77" s="49"/>
      <c r="CK77" s="49"/>
      <c r="CL77" s="50">
        <f t="shared" si="51"/>
        <v>0</v>
      </c>
      <c r="CN77" s="49"/>
      <c r="CO77" s="49"/>
      <c r="CP77" s="50">
        <f t="shared" si="52"/>
        <v>0</v>
      </c>
      <c r="CR77" s="49"/>
      <c r="CS77" s="49"/>
      <c r="CT77" s="50">
        <f t="shared" si="53"/>
        <v>0</v>
      </c>
      <c r="CV77" s="49"/>
      <c r="CW77" s="49"/>
      <c r="CX77" s="50">
        <f t="shared" si="54"/>
        <v>0</v>
      </c>
      <c r="CZ77" s="49"/>
      <c r="DA77" s="49"/>
      <c r="DB77" s="50">
        <f t="shared" si="55"/>
        <v>0</v>
      </c>
      <c r="DD77" s="49"/>
      <c r="DE77" s="49"/>
      <c r="DF77" s="50">
        <f t="shared" si="56"/>
        <v>0</v>
      </c>
      <c r="DH77" s="49"/>
      <c r="DI77" s="49"/>
      <c r="DJ77" s="50">
        <f t="shared" si="57"/>
        <v>0</v>
      </c>
      <c r="DL77" s="49"/>
      <c r="DM77" s="49"/>
      <c r="DN77" s="50">
        <f t="shared" si="58"/>
        <v>0</v>
      </c>
      <c r="DP77" s="49"/>
      <c r="DQ77" s="49"/>
      <c r="DR77" s="50">
        <f t="shared" si="59"/>
        <v>0</v>
      </c>
      <c r="DT77" s="49"/>
      <c r="DU77" s="49"/>
      <c r="DV77" s="50">
        <f t="shared" si="60"/>
        <v>0</v>
      </c>
      <c r="DX77" s="49"/>
      <c r="DY77" s="49"/>
      <c r="DZ77" s="50">
        <f t="shared" si="61"/>
        <v>0</v>
      </c>
      <c r="EB77" s="49">
        <f t="shared" si="62"/>
        <v>0</v>
      </c>
      <c r="EC77" s="49">
        <f t="shared" si="62"/>
        <v>0</v>
      </c>
      <c r="ED77" s="49">
        <f t="shared" si="62"/>
        <v>0</v>
      </c>
    </row>
    <row r="78" spans="2:134" ht="11" customHeight="1" x14ac:dyDescent="0.35">
      <c r="B78" s="4">
        <v>111252</v>
      </c>
      <c r="C78" s="4" t="s">
        <v>84</v>
      </c>
      <c r="D78" s="4">
        <v>25</v>
      </c>
      <c r="E78" s="5">
        <v>36</v>
      </c>
      <c r="F78" s="6">
        <v>99.122621960000004</v>
      </c>
      <c r="G78" s="7"/>
      <c r="H78" s="49"/>
      <c r="I78" s="49"/>
      <c r="J78" s="50">
        <f t="shared" si="63"/>
        <v>0</v>
      </c>
      <c r="K78" s="9"/>
      <c r="L78" s="49"/>
      <c r="M78" s="49"/>
      <c r="N78" s="50">
        <f t="shared" si="32"/>
        <v>0</v>
      </c>
      <c r="O78" s="46"/>
      <c r="P78" s="49"/>
      <c r="Q78" s="49"/>
      <c r="R78" s="50">
        <f t="shared" si="33"/>
        <v>0</v>
      </c>
      <c r="T78" s="49"/>
      <c r="U78" s="49"/>
      <c r="V78" s="50">
        <f t="shared" si="34"/>
        <v>0</v>
      </c>
      <c r="X78" s="49"/>
      <c r="Y78" s="49"/>
      <c r="Z78" s="50">
        <f t="shared" si="35"/>
        <v>0</v>
      </c>
      <c r="AB78" s="49"/>
      <c r="AC78" s="49"/>
      <c r="AD78" s="50">
        <f t="shared" si="36"/>
        <v>0</v>
      </c>
      <c r="AF78" s="49"/>
      <c r="AG78" s="49"/>
      <c r="AH78" s="50">
        <f t="shared" si="37"/>
        <v>0</v>
      </c>
      <c r="AJ78" s="49"/>
      <c r="AK78" s="49"/>
      <c r="AL78" s="50">
        <f t="shared" si="38"/>
        <v>0</v>
      </c>
      <c r="AN78" s="49"/>
      <c r="AO78" s="49"/>
      <c r="AP78" s="50">
        <f t="shared" si="39"/>
        <v>0</v>
      </c>
      <c r="AR78" s="49"/>
      <c r="AS78" s="49"/>
      <c r="AT78" s="50">
        <f t="shared" si="40"/>
        <v>0</v>
      </c>
      <c r="AV78" s="49"/>
      <c r="AW78" s="49"/>
      <c r="AX78" s="50">
        <f t="shared" si="41"/>
        <v>0</v>
      </c>
      <c r="AZ78" s="49"/>
      <c r="BA78" s="49"/>
      <c r="BB78" s="50">
        <f t="shared" si="42"/>
        <v>0</v>
      </c>
      <c r="BD78" s="49"/>
      <c r="BE78" s="49"/>
      <c r="BF78" s="50">
        <f t="shared" si="43"/>
        <v>0</v>
      </c>
      <c r="BH78" s="49"/>
      <c r="BI78" s="49"/>
      <c r="BJ78" s="50">
        <f t="shared" si="44"/>
        <v>0</v>
      </c>
      <c r="BL78" s="49"/>
      <c r="BM78" s="49"/>
      <c r="BN78" s="50">
        <f t="shared" si="45"/>
        <v>0</v>
      </c>
      <c r="BP78" s="49"/>
      <c r="BQ78" s="49"/>
      <c r="BR78" s="50">
        <f t="shared" si="46"/>
        <v>0</v>
      </c>
      <c r="BT78" s="49"/>
      <c r="BU78" s="49"/>
      <c r="BV78" s="50">
        <f t="shared" si="47"/>
        <v>0</v>
      </c>
      <c r="BX78" s="49"/>
      <c r="BY78" s="49"/>
      <c r="BZ78" s="50">
        <f t="shared" si="48"/>
        <v>0</v>
      </c>
      <c r="CB78" s="49"/>
      <c r="CC78" s="49"/>
      <c r="CD78" s="50">
        <f t="shared" si="49"/>
        <v>0</v>
      </c>
      <c r="CF78" s="49"/>
      <c r="CG78" s="49"/>
      <c r="CH78" s="50">
        <f t="shared" si="50"/>
        <v>0</v>
      </c>
      <c r="CJ78" s="49"/>
      <c r="CK78" s="49"/>
      <c r="CL78" s="50">
        <f t="shared" si="51"/>
        <v>0</v>
      </c>
      <c r="CN78" s="49"/>
      <c r="CO78" s="49"/>
      <c r="CP78" s="50">
        <f t="shared" si="52"/>
        <v>0</v>
      </c>
      <c r="CR78" s="49"/>
      <c r="CS78" s="49"/>
      <c r="CT78" s="50">
        <f t="shared" si="53"/>
        <v>0</v>
      </c>
      <c r="CV78" s="49"/>
      <c r="CW78" s="49"/>
      <c r="CX78" s="50">
        <f t="shared" si="54"/>
        <v>0</v>
      </c>
      <c r="CZ78" s="49"/>
      <c r="DA78" s="49"/>
      <c r="DB78" s="50">
        <f t="shared" si="55"/>
        <v>0</v>
      </c>
      <c r="DD78" s="49"/>
      <c r="DE78" s="49"/>
      <c r="DF78" s="50">
        <f t="shared" si="56"/>
        <v>0</v>
      </c>
      <c r="DH78" s="49"/>
      <c r="DI78" s="49"/>
      <c r="DJ78" s="50">
        <f t="shared" si="57"/>
        <v>0</v>
      </c>
      <c r="DL78" s="49"/>
      <c r="DM78" s="49"/>
      <c r="DN78" s="50">
        <f t="shared" si="58"/>
        <v>0</v>
      </c>
      <c r="DP78" s="49"/>
      <c r="DQ78" s="49"/>
      <c r="DR78" s="50">
        <f t="shared" si="59"/>
        <v>0</v>
      </c>
      <c r="DT78" s="49"/>
      <c r="DU78" s="49"/>
      <c r="DV78" s="50">
        <f t="shared" si="60"/>
        <v>0</v>
      </c>
      <c r="DX78" s="49"/>
      <c r="DY78" s="49"/>
      <c r="DZ78" s="50">
        <f t="shared" si="61"/>
        <v>0</v>
      </c>
      <c r="EB78" s="49">
        <f t="shared" si="62"/>
        <v>0</v>
      </c>
      <c r="EC78" s="49">
        <f t="shared" si="62"/>
        <v>0</v>
      </c>
      <c r="ED78" s="49">
        <f t="shared" si="62"/>
        <v>0</v>
      </c>
    </row>
    <row r="79" spans="2:134" ht="11" customHeight="1" x14ac:dyDescent="0.35">
      <c r="B79" s="4">
        <v>111254</v>
      </c>
      <c r="C79" s="4" t="s">
        <v>85</v>
      </c>
      <c r="D79" s="4">
        <v>50</v>
      </c>
      <c r="E79" s="5">
        <v>18</v>
      </c>
      <c r="F79" s="6">
        <v>198.24524392000001</v>
      </c>
      <c r="G79" s="7"/>
      <c r="H79" s="49"/>
      <c r="I79" s="49"/>
      <c r="J79" s="50">
        <f t="shared" si="63"/>
        <v>0</v>
      </c>
      <c r="K79" s="9"/>
      <c r="L79" s="49"/>
      <c r="M79" s="49"/>
      <c r="N79" s="50">
        <f t="shared" si="32"/>
        <v>0</v>
      </c>
      <c r="O79" s="46"/>
      <c r="P79" s="49"/>
      <c r="Q79" s="49"/>
      <c r="R79" s="50">
        <f t="shared" si="33"/>
        <v>0</v>
      </c>
      <c r="T79" s="49"/>
      <c r="U79" s="49"/>
      <c r="V79" s="50">
        <f t="shared" si="34"/>
        <v>0</v>
      </c>
      <c r="X79" s="49"/>
      <c r="Y79" s="49"/>
      <c r="Z79" s="50">
        <f t="shared" si="35"/>
        <v>0</v>
      </c>
      <c r="AB79" s="49"/>
      <c r="AC79" s="49"/>
      <c r="AD79" s="50">
        <f t="shared" si="36"/>
        <v>0</v>
      </c>
      <c r="AF79" s="49"/>
      <c r="AG79" s="49"/>
      <c r="AH79" s="50">
        <f t="shared" si="37"/>
        <v>0</v>
      </c>
      <c r="AJ79" s="49"/>
      <c r="AK79" s="49"/>
      <c r="AL79" s="50">
        <f t="shared" si="38"/>
        <v>0</v>
      </c>
      <c r="AN79" s="49"/>
      <c r="AO79" s="49"/>
      <c r="AP79" s="50">
        <f t="shared" si="39"/>
        <v>0</v>
      </c>
      <c r="AR79" s="49"/>
      <c r="AS79" s="49"/>
      <c r="AT79" s="50">
        <f t="shared" si="40"/>
        <v>0</v>
      </c>
      <c r="AV79" s="49"/>
      <c r="AW79" s="49"/>
      <c r="AX79" s="50">
        <f t="shared" si="41"/>
        <v>0</v>
      </c>
      <c r="AZ79" s="49"/>
      <c r="BA79" s="49"/>
      <c r="BB79" s="50">
        <f t="shared" si="42"/>
        <v>0</v>
      </c>
      <c r="BD79" s="49"/>
      <c r="BE79" s="49"/>
      <c r="BF79" s="50">
        <f t="shared" si="43"/>
        <v>0</v>
      </c>
      <c r="BH79" s="49"/>
      <c r="BI79" s="49"/>
      <c r="BJ79" s="50">
        <f t="shared" si="44"/>
        <v>0</v>
      </c>
      <c r="BL79" s="49"/>
      <c r="BM79" s="49"/>
      <c r="BN79" s="50">
        <f t="shared" si="45"/>
        <v>0</v>
      </c>
      <c r="BP79" s="49"/>
      <c r="BQ79" s="49"/>
      <c r="BR79" s="50">
        <f t="shared" si="46"/>
        <v>0</v>
      </c>
      <c r="BT79" s="49"/>
      <c r="BU79" s="49"/>
      <c r="BV79" s="50">
        <f t="shared" si="47"/>
        <v>0</v>
      </c>
      <c r="BX79" s="49"/>
      <c r="BY79" s="49"/>
      <c r="BZ79" s="50">
        <f t="shared" si="48"/>
        <v>0</v>
      </c>
      <c r="CB79" s="49"/>
      <c r="CC79" s="49"/>
      <c r="CD79" s="50">
        <f t="shared" si="49"/>
        <v>0</v>
      </c>
      <c r="CF79" s="49"/>
      <c r="CG79" s="49"/>
      <c r="CH79" s="50">
        <f t="shared" si="50"/>
        <v>0</v>
      </c>
      <c r="CJ79" s="49"/>
      <c r="CK79" s="49"/>
      <c r="CL79" s="50">
        <f t="shared" si="51"/>
        <v>0</v>
      </c>
      <c r="CN79" s="49"/>
      <c r="CO79" s="49"/>
      <c r="CP79" s="50">
        <f t="shared" si="52"/>
        <v>0</v>
      </c>
      <c r="CR79" s="49"/>
      <c r="CS79" s="49"/>
      <c r="CT79" s="50">
        <f t="shared" si="53"/>
        <v>0</v>
      </c>
      <c r="CV79" s="49"/>
      <c r="CW79" s="49"/>
      <c r="CX79" s="50">
        <f t="shared" si="54"/>
        <v>0</v>
      </c>
      <c r="CZ79" s="49"/>
      <c r="DA79" s="49"/>
      <c r="DB79" s="50">
        <f t="shared" si="55"/>
        <v>0</v>
      </c>
      <c r="DD79" s="49"/>
      <c r="DE79" s="49"/>
      <c r="DF79" s="50">
        <f t="shared" si="56"/>
        <v>0</v>
      </c>
      <c r="DH79" s="49"/>
      <c r="DI79" s="49"/>
      <c r="DJ79" s="50">
        <f t="shared" si="57"/>
        <v>0</v>
      </c>
      <c r="DL79" s="49"/>
      <c r="DM79" s="49"/>
      <c r="DN79" s="50">
        <f t="shared" si="58"/>
        <v>0</v>
      </c>
      <c r="DP79" s="49"/>
      <c r="DQ79" s="49"/>
      <c r="DR79" s="50">
        <f t="shared" si="59"/>
        <v>0</v>
      </c>
      <c r="DT79" s="49"/>
      <c r="DU79" s="49"/>
      <c r="DV79" s="50">
        <f t="shared" si="60"/>
        <v>0</v>
      </c>
      <c r="DX79" s="49"/>
      <c r="DY79" s="49"/>
      <c r="DZ79" s="50">
        <f t="shared" si="61"/>
        <v>0</v>
      </c>
      <c r="EB79" s="49">
        <f t="shared" si="62"/>
        <v>0</v>
      </c>
      <c r="EC79" s="49">
        <f t="shared" si="62"/>
        <v>0</v>
      </c>
      <c r="ED79" s="49">
        <f t="shared" si="62"/>
        <v>0</v>
      </c>
    </row>
    <row r="80" spans="2:134" ht="11" customHeight="1" x14ac:dyDescent="0.35">
      <c r="B80" s="4">
        <v>101018</v>
      </c>
      <c r="C80" s="4" t="s">
        <v>86</v>
      </c>
      <c r="D80" s="4">
        <v>24</v>
      </c>
      <c r="E80" s="5">
        <v>24</v>
      </c>
      <c r="F80" s="6">
        <v>189.29879107400001</v>
      </c>
      <c r="G80" s="1"/>
      <c r="H80" s="49"/>
      <c r="I80" s="49"/>
      <c r="J80" s="50">
        <f t="shared" si="63"/>
        <v>0</v>
      </c>
      <c r="K80" s="9"/>
      <c r="L80" s="49"/>
      <c r="M80" s="49"/>
      <c r="N80" s="50">
        <f t="shared" si="32"/>
        <v>0</v>
      </c>
      <c r="O80" s="46"/>
      <c r="P80" s="49"/>
      <c r="Q80" s="49"/>
      <c r="R80" s="50">
        <f t="shared" si="33"/>
        <v>0</v>
      </c>
      <c r="T80" s="49"/>
      <c r="U80" s="49"/>
      <c r="V80" s="50">
        <f t="shared" si="34"/>
        <v>0</v>
      </c>
      <c r="X80" s="49"/>
      <c r="Y80" s="49"/>
      <c r="Z80" s="50">
        <f t="shared" si="35"/>
        <v>0</v>
      </c>
      <c r="AB80" s="49"/>
      <c r="AC80" s="49"/>
      <c r="AD80" s="50">
        <f t="shared" si="36"/>
        <v>0</v>
      </c>
      <c r="AF80" s="49"/>
      <c r="AG80" s="49"/>
      <c r="AH80" s="50">
        <f t="shared" si="37"/>
        <v>0</v>
      </c>
      <c r="AJ80" s="49"/>
      <c r="AK80" s="49"/>
      <c r="AL80" s="50">
        <f t="shared" si="38"/>
        <v>0</v>
      </c>
      <c r="AN80" s="49"/>
      <c r="AO80" s="49"/>
      <c r="AP80" s="50">
        <f t="shared" si="39"/>
        <v>0</v>
      </c>
      <c r="AR80" s="49"/>
      <c r="AS80" s="49"/>
      <c r="AT80" s="50">
        <f t="shared" si="40"/>
        <v>0</v>
      </c>
      <c r="AV80" s="49"/>
      <c r="AW80" s="49"/>
      <c r="AX80" s="50">
        <f t="shared" si="41"/>
        <v>0</v>
      </c>
      <c r="AZ80" s="49"/>
      <c r="BA80" s="49"/>
      <c r="BB80" s="50">
        <f t="shared" si="42"/>
        <v>0</v>
      </c>
      <c r="BD80" s="49"/>
      <c r="BE80" s="49"/>
      <c r="BF80" s="50">
        <f t="shared" si="43"/>
        <v>0</v>
      </c>
      <c r="BH80" s="49"/>
      <c r="BI80" s="49"/>
      <c r="BJ80" s="50">
        <f t="shared" si="44"/>
        <v>0</v>
      </c>
      <c r="BL80" s="49"/>
      <c r="BM80" s="49"/>
      <c r="BN80" s="50">
        <f t="shared" si="45"/>
        <v>0</v>
      </c>
      <c r="BP80" s="49"/>
      <c r="BQ80" s="49"/>
      <c r="BR80" s="50">
        <f t="shared" si="46"/>
        <v>0</v>
      </c>
      <c r="BT80" s="49"/>
      <c r="BU80" s="49"/>
      <c r="BV80" s="50">
        <f t="shared" si="47"/>
        <v>0</v>
      </c>
      <c r="BX80" s="49"/>
      <c r="BY80" s="49"/>
      <c r="BZ80" s="50">
        <f t="shared" si="48"/>
        <v>0</v>
      </c>
      <c r="CB80" s="49"/>
      <c r="CC80" s="49"/>
      <c r="CD80" s="50">
        <f t="shared" si="49"/>
        <v>0</v>
      </c>
      <c r="CF80" s="49"/>
      <c r="CG80" s="49"/>
      <c r="CH80" s="50">
        <f t="shared" si="50"/>
        <v>0</v>
      </c>
      <c r="CJ80" s="49"/>
      <c r="CK80" s="49"/>
      <c r="CL80" s="50">
        <f t="shared" si="51"/>
        <v>0</v>
      </c>
      <c r="CN80" s="49"/>
      <c r="CO80" s="49"/>
      <c r="CP80" s="50">
        <f t="shared" si="52"/>
        <v>0</v>
      </c>
      <c r="CR80" s="49"/>
      <c r="CS80" s="49"/>
      <c r="CT80" s="50">
        <f t="shared" si="53"/>
        <v>0</v>
      </c>
      <c r="CV80" s="49"/>
      <c r="CW80" s="49"/>
      <c r="CX80" s="50">
        <f t="shared" si="54"/>
        <v>0</v>
      </c>
      <c r="CZ80" s="49"/>
      <c r="DA80" s="49"/>
      <c r="DB80" s="50">
        <f t="shared" si="55"/>
        <v>0</v>
      </c>
      <c r="DD80" s="49"/>
      <c r="DE80" s="49"/>
      <c r="DF80" s="50">
        <f t="shared" si="56"/>
        <v>0</v>
      </c>
      <c r="DH80" s="49"/>
      <c r="DI80" s="49"/>
      <c r="DJ80" s="50">
        <f t="shared" si="57"/>
        <v>0</v>
      </c>
      <c r="DL80" s="49"/>
      <c r="DM80" s="49"/>
      <c r="DN80" s="50">
        <f t="shared" si="58"/>
        <v>0</v>
      </c>
      <c r="DP80" s="49"/>
      <c r="DQ80" s="49"/>
      <c r="DR80" s="50">
        <f t="shared" si="59"/>
        <v>0</v>
      </c>
      <c r="DT80" s="49"/>
      <c r="DU80" s="49"/>
      <c r="DV80" s="50">
        <f t="shared" si="60"/>
        <v>0</v>
      </c>
      <c r="DX80" s="49"/>
      <c r="DY80" s="49"/>
      <c r="DZ80" s="50">
        <f t="shared" si="61"/>
        <v>0</v>
      </c>
      <c r="EB80" s="49">
        <f t="shared" si="62"/>
        <v>0</v>
      </c>
      <c r="EC80" s="49">
        <f t="shared" si="62"/>
        <v>0</v>
      </c>
      <c r="ED80" s="49">
        <f t="shared" si="62"/>
        <v>0</v>
      </c>
    </row>
    <row r="81" spans="2:134" ht="11" customHeight="1" x14ac:dyDescent="0.35">
      <c r="B81" s="4">
        <v>101030</v>
      </c>
      <c r="C81" s="4" t="s">
        <v>87</v>
      </c>
      <c r="D81" s="4">
        <v>24</v>
      </c>
      <c r="E81" s="5">
        <v>24</v>
      </c>
      <c r="F81" s="6">
        <v>192.453575</v>
      </c>
      <c r="G81" s="1"/>
      <c r="H81" s="49"/>
      <c r="I81" s="49"/>
      <c r="J81" s="50">
        <f t="shared" si="63"/>
        <v>0</v>
      </c>
      <c r="K81" s="9"/>
      <c r="L81" s="49"/>
      <c r="M81" s="49"/>
      <c r="N81" s="50">
        <f t="shared" si="32"/>
        <v>0</v>
      </c>
      <c r="O81" s="46"/>
      <c r="P81" s="49"/>
      <c r="Q81" s="49"/>
      <c r="R81" s="50">
        <f t="shared" si="33"/>
        <v>0</v>
      </c>
      <c r="T81" s="49"/>
      <c r="U81" s="49"/>
      <c r="V81" s="50">
        <f t="shared" si="34"/>
        <v>0</v>
      </c>
      <c r="X81" s="49"/>
      <c r="Y81" s="49"/>
      <c r="Z81" s="50">
        <f t="shared" si="35"/>
        <v>0</v>
      </c>
      <c r="AB81" s="49"/>
      <c r="AC81" s="49"/>
      <c r="AD81" s="50">
        <f t="shared" si="36"/>
        <v>0</v>
      </c>
      <c r="AF81" s="49"/>
      <c r="AG81" s="49"/>
      <c r="AH81" s="50">
        <f t="shared" si="37"/>
        <v>0</v>
      </c>
      <c r="AJ81" s="49"/>
      <c r="AK81" s="49"/>
      <c r="AL81" s="50">
        <f t="shared" si="38"/>
        <v>0</v>
      </c>
      <c r="AN81" s="49"/>
      <c r="AO81" s="49"/>
      <c r="AP81" s="50">
        <f t="shared" si="39"/>
        <v>0</v>
      </c>
      <c r="AR81" s="49"/>
      <c r="AS81" s="49"/>
      <c r="AT81" s="50">
        <f t="shared" si="40"/>
        <v>0</v>
      </c>
      <c r="AV81" s="49"/>
      <c r="AW81" s="49"/>
      <c r="AX81" s="50">
        <f t="shared" si="41"/>
        <v>0</v>
      </c>
      <c r="AZ81" s="49"/>
      <c r="BA81" s="49"/>
      <c r="BB81" s="50">
        <f t="shared" si="42"/>
        <v>0</v>
      </c>
      <c r="BD81" s="49"/>
      <c r="BE81" s="49"/>
      <c r="BF81" s="50">
        <f t="shared" si="43"/>
        <v>0</v>
      </c>
      <c r="BH81" s="49"/>
      <c r="BI81" s="49"/>
      <c r="BJ81" s="50">
        <f t="shared" si="44"/>
        <v>0</v>
      </c>
      <c r="BL81" s="49"/>
      <c r="BM81" s="49"/>
      <c r="BN81" s="50">
        <f t="shared" si="45"/>
        <v>0</v>
      </c>
      <c r="BP81" s="49"/>
      <c r="BQ81" s="49"/>
      <c r="BR81" s="50">
        <f t="shared" si="46"/>
        <v>0</v>
      </c>
      <c r="BT81" s="49"/>
      <c r="BU81" s="49"/>
      <c r="BV81" s="50">
        <f t="shared" si="47"/>
        <v>0</v>
      </c>
      <c r="BX81" s="49"/>
      <c r="BY81" s="49"/>
      <c r="BZ81" s="50">
        <f t="shared" si="48"/>
        <v>0</v>
      </c>
      <c r="CB81" s="49"/>
      <c r="CC81" s="49"/>
      <c r="CD81" s="50">
        <f t="shared" si="49"/>
        <v>0</v>
      </c>
      <c r="CF81" s="49"/>
      <c r="CG81" s="49"/>
      <c r="CH81" s="50">
        <f t="shared" si="50"/>
        <v>0</v>
      </c>
      <c r="CJ81" s="49"/>
      <c r="CK81" s="49"/>
      <c r="CL81" s="50">
        <f t="shared" si="51"/>
        <v>0</v>
      </c>
      <c r="CN81" s="49"/>
      <c r="CO81" s="49"/>
      <c r="CP81" s="50">
        <f t="shared" si="52"/>
        <v>0</v>
      </c>
      <c r="CR81" s="49"/>
      <c r="CS81" s="49"/>
      <c r="CT81" s="50">
        <f t="shared" si="53"/>
        <v>0</v>
      </c>
      <c r="CV81" s="49"/>
      <c r="CW81" s="49"/>
      <c r="CX81" s="50">
        <f t="shared" si="54"/>
        <v>0</v>
      </c>
      <c r="CZ81" s="49"/>
      <c r="DA81" s="49"/>
      <c r="DB81" s="50">
        <f t="shared" si="55"/>
        <v>0</v>
      </c>
      <c r="DD81" s="49"/>
      <c r="DE81" s="49"/>
      <c r="DF81" s="50">
        <f t="shared" si="56"/>
        <v>0</v>
      </c>
      <c r="DH81" s="49"/>
      <c r="DI81" s="49"/>
      <c r="DJ81" s="50">
        <f t="shared" si="57"/>
        <v>0</v>
      </c>
      <c r="DL81" s="49"/>
      <c r="DM81" s="49"/>
      <c r="DN81" s="50">
        <f t="shared" si="58"/>
        <v>0</v>
      </c>
      <c r="DP81" s="49"/>
      <c r="DQ81" s="49"/>
      <c r="DR81" s="50">
        <f t="shared" si="59"/>
        <v>0</v>
      </c>
      <c r="DT81" s="49"/>
      <c r="DU81" s="49"/>
      <c r="DV81" s="50">
        <f t="shared" si="60"/>
        <v>0</v>
      </c>
      <c r="DX81" s="49"/>
      <c r="DY81" s="49"/>
      <c r="DZ81" s="50">
        <f t="shared" si="61"/>
        <v>0</v>
      </c>
      <c r="EB81" s="49">
        <f t="shared" si="62"/>
        <v>0</v>
      </c>
      <c r="EC81" s="49">
        <f t="shared" si="62"/>
        <v>0</v>
      </c>
      <c r="ED81" s="49">
        <f t="shared" si="62"/>
        <v>0</v>
      </c>
    </row>
    <row r="82" spans="2:134" ht="11" customHeight="1" x14ac:dyDescent="0.35">
      <c r="B82" s="4">
        <v>101059</v>
      </c>
      <c r="C82" s="4" t="s">
        <v>88</v>
      </c>
      <c r="D82" s="4">
        <v>18</v>
      </c>
      <c r="E82" s="5">
        <v>18</v>
      </c>
      <c r="F82" s="6">
        <v>189.29879107400001</v>
      </c>
      <c r="G82" s="1"/>
      <c r="H82" s="49"/>
      <c r="I82" s="49"/>
      <c r="J82" s="50">
        <f t="shared" si="63"/>
        <v>0</v>
      </c>
      <c r="K82" s="9"/>
      <c r="L82" s="49"/>
      <c r="M82" s="49"/>
      <c r="N82" s="50">
        <f t="shared" si="32"/>
        <v>0</v>
      </c>
      <c r="O82" s="46"/>
      <c r="P82" s="49"/>
      <c r="Q82" s="49"/>
      <c r="R82" s="50">
        <f t="shared" si="33"/>
        <v>0</v>
      </c>
      <c r="T82" s="49"/>
      <c r="U82" s="49"/>
      <c r="V82" s="50">
        <f t="shared" si="34"/>
        <v>0</v>
      </c>
      <c r="X82" s="49"/>
      <c r="Y82" s="49"/>
      <c r="Z82" s="50">
        <f t="shared" si="35"/>
        <v>0</v>
      </c>
      <c r="AB82" s="49"/>
      <c r="AC82" s="49"/>
      <c r="AD82" s="50">
        <f t="shared" si="36"/>
        <v>0</v>
      </c>
      <c r="AF82" s="49"/>
      <c r="AG82" s="49"/>
      <c r="AH82" s="50">
        <f t="shared" si="37"/>
        <v>0</v>
      </c>
      <c r="AJ82" s="49"/>
      <c r="AK82" s="49"/>
      <c r="AL82" s="50">
        <f t="shared" si="38"/>
        <v>0</v>
      </c>
      <c r="AN82" s="49"/>
      <c r="AO82" s="49"/>
      <c r="AP82" s="50">
        <f t="shared" si="39"/>
        <v>0</v>
      </c>
      <c r="AR82" s="49"/>
      <c r="AS82" s="49"/>
      <c r="AT82" s="50">
        <f t="shared" si="40"/>
        <v>0</v>
      </c>
      <c r="AV82" s="49"/>
      <c r="AW82" s="49"/>
      <c r="AX82" s="50">
        <f t="shared" si="41"/>
        <v>0</v>
      </c>
      <c r="AZ82" s="49"/>
      <c r="BA82" s="49"/>
      <c r="BB82" s="50">
        <f t="shared" si="42"/>
        <v>0</v>
      </c>
      <c r="BD82" s="49"/>
      <c r="BE82" s="49"/>
      <c r="BF82" s="50">
        <f t="shared" si="43"/>
        <v>0</v>
      </c>
      <c r="BH82" s="49"/>
      <c r="BI82" s="49"/>
      <c r="BJ82" s="50">
        <f t="shared" si="44"/>
        <v>0</v>
      </c>
      <c r="BL82" s="49"/>
      <c r="BM82" s="49"/>
      <c r="BN82" s="50">
        <f t="shared" si="45"/>
        <v>0</v>
      </c>
      <c r="BP82" s="49"/>
      <c r="BQ82" s="49"/>
      <c r="BR82" s="50">
        <f t="shared" si="46"/>
        <v>0</v>
      </c>
      <c r="BT82" s="49"/>
      <c r="BU82" s="49"/>
      <c r="BV82" s="50">
        <f t="shared" si="47"/>
        <v>0</v>
      </c>
      <c r="BX82" s="49"/>
      <c r="BY82" s="49"/>
      <c r="BZ82" s="50">
        <f t="shared" si="48"/>
        <v>0</v>
      </c>
      <c r="CB82" s="49"/>
      <c r="CC82" s="49"/>
      <c r="CD82" s="50">
        <f t="shared" si="49"/>
        <v>0</v>
      </c>
      <c r="CF82" s="49"/>
      <c r="CG82" s="49"/>
      <c r="CH82" s="50">
        <f t="shared" si="50"/>
        <v>0</v>
      </c>
      <c r="CJ82" s="49"/>
      <c r="CK82" s="49"/>
      <c r="CL82" s="50">
        <f t="shared" si="51"/>
        <v>0</v>
      </c>
      <c r="CN82" s="49"/>
      <c r="CO82" s="49"/>
      <c r="CP82" s="50">
        <f t="shared" si="52"/>
        <v>0</v>
      </c>
      <c r="CR82" s="49"/>
      <c r="CS82" s="49"/>
      <c r="CT82" s="50">
        <f t="shared" si="53"/>
        <v>0</v>
      </c>
      <c r="CV82" s="49"/>
      <c r="CW82" s="49"/>
      <c r="CX82" s="50">
        <f t="shared" si="54"/>
        <v>0</v>
      </c>
      <c r="CZ82" s="49"/>
      <c r="DA82" s="49"/>
      <c r="DB82" s="50">
        <f t="shared" si="55"/>
        <v>0</v>
      </c>
      <c r="DD82" s="49"/>
      <c r="DE82" s="49"/>
      <c r="DF82" s="50">
        <f t="shared" si="56"/>
        <v>0</v>
      </c>
      <c r="DH82" s="49"/>
      <c r="DI82" s="49"/>
      <c r="DJ82" s="50">
        <f t="shared" si="57"/>
        <v>0</v>
      </c>
      <c r="DL82" s="49"/>
      <c r="DM82" s="49"/>
      <c r="DN82" s="50">
        <f t="shared" si="58"/>
        <v>0</v>
      </c>
      <c r="DP82" s="49"/>
      <c r="DQ82" s="49"/>
      <c r="DR82" s="50">
        <f t="shared" si="59"/>
        <v>0</v>
      </c>
      <c r="DT82" s="49"/>
      <c r="DU82" s="49"/>
      <c r="DV82" s="50">
        <f t="shared" si="60"/>
        <v>0</v>
      </c>
      <c r="DX82" s="49"/>
      <c r="DY82" s="49"/>
      <c r="DZ82" s="50">
        <f t="shared" si="61"/>
        <v>0</v>
      </c>
      <c r="EB82" s="49">
        <f t="shared" si="62"/>
        <v>0</v>
      </c>
      <c r="EC82" s="49">
        <f t="shared" si="62"/>
        <v>0</v>
      </c>
      <c r="ED82" s="49">
        <f t="shared" si="62"/>
        <v>0</v>
      </c>
    </row>
    <row r="83" spans="2:134" ht="11" customHeight="1" x14ac:dyDescent="0.35">
      <c r="B83" s="4">
        <v>101404</v>
      </c>
      <c r="C83" s="4" t="s">
        <v>89</v>
      </c>
      <c r="D83" s="4">
        <v>18</v>
      </c>
      <c r="E83" s="5">
        <v>18</v>
      </c>
      <c r="F83" s="6">
        <v>141.97409327599999</v>
      </c>
      <c r="G83" s="1"/>
      <c r="H83" s="49"/>
      <c r="I83" s="49"/>
      <c r="J83" s="50">
        <f t="shared" si="63"/>
        <v>0</v>
      </c>
      <c r="K83" s="9"/>
      <c r="L83" s="49"/>
      <c r="M83" s="49"/>
      <c r="N83" s="50">
        <f t="shared" si="32"/>
        <v>0</v>
      </c>
      <c r="O83" s="46"/>
      <c r="P83" s="49"/>
      <c r="Q83" s="49"/>
      <c r="R83" s="50">
        <f t="shared" si="33"/>
        <v>0</v>
      </c>
      <c r="T83" s="49"/>
      <c r="U83" s="49"/>
      <c r="V83" s="50">
        <f t="shared" si="34"/>
        <v>0</v>
      </c>
      <c r="X83" s="49"/>
      <c r="Y83" s="49"/>
      <c r="Z83" s="50">
        <f t="shared" si="35"/>
        <v>0</v>
      </c>
      <c r="AB83" s="49"/>
      <c r="AC83" s="49"/>
      <c r="AD83" s="50">
        <f t="shared" si="36"/>
        <v>0</v>
      </c>
      <c r="AF83" s="49"/>
      <c r="AG83" s="49"/>
      <c r="AH83" s="50">
        <f t="shared" si="37"/>
        <v>0</v>
      </c>
      <c r="AJ83" s="49"/>
      <c r="AK83" s="49"/>
      <c r="AL83" s="50">
        <f t="shared" si="38"/>
        <v>0</v>
      </c>
      <c r="AN83" s="49"/>
      <c r="AO83" s="49"/>
      <c r="AP83" s="50">
        <f t="shared" si="39"/>
        <v>0</v>
      </c>
      <c r="AR83" s="49"/>
      <c r="AS83" s="49"/>
      <c r="AT83" s="50">
        <f t="shared" si="40"/>
        <v>0</v>
      </c>
      <c r="AV83" s="49"/>
      <c r="AW83" s="49"/>
      <c r="AX83" s="50">
        <f t="shared" si="41"/>
        <v>0</v>
      </c>
      <c r="AZ83" s="49"/>
      <c r="BA83" s="49"/>
      <c r="BB83" s="50">
        <f t="shared" si="42"/>
        <v>0</v>
      </c>
      <c r="BD83" s="49"/>
      <c r="BE83" s="49"/>
      <c r="BF83" s="50">
        <f t="shared" si="43"/>
        <v>0</v>
      </c>
      <c r="BH83" s="49"/>
      <c r="BI83" s="49"/>
      <c r="BJ83" s="50">
        <f t="shared" si="44"/>
        <v>0</v>
      </c>
      <c r="BL83" s="49"/>
      <c r="BM83" s="49"/>
      <c r="BN83" s="50">
        <f t="shared" si="45"/>
        <v>0</v>
      </c>
      <c r="BP83" s="49"/>
      <c r="BQ83" s="49"/>
      <c r="BR83" s="50">
        <f t="shared" si="46"/>
        <v>0</v>
      </c>
      <c r="BT83" s="49"/>
      <c r="BU83" s="49"/>
      <c r="BV83" s="50">
        <f t="shared" si="47"/>
        <v>0</v>
      </c>
      <c r="BX83" s="49"/>
      <c r="BY83" s="49"/>
      <c r="BZ83" s="50">
        <f t="shared" si="48"/>
        <v>0</v>
      </c>
      <c r="CB83" s="49"/>
      <c r="CC83" s="49"/>
      <c r="CD83" s="50">
        <f t="shared" si="49"/>
        <v>0</v>
      </c>
      <c r="CF83" s="49"/>
      <c r="CG83" s="49"/>
      <c r="CH83" s="50">
        <f t="shared" si="50"/>
        <v>0</v>
      </c>
      <c r="CJ83" s="49"/>
      <c r="CK83" s="49"/>
      <c r="CL83" s="50">
        <f t="shared" si="51"/>
        <v>0</v>
      </c>
      <c r="CN83" s="49"/>
      <c r="CO83" s="49"/>
      <c r="CP83" s="50">
        <f t="shared" si="52"/>
        <v>0</v>
      </c>
      <c r="CR83" s="49"/>
      <c r="CS83" s="49"/>
      <c r="CT83" s="50">
        <f t="shared" si="53"/>
        <v>0</v>
      </c>
      <c r="CV83" s="49"/>
      <c r="CW83" s="49"/>
      <c r="CX83" s="50">
        <f t="shared" si="54"/>
        <v>0</v>
      </c>
      <c r="CZ83" s="49"/>
      <c r="DA83" s="49"/>
      <c r="DB83" s="50">
        <f t="shared" si="55"/>
        <v>0</v>
      </c>
      <c r="DD83" s="49"/>
      <c r="DE83" s="49"/>
      <c r="DF83" s="50">
        <f t="shared" si="56"/>
        <v>0</v>
      </c>
      <c r="DH83" s="49"/>
      <c r="DI83" s="49"/>
      <c r="DJ83" s="50">
        <f t="shared" si="57"/>
        <v>0</v>
      </c>
      <c r="DL83" s="49"/>
      <c r="DM83" s="49"/>
      <c r="DN83" s="50">
        <f t="shared" si="58"/>
        <v>0</v>
      </c>
      <c r="DP83" s="49"/>
      <c r="DQ83" s="49"/>
      <c r="DR83" s="50">
        <f t="shared" si="59"/>
        <v>0</v>
      </c>
      <c r="DT83" s="49"/>
      <c r="DU83" s="49"/>
      <c r="DV83" s="50">
        <f t="shared" si="60"/>
        <v>0</v>
      </c>
      <c r="DX83" s="49"/>
      <c r="DY83" s="49"/>
      <c r="DZ83" s="50">
        <f t="shared" si="61"/>
        <v>0</v>
      </c>
      <c r="EB83" s="49">
        <f t="shared" si="62"/>
        <v>0</v>
      </c>
      <c r="EC83" s="49">
        <f t="shared" si="62"/>
        <v>0</v>
      </c>
      <c r="ED83" s="49">
        <f t="shared" si="62"/>
        <v>0</v>
      </c>
    </row>
    <row r="84" spans="2:134" ht="11" customHeight="1" x14ac:dyDescent="0.35">
      <c r="B84" s="4">
        <v>104055</v>
      </c>
      <c r="C84" s="4" t="s">
        <v>90</v>
      </c>
      <c r="D84" s="4">
        <v>25</v>
      </c>
      <c r="E84" s="5">
        <v>24</v>
      </c>
      <c r="F84" s="6">
        <v>100.236575</v>
      </c>
      <c r="G84" s="1"/>
      <c r="H84" s="49"/>
      <c r="I84" s="49"/>
      <c r="J84" s="50">
        <f t="shared" si="63"/>
        <v>0</v>
      </c>
      <c r="K84" s="9"/>
      <c r="L84" s="49"/>
      <c r="M84" s="49"/>
      <c r="N84" s="50">
        <f t="shared" si="32"/>
        <v>0</v>
      </c>
      <c r="O84" s="46"/>
      <c r="P84" s="49"/>
      <c r="Q84" s="49"/>
      <c r="R84" s="50">
        <f t="shared" si="33"/>
        <v>0</v>
      </c>
      <c r="T84" s="49"/>
      <c r="U84" s="49"/>
      <c r="V84" s="50">
        <f t="shared" si="34"/>
        <v>0</v>
      </c>
      <c r="X84" s="49"/>
      <c r="Y84" s="49"/>
      <c r="Z84" s="50">
        <f t="shared" si="35"/>
        <v>0</v>
      </c>
      <c r="AB84" s="49"/>
      <c r="AC84" s="49"/>
      <c r="AD84" s="50">
        <f t="shared" si="36"/>
        <v>0</v>
      </c>
      <c r="AF84" s="49"/>
      <c r="AG84" s="49"/>
      <c r="AH84" s="50">
        <f t="shared" si="37"/>
        <v>0</v>
      </c>
      <c r="AJ84" s="49"/>
      <c r="AK84" s="49"/>
      <c r="AL84" s="50">
        <f t="shared" si="38"/>
        <v>0</v>
      </c>
      <c r="AN84" s="49"/>
      <c r="AO84" s="49"/>
      <c r="AP84" s="50">
        <f t="shared" si="39"/>
        <v>0</v>
      </c>
      <c r="AR84" s="49"/>
      <c r="AS84" s="49"/>
      <c r="AT84" s="50">
        <f t="shared" si="40"/>
        <v>0</v>
      </c>
      <c r="AV84" s="49"/>
      <c r="AW84" s="49"/>
      <c r="AX84" s="50">
        <f t="shared" si="41"/>
        <v>0</v>
      </c>
      <c r="AZ84" s="49"/>
      <c r="BA84" s="49"/>
      <c r="BB84" s="50">
        <f t="shared" si="42"/>
        <v>0</v>
      </c>
      <c r="BD84" s="49"/>
      <c r="BE84" s="49"/>
      <c r="BF84" s="50">
        <f t="shared" si="43"/>
        <v>0</v>
      </c>
      <c r="BH84" s="49"/>
      <c r="BI84" s="49"/>
      <c r="BJ84" s="50">
        <f t="shared" si="44"/>
        <v>0</v>
      </c>
      <c r="BL84" s="49"/>
      <c r="BM84" s="49"/>
      <c r="BN84" s="50">
        <f t="shared" si="45"/>
        <v>0</v>
      </c>
      <c r="BP84" s="49"/>
      <c r="BQ84" s="49"/>
      <c r="BR84" s="50">
        <f t="shared" si="46"/>
        <v>0</v>
      </c>
      <c r="BT84" s="49"/>
      <c r="BU84" s="49"/>
      <c r="BV84" s="50">
        <f t="shared" si="47"/>
        <v>0</v>
      </c>
      <c r="BX84" s="49"/>
      <c r="BY84" s="49"/>
      <c r="BZ84" s="50">
        <f t="shared" si="48"/>
        <v>0</v>
      </c>
      <c r="CB84" s="49"/>
      <c r="CC84" s="49"/>
      <c r="CD84" s="50">
        <f t="shared" si="49"/>
        <v>0</v>
      </c>
      <c r="CF84" s="49"/>
      <c r="CG84" s="49"/>
      <c r="CH84" s="50">
        <f t="shared" si="50"/>
        <v>0</v>
      </c>
      <c r="CJ84" s="49"/>
      <c r="CK84" s="49"/>
      <c r="CL84" s="50">
        <f t="shared" si="51"/>
        <v>0</v>
      </c>
      <c r="CN84" s="49"/>
      <c r="CO84" s="49"/>
      <c r="CP84" s="50">
        <f t="shared" si="52"/>
        <v>0</v>
      </c>
      <c r="CR84" s="49"/>
      <c r="CS84" s="49"/>
      <c r="CT84" s="50">
        <f t="shared" si="53"/>
        <v>0</v>
      </c>
      <c r="CV84" s="49"/>
      <c r="CW84" s="49"/>
      <c r="CX84" s="50">
        <f t="shared" si="54"/>
        <v>0</v>
      </c>
      <c r="CZ84" s="49"/>
      <c r="DA84" s="49"/>
      <c r="DB84" s="50">
        <f t="shared" si="55"/>
        <v>0</v>
      </c>
      <c r="DD84" s="49"/>
      <c r="DE84" s="49"/>
      <c r="DF84" s="50">
        <f t="shared" si="56"/>
        <v>0</v>
      </c>
      <c r="DH84" s="49"/>
      <c r="DI84" s="49"/>
      <c r="DJ84" s="50">
        <f t="shared" si="57"/>
        <v>0</v>
      </c>
      <c r="DL84" s="49"/>
      <c r="DM84" s="49"/>
      <c r="DN84" s="50">
        <f t="shared" si="58"/>
        <v>0</v>
      </c>
      <c r="DP84" s="49"/>
      <c r="DQ84" s="49"/>
      <c r="DR84" s="50">
        <f t="shared" si="59"/>
        <v>0</v>
      </c>
      <c r="DT84" s="49"/>
      <c r="DU84" s="49"/>
      <c r="DV84" s="50">
        <f t="shared" si="60"/>
        <v>0</v>
      </c>
      <c r="DX84" s="49"/>
      <c r="DY84" s="49"/>
      <c r="DZ84" s="50">
        <f t="shared" si="61"/>
        <v>0</v>
      </c>
      <c r="EB84" s="49">
        <f t="shared" si="62"/>
        <v>0</v>
      </c>
      <c r="EC84" s="49">
        <f t="shared" si="62"/>
        <v>0</v>
      </c>
      <c r="ED84" s="49">
        <f t="shared" si="62"/>
        <v>0</v>
      </c>
    </row>
    <row r="85" spans="2:134" ht="11" customHeight="1" x14ac:dyDescent="0.35">
      <c r="B85" s="4">
        <v>101935</v>
      </c>
      <c r="C85" s="4" t="s">
        <v>91</v>
      </c>
      <c r="D85" s="4">
        <v>12</v>
      </c>
      <c r="E85" s="5">
        <v>8</v>
      </c>
      <c r="F85" s="6">
        <v>39.4372481296</v>
      </c>
      <c r="G85" s="1"/>
      <c r="H85" s="49"/>
      <c r="I85" s="49"/>
      <c r="J85" s="50">
        <f t="shared" si="63"/>
        <v>0</v>
      </c>
      <c r="K85" s="9"/>
      <c r="L85" s="49"/>
      <c r="M85" s="49"/>
      <c r="N85" s="50">
        <f t="shared" si="32"/>
        <v>0</v>
      </c>
      <c r="O85" s="46"/>
      <c r="P85" s="49"/>
      <c r="Q85" s="49"/>
      <c r="R85" s="50">
        <f t="shared" si="33"/>
        <v>0</v>
      </c>
      <c r="T85" s="49"/>
      <c r="U85" s="49"/>
      <c r="V85" s="50">
        <f t="shared" si="34"/>
        <v>0</v>
      </c>
      <c r="X85" s="49"/>
      <c r="Y85" s="49"/>
      <c r="Z85" s="50">
        <f t="shared" si="35"/>
        <v>0</v>
      </c>
      <c r="AB85" s="49"/>
      <c r="AC85" s="49"/>
      <c r="AD85" s="50">
        <f t="shared" si="36"/>
        <v>0</v>
      </c>
      <c r="AF85" s="49"/>
      <c r="AG85" s="49"/>
      <c r="AH85" s="50">
        <f t="shared" si="37"/>
        <v>0</v>
      </c>
      <c r="AJ85" s="49"/>
      <c r="AK85" s="49"/>
      <c r="AL85" s="50">
        <f t="shared" si="38"/>
        <v>0</v>
      </c>
      <c r="AN85" s="49"/>
      <c r="AO85" s="49"/>
      <c r="AP85" s="50">
        <f t="shared" si="39"/>
        <v>0</v>
      </c>
      <c r="AR85" s="49"/>
      <c r="AS85" s="49"/>
      <c r="AT85" s="50">
        <f t="shared" si="40"/>
        <v>0</v>
      </c>
      <c r="AV85" s="49"/>
      <c r="AW85" s="49"/>
      <c r="AX85" s="50">
        <f t="shared" si="41"/>
        <v>0</v>
      </c>
      <c r="AZ85" s="49"/>
      <c r="BA85" s="49"/>
      <c r="BB85" s="50">
        <f t="shared" si="42"/>
        <v>0</v>
      </c>
      <c r="BD85" s="49"/>
      <c r="BE85" s="49"/>
      <c r="BF85" s="50">
        <f t="shared" si="43"/>
        <v>0</v>
      </c>
      <c r="BH85" s="49"/>
      <c r="BI85" s="49"/>
      <c r="BJ85" s="50">
        <f t="shared" si="44"/>
        <v>0</v>
      </c>
      <c r="BL85" s="49"/>
      <c r="BM85" s="49"/>
      <c r="BN85" s="50">
        <f t="shared" si="45"/>
        <v>0</v>
      </c>
      <c r="BP85" s="49"/>
      <c r="BQ85" s="49"/>
      <c r="BR85" s="50">
        <f t="shared" si="46"/>
        <v>0</v>
      </c>
      <c r="BT85" s="49"/>
      <c r="BU85" s="49"/>
      <c r="BV85" s="50">
        <f t="shared" si="47"/>
        <v>0</v>
      </c>
      <c r="BX85" s="49"/>
      <c r="BY85" s="49"/>
      <c r="BZ85" s="50">
        <f t="shared" si="48"/>
        <v>0</v>
      </c>
      <c r="CB85" s="49"/>
      <c r="CC85" s="49"/>
      <c r="CD85" s="50">
        <f t="shared" si="49"/>
        <v>0</v>
      </c>
      <c r="CF85" s="49"/>
      <c r="CG85" s="49"/>
      <c r="CH85" s="50">
        <f t="shared" si="50"/>
        <v>0</v>
      </c>
      <c r="CJ85" s="49"/>
      <c r="CK85" s="49"/>
      <c r="CL85" s="50">
        <f t="shared" si="51"/>
        <v>0</v>
      </c>
      <c r="CN85" s="49"/>
      <c r="CO85" s="49"/>
      <c r="CP85" s="50">
        <f t="shared" si="52"/>
        <v>0</v>
      </c>
      <c r="CR85" s="49"/>
      <c r="CS85" s="49"/>
      <c r="CT85" s="50">
        <f t="shared" si="53"/>
        <v>0</v>
      </c>
      <c r="CV85" s="49"/>
      <c r="CW85" s="49"/>
      <c r="CX85" s="50">
        <f t="shared" si="54"/>
        <v>0</v>
      </c>
      <c r="CZ85" s="49"/>
      <c r="DA85" s="49"/>
      <c r="DB85" s="50">
        <f t="shared" si="55"/>
        <v>0</v>
      </c>
      <c r="DD85" s="49"/>
      <c r="DE85" s="49"/>
      <c r="DF85" s="50">
        <f t="shared" si="56"/>
        <v>0</v>
      </c>
      <c r="DH85" s="49"/>
      <c r="DI85" s="49"/>
      <c r="DJ85" s="50">
        <f t="shared" si="57"/>
        <v>0</v>
      </c>
      <c r="DL85" s="49"/>
      <c r="DM85" s="49"/>
      <c r="DN85" s="50">
        <f t="shared" si="58"/>
        <v>0</v>
      </c>
      <c r="DP85" s="49"/>
      <c r="DQ85" s="49"/>
      <c r="DR85" s="50">
        <f t="shared" si="59"/>
        <v>0</v>
      </c>
      <c r="DT85" s="49"/>
      <c r="DU85" s="49"/>
      <c r="DV85" s="50">
        <f t="shared" si="60"/>
        <v>0</v>
      </c>
      <c r="DX85" s="49"/>
      <c r="DY85" s="49"/>
      <c r="DZ85" s="50">
        <f t="shared" si="61"/>
        <v>0</v>
      </c>
      <c r="EB85" s="49">
        <f t="shared" si="62"/>
        <v>0</v>
      </c>
      <c r="EC85" s="49">
        <f t="shared" si="62"/>
        <v>0</v>
      </c>
      <c r="ED85" s="49">
        <f t="shared" si="62"/>
        <v>0</v>
      </c>
    </row>
    <row r="86" spans="2:134" ht="11" customHeight="1" x14ac:dyDescent="0.35">
      <c r="B86" s="4">
        <v>111007</v>
      </c>
      <c r="C86" s="4" t="s">
        <v>92</v>
      </c>
      <c r="D86" s="4">
        <v>24</v>
      </c>
      <c r="E86" s="5">
        <v>18</v>
      </c>
      <c r="F86" s="6">
        <v>193.64193294</v>
      </c>
      <c r="G86" s="1"/>
      <c r="H86" s="49"/>
      <c r="I86" s="49"/>
      <c r="J86" s="50">
        <f t="shared" si="63"/>
        <v>0</v>
      </c>
      <c r="K86" s="9"/>
      <c r="L86" s="49"/>
      <c r="M86" s="49"/>
      <c r="N86" s="50">
        <f t="shared" si="32"/>
        <v>0</v>
      </c>
      <c r="O86" s="46"/>
      <c r="P86" s="49"/>
      <c r="Q86" s="49"/>
      <c r="R86" s="50">
        <f t="shared" si="33"/>
        <v>0</v>
      </c>
      <c r="T86" s="49"/>
      <c r="U86" s="49"/>
      <c r="V86" s="50">
        <f t="shared" si="34"/>
        <v>0</v>
      </c>
      <c r="X86" s="49"/>
      <c r="Y86" s="49"/>
      <c r="Z86" s="50">
        <f t="shared" si="35"/>
        <v>0</v>
      </c>
      <c r="AB86" s="49"/>
      <c r="AC86" s="49"/>
      <c r="AD86" s="50">
        <f t="shared" si="36"/>
        <v>0</v>
      </c>
      <c r="AF86" s="49"/>
      <c r="AG86" s="49"/>
      <c r="AH86" s="50">
        <f t="shared" si="37"/>
        <v>0</v>
      </c>
      <c r="AJ86" s="49"/>
      <c r="AK86" s="49"/>
      <c r="AL86" s="50">
        <f t="shared" si="38"/>
        <v>0</v>
      </c>
      <c r="AN86" s="49"/>
      <c r="AO86" s="49"/>
      <c r="AP86" s="50">
        <f t="shared" si="39"/>
        <v>0</v>
      </c>
      <c r="AR86" s="49"/>
      <c r="AS86" s="49"/>
      <c r="AT86" s="50">
        <f t="shared" si="40"/>
        <v>0</v>
      </c>
      <c r="AV86" s="49"/>
      <c r="AW86" s="49"/>
      <c r="AX86" s="50">
        <f t="shared" si="41"/>
        <v>0</v>
      </c>
      <c r="AZ86" s="49"/>
      <c r="BA86" s="49"/>
      <c r="BB86" s="50">
        <f t="shared" si="42"/>
        <v>0</v>
      </c>
      <c r="BD86" s="49"/>
      <c r="BE86" s="49"/>
      <c r="BF86" s="50">
        <f t="shared" si="43"/>
        <v>0</v>
      </c>
      <c r="BH86" s="49"/>
      <c r="BI86" s="49"/>
      <c r="BJ86" s="50">
        <f t="shared" si="44"/>
        <v>0</v>
      </c>
      <c r="BL86" s="49"/>
      <c r="BM86" s="49"/>
      <c r="BN86" s="50">
        <f t="shared" si="45"/>
        <v>0</v>
      </c>
      <c r="BP86" s="49"/>
      <c r="BQ86" s="49"/>
      <c r="BR86" s="50">
        <f t="shared" si="46"/>
        <v>0</v>
      </c>
      <c r="BT86" s="49"/>
      <c r="BU86" s="49"/>
      <c r="BV86" s="50">
        <f t="shared" si="47"/>
        <v>0</v>
      </c>
      <c r="BX86" s="49"/>
      <c r="BY86" s="49"/>
      <c r="BZ86" s="50">
        <f t="shared" si="48"/>
        <v>0</v>
      </c>
      <c r="CB86" s="49"/>
      <c r="CC86" s="49"/>
      <c r="CD86" s="50">
        <f t="shared" si="49"/>
        <v>0</v>
      </c>
      <c r="CF86" s="49"/>
      <c r="CG86" s="49"/>
      <c r="CH86" s="50">
        <f t="shared" si="50"/>
        <v>0</v>
      </c>
      <c r="CJ86" s="49"/>
      <c r="CK86" s="49"/>
      <c r="CL86" s="50">
        <f t="shared" si="51"/>
        <v>0</v>
      </c>
      <c r="CN86" s="49"/>
      <c r="CO86" s="49"/>
      <c r="CP86" s="50">
        <f t="shared" si="52"/>
        <v>0</v>
      </c>
      <c r="CR86" s="49"/>
      <c r="CS86" s="49"/>
      <c r="CT86" s="50">
        <f t="shared" si="53"/>
        <v>0</v>
      </c>
      <c r="CV86" s="49"/>
      <c r="CW86" s="49"/>
      <c r="CX86" s="50">
        <f t="shared" si="54"/>
        <v>0</v>
      </c>
      <c r="CZ86" s="49"/>
      <c r="DA86" s="49"/>
      <c r="DB86" s="50">
        <f t="shared" si="55"/>
        <v>0</v>
      </c>
      <c r="DD86" s="49"/>
      <c r="DE86" s="49"/>
      <c r="DF86" s="50">
        <f t="shared" si="56"/>
        <v>0</v>
      </c>
      <c r="DH86" s="49"/>
      <c r="DI86" s="49"/>
      <c r="DJ86" s="50">
        <f t="shared" si="57"/>
        <v>0</v>
      </c>
      <c r="DL86" s="49"/>
      <c r="DM86" s="49"/>
      <c r="DN86" s="50">
        <f t="shared" si="58"/>
        <v>0</v>
      </c>
      <c r="DP86" s="49"/>
      <c r="DQ86" s="49"/>
      <c r="DR86" s="50">
        <f t="shared" si="59"/>
        <v>0</v>
      </c>
      <c r="DT86" s="49"/>
      <c r="DU86" s="49"/>
      <c r="DV86" s="50">
        <f t="shared" si="60"/>
        <v>0</v>
      </c>
      <c r="DX86" s="49"/>
      <c r="DY86" s="49"/>
      <c r="DZ86" s="50">
        <f t="shared" si="61"/>
        <v>0</v>
      </c>
      <c r="EB86" s="49">
        <f t="shared" si="62"/>
        <v>0</v>
      </c>
      <c r="EC86" s="49">
        <f t="shared" si="62"/>
        <v>0</v>
      </c>
      <c r="ED86" s="49">
        <f t="shared" si="62"/>
        <v>0</v>
      </c>
    </row>
    <row r="87" spans="2:134" ht="11" customHeight="1" x14ac:dyDescent="0.35">
      <c r="B87" s="4">
        <v>111102</v>
      </c>
      <c r="C87" s="14" t="s">
        <v>93</v>
      </c>
      <c r="D87" s="4">
        <v>18</v>
      </c>
      <c r="E87" s="5">
        <v>18</v>
      </c>
      <c r="F87" s="6">
        <v>193.64193294</v>
      </c>
      <c r="G87" s="1"/>
      <c r="H87" s="49"/>
      <c r="I87" s="49"/>
      <c r="J87" s="50">
        <f t="shared" si="63"/>
        <v>0</v>
      </c>
      <c r="K87" s="9"/>
      <c r="L87" s="49"/>
      <c r="M87" s="49"/>
      <c r="N87" s="50">
        <f t="shared" si="32"/>
        <v>0</v>
      </c>
      <c r="O87" s="46"/>
      <c r="P87" s="49"/>
      <c r="Q87" s="49"/>
      <c r="R87" s="50">
        <f t="shared" si="33"/>
        <v>0</v>
      </c>
      <c r="T87" s="49"/>
      <c r="U87" s="49"/>
      <c r="V87" s="50">
        <f t="shared" si="34"/>
        <v>0</v>
      </c>
      <c r="X87" s="49"/>
      <c r="Y87" s="49"/>
      <c r="Z87" s="50">
        <f t="shared" si="35"/>
        <v>0</v>
      </c>
      <c r="AB87" s="49"/>
      <c r="AC87" s="49"/>
      <c r="AD87" s="50">
        <f t="shared" si="36"/>
        <v>0</v>
      </c>
      <c r="AF87" s="49"/>
      <c r="AG87" s="49"/>
      <c r="AH87" s="50">
        <f t="shared" si="37"/>
        <v>0</v>
      </c>
      <c r="AJ87" s="49"/>
      <c r="AK87" s="49"/>
      <c r="AL87" s="50">
        <f t="shared" si="38"/>
        <v>0</v>
      </c>
      <c r="AN87" s="49"/>
      <c r="AO87" s="49"/>
      <c r="AP87" s="50">
        <f t="shared" si="39"/>
        <v>0</v>
      </c>
      <c r="AR87" s="49"/>
      <c r="AS87" s="49"/>
      <c r="AT87" s="50">
        <f t="shared" si="40"/>
        <v>0</v>
      </c>
      <c r="AV87" s="49"/>
      <c r="AW87" s="49"/>
      <c r="AX87" s="50">
        <f t="shared" si="41"/>
        <v>0</v>
      </c>
      <c r="AZ87" s="49"/>
      <c r="BA87" s="49"/>
      <c r="BB87" s="50">
        <f t="shared" si="42"/>
        <v>0</v>
      </c>
      <c r="BD87" s="49"/>
      <c r="BE87" s="49"/>
      <c r="BF87" s="50">
        <f t="shared" si="43"/>
        <v>0</v>
      </c>
      <c r="BH87" s="49"/>
      <c r="BI87" s="49"/>
      <c r="BJ87" s="50">
        <f t="shared" si="44"/>
        <v>0</v>
      </c>
      <c r="BL87" s="49"/>
      <c r="BM87" s="49"/>
      <c r="BN87" s="50">
        <f t="shared" si="45"/>
        <v>0</v>
      </c>
      <c r="BP87" s="49"/>
      <c r="BQ87" s="49"/>
      <c r="BR87" s="50">
        <f t="shared" si="46"/>
        <v>0</v>
      </c>
      <c r="BT87" s="49"/>
      <c r="BU87" s="49"/>
      <c r="BV87" s="50">
        <f t="shared" si="47"/>
        <v>0</v>
      </c>
      <c r="BX87" s="49"/>
      <c r="BY87" s="49"/>
      <c r="BZ87" s="50">
        <f t="shared" si="48"/>
        <v>0</v>
      </c>
      <c r="CB87" s="49"/>
      <c r="CC87" s="49"/>
      <c r="CD87" s="50">
        <f t="shared" si="49"/>
        <v>0</v>
      </c>
      <c r="CF87" s="49"/>
      <c r="CG87" s="49"/>
      <c r="CH87" s="50">
        <f t="shared" si="50"/>
        <v>0</v>
      </c>
      <c r="CJ87" s="49"/>
      <c r="CK87" s="49"/>
      <c r="CL87" s="50">
        <f t="shared" si="51"/>
        <v>0</v>
      </c>
      <c r="CN87" s="49"/>
      <c r="CO87" s="49"/>
      <c r="CP87" s="50">
        <f t="shared" si="52"/>
        <v>0</v>
      </c>
      <c r="CR87" s="49"/>
      <c r="CS87" s="49"/>
      <c r="CT87" s="50">
        <f t="shared" si="53"/>
        <v>0</v>
      </c>
      <c r="CV87" s="49"/>
      <c r="CW87" s="49"/>
      <c r="CX87" s="50">
        <f t="shared" si="54"/>
        <v>0</v>
      </c>
      <c r="CZ87" s="49"/>
      <c r="DA87" s="49"/>
      <c r="DB87" s="50">
        <f t="shared" si="55"/>
        <v>0</v>
      </c>
      <c r="DD87" s="49"/>
      <c r="DE87" s="49"/>
      <c r="DF87" s="50">
        <f t="shared" si="56"/>
        <v>0</v>
      </c>
      <c r="DH87" s="49"/>
      <c r="DI87" s="49"/>
      <c r="DJ87" s="50">
        <f t="shared" si="57"/>
        <v>0</v>
      </c>
      <c r="DL87" s="49"/>
      <c r="DM87" s="49"/>
      <c r="DN87" s="50">
        <f t="shared" si="58"/>
        <v>0</v>
      </c>
      <c r="DP87" s="49"/>
      <c r="DQ87" s="49"/>
      <c r="DR87" s="50">
        <f t="shared" si="59"/>
        <v>0</v>
      </c>
      <c r="DT87" s="49"/>
      <c r="DU87" s="49"/>
      <c r="DV87" s="50">
        <f t="shared" si="60"/>
        <v>0</v>
      </c>
      <c r="DX87" s="49"/>
      <c r="DY87" s="49"/>
      <c r="DZ87" s="50">
        <f t="shared" si="61"/>
        <v>0</v>
      </c>
      <c r="EB87" s="49">
        <f t="shared" si="62"/>
        <v>0</v>
      </c>
      <c r="EC87" s="49">
        <f t="shared" si="62"/>
        <v>0</v>
      </c>
      <c r="ED87" s="49">
        <f t="shared" si="62"/>
        <v>0</v>
      </c>
    </row>
    <row r="88" spans="2:134" ht="11" customHeight="1" x14ac:dyDescent="0.35">
      <c r="B88" s="4">
        <v>111130</v>
      </c>
      <c r="C88" s="4" t="s">
        <v>94</v>
      </c>
      <c r="D88" s="4">
        <v>24</v>
      </c>
      <c r="E88" s="5">
        <v>18</v>
      </c>
      <c r="F88" s="6">
        <v>193.64193294</v>
      </c>
      <c r="G88" s="1"/>
      <c r="H88" s="49"/>
      <c r="I88" s="49"/>
      <c r="J88" s="50">
        <f t="shared" si="63"/>
        <v>0</v>
      </c>
      <c r="K88" s="9"/>
      <c r="L88" s="49"/>
      <c r="M88" s="49"/>
      <c r="N88" s="50">
        <f t="shared" si="32"/>
        <v>0</v>
      </c>
      <c r="O88" s="46"/>
      <c r="P88" s="49"/>
      <c r="Q88" s="49"/>
      <c r="R88" s="50">
        <f t="shared" si="33"/>
        <v>0</v>
      </c>
      <c r="T88" s="49"/>
      <c r="U88" s="49"/>
      <c r="V88" s="50">
        <f t="shared" si="34"/>
        <v>0</v>
      </c>
      <c r="X88" s="49"/>
      <c r="Y88" s="49"/>
      <c r="Z88" s="50">
        <f t="shared" si="35"/>
        <v>0</v>
      </c>
      <c r="AB88" s="49"/>
      <c r="AC88" s="49"/>
      <c r="AD88" s="50">
        <f t="shared" si="36"/>
        <v>0</v>
      </c>
      <c r="AF88" s="49"/>
      <c r="AG88" s="49"/>
      <c r="AH88" s="50">
        <f t="shared" si="37"/>
        <v>0</v>
      </c>
      <c r="AJ88" s="49"/>
      <c r="AK88" s="49"/>
      <c r="AL88" s="50">
        <f t="shared" si="38"/>
        <v>0</v>
      </c>
      <c r="AN88" s="49"/>
      <c r="AO88" s="49"/>
      <c r="AP88" s="50">
        <f t="shared" si="39"/>
        <v>0</v>
      </c>
      <c r="AR88" s="49"/>
      <c r="AS88" s="49"/>
      <c r="AT88" s="50">
        <f t="shared" si="40"/>
        <v>0</v>
      </c>
      <c r="AV88" s="49"/>
      <c r="AW88" s="49"/>
      <c r="AX88" s="50">
        <f t="shared" si="41"/>
        <v>0</v>
      </c>
      <c r="AZ88" s="49"/>
      <c r="BA88" s="49"/>
      <c r="BB88" s="50">
        <f t="shared" si="42"/>
        <v>0</v>
      </c>
      <c r="BD88" s="49"/>
      <c r="BE88" s="49"/>
      <c r="BF88" s="50">
        <f t="shared" si="43"/>
        <v>0</v>
      </c>
      <c r="BH88" s="49"/>
      <c r="BI88" s="49"/>
      <c r="BJ88" s="50">
        <f t="shared" si="44"/>
        <v>0</v>
      </c>
      <c r="BL88" s="49"/>
      <c r="BM88" s="49"/>
      <c r="BN88" s="50">
        <f t="shared" si="45"/>
        <v>0</v>
      </c>
      <c r="BP88" s="49"/>
      <c r="BQ88" s="49"/>
      <c r="BR88" s="50">
        <f t="shared" si="46"/>
        <v>0</v>
      </c>
      <c r="BT88" s="49"/>
      <c r="BU88" s="49"/>
      <c r="BV88" s="50">
        <f t="shared" si="47"/>
        <v>0</v>
      </c>
      <c r="BX88" s="49"/>
      <c r="BY88" s="49"/>
      <c r="BZ88" s="50">
        <f t="shared" si="48"/>
        <v>0</v>
      </c>
      <c r="CB88" s="49"/>
      <c r="CC88" s="49"/>
      <c r="CD88" s="50">
        <f t="shared" si="49"/>
        <v>0</v>
      </c>
      <c r="CF88" s="49"/>
      <c r="CG88" s="49"/>
      <c r="CH88" s="50">
        <f t="shared" si="50"/>
        <v>0</v>
      </c>
      <c r="CJ88" s="49"/>
      <c r="CK88" s="49"/>
      <c r="CL88" s="50">
        <f t="shared" si="51"/>
        <v>0</v>
      </c>
      <c r="CN88" s="49"/>
      <c r="CO88" s="49"/>
      <c r="CP88" s="50">
        <f t="shared" si="52"/>
        <v>0</v>
      </c>
      <c r="CR88" s="49"/>
      <c r="CS88" s="49"/>
      <c r="CT88" s="50">
        <f t="shared" si="53"/>
        <v>0</v>
      </c>
      <c r="CV88" s="49"/>
      <c r="CW88" s="49"/>
      <c r="CX88" s="50">
        <f t="shared" si="54"/>
        <v>0</v>
      </c>
      <c r="CZ88" s="49"/>
      <c r="DA88" s="49"/>
      <c r="DB88" s="50">
        <f t="shared" si="55"/>
        <v>0</v>
      </c>
      <c r="DD88" s="49"/>
      <c r="DE88" s="49"/>
      <c r="DF88" s="50">
        <f t="shared" si="56"/>
        <v>0</v>
      </c>
      <c r="DH88" s="49"/>
      <c r="DI88" s="49"/>
      <c r="DJ88" s="50">
        <f t="shared" si="57"/>
        <v>0</v>
      </c>
      <c r="DL88" s="49"/>
      <c r="DM88" s="49"/>
      <c r="DN88" s="50">
        <f t="shared" si="58"/>
        <v>0</v>
      </c>
      <c r="DP88" s="49"/>
      <c r="DQ88" s="49"/>
      <c r="DR88" s="50">
        <f t="shared" si="59"/>
        <v>0</v>
      </c>
      <c r="DT88" s="49"/>
      <c r="DU88" s="49"/>
      <c r="DV88" s="50">
        <f t="shared" si="60"/>
        <v>0</v>
      </c>
      <c r="DX88" s="49"/>
      <c r="DY88" s="49"/>
      <c r="DZ88" s="50">
        <f t="shared" si="61"/>
        <v>0</v>
      </c>
      <c r="EB88" s="49">
        <f t="shared" si="62"/>
        <v>0</v>
      </c>
      <c r="EC88" s="49">
        <f t="shared" si="62"/>
        <v>0</v>
      </c>
      <c r="ED88" s="49">
        <f t="shared" si="62"/>
        <v>0</v>
      </c>
    </row>
    <row r="89" spans="2:134" ht="11" customHeight="1" x14ac:dyDescent="0.35">
      <c r="B89" s="4">
        <v>111231</v>
      </c>
      <c r="C89" s="14" t="s">
        <v>95</v>
      </c>
      <c r="D89" s="4">
        <v>50</v>
      </c>
      <c r="E89" s="5">
        <v>18</v>
      </c>
      <c r="F89" s="6">
        <v>198.24524392000001</v>
      </c>
      <c r="G89" s="1"/>
      <c r="H89" s="49"/>
      <c r="I89" s="49"/>
      <c r="J89" s="50">
        <f t="shared" si="63"/>
        <v>0</v>
      </c>
      <c r="K89" s="9"/>
      <c r="L89" s="49"/>
      <c r="M89" s="49"/>
      <c r="N89" s="50">
        <f t="shared" si="32"/>
        <v>0</v>
      </c>
      <c r="O89" s="46"/>
      <c r="P89" s="49"/>
      <c r="Q89" s="49"/>
      <c r="R89" s="50">
        <f t="shared" si="33"/>
        <v>0</v>
      </c>
      <c r="T89" s="49"/>
      <c r="U89" s="49"/>
      <c r="V89" s="50">
        <f t="shared" si="34"/>
        <v>0</v>
      </c>
      <c r="X89" s="49"/>
      <c r="Y89" s="49"/>
      <c r="Z89" s="50">
        <f t="shared" si="35"/>
        <v>0</v>
      </c>
      <c r="AB89" s="49"/>
      <c r="AC89" s="49"/>
      <c r="AD89" s="50">
        <f t="shared" si="36"/>
        <v>0</v>
      </c>
      <c r="AF89" s="49"/>
      <c r="AG89" s="49"/>
      <c r="AH89" s="50">
        <f t="shared" si="37"/>
        <v>0</v>
      </c>
      <c r="AJ89" s="49"/>
      <c r="AK89" s="49"/>
      <c r="AL89" s="50">
        <f t="shared" si="38"/>
        <v>0</v>
      </c>
      <c r="AN89" s="49"/>
      <c r="AO89" s="49"/>
      <c r="AP89" s="50">
        <f t="shared" si="39"/>
        <v>0</v>
      </c>
      <c r="AR89" s="49"/>
      <c r="AS89" s="49"/>
      <c r="AT89" s="50">
        <f t="shared" si="40"/>
        <v>0</v>
      </c>
      <c r="AV89" s="49"/>
      <c r="AW89" s="49"/>
      <c r="AX89" s="50">
        <f t="shared" si="41"/>
        <v>0</v>
      </c>
      <c r="AZ89" s="49"/>
      <c r="BA89" s="49"/>
      <c r="BB89" s="50">
        <f t="shared" si="42"/>
        <v>0</v>
      </c>
      <c r="BD89" s="49"/>
      <c r="BE89" s="49"/>
      <c r="BF89" s="50">
        <f t="shared" si="43"/>
        <v>0</v>
      </c>
      <c r="BH89" s="49"/>
      <c r="BI89" s="49"/>
      <c r="BJ89" s="50">
        <f t="shared" si="44"/>
        <v>0</v>
      </c>
      <c r="BL89" s="49"/>
      <c r="BM89" s="49"/>
      <c r="BN89" s="50">
        <f t="shared" si="45"/>
        <v>0</v>
      </c>
      <c r="BP89" s="49"/>
      <c r="BQ89" s="49"/>
      <c r="BR89" s="50">
        <f t="shared" si="46"/>
        <v>0</v>
      </c>
      <c r="BT89" s="49"/>
      <c r="BU89" s="49"/>
      <c r="BV89" s="50">
        <f t="shared" si="47"/>
        <v>0</v>
      </c>
      <c r="BX89" s="49"/>
      <c r="BY89" s="49"/>
      <c r="BZ89" s="50">
        <f t="shared" si="48"/>
        <v>0</v>
      </c>
      <c r="CB89" s="49"/>
      <c r="CC89" s="49"/>
      <c r="CD89" s="50">
        <f t="shared" si="49"/>
        <v>0</v>
      </c>
      <c r="CF89" s="49"/>
      <c r="CG89" s="49"/>
      <c r="CH89" s="50">
        <f t="shared" si="50"/>
        <v>0</v>
      </c>
      <c r="CJ89" s="49"/>
      <c r="CK89" s="49"/>
      <c r="CL89" s="50">
        <f t="shared" si="51"/>
        <v>0</v>
      </c>
      <c r="CN89" s="49"/>
      <c r="CO89" s="49"/>
      <c r="CP89" s="50">
        <f t="shared" si="52"/>
        <v>0</v>
      </c>
      <c r="CR89" s="49"/>
      <c r="CS89" s="49"/>
      <c r="CT89" s="50">
        <f t="shared" si="53"/>
        <v>0</v>
      </c>
      <c r="CV89" s="49"/>
      <c r="CW89" s="49"/>
      <c r="CX89" s="50">
        <f t="shared" si="54"/>
        <v>0</v>
      </c>
      <c r="CZ89" s="49"/>
      <c r="DA89" s="49"/>
      <c r="DB89" s="50">
        <f t="shared" si="55"/>
        <v>0</v>
      </c>
      <c r="DD89" s="49"/>
      <c r="DE89" s="49"/>
      <c r="DF89" s="50">
        <f t="shared" si="56"/>
        <v>0</v>
      </c>
      <c r="DH89" s="49"/>
      <c r="DI89" s="49"/>
      <c r="DJ89" s="50">
        <f t="shared" si="57"/>
        <v>0</v>
      </c>
      <c r="DL89" s="49"/>
      <c r="DM89" s="49"/>
      <c r="DN89" s="50">
        <f t="shared" si="58"/>
        <v>0</v>
      </c>
      <c r="DP89" s="49"/>
      <c r="DQ89" s="49"/>
      <c r="DR89" s="50">
        <f t="shared" si="59"/>
        <v>0</v>
      </c>
      <c r="DT89" s="49"/>
      <c r="DU89" s="49"/>
      <c r="DV89" s="50">
        <f t="shared" si="60"/>
        <v>0</v>
      </c>
      <c r="DX89" s="49"/>
      <c r="DY89" s="49"/>
      <c r="DZ89" s="50">
        <f t="shared" si="61"/>
        <v>0</v>
      </c>
      <c r="EB89" s="49">
        <f t="shared" si="62"/>
        <v>0</v>
      </c>
      <c r="EC89" s="49">
        <f t="shared" si="62"/>
        <v>0</v>
      </c>
      <c r="ED89" s="49">
        <f t="shared" si="62"/>
        <v>0</v>
      </c>
    </row>
    <row r="90" spans="2:134" ht="11" customHeight="1" x14ac:dyDescent="0.35">
      <c r="B90" s="4">
        <v>101038</v>
      </c>
      <c r="C90" s="14" t="s">
        <v>96</v>
      </c>
      <c r="D90" s="4">
        <v>24</v>
      </c>
      <c r="E90" s="5">
        <v>24</v>
      </c>
      <c r="F90" s="6">
        <v>189.29879107400001</v>
      </c>
      <c r="G90" s="1"/>
      <c r="H90" s="49"/>
      <c r="I90" s="49"/>
      <c r="J90" s="50">
        <f t="shared" si="63"/>
        <v>0</v>
      </c>
      <c r="K90" s="9"/>
      <c r="L90" s="49"/>
      <c r="M90" s="49"/>
      <c r="N90" s="50">
        <f t="shared" si="32"/>
        <v>0</v>
      </c>
      <c r="O90" s="46"/>
      <c r="P90" s="49"/>
      <c r="Q90" s="49"/>
      <c r="R90" s="50">
        <f t="shared" si="33"/>
        <v>0</v>
      </c>
      <c r="T90" s="49"/>
      <c r="U90" s="49"/>
      <c r="V90" s="50">
        <f t="shared" si="34"/>
        <v>0</v>
      </c>
      <c r="X90" s="49"/>
      <c r="Y90" s="49"/>
      <c r="Z90" s="50">
        <f t="shared" si="35"/>
        <v>0</v>
      </c>
      <c r="AB90" s="49"/>
      <c r="AC90" s="49"/>
      <c r="AD90" s="50">
        <f t="shared" si="36"/>
        <v>0</v>
      </c>
      <c r="AF90" s="49"/>
      <c r="AG90" s="49"/>
      <c r="AH90" s="50">
        <f t="shared" si="37"/>
        <v>0</v>
      </c>
      <c r="AJ90" s="49"/>
      <c r="AK90" s="49"/>
      <c r="AL90" s="50">
        <f t="shared" si="38"/>
        <v>0</v>
      </c>
      <c r="AN90" s="49"/>
      <c r="AO90" s="49"/>
      <c r="AP90" s="50">
        <f t="shared" si="39"/>
        <v>0</v>
      </c>
      <c r="AR90" s="49"/>
      <c r="AS90" s="49"/>
      <c r="AT90" s="50">
        <f t="shared" si="40"/>
        <v>0</v>
      </c>
      <c r="AV90" s="49"/>
      <c r="AW90" s="49"/>
      <c r="AX90" s="50">
        <f t="shared" si="41"/>
        <v>0</v>
      </c>
      <c r="AZ90" s="49"/>
      <c r="BA90" s="49"/>
      <c r="BB90" s="50">
        <f t="shared" si="42"/>
        <v>0</v>
      </c>
      <c r="BD90" s="49"/>
      <c r="BE90" s="49"/>
      <c r="BF90" s="50">
        <f t="shared" si="43"/>
        <v>0</v>
      </c>
      <c r="BH90" s="49"/>
      <c r="BI90" s="49"/>
      <c r="BJ90" s="50">
        <f t="shared" si="44"/>
        <v>0</v>
      </c>
      <c r="BL90" s="49"/>
      <c r="BM90" s="49"/>
      <c r="BN90" s="50">
        <f t="shared" si="45"/>
        <v>0</v>
      </c>
      <c r="BP90" s="49"/>
      <c r="BQ90" s="49"/>
      <c r="BR90" s="50">
        <f t="shared" si="46"/>
        <v>0</v>
      </c>
      <c r="BT90" s="49"/>
      <c r="BU90" s="49"/>
      <c r="BV90" s="50">
        <f t="shared" si="47"/>
        <v>0</v>
      </c>
      <c r="BX90" s="49"/>
      <c r="BY90" s="49"/>
      <c r="BZ90" s="50">
        <f t="shared" si="48"/>
        <v>0</v>
      </c>
      <c r="CB90" s="49"/>
      <c r="CC90" s="49"/>
      <c r="CD90" s="50">
        <f t="shared" si="49"/>
        <v>0</v>
      </c>
      <c r="CF90" s="49"/>
      <c r="CG90" s="49"/>
      <c r="CH90" s="50">
        <f t="shared" si="50"/>
        <v>0</v>
      </c>
      <c r="CJ90" s="49"/>
      <c r="CK90" s="49"/>
      <c r="CL90" s="50">
        <f t="shared" si="51"/>
        <v>0</v>
      </c>
      <c r="CN90" s="49"/>
      <c r="CO90" s="49"/>
      <c r="CP90" s="50">
        <f t="shared" si="52"/>
        <v>0</v>
      </c>
      <c r="CR90" s="49"/>
      <c r="CS90" s="49"/>
      <c r="CT90" s="50">
        <f t="shared" si="53"/>
        <v>0</v>
      </c>
      <c r="CV90" s="49"/>
      <c r="CW90" s="49"/>
      <c r="CX90" s="50">
        <f t="shared" si="54"/>
        <v>0</v>
      </c>
      <c r="CZ90" s="49"/>
      <c r="DA90" s="49"/>
      <c r="DB90" s="50">
        <f t="shared" si="55"/>
        <v>0</v>
      </c>
      <c r="DD90" s="49"/>
      <c r="DE90" s="49"/>
      <c r="DF90" s="50">
        <f t="shared" si="56"/>
        <v>0</v>
      </c>
      <c r="DH90" s="49"/>
      <c r="DI90" s="49"/>
      <c r="DJ90" s="50">
        <f t="shared" si="57"/>
        <v>0</v>
      </c>
      <c r="DL90" s="49"/>
      <c r="DM90" s="49"/>
      <c r="DN90" s="50">
        <f t="shared" si="58"/>
        <v>0</v>
      </c>
      <c r="DP90" s="49"/>
      <c r="DQ90" s="49"/>
      <c r="DR90" s="50">
        <f t="shared" si="59"/>
        <v>0</v>
      </c>
      <c r="DT90" s="49"/>
      <c r="DU90" s="49"/>
      <c r="DV90" s="50">
        <f t="shared" si="60"/>
        <v>0</v>
      </c>
      <c r="DX90" s="49"/>
      <c r="DY90" s="49"/>
      <c r="DZ90" s="50">
        <f t="shared" si="61"/>
        <v>0</v>
      </c>
      <c r="EB90" s="49">
        <f t="shared" si="62"/>
        <v>0</v>
      </c>
      <c r="EC90" s="49">
        <f t="shared" si="62"/>
        <v>0</v>
      </c>
      <c r="ED90" s="49">
        <f t="shared" si="62"/>
        <v>0</v>
      </c>
    </row>
    <row r="91" spans="2:134" ht="11" customHeight="1" x14ac:dyDescent="0.35">
      <c r="B91" s="4">
        <v>101936</v>
      </c>
      <c r="C91" s="14" t="s">
        <v>97</v>
      </c>
      <c r="D91" s="4">
        <v>12</v>
      </c>
      <c r="E91" s="5">
        <v>8</v>
      </c>
      <c r="F91" s="6">
        <v>481.09632499999998</v>
      </c>
      <c r="G91" s="1"/>
      <c r="H91" s="49"/>
      <c r="I91" s="49"/>
      <c r="J91" s="50">
        <f t="shared" si="63"/>
        <v>0</v>
      </c>
      <c r="K91" s="9"/>
      <c r="L91" s="49"/>
      <c r="M91" s="49"/>
      <c r="N91" s="50">
        <f t="shared" si="32"/>
        <v>0</v>
      </c>
      <c r="O91" s="46"/>
      <c r="P91" s="49"/>
      <c r="Q91" s="49"/>
      <c r="R91" s="50">
        <f t="shared" si="33"/>
        <v>0</v>
      </c>
      <c r="T91" s="49"/>
      <c r="U91" s="49"/>
      <c r="V91" s="50">
        <f t="shared" si="34"/>
        <v>0</v>
      </c>
      <c r="X91" s="49"/>
      <c r="Y91" s="49"/>
      <c r="Z91" s="50">
        <f t="shared" si="35"/>
        <v>0</v>
      </c>
      <c r="AB91" s="49"/>
      <c r="AC91" s="49"/>
      <c r="AD91" s="50">
        <f t="shared" si="36"/>
        <v>0</v>
      </c>
      <c r="AF91" s="49"/>
      <c r="AG91" s="49"/>
      <c r="AH91" s="50">
        <f t="shared" si="37"/>
        <v>0</v>
      </c>
      <c r="AJ91" s="49"/>
      <c r="AK91" s="49"/>
      <c r="AL91" s="50">
        <f t="shared" si="38"/>
        <v>0</v>
      </c>
      <c r="AN91" s="49"/>
      <c r="AO91" s="49"/>
      <c r="AP91" s="50">
        <f t="shared" si="39"/>
        <v>0</v>
      </c>
      <c r="AR91" s="49"/>
      <c r="AS91" s="49"/>
      <c r="AT91" s="50">
        <f t="shared" si="40"/>
        <v>0</v>
      </c>
      <c r="AV91" s="49"/>
      <c r="AW91" s="49"/>
      <c r="AX91" s="50">
        <f t="shared" si="41"/>
        <v>0</v>
      </c>
      <c r="AZ91" s="49"/>
      <c r="BA91" s="49"/>
      <c r="BB91" s="50">
        <f t="shared" si="42"/>
        <v>0</v>
      </c>
      <c r="BD91" s="49"/>
      <c r="BE91" s="49"/>
      <c r="BF91" s="50">
        <f t="shared" si="43"/>
        <v>0</v>
      </c>
      <c r="BH91" s="49"/>
      <c r="BI91" s="49"/>
      <c r="BJ91" s="50">
        <f t="shared" si="44"/>
        <v>0</v>
      </c>
      <c r="BL91" s="49"/>
      <c r="BM91" s="49"/>
      <c r="BN91" s="50">
        <f t="shared" si="45"/>
        <v>0</v>
      </c>
      <c r="BP91" s="49"/>
      <c r="BQ91" s="49"/>
      <c r="BR91" s="50">
        <f t="shared" si="46"/>
        <v>0</v>
      </c>
      <c r="BT91" s="49"/>
      <c r="BU91" s="49"/>
      <c r="BV91" s="50">
        <f t="shared" si="47"/>
        <v>0</v>
      </c>
      <c r="BX91" s="49"/>
      <c r="BY91" s="49"/>
      <c r="BZ91" s="50">
        <f t="shared" si="48"/>
        <v>0</v>
      </c>
      <c r="CB91" s="49"/>
      <c r="CC91" s="49"/>
      <c r="CD91" s="50">
        <f t="shared" si="49"/>
        <v>0</v>
      </c>
      <c r="CF91" s="49"/>
      <c r="CG91" s="49"/>
      <c r="CH91" s="50">
        <f t="shared" si="50"/>
        <v>0</v>
      </c>
      <c r="CJ91" s="49"/>
      <c r="CK91" s="49"/>
      <c r="CL91" s="50">
        <f t="shared" si="51"/>
        <v>0</v>
      </c>
      <c r="CN91" s="49"/>
      <c r="CO91" s="49"/>
      <c r="CP91" s="50">
        <f t="shared" si="52"/>
        <v>0</v>
      </c>
      <c r="CR91" s="49"/>
      <c r="CS91" s="49"/>
      <c r="CT91" s="50">
        <f t="shared" si="53"/>
        <v>0</v>
      </c>
      <c r="CV91" s="49"/>
      <c r="CW91" s="49"/>
      <c r="CX91" s="50">
        <f t="shared" si="54"/>
        <v>0</v>
      </c>
      <c r="CZ91" s="49"/>
      <c r="DA91" s="49"/>
      <c r="DB91" s="50">
        <f t="shared" si="55"/>
        <v>0</v>
      </c>
      <c r="DD91" s="49"/>
      <c r="DE91" s="49"/>
      <c r="DF91" s="50">
        <f t="shared" si="56"/>
        <v>0</v>
      </c>
      <c r="DH91" s="49"/>
      <c r="DI91" s="49"/>
      <c r="DJ91" s="50">
        <f t="shared" si="57"/>
        <v>0</v>
      </c>
      <c r="DL91" s="49"/>
      <c r="DM91" s="49"/>
      <c r="DN91" s="50">
        <f t="shared" si="58"/>
        <v>0</v>
      </c>
      <c r="DP91" s="49"/>
      <c r="DQ91" s="49"/>
      <c r="DR91" s="50">
        <f t="shared" si="59"/>
        <v>0</v>
      </c>
      <c r="DT91" s="49"/>
      <c r="DU91" s="49"/>
      <c r="DV91" s="50">
        <f t="shared" si="60"/>
        <v>0</v>
      </c>
      <c r="DX91" s="49"/>
      <c r="DY91" s="49"/>
      <c r="DZ91" s="50">
        <f t="shared" si="61"/>
        <v>0</v>
      </c>
      <c r="EB91" s="49">
        <f t="shared" si="62"/>
        <v>0</v>
      </c>
      <c r="EC91" s="49">
        <f t="shared" si="62"/>
        <v>0</v>
      </c>
      <c r="ED91" s="49">
        <f t="shared" si="62"/>
        <v>0</v>
      </c>
    </row>
    <row r="92" spans="2:134" ht="11" customHeight="1" x14ac:dyDescent="0.35">
      <c r="B92" s="4">
        <v>106021</v>
      </c>
      <c r="C92" s="14" t="s">
        <v>98</v>
      </c>
      <c r="D92" s="4">
        <v>24</v>
      </c>
      <c r="E92" s="5">
        <v>18</v>
      </c>
      <c r="F92" s="6">
        <v>189.29879107400001</v>
      </c>
      <c r="G92" s="1"/>
      <c r="H92" s="49"/>
      <c r="I92" s="49"/>
      <c r="J92" s="50">
        <f t="shared" si="63"/>
        <v>0</v>
      </c>
      <c r="K92" s="9"/>
      <c r="L92" s="49"/>
      <c r="M92" s="49"/>
      <c r="N92" s="50">
        <f t="shared" si="32"/>
        <v>0</v>
      </c>
      <c r="O92" s="46"/>
      <c r="P92" s="49"/>
      <c r="Q92" s="49"/>
      <c r="R92" s="50">
        <f t="shared" si="33"/>
        <v>0</v>
      </c>
      <c r="T92" s="49"/>
      <c r="U92" s="49"/>
      <c r="V92" s="50">
        <f t="shared" si="34"/>
        <v>0</v>
      </c>
      <c r="X92" s="49"/>
      <c r="Y92" s="49"/>
      <c r="Z92" s="50">
        <f t="shared" si="35"/>
        <v>0</v>
      </c>
      <c r="AB92" s="49"/>
      <c r="AC92" s="49"/>
      <c r="AD92" s="50">
        <f t="shared" si="36"/>
        <v>0</v>
      </c>
      <c r="AF92" s="49"/>
      <c r="AG92" s="49"/>
      <c r="AH92" s="50">
        <f t="shared" si="37"/>
        <v>0</v>
      </c>
      <c r="AJ92" s="49"/>
      <c r="AK92" s="49"/>
      <c r="AL92" s="50">
        <f t="shared" si="38"/>
        <v>0</v>
      </c>
      <c r="AN92" s="49"/>
      <c r="AO92" s="49"/>
      <c r="AP92" s="50">
        <f t="shared" si="39"/>
        <v>0</v>
      </c>
      <c r="AR92" s="49"/>
      <c r="AS92" s="49"/>
      <c r="AT92" s="50">
        <f t="shared" si="40"/>
        <v>0</v>
      </c>
      <c r="AV92" s="49"/>
      <c r="AW92" s="49"/>
      <c r="AX92" s="50">
        <f t="shared" si="41"/>
        <v>0</v>
      </c>
      <c r="AZ92" s="49"/>
      <c r="BA92" s="49"/>
      <c r="BB92" s="50">
        <f t="shared" si="42"/>
        <v>0</v>
      </c>
      <c r="BD92" s="49"/>
      <c r="BE92" s="49"/>
      <c r="BF92" s="50">
        <f t="shared" si="43"/>
        <v>0</v>
      </c>
      <c r="BH92" s="49"/>
      <c r="BI92" s="49"/>
      <c r="BJ92" s="50">
        <f t="shared" si="44"/>
        <v>0</v>
      </c>
      <c r="BL92" s="49"/>
      <c r="BM92" s="49"/>
      <c r="BN92" s="50">
        <f t="shared" si="45"/>
        <v>0</v>
      </c>
      <c r="BP92" s="49"/>
      <c r="BQ92" s="49"/>
      <c r="BR92" s="50">
        <f t="shared" si="46"/>
        <v>0</v>
      </c>
      <c r="BT92" s="49"/>
      <c r="BU92" s="49"/>
      <c r="BV92" s="50">
        <f t="shared" si="47"/>
        <v>0</v>
      </c>
      <c r="BX92" s="49"/>
      <c r="BY92" s="49"/>
      <c r="BZ92" s="50">
        <f t="shared" si="48"/>
        <v>0</v>
      </c>
      <c r="CB92" s="49"/>
      <c r="CC92" s="49"/>
      <c r="CD92" s="50">
        <f t="shared" si="49"/>
        <v>0</v>
      </c>
      <c r="CF92" s="49"/>
      <c r="CG92" s="49"/>
      <c r="CH92" s="50">
        <f t="shared" si="50"/>
        <v>0</v>
      </c>
      <c r="CJ92" s="49"/>
      <c r="CK92" s="49"/>
      <c r="CL92" s="50">
        <f t="shared" si="51"/>
        <v>0</v>
      </c>
      <c r="CN92" s="49"/>
      <c r="CO92" s="49"/>
      <c r="CP92" s="50">
        <f t="shared" si="52"/>
        <v>0</v>
      </c>
      <c r="CR92" s="49"/>
      <c r="CS92" s="49"/>
      <c r="CT92" s="50">
        <f t="shared" si="53"/>
        <v>0</v>
      </c>
      <c r="CV92" s="49"/>
      <c r="CW92" s="49"/>
      <c r="CX92" s="50">
        <f t="shared" si="54"/>
        <v>0</v>
      </c>
      <c r="CZ92" s="49"/>
      <c r="DA92" s="49"/>
      <c r="DB92" s="50">
        <f t="shared" si="55"/>
        <v>0</v>
      </c>
      <c r="DD92" s="49"/>
      <c r="DE92" s="49"/>
      <c r="DF92" s="50">
        <f t="shared" si="56"/>
        <v>0</v>
      </c>
      <c r="DH92" s="49"/>
      <c r="DI92" s="49"/>
      <c r="DJ92" s="50">
        <f t="shared" si="57"/>
        <v>0</v>
      </c>
      <c r="DL92" s="49"/>
      <c r="DM92" s="49"/>
      <c r="DN92" s="50">
        <f t="shared" si="58"/>
        <v>0</v>
      </c>
      <c r="DP92" s="49"/>
      <c r="DQ92" s="49"/>
      <c r="DR92" s="50">
        <f t="shared" si="59"/>
        <v>0</v>
      </c>
      <c r="DT92" s="49"/>
      <c r="DU92" s="49"/>
      <c r="DV92" s="50">
        <f t="shared" si="60"/>
        <v>0</v>
      </c>
      <c r="DX92" s="49"/>
      <c r="DY92" s="49"/>
      <c r="DZ92" s="50">
        <f t="shared" si="61"/>
        <v>0</v>
      </c>
      <c r="EB92" s="49">
        <f t="shared" si="62"/>
        <v>0</v>
      </c>
      <c r="EC92" s="49">
        <f t="shared" si="62"/>
        <v>0</v>
      </c>
      <c r="ED92" s="49">
        <f t="shared" si="62"/>
        <v>0</v>
      </c>
    </row>
    <row r="93" spans="2:134" ht="11" customHeight="1" x14ac:dyDescent="0.35">
      <c r="B93" s="4">
        <v>106510</v>
      </c>
      <c r="C93" s="14" t="s">
        <v>99</v>
      </c>
      <c r="D93" s="4">
        <v>12</v>
      </c>
      <c r="E93" s="5">
        <v>18</v>
      </c>
      <c r="F93" s="6">
        <v>190.31564392000001</v>
      </c>
      <c r="G93" s="1"/>
      <c r="H93" s="49"/>
      <c r="I93" s="49"/>
      <c r="J93" s="50">
        <f t="shared" si="63"/>
        <v>0</v>
      </c>
      <c r="K93" s="9"/>
      <c r="L93" s="49"/>
      <c r="M93" s="49"/>
      <c r="N93" s="50">
        <f t="shared" si="32"/>
        <v>0</v>
      </c>
      <c r="O93" s="46"/>
      <c r="P93" s="49"/>
      <c r="Q93" s="49"/>
      <c r="R93" s="50">
        <f t="shared" si="33"/>
        <v>0</v>
      </c>
      <c r="T93" s="49"/>
      <c r="U93" s="49"/>
      <c r="V93" s="50">
        <f t="shared" si="34"/>
        <v>0</v>
      </c>
      <c r="X93" s="49"/>
      <c r="Y93" s="49"/>
      <c r="Z93" s="50">
        <f t="shared" si="35"/>
        <v>0</v>
      </c>
      <c r="AB93" s="49"/>
      <c r="AC93" s="49"/>
      <c r="AD93" s="50">
        <f t="shared" si="36"/>
        <v>0</v>
      </c>
      <c r="AF93" s="49"/>
      <c r="AG93" s="49"/>
      <c r="AH93" s="50">
        <f t="shared" si="37"/>
        <v>0</v>
      </c>
      <c r="AJ93" s="49"/>
      <c r="AK93" s="49"/>
      <c r="AL93" s="50">
        <f t="shared" si="38"/>
        <v>0</v>
      </c>
      <c r="AN93" s="49"/>
      <c r="AO93" s="49"/>
      <c r="AP93" s="50">
        <f t="shared" si="39"/>
        <v>0</v>
      </c>
      <c r="AR93" s="49"/>
      <c r="AS93" s="49"/>
      <c r="AT93" s="50">
        <f t="shared" si="40"/>
        <v>0</v>
      </c>
      <c r="AV93" s="49"/>
      <c r="AW93" s="49"/>
      <c r="AX93" s="50">
        <f t="shared" si="41"/>
        <v>0</v>
      </c>
      <c r="AZ93" s="49"/>
      <c r="BA93" s="49"/>
      <c r="BB93" s="50">
        <f t="shared" si="42"/>
        <v>0</v>
      </c>
      <c r="BD93" s="49"/>
      <c r="BE93" s="49"/>
      <c r="BF93" s="50">
        <f t="shared" si="43"/>
        <v>0</v>
      </c>
      <c r="BH93" s="49"/>
      <c r="BI93" s="49"/>
      <c r="BJ93" s="50">
        <f t="shared" si="44"/>
        <v>0</v>
      </c>
      <c r="BL93" s="49"/>
      <c r="BM93" s="49"/>
      <c r="BN93" s="50">
        <f t="shared" si="45"/>
        <v>0</v>
      </c>
      <c r="BP93" s="49"/>
      <c r="BQ93" s="49"/>
      <c r="BR93" s="50">
        <f t="shared" si="46"/>
        <v>0</v>
      </c>
      <c r="BT93" s="49"/>
      <c r="BU93" s="49"/>
      <c r="BV93" s="50">
        <f t="shared" si="47"/>
        <v>0</v>
      </c>
      <c r="BX93" s="49"/>
      <c r="BY93" s="49"/>
      <c r="BZ93" s="50">
        <f t="shared" si="48"/>
        <v>0</v>
      </c>
      <c r="CB93" s="49"/>
      <c r="CC93" s="49"/>
      <c r="CD93" s="50">
        <f t="shared" si="49"/>
        <v>0</v>
      </c>
      <c r="CF93" s="49"/>
      <c r="CG93" s="49"/>
      <c r="CH93" s="50">
        <f t="shared" si="50"/>
        <v>0</v>
      </c>
      <c r="CJ93" s="49"/>
      <c r="CK93" s="49"/>
      <c r="CL93" s="50">
        <f t="shared" si="51"/>
        <v>0</v>
      </c>
      <c r="CN93" s="49"/>
      <c r="CO93" s="49"/>
      <c r="CP93" s="50">
        <f t="shared" si="52"/>
        <v>0</v>
      </c>
      <c r="CR93" s="49"/>
      <c r="CS93" s="49"/>
      <c r="CT93" s="50">
        <f t="shared" si="53"/>
        <v>0</v>
      </c>
      <c r="CV93" s="49"/>
      <c r="CW93" s="49"/>
      <c r="CX93" s="50">
        <f t="shared" si="54"/>
        <v>0</v>
      </c>
      <c r="CZ93" s="49"/>
      <c r="DA93" s="49"/>
      <c r="DB93" s="50">
        <f t="shared" si="55"/>
        <v>0</v>
      </c>
      <c r="DD93" s="49"/>
      <c r="DE93" s="49"/>
      <c r="DF93" s="50">
        <f t="shared" si="56"/>
        <v>0</v>
      </c>
      <c r="DH93" s="49"/>
      <c r="DI93" s="49"/>
      <c r="DJ93" s="50">
        <f t="shared" si="57"/>
        <v>0</v>
      </c>
      <c r="DL93" s="49"/>
      <c r="DM93" s="49"/>
      <c r="DN93" s="50">
        <f t="shared" si="58"/>
        <v>0</v>
      </c>
      <c r="DP93" s="49"/>
      <c r="DQ93" s="49"/>
      <c r="DR93" s="50">
        <f t="shared" si="59"/>
        <v>0</v>
      </c>
      <c r="DT93" s="49"/>
      <c r="DU93" s="49"/>
      <c r="DV93" s="50">
        <f t="shared" si="60"/>
        <v>0</v>
      </c>
      <c r="DX93" s="49"/>
      <c r="DY93" s="49"/>
      <c r="DZ93" s="50">
        <f t="shared" si="61"/>
        <v>0</v>
      </c>
      <c r="EB93" s="49">
        <f t="shared" si="62"/>
        <v>0</v>
      </c>
      <c r="EC93" s="49">
        <f t="shared" si="62"/>
        <v>0</v>
      </c>
      <c r="ED93" s="49">
        <f t="shared" si="62"/>
        <v>0</v>
      </c>
    </row>
    <row r="94" spans="2:134" ht="11" customHeight="1" x14ac:dyDescent="0.35">
      <c r="B94" s="4">
        <v>111201</v>
      </c>
      <c r="C94" s="14" t="s">
        <v>100</v>
      </c>
      <c r="D94" s="4">
        <v>50</v>
      </c>
      <c r="E94" s="5">
        <v>18</v>
      </c>
      <c r="F94" s="6">
        <v>198.24524392000001</v>
      </c>
      <c r="G94" s="1"/>
      <c r="H94" s="49"/>
      <c r="I94" s="49"/>
      <c r="J94" s="50">
        <f t="shared" si="63"/>
        <v>0</v>
      </c>
      <c r="K94" s="9"/>
      <c r="L94" s="49"/>
      <c r="M94" s="49"/>
      <c r="N94" s="50">
        <f t="shared" si="32"/>
        <v>0</v>
      </c>
      <c r="O94" s="46"/>
      <c r="P94" s="49"/>
      <c r="Q94" s="49"/>
      <c r="R94" s="50">
        <f t="shared" si="33"/>
        <v>0</v>
      </c>
      <c r="T94" s="49"/>
      <c r="U94" s="49"/>
      <c r="V94" s="50">
        <f t="shared" si="34"/>
        <v>0</v>
      </c>
      <c r="X94" s="49"/>
      <c r="Y94" s="49"/>
      <c r="Z94" s="50">
        <f t="shared" si="35"/>
        <v>0</v>
      </c>
      <c r="AB94" s="49"/>
      <c r="AC94" s="49"/>
      <c r="AD94" s="50">
        <f t="shared" si="36"/>
        <v>0</v>
      </c>
      <c r="AF94" s="49"/>
      <c r="AG94" s="49"/>
      <c r="AH94" s="50">
        <f t="shared" si="37"/>
        <v>0</v>
      </c>
      <c r="AJ94" s="49"/>
      <c r="AK94" s="49"/>
      <c r="AL94" s="50">
        <f t="shared" si="38"/>
        <v>0</v>
      </c>
      <c r="AN94" s="49"/>
      <c r="AO94" s="49"/>
      <c r="AP94" s="50">
        <f t="shared" si="39"/>
        <v>0</v>
      </c>
      <c r="AR94" s="49"/>
      <c r="AS94" s="49"/>
      <c r="AT94" s="50">
        <f t="shared" si="40"/>
        <v>0</v>
      </c>
      <c r="AV94" s="49"/>
      <c r="AW94" s="49"/>
      <c r="AX94" s="50">
        <f t="shared" si="41"/>
        <v>0</v>
      </c>
      <c r="AZ94" s="49"/>
      <c r="BA94" s="49"/>
      <c r="BB94" s="50">
        <f t="shared" si="42"/>
        <v>0</v>
      </c>
      <c r="BD94" s="49"/>
      <c r="BE94" s="49"/>
      <c r="BF94" s="50">
        <f t="shared" si="43"/>
        <v>0</v>
      </c>
      <c r="BH94" s="49"/>
      <c r="BI94" s="49"/>
      <c r="BJ94" s="50">
        <f t="shared" si="44"/>
        <v>0</v>
      </c>
      <c r="BL94" s="49"/>
      <c r="BM94" s="49"/>
      <c r="BN94" s="50">
        <f t="shared" si="45"/>
        <v>0</v>
      </c>
      <c r="BP94" s="49"/>
      <c r="BQ94" s="49"/>
      <c r="BR94" s="50">
        <f t="shared" si="46"/>
        <v>0</v>
      </c>
      <c r="BT94" s="49"/>
      <c r="BU94" s="49"/>
      <c r="BV94" s="50">
        <f t="shared" si="47"/>
        <v>0</v>
      </c>
      <c r="BX94" s="49"/>
      <c r="BY94" s="49"/>
      <c r="BZ94" s="50">
        <f t="shared" si="48"/>
        <v>0</v>
      </c>
      <c r="CB94" s="49"/>
      <c r="CC94" s="49"/>
      <c r="CD94" s="50">
        <f t="shared" si="49"/>
        <v>0</v>
      </c>
      <c r="CF94" s="49"/>
      <c r="CG94" s="49"/>
      <c r="CH94" s="50">
        <f t="shared" si="50"/>
        <v>0</v>
      </c>
      <c r="CJ94" s="49"/>
      <c r="CK94" s="49"/>
      <c r="CL94" s="50">
        <f t="shared" si="51"/>
        <v>0</v>
      </c>
      <c r="CN94" s="49"/>
      <c r="CO94" s="49"/>
      <c r="CP94" s="50">
        <f t="shared" si="52"/>
        <v>0</v>
      </c>
      <c r="CR94" s="49"/>
      <c r="CS94" s="49"/>
      <c r="CT94" s="50">
        <f t="shared" si="53"/>
        <v>0</v>
      </c>
      <c r="CV94" s="49"/>
      <c r="CW94" s="49"/>
      <c r="CX94" s="50">
        <f t="shared" si="54"/>
        <v>0</v>
      </c>
      <c r="CZ94" s="49"/>
      <c r="DA94" s="49"/>
      <c r="DB94" s="50">
        <f t="shared" si="55"/>
        <v>0</v>
      </c>
      <c r="DD94" s="49"/>
      <c r="DE94" s="49"/>
      <c r="DF94" s="50">
        <f t="shared" si="56"/>
        <v>0</v>
      </c>
      <c r="DH94" s="49"/>
      <c r="DI94" s="49"/>
      <c r="DJ94" s="50">
        <f t="shared" si="57"/>
        <v>0</v>
      </c>
      <c r="DL94" s="49"/>
      <c r="DM94" s="49"/>
      <c r="DN94" s="50">
        <f t="shared" si="58"/>
        <v>0</v>
      </c>
      <c r="DP94" s="49"/>
      <c r="DQ94" s="49"/>
      <c r="DR94" s="50">
        <f t="shared" si="59"/>
        <v>0</v>
      </c>
      <c r="DT94" s="49"/>
      <c r="DU94" s="49"/>
      <c r="DV94" s="50">
        <f t="shared" si="60"/>
        <v>0</v>
      </c>
      <c r="DX94" s="49"/>
      <c r="DY94" s="49"/>
      <c r="DZ94" s="50">
        <f t="shared" si="61"/>
        <v>0</v>
      </c>
      <c r="EB94" s="49">
        <f t="shared" si="62"/>
        <v>0</v>
      </c>
      <c r="EC94" s="49">
        <f t="shared" si="62"/>
        <v>0</v>
      </c>
      <c r="ED94" s="49">
        <f t="shared" si="62"/>
        <v>0</v>
      </c>
    </row>
    <row r="95" spans="2:134" ht="11" customHeight="1" x14ac:dyDescent="0.35">
      <c r="B95" s="4">
        <v>111211</v>
      </c>
      <c r="C95" s="14" t="s">
        <v>101</v>
      </c>
      <c r="D95" s="4">
        <v>50</v>
      </c>
      <c r="E95" s="5">
        <v>18</v>
      </c>
      <c r="F95" s="6">
        <v>198.24524392000001</v>
      </c>
      <c r="G95" s="1"/>
      <c r="H95" s="49"/>
      <c r="I95" s="49"/>
      <c r="J95" s="50">
        <f t="shared" si="63"/>
        <v>0</v>
      </c>
      <c r="K95" s="9"/>
      <c r="L95" s="49"/>
      <c r="M95" s="49"/>
      <c r="N95" s="50">
        <f t="shared" si="32"/>
        <v>0</v>
      </c>
      <c r="O95" s="46"/>
      <c r="P95" s="49"/>
      <c r="Q95" s="49"/>
      <c r="R95" s="50">
        <f t="shared" si="33"/>
        <v>0</v>
      </c>
      <c r="T95" s="49"/>
      <c r="U95" s="49"/>
      <c r="V95" s="50">
        <f t="shared" si="34"/>
        <v>0</v>
      </c>
      <c r="X95" s="49"/>
      <c r="Y95" s="49"/>
      <c r="Z95" s="50">
        <f t="shared" si="35"/>
        <v>0</v>
      </c>
      <c r="AB95" s="49"/>
      <c r="AC95" s="49"/>
      <c r="AD95" s="50">
        <f t="shared" si="36"/>
        <v>0</v>
      </c>
      <c r="AF95" s="49"/>
      <c r="AG95" s="49"/>
      <c r="AH95" s="50">
        <f t="shared" si="37"/>
        <v>0</v>
      </c>
      <c r="AJ95" s="49"/>
      <c r="AK95" s="49"/>
      <c r="AL95" s="50">
        <f t="shared" si="38"/>
        <v>0</v>
      </c>
      <c r="AN95" s="49"/>
      <c r="AO95" s="49"/>
      <c r="AP95" s="50">
        <f t="shared" si="39"/>
        <v>0</v>
      </c>
      <c r="AR95" s="49"/>
      <c r="AS95" s="49"/>
      <c r="AT95" s="50">
        <f t="shared" si="40"/>
        <v>0</v>
      </c>
      <c r="AV95" s="49"/>
      <c r="AW95" s="49"/>
      <c r="AX95" s="50">
        <f t="shared" si="41"/>
        <v>0</v>
      </c>
      <c r="AZ95" s="49"/>
      <c r="BA95" s="49"/>
      <c r="BB95" s="50">
        <f t="shared" si="42"/>
        <v>0</v>
      </c>
      <c r="BD95" s="49"/>
      <c r="BE95" s="49"/>
      <c r="BF95" s="50">
        <f t="shared" si="43"/>
        <v>0</v>
      </c>
      <c r="BH95" s="49"/>
      <c r="BI95" s="49"/>
      <c r="BJ95" s="50">
        <f t="shared" si="44"/>
        <v>0</v>
      </c>
      <c r="BL95" s="49"/>
      <c r="BM95" s="49"/>
      <c r="BN95" s="50">
        <f t="shared" si="45"/>
        <v>0</v>
      </c>
      <c r="BP95" s="49"/>
      <c r="BQ95" s="49"/>
      <c r="BR95" s="50">
        <f t="shared" si="46"/>
        <v>0</v>
      </c>
      <c r="BT95" s="49"/>
      <c r="BU95" s="49"/>
      <c r="BV95" s="50">
        <f t="shared" si="47"/>
        <v>0</v>
      </c>
      <c r="BX95" s="49"/>
      <c r="BY95" s="49"/>
      <c r="BZ95" s="50">
        <f t="shared" si="48"/>
        <v>0</v>
      </c>
      <c r="CB95" s="49"/>
      <c r="CC95" s="49"/>
      <c r="CD95" s="50">
        <f t="shared" si="49"/>
        <v>0</v>
      </c>
      <c r="CF95" s="49"/>
      <c r="CG95" s="49"/>
      <c r="CH95" s="50">
        <f t="shared" si="50"/>
        <v>0</v>
      </c>
      <c r="CJ95" s="49"/>
      <c r="CK95" s="49"/>
      <c r="CL95" s="50">
        <f t="shared" si="51"/>
        <v>0</v>
      </c>
      <c r="CN95" s="49"/>
      <c r="CO95" s="49"/>
      <c r="CP95" s="50">
        <f t="shared" si="52"/>
        <v>0</v>
      </c>
      <c r="CR95" s="49"/>
      <c r="CS95" s="49"/>
      <c r="CT95" s="50">
        <f t="shared" si="53"/>
        <v>0</v>
      </c>
      <c r="CV95" s="49"/>
      <c r="CW95" s="49"/>
      <c r="CX95" s="50">
        <f t="shared" si="54"/>
        <v>0</v>
      </c>
      <c r="CZ95" s="49"/>
      <c r="DA95" s="49"/>
      <c r="DB95" s="50">
        <f t="shared" si="55"/>
        <v>0</v>
      </c>
      <c r="DD95" s="49"/>
      <c r="DE95" s="49"/>
      <c r="DF95" s="50">
        <f t="shared" si="56"/>
        <v>0</v>
      </c>
      <c r="DH95" s="49"/>
      <c r="DI95" s="49"/>
      <c r="DJ95" s="50">
        <f t="shared" si="57"/>
        <v>0</v>
      </c>
      <c r="DL95" s="49"/>
      <c r="DM95" s="49"/>
      <c r="DN95" s="50">
        <f t="shared" si="58"/>
        <v>0</v>
      </c>
      <c r="DP95" s="49"/>
      <c r="DQ95" s="49"/>
      <c r="DR95" s="50">
        <f t="shared" si="59"/>
        <v>0</v>
      </c>
      <c r="DT95" s="49"/>
      <c r="DU95" s="49"/>
      <c r="DV95" s="50">
        <f t="shared" si="60"/>
        <v>0</v>
      </c>
      <c r="DX95" s="49"/>
      <c r="DY95" s="49"/>
      <c r="DZ95" s="50">
        <f t="shared" si="61"/>
        <v>0</v>
      </c>
      <c r="EB95" s="49">
        <f t="shared" si="62"/>
        <v>0</v>
      </c>
      <c r="EC95" s="49">
        <f t="shared" si="62"/>
        <v>0</v>
      </c>
      <c r="ED95" s="49">
        <f t="shared" si="62"/>
        <v>0</v>
      </c>
    </row>
    <row r="96" spans="2:134" ht="11" customHeight="1" x14ac:dyDescent="0.35">
      <c r="B96" s="4">
        <v>111221</v>
      </c>
      <c r="C96" s="14" t="s">
        <v>102</v>
      </c>
      <c r="D96" s="4">
        <v>50</v>
      </c>
      <c r="E96" s="5">
        <v>18</v>
      </c>
      <c r="F96" s="6">
        <v>198.24524392000001</v>
      </c>
      <c r="G96" s="1"/>
      <c r="H96" s="49"/>
      <c r="I96" s="49"/>
      <c r="J96" s="50">
        <f t="shared" si="63"/>
        <v>0</v>
      </c>
      <c r="K96" s="9"/>
      <c r="L96" s="49"/>
      <c r="M96" s="49"/>
      <c r="N96" s="50">
        <f t="shared" si="32"/>
        <v>0</v>
      </c>
      <c r="O96" s="46"/>
      <c r="P96" s="49"/>
      <c r="Q96" s="49"/>
      <c r="R96" s="50">
        <f t="shared" si="33"/>
        <v>0</v>
      </c>
      <c r="T96" s="49"/>
      <c r="U96" s="49"/>
      <c r="V96" s="50">
        <f t="shared" si="34"/>
        <v>0</v>
      </c>
      <c r="X96" s="49"/>
      <c r="Y96" s="49"/>
      <c r="Z96" s="50">
        <f t="shared" si="35"/>
        <v>0</v>
      </c>
      <c r="AB96" s="49"/>
      <c r="AC96" s="49"/>
      <c r="AD96" s="50">
        <f t="shared" si="36"/>
        <v>0</v>
      </c>
      <c r="AF96" s="49"/>
      <c r="AG96" s="49"/>
      <c r="AH96" s="50">
        <f t="shared" si="37"/>
        <v>0</v>
      </c>
      <c r="AJ96" s="49"/>
      <c r="AK96" s="49"/>
      <c r="AL96" s="50">
        <f t="shared" si="38"/>
        <v>0</v>
      </c>
      <c r="AN96" s="49"/>
      <c r="AO96" s="49"/>
      <c r="AP96" s="50">
        <f t="shared" si="39"/>
        <v>0</v>
      </c>
      <c r="AR96" s="49"/>
      <c r="AS96" s="49"/>
      <c r="AT96" s="50">
        <f t="shared" si="40"/>
        <v>0</v>
      </c>
      <c r="AV96" s="49"/>
      <c r="AW96" s="49"/>
      <c r="AX96" s="50">
        <f t="shared" si="41"/>
        <v>0</v>
      </c>
      <c r="AZ96" s="49"/>
      <c r="BA96" s="49"/>
      <c r="BB96" s="50">
        <f t="shared" si="42"/>
        <v>0</v>
      </c>
      <c r="BD96" s="49"/>
      <c r="BE96" s="49"/>
      <c r="BF96" s="50">
        <f t="shared" si="43"/>
        <v>0</v>
      </c>
      <c r="BH96" s="49"/>
      <c r="BI96" s="49"/>
      <c r="BJ96" s="50">
        <f t="shared" si="44"/>
        <v>0</v>
      </c>
      <c r="BL96" s="49"/>
      <c r="BM96" s="49"/>
      <c r="BN96" s="50">
        <f t="shared" si="45"/>
        <v>0</v>
      </c>
      <c r="BP96" s="49"/>
      <c r="BQ96" s="49"/>
      <c r="BR96" s="50">
        <f t="shared" si="46"/>
        <v>0</v>
      </c>
      <c r="BT96" s="49"/>
      <c r="BU96" s="49"/>
      <c r="BV96" s="50">
        <f t="shared" si="47"/>
        <v>0</v>
      </c>
      <c r="BX96" s="49"/>
      <c r="BY96" s="49"/>
      <c r="BZ96" s="50">
        <f t="shared" si="48"/>
        <v>0</v>
      </c>
      <c r="CB96" s="49"/>
      <c r="CC96" s="49"/>
      <c r="CD96" s="50">
        <f t="shared" si="49"/>
        <v>0</v>
      </c>
      <c r="CF96" s="49"/>
      <c r="CG96" s="49"/>
      <c r="CH96" s="50">
        <f t="shared" si="50"/>
        <v>0</v>
      </c>
      <c r="CJ96" s="49"/>
      <c r="CK96" s="49"/>
      <c r="CL96" s="50">
        <f t="shared" si="51"/>
        <v>0</v>
      </c>
      <c r="CN96" s="49"/>
      <c r="CO96" s="49"/>
      <c r="CP96" s="50">
        <f t="shared" si="52"/>
        <v>0</v>
      </c>
      <c r="CR96" s="49"/>
      <c r="CS96" s="49"/>
      <c r="CT96" s="50">
        <f t="shared" si="53"/>
        <v>0</v>
      </c>
      <c r="CV96" s="49"/>
      <c r="CW96" s="49"/>
      <c r="CX96" s="50">
        <f t="shared" si="54"/>
        <v>0</v>
      </c>
      <c r="CZ96" s="49"/>
      <c r="DA96" s="49"/>
      <c r="DB96" s="50">
        <f t="shared" si="55"/>
        <v>0</v>
      </c>
      <c r="DD96" s="49"/>
      <c r="DE96" s="49"/>
      <c r="DF96" s="50">
        <f t="shared" si="56"/>
        <v>0</v>
      </c>
      <c r="DH96" s="49"/>
      <c r="DI96" s="49"/>
      <c r="DJ96" s="50">
        <f t="shared" si="57"/>
        <v>0</v>
      </c>
      <c r="DL96" s="49"/>
      <c r="DM96" s="49"/>
      <c r="DN96" s="50">
        <f t="shared" si="58"/>
        <v>0</v>
      </c>
      <c r="DP96" s="49"/>
      <c r="DQ96" s="49"/>
      <c r="DR96" s="50">
        <f t="shared" si="59"/>
        <v>0</v>
      </c>
      <c r="DT96" s="49"/>
      <c r="DU96" s="49"/>
      <c r="DV96" s="50">
        <f t="shared" si="60"/>
        <v>0</v>
      </c>
      <c r="DX96" s="49"/>
      <c r="DY96" s="49"/>
      <c r="DZ96" s="50">
        <f t="shared" si="61"/>
        <v>0</v>
      </c>
      <c r="EB96" s="49">
        <f t="shared" si="62"/>
        <v>0</v>
      </c>
      <c r="EC96" s="49">
        <f t="shared" si="62"/>
        <v>0</v>
      </c>
      <c r="ED96" s="49">
        <f t="shared" si="62"/>
        <v>0</v>
      </c>
    </row>
    <row r="97" spans="2:134" ht="11" customHeight="1" x14ac:dyDescent="0.35">
      <c r="B97" s="4">
        <v>111251</v>
      </c>
      <c r="C97" s="14" t="s">
        <v>103</v>
      </c>
      <c r="D97" s="4">
        <v>50</v>
      </c>
      <c r="E97" s="5">
        <v>18</v>
      </c>
      <c r="F97" s="6">
        <v>198.24524392000001</v>
      </c>
      <c r="G97" s="1"/>
      <c r="H97" s="49"/>
      <c r="I97" s="49"/>
      <c r="J97" s="50">
        <f t="shared" si="63"/>
        <v>0</v>
      </c>
      <c r="K97" s="9"/>
      <c r="L97" s="49"/>
      <c r="M97" s="49"/>
      <c r="N97" s="50">
        <f t="shared" si="32"/>
        <v>0</v>
      </c>
      <c r="O97" s="46"/>
      <c r="P97" s="49"/>
      <c r="Q97" s="49"/>
      <c r="R97" s="50">
        <f t="shared" si="33"/>
        <v>0</v>
      </c>
      <c r="T97" s="49"/>
      <c r="U97" s="49"/>
      <c r="V97" s="50">
        <f t="shared" si="34"/>
        <v>0</v>
      </c>
      <c r="X97" s="49"/>
      <c r="Y97" s="49"/>
      <c r="Z97" s="50">
        <f t="shared" si="35"/>
        <v>0</v>
      </c>
      <c r="AB97" s="49"/>
      <c r="AC97" s="49"/>
      <c r="AD97" s="50">
        <f t="shared" si="36"/>
        <v>0</v>
      </c>
      <c r="AF97" s="49"/>
      <c r="AG97" s="49"/>
      <c r="AH97" s="50">
        <f t="shared" si="37"/>
        <v>0</v>
      </c>
      <c r="AJ97" s="49"/>
      <c r="AK97" s="49"/>
      <c r="AL97" s="50">
        <f t="shared" si="38"/>
        <v>0</v>
      </c>
      <c r="AN97" s="49"/>
      <c r="AO97" s="49"/>
      <c r="AP97" s="50">
        <f t="shared" si="39"/>
        <v>0</v>
      </c>
      <c r="AR97" s="49"/>
      <c r="AS97" s="49"/>
      <c r="AT97" s="50">
        <f t="shared" si="40"/>
        <v>0</v>
      </c>
      <c r="AV97" s="49"/>
      <c r="AW97" s="49"/>
      <c r="AX97" s="50">
        <f t="shared" si="41"/>
        <v>0</v>
      </c>
      <c r="AZ97" s="49"/>
      <c r="BA97" s="49"/>
      <c r="BB97" s="50">
        <f t="shared" si="42"/>
        <v>0</v>
      </c>
      <c r="BD97" s="49"/>
      <c r="BE97" s="49"/>
      <c r="BF97" s="50">
        <f t="shared" si="43"/>
        <v>0</v>
      </c>
      <c r="BH97" s="49"/>
      <c r="BI97" s="49"/>
      <c r="BJ97" s="50">
        <f t="shared" si="44"/>
        <v>0</v>
      </c>
      <c r="BL97" s="49"/>
      <c r="BM97" s="49"/>
      <c r="BN97" s="50">
        <f t="shared" si="45"/>
        <v>0</v>
      </c>
      <c r="BP97" s="49"/>
      <c r="BQ97" s="49"/>
      <c r="BR97" s="50">
        <f t="shared" si="46"/>
        <v>0</v>
      </c>
      <c r="BT97" s="49"/>
      <c r="BU97" s="49"/>
      <c r="BV97" s="50">
        <f t="shared" si="47"/>
        <v>0</v>
      </c>
      <c r="BX97" s="49"/>
      <c r="BY97" s="49"/>
      <c r="BZ97" s="50">
        <f t="shared" si="48"/>
        <v>0</v>
      </c>
      <c r="CB97" s="49"/>
      <c r="CC97" s="49"/>
      <c r="CD97" s="50">
        <f t="shared" si="49"/>
        <v>0</v>
      </c>
      <c r="CF97" s="49"/>
      <c r="CG97" s="49"/>
      <c r="CH97" s="50">
        <f t="shared" si="50"/>
        <v>0</v>
      </c>
      <c r="CJ97" s="49"/>
      <c r="CK97" s="49"/>
      <c r="CL97" s="50">
        <f t="shared" si="51"/>
        <v>0</v>
      </c>
      <c r="CN97" s="49"/>
      <c r="CO97" s="49"/>
      <c r="CP97" s="50">
        <f t="shared" si="52"/>
        <v>0</v>
      </c>
      <c r="CR97" s="49"/>
      <c r="CS97" s="49"/>
      <c r="CT97" s="50">
        <f t="shared" si="53"/>
        <v>0</v>
      </c>
      <c r="CV97" s="49"/>
      <c r="CW97" s="49"/>
      <c r="CX97" s="50">
        <f t="shared" si="54"/>
        <v>0</v>
      </c>
      <c r="CZ97" s="49"/>
      <c r="DA97" s="49"/>
      <c r="DB97" s="50">
        <f t="shared" si="55"/>
        <v>0</v>
      </c>
      <c r="DD97" s="49"/>
      <c r="DE97" s="49"/>
      <c r="DF97" s="50">
        <f t="shared" si="56"/>
        <v>0</v>
      </c>
      <c r="DH97" s="49"/>
      <c r="DI97" s="49"/>
      <c r="DJ97" s="50">
        <f t="shared" si="57"/>
        <v>0</v>
      </c>
      <c r="DL97" s="49"/>
      <c r="DM97" s="49"/>
      <c r="DN97" s="50">
        <f t="shared" si="58"/>
        <v>0</v>
      </c>
      <c r="DP97" s="49"/>
      <c r="DQ97" s="49"/>
      <c r="DR97" s="50">
        <f t="shared" si="59"/>
        <v>0</v>
      </c>
      <c r="DT97" s="49"/>
      <c r="DU97" s="49"/>
      <c r="DV97" s="50">
        <f t="shared" si="60"/>
        <v>0</v>
      </c>
      <c r="DX97" s="49"/>
      <c r="DY97" s="49"/>
      <c r="DZ97" s="50">
        <f t="shared" si="61"/>
        <v>0</v>
      </c>
      <c r="EB97" s="49">
        <f t="shared" si="62"/>
        <v>0</v>
      </c>
      <c r="EC97" s="49">
        <f t="shared" si="62"/>
        <v>0</v>
      </c>
      <c r="ED97" s="49">
        <f t="shared" si="62"/>
        <v>0</v>
      </c>
    </row>
    <row r="98" spans="2:134" ht="11" customHeight="1" x14ac:dyDescent="0.35">
      <c r="B98" s="4">
        <v>102162</v>
      </c>
      <c r="C98" s="14" t="s">
        <v>104</v>
      </c>
      <c r="D98" s="4">
        <v>50</v>
      </c>
      <c r="E98" s="5">
        <v>18</v>
      </c>
      <c r="F98" s="6">
        <v>200.47</v>
      </c>
      <c r="G98" s="1"/>
      <c r="H98" s="49"/>
      <c r="I98" s="49"/>
      <c r="J98" s="50">
        <f t="shared" si="63"/>
        <v>0</v>
      </c>
      <c r="K98" s="9"/>
      <c r="L98" s="49"/>
      <c r="M98" s="49"/>
      <c r="N98" s="50">
        <f t="shared" si="32"/>
        <v>0</v>
      </c>
      <c r="O98" s="46"/>
      <c r="P98" s="49"/>
      <c r="Q98" s="49"/>
      <c r="R98" s="50">
        <f t="shared" si="33"/>
        <v>0</v>
      </c>
      <c r="T98" s="49"/>
      <c r="U98" s="49"/>
      <c r="V98" s="50">
        <f t="shared" si="34"/>
        <v>0</v>
      </c>
      <c r="X98" s="49"/>
      <c r="Y98" s="49"/>
      <c r="Z98" s="50">
        <f t="shared" si="35"/>
        <v>0</v>
      </c>
      <c r="AB98" s="49"/>
      <c r="AC98" s="49"/>
      <c r="AD98" s="50">
        <f t="shared" si="36"/>
        <v>0</v>
      </c>
      <c r="AF98" s="49"/>
      <c r="AG98" s="49"/>
      <c r="AH98" s="50">
        <f t="shared" si="37"/>
        <v>0</v>
      </c>
      <c r="AJ98" s="49"/>
      <c r="AK98" s="49"/>
      <c r="AL98" s="50">
        <f t="shared" si="38"/>
        <v>0</v>
      </c>
      <c r="AN98" s="49"/>
      <c r="AO98" s="49"/>
      <c r="AP98" s="50">
        <f t="shared" si="39"/>
        <v>0</v>
      </c>
      <c r="AR98" s="49"/>
      <c r="AS98" s="49"/>
      <c r="AT98" s="50">
        <f t="shared" si="40"/>
        <v>0</v>
      </c>
      <c r="AV98" s="49"/>
      <c r="AW98" s="49"/>
      <c r="AX98" s="50">
        <f t="shared" si="41"/>
        <v>0</v>
      </c>
      <c r="AZ98" s="49"/>
      <c r="BA98" s="49"/>
      <c r="BB98" s="50">
        <f t="shared" si="42"/>
        <v>0</v>
      </c>
      <c r="BD98" s="49"/>
      <c r="BE98" s="49"/>
      <c r="BF98" s="50">
        <f t="shared" si="43"/>
        <v>0</v>
      </c>
      <c r="BH98" s="49"/>
      <c r="BI98" s="49"/>
      <c r="BJ98" s="50">
        <f t="shared" si="44"/>
        <v>0</v>
      </c>
      <c r="BL98" s="49"/>
      <c r="BM98" s="49"/>
      <c r="BN98" s="50">
        <f t="shared" si="45"/>
        <v>0</v>
      </c>
      <c r="BP98" s="49"/>
      <c r="BQ98" s="49"/>
      <c r="BR98" s="50">
        <f t="shared" si="46"/>
        <v>0</v>
      </c>
      <c r="BT98" s="49"/>
      <c r="BU98" s="49"/>
      <c r="BV98" s="50">
        <f t="shared" si="47"/>
        <v>0</v>
      </c>
      <c r="BX98" s="49"/>
      <c r="BY98" s="49"/>
      <c r="BZ98" s="50">
        <f t="shared" si="48"/>
        <v>0</v>
      </c>
      <c r="CB98" s="49"/>
      <c r="CC98" s="49"/>
      <c r="CD98" s="50">
        <f t="shared" si="49"/>
        <v>0</v>
      </c>
      <c r="CF98" s="49"/>
      <c r="CG98" s="49"/>
      <c r="CH98" s="50">
        <f t="shared" si="50"/>
        <v>0</v>
      </c>
      <c r="CJ98" s="49"/>
      <c r="CK98" s="49"/>
      <c r="CL98" s="50">
        <f t="shared" si="51"/>
        <v>0</v>
      </c>
      <c r="CN98" s="49"/>
      <c r="CO98" s="49"/>
      <c r="CP98" s="50">
        <f t="shared" si="52"/>
        <v>0</v>
      </c>
      <c r="CR98" s="49"/>
      <c r="CS98" s="49"/>
      <c r="CT98" s="50">
        <f t="shared" si="53"/>
        <v>0</v>
      </c>
      <c r="CV98" s="49"/>
      <c r="CW98" s="49"/>
      <c r="CX98" s="50">
        <f t="shared" si="54"/>
        <v>0</v>
      </c>
      <c r="CZ98" s="49"/>
      <c r="DA98" s="49"/>
      <c r="DB98" s="50">
        <f t="shared" si="55"/>
        <v>0</v>
      </c>
      <c r="DD98" s="49"/>
      <c r="DE98" s="49"/>
      <c r="DF98" s="50">
        <f t="shared" si="56"/>
        <v>0</v>
      </c>
      <c r="DH98" s="49"/>
      <c r="DI98" s="49"/>
      <c r="DJ98" s="50">
        <f t="shared" si="57"/>
        <v>0</v>
      </c>
      <c r="DL98" s="49"/>
      <c r="DM98" s="49"/>
      <c r="DN98" s="50">
        <f t="shared" si="58"/>
        <v>0</v>
      </c>
      <c r="DP98" s="49"/>
      <c r="DQ98" s="49"/>
      <c r="DR98" s="50">
        <f t="shared" si="59"/>
        <v>0</v>
      </c>
      <c r="DT98" s="49"/>
      <c r="DU98" s="49"/>
      <c r="DV98" s="50">
        <f t="shared" si="60"/>
        <v>0</v>
      </c>
      <c r="DX98" s="49"/>
      <c r="DY98" s="49"/>
      <c r="DZ98" s="50">
        <f t="shared" si="61"/>
        <v>0</v>
      </c>
      <c r="EB98" s="49">
        <f t="shared" si="62"/>
        <v>0</v>
      </c>
      <c r="EC98" s="49">
        <f t="shared" si="62"/>
        <v>0</v>
      </c>
      <c r="ED98" s="49">
        <f t="shared" si="62"/>
        <v>0</v>
      </c>
    </row>
    <row r="99" spans="2:134" ht="11" customHeight="1" x14ac:dyDescent="0.35">
      <c r="B99" s="4">
        <v>102944</v>
      </c>
      <c r="C99" s="14" t="s">
        <v>105</v>
      </c>
      <c r="D99" s="4">
        <v>12</v>
      </c>
      <c r="E99" s="5">
        <v>12</v>
      </c>
      <c r="F99" s="6">
        <v>237.3</v>
      </c>
      <c r="G99" s="1"/>
      <c r="H99" s="49"/>
      <c r="I99" s="49"/>
      <c r="J99" s="50">
        <f t="shared" si="63"/>
        <v>0</v>
      </c>
      <c r="K99" s="9"/>
      <c r="L99" s="49"/>
      <c r="M99" s="49"/>
      <c r="N99" s="50">
        <f t="shared" si="32"/>
        <v>0</v>
      </c>
      <c r="O99" s="46"/>
      <c r="P99" s="49"/>
      <c r="Q99" s="49"/>
      <c r="R99" s="50">
        <f t="shared" si="33"/>
        <v>0</v>
      </c>
      <c r="T99" s="49"/>
      <c r="U99" s="49"/>
      <c r="V99" s="50">
        <f t="shared" si="34"/>
        <v>0</v>
      </c>
      <c r="X99" s="49"/>
      <c r="Y99" s="49"/>
      <c r="Z99" s="50">
        <f t="shared" si="35"/>
        <v>0</v>
      </c>
      <c r="AB99" s="49"/>
      <c r="AC99" s="49"/>
      <c r="AD99" s="50">
        <f t="shared" si="36"/>
        <v>0</v>
      </c>
      <c r="AF99" s="49"/>
      <c r="AG99" s="49"/>
      <c r="AH99" s="50">
        <f t="shared" si="37"/>
        <v>0</v>
      </c>
      <c r="AJ99" s="49"/>
      <c r="AK99" s="49"/>
      <c r="AL99" s="50">
        <f t="shared" si="38"/>
        <v>0</v>
      </c>
      <c r="AN99" s="49"/>
      <c r="AO99" s="49"/>
      <c r="AP99" s="50">
        <f t="shared" si="39"/>
        <v>0</v>
      </c>
      <c r="AR99" s="49"/>
      <c r="AS99" s="49"/>
      <c r="AT99" s="50">
        <f t="shared" si="40"/>
        <v>0</v>
      </c>
      <c r="AV99" s="49"/>
      <c r="AW99" s="49"/>
      <c r="AX99" s="50">
        <f t="shared" si="41"/>
        <v>0</v>
      </c>
      <c r="AZ99" s="49"/>
      <c r="BA99" s="49"/>
      <c r="BB99" s="50">
        <f t="shared" si="42"/>
        <v>0</v>
      </c>
      <c r="BD99" s="49"/>
      <c r="BE99" s="49"/>
      <c r="BF99" s="50">
        <f t="shared" si="43"/>
        <v>0</v>
      </c>
      <c r="BH99" s="49"/>
      <c r="BI99" s="49"/>
      <c r="BJ99" s="50">
        <f t="shared" si="44"/>
        <v>0</v>
      </c>
      <c r="BL99" s="49"/>
      <c r="BM99" s="49"/>
      <c r="BN99" s="50">
        <f t="shared" si="45"/>
        <v>0</v>
      </c>
      <c r="BP99" s="49"/>
      <c r="BQ99" s="49"/>
      <c r="BR99" s="50">
        <f t="shared" si="46"/>
        <v>0</v>
      </c>
      <c r="BT99" s="49"/>
      <c r="BU99" s="49"/>
      <c r="BV99" s="50">
        <f t="shared" si="47"/>
        <v>0</v>
      </c>
      <c r="BX99" s="49"/>
      <c r="BY99" s="49"/>
      <c r="BZ99" s="50">
        <f t="shared" si="48"/>
        <v>0</v>
      </c>
      <c r="CB99" s="49"/>
      <c r="CC99" s="49"/>
      <c r="CD99" s="50">
        <f t="shared" si="49"/>
        <v>0</v>
      </c>
      <c r="CF99" s="49"/>
      <c r="CG99" s="49"/>
      <c r="CH99" s="50">
        <f t="shared" si="50"/>
        <v>0</v>
      </c>
      <c r="CJ99" s="49"/>
      <c r="CK99" s="49"/>
      <c r="CL99" s="50">
        <f t="shared" si="51"/>
        <v>0</v>
      </c>
      <c r="CN99" s="49"/>
      <c r="CO99" s="49"/>
      <c r="CP99" s="50">
        <f t="shared" si="52"/>
        <v>0</v>
      </c>
      <c r="CR99" s="49"/>
      <c r="CS99" s="49"/>
      <c r="CT99" s="50">
        <f t="shared" si="53"/>
        <v>0</v>
      </c>
      <c r="CV99" s="49"/>
      <c r="CW99" s="49"/>
      <c r="CX99" s="50">
        <f t="shared" si="54"/>
        <v>0</v>
      </c>
      <c r="CZ99" s="49"/>
      <c r="DA99" s="49"/>
      <c r="DB99" s="50">
        <f t="shared" si="55"/>
        <v>0</v>
      </c>
      <c r="DD99" s="49"/>
      <c r="DE99" s="49"/>
      <c r="DF99" s="50">
        <f t="shared" si="56"/>
        <v>0</v>
      </c>
      <c r="DH99" s="49"/>
      <c r="DI99" s="49"/>
      <c r="DJ99" s="50">
        <f t="shared" si="57"/>
        <v>0</v>
      </c>
      <c r="DL99" s="49"/>
      <c r="DM99" s="49"/>
      <c r="DN99" s="50">
        <f t="shared" si="58"/>
        <v>0</v>
      </c>
      <c r="DP99" s="49"/>
      <c r="DQ99" s="49"/>
      <c r="DR99" s="50">
        <f t="shared" si="59"/>
        <v>0</v>
      </c>
      <c r="DT99" s="49"/>
      <c r="DU99" s="49"/>
      <c r="DV99" s="50">
        <f t="shared" si="60"/>
        <v>0</v>
      </c>
      <c r="DX99" s="49"/>
      <c r="DY99" s="49"/>
      <c r="DZ99" s="50">
        <f t="shared" si="61"/>
        <v>0</v>
      </c>
      <c r="EB99" s="49">
        <f t="shared" si="62"/>
        <v>0</v>
      </c>
      <c r="EC99" s="49">
        <f t="shared" si="62"/>
        <v>0</v>
      </c>
      <c r="ED99" s="49">
        <f t="shared" si="62"/>
        <v>0</v>
      </c>
    </row>
    <row r="100" spans="2:134" ht="11" customHeight="1" x14ac:dyDescent="0.35">
      <c r="B100" s="4">
        <v>102945</v>
      </c>
      <c r="C100" s="14" t="s">
        <v>106</v>
      </c>
      <c r="D100" s="4">
        <v>12</v>
      </c>
      <c r="E100" s="5">
        <v>12</v>
      </c>
      <c r="F100" s="6">
        <v>237.3</v>
      </c>
      <c r="G100" s="1"/>
      <c r="H100" s="49"/>
      <c r="I100" s="49"/>
      <c r="J100" s="50">
        <f t="shared" si="63"/>
        <v>0</v>
      </c>
      <c r="K100" s="9"/>
      <c r="L100" s="49"/>
      <c r="M100" s="49"/>
      <c r="N100" s="50">
        <f t="shared" si="32"/>
        <v>0</v>
      </c>
      <c r="O100" s="46"/>
      <c r="P100" s="49"/>
      <c r="Q100" s="49"/>
      <c r="R100" s="50">
        <f t="shared" si="33"/>
        <v>0</v>
      </c>
      <c r="T100" s="49"/>
      <c r="U100" s="49"/>
      <c r="V100" s="50">
        <f t="shared" si="34"/>
        <v>0</v>
      </c>
      <c r="X100" s="49"/>
      <c r="Y100" s="49"/>
      <c r="Z100" s="50">
        <f t="shared" si="35"/>
        <v>0</v>
      </c>
      <c r="AB100" s="49"/>
      <c r="AC100" s="49"/>
      <c r="AD100" s="50">
        <f t="shared" si="36"/>
        <v>0</v>
      </c>
      <c r="AF100" s="49"/>
      <c r="AG100" s="49"/>
      <c r="AH100" s="50">
        <f t="shared" si="37"/>
        <v>0</v>
      </c>
      <c r="AJ100" s="49"/>
      <c r="AK100" s="49"/>
      <c r="AL100" s="50">
        <f t="shared" si="38"/>
        <v>0</v>
      </c>
      <c r="AN100" s="49"/>
      <c r="AO100" s="49"/>
      <c r="AP100" s="50">
        <f t="shared" si="39"/>
        <v>0</v>
      </c>
      <c r="AR100" s="49"/>
      <c r="AS100" s="49"/>
      <c r="AT100" s="50">
        <f t="shared" si="40"/>
        <v>0</v>
      </c>
      <c r="AV100" s="49"/>
      <c r="AW100" s="49"/>
      <c r="AX100" s="50">
        <f t="shared" si="41"/>
        <v>0</v>
      </c>
      <c r="AZ100" s="49"/>
      <c r="BA100" s="49"/>
      <c r="BB100" s="50">
        <f t="shared" si="42"/>
        <v>0</v>
      </c>
      <c r="BD100" s="49"/>
      <c r="BE100" s="49"/>
      <c r="BF100" s="50">
        <f t="shared" si="43"/>
        <v>0</v>
      </c>
      <c r="BH100" s="49"/>
      <c r="BI100" s="49"/>
      <c r="BJ100" s="50">
        <f t="shared" si="44"/>
        <v>0</v>
      </c>
      <c r="BL100" s="49"/>
      <c r="BM100" s="49"/>
      <c r="BN100" s="50">
        <f t="shared" si="45"/>
        <v>0</v>
      </c>
      <c r="BP100" s="49"/>
      <c r="BQ100" s="49"/>
      <c r="BR100" s="50">
        <f t="shared" si="46"/>
        <v>0</v>
      </c>
      <c r="BT100" s="49"/>
      <c r="BU100" s="49"/>
      <c r="BV100" s="50">
        <f t="shared" si="47"/>
        <v>0</v>
      </c>
      <c r="BX100" s="49"/>
      <c r="BY100" s="49"/>
      <c r="BZ100" s="50">
        <f t="shared" si="48"/>
        <v>0</v>
      </c>
      <c r="CB100" s="49"/>
      <c r="CC100" s="49"/>
      <c r="CD100" s="50">
        <f t="shared" si="49"/>
        <v>0</v>
      </c>
      <c r="CF100" s="49"/>
      <c r="CG100" s="49"/>
      <c r="CH100" s="50">
        <f t="shared" si="50"/>
        <v>0</v>
      </c>
      <c r="CJ100" s="49"/>
      <c r="CK100" s="49"/>
      <c r="CL100" s="50">
        <f t="shared" si="51"/>
        <v>0</v>
      </c>
      <c r="CN100" s="49"/>
      <c r="CO100" s="49"/>
      <c r="CP100" s="50">
        <f t="shared" si="52"/>
        <v>0</v>
      </c>
      <c r="CR100" s="49"/>
      <c r="CS100" s="49"/>
      <c r="CT100" s="50">
        <f t="shared" si="53"/>
        <v>0</v>
      </c>
      <c r="CV100" s="49"/>
      <c r="CW100" s="49"/>
      <c r="CX100" s="50">
        <f t="shared" si="54"/>
        <v>0</v>
      </c>
      <c r="CZ100" s="49"/>
      <c r="DA100" s="49"/>
      <c r="DB100" s="50">
        <f t="shared" si="55"/>
        <v>0</v>
      </c>
      <c r="DD100" s="49"/>
      <c r="DE100" s="49"/>
      <c r="DF100" s="50">
        <f t="shared" si="56"/>
        <v>0</v>
      </c>
      <c r="DH100" s="49"/>
      <c r="DI100" s="49"/>
      <c r="DJ100" s="50">
        <f t="shared" si="57"/>
        <v>0</v>
      </c>
      <c r="DL100" s="49"/>
      <c r="DM100" s="49"/>
      <c r="DN100" s="50">
        <f t="shared" si="58"/>
        <v>0</v>
      </c>
      <c r="DP100" s="49"/>
      <c r="DQ100" s="49"/>
      <c r="DR100" s="50">
        <f t="shared" si="59"/>
        <v>0</v>
      </c>
      <c r="DT100" s="49"/>
      <c r="DU100" s="49"/>
      <c r="DV100" s="50">
        <f t="shared" si="60"/>
        <v>0</v>
      </c>
      <c r="DX100" s="49"/>
      <c r="DY100" s="49"/>
      <c r="DZ100" s="50">
        <f t="shared" si="61"/>
        <v>0</v>
      </c>
      <c r="EB100" s="49">
        <f t="shared" si="62"/>
        <v>0</v>
      </c>
      <c r="EC100" s="49">
        <f t="shared" si="62"/>
        <v>0</v>
      </c>
      <c r="ED100" s="49">
        <f t="shared" si="62"/>
        <v>0</v>
      </c>
    </row>
    <row r="101" spans="2:134" ht="11" customHeight="1" x14ac:dyDescent="0.35">
      <c r="B101" s="4">
        <v>106621</v>
      </c>
      <c r="C101" s="14" t="s">
        <v>107</v>
      </c>
      <c r="D101" s="4">
        <v>12</v>
      </c>
      <c r="E101" s="5">
        <v>12</v>
      </c>
      <c r="F101" s="6">
        <v>468.865061078</v>
      </c>
      <c r="G101" s="1"/>
      <c r="H101" s="49"/>
      <c r="I101" s="49"/>
      <c r="J101" s="50">
        <f t="shared" si="63"/>
        <v>0</v>
      </c>
      <c r="K101" s="9"/>
      <c r="L101" s="49"/>
      <c r="M101" s="49"/>
      <c r="N101" s="50">
        <f t="shared" si="32"/>
        <v>0</v>
      </c>
      <c r="O101" s="46"/>
      <c r="P101" s="49"/>
      <c r="Q101" s="49"/>
      <c r="R101" s="50">
        <f t="shared" si="33"/>
        <v>0</v>
      </c>
      <c r="T101" s="49"/>
      <c r="U101" s="49"/>
      <c r="V101" s="50">
        <f t="shared" si="34"/>
        <v>0</v>
      </c>
      <c r="X101" s="49"/>
      <c r="Y101" s="49"/>
      <c r="Z101" s="50">
        <f t="shared" si="35"/>
        <v>0</v>
      </c>
      <c r="AB101" s="49"/>
      <c r="AC101" s="49"/>
      <c r="AD101" s="50">
        <f t="shared" si="36"/>
        <v>0</v>
      </c>
      <c r="AF101" s="49"/>
      <c r="AG101" s="49"/>
      <c r="AH101" s="50">
        <f t="shared" si="37"/>
        <v>0</v>
      </c>
      <c r="AJ101" s="49"/>
      <c r="AK101" s="49"/>
      <c r="AL101" s="50">
        <f t="shared" si="38"/>
        <v>0</v>
      </c>
      <c r="AN101" s="49"/>
      <c r="AO101" s="49"/>
      <c r="AP101" s="50">
        <f t="shared" si="39"/>
        <v>0</v>
      </c>
      <c r="AR101" s="49"/>
      <c r="AS101" s="49"/>
      <c r="AT101" s="50">
        <f t="shared" si="40"/>
        <v>0</v>
      </c>
      <c r="AV101" s="49"/>
      <c r="AW101" s="49"/>
      <c r="AX101" s="50">
        <f t="shared" si="41"/>
        <v>0</v>
      </c>
      <c r="AZ101" s="49"/>
      <c r="BA101" s="49"/>
      <c r="BB101" s="50">
        <f t="shared" si="42"/>
        <v>0</v>
      </c>
      <c r="BD101" s="49"/>
      <c r="BE101" s="49"/>
      <c r="BF101" s="50">
        <f t="shared" si="43"/>
        <v>0</v>
      </c>
      <c r="BH101" s="49"/>
      <c r="BI101" s="49"/>
      <c r="BJ101" s="50">
        <f t="shared" si="44"/>
        <v>0</v>
      </c>
      <c r="BL101" s="49"/>
      <c r="BM101" s="49"/>
      <c r="BN101" s="50">
        <f t="shared" si="45"/>
        <v>0</v>
      </c>
      <c r="BP101" s="49"/>
      <c r="BQ101" s="49"/>
      <c r="BR101" s="50">
        <f t="shared" si="46"/>
        <v>0</v>
      </c>
      <c r="BT101" s="49"/>
      <c r="BU101" s="49"/>
      <c r="BV101" s="50">
        <f t="shared" si="47"/>
        <v>0</v>
      </c>
      <c r="BX101" s="49"/>
      <c r="BY101" s="49"/>
      <c r="BZ101" s="50">
        <f t="shared" si="48"/>
        <v>0</v>
      </c>
      <c r="CB101" s="49"/>
      <c r="CC101" s="49"/>
      <c r="CD101" s="50">
        <f t="shared" si="49"/>
        <v>0</v>
      </c>
      <c r="CF101" s="49"/>
      <c r="CG101" s="49"/>
      <c r="CH101" s="50">
        <f t="shared" si="50"/>
        <v>0</v>
      </c>
      <c r="CJ101" s="49"/>
      <c r="CK101" s="49"/>
      <c r="CL101" s="50">
        <f t="shared" si="51"/>
        <v>0</v>
      </c>
      <c r="CN101" s="49"/>
      <c r="CO101" s="49"/>
      <c r="CP101" s="50">
        <f t="shared" si="52"/>
        <v>0</v>
      </c>
      <c r="CR101" s="49"/>
      <c r="CS101" s="49"/>
      <c r="CT101" s="50">
        <f t="shared" si="53"/>
        <v>0</v>
      </c>
      <c r="CV101" s="49"/>
      <c r="CW101" s="49"/>
      <c r="CX101" s="50">
        <f t="shared" si="54"/>
        <v>0</v>
      </c>
      <c r="CZ101" s="49"/>
      <c r="DA101" s="49"/>
      <c r="DB101" s="50">
        <f t="shared" si="55"/>
        <v>0</v>
      </c>
      <c r="DD101" s="49"/>
      <c r="DE101" s="49"/>
      <c r="DF101" s="50">
        <f t="shared" si="56"/>
        <v>0</v>
      </c>
      <c r="DH101" s="49"/>
      <c r="DI101" s="49"/>
      <c r="DJ101" s="50">
        <f t="shared" si="57"/>
        <v>0</v>
      </c>
      <c r="DL101" s="49"/>
      <c r="DM101" s="49"/>
      <c r="DN101" s="50">
        <f t="shared" si="58"/>
        <v>0</v>
      </c>
      <c r="DP101" s="49"/>
      <c r="DQ101" s="49"/>
      <c r="DR101" s="50">
        <f t="shared" si="59"/>
        <v>0</v>
      </c>
      <c r="DT101" s="49"/>
      <c r="DU101" s="49"/>
      <c r="DV101" s="50">
        <f t="shared" si="60"/>
        <v>0</v>
      </c>
      <c r="DX101" s="49"/>
      <c r="DY101" s="49"/>
      <c r="DZ101" s="50">
        <f t="shared" si="61"/>
        <v>0</v>
      </c>
      <c r="EB101" s="49">
        <f t="shared" si="62"/>
        <v>0</v>
      </c>
      <c r="EC101" s="49">
        <f t="shared" si="62"/>
        <v>0</v>
      </c>
      <c r="ED101" s="49">
        <f t="shared" si="62"/>
        <v>0</v>
      </c>
    </row>
    <row r="102" spans="2:134" ht="11" customHeight="1" x14ac:dyDescent="0.35">
      <c r="B102" s="4">
        <v>109016</v>
      </c>
      <c r="C102" s="14" t="s">
        <v>108</v>
      </c>
      <c r="D102" s="4">
        <v>30</v>
      </c>
      <c r="E102" s="5">
        <v>40</v>
      </c>
      <c r="F102" s="6">
        <f>81.08016*2</f>
        <v>162.16032000000001</v>
      </c>
      <c r="G102" s="1"/>
      <c r="H102" s="49"/>
      <c r="I102" s="49"/>
      <c r="J102" s="50">
        <f t="shared" si="63"/>
        <v>0</v>
      </c>
      <c r="K102" s="9"/>
      <c r="L102" s="49"/>
      <c r="M102" s="49"/>
      <c r="N102" s="50">
        <f t="shared" si="32"/>
        <v>0</v>
      </c>
      <c r="O102" s="46"/>
      <c r="P102" s="49"/>
      <c r="Q102" s="49"/>
      <c r="R102" s="50">
        <f t="shared" si="33"/>
        <v>0</v>
      </c>
      <c r="T102" s="49"/>
      <c r="U102" s="49"/>
      <c r="V102" s="50">
        <f t="shared" si="34"/>
        <v>0</v>
      </c>
      <c r="X102" s="49"/>
      <c r="Y102" s="49"/>
      <c r="Z102" s="50">
        <f t="shared" si="35"/>
        <v>0</v>
      </c>
      <c r="AB102" s="49"/>
      <c r="AC102" s="49"/>
      <c r="AD102" s="50">
        <f t="shared" si="36"/>
        <v>0</v>
      </c>
      <c r="AF102" s="49"/>
      <c r="AG102" s="49"/>
      <c r="AH102" s="50">
        <f t="shared" si="37"/>
        <v>0</v>
      </c>
      <c r="AJ102" s="49"/>
      <c r="AK102" s="49"/>
      <c r="AL102" s="50">
        <f t="shared" si="38"/>
        <v>0</v>
      </c>
      <c r="AN102" s="49"/>
      <c r="AO102" s="49"/>
      <c r="AP102" s="50">
        <f t="shared" si="39"/>
        <v>0</v>
      </c>
      <c r="AR102" s="49"/>
      <c r="AS102" s="49"/>
      <c r="AT102" s="50">
        <f t="shared" si="40"/>
        <v>0</v>
      </c>
      <c r="AV102" s="49"/>
      <c r="AW102" s="49"/>
      <c r="AX102" s="50">
        <f t="shared" si="41"/>
        <v>0</v>
      </c>
      <c r="AZ102" s="49"/>
      <c r="BA102" s="49"/>
      <c r="BB102" s="50">
        <f t="shared" si="42"/>
        <v>0</v>
      </c>
      <c r="BD102" s="49"/>
      <c r="BE102" s="49"/>
      <c r="BF102" s="50">
        <f t="shared" si="43"/>
        <v>0</v>
      </c>
      <c r="BH102" s="49"/>
      <c r="BI102" s="49"/>
      <c r="BJ102" s="50">
        <f t="shared" si="44"/>
        <v>0</v>
      </c>
      <c r="BL102" s="49"/>
      <c r="BM102" s="49"/>
      <c r="BN102" s="50">
        <f t="shared" si="45"/>
        <v>0</v>
      </c>
      <c r="BP102" s="49"/>
      <c r="BQ102" s="49"/>
      <c r="BR102" s="50">
        <f t="shared" si="46"/>
        <v>0</v>
      </c>
      <c r="BT102" s="49"/>
      <c r="BU102" s="49"/>
      <c r="BV102" s="50">
        <f t="shared" si="47"/>
        <v>0</v>
      </c>
      <c r="BX102" s="49"/>
      <c r="BY102" s="49"/>
      <c r="BZ102" s="50">
        <f t="shared" si="48"/>
        <v>0</v>
      </c>
      <c r="CB102" s="49"/>
      <c r="CC102" s="49"/>
      <c r="CD102" s="50">
        <f t="shared" si="49"/>
        <v>0</v>
      </c>
      <c r="CF102" s="49"/>
      <c r="CG102" s="49"/>
      <c r="CH102" s="50">
        <f t="shared" si="50"/>
        <v>0</v>
      </c>
      <c r="CJ102" s="49"/>
      <c r="CK102" s="49"/>
      <c r="CL102" s="50">
        <f t="shared" si="51"/>
        <v>0</v>
      </c>
      <c r="CN102" s="49"/>
      <c r="CO102" s="49"/>
      <c r="CP102" s="50">
        <f t="shared" si="52"/>
        <v>0</v>
      </c>
      <c r="CR102" s="49"/>
      <c r="CS102" s="49"/>
      <c r="CT102" s="50">
        <f t="shared" si="53"/>
        <v>0</v>
      </c>
      <c r="CV102" s="49"/>
      <c r="CW102" s="49"/>
      <c r="CX102" s="50">
        <f t="shared" si="54"/>
        <v>0</v>
      </c>
      <c r="CZ102" s="49"/>
      <c r="DA102" s="49"/>
      <c r="DB102" s="50">
        <f t="shared" si="55"/>
        <v>0</v>
      </c>
      <c r="DD102" s="49"/>
      <c r="DE102" s="49"/>
      <c r="DF102" s="50">
        <f t="shared" si="56"/>
        <v>0</v>
      </c>
      <c r="DH102" s="49"/>
      <c r="DI102" s="49"/>
      <c r="DJ102" s="50">
        <f t="shared" si="57"/>
        <v>0</v>
      </c>
      <c r="DL102" s="49"/>
      <c r="DM102" s="49"/>
      <c r="DN102" s="50">
        <f t="shared" si="58"/>
        <v>0</v>
      </c>
      <c r="DP102" s="49"/>
      <c r="DQ102" s="49"/>
      <c r="DR102" s="50">
        <f t="shared" si="59"/>
        <v>0</v>
      </c>
      <c r="DT102" s="49"/>
      <c r="DU102" s="49"/>
      <c r="DV102" s="50">
        <f t="shared" si="60"/>
        <v>0</v>
      </c>
      <c r="DX102" s="49"/>
      <c r="DY102" s="49"/>
      <c r="DZ102" s="50">
        <f t="shared" si="61"/>
        <v>0</v>
      </c>
      <c r="EB102" s="49">
        <f t="shared" si="62"/>
        <v>0</v>
      </c>
      <c r="EC102" s="49">
        <f t="shared" si="62"/>
        <v>0</v>
      </c>
      <c r="ED102" s="49">
        <f t="shared" si="62"/>
        <v>0</v>
      </c>
    </row>
    <row r="103" spans="2:134" ht="11" customHeight="1" x14ac:dyDescent="0.35">
      <c r="B103" s="4">
        <v>101878</v>
      </c>
      <c r="C103" s="14" t="s">
        <v>109</v>
      </c>
      <c r="D103" s="4">
        <v>24</v>
      </c>
      <c r="E103" s="5">
        <v>24</v>
      </c>
      <c r="F103" s="6">
        <v>189.29879107400001</v>
      </c>
      <c r="G103" s="1"/>
      <c r="H103" s="49"/>
      <c r="I103" s="49"/>
      <c r="J103" s="50">
        <f t="shared" si="63"/>
        <v>0</v>
      </c>
      <c r="K103" s="9"/>
      <c r="L103" s="49"/>
      <c r="M103" s="49"/>
      <c r="N103" s="50">
        <f t="shared" si="32"/>
        <v>0</v>
      </c>
      <c r="O103" s="46"/>
      <c r="P103" s="49"/>
      <c r="Q103" s="49"/>
      <c r="R103" s="50">
        <f t="shared" si="33"/>
        <v>0</v>
      </c>
      <c r="T103" s="49"/>
      <c r="U103" s="49"/>
      <c r="V103" s="50">
        <f t="shared" si="34"/>
        <v>0</v>
      </c>
      <c r="X103" s="49"/>
      <c r="Y103" s="49"/>
      <c r="Z103" s="50">
        <f t="shared" si="35"/>
        <v>0</v>
      </c>
      <c r="AB103" s="49"/>
      <c r="AC103" s="49"/>
      <c r="AD103" s="50">
        <f t="shared" si="36"/>
        <v>0</v>
      </c>
      <c r="AF103" s="49"/>
      <c r="AG103" s="49"/>
      <c r="AH103" s="50">
        <f t="shared" si="37"/>
        <v>0</v>
      </c>
      <c r="AJ103" s="49"/>
      <c r="AK103" s="49"/>
      <c r="AL103" s="50">
        <f t="shared" si="38"/>
        <v>0</v>
      </c>
      <c r="AN103" s="49"/>
      <c r="AO103" s="49"/>
      <c r="AP103" s="50">
        <f t="shared" si="39"/>
        <v>0</v>
      </c>
      <c r="AR103" s="49"/>
      <c r="AS103" s="49"/>
      <c r="AT103" s="50">
        <f t="shared" si="40"/>
        <v>0</v>
      </c>
      <c r="AV103" s="49"/>
      <c r="AW103" s="49"/>
      <c r="AX103" s="50">
        <f t="shared" si="41"/>
        <v>0</v>
      </c>
      <c r="AZ103" s="49"/>
      <c r="BA103" s="49"/>
      <c r="BB103" s="50">
        <f t="shared" si="42"/>
        <v>0</v>
      </c>
      <c r="BD103" s="49"/>
      <c r="BE103" s="49"/>
      <c r="BF103" s="50">
        <f t="shared" si="43"/>
        <v>0</v>
      </c>
      <c r="BH103" s="49"/>
      <c r="BI103" s="49"/>
      <c r="BJ103" s="50">
        <f t="shared" si="44"/>
        <v>0</v>
      </c>
      <c r="BL103" s="49"/>
      <c r="BM103" s="49"/>
      <c r="BN103" s="50">
        <f t="shared" si="45"/>
        <v>0</v>
      </c>
      <c r="BP103" s="49"/>
      <c r="BQ103" s="49"/>
      <c r="BR103" s="50">
        <f t="shared" si="46"/>
        <v>0</v>
      </c>
      <c r="BT103" s="49"/>
      <c r="BU103" s="49"/>
      <c r="BV103" s="50">
        <f t="shared" si="47"/>
        <v>0</v>
      </c>
      <c r="BX103" s="49"/>
      <c r="BY103" s="49"/>
      <c r="BZ103" s="50">
        <f t="shared" si="48"/>
        <v>0</v>
      </c>
      <c r="CB103" s="49"/>
      <c r="CC103" s="49"/>
      <c r="CD103" s="50">
        <f t="shared" si="49"/>
        <v>0</v>
      </c>
      <c r="CF103" s="49"/>
      <c r="CG103" s="49"/>
      <c r="CH103" s="50">
        <f t="shared" si="50"/>
        <v>0</v>
      </c>
      <c r="CJ103" s="49"/>
      <c r="CK103" s="49"/>
      <c r="CL103" s="50">
        <f t="shared" si="51"/>
        <v>0</v>
      </c>
      <c r="CN103" s="49"/>
      <c r="CO103" s="49"/>
      <c r="CP103" s="50">
        <f t="shared" si="52"/>
        <v>0</v>
      </c>
      <c r="CR103" s="49"/>
      <c r="CS103" s="49"/>
      <c r="CT103" s="50">
        <f t="shared" si="53"/>
        <v>0</v>
      </c>
      <c r="CV103" s="49"/>
      <c r="CW103" s="49"/>
      <c r="CX103" s="50">
        <f t="shared" si="54"/>
        <v>0</v>
      </c>
      <c r="CZ103" s="49"/>
      <c r="DA103" s="49"/>
      <c r="DB103" s="50">
        <f t="shared" si="55"/>
        <v>0</v>
      </c>
      <c r="DD103" s="49"/>
      <c r="DE103" s="49"/>
      <c r="DF103" s="50">
        <f t="shared" si="56"/>
        <v>0</v>
      </c>
      <c r="DH103" s="49"/>
      <c r="DI103" s="49"/>
      <c r="DJ103" s="50">
        <f t="shared" si="57"/>
        <v>0</v>
      </c>
      <c r="DL103" s="49"/>
      <c r="DM103" s="49"/>
      <c r="DN103" s="50">
        <f t="shared" si="58"/>
        <v>0</v>
      </c>
      <c r="DP103" s="49"/>
      <c r="DQ103" s="49"/>
      <c r="DR103" s="50">
        <f t="shared" si="59"/>
        <v>0</v>
      </c>
      <c r="DT103" s="49"/>
      <c r="DU103" s="49"/>
      <c r="DV103" s="50">
        <f t="shared" si="60"/>
        <v>0</v>
      </c>
      <c r="DX103" s="49"/>
      <c r="DY103" s="49"/>
      <c r="DZ103" s="50">
        <f t="shared" si="61"/>
        <v>0</v>
      </c>
      <c r="EB103" s="49">
        <f t="shared" si="62"/>
        <v>0</v>
      </c>
      <c r="EC103" s="49">
        <f t="shared" si="62"/>
        <v>0</v>
      </c>
      <c r="ED103" s="49">
        <f t="shared" si="62"/>
        <v>0</v>
      </c>
    </row>
    <row r="104" spans="2:134" ht="11" customHeight="1" x14ac:dyDescent="0.35">
      <c r="B104" s="4">
        <v>102932</v>
      </c>
      <c r="C104" s="14" t="s">
        <v>110</v>
      </c>
      <c r="D104" s="4">
        <v>75</v>
      </c>
      <c r="E104" s="5">
        <v>18</v>
      </c>
      <c r="F104" s="6">
        <v>315</v>
      </c>
      <c r="G104" s="1"/>
      <c r="H104" s="49"/>
      <c r="I104" s="49"/>
      <c r="J104" s="50">
        <f t="shared" si="63"/>
        <v>0</v>
      </c>
      <c r="K104" s="9"/>
      <c r="L104" s="49"/>
      <c r="M104" s="49"/>
      <c r="N104" s="50">
        <f t="shared" si="32"/>
        <v>0</v>
      </c>
      <c r="O104" s="46"/>
      <c r="P104" s="49"/>
      <c r="Q104" s="49"/>
      <c r="R104" s="50">
        <f t="shared" si="33"/>
        <v>0</v>
      </c>
      <c r="T104" s="49"/>
      <c r="U104" s="49"/>
      <c r="V104" s="50">
        <f t="shared" si="34"/>
        <v>0</v>
      </c>
      <c r="X104" s="49"/>
      <c r="Y104" s="49"/>
      <c r="Z104" s="50">
        <f t="shared" si="35"/>
        <v>0</v>
      </c>
      <c r="AB104" s="49"/>
      <c r="AC104" s="49"/>
      <c r="AD104" s="50">
        <f t="shared" si="36"/>
        <v>0</v>
      </c>
      <c r="AF104" s="49"/>
      <c r="AG104" s="49"/>
      <c r="AH104" s="50">
        <f t="shared" si="37"/>
        <v>0</v>
      </c>
      <c r="AJ104" s="49"/>
      <c r="AK104" s="49"/>
      <c r="AL104" s="50">
        <f t="shared" si="38"/>
        <v>0</v>
      </c>
      <c r="AN104" s="49"/>
      <c r="AO104" s="49"/>
      <c r="AP104" s="50">
        <f t="shared" si="39"/>
        <v>0</v>
      </c>
      <c r="AR104" s="49"/>
      <c r="AS104" s="49"/>
      <c r="AT104" s="50">
        <f t="shared" si="40"/>
        <v>0</v>
      </c>
      <c r="AV104" s="49"/>
      <c r="AW104" s="49"/>
      <c r="AX104" s="50">
        <f t="shared" si="41"/>
        <v>0</v>
      </c>
      <c r="AZ104" s="49"/>
      <c r="BA104" s="49"/>
      <c r="BB104" s="50">
        <f t="shared" si="42"/>
        <v>0</v>
      </c>
      <c r="BD104" s="49"/>
      <c r="BE104" s="49"/>
      <c r="BF104" s="50">
        <f t="shared" si="43"/>
        <v>0</v>
      </c>
      <c r="BH104" s="49"/>
      <c r="BI104" s="49"/>
      <c r="BJ104" s="50">
        <f t="shared" si="44"/>
        <v>0</v>
      </c>
      <c r="BL104" s="49"/>
      <c r="BM104" s="49"/>
      <c r="BN104" s="50">
        <f t="shared" si="45"/>
        <v>0</v>
      </c>
      <c r="BP104" s="49"/>
      <c r="BQ104" s="49"/>
      <c r="BR104" s="50">
        <f t="shared" si="46"/>
        <v>0</v>
      </c>
      <c r="BT104" s="49"/>
      <c r="BU104" s="49"/>
      <c r="BV104" s="50">
        <f t="shared" si="47"/>
        <v>0</v>
      </c>
      <c r="BX104" s="49"/>
      <c r="BY104" s="49"/>
      <c r="BZ104" s="50">
        <f t="shared" si="48"/>
        <v>0</v>
      </c>
      <c r="CB104" s="49"/>
      <c r="CC104" s="49"/>
      <c r="CD104" s="50">
        <f t="shared" si="49"/>
        <v>0</v>
      </c>
      <c r="CF104" s="49"/>
      <c r="CG104" s="49"/>
      <c r="CH104" s="50">
        <f t="shared" si="50"/>
        <v>0</v>
      </c>
      <c r="CJ104" s="49"/>
      <c r="CK104" s="49"/>
      <c r="CL104" s="50">
        <f t="shared" si="51"/>
        <v>0</v>
      </c>
      <c r="CN104" s="49"/>
      <c r="CO104" s="49"/>
      <c r="CP104" s="50">
        <f t="shared" si="52"/>
        <v>0</v>
      </c>
      <c r="CR104" s="49"/>
      <c r="CS104" s="49"/>
      <c r="CT104" s="50">
        <f t="shared" si="53"/>
        <v>0</v>
      </c>
      <c r="CV104" s="49"/>
      <c r="CW104" s="49"/>
      <c r="CX104" s="50">
        <f t="shared" si="54"/>
        <v>0</v>
      </c>
      <c r="CZ104" s="49"/>
      <c r="DA104" s="49"/>
      <c r="DB104" s="50">
        <f t="shared" si="55"/>
        <v>0</v>
      </c>
      <c r="DD104" s="49"/>
      <c r="DE104" s="49"/>
      <c r="DF104" s="50">
        <f t="shared" si="56"/>
        <v>0</v>
      </c>
      <c r="DH104" s="49"/>
      <c r="DI104" s="49"/>
      <c r="DJ104" s="50">
        <f t="shared" si="57"/>
        <v>0</v>
      </c>
      <c r="DL104" s="49"/>
      <c r="DM104" s="49"/>
      <c r="DN104" s="50">
        <f t="shared" si="58"/>
        <v>0</v>
      </c>
      <c r="DP104" s="49"/>
      <c r="DQ104" s="49"/>
      <c r="DR104" s="50">
        <f t="shared" si="59"/>
        <v>0</v>
      </c>
      <c r="DT104" s="49"/>
      <c r="DU104" s="49"/>
      <c r="DV104" s="50">
        <f t="shared" si="60"/>
        <v>0</v>
      </c>
      <c r="DX104" s="49"/>
      <c r="DY104" s="49"/>
      <c r="DZ104" s="50">
        <f t="shared" si="61"/>
        <v>0</v>
      </c>
      <c r="EB104" s="49">
        <f t="shared" si="62"/>
        <v>0</v>
      </c>
      <c r="EC104" s="49">
        <f t="shared" si="62"/>
        <v>0</v>
      </c>
      <c r="ED104" s="49">
        <f t="shared" si="62"/>
        <v>0</v>
      </c>
    </row>
    <row r="105" spans="2:134" ht="11" customHeight="1" x14ac:dyDescent="0.35">
      <c r="B105" s="4">
        <v>106531</v>
      </c>
      <c r="C105" s="14" t="s">
        <v>111</v>
      </c>
      <c r="D105" s="4">
        <v>36</v>
      </c>
      <c r="E105" s="5">
        <v>18</v>
      </c>
      <c r="F105" s="6">
        <v>189.29879107400001</v>
      </c>
      <c r="G105" s="1"/>
      <c r="H105" s="49"/>
      <c r="I105" s="49"/>
      <c r="J105" s="50">
        <f t="shared" si="63"/>
        <v>0</v>
      </c>
      <c r="K105" s="9"/>
      <c r="L105" s="49"/>
      <c r="M105" s="49"/>
      <c r="N105" s="50">
        <f t="shared" si="32"/>
        <v>0</v>
      </c>
      <c r="O105" s="46"/>
      <c r="P105" s="49"/>
      <c r="Q105" s="49"/>
      <c r="R105" s="50">
        <f t="shared" si="33"/>
        <v>0</v>
      </c>
      <c r="T105" s="49"/>
      <c r="U105" s="49"/>
      <c r="V105" s="50">
        <f t="shared" si="34"/>
        <v>0</v>
      </c>
      <c r="X105" s="49"/>
      <c r="Y105" s="49"/>
      <c r="Z105" s="50">
        <f t="shared" si="35"/>
        <v>0</v>
      </c>
      <c r="AB105" s="49"/>
      <c r="AC105" s="49"/>
      <c r="AD105" s="50">
        <f t="shared" si="36"/>
        <v>0</v>
      </c>
      <c r="AF105" s="49"/>
      <c r="AG105" s="49"/>
      <c r="AH105" s="50">
        <f t="shared" si="37"/>
        <v>0</v>
      </c>
      <c r="AJ105" s="49"/>
      <c r="AK105" s="49"/>
      <c r="AL105" s="50">
        <f t="shared" si="38"/>
        <v>0</v>
      </c>
      <c r="AN105" s="49"/>
      <c r="AO105" s="49"/>
      <c r="AP105" s="50">
        <f t="shared" si="39"/>
        <v>0</v>
      </c>
      <c r="AR105" s="49"/>
      <c r="AS105" s="49"/>
      <c r="AT105" s="50">
        <f t="shared" si="40"/>
        <v>0</v>
      </c>
      <c r="AV105" s="49"/>
      <c r="AW105" s="49"/>
      <c r="AX105" s="50">
        <f t="shared" si="41"/>
        <v>0</v>
      </c>
      <c r="AZ105" s="49"/>
      <c r="BA105" s="49"/>
      <c r="BB105" s="50">
        <f t="shared" si="42"/>
        <v>0</v>
      </c>
      <c r="BD105" s="49"/>
      <c r="BE105" s="49"/>
      <c r="BF105" s="50">
        <f t="shared" si="43"/>
        <v>0</v>
      </c>
      <c r="BH105" s="49"/>
      <c r="BI105" s="49"/>
      <c r="BJ105" s="50">
        <f t="shared" si="44"/>
        <v>0</v>
      </c>
      <c r="BL105" s="49"/>
      <c r="BM105" s="49"/>
      <c r="BN105" s="50">
        <f t="shared" si="45"/>
        <v>0</v>
      </c>
      <c r="BP105" s="49"/>
      <c r="BQ105" s="49"/>
      <c r="BR105" s="50">
        <f t="shared" si="46"/>
        <v>0</v>
      </c>
      <c r="BT105" s="49"/>
      <c r="BU105" s="49"/>
      <c r="BV105" s="50">
        <f t="shared" si="47"/>
        <v>0</v>
      </c>
      <c r="BX105" s="49"/>
      <c r="BY105" s="49"/>
      <c r="BZ105" s="50">
        <f t="shared" si="48"/>
        <v>0</v>
      </c>
      <c r="CB105" s="49"/>
      <c r="CC105" s="49"/>
      <c r="CD105" s="50">
        <f t="shared" si="49"/>
        <v>0</v>
      </c>
      <c r="CF105" s="49"/>
      <c r="CG105" s="49"/>
      <c r="CH105" s="50">
        <f t="shared" si="50"/>
        <v>0</v>
      </c>
      <c r="CJ105" s="49"/>
      <c r="CK105" s="49"/>
      <c r="CL105" s="50">
        <f t="shared" si="51"/>
        <v>0</v>
      </c>
      <c r="CN105" s="49"/>
      <c r="CO105" s="49"/>
      <c r="CP105" s="50">
        <f t="shared" si="52"/>
        <v>0</v>
      </c>
      <c r="CR105" s="49"/>
      <c r="CS105" s="49"/>
      <c r="CT105" s="50">
        <f t="shared" si="53"/>
        <v>0</v>
      </c>
      <c r="CV105" s="49"/>
      <c r="CW105" s="49"/>
      <c r="CX105" s="50">
        <f t="shared" si="54"/>
        <v>0</v>
      </c>
      <c r="CZ105" s="49"/>
      <c r="DA105" s="49"/>
      <c r="DB105" s="50">
        <f t="shared" si="55"/>
        <v>0</v>
      </c>
      <c r="DD105" s="49"/>
      <c r="DE105" s="49"/>
      <c r="DF105" s="50">
        <f t="shared" si="56"/>
        <v>0</v>
      </c>
      <c r="DH105" s="49"/>
      <c r="DI105" s="49"/>
      <c r="DJ105" s="50">
        <f t="shared" si="57"/>
        <v>0</v>
      </c>
      <c r="DL105" s="49"/>
      <c r="DM105" s="49"/>
      <c r="DN105" s="50">
        <f t="shared" si="58"/>
        <v>0</v>
      </c>
      <c r="DP105" s="49"/>
      <c r="DQ105" s="49"/>
      <c r="DR105" s="50">
        <f t="shared" si="59"/>
        <v>0</v>
      </c>
      <c r="DT105" s="49"/>
      <c r="DU105" s="49"/>
      <c r="DV105" s="50">
        <f t="shared" si="60"/>
        <v>0</v>
      </c>
      <c r="DX105" s="49"/>
      <c r="DY105" s="49"/>
      <c r="DZ105" s="50">
        <f t="shared" si="61"/>
        <v>0</v>
      </c>
      <c r="EB105" s="49">
        <f t="shared" si="62"/>
        <v>0</v>
      </c>
      <c r="EC105" s="49">
        <f t="shared" si="62"/>
        <v>0</v>
      </c>
      <c r="ED105" s="49">
        <f t="shared" si="62"/>
        <v>0</v>
      </c>
    </row>
    <row r="106" spans="2:134" ht="11" customHeight="1" x14ac:dyDescent="0.35">
      <c r="B106" s="4">
        <v>109410</v>
      </c>
      <c r="C106" s="14" t="s">
        <v>112</v>
      </c>
      <c r="D106" s="4">
        <v>20</v>
      </c>
      <c r="E106" s="5">
        <v>18</v>
      </c>
      <c r="F106" s="6">
        <v>20.277777</v>
      </c>
      <c r="G106" s="1"/>
      <c r="H106" s="49"/>
      <c r="I106" s="49"/>
      <c r="J106" s="50">
        <f t="shared" si="63"/>
        <v>0</v>
      </c>
      <c r="K106" s="9"/>
      <c r="L106" s="49"/>
      <c r="M106" s="49"/>
      <c r="N106" s="50">
        <f t="shared" si="32"/>
        <v>0</v>
      </c>
      <c r="O106" s="46"/>
      <c r="P106" s="49"/>
      <c r="Q106" s="49"/>
      <c r="R106" s="50">
        <f t="shared" si="33"/>
        <v>0</v>
      </c>
      <c r="T106" s="49"/>
      <c r="U106" s="49"/>
      <c r="V106" s="50">
        <f t="shared" si="34"/>
        <v>0</v>
      </c>
      <c r="X106" s="49"/>
      <c r="Y106" s="49"/>
      <c r="Z106" s="50">
        <f t="shared" si="35"/>
        <v>0</v>
      </c>
      <c r="AB106" s="49"/>
      <c r="AC106" s="49"/>
      <c r="AD106" s="50">
        <f t="shared" si="36"/>
        <v>0</v>
      </c>
      <c r="AF106" s="49"/>
      <c r="AG106" s="49"/>
      <c r="AH106" s="50">
        <f t="shared" si="37"/>
        <v>0</v>
      </c>
      <c r="AJ106" s="49"/>
      <c r="AK106" s="49"/>
      <c r="AL106" s="50">
        <f t="shared" si="38"/>
        <v>0</v>
      </c>
      <c r="AN106" s="49"/>
      <c r="AO106" s="49"/>
      <c r="AP106" s="50">
        <f t="shared" si="39"/>
        <v>0</v>
      </c>
      <c r="AR106" s="49"/>
      <c r="AS106" s="49"/>
      <c r="AT106" s="50">
        <f t="shared" si="40"/>
        <v>0</v>
      </c>
      <c r="AV106" s="49"/>
      <c r="AW106" s="49"/>
      <c r="AX106" s="50">
        <f t="shared" si="41"/>
        <v>0</v>
      </c>
      <c r="AZ106" s="49"/>
      <c r="BA106" s="49"/>
      <c r="BB106" s="50">
        <f t="shared" si="42"/>
        <v>0</v>
      </c>
      <c r="BD106" s="49"/>
      <c r="BE106" s="49"/>
      <c r="BF106" s="50">
        <f t="shared" si="43"/>
        <v>0</v>
      </c>
      <c r="BH106" s="49"/>
      <c r="BI106" s="49"/>
      <c r="BJ106" s="50">
        <f t="shared" si="44"/>
        <v>0</v>
      </c>
      <c r="BL106" s="49"/>
      <c r="BM106" s="49"/>
      <c r="BN106" s="50">
        <f t="shared" si="45"/>
        <v>0</v>
      </c>
      <c r="BP106" s="49"/>
      <c r="BQ106" s="49"/>
      <c r="BR106" s="50">
        <f t="shared" si="46"/>
        <v>0</v>
      </c>
      <c r="BT106" s="49"/>
      <c r="BU106" s="49"/>
      <c r="BV106" s="50">
        <f t="shared" si="47"/>
        <v>0</v>
      </c>
      <c r="BX106" s="49"/>
      <c r="BY106" s="49"/>
      <c r="BZ106" s="50">
        <f t="shared" si="48"/>
        <v>0</v>
      </c>
      <c r="CB106" s="49"/>
      <c r="CC106" s="49"/>
      <c r="CD106" s="50">
        <f t="shared" si="49"/>
        <v>0</v>
      </c>
      <c r="CF106" s="49"/>
      <c r="CG106" s="49"/>
      <c r="CH106" s="50">
        <f t="shared" si="50"/>
        <v>0</v>
      </c>
      <c r="CJ106" s="49"/>
      <c r="CK106" s="49"/>
      <c r="CL106" s="50">
        <f t="shared" si="51"/>
        <v>0</v>
      </c>
      <c r="CN106" s="49"/>
      <c r="CO106" s="49"/>
      <c r="CP106" s="50">
        <f t="shared" si="52"/>
        <v>0</v>
      </c>
      <c r="CR106" s="49"/>
      <c r="CS106" s="49"/>
      <c r="CT106" s="50">
        <f t="shared" si="53"/>
        <v>0</v>
      </c>
      <c r="CV106" s="49"/>
      <c r="CW106" s="49"/>
      <c r="CX106" s="50">
        <f t="shared" si="54"/>
        <v>0</v>
      </c>
      <c r="CZ106" s="49"/>
      <c r="DA106" s="49"/>
      <c r="DB106" s="50">
        <f t="shared" si="55"/>
        <v>0</v>
      </c>
      <c r="DD106" s="49"/>
      <c r="DE106" s="49"/>
      <c r="DF106" s="50">
        <f t="shared" si="56"/>
        <v>0</v>
      </c>
      <c r="DH106" s="49"/>
      <c r="DI106" s="49"/>
      <c r="DJ106" s="50">
        <f t="shared" si="57"/>
        <v>0</v>
      </c>
      <c r="DL106" s="49"/>
      <c r="DM106" s="49"/>
      <c r="DN106" s="50">
        <f t="shared" si="58"/>
        <v>0</v>
      </c>
      <c r="DP106" s="49"/>
      <c r="DQ106" s="49"/>
      <c r="DR106" s="50">
        <f t="shared" si="59"/>
        <v>0</v>
      </c>
      <c r="DT106" s="49"/>
      <c r="DU106" s="49"/>
      <c r="DV106" s="50">
        <f t="shared" si="60"/>
        <v>0</v>
      </c>
      <c r="DX106" s="49"/>
      <c r="DY106" s="49"/>
      <c r="DZ106" s="50">
        <f t="shared" si="61"/>
        <v>0</v>
      </c>
      <c r="EB106" s="49">
        <f t="shared" si="62"/>
        <v>0</v>
      </c>
      <c r="EC106" s="49">
        <f t="shared" si="62"/>
        <v>0</v>
      </c>
      <c r="ED106" s="49">
        <f t="shared" si="62"/>
        <v>0</v>
      </c>
    </row>
    <row r="107" spans="2:134" ht="11" customHeight="1" x14ac:dyDescent="0.35">
      <c r="B107" s="4" t="s">
        <v>113</v>
      </c>
      <c r="C107" s="14" t="s">
        <v>114</v>
      </c>
      <c r="D107" s="4">
        <v>6</v>
      </c>
      <c r="E107" s="5">
        <v>12</v>
      </c>
      <c r="F107" s="6">
        <v>484.75580000000002</v>
      </c>
      <c r="G107" s="1"/>
      <c r="H107" s="49"/>
      <c r="I107" s="49"/>
      <c r="J107" s="50">
        <f t="shared" si="63"/>
        <v>0</v>
      </c>
      <c r="K107" s="9"/>
      <c r="L107" s="49"/>
      <c r="M107" s="49"/>
      <c r="N107" s="50">
        <f t="shared" si="32"/>
        <v>0</v>
      </c>
      <c r="O107" s="46"/>
      <c r="P107" s="49"/>
      <c r="Q107" s="49"/>
      <c r="R107" s="50">
        <f t="shared" si="33"/>
        <v>0</v>
      </c>
      <c r="T107" s="49"/>
      <c r="U107" s="49"/>
      <c r="V107" s="50">
        <f t="shared" si="34"/>
        <v>0</v>
      </c>
      <c r="X107" s="49"/>
      <c r="Y107" s="49"/>
      <c r="Z107" s="50">
        <f t="shared" si="35"/>
        <v>0</v>
      </c>
      <c r="AB107" s="49"/>
      <c r="AC107" s="49"/>
      <c r="AD107" s="50">
        <f t="shared" si="36"/>
        <v>0</v>
      </c>
      <c r="AF107" s="49"/>
      <c r="AG107" s="49"/>
      <c r="AH107" s="50">
        <f t="shared" si="37"/>
        <v>0</v>
      </c>
      <c r="AJ107" s="49"/>
      <c r="AK107" s="49"/>
      <c r="AL107" s="50">
        <f t="shared" si="38"/>
        <v>0</v>
      </c>
      <c r="AN107" s="49"/>
      <c r="AO107" s="49"/>
      <c r="AP107" s="50">
        <f t="shared" si="39"/>
        <v>0</v>
      </c>
      <c r="AR107" s="49"/>
      <c r="AS107" s="49"/>
      <c r="AT107" s="50">
        <f t="shared" si="40"/>
        <v>0</v>
      </c>
      <c r="AV107" s="49"/>
      <c r="AW107" s="49"/>
      <c r="AX107" s="50">
        <f t="shared" si="41"/>
        <v>0</v>
      </c>
      <c r="AZ107" s="49"/>
      <c r="BA107" s="49"/>
      <c r="BB107" s="50">
        <f t="shared" si="42"/>
        <v>0</v>
      </c>
      <c r="BD107" s="49"/>
      <c r="BE107" s="49"/>
      <c r="BF107" s="50">
        <f t="shared" si="43"/>
        <v>0</v>
      </c>
      <c r="BH107" s="49"/>
      <c r="BI107" s="49"/>
      <c r="BJ107" s="50">
        <f t="shared" si="44"/>
        <v>0</v>
      </c>
      <c r="BL107" s="49"/>
      <c r="BM107" s="49"/>
      <c r="BN107" s="50">
        <f t="shared" si="45"/>
        <v>0</v>
      </c>
      <c r="BP107" s="49"/>
      <c r="BQ107" s="49"/>
      <c r="BR107" s="50">
        <f t="shared" si="46"/>
        <v>0</v>
      </c>
      <c r="BT107" s="49"/>
      <c r="BU107" s="49"/>
      <c r="BV107" s="50">
        <f t="shared" si="47"/>
        <v>0</v>
      </c>
      <c r="BX107" s="49"/>
      <c r="BY107" s="49"/>
      <c r="BZ107" s="50">
        <f t="shared" si="48"/>
        <v>0</v>
      </c>
      <c r="CB107" s="49"/>
      <c r="CC107" s="49"/>
      <c r="CD107" s="50">
        <f t="shared" si="49"/>
        <v>0</v>
      </c>
      <c r="CF107" s="49"/>
      <c r="CG107" s="49"/>
      <c r="CH107" s="50">
        <f t="shared" si="50"/>
        <v>0</v>
      </c>
      <c r="CJ107" s="49"/>
      <c r="CK107" s="49"/>
      <c r="CL107" s="50">
        <f t="shared" si="51"/>
        <v>0</v>
      </c>
      <c r="CN107" s="49"/>
      <c r="CO107" s="49"/>
      <c r="CP107" s="50">
        <f t="shared" si="52"/>
        <v>0</v>
      </c>
      <c r="CR107" s="49"/>
      <c r="CS107" s="49"/>
      <c r="CT107" s="50">
        <f t="shared" si="53"/>
        <v>0</v>
      </c>
      <c r="CV107" s="49"/>
      <c r="CW107" s="49"/>
      <c r="CX107" s="50">
        <f t="shared" si="54"/>
        <v>0</v>
      </c>
      <c r="CZ107" s="49"/>
      <c r="DA107" s="49"/>
      <c r="DB107" s="50">
        <f t="shared" si="55"/>
        <v>0</v>
      </c>
      <c r="DD107" s="49"/>
      <c r="DE107" s="49"/>
      <c r="DF107" s="50">
        <f t="shared" si="56"/>
        <v>0</v>
      </c>
      <c r="DH107" s="49"/>
      <c r="DI107" s="49"/>
      <c r="DJ107" s="50">
        <f t="shared" si="57"/>
        <v>0</v>
      </c>
      <c r="DL107" s="49"/>
      <c r="DM107" s="49"/>
      <c r="DN107" s="50">
        <f t="shared" si="58"/>
        <v>0</v>
      </c>
      <c r="DP107" s="49"/>
      <c r="DQ107" s="49"/>
      <c r="DR107" s="50">
        <f t="shared" si="59"/>
        <v>0</v>
      </c>
      <c r="DT107" s="49"/>
      <c r="DU107" s="49"/>
      <c r="DV107" s="50">
        <f t="shared" si="60"/>
        <v>0</v>
      </c>
      <c r="DX107" s="49"/>
      <c r="DY107" s="49"/>
      <c r="DZ107" s="50">
        <f t="shared" si="61"/>
        <v>0</v>
      </c>
      <c r="EB107" s="49">
        <f t="shared" si="62"/>
        <v>0</v>
      </c>
      <c r="EC107" s="49">
        <f t="shared" si="62"/>
        <v>0</v>
      </c>
      <c r="ED107" s="49">
        <f t="shared" si="62"/>
        <v>0</v>
      </c>
    </row>
    <row r="108" spans="2:134" ht="11" customHeight="1" x14ac:dyDescent="0.35">
      <c r="B108" s="4">
        <v>0</v>
      </c>
      <c r="C108" s="14" t="s">
        <v>115</v>
      </c>
      <c r="D108" s="4">
        <v>50</v>
      </c>
      <c r="E108" s="5">
        <v>18</v>
      </c>
      <c r="F108" s="6">
        <v>198.24524392000001</v>
      </c>
      <c r="G108" s="1"/>
      <c r="H108" s="49"/>
      <c r="I108" s="49"/>
      <c r="J108" s="50">
        <f t="shared" si="63"/>
        <v>0</v>
      </c>
      <c r="K108" s="9"/>
      <c r="L108" s="49"/>
      <c r="M108" s="49"/>
      <c r="N108" s="50">
        <f t="shared" si="32"/>
        <v>0</v>
      </c>
      <c r="O108" s="46"/>
      <c r="P108" s="49"/>
      <c r="Q108" s="49"/>
      <c r="R108" s="50">
        <f t="shared" si="33"/>
        <v>0</v>
      </c>
      <c r="T108" s="49"/>
      <c r="U108" s="49"/>
      <c r="V108" s="50">
        <f t="shared" si="34"/>
        <v>0</v>
      </c>
      <c r="X108" s="49"/>
      <c r="Y108" s="49"/>
      <c r="Z108" s="50">
        <f t="shared" si="35"/>
        <v>0</v>
      </c>
      <c r="AB108" s="49"/>
      <c r="AC108" s="49"/>
      <c r="AD108" s="50">
        <f t="shared" si="36"/>
        <v>0</v>
      </c>
      <c r="AF108" s="49"/>
      <c r="AG108" s="49"/>
      <c r="AH108" s="50">
        <f t="shared" si="37"/>
        <v>0</v>
      </c>
      <c r="AJ108" s="49"/>
      <c r="AK108" s="49"/>
      <c r="AL108" s="50">
        <f t="shared" si="38"/>
        <v>0</v>
      </c>
      <c r="AN108" s="49"/>
      <c r="AO108" s="49"/>
      <c r="AP108" s="50">
        <f t="shared" si="39"/>
        <v>0</v>
      </c>
      <c r="AR108" s="49"/>
      <c r="AS108" s="49"/>
      <c r="AT108" s="50">
        <f t="shared" si="40"/>
        <v>0</v>
      </c>
      <c r="AV108" s="49"/>
      <c r="AW108" s="49"/>
      <c r="AX108" s="50">
        <f t="shared" si="41"/>
        <v>0</v>
      </c>
      <c r="AZ108" s="49"/>
      <c r="BA108" s="49"/>
      <c r="BB108" s="50">
        <f t="shared" si="42"/>
        <v>0</v>
      </c>
      <c r="BD108" s="49"/>
      <c r="BE108" s="49"/>
      <c r="BF108" s="50">
        <f t="shared" si="43"/>
        <v>0</v>
      </c>
      <c r="BH108" s="49"/>
      <c r="BI108" s="49"/>
      <c r="BJ108" s="50">
        <f t="shared" si="44"/>
        <v>0</v>
      </c>
      <c r="BL108" s="49"/>
      <c r="BM108" s="49"/>
      <c r="BN108" s="50">
        <f t="shared" si="45"/>
        <v>0</v>
      </c>
      <c r="BP108" s="49"/>
      <c r="BQ108" s="49"/>
      <c r="BR108" s="50">
        <f t="shared" si="46"/>
        <v>0</v>
      </c>
      <c r="BT108" s="49"/>
      <c r="BU108" s="49"/>
      <c r="BV108" s="50">
        <f t="shared" si="47"/>
        <v>0</v>
      </c>
      <c r="BX108" s="49"/>
      <c r="BY108" s="49"/>
      <c r="BZ108" s="50">
        <f t="shared" si="48"/>
        <v>0</v>
      </c>
      <c r="CB108" s="49"/>
      <c r="CC108" s="49"/>
      <c r="CD108" s="50">
        <f t="shared" si="49"/>
        <v>0</v>
      </c>
      <c r="CF108" s="49"/>
      <c r="CG108" s="49"/>
      <c r="CH108" s="50">
        <f t="shared" si="50"/>
        <v>0</v>
      </c>
      <c r="CJ108" s="49"/>
      <c r="CK108" s="49"/>
      <c r="CL108" s="50">
        <f t="shared" si="51"/>
        <v>0</v>
      </c>
      <c r="CN108" s="49"/>
      <c r="CO108" s="49"/>
      <c r="CP108" s="50">
        <f t="shared" si="52"/>
        <v>0</v>
      </c>
      <c r="CR108" s="49"/>
      <c r="CS108" s="49"/>
      <c r="CT108" s="50">
        <f t="shared" si="53"/>
        <v>0</v>
      </c>
      <c r="CV108" s="49"/>
      <c r="CW108" s="49"/>
      <c r="CX108" s="50">
        <f t="shared" si="54"/>
        <v>0</v>
      </c>
      <c r="CZ108" s="49"/>
      <c r="DA108" s="49"/>
      <c r="DB108" s="50">
        <f t="shared" si="55"/>
        <v>0</v>
      </c>
      <c r="DD108" s="49"/>
      <c r="DE108" s="49"/>
      <c r="DF108" s="50">
        <f t="shared" si="56"/>
        <v>0</v>
      </c>
      <c r="DH108" s="49"/>
      <c r="DI108" s="49"/>
      <c r="DJ108" s="50">
        <f t="shared" si="57"/>
        <v>0</v>
      </c>
      <c r="DL108" s="49"/>
      <c r="DM108" s="49"/>
      <c r="DN108" s="50">
        <f t="shared" si="58"/>
        <v>0</v>
      </c>
      <c r="DP108" s="49"/>
      <c r="DQ108" s="49"/>
      <c r="DR108" s="50">
        <f t="shared" si="59"/>
        <v>0</v>
      </c>
      <c r="DT108" s="49"/>
      <c r="DU108" s="49"/>
      <c r="DV108" s="50">
        <f t="shared" si="60"/>
        <v>0</v>
      </c>
      <c r="DX108" s="49"/>
      <c r="DY108" s="49"/>
      <c r="DZ108" s="50">
        <f t="shared" si="61"/>
        <v>0</v>
      </c>
      <c r="EB108" s="49">
        <f t="shared" si="62"/>
        <v>0</v>
      </c>
      <c r="EC108" s="49">
        <f t="shared" si="62"/>
        <v>0</v>
      </c>
      <c r="ED108" s="49">
        <f t="shared" si="62"/>
        <v>0</v>
      </c>
    </row>
    <row r="109" spans="2:134" ht="11" customHeight="1" x14ac:dyDescent="0.35">
      <c r="B109" s="15"/>
      <c r="C109" s="1"/>
      <c r="D109" s="1"/>
      <c r="E109" s="1"/>
      <c r="F109" s="1"/>
      <c r="G109" s="1"/>
      <c r="H109" s="1">
        <f>SUM(H4:H108)</f>
        <v>0</v>
      </c>
      <c r="I109" s="1">
        <f>SUM(I4:I108)</f>
        <v>0</v>
      </c>
      <c r="J109" s="1">
        <f>SUM(J4:J108)</f>
        <v>0</v>
      </c>
      <c r="K109" s="1"/>
      <c r="L109" s="1">
        <f>SUM(L4:L108)</f>
        <v>0</v>
      </c>
      <c r="M109" s="1">
        <f>SUM(M4:M108)</f>
        <v>0</v>
      </c>
      <c r="N109" s="1">
        <f>SUM(N4:N108)</f>
        <v>0</v>
      </c>
      <c r="O109" s="47"/>
      <c r="P109" s="1">
        <f>SUM(P4:P108)</f>
        <v>0</v>
      </c>
      <c r="Q109" s="1">
        <f>SUM(Q4:Q108)</f>
        <v>0</v>
      </c>
      <c r="R109" s="1">
        <f>SUM(R4:R108)</f>
        <v>0</v>
      </c>
      <c r="T109" s="1">
        <f>SUM(T4:T108)</f>
        <v>0</v>
      </c>
      <c r="U109" s="1">
        <f>SUM(U4:U108)</f>
        <v>0</v>
      </c>
      <c r="V109" s="1">
        <f>SUM(V4:V108)</f>
        <v>0</v>
      </c>
      <c r="X109" s="1">
        <f>SUM(X4:X108)</f>
        <v>0</v>
      </c>
      <c r="Y109" s="1">
        <f>SUM(Y4:Y108)</f>
        <v>0</v>
      </c>
      <c r="Z109" s="1">
        <f>SUM(Z4:Z108)</f>
        <v>0</v>
      </c>
      <c r="AB109" s="1">
        <f>SUM(AB4:AB108)</f>
        <v>0</v>
      </c>
      <c r="AC109" s="1">
        <f>SUM(AC4:AC108)</f>
        <v>0</v>
      </c>
      <c r="AD109" s="1">
        <f>SUM(AD4:AD108)</f>
        <v>0</v>
      </c>
      <c r="AF109" s="1">
        <f>SUM(AF4:AF108)</f>
        <v>0</v>
      </c>
      <c r="AG109" s="1">
        <f>SUM(AG4:AG108)</f>
        <v>0</v>
      </c>
      <c r="AH109" s="1">
        <f>SUM(AH4:AH108)</f>
        <v>0</v>
      </c>
      <c r="AJ109" s="1">
        <f>SUM(AJ4:AJ108)</f>
        <v>0</v>
      </c>
      <c r="AK109" s="1">
        <f>SUM(AK4:AK108)</f>
        <v>0</v>
      </c>
      <c r="AL109" s="1">
        <f>SUM(AL4:AL108)</f>
        <v>0</v>
      </c>
      <c r="AN109" s="1">
        <f>SUM(AN4:AN108)</f>
        <v>0</v>
      </c>
      <c r="AO109" s="1">
        <f>SUM(AO4:AO108)</f>
        <v>0</v>
      </c>
      <c r="AP109" s="1">
        <f>SUM(AP4:AP108)</f>
        <v>0</v>
      </c>
      <c r="AR109" s="1">
        <f>SUM(AR4:AR108)</f>
        <v>0</v>
      </c>
      <c r="AS109" s="1">
        <f>SUM(AS4:AS108)</f>
        <v>0</v>
      </c>
      <c r="AT109" s="1">
        <f>SUM(AT4:AT108)</f>
        <v>0</v>
      </c>
      <c r="AV109" s="1">
        <f>SUM(AV4:AV108)</f>
        <v>0</v>
      </c>
      <c r="AW109" s="1">
        <f>SUM(AW4:AW108)</f>
        <v>0</v>
      </c>
      <c r="AX109" s="1">
        <f>SUM(AX4:AX108)</f>
        <v>0</v>
      </c>
      <c r="AZ109" s="1">
        <f>SUM(AZ4:AZ108)</f>
        <v>0</v>
      </c>
      <c r="BA109" s="1">
        <f>SUM(BA4:BA108)</f>
        <v>0</v>
      </c>
      <c r="BB109" s="1">
        <f>SUM(BB4:BB108)</f>
        <v>0</v>
      </c>
      <c r="BD109" s="1">
        <f>SUM(BD4:BD108)</f>
        <v>0</v>
      </c>
      <c r="BE109" s="1">
        <f>SUM(BE4:BE108)</f>
        <v>0</v>
      </c>
      <c r="BF109" s="1">
        <f>SUM(BF4:BF108)</f>
        <v>0</v>
      </c>
      <c r="BH109" s="1">
        <f>SUM(BH4:BH108)</f>
        <v>0</v>
      </c>
      <c r="BI109" s="1">
        <f>SUM(BI4:BI108)</f>
        <v>0</v>
      </c>
      <c r="BJ109" s="1">
        <f>SUM(BJ4:BJ108)</f>
        <v>0</v>
      </c>
      <c r="BL109" s="1">
        <f>SUM(BL4:BL108)</f>
        <v>0</v>
      </c>
      <c r="BM109" s="1">
        <f>SUM(BM4:BM108)</f>
        <v>0</v>
      </c>
      <c r="BN109" s="1">
        <f>SUM(BN4:BN108)</f>
        <v>0</v>
      </c>
      <c r="BP109" s="1">
        <f>SUM(BP4:BP108)</f>
        <v>0</v>
      </c>
      <c r="BQ109" s="1">
        <f>SUM(BQ4:BQ108)</f>
        <v>0</v>
      </c>
      <c r="BR109" s="1">
        <f>SUM(BR4:BR108)</f>
        <v>0</v>
      </c>
      <c r="BT109" s="1">
        <f>SUM(BT4:BT108)</f>
        <v>0</v>
      </c>
      <c r="BU109" s="1">
        <f>SUM(BU4:BU108)</f>
        <v>0</v>
      </c>
      <c r="BV109" s="1">
        <f>SUM(BV4:BV108)</f>
        <v>0</v>
      </c>
      <c r="BX109" s="1">
        <f>SUM(BX4:BX108)</f>
        <v>0</v>
      </c>
      <c r="BY109" s="1">
        <f>SUM(BY4:BY108)</f>
        <v>0</v>
      </c>
      <c r="BZ109" s="1">
        <f>SUM(BZ4:BZ108)</f>
        <v>0</v>
      </c>
      <c r="CB109" s="1">
        <f>SUM(CB4:CB108)</f>
        <v>0</v>
      </c>
      <c r="CC109" s="1">
        <f>SUM(CC4:CC108)</f>
        <v>0</v>
      </c>
      <c r="CD109" s="1">
        <f>SUM(CD4:CD108)</f>
        <v>0</v>
      </c>
      <c r="CF109" s="1">
        <f>SUM(CF4:CF108)</f>
        <v>0</v>
      </c>
      <c r="CG109" s="1">
        <f>SUM(CG4:CG108)</f>
        <v>0</v>
      </c>
      <c r="CH109" s="1">
        <f>SUM(CH4:CH108)</f>
        <v>0</v>
      </c>
      <c r="CJ109" s="1">
        <f>SUM(CJ4:CJ108)</f>
        <v>0</v>
      </c>
      <c r="CK109" s="1">
        <f>SUM(CK4:CK108)</f>
        <v>0</v>
      </c>
      <c r="CL109" s="1">
        <f>SUM(CL4:CL108)</f>
        <v>0</v>
      </c>
      <c r="CN109" s="1">
        <f t="shared" ref="CN109:CP109" si="64">SUM(CN4:CN108)</f>
        <v>0</v>
      </c>
      <c r="CO109" s="1">
        <f t="shared" si="64"/>
        <v>0</v>
      </c>
      <c r="CP109" s="1">
        <f t="shared" si="64"/>
        <v>0</v>
      </c>
      <c r="CR109" s="1">
        <f t="shared" ref="CR109:CT109" si="65">SUM(CR4:CR108)</f>
        <v>0</v>
      </c>
      <c r="CS109" s="1">
        <f t="shared" si="65"/>
        <v>0</v>
      </c>
      <c r="CT109" s="1">
        <f t="shared" si="65"/>
        <v>0</v>
      </c>
      <c r="CV109" s="1">
        <f t="shared" ref="CV109:CX109" si="66">SUM(CV4:CV108)</f>
        <v>0</v>
      </c>
      <c r="CW109" s="1">
        <f t="shared" si="66"/>
        <v>0</v>
      </c>
      <c r="CX109" s="1">
        <f t="shared" si="66"/>
        <v>0</v>
      </c>
      <c r="CZ109" s="1">
        <f t="shared" ref="CZ109:DB109" si="67">SUM(CZ4:CZ108)</f>
        <v>0</v>
      </c>
      <c r="DA109" s="1">
        <f t="shared" si="67"/>
        <v>0</v>
      </c>
      <c r="DB109" s="1">
        <f t="shared" si="67"/>
        <v>0</v>
      </c>
      <c r="DD109" s="1">
        <f t="shared" ref="DD109:DF109" si="68">SUM(DD4:DD108)</f>
        <v>0</v>
      </c>
      <c r="DE109" s="1">
        <f t="shared" si="68"/>
        <v>0</v>
      </c>
      <c r="DF109" s="1">
        <f t="shared" si="68"/>
        <v>0</v>
      </c>
      <c r="DH109" s="1">
        <f t="shared" ref="DH109:DJ109" si="69">SUM(DH4:DH108)</f>
        <v>0</v>
      </c>
      <c r="DI109" s="1">
        <f t="shared" si="69"/>
        <v>0</v>
      </c>
      <c r="DJ109" s="1">
        <f t="shared" si="69"/>
        <v>0</v>
      </c>
      <c r="DL109" s="1">
        <f t="shared" ref="DL109:DN109" si="70">SUM(DL4:DL108)</f>
        <v>0</v>
      </c>
      <c r="DM109" s="1">
        <f t="shared" si="70"/>
        <v>0</v>
      </c>
      <c r="DN109" s="1">
        <f t="shared" si="70"/>
        <v>0</v>
      </c>
      <c r="DP109" s="1">
        <f t="shared" ref="DP109:DR109" si="71">SUM(DP4:DP108)</f>
        <v>0</v>
      </c>
      <c r="DQ109" s="1">
        <f t="shared" si="71"/>
        <v>0</v>
      </c>
      <c r="DR109" s="1">
        <f t="shared" si="71"/>
        <v>0</v>
      </c>
      <c r="DT109" s="1">
        <f t="shared" ref="DT109:DV109" si="72">SUM(DT4:DT108)</f>
        <v>0</v>
      </c>
      <c r="DU109" s="1">
        <f t="shared" si="72"/>
        <v>0</v>
      </c>
      <c r="DV109" s="1">
        <f t="shared" si="72"/>
        <v>0</v>
      </c>
      <c r="DX109" s="1">
        <f t="shared" ref="DX109:DZ109" si="73">SUM(DX4:DX108)</f>
        <v>0</v>
      </c>
      <c r="DY109" s="1">
        <f t="shared" si="73"/>
        <v>0</v>
      </c>
      <c r="DZ109" s="1">
        <f t="shared" si="73"/>
        <v>0</v>
      </c>
      <c r="EB109" s="1">
        <f t="shared" ref="EB109:ED109" si="74">SUM(EB4:EB108)</f>
        <v>0</v>
      </c>
      <c r="EC109" s="1">
        <f t="shared" si="74"/>
        <v>0</v>
      </c>
      <c r="ED109" s="1">
        <f t="shared" si="74"/>
        <v>0</v>
      </c>
    </row>
    <row r="110" spans="2:134" x14ac:dyDescent="0.35">
      <c r="L110" s="48"/>
      <c r="M110" s="48"/>
      <c r="N110" s="48"/>
      <c r="O110" s="48"/>
    </row>
  </sheetData>
  <conditionalFormatting sqref="B4:B79 B109">
    <cfRule type="duplicateValues" dxfId="9" priority="5"/>
  </conditionalFormatting>
  <conditionalFormatting sqref="B4:B108">
    <cfRule type="duplicateValues" dxfId="8" priority="1"/>
    <cfRule type="duplicateValues" dxfId="7" priority="2"/>
  </conditionalFormatting>
  <conditionalFormatting sqref="B80:B84">
    <cfRule type="duplicateValues" dxfId="6" priority="4"/>
  </conditionalFormatting>
  <conditionalFormatting sqref="B85:B108">
    <cfRule type="duplicateValues" dxfId="5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A039-C4E7-4E6B-82BA-96E043C07C45}">
  <dimension ref="B2:ED110"/>
  <sheetViews>
    <sheetView workbookViewId="0">
      <pane xSplit="5" ySplit="3" topLeftCell="EA4" activePane="bottomRight" state="frozen"/>
      <selection pane="topRight" activeCell="F1" sqref="F1"/>
      <selection pane="bottomLeft" activeCell="A4" sqref="A4"/>
      <selection pane="bottomRight" activeCell="EC4" sqref="EC4"/>
    </sheetView>
  </sheetViews>
  <sheetFormatPr defaultRowHeight="14.5" x14ac:dyDescent="0.35"/>
  <cols>
    <col min="3" max="3" width="38.81640625" customWidth="1"/>
    <col min="7" max="7" width="2.90625" customWidth="1"/>
    <col min="11" max="11" width="3.26953125" customWidth="1"/>
    <col min="15" max="15" width="3.26953125" customWidth="1"/>
    <col min="19" max="19" width="3.26953125" customWidth="1"/>
    <col min="23" max="23" width="3.26953125" customWidth="1"/>
    <col min="27" max="27" width="3.26953125" customWidth="1"/>
    <col min="31" max="31" width="3.26953125" customWidth="1"/>
    <col min="35" max="35" width="3.26953125" customWidth="1"/>
    <col min="39" max="39" width="3.26953125" customWidth="1"/>
    <col min="43" max="43" width="3.26953125" customWidth="1"/>
    <col min="47" max="47" width="3.26953125" customWidth="1"/>
    <col min="51" max="51" width="3.26953125" customWidth="1"/>
    <col min="55" max="55" width="3.26953125" customWidth="1"/>
    <col min="59" max="59" width="3.26953125" customWidth="1"/>
    <col min="63" max="63" width="3.26953125" customWidth="1"/>
    <col min="67" max="67" width="3.26953125" customWidth="1"/>
    <col min="71" max="71" width="3.26953125" customWidth="1"/>
    <col min="75" max="75" width="3.26953125" customWidth="1"/>
    <col min="79" max="79" width="3.26953125" customWidth="1"/>
    <col min="83" max="83" width="3.26953125" customWidth="1"/>
    <col min="87" max="87" width="3.26953125" customWidth="1"/>
    <col min="91" max="91" width="3.26953125" customWidth="1"/>
    <col min="95" max="95" width="3.26953125" customWidth="1"/>
    <col min="99" max="99" width="3.26953125" customWidth="1"/>
    <col min="103" max="103" width="3.26953125" customWidth="1"/>
    <col min="107" max="107" width="3.26953125" customWidth="1"/>
    <col min="111" max="111" width="3.26953125" customWidth="1"/>
    <col min="115" max="115" width="3.26953125" customWidth="1"/>
    <col min="119" max="119" width="3.26953125" customWidth="1"/>
    <col min="123" max="123" width="3.26953125" customWidth="1"/>
    <col min="127" max="127" width="3.26953125" customWidth="1"/>
    <col min="131" max="131" width="3.26953125" customWidth="1"/>
  </cols>
  <sheetData>
    <row r="2" spans="2:134" x14ac:dyDescent="0.35">
      <c r="B2" s="1"/>
      <c r="C2" s="1"/>
      <c r="D2" s="1"/>
      <c r="E2" s="1"/>
      <c r="F2" s="1"/>
      <c r="G2" s="1"/>
      <c r="H2" s="1" t="s">
        <v>123</v>
      </c>
      <c r="I2" s="1"/>
      <c r="J2" s="1"/>
      <c r="K2" s="1"/>
      <c r="L2" s="1" t="s">
        <v>124</v>
      </c>
      <c r="M2" s="1"/>
      <c r="N2" s="1"/>
      <c r="O2" s="51"/>
      <c r="P2" s="1" t="s">
        <v>125</v>
      </c>
      <c r="Q2" s="1"/>
      <c r="R2" s="1"/>
      <c r="T2" s="1" t="s">
        <v>126</v>
      </c>
      <c r="U2" s="1"/>
      <c r="V2" s="1"/>
      <c r="X2" s="1" t="s">
        <v>127</v>
      </c>
      <c r="Y2" s="1"/>
      <c r="Z2" s="1"/>
      <c r="AB2" s="1" t="s">
        <v>128</v>
      </c>
      <c r="AC2" s="1"/>
      <c r="AD2" s="1"/>
      <c r="AF2" s="1" t="s">
        <v>129</v>
      </c>
      <c r="AG2" s="1"/>
      <c r="AH2" s="1"/>
      <c r="AJ2" s="1" t="s">
        <v>130</v>
      </c>
      <c r="AK2" s="1"/>
      <c r="AL2" s="1"/>
      <c r="AN2" s="1" t="s">
        <v>131</v>
      </c>
      <c r="AO2" s="1"/>
      <c r="AP2" s="1"/>
      <c r="AR2" s="1" t="s">
        <v>132</v>
      </c>
      <c r="AS2" s="1"/>
      <c r="AT2" s="1"/>
      <c r="AV2" s="1" t="s">
        <v>133</v>
      </c>
      <c r="AW2" s="1"/>
      <c r="AX2" s="1"/>
      <c r="AZ2" s="1" t="s">
        <v>134</v>
      </c>
      <c r="BA2" s="1"/>
      <c r="BB2" s="1"/>
      <c r="BD2" s="1" t="s">
        <v>135</v>
      </c>
      <c r="BE2" s="1"/>
      <c r="BF2" s="1"/>
      <c r="BH2" s="1" t="s">
        <v>136</v>
      </c>
      <c r="BI2" s="1"/>
      <c r="BJ2" s="1"/>
      <c r="BL2" s="1" t="s">
        <v>137</v>
      </c>
      <c r="BM2" s="1"/>
      <c r="BN2" s="1"/>
      <c r="BP2" s="1" t="s">
        <v>138</v>
      </c>
      <c r="BQ2" s="1"/>
      <c r="BR2" s="1"/>
      <c r="BT2" s="1" t="s">
        <v>139</v>
      </c>
      <c r="BU2" s="1"/>
      <c r="BV2" s="1"/>
      <c r="BX2" s="1" t="s">
        <v>141</v>
      </c>
      <c r="BY2" s="1"/>
      <c r="BZ2" s="1"/>
      <c r="CB2" s="1" t="s">
        <v>142</v>
      </c>
      <c r="CC2" s="1"/>
      <c r="CD2" s="1"/>
      <c r="CF2" s="1" t="s">
        <v>143</v>
      </c>
      <c r="CG2" s="1"/>
      <c r="CH2" s="1"/>
      <c r="CJ2" s="1" t="s">
        <v>144</v>
      </c>
      <c r="CK2" s="1"/>
      <c r="CL2" s="1"/>
      <c r="CN2" s="1" t="s">
        <v>154</v>
      </c>
      <c r="CO2" s="1"/>
      <c r="CP2" s="1"/>
      <c r="CR2" s="1" t="s">
        <v>153</v>
      </c>
      <c r="CS2" s="1"/>
      <c r="CT2" s="1"/>
      <c r="CV2" s="1" t="s">
        <v>152</v>
      </c>
      <c r="CW2" s="1"/>
      <c r="CX2" s="1"/>
      <c r="CZ2" s="1" t="s">
        <v>151</v>
      </c>
      <c r="DA2" s="1"/>
      <c r="DB2" s="1"/>
      <c r="DD2" s="1" t="s">
        <v>150</v>
      </c>
      <c r="DE2" s="1"/>
      <c r="DF2" s="1"/>
      <c r="DH2" s="1" t="s">
        <v>149</v>
      </c>
      <c r="DI2" s="1"/>
      <c r="DJ2" s="1"/>
      <c r="DL2" s="1" t="s">
        <v>148</v>
      </c>
      <c r="DM2" s="1"/>
      <c r="DN2" s="1"/>
      <c r="DP2" s="1" t="s">
        <v>147</v>
      </c>
      <c r="DQ2" s="1"/>
      <c r="DR2" s="1"/>
      <c r="DT2" s="1" t="s">
        <v>146</v>
      </c>
      <c r="DU2" s="1"/>
      <c r="DV2" s="1"/>
      <c r="DX2" s="1" t="s">
        <v>145</v>
      </c>
      <c r="DY2" s="1"/>
      <c r="DZ2" s="1"/>
      <c r="EB2" s="1" t="s">
        <v>116</v>
      </c>
      <c r="EC2" s="1"/>
      <c r="ED2" s="1"/>
    </row>
    <row r="3" spans="2:134" ht="16" customHeight="1" x14ac:dyDescent="0.35">
      <c r="B3" s="20" t="s">
        <v>0</v>
      </c>
      <c r="C3" s="20" t="s">
        <v>1</v>
      </c>
      <c r="D3" s="20" t="s">
        <v>2</v>
      </c>
      <c r="E3" s="20" t="s">
        <v>2</v>
      </c>
      <c r="F3" s="20" t="s">
        <v>3</v>
      </c>
      <c r="G3" s="1"/>
      <c r="H3" s="2" t="s">
        <v>4</v>
      </c>
      <c r="I3" s="2" t="s">
        <v>5</v>
      </c>
      <c r="J3" s="2" t="s">
        <v>140</v>
      </c>
      <c r="K3" s="1"/>
      <c r="L3" s="2" t="s">
        <v>4</v>
      </c>
      <c r="M3" s="2" t="s">
        <v>5</v>
      </c>
      <c r="N3" s="2" t="s">
        <v>140</v>
      </c>
      <c r="O3" s="45"/>
      <c r="P3" s="2" t="s">
        <v>4</v>
      </c>
      <c r="Q3" s="2" t="s">
        <v>5</v>
      </c>
      <c r="R3" s="2" t="s">
        <v>140</v>
      </c>
      <c r="T3" s="2" t="s">
        <v>4</v>
      </c>
      <c r="U3" s="2" t="s">
        <v>5</v>
      </c>
      <c r="V3" s="2" t="s">
        <v>140</v>
      </c>
      <c r="X3" s="2" t="s">
        <v>4</v>
      </c>
      <c r="Y3" s="2" t="s">
        <v>5</v>
      </c>
      <c r="Z3" s="2" t="s">
        <v>140</v>
      </c>
      <c r="AB3" s="2" t="s">
        <v>4</v>
      </c>
      <c r="AC3" s="2" t="s">
        <v>5</v>
      </c>
      <c r="AD3" s="2" t="s">
        <v>140</v>
      </c>
      <c r="AF3" s="2" t="s">
        <v>4</v>
      </c>
      <c r="AG3" s="2" t="s">
        <v>5</v>
      </c>
      <c r="AH3" s="2" t="s">
        <v>140</v>
      </c>
      <c r="AJ3" s="2" t="s">
        <v>4</v>
      </c>
      <c r="AK3" s="2" t="s">
        <v>5</v>
      </c>
      <c r="AL3" s="2" t="s">
        <v>140</v>
      </c>
      <c r="AN3" s="2" t="s">
        <v>4</v>
      </c>
      <c r="AO3" s="2" t="s">
        <v>5</v>
      </c>
      <c r="AP3" s="2" t="s">
        <v>140</v>
      </c>
      <c r="AR3" s="2" t="s">
        <v>4</v>
      </c>
      <c r="AS3" s="2" t="s">
        <v>5</v>
      </c>
      <c r="AT3" s="2" t="s">
        <v>140</v>
      </c>
      <c r="AV3" s="2" t="s">
        <v>4</v>
      </c>
      <c r="AW3" s="2" t="s">
        <v>5</v>
      </c>
      <c r="AX3" s="2" t="s">
        <v>140</v>
      </c>
      <c r="AZ3" s="2" t="s">
        <v>4</v>
      </c>
      <c r="BA3" s="2" t="s">
        <v>5</v>
      </c>
      <c r="BB3" s="2" t="s">
        <v>140</v>
      </c>
      <c r="BD3" s="2" t="s">
        <v>4</v>
      </c>
      <c r="BE3" s="2" t="s">
        <v>5</v>
      </c>
      <c r="BF3" s="2" t="s">
        <v>140</v>
      </c>
      <c r="BH3" s="2" t="s">
        <v>4</v>
      </c>
      <c r="BI3" s="2" t="s">
        <v>5</v>
      </c>
      <c r="BJ3" s="2" t="s">
        <v>140</v>
      </c>
      <c r="BL3" s="2" t="s">
        <v>4</v>
      </c>
      <c r="BM3" s="2" t="s">
        <v>5</v>
      </c>
      <c r="BN3" s="2" t="s">
        <v>140</v>
      </c>
      <c r="BP3" s="2" t="s">
        <v>4</v>
      </c>
      <c r="BQ3" s="2" t="s">
        <v>5</v>
      </c>
      <c r="BR3" s="2" t="s">
        <v>140</v>
      </c>
      <c r="BT3" s="2" t="s">
        <v>4</v>
      </c>
      <c r="BU3" s="2" t="s">
        <v>5</v>
      </c>
      <c r="BV3" s="2" t="s">
        <v>140</v>
      </c>
      <c r="BX3" s="2" t="s">
        <v>4</v>
      </c>
      <c r="BY3" s="2" t="s">
        <v>5</v>
      </c>
      <c r="BZ3" s="2" t="s">
        <v>140</v>
      </c>
      <c r="CB3" s="2" t="s">
        <v>4</v>
      </c>
      <c r="CC3" s="2" t="s">
        <v>5</v>
      </c>
      <c r="CD3" s="2" t="s">
        <v>140</v>
      </c>
      <c r="CF3" s="2" t="s">
        <v>4</v>
      </c>
      <c r="CG3" s="2" t="s">
        <v>5</v>
      </c>
      <c r="CH3" s="2" t="s">
        <v>140</v>
      </c>
      <c r="CJ3" s="2" t="s">
        <v>4</v>
      </c>
      <c r="CK3" s="2" t="s">
        <v>5</v>
      </c>
      <c r="CL3" s="2" t="s">
        <v>140</v>
      </c>
      <c r="CN3" s="2" t="s">
        <v>4</v>
      </c>
      <c r="CO3" s="2" t="s">
        <v>5</v>
      </c>
      <c r="CP3" s="2" t="s">
        <v>140</v>
      </c>
      <c r="CR3" s="2" t="s">
        <v>4</v>
      </c>
      <c r="CS3" s="2" t="s">
        <v>5</v>
      </c>
      <c r="CT3" s="2" t="s">
        <v>140</v>
      </c>
      <c r="CV3" s="2" t="s">
        <v>4</v>
      </c>
      <c r="CW3" s="2" t="s">
        <v>5</v>
      </c>
      <c r="CX3" s="2" t="s">
        <v>140</v>
      </c>
      <c r="CZ3" s="2" t="s">
        <v>4</v>
      </c>
      <c r="DA3" s="2" t="s">
        <v>5</v>
      </c>
      <c r="DB3" s="2" t="s">
        <v>140</v>
      </c>
      <c r="DD3" s="2" t="s">
        <v>4</v>
      </c>
      <c r="DE3" s="2" t="s">
        <v>5</v>
      </c>
      <c r="DF3" s="2" t="s">
        <v>140</v>
      </c>
      <c r="DH3" s="2" t="s">
        <v>4</v>
      </c>
      <c r="DI3" s="2" t="s">
        <v>5</v>
      </c>
      <c r="DJ3" s="2" t="s">
        <v>140</v>
      </c>
      <c r="DL3" s="2" t="s">
        <v>4</v>
      </c>
      <c r="DM3" s="2" t="s">
        <v>5</v>
      </c>
      <c r="DN3" s="2" t="s">
        <v>140</v>
      </c>
      <c r="DP3" s="2" t="s">
        <v>4</v>
      </c>
      <c r="DQ3" s="2" t="s">
        <v>5</v>
      </c>
      <c r="DR3" s="2" t="s">
        <v>140</v>
      </c>
      <c r="DT3" s="2" t="s">
        <v>4</v>
      </c>
      <c r="DU3" s="2" t="s">
        <v>5</v>
      </c>
      <c r="DV3" s="2" t="s">
        <v>140</v>
      </c>
      <c r="DX3" s="2" t="s">
        <v>4</v>
      </c>
      <c r="DY3" s="2" t="s">
        <v>5</v>
      </c>
      <c r="DZ3" s="2" t="s">
        <v>140</v>
      </c>
      <c r="EB3" s="2" t="s">
        <v>4</v>
      </c>
      <c r="EC3" s="2" t="s">
        <v>5</v>
      </c>
      <c r="ED3" s="2" t="s">
        <v>140</v>
      </c>
    </row>
    <row r="4" spans="2:134" ht="11" customHeight="1" x14ac:dyDescent="0.35">
      <c r="B4" s="4">
        <v>101003</v>
      </c>
      <c r="C4" s="4" t="s">
        <v>10</v>
      </c>
      <c r="D4" s="4">
        <v>1</v>
      </c>
      <c r="E4" s="5">
        <v>48</v>
      </c>
      <c r="F4" s="6">
        <v>39.4372481296</v>
      </c>
      <c r="G4" s="7"/>
      <c r="H4" s="49"/>
      <c r="I4" s="49"/>
      <c r="J4" s="50">
        <f>(I4/E4)+H4</f>
        <v>0</v>
      </c>
      <c r="K4" s="9"/>
      <c r="L4" s="49"/>
      <c r="M4" s="49"/>
      <c r="N4" s="50">
        <f>(M4/E4)+L4</f>
        <v>0</v>
      </c>
      <c r="O4" s="46"/>
      <c r="P4" s="49"/>
      <c r="Q4" s="49"/>
      <c r="R4" s="50">
        <f>(Q4/E4)+P4</f>
        <v>0</v>
      </c>
      <c r="T4" s="49"/>
      <c r="U4" s="49"/>
      <c r="V4" s="50">
        <f>(U4/E4)+T4</f>
        <v>0</v>
      </c>
      <c r="X4" s="49"/>
      <c r="Y4" s="49"/>
      <c r="Z4" s="50">
        <f>(Y4/E4)+X4</f>
        <v>0</v>
      </c>
      <c r="AB4" s="49"/>
      <c r="AC4" s="49"/>
      <c r="AD4" s="50">
        <f>(AC4/E4)+AB4</f>
        <v>0</v>
      </c>
      <c r="AF4" s="49"/>
      <c r="AG4" s="49"/>
      <c r="AH4" s="50">
        <f>(AG4/E4)+AF4</f>
        <v>0</v>
      </c>
      <c r="AJ4" s="49"/>
      <c r="AK4" s="49"/>
      <c r="AL4" s="50">
        <f>(AK4/E4)+AJ4</f>
        <v>0</v>
      </c>
      <c r="AN4" s="49"/>
      <c r="AO4" s="49"/>
      <c r="AP4" s="50">
        <f>(AO4/E4)+AN4</f>
        <v>0</v>
      </c>
      <c r="AR4" s="49"/>
      <c r="AS4" s="49"/>
      <c r="AT4" s="50">
        <f>(AS4/E4)+AR4</f>
        <v>0</v>
      </c>
      <c r="AV4" s="49"/>
      <c r="AW4" s="49"/>
      <c r="AX4" s="50">
        <f>(AW4/E4)+AV4</f>
        <v>0</v>
      </c>
      <c r="AZ4" s="49"/>
      <c r="BA4" s="49"/>
      <c r="BB4" s="50">
        <f>(BA4/E4)+AZ4</f>
        <v>0</v>
      </c>
      <c r="BD4" s="49"/>
      <c r="BE4" s="49"/>
      <c r="BF4" s="50">
        <f>(BE4/E4)+BD4</f>
        <v>0</v>
      </c>
      <c r="BH4" s="49"/>
      <c r="BI4" s="49"/>
      <c r="BJ4" s="50">
        <f>(BI4/E4)+BH4</f>
        <v>0</v>
      </c>
      <c r="BL4" s="49"/>
      <c r="BM4" s="49"/>
      <c r="BN4" s="50">
        <f>(BM4/E4)+BL4</f>
        <v>0</v>
      </c>
      <c r="BP4" s="49"/>
      <c r="BQ4" s="49"/>
      <c r="BR4" s="50">
        <f>(BQ4/E4)+BP4</f>
        <v>0</v>
      </c>
      <c r="BT4" s="49"/>
      <c r="BU4" s="49"/>
      <c r="BV4" s="50">
        <f>(BU4/E4)+BT4</f>
        <v>0</v>
      </c>
      <c r="BX4" s="49"/>
      <c r="BY4" s="49"/>
      <c r="BZ4" s="50">
        <f>(BY4/E4)+BX4</f>
        <v>0</v>
      </c>
      <c r="CB4" s="49"/>
      <c r="CC4" s="49"/>
      <c r="CD4" s="50">
        <f>(CC4/E4)+CB4</f>
        <v>0</v>
      </c>
      <c r="CF4" s="49"/>
      <c r="CG4" s="49"/>
      <c r="CH4" s="50">
        <f>(CG4/E4)+CF4</f>
        <v>0</v>
      </c>
      <c r="CJ4" s="49"/>
      <c r="CK4" s="49"/>
      <c r="CL4" s="50">
        <f>(CK4/E4)+CJ4</f>
        <v>0</v>
      </c>
      <c r="CN4" s="49"/>
      <c r="CO4" s="49"/>
      <c r="CP4" s="50">
        <f>(CO4/E4)+CN4</f>
        <v>0</v>
      </c>
      <c r="CR4" s="49"/>
      <c r="CS4" s="49"/>
      <c r="CT4" s="50">
        <f>(CS4/E4)+CR4</f>
        <v>0</v>
      </c>
      <c r="CV4" s="49"/>
      <c r="CW4" s="49"/>
      <c r="CX4" s="50">
        <f>(CW4/E4)+CV4</f>
        <v>0</v>
      </c>
      <c r="CZ4" s="49"/>
      <c r="DA4" s="49"/>
      <c r="DB4" s="50">
        <f>(DA4/E4)+CZ4</f>
        <v>0</v>
      </c>
      <c r="DD4" s="49"/>
      <c r="DE4" s="49"/>
      <c r="DF4" s="50">
        <f>(DE4/E4)+DD4</f>
        <v>0</v>
      </c>
      <c r="DH4" s="49"/>
      <c r="DI4" s="49"/>
      <c r="DJ4" s="50">
        <f>(DI4/E4)+DH4</f>
        <v>0</v>
      </c>
      <c r="DL4" s="49"/>
      <c r="DM4" s="49"/>
      <c r="DN4" s="50">
        <f>(DM4/E4)+DL4</f>
        <v>0</v>
      </c>
      <c r="DP4" s="49"/>
      <c r="DQ4" s="49"/>
      <c r="DR4" s="50">
        <f>(DQ4/E4)+DP4</f>
        <v>0</v>
      </c>
      <c r="DT4" s="49"/>
      <c r="DU4" s="49"/>
      <c r="DV4" s="50">
        <f>(DU4/E4)+DT4</f>
        <v>0</v>
      </c>
      <c r="DX4" s="49"/>
      <c r="DY4" s="49"/>
      <c r="DZ4" s="50">
        <f>(DY4/E4)+DX4</f>
        <v>0</v>
      </c>
      <c r="EB4" s="49">
        <f>H4+L4+P4+T4+X4+AB4+AF4+AJ4+AN4+AR4+AV4+AZ4+BD4+BH4+BL4+BP4+BT4+BX4+CB4+CF4+CJ4+CN4+CR4+CV4+CZ4+DD4+DH4+DL4+DP4+DT4+DX4</f>
        <v>0</v>
      </c>
      <c r="EC4" s="49">
        <f>I4+M4+Q4+U4+Y4+AC4+AG4+AK4+AO4+AS4+AW4+BA4+BE4+BI4+BM4+BQ4+BU4+BY4+CC4+CG4+CK4+CO4+CS4+CW4+DA4+DE4+DI4+DM4+DQ4+DU4+DY4</f>
        <v>0</v>
      </c>
      <c r="ED4" s="49">
        <f>J4+N4+R4+V4+Z4+AD4+AH4+AL4+AP4+AT4+AX4+BB4+BF4+BJ4+BN4+BR4+BV4+BZ4+CD4+CH4+CL4+CP4+CT4+CX4+DB4+DF4+DJ4+DN4+DR4+DV4+DZ4</f>
        <v>0</v>
      </c>
    </row>
    <row r="5" spans="2:134" ht="11" customHeight="1" x14ac:dyDescent="0.35">
      <c r="B5" s="4">
        <v>101017</v>
      </c>
      <c r="C5" s="4" t="s">
        <v>11</v>
      </c>
      <c r="D5" s="4">
        <v>1</v>
      </c>
      <c r="E5" s="5">
        <v>48</v>
      </c>
      <c r="F5" s="6">
        <v>39.4372481296</v>
      </c>
      <c r="G5" s="7"/>
      <c r="H5" s="49"/>
      <c r="I5" s="49"/>
      <c r="J5" s="50">
        <f>(I5/E5)+H5</f>
        <v>0</v>
      </c>
      <c r="K5" s="9"/>
      <c r="L5" s="49"/>
      <c r="M5" s="49"/>
      <c r="N5" s="50">
        <f t="shared" ref="N5:N68" si="0">(M5/E5)+L5</f>
        <v>0</v>
      </c>
      <c r="O5" s="46"/>
      <c r="P5" s="49"/>
      <c r="Q5" s="49"/>
      <c r="R5" s="50">
        <f t="shared" ref="R5:R68" si="1">(Q5/E5)+P5</f>
        <v>0</v>
      </c>
      <c r="T5" s="49"/>
      <c r="U5" s="49"/>
      <c r="V5" s="50">
        <f t="shared" ref="V5:V68" si="2">(U5/E5)+T5</f>
        <v>0</v>
      </c>
      <c r="X5" s="49"/>
      <c r="Y5" s="49"/>
      <c r="Z5" s="50">
        <f t="shared" ref="Z5:Z68" si="3">(Y5/E5)+X5</f>
        <v>0</v>
      </c>
      <c r="AB5" s="49"/>
      <c r="AC5" s="49"/>
      <c r="AD5" s="50">
        <f t="shared" ref="AD5:AD68" si="4">(AC5/E5)+AB5</f>
        <v>0</v>
      </c>
      <c r="AF5" s="49"/>
      <c r="AG5" s="49"/>
      <c r="AH5" s="50">
        <f t="shared" ref="AH5:AH68" si="5">(AG5/E5)+AF5</f>
        <v>0</v>
      </c>
      <c r="AJ5" s="49"/>
      <c r="AK5" s="49"/>
      <c r="AL5" s="50">
        <f t="shared" ref="AL5:AL68" si="6">(AK5/E5)+AJ5</f>
        <v>0</v>
      </c>
      <c r="AN5" s="49"/>
      <c r="AO5" s="49"/>
      <c r="AP5" s="50">
        <f t="shared" ref="AP5:AP68" si="7">(AO5/E5)+AN5</f>
        <v>0</v>
      </c>
      <c r="AR5" s="49"/>
      <c r="AS5" s="49"/>
      <c r="AT5" s="50">
        <f t="shared" ref="AT5:AT68" si="8">(AS5/E5)+AR5</f>
        <v>0</v>
      </c>
      <c r="AV5" s="49"/>
      <c r="AW5" s="49"/>
      <c r="AX5" s="50">
        <f t="shared" ref="AX5:AX68" si="9">(AW5/E5)+AV5</f>
        <v>0</v>
      </c>
      <c r="AZ5" s="49"/>
      <c r="BA5" s="49"/>
      <c r="BB5" s="50">
        <f t="shared" ref="BB5:BB68" si="10">(BA5/E5)+AZ5</f>
        <v>0</v>
      </c>
      <c r="BD5" s="49"/>
      <c r="BE5" s="49"/>
      <c r="BF5" s="50">
        <f t="shared" ref="BF5:BF68" si="11">(BE5/E5)+BD5</f>
        <v>0</v>
      </c>
      <c r="BH5" s="49"/>
      <c r="BI5" s="49"/>
      <c r="BJ5" s="50">
        <f t="shared" ref="BJ5:BJ68" si="12">(BI5/E5)+BH5</f>
        <v>0</v>
      </c>
      <c r="BL5" s="49"/>
      <c r="BM5" s="49"/>
      <c r="BN5" s="50">
        <f t="shared" ref="BN5:BN68" si="13">(BM5/E5)+BL5</f>
        <v>0</v>
      </c>
      <c r="BP5" s="49"/>
      <c r="BQ5" s="49"/>
      <c r="BR5" s="50">
        <f t="shared" ref="BR5:BR68" si="14">(BQ5/E5)+BP5</f>
        <v>0</v>
      </c>
      <c r="BT5" s="49"/>
      <c r="BU5" s="49"/>
      <c r="BV5" s="50">
        <f t="shared" ref="BV5:BV68" si="15">(BU5/E5)+BT5</f>
        <v>0</v>
      </c>
      <c r="BX5" s="49"/>
      <c r="BY5" s="49"/>
      <c r="BZ5" s="50">
        <f t="shared" ref="BZ5:BZ68" si="16">(BY5/E5)+BX5</f>
        <v>0</v>
      </c>
      <c r="CB5" s="49"/>
      <c r="CC5" s="49"/>
      <c r="CD5" s="50">
        <f t="shared" ref="CD5:CD68" si="17">(CC5/E5)+CB5</f>
        <v>0</v>
      </c>
      <c r="CF5" s="49"/>
      <c r="CG5" s="49"/>
      <c r="CH5" s="50">
        <f t="shared" ref="CH5:CH68" si="18">(CG5/E5)+CF5</f>
        <v>0</v>
      </c>
      <c r="CJ5" s="49"/>
      <c r="CK5" s="49"/>
      <c r="CL5" s="50">
        <f t="shared" ref="CL5:CL68" si="19">(CK5/E5)+CJ5</f>
        <v>0</v>
      </c>
      <c r="CN5" s="49"/>
      <c r="CO5" s="49"/>
      <c r="CP5" s="50">
        <f t="shared" ref="CP5:CP68" si="20">(CO5/E5)+CN5</f>
        <v>0</v>
      </c>
      <c r="CR5" s="49"/>
      <c r="CS5" s="49"/>
      <c r="CT5" s="50">
        <f t="shared" ref="CT5:CT68" si="21">(CS5/E5)+CR5</f>
        <v>0</v>
      </c>
      <c r="CV5" s="49"/>
      <c r="CW5" s="49"/>
      <c r="CX5" s="50">
        <f t="shared" ref="CX5:CX68" si="22">(CW5/E5)+CV5</f>
        <v>0</v>
      </c>
      <c r="CZ5" s="49"/>
      <c r="DA5" s="49"/>
      <c r="DB5" s="50">
        <f t="shared" ref="DB5:DB68" si="23">(DA5/E5)+CZ5</f>
        <v>0</v>
      </c>
      <c r="DD5" s="49"/>
      <c r="DE5" s="49"/>
      <c r="DF5" s="50">
        <f t="shared" ref="DF5:DF68" si="24">(DE5/E5)+DD5</f>
        <v>0</v>
      </c>
      <c r="DH5" s="49"/>
      <c r="DI5" s="49"/>
      <c r="DJ5" s="50">
        <f t="shared" ref="DJ5:DJ68" si="25">(DI5/E5)+DH5</f>
        <v>0</v>
      </c>
      <c r="DL5" s="49"/>
      <c r="DM5" s="49"/>
      <c r="DN5" s="50">
        <f t="shared" ref="DN5:DN68" si="26">(DM5/E5)+DL5</f>
        <v>0</v>
      </c>
      <c r="DP5" s="49"/>
      <c r="DQ5" s="49"/>
      <c r="DR5" s="50">
        <f t="shared" ref="DR5:DR68" si="27">(DQ5/E5)+DP5</f>
        <v>0</v>
      </c>
      <c r="DT5" s="49"/>
      <c r="DU5" s="49"/>
      <c r="DV5" s="50">
        <f t="shared" ref="DV5:DV68" si="28">(DU5/E5)+DT5</f>
        <v>0</v>
      </c>
      <c r="DX5" s="49"/>
      <c r="DY5" s="49"/>
      <c r="DZ5" s="50">
        <f t="shared" ref="DZ5:DZ68" si="29">(DY5/E5)+DX5</f>
        <v>0</v>
      </c>
      <c r="EB5" s="49">
        <f t="shared" ref="EB5:ED68" si="30">H5+L5+P5+T5+X5+AB5+AF5+AJ5+AN5+AR5+AV5+AZ5+BD5+BH5+BL5+BP5+BT5+BX5+CB5+CF5+CJ5+CN5+CR5+CV5+CZ5+DD5+DH5+DL5+DP5+DT5+DX5</f>
        <v>0</v>
      </c>
      <c r="EC5" s="49">
        <f t="shared" si="30"/>
        <v>0</v>
      </c>
      <c r="ED5" s="49">
        <f t="shared" si="30"/>
        <v>0</v>
      </c>
    </row>
    <row r="6" spans="2:134" ht="11" customHeight="1" x14ac:dyDescent="0.35">
      <c r="B6" s="4">
        <v>101037</v>
      </c>
      <c r="C6" s="4" t="s">
        <v>12</v>
      </c>
      <c r="D6" s="4">
        <v>1</v>
      </c>
      <c r="E6" s="5">
        <v>48</v>
      </c>
      <c r="F6" s="6">
        <v>39.4372481296</v>
      </c>
      <c r="G6" s="7"/>
      <c r="H6" s="49"/>
      <c r="I6" s="49"/>
      <c r="J6" s="50">
        <f>(I6/E6)+H6</f>
        <v>0</v>
      </c>
      <c r="K6" s="9"/>
      <c r="L6" s="49"/>
      <c r="M6" s="49"/>
      <c r="N6" s="50">
        <f t="shared" si="0"/>
        <v>0</v>
      </c>
      <c r="O6" s="46"/>
      <c r="P6" s="49"/>
      <c r="Q6" s="49"/>
      <c r="R6" s="50">
        <f t="shared" si="1"/>
        <v>0</v>
      </c>
      <c r="T6" s="49"/>
      <c r="U6" s="49"/>
      <c r="V6" s="50">
        <f t="shared" si="2"/>
        <v>0</v>
      </c>
      <c r="X6" s="49"/>
      <c r="Y6" s="49"/>
      <c r="Z6" s="50">
        <f t="shared" si="3"/>
        <v>0</v>
      </c>
      <c r="AB6" s="49"/>
      <c r="AC6" s="49"/>
      <c r="AD6" s="50">
        <f t="shared" si="4"/>
        <v>0</v>
      </c>
      <c r="AF6" s="49"/>
      <c r="AG6" s="49"/>
      <c r="AH6" s="50">
        <f t="shared" si="5"/>
        <v>0</v>
      </c>
      <c r="AJ6" s="49"/>
      <c r="AK6" s="49"/>
      <c r="AL6" s="50">
        <f t="shared" si="6"/>
        <v>0</v>
      </c>
      <c r="AN6" s="49"/>
      <c r="AO6" s="49"/>
      <c r="AP6" s="50">
        <f t="shared" si="7"/>
        <v>0</v>
      </c>
      <c r="AR6" s="49"/>
      <c r="AS6" s="49"/>
      <c r="AT6" s="50">
        <f t="shared" si="8"/>
        <v>0</v>
      </c>
      <c r="AV6" s="49"/>
      <c r="AW6" s="49"/>
      <c r="AX6" s="50">
        <f t="shared" si="9"/>
        <v>0</v>
      </c>
      <c r="AZ6" s="49"/>
      <c r="BA6" s="49"/>
      <c r="BB6" s="50">
        <f t="shared" si="10"/>
        <v>0</v>
      </c>
      <c r="BD6" s="49"/>
      <c r="BE6" s="49"/>
      <c r="BF6" s="50">
        <f t="shared" si="11"/>
        <v>0</v>
      </c>
      <c r="BH6" s="49"/>
      <c r="BI6" s="49"/>
      <c r="BJ6" s="50">
        <f t="shared" si="12"/>
        <v>0</v>
      </c>
      <c r="BL6" s="49"/>
      <c r="BM6" s="49"/>
      <c r="BN6" s="50">
        <f t="shared" si="13"/>
        <v>0</v>
      </c>
      <c r="BP6" s="49"/>
      <c r="BQ6" s="49"/>
      <c r="BR6" s="50">
        <f t="shared" si="14"/>
        <v>0</v>
      </c>
      <c r="BT6" s="49"/>
      <c r="BU6" s="49"/>
      <c r="BV6" s="50">
        <f t="shared" si="15"/>
        <v>0</v>
      </c>
      <c r="BX6" s="49"/>
      <c r="BY6" s="49"/>
      <c r="BZ6" s="50">
        <f t="shared" si="16"/>
        <v>0</v>
      </c>
      <c r="CB6" s="49"/>
      <c r="CC6" s="49"/>
      <c r="CD6" s="50">
        <f t="shared" si="17"/>
        <v>0</v>
      </c>
      <c r="CF6" s="49"/>
      <c r="CG6" s="49"/>
      <c r="CH6" s="50">
        <f t="shared" si="18"/>
        <v>0</v>
      </c>
      <c r="CJ6" s="49"/>
      <c r="CK6" s="49"/>
      <c r="CL6" s="50">
        <f t="shared" si="19"/>
        <v>0</v>
      </c>
      <c r="CN6" s="49"/>
      <c r="CO6" s="49"/>
      <c r="CP6" s="50">
        <f t="shared" si="20"/>
        <v>0</v>
      </c>
      <c r="CR6" s="49"/>
      <c r="CS6" s="49"/>
      <c r="CT6" s="50">
        <f t="shared" si="21"/>
        <v>0</v>
      </c>
      <c r="CV6" s="49"/>
      <c r="CW6" s="49"/>
      <c r="CX6" s="50">
        <f t="shared" si="22"/>
        <v>0</v>
      </c>
      <c r="CZ6" s="49"/>
      <c r="DA6" s="49"/>
      <c r="DB6" s="50">
        <f t="shared" si="23"/>
        <v>0</v>
      </c>
      <c r="DD6" s="49"/>
      <c r="DE6" s="49"/>
      <c r="DF6" s="50">
        <f t="shared" si="24"/>
        <v>0</v>
      </c>
      <c r="DH6" s="49"/>
      <c r="DI6" s="49"/>
      <c r="DJ6" s="50">
        <f t="shared" si="25"/>
        <v>0</v>
      </c>
      <c r="DL6" s="49"/>
      <c r="DM6" s="49"/>
      <c r="DN6" s="50">
        <f t="shared" si="26"/>
        <v>0</v>
      </c>
      <c r="DP6" s="49"/>
      <c r="DQ6" s="49"/>
      <c r="DR6" s="50">
        <f t="shared" si="27"/>
        <v>0</v>
      </c>
      <c r="DT6" s="49"/>
      <c r="DU6" s="49"/>
      <c r="DV6" s="50">
        <f t="shared" si="28"/>
        <v>0</v>
      </c>
      <c r="DX6" s="49"/>
      <c r="DY6" s="49"/>
      <c r="DZ6" s="50">
        <f t="shared" si="29"/>
        <v>0</v>
      </c>
      <c r="EB6" s="49">
        <f t="shared" si="30"/>
        <v>0</v>
      </c>
      <c r="EC6" s="49">
        <f t="shared" si="30"/>
        <v>0</v>
      </c>
      <c r="ED6" s="49">
        <f t="shared" si="30"/>
        <v>0</v>
      </c>
    </row>
    <row r="7" spans="2:134" ht="11" customHeight="1" x14ac:dyDescent="0.35">
      <c r="B7" s="4">
        <v>101045</v>
      </c>
      <c r="C7" s="4" t="s">
        <v>13</v>
      </c>
      <c r="D7" s="4">
        <v>18</v>
      </c>
      <c r="E7" s="5">
        <v>18</v>
      </c>
      <c r="F7" s="6">
        <v>288.68044392000002</v>
      </c>
      <c r="G7" s="7"/>
      <c r="H7" s="49"/>
      <c r="I7" s="49"/>
      <c r="J7" s="50">
        <f t="shared" ref="J7:J70" si="31">(I7/E7)+H7</f>
        <v>0</v>
      </c>
      <c r="K7" s="9"/>
      <c r="L7" s="49"/>
      <c r="M7" s="49"/>
      <c r="N7" s="50">
        <f t="shared" si="0"/>
        <v>0</v>
      </c>
      <c r="O7" s="46"/>
      <c r="P7" s="49"/>
      <c r="Q7" s="49"/>
      <c r="R7" s="50">
        <f t="shared" si="1"/>
        <v>0</v>
      </c>
      <c r="T7" s="49"/>
      <c r="U7" s="49"/>
      <c r="V7" s="50">
        <f t="shared" si="2"/>
        <v>0</v>
      </c>
      <c r="X7" s="49"/>
      <c r="Y7" s="49"/>
      <c r="Z7" s="50">
        <f t="shared" si="3"/>
        <v>0</v>
      </c>
      <c r="AB7" s="49"/>
      <c r="AC7" s="49"/>
      <c r="AD7" s="50">
        <f t="shared" si="4"/>
        <v>0</v>
      </c>
      <c r="AF7" s="49"/>
      <c r="AG7" s="49"/>
      <c r="AH7" s="50">
        <f t="shared" si="5"/>
        <v>0</v>
      </c>
      <c r="AJ7" s="49"/>
      <c r="AK7" s="49"/>
      <c r="AL7" s="50">
        <f t="shared" si="6"/>
        <v>0</v>
      </c>
      <c r="AN7" s="49"/>
      <c r="AO7" s="49"/>
      <c r="AP7" s="50">
        <f t="shared" si="7"/>
        <v>0</v>
      </c>
      <c r="AR7" s="49"/>
      <c r="AS7" s="49"/>
      <c r="AT7" s="50">
        <f t="shared" si="8"/>
        <v>0</v>
      </c>
      <c r="AV7" s="49"/>
      <c r="AW7" s="49"/>
      <c r="AX7" s="50">
        <f t="shared" si="9"/>
        <v>0</v>
      </c>
      <c r="AZ7" s="49"/>
      <c r="BA7" s="49"/>
      <c r="BB7" s="50">
        <f t="shared" si="10"/>
        <v>0</v>
      </c>
      <c r="BD7" s="49"/>
      <c r="BE7" s="49"/>
      <c r="BF7" s="50">
        <f t="shared" si="11"/>
        <v>0</v>
      </c>
      <c r="BH7" s="49"/>
      <c r="BI7" s="49"/>
      <c r="BJ7" s="50">
        <f t="shared" si="12"/>
        <v>0</v>
      </c>
      <c r="BL7" s="49"/>
      <c r="BM7" s="49"/>
      <c r="BN7" s="50">
        <f t="shared" si="13"/>
        <v>0</v>
      </c>
      <c r="BP7" s="49"/>
      <c r="BQ7" s="49"/>
      <c r="BR7" s="50">
        <f t="shared" si="14"/>
        <v>0</v>
      </c>
      <c r="BT7" s="49"/>
      <c r="BU7" s="49"/>
      <c r="BV7" s="50">
        <f t="shared" si="15"/>
        <v>0</v>
      </c>
      <c r="BX7" s="49"/>
      <c r="BY7" s="49"/>
      <c r="BZ7" s="50">
        <f t="shared" si="16"/>
        <v>0</v>
      </c>
      <c r="CB7" s="49"/>
      <c r="CC7" s="49"/>
      <c r="CD7" s="50">
        <f t="shared" si="17"/>
        <v>0</v>
      </c>
      <c r="CF7" s="49"/>
      <c r="CG7" s="49"/>
      <c r="CH7" s="50">
        <f t="shared" si="18"/>
        <v>0</v>
      </c>
      <c r="CJ7" s="49"/>
      <c r="CK7" s="49"/>
      <c r="CL7" s="50">
        <f t="shared" si="19"/>
        <v>0</v>
      </c>
      <c r="CN7" s="49"/>
      <c r="CO7" s="49"/>
      <c r="CP7" s="50">
        <f t="shared" si="20"/>
        <v>0</v>
      </c>
      <c r="CR7" s="49"/>
      <c r="CS7" s="49"/>
      <c r="CT7" s="50">
        <f t="shared" si="21"/>
        <v>0</v>
      </c>
      <c r="CV7" s="49"/>
      <c r="CW7" s="49"/>
      <c r="CX7" s="50">
        <f t="shared" si="22"/>
        <v>0</v>
      </c>
      <c r="CZ7" s="49"/>
      <c r="DA7" s="49"/>
      <c r="DB7" s="50">
        <f t="shared" si="23"/>
        <v>0</v>
      </c>
      <c r="DD7" s="49"/>
      <c r="DE7" s="49"/>
      <c r="DF7" s="50">
        <f t="shared" si="24"/>
        <v>0</v>
      </c>
      <c r="DH7" s="49"/>
      <c r="DI7" s="49"/>
      <c r="DJ7" s="50">
        <f t="shared" si="25"/>
        <v>0</v>
      </c>
      <c r="DL7" s="49"/>
      <c r="DM7" s="49"/>
      <c r="DN7" s="50">
        <f t="shared" si="26"/>
        <v>0</v>
      </c>
      <c r="DP7" s="49"/>
      <c r="DQ7" s="49"/>
      <c r="DR7" s="50">
        <f t="shared" si="27"/>
        <v>0</v>
      </c>
      <c r="DT7" s="49"/>
      <c r="DU7" s="49"/>
      <c r="DV7" s="50">
        <f t="shared" si="28"/>
        <v>0</v>
      </c>
      <c r="DX7" s="49"/>
      <c r="DY7" s="49"/>
      <c r="DZ7" s="50">
        <f t="shared" si="29"/>
        <v>0</v>
      </c>
      <c r="EB7" s="49">
        <f t="shared" si="30"/>
        <v>0</v>
      </c>
      <c r="EC7" s="49">
        <f t="shared" si="30"/>
        <v>0</v>
      </c>
      <c r="ED7" s="49">
        <f t="shared" si="30"/>
        <v>0</v>
      </c>
    </row>
    <row r="8" spans="2:134" ht="11" customHeight="1" x14ac:dyDescent="0.35">
      <c r="B8" s="4">
        <v>101057</v>
      </c>
      <c r="C8" s="4" t="s">
        <v>14</v>
      </c>
      <c r="D8" s="4">
        <v>1</v>
      </c>
      <c r="E8" s="5">
        <v>48</v>
      </c>
      <c r="F8" s="6">
        <v>39.4372481296</v>
      </c>
      <c r="G8" s="7"/>
      <c r="H8" s="49"/>
      <c r="I8" s="49"/>
      <c r="J8" s="50">
        <f t="shared" si="31"/>
        <v>0</v>
      </c>
      <c r="K8" s="9"/>
      <c r="L8" s="49"/>
      <c r="M8" s="49"/>
      <c r="N8" s="50">
        <f t="shared" si="0"/>
        <v>0</v>
      </c>
      <c r="O8" s="46"/>
      <c r="P8" s="49"/>
      <c r="Q8" s="49"/>
      <c r="R8" s="50">
        <f t="shared" si="1"/>
        <v>0</v>
      </c>
      <c r="T8" s="49"/>
      <c r="U8" s="49"/>
      <c r="V8" s="50">
        <f t="shared" si="2"/>
        <v>0</v>
      </c>
      <c r="X8" s="49"/>
      <c r="Y8" s="49"/>
      <c r="Z8" s="50">
        <f t="shared" si="3"/>
        <v>0</v>
      </c>
      <c r="AB8" s="49"/>
      <c r="AC8" s="49"/>
      <c r="AD8" s="50">
        <f t="shared" si="4"/>
        <v>0</v>
      </c>
      <c r="AF8" s="49"/>
      <c r="AG8" s="49"/>
      <c r="AH8" s="50">
        <f t="shared" si="5"/>
        <v>0</v>
      </c>
      <c r="AJ8" s="49"/>
      <c r="AK8" s="49"/>
      <c r="AL8" s="50">
        <f t="shared" si="6"/>
        <v>0</v>
      </c>
      <c r="AN8" s="49"/>
      <c r="AO8" s="49"/>
      <c r="AP8" s="50">
        <f t="shared" si="7"/>
        <v>0</v>
      </c>
      <c r="AR8" s="49"/>
      <c r="AS8" s="49"/>
      <c r="AT8" s="50">
        <f t="shared" si="8"/>
        <v>0</v>
      </c>
      <c r="AV8" s="49"/>
      <c r="AW8" s="49"/>
      <c r="AX8" s="50">
        <f t="shared" si="9"/>
        <v>0</v>
      </c>
      <c r="AZ8" s="49"/>
      <c r="BA8" s="49"/>
      <c r="BB8" s="50">
        <f t="shared" si="10"/>
        <v>0</v>
      </c>
      <c r="BD8" s="49"/>
      <c r="BE8" s="49"/>
      <c r="BF8" s="50">
        <f t="shared" si="11"/>
        <v>0</v>
      </c>
      <c r="BH8" s="49"/>
      <c r="BI8" s="49"/>
      <c r="BJ8" s="50">
        <f t="shared" si="12"/>
        <v>0</v>
      </c>
      <c r="BL8" s="49"/>
      <c r="BM8" s="49"/>
      <c r="BN8" s="50">
        <f t="shared" si="13"/>
        <v>0</v>
      </c>
      <c r="BP8" s="49"/>
      <c r="BQ8" s="49"/>
      <c r="BR8" s="50">
        <f t="shared" si="14"/>
        <v>0</v>
      </c>
      <c r="BT8" s="49"/>
      <c r="BU8" s="49"/>
      <c r="BV8" s="50">
        <f t="shared" si="15"/>
        <v>0</v>
      </c>
      <c r="BX8" s="49"/>
      <c r="BY8" s="49"/>
      <c r="BZ8" s="50">
        <f t="shared" si="16"/>
        <v>0</v>
      </c>
      <c r="CB8" s="49"/>
      <c r="CC8" s="49"/>
      <c r="CD8" s="50">
        <f t="shared" si="17"/>
        <v>0</v>
      </c>
      <c r="CF8" s="49"/>
      <c r="CG8" s="49"/>
      <c r="CH8" s="50">
        <f t="shared" si="18"/>
        <v>0</v>
      </c>
      <c r="CJ8" s="49"/>
      <c r="CK8" s="49"/>
      <c r="CL8" s="50">
        <f t="shared" si="19"/>
        <v>0</v>
      </c>
      <c r="CN8" s="49"/>
      <c r="CO8" s="49"/>
      <c r="CP8" s="50">
        <f t="shared" si="20"/>
        <v>0</v>
      </c>
      <c r="CR8" s="49"/>
      <c r="CS8" s="49"/>
      <c r="CT8" s="50">
        <f t="shared" si="21"/>
        <v>0</v>
      </c>
      <c r="CV8" s="49"/>
      <c r="CW8" s="49"/>
      <c r="CX8" s="50">
        <f t="shared" si="22"/>
        <v>0</v>
      </c>
      <c r="CZ8" s="49"/>
      <c r="DA8" s="49"/>
      <c r="DB8" s="50">
        <f t="shared" si="23"/>
        <v>0</v>
      </c>
      <c r="DD8" s="49"/>
      <c r="DE8" s="49"/>
      <c r="DF8" s="50">
        <f t="shared" si="24"/>
        <v>0</v>
      </c>
      <c r="DH8" s="49"/>
      <c r="DI8" s="49"/>
      <c r="DJ8" s="50">
        <f t="shared" si="25"/>
        <v>0</v>
      </c>
      <c r="DL8" s="49"/>
      <c r="DM8" s="49"/>
      <c r="DN8" s="50">
        <f t="shared" si="26"/>
        <v>0</v>
      </c>
      <c r="DP8" s="49"/>
      <c r="DQ8" s="49"/>
      <c r="DR8" s="50">
        <f t="shared" si="27"/>
        <v>0</v>
      </c>
      <c r="DT8" s="49"/>
      <c r="DU8" s="49"/>
      <c r="DV8" s="50">
        <f t="shared" si="28"/>
        <v>0</v>
      </c>
      <c r="DX8" s="49"/>
      <c r="DY8" s="49"/>
      <c r="DZ8" s="50">
        <f t="shared" si="29"/>
        <v>0</v>
      </c>
      <c r="EB8" s="49">
        <f t="shared" si="30"/>
        <v>0</v>
      </c>
      <c r="EC8" s="49">
        <f t="shared" si="30"/>
        <v>0</v>
      </c>
      <c r="ED8" s="49">
        <f t="shared" si="30"/>
        <v>0</v>
      </c>
    </row>
    <row r="9" spans="2:134" ht="11" customHeight="1" x14ac:dyDescent="0.35">
      <c r="B9" s="4">
        <v>101058</v>
      </c>
      <c r="C9" s="4" t="s">
        <v>15</v>
      </c>
      <c r="D9" s="4">
        <v>24</v>
      </c>
      <c r="E9" s="5">
        <v>24</v>
      </c>
      <c r="F9" s="6">
        <v>189.29879107400001</v>
      </c>
      <c r="G9" s="7"/>
      <c r="H9" s="49"/>
      <c r="I9" s="49"/>
      <c r="J9" s="50">
        <f t="shared" si="31"/>
        <v>0</v>
      </c>
      <c r="K9" s="9"/>
      <c r="L9" s="49"/>
      <c r="M9" s="49"/>
      <c r="N9" s="50">
        <f t="shared" si="0"/>
        <v>0</v>
      </c>
      <c r="O9" s="46"/>
      <c r="P9" s="49"/>
      <c r="Q9" s="49"/>
      <c r="R9" s="50">
        <f t="shared" si="1"/>
        <v>0</v>
      </c>
      <c r="T9" s="49"/>
      <c r="U9" s="49"/>
      <c r="V9" s="50">
        <f t="shared" si="2"/>
        <v>0</v>
      </c>
      <c r="X9" s="49"/>
      <c r="Y9" s="49"/>
      <c r="Z9" s="50">
        <f t="shared" si="3"/>
        <v>0</v>
      </c>
      <c r="AB9" s="49"/>
      <c r="AC9" s="49"/>
      <c r="AD9" s="50">
        <f t="shared" si="4"/>
        <v>0</v>
      </c>
      <c r="AF9" s="49"/>
      <c r="AG9" s="49"/>
      <c r="AH9" s="50">
        <f t="shared" si="5"/>
        <v>0</v>
      </c>
      <c r="AJ9" s="49"/>
      <c r="AK9" s="49"/>
      <c r="AL9" s="50">
        <f t="shared" si="6"/>
        <v>0</v>
      </c>
      <c r="AN9" s="49"/>
      <c r="AO9" s="49"/>
      <c r="AP9" s="50">
        <f t="shared" si="7"/>
        <v>0</v>
      </c>
      <c r="AR9" s="49"/>
      <c r="AS9" s="49"/>
      <c r="AT9" s="50">
        <f t="shared" si="8"/>
        <v>0</v>
      </c>
      <c r="AV9" s="49"/>
      <c r="AW9" s="49"/>
      <c r="AX9" s="50">
        <f t="shared" si="9"/>
        <v>0</v>
      </c>
      <c r="AZ9" s="49"/>
      <c r="BA9" s="49"/>
      <c r="BB9" s="50">
        <f t="shared" si="10"/>
        <v>0</v>
      </c>
      <c r="BD9" s="49"/>
      <c r="BE9" s="49"/>
      <c r="BF9" s="50">
        <f t="shared" si="11"/>
        <v>0</v>
      </c>
      <c r="BH9" s="49"/>
      <c r="BI9" s="49"/>
      <c r="BJ9" s="50">
        <f t="shared" si="12"/>
        <v>0</v>
      </c>
      <c r="BL9" s="49"/>
      <c r="BM9" s="49"/>
      <c r="BN9" s="50">
        <f t="shared" si="13"/>
        <v>0</v>
      </c>
      <c r="BP9" s="49"/>
      <c r="BQ9" s="49"/>
      <c r="BR9" s="50">
        <f t="shared" si="14"/>
        <v>0</v>
      </c>
      <c r="BT9" s="49"/>
      <c r="BU9" s="49"/>
      <c r="BV9" s="50">
        <f t="shared" si="15"/>
        <v>0</v>
      </c>
      <c r="BX9" s="49"/>
      <c r="BY9" s="49"/>
      <c r="BZ9" s="50">
        <f t="shared" si="16"/>
        <v>0</v>
      </c>
      <c r="CB9" s="49"/>
      <c r="CC9" s="49"/>
      <c r="CD9" s="50">
        <f t="shared" si="17"/>
        <v>0</v>
      </c>
      <c r="CF9" s="49"/>
      <c r="CG9" s="49"/>
      <c r="CH9" s="50">
        <f t="shared" si="18"/>
        <v>0</v>
      </c>
      <c r="CJ9" s="49"/>
      <c r="CK9" s="49"/>
      <c r="CL9" s="50">
        <f t="shared" si="19"/>
        <v>0</v>
      </c>
      <c r="CN9" s="49"/>
      <c r="CO9" s="49"/>
      <c r="CP9" s="50">
        <f t="shared" si="20"/>
        <v>0</v>
      </c>
      <c r="CR9" s="49"/>
      <c r="CS9" s="49"/>
      <c r="CT9" s="50">
        <f t="shared" si="21"/>
        <v>0</v>
      </c>
      <c r="CV9" s="49"/>
      <c r="CW9" s="49"/>
      <c r="CX9" s="50">
        <f t="shared" si="22"/>
        <v>0</v>
      </c>
      <c r="CZ9" s="49"/>
      <c r="DA9" s="49"/>
      <c r="DB9" s="50">
        <f t="shared" si="23"/>
        <v>0</v>
      </c>
      <c r="DD9" s="49"/>
      <c r="DE9" s="49"/>
      <c r="DF9" s="50">
        <f t="shared" si="24"/>
        <v>0</v>
      </c>
      <c r="DH9" s="49"/>
      <c r="DI9" s="49"/>
      <c r="DJ9" s="50">
        <f t="shared" si="25"/>
        <v>0</v>
      </c>
      <c r="DL9" s="49"/>
      <c r="DM9" s="49"/>
      <c r="DN9" s="50">
        <f t="shared" si="26"/>
        <v>0</v>
      </c>
      <c r="DP9" s="49"/>
      <c r="DQ9" s="49"/>
      <c r="DR9" s="50">
        <f t="shared" si="27"/>
        <v>0</v>
      </c>
      <c r="DT9" s="49"/>
      <c r="DU9" s="49"/>
      <c r="DV9" s="50">
        <f t="shared" si="28"/>
        <v>0</v>
      </c>
      <c r="DX9" s="49"/>
      <c r="DY9" s="49"/>
      <c r="DZ9" s="50">
        <f t="shared" si="29"/>
        <v>0</v>
      </c>
      <c r="EB9" s="49">
        <f t="shared" si="30"/>
        <v>0</v>
      </c>
      <c r="EC9" s="49">
        <f t="shared" si="30"/>
        <v>0</v>
      </c>
      <c r="ED9" s="49">
        <f t="shared" si="30"/>
        <v>0</v>
      </c>
    </row>
    <row r="10" spans="2:134" ht="11" customHeight="1" x14ac:dyDescent="0.35">
      <c r="B10" s="4">
        <v>101205</v>
      </c>
      <c r="C10" s="4" t="s">
        <v>16</v>
      </c>
      <c r="D10" s="4">
        <v>1</v>
      </c>
      <c r="E10" s="5">
        <v>48</v>
      </c>
      <c r="F10" s="6">
        <v>39.4372481296</v>
      </c>
      <c r="G10" s="7"/>
      <c r="H10" s="49"/>
      <c r="I10" s="49"/>
      <c r="J10" s="50">
        <f t="shared" si="31"/>
        <v>0</v>
      </c>
      <c r="K10" s="9"/>
      <c r="L10" s="49"/>
      <c r="M10" s="49"/>
      <c r="N10" s="50">
        <f t="shared" si="0"/>
        <v>0</v>
      </c>
      <c r="O10" s="46"/>
      <c r="P10" s="49"/>
      <c r="Q10" s="49"/>
      <c r="R10" s="50">
        <f t="shared" si="1"/>
        <v>0</v>
      </c>
      <c r="T10" s="49"/>
      <c r="U10" s="49"/>
      <c r="V10" s="50">
        <f t="shared" si="2"/>
        <v>0</v>
      </c>
      <c r="X10" s="49"/>
      <c r="Y10" s="49"/>
      <c r="Z10" s="50">
        <f t="shared" si="3"/>
        <v>0</v>
      </c>
      <c r="AB10" s="49"/>
      <c r="AC10" s="49"/>
      <c r="AD10" s="50">
        <f t="shared" si="4"/>
        <v>0</v>
      </c>
      <c r="AF10" s="49"/>
      <c r="AG10" s="49"/>
      <c r="AH10" s="50">
        <f t="shared" si="5"/>
        <v>0</v>
      </c>
      <c r="AJ10" s="49"/>
      <c r="AK10" s="49"/>
      <c r="AL10" s="50">
        <f t="shared" si="6"/>
        <v>0</v>
      </c>
      <c r="AN10" s="49"/>
      <c r="AO10" s="49"/>
      <c r="AP10" s="50">
        <f t="shared" si="7"/>
        <v>0</v>
      </c>
      <c r="AR10" s="49"/>
      <c r="AS10" s="49"/>
      <c r="AT10" s="50">
        <f t="shared" si="8"/>
        <v>0</v>
      </c>
      <c r="AV10" s="49"/>
      <c r="AW10" s="49"/>
      <c r="AX10" s="50">
        <f t="shared" si="9"/>
        <v>0</v>
      </c>
      <c r="AZ10" s="49"/>
      <c r="BA10" s="49"/>
      <c r="BB10" s="50">
        <f t="shared" si="10"/>
        <v>0</v>
      </c>
      <c r="BD10" s="49"/>
      <c r="BE10" s="49"/>
      <c r="BF10" s="50">
        <f t="shared" si="11"/>
        <v>0</v>
      </c>
      <c r="BH10" s="49"/>
      <c r="BI10" s="49"/>
      <c r="BJ10" s="50">
        <f t="shared" si="12"/>
        <v>0</v>
      </c>
      <c r="BL10" s="49"/>
      <c r="BM10" s="49"/>
      <c r="BN10" s="50">
        <f t="shared" si="13"/>
        <v>0</v>
      </c>
      <c r="BP10" s="49"/>
      <c r="BQ10" s="49"/>
      <c r="BR10" s="50">
        <f t="shared" si="14"/>
        <v>0</v>
      </c>
      <c r="BT10" s="49"/>
      <c r="BU10" s="49"/>
      <c r="BV10" s="50">
        <f t="shared" si="15"/>
        <v>0</v>
      </c>
      <c r="BX10" s="49"/>
      <c r="BY10" s="49"/>
      <c r="BZ10" s="50">
        <f t="shared" si="16"/>
        <v>0</v>
      </c>
      <c r="CB10" s="49"/>
      <c r="CC10" s="49"/>
      <c r="CD10" s="50">
        <f t="shared" si="17"/>
        <v>0</v>
      </c>
      <c r="CF10" s="49"/>
      <c r="CG10" s="49"/>
      <c r="CH10" s="50">
        <f t="shared" si="18"/>
        <v>0</v>
      </c>
      <c r="CJ10" s="49"/>
      <c r="CK10" s="49"/>
      <c r="CL10" s="50">
        <f t="shared" si="19"/>
        <v>0</v>
      </c>
      <c r="CN10" s="49"/>
      <c r="CO10" s="49"/>
      <c r="CP10" s="50">
        <f t="shared" si="20"/>
        <v>0</v>
      </c>
      <c r="CR10" s="49"/>
      <c r="CS10" s="49"/>
      <c r="CT10" s="50">
        <f t="shared" si="21"/>
        <v>0</v>
      </c>
      <c r="CV10" s="49"/>
      <c r="CW10" s="49"/>
      <c r="CX10" s="50">
        <f t="shared" si="22"/>
        <v>0</v>
      </c>
      <c r="CZ10" s="49"/>
      <c r="DA10" s="49"/>
      <c r="DB10" s="50">
        <f t="shared" si="23"/>
        <v>0</v>
      </c>
      <c r="DD10" s="49"/>
      <c r="DE10" s="49"/>
      <c r="DF10" s="50">
        <f t="shared" si="24"/>
        <v>0</v>
      </c>
      <c r="DH10" s="49"/>
      <c r="DI10" s="49"/>
      <c r="DJ10" s="50">
        <f t="shared" si="25"/>
        <v>0</v>
      </c>
      <c r="DL10" s="49"/>
      <c r="DM10" s="49"/>
      <c r="DN10" s="50">
        <f t="shared" si="26"/>
        <v>0</v>
      </c>
      <c r="DP10" s="49"/>
      <c r="DQ10" s="49"/>
      <c r="DR10" s="50">
        <f t="shared" si="27"/>
        <v>0</v>
      </c>
      <c r="DT10" s="49"/>
      <c r="DU10" s="49"/>
      <c r="DV10" s="50">
        <f t="shared" si="28"/>
        <v>0</v>
      </c>
      <c r="DX10" s="49"/>
      <c r="DY10" s="49"/>
      <c r="DZ10" s="50">
        <f t="shared" si="29"/>
        <v>0</v>
      </c>
      <c r="EB10" s="49">
        <f t="shared" si="30"/>
        <v>0</v>
      </c>
      <c r="EC10" s="49">
        <f t="shared" si="30"/>
        <v>0</v>
      </c>
      <c r="ED10" s="49">
        <f t="shared" si="30"/>
        <v>0</v>
      </c>
    </row>
    <row r="11" spans="2:134" ht="11" customHeight="1" x14ac:dyDescent="0.35">
      <c r="B11" s="4">
        <v>101333</v>
      </c>
      <c r="C11" s="4" t="s">
        <v>17</v>
      </c>
      <c r="D11" s="4">
        <v>24</v>
      </c>
      <c r="E11" s="5">
        <v>24</v>
      </c>
      <c r="F11" s="6">
        <v>189.29879107400001</v>
      </c>
      <c r="G11" s="7"/>
      <c r="H11" s="49"/>
      <c r="I11" s="49"/>
      <c r="J11" s="50">
        <f t="shared" si="31"/>
        <v>0</v>
      </c>
      <c r="K11" s="9"/>
      <c r="L11" s="49"/>
      <c r="M11" s="49"/>
      <c r="N11" s="50">
        <f t="shared" si="0"/>
        <v>0</v>
      </c>
      <c r="O11" s="46"/>
      <c r="P11" s="49"/>
      <c r="Q11" s="49"/>
      <c r="R11" s="50">
        <f t="shared" si="1"/>
        <v>0</v>
      </c>
      <c r="T11" s="49"/>
      <c r="U11" s="49"/>
      <c r="V11" s="50">
        <f t="shared" si="2"/>
        <v>0</v>
      </c>
      <c r="X11" s="49"/>
      <c r="Y11" s="49"/>
      <c r="Z11" s="50">
        <f t="shared" si="3"/>
        <v>0</v>
      </c>
      <c r="AB11" s="49"/>
      <c r="AC11" s="49"/>
      <c r="AD11" s="50">
        <f t="shared" si="4"/>
        <v>0</v>
      </c>
      <c r="AF11" s="49"/>
      <c r="AG11" s="49"/>
      <c r="AH11" s="50">
        <f t="shared" si="5"/>
        <v>0</v>
      </c>
      <c r="AJ11" s="49"/>
      <c r="AK11" s="49"/>
      <c r="AL11" s="50">
        <f t="shared" si="6"/>
        <v>0</v>
      </c>
      <c r="AN11" s="49"/>
      <c r="AO11" s="49"/>
      <c r="AP11" s="50">
        <f t="shared" si="7"/>
        <v>0</v>
      </c>
      <c r="AR11" s="49"/>
      <c r="AS11" s="49"/>
      <c r="AT11" s="50">
        <f t="shared" si="8"/>
        <v>0</v>
      </c>
      <c r="AV11" s="49"/>
      <c r="AW11" s="49"/>
      <c r="AX11" s="50">
        <f t="shared" si="9"/>
        <v>0</v>
      </c>
      <c r="AZ11" s="49"/>
      <c r="BA11" s="49"/>
      <c r="BB11" s="50">
        <f t="shared" si="10"/>
        <v>0</v>
      </c>
      <c r="BD11" s="49"/>
      <c r="BE11" s="49"/>
      <c r="BF11" s="50">
        <f t="shared" si="11"/>
        <v>0</v>
      </c>
      <c r="BH11" s="49"/>
      <c r="BI11" s="49"/>
      <c r="BJ11" s="50">
        <f t="shared" si="12"/>
        <v>0</v>
      </c>
      <c r="BL11" s="49"/>
      <c r="BM11" s="49"/>
      <c r="BN11" s="50">
        <f t="shared" si="13"/>
        <v>0</v>
      </c>
      <c r="BP11" s="49"/>
      <c r="BQ11" s="49"/>
      <c r="BR11" s="50">
        <f t="shared" si="14"/>
        <v>0</v>
      </c>
      <c r="BT11" s="49"/>
      <c r="BU11" s="49"/>
      <c r="BV11" s="50">
        <f t="shared" si="15"/>
        <v>0</v>
      </c>
      <c r="BX11" s="49"/>
      <c r="BY11" s="49"/>
      <c r="BZ11" s="50">
        <f t="shared" si="16"/>
        <v>0</v>
      </c>
      <c r="CB11" s="49"/>
      <c r="CC11" s="49"/>
      <c r="CD11" s="50">
        <f t="shared" si="17"/>
        <v>0</v>
      </c>
      <c r="CF11" s="49"/>
      <c r="CG11" s="49"/>
      <c r="CH11" s="50">
        <f t="shared" si="18"/>
        <v>0</v>
      </c>
      <c r="CJ11" s="49"/>
      <c r="CK11" s="49"/>
      <c r="CL11" s="50">
        <f t="shared" si="19"/>
        <v>0</v>
      </c>
      <c r="CN11" s="49"/>
      <c r="CO11" s="49"/>
      <c r="CP11" s="50">
        <f t="shared" si="20"/>
        <v>0</v>
      </c>
      <c r="CR11" s="49"/>
      <c r="CS11" s="49"/>
      <c r="CT11" s="50">
        <f t="shared" si="21"/>
        <v>0</v>
      </c>
      <c r="CV11" s="49"/>
      <c r="CW11" s="49"/>
      <c r="CX11" s="50">
        <f t="shared" si="22"/>
        <v>0</v>
      </c>
      <c r="CZ11" s="49"/>
      <c r="DA11" s="49"/>
      <c r="DB11" s="50">
        <f t="shared" si="23"/>
        <v>0</v>
      </c>
      <c r="DD11" s="49"/>
      <c r="DE11" s="49"/>
      <c r="DF11" s="50">
        <f t="shared" si="24"/>
        <v>0</v>
      </c>
      <c r="DH11" s="49"/>
      <c r="DI11" s="49"/>
      <c r="DJ11" s="50">
        <f t="shared" si="25"/>
        <v>0</v>
      </c>
      <c r="DL11" s="49"/>
      <c r="DM11" s="49"/>
      <c r="DN11" s="50">
        <f t="shared" si="26"/>
        <v>0</v>
      </c>
      <c r="DP11" s="49"/>
      <c r="DQ11" s="49"/>
      <c r="DR11" s="50">
        <f t="shared" si="27"/>
        <v>0</v>
      </c>
      <c r="DT11" s="49"/>
      <c r="DU11" s="49"/>
      <c r="DV11" s="50">
        <f t="shared" si="28"/>
        <v>0</v>
      </c>
      <c r="DX11" s="49"/>
      <c r="DY11" s="49"/>
      <c r="DZ11" s="50">
        <f t="shared" si="29"/>
        <v>0</v>
      </c>
      <c r="EB11" s="49">
        <f t="shared" si="30"/>
        <v>0</v>
      </c>
      <c r="EC11" s="49">
        <f t="shared" si="30"/>
        <v>0</v>
      </c>
      <c r="ED11" s="49">
        <f t="shared" si="30"/>
        <v>0</v>
      </c>
    </row>
    <row r="12" spans="2:134" ht="11" customHeight="1" x14ac:dyDescent="0.35">
      <c r="B12" s="4">
        <v>101354</v>
      </c>
      <c r="C12" s="4" t="s">
        <v>18</v>
      </c>
      <c r="D12" s="4">
        <v>24</v>
      </c>
      <c r="E12" s="5">
        <v>24</v>
      </c>
      <c r="F12" s="6">
        <v>189.29879107400001</v>
      </c>
      <c r="G12" s="7"/>
      <c r="H12" s="49"/>
      <c r="I12" s="49"/>
      <c r="J12" s="50">
        <f t="shared" si="31"/>
        <v>0</v>
      </c>
      <c r="K12" s="9"/>
      <c r="L12" s="49"/>
      <c r="M12" s="49"/>
      <c r="N12" s="50">
        <f t="shared" si="0"/>
        <v>0</v>
      </c>
      <c r="O12" s="46"/>
      <c r="P12" s="49"/>
      <c r="Q12" s="49"/>
      <c r="R12" s="50">
        <f t="shared" si="1"/>
        <v>0</v>
      </c>
      <c r="T12" s="49"/>
      <c r="U12" s="49"/>
      <c r="V12" s="50">
        <f t="shared" si="2"/>
        <v>0</v>
      </c>
      <c r="X12" s="49"/>
      <c r="Y12" s="49"/>
      <c r="Z12" s="50">
        <f t="shared" si="3"/>
        <v>0</v>
      </c>
      <c r="AB12" s="49"/>
      <c r="AC12" s="49"/>
      <c r="AD12" s="50">
        <f t="shared" si="4"/>
        <v>0</v>
      </c>
      <c r="AF12" s="49"/>
      <c r="AG12" s="49"/>
      <c r="AH12" s="50">
        <f t="shared" si="5"/>
        <v>0</v>
      </c>
      <c r="AJ12" s="49"/>
      <c r="AK12" s="49"/>
      <c r="AL12" s="50">
        <f t="shared" si="6"/>
        <v>0</v>
      </c>
      <c r="AN12" s="49"/>
      <c r="AO12" s="49"/>
      <c r="AP12" s="50">
        <f t="shared" si="7"/>
        <v>0</v>
      </c>
      <c r="AR12" s="49"/>
      <c r="AS12" s="49"/>
      <c r="AT12" s="50">
        <f t="shared" si="8"/>
        <v>0</v>
      </c>
      <c r="AV12" s="49"/>
      <c r="AW12" s="49"/>
      <c r="AX12" s="50">
        <f t="shared" si="9"/>
        <v>0</v>
      </c>
      <c r="AZ12" s="49"/>
      <c r="BA12" s="49"/>
      <c r="BB12" s="50">
        <f t="shared" si="10"/>
        <v>0</v>
      </c>
      <c r="BD12" s="49"/>
      <c r="BE12" s="49"/>
      <c r="BF12" s="50">
        <f t="shared" si="11"/>
        <v>0</v>
      </c>
      <c r="BH12" s="49"/>
      <c r="BI12" s="49"/>
      <c r="BJ12" s="50">
        <f t="shared" si="12"/>
        <v>0</v>
      </c>
      <c r="BL12" s="49"/>
      <c r="BM12" s="49"/>
      <c r="BN12" s="50">
        <f t="shared" si="13"/>
        <v>0</v>
      </c>
      <c r="BP12" s="49"/>
      <c r="BQ12" s="49"/>
      <c r="BR12" s="50">
        <f t="shared" si="14"/>
        <v>0</v>
      </c>
      <c r="BT12" s="49"/>
      <c r="BU12" s="49"/>
      <c r="BV12" s="50">
        <f t="shared" si="15"/>
        <v>0</v>
      </c>
      <c r="BX12" s="49"/>
      <c r="BY12" s="49"/>
      <c r="BZ12" s="50">
        <f t="shared" si="16"/>
        <v>0</v>
      </c>
      <c r="CB12" s="49"/>
      <c r="CC12" s="49"/>
      <c r="CD12" s="50">
        <f t="shared" si="17"/>
        <v>0</v>
      </c>
      <c r="CF12" s="49"/>
      <c r="CG12" s="49"/>
      <c r="CH12" s="50">
        <f t="shared" si="18"/>
        <v>0</v>
      </c>
      <c r="CJ12" s="49"/>
      <c r="CK12" s="49"/>
      <c r="CL12" s="50">
        <f t="shared" si="19"/>
        <v>0</v>
      </c>
      <c r="CN12" s="49"/>
      <c r="CO12" s="49"/>
      <c r="CP12" s="50">
        <f t="shared" si="20"/>
        <v>0</v>
      </c>
      <c r="CR12" s="49"/>
      <c r="CS12" s="49"/>
      <c r="CT12" s="50">
        <f t="shared" si="21"/>
        <v>0</v>
      </c>
      <c r="CV12" s="49"/>
      <c r="CW12" s="49"/>
      <c r="CX12" s="50">
        <f t="shared" si="22"/>
        <v>0</v>
      </c>
      <c r="CZ12" s="49"/>
      <c r="DA12" s="49"/>
      <c r="DB12" s="50">
        <f t="shared" si="23"/>
        <v>0</v>
      </c>
      <c r="DD12" s="49"/>
      <c r="DE12" s="49"/>
      <c r="DF12" s="50">
        <f t="shared" si="24"/>
        <v>0</v>
      </c>
      <c r="DH12" s="49"/>
      <c r="DI12" s="49"/>
      <c r="DJ12" s="50">
        <f t="shared" si="25"/>
        <v>0</v>
      </c>
      <c r="DL12" s="49"/>
      <c r="DM12" s="49"/>
      <c r="DN12" s="50">
        <f t="shared" si="26"/>
        <v>0</v>
      </c>
      <c r="DP12" s="49"/>
      <c r="DQ12" s="49"/>
      <c r="DR12" s="50">
        <f t="shared" si="27"/>
        <v>0</v>
      </c>
      <c r="DT12" s="49"/>
      <c r="DU12" s="49"/>
      <c r="DV12" s="50">
        <f t="shared" si="28"/>
        <v>0</v>
      </c>
      <c r="DX12" s="49"/>
      <c r="DY12" s="49"/>
      <c r="DZ12" s="50">
        <f t="shared" si="29"/>
        <v>0</v>
      </c>
      <c r="EB12" s="49">
        <f t="shared" si="30"/>
        <v>0</v>
      </c>
      <c r="EC12" s="49">
        <f t="shared" si="30"/>
        <v>0</v>
      </c>
      <c r="ED12" s="49">
        <f t="shared" si="30"/>
        <v>0</v>
      </c>
    </row>
    <row r="13" spans="2:134" ht="11" customHeight="1" x14ac:dyDescent="0.35">
      <c r="B13" s="4">
        <v>101835</v>
      </c>
      <c r="C13" s="4" t="s">
        <v>19</v>
      </c>
      <c r="D13" s="4">
        <v>24</v>
      </c>
      <c r="E13" s="5">
        <v>24</v>
      </c>
      <c r="F13" s="6">
        <v>192.453575</v>
      </c>
      <c r="G13" s="7"/>
      <c r="H13" s="49"/>
      <c r="I13" s="49"/>
      <c r="J13" s="50">
        <f t="shared" si="31"/>
        <v>0</v>
      </c>
      <c r="K13" s="9"/>
      <c r="L13" s="49"/>
      <c r="M13" s="49"/>
      <c r="N13" s="50">
        <f t="shared" si="0"/>
        <v>0</v>
      </c>
      <c r="O13" s="46"/>
      <c r="P13" s="49"/>
      <c r="Q13" s="49"/>
      <c r="R13" s="50">
        <f t="shared" si="1"/>
        <v>0</v>
      </c>
      <c r="T13" s="49"/>
      <c r="U13" s="49"/>
      <c r="V13" s="50">
        <f t="shared" si="2"/>
        <v>0</v>
      </c>
      <c r="X13" s="49"/>
      <c r="Y13" s="49"/>
      <c r="Z13" s="50">
        <f t="shared" si="3"/>
        <v>0</v>
      </c>
      <c r="AB13" s="49"/>
      <c r="AC13" s="49"/>
      <c r="AD13" s="50">
        <f t="shared" si="4"/>
        <v>0</v>
      </c>
      <c r="AF13" s="49"/>
      <c r="AG13" s="49"/>
      <c r="AH13" s="50">
        <f t="shared" si="5"/>
        <v>0</v>
      </c>
      <c r="AJ13" s="49"/>
      <c r="AK13" s="49"/>
      <c r="AL13" s="50">
        <f t="shared" si="6"/>
        <v>0</v>
      </c>
      <c r="AN13" s="49"/>
      <c r="AO13" s="49"/>
      <c r="AP13" s="50">
        <f t="shared" si="7"/>
        <v>0</v>
      </c>
      <c r="AR13" s="49"/>
      <c r="AS13" s="49"/>
      <c r="AT13" s="50">
        <f t="shared" si="8"/>
        <v>0</v>
      </c>
      <c r="AV13" s="49"/>
      <c r="AW13" s="49"/>
      <c r="AX13" s="50">
        <f t="shared" si="9"/>
        <v>0</v>
      </c>
      <c r="AZ13" s="49"/>
      <c r="BA13" s="49"/>
      <c r="BB13" s="50">
        <f t="shared" si="10"/>
        <v>0</v>
      </c>
      <c r="BD13" s="49"/>
      <c r="BE13" s="49"/>
      <c r="BF13" s="50">
        <f t="shared" si="11"/>
        <v>0</v>
      </c>
      <c r="BH13" s="49"/>
      <c r="BI13" s="49"/>
      <c r="BJ13" s="50">
        <f t="shared" si="12"/>
        <v>0</v>
      </c>
      <c r="BL13" s="49"/>
      <c r="BM13" s="49"/>
      <c r="BN13" s="50">
        <f t="shared" si="13"/>
        <v>0</v>
      </c>
      <c r="BP13" s="49"/>
      <c r="BQ13" s="49"/>
      <c r="BR13" s="50">
        <f t="shared" si="14"/>
        <v>0</v>
      </c>
      <c r="BT13" s="49"/>
      <c r="BU13" s="49"/>
      <c r="BV13" s="50">
        <f t="shared" si="15"/>
        <v>0</v>
      </c>
      <c r="BX13" s="49"/>
      <c r="BY13" s="49"/>
      <c r="BZ13" s="50">
        <f t="shared" si="16"/>
        <v>0</v>
      </c>
      <c r="CB13" s="49"/>
      <c r="CC13" s="49"/>
      <c r="CD13" s="50">
        <f t="shared" si="17"/>
        <v>0</v>
      </c>
      <c r="CF13" s="49"/>
      <c r="CG13" s="49"/>
      <c r="CH13" s="50">
        <f t="shared" si="18"/>
        <v>0</v>
      </c>
      <c r="CJ13" s="49"/>
      <c r="CK13" s="49"/>
      <c r="CL13" s="50">
        <f t="shared" si="19"/>
        <v>0</v>
      </c>
      <c r="CN13" s="49"/>
      <c r="CO13" s="49"/>
      <c r="CP13" s="50">
        <f t="shared" si="20"/>
        <v>0</v>
      </c>
      <c r="CR13" s="49"/>
      <c r="CS13" s="49"/>
      <c r="CT13" s="50">
        <f t="shared" si="21"/>
        <v>0</v>
      </c>
      <c r="CV13" s="49"/>
      <c r="CW13" s="49"/>
      <c r="CX13" s="50">
        <f t="shared" si="22"/>
        <v>0</v>
      </c>
      <c r="CZ13" s="49"/>
      <c r="DA13" s="49"/>
      <c r="DB13" s="50">
        <f t="shared" si="23"/>
        <v>0</v>
      </c>
      <c r="DD13" s="49"/>
      <c r="DE13" s="49"/>
      <c r="DF13" s="50">
        <f t="shared" si="24"/>
        <v>0</v>
      </c>
      <c r="DH13" s="49"/>
      <c r="DI13" s="49"/>
      <c r="DJ13" s="50">
        <f t="shared" si="25"/>
        <v>0</v>
      </c>
      <c r="DL13" s="49"/>
      <c r="DM13" s="49"/>
      <c r="DN13" s="50">
        <f t="shared" si="26"/>
        <v>0</v>
      </c>
      <c r="DP13" s="49"/>
      <c r="DQ13" s="49"/>
      <c r="DR13" s="50">
        <f t="shared" si="27"/>
        <v>0</v>
      </c>
      <c r="DT13" s="49"/>
      <c r="DU13" s="49"/>
      <c r="DV13" s="50">
        <f t="shared" si="28"/>
        <v>0</v>
      </c>
      <c r="DX13" s="49"/>
      <c r="DY13" s="49"/>
      <c r="DZ13" s="50">
        <f t="shared" si="29"/>
        <v>0</v>
      </c>
      <c r="EB13" s="49">
        <f t="shared" si="30"/>
        <v>0</v>
      </c>
      <c r="EC13" s="49">
        <f t="shared" si="30"/>
        <v>0</v>
      </c>
      <c r="ED13" s="49">
        <f t="shared" si="30"/>
        <v>0</v>
      </c>
    </row>
    <row r="14" spans="2:134" ht="11" customHeight="1" x14ac:dyDescent="0.35">
      <c r="B14" s="4">
        <v>101861</v>
      </c>
      <c r="C14" s="4" t="s">
        <v>20</v>
      </c>
      <c r="D14" s="4">
        <v>24</v>
      </c>
      <c r="E14" s="5">
        <v>12</v>
      </c>
      <c r="F14" s="6">
        <v>187.195471164</v>
      </c>
      <c r="G14" s="7"/>
      <c r="H14" s="49"/>
      <c r="I14" s="49"/>
      <c r="J14" s="50">
        <f t="shared" si="31"/>
        <v>0</v>
      </c>
      <c r="K14" s="9"/>
      <c r="L14" s="49"/>
      <c r="M14" s="49"/>
      <c r="N14" s="50">
        <f t="shared" si="0"/>
        <v>0</v>
      </c>
      <c r="O14" s="46"/>
      <c r="P14" s="49"/>
      <c r="Q14" s="49"/>
      <c r="R14" s="50">
        <f t="shared" si="1"/>
        <v>0</v>
      </c>
      <c r="T14" s="49"/>
      <c r="U14" s="49"/>
      <c r="V14" s="50">
        <f t="shared" si="2"/>
        <v>0</v>
      </c>
      <c r="X14" s="49"/>
      <c r="Y14" s="49"/>
      <c r="Z14" s="50">
        <f t="shared" si="3"/>
        <v>0</v>
      </c>
      <c r="AB14" s="49"/>
      <c r="AC14" s="49"/>
      <c r="AD14" s="50">
        <f t="shared" si="4"/>
        <v>0</v>
      </c>
      <c r="AF14" s="49"/>
      <c r="AG14" s="49"/>
      <c r="AH14" s="50">
        <f t="shared" si="5"/>
        <v>0</v>
      </c>
      <c r="AJ14" s="49"/>
      <c r="AK14" s="49"/>
      <c r="AL14" s="50">
        <f t="shared" si="6"/>
        <v>0</v>
      </c>
      <c r="AN14" s="49"/>
      <c r="AO14" s="49"/>
      <c r="AP14" s="50">
        <f t="shared" si="7"/>
        <v>0</v>
      </c>
      <c r="AR14" s="49"/>
      <c r="AS14" s="49"/>
      <c r="AT14" s="50">
        <f t="shared" si="8"/>
        <v>0</v>
      </c>
      <c r="AV14" s="49"/>
      <c r="AW14" s="49"/>
      <c r="AX14" s="50">
        <f t="shared" si="9"/>
        <v>0</v>
      </c>
      <c r="AZ14" s="49"/>
      <c r="BA14" s="49"/>
      <c r="BB14" s="50">
        <f t="shared" si="10"/>
        <v>0</v>
      </c>
      <c r="BD14" s="49"/>
      <c r="BE14" s="49"/>
      <c r="BF14" s="50">
        <f t="shared" si="11"/>
        <v>0</v>
      </c>
      <c r="BH14" s="49"/>
      <c r="BI14" s="49"/>
      <c r="BJ14" s="50">
        <f t="shared" si="12"/>
        <v>0</v>
      </c>
      <c r="BL14" s="49"/>
      <c r="BM14" s="49"/>
      <c r="BN14" s="50">
        <f t="shared" si="13"/>
        <v>0</v>
      </c>
      <c r="BP14" s="49"/>
      <c r="BQ14" s="49"/>
      <c r="BR14" s="50">
        <f t="shared" si="14"/>
        <v>0</v>
      </c>
      <c r="BT14" s="49"/>
      <c r="BU14" s="49"/>
      <c r="BV14" s="50">
        <f t="shared" si="15"/>
        <v>0</v>
      </c>
      <c r="BX14" s="49"/>
      <c r="BY14" s="49"/>
      <c r="BZ14" s="50">
        <f t="shared" si="16"/>
        <v>0</v>
      </c>
      <c r="CB14" s="49"/>
      <c r="CC14" s="49"/>
      <c r="CD14" s="50">
        <f t="shared" si="17"/>
        <v>0</v>
      </c>
      <c r="CF14" s="49"/>
      <c r="CG14" s="49"/>
      <c r="CH14" s="50">
        <f t="shared" si="18"/>
        <v>0</v>
      </c>
      <c r="CJ14" s="49"/>
      <c r="CK14" s="49"/>
      <c r="CL14" s="50">
        <f t="shared" si="19"/>
        <v>0</v>
      </c>
      <c r="CN14" s="49"/>
      <c r="CO14" s="49"/>
      <c r="CP14" s="50">
        <f t="shared" si="20"/>
        <v>0</v>
      </c>
      <c r="CR14" s="49"/>
      <c r="CS14" s="49"/>
      <c r="CT14" s="50">
        <f t="shared" si="21"/>
        <v>0</v>
      </c>
      <c r="CV14" s="49"/>
      <c r="CW14" s="49"/>
      <c r="CX14" s="50">
        <f t="shared" si="22"/>
        <v>0</v>
      </c>
      <c r="CZ14" s="49"/>
      <c r="DA14" s="49"/>
      <c r="DB14" s="50">
        <f t="shared" si="23"/>
        <v>0</v>
      </c>
      <c r="DD14" s="49"/>
      <c r="DE14" s="49"/>
      <c r="DF14" s="50">
        <f t="shared" si="24"/>
        <v>0</v>
      </c>
      <c r="DH14" s="49"/>
      <c r="DI14" s="49"/>
      <c r="DJ14" s="50">
        <f t="shared" si="25"/>
        <v>0</v>
      </c>
      <c r="DL14" s="49"/>
      <c r="DM14" s="49"/>
      <c r="DN14" s="50">
        <f t="shared" si="26"/>
        <v>0</v>
      </c>
      <c r="DP14" s="49"/>
      <c r="DQ14" s="49"/>
      <c r="DR14" s="50">
        <f t="shared" si="27"/>
        <v>0</v>
      </c>
      <c r="DT14" s="49"/>
      <c r="DU14" s="49"/>
      <c r="DV14" s="50">
        <f t="shared" si="28"/>
        <v>0</v>
      </c>
      <c r="DX14" s="49"/>
      <c r="DY14" s="49"/>
      <c r="DZ14" s="50">
        <f t="shared" si="29"/>
        <v>0</v>
      </c>
      <c r="EB14" s="49">
        <f t="shared" si="30"/>
        <v>0</v>
      </c>
      <c r="EC14" s="49">
        <f t="shared" si="30"/>
        <v>0</v>
      </c>
      <c r="ED14" s="49">
        <f t="shared" si="30"/>
        <v>0</v>
      </c>
    </row>
    <row r="15" spans="2:134" ht="11" customHeight="1" x14ac:dyDescent="0.35">
      <c r="B15" s="4">
        <v>101879</v>
      </c>
      <c r="C15" s="4" t="s">
        <v>21</v>
      </c>
      <c r="D15" s="4">
        <v>18</v>
      </c>
      <c r="E15" s="5">
        <v>18</v>
      </c>
      <c r="F15" s="6">
        <v>288.68044392000002</v>
      </c>
      <c r="G15" s="7"/>
      <c r="H15" s="49"/>
      <c r="I15" s="49"/>
      <c r="J15" s="50">
        <f t="shared" si="31"/>
        <v>0</v>
      </c>
      <c r="K15" s="9"/>
      <c r="L15" s="49"/>
      <c r="M15" s="49"/>
      <c r="N15" s="50">
        <f t="shared" si="0"/>
        <v>0</v>
      </c>
      <c r="O15" s="46"/>
      <c r="P15" s="49"/>
      <c r="Q15" s="49"/>
      <c r="R15" s="50">
        <f t="shared" si="1"/>
        <v>0</v>
      </c>
      <c r="T15" s="49"/>
      <c r="U15" s="49"/>
      <c r="V15" s="50">
        <f t="shared" si="2"/>
        <v>0</v>
      </c>
      <c r="X15" s="49"/>
      <c r="Y15" s="49"/>
      <c r="Z15" s="50">
        <f t="shared" si="3"/>
        <v>0</v>
      </c>
      <c r="AB15" s="49"/>
      <c r="AC15" s="49"/>
      <c r="AD15" s="50">
        <f t="shared" si="4"/>
        <v>0</v>
      </c>
      <c r="AF15" s="49"/>
      <c r="AG15" s="49"/>
      <c r="AH15" s="50">
        <f t="shared" si="5"/>
        <v>0</v>
      </c>
      <c r="AJ15" s="49"/>
      <c r="AK15" s="49"/>
      <c r="AL15" s="50">
        <f t="shared" si="6"/>
        <v>0</v>
      </c>
      <c r="AN15" s="49"/>
      <c r="AO15" s="49"/>
      <c r="AP15" s="50">
        <f t="shared" si="7"/>
        <v>0</v>
      </c>
      <c r="AR15" s="49"/>
      <c r="AS15" s="49"/>
      <c r="AT15" s="50">
        <f t="shared" si="8"/>
        <v>0</v>
      </c>
      <c r="AV15" s="49"/>
      <c r="AW15" s="49"/>
      <c r="AX15" s="50">
        <f t="shared" si="9"/>
        <v>0</v>
      </c>
      <c r="AZ15" s="49"/>
      <c r="BA15" s="49"/>
      <c r="BB15" s="50">
        <f t="shared" si="10"/>
        <v>0</v>
      </c>
      <c r="BD15" s="49"/>
      <c r="BE15" s="49"/>
      <c r="BF15" s="50">
        <f t="shared" si="11"/>
        <v>0</v>
      </c>
      <c r="BH15" s="49"/>
      <c r="BI15" s="49"/>
      <c r="BJ15" s="50">
        <f t="shared" si="12"/>
        <v>0</v>
      </c>
      <c r="BL15" s="49"/>
      <c r="BM15" s="49"/>
      <c r="BN15" s="50">
        <f t="shared" si="13"/>
        <v>0</v>
      </c>
      <c r="BP15" s="49"/>
      <c r="BQ15" s="49"/>
      <c r="BR15" s="50">
        <f t="shared" si="14"/>
        <v>0</v>
      </c>
      <c r="BT15" s="49"/>
      <c r="BU15" s="49"/>
      <c r="BV15" s="50">
        <f t="shared" si="15"/>
        <v>0</v>
      </c>
      <c r="BX15" s="49"/>
      <c r="BY15" s="49"/>
      <c r="BZ15" s="50">
        <f t="shared" si="16"/>
        <v>0</v>
      </c>
      <c r="CB15" s="49"/>
      <c r="CC15" s="49"/>
      <c r="CD15" s="50">
        <f t="shared" si="17"/>
        <v>0</v>
      </c>
      <c r="CF15" s="49"/>
      <c r="CG15" s="49"/>
      <c r="CH15" s="50">
        <f t="shared" si="18"/>
        <v>0</v>
      </c>
      <c r="CJ15" s="49"/>
      <c r="CK15" s="49"/>
      <c r="CL15" s="50">
        <f t="shared" si="19"/>
        <v>0</v>
      </c>
      <c r="CN15" s="49"/>
      <c r="CO15" s="49"/>
      <c r="CP15" s="50">
        <f t="shared" si="20"/>
        <v>0</v>
      </c>
      <c r="CR15" s="49"/>
      <c r="CS15" s="49"/>
      <c r="CT15" s="50">
        <f t="shared" si="21"/>
        <v>0</v>
      </c>
      <c r="CV15" s="49"/>
      <c r="CW15" s="49"/>
      <c r="CX15" s="50">
        <f t="shared" si="22"/>
        <v>0</v>
      </c>
      <c r="CZ15" s="49"/>
      <c r="DA15" s="49"/>
      <c r="DB15" s="50">
        <f t="shared" si="23"/>
        <v>0</v>
      </c>
      <c r="DD15" s="49"/>
      <c r="DE15" s="49"/>
      <c r="DF15" s="50">
        <f t="shared" si="24"/>
        <v>0</v>
      </c>
      <c r="DH15" s="49"/>
      <c r="DI15" s="49"/>
      <c r="DJ15" s="50">
        <f t="shared" si="25"/>
        <v>0</v>
      </c>
      <c r="DL15" s="49"/>
      <c r="DM15" s="49"/>
      <c r="DN15" s="50">
        <f t="shared" si="26"/>
        <v>0</v>
      </c>
      <c r="DP15" s="49"/>
      <c r="DQ15" s="49"/>
      <c r="DR15" s="50">
        <f t="shared" si="27"/>
        <v>0</v>
      </c>
      <c r="DT15" s="49"/>
      <c r="DU15" s="49"/>
      <c r="DV15" s="50">
        <f t="shared" si="28"/>
        <v>0</v>
      </c>
      <c r="DX15" s="49"/>
      <c r="DY15" s="49"/>
      <c r="DZ15" s="50">
        <f t="shared" si="29"/>
        <v>0</v>
      </c>
      <c r="EB15" s="49">
        <f t="shared" si="30"/>
        <v>0</v>
      </c>
      <c r="EC15" s="49">
        <f t="shared" si="30"/>
        <v>0</v>
      </c>
      <c r="ED15" s="49">
        <f t="shared" si="30"/>
        <v>0</v>
      </c>
    </row>
    <row r="16" spans="2:134" ht="11" customHeight="1" x14ac:dyDescent="0.35">
      <c r="B16" s="4">
        <v>101930</v>
      </c>
      <c r="C16" s="4" t="s">
        <v>22</v>
      </c>
      <c r="D16" s="4">
        <v>12</v>
      </c>
      <c r="E16" s="5">
        <v>8</v>
      </c>
      <c r="F16" s="6">
        <v>481.13467500000002</v>
      </c>
      <c r="G16" s="7"/>
      <c r="H16" s="49"/>
      <c r="I16" s="49"/>
      <c r="J16" s="50">
        <f t="shared" si="31"/>
        <v>0</v>
      </c>
      <c r="K16" s="9"/>
      <c r="L16" s="49"/>
      <c r="M16" s="49"/>
      <c r="N16" s="50">
        <f t="shared" si="0"/>
        <v>0</v>
      </c>
      <c r="O16" s="46"/>
      <c r="P16" s="49"/>
      <c r="Q16" s="49"/>
      <c r="R16" s="50">
        <f t="shared" si="1"/>
        <v>0</v>
      </c>
      <c r="T16" s="49"/>
      <c r="U16" s="49"/>
      <c r="V16" s="50">
        <f t="shared" si="2"/>
        <v>0</v>
      </c>
      <c r="X16" s="49"/>
      <c r="Y16" s="49"/>
      <c r="Z16" s="50">
        <f t="shared" si="3"/>
        <v>0</v>
      </c>
      <c r="AB16" s="49"/>
      <c r="AC16" s="49"/>
      <c r="AD16" s="50">
        <f t="shared" si="4"/>
        <v>0</v>
      </c>
      <c r="AF16" s="49"/>
      <c r="AG16" s="49"/>
      <c r="AH16" s="50">
        <f t="shared" si="5"/>
        <v>0</v>
      </c>
      <c r="AJ16" s="49"/>
      <c r="AK16" s="49"/>
      <c r="AL16" s="50">
        <f t="shared" si="6"/>
        <v>0</v>
      </c>
      <c r="AN16" s="49"/>
      <c r="AO16" s="49"/>
      <c r="AP16" s="50">
        <f t="shared" si="7"/>
        <v>0</v>
      </c>
      <c r="AR16" s="49"/>
      <c r="AS16" s="49"/>
      <c r="AT16" s="50">
        <f t="shared" si="8"/>
        <v>0</v>
      </c>
      <c r="AV16" s="49"/>
      <c r="AW16" s="49"/>
      <c r="AX16" s="50">
        <f t="shared" si="9"/>
        <v>0</v>
      </c>
      <c r="AZ16" s="49"/>
      <c r="BA16" s="49"/>
      <c r="BB16" s="50">
        <f t="shared" si="10"/>
        <v>0</v>
      </c>
      <c r="BD16" s="49"/>
      <c r="BE16" s="49"/>
      <c r="BF16" s="50">
        <f t="shared" si="11"/>
        <v>0</v>
      </c>
      <c r="BH16" s="49"/>
      <c r="BI16" s="49"/>
      <c r="BJ16" s="50">
        <f t="shared" si="12"/>
        <v>0</v>
      </c>
      <c r="BL16" s="49"/>
      <c r="BM16" s="49"/>
      <c r="BN16" s="50">
        <f t="shared" si="13"/>
        <v>0</v>
      </c>
      <c r="BP16" s="49"/>
      <c r="BQ16" s="49"/>
      <c r="BR16" s="50">
        <f t="shared" si="14"/>
        <v>0</v>
      </c>
      <c r="BT16" s="49"/>
      <c r="BU16" s="49"/>
      <c r="BV16" s="50">
        <f t="shared" si="15"/>
        <v>0</v>
      </c>
      <c r="BX16" s="49"/>
      <c r="BY16" s="49"/>
      <c r="BZ16" s="50">
        <f t="shared" si="16"/>
        <v>0</v>
      </c>
      <c r="CB16" s="49"/>
      <c r="CC16" s="49"/>
      <c r="CD16" s="50">
        <f t="shared" si="17"/>
        <v>0</v>
      </c>
      <c r="CF16" s="49"/>
      <c r="CG16" s="49"/>
      <c r="CH16" s="50">
        <f t="shared" si="18"/>
        <v>0</v>
      </c>
      <c r="CJ16" s="49"/>
      <c r="CK16" s="49"/>
      <c r="CL16" s="50">
        <f t="shared" si="19"/>
        <v>0</v>
      </c>
      <c r="CN16" s="49"/>
      <c r="CO16" s="49"/>
      <c r="CP16" s="50">
        <f t="shared" si="20"/>
        <v>0</v>
      </c>
      <c r="CR16" s="49"/>
      <c r="CS16" s="49"/>
      <c r="CT16" s="50">
        <f t="shared" si="21"/>
        <v>0</v>
      </c>
      <c r="CV16" s="49"/>
      <c r="CW16" s="49"/>
      <c r="CX16" s="50">
        <f t="shared" si="22"/>
        <v>0</v>
      </c>
      <c r="CZ16" s="49"/>
      <c r="DA16" s="49"/>
      <c r="DB16" s="50">
        <f t="shared" si="23"/>
        <v>0</v>
      </c>
      <c r="DD16" s="49"/>
      <c r="DE16" s="49"/>
      <c r="DF16" s="50">
        <f t="shared" si="24"/>
        <v>0</v>
      </c>
      <c r="DH16" s="49"/>
      <c r="DI16" s="49"/>
      <c r="DJ16" s="50">
        <f t="shared" si="25"/>
        <v>0</v>
      </c>
      <c r="DL16" s="49"/>
      <c r="DM16" s="49"/>
      <c r="DN16" s="50">
        <f t="shared" si="26"/>
        <v>0</v>
      </c>
      <c r="DP16" s="49"/>
      <c r="DQ16" s="49"/>
      <c r="DR16" s="50">
        <f t="shared" si="27"/>
        <v>0</v>
      </c>
      <c r="DT16" s="49"/>
      <c r="DU16" s="49"/>
      <c r="DV16" s="50">
        <f t="shared" si="28"/>
        <v>0</v>
      </c>
      <c r="DX16" s="49"/>
      <c r="DY16" s="49"/>
      <c r="DZ16" s="50">
        <f t="shared" si="29"/>
        <v>0</v>
      </c>
      <c r="EB16" s="49">
        <f t="shared" si="30"/>
        <v>0</v>
      </c>
      <c r="EC16" s="49">
        <f t="shared" si="30"/>
        <v>0</v>
      </c>
      <c r="ED16" s="49">
        <f t="shared" si="30"/>
        <v>0</v>
      </c>
    </row>
    <row r="17" spans="2:134" ht="11" customHeight="1" x14ac:dyDescent="0.35">
      <c r="B17" s="4">
        <v>101931</v>
      </c>
      <c r="C17" s="4" t="s">
        <v>23</v>
      </c>
      <c r="D17" s="4">
        <v>12</v>
      </c>
      <c r="E17" s="5">
        <v>8</v>
      </c>
      <c r="F17" s="6">
        <v>481.13467500000002</v>
      </c>
      <c r="G17" s="7"/>
      <c r="H17" s="49"/>
      <c r="I17" s="49"/>
      <c r="J17" s="50">
        <f t="shared" si="31"/>
        <v>0</v>
      </c>
      <c r="K17" s="9"/>
      <c r="L17" s="49"/>
      <c r="M17" s="49"/>
      <c r="N17" s="50">
        <f t="shared" si="0"/>
        <v>0</v>
      </c>
      <c r="O17" s="46"/>
      <c r="P17" s="49"/>
      <c r="Q17" s="49"/>
      <c r="R17" s="50">
        <f t="shared" si="1"/>
        <v>0</v>
      </c>
      <c r="T17" s="49"/>
      <c r="U17" s="49"/>
      <c r="V17" s="50">
        <f t="shared" si="2"/>
        <v>0</v>
      </c>
      <c r="X17" s="49"/>
      <c r="Y17" s="49"/>
      <c r="Z17" s="50">
        <f t="shared" si="3"/>
        <v>0</v>
      </c>
      <c r="AB17" s="49"/>
      <c r="AC17" s="49"/>
      <c r="AD17" s="50">
        <f t="shared" si="4"/>
        <v>0</v>
      </c>
      <c r="AF17" s="49"/>
      <c r="AG17" s="49"/>
      <c r="AH17" s="50">
        <f t="shared" si="5"/>
        <v>0</v>
      </c>
      <c r="AJ17" s="49"/>
      <c r="AK17" s="49"/>
      <c r="AL17" s="50">
        <f t="shared" si="6"/>
        <v>0</v>
      </c>
      <c r="AN17" s="49"/>
      <c r="AO17" s="49"/>
      <c r="AP17" s="50">
        <f t="shared" si="7"/>
        <v>0</v>
      </c>
      <c r="AR17" s="49"/>
      <c r="AS17" s="49"/>
      <c r="AT17" s="50">
        <f t="shared" si="8"/>
        <v>0</v>
      </c>
      <c r="AV17" s="49"/>
      <c r="AW17" s="49"/>
      <c r="AX17" s="50">
        <f t="shared" si="9"/>
        <v>0</v>
      </c>
      <c r="AZ17" s="49"/>
      <c r="BA17" s="49"/>
      <c r="BB17" s="50">
        <f t="shared" si="10"/>
        <v>0</v>
      </c>
      <c r="BD17" s="49"/>
      <c r="BE17" s="49"/>
      <c r="BF17" s="50">
        <f t="shared" si="11"/>
        <v>0</v>
      </c>
      <c r="BH17" s="49"/>
      <c r="BI17" s="49"/>
      <c r="BJ17" s="50">
        <f t="shared" si="12"/>
        <v>0</v>
      </c>
      <c r="BL17" s="49"/>
      <c r="BM17" s="49"/>
      <c r="BN17" s="50">
        <f t="shared" si="13"/>
        <v>0</v>
      </c>
      <c r="BP17" s="49"/>
      <c r="BQ17" s="49"/>
      <c r="BR17" s="50">
        <f t="shared" si="14"/>
        <v>0</v>
      </c>
      <c r="BT17" s="49"/>
      <c r="BU17" s="49"/>
      <c r="BV17" s="50">
        <f t="shared" si="15"/>
        <v>0</v>
      </c>
      <c r="BX17" s="49"/>
      <c r="BY17" s="49"/>
      <c r="BZ17" s="50">
        <f t="shared" si="16"/>
        <v>0</v>
      </c>
      <c r="CB17" s="49"/>
      <c r="CC17" s="49"/>
      <c r="CD17" s="50">
        <f t="shared" si="17"/>
        <v>0</v>
      </c>
      <c r="CF17" s="49"/>
      <c r="CG17" s="49"/>
      <c r="CH17" s="50">
        <f t="shared" si="18"/>
        <v>0</v>
      </c>
      <c r="CJ17" s="49"/>
      <c r="CK17" s="49"/>
      <c r="CL17" s="50">
        <f t="shared" si="19"/>
        <v>0</v>
      </c>
      <c r="CN17" s="49"/>
      <c r="CO17" s="49"/>
      <c r="CP17" s="50">
        <f t="shared" si="20"/>
        <v>0</v>
      </c>
      <c r="CR17" s="49"/>
      <c r="CS17" s="49"/>
      <c r="CT17" s="50">
        <f t="shared" si="21"/>
        <v>0</v>
      </c>
      <c r="CV17" s="49"/>
      <c r="CW17" s="49"/>
      <c r="CX17" s="50">
        <f t="shared" si="22"/>
        <v>0</v>
      </c>
      <c r="CZ17" s="49"/>
      <c r="DA17" s="49"/>
      <c r="DB17" s="50">
        <f t="shared" si="23"/>
        <v>0</v>
      </c>
      <c r="DD17" s="49"/>
      <c r="DE17" s="49"/>
      <c r="DF17" s="50">
        <f t="shared" si="24"/>
        <v>0</v>
      </c>
      <c r="DH17" s="49"/>
      <c r="DI17" s="49"/>
      <c r="DJ17" s="50">
        <f t="shared" si="25"/>
        <v>0</v>
      </c>
      <c r="DL17" s="49"/>
      <c r="DM17" s="49"/>
      <c r="DN17" s="50">
        <f t="shared" si="26"/>
        <v>0</v>
      </c>
      <c r="DP17" s="49"/>
      <c r="DQ17" s="49"/>
      <c r="DR17" s="50">
        <f t="shared" si="27"/>
        <v>0</v>
      </c>
      <c r="DT17" s="49"/>
      <c r="DU17" s="49"/>
      <c r="DV17" s="50">
        <f t="shared" si="28"/>
        <v>0</v>
      </c>
      <c r="DX17" s="49"/>
      <c r="DY17" s="49"/>
      <c r="DZ17" s="50">
        <f t="shared" si="29"/>
        <v>0</v>
      </c>
      <c r="EB17" s="49">
        <f t="shared" si="30"/>
        <v>0</v>
      </c>
      <c r="EC17" s="49">
        <f t="shared" si="30"/>
        <v>0</v>
      </c>
      <c r="ED17" s="49">
        <f t="shared" si="30"/>
        <v>0</v>
      </c>
    </row>
    <row r="18" spans="2:134" ht="11" customHeight="1" x14ac:dyDescent="0.35">
      <c r="B18" s="4">
        <v>101932</v>
      </c>
      <c r="C18" s="4" t="s">
        <v>24</v>
      </c>
      <c r="D18" s="4">
        <v>12</v>
      </c>
      <c r="E18" s="5">
        <v>8</v>
      </c>
      <c r="F18" s="6">
        <v>481.13467500000002</v>
      </c>
      <c r="G18" s="7"/>
      <c r="H18" s="49"/>
      <c r="I18" s="49"/>
      <c r="J18" s="50">
        <f t="shared" si="31"/>
        <v>0</v>
      </c>
      <c r="K18" s="9"/>
      <c r="L18" s="49"/>
      <c r="M18" s="49"/>
      <c r="N18" s="50">
        <f t="shared" si="0"/>
        <v>0</v>
      </c>
      <c r="O18" s="46"/>
      <c r="P18" s="49"/>
      <c r="Q18" s="49"/>
      <c r="R18" s="50">
        <f t="shared" si="1"/>
        <v>0</v>
      </c>
      <c r="T18" s="49"/>
      <c r="U18" s="49"/>
      <c r="V18" s="50">
        <f t="shared" si="2"/>
        <v>0</v>
      </c>
      <c r="X18" s="49"/>
      <c r="Y18" s="49"/>
      <c r="Z18" s="50">
        <f t="shared" si="3"/>
        <v>0</v>
      </c>
      <c r="AB18" s="49"/>
      <c r="AC18" s="49"/>
      <c r="AD18" s="50">
        <f t="shared" si="4"/>
        <v>0</v>
      </c>
      <c r="AF18" s="49"/>
      <c r="AG18" s="49"/>
      <c r="AH18" s="50">
        <f t="shared" si="5"/>
        <v>0</v>
      </c>
      <c r="AJ18" s="49"/>
      <c r="AK18" s="49"/>
      <c r="AL18" s="50">
        <f t="shared" si="6"/>
        <v>0</v>
      </c>
      <c r="AN18" s="49"/>
      <c r="AO18" s="49"/>
      <c r="AP18" s="50">
        <f t="shared" si="7"/>
        <v>0</v>
      </c>
      <c r="AR18" s="49"/>
      <c r="AS18" s="49"/>
      <c r="AT18" s="50">
        <f t="shared" si="8"/>
        <v>0</v>
      </c>
      <c r="AV18" s="49"/>
      <c r="AW18" s="49"/>
      <c r="AX18" s="50">
        <f t="shared" si="9"/>
        <v>0</v>
      </c>
      <c r="AZ18" s="49"/>
      <c r="BA18" s="49"/>
      <c r="BB18" s="50">
        <f t="shared" si="10"/>
        <v>0</v>
      </c>
      <c r="BD18" s="49"/>
      <c r="BE18" s="49"/>
      <c r="BF18" s="50">
        <f t="shared" si="11"/>
        <v>0</v>
      </c>
      <c r="BH18" s="49"/>
      <c r="BI18" s="49"/>
      <c r="BJ18" s="50">
        <f t="shared" si="12"/>
        <v>0</v>
      </c>
      <c r="BL18" s="49"/>
      <c r="BM18" s="49"/>
      <c r="BN18" s="50">
        <f t="shared" si="13"/>
        <v>0</v>
      </c>
      <c r="BP18" s="49"/>
      <c r="BQ18" s="49"/>
      <c r="BR18" s="50">
        <f t="shared" si="14"/>
        <v>0</v>
      </c>
      <c r="BT18" s="49"/>
      <c r="BU18" s="49"/>
      <c r="BV18" s="50">
        <f t="shared" si="15"/>
        <v>0</v>
      </c>
      <c r="BX18" s="49"/>
      <c r="BY18" s="49"/>
      <c r="BZ18" s="50">
        <f t="shared" si="16"/>
        <v>0</v>
      </c>
      <c r="CB18" s="49"/>
      <c r="CC18" s="49"/>
      <c r="CD18" s="50">
        <f t="shared" si="17"/>
        <v>0</v>
      </c>
      <c r="CF18" s="49"/>
      <c r="CG18" s="49"/>
      <c r="CH18" s="50">
        <f t="shared" si="18"/>
        <v>0</v>
      </c>
      <c r="CJ18" s="49"/>
      <c r="CK18" s="49"/>
      <c r="CL18" s="50">
        <f t="shared" si="19"/>
        <v>0</v>
      </c>
      <c r="CN18" s="49"/>
      <c r="CO18" s="49"/>
      <c r="CP18" s="50">
        <f t="shared" si="20"/>
        <v>0</v>
      </c>
      <c r="CR18" s="49"/>
      <c r="CS18" s="49"/>
      <c r="CT18" s="50">
        <f t="shared" si="21"/>
        <v>0</v>
      </c>
      <c r="CV18" s="49"/>
      <c r="CW18" s="49"/>
      <c r="CX18" s="50">
        <f t="shared" si="22"/>
        <v>0</v>
      </c>
      <c r="CZ18" s="49"/>
      <c r="DA18" s="49"/>
      <c r="DB18" s="50">
        <f t="shared" si="23"/>
        <v>0</v>
      </c>
      <c r="DD18" s="49"/>
      <c r="DE18" s="49"/>
      <c r="DF18" s="50">
        <f t="shared" si="24"/>
        <v>0</v>
      </c>
      <c r="DH18" s="49"/>
      <c r="DI18" s="49"/>
      <c r="DJ18" s="50">
        <f t="shared" si="25"/>
        <v>0</v>
      </c>
      <c r="DL18" s="49"/>
      <c r="DM18" s="49"/>
      <c r="DN18" s="50">
        <f t="shared" si="26"/>
        <v>0</v>
      </c>
      <c r="DP18" s="49"/>
      <c r="DQ18" s="49"/>
      <c r="DR18" s="50">
        <f t="shared" si="27"/>
        <v>0</v>
      </c>
      <c r="DT18" s="49"/>
      <c r="DU18" s="49"/>
      <c r="DV18" s="50">
        <f t="shared" si="28"/>
        <v>0</v>
      </c>
      <c r="DX18" s="49"/>
      <c r="DY18" s="49"/>
      <c r="DZ18" s="50">
        <f t="shared" si="29"/>
        <v>0</v>
      </c>
      <c r="EB18" s="49">
        <f t="shared" si="30"/>
        <v>0</v>
      </c>
      <c r="EC18" s="49">
        <f t="shared" si="30"/>
        <v>0</v>
      </c>
      <c r="ED18" s="49">
        <f t="shared" si="30"/>
        <v>0</v>
      </c>
    </row>
    <row r="19" spans="2:134" ht="11" customHeight="1" x14ac:dyDescent="0.35">
      <c r="B19" s="4">
        <v>101933</v>
      </c>
      <c r="C19" s="4" t="s">
        <v>25</v>
      </c>
      <c r="D19" s="4">
        <v>12</v>
      </c>
      <c r="E19" s="5">
        <v>8</v>
      </c>
      <c r="F19" s="6">
        <v>481.13467500000002</v>
      </c>
      <c r="G19" s="7"/>
      <c r="H19" s="49"/>
      <c r="I19" s="49"/>
      <c r="J19" s="50">
        <f t="shared" si="31"/>
        <v>0</v>
      </c>
      <c r="K19" s="9"/>
      <c r="L19" s="49"/>
      <c r="M19" s="49"/>
      <c r="N19" s="50">
        <f t="shared" si="0"/>
        <v>0</v>
      </c>
      <c r="O19" s="46"/>
      <c r="P19" s="49"/>
      <c r="Q19" s="49"/>
      <c r="R19" s="50">
        <f t="shared" si="1"/>
        <v>0</v>
      </c>
      <c r="T19" s="49"/>
      <c r="U19" s="49"/>
      <c r="V19" s="50">
        <f t="shared" si="2"/>
        <v>0</v>
      </c>
      <c r="X19" s="49"/>
      <c r="Y19" s="49"/>
      <c r="Z19" s="50">
        <f t="shared" si="3"/>
        <v>0</v>
      </c>
      <c r="AB19" s="49"/>
      <c r="AC19" s="49"/>
      <c r="AD19" s="50">
        <f t="shared" si="4"/>
        <v>0</v>
      </c>
      <c r="AF19" s="49"/>
      <c r="AG19" s="49"/>
      <c r="AH19" s="50">
        <f t="shared" si="5"/>
        <v>0</v>
      </c>
      <c r="AJ19" s="49"/>
      <c r="AK19" s="49"/>
      <c r="AL19" s="50">
        <f t="shared" si="6"/>
        <v>0</v>
      </c>
      <c r="AN19" s="49"/>
      <c r="AO19" s="49"/>
      <c r="AP19" s="50">
        <f t="shared" si="7"/>
        <v>0</v>
      </c>
      <c r="AR19" s="49"/>
      <c r="AS19" s="49"/>
      <c r="AT19" s="50">
        <f t="shared" si="8"/>
        <v>0</v>
      </c>
      <c r="AV19" s="49"/>
      <c r="AW19" s="49"/>
      <c r="AX19" s="50">
        <f t="shared" si="9"/>
        <v>0</v>
      </c>
      <c r="AZ19" s="49"/>
      <c r="BA19" s="49"/>
      <c r="BB19" s="50">
        <f t="shared" si="10"/>
        <v>0</v>
      </c>
      <c r="BD19" s="49"/>
      <c r="BE19" s="49"/>
      <c r="BF19" s="50">
        <f t="shared" si="11"/>
        <v>0</v>
      </c>
      <c r="BH19" s="49"/>
      <c r="BI19" s="49"/>
      <c r="BJ19" s="50">
        <f t="shared" si="12"/>
        <v>0</v>
      </c>
      <c r="BL19" s="49"/>
      <c r="BM19" s="49"/>
      <c r="BN19" s="50">
        <f t="shared" si="13"/>
        <v>0</v>
      </c>
      <c r="BP19" s="49"/>
      <c r="BQ19" s="49"/>
      <c r="BR19" s="50">
        <f t="shared" si="14"/>
        <v>0</v>
      </c>
      <c r="BT19" s="49"/>
      <c r="BU19" s="49"/>
      <c r="BV19" s="50">
        <f t="shared" si="15"/>
        <v>0</v>
      </c>
      <c r="BX19" s="49"/>
      <c r="BY19" s="49"/>
      <c r="BZ19" s="50">
        <f t="shared" si="16"/>
        <v>0</v>
      </c>
      <c r="CB19" s="49"/>
      <c r="CC19" s="49"/>
      <c r="CD19" s="50">
        <f t="shared" si="17"/>
        <v>0</v>
      </c>
      <c r="CF19" s="49"/>
      <c r="CG19" s="49"/>
      <c r="CH19" s="50">
        <f t="shared" si="18"/>
        <v>0</v>
      </c>
      <c r="CJ19" s="49"/>
      <c r="CK19" s="49"/>
      <c r="CL19" s="50">
        <f t="shared" si="19"/>
        <v>0</v>
      </c>
      <c r="CN19" s="49"/>
      <c r="CO19" s="49"/>
      <c r="CP19" s="50">
        <f t="shared" si="20"/>
        <v>0</v>
      </c>
      <c r="CR19" s="49"/>
      <c r="CS19" s="49"/>
      <c r="CT19" s="50">
        <f t="shared" si="21"/>
        <v>0</v>
      </c>
      <c r="CV19" s="49"/>
      <c r="CW19" s="49"/>
      <c r="CX19" s="50">
        <f t="shared" si="22"/>
        <v>0</v>
      </c>
      <c r="CZ19" s="49"/>
      <c r="DA19" s="49"/>
      <c r="DB19" s="50">
        <f t="shared" si="23"/>
        <v>0</v>
      </c>
      <c r="DD19" s="49"/>
      <c r="DE19" s="49"/>
      <c r="DF19" s="50">
        <f t="shared" si="24"/>
        <v>0</v>
      </c>
      <c r="DH19" s="49"/>
      <c r="DI19" s="49"/>
      <c r="DJ19" s="50">
        <f t="shared" si="25"/>
        <v>0</v>
      </c>
      <c r="DL19" s="49"/>
      <c r="DM19" s="49"/>
      <c r="DN19" s="50">
        <f t="shared" si="26"/>
        <v>0</v>
      </c>
      <c r="DP19" s="49"/>
      <c r="DQ19" s="49"/>
      <c r="DR19" s="50">
        <f t="shared" si="27"/>
        <v>0</v>
      </c>
      <c r="DT19" s="49"/>
      <c r="DU19" s="49"/>
      <c r="DV19" s="50">
        <f t="shared" si="28"/>
        <v>0</v>
      </c>
      <c r="DX19" s="49"/>
      <c r="DY19" s="49"/>
      <c r="DZ19" s="50">
        <f t="shared" si="29"/>
        <v>0</v>
      </c>
      <c r="EB19" s="49">
        <f t="shared" si="30"/>
        <v>0</v>
      </c>
      <c r="EC19" s="49">
        <f t="shared" si="30"/>
        <v>0</v>
      </c>
      <c r="ED19" s="49">
        <f t="shared" si="30"/>
        <v>0</v>
      </c>
    </row>
    <row r="20" spans="2:134" ht="11" customHeight="1" x14ac:dyDescent="0.35">
      <c r="B20" s="4">
        <v>101934</v>
      </c>
      <c r="C20" s="4" t="s">
        <v>26</v>
      </c>
      <c r="D20" s="4">
        <v>12</v>
      </c>
      <c r="E20" s="5">
        <v>8</v>
      </c>
      <c r="F20" s="6">
        <v>481.13467500000002</v>
      </c>
      <c r="G20" s="7"/>
      <c r="H20" s="49"/>
      <c r="I20" s="49"/>
      <c r="J20" s="50">
        <f t="shared" si="31"/>
        <v>0</v>
      </c>
      <c r="K20" s="9"/>
      <c r="L20" s="49"/>
      <c r="M20" s="49"/>
      <c r="N20" s="50">
        <f t="shared" si="0"/>
        <v>0</v>
      </c>
      <c r="O20" s="46"/>
      <c r="P20" s="49"/>
      <c r="Q20" s="49"/>
      <c r="R20" s="50">
        <f t="shared" si="1"/>
        <v>0</v>
      </c>
      <c r="T20" s="49"/>
      <c r="U20" s="49"/>
      <c r="V20" s="50">
        <f t="shared" si="2"/>
        <v>0</v>
      </c>
      <c r="X20" s="49"/>
      <c r="Y20" s="49"/>
      <c r="Z20" s="50">
        <f t="shared" si="3"/>
        <v>0</v>
      </c>
      <c r="AB20" s="49"/>
      <c r="AC20" s="49"/>
      <c r="AD20" s="50">
        <f t="shared" si="4"/>
        <v>0</v>
      </c>
      <c r="AF20" s="49"/>
      <c r="AG20" s="49"/>
      <c r="AH20" s="50">
        <f t="shared" si="5"/>
        <v>0</v>
      </c>
      <c r="AJ20" s="49"/>
      <c r="AK20" s="49"/>
      <c r="AL20" s="50">
        <f t="shared" si="6"/>
        <v>0</v>
      </c>
      <c r="AN20" s="49"/>
      <c r="AO20" s="49"/>
      <c r="AP20" s="50">
        <f t="shared" si="7"/>
        <v>0</v>
      </c>
      <c r="AR20" s="49"/>
      <c r="AS20" s="49"/>
      <c r="AT20" s="50">
        <f t="shared" si="8"/>
        <v>0</v>
      </c>
      <c r="AV20" s="49"/>
      <c r="AW20" s="49"/>
      <c r="AX20" s="50">
        <f t="shared" si="9"/>
        <v>0</v>
      </c>
      <c r="AZ20" s="49"/>
      <c r="BA20" s="49"/>
      <c r="BB20" s="50">
        <f t="shared" si="10"/>
        <v>0</v>
      </c>
      <c r="BD20" s="49"/>
      <c r="BE20" s="49"/>
      <c r="BF20" s="50">
        <f t="shared" si="11"/>
        <v>0</v>
      </c>
      <c r="BH20" s="49"/>
      <c r="BI20" s="49"/>
      <c r="BJ20" s="50">
        <f t="shared" si="12"/>
        <v>0</v>
      </c>
      <c r="BL20" s="49"/>
      <c r="BM20" s="49"/>
      <c r="BN20" s="50">
        <f t="shared" si="13"/>
        <v>0</v>
      </c>
      <c r="BP20" s="49"/>
      <c r="BQ20" s="49"/>
      <c r="BR20" s="50">
        <f t="shared" si="14"/>
        <v>0</v>
      </c>
      <c r="BT20" s="49"/>
      <c r="BU20" s="49"/>
      <c r="BV20" s="50">
        <f t="shared" si="15"/>
        <v>0</v>
      </c>
      <c r="BX20" s="49"/>
      <c r="BY20" s="49"/>
      <c r="BZ20" s="50">
        <f t="shared" si="16"/>
        <v>0</v>
      </c>
      <c r="CB20" s="49"/>
      <c r="CC20" s="49"/>
      <c r="CD20" s="50">
        <f t="shared" si="17"/>
        <v>0</v>
      </c>
      <c r="CF20" s="49"/>
      <c r="CG20" s="49"/>
      <c r="CH20" s="50">
        <f t="shared" si="18"/>
        <v>0</v>
      </c>
      <c r="CJ20" s="49"/>
      <c r="CK20" s="49"/>
      <c r="CL20" s="50">
        <f t="shared" si="19"/>
        <v>0</v>
      </c>
      <c r="CN20" s="49"/>
      <c r="CO20" s="49"/>
      <c r="CP20" s="50">
        <f t="shared" si="20"/>
        <v>0</v>
      </c>
      <c r="CR20" s="49"/>
      <c r="CS20" s="49"/>
      <c r="CT20" s="50">
        <f t="shared" si="21"/>
        <v>0</v>
      </c>
      <c r="CV20" s="49"/>
      <c r="CW20" s="49"/>
      <c r="CX20" s="50">
        <f t="shared" si="22"/>
        <v>0</v>
      </c>
      <c r="CZ20" s="49"/>
      <c r="DA20" s="49"/>
      <c r="DB20" s="50">
        <f t="shared" si="23"/>
        <v>0</v>
      </c>
      <c r="DD20" s="49"/>
      <c r="DE20" s="49"/>
      <c r="DF20" s="50">
        <f t="shared" si="24"/>
        <v>0</v>
      </c>
      <c r="DH20" s="49"/>
      <c r="DI20" s="49"/>
      <c r="DJ20" s="50">
        <f t="shared" si="25"/>
        <v>0</v>
      </c>
      <c r="DL20" s="49"/>
      <c r="DM20" s="49"/>
      <c r="DN20" s="50">
        <f t="shared" si="26"/>
        <v>0</v>
      </c>
      <c r="DP20" s="49"/>
      <c r="DQ20" s="49"/>
      <c r="DR20" s="50">
        <f t="shared" si="27"/>
        <v>0</v>
      </c>
      <c r="DT20" s="49"/>
      <c r="DU20" s="49"/>
      <c r="DV20" s="50">
        <f t="shared" si="28"/>
        <v>0</v>
      </c>
      <c r="DX20" s="49"/>
      <c r="DY20" s="49"/>
      <c r="DZ20" s="50">
        <f t="shared" si="29"/>
        <v>0</v>
      </c>
      <c r="EB20" s="49">
        <f t="shared" si="30"/>
        <v>0</v>
      </c>
      <c r="EC20" s="49">
        <f t="shared" si="30"/>
        <v>0</v>
      </c>
      <c r="ED20" s="49">
        <f t="shared" si="30"/>
        <v>0</v>
      </c>
    </row>
    <row r="21" spans="2:134" ht="11" customHeight="1" x14ac:dyDescent="0.35">
      <c r="B21" s="4">
        <v>102155</v>
      </c>
      <c r="C21" s="4" t="s">
        <v>27</v>
      </c>
      <c r="D21" s="4">
        <v>1</v>
      </c>
      <c r="E21" s="5">
        <v>12</v>
      </c>
      <c r="F21" s="6">
        <v>394.37248129599999</v>
      </c>
      <c r="G21" s="7"/>
      <c r="H21" s="49"/>
      <c r="I21" s="49"/>
      <c r="J21" s="50">
        <f t="shared" si="31"/>
        <v>0</v>
      </c>
      <c r="K21" s="9"/>
      <c r="L21" s="49"/>
      <c r="M21" s="49"/>
      <c r="N21" s="50">
        <f t="shared" si="0"/>
        <v>0</v>
      </c>
      <c r="O21" s="46"/>
      <c r="P21" s="49"/>
      <c r="Q21" s="49"/>
      <c r="R21" s="50">
        <f t="shared" si="1"/>
        <v>0</v>
      </c>
      <c r="T21" s="49"/>
      <c r="U21" s="49"/>
      <c r="V21" s="50">
        <f t="shared" si="2"/>
        <v>0</v>
      </c>
      <c r="X21" s="49"/>
      <c r="Y21" s="49"/>
      <c r="Z21" s="50">
        <f t="shared" si="3"/>
        <v>0</v>
      </c>
      <c r="AB21" s="49"/>
      <c r="AC21" s="49"/>
      <c r="AD21" s="50">
        <f t="shared" si="4"/>
        <v>0</v>
      </c>
      <c r="AF21" s="49"/>
      <c r="AG21" s="49"/>
      <c r="AH21" s="50">
        <f t="shared" si="5"/>
        <v>0</v>
      </c>
      <c r="AJ21" s="49"/>
      <c r="AK21" s="49"/>
      <c r="AL21" s="50">
        <f t="shared" si="6"/>
        <v>0</v>
      </c>
      <c r="AN21" s="49"/>
      <c r="AO21" s="49"/>
      <c r="AP21" s="50">
        <f t="shared" si="7"/>
        <v>0</v>
      </c>
      <c r="AR21" s="49"/>
      <c r="AS21" s="49"/>
      <c r="AT21" s="50">
        <f t="shared" si="8"/>
        <v>0</v>
      </c>
      <c r="AV21" s="49"/>
      <c r="AW21" s="49"/>
      <c r="AX21" s="50">
        <f t="shared" si="9"/>
        <v>0</v>
      </c>
      <c r="AZ21" s="49"/>
      <c r="BA21" s="49"/>
      <c r="BB21" s="50">
        <f t="shared" si="10"/>
        <v>0</v>
      </c>
      <c r="BD21" s="49"/>
      <c r="BE21" s="49"/>
      <c r="BF21" s="50">
        <f t="shared" si="11"/>
        <v>0</v>
      </c>
      <c r="BH21" s="49"/>
      <c r="BI21" s="49"/>
      <c r="BJ21" s="50">
        <f t="shared" si="12"/>
        <v>0</v>
      </c>
      <c r="BL21" s="49"/>
      <c r="BM21" s="49"/>
      <c r="BN21" s="50">
        <f t="shared" si="13"/>
        <v>0</v>
      </c>
      <c r="BP21" s="49"/>
      <c r="BQ21" s="49"/>
      <c r="BR21" s="50">
        <f t="shared" si="14"/>
        <v>0</v>
      </c>
      <c r="BT21" s="49"/>
      <c r="BU21" s="49"/>
      <c r="BV21" s="50">
        <f t="shared" si="15"/>
        <v>0</v>
      </c>
      <c r="BX21" s="49"/>
      <c r="BY21" s="49"/>
      <c r="BZ21" s="50">
        <f t="shared" si="16"/>
        <v>0</v>
      </c>
      <c r="CB21" s="49"/>
      <c r="CC21" s="49"/>
      <c r="CD21" s="50">
        <f t="shared" si="17"/>
        <v>0</v>
      </c>
      <c r="CF21" s="49"/>
      <c r="CG21" s="49"/>
      <c r="CH21" s="50">
        <f t="shared" si="18"/>
        <v>0</v>
      </c>
      <c r="CJ21" s="49"/>
      <c r="CK21" s="49"/>
      <c r="CL21" s="50">
        <f t="shared" si="19"/>
        <v>0</v>
      </c>
      <c r="CN21" s="49"/>
      <c r="CO21" s="49"/>
      <c r="CP21" s="50">
        <f t="shared" si="20"/>
        <v>0</v>
      </c>
      <c r="CR21" s="49"/>
      <c r="CS21" s="49"/>
      <c r="CT21" s="50">
        <f t="shared" si="21"/>
        <v>0</v>
      </c>
      <c r="CV21" s="49"/>
      <c r="CW21" s="49"/>
      <c r="CX21" s="50">
        <f t="shared" si="22"/>
        <v>0</v>
      </c>
      <c r="CZ21" s="49"/>
      <c r="DA21" s="49"/>
      <c r="DB21" s="50">
        <f t="shared" si="23"/>
        <v>0</v>
      </c>
      <c r="DD21" s="49"/>
      <c r="DE21" s="49"/>
      <c r="DF21" s="50">
        <f t="shared" si="24"/>
        <v>0</v>
      </c>
      <c r="DH21" s="49"/>
      <c r="DI21" s="49"/>
      <c r="DJ21" s="50">
        <f t="shared" si="25"/>
        <v>0</v>
      </c>
      <c r="DL21" s="49"/>
      <c r="DM21" s="49"/>
      <c r="DN21" s="50">
        <f t="shared" si="26"/>
        <v>0</v>
      </c>
      <c r="DP21" s="49"/>
      <c r="DQ21" s="49"/>
      <c r="DR21" s="50">
        <f t="shared" si="27"/>
        <v>0</v>
      </c>
      <c r="DT21" s="49"/>
      <c r="DU21" s="49"/>
      <c r="DV21" s="50">
        <f t="shared" si="28"/>
        <v>0</v>
      </c>
      <c r="DX21" s="49"/>
      <c r="DY21" s="49"/>
      <c r="DZ21" s="50">
        <f t="shared" si="29"/>
        <v>0</v>
      </c>
      <c r="EB21" s="49">
        <f t="shared" si="30"/>
        <v>0</v>
      </c>
      <c r="EC21" s="49">
        <f t="shared" si="30"/>
        <v>0</v>
      </c>
      <c r="ED21" s="49">
        <f t="shared" si="30"/>
        <v>0</v>
      </c>
    </row>
    <row r="22" spans="2:134" ht="11" customHeight="1" x14ac:dyDescent="0.35">
      <c r="B22" s="4">
        <v>102157</v>
      </c>
      <c r="C22" s="4" t="s">
        <v>28</v>
      </c>
      <c r="D22" s="4">
        <v>50</v>
      </c>
      <c r="E22" s="5">
        <v>18</v>
      </c>
      <c r="F22" s="6">
        <v>200.47282196</v>
      </c>
      <c r="G22" s="7"/>
      <c r="H22" s="49"/>
      <c r="I22" s="49"/>
      <c r="J22" s="50">
        <f t="shared" si="31"/>
        <v>0</v>
      </c>
      <c r="K22" s="9"/>
      <c r="L22" s="49"/>
      <c r="M22" s="49"/>
      <c r="N22" s="50">
        <f t="shared" si="0"/>
        <v>0</v>
      </c>
      <c r="O22" s="46"/>
      <c r="P22" s="49"/>
      <c r="Q22" s="49"/>
      <c r="R22" s="50">
        <f t="shared" si="1"/>
        <v>0</v>
      </c>
      <c r="T22" s="49"/>
      <c r="U22" s="49"/>
      <c r="V22" s="50">
        <f t="shared" si="2"/>
        <v>0</v>
      </c>
      <c r="X22" s="49"/>
      <c r="Y22" s="49"/>
      <c r="Z22" s="50">
        <f t="shared" si="3"/>
        <v>0</v>
      </c>
      <c r="AB22" s="49"/>
      <c r="AC22" s="49"/>
      <c r="AD22" s="50">
        <f t="shared" si="4"/>
        <v>0</v>
      </c>
      <c r="AF22" s="49"/>
      <c r="AG22" s="49"/>
      <c r="AH22" s="50">
        <f t="shared" si="5"/>
        <v>0</v>
      </c>
      <c r="AJ22" s="49"/>
      <c r="AK22" s="49"/>
      <c r="AL22" s="50">
        <f t="shared" si="6"/>
        <v>0</v>
      </c>
      <c r="AN22" s="49"/>
      <c r="AO22" s="49"/>
      <c r="AP22" s="50">
        <f t="shared" si="7"/>
        <v>0</v>
      </c>
      <c r="AR22" s="49"/>
      <c r="AS22" s="49"/>
      <c r="AT22" s="50">
        <f t="shared" si="8"/>
        <v>0</v>
      </c>
      <c r="AV22" s="49"/>
      <c r="AW22" s="49"/>
      <c r="AX22" s="50">
        <f t="shared" si="9"/>
        <v>0</v>
      </c>
      <c r="AZ22" s="49"/>
      <c r="BA22" s="49"/>
      <c r="BB22" s="50">
        <f t="shared" si="10"/>
        <v>0</v>
      </c>
      <c r="BD22" s="49"/>
      <c r="BE22" s="49"/>
      <c r="BF22" s="50">
        <f t="shared" si="11"/>
        <v>0</v>
      </c>
      <c r="BH22" s="49"/>
      <c r="BI22" s="49"/>
      <c r="BJ22" s="50">
        <f t="shared" si="12"/>
        <v>0</v>
      </c>
      <c r="BL22" s="49"/>
      <c r="BM22" s="49"/>
      <c r="BN22" s="50">
        <f t="shared" si="13"/>
        <v>0</v>
      </c>
      <c r="BP22" s="49"/>
      <c r="BQ22" s="49"/>
      <c r="BR22" s="50">
        <f t="shared" si="14"/>
        <v>0</v>
      </c>
      <c r="BT22" s="49"/>
      <c r="BU22" s="49"/>
      <c r="BV22" s="50">
        <f t="shared" si="15"/>
        <v>0</v>
      </c>
      <c r="BX22" s="49"/>
      <c r="BY22" s="49"/>
      <c r="BZ22" s="50">
        <f t="shared" si="16"/>
        <v>0</v>
      </c>
      <c r="CB22" s="49"/>
      <c r="CC22" s="49"/>
      <c r="CD22" s="50">
        <f t="shared" si="17"/>
        <v>0</v>
      </c>
      <c r="CF22" s="49"/>
      <c r="CG22" s="49"/>
      <c r="CH22" s="50">
        <f t="shared" si="18"/>
        <v>0</v>
      </c>
      <c r="CJ22" s="49"/>
      <c r="CK22" s="49"/>
      <c r="CL22" s="50">
        <f t="shared" si="19"/>
        <v>0</v>
      </c>
      <c r="CN22" s="49"/>
      <c r="CO22" s="49"/>
      <c r="CP22" s="50">
        <f t="shared" si="20"/>
        <v>0</v>
      </c>
      <c r="CR22" s="49"/>
      <c r="CS22" s="49"/>
      <c r="CT22" s="50">
        <f t="shared" si="21"/>
        <v>0</v>
      </c>
      <c r="CV22" s="49"/>
      <c r="CW22" s="49"/>
      <c r="CX22" s="50">
        <f t="shared" si="22"/>
        <v>0</v>
      </c>
      <c r="CZ22" s="49"/>
      <c r="DA22" s="49"/>
      <c r="DB22" s="50">
        <f t="shared" si="23"/>
        <v>0</v>
      </c>
      <c r="DD22" s="49"/>
      <c r="DE22" s="49"/>
      <c r="DF22" s="50">
        <f t="shared" si="24"/>
        <v>0</v>
      </c>
      <c r="DH22" s="49"/>
      <c r="DI22" s="49"/>
      <c r="DJ22" s="50">
        <f t="shared" si="25"/>
        <v>0</v>
      </c>
      <c r="DL22" s="49"/>
      <c r="DM22" s="49"/>
      <c r="DN22" s="50">
        <f t="shared" si="26"/>
        <v>0</v>
      </c>
      <c r="DP22" s="49"/>
      <c r="DQ22" s="49"/>
      <c r="DR22" s="50">
        <f t="shared" si="27"/>
        <v>0</v>
      </c>
      <c r="DT22" s="49"/>
      <c r="DU22" s="49"/>
      <c r="DV22" s="50">
        <f t="shared" si="28"/>
        <v>0</v>
      </c>
      <c r="DX22" s="49"/>
      <c r="DY22" s="49"/>
      <c r="DZ22" s="50">
        <f t="shared" si="29"/>
        <v>0</v>
      </c>
      <c r="EB22" s="49">
        <f t="shared" si="30"/>
        <v>0</v>
      </c>
      <c r="EC22" s="49">
        <f t="shared" si="30"/>
        <v>0</v>
      </c>
      <c r="ED22" s="49">
        <f t="shared" si="30"/>
        <v>0</v>
      </c>
    </row>
    <row r="23" spans="2:134" ht="11" customHeight="1" x14ac:dyDescent="0.35">
      <c r="B23" s="4">
        <v>102926</v>
      </c>
      <c r="C23" s="4" t="s">
        <v>29</v>
      </c>
      <c r="D23" s="4">
        <v>50</v>
      </c>
      <c r="E23" s="5">
        <v>18</v>
      </c>
      <c r="F23" s="6">
        <v>197.18624064799999</v>
      </c>
      <c r="G23" s="7"/>
      <c r="H23" s="49"/>
      <c r="I23" s="49"/>
      <c r="J23" s="50">
        <f t="shared" si="31"/>
        <v>0</v>
      </c>
      <c r="K23" s="9"/>
      <c r="L23" s="49"/>
      <c r="M23" s="49"/>
      <c r="N23" s="50">
        <f t="shared" si="0"/>
        <v>0</v>
      </c>
      <c r="O23" s="46"/>
      <c r="P23" s="49"/>
      <c r="Q23" s="49"/>
      <c r="R23" s="50">
        <f t="shared" si="1"/>
        <v>0</v>
      </c>
      <c r="T23" s="49"/>
      <c r="U23" s="49"/>
      <c r="V23" s="50">
        <f t="shared" si="2"/>
        <v>0</v>
      </c>
      <c r="X23" s="49"/>
      <c r="Y23" s="49"/>
      <c r="Z23" s="50">
        <f t="shared" si="3"/>
        <v>0</v>
      </c>
      <c r="AB23" s="49"/>
      <c r="AC23" s="49"/>
      <c r="AD23" s="50">
        <f t="shared" si="4"/>
        <v>0</v>
      </c>
      <c r="AF23" s="49"/>
      <c r="AG23" s="49"/>
      <c r="AH23" s="50">
        <f t="shared" si="5"/>
        <v>0</v>
      </c>
      <c r="AJ23" s="49"/>
      <c r="AK23" s="49"/>
      <c r="AL23" s="50">
        <f t="shared" si="6"/>
        <v>0</v>
      </c>
      <c r="AN23" s="49"/>
      <c r="AO23" s="49"/>
      <c r="AP23" s="50">
        <f t="shared" si="7"/>
        <v>0</v>
      </c>
      <c r="AR23" s="49"/>
      <c r="AS23" s="49"/>
      <c r="AT23" s="50">
        <f t="shared" si="8"/>
        <v>0</v>
      </c>
      <c r="AV23" s="49"/>
      <c r="AW23" s="49"/>
      <c r="AX23" s="50">
        <f t="shared" si="9"/>
        <v>0</v>
      </c>
      <c r="AZ23" s="49"/>
      <c r="BA23" s="49"/>
      <c r="BB23" s="50">
        <f t="shared" si="10"/>
        <v>0</v>
      </c>
      <c r="BD23" s="49"/>
      <c r="BE23" s="49"/>
      <c r="BF23" s="50">
        <f t="shared" si="11"/>
        <v>0</v>
      </c>
      <c r="BH23" s="49"/>
      <c r="BI23" s="49"/>
      <c r="BJ23" s="50">
        <f t="shared" si="12"/>
        <v>0</v>
      </c>
      <c r="BL23" s="49"/>
      <c r="BM23" s="49"/>
      <c r="BN23" s="50">
        <f t="shared" si="13"/>
        <v>0</v>
      </c>
      <c r="BP23" s="49"/>
      <c r="BQ23" s="49"/>
      <c r="BR23" s="50">
        <f t="shared" si="14"/>
        <v>0</v>
      </c>
      <c r="BT23" s="49"/>
      <c r="BU23" s="49"/>
      <c r="BV23" s="50">
        <f t="shared" si="15"/>
        <v>0</v>
      </c>
      <c r="BX23" s="49"/>
      <c r="BY23" s="49"/>
      <c r="BZ23" s="50">
        <f t="shared" si="16"/>
        <v>0</v>
      </c>
      <c r="CB23" s="49"/>
      <c r="CC23" s="49"/>
      <c r="CD23" s="50">
        <f t="shared" si="17"/>
        <v>0</v>
      </c>
      <c r="CF23" s="49"/>
      <c r="CG23" s="49"/>
      <c r="CH23" s="50">
        <f t="shared" si="18"/>
        <v>0</v>
      </c>
      <c r="CJ23" s="49"/>
      <c r="CK23" s="49"/>
      <c r="CL23" s="50">
        <f t="shared" si="19"/>
        <v>0</v>
      </c>
      <c r="CN23" s="49"/>
      <c r="CO23" s="49"/>
      <c r="CP23" s="50">
        <f t="shared" si="20"/>
        <v>0</v>
      </c>
      <c r="CR23" s="49"/>
      <c r="CS23" s="49"/>
      <c r="CT23" s="50">
        <f t="shared" si="21"/>
        <v>0</v>
      </c>
      <c r="CV23" s="49"/>
      <c r="CW23" s="49"/>
      <c r="CX23" s="50">
        <f t="shared" si="22"/>
        <v>0</v>
      </c>
      <c r="CZ23" s="49"/>
      <c r="DA23" s="49"/>
      <c r="DB23" s="50">
        <f t="shared" si="23"/>
        <v>0</v>
      </c>
      <c r="DD23" s="49"/>
      <c r="DE23" s="49"/>
      <c r="DF23" s="50">
        <f t="shared" si="24"/>
        <v>0</v>
      </c>
      <c r="DH23" s="49"/>
      <c r="DI23" s="49"/>
      <c r="DJ23" s="50">
        <f t="shared" si="25"/>
        <v>0</v>
      </c>
      <c r="DL23" s="49"/>
      <c r="DM23" s="49"/>
      <c r="DN23" s="50">
        <f t="shared" si="26"/>
        <v>0</v>
      </c>
      <c r="DP23" s="49"/>
      <c r="DQ23" s="49"/>
      <c r="DR23" s="50">
        <f t="shared" si="27"/>
        <v>0</v>
      </c>
      <c r="DT23" s="49"/>
      <c r="DU23" s="49"/>
      <c r="DV23" s="50">
        <f t="shared" si="28"/>
        <v>0</v>
      </c>
      <c r="DX23" s="49"/>
      <c r="DY23" s="49"/>
      <c r="DZ23" s="50">
        <f t="shared" si="29"/>
        <v>0</v>
      </c>
      <c r="EB23" s="49">
        <f t="shared" si="30"/>
        <v>0</v>
      </c>
      <c r="EC23" s="49">
        <f t="shared" si="30"/>
        <v>0</v>
      </c>
      <c r="ED23" s="49">
        <f t="shared" si="30"/>
        <v>0</v>
      </c>
    </row>
    <row r="24" spans="2:134" ht="11" customHeight="1" x14ac:dyDescent="0.35">
      <c r="B24" s="4">
        <v>102929</v>
      </c>
      <c r="C24" s="4" t="s">
        <v>30</v>
      </c>
      <c r="D24" s="4">
        <v>50</v>
      </c>
      <c r="E24" s="5">
        <v>18</v>
      </c>
      <c r="F24" s="6">
        <v>200.47282196</v>
      </c>
      <c r="G24" s="7"/>
      <c r="H24" s="49"/>
      <c r="I24" s="49"/>
      <c r="J24" s="50">
        <f t="shared" si="31"/>
        <v>0</v>
      </c>
      <c r="K24" s="9"/>
      <c r="L24" s="49"/>
      <c r="M24" s="49"/>
      <c r="N24" s="50">
        <f t="shared" si="0"/>
        <v>0</v>
      </c>
      <c r="O24" s="46"/>
      <c r="P24" s="49"/>
      <c r="Q24" s="49"/>
      <c r="R24" s="50">
        <f t="shared" si="1"/>
        <v>0</v>
      </c>
      <c r="T24" s="49"/>
      <c r="U24" s="49"/>
      <c r="V24" s="50">
        <f t="shared" si="2"/>
        <v>0</v>
      </c>
      <c r="X24" s="49"/>
      <c r="Y24" s="49"/>
      <c r="Z24" s="50">
        <f t="shared" si="3"/>
        <v>0</v>
      </c>
      <c r="AB24" s="49"/>
      <c r="AC24" s="49"/>
      <c r="AD24" s="50">
        <f t="shared" si="4"/>
        <v>0</v>
      </c>
      <c r="AF24" s="49"/>
      <c r="AG24" s="49"/>
      <c r="AH24" s="50">
        <f t="shared" si="5"/>
        <v>0</v>
      </c>
      <c r="AJ24" s="49"/>
      <c r="AK24" s="49"/>
      <c r="AL24" s="50">
        <f t="shared" si="6"/>
        <v>0</v>
      </c>
      <c r="AN24" s="49"/>
      <c r="AO24" s="49"/>
      <c r="AP24" s="50">
        <f t="shared" si="7"/>
        <v>0</v>
      </c>
      <c r="AR24" s="49"/>
      <c r="AS24" s="49"/>
      <c r="AT24" s="50">
        <f t="shared" si="8"/>
        <v>0</v>
      </c>
      <c r="AV24" s="49"/>
      <c r="AW24" s="49"/>
      <c r="AX24" s="50">
        <f t="shared" si="9"/>
        <v>0</v>
      </c>
      <c r="AZ24" s="49"/>
      <c r="BA24" s="49"/>
      <c r="BB24" s="50">
        <f t="shared" si="10"/>
        <v>0</v>
      </c>
      <c r="BD24" s="49"/>
      <c r="BE24" s="49"/>
      <c r="BF24" s="50">
        <f t="shared" si="11"/>
        <v>0</v>
      </c>
      <c r="BH24" s="49"/>
      <c r="BI24" s="49"/>
      <c r="BJ24" s="50">
        <f t="shared" si="12"/>
        <v>0</v>
      </c>
      <c r="BL24" s="49"/>
      <c r="BM24" s="49"/>
      <c r="BN24" s="50">
        <f t="shared" si="13"/>
        <v>0</v>
      </c>
      <c r="BP24" s="49"/>
      <c r="BQ24" s="49"/>
      <c r="BR24" s="50">
        <f t="shared" si="14"/>
        <v>0</v>
      </c>
      <c r="BT24" s="49"/>
      <c r="BU24" s="49"/>
      <c r="BV24" s="50">
        <f t="shared" si="15"/>
        <v>0</v>
      </c>
      <c r="BX24" s="49"/>
      <c r="BY24" s="49"/>
      <c r="BZ24" s="50">
        <f t="shared" si="16"/>
        <v>0</v>
      </c>
      <c r="CB24" s="49"/>
      <c r="CC24" s="49"/>
      <c r="CD24" s="50">
        <f t="shared" si="17"/>
        <v>0</v>
      </c>
      <c r="CF24" s="49"/>
      <c r="CG24" s="49"/>
      <c r="CH24" s="50">
        <f t="shared" si="18"/>
        <v>0</v>
      </c>
      <c r="CJ24" s="49"/>
      <c r="CK24" s="49"/>
      <c r="CL24" s="50">
        <f t="shared" si="19"/>
        <v>0</v>
      </c>
      <c r="CN24" s="49"/>
      <c r="CO24" s="49"/>
      <c r="CP24" s="50">
        <f t="shared" si="20"/>
        <v>0</v>
      </c>
      <c r="CR24" s="49"/>
      <c r="CS24" s="49"/>
      <c r="CT24" s="50">
        <f t="shared" si="21"/>
        <v>0</v>
      </c>
      <c r="CV24" s="49"/>
      <c r="CW24" s="49"/>
      <c r="CX24" s="50">
        <f t="shared" si="22"/>
        <v>0</v>
      </c>
      <c r="CZ24" s="49"/>
      <c r="DA24" s="49"/>
      <c r="DB24" s="50">
        <f t="shared" si="23"/>
        <v>0</v>
      </c>
      <c r="DD24" s="49"/>
      <c r="DE24" s="49"/>
      <c r="DF24" s="50">
        <f t="shared" si="24"/>
        <v>0</v>
      </c>
      <c r="DH24" s="49"/>
      <c r="DI24" s="49"/>
      <c r="DJ24" s="50">
        <f t="shared" si="25"/>
        <v>0</v>
      </c>
      <c r="DL24" s="49"/>
      <c r="DM24" s="49"/>
      <c r="DN24" s="50">
        <f t="shared" si="26"/>
        <v>0</v>
      </c>
      <c r="DP24" s="49"/>
      <c r="DQ24" s="49"/>
      <c r="DR24" s="50">
        <f t="shared" si="27"/>
        <v>0</v>
      </c>
      <c r="DT24" s="49"/>
      <c r="DU24" s="49"/>
      <c r="DV24" s="50">
        <f t="shared" si="28"/>
        <v>0</v>
      </c>
      <c r="DX24" s="49"/>
      <c r="DY24" s="49"/>
      <c r="DZ24" s="50">
        <f t="shared" si="29"/>
        <v>0</v>
      </c>
      <c r="EB24" s="49">
        <f t="shared" si="30"/>
        <v>0</v>
      </c>
      <c r="EC24" s="49">
        <f t="shared" si="30"/>
        <v>0</v>
      </c>
      <c r="ED24" s="49">
        <f t="shared" si="30"/>
        <v>0</v>
      </c>
    </row>
    <row r="25" spans="2:134" ht="11" customHeight="1" x14ac:dyDescent="0.35">
      <c r="B25" s="4">
        <v>103008</v>
      </c>
      <c r="C25" s="4" t="s">
        <v>31</v>
      </c>
      <c r="D25" s="4">
        <v>18</v>
      </c>
      <c r="E25" s="5">
        <v>18</v>
      </c>
      <c r="F25" s="6">
        <v>198.24262196000001</v>
      </c>
      <c r="G25" s="7"/>
      <c r="H25" s="49"/>
      <c r="I25" s="49"/>
      <c r="J25" s="50">
        <f t="shared" si="31"/>
        <v>0</v>
      </c>
      <c r="K25" s="9"/>
      <c r="L25" s="49"/>
      <c r="M25" s="49"/>
      <c r="N25" s="50">
        <f t="shared" si="0"/>
        <v>0</v>
      </c>
      <c r="O25" s="46"/>
      <c r="P25" s="49"/>
      <c r="Q25" s="49"/>
      <c r="R25" s="50">
        <f t="shared" si="1"/>
        <v>0</v>
      </c>
      <c r="T25" s="49"/>
      <c r="U25" s="49"/>
      <c r="V25" s="50">
        <f t="shared" si="2"/>
        <v>0</v>
      </c>
      <c r="X25" s="49"/>
      <c r="Y25" s="49"/>
      <c r="Z25" s="50">
        <f t="shared" si="3"/>
        <v>0</v>
      </c>
      <c r="AB25" s="49"/>
      <c r="AC25" s="49"/>
      <c r="AD25" s="50">
        <f t="shared" si="4"/>
        <v>0</v>
      </c>
      <c r="AF25" s="49"/>
      <c r="AG25" s="49"/>
      <c r="AH25" s="50">
        <f t="shared" si="5"/>
        <v>0</v>
      </c>
      <c r="AJ25" s="49"/>
      <c r="AK25" s="49"/>
      <c r="AL25" s="50">
        <f t="shared" si="6"/>
        <v>0</v>
      </c>
      <c r="AN25" s="49"/>
      <c r="AO25" s="49"/>
      <c r="AP25" s="50">
        <f t="shared" si="7"/>
        <v>0</v>
      </c>
      <c r="AR25" s="49"/>
      <c r="AS25" s="49"/>
      <c r="AT25" s="50">
        <f t="shared" si="8"/>
        <v>0</v>
      </c>
      <c r="AV25" s="49"/>
      <c r="AW25" s="49"/>
      <c r="AX25" s="50">
        <f t="shared" si="9"/>
        <v>0</v>
      </c>
      <c r="AZ25" s="49"/>
      <c r="BA25" s="49"/>
      <c r="BB25" s="50">
        <f t="shared" si="10"/>
        <v>0</v>
      </c>
      <c r="BD25" s="49"/>
      <c r="BE25" s="49"/>
      <c r="BF25" s="50">
        <f t="shared" si="11"/>
        <v>0</v>
      </c>
      <c r="BH25" s="49"/>
      <c r="BI25" s="49"/>
      <c r="BJ25" s="50">
        <f t="shared" si="12"/>
        <v>0</v>
      </c>
      <c r="BL25" s="49"/>
      <c r="BM25" s="49"/>
      <c r="BN25" s="50">
        <f t="shared" si="13"/>
        <v>0</v>
      </c>
      <c r="BP25" s="49"/>
      <c r="BQ25" s="49"/>
      <c r="BR25" s="50">
        <f t="shared" si="14"/>
        <v>0</v>
      </c>
      <c r="BT25" s="49"/>
      <c r="BU25" s="49"/>
      <c r="BV25" s="50">
        <f t="shared" si="15"/>
        <v>0</v>
      </c>
      <c r="BX25" s="49"/>
      <c r="BY25" s="49"/>
      <c r="BZ25" s="50">
        <f t="shared" si="16"/>
        <v>0</v>
      </c>
      <c r="CB25" s="49"/>
      <c r="CC25" s="49"/>
      <c r="CD25" s="50">
        <f t="shared" si="17"/>
        <v>0</v>
      </c>
      <c r="CF25" s="49"/>
      <c r="CG25" s="49"/>
      <c r="CH25" s="50">
        <f t="shared" si="18"/>
        <v>0</v>
      </c>
      <c r="CJ25" s="49"/>
      <c r="CK25" s="49"/>
      <c r="CL25" s="50">
        <f t="shared" si="19"/>
        <v>0</v>
      </c>
      <c r="CN25" s="49"/>
      <c r="CO25" s="49"/>
      <c r="CP25" s="50">
        <f t="shared" si="20"/>
        <v>0</v>
      </c>
      <c r="CR25" s="49"/>
      <c r="CS25" s="49"/>
      <c r="CT25" s="50">
        <f t="shared" si="21"/>
        <v>0</v>
      </c>
      <c r="CV25" s="49"/>
      <c r="CW25" s="49"/>
      <c r="CX25" s="50">
        <f t="shared" si="22"/>
        <v>0</v>
      </c>
      <c r="CZ25" s="49"/>
      <c r="DA25" s="49"/>
      <c r="DB25" s="50">
        <f t="shared" si="23"/>
        <v>0</v>
      </c>
      <c r="DD25" s="49"/>
      <c r="DE25" s="49"/>
      <c r="DF25" s="50">
        <f t="shared" si="24"/>
        <v>0</v>
      </c>
      <c r="DH25" s="49"/>
      <c r="DI25" s="49"/>
      <c r="DJ25" s="50">
        <f t="shared" si="25"/>
        <v>0</v>
      </c>
      <c r="DL25" s="49"/>
      <c r="DM25" s="49"/>
      <c r="DN25" s="50">
        <f t="shared" si="26"/>
        <v>0</v>
      </c>
      <c r="DP25" s="49"/>
      <c r="DQ25" s="49"/>
      <c r="DR25" s="50">
        <f t="shared" si="27"/>
        <v>0</v>
      </c>
      <c r="DT25" s="49"/>
      <c r="DU25" s="49"/>
      <c r="DV25" s="50">
        <f t="shared" si="28"/>
        <v>0</v>
      </c>
      <c r="DX25" s="49"/>
      <c r="DY25" s="49"/>
      <c r="DZ25" s="50">
        <f t="shared" si="29"/>
        <v>0</v>
      </c>
      <c r="EB25" s="49">
        <f t="shared" si="30"/>
        <v>0</v>
      </c>
      <c r="EC25" s="49">
        <f t="shared" si="30"/>
        <v>0</v>
      </c>
      <c r="ED25" s="49">
        <f t="shared" si="30"/>
        <v>0</v>
      </c>
    </row>
    <row r="26" spans="2:134" ht="11" customHeight="1" x14ac:dyDescent="0.35">
      <c r="B26" s="4">
        <v>103012</v>
      </c>
      <c r="C26" s="4" t="s">
        <v>32</v>
      </c>
      <c r="D26" s="4">
        <v>50</v>
      </c>
      <c r="E26" s="5">
        <v>18</v>
      </c>
      <c r="F26" s="6">
        <v>198.24262196000001</v>
      </c>
      <c r="G26" s="7"/>
      <c r="H26" s="49"/>
      <c r="I26" s="49"/>
      <c r="J26" s="50">
        <f t="shared" si="31"/>
        <v>0</v>
      </c>
      <c r="K26" s="9"/>
      <c r="L26" s="49"/>
      <c r="M26" s="49"/>
      <c r="N26" s="50">
        <f t="shared" si="0"/>
        <v>0</v>
      </c>
      <c r="O26" s="46"/>
      <c r="P26" s="49"/>
      <c r="Q26" s="49"/>
      <c r="R26" s="50">
        <f t="shared" si="1"/>
        <v>0</v>
      </c>
      <c r="T26" s="49"/>
      <c r="U26" s="49"/>
      <c r="V26" s="50">
        <f t="shared" si="2"/>
        <v>0</v>
      </c>
      <c r="X26" s="49"/>
      <c r="Y26" s="49"/>
      <c r="Z26" s="50">
        <f t="shared" si="3"/>
        <v>0</v>
      </c>
      <c r="AB26" s="49"/>
      <c r="AC26" s="49"/>
      <c r="AD26" s="50">
        <f t="shared" si="4"/>
        <v>0</v>
      </c>
      <c r="AF26" s="49"/>
      <c r="AG26" s="49"/>
      <c r="AH26" s="50">
        <f t="shared" si="5"/>
        <v>0</v>
      </c>
      <c r="AJ26" s="49"/>
      <c r="AK26" s="49"/>
      <c r="AL26" s="50">
        <f t="shared" si="6"/>
        <v>0</v>
      </c>
      <c r="AN26" s="49"/>
      <c r="AO26" s="49"/>
      <c r="AP26" s="50">
        <f t="shared" si="7"/>
        <v>0</v>
      </c>
      <c r="AR26" s="49"/>
      <c r="AS26" s="49"/>
      <c r="AT26" s="50">
        <f t="shared" si="8"/>
        <v>0</v>
      </c>
      <c r="AV26" s="49"/>
      <c r="AW26" s="49"/>
      <c r="AX26" s="50">
        <f t="shared" si="9"/>
        <v>0</v>
      </c>
      <c r="AZ26" s="49"/>
      <c r="BA26" s="49"/>
      <c r="BB26" s="50">
        <f t="shared" si="10"/>
        <v>0</v>
      </c>
      <c r="BD26" s="49"/>
      <c r="BE26" s="49"/>
      <c r="BF26" s="50">
        <f t="shared" si="11"/>
        <v>0</v>
      </c>
      <c r="BH26" s="49"/>
      <c r="BI26" s="49"/>
      <c r="BJ26" s="50">
        <f t="shared" si="12"/>
        <v>0</v>
      </c>
      <c r="BL26" s="49"/>
      <c r="BM26" s="49"/>
      <c r="BN26" s="50">
        <f t="shared" si="13"/>
        <v>0</v>
      </c>
      <c r="BP26" s="49"/>
      <c r="BQ26" s="49"/>
      <c r="BR26" s="50">
        <f t="shared" si="14"/>
        <v>0</v>
      </c>
      <c r="BT26" s="49"/>
      <c r="BU26" s="49"/>
      <c r="BV26" s="50">
        <f t="shared" si="15"/>
        <v>0</v>
      </c>
      <c r="BX26" s="49"/>
      <c r="BY26" s="49"/>
      <c r="BZ26" s="50">
        <f t="shared" si="16"/>
        <v>0</v>
      </c>
      <c r="CB26" s="49"/>
      <c r="CC26" s="49"/>
      <c r="CD26" s="50">
        <f t="shared" si="17"/>
        <v>0</v>
      </c>
      <c r="CF26" s="49"/>
      <c r="CG26" s="49"/>
      <c r="CH26" s="50">
        <f t="shared" si="18"/>
        <v>0</v>
      </c>
      <c r="CJ26" s="49"/>
      <c r="CK26" s="49"/>
      <c r="CL26" s="50">
        <f t="shared" si="19"/>
        <v>0</v>
      </c>
      <c r="CN26" s="49"/>
      <c r="CO26" s="49"/>
      <c r="CP26" s="50">
        <f t="shared" si="20"/>
        <v>0</v>
      </c>
      <c r="CR26" s="49"/>
      <c r="CS26" s="49"/>
      <c r="CT26" s="50">
        <f t="shared" si="21"/>
        <v>0</v>
      </c>
      <c r="CV26" s="49"/>
      <c r="CW26" s="49"/>
      <c r="CX26" s="50">
        <f t="shared" si="22"/>
        <v>0</v>
      </c>
      <c r="CZ26" s="49"/>
      <c r="DA26" s="49"/>
      <c r="DB26" s="50">
        <f t="shared" si="23"/>
        <v>0</v>
      </c>
      <c r="DD26" s="49"/>
      <c r="DE26" s="49"/>
      <c r="DF26" s="50">
        <f t="shared" si="24"/>
        <v>0</v>
      </c>
      <c r="DH26" s="49"/>
      <c r="DI26" s="49"/>
      <c r="DJ26" s="50">
        <f t="shared" si="25"/>
        <v>0</v>
      </c>
      <c r="DL26" s="49"/>
      <c r="DM26" s="49"/>
      <c r="DN26" s="50">
        <f t="shared" si="26"/>
        <v>0</v>
      </c>
      <c r="DP26" s="49"/>
      <c r="DQ26" s="49"/>
      <c r="DR26" s="50">
        <f t="shared" si="27"/>
        <v>0</v>
      </c>
      <c r="DT26" s="49"/>
      <c r="DU26" s="49"/>
      <c r="DV26" s="50">
        <f t="shared" si="28"/>
        <v>0</v>
      </c>
      <c r="DX26" s="49"/>
      <c r="DY26" s="49"/>
      <c r="DZ26" s="50">
        <f t="shared" si="29"/>
        <v>0</v>
      </c>
      <c r="EB26" s="49">
        <f t="shared" si="30"/>
        <v>0</v>
      </c>
      <c r="EC26" s="49">
        <f t="shared" si="30"/>
        <v>0</v>
      </c>
      <c r="ED26" s="49">
        <f t="shared" si="30"/>
        <v>0</v>
      </c>
    </row>
    <row r="27" spans="2:134" ht="11" customHeight="1" x14ac:dyDescent="0.35">
      <c r="B27" s="4">
        <v>103020</v>
      </c>
      <c r="C27" s="4" t="s">
        <v>33</v>
      </c>
      <c r="D27" s="4">
        <v>12</v>
      </c>
      <c r="E27" s="5">
        <v>8</v>
      </c>
      <c r="F27" s="6">
        <v>481.09632499999998</v>
      </c>
      <c r="G27" s="7"/>
      <c r="H27" s="49"/>
      <c r="I27" s="49"/>
      <c r="J27" s="50">
        <f t="shared" si="31"/>
        <v>0</v>
      </c>
      <c r="K27" s="9"/>
      <c r="L27" s="49"/>
      <c r="M27" s="49"/>
      <c r="N27" s="50">
        <f t="shared" si="0"/>
        <v>0</v>
      </c>
      <c r="O27" s="46"/>
      <c r="P27" s="49"/>
      <c r="Q27" s="49"/>
      <c r="R27" s="50">
        <f t="shared" si="1"/>
        <v>0</v>
      </c>
      <c r="T27" s="49"/>
      <c r="U27" s="49"/>
      <c r="V27" s="50">
        <f t="shared" si="2"/>
        <v>0</v>
      </c>
      <c r="X27" s="49"/>
      <c r="Y27" s="49"/>
      <c r="Z27" s="50">
        <f t="shared" si="3"/>
        <v>0</v>
      </c>
      <c r="AB27" s="49"/>
      <c r="AC27" s="49"/>
      <c r="AD27" s="50">
        <f t="shared" si="4"/>
        <v>0</v>
      </c>
      <c r="AF27" s="49"/>
      <c r="AG27" s="49"/>
      <c r="AH27" s="50">
        <f t="shared" si="5"/>
        <v>0</v>
      </c>
      <c r="AJ27" s="49"/>
      <c r="AK27" s="49"/>
      <c r="AL27" s="50">
        <f t="shared" si="6"/>
        <v>0</v>
      </c>
      <c r="AN27" s="49"/>
      <c r="AO27" s="49"/>
      <c r="AP27" s="50">
        <f t="shared" si="7"/>
        <v>0</v>
      </c>
      <c r="AR27" s="49"/>
      <c r="AS27" s="49"/>
      <c r="AT27" s="50">
        <f t="shared" si="8"/>
        <v>0</v>
      </c>
      <c r="AV27" s="49"/>
      <c r="AW27" s="49"/>
      <c r="AX27" s="50">
        <f t="shared" si="9"/>
        <v>0</v>
      </c>
      <c r="AZ27" s="49"/>
      <c r="BA27" s="49"/>
      <c r="BB27" s="50">
        <f t="shared" si="10"/>
        <v>0</v>
      </c>
      <c r="BD27" s="49"/>
      <c r="BE27" s="49"/>
      <c r="BF27" s="50">
        <f t="shared" si="11"/>
        <v>0</v>
      </c>
      <c r="BH27" s="49"/>
      <c r="BI27" s="49"/>
      <c r="BJ27" s="50">
        <f t="shared" si="12"/>
        <v>0</v>
      </c>
      <c r="BL27" s="49"/>
      <c r="BM27" s="49"/>
      <c r="BN27" s="50">
        <f t="shared" si="13"/>
        <v>0</v>
      </c>
      <c r="BP27" s="49"/>
      <c r="BQ27" s="49"/>
      <c r="BR27" s="50">
        <f t="shared" si="14"/>
        <v>0</v>
      </c>
      <c r="BT27" s="49"/>
      <c r="BU27" s="49"/>
      <c r="BV27" s="50">
        <f t="shared" si="15"/>
        <v>0</v>
      </c>
      <c r="BX27" s="49"/>
      <c r="BY27" s="49"/>
      <c r="BZ27" s="50">
        <f t="shared" si="16"/>
        <v>0</v>
      </c>
      <c r="CB27" s="49"/>
      <c r="CC27" s="49"/>
      <c r="CD27" s="50">
        <f t="shared" si="17"/>
        <v>0</v>
      </c>
      <c r="CF27" s="49"/>
      <c r="CG27" s="49"/>
      <c r="CH27" s="50">
        <f t="shared" si="18"/>
        <v>0</v>
      </c>
      <c r="CJ27" s="49"/>
      <c r="CK27" s="49"/>
      <c r="CL27" s="50">
        <f t="shared" si="19"/>
        <v>0</v>
      </c>
      <c r="CN27" s="49"/>
      <c r="CO27" s="49"/>
      <c r="CP27" s="50">
        <f t="shared" si="20"/>
        <v>0</v>
      </c>
      <c r="CR27" s="49"/>
      <c r="CS27" s="49"/>
      <c r="CT27" s="50">
        <f t="shared" si="21"/>
        <v>0</v>
      </c>
      <c r="CV27" s="49"/>
      <c r="CW27" s="49"/>
      <c r="CX27" s="50">
        <f t="shared" si="22"/>
        <v>0</v>
      </c>
      <c r="CZ27" s="49"/>
      <c r="DA27" s="49"/>
      <c r="DB27" s="50">
        <f t="shared" si="23"/>
        <v>0</v>
      </c>
      <c r="DD27" s="49"/>
      <c r="DE27" s="49"/>
      <c r="DF27" s="50">
        <f t="shared" si="24"/>
        <v>0</v>
      </c>
      <c r="DH27" s="49"/>
      <c r="DI27" s="49"/>
      <c r="DJ27" s="50">
        <f t="shared" si="25"/>
        <v>0</v>
      </c>
      <c r="DL27" s="49"/>
      <c r="DM27" s="49"/>
      <c r="DN27" s="50">
        <f t="shared" si="26"/>
        <v>0</v>
      </c>
      <c r="DP27" s="49"/>
      <c r="DQ27" s="49"/>
      <c r="DR27" s="50">
        <f t="shared" si="27"/>
        <v>0</v>
      </c>
      <c r="DT27" s="49"/>
      <c r="DU27" s="49"/>
      <c r="DV27" s="50">
        <f t="shared" si="28"/>
        <v>0</v>
      </c>
      <c r="DX27" s="49"/>
      <c r="DY27" s="49"/>
      <c r="DZ27" s="50">
        <f t="shared" si="29"/>
        <v>0</v>
      </c>
      <c r="EB27" s="49">
        <f t="shared" si="30"/>
        <v>0</v>
      </c>
      <c r="EC27" s="49">
        <f t="shared" si="30"/>
        <v>0</v>
      </c>
      <c r="ED27" s="49">
        <f t="shared" si="30"/>
        <v>0</v>
      </c>
    </row>
    <row r="28" spans="2:134" ht="11" customHeight="1" x14ac:dyDescent="0.35">
      <c r="B28" s="4">
        <v>104056</v>
      </c>
      <c r="C28" s="4" t="s">
        <v>34</v>
      </c>
      <c r="D28" s="4">
        <v>50</v>
      </c>
      <c r="E28" s="5">
        <v>18</v>
      </c>
      <c r="F28" s="6">
        <v>200.47282196</v>
      </c>
      <c r="G28" s="7"/>
      <c r="H28" s="49"/>
      <c r="I28" s="49"/>
      <c r="J28" s="50">
        <f t="shared" si="31"/>
        <v>0</v>
      </c>
      <c r="K28" s="9"/>
      <c r="L28" s="49"/>
      <c r="M28" s="49"/>
      <c r="N28" s="50">
        <f t="shared" si="0"/>
        <v>0</v>
      </c>
      <c r="O28" s="46"/>
      <c r="P28" s="49"/>
      <c r="Q28" s="49"/>
      <c r="R28" s="50">
        <f t="shared" si="1"/>
        <v>0</v>
      </c>
      <c r="T28" s="49"/>
      <c r="U28" s="49"/>
      <c r="V28" s="50">
        <f t="shared" si="2"/>
        <v>0</v>
      </c>
      <c r="X28" s="49"/>
      <c r="Y28" s="49"/>
      <c r="Z28" s="50">
        <f t="shared" si="3"/>
        <v>0</v>
      </c>
      <c r="AB28" s="49"/>
      <c r="AC28" s="49"/>
      <c r="AD28" s="50">
        <f t="shared" si="4"/>
        <v>0</v>
      </c>
      <c r="AF28" s="49"/>
      <c r="AG28" s="49"/>
      <c r="AH28" s="50">
        <f t="shared" si="5"/>
        <v>0</v>
      </c>
      <c r="AJ28" s="49"/>
      <c r="AK28" s="49"/>
      <c r="AL28" s="50">
        <f t="shared" si="6"/>
        <v>0</v>
      </c>
      <c r="AN28" s="49"/>
      <c r="AO28" s="49"/>
      <c r="AP28" s="50">
        <f t="shared" si="7"/>
        <v>0</v>
      </c>
      <c r="AR28" s="49"/>
      <c r="AS28" s="49"/>
      <c r="AT28" s="50">
        <f t="shared" si="8"/>
        <v>0</v>
      </c>
      <c r="AV28" s="49"/>
      <c r="AW28" s="49"/>
      <c r="AX28" s="50">
        <f t="shared" si="9"/>
        <v>0</v>
      </c>
      <c r="AZ28" s="49"/>
      <c r="BA28" s="49"/>
      <c r="BB28" s="50">
        <f t="shared" si="10"/>
        <v>0</v>
      </c>
      <c r="BD28" s="49"/>
      <c r="BE28" s="49"/>
      <c r="BF28" s="50">
        <f t="shared" si="11"/>
        <v>0</v>
      </c>
      <c r="BH28" s="49"/>
      <c r="BI28" s="49"/>
      <c r="BJ28" s="50">
        <f t="shared" si="12"/>
        <v>0</v>
      </c>
      <c r="BL28" s="49"/>
      <c r="BM28" s="49"/>
      <c r="BN28" s="50">
        <f t="shared" si="13"/>
        <v>0</v>
      </c>
      <c r="BP28" s="49"/>
      <c r="BQ28" s="49"/>
      <c r="BR28" s="50">
        <f t="shared" si="14"/>
        <v>0</v>
      </c>
      <c r="BT28" s="49"/>
      <c r="BU28" s="49"/>
      <c r="BV28" s="50">
        <f t="shared" si="15"/>
        <v>0</v>
      </c>
      <c r="BX28" s="49"/>
      <c r="BY28" s="49"/>
      <c r="BZ28" s="50">
        <f t="shared" si="16"/>
        <v>0</v>
      </c>
      <c r="CB28" s="49"/>
      <c r="CC28" s="49"/>
      <c r="CD28" s="50">
        <f t="shared" si="17"/>
        <v>0</v>
      </c>
      <c r="CF28" s="49"/>
      <c r="CG28" s="49"/>
      <c r="CH28" s="50">
        <f t="shared" si="18"/>
        <v>0</v>
      </c>
      <c r="CJ28" s="49"/>
      <c r="CK28" s="49"/>
      <c r="CL28" s="50">
        <f t="shared" si="19"/>
        <v>0</v>
      </c>
      <c r="CN28" s="49"/>
      <c r="CO28" s="49"/>
      <c r="CP28" s="50">
        <f t="shared" si="20"/>
        <v>0</v>
      </c>
      <c r="CR28" s="49"/>
      <c r="CS28" s="49"/>
      <c r="CT28" s="50">
        <f t="shared" si="21"/>
        <v>0</v>
      </c>
      <c r="CV28" s="49"/>
      <c r="CW28" s="49"/>
      <c r="CX28" s="50">
        <f t="shared" si="22"/>
        <v>0</v>
      </c>
      <c r="CZ28" s="49"/>
      <c r="DA28" s="49"/>
      <c r="DB28" s="50">
        <f t="shared" si="23"/>
        <v>0</v>
      </c>
      <c r="DD28" s="49"/>
      <c r="DE28" s="49"/>
      <c r="DF28" s="50">
        <f t="shared" si="24"/>
        <v>0</v>
      </c>
      <c r="DH28" s="49"/>
      <c r="DI28" s="49"/>
      <c r="DJ28" s="50">
        <f t="shared" si="25"/>
        <v>0</v>
      </c>
      <c r="DL28" s="49"/>
      <c r="DM28" s="49"/>
      <c r="DN28" s="50">
        <f t="shared" si="26"/>
        <v>0</v>
      </c>
      <c r="DP28" s="49"/>
      <c r="DQ28" s="49"/>
      <c r="DR28" s="50">
        <f t="shared" si="27"/>
        <v>0</v>
      </c>
      <c r="DT28" s="49"/>
      <c r="DU28" s="49"/>
      <c r="DV28" s="50">
        <f t="shared" si="28"/>
        <v>0</v>
      </c>
      <c r="DX28" s="49"/>
      <c r="DY28" s="49"/>
      <c r="DZ28" s="50">
        <f t="shared" si="29"/>
        <v>0</v>
      </c>
      <c r="EB28" s="49">
        <f t="shared" si="30"/>
        <v>0</v>
      </c>
      <c r="EC28" s="49">
        <f t="shared" si="30"/>
        <v>0</v>
      </c>
      <c r="ED28" s="49">
        <f t="shared" si="30"/>
        <v>0</v>
      </c>
    </row>
    <row r="29" spans="2:134" ht="11" customHeight="1" x14ac:dyDescent="0.35">
      <c r="B29" s="4">
        <v>106023</v>
      </c>
      <c r="C29" s="4" t="s">
        <v>35</v>
      </c>
      <c r="D29" s="4">
        <v>24</v>
      </c>
      <c r="E29" s="5">
        <v>18</v>
      </c>
      <c r="F29" s="6">
        <v>192.45406706</v>
      </c>
      <c r="G29" s="7"/>
      <c r="H29" s="49"/>
      <c r="I29" s="49"/>
      <c r="J29" s="50">
        <f t="shared" si="31"/>
        <v>0</v>
      </c>
      <c r="K29" s="9"/>
      <c r="L29" s="49"/>
      <c r="M29" s="49"/>
      <c r="N29" s="50">
        <f t="shared" si="0"/>
        <v>0</v>
      </c>
      <c r="O29" s="46"/>
      <c r="P29" s="49"/>
      <c r="Q29" s="49"/>
      <c r="R29" s="50">
        <f t="shared" si="1"/>
        <v>0</v>
      </c>
      <c r="T29" s="49"/>
      <c r="U29" s="49"/>
      <c r="V29" s="50">
        <f t="shared" si="2"/>
        <v>0</v>
      </c>
      <c r="X29" s="49"/>
      <c r="Y29" s="49"/>
      <c r="Z29" s="50">
        <f t="shared" si="3"/>
        <v>0</v>
      </c>
      <c r="AB29" s="49"/>
      <c r="AC29" s="49"/>
      <c r="AD29" s="50">
        <f t="shared" si="4"/>
        <v>0</v>
      </c>
      <c r="AF29" s="49"/>
      <c r="AG29" s="49"/>
      <c r="AH29" s="50">
        <f t="shared" si="5"/>
        <v>0</v>
      </c>
      <c r="AJ29" s="49"/>
      <c r="AK29" s="49"/>
      <c r="AL29" s="50">
        <f t="shared" si="6"/>
        <v>0</v>
      </c>
      <c r="AN29" s="49"/>
      <c r="AO29" s="49"/>
      <c r="AP29" s="50">
        <f t="shared" si="7"/>
        <v>0</v>
      </c>
      <c r="AR29" s="49"/>
      <c r="AS29" s="49"/>
      <c r="AT29" s="50">
        <f t="shared" si="8"/>
        <v>0</v>
      </c>
      <c r="AV29" s="49"/>
      <c r="AW29" s="49"/>
      <c r="AX29" s="50">
        <f t="shared" si="9"/>
        <v>0</v>
      </c>
      <c r="AZ29" s="49"/>
      <c r="BA29" s="49"/>
      <c r="BB29" s="50">
        <f t="shared" si="10"/>
        <v>0</v>
      </c>
      <c r="BD29" s="49"/>
      <c r="BE29" s="49"/>
      <c r="BF29" s="50">
        <f t="shared" si="11"/>
        <v>0</v>
      </c>
      <c r="BH29" s="49"/>
      <c r="BI29" s="49"/>
      <c r="BJ29" s="50">
        <f t="shared" si="12"/>
        <v>0</v>
      </c>
      <c r="BL29" s="49"/>
      <c r="BM29" s="49"/>
      <c r="BN29" s="50">
        <f t="shared" si="13"/>
        <v>0</v>
      </c>
      <c r="BP29" s="49"/>
      <c r="BQ29" s="49"/>
      <c r="BR29" s="50">
        <f t="shared" si="14"/>
        <v>0</v>
      </c>
      <c r="BT29" s="49"/>
      <c r="BU29" s="49"/>
      <c r="BV29" s="50">
        <f t="shared" si="15"/>
        <v>0</v>
      </c>
      <c r="BX29" s="49"/>
      <c r="BY29" s="49"/>
      <c r="BZ29" s="50">
        <f t="shared" si="16"/>
        <v>0</v>
      </c>
      <c r="CB29" s="49"/>
      <c r="CC29" s="49"/>
      <c r="CD29" s="50">
        <f t="shared" si="17"/>
        <v>0</v>
      </c>
      <c r="CF29" s="49"/>
      <c r="CG29" s="49"/>
      <c r="CH29" s="50">
        <f t="shared" si="18"/>
        <v>0</v>
      </c>
      <c r="CJ29" s="49"/>
      <c r="CK29" s="49"/>
      <c r="CL29" s="50">
        <f t="shared" si="19"/>
        <v>0</v>
      </c>
      <c r="CN29" s="49"/>
      <c r="CO29" s="49"/>
      <c r="CP29" s="50">
        <f t="shared" si="20"/>
        <v>0</v>
      </c>
      <c r="CR29" s="49"/>
      <c r="CS29" s="49"/>
      <c r="CT29" s="50">
        <f t="shared" si="21"/>
        <v>0</v>
      </c>
      <c r="CV29" s="49"/>
      <c r="CW29" s="49"/>
      <c r="CX29" s="50">
        <f t="shared" si="22"/>
        <v>0</v>
      </c>
      <c r="CZ29" s="49"/>
      <c r="DA29" s="49"/>
      <c r="DB29" s="50">
        <f t="shared" si="23"/>
        <v>0</v>
      </c>
      <c r="DD29" s="49"/>
      <c r="DE29" s="49"/>
      <c r="DF29" s="50">
        <f t="shared" si="24"/>
        <v>0</v>
      </c>
      <c r="DH29" s="49"/>
      <c r="DI29" s="49"/>
      <c r="DJ29" s="50">
        <f t="shared" si="25"/>
        <v>0</v>
      </c>
      <c r="DL29" s="49"/>
      <c r="DM29" s="49"/>
      <c r="DN29" s="50">
        <f t="shared" si="26"/>
        <v>0</v>
      </c>
      <c r="DP29" s="49"/>
      <c r="DQ29" s="49"/>
      <c r="DR29" s="50">
        <f t="shared" si="27"/>
        <v>0</v>
      </c>
      <c r="DT29" s="49"/>
      <c r="DU29" s="49"/>
      <c r="DV29" s="50">
        <f t="shared" si="28"/>
        <v>0</v>
      </c>
      <c r="DX29" s="49"/>
      <c r="DY29" s="49"/>
      <c r="DZ29" s="50">
        <f t="shared" si="29"/>
        <v>0</v>
      </c>
      <c r="EB29" s="49">
        <f t="shared" si="30"/>
        <v>0</v>
      </c>
      <c r="EC29" s="49">
        <f t="shared" si="30"/>
        <v>0</v>
      </c>
      <c r="ED29" s="49">
        <f t="shared" si="30"/>
        <v>0</v>
      </c>
    </row>
    <row r="30" spans="2:134" ht="11" customHeight="1" x14ac:dyDescent="0.35">
      <c r="B30" s="4">
        <v>106054</v>
      </c>
      <c r="C30" s="4" t="s">
        <v>36</v>
      </c>
      <c r="D30" s="4">
        <v>1</v>
      </c>
      <c r="E30" s="5">
        <v>12</v>
      </c>
      <c r="F30" s="6">
        <v>400.62864317399999</v>
      </c>
      <c r="G30" s="7"/>
      <c r="H30" s="49"/>
      <c r="I30" s="49"/>
      <c r="J30" s="50">
        <f t="shared" si="31"/>
        <v>0</v>
      </c>
      <c r="K30" s="9"/>
      <c r="L30" s="49"/>
      <c r="M30" s="49"/>
      <c r="N30" s="50">
        <f t="shared" si="0"/>
        <v>0</v>
      </c>
      <c r="O30" s="46"/>
      <c r="P30" s="49"/>
      <c r="Q30" s="49"/>
      <c r="R30" s="50">
        <f t="shared" si="1"/>
        <v>0</v>
      </c>
      <c r="T30" s="49"/>
      <c r="U30" s="49"/>
      <c r="V30" s="50">
        <f t="shared" si="2"/>
        <v>0</v>
      </c>
      <c r="X30" s="49"/>
      <c r="Y30" s="49"/>
      <c r="Z30" s="50">
        <f t="shared" si="3"/>
        <v>0</v>
      </c>
      <c r="AB30" s="49"/>
      <c r="AC30" s="49"/>
      <c r="AD30" s="50">
        <f t="shared" si="4"/>
        <v>0</v>
      </c>
      <c r="AF30" s="49"/>
      <c r="AG30" s="49"/>
      <c r="AH30" s="50">
        <f t="shared" si="5"/>
        <v>0</v>
      </c>
      <c r="AJ30" s="49"/>
      <c r="AK30" s="49"/>
      <c r="AL30" s="50">
        <f t="shared" si="6"/>
        <v>0</v>
      </c>
      <c r="AN30" s="49"/>
      <c r="AO30" s="49"/>
      <c r="AP30" s="50">
        <f t="shared" si="7"/>
        <v>0</v>
      </c>
      <c r="AR30" s="49"/>
      <c r="AS30" s="49"/>
      <c r="AT30" s="50">
        <f t="shared" si="8"/>
        <v>0</v>
      </c>
      <c r="AV30" s="49"/>
      <c r="AW30" s="49"/>
      <c r="AX30" s="50">
        <f t="shared" si="9"/>
        <v>0</v>
      </c>
      <c r="AZ30" s="49"/>
      <c r="BA30" s="49"/>
      <c r="BB30" s="50">
        <f t="shared" si="10"/>
        <v>0</v>
      </c>
      <c r="BD30" s="49"/>
      <c r="BE30" s="49"/>
      <c r="BF30" s="50">
        <f t="shared" si="11"/>
        <v>0</v>
      </c>
      <c r="BH30" s="49"/>
      <c r="BI30" s="49"/>
      <c r="BJ30" s="50">
        <f t="shared" si="12"/>
        <v>0</v>
      </c>
      <c r="BL30" s="49"/>
      <c r="BM30" s="49"/>
      <c r="BN30" s="50">
        <f t="shared" si="13"/>
        <v>0</v>
      </c>
      <c r="BP30" s="49"/>
      <c r="BQ30" s="49"/>
      <c r="BR30" s="50">
        <f t="shared" si="14"/>
        <v>0</v>
      </c>
      <c r="BT30" s="49"/>
      <c r="BU30" s="49"/>
      <c r="BV30" s="50">
        <f t="shared" si="15"/>
        <v>0</v>
      </c>
      <c r="BX30" s="49"/>
      <c r="BY30" s="49"/>
      <c r="BZ30" s="50">
        <f t="shared" si="16"/>
        <v>0</v>
      </c>
      <c r="CB30" s="49"/>
      <c r="CC30" s="49"/>
      <c r="CD30" s="50">
        <f t="shared" si="17"/>
        <v>0</v>
      </c>
      <c r="CF30" s="49"/>
      <c r="CG30" s="49"/>
      <c r="CH30" s="50">
        <f t="shared" si="18"/>
        <v>0</v>
      </c>
      <c r="CJ30" s="49"/>
      <c r="CK30" s="49"/>
      <c r="CL30" s="50">
        <f t="shared" si="19"/>
        <v>0</v>
      </c>
      <c r="CN30" s="49"/>
      <c r="CO30" s="49"/>
      <c r="CP30" s="50">
        <f t="shared" si="20"/>
        <v>0</v>
      </c>
      <c r="CR30" s="49"/>
      <c r="CS30" s="49"/>
      <c r="CT30" s="50">
        <f t="shared" si="21"/>
        <v>0</v>
      </c>
      <c r="CV30" s="49"/>
      <c r="CW30" s="49"/>
      <c r="CX30" s="50">
        <f t="shared" si="22"/>
        <v>0</v>
      </c>
      <c r="CZ30" s="49"/>
      <c r="DA30" s="49"/>
      <c r="DB30" s="50">
        <f t="shared" si="23"/>
        <v>0</v>
      </c>
      <c r="DD30" s="49"/>
      <c r="DE30" s="49"/>
      <c r="DF30" s="50">
        <f t="shared" si="24"/>
        <v>0</v>
      </c>
      <c r="DH30" s="49"/>
      <c r="DI30" s="49"/>
      <c r="DJ30" s="50">
        <f t="shared" si="25"/>
        <v>0</v>
      </c>
      <c r="DL30" s="49"/>
      <c r="DM30" s="49"/>
      <c r="DN30" s="50">
        <f t="shared" si="26"/>
        <v>0</v>
      </c>
      <c r="DP30" s="49"/>
      <c r="DQ30" s="49"/>
      <c r="DR30" s="50">
        <f t="shared" si="27"/>
        <v>0</v>
      </c>
      <c r="DT30" s="49"/>
      <c r="DU30" s="49"/>
      <c r="DV30" s="50">
        <f t="shared" si="28"/>
        <v>0</v>
      </c>
      <c r="DX30" s="49"/>
      <c r="DY30" s="49"/>
      <c r="DZ30" s="50">
        <f t="shared" si="29"/>
        <v>0</v>
      </c>
      <c r="EB30" s="49">
        <f t="shared" si="30"/>
        <v>0</v>
      </c>
      <c r="EC30" s="49">
        <f t="shared" si="30"/>
        <v>0</v>
      </c>
      <c r="ED30" s="49">
        <f t="shared" si="30"/>
        <v>0</v>
      </c>
    </row>
    <row r="31" spans="2:134" ht="11" customHeight="1" x14ac:dyDescent="0.35">
      <c r="B31" s="4">
        <v>106057</v>
      </c>
      <c r="C31" s="4" t="s">
        <v>37</v>
      </c>
      <c r="D31" s="4">
        <v>70</v>
      </c>
      <c r="E31" s="5">
        <v>18</v>
      </c>
      <c r="F31" s="6">
        <v>280.44265340800001</v>
      </c>
      <c r="G31" s="7"/>
      <c r="H31" s="49"/>
      <c r="I31" s="49"/>
      <c r="J31" s="50">
        <f t="shared" si="31"/>
        <v>0</v>
      </c>
      <c r="K31" s="9"/>
      <c r="L31" s="49"/>
      <c r="M31" s="49"/>
      <c r="N31" s="50">
        <f t="shared" si="0"/>
        <v>0</v>
      </c>
      <c r="O31" s="46"/>
      <c r="P31" s="49"/>
      <c r="Q31" s="49"/>
      <c r="R31" s="50">
        <f t="shared" si="1"/>
        <v>0</v>
      </c>
      <c r="T31" s="49"/>
      <c r="U31" s="49"/>
      <c r="V31" s="50">
        <f t="shared" si="2"/>
        <v>0</v>
      </c>
      <c r="X31" s="49"/>
      <c r="Y31" s="49"/>
      <c r="Z31" s="50">
        <f t="shared" si="3"/>
        <v>0</v>
      </c>
      <c r="AB31" s="49"/>
      <c r="AC31" s="49"/>
      <c r="AD31" s="50">
        <f t="shared" si="4"/>
        <v>0</v>
      </c>
      <c r="AF31" s="49"/>
      <c r="AG31" s="49"/>
      <c r="AH31" s="50">
        <f t="shared" si="5"/>
        <v>0</v>
      </c>
      <c r="AJ31" s="49"/>
      <c r="AK31" s="49"/>
      <c r="AL31" s="50">
        <f t="shared" si="6"/>
        <v>0</v>
      </c>
      <c r="AN31" s="49"/>
      <c r="AO31" s="49"/>
      <c r="AP31" s="50">
        <f t="shared" si="7"/>
        <v>0</v>
      </c>
      <c r="AR31" s="49"/>
      <c r="AS31" s="49"/>
      <c r="AT31" s="50">
        <f t="shared" si="8"/>
        <v>0</v>
      </c>
      <c r="AV31" s="49"/>
      <c r="AW31" s="49"/>
      <c r="AX31" s="50">
        <f t="shared" si="9"/>
        <v>0</v>
      </c>
      <c r="AZ31" s="49"/>
      <c r="BA31" s="49"/>
      <c r="BB31" s="50">
        <f t="shared" si="10"/>
        <v>0</v>
      </c>
      <c r="BD31" s="49"/>
      <c r="BE31" s="49"/>
      <c r="BF31" s="50">
        <f t="shared" si="11"/>
        <v>0</v>
      </c>
      <c r="BH31" s="49"/>
      <c r="BI31" s="49"/>
      <c r="BJ31" s="50">
        <f t="shared" si="12"/>
        <v>0</v>
      </c>
      <c r="BL31" s="49"/>
      <c r="BM31" s="49"/>
      <c r="BN31" s="50">
        <f t="shared" si="13"/>
        <v>0</v>
      </c>
      <c r="BP31" s="49"/>
      <c r="BQ31" s="49"/>
      <c r="BR31" s="50">
        <f t="shared" si="14"/>
        <v>0</v>
      </c>
      <c r="BT31" s="49"/>
      <c r="BU31" s="49"/>
      <c r="BV31" s="50">
        <f t="shared" si="15"/>
        <v>0</v>
      </c>
      <c r="BX31" s="49"/>
      <c r="BY31" s="49"/>
      <c r="BZ31" s="50">
        <f t="shared" si="16"/>
        <v>0</v>
      </c>
      <c r="CB31" s="49"/>
      <c r="CC31" s="49"/>
      <c r="CD31" s="50">
        <f t="shared" si="17"/>
        <v>0</v>
      </c>
      <c r="CF31" s="49"/>
      <c r="CG31" s="49"/>
      <c r="CH31" s="50">
        <f t="shared" si="18"/>
        <v>0</v>
      </c>
      <c r="CJ31" s="49"/>
      <c r="CK31" s="49"/>
      <c r="CL31" s="50">
        <f t="shared" si="19"/>
        <v>0</v>
      </c>
      <c r="CN31" s="49"/>
      <c r="CO31" s="49"/>
      <c r="CP31" s="50">
        <f t="shared" si="20"/>
        <v>0</v>
      </c>
      <c r="CR31" s="49"/>
      <c r="CS31" s="49"/>
      <c r="CT31" s="50">
        <f t="shared" si="21"/>
        <v>0</v>
      </c>
      <c r="CV31" s="49"/>
      <c r="CW31" s="49"/>
      <c r="CX31" s="50">
        <f t="shared" si="22"/>
        <v>0</v>
      </c>
      <c r="CZ31" s="49"/>
      <c r="DA31" s="49"/>
      <c r="DB31" s="50">
        <f t="shared" si="23"/>
        <v>0</v>
      </c>
      <c r="DD31" s="49"/>
      <c r="DE31" s="49"/>
      <c r="DF31" s="50">
        <f t="shared" si="24"/>
        <v>0</v>
      </c>
      <c r="DH31" s="49"/>
      <c r="DI31" s="49"/>
      <c r="DJ31" s="50">
        <f t="shared" si="25"/>
        <v>0</v>
      </c>
      <c r="DL31" s="49"/>
      <c r="DM31" s="49"/>
      <c r="DN31" s="50">
        <f t="shared" si="26"/>
        <v>0</v>
      </c>
      <c r="DP31" s="49"/>
      <c r="DQ31" s="49"/>
      <c r="DR31" s="50">
        <f t="shared" si="27"/>
        <v>0</v>
      </c>
      <c r="DT31" s="49"/>
      <c r="DU31" s="49"/>
      <c r="DV31" s="50">
        <f t="shared" si="28"/>
        <v>0</v>
      </c>
      <c r="DX31" s="49"/>
      <c r="DY31" s="49"/>
      <c r="DZ31" s="50">
        <f t="shared" si="29"/>
        <v>0</v>
      </c>
      <c r="EB31" s="49">
        <f t="shared" si="30"/>
        <v>0</v>
      </c>
      <c r="EC31" s="49">
        <f t="shared" si="30"/>
        <v>0</v>
      </c>
      <c r="ED31" s="49">
        <f t="shared" si="30"/>
        <v>0</v>
      </c>
    </row>
    <row r="32" spans="2:134" ht="11" customHeight="1" x14ac:dyDescent="0.35">
      <c r="B32" s="4">
        <v>106221</v>
      </c>
      <c r="C32" s="4" t="s">
        <v>38</v>
      </c>
      <c r="D32" s="4">
        <v>24</v>
      </c>
      <c r="E32" s="5">
        <v>18</v>
      </c>
      <c r="F32" s="6">
        <v>192.45406706</v>
      </c>
      <c r="G32" s="7"/>
      <c r="H32" s="49"/>
      <c r="I32" s="49"/>
      <c r="J32" s="50">
        <f t="shared" si="31"/>
        <v>0</v>
      </c>
      <c r="K32" s="9"/>
      <c r="L32" s="49"/>
      <c r="M32" s="49"/>
      <c r="N32" s="50">
        <f t="shared" si="0"/>
        <v>0</v>
      </c>
      <c r="O32" s="46"/>
      <c r="P32" s="49"/>
      <c r="Q32" s="49"/>
      <c r="R32" s="50">
        <f t="shared" si="1"/>
        <v>0</v>
      </c>
      <c r="T32" s="49"/>
      <c r="U32" s="49"/>
      <c r="V32" s="50">
        <f t="shared" si="2"/>
        <v>0</v>
      </c>
      <c r="X32" s="49"/>
      <c r="Y32" s="49"/>
      <c r="Z32" s="50">
        <f t="shared" si="3"/>
        <v>0</v>
      </c>
      <c r="AB32" s="49"/>
      <c r="AC32" s="49"/>
      <c r="AD32" s="50">
        <f t="shared" si="4"/>
        <v>0</v>
      </c>
      <c r="AF32" s="49"/>
      <c r="AG32" s="49"/>
      <c r="AH32" s="50">
        <f t="shared" si="5"/>
        <v>0</v>
      </c>
      <c r="AJ32" s="49"/>
      <c r="AK32" s="49"/>
      <c r="AL32" s="50">
        <f t="shared" si="6"/>
        <v>0</v>
      </c>
      <c r="AN32" s="49"/>
      <c r="AO32" s="49"/>
      <c r="AP32" s="50">
        <f t="shared" si="7"/>
        <v>0</v>
      </c>
      <c r="AR32" s="49"/>
      <c r="AS32" s="49"/>
      <c r="AT32" s="50">
        <f t="shared" si="8"/>
        <v>0</v>
      </c>
      <c r="AV32" s="49"/>
      <c r="AW32" s="49"/>
      <c r="AX32" s="50">
        <f t="shared" si="9"/>
        <v>0</v>
      </c>
      <c r="AZ32" s="49"/>
      <c r="BA32" s="49"/>
      <c r="BB32" s="50">
        <f t="shared" si="10"/>
        <v>0</v>
      </c>
      <c r="BD32" s="49"/>
      <c r="BE32" s="49"/>
      <c r="BF32" s="50">
        <f t="shared" si="11"/>
        <v>0</v>
      </c>
      <c r="BH32" s="49"/>
      <c r="BI32" s="49"/>
      <c r="BJ32" s="50">
        <f t="shared" si="12"/>
        <v>0</v>
      </c>
      <c r="BL32" s="49"/>
      <c r="BM32" s="49"/>
      <c r="BN32" s="50">
        <f t="shared" si="13"/>
        <v>0</v>
      </c>
      <c r="BP32" s="49"/>
      <c r="BQ32" s="49"/>
      <c r="BR32" s="50">
        <f t="shared" si="14"/>
        <v>0</v>
      </c>
      <c r="BT32" s="49"/>
      <c r="BU32" s="49"/>
      <c r="BV32" s="50">
        <f t="shared" si="15"/>
        <v>0</v>
      </c>
      <c r="BX32" s="49"/>
      <c r="BY32" s="49"/>
      <c r="BZ32" s="50">
        <f t="shared" si="16"/>
        <v>0</v>
      </c>
      <c r="CB32" s="49"/>
      <c r="CC32" s="49"/>
      <c r="CD32" s="50">
        <f t="shared" si="17"/>
        <v>0</v>
      </c>
      <c r="CF32" s="49"/>
      <c r="CG32" s="49"/>
      <c r="CH32" s="50">
        <f t="shared" si="18"/>
        <v>0</v>
      </c>
      <c r="CJ32" s="49"/>
      <c r="CK32" s="49"/>
      <c r="CL32" s="50">
        <f t="shared" si="19"/>
        <v>0</v>
      </c>
      <c r="CN32" s="49"/>
      <c r="CO32" s="49"/>
      <c r="CP32" s="50">
        <f t="shared" si="20"/>
        <v>0</v>
      </c>
      <c r="CR32" s="49"/>
      <c r="CS32" s="49"/>
      <c r="CT32" s="50">
        <f t="shared" si="21"/>
        <v>0</v>
      </c>
      <c r="CV32" s="49"/>
      <c r="CW32" s="49"/>
      <c r="CX32" s="50">
        <f t="shared" si="22"/>
        <v>0</v>
      </c>
      <c r="CZ32" s="49"/>
      <c r="DA32" s="49"/>
      <c r="DB32" s="50">
        <f t="shared" si="23"/>
        <v>0</v>
      </c>
      <c r="DD32" s="49"/>
      <c r="DE32" s="49"/>
      <c r="DF32" s="50">
        <f t="shared" si="24"/>
        <v>0</v>
      </c>
      <c r="DH32" s="49"/>
      <c r="DI32" s="49"/>
      <c r="DJ32" s="50">
        <f t="shared" si="25"/>
        <v>0</v>
      </c>
      <c r="DL32" s="49"/>
      <c r="DM32" s="49"/>
      <c r="DN32" s="50">
        <f t="shared" si="26"/>
        <v>0</v>
      </c>
      <c r="DP32" s="49"/>
      <c r="DQ32" s="49"/>
      <c r="DR32" s="50">
        <f t="shared" si="27"/>
        <v>0</v>
      </c>
      <c r="DT32" s="49"/>
      <c r="DU32" s="49"/>
      <c r="DV32" s="50">
        <f t="shared" si="28"/>
        <v>0</v>
      </c>
      <c r="DX32" s="49"/>
      <c r="DY32" s="49"/>
      <c r="DZ32" s="50">
        <f t="shared" si="29"/>
        <v>0</v>
      </c>
      <c r="EB32" s="49">
        <f t="shared" si="30"/>
        <v>0</v>
      </c>
      <c r="EC32" s="49">
        <f t="shared" si="30"/>
        <v>0</v>
      </c>
      <c r="ED32" s="49">
        <f t="shared" si="30"/>
        <v>0</v>
      </c>
    </row>
    <row r="33" spans="2:134" ht="11" customHeight="1" x14ac:dyDescent="0.35">
      <c r="B33" s="4">
        <v>106318</v>
      </c>
      <c r="C33" s="4" t="s">
        <v>39</v>
      </c>
      <c r="D33" s="4">
        <v>24</v>
      </c>
      <c r="E33" s="5">
        <v>18</v>
      </c>
      <c r="F33" s="6">
        <v>192.45406706</v>
      </c>
      <c r="G33" s="7"/>
      <c r="H33" s="49"/>
      <c r="I33" s="49"/>
      <c r="J33" s="50">
        <f t="shared" si="31"/>
        <v>0</v>
      </c>
      <c r="K33" s="9"/>
      <c r="L33" s="49"/>
      <c r="M33" s="49"/>
      <c r="N33" s="50">
        <f t="shared" si="0"/>
        <v>0</v>
      </c>
      <c r="O33" s="46"/>
      <c r="P33" s="49"/>
      <c r="Q33" s="49"/>
      <c r="R33" s="50">
        <f t="shared" si="1"/>
        <v>0</v>
      </c>
      <c r="T33" s="49"/>
      <c r="U33" s="49"/>
      <c r="V33" s="50">
        <f t="shared" si="2"/>
        <v>0</v>
      </c>
      <c r="X33" s="49"/>
      <c r="Y33" s="49"/>
      <c r="Z33" s="50">
        <f t="shared" si="3"/>
        <v>0</v>
      </c>
      <c r="AB33" s="49"/>
      <c r="AC33" s="49"/>
      <c r="AD33" s="50">
        <f t="shared" si="4"/>
        <v>0</v>
      </c>
      <c r="AF33" s="49"/>
      <c r="AG33" s="49"/>
      <c r="AH33" s="50">
        <f t="shared" si="5"/>
        <v>0</v>
      </c>
      <c r="AJ33" s="49"/>
      <c r="AK33" s="49"/>
      <c r="AL33" s="50">
        <f t="shared" si="6"/>
        <v>0</v>
      </c>
      <c r="AN33" s="49"/>
      <c r="AO33" s="49"/>
      <c r="AP33" s="50">
        <f t="shared" si="7"/>
        <v>0</v>
      </c>
      <c r="AR33" s="49"/>
      <c r="AS33" s="49"/>
      <c r="AT33" s="50">
        <f t="shared" si="8"/>
        <v>0</v>
      </c>
      <c r="AV33" s="49"/>
      <c r="AW33" s="49"/>
      <c r="AX33" s="50">
        <f t="shared" si="9"/>
        <v>0</v>
      </c>
      <c r="AZ33" s="49"/>
      <c r="BA33" s="49"/>
      <c r="BB33" s="50">
        <f t="shared" si="10"/>
        <v>0</v>
      </c>
      <c r="BD33" s="49"/>
      <c r="BE33" s="49"/>
      <c r="BF33" s="50">
        <f t="shared" si="11"/>
        <v>0</v>
      </c>
      <c r="BH33" s="49"/>
      <c r="BI33" s="49"/>
      <c r="BJ33" s="50">
        <f t="shared" si="12"/>
        <v>0</v>
      </c>
      <c r="BL33" s="49"/>
      <c r="BM33" s="49"/>
      <c r="BN33" s="50">
        <f t="shared" si="13"/>
        <v>0</v>
      </c>
      <c r="BP33" s="49"/>
      <c r="BQ33" s="49"/>
      <c r="BR33" s="50">
        <f t="shared" si="14"/>
        <v>0</v>
      </c>
      <c r="BT33" s="49"/>
      <c r="BU33" s="49"/>
      <c r="BV33" s="50">
        <f t="shared" si="15"/>
        <v>0</v>
      </c>
      <c r="BX33" s="49"/>
      <c r="BY33" s="49"/>
      <c r="BZ33" s="50">
        <f t="shared" si="16"/>
        <v>0</v>
      </c>
      <c r="CB33" s="49"/>
      <c r="CC33" s="49"/>
      <c r="CD33" s="50">
        <f t="shared" si="17"/>
        <v>0</v>
      </c>
      <c r="CF33" s="49"/>
      <c r="CG33" s="49"/>
      <c r="CH33" s="50">
        <f t="shared" si="18"/>
        <v>0</v>
      </c>
      <c r="CJ33" s="49"/>
      <c r="CK33" s="49"/>
      <c r="CL33" s="50">
        <f t="shared" si="19"/>
        <v>0</v>
      </c>
      <c r="CN33" s="49"/>
      <c r="CO33" s="49"/>
      <c r="CP33" s="50">
        <f t="shared" si="20"/>
        <v>0</v>
      </c>
      <c r="CR33" s="49"/>
      <c r="CS33" s="49"/>
      <c r="CT33" s="50">
        <f t="shared" si="21"/>
        <v>0</v>
      </c>
      <c r="CV33" s="49"/>
      <c r="CW33" s="49"/>
      <c r="CX33" s="50">
        <f t="shared" si="22"/>
        <v>0</v>
      </c>
      <c r="CZ33" s="49"/>
      <c r="DA33" s="49"/>
      <c r="DB33" s="50">
        <f t="shared" si="23"/>
        <v>0</v>
      </c>
      <c r="DD33" s="49"/>
      <c r="DE33" s="49"/>
      <c r="DF33" s="50">
        <f t="shared" si="24"/>
        <v>0</v>
      </c>
      <c r="DH33" s="49"/>
      <c r="DI33" s="49"/>
      <c r="DJ33" s="50">
        <f t="shared" si="25"/>
        <v>0</v>
      </c>
      <c r="DL33" s="49"/>
      <c r="DM33" s="49"/>
      <c r="DN33" s="50">
        <f t="shared" si="26"/>
        <v>0</v>
      </c>
      <c r="DP33" s="49"/>
      <c r="DQ33" s="49"/>
      <c r="DR33" s="50">
        <f t="shared" si="27"/>
        <v>0</v>
      </c>
      <c r="DT33" s="49"/>
      <c r="DU33" s="49"/>
      <c r="DV33" s="50">
        <f t="shared" si="28"/>
        <v>0</v>
      </c>
      <c r="DX33" s="49"/>
      <c r="DY33" s="49"/>
      <c r="DZ33" s="50">
        <f t="shared" si="29"/>
        <v>0</v>
      </c>
      <c r="EB33" s="49">
        <f t="shared" si="30"/>
        <v>0</v>
      </c>
      <c r="EC33" s="49">
        <f t="shared" si="30"/>
        <v>0</v>
      </c>
      <c r="ED33" s="49">
        <f t="shared" si="30"/>
        <v>0</v>
      </c>
    </row>
    <row r="34" spans="2:134" ht="11" customHeight="1" x14ac:dyDescent="0.35">
      <c r="B34" s="4">
        <v>106506</v>
      </c>
      <c r="C34" s="4" t="s">
        <v>40</v>
      </c>
      <c r="D34" s="4">
        <v>24</v>
      </c>
      <c r="E34" s="5">
        <v>24</v>
      </c>
      <c r="F34" s="6">
        <v>189.29879107400001</v>
      </c>
      <c r="G34" s="7"/>
      <c r="H34" s="49"/>
      <c r="I34" s="49"/>
      <c r="J34" s="50">
        <f t="shared" si="31"/>
        <v>0</v>
      </c>
      <c r="K34" s="9"/>
      <c r="L34" s="49"/>
      <c r="M34" s="49"/>
      <c r="N34" s="50">
        <f t="shared" si="0"/>
        <v>0</v>
      </c>
      <c r="O34" s="46"/>
      <c r="P34" s="49"/>
      <c r="Q34" s="49"/>
      <c r="R34" s="50">
        <f t="shared" si="1"/>
        <v>0</v>
      </c>
      <c r="T34" s="49"/>
      <c r="U34" s="49"/>
      <c r="V34" s="50">
        <f t="shared" si="2"/>
        <v>0</v>
      </c>
      <c r="X34" s="49"/>
      <c r="Y34" s="49"/>
      <c r="Z34" s="50">
        <f t="shared" si="3"/>
        <v>0</v>
      </c>
      <c r="AB34" s="49"/>
      <c r="AC34" s="49"/>
      <c r="AD34" s="50">
        <f t="shared" si="4"/>
        <v>0</v>
      </c>
      <c r="AF34" s="49"/>
      <c r="AG34" s="49"/>
      <c r="AH34" s="50">
        <f t="shared" si="5"/>
        <v>0</v>
      </c>
      <c r="AJ34" s="49"/>
      <c r="AK34" s="49"/>
      <c r="AL34" s="50">
        <f t="shared" si="6"/>
        <v>0</v>
      </c>
      <c r="AN34" s="49"/>
      <c r="AO34" s="49"/>
      <c r="AP34" s="50">
        <f t="shared" si="7"/>
        <v>0</v>
      </c>
      <c r="AR34" s="49"/>
      <c r="AS34" s="49"/>
      <c r="AT34" s="50">
        <f t="shared" si="8"/>
        <v>0</v>
      </c>
      <c r="AV34" s="49"/>
      <c r="AW34" s="49"/>
      <c r="AX34" s="50">
        <f t="shared" si="9"/>
        <v>0</v>
      </c>
      <c r="AZ34" s="49"/>
      <c r="BA34" s="49"/>
      <c r="BB34" s="50">
        <f t="shared" si="10"/>
        <v>0</v>
      </c>
      <c r="BD34" s="49"/>
      <c r="BE34" s="49"/>
      <c r="BF34" s="50">
        <f t="shared" si="11"/>
        <v>0</v>
      </c>
      <c r="BH34" s="49"/>
      <c r="BI34" s="49"/>
      <c r="BJ34" s="50">
        <f t="shared" si="12"/>
        <v>0</v>
      </c>
      <c r="BL34" s="49"/>
      <c r="BM34" s="49"/>
      <c r="BN34" s="50">
        <f t="shared" si="13"/>
        <v>0</v>
      </c>
      <c r="BP34" s="49"/>
      <c r="BQ34" s="49"/>
      <c r="BR34" s="50">
        <f t="shared" si="14"/>
        <v>0</v>
      </c>
      <c r="BT34" s="49"/>
      <c r="BU34" s="49"/>
      <c r="BV34" s="50">
        <f t="shared" si="15"/>
        <v>0</v>
      </c>
      <c r="BX34" s="49"/>
      <c r="BY34" s="49"/>
      <c r="BZ34" s="50">
        <f t="shared" si="16"/>
        <v>0</v>
      </c>
      <c r="CB34" s="49"/>
      <c r="CC34" s="49"/>
      <c r="CD34" s="50">
        <f t="shared" si="17"/>
        <v>0</v>
      </c>
      <c r="CF34" s="49"/>
      <c r="CG34" s="49"/>
      <c r="CH34" s="50">
        <f t="shared" si="18"/>
        <v>0</v>
      </c>
      <c r="CJ34" s="49"/>
      <c r="CK34" s="49"/>
      <c r="CL34" s="50">
        <f t="shared" si="19"/>
        <v>0</v>
      </c>
      <c r="CN34" s="49"/>
      <c r="CO34" s="49"/>
      <c r="CP34" s="50">
        <f t="shared" si="20"/>
        <v>0</v>
      </c>
      <c r="CR34" s="49"/>
      <c r="CS34" s="49"/>
      <c r="CT34" s="50">
        <f t="shared" si="21"/>
        <v>0</v>
      </c>
      <c r="CV34" s="49"/>
      <c r="CW34" s="49"/>
      <c r="CX34" s="50">
        <f t="shared" si="22"/>
        <v>0</v>
      </c>
      <c r="CZ34" s="49"/>
      <c r="DA34" s="49"/>
      <c r="DB34" s="50">
        <f t="shared" si="23"/>
        <v>0</v>
      </c>
      <c r="DD34" s="49"/>
      <c r="DE34" s="49"/>
      <c r="DF34" s="50">
        <f t="shared" si="24"/>
        <v>0</v>
      </c>
      <c r="DH34" s="49"/>
      <c r="DI34" s="49"/>
      <c r="DJ34" s="50">
        <f t="shared" si="25"/>
        <v>0</v>
      </c>
      <c r="DL34" s="49"/>
      <c r="DM34" s="49"/>
      <c r="DN34" s="50">
        <f t="shared" si="26"/>
        <v>0</v>
      </c>
      <c r="DP34" s="49"/>
      <c r="DQ34" s="49"/>
      <c r="DR34" s="50">
        <f t="shared" si="27"/>
        <v>0</v>
      </c>
      <c r="DT34" s="49"/>
      <c r="DU34" s="49"/>
      <c r="DV34" s="50">
        <f t="shared" si="28"/>
        <v>0</v>
      </c>
      <c r="DX34" s="49"/>
      <c r="DY34" s="49"/>
      <c r="DZ34" s="50">
        <f t="shared" si="29"/>
        <v>0</v>
      </c>
      <c r="EB34" s="49">
        <f t="shared" si="30"/>
        <v>0</v>
      </c>
      <c r="EC34" s="49">
        <f t="shared" si="30"/>
        <v>0</v>
      </c>
      <c r="ED34" s="49">
        <f t="shared" si="30"/>
        <v>0</v>
      </c>
    </row>
    <row r="35" spans="2:134" ht="11" customHeight="1" x14ac:dyDescent="0.35">
      <c r="B35" s="4">
        <v>106507</v>
      </c>
      <c r="C35" s="4" t="s">
        <v>41</v>
      </c>
      <c r="D35" s="4">
        <v>18</v>
      </c>
      <c r="E35" s="5">
        <v>18</v>
      </c>
      <c r="F35" s="6">
        <v>288.68044392000002</v>
      </c>
      <c r="G35" s="7"/>
      <c r="H35" s="49"/>
      <c r="I35" s="49"/>
      <c r="J35" s="50">
        <f t="shared" si="31"/>
        <v>0</v>
      </c>
      <c r="K35" s="9"/>
      <c r="L35" s="49"/>
      <c r="M35" s="49"/>
      <c r="N35" s="50">
        <f t="shared" si="0"/>
        <v>0</v>
      </c>
      <c r="O35" s="46"/>
      <c r="P35" s="49"/>
      <c r="Q35" s="49"/>
      <c r="R35" s="50">
        <f t="shared" si="1"/>
        <v>0</v>
      </c>
      <c r="T35" s="49"/>
      <c r="U35" s="49"/>
      <c r="V35" s="50">
        <f t="shared" si="2"/>
        <v>0</v>
      </c>
      <c r="X35" s="49"/>
      <c r="Y35" s="49"/>
      <c r="Z35" s="50">
        <f t="shared" si="3"/>
        <v>0</v>
      </c>
      <c r="AB35" s="49"/>
      <c r="AC35" s="49"/>
      <c r="AD35" s="50">
        <f t="shared" si="4"/>
        <v>0</v>
      </c>
      <c r="AF35" s="49"/>
      <c r="AG35" s="49"/>
      <c r="AH35" s="50">
        <f t="shared" si="5"/>
        <v>0</v>
      </c>
      <c r="AJ35" s="49"/>
      <c r="AK35" s="49"/>
      <c r="AL35" s="50">
        <f t="shared" si="6"/>
        <v>0</v>
      </c>
      <c r="AN35" s="49"/>
      <c r="AO35" s="49"/>
      <c r="AP35" s="50">
        <f t="shared" si="7"/>
        <v>0</v>
      </c>
      <c r="AR35" s="49"/>
      <c r="AS35" s="49"/>
      <c r="AT35" s="50">
        <f t="shared" si="8"/>
        <v>0</v>
      </c>
      <c r="AV35" s="49"/>
      <c r="AW35" s="49"/>
      <c r="AX35" s="50">
        <f t="shared" si="9"/>
        <v>0</v>
      </c>
      <c r="AZ35" s="49"/>
      <c r="BA35" s="49"/>
      <c r="BB35" s="50">
        <f t="shared" si="10"/>
        <v>0</v>
      </c>
      <c r="BD35" s="49"/>
      <c r="BE35" s="49"/>
      <c r="BF35" s="50">
        <f t="shared" si="11"/>
        <v>0</v>
      </c>
      <c r="BH35" s="49"/>
      <c r="BI35" s="49"/>
      <c r="BJ35" s="50">
        <f t="shared" si="12"/>
        <v>0</v>
      </c>
      <c r="BL35" s="49"/>
      <c r="BM35" s="49"/>
      <c r="BN35" s="50">
        <f t="shared" si="13"/>
        <v>0</v>
      </c>
      <c r="BP35" s="49"/>
      <c r="BQ35" s="49"/>
      <c r="BR35" s="50">
        <f t="shared" si="14"/>
        <v>0</v>
      </c>
      <c r="BT35" s="49"/>
      <c r="BU35" s="49"/>
      <c r="BV35" s="50">
        <f t="shared" si="15"/>
        <v>0</v>
      </c>
      <c r="BX35" s="49"/>
      <c r="BY35" s="49"/>
      <c r="BZ35" s="50">
        <f t="shared" si="16"/>
        <v>0</v>
      </c>
      <c r="CB35" s="49"/>
      <c r="CC35" s="49"/>
      <c r="CD35" s="50">
        <f t="shared" si="17"/>
        <v>0</v>
      </c>
      <c r="CF35" s="49"/>
      <c r="CG35" s="49"/>
      <c r="CH35" s="50">
        <f t="shared" si="18"/>
        <v>0</v>
      </c>
      <c r="CJ35" s="49"/>
      <c r="CK35" s="49"/>
      <c r="CL35" s="50">
        <f t="shared" si="19"/>
        <v>0</v>
      </c>
      <c r="CN35" s="49"/>
      <c r="CO35" s="49"/>
      <c r="CP35" s="50">
        <f t="shared" si="20"/>
        <v>0</v>
      </c>
      <c r="CR35" s="49"/>
      <c r="CS35" s="49"/>
      <c r="CT35" s="50">
        <f t="shared" si="21"/>
        <v>0</v>
      </c>
      <c r="CV35" s="49"/>
      <c r="CW35" s="49"/>
      <c r="CX35" s="50">
        <f t="shared" si="22"/>
        <v>0</v>
      </c>
      <c r="CZ35" s="49"/>
      <c r="DA35" s="49"/>
      <c r="DB35" s="50">
        <f t="shared" si="23"/>
        <v>0</v>
      </c>
      <c r="DD35" s="49"/>
      <c r="DE35" s="49"/>
      <c r="DF35" s="50">
        <f t="shared" si="24"/>
        <v>0</v>
      </c>
      <c r="DH35" s="49"/>
      <c r="DI35" s="49"/>
      <c r="DJ35" s="50">
        <f t="shared" si="25"/>
        <v>0</v>
      </c>
      <c r="DL35" s="49"/>
      <c r="DM35" s="49"/>
      <c r="DN35" s="50">
        <f t="shared" si="26"/>
        <v>0</v>
      </c>
      <c r="DP35" s="49"/>
      <c r="DQ35" s="49"/>
      <c r="DR35" s="50">
        <f t="shared" si="27"/>
        <v>0</v>
      </c>
      <c r="DT35" s="49"/>
      <c r="DU35" s="49"/>
      <c r="DV35" s="50">
        <f t="shared" si="28"/>
        <v>0</v>
      </c>
      <c r="DX35" s="49"/>
      <c r="DY35" s="49"/>
      <c r="DZ35" s="50">
        <f t="shared" si="29"/>
        <v>0</v>
      </c>
      <c r="EB35" s="49">
        <f t="shared" si="30"/>
        <v>0</v>
      </c>
      <c r="EC35" s="49">
        <f t="shared" si="30"/>
        <v>0</v>
      </c>
      <c r="ED35" s="49">
        <f t="shared" si="30"/>
        <v>0</v>
      </c>
    </row>
    <row r="36" spans="2:134" ht="11" customHeight="1" x14ac:dyDescent="0.35">
      <c r="B36" s="4">
        <v>106508</v>
      </c>
      <c r="C36" s="4" t="s">
        <v>42</v>
      </c>
      <c r="D36" s="4">
        <v>12</v>
      </c>
      <c r="E36" s="5">
        <v>12</v>
      </c>
      <c r="F36" s="6">
        <v>187.195471164</v>
      </c>
      <c r="G36" s="7"/>
      <c r="H36" s="49"/>
      <c r="I36" s="49"/>
      <c r="J36" s="50">
        <f t="shared" si="31"/>
        <v>0</v>
      </c>
      <c r="K36" s="9"/>
      <c r="L36" s="49"/>
      <c r="M36" s="49"/>
      <c r="N36" s="50">
        <f t="shared" si="0"/>
        <v>0</v>
      </c>
      <c r="O36" s="46"/>
      <c r="P36" s="49"/>
      <c r="Q36" s="49"/>
      <c r="R36" s="50">
        <f t="shared" si="1"/>
        <v>0</v>
      </c>
      <c r="T36" s="49"/>
      <c r="U36" s="49"/>
      <c r="V36" s="50">
        <f t="shared" si="2"/>
        <v>0</v>
      </c>
      <c r="X36" s="49"/>
      <c r="Y36" s="49"/>
      <c r="Z36" s="50">
        <f t="shared" si="3"/>
        <v>0</v>
      </c>
      <c r="AB36" s="49"/>
      <c r="AC36" s="49"/>
      <c r="AD36" s="50">
        <f t="shared" si="4"/>
        <v>0</v>
      </c>
      <c r="AF36" s="49"/>
      <c r="AG36" s="49"/>
      <c r="AH36" s="50">
        <f t="shared" si="5"/>
        <v>0</v>
      </c>
      <c r="AJ36" s="49"/>
      <c r="AK36" s="49"/>
      <c r="AL36" s="50">
        <f t="shared" si="6"/>
        <v>0</v>
      </c>
      <c r="AN36" s="49"/>
      <c r="AO36" s="49"/>
      <c r="AP36" s="50">
        <f t="shared" si="7"/>
        <v>0</v>
      </c>
      <c r="AR36" s="49"/>
      <c r="AS36" s="49"/>
      <c r="AT36" s="50">
        <f t="shared" si="8"/>
        <v>0</v>
      </c>
      <c r="AV36" s="49"/>
      <c r="AW36" s="49"/>
      <c r="AX36" s="50">
        <f t="shared" si="9"/>
        <v>0</v>
      </c>
      <c r="AZ36" s="49"/>
      <c r="BA36" s="49"/>
      <c r="BB36" s="50">
        <f t="shared" si="10"/>
        <v>0</v>
      </c>
      <c r="BD36" s="49"/>
      <c r="BE36" s="49"/>
      <c r="BF36" s="50">
        <f t="shared" si="11"/>
        <v>0</v>
      </c>
      <c r="BH36" s="49"/>
      <c r="BI36" s="49"/>
      <c r="BJ36" s="50">
        <f t="shared" si="12"/>
        <v>0</v>
      </c>
      <c r="BL36" s="49"/>
      <c r="BM36" s="49"/>
      <c r="BN36" s="50">
        <f t="shared" si="13"/>
        <v>0</v>
      </c>
      <c r="BP36" s="49"/>
      <c r="BQ36" s="49"/>
      <c r="BR36" s="50">
        <f t="shared" si="14"/>
        <v>0</v>
      </c>
      <c r="BT36" s="49"/>
      <c r="BU36" s="49"/>
      <c r="BV36" s="50">
        <f t="shared" si="15"/>
        <v>0</v>
      </c>
      <c r="BX36" s="49"/>
      <c r="BY36" s="49"/>
      <c r="BZ36" s="50">
        <f t="shared" si="16"/>
        <v>0</v>
      </c>
      <c r="CB36" s="49"/>
      <c r="CC36" s="49"/>
      <c r="CD36" s="50">
        <f t="shared" si="17"/>
        <v>0</v>
      </c>
      <c r="CF36" s="49"/>
      <c r="CG36" s="49"/>
      <c r="CH36" s="50">
        <f t="shared" si="18"/>
        <v>0</v>
      </c>
      <c r="CJ36" s="49"/>
      <c r="CK36" s="49"/>
      <c r="CL36" s="50">
        <f t="shared" si="19"/>
        <v>0</v>
      </c>
      <c r="CN36" s="49"/>
      <c r="CO36" s="49"/>
      <c r="CP36" s="50">
        <f t="shared" si="20"/>
        <v>0</v>
      </c>
      <c r="CR36" s="49"/>
      <c r="CS36" s="49"/>
      <c r="CT36" s="50">
        <f t="shared" si="21"/>
        <v>0</v>
      </c>
      <c r="CV36" s="49"/>
      <c r="CW36" s="49"/>
      <c r="CX36" s="50">
        <f t="shared" si="22"/>
        <v>0</v>
      </c>
      <c r="CZ36" s="49"/>
      <c r="DA36" s="49"/>
      <c r="DB36" s="50">
        <f t="shared" si="23"/>
        <v>0</v>
      </c>
      <c r="DD36" s="49"/>
      <c r="DE36" s="49"/>
      <c r="DF36" s="50">
        <f t="shared" si="24"/>
        <v>0</v>
      </c>
      <c r="DH36" s="49"/>
      <c r="DI36" s="49"/>
      <c r="DJ36" s="50">
        <f t="shared" si="25"/>
        <v>0</v>
      </c>
      <c r="DL36" s="49"/>
      <c r="DM36" s="49"/>
      <c r="DN36" s="50">
        <f t="shared" si="26"/>
        <v>0</v>
      </c>
      <c r="DP36" s="49"/>
      <c r="DQ36" s="49"/>
      <c r="DR36" s="50">
        <f t="shared" si="27"/>
        <v>0</v>
      </c>
      <c r="DT36" s="49"/>
      <c r="DU36" s="49"/>
      <c r="DV36" s="50">
        <f t="shared" si="28"/>
        <v>0</v>
      </c>
      <c r="DX36" s="49"/>
      <c r="DY36" s="49"/>
      <c r="DZ36" s="50">
        <f t="shared" si="29"/>
        <v>0</v>
      </c>
      <c r="EB36" s="49">
        <f t="shared" si="30"/>
        <v>0</v>
      </c>
      <c r="EC36" s="49">
        <f t="shared" si="30"/>
        <v>0</v>
      </c>
      <c r="ED36" s="49">
        <f t="shared" si="30"/>
        <v>0</v>
      </c>
    </row>
    <row r="37" spans="2:134" ht="11" customHeight="1" x14ac:dyDescent="0.35">
      <c r="B37" s="4">
        <v>106509</v>
      </c>
      <c r="C37" s="4" t="s">
        <v>43</v>
      </c>
      <c r="D37" s="4">
        <v>12</v>
      </c>
      <c r="E37" s="5">
        <v>12</v>
      </c>
      <c r="F37" s="6">
        <v>475.78878293999998</v>
      </c>
      <c r="G37" s="7"/>
      <c r="H37" s="49"/>
      <c r="I37" s="49"/>
      <c r="J37" s="50">
        <f t="shared" si="31"/>
        <v>0</v>
      </c>
      <c r="K37" s="9"/>
      <c r="L37" s="49"/>
      <c r="M37" s="49"/>
      <c r="N37" s="50">
        <f t="shared" si="0"/>
        <v>0</v>
      </c>
      <c r="O37" s="46"/>
      <c r="P37" s="49"/>
      <c r="Q37" s="49"/>
      <c r="R37" s="50">
        <f t="shared" si="1"/>
        <v>0</v>
      </c>
      <c r="T37" s="49"/>
      <c r="U37" s="49"/>
      <c r="V37" s="50">
        <f t="shared" si="2"/>
        <v>0</v>
      </c>
      <c r="X37" s="49"/>
      <c r="Y37" s="49"/>
      <c r="Z37" s="50">
        <f t="shared" si="3"/>
        <v>0</v>
      </c>
      <c r="AB37" s="49"/>
      <c r="AC37" s="49"/>
      <c r="AD37" s="50">
        <f t="shared" si="4"/>
        <v>0</v>
      </c>
      <c r="AF37" s="49"/>
      <c r="AG37" s="49"/>
      <c r="AH37" s="50">
        <f t="shared" si="5"/>
        <v>0</v>
      </c>
      <c r="AJ37" s="49"/>
      <c r="AK37" s="49"/>
      <c r="AL37" s="50">
        <f t="shared" si="6"/>
        <v>0</v>
      </c>
      <c r="AN37" s="49"/>
      <c r="AO37" s="49"/>
      <c r="AP37" s="50">
        <f t="shared" si="7"/>
        <v>0</v>
      </c>
      <c r="AR37" s="49"/>
      <c r="AS37" s="49"/>
      <c r="AT37" s="50">
        <f t="shared" si="8"/>
        <v>0</v>
      </c>
      <c r="AV37" s="49"/>
      <c r="AW37" s="49"/>
      <c r="AX37" s="50">
        <f t="shared" si="9"/>
        <v>0</v>
      </c>
      <c r="AZ37" s="49"/>
      <c r="BA37" s="49"/>
      <c r="BB37" s="50">
        <f t="shared" si="10"/>
        <v>0</v>
      </c>
      <c r="BD37" s="49"/>
      <c r="BE37" s="49"/>
      <c r="BF37" s="50">
        <f t="shared" si="11"/>
        <v>0</v>
      </c>
      <c r="BH37" s="49"/>
      <c r="BI37" s="49"/>
      <c r="BJ37" s="50">
        <f t="shared" si="12"/>
        <v>0</v>
      </c>
      <c r="BL37" s="49"/>
      <c r="BM37" s="49"/>
      <c r="BN37" s="50">
        <f t="shared" si="13"/>
        <v>0</v>
      </c>
      <c r="BP37" s="49"/>
      <c r="BQ37" s="49"/>
      <c r="BR37" s="50">
        <f t="shared" si="14"/>
        <v>0</v>
      </c>
      <c r="BT37" s="49"/>
      <c r="BU37" s="49"/>
      <c r="BV37" s="50">
        <f t="shared" si="15"/>
        <v>0</v>
      </c>
      <c r="BX37" s="49"/>
      <c r="BY37" s="49"/>
      <c r="BZ37" s="50">
        <f t="shared" si="16"/>
        <v>0</v>
      </c>
      <c r="CB37" s="49"/>
      <c r="CC37" s="49"/>
      <c r="CD37" s="50">
        <f t="shared" si="17"/>
        <v>0</v>
      </c>
      <c r="CF37" s="49"/>
      <c r="CG37" s="49"/>
      <c r="CH37" s="50">
        <f t="shared" si="18"/>
        <v>0</v>
      </c>
      <c r="CJ37" s="49"/>
      <c r="CK37" s="49"/>
      <c r="CL37" s="50">
        <f t="shared" si="19"/>
        <v>0</v>
      </c>
      <c r="CN37" s="49"/>
      <c r="CO37" s="49"/>
      <c r="CP37" s="50">
        <f t="shared" si="20"/>
        <v>0</v>
      </c>
      <c r="CR37" s="49"/>
      <c r="CS37" s="49"/>
      <c r="CT37" s="50">
        <f t="shared" si="21"/>
        <v>0</v>
      </c>
      <c r="CV37" s="49"/>
      <c r="CW37" s="49"/>
      <c r="CX37" s="50">
        <f t="shared" si="22"/>
        <v>0</v>
      </c>
      <c r="CZ37" s="49"/>
      <c r="DA37" s="49"/>
      <c r="DB37" s="50">
        <f t="shared" si="23"/>
        <v>0</v>
      </c>
      <c r="DD37" s="49"/>
      <c r="DE37" s="49"/>
      <c r="DF37" s="50">
        <f t="shared" si="24"/>
        <v>0</v>
      </c>
      <c r="DH37" s="49"/>
      <c r="DI37" s="49"/>
      <c r="DJ37" s="50">
        <f t="shared" si="25"/>
        <v>0</v>
      </c>
      <c r="DL37" s="49"/>
      <c r="DM37" s="49"/>
      <c r="DN37" s="50">
        <f t="shared" si="26"/>
        <v>0</v>
      </c>
      <c r="DP37" s="49"/>
      <c r="DQ37" s="49"/>
      <c r="DR37" s="50">
        <f t="shared" si="27"/>
        <v>0</v>
      </c>
      <c r="DT37" s="49"/>
      <c r="DU37" s="49"/>
      <c r="DV37" s="50">
        <f t="shared" si="28"/>
        <v>0</v>
      </c>
      <c r="DX37" s="49"/>
      <c r="DY37" s="49"/>
      <c r="DZ37" s="50">
        <f t="shared" si="29"/>
        <v>0</v>
      </c>
      <c r="EB37" s="49">
        <f t="shared" si="30"/>
        <v>0</v>
      </c>
      <c r="EC37" s="49">
        <f t="shared" si="30"/>
        <v>0</v>
      </c>
      <c r="ED37" s="49">
        <f t="shared" si="30"/>
        <v>0</v>
      </c>
    </row>
    <row r="38" spans="2:134" ht="11" customHeight="1" x14ac:dyDescent="0.35">
      <c r="B38" s="4">
        <v>106515</v>
      </c>
      <c r="C38" s="4" t="s">
        <v>44</v>
      </c>
      <c r="D38" s="4">
        <v>12</v>
      </c>
      <c r="E38" s="5">
        <v>12</v>
      </c>
      <c r="F38" s="6">
        <v>190.17517436</v>
      </c>
      <c r="G38" s="7"/>
      <c r="H38" s="49"/>
      <c r="I38" s="49"/>
      <c r="J38" s="50">
        <f t="shared" si="31"/>
        <v>0</v>
      </c>
      <c r="K38" s="9"/>
      <c r="L38" s="49"/>
      <c r="M38" s="49"/>
      <c r="N38" s="50">
        <f t="shared" si="0"/>
        <v>0</v>
      </c>
      <c r="O38" s="46"/>
      <c r="P38" s="49"/>
      <c r="Q38" s="49"/>
      <c r="R38" s="50">
        <f t="shared" si="1"/>
        <v>0</v>
      </c>
      <c r="T38" s="49"/>
      <c r="U38" s="49"/>
      <c r="V38" s="50">
        <f t="shared" si="2"/>
        <v>0</v>
      </c>
      <c r="X38" s="49"/>
      <c r="Y38" s="49"/>
      <c r="Z38" s="50">
        <f t="shared" si="3"/>
        <v>0</v>
      </c>
      <c r="AB38" s="49"/>
      <c r="AC38" s="49"/>
      <c r="AD38" s="50">
        <f t="shared" si="4"/>
        <v>0</v>
      </c>
      <c r="AF38" s="49"/>
      <c r="AG38" s="49"/>
      <c r="AH38" s="50">
        <f t="shared" si="5"/>
        <v>0</v>
      </c>
      <c r="AJ38" s="49"/>
      <c r="AK38" s="49"/>
      <c r="AL38" s="50">
        <f t="shared" si="6"/>
        <v>0</v>
      </c>
      <c r="AN38" s="49"/>
      <c r="AO38" s="49"/>
      <c r="AP38" s="50">
        <f t="shared" si="7"/>
        <v>0</v>
      </c>
      <c r="AR38" s="49"/>
      <c r="AS38" s="49"/>
      <c r="AT38" s="50">
        <f t="shared" si="8"/>
        <v>0</v>
      </c>
      <c r="AV38" s="49"/>
      <c r="AW38" s="49"/>
      <c r="AX38" s="50">
        <f t="shared" si="9"/>
        <v>0</v>
      </c>
      <c r="AZ38" s="49"/>
      <c r="BA38" s="49"/>
      <c r="BB38" s="50">
        <f t="shared" si="10"/>
        <v>0</v>
      </c>
      <c r="BD38" s="49"/>
      <c r="BE38" s="49"/>
      <c r="BF38" s="50">
        <f t="shared" si="11"/>
        <v>0</v>
      </c>
      <c r="BH38" s="49"/>
      <c r="BI38" s="49"/>
      <c r="BJ38" s="50">
        <f t="shared" si="12"/>
        <v>0</v>
      </c>
      <c r="BL38" s="49"/>
      <c r="BM38" s="49"/>
      <c r="BN38" s="50">
        <f t="shared" si="13"/>
        <v>0</v>
      </c>
      <c r="BP38" s="49"/>
      <c r="BQ38" s="49"/>
      <c r="BR38" s="50">
        <f t="shared" si="14"/>
        <v>0</v>
      </c>
      <c r="BT38" s="49"/>
      <c r="BU38" s="49"/>
      <c r="BV38" s="50">
        <f t="shared" si="15"/>
        <v>0</v>
      </c>
      <c r="BX38" s="49"/>
      <c r="BY38" s="49"/>
      <c r="BZ38" s="50">
        <f t="shared" si="16"/>
        <v>0</v>
      </c>
      <c r="CB38" s="49"/>
      <c r="CC38" s="49"/>
      <c r="CD38" s="50">
        <f t="shared" si="17"/>
        <v>0</v>
      </c>
      <c r="CF38" s="49"/>
      <c r="CG38" s="49"/>
      <c r="CH38" s="50">
        <f t="shared" si="18"/>
        <v>0</v>
      </c>
      <c r="CJ38" s="49"/>
      <c r="CK38" s="49"/>
      <c r="CL38" s="50">
        <f t="shared" si="19"/>
        <v>0</v>
      </c>
      <c r="CN38" s="49"/>
      <c r="CO38" s="49"/>
      <c r="CP38" s="50">
        <f t="shared" si="20"/>
        <v>0</v>
      </c>
      <c r="CR38" s="49"/>
      <c r="CS38" s="49"/>
      <c r="CT38" s="50">
        <f t="shared" si="21"/>
        <v>0</v>
      </c>
      <c r="CV38" s="49"/>
      <c r="CW38" s="49"/>
      <c r="CX38" s="50">
        <f t="shared" si="22"/>
        <v>0</v>
      </c>
      <c r="CZ38" s="49"/>
      <c r="DA38" s="49"/>
      <c r="DB38" s="50">
        <f t="shared" si="23"/>
        <v>0</v>
      </c>
      <c r="DD38" s="49"/>
      <c r="DE38" s="49"/>
      <c r="DF38" s="50">
        <f t="shared" si="24"/>
        <v>0</v>
      </c>
      <c r="DH38" s="49"/>
      <c r="DI38" s="49"/>
      <c r="DJ38" s="50">
        <f t="shared" si="25"/>
        <v>0</v>
      </c>
      <c r="DL38" s="49"/>
      <c r="DM38" s="49"/>
      <c r="DN38" s="50">
        <f t="shared" si="26"/>
        <v>0</v>
      </c>
      <c r="DP38" s="49"/>
      <c r="DQ38" s="49"/>
      <c r="DR38" s="50">
        <f t="shared" si="27"/>
        <v>0</v>
      </c>
      <c r="DT38" s="49"/>
      <c r="DU38" s="49"/>
      <c r="DV38" s="50">
        <f t="shared" si="28"/>
        <v>0</v>
      </c>
      <c r="DX38" s="49"/>
      <c r="DY38" s="49"/>
      <c r="DZ38" s="50">
        <f t="shared" si="29"/>
        <v>0</v>
      </c>
      <c r="EB38" s="49">
        <f t="shared" si="30"/>
        <v>0</v>
      </c>
      <c r="EC38" s="49">
        <f t="shared" si="30"/>
        <v>0</v>
      </c>
      <c r="ED38" s="49">
        <f t="shared" si="30"/>
        <v>0</v>
      </c>
    </row>
    <row r="39" spans="2:134" ht="11" customHeight="1" x14ac:dyDescent="0.35">
      <c r="B39" s="4">
        <v>106526</v>
      </c>
      <c r="C39" s="4" t="s">
        <v>45</v>
      </c>
      <c r="D39" s="4">
        <v>24</v>
      </c>
      <c r="E39" s="5">
        <v>18</v>
      </c>
      <c r="F39" s="6">
        <v>189.29879107400001</v>
      </c>
      <c r="G39" s="7"/>
      <c r="H39" s="49"/>
      <c r="I39" s="49"/>
      <c r="J39" s="50">
        <f t="shared" si="31"/>
        <v>0</v>
      </c>
      <c r="K39" s="9"/>
      <c r="L39" s="49"/>
      <c r="M39" s="49"/>
      <c r="N39" s="50">
        <f t="shared" si="0"/>
        <v>0</v>
      </c>
      <c r="O39" s="46"/>
      <c r="P39" s="49"/>
      <c r="Q39" s="49"/>
      <c r="R39" s="50">
        <f t="shared" si="1"/>
        <v>0</v>
      </c>
      <c r="T39" s="49"/>
      <c r="U39" s="49"/>
      <c r="V39" s="50">
        <f t="shared" si="2"/>
        <v>0</v>
      </c>
      <c r="X39" s="49"/>
      <c r="Y39" s="49"/>
      <c r="Z39" s="50">
        <f t="shared" si="3"/>
        <v>0</v>
      </c>
      <c r="AB39" s="49"/>
      <c r="AC39" s="49"/>
      <c r="AD39" s="50">
        <f t="shared" si="4"/>
        <v>0</v>
      </c>
      <c r="AF39" s="49"/>
      <c r="AG39" s="49"/>
      <c r="AH39" s="50">
        <f t="shared" si="5"/>
        <v>0</v>
      </c>
      <c r="AJ39" s="49"/>
      <c r="AK39" s="49"/>
      <c r="AL39" s="50">
        <f t="shared" si="6"/>
        <v>0</v>
      </c>
      <c r="AN39" s="49"/>
      <c r="AO39" s="49"/>
      <c r="AP39" s="50">
        <f t="shared" si="7"/>
        <v>0</v>
      </c>
      <c r="AR39" s="49"/>
      <c r="AS39" s="49"/>
      <c r="AT39" s="50">
        <f t="shared" si="8"/>
        <v>0</v>
      </c>
      <c r="AV39" s="49"/>
      <c r="AW39" s="49"/>
      <c r="AX39" s="50">
        <f t="shared" si="9"/>
        <v>0</v>
      </c>
      <c r="AZ39" s="49"/>
      <c r="BA39" s="49"/>
      <c r="BB39" s="50">
        <f t="shared" si="10"/>
        <v>0</v>
      </c>
      <c r="BD39" s="49"/>
      <c r="BE39" s="49"/>
      <c r="BF39" s="50">
        <f t="shared" si="11"/>
        <v>0</v>
      </c>
      <c r="BH39" s="49"/>
      <c r="BI39" s="49"/>
      <c r="BJ39" s="50">
        <f t="shared" si="12"/>
        <v>0</v>
      </c>
      <c r="BL39" s="49"/>
      <c r="BM39" s="49"/>
      <c r="BN39" s="50">
        <f t="shared" si="13"/>
        <v>0</v>
      </c>
      <c r="BP39" s="49"/>
      <c r="BQ39" s="49"/>
      <c r="BR39" s="50">
        <f t="shared" si="14"/>
        <v>0</v>
      </c>
      <c r="BT39" s="49"/>
      <c r="BU39" s="49"/>
      <c r="BV39" s="50">
        <f t="shared" si="15"/>
        <v>0</v>
      </c>
      <c r="BX39" s="49"/>
      <c r="BY39" s="49"/>
      <c r="BZ39" s="50">
        <f t="shared" si="16"/>
        <v>0</v>
      </c>
      <c r="CB39" s="49"/>
      <c r="CC39" s="49"/>
      <c r="CD39" s="50">
        <f t="shared" si="17"/>
        <v>0</v>
      </c>
      <c r="CF39" s="49"/>
      <c r="CG39" s="49"/>
      <c r="CH39" s="50">
        <f t="shared" si="18"/>
        <v>0</v>
      </c>
      <c r="CJ39" s="49"/>
      <c r="CK39" s="49"/>
      <c r="CL39" s="50">
        <f t="shared" si="19"/>
        <v>0</v>
      </c>
      <c r="CN39" s="49"/>
      <c r="CO39" s="49"/>
      <c r="CP39" s="50">
        <f t="shared" si="20"/>
        <v>0</v>
      </c>
      <c r="CR39" s="49"/>
      <c r="CS39" s="49"/>
      <c r="CT39" s="50">
        <f t="shared" si="21"/>
        <v>0</v>
      </c>
      <c r="CV39" s="49"/>
      <c r="CW39" s="49"/>
      <c r="CX39" s="50">
        <f t="shared" si="22"/>
        <v>0</v>
      </c>
      <c r="CZ39" s="49"/>
      <c r="DA39" s="49"/>
      <c r="DB39" s="50">
        <f t="shared" si="23"/>
        <v>0</v>
      </c>
      <c r="DD39" s="49"/>
      <c r="DE39" s="49"/>
      <c r="DF39" s="50">
        <f t="shared" si="24"/>
        <v>0</v>
      </c>
      <c r="DH39" s="49"/>
      <c r="DI39" s="49"/>
      <c r="DJ39" s="50">
        <f t="shared" si="25"/>
        <v>0</v>
      </c>
      <c r="DL39" s="49"/>
      <c r="DM39" s="49"/>
      <c r="DN39" s="50">
        <f t="shared" si="26"/>
        <v>0</v>
      </c>
      <c r="DP39" s="49"/>
      <c r="DQ39" s="49"/>
      <c r="DR39" s="50">
        <f t="shared" si="27"/>
        <v>0</v>
      </c>
      <c r="DT39" s="49"/>
      <c r="DU39" s="49"/>
      <c r="DV39" s="50">
        <f t="shared" si="28"/>
        <v>0</v>
      </c>
      <c r="DX39" s="49"/>
      <c r="DY39" s="49"/>
      <c r="DZ39" s="50">
        <f t="shared" si="29"/>
        <v>0</v>
      </c>
      <c r="EB39" s="49">
        <f t="shared" si="30"/>
        <v>0</v>
      </c>
      <c r="EC39" s="49">
        <f t="shared" si="30"/>
        <v>0</v>
      </c>
      <c r="ED39" s="49">
        <f t="shared" si="30"/>
        <v>0</v>
      </c>
    </row>
    <row r="40" spans="2:134" ht="11" customHeight="1" x14ac:dyDescent="0.35">
      <c r="B40" s="4">
        <v>106527</v>
      </c>
      <c r="C40" s="4" t="s">
        <v>46</v>
      </c>
      <c r="D40" s="4">
        <v>24</v>
      </c>
      <c r="E40" s="5">
        <v>18</v>
      </c>
      <c r="F40" s="6">
        <v>189.29879107400001</v>
      </c>
      <c r="G40" s="7"/>
      <c r="H40" s="49"/>
      <c r="I40" s="49"/>
      <c r="J40" s="50">
        <f t="shared" si="31"/>
        <v>0</v>
      </c>
      <c r="K40" s="9"/>
      <c r="L40" s="49"/>
      <c r="M40" s="49"/>
      <c r="N40" s="50">
        <f t="shared" si="0"/>
        <v>0</v>
      </c>
      <c r="O40" s="46"/>
      <c r="P40" s="49"/>
      <c r="Q40" s="49"/>
      <c r="R40" s="50">
        <f t="shared" si="1"/>
        <v>0</v>
      </c>
      <c r="T40" s="49"/>
      <c r="U40" s="49"/>
      <c r="V40" s="50">
        <f t="shared" si="2"/>
        <v>0</v>
      </c>
      <c r="X40" s="49"/>
      <c r="Y40" s="49"/>
      <c r="Z40" s="50">
        <f t="shared" si="3"/>
        <v>0</v>
      </c>
      <c r="AB40" s="49"/>
      <c r="AC40" s="49"/>
      <c r="AD40" s="50">
        <f t="shared" si="4"/>
        <v>0</v>
      </c>
      <c r="AF40" s="49"/>
      <c r="AG40" s="49"/>
      <c r="AH40" s="50">
        <f t="shared" si="5"/>
        <v>0</v>
      </c>
      <c r="AJ40" s="49"/>
      <c r="AK40" s="49"/>
      <c r="AL40" s="50">
        <f t="shared" si="6"/>
        <v>0</v>
      </c>
      <c r="AN40" s="49"/>
      <c r="AO40" s="49"/>
      <c r="AP40" s="50">
        <f t="shared" si="7"/>
        <v>0</v>
      </c>
      <c r="AR40" s="49"/>
      <c r="AS40" s="49"/>
      <c r="AT40" s="50">
        <f t="shared" si="8"/>
        <v>0</v>
      </c>
      <c r="AV40" s="49"/>
      <c r="AW40" s="49"/>
      <c r="AX40" s="50">
        <f t="shared" si="9"/>
        <v>0</v>
      </c>
      <c r="AZ40" s="49"/>
      <c r="BA40" s="49"/>
      <c r="BB40" s="50">
        <f t="shared" si="10"/>
        <v>0</v>
      </c>
      <c r="BD40" s="49"/>
      <c r="BE40" s="49"/>
      <c r="BF40" s="50">
        <f t="shared" si="11"/>
        <v>0</v>
      </c>
      <c r="BH40" s="49"/>
      <c r="BI40" s="49"/>
      <c r="BJ40" s="50">
        <f t="shared" si="12"/>
        <v>0</v>
      </c>
      <c r="BL40" s="49"/>
      <c r="BM40" s="49"/>
      <c r="BN40" s="50">
        <f t="shared" si="13"/>
        <v>0</v>
      </c>
      <c r="BP40" s="49"/>
      <c r="BQ40" s="49"/>
      <c r="BR40" s="50">
        <f t="shared" si="14"/>
        <v>0</v>
      </c>
      <c r="BT40" s="49"/>
      <c r="BU40" s="49"/>
      <c r="BV40" s="50">
        <f t="shared" si="15"/>
        <v>0</v>
      </c>
      <c r="BX40" s="49"/>
      <c r="BY40" s="49"/>
      <c r="BZ40" s="50">
        <f t="shared" si="16"/>
        <v>0</v>
      </c>
      <c r="CB40" s="49"/>
      <c r="CC40" s="49"/>
      <c r="CD40" s="50">
        <f t="shared" si="17"/>
        <v>0</v>
      </c>
      <c r="CF40" s="49"/>
      <c r="CG40" s="49"/>
      <c r="CH40" s="50">
        <f t="shared" si="18"/>
        <v>0</v>
      </c>
      <c r="CJ40" s="49"/>
      <c r="CK40" s="49"/>
      <c r="CL40" s="50">
        <f t="shared" si="19"/>
        <v>0</v>
      </c>
      <c r="CN40" s="49"/>
      <c r="CO40" s="49"/>
      <c r="CP40" s="50">
        <f t="shared" si="20"/>
        <v>0</v>
      </c>
      <c r="CR40" s="49"/>
      <c r="CS40" s="49"/>
      <c r="CT40" s="50">
        <f t="shared" si="21"/>
        <v>0</v>
      </c>
      <c r="CV40" s="49"/>
      <c r="CW40" s="49"/>
      <c r="CX40" s="50">
        <f t="shared" si="22"/>
        <v>0</v>
      </c>
      <c r="CZ40" s="49"/>
      <c r="DA40" s="49"/>
      <c r="DB40" s="50">
        <f t="shared" si="23"/>
        <v>0</v>
      </c>
      <c r="DD40" s="49"/>
      <c r="DE40" s="49"/>
      <c r="DF40" s="50">
        <f t="shared" si="24"/>
        <v>0</v>
      </c>
      <c r="DH40" s="49"/>
      <c r="DI40" s="49"/>
      <c r="DJ40" s="50">
        <f t="shared" si="25"/>
        <v>0</v>
      </c>
      <c r="DL40" s="49"/>
      <c r="DM40" s="49"/>
      <c r="DN40" s="50">
        <f t="shared" si="26"/>
        <v>0</v>
      </c>
      <c r="DP40" s="49"/>
      <c r="DQ40" s="49"/>
      <c r="DR40" s="50">
        <f t="shared" si="27"/>
        <v>0</v>
      </c>
      <c r="DT40" s="49"/>
      <c r="DU40" s="49"/>
      <c r="DV40" s="50">
        <f t="shared" si="28"/>
        <v>0</v>
      </c>
      <c r="DX40" s="49"/>
      <c r="DY40" s="49"/>
      <c r="DZ40" s="50">
        <f t="shared" si="29"/>
        <v>0</v>
      </c>
      <c r="EB40" s="49">
        <f t="shared" si="30"/>
        <v>0</v>
      </c>
      <c r="EC40" s="49">
        <f t="shared" si="30"/>
        <v>0</v>
      </c>
      <c r="ED40" s="49">
        <f t="shared" si="30"/>
        <v>0</v>
      </c>
    </row>
    <row r="41" spans="2:134" ht="11" customHeight="1" x14ac:dyDescent="0.35">
      <c r="B41" s="4">
        <v>106528</v>
      </c>
      <c r="C41" s="4" t="s">
        <v>47</v>
      </c>
      <c r="D41" s="4">
        <v>24</v>
      </c>
      <c r="E41" s="5">
        <v>18</v>
      </c>
      <c r="F41" s="6">
        <v>189.29879107400001</v>
      </c>
      <c r="G41" s="7"/>
      <c r="H41" s="49"/>
      <c r="I41" s="49"/>
      <c r="J41" s="50">
        <f t="shared" si="31"/>
        <v>0</v>
      </c>
      <c r="K41" s="9"/>
      <c r="L41" s="49"/>
      <c r="M41" s="49"/>
      <c r="N41" s="50">
        <f t="shared" si="0"/>
        <v>0</v>
      </c>
      <c r="O41" s="46"/>
      <c r="P41" s="49"/>
      <c r="Q41" s="49"/>
      <c r="R41" s="50">
        <f t="shared" si="1"/>
        <v>0</v>
      </c>
      <c r="T41" s="49"/>
      <c r="U41" s="49"/>
      <c r="V41" s="50">
        <f t="shared" si="2"/>
        <v>0</v>
      </c>
      <c r="X41" s="49"/>
      <c r="Y41" s="49"/>
      <c r="Z41" s="50">
        <f t="shared" si="3"/>
        <v>0</v>
      </c>
      <c r="AB41" s="49"/>
      <c r="AC41" s="49"/>
      <c r="AD41" s="50">
        <f t="shared" si="4"/>
        <v>0</v>
      </c>
      <c r="AF41" s="49"/>
      <c r="AG41" s="49"/>
      <c r="AH41" s="50">
        <f t="shared" si="5"/>
        <v>0</v>
      </c>
      <c r="AJ41" s="49"/>
      <c r="AK41" s="49"/>
      <c r="AL41" s="50">
        <f t="shared" si="6"/>
        <v>0</v>
      </c>
      <c r="AN41" s="49"/>
      <c r="AO41" s="49"/>
      <c r="AP41" s="50">
        <f t="shared" si="7"/>
        <v>0</v>
      </c>
      <c r="AR41" s="49"/>
      <c r="AS41" s="49"/>
      <c r="AT41" s="50">
        <f t="shared" si="8"/>
        <v>0</v>
      </c>
      <c r="AV41" s="49"/>
      <c r="AW41" s="49"/>
      <c r="AX41" s="50">
        <f t="shared" si="9"/>
        <v>0</v>
      </c>
      <c r="AZ41" s="49"/>
      <c r="BA41" s="49"/>
      <c r="BB41" s="50">
        <f t="shared" si="10"/>
        <v>0</v>
      </c>
      <c r="BD41" s="49"/>
      <c r="BE41" s="49"/>
      <c r="BF41" s="50">
        <f t="shared" si="11"/>
        <v>0</v>
      </c>
      <c r="BH41" s="49"/>
      <c r="BI41" s="49"/>
      <c r="BJ41" s="50">
        <f t="shared" si="12"/>
        <v>0</v>
      </c>
      <c r="BL41" s="49"/>
      <c r="BM41" s="49"/>
      <c r="BN41" s="50">
        <f t="shared" si="13"/>
        <v>0</v>
      </c>
      <c r="BP41" s="49"/>
      <c r="BQ41" s="49"/>
      <c r="BR41" s="50">
        <f t="shared" si="14"/>
        <v>0</v>
      </c>
      <c r="BT41" s="49"/>
      <c r="BU41" s="49"/>
      <c r="BV41" s="50">
        <f t="shared" si="15"/>
        <v>0</v>
      </c>
      <c r="BX41" s="49"/>
      <c r="BY41" s="49"/>
      <c r="BZ41" s="50">
        <f t="shared" si="16"/>
        <v>0</v>
      </c>
      <c r="CB41" s="49"/>
      <c r="CC41" s="49"/>
      <c r="CD41" s="50">
        <f t="shared" si="17"/>
        <v>0</v>
      </c>
      <c r="CF41" s="49"/>
      <c r="CG41" s="49"/>
      <c r="CH41" s="50">
        <f t="shared" si="18"/>
        <v>0</v>
      </c>
      <c r="CJ41" s="49"/>
      <c r="CK41" s="49"/>
      <c r="CL41" s="50">
        <f t="shared" si="19"/>
        <v>0</v>
      </c>
      <c r="CN41" s="49"/>
      <c r="CO41" s="49"/>
      <c r="CP41" s="50">
        <f t="shared" si="20"/>
        <v>0</v>
      </c>
      <c r="CR41" s="49"/>
      <c r="CS41" s="49"/>
      <c r="CT41" s="50">
        <f t="shared" si="21"/>
        <v>0</v>
      </c>
      <c r="CV41" s="49"/>
      <c r="CW41" s="49"/>
      <c r="CX41" s="50">
        <f t="shared" si="22"/>
        <v>0</v>
      </c>
      <c r="CZ41" s="49"/>
      <c r="DA41" s="49"/>
      <c r="DB41" s="50">
        <f t="shared" si="23"/>
        <v>0</v>
      </c>
      <c r="DD41" s="49"/>
      <c r="DE41" s="49"/>
      <c r="DF41" s="50">
        <f t="shared" si="24"/>
        <v>0</v>
      </c>
      <c r="DH41" s="49"/>
      <c r="DI41" s="49"/>
      <c r="DJ41" s="50">
        <f t="shared" si="25"/>
        <v>0</v>
      </c>
      <c r="DL41" s="49"/>
      <c r="DM41" s="49"/>
      <c r="DN41" s="50">
        <f t="shared" si="26"/>
        <v>0</v>
      </c>
      <c r="DP41" s="49"/>
      <c r="DQ41" s="49"/>
      <c r="DR41" s="50">
        <f t="shared" si="27"/>
        <v>0</v>
      </c>
      <c r="DT41" s="49"/>
      <c r="DU41" s="49"/>
      <c r="DV41" s="50">
        <f t="shared" si="28"/>
        <v>0</v>
      </c>
      <c r="DX41" s="49"/>
      <c r="DY41" s="49"/>
      <c r="DZ41" s="50">
        <f t="shared" si="29"/>
        <v>0</v>
      </c>
      <c r="EB41" s="49">
        <f t="shared" si="30"/>
        <v>0</v>
      </c>
      <c r="EC41" s="49">
        <f t="shared" si="30"/>
        <v>0</v>
      </c>
      <c r="ED41" s="49">
        <f t="shared" si="30"/>
        <v>0</v>
      </c>
    </row>
    <row r="42" spans="2:134" ht="11" customHeight="1" x14ac:dyDescent="0.35">
      <c r="B42" s="4">
        <v>106608</v>
      </c>
      <c r="C42" s="4" t="s">
        <v>48</v>
      </c>
      <c r="D42" s="4">
        <v>12</v>
      </c>
      <c r="E42" s="5">
        <v>24</v>
      </c>
      <c r="F42" s="6">
        <v>190.671775</v>
      </c>
      <c r="G42" s="7"/>
      <c r="H42" s="49"/>
      <c r="I42" s="49"/>
      <c r="J42" s="50">
        <f t="shared" si="31"/>
        <v>0</v>
      </c>
      <c r="K42" s="9"/>
      <c r="L42" s="49"/>
      <c r="M42" s="49"/>
      <c r="N42" s="50">
        <f t="shared" si="0"/>
        <v>0</v>
      </c>
      <c r="O42" s="46"/>
      <c r="P42" s="49"/>
      <c r="Q42" s="49"/>
      <c r="R42" s="50">
        <f t="shared" si="1"/>
        <v>0</v>
      </c>
      <c r="T42" s="49"/>
      <c r="U42" s="49"/>
      <c r="V42" s="50">
        <f t="shared" si="2"/>
        <v>0</v>
      </c>
      <c r="X42" s="49"/>
      <c r="Y42" s="49"/>
      <c r="Z42" s="50">
        <f t="shared" si="3"/>
        <v>0</v>
      </c>
      <c r="AB42" s="49"/>
      <c r="AC42" s="49"/>
      <c r="AD42" s="50">
        <f t="shared" si="4"/>
        <v>0</v>
      </c>
      <c r="AF42" s="49"/>
      <c r="AG42" s="49"/>
      <c r="AH42" s="50">
        <f t="shared" si="5"/>
        <v>0</v>
      </c>
      <c r="AJ42" s="49"/>
      <c r="AK42" s="49"/>
      <c r="AL42" s="50">
        <f t="shared" si="6"/>
        <v>0</v>
      </c>
      <c r="AN42" s="49"/>
      <c r="AO42" s="49"/>
      <c r="AP42" s="50">
        <f t="shared" si="7"/>
        <v>0</v>
      </c>
      <c r="AR42" s="49"/>
      <c r="AS42" s="49"/>
      <c r="AT42" s="50">
        <f t="shared" si="8"/>
        <v>0</v>
      </c>
      <c r="AV42" s="49"/>
      <c r="AW42" s="49"/>
      <c r="AX42" s="50">
        <f t="shared" si="9"/>
        <v>0</v>
      </c>
      <c r="AZ42" s="49"/>
      <c r="BA42" s="49"/>
      <c r="BB42" s="50">
        <f t="shared" si="10"/>
        <v>0</v>
      </c>
      <c r="BD42" s="49"/>
      <c r="BE42" s="49"/>
      <c r="BF42" s="50">
        <f t="shared" si="11"/>
        <v>0</v>
      </c>
      <c r="BH42" s="49"/>
      <c r="BI42" s="49"/>
      <c r="BJ42" s="50">
        <f t="shared" si="12"/>
        <v>0</v>
      </c>
      <c r="BL42" s="49"/>
      <c r="BM42" s="49"/>
      <c r="BN42" s="50">
        <f t="shared" si="13"/>
        <v>0</v>
      </c>
      <c r="BP42" s="49"/>
      <c r="BQ42" s="49"/>
      <c r="BR42" s="50">
        <f t="shared" si="14"/>
        <v>0</v>
      </c>
      <c r="BT42" s="49"/>
      <c r="BU42" s="49"/>
      <c r="BV42" s="50">
        <f t="shared" si="15"/>
        <v>0</v>
      </c>
      <c r="BX42" s="49"/>
      <c r="BY42" s="49"/>
      <c r="BZ42" s="50">
        <f t="shared" si="16"/>
        <v>0</v>
      </c>
      <c r="CB42" s="49"/>
      <c r="CC42" s="49"/>
      <c r="CD42" s="50">
        <f t="shared" si="17"/>
        <v>0</v>
      </c>
      <c r="CF42" s="49"/>
      <c r="CG42" s="49"/>
      <c r="CH42" s="50">
        <f t="shared" si="18"/>
        <v>0</v>
      </c>
      <c r="CJ42" s="49"/>
      <c r="CK42" s="49"/>
      <c r="CL42" s="50">
        <f t="shared" si="19"/>
        <v>0</v>
      </c>
      <c r="CN42" s="49"/>
      <c r="CO42" s="49"/>
      <c r="CP42" s="50">
        <f t="shared" si="20"/>
        <v>0</v>
      </c>
      <c r="CR42" s="49"/>
      <c r="CS42" s="49"/>
      <c r="CT42" s="50">
        <f t="shared" si="21"/>
        <v>0</v>
      </c>
      <c r="CV42" s="49"/>
      <c r="CW42" s="49"/>
      <c r="CX42" s="50">
        <f t="shared" si="22"/>
        <v>0</v>
      </c>
      <c r="CZ42" s="49"/>
      <c r="DA42" s="49"/>
      <c r="DB42" s="50">
        <f t="shared" si="23"/>
        <v>0</v>
      </c>
      <c r="DD42" s="49"/>
      <c r="DE42" s="49"/>
      <c r="DF42" s="50">
        <f t="shared" si="24"/>
        <v>0</v>
      </c>
      <c r="DH42" s="49"/>
      <c r="DI42" s="49"/>
      <c r="DJ42" s="50">
        <f t="shared" si="25"/>
        <v>0</v>
      </c>
      <c r="DL42" s="49"/>
      <c r="DM42" s="49"/>
      <c r="DN42" s="50">
        <f t="shared" si="26"/>
        <v>0</v>
      </c>
      <c r="DP42" s="49"/>
      <c r="DQ42" s="49"/>
      <c r="DR42" s="50">
        <f t="shared" si="27"/>
        <v>0</v>
      </c>
      <c r="DT42" s="49"/>
      <c r="DU42" s="49"/>
      <c r="DV42" s="50">
        <f t="shared" si="28"/>
        <v>0</v>
      </c>
      <c r="DX42" s="49"/>
      <c r="DY42" s="49"/>
      <c r="DZ42" s="50">
        <f t="shared" si="29"/>
        <v>0</v>
      </c>
      <c r="EB42" s="49">
        <f t="shared" si="30"/>
        <v>0</v>
      </c>
      <c r="EC42" s="49">
        <f t="shared" si="30"/>
        <v>0</v>
      </c>
      <c r="ED42" s="49">
        <f t="shared" si="30"/>
        <v>0</v>
      </c>
    </row>
    <row r="43" spans="2:134" ht="11" customHeight="1" x14ac:dyDescent="0.35">
      <c r="B43" s="4">
        <v>106609</v>
      </c>
      <c r="C43" s="4" t="s">
        <v>49</v>
      </c>
      <c r="D43" s="4">
        <v>12</v>
      </c>
      <c r="E43" s="5">
        <v>24</v>
      </c>
      <c r="F43" s="6">
        <v>190.671775</v>
      </c>
      <c r="G43" s="7"/>
      <c r="H43" s="49"/>
      <c r="I43" s="49"/>
      <c r="J43" s="50">
        <f t="shared" si="31"/>
        <v>0</v>
      </c>
      <c r="K43" s="9"/>
      <c r="L43" s="49"/>
      <c r="M43" s="49"/>
      <c r="N43" s="50">
        <f t="shared" si="0"/>
        <v>0</v>
      </c>
      <c r="O43" s="46"/>
      <c r="P43" s="49"/>
      <c r="Q43" s="49"/>
      <c r="R43" s="50">
        <f t="shared" si="1"/>
        <v>0</v>
      </c>
      <c r="T43" s="49"/>
      <c r="U43" s="49"/>
      <c r="V43" s="50">
        <f t="shared" si="2"/>
        <v>0</v>
      </c>
      <c r="X43" s="49"/>
      <c r="Y43" s="49"/>
      <c r="Z43" s="50">
        <f t="shared" si="3"/>
        <v>0</v>
      </c>
      <c r="AB43" s="49"/>
      <c r="AC43" s="49"/>
      <c r="AD43" s="50">
        <f t="shared" si="4"/>
        <v>0</v>
      </c>
      <c r="AF43" s="49"/>
      <c r="AG43" s="49"/>
      <c r="AH43" s="50">
        <f t="shared" si="5"/>
        <v>0</v>
      </c>
      <c r="AJ43" s="49"/>
      <c r="AK43" s="49"/>
      <c r="AL43" s="50">
        <f t="shared" si="6"/>
        <v>0</v>
      </c>
      <c r="AN43" s="49"/>
      <c r="AO43" s="49"/>
      <c r="AP43" s="50">
        <f t="shared" si="7"/>
        <v>0</v>
      </c>
      <c r="AR43" s="49"/>
      <c r="AS43" s="49"/>
      <c r="AT43" s="50">
        <f t="shared" si="8"/>
        <v>0</v>
      </c>
      <c r="AV43" s="49"/>
      <c r="AW43" s="49"/>
      <c r="AX43" s="50">
        <f t="shared" si="9"/>
        <v>0</v>
      </c>
      <c r="AZ43" s="49"/>
      <c r="BA43" s="49"/>
      <c r="BB43" s="50">
        <f t="shared" si="10"/>
        <v>0</v>
      </c>
      <c r="BD43" s="49"/>
      <c r="BE43" s="49"/>
      <c r="BF43" s="50">
        <f t="shared" si="11"/>
        <v>0</v>
      </c>
      <c r="BH43" s="49"/>
      <c r="BI43" s="49"/>
      <c r="BJ43" s="50">
        <f t="shared" si="12"/>
        <v>0</v>
      </c>
      <c r="BL43" s="49"/>
      <c r="BM43" s="49"/>
      <c r="BN43" s="50">
        <f t="shared" si="13"/>
        <v>0</v>
      </c>
      <c r="BP43" s="49"/>
      <c r="BQ43" s="49"/>
      <c r="BR43" s="50">
        <f t="shared" si="14"/>
        <v>0</v>
      </c>
      <c r="BT43" s="49"/>
      <c r="BU43" s="49"/>
      <c r="BV43" s="50">
        <f t="shared" si="15"/>
        <v>0</v>
      </c>
      <c r="BX43" s="49"/>
      <c r="BY43" s="49"/>
      <c r="BZ43" s="50">
        <f t="shared" si="16"/>
        <v>0</v>
      </c>
      <c r="CB43" s="49"/>
      <c r="CC43" s="49"/>
      <c r="CD43" s="50">
        <f t="shared" si="17"/>
        <v>0</v>
      </c>
      <c r="CF43" s="49"/>
      <c r="CG43" s="49"/>
      <c r="CH43" s="50">
        <f t="shared" si="18"/>
        <v>0</v>
      </c>
      <c r="CJ43" s="49"/>
      <c r="CK43" s="49"/>
      <c r="CL43" s="50">
        <f t="shared" si="19"/>
        <v>0</v>
      </c>
      <c r="CN43" s="49"/>
      <c r="CO43" s="49"/>
      <c r="CP43" s="50">
        <f t="shared" si="20"/>
        <v>0</v>
      </c>
      <c r="CR43" s="49"/>
      <c r="CS43" s="49"/>
      <c r="CT43" s="50">
        <f t="shared" si="21"/>
        <v>0</v>
      </c>
      <c r="CV43" s="49"/>
      <c r="CW43" s="49"/>
      <c r="CX43" s="50">
        <f t="shared" si="22"/>
        <v>0</v>
      </c>
      <c r="CZ43" s="49"/>
      <c r="DA43" s="49"/>
      <c r="DB43" s="50">
        <f t="shared" si="23"/>
        <v>0</v>
      </c>
      <c r="DD43" s="49"/>
      <c r="DE43" s="49"/>
      <c r="DF43" s="50">
        <f t="shared" si="24"/>
        <v>0</v>
      </c>
      <c r="DH43" s="49"/>
      <c r="DI43" s="49"/>
      <c r="DJ43" s="50">
        <f t="shared" si="25"/>
        <v>0</v>
      </c>
      <c r="DL43" s="49"/>
      <c r="DM43" s="49"/>
      <c r="DN43" s="50">
        <f t="shared" si="26"/>
        <v>0</v>
      </c>
      <c r="DP43" s="49"/>
      <c r="DQ43" s="49"/>
      <c r="DR43" s="50">
        <f t="shared" si="27"/>
        <v>0</v>
      </c>
      <c r="DT43" s="49"/>
      <c r="DU43" s="49"/>
      <c r="DV43" s="50">
        <f t="shared" si="28"/>
        <v>0</v>
      </c>
      <c r="DX43" s="49"/>
      <c r="DY43" s="49"/>
      <c r="DZ43" s="50">
        <f t="shared" si="29"/>
        <v>0</v>
      </c>
      <c r="EB43" s="49">
        <f t="shared" si="30"/>
        <v>0</v>
      </c>
      <c r="EC43" s="49">
        <f t="shared" si="30"/>
        <v>0</v>
      </c>
      <c r="ED43" s="49">
        <f t="shared" si="30"/>
        <v>0</v>
      </c>
    </row>
    <row r="44" spans="2:134" ht="11" customHeight="1" x14ac:dyDescent="0.35">
      <c r="B44" s="4">
        <v>106611</v>
      </c>
      <c r="C44" s="4" t="s">
        <v>50</v>
      </c>
      <c r="D44" s="4">
        <v>12</v>
      </c>
      <c r="E44" s="5">
        <v>24</v>
      </c>
      <c r="F44" s="6">
        <v>190.671775</v>
      </c>
      <c r="G44" s="7"/>
      <c r="H44" s="49"/>
      <c r="I44" s="49"/>
      <c r="J44" s="50">
        <f t="shared" si="31"/>
        <v>0</v>
      </c>
      <c r="K44" s="9"/>
      <c r="L44" s="49"/>
      <c r="M44" s="49"/>
      <c r="N44" s="50">
        <f t="shared" si="0"/>
        <v>0</v>
      </c>
      <c r="O44" s="46"/>
      <c r="P44" s="49"/>
      <c r="Q44" s="49"/>
      <c r="R44" s="50">
        <f t="shared" si="1"/>
        <v>0</v>
      </c>
      <c r="T44" s="49"/>
      <c r="U44" s="49"/>
      <c r="V44" s="50">
        <f t="shared" si="2"/>
        <v>0</v>
      </c>
      <c r="X44" s="49"/>
      <c r="Y44" s="49"/>
      <c r="Z44" s="50">
        <f t="shared" si="3"/>
        <v>0</v>
      </c>
      <c r="AB44" s="49"/>
      <c r="AC44" s="49"/>
      <c r="AD44" s="50">
        <f t="shared" si="4"/>
        <v>0</v>
      </c>
      <c r="AF44" s="49"/>
      <c r="AG44" s="49"/>
      <c r="AH44" s="50">
        <f t="shared" si="5"/>
        <v>0</v>
      </c>
      <c r="AJ44" s="49"/>
      <c r="AK44" s="49"/>
      <c r="AL44" s="50">
        <f t="shared" si="6"/>
        <v>0</v>
      </c>
      <c r="AN44" s="49"/>
      <c r="AO44" s="49"/>
      <c r="AP44" s="50">
        <f t="shared" si="7"/>
        <v>0</v>
      </c>
      <c r="AR44" s="49"/>
      <c r="AS44" s="49"/>
      <c r="AT44" s="50">
        <f t="shared" si="8"/>
        <v>0</v>
      </c>
      <c r="AV44" s="49"/>
      <c r="AW44" s="49"/>
      <c r="AX44" s="50">
        <f t="shared" si="9"/>
        <v>0</v>
      </c>
      <c r="AZ44" s="49"/>
      <c r="BA44" s="49"/>
      <c r="BB44" s="50">
        <f t="shared" si="10"/>
        <v>0</v>
      </c>
      <c r="BD44" s="49"/>
      <c r="BE44" s="49"/>
      <c r="BF44" s="50">
        <f t="shared" si="11"/>
        <v>0</v>
      </c>
      <c r="BH44" s="49"/>
      <c r="BI44" s="49"/>
      <c r="BJ44" s="50">
        <f t="shared" si="12"/>
        <v>0</v>
      </c>
      <c r="BL44" s="49"/>
      <c r="BM44" s="49"/>
      <c r="BN44" s="50">
        <f t="shared" si="13"/>
        <v>0</v>
      </c>
      <c r="BP44" s="49"/>
      <c r="BQ44" s="49"/>
      <c r="BR44" s="50">
        <f t="shared" si="14"/>
        <v>0</v>
      </c>
      <c r="BT44" s="49"/>
      <c r="BU44" s="49"/>
      <c r="BV44" s="50">
        <f t="shared" si="15"/>
        <v>0</v>
      </c>
      <c r="BX44" s="49"/>
      <c r="BY44" s="49"/>
      <c r="BZ44" s="50">
        <f t="shared" si="16"/>
        <v>0</v>
      </c>
      <c r="CB44" s="49"/>
      <c r="CC44" s="49"/>
      <c r="CD44" s="50">
        <f t="shared" si="17"/>
        <v>0</v>
      </c>
      <c r="CF44" s="49"/>
      <c r="CG44" s="49"/>
      <c r="CH44" s="50">
        <f t="shared" si="18"/>
        <v>0</v>
      </c>
      <c r="CJ44" s="49"/>
      <c r="CK44" s="49"/>
      <c r="CL44" s="50">
        <f t="shared" si="19"/>
        <v>0</v>
      </c>
      <c r="CN44" s="49"/>
      <c r="CO44" s="49"/>
      <c r="CP44" s="50">
        <f t="shared" si="20"/>
        <v>0</v>
      </c>
      <c r="CR44" s="49"/>
      <c r="CS44" s="49"/>
      <c r="CT44" s="50">
        <f t="shared" si="21"/>
        <v>0</v>
      </c>
      <c r="CV44" s="49"/>
      <c r="CW44" s="49"/>
      <c r="CX44" s="50">
        <f t="shared" si="22"/>
        <v>0</v>
      </c>
      <c r="CZ44" s="49"/>
      <c r="DA44" s="49"/>
      <c r="DB44" s="50">
        <f t="shared" si="23"/>
        <v>0</v>
      </c>
      <c r="DD44" s="49"/>
      <c r="DE44" s="49"/>
      <c r="DF44" s="50">
        <f t="shared" si="24"/>
        <v>0</v>
      </c>
      <c r="DH44" s="49"/>
      <c r="DI44" s="49"/>
      <c r="DJ44" s="50">
        <f t="shared" si="25"/>
        <v>0</v>
      </c>
      <c r="DL44" s="49"/>
      <c r="DM44" s="49"/>
      <c r="DN44" s="50">
        <f t="shared" si="26"/>
        <v>0</v>
      </c>
      <c r="DP44" s="49"/>
      <c r="DQ44" s="49"/>
      <c r="DR44" s="50">
        <f t="shared" si="27"/>
        <v>0</v>
      </c>
      <c r="DT44" s="49"/>
      <c r="DU44" s="49"/>
      <c r="DV44" s="50">
        <f t="shared" si="28"/>
        <v>0</v>
      </c>
      <c r="DX44" s="49"/>
      <c r="DY44" s="49"/>
      <c r="DZ44" s="50">
        <f t="shared" si="29"/>
        <v>0</v>
      </c>
      <c r="EB44" s="49">
        <f t="shared" si="30"/>
        <v>0</v>
      </c>
      <c r="EC44" s="49">
        <f t="shared" si="30"/>
        <v>0</v>
      </c>
      <c r="ED44" s="49">
        <f t="shared" si="30"/>
        <v>0</v>
      </c>
    </row>
    <row r="45" spans="2:134" ht="11" customHeight="1" x14ac:dyDescent="0.35">
      <c r="B45" s="4">
        <v>106616</v>
      </c>
      <c r="C45" s="4" t="s">
        <v>51</v>
      </c>
      <c r="D45" s="4">
        <v>6</v>
      </c>
      <c r="E45" s="5">
        <v>12</v>
      </c>
      <c r="F45" s="6">
        <v>476.67968294000002</v>
      </c>
      <c r="G45" s="7"/>
      <c r="H45" s="49"/>
      <c r="I45" s="49"/>
      <c r="J45" s="50">
        <f t="shared" si="31"/>
        <v>0</v>
      </c>
      <c r="K45" s="9"/>
      <c r="L45" s="49"/>
      <c r="M45" s="49"/>
      <c r="N45" s="50">
        <f t="shared" si="0"/>
        <v>0</v>
      </c>
      <c r="O45" s="46"/>
      <c r="P45" s="49"/>
      <c r="Q45" s="49"/>
      <c r="R45" s="50">
        <f t="shared" si="1"/>
        <v>0</v>
      </c>
      <c r="T45" s="49"/>
      <c r="U45" s="49"/>
      <c r="V45" s="50">
        <f t="shared" si="2"/>
        <v>0</v>
      </c>
      <c r="X45" s="49"/>
      <c r="Y45" s="49"/>
      <c r="Z45" s="50">
        <f t="shared" si="3"/>
        <v>0</v>
      </c>
      <c r="AB45" s="49"/>
      <c r="AC45" s="49"/>
      <c r="AD45" s="50">
        <f t="shared" si="4"/>
        <v>0</v>
      </c>
      <c r="AF45" s="49"/>
      <c r="AG45" s="49"/>
      <c r="AH45" s="50">
        <f t="shared" si="5"/>
        <v>0</v>
      </c>
      <c r="AJ45" s="49"/>
      <c r="AK45" s="49"/>
      <c r="AL45" s="50">
        <f t="shared" si="6"/>
        <v>0</v>
      </c>
      <c r="AN45" s="49"/>
      <c r="AO45" s="49"/>
      <c r="AP45" s="50">
        <f t="shared" si="7"/>
        <v>0</v>
      </c>
      <c r="AR45" s="49"/>
      <c r="AS45" s="49"/>
      <c r="AT45" s="50">
        <f t="shared" si="8"/>
        <v>0</v>
      </c>
      <c r="AV45" s="49"/>
      <c r="AW45" s="49"/>
      <c r="AX45" s="50">
        <f t="shared" si="9"/>
        <v>0</v>
      </c>
      <c r="AZ45" s="49"/>
      <c r="BA45" s="49"/>
      <c r="BB45" s="50">
        <f t="shared" si="10"/>
        <v>0</v>
      </c>
      <c r="BD45" s="49"/>
      <c r="BE45" s="49"/>
      <c r="BF45" s="50">
        <f t="shared" si="11"/>
        <v>0</v>
      </c>
      <c r="BH45" s="49"/>
      <c r="BI45" s="49"/>
      <c r="BJ45" s="50">
        <f t="shared" si="12"/>
        <v>0</v>
      </c>
      <c r="BL45" s="49"/>
      <c r="BM45" s="49"/>
      <c r="BN45" s="50">
        <f t="shared" si="13"/>
        <v>0</v>
      </c>
      <c r="BP45" s="49"/>
      <c r="BQ45" s="49"/>
      <c r="BR45" s="50">
        <f t="shared" si="14"/>
        <v>0</v>
      </c>
      <c r="BT45" s="49"/>
      <c r="BU45" s="49"/>
      <c r="BV45" s="50">
        <f t="shared" si="15"/>
        <v>0</v>
      </c>
      <c r="BX45" s="49"/>
      <c r="BY45" s="49"/>
      <c r="BZ45" s="50">
        <f t="shared" si="16"/>
        <v>0</v>
      </c>
      <c r="CB45" s="49"/>
      <c r="CC45" s="49"/>
      <c r="CD45" s="50">
        <f t="shared" si="17"/>
        <v>0</v>
      </c>
      <c r="CF45" s="49"/>
      <c r="CG45" s="49"/>
      <c r="CH45" s="50">
        <f t="shared" si="18"/>
        <v>0</v>
      </c>
      <c r="CJ45" s="49"/>
      <c r="CK45" s="49"/>
      <c r="CL45" s="50">
        <f t="shared" si="19"/>
        <v>0</v>
      </c>
      <c r="CN45" s="49"/>
      <c r="CO45" s="49"/>
      <c r="CP45" s="50">
        <f t="shared" si="20"/>
        <v>0</v>
      </c>
      <c r="CR45" s="49"/>
      <c r="CS45" s="49"/>
      <c r="CT45" s="50">
        <f t="shared" si="21"/>
        <v>0</v>
      </c>
      <c r="CV45" s="49"/>
      <c r="CW45" s="49"/>
      <c r="CX45" s="50">
        <f t="shared" si="22"/>
        <v>0</v>
      </c>
      <c r="CZ45" s="49"/>
      <c r="DA45" s="49"/>
      <c r="DB45" s="50">
        <f t="shared" si="23"/>
        <v>0</v>
      </c>
      <c r="DD45" s="49"/>
      <c r="DE45" s="49"/>
      <c r="DF45" s="50">
        <f t="shared" si="24"/>
        <v>0</v>
      </c>
      <c r="DH45" s="49"/>
      <c r="DI45" s="49"/>
      <c r="DJ45" s="50">
        <f t="shared" si="25"/>
        <v>0</v>
      </c>
      <c r="DL45" s="49"/>
      <c r="DM45" s="49"/>
      <c r="DN45" s="50">
        <f t="shared" si="26"/>
        <v>0</v>
      </c>
      <c r="DP45" s="49"/>
      <c r="DQ45" s="49"/>
      <c r="DR45" s="50">
        <f t="shared" si="27"/>
        <v>0</v>
      </c>
      <c r="DT45" s="49"/>
      <c r="DU45" s="49"/>
      <c r="DV45" s="50">
        <f t="shared" si="28"/>
        <v>0</v>
      </c>
      <c r="DX45" s="49"/>
      <c r="DY45" s="49"/>
      <c r="DZ45" s="50">
        <f t="shared" si="29"/>
        <v>0</v>
      </c>
      <c r="EB45" s="49">
        <f t="shared" si="30"/>
        <v>0</v>
      </c>
      <c r="EC45" s="49">
        <f t="shared" si="30"/>
        <v>0</v>
      </c>
      <c r="ED45" s="49">
        <f t="shared" si="30"/>
        <v>0</v>
      </c>
    </row>
    <row r="46" spans="2:134" ht="11" customHeight="1" x14ac:dyDescent="0.35">
      <c r="B46" s="4">
        <v>106617</v>
      </c>
      <c r="C46" s="4" t="s">
        <v>52</v>
      </c>
      <c r="D46" s="4">
        <v>6</v>
      </c>
      <c r="E46" s="5">
        <v>12</v>
      </c>
      <c r="F46" s="6">
        <v>476.67968294000002</v>
      </c>
      <c r="G46" s="7"/>
      <c r="H46" s="49"/>
      <c r="I46" s="49"/>
      <c r="J46" s="50">
        <f t="shared" si="31"/>
        <v>0</v>
      </c>
      <c r="K46" s="9"/>
      <c r="L46" s="49"/>
      <c r="M46" s="49"/>
      <c r="N46" s="50">
        <f t="shared" si="0"/>
        <v>0</v>
      </c>
      <c r="O46" s="46"/>
      <c r="P46" s="49"/>
      <c r="Q46" s="49"/>
      <c r="R46" s="50">
        <f t="shared" si="1"/>
        <v>0</v>
      </c>
      <c r="T46" s="49"/>
      <c r="U46" s="49"/>
      <c r="V46" s="50">
        <f t="shared" si="2"/>
        <v>0</v>
      </c>
      <c r="X46" s="49"/>
      <c r="Y46" s="49"/>
      <c r="Z46" s="50">
        <f t="shared" si="3"/>
        <v>0</v>
      </c>
      <c r="AB46" s="49"/>
      <c r="AC46" s="49"/>
      <c r="AD46" s="50">
        <f t="shared" si="4"/>
        <v>0</v>
      </c>
      <c r="AF46" s="49"/>
      <c r="AG46" s="49"/>
      <c r="AH46" s="50">
        <f t="shared" si="5"/>
        <v>0</v>
      </c>
      <c r="AJ46" s="49"/>
      <c r="AK46" s="49"/>
      <c r="AL46" s="50">
        <f t="shared" si="6"/>
        <v>0</v>
      </c>
      <c r="AN46" s="49"/>
      <c r="AO46" s="49"/>
      <c r="AP46" s="50">
        <f t="shared" si="7"/>
        <v>0</v>
      </c>
      <c r="AR46" s="49"/>
      <c r="AS46" s="49"/>
      <c r="AT46" s="50">
        <f t="shared" si="8"/>
        <v>0</v>
      </c>
      <c r="AV46" s="49"/>
      <c r="AW46" s="49"/>
      <c r="AX46" s="50">
        <f t="shared" si="9"/>
        <v>0</v>
      </c>
      <c r="AZ46" s="49"/>
      <c r="BA46" s="49"/>
      <c r="BB46" s="50">
        <f t="shared" si="10"/>
        <v>0</v>
      </c>
      <c r="BD46" s="49"/>
      <c r="BE46" s="49"/>
      <c r="BF46" s="50">
        <f t="shared" si="11"/>
        <v>0</v>
      </c>
      <c r="BH46" s="49"/>
      <c r="BI46" s="49"/>
      <c r="BJ46" s="50">
        <f t="shared" si="12"/>
        <v>0</v>
      </c>
      <c r="BL46" s="49"/>
      <c r="BM46" s="49"/>
      <c r="BN46" s="50">
        <f t="shared" si="13"/>
        <v>0</v>
      </c>
      <c r="BP46" s="49"/>
      <c r="BQ46" s="49"/>
      <c r="BR46" s="50">
        <f t="shared" si="14"/>
        <v>0</v>
      </c>
      <c r="BT46" s="49"/>
      <c r="BU46" s="49"/>
      <c r="BV46" s="50">
        <f t="shared" si="15"/>
        <v>0</v>
      </c>
      <c r="BX46" s="49"/>
      <c r="BY46" s="49"/>
      <c r="BZ46" s="50">
        <f t="shared" si="16"/>
        <v>0</v>
      </c>
      <c r="CB46" s="49"/>
      <c r="CC46" s="49"/>
      <c r="CD46" s="50">
        <f t="shared" si="17"/>
        <v>0</v>
      </c>
      <c r="CF46" s="49"/>
      <c r="CG46" s="49"/>
      <c r="CH46" s="50">
        <f t="shared" si="18"/>
        <v>0</v>
      </c>
      <c r="CJ46" s="49"/>
      <c r="CK46" s="49"/>
      <c r="CL46" s="50">
        <f t="shared" si="19"/>
        <v>0</v>
      </c>
      <c r="CN46" s="49"/>
      <c r="CO46" s="49"/>
      <c r="CP46" s="50">
        <f t="shared" si="20"/>
        <v>0</v>
      </c>
      <c r="CR46" s="49"/>
      <c r="CS46" s="49"/>
      <c r="CT46" s="50">
        <f t="shared" si="21"/>
        <v>0</v>
      </c>
      <c r="CV46" s="49"/>
      <c r="CW46" s="49"/>
      <c r="CX46" s="50">
        <f t="shared" si="22"/>
        <v>0</v>
      </c>
      <c r="CZ46" s="49"/>
      <c r="DA46" s="49"/>
      <c r="DB46" s="50">
        <f t="shared" si="23"/>
        <v>0</v>
      </c>
      <c r="DD46" s="49"/>
      <c r="DE46" s="49"/>
      <c r="DF46" s="50">
        <f t="shared" si="24"/>
        <v>0</v>
      </c>
      <c r="DH46" s="49"/>
      <c r="DI46" s="49"/>
      <c r="DJ46" s="50">
        <f t="shared" si="25"/>
        <v>0</v>
      </c>
      <c r="DL46" s="49"/>
      <c r="DM46" s="49"/>
      <c r="DN46" s="50">
        <f t="shared" si="26"/>
        <v>0</v>
      </c>
      <c r="DP46" s="49"/>
      <c r="DQ46" s="49"/>
      <c r="DR46" s="50">
        <f t="shared" si="27"/>
        <v>0</v>
      </c>
      <c r="DT46" s="49"/>
      <c r="DU46" s="49"/>
      <c r="DV46" s="50">
        <f t="shared" si="28"/>
        <v>0</v>
      </c>
      <c r="DX46" s="49"/>
      <c r="DY46" s="49"/>
      <c r="DZ46" s="50">
        <f t="shared" si="29"/>
        <v>0</v>
      </c>
      <c r="EB46" s="49">
        <f t="shared" si="30"/>
        <v>0</v>
      </c>
      <c r="EC46" s="49">
        <f t="shared" si="30"/>
        <v>0</v>
      </c>
      <c r="ED46" s="49">
        <f t="shared" si="30"/>
        <v>0</v>
      </c>
    </row>
    <row r="47" spans="2:134" ht="11" customHeight="1" x14ac:dyDescent="0.35">
      <c r="B47" s="4">
        <v>106618</v>
      </c>
      <c r="C47" s="4" t="s">
        <v>53</v>
      </c>
      <c r="D47" s="4">
        <v>6</v>
      </c>
      <c r="E47" s="5">
        <v>12</v>
      </c>
      <c r="F47" s="6">
        <v>476.67968294000002</v>
      </c>
      <c r="G47" s="7"/>
      <c r="H47" s="49"/>
      <c r="I47" s="49"/>
      <c r="J47" s="50">
        <f t="shared" si="31"/>
        <v>0</v>
      </c>
      <c r="K47" s="9"/>
      <c r="L47" s="49"/>
      <c r="M47" s="49"/>
      <c r="N47" s="50">
        <f t="shared" si="0"/>
        <v>0</v>
      </c>
      <c r="O47" s="46"/>
      <c r="P47" s="49"/>
      <c r="Q47" s="49"/>
      <c r="R47" s="50">
        <f t="shared" si="1"/>
        <v>0</v>
      </c>
      <c r="T47" s="49"/>
      <c r="U47" s="49"/>
      <c r="V47" s="50">
        <f t="shared" si="2"/>
        <v>0</v>
      </c>
      <c r="X47" s="49"/>
      <c r="Y47" s="49"/>
      <c r="Z47" s="50">
        <f t="shared" si="3"/>
        <v>0</v>
      </c>
      <c r="AB47" s="49"/>
      <c r="AC47" s="49"/>
      <c r="AD47" s="50">
        <f t="shared" si="4"/>
        <v>0</v>
      </c>
      <c r="AF47" s="49"/>
      <c r="AG47" s="49"/>
      <c r="AH47" s="50">
        <f t="shared" si="5"/>
        <v>0</v>
      </c>
      <c r="AJ47" s="49"/>
      <c r="AK47" s="49"/>
      <c r="AL47" s="50">
        <f t="shared" si="6"/>
        <v>0</v>
      </c>
      <c r="AN47" s="49"/>
      <c r="AO47" s="49"/>
      <c r="AP47" s="50">
        <f t="shared" si="7"/>
        <v>0</v>
      </c>
      <c r="AR47" s="49"/>
      <c r="AS47" s="49"/>
      <c r="AT47" s="50">
        <f t="shared" si="8"/>
        <v>0</v>
      </c>
      <c r="AV47" s="49"/>
      <c r="AW47" s="49"/>
      <c r="AX47" s="50">
        <f t="shared" si="9"/>
        <v>0</v>
      </c>
      <c r="AZ47" s="49"/>
      <c r="BA47" s="49"/>
      <c r="BB47" s="50">
        <f t="shared" si="10"/>
        <v>0</v>
      </c>
      <c r="BD47" s="49"/>
      <c r="BE47" s="49"/>
      <c r="BF47" s="50">
        <f t="shared" si="11"/>
        <v>0</v>
      </c>
      <c r="BH47" s="49"/>
      <c r="BI47" s="49"/>
      <c r="BJ47" s="50">
        <f t="shared" si="12"/>
        <v>0</v>
      </c>
      <c r="BL47" s="49"/>
      <c r="BM47" s="49"/>
      <c r="BN47" s="50">
        <f t="shared" si="13"/>
        <v>0</v>
      </c>
      <c r="BP47" s="49"/>
      <c r="BQ47" s="49"/>
      <c r="BR47" s="50">
        <f t="shared" si="14"/>
        <v>0</v>
      </c>
      <c r="BT47" s="49"/>
      <c r="BU47" s="49"/>
      <c r="BV47" s="50">
        <f t="shared" si="15"/>
        <v>0</v>
      </c>
      <c r="BX47" s="49"/>
      <c r="BY47" s="49"/>
      <c r="BZ47" s="50">
        <f t="shared" si="16"/>
        <v>0</v>
      </c>
      <c r="CB47" s="49"/>
      <c r="CC47" s="49"/>
      <c r="CD47" s="50">
        <f t="shared" si="17"/>
        <v>0</v>
      </c>
      <c r="CF47" s="49"/>
      <c r="CG47" s="49"/>
      <c r="CH47" s="50">
        <f t="shared" si="18"/>
        <v>0</v>
      </c>
      <c r="CJ47" s="49"/>
      <c r="CK47" s="49"/>
      <c r="CL47" s="50">
        <f t="shared" si="19"/>
        <v>0</v>
      </c>
      <c r="CN47" s="49"/>
      <c r="CO47" s="49"/>
      <c r="CP47" s="50">
        <f t="shared" si="20"/>
        <v>0</v>
      </c>
      <c r="CR47" s="49"/>
      <c r="CS47" s="49"/>
      <c r="CT47" s="50">
        <f t="shared" si="21"/>
        <v>0</v>
      </c>
      <c r="CV47" s="49"/>
      <c r="CW47" s="49"/>
      <c r="CX47" s="50">
        <f t="shared" si="22"/>
        <v>0</v>
      </c>
      <c r="CZ47" s="49"/>
      <c r="DA47" s="49"/>
      <c r="DB47" s="50">
        <f t="shared" si="23"/>
        <v>0</v>
      </c>
      <c r="DD47" s="49"/>
      <c r="DE47" s="49"/>
      <c r="DF47" s="50">
        <f t="shared" si="24"/>
        <v>0</v>
      </c>
      <c r="DH47" s="49"/>
      <c r="DI47" s="49"/>
      <c r="DJ47" s="50">
        <f t="shared" si="25"/>
        <v>0</v>
      </c>
      <c r="DL47" s="49"/>
      <c r="DM47" s="49"/>
      <c r="DN47" s="50">
        <f t="shared" si="26"/>
        <v>0</v>
      </c>
      <c r="DP47" s="49"/>
      <c r="DQ47" s="49"/>
      <c r="DR47" s="50">
        <f t="shared" si="27"/>
        <v>0</v>
      </c>
      <c r="DT47" s="49"/>
      <c r="DU47" s="49"/>
      <c r="DV47" s="50">
        <f t="shared" si="28"/>
        <v>0</v>
      </c>
      <c r="DX47" s="49"/>
      <c r="DY47" s="49"/>
      <c r="DZ47" s="50">
        <f t="shared" si="29"/>
        <v>0</v>
      </c>
      <c r="EB47" s="49">
        <f t="shared" si="30"/>
        <v>0</v>
      </c>
      <c r="EC47" s="49">
        <f t="shared" si="30"/>
        <v>0</v>
      </c>
      <c r="ED47" s="49">
        <f t="shared" si="30"/>
        <v>0</v>
      </c>
    </row>
    <row r="48" spans="2:134" ht="11" customHeight="1" x14ac:dyDescent="0.35">
      <c r="B48" s="4">
        <v>106620</v>
      </c>
      <c r="C48" s="4" t="s">
        <v>54</v>
      </c>
      <c r="D48" s="4">
        <v>12</v>
      </c>
      <c r="E48" s="5">
        <v>12</v>
      </c>
      <c r="F48" s="6">
        <v>468.865061078</v>
      </c>
      <c r="G48" s="7"/>
      <c r="H48" s="49"/>
      <c r="I48" s="49"/>
      <c r="J48" s="50">
        <f t="shared" si="31"/>
        <v>0</v>
      </c>
      <c r="K48" s="9"/>
      <c r="L48" s="49"/>
      <c r="M48" s="49"/>
      <c r="N48" s="50">
        <f t="shared" si="0"/>
        <v>0</v>
      </c>
      <c r="O48" s="46"/>
      <c r="P48" s="49"/>
      <c r="Q48" s="49"/>
      <c r="R48" s="50">
        <f t="shared" si="1"/>
        <v>0</v>
      </c>
      <c r="T48" s="49"/>
      <c r="U48" s="49"/>
      <c r="V48" s="50">
        <f t="shared" si="2"/>
        <v>0</v>
      </c>
      <c r="X48" s="49"/>
      <c r="Y48" s="49"/>
      <c r="Z48" s="50">
        <f t="shared" si="3"/>
        <v>0</v>
      </c>
      <c r="AB48" s="49"/>
      <c r="AC48" s="49"/>
      <c r="AD48" s="50">
        <f t="shared" si="4"/>
        <v>0</v>
      </c>
      <c r="AF48" s="49"/>
      <c r="AG48" s="49"/>
      <c r="AH48" s="50">
        <f t="shared" si="5"/>
        <v>0</v>
      </c>
      <c r="AJ48" s="49"/>
      <c r="AK48" s="49"/>
      <c r="AL48" s="50">
        <f t="shared" si="6"/>
        <v>0</v>
      </c>
      <c r="AN48" s="49"/>
      <c r="AO48" s="49"/>
      <c r="AP48" s="50">
        <f t="shared" si="7"/>
        <v>0</v>
      </c>
      <c r="AR48" s="49"/>
      <c r="AS48" s="49"/>
      <c r="AT48" s="50">
        <f t="shared" si="8"/>
        <v>0</v>
      </c>
      <c r="AV48" s="49"/>
      <c r="AW48" s="49"/>
      <c r="AX48" s="50">
        <f t="shared" si="9"/>
        <v>0</v>
      </c>
      <c r="AZ48" s="49"/>
      <c r="BA48" s="49"/>
      <c r="BB48" s="50">
        <f t="shared" si="10"/>
        <v>0</v>
      </c>
      <c r="BD48" s="49"/>
      <c r="BE48" s="49"/>
      <c r="BF48" s="50">
        <f t="shared" si="11"/>
        <v>0</v>
      </c>
      <c r="BH48" s="49"/>
      <c r="BI48" s="49"/>
      <c r="BJ48" s="50">
        <f t="shared" si="12"/>
        <v>0</v>
      </c>
      <c r="BL48" s="49"/>
      <c r="BM48" s="49"/>
      <c r="BN48" s="50">
        <f t="shared" si="13"/>
        <v>0</v>
      </c>
      <c r="BP48" s="49"/>
      <c r="BQ48" s="49"/>
      <c r="BR48" s="50">
        <f t="shared" si="14"/>
        <v>0</v>
      </c>
      <c r="BT48" s="49"/>
      <c r="BU48" s="49"/>
      <c r="BV48" s="50">
        <f t="shared" si="15"/>
        <v>0</v>
      </c>
      <c r="BX48" s="49"/>
      <c r="BY48" s="49"/>
      <c r="BZ48" s="50">
        <f t="shared" si="16"/>
        <v>0</v>
      </c>
      <c r="CB48" s="49"/>
      <c r="CC48" s="49"/>
      <c r="CD48" s="50">
        <f t="shared" si="17"/>
        <v>0</v>
      </c>
      <c r="CF48" s="49"/>
      <c r="CG48" s="49"/>
      <c r="CH48" s="50">
        <f t="shared" si="18"/>
        <v>0</v>
      </c>
      <c r="CJ48" s="49"/>
      <c r="CK48" s="49"/>
      <c r="CL48" s="50">
        <f t="shared" si="19"/>
        <v>0</v>
      </c>
      <c r="CN48" s="49"/>
      <c r="CO48" s="49"/>
      <c r="CP48" s="50">
        <f t="shared" si="20"/>
        <v>0</v>
      </c>
      <c r="CR48" s="49"/>
      <c r="CS48" s="49"/>
      <c r="CT48" s="50">
        <f t="shared" si="21"/>
        <v>0</v>
      </c>
      <c r="CV48" s="49"/>
      <c r="CW48" s="49"/>
      <c r="CX48" s="50">
        <f t="shared" si="22"/>
        <v>0</v>
      </c>
      <c r="CZ48" s="49"/>
      <c r="DA48" s="49"/>
      <c r="DB48" s="50">
        <f t="shared" si="23"/>
        <v>0</v>
      </c>
      <c r="DD48" s="49"/>
      <c r="DE48" s="49"/>
      <c r="DF48" s="50">
        <f t="shared" si="24"/>
        <v>0</v>
      </c>
      <c r="DH48" s="49"/>
      <c r="DI48" s="49"/>
      <c r="DJ48" s="50">
        <f t="shared" si="25"/>
        <v>0</v>
      </c>
      <c r="DL48" s="49"/>
      <c r="DM48" s="49"/>
      <c r="DN48" s="50">
        <f t="shared" si="26"/>
        <v>0</v>
      </c>
      <c r="DP48" s="49"/>
      <c r="DQ48" s="49"/>
      <c r="DR48" s="50">
        <f t="shared" si="27"/>
        <v>0</v>
      </c>
      <c r="DT48" s="49"/>
      <c r="DU48" s="49"/>
      <c r="DV48" s="50">
        <f t="shared" si="28"/>
        <v>0</v>
      </c>
      <c r="DX48" s="49"/>
      <c r="DY48" s="49"/>
      <c r="DZ48" s="50">
        <f t="shared" si="29"/>
        <v>0</v>
      </c>
      <c r="EB48" s="49">
        <f t="shared" si="30"/>
        <v>0</v>
      </c>
      <c r="EC48" s="49">
        <f t="shared" si="30"/>
        <v>0</v>
      </c>
      <c r="ED48" s="49">
        <f t="shared" si="30"/>
        <v>0</v>
      </c>
    </row>
    <row r="49" spans="2:134" ht="11" customHeight="1" x14ac:dyDescent="0.35">
      <c r="B49" s="4">
        <v>106622</v>
      </c>
      <c r="C49" s="4" t="s">
        <v>55</v>
      </c>
      <c r="D49" s="4">
        <v>12</v>
      </c>
      <c r="E49" s="5">
        <v>12</v>
      </c>
      <c r="F49" s="6">
        <v>468.865061078</v>
      </c>
      <c r="G49" s="7"/>
      <c r="H49" s="49"/>
      <c r="I49" s="49"/>
      <c r="J49" s="50">
        <f t="shared" si="31"/>
        <v>0</v>
      </c>
      <c r="K49" s="9"/>
      <c r="L49" s="49"/>
      <c r="M49" s="49"/>
      <c r="N49" s="50">
        <f t="shared" si="0"/>
        <v>0</v>
      </c>
      <c r="O49" s="46"/>
      <c r="P49" s="49"/>
      <c r="Q49" s="49"/>
      <c r="R49" s="50">
        <f t="shared" si="1"/>
        <v>0</v>
      </c>
      <c r="T49" s="49"/>
      <c r="U49" s="49"/>
      <c r="V49" s="50">
        <f t="shared" si="2"/>
        <v>0</v>
      </c>
      <c r="X49" s="49"/>
      <c r="Y49" s="49"/>
      <c r="Z49" s="50">
        <f t="shared" si="3"/>
        <v>0</v>
      </c>
      <c r="AB49" s="49"/>
      <c r="AC49" s="49"/>
      <c r="AD49" s="50">
        <f t="shared" si="4"/>
        <v>0</v>
      </c>
      <c r="AF49" s="49"/>
      <c r="AG49" s="49"/>
      <c r="AH49" s="50">
        <f t="shared" si="5"/>
        <v>0</v>
      </c>
      <c r="AJ49" s="49"/>
      <c r="AK49" s="49"/>
      <c r="AL49" s="50">
        <f t="shared" si="6"/>
        <v>0</v>
      </c>
      <c r="AN49" s="49"/>
      <c r="AO49" s="49"/>
      <c r="AP49" s="50">
        <f t="shared" si="7"/>
        <v>0</v>
      </c>
      <c r="AR49" s="49"/>
      <c r="AS49" s="49"/>
      <c r="AT49" s="50">
        <f t="shared" si="8"/>
        <v>0</v>
      </c>
      <c r="AV49" s="49"/>
      <c r="AW49" s="49"/>
      <c r="AX49" s="50">
        <f t="shared" si="9"/>
        <v>0</v>
      </c>
      <c r="AZ49" s="49"/>
      <c r="BA49" s="49"/>
      <c r="BB49" s="50">
        <f t="shared" si="10"/>
        <v>0</v>
      </c>
      <c r="BD49" s="49"/>
      <c r="BE49" s="49"/>
      <c r="BF49" s="50">
        <f t="shared" si="11"/>
        <v>0</v>
      </c>
      <c r="BH49" s="49"/>
      <c r="BI49" s="49"/>
      <c r="BJ49" s="50">
        <f t="shared" si="12"/>
        <v>0</v>
      </c>
      <c r="BL49" s="49"/>
      <c r="BM49" s="49"/>
      <c r="BN49" s="50">
        <f t="shared" si="13"/>
        <v>0</v>
      </c>
      <c r="BP49" s="49"/>
      <c r="BQ49" s="49"/>
      <c r="BR49" s="50">
        <f t="shared" si="14"/>
        <v>0</v>
      </c>
      <c r="BT49" s="49"/>
      <c r="BU49" s="49"/>
      <c r="BV49" s="50">
        <f t="shared" si="15"/>
        <v>0</v>
      </c>
      <c r="BX49" s="49"/>
      <c r="BY49" s="49"/>
      <c r="BZ49" s="50">
        <f t="shared" si="16"/>
        <v>0</v>
      </c>
      <c r="CB49" s="49"/>
      <c r="CC49" s="49"/>
      <c r="CD49" s="50">
        <f t="shared" si="17"/>
        <v>0</v>
      </c>
      <c r="CF49" s="49"/>
      <c r="CG49" s="49"/>
      <c r="CH49" s="50">
        <f t="shared" si="18"/>
        <v>0</v>
      </c>
      <c r="CJ49" s="49"/>
      <c r="CK49" s="49"/>
      <c r="CL49" s="50">
        <f t="shared" si="19"/>
        <v>0</v>
      </c>
      <c r="CN49" s="49"/>
      <c r="CO49" s="49"/>
      <c r="CP49" s="50">
        <f t="shared" si="20"/>
        <v>0</v>
      </c>
      <c r="CR49" s="49"/>
      <c r="CS49" s="49"/>
      <c r="CT49" s="50">
        <f t="shared" si="21"/>
        <v>0</v>
      </c>
      <c r="CV49" s="49"/>
      <c r="CW49" s="49"/>
      <c r="CX49" s="50">
        <f t="shared" si="22"/>
        <v>0</v>
      </c>
      <c r="CZ49" s="49"/>
      <c r="DA49" s="49"/>
      <c r="DB49" s="50">
        <f t="shared" si="23"/>
        <v>0</v>
      </c>
      <c r="DD49" s="49"/>
      <c r="DE49" s="49"/>
      <c r="DF49" s="50">
        <f t="shared" si="24"/>
        <v>0</v>
      </c>
      <c r="DH49" s="49"/>
      <c r="DI49" s="49"/>
      <c r="DJ49" s="50">
        <f t="shared" si="25"/>
        <v>0</v>
      </c>
      <c r="DL49" s="49"/>
      <c r="DM49" s="49"/>
      <c r="DN49" s="50">
        <f t="shared" si="26"/>
        <v>0</v>
      </c>
      <c r="DP49" s="49"/>
      <c r="DQ49" s="49"/>
      <c r="DR49" s="50">
        <f t="shared" si="27"/>
        <v>0</v>
      </c>
      <c r="DT49" s="49"/>
      <c r="DU49" s="49"/>
      <c r="DV49" s="50">
        <f t="shared" si="28"/>
        <v>0</v>
      </c>
      <c r="DX49" s="49"/>
      <c r="DY49" s="49"/>
      <c r="DZ49" s="50">
        <f t="shared" si="29"/>
        <v>0</v>
      </c>
      <c r="EB49" s="49">
        <f t="shared" si="30"/>
        <v>0</v>
      </c>
      <c r="EC49" s="49">
        <f t="shared" si="30"/>
        <v>0</v>
      </c>
      <c r="ED49" s="49">
        <f t="shared" si="30"/>
        <v>0</v>
      </c>
    </row>
    <row r="50" spans="2:134" ht="11" customHeight="1" x14ac:dyDescent="0.35">
      <c r="B50" s="4">
        <v>107013</v>
      </c>
      <c r="C50" s="4" t="s">
        <v>56</v>
      </c>
      <c r="D50" s="4">
        <v>1</v>
      </c>
      <c r="E50" s="5">
        <v>24</v>
      </c>
      <c r="F50" s="6">
        <v>197.18624064799999</v>
      </c>
      <c r="G50" s="7"/>
      <c r="H50" s="49"/>
      <c r="I50" s="49"/>
      <c r="J50" s="50">
        <f t="shared" si="31"/>
        <v>0</v>
      </c>
      <c r="K50" s="9"/>
      <c r="L50" s="49"/>
      <c r="M50" s="49"/>
      <c r="N50" s="50">
        <f t="shared" si="0"/>
        <v>0</v>
      </c>
      <c r="O50" s="46"/>
      <c r="P50" s="49"/>
      <c r="Q50" s="49"/>
      <c r="R50" s="50">
        <f t="shared" si="1"/>
        <v>0</v>
      </c>
      <c r="T50" s="49"/>
      <c r="U50" s="49"/>
      <c r="V50" s="50">
        <f t="shared" si="2"/>
        <v>0</v>
      </c>
      <c r="X50" s="49"/>
      <c r="Y50" s="49"/>
      <c r="Z50" s="50">
        <f t="shared" si="3"/>
        <v>0</v>
      </c>
      <c r="AB50" s="49"/>
      <c r="AC50" s="49"/>
      <c r="AD50" s="50">
        <f t="shared" si="4"/>
        <v>0</v>
      </c>
      <c r="AF50" s="49"/>
      <c r="AG50" s="49"/>
      <c r="AH50" s="50">
        <f t="shared" si="5"/>
        <v>0</v>
      </c>
      <c r="AJ50" s="49"/>
      <c r="AK50" s="49"/>
      <c r="AL50" s="50">
        <f t="shared" si="6"/>
        <v>0</v>
      </c>
      <c r="AN50" s="49"/>
      <c r="AO50" s="49"/>
      <c r="AP50" s="50">
        <f t="shared" si="7"/>
        <v>0</v>
      </c>
      <c r="AR50" s="49"/>
      <c r="AS50" s="49"/>
      <c r="AT50" s="50">
        <f t="shared" si="8"/>
        <v>0</v>
      </c>
      <c r="AV50" s="49"/>
      <c r="AW50" s="49"/>
      <c r="AX50" s="50">
        <f t="shared" si="9"/>
        <v>0</v>
      </c>
      <c r="AZ50" s="49"/>
      <c r="BA50" s="49"/>
      <c r="BB50" s="50">
        <f t="shared" si="10"/>
        <v>0</v>
      </c>
      <c r="BD50" s="49"/>
      <c r="BE50" s="49"/>
      <c r="BF50" s="50">
        <f t="shared" si="11"/>
        <v>0</v>
      </c>
      <c r="BH50" s="49"/>
      <c r="BI50" s="49"/>
      <c r="BJ50" s="50">
        <f t="shared" si="12"/>
        <v>0</v>
      </c>
      <c r="BL50" s="49"/>
      <c r="BM50" s="49"/>
      <c r="BN50" s="50">
        <f t="shared" si="13"/>
        <v>0</v>
      </c>
      <c r="BP50" s="49"/>
      <c r="BQ50" s="49"/>
      <c r="BR50" s="50">
        <f t="shared" si="14"/>
        <v>0</v>
      </c>
      <c r="BT50" s="49"/>
      <c r="BU50" s="49"/>
      <c r="BV50" s="50">
        <f t="shared" si="15"/>
        <v>0</v>
      </c>
      <c r="BX50" s="49"/>
      <c r="BY50" s="49"/>
      <c r="BZ50" s="50">
        <f t="shared" si="16"/>
        <v>0</v>
      </c>
      <c r="CB50" s="49"/>
      <c r="CC50" s="49"/>
      <c r="CD50" s="50">
        <f t="shared" si="17"/>
        <v>0</v>
      </c>
      <c r="CF50" s="49"/>
      <c r="CG50" s="49"/>
      <c r="CH50" s="50">
        <f t="shared" si="18"/>
        <v>0</v>
      </c>
      <c r="CJ50" s="49"/>
      <c r="CK50" s="49"/>
      <c r="CL50" s="50">
        <f t="shared" si="19"/>
        <v>0</v>
      </c>
      <c r="CN50" s="49"/>
      <c r="CO50" s="49"/>
      <c r="CP50" s="50">
        <f t="shared" si="20"/>
        <v>0</v>
      </c>
      <c r="CR50" s="49"/>
      <c r="CS50" s="49"/>
      <c r="CT50" s="50">
        <f t="shared" si="21"/>
        <v>0</v>
      </c>
      <c r="CV50" s="49"/>
      <c r="CW50" s="49"/>
      <c r="CX50" s="50">
        <f t="shared" si="22"/>
        <v>0</v>
      </c>
      <c r="CZ50" s="49"/>
      <c r="DA50" s="49"/>
      <c r="DB50" s="50">
        <f t="shared" si="23"/>
        <v>0</v>
      </c>
      <c r="DD50" s="49"/>
      <c r="DE50" s="49"/>
      <c r="DF50" s="50">
        <f t="shared" si="24"/>
        <v>0</v>
      </c>
      <c r="DH50" s="49"/>
      <c r="DI50" s="49"/>
      <c r="DJ50" s="50">
        <f t="shared" si="25"/>
        <v>0</v>
      </c>
      <c r="DL50" s="49"/>
      <c r="DM50" s="49"/>
      <c r="DN50" s="50">
        <f t="shared" si="26"/>
        <v>0</v>
      </c>
      <c r="DP50" s="49"/>
      <c r="DQ50" s="49"/>
      <c r="DR50" s="50">
        <f t="shared" si="27"/>
        <v>0</v>
      </c>
      <c r="DT50" s="49"/>
      <c r="DU50" s="49"/>
      <c r="DV50" s="50">
        <f t="shared" si="28"/>
        <v>0</v>
      </c>
      <c r="DX50" s="49"/>
      <c r="DY50" s="49"/>
      <c r="DZ50" s="50">
        <f t="shared" si="29"/>
        <v>0</v>
      </c>
      <c r="EB50" s="49">
        <f t="shared" si="30"/>
        <v>0</v>
      </c>
      <c r="EC50" s="49">
        <f t="shared" si="30"/>
        <v>0</v>
      </c>
      <c r="ED50" s="49">
        <f t="shared" si="30"/>
        <v>0</v>
      </c>
    </row>
    <row r="51" spans="2:134" ht="11" customHeight="1" x14ac:dyDescent="0.35">
      <c r="B51" s="4">
        <v>107017</v>
      </c>
      <c r="C51" s="4" t="s">
        <v>57</v>
      </c>
      <c r="D51" s="4">
        <v>100</v>
      </c>
      <c r="E51" s="5">
        <v>12</v>
      </c>
      <c r="F51" s="6">
        <v>801.89063294000005</v>
      </c>
      <c r="G51" s="7"/>
      <c r="H51" s="49"/>
      <c r="I51" s="49"/>
      <c r="J51" s="50">
        <f t="shared" si="31"/>
        <v>0</v>
      </c>
      <c r="K51" s="9"/>
      <c r="L51" s="49"/>
      <c r="M51" s="49"/>
      <c r="N51" s="50">
        <f t="shared" si="0"/>
        <v>0</v>
      </c>
      <c r="O51" s="46"/>
      <c r="P51" s="49"/>
      <c r="Q51" s="49"/>
      <c r="R51" s="50">
        <f t="shared" si="1"/>
        <v>0</v>
      </c>
      <c r="T51" s="49"/>
      <c r="U51" s="49"/>
      <c r="V51" s="50">
        <f t="shared" si="2"/>
        <v>0</v>
      </c>
      <c r="X51" s="49"/>
      <c r="Y51" s="49"/>
      <c r="Z51" s="50">
        <f t="shared" si="3"/>
        <v>0</v>
      </c>
      <c r="AB51" s="49"/>
      <c r="AC51" s="49"/>
      <c r="AD51" s="50">
        <f t="shared" si="4"/>
        <v>0</v>
      </c>
      <c r="AF51" s="49"/>
      <c r="AG51" s="49"/>
      <c r="AH51" s="50">
        <f t="shared" si="5"/>
        <v>0</v>
      </c>
      <c r="AJ51" s="49"/>
      <c r="AK51" s="49"/>
      <c r="AL51" s="50">
        <f t="shared" si="6"/>
        <v>0</v>
      </c>
      <c r="AN51" s="49"/>
      <c r="AO51" s="49"/>
      <c r="AP51" s="50">
        <f t="shared" si="7"/>
        <v>0</v>
      </c>
      <c r="AR51" s="49"/>
      <c r="AS51" s="49"/>
      <c r="AT51" s="50">
        <f t="shared" si="8"/>
        <v>0</v>
      </c>
      <c r="AV51" s="49"/>
      <c r="AW51" s="49"/>
      <c r="AX51" s="50">
        <f t="shared" si="9"/>
        <v>0</v>
      </c>
      <c r="AZ51" s="49"/>
      <c r="BA51" s="49"/>
      <c r="BB51" s="50">
        <f t="shared" si="10"/>
        <v>0</v>
      </c>
      <c r="BD51" s="49"/>
      <c r="BE51" s="49"/>
      <c r="BF51" s="50">
        <f t="shared" si="11"/>
        <v>0</v>
      </c>
      <c r="BH51" s="49"/>
      <c r="BI51" s="49"/>
      <c r="BJ51" s="50">
        <f t="shared" si="12"/>
        <v>0</v>
      </c>
      <c r="BL51" s="49"/>
      <c r="BM51" s="49"/>
      <c r="BN51" s="50">
        <f t="shared" si="13"/>
        <v>0</v>
      </c>
      <c r="BP51" s="49"/>
      <c r="BQ51" s="49"/>
      <c r="BR51" s="50">
        <f t="shared" si="14"/>
        <v>0</v>
      </c>
      <c r="BT51" s="49"/>
      <c r="BU51" s="49"/>
      <c r="BV51" s="50">
        <f t="shared" si="15"/>
        <v>0</v>
      </c>
      <c r="BX51" s="49"/>
      <c r="BY51" s="49"/>
      <c r="BZ51" s="50">
        <f t="shared" si="16"/>
        <v>0</v>
      </c>
      <c r="CB51" s="49"/>
      <c r="CC51" s="49"/>
      <c r="CD51" s="50">
        <f t="shared" si="17"/>
        <v>0</v>
      </c>
      <c r="CF51" s="49"/>
      <c r="CG51" s="49"/>
      <c r="CH51" s="50">
        <f t="shared" si="18"/>
        <v>0</v>
      </c>
      <c r="CJ51" s="49"/>
      <c r="CK51" s="49"/>
      <c r="CL51" s="50">
        <f t="shared" si="19"/>
        <v>0</v>
      </c>
      <c r="CN51" s="49"/>
      <c r="CO51" s="49"/>
      <c r="CP51" s="50">
        <f t="shared" si="20"/>
        <v>0</v>
      </c>
      <c r="CR51" s="49"/>
      <c r="CS51" s="49"/>
      <c r="CT51" s="50">
        <f t="shared" si="21"/>
        <v>0</v>
      </c>
      <c r="CV51" s="49"/>
      <c r="CW51" s="49"/>
      <c r="CX51" s="50">
        <f t="shared" si="22"/>
        <v>0</v>
      </c>
      <c r="CZ51" s="49"/>
      <c r="DA51" s="49"/>
      <c r="DB51" s="50">
        <f t="shared" si="23"/>
        <v>0</v>
      </c>
      <c r="DD51" s="49"/>
      <c r="DE51" s="49"/>
      <c r="DF51" s="50">
        <f t="shared" si="24"/>
        <v>0</v>
      </c>
      <c r="DH51" s="49"/>
      <c r="DI51" s="49"/>
      <c r="DJ51" s="50">
        <f t="shared" si="25"/>
        <v>0</v>
      </c>
      <c r="DL51" s="49"/>
      <c r="DM51" s="49"/>
      <c r="DN51" s="50">
        <f t="shared" si="26"/>
        <v>0</v>
      </c>
      <c r="DP51" s="49"/>
      <c r="DQ51" s="49"/>
      <c r="DR51" s="50">
        <f t="shared" si="27"/>
        <v>0</v>
      </c>
      <c r="DT51" s="49"/>
      <c r="DU51" s="49"/>
      <c r="DV51" s="50">
        <f t="shared" si="28"/>
        <v>0</v>
      </c>
      <c r="DX51" s="49"/>
      <c r="DY51" s="49"/>
      <c r="DZ51" s="50">
        <f t="shared" si="29"/>
        <v>0</v>
      </c>
      <c r="EB51" s="49">
        <f t="shared" si="30"/>
        <v>0</v>
      </c>
      <c r="EC51" s="49">
        <f t="shared" si="30"/>
        <v>0</v>
      </c>
      <c r="ED51" s="49">
        <f t="shared" si="30"/>
        <v>0</v>
      </c>
    </row>
    <row r="52" spans="2:134" ht="11" customHeight="1" x14ac:dyDescent="0.35">
      <c r="B52" s="4">
        <v>107511</v>
      </c>
      <c r="C52" s="4" t="s">
        <v>58</v>
      </c>
      <c r="D52" s="4">
        <v>12</v>
      </c>
      <c r="E52" s="5">
        <v>24</v>
      </c>
      <c r="F52" s="6">
        <v>288.68257499999999</v>
      </c>
      <c r="G52" s="7"/>
      <c r="H52" s="49"/>
      <c r="I52" s="49"/>
      <c r="J52" s="50">
        <f t="shared" si="31"/>
        <v>0</v>
      </c>
      <c r="K52" s="9"/>
      <c r="L52" s="49"/>
      <c r="M52" s="49"/>
      <c r="N52" s="50">
        <f t="shared" si="0"/>
        <v>0</v>
      </c>
      <c r="O52" s="46"/>
      <c r="P52" s="49"/>
      <c r="Q52" s="49"/>
      <c r="R52" s="50">
        <f t="shared" si="1"/>
        <v>0</v>
      </c>
      <c r="T52" s="49"/>
      <c r="U52" s="49"/>
      <c r="V52" s="50">
        <f t="shared" si="2"/>
        <v>0</v>
      </c>
      <c r="X52" s="49"/>
      <c r="Y52" s="49"/>
      <c r="Z52" s="50">
        <f t="shared" si="3"/>
        <v>0</v>
      </c>
      <c r="AB52" s="49"/>
      <c r="AC52" s="49"/>
      <c r="AD52" s="50">
        <f t="shared" si="4"/>
        <v>0</v>
      </c>
      <c r="AF52" s="49"/>
      <c r="AG52" s="49"/>
      <c r="AH52" s="50">
        <f t="shared" si="5"/>
        <v>0</v>
      </c>
      <c r="AJ52" s="49"/>
      <c r="AK52" s="49"/>
      <c r="AL52" s="50">
        <f t="shared" si="6"/>
        <v>0</v>
      </c>
      <c r="AN52" s="49"/>
      <c r="AO52" s="49"/>
      <c r="AP52" s="50">
        <f t="shared" si="7"/>
        <v>0</v>
      </c>
      <c r="AR52" s="49"/>
      <c r="AS52" s="49"/>
      <c r="AT52" s="50">
        <f t="shared" si="8"/>
        <v>0</v>
      </c>
      <c r="AV52" s="49"/>
      <c r="AW52" s="49"/>
      <c r="AX52" s="50">
        <f t="shared" si="9"/>
        <v>0</v>
      </c>
      <c r="AZ52" s="49"/>
      <c r="BA52" s="49"/>
      <c r="BB52" s="50">
        <f t="shared" si="10"/>
        <v>0</v>
      </c>
      <c r="BD52" s="49"/>
      <c r="BE52" s="49"/>
      <c r="BF52" s="50">
        <f t="shared" si="11"/>
        <v>0</v>
      </c>
      <c r="BH52" s="49"/>
      <c r="BI52" s="49"/>
      <c r="BJ52" s="50">
        <f t="shared" si="12"/>
        <v>0</v>
      </c>
      <c r="BL52" s="49"/>
      <c r="BM52" s="49"/>
      <c r="BN52" s="50">
        <f t="shared" si="13"/>
        <v>0</v>
      </c>
      <c r="BP52" s="49"/>
      <c r="BQ52" s="49"/>
      <c r="BR52" s="50">
        <f t="shared" si="14"/>
        <v>0</v>
      </c>
      <c r="BT52" s="49"/>
      <c r="BU52" s="49"/>
      <c r="BV52" s="50">
        <f t="shared" si="15"/>
        <v>0</v>
      </c>
      <c r="BX52" s="49"/>
      <c r="BY52" s="49"/>
      <c r="BZ52" s="50">
        <f t="shared" si="16"/>
        <v>0</v>
      </c>
      <c r="CB52" s="49"/>
      <c r="CC52" s="49"/>
      <c r="CD52" s="50">
        <f t="shared" si="17"/>
        <v>0</v>
      </c>
      <c r="CF52" s="49"/>
      <c r="CG52" s="49"/>
      <c r="CH52" s="50">
        <f t="shared" si="18"/>
        <v>0</v>
      </c>
      <c r="CJ52" s="49"/>
      <c r="CK52" s="49"/>
      <c r="CL52" s="50">
        <f t="shared" si="19"/>
        <v>0</v>
      </c>
      <c r="CN52" s="49"/>
      <c r="CO52" s="49"/>
      <c r="CP52" s="50">
        <f t="shared" si="20"/>
        <v>0</v>
      </c>
      <c r="CR52" s="49"/>
      <c r="CS52" s="49"/>
      <c r="CT52" s="50">
        <f t="shared" si="21"/>
        <v>0</v>
      </c>
      <c r="CV52" s="49"/>
      <c r="CW52" s="49"/>
      <c r="CX52" s="50">
        <f t="shared" si="22"/>
        <v>0</v>
      </c>
      <c r="CZ52" s="49"/>
      <c r="DA52" s="49"/>
      <c r="DB52" s="50">
        <f t="shared" si="23"/>
        <v>0</v>
      </c>
      <c r="DD52" s="49"/>
      <c r="DE52" s="49"/>
      <c r="DF52" s="50">
        <f t="shared" si="24"/>
        <v>0</v>
      </c>
      <c r="DH52" s="49"/>
      <c r="DI52" s="49"/>
      <c r="DJ52" s="50">
        <f t="shared" si="25"/>
        <v>0</v>
      </c>
      <c r="DL52" s="49"/>
      <c r="DM52" s="49"/>
      <c r="DN52" s="50">
        <f t="shared" si="26"/>
        <v>0</v>
      </c>
      <c r="DP52" s="49"/>
      <c r="DQ52" s="49"/>
      <c r="DR52" s="50">
        <f t="shared" si="27"/>
        <v>0</v>
      </c>
      <c r="DT52" s="49"/>
      <c r="DU52" s="49"/>
      <c r="DV52" s="50">
        <f t="shared" si="28"/>
        <v>0</v>
      </c>
      <c r="DX52" s="49"/>
      <c r="DY52" s="49"/>
      <c r="DZ52" s="50">
        <f t="shared" si="29"/>
        <v>0</v>
      </c>
      <c r="EB52" s="49">
        <f t="shared" si="30"/>
        <v>0</v>
      </c>
      <c r="EC52" s="49">
        <f t="shared" si="30"/>
        <v>0</v>
      </c>
      <c r="ED52" s="49">
        <f t="shared" si="30"/>
        <v>0</v>
      </c>
    </row>
    <row r="53" spans="2:134" ht="11" customHeight="1" x14ac:dyDescent="0.35">
      <c r="B53" s="4">
        <v>109014</v>
      </c>
      <c r="C53" s="4" t="s">
        <v>59</v>
      </c>
      <c r="D53" s="4">
        <v>1</v>
      </c>
      <c r="E53" s="5">
        <v>60</v>
      </c>
      <c r="F53" s="6">
        <v>40.540080000000003</v>
      </c>
      <c r="G53" s="7"/>
      <c r="H53" s="49"/>
      <c r="I53" s="49"/>
      <c r="J53" s="50">
        <f t="shared" si="31"/>
        <v>0</v>
      </c>
      <c r="K53" s="9"/>
      <c r="L53" s="49"/>
      <c r="M53" s="49"/>
      <c r="N53" s="50">
        <f t="shared" si="0"/>
        <v>0</v>
      </c>
      <c r="O53" s="46"/>
      <c r="P53" s="49"/>
      <c r="Q53" s="49"/>
      <c r="R53" s="50">
        <f t="shared" si="1"/>
        <v>0</v>
      </c>
      <c r="T53" s="49"/>
      <c r="U53" s="49"/>
      <c r="V53" s="50">
        <f t="shared" si="2"/>
        <v>0</v>
      </c>
      <c r="X53" s="49"/>
      <c r="Y53" s="49"/>
      <c r="Z53" s="50">
        <f t="shared" si="3"/>
        <v>0</v>
      </c>
      <c r="AB53" s="49"/>
      <c r="AC53" s="49"/>
      <c r="AD53" s="50">
        <f t="shared" si="4"/>
        <v>0</v>
      </c>
      <c r="AF53" s="49"/>
      <c r="AG53" s="49"/>
      <c r="AH53" s="50">
        <f t="shared" si="5"/>
        <v>0</v>
      </c>
      <c r="AJ53" s="49"/>
      <c r="AK53" s="49"/>
      <c r="AL53" s="50">
        <f t="shared" si="6"/>
        <v>0</v>
      </c>
      <c r="AN53" s="49"/>
      <c r="AO53" s="49"/>
      <c r="AP53" s="50">
        <f t="shared" si="7"/>
        <v>0</v>
      </c>
      <c r="AR53" s="49"/>
      <c r="AS53" s="49"/>
      <c r="AT53" s="50">
        <f t="shared" si="8"/>
        <v>0</v>
      </c>
      <c r="AV53" s="49"/>
      <c r="AW53" s="49"/>
      <c r="AX53" s="50">
        <f t="shared" si="9"/>
        <v>0</v>
      </c>
      <c r="AZ53" s="49"/>
      <c r="BA53" s="49"/>
      <c r="BB53" s="50">
        <f t="shared" si="10"/>
        <v>0</v>
      </c>
      <c r="BD53" s="49"/>
      <c r="BE53" s="49"/>
      <c r="BF53" s="50">
        <f t="shared" si="11"/>
        <v>0</v>
      </c>
      <c r="BH53" s="49"/>
      <c r="BI53" s="49"/>
      <c r="BJ53" s="50">
        <f t="shared" si="12"/>
        <v>0</v>
      </c>
      <c r="BL53" s="49"/>
      <c r="BM53" s="49"/>
      <c r="BN53" s="50">
        <f t="shared" si="13"/>
        <v>0</v>
      </c>
      <c r="BP53" s="49"/>
      <c r="BQ53" s="49"/>
      <c r="BR53" s="50">
        <f t="shared" si="14"/>
        <v>0</v>
      </c>
      <c r="BT53" s="49"/>
      <c r="BU53" s="49"/>
      <c r="BV53" s="50">
        <f t="shared" si="15"/>
        <v>0</v>
      </c>
      <c r="BX53" s="49"/>
      <c r="BY53" s="49"/>
      <c r="BZ53" s="50">
        <f t="shared" si="16"/>
        <v>0</v>
      </c>
      <c r="CB53" s="49"/>
      <c r="CC53" s="49"/>
      <c r="CD53" s="50">
        <f t="shared" si="17"/>
        <v>0</v>
      </c>
      <c r="CF53" s="49"/>
      <c r="CG53" s="49"/>
      <c r="CH53" s="50">
        <f t="shared" si="18"/>
        <v>0</v>
      </c>
      <c r="CJ53" s="49"/>
      <c r="CK53" s="49"/>
      <c r="CL53" s="50">
        <f t="shared" si="19"/>
        <v>0</v>
      </c>
      <c r="CN53" s="49"/>
      <c r="CO53" s="49"/>
      <c r="CP53" s="50">
        <f t="shared" si="20"/>
        <v>0</v>
      </c>
      <c r="CR53" s="49"/>
      <c r="CS53" s="49"/>
      <c r="CT53" s="50">
        <f t="shared" si="21"/>
        <v>0</v>
      </c>
      <c r="CV53" s="49"/>
      <c r="CW53" s="49"/>
      <c r="CX53" s="50">
        <f t="shared" si="22"/>
        <v>0</v>
      </c>
      <c r="CZ53" s="49"/>
      <c r="DA53" s="49"/>
      <c r="DB53" s="50">
        <f t="shared" si="23"/>
        <v>0</v>
      </c>
      <c r="DD53" s="49"/>
      <c r="DE53" s="49"/>
      <c r="DF53" s="50">
        <f t="shared" si="24"/>
        <v>0</v>
      </c>
      <c r="DH53" s="49"/>
      <c r="DI53" s="49"/>
      <c r="DJ53" s="50">
        <f t="shared" si="25"/>
        <v>0</v>
      </c>
      <c r="DL53" s="49"/>
      <c r="DM53" s="49"/>
      <c r="DN53" s="50">
        <f t="shared" si="26"/>
        <v>0</v>
      </c>
      <c r="DP53" s="49"/>
      <c r="DQ53" s="49"/>
      <c r="DR53" s="50">
        <f t="shared" si="27"/>
        <v>0</v>
      </c>
      <c r="DT53" s="49"/>
      <c r="DU53" s="49"/>
      <c r="DV53" s="50">
        <f t="shared" si="28"/>
        <v>0</v>
      </c>
      <c r="DX53" s="49"/>
      <c r="DY53" s="49"/>
      <c r="DZ53" s="50">
        <f t="shared" si="29"/>
        <v>0</v>
      </c>
      <c r="EB53" s="49">
        <f t="shared" si="30"/>
        <v>0</v>
      </c>
      <c r="EC53" s="49">
        <f t="shared" si="30"/>
        <v>0</v>
      </c>
      <c r="ED53" s="49">
        <f t="shared" si="30"/>
        <v>0</v>
      </c>
    </row>
    <row r="54" spans="2:134" ht="11" customHeight="1" x14ac:dyDescent="0.35">
      <c r="B54" s="4">
        <v>109015</v>
      </c>
      <c r="C54" s="4" t="s">
        <v>60</v>
      </c>
      <c r="D54" s="4">
        <v>1</v>
      </c>
      <c r="E54" s="5">
        <v>60</v>
      </c>
      <c r="F54" s="6">
        <v>40.540080000000003</v>
      </c>
      <c r="G54" s="7"/>
      <c r="H54" s="49"/>
      <c r="I54" s="49"/>
      <c r="J54" s="50">
        <f t="shared" si="31"/>
        <v>0</v>
      </c>
      <c r="K54" s="9"/>
      <c r="L54" s="49"/>
      <c r="M54" s="49"/>
      <c r="N54" s="50">
        <f t="shared" si="0"/>
        <v>0</v>
      </c>
      <c r="O54" s="46"/>
      <c r="P54" s="49"/>
      <c r="Q54" s="49"/>
      <c r="R54" s="50">
        <f t="shared" si="1"/>
        <v>0</v>
      </c>
      <c r="T54" s="49"/>
      <c r="U54" s="49"/>
      <c r="V54" s="50">
        <f t="shared" si="2"/>
        <v>0</v>
      </c>
      <c r="X54" s="49"/>
      <c r="Y54" s="49"/>
      <c r="Z54" s="50">
        <f t="shared" si="3"/>
        <v>0</v>
      </c>
      <c r="AB54" s="49"/>
      <c r="AC54" s="49"/>
      <c r="AD54" s="50">
        <f t="shared" si="4"/>
        <v>0</v>
      </c>
      <c r="AF54" s="49"/>
      <c r="AG54" s="49"/>
      <c r="AH54" s="50">
        <f t="shared" si="5"/>
        <v>0</v>
      </c>
      <c r="AJ54" s="49"/>
      <c r="AK54" s="49"/>
      <c r="AL54" s="50">
        <f t="shared" si="6"/>
        <v>0</v>
      </c>
      <c r="AN54" s="49"/>
      <c r="AO54" s="49"/>
      <c r="AP54" s="50">
        <f t="shared" si="7"/>
        <v>0</v>
      </c>
      <c r="AR54" s="49"/>
      <c r="AS54" s="49"/>
      <c r="AT54" s="50">
        <f t="shared" si="8"/>
        <v>0</v>
      </c>
      <c r="AV54" s="49"/>
      <c r="AW54" s="49"/>
      <c r="AX54" s="50">
        <f t="shared" si="9"/>
        <v>0</v>
      </c>
      <c r="AZ54" s="49"/>
      <c r="BA54" s="49"/>
      <c r="BB54" s="50">
        <f t="shared" si="10"/>
        <v>0</v>
      </c>
      <c r="BD54" s="49"/>
      <c r="BE54" s="49"/>
      <c r="BF54" s="50">
        <f t="shared" si="11"/>
        <v>0</v>
      </c>
      <c r="BH54" s="49"/>
      <c r="BI54" s="49"/>
      <c r="BJ54" s="50">
        <f t="shared" si="12"/>
        <v>0</v>
      </c>
      <c r="BL54" s="49"/>
      <c r="BM54" s="49"/>
      <c r="BN54" s="50">
        <f t="shared" si="13"/>
        <v>0</v>
      </c>
      <c r="BP54" s="49"/>
      <c r="BQ54" s="49"/>
      <c r="BR54" s="50">
        <f t="shared" si="14"/>
        <v>0</v>
      </c>
      <c r="BT54" s="49"/>
      <c r="BU54" s="49"/>
      <c r="BV54" s="50">
        <f t="shared" si="15"/>
        <v>0</v>
      </c>
      <c r="BX54" s="49"/>
      <c r="BY54" s="49"/>
      <c r="BZ54" s="50">
        <f t="shared" si="16"/>
        <v>0</v>
      </c>
      <c r="CB54" s="49"/>
      <c r="CC54" s="49"/>
      <c r="CD54" s="50">
        <f t="shared" si="17"/>
        <v>0</v>
      </c>
      <c r="CF54" s="49"/>
      <c r="CG54" s="49"/>
      <c r="CH54" s="50">
        <f t="shared" si="18"/>
        <v>0</v>
      </c>
      <c r="CJ54" s="49"/>
      <c r="CK54" s="49"/>
      <c r="CL54" s="50">
        <f t="shared" si="19"/>
        <v>0</v>
      </c>
      <c r="CN54" s="49"/>
      <c r="CO54" s="49"/>
      <c r="CP54" s="50">
        <f t="shared" si="20"/>
        <v>0</v>
      </c>
      <c r="CR54" s="49"/>
      <c r="CS54" s="49"/>
      <c r="CT54" s="50">
        <f t="shared" si="21"/>
        <v>0</v>
      </c>
      <c r="CV54" s="49"/>
      <c r="CW54" s="49"/>
      <c r="CX54" s="50">
        <f t="shared" si="22"/>
        <v>0</v>
      </c>
      <c r="CZ54" s="49"/>
      <c r="DA54" s="49"/>
      <c r="DB54" s="50">
        <f t="shared" si="23"/>
        <v>0</v>
      </c>
      <c r="DD54" s="49"/>
      <c r="DE54" s="49"/>
      <c r="DF54" s="50">
        <f t="shared" si="24"/>
        <v>0</v>
      </c>
      <c r="DH54" s="49"/>
      <c r="DI54" s="49"/>
      <c r="DJ54" s="50">
        <f t="shared" si="25"/>
        <v>0</v>
      </c>
      <c r="DL54" s="49"/>
      <c r="DM54" s="49"/>
      <c r="DN54" s="50">
        <f t="shared" si="26"/>
        <v>0</v>
      </c>
      <c r="DP54" s="49"/>
      <c r="DQ54" s="49"/>
      <c r="DR54" s="50">
        <f t="shared" si="27"/>
        <v>0</v>
      </c>
      <c r="DT54" s="49"/>
      <c r="DU54" s="49"/>
      <c r="DV54" s="50">
        <f t="shared" si="28"/>
        <v>0</v>
      </c>
      <c r="DX54" s="49"/>
      <c r="DY54" s="49"/>
      <c r="DZ54" s="50">
        <f t="shared" si="29"/>
        <v>0</v>
      </c>
      <c r="EB54" s="49">
        <f t="shared" si="30"/>
        <v>0</v>
      </c>
      <c r="EC54" s="49">
        <f t="shared" si="30"/>
        <v>0</v>
      </c>
      <c r="ED54" s="49">
        <f t="shared" si="30"/>
        <v>0</v>
      </c>
    </row>
    <row r="55" spans="2:134" ht="11" customHeight="1" x14ac:dyDescent="0.35">
      <c r="B55" s="4">
        <v>109025</v>
      </c>
      <c r="C55" s="4" t="s">
        <v>61</v>
      </c>
      <c r="D55" s="4">
        <v>18</v>
      </c>
      <c r="E55" s="5">
        <v>18</v>
      </c>
      <c r="F55" s="6">
        <v>140.22132670400001</v>
      </c>
      <c r="G55" s="7"/>
      <c r="H55" s="49"/>
      <c r="I55" s="49"/>
      <c r="J55" s="50">
        <f t="shared" si="31"/>
        <v>0</v>
      </c>
      <c r="K55" s="9"/>
      <c r="L55" s="49"/>
      <c r="M55" s="49"/>
      <c r="N55" s="50">
        <f t="shared" si="0"/>
        <v>0</v>
      </c>
      <c r="O55" s="46"/>
      <c r="P55" s="49"/>
      <c r="Q55" s="49"/>
      <c r="R55" s="50">
        <f t="shared" si="1"/>
        <v>0</v>
      </c>
      <c r="T55" s="49"/>
      <c r="U55" s="49"/>
      <c r="V55" s="50">
        <f t="shared" si="2"/>
        <v>0</v>
      </c>
      <c r="X55" s="49"/>
      <c r="Y55" s="49"/>
      <c r="Z55" s="50">
        <f t="shared" si="3"/>
        <v>0</v>
      </c>
      <c r="AB55" s="49"/>
      <c r="AC55" s="49"/>
      <c r="AD55" s="50">
        <f t="shared" si="4"/>
        <v>0</v>
      </c>
      <c r="AF55" s="49"/>
      <c r="AG55" s="49"/>
      <c r="AH55" s="50">
        <f t="shared" si="5"/>
        <v>0</v>
      </c>
      <c r="AJ55" s="49"/>
      <c r="AK55" s="49"/>
      <c r="AL55" s="50">
        <f t="shared" si="6"/>
        <v>0</v>
      </c>
      <c r="AN55" s="49"/>
      <c r="AO55" s="49"/>
      <c r="AP55" s="50">
        <f t="shared" si="7"/>
        <v>0</v>
      </c>
      <c r="AR55" s="49"/>
      <c r="AS55" s="49"/>
      <c r="AT55" s="50">
        <f t="shared" si="8"/>
        <v>0</v>
      </c>
      <c r="AV55" s="49"/>
      <c r="AW55" s="49"/>
      <c r="AX55" s="50">
        <f t="shared" si="9"/>
        <v>0</v>
      </c>
      <c r="AZ55" s="49"/>
      <c r="BA55" s="49"/>
      <c r="BB55" s="50">
        <f t="shared" si="10"/>
        <v>0</v>
      </c>
      <c r="BD55" s="49"/>
      <c r="BE55" s="49"/>
      <c r="BF55" s="50">
        <f t="shared" si="11"/>
        <v>0</v>
      </c>
      <c r="BH55" s="49"/>
      <c r="BI55" s="49"/>
      <c r="BJ55" s="50">
        <f t="shared" si="12"/>
        <v>0</v>
      </c>
      <c r="BL55" s="49"/>
      <c r="BM55" s="49"/>
      <c r="BN55" s="50">
        <f t="shared" si="13"/>
        <v>0</v>
      </c>
      <c r="BP55" s="49"/>
      <c r="BQ55" s="49"/>
      <c r="BR55" s="50">
        <f t="shared" si="14"/>
        <v>0</v>
      </c>
      <c r="BT55" s="49"/>
      <c r="BU55" s="49"/>
      <c r="BV55" s="50">
        <f t="shared" si="15"/>
        <v>0</v>
      </c>
      <c r="BX55" s="49"/>
      <c r="BY55" s="49"/>
      <c r="BZ55" s="50">
        <f t="shared" si="16"/>
        <v>0</v>
      </c>
      <c r="CB55" s="49"/>
      <c r="CC55" s="49"/>
      <c r="CD55" s="50">
        <f t="shared" si="17"/>
        <v>0</v>
      </c>
      <c r="CF55" s="49"/>
      <c r="CG55" s="49"/>
      <c r="CH55" s="50">
        <f t="shared" si="18"/>
        <v>0</v>
      </c>
      <c r="CJ55" s="49"/>
      <c r="CK55" s="49"/>
      <c r="CL55" s="50">
        <f t="shared" si="19"/>
        <v>0</v>
      </c>
      <c r="CN55" s="49"/>
      <c r="CO55" s="49"/>
      <c r="CP55" s="50">
        <f t="shared" si="20"/>
        <v>0</v>
      </c>
      <c r="CR55" s="49"/>
      <c r="CS55" s="49"/>
      <c r="CT55" s="50">
        <f t="shared" si="21"/>
        <v>0</v>
      </c>
      <c r="CV55" s="49"/>
      <c r="CW55" s="49"/>
      <c r="CX55" s="50">
        <f t="shared" si="22"/>
        <v>0</v>
      </c>
      <c r="CZ55" s="49"/>
      <c r="DA55" s="49"/>
      <c r="DB55" s="50">
        <f t="shared" si="23"/>
        <v>0</v>
      </c>
      <c r="DD55" s="49"/>
      <c r="DE55" s="49"/>
      <c r="DF55" s="50">
        <f t="shared" si="24"/>
        <v>0</v>
      </c>
      <c r="DH55" s="49"/>
      <c r="DI55" s="49"/>
      <c r="DJ55" s="50">
        <f t="shared" si="25"/>
        <v>0</v>
      </c>
      <c r="DL55" s="49"/>
      <c r="DM55" s="49"/>
      <c r="DN55" s="50">
        <f t="shared" si="26"/>
        <v>0</v>
      </c>
      <c r="DP55" s="49"/>
      <c r="DQ55" s="49"/>
      <c r="DR55" s="50">
        <f t="shared" si="27"/>
        <v>0</v>
      </c>
      <c r="DT55" s="49"/>
      <c r="DU55" s="49"/>
      <c r="DV55" s="50">
        <f t="shared" si="28"/>
        <v>0</v>
      </c>
      <c r="DX55" s="49"/>
      <c r="DY55" s="49"/>
      <c r="DZ55" s="50">
        <f t="shared" si="29"/>
        <v>0</v>
      </c>
      <c r="EB55" s="49">
        <f t="shared" si="30"/>
        <v>0</v>
      </c>
      <c r="EC55" s="49">
        <f t="shared" si="30"/>
        <v>0</v>
      </c>
      <c r="ED55" s="49">
        <f t="shared" si="30"/>
        <v>0</v>
      </c>
    </row>
    <row r="56" spans="2:134" ht="11" customHeight="1" x14ac:dyDescent="0.35">
      <c r="B56" s="4">
        <v>109026</v>
      </c>
      <c r="C56" s="4" t="s">
        <v>62</v>
      </c>
      <c r="D56" s="4">
        <v>18</v>
      </c>
      <c r="E56" s="5">
        <v>18</v>
      </c>
      <c r="F56" s="6">
        <v>140.22132670400001</v>
      </c>
      <c r="G56" s="7"/>
      <c r="H56" s="49"/>
      <c r="I56" s="49"/>
      <c r="J56" s="50">
        <f t="shared" si="31"/>
        <v>0</v>
      </c>
      <c r="K56" s="9"/>
      <c r="L56" s="49"/>
      <c r="M56" s="49"/>
      <c r="N56" s="50">
        <f t="shared" si="0"/>
        <v>0</v>
      </c>
      <c r="O56" s="46"/>
      <c r="P56" s="49"/>
      <c r="Q56" s="49"/>
      <c r="R56" s="50">
        <f t="shared" si="1"/>
        <v>0</v>
      </c>
      <c r="T56" s="49"/>
      <c r="U56" s="49"/>
      <c r="V56" s="50">
        <f t="shared" si="2"/>
        <v>0</v>
      </c>
      <c r="X56" s="49"/>
      <c r="Y56" s="49"/>
      <c r="Z56" s="50">
        <f t="shared" si="3"/>
        <v>0</v>
      </c>
      <c r="AB56" s="49"/>
      <c r="AC56" s="49"/>
      <c r="AD56" s="50">
        <f t="shared" si="4"/>
        <v>0</v>
      </c>
      <c r="AF56" s="49"/>
      <c r="AG56" s="49"/>
      <c r="AH56" s="50">
        <f t="shared" si="5"/>
        <v>0</v>
      </c>
      <c r="AJ56" s="49"/>
      <c r="AK56" s="49"/>
      <c r="AL56" s="50">
        <f t="shared" si="6"/>
        <v>0</v>
      </c>
      <c r="AN56" s="49"/>
      <c r="AO56" s="49"/>
      <c r="AP56" s="50">
        <f t="shared" si="7"/>
        <v>0</v>
      </c>
      <c r="AR56" s="49"/>
      <c r="AS56" s="49"/>
      <c r="AT56" s="50">
        <f t="shared" si="8"/>
        <v>0</v>
      </c>
      <c r="AV56" s="49"/>
      <c r="AW56" s="49"/>
      <c r="AX56" s="50">
        <f t="shared" si="9"/>
        <v>0</v>
      </c>
      <c r="AZ56" s="49"/>
      <c r="BA56" s="49"/>
      <c r="BB56" s="50">
        <f t="shared" si="10"/>
        <v>0</v>
      </c>
      <c r="BD56" s="49"/>
      <c r="BE56" s="49"/>
      <c r="BF56" s="50">
        <f t="shared" si="11"/>
        <v>0</v>
      </c>
      <c r="BH56" s="49"/>
      <c r="BI56" s="49"/>
      <c r="BJ56" s="50">
        <f t="shared" si="12"/>
        <v>0</v>
      </c>
      <c r="BL56" s="49"/>
      <c r="BM56" s="49"/>
      <c r="BN56" s="50">
        <f t="shared" si="13"/>
        <v>0</v>
      </c>
      <c r="BP56" s="49"/>
      <c r="BQ56" s="49"/>
      <c r="BR56" s="50">
        <f t="shared" si="14"/>
        <v>0</v>
      </c>
      <c r="BT56" s="49"/>
      <c r="BU56" s="49"/>
      <c r="BV56" s="50">
        <f t="shared" si="15"/>
        <v>0</v>
      </c>
      <c r="BX56" s="49"/>
      <c r="BY56" s="49"/>
      <c r="BZ56" s="50">
        <f t="shared" si="16"/>
        <v>0</v>
      </c>
      <c r="CB56" s="49"/>
      <c r="CC56" s="49"/>
      <c r="CD56" s="50">
        <f t="shared" si="17"/>
        <v>0</v>
      </c>
      <c r="CF56" s="49"/>
      <c r="CG56" s="49"/>
      <c r="CH56" s="50">
        <f t="shared" si="18"/>
        <v>0</v>
      </c>
      <c r="CJ56" s="49"/>
      <c r="CK56" s="49"/>
      <c r="CL56" s="50">
        <f t="shared" si="19"/>
        <v>0</v>
      </c>
      <c r="CN56" s="49"/>
      <c r="CO56" s="49"/>
      <c r="CP56" s="50">
        <f t="shared" si="20"/>
        <v>0</v>
      </c>
      <c r="CR56" s="49"/>
      <c r="CS56" s="49"/>
      <c r="CT56" s="50">
        <f t="shared" si="21"/>
        <v>0</v>
      </c>
      <c r="CV56" s="49"/>
      <c r="CW56" s="49"/>
      <c r="CX56" s="50">
        <f t="shared" si="22"/>
        <v>0</v>
      </c>
      <c r="CZ56" s="49"/>
      <c r="DA56" s="49"/>
      <c r="DB56" s="50">
        <f t="shared" si="23"/>
        <v>0</v>
      </c>
      <c r="DD56" s="49"/>
      <c r="DE56" s="49"/>
      <c r="DF56" s="50">
        <f t="shared" si="24"/>
        <v>0</v>
      </c>
      <c r="DH56" s="49"/>
      <c r="DI56" s="49"/>
      <c r="DJ56" s="50">
        <f t="shared" si="25"/>
        <v>0</v>
      </c>
      <c r="DL56" s="49"/>
      <c r="DM56" s="49"/>
      <c r="DN56" s="50">
        <f t="shared" si="26"/>
        <v>0</v>
      </c>
      <c r="DP56" s="49"/>
      <c r="DQ56" s="49"/>
      <c r="DR56" s="50">
        <f t="shared" si="27"/>
        <v>0</v>
      </c>
      <c r="DT56" s="49"/>
      <c r="DU56" s="49"/>
      <c r="DV56" s="50">
        <f t="shared" si="28"/>
        <v>0</v>
      </c>
      <c r="DX56" s="49"/>
      <c r="DY56" s="49"/>
      <c r="DZ56" s="50">
        <f t="shared" si="29"/>
        <v>0</v>
      </c>
      <c r="EB56" s="49">
        <f t="shared" si="30"/>
        <v>0</v>
      </c>
      <c r="EC56" s="49">
        <f t="shared" si="30"/>
        <v>0</v>
      </c>
      <c r="ED56" s="49">
        <f t="shared" si="30"/>
        <v>0</v>
      </c>
    </row>
    <row r="57" spans="2:134" ht="11" customHeight="1" x14ac:dyDescent="0.35">
      <c r="B57" s="4">
        <v>109207</v>
      </c>
      <c r="C57" s="4" t="s">
        <v>63</v>
      </c>
      <c r="D57" s="4">
        <v>24</v>
      </c>
      <c r="E57" s="5">
        <v>18</v>
      </c>
      <c r="F57" s="6">
        <v>194.23586706</v>
      </c>
      <c r="G57" s="7"/>
      <c r="H57" s="49"/>
      <c r="I57" s="49"/>
      <c r="J57" s="50">
        <f t="shared" si="31"/>
        <v>0</v>
      </c>
      <c r="K57" s="9"/>
      <c r="L57" s="49"/>
      <c r="M57" s="49"/>
      <c r="N57" s="50">
        <f t="shared" si="0"/>
        <v>0</v>
      </c>
      <c r="O57" s="46"/>
      <c r="P57" s="49"/>
      <c r="Q57" s="49"/>
      <c r="R57" s="50">
        <f t="shared" si="1"/>
        <v>0</v>
      </c>
      <c r="T57" s="49"/>
      <c r="U57" s="49"/>
      <c r="V57" s="50">
        <f t="shared" si="2"/>
        <v>0</v>
      </c>
      <c r="X57" s="49"/>
      <c r="Y57" s="49"/>
      <c r="Z57" s="50">
        <f t="shared" si="3"/>
        <v>0</v>
      </c>
      <c r="AB57" s="49"/>
      <c r="AC57" s="49"/>
      <c r="AD57" s="50">
        <f t="shared" si="4"/>
        <v>0</v>
      </c>
      <c r="AF57" s="49"/>
      <c r="AG57" s="49"/>
      <c r="AH57" s="50">
        <f t="shared" si="5"/>
        <v>0</v>
      </c>
      <c r="AJ57" s="49"/>
      <c r="AK57" s="49"/>
      <c r="AL57" s="50">
        <f t="shared" si="6"/>
        <v>0</v>
      </c>
      <c r="AN57" s="49"/>
      <c r="AO57" s="49"/>
      <c r="AP57" s="50">
        <f t="shared" si="7"/>
        <v>0</v>
      </c>
      <c r="AR57" s="49"/>
      <c r="AS57" s="49"/>
      <c r="AT57" s="50">
        <f t="shared" si="8"/>
        <v>0</v>
      </c>
      <c r="AV57" s="49"/>
      <c r="AW57" s="49"/>
      <c r="AX57" s="50">
        <f t="shared" si="9"/>
        <v>0</v>
      </c>
      <c r="AZ57" s="49"/>
      <c r="BA57" s="49"/>
      <c r="BB57" s="50">
        <f t="shared" si="10"/>
        <v>0</v>
      </c>
      <c r="BD57" s="49"/>
      <c r="BE57" s="49"/>
      <c r="BF57" s="50">
        <f t="shared" si="11"/>
        <v>0</v>
      </c>
      <c r="BH57" s="49"/>
      <c r="BI57" s="49"/>
      <c r="BJ57" s="50">
        <f t="shared" si="12"/>
        <v>0</v>
      </c>
      <c r="BL57" s="49"/>
      <c r="BM57" s="49"/>
      <c r="BN57" s="50">
        <f t="shared" si="13"/>
        <v>0</v>
      </c>
      <c r="BP57" s="49"/>
      <c r="BQ57" s="49"/>
      <c r="BR57" s="50">
        <f t="shared" si="14"/>
        <v>0</v>
      </c>
      <c r="BT57" s="49"/>
      <c r="BU57" s="49"/>
      <c r="BV57" s="50">
        <f t="shared" si="15"/>
        <v>0</v>
      </c>
      <c r="BX57" s="49"/>
      <c r="BY57" s="49"/>
      <c r="BZ57" s="50">
        <f t="shared" si="16"/>
        <v>0</v>
      </c>
      <c r="CB57" s="49"/>
      <c r="CC57" s="49"/>
      <c r="CD57" s="50">
        <f t="shared" si="17"/>
        <v>0</v>
      </c>
      <c r="CF57" s="49"/>
      <c r="CG57" s="49"/>
      <c r="CH57" s="50">
        <f t="shared" si="18"/>
        <v>0</v>
      </c>
      <c r="CJ57" s="49"/>
      <c r="CK57" s="49"/>
      <c r="CL57" s="50">
        <f t="shared" si="19"/>
        <v>0</v>
      </c>
      <c r="CN57" s="49"/>
      <c r="CO57" s="49"/>
      <c r="CP57" s="50">
        <f t="shared" si="20"/>
        <v>0</v>
      </c>
      <c r="CR57" s="49"/>
      <c r="CS57" s="49"/>
      <c r="CT57" s="50">
        <f t="shared" si="21"/>
        <v>0</v>
      </c>
      <c r="CV57" s="49"/>
      <c r="CW57" s="49"/>
      <c r="CX57" s="50">
        <f t="shared" si="22"/>
        <v>0</v>
      </c>
      <c r="CZ57" s="49"/>
      <c r="DA57" s="49"/>
      <c r="DB57" s="50">
        <f t="shared" si="23"/>
        <v>0</v>
      </c>
      <c r="DD57" s="49"/>
      <c r="DE57" s="49"/>
      <c r="DF57" s="50">
        <f t="shared" si="24"/>
        <v>0</v>
      </c>
      <c r="DH57" s="49"/>
      <c r="DI57" s="49"/>
      <c r="DJ57" s="50">
        <f t="shared" si="25"/>
        <v>0</v>
      </c>
      <c r="DL57" s="49"/>
      <c r="DM57" s="49"/>
      <c r="DN57" s="50">
        <f t="shared" si="26"/>
        <v>0</v>
      </c>
      <c r="DP57" s="49"/>
      <c r="DQ57" s="49"/>
      <c r="DR57" s="50">
        <f t="shared" si="27"/>
        <v>0</v>
      </c>
      <c r="DT57" s="49"/>
      <c r="DU57" s="49"/>
      <c r="DV57" s="50">
        <f t="shared" si="28"/>
        <v>0</v>
      </c>
      <c r="DX57" s="49"/>
      <c r="DY57" s="49"/>
      <c r="DZ57" s="50">
        <f t="shared" si="29"/>
        <v>0</v>
      </c>
      <c r="EB57" s="49">
        <f t="shared" si="30"/>
        <v>0</v>
      </c>
      <c r="EC57" s="49">
        <f t="shared" si="30"/>
        <v>0</v>
      </c>
      <c r="ED57" s="49">
        <f t="shared" si="30"/>
        <v>0</v>
      </c>
    </row>
    <row r="58" spans="2:134" ht="11" customHeight="1" x14ac:dyDescent="0.35">
      <c r="B58" s="4">
        <v>109503</v>
      </c>
      <c r="C58" s="4" t="s">
        <v>64</v>
      </c>
      <c r="D58" s="4">
        <v>24</v>
      </c>
      <c r="E58" s="5">
        <v>18</v>
      </c>
      <c r="F58" s="6">
        <v>189.29879107400001</v>
      </c>
      <c r="G58" s="7"/>
      <c r="H58" s="49"/>
      <c r="I58" s="49"/>
      <c r="J58" s="50">
        <f t="shared" si="31"/>
        <v>0</v>
      </c>
      <c r="K58" s="9"/>
      <c r="L58" s="49"/>
      <c r="M58" s="49"/>
      <c r="N58" s="50">
        <f t="shared" si="0"/>
        <v>0</v>
      </c>
      <c r="O58" s="46"/>
      <c r="P58" s="49"/>
      <c r="Q58" s="49"/>
      <c r="R58" s="50">
        <f t="shared" si="1"/>
        <v>0</v>
      </c>
      <c r="T58" s="49"/>
      <c r="U58" s="49"/>
      <c r="V58" s="50">
        <f t="shared" si="2"/>
        <v>0</v>
      </c>
      <c r="X58" s="49"/>
      <c r="Y58" s="49"/>
      <c r="Z58" s="50">
        <f t="shared" si="3"/>
        <v>0</v>
      </c>
      <c r="AB58" s="49"/>
      <c r="AC58" s="49"/>
      <c r="AD58" s="50">
        <f t="shared" si="4"/>
        <v>0</v>
      </c>
      <c r="AF58" s="49"/>
      <c r="AG58" s="49"/>
      <c r="AH58" s="50">
        <f t="shared" si="5"/>
        <v>0</v>
      </c>
      <c r="AJ58" s="49"/>
      <c r="AK58" s="49"/>
      <c r="AL58" s="50">
        <f t="shared" si="6"/>
        <v>0</v>
      </c>
      <c r="AN58" s="49"/>
      <c r="AO58" s="49"/>
      <c r="AP58" s="50">
        <f t="shared" si="7"/>
        <v>0</v>
      </c>
      <c r="AR58" s="49"/>
      <c r="AS58" s="49"/>
      <c r="AT58" s="50">
        <f t="shared" si="8"/>
        <v>0</v>
      </c>
      <c r="AV58" s="49"/>
      <c r="AW58" s="49"/>
      <c r="AX58" s="50">
        <f t="shared" si="9"/>
        <v>0</v>
      </c>
      <c r="AZ58" s="49"/>
      <c r="BA58" s="49"/>
      <c r="BB58" s="50">
        <f t="shared" si="10"/>
        <v>0</v>
      </c>
      <c r="BD58" s="49"/>
      <c r="BE58" s="49"/>
      <c r="BF58" s="50">
        <f t="shared" si="11"/>
        <v>0</v>
      </c>
      <c r="BH58" s="49"/>
      <c r="BI58" s="49"/>
      <c r="BJ58" s="50">
        <f t="shared" si="12"/>
        <v>0</v>
      </c>
      <c r="BL58" s="49"/>
      <c r="BM58" s="49"/>
      <c r="BN58" s="50">
        <f t="shared" si="13"/>
        <v>0</v>
      </c>
      <c r="BP58" s="49"/>
      <c r="BQ58" s="49"/>
      <c r="BR58" s="50">
        <f t="shared" si="14"/>
        <v>0</v>
      </c>
      <c r="BT58" s="49"/>
      <c r="BU58" s="49"/>
      <c r="BV58" s="50">
        <f t="shared" si="15"/>
        <v>0</v>
      </c>
      <c r="BX58" s="49"/>
      <c r="BY58" s="49"/>
      <c r="BZ58" s="50">
        <f t="shared" si="16"/>
        <v>0</v>
      </c>
      <c r="CB58" s="49"/>
      <c r="CC58" s="49"/>
      <c r="CD58" s="50">
        <f t="shared" si="17"/>
        <v>0</v>
      </c>
      <c r="CF58" s="49"/>
      <c r="CG58" s="49"/>
      <c r="CH58" s="50">
        <f t="shared" si="18"/>
        <v>0</v>
      </c>
      <c r="CJ58" s="49"/>
      <c r="CK58" s="49"/>
      <c r="CL58" s="50">
        <f t="shared" si="19"/>
        <v>0</v>
      </c>
      <c r="CN58" s="49"/>
      <c r="CO58" s="49"/>
      <c r="CP58" s="50">
        <f t="shared" si="20"/>
        <v>0</v>
      </c>
      <c r="CR58" s="49"/>
      <c r="CS58" s="49"/>
      <c r="CT58" s="50">
        <f t="shared" si="21"/>
        <v>0</v>
      </c>
      <c r="CV58" s="49"/>
      <c r="CW58" s="49"/>
      <c r="CX58" s="50">
        <f t="shared" si="22"/>
        <v>0</v>
      </c>
      <c r="CZ58" s="49"/>
      <c r="DA58" s="49"/>
      <c r="DB58" s="50">
        <f t="shared" si="23"/>
        <v>0</v>
      </c>
      <c r="DD58" s="49"/>
      <c r="DE58" s="49"/>
      <c r="DF58" s="50">
        <f t="shared" si="24"/>
        <v>0</v>
      </c>
      <c r="DH58" s="49"/>
      <c r="DI58" s="49"/>
      <c r="DJ58" s="50">
        <f t="shared" si="25"/>
        <v>0</v>
      </c>
      <c r="DL58" s="49"/>
      <c r="DM58" s="49"/>
      <c r="DN58" s="50">
        <f t="shared" si="26"/>
        <v>0</v>
      </c>
      <c r="DP58" s="49"/>
      <c r="DQ58" s="49"/>
      <c r="DR58" s="50">
        <f t="shared" si="27"/>
        <v>0</v>
      </c>
      <c r="DT58" s="49"/>
      <c r="DU58" s="49"/>
      <c r="DV58" s="50">
        <f t="shared" si="28"/>
        <v>0</v>
      </c>
      <c r="DX58" s="49"/>
      <c r="DY58" s="49"/>
      <c r="DZ58" s="50">
        <f t="shared" si="29"/>
        <v>0</v>
      </c>
      <c r="EB58" s="49">
        <f t="shared" si="30"/>
        <v>0</v>
      </c>
      <c r="EC58" s="49">
        <f t="shared" si="30"/>
        <v>0</v>
      </c>
      <c r="ED58" s="49">
        <f t="shared" si="30"/>
        <v>0</v>
      </c>
    </row>
    <row r="59" spans="2:134" ht="11" customHeight="1" x14ac:dyDescent="0.35">
      <c r="B59" s="4">
        <v>109504</v>
      </c>
      <c r="C59" s="4" t="s">
        <v>65</v>
      </c>
      <c r="D59" s="4">
        <v>24</v>
      </c>
      <c r="E59" s="5">
        <v>18</v>
      </c>
      <c r="F59" s="6">
        <v>189.29879107400001</v>
      </c>
      <c r="G59" s="7"/>
      <c r="H59" s="49"/>
      <c r="I59" s="49"/>
      <c r="J59" s="50">
        <f t="shared" si="31"/>
        <v>0</v>
      </c>
      <c r="K59" s="9"/>
      <c r="L59" s="49"/>
      <c r="M59" s="49"/>
      <c r="N59" s="50">
        <f t="shared" si="0"/>
        <v>0</v>
      </c>
      <c r="O59" s="46"/>
      <c r="P59" s="49"/>
      <c r="Q59" s="49"/>
      <c r="R59" s="50">
        <f t="shared" si="1"/>
        <v>0</v>
      </c>
      <c r="T59" s="49"/>
      <c r="U59" s="49"/>
      <c r="V59" s="50">
        <f t="shared" si="2"/>
        <v>0</v>
      </c>
      <c r="X59" s="49"/>
      <c r="Y59" s="49"/>
      <c r="Z59" s="50">
        <f t="shared" si="3"/>
        <v>0</v>
      </c>
      <c r="AB59" s="49"/>
      <c r="AC59" s="49"/>
      <c r="AD59" s="50">
        <f t="shared" si="4"/>
        <v>0</v>
      </c>
      <c r="AF59" s="49"/>
      <c r="AG59" s="49"/>
      <c r="AH59" s="50">
        <f t="shared" si="5"/>
        <v>0</v>
      </c>
      <c r="AJ59" s="49"/>
      <c r="AK59" s="49"/>
      <c r="AL59" s="50">
        <f t="shared" si="6"/>
        <v>0</v>
      </c>
      <c r="AN59" s="49"/>
      <c r="AO59" s="49"/>
      <c r="AP59" s="50">
        <f t="shared" si="7"/>
        <v>0</v>
      </c>
      <c r="AR59" s="49"/>
      <c r="AS59" s="49"/>
      <c r="AT59" s="50">
        <f t="shared" si="8"/>
        <v>0</v>
      </c>
      <c r="AV59" s="49"/>
      <c r="AW59" s="49"/>
      <c r="AX59" s="50">
        <f t="shared" si="9"/>
        <v>0</v>
      </c>
      <c r="AZ59" s="49"/>
      <c r="BA59" s="49"/>
      <c r="BB59" s="50">
        <f t="shared" si="10"/>
        <v>0</v>
      </c>
      <c r="BD59" s="49"/>
      <c r="BE59" s="49"/>
      <c r="BF59" s="50">
        <f t="shared" si="11"/>
        <v>0</v>
      </c>
      <c r="BH59" s="49"/>
      <c r="BI59" s="49"/>
      <c r="BJ59" s="50">
        <f t="shared" si="12"/>
        <v>0</v>
      </c>
      <c r="BL59" s="49"/>
      <c r="BM59" s="49"/>
      <c r="BN59" s="50">
        <f t="shared" si="13"/>
        <v>0</v>
      </c>
      <c r="BP59" s="49"/>
      <c r="BQ59" s="49"/>
      <c r="BR59" s="50">
        <f t="shared" si="14"/>
        <v>0</v>
      </c>
      <c r="BT59" s="49"/>
      <c r="BU59" s="49"/>
      <c r="BV59" s="50">
        <f t="shared" si="15"/>
        <v>0</v>
      </c>
      <c r="BX59" s="49"/>
      <c r="BY59" s="49"/>
      <c r="BZ59" s="50">
        <f t="shared" si="16"/>
        <v>0</v>
      </c>
      <c r="CB59" s="49"/>
      <c r="CC59" s="49"/>
      <c r="CD59" s="50">
        <f t="shared" si="17"/>
        <v>0</v>
      </c>
      <c r="CF59" s="49"/>
      <c r="CG59" s="49"/>
      <c r="CH59" s="50">
        <f t="shared" si="18"/>
        <v>0</v>
      </c>
      <c r="CJ59" s="49"/>
      <c r="CK59" s="49"/>
      <c r="CL59" s="50">
        <f t="shared" si="19"/>
        <v>0</v>
      </c>
      <c r="CN59" s="49"/>
      <c r="CO59" s="49"/>
      <c r="CP59" s="50">
        <f t="shared" si="20"/>
        <v>0</v>
      </c>
      <c r="CR59" s="49"/>
      <c r="CS59" s="49"/>
      <c r="CT59" s="50">
        <f t="shared" si="21"/>
        <v>0</v>
      </c>
      <c r="CV59" s="49"/>
      <c r="CW59" s="49"/>
      <c r="CX59" s="50">
        <f t="shared" si="22"/>
        <v>0</v>
      </c>
      <c r="CZ59" s="49"/>
      <c r="DA59" s="49"/>
      <c r="DB59" s="50">
        <f t="shared" si="23"/>
        <v>0</v>
      </c>
      <c r="DD59" s="49"/>
      <c r="DE59" s="49"/>
      <c r="DF59" s="50">
        <f t="shared" si="24"/>
        <v>0</v>
      </c>
      <c r="DH59" s="49"/>
      <c r="DI59" s="49"/>
      <c r="DJ59" s="50">
        <f t="shared" si="25"/>
        <v>0</v>
      </c>
      <c r="DL59" s="49"/>
      <c r="DM59" s="49"/>
      <c r="DN59" s="50">
        <f t="shared" si="26"/>
        <v>0</v>
      </c>
      <c r="DP59" s="49"/>
      <c r="DQ59" s="49"/>
      <c r="DR59" s="50">
        <f t="shared" si="27"/>
        <v>0</v>
      </c>
      <c r="DT59" s="49"/>
      <c r="DU59" s="49"/>
      <c r="DV59" s="50">
        <f t="shared" si="28"/>
        <v>0</v>
      </c>
      <c r="DX59" s="49"/>
      <c r="DY59" s="49"/>
      <c r="DZ59" s="50">
        <f t="shared" si="29"/>
        <v>0</v>
      </c>
      <c r="EB59" s="49">
        <f t="shared" si="30"/>
        <v>0</v>
      </c>
      <c r="EC59" s="49">
        <f t="shared" si="30"/>
        <v>0</v>
      </c>
      <c r="ED59" s="49">
        <f t="shared" si="30"/>
        <v>0</v>
      </c>
    </row>
    <row r="60" spans="2:134" ht="11" customHeight="1" x14ac:dyDescent="0.35">
      <c r="B60" s="4">
        <v>109517</v>
      </c>
      <c r="C60" s="4" t="s">
        <v>66</v>
      </c>
      <c r="D60" s="4">
        <v>12</v>
      </c>
      <c r="E60" s="5">
        <v>24</v>
      </c>
      <c r="F60" s="6">
        <v>286.53841705999997</v>
      </c>
      <c r="G60" s="7"/>
      <c r="H60" s="49"/>
      <c r="I60" s="49"/>
      <c r="J60" s="50">
        <f t="shared" si="31"/>
        <v>0</v>
      </c>
      <c r="K60" s="9"/>
      <c r="L60" s="49"/>
      <c r="M60" s="49"/>
      <c r="N60" s="50">
        <f t="shared" si="0"/>
        <v>0</v>
      </c>
      <c r="O60" s="46"/>
      <c r="P60" s="49"/>
      <c r="Q60" s="49"/>
      <c r="R60" s="50">
        <f t="shared" si="1"/>
        <v>0</v>
      </c>
      <c r="T60" s="49"/>
      <c r="U60" s="49"/>
      <c r="V60" s="50">
        <f t="shared" si="2"/>
        <v>0</v>
      </c>
      <c r="X60" s="49"/>
      <c r="Y60" s="49"/>
      <c r="Z60" s="50">
        <f t="shared" si="3"/>
        <v>0</v>
      </c>
      <c r="AB60" s="49"/>
      <c r="AC60" s="49"/>
      <c r="AD60" s="50">
        <f t="shared" si="4"/>
        <v>0</v>
      </c>
      <c r="AF60" s="49"/>
      <c r="AG60" s="49"/>
      <c r="AH60" s="50">
        <f t="shared" si="5"/>
        <v>0</v>
      </c>
      <c r="AJ60" s="49"/>
      <c r="AK60" s="49"/>
      <c r="AL60" s="50">
        <f t="shared" si="6"/>
        <v>0</v>
      </c>
      <c r="AN60" s="49"/>
      <c r="AO60" s="49"/>
      <c r="AP60" s="50">
        <f t="shared" si="7"/>
        <v>0</v>
      </c>
      <c r="AR60" s="49"/>
      <c r="AS60" s="49"/>
      <c r="AT60" s="50">
        <f t="shared" si="8"/>
        <v>0</v>
      </c>
      <c r="AV60" s="49"/>
      <c r="AW60" s="49"/>
      <c r="AX60" s="50">
        <f t="shared" si="9"/>
        <v>0</v>
      </c>
      <c r="AZ60" s="49"/>
      <c r="BA60" s="49"/>
      <c r="BB60" s="50">
        <f t="shared" si="10"/>
        <v>0</v>
      </c>
      <c r="BD60" s="49"/>
      <c r="BE60" s="49"/>
      <c r="BF60" s="50">
        <f t="shared" si="11"/>
        <v>0</v>
      </c>
      <c r="BH60" s="49"/>
      <c r="BI60" s="49"/>
      <c r="BJ60" s="50">
        <f t="shared" si="12"/>
        <v>0</v>
      </c>
      <c r="BL60" s="49"/>
      <c r="BM60" s="49"/>
      <c r="BN60" s="50">
        <f t="shared" si="13"/>
        <v>0</v>
      </c>
      <c r="BP60" s="49"/>
      <c r="BQ60" s="49"/>
      <c r="BR60" s="50">
        <f t="shared" si="14"/>
        <v>0</v>
      </c>
      <c r="BT60" s="49"/>
      <c r="BU60" s="49"/>
      <c r="BV60" s="50">
        <f t="shared" si="15"/>
        <v>0</v>
      </c>
      <c r="BX60" s="49"/>
      <c r="BY60" s="49"/>
      <c r="BZ60" s="50">
        <f t="shared" si="16"/>
        <v>0</v>
      </c>
      <c r="CB60" s="49"/>
      <c r="CC60" s="49"/>
      <c r="CD60" s="50">
        <f t="shared" si="17"/>
        <v>0</v>
      </c>
      <c r="CF60" s="49"/>
      <c r="CG60" s="49"/>
      <c r="CH60" s="50">
        <f t="shared" si="18"/>
        <v>0</v>
      </c>
      <c r="CJ60" s="49"/>
      <c r="CK60" s="49"/>
      <c r="CL60" s="50">
        <f t="shared" si="19"/>
        <v>0</v>
      </c>
      <c r="CN60" s="49"/>
      <c r="CO60" s="49"/>
      <c r="CP60" s="50">
        <f t="shared" si="20"/>
        <v>0</v>
      </c>
      <c r="CR60" s="49"/>
      <c r="CS60" s="49"/>
      <c r="CT60" s="50">
        <f t="shared" si="21"/>
        <v>0</v>
      </c>
      <c r="CV60" s="49"/>
      <c r="CW60" s="49"/>
      <c r="CX60" s="50">
        <f t="shared" si="22"/>
        <v>0</v>
      </c>
      <c r="CZ60" s="49"/>
      <c r="DA60" s="49"/>
      <c r="DB60" s="50">
        <f t="shared" si="23"/>
        <v>0</v>
      </c>
      <c r="DD60" s="49"/>
      <c r="DE60" s="49"/>
      <c r="DF60" s="50">
        <f t="shared" si="24"/>
        <v>0</v>
      </c>
      <c r="DH60" s="49"/>
      <c r="DI60" s="49"/>
      <c r="DJ60" s="50">
        <f t="shared" si="25"/>
        <v>0</v>
      </c>
      <c r="DL60" s="49"/>
      <c r="DM60" s="49"/>
      <c r="DN60" s="50">
        <f t="shared" si="26"/>
        <v>0</v>
      </c>
      <c r="DP60" s="49"/>
      <c r="DQ60" s="49"/>
      <c r="DR60" s="50">
        <f t="shared" si="27"/>
        <v>0</v>
      </c>
      <c r="DT60" s="49"/>
      <c r="DU60" s="49"/>
      <c r="DV60" s="50">
        <f t="shared" si="28"/>
        <v>0</v>
      </c>
      <c r="DX60" s="49"/>
      <c r="DY60" s="49"/>
      <c r="DZ60" s="50">
        <f t="shared" si="29"/>
        <v>0</v>
      </c>
      <c r="EB60" s="49">
        <f t="shared" si="30"/>
        <v>0</v>
      </c>
      <c r="EC60" s="49">
        <f t="shared" si="30"/>
        <v>0</v>
      </c>
      <c r="ED60" s="49">
        <f t="shared" si="30"/>
        <v>0</v>
      </c>
    </row>
    <row r="61" spans="2:134" ht="11" customHeight="1" x14ac:dyDescent="0.35">
      <c r="B61" s="4">
        <v>110151</v>
      </c>
      <c r="C61" s="4" t="s">
        <v>67</v>
      </c>
      <c r="D61" s="4">
        <v>18</v>
      </c>
      <c r="E61" s="5">
        <v>18</v>
      </c>
      <c r="F61" s="6">
        <v>425.922279828</v>
      </c>
      <c r="G61" s="7"/>
      <c r="H61" s="49"/>
      <c r="I61" s="49"/>
      <c r="J61" s="50">
        <f t="shared" si="31"/>
        <v>0</v>
      </c>
      <c r="K61" s="9"/>
      <c r="L61" s="49"/>
      <c r="M61" s="49"/>
      <c r="N61" s="50">
        <f t="shared" si="0"/>
        <v>0</v>
      </c>
      <c r="O61" s="46"/>
      <c r="P61" s="49"/>
      <c r="Q61" s="49"/>
      <c r="R61" s="50">
        <f t="shared" si="1"/>
        <v>0</v>
      </c>
      <c r="T61" s="49"/>
      <c r="U61" s="49"/>
      <c r="V61" s="50">
        <f t="shared" si="2"/>
        <v>0</v>
      </c>
      <c r="X61" s="49"/>
      <c r="Y61" s="49"/>
      <c r="Z61" s="50">
        <f t="shared" si="3"/>
        <v>0</v>
      </c>
      <c r="AB61" s="49"/>
      <c r="AC61" s="49"/>
      <c r="AD61" s="50">
        <f t="shared" si="4"/>
        <v>0</v>
      </c>
      <c r="AF61" s="49"/>
      <c r="AG61" s="49"/>
      <c r="AH61" s="50">
        <f t="shared" si="5"/>
        <v>0</v>
      </c>
      <c r="AJ61" s="49"/>
      <c r="AK61" s="49"/>
      <c r="AL61" s="50">
        <f t="shared" si="6"/>
        <v>0</v>
      </c>
      <c r="AN61" s="49"/>
      <c r="AO61" s="49"/>
      <c r="AP61" s="50">
        <f t="shared" si="7"/>
        <v>0</v>
      </c>
      <c r="AR61" s="49"/>
      <c r="AS61" s="49"/>
      <c r="AT61" s="50">
        <f t="shared" si="8"/>
        <v>0</v>
      </c>
      <c r="AV61" s="49"/>
      <c r="AW61" s="49"/>
      <c r="AX61" s="50">
        <f t="shared" si="9"/>
        <v>0</v>
      </c>
      <c r="AZ61" s="49"/>
      <c r="BA61" s="49"/>
      <c r="BB61" s="50">
        <f t="shared" si="10"/>
        <v>0</v>
      </c>
      <c r="BD61" s="49"/>
      <c r="BE61" s="49"/>
      <c r="BF61" s="50">
        <f t="shared" si="11"/>
        <v>0</v>
      </c>
      <c r="BH61" s="49"/>
      <c r="BI61" s="49"/>
      <c r="BJ61" s="50">
        <f t="shared" si="12"/>
        <v>0</v>
      </c>
      <c r="BL61" s="49"/>
      <c r="BM61" s="49"/>
      <c r="BN61" s="50">
        <f t="shared" si="13"/>
        <v>0</v>
      </c>
      <c r="BP61" s="49"/>
      <c r="BQ61" s="49"/>
      <c r="BR61" s="50">
        <f t="shared" si="14"/>
        <v>0</v>
      </c>
      <c r="BT61" s="49"/>
      <c r="BU61" s="49"/>
      <c r="BV61" s="50">
        <f t="shared" si="15"/>
        <v>0</v>
      </c>
      <c r="BX61" s="49"/>
      <c r="BY61" s="49"/>
      <c r="BZ61" s="50">
        <f t="shared" si="16"/>
        <v>0</v>
      </c>
      <c r="CB61" s="49"/>
      <c r="CC61" s="49"/>
      <c r="CD61" s="50">
        <f t="shared" si="17"/>
        <v>0</v>
      </c>
      <c r="CF61" s="49"/>
      <c r="CG61" s="49"/>
      <c r="CH61" s="50">
        <f t="shared" si="18"/>
        <v>0</v>
      </c>
      <c r="CJ61" s="49"/>
      <c r="CK61" s="49"/>
      <c r="CL61" s="50">
        <f t="shared" si="19"/>
        <v>0</v>
      </c>
      <c r="CN61" s="49"/>
      <c r="CO61" s="49"/>
      <c r="CP61" s="50">
        <f t="shared" si="20"/>
        <v>0</v>
      </c>
      <c r="CR61" s="49"/>
      <c r="CS61" s="49"/>
      <c r="CT61" s="50">
        <f t="shared" si="21"/>
        <v>0</v>
      </c>
      <c r="CV61" s="49"/>
      <c r="CW61" s="49"/>
      <c r="CX61" s="50">
        <f t="shared" si="22"/>
        <v>0</v>
      </c>
      <c r="CZ61" s="49"/>
      <c r="DA61" s="49"/>
      <c r="DB61" s="50">
        <f t="shared" si="23"/>
        <v>0</v>
      </c>
      <c r="DD61" s="49"/>
      <c r="DE61" s="49"/>
      <c r="DF61" s="50">
        <f t="shared" si="24"/>
        <v>0</v>
      </c>
      <c r="DH61" s="49"/>
      <c r="DI61" s="49"/>
      <c r="DJ61" s="50">
        <f t="shared" si="25"/>
        <v>0</v>
      </c>
      <c r="DL61" s="49"/>
      <c r="DM61" s="49"/>
      <c r="DN61" s="50">
        <f t="shared" si="26"/>
        <v>0</v>
      </c>
      <c r="DP61" s="49"/>
      <c r="DQ61" s="49"/>
      <c r="DR61" s="50">
        <f t="shared" si="27"/>
        <v>0</v>
      </c>
      <c r="DT61" s="49"/>
      <c r="DU61" s="49"/>
      <c r="DV61" s="50">
        <f t="shared" si="28"/>
        <v>0</v>
      </c>
      <c r="DX61" s="49"/>
      <c r="DY61" s="49"/>
      <c r="DZ61" s="50">
        <f t="shared" si="29"/>
        <v>0</v>
      </c>
      <c r="EB61" s="49">
        <f t="shared" si="30"/>
        <v>0</v>
      </c>
      <c r="EC61" s="49">
        <f t="shared" si="30"/>
        <v>0</v>
      </c>
      <c r="ED61" s="49">
        <f t="shared" si="30"/>
        <v>0</v>
      </c>
    </row>
    <row r="62" spans="2:134" ht="11" customHeight="1" x14ac:dyDescent="0.35">
      <c r="B62" s="4">
        <v>110157</v>
      </c>
      <c r="C62" s="4" t="s">
        <v>68</v>
      </c>
      <c r="D62" s="4">
        <v>18</v>
      </c>
      <c r="E62" s="5">
        <v>18</v>
      </c>
      <c r="F62" s="6">
        <v>721.70176705999995</v>
      </c>
      <c r="G62" s="7"/>
      <c r="H62" s="49"/>
      <c r="I62" s="49"/>
      <c r="J62" s="50">
        <f t="shared" si="31"/>
        <v>0</v>
      </c>
      <c r="K62" s="9"/>
      <c r="L62" s="49"/>
      <c r="M62" s="49"/>
      <c r="N62" s="50">
        <f t="shared" si="0"/>
        <v>0</v>
      </c>
      <c r="O62" s="46"/>
      <c r="P62" s="49"/>
      <c r="Q62" s="49"/>
      <c r="R62" s="50">
        <f t="shared" si="1"/>
        <v>0</v>
      </c>
      <c r="T62" s="49"/>
      <c r="U62" s="49"/>
      <c r="V62" s="50">
        <f t="shared" si="2"/>
        <v>0</v>
      </c>
      <c r="X62" s="49"/>
      <c r="Y62" s="49"/>
      <c r="Z62" s="50">
        <f t="shared" si="3"/>
        <v>0</v>
      </c>
      <c r="AB62" s="49"/>
      <c r="AC62" s="49"/>
      <c r="AD62" s="50">
        <f t="shared" si="4"/>
        <v>0</v>
      </c>
      <c r="AF62" s="49"/>
      <c r="AG62" s="49"/>
      <c r="AH62" s="50">
        <f t="shared" si="5"/>
        <v>0</v>
      </c>
      <c r="AJ62" s="49"/>
      <c r="AK62" s="49"/>
      <c r="AL62" s="50">
        <f t="shared" si="6"/>
        <v>0</v>
      </c>
      <c r="AN62" s="49"/>
      <c r="AO62" s="49"/>
      <c r="AP62" s="50">
        <f t="shared" si="7"/>
        <v>0</v>
      </c>
      <c r="AR62" s="49"/>
      <c r="AS62" s="49"/>
      <c r="AT62" s="50">
        <f t="shared" si="8"/>
        <v>0</v>
      </c>
      <c r="AV62" s="49"/>
      <c r="AW62" s="49"/>
      <c r="AX62" s="50">
        <f t="shared" si="9"/>
        <v>0</v>
      </c>
      <c r="AZ62" s="49"/>
      <c r="BA62" s="49"/>
      <c r="BB62" s="50">
        <f t="shared" si="10"/>
        <v>0</v>
      </c>
      <c r="BD62" s="49"/>
      <c r="BE62" s="49"/>
      <c r="BF62" s="50">
        <f t="shared" si="11"/>
        <v>0</v>
      </c>
      <c r="BH62" s="49"/>
      <c r="BI62" s="49"/>
      <c r="BJ62" s="50">
        <f t="shared" si="12"/>
        <v>0</v>
      </c>
      <c r="BL62" s="49"/>
      <c r="BM62" s="49"/>
      <c r="BN62" s="50">
        <f t="shared" si="13"/>
        <v>0</v>
      </c>
      <c r="BP62" s="49"/>
      <c r="BQ62" s="49"/>
      <c r="BR62" s="50">
        <f t="shared" si="14"/>
        <v>0</v>
      </c>
      <c r="BT62" s="49"/>
      <c r="BU62" s="49"/>
      <c r="BV62" s="50">
        <f t="shared" si="15"/>
        <v>0</v>
      </c>
      <c r="BX62" s="49"/>
      <c r="BY62" s="49"/>
      <c r="BZ62" s="50">
        <f t="shared" si="16"/>
        <v>0</v>
      </c>
      <c r="CB62" s="49"/>
      <c r="CC62" s="49"/>
      <c r="CD62" s="50">
        <f t="shared" si="17"/>
        <v>0</v>
      </c>
      <c r="CF62" s="49"/>
      <c r="CG62" s="49"/>
      <c r="CH62" s="50">
        <f t="shared" si="18"/>
        <v>0</v>
      </c>
      <c r="CJ62" s="49"/>
      <c r="CK62" s="49"/>
      <c r="CL62" s="50">
        <f t="shared" si="19"/>
        <v>0</v>
      </c>
      <c r="CN62" s="49"/>
      <c r="CO62" s="49"/>
      <c r="CP62" s="50">
        <f t="shared" si="20"/>
        <v>0</v>
      </c>
      <c r="CR62" s="49"/>
      <c r="CS62" s="49"/>
      <c r="CT62" s="50">
        <f t="shared" si="21"/>
        <v>0</v>
      </c>
      <c r="CV62" s="49"/>
      <c r="CW62" s="49"/>
      <c r="CX62" s="50">
        <f t="shared" si="22"/>
        <v>0</v>
      </c>
      <c r="CZ62" s="49"/>
      <c r="DA62" s="49"/>
      <c r="DB62" s="50">
        <f t="shared" si="23"/>
        <v>0</v>
      </c>
      <c r="DD62" s="49"/>
      <c r="DE62" s="49"/>
      <c r="DF62" s="50">
        <f t="shared" si="24"/>
        <v>0</v>
      </c>
      <c r="DH62" s="49"/>
      <c r="DI62" s="49"/>
      <c r="DJ62" s="50">
        <f t="shared" si="25"/>
        <v>0</v>
      </c>
      <c r="DL62" s="49"/>
      <c r="DM62" s="49"/>
      <c r="DN62" s="50">
        <f t="shared" si="26"/>
        <v>0</v>
      </c>
      <c r="DP62" s="49"/>
      <c r="DQ62" s="49"/>
      <c r="DR62" s="50">
        <f t="shared" si="27"/>
        <v>0</v>
      </c>
      <c r="DT62" s="49"/>
      <c r="DU62" s="49"/>
      <c r="DV62" s="50">
        <f t="shared" si="28"/>
        <v>0</v>
      </c>
      <c r="DX62" s="49"/>
      <c r="DY62" s="49"/>
      <c r="DZ62" s="50">
        <f t="shared" si="29"/>
        <v>0</v>
      </c>
      <c r="EB62" s="49">
        <f t="shared" si="30"/>
        <v>0</v>
      </c>
      <c r="EC62" s="49">
        <f t="shared" si="30"/>
        <v>0</v>
      </c>
      <c r="ED62" s="49">
        <f t="shared" si="30"/>
        <v>0</v>
      </c>
    </row>
    <row r="63" spans="2:134" ht="11" customHeight="1" x14ac:dyDescent="0.35">
      <c r="B63" s="4">
        <v>111002</v>
      </c>
      <c r="C63" s="4" t="s">
        <v>69</v>
      </c>
      <c r="D63" s="4">
        <v>12</v>
      </c>
      <c r="E63" s="5">
        <v>18</v>
      </c>
      <c r="F63" s="6">
        <v>190.46151740799999</v>
      </c>
      <c r="G63" s="7"/>
      <c r="H63" s="49"/>
      <c r="I63" s="49"/>
      <c r="J63" s="50">
        <f t="shared" si="31"/>
        <v>0</v>
      </c>
      <c r="K63" s="9"/>
      <c r="L63" s="49"/>
      <c r="M63" s="49"/>
      <c r="N63" s="50">
        <f t="shared" si="0"/>
        <v>0</v>
      </c>
      <c r="O63" s="46"/>
      <c r="P63" s="49"/>
      <c r="Q63" s="49"/>
      <c r="R63" s="50">
        <f t="shared" si="1"/>
        <v>0</v>
      </c>
      <c r="T63" s="49"/>
      <c r="U63" s="49"/>
      <c r="V63" s="50">
        <f t="shared" si="2"/>
        <v>0</v>
      </c>
      <c r="X63" s="49"/>
      <c r="Y63" s="49"/>
      <c r="Z63" s="50">
        <f t="shared" si="3"/>
        <v>0</v>
      </c>
      <c r="AB63" s="49"/>
      <c r="AC63" s="49"/>
      <c r="AD63" s="50">
        <f t="shared" si="4"/>
        <v>0</v>
      </c>
      <c r="AF63" s="49"/>
      <c r="AG63" s="49"/>
      <c r="AH63" s="50">
        <f t="shared" si="5"/>
        <v>0</v>
      </c>
      <c r="AJ63" s="49"/>
      <c r="AK63" s="49"/>
      <c r="AL63" s="50">
        <f t="shared" si="6"/>
        <v>0</v>
      </c>
      <c r="AN63" s="49"/>
      <c r="AO63" s="49"/>
      <c r="AP63" s="50">
        <f t="shared" si="7"/>
        <v>0</v>
      </c>
      <c r="AR63" s="49"/>
      <c r="AS63" s="49"/>
      <c r="AT63" s="50">
        <f t="shared" si="8"/>
        <v>0</v>
      </c>
      <c r="AV63" s="49"/>
      <c r="AW63" s="49"/>
      <c r="AX63" s="50">
        <f t="shared" si="9"/>
        <v>0</v>
      </c>
      <c r="AZ63" s="49"/>
      <c r="BA63" s="49"/>
      <c r="BB63" s="50">
        <f t="shared" si="10"/>
        <v>0</v>
      </c>
      <c r="BD63" s="49"/>
      <c r="BE63" s="49"/>
      <c r="BF63" s="50">
        <f t="shared" si="11"/>
        <v>0</v>
      </c>
      <c r="BH63" s="49"/>
      <c r="BI63" s="49"/>
      <c r="BJ63" s="50">
        <f t="shared" si="12"/>
        <v>0</v>
      </c>
      <c r="BL63" s="49"/>
      <c r="BM63" s="49"/>
      <c r="BN63" s="50">
        <f t="shared" si="13"/>
        <v>0</v>
      </c>
      <c r="BP63" s="49"/>
      <c r="BQ63" s="49"/>
      <c r="BR63" s="50">
        <f t="shared" si="14"/>
        <v>0</v>
      </c>
      <c r="BT63" s="49"/>
      <c r="BU63" s="49"/>
      <c r="BV63" s="50">
        <f t="shared" si="15"/>
        <v>0</v>
      </c>
      <c r="BX63" s="49"/>
      <c r="BY63" s="49"/>
      <c r="BZ63" s="50">
        <f t="shared" si="16"/>
        <v>0</v>
      </c>
      <c r="CB63" s="49"/>
      <c r="CC63" s="49"/>
      <c r="CD63" s="50">
        <f t="shared" si="17"/>
        <v>0</v>
      </c>
      <c r="CF63" s="49"/>
      <c r="CG63" s="49"/>
      <c r="CH63" s="50">
        <f t="shared" si="18"/>
        <v>0</v>
      </c>
      <c r="CJ63" s="49"/>
      <c r="CK63" s="49"/>
      <c r="CL63" s="50">
        <f t="shared" si="19"/>
        <v>0</v>
      </c>
      <c r="CN63" s="49"/>
      <c r="CO63" s="49"/>
      <c r="CP63" s="50">
        <f t="shared" si="20"/>
        <v>0</v>
      </c>
      <c r="CR63" s="49"/>
      <c r="CS63" s="49"/>
      <c r="CT63" s="50">
        <f t="shared" si="21"/>
        <v>0</v>
      </c>
      <c r="CV63" s="49"/>
      <c r="CW63" s="49"/>
      <c r="CX63" s="50">
        <f t="shared" si="22"/>
        <v>0</v>
      </c>
      <c r="CZ63" s="49"/>
      <c r="DA63" s="49"/>
      <c r="DB63" s="50">
        <f t="shared" si="23"/>
        <v>0</v>
      </c>
      <c r="DD63" s="49"/>
      <c r="DE63" s="49"/>
      <c r="DF63" s="50">
        <f t="shared" si="24"/>
        <v>0</v>
      </c>
      <c r="DH63" s="49"/>
      <c r="DI63" s="49"/>
      <c r="DJ63" s="50">
        <f t="shared" si="25"/>
        <v>0</v>
      </c>
      <c r="DL63" s="49"/>
      <c r="DM63" s="49"/>
      <c r="DN63" s="50">
        <f t="shared" si="26"/>
        <v>0</v>
      </c>
      <c r="DP63" s="49"/>
      <c r="DQ63" s="49"/>
      <c r="DR63" s="50">
        <f t="shared" si="27"/>
        <v>0</v>
      </c>
      <c r="DT63" s="49"/>
      <c r="DU63" s="49"/>
      <c r="DV63" s="50">
        <f t="shared" si="28"/>
        <v>0</v>
      </c>
      <c r="DX63" s="49"/>
      <c r="DY63" s="49"/>
      <c r="DZ63" s="50">
        <f t="shared" si="29"/>
        <v>0</v>
      </c>
      <c r="EB63" s="49">
        <f t="shared" si="30"/>
        <v>0</v>
      </c>
      <c r="EC63" s="49">
        <f t="shared" si="30"/>
        <v>0</v>
      </c>
      <c r="ED63" s="49">
        <f t="shared" si="30"/>
        <v>0</v>
      </c>
    </row>
    <row r="64" spans="2:134" ht="11" customHeight="1" x14ac:dyDescent="0.35">
      <c r="B64" s="4">
        <v>111006</v>
      </c>
      <c r="C64" s="4" t="s">
        <v>70</v>
      </c>
      <c r="D64" s="4">
        <v>24</v>
      </c>
      <c r="E64" s="5">
        <v>18</v>
      </c>
      <c r="F64" s="6">
        <v>193.64193294</v>
      </c>
      <c r="G64" s="7"/>
      <c r="H64" s="49"/>
      <c r="I64" s="49"/>
      <c r="J64" s="50">
        <f t="shared" si="31"/>
        <v>0</v>
      </c>
      <c r="K64" s="9"/>
      <c r="L64" s="49"/>
      <c r="M64" s="49"/>
      <c r="N64" s="50">
        <f t="shared" si="0"/>
        <v>0</v>
      </c>
      <c r="O64" s="46"/>
      <c r="P64" s="49"/>
      <c r="Q64" s="49"/>
      <c r="R64" s="50">
        <f t="shared" si="1"/>
        <v>0</v>
      </c>
      <c r="T64" s="49"/>
      <c r="U64" s="49"/>
      <c r="V64" s="50">
        <f t="shared" si="2"/>
        <v>0</v>
      </c>
      <c r="X64" s="49"/>
      <c r="Y64" s="49"/>
      <c r="Z64" s="50">
        <f t="shared" si="3"/>
        <v>0</v>
      </c>
      <c r="AB64" s="49"/>
      <c r="AC64" s="49"/>
      <c r="AD64" s="50">
        <f t="shared" si="4"/>
        <v>0</v>
      </c>
      <c r="AF64" s="49"/>
      <c r="AG64" s="49"/>
      <c r="AH64" s="50">
        <f t="shared" si="5"/>
        <v>0</v>
      </c>
      <c r="AJ64" s="49"/>
      <c r="AK64" s="49"/>
      <c r="AL64" s="50">
        <f t="shared" si="6"/>
        <v>0</v>
      </c>
      <c r="AN64" s="49"/>
      <c r="AO64" s="49"/>
      <c r="AP64" s="50">
        <f t="shared" si="7"/>
        <v>0</v>
      </c>
      <c r="AR64" s="49"/>
      <c r="AS64" s="49"/>
      <c r="AT64" s="50">
        <f t="shared" si="8"/>
        <v>0</v>
      </c>
      <c r="AV64" s="49"/>
      <c r="AW64" s="49"/>
      <c r="AX64" s="50">
        <f t="shared" si="9"/>
        <v>0</v>
      </c>
      <c r="AZ64" s="49"/>
      <c r="BA64" s="49"/>
      <c r="BB64" s="50">
        <f t="shared" si="10"/>
        <v>0</v>
      </c>
      <c r="BD64" s="49"/>
      <c r="BE64" s="49"/>
      <c r="BF64" s="50">
        <f t="shared" si="11"/>
        <v>0</v>
      </c>
      <c r="BH64" s="49"/>
      <c r="BI64" s="49"/>
      <c r="BJ64" s="50">
        <f t="shared" si="12"/>
        <v>0</v>
      </c>
      <c r="BL64" s="49"/>
      <c r="BM64" s="49"/>
      <c r="BN64" s="50">
        <f t="shared" si="13"/>
        <v>0</v>
      </c>
      <c r="BP64" s="49"/>
      <c r="BQ64" s="49"/>
      <c r="BR64" s="50">
        <f t="shared" si="14"/>
        <v>0</v>
      </c>
      <c r="BT64" s="49"/>
      <c r="BU64" s="49"/>
      <c r="BV64" s="50">
        <f t="shared" si="15"/>
        <v>0</v>
      </c>
      <c r="BX64" s="49"/>
      <c r="BY64" s="49"/>
      <c r="BZ64" s="50">
        <f t="shared" si="16"/>
        <v>0</v>
      </c>
      <c r="CB64" s="49"/>
      <c r="CC64" s="49"/>
      <c r="CD64" s="50">
        <f t="shared" si="17"/>
        <v>0</v>
      </c>
      <c r="CF64" s="49"/>
      <c r="CG64" s="49"/>
      <c r="CH64" s="50">
        <f t="shared" si="18"/>
        <v>0</v>
      </c>
      <c r="CJ64" s="49"/>
      <c r="CK64" s="49"/>
      <c r="CL64" s="50">
        <f t="shared" si="19"/>
        <v>0</v>
      </c>
      <c r="CN64" s="49"/>
      <c r="CO64" s="49"/>
      <c r="CP64" s="50">
        <f t="shared" si="20"/>
        <v>0</v>
      </c>
      <c r="CR64" s="49"/>
      <c r="CS64" s="49"/>
      <c r="CT64" s="50">
        <f t="shared" si="21"/>
        <v>0</v>
      </c>
      <c r="CV64" s="49"/>
      <c r="CW64" s="49"/>
      <c r="CX64" s="50">
        <f t="shared" si="22"/>
        <v>0</v>
      </c>
      <c r="CZ64" s="49"/>
      <c r="DA64" s="49"/>
      <c r="DB64" s="50">
        <f t="shared" si="23"/>
        <v>0</v>
      </c>
      <c r="DD64" s="49"/>
      <c r="DE64" s="49"/>
      <c r="DF64" s="50">
        <f t="shared" si="24"/>
        <v>0</v>
      </c>
      <c r="DH64" s="49"/>
      <c r="DI64" s="49"/>
      <c r="DJ64" s="50">
        <f t="shared" si="25"/>
        <v>0</v>
      </c>
      <c r="DL64" s="49"/>
      <c r="DM64" s="49"/>
      <c r="DN64" s="50">
        <f t="shared" si="26"/>
        <v>0</v>
      </c>
      <c r="DP64" s="49"/>
      <c r="DQ64" s="49"/>
      <c r="DR64" s="50">
        <f t="shared" si="27"/>
        <v>0</v>
      </c>
      <c r="DT64" s="49"/>
      <c r="DU64" s="49"/>
      <c r="DV64" s="50">
        <f t="shared" si="28"/>
        <v>0</v>
      </c>
      <c r="DX64" s="49"/>
      <c r="DY64" s="49"/>
      <c r="DZ64" s="50">
        <f t="shared" si="29"/>
        <v>0</v>
      </c>
      <c r="EB64" s="49">
        <f t="shared" si="30"/>
        <v>0</v>
      </c>
      <c r="EC64" s="49">
        <f t="shared" si="30"/>
        <v>0</v>
      </c>
      <c r="ED64" s="49">
        <f t="shared" si="30"/>
        <v>0</v>
      </c>
    </row>
    <row r="65" spans="2:134" ht="11" customHeight="1" x14ac:dyDescent="0.35">
      <c r="B65" s="4">
        <v>111107</v>
      </c>
      <c r="C65" s="4" t="s">
        <v>71</v>
      </c>
      <c r="D65" s="4">
        <v>1</v>
      </c>
      <c r="E65" s="5">
        <v>48</v>
      </c>
      <c r="F65" s="6">
        <v>39.4372481296</v>
      </c>
      <c r="G65" s="7"/>
      <c r="H65" s="49"/>
      <c r="I65" s="49"/>
      <c r="J65" s="50">
        <f t="shared" si="31"/>
        <v>0</v>
      </c>
      <c r="K65" s="9"/>
      <c r="L65" s="49"/>
      <c r="M65" s="49"/>
      <c r="N65" s="50">
        <f t="shared" si="0"/>
        <v>0</v>
      </c>
      <c r="O65" s="46"/>
      <c r="P65" s="49"/>
      <c r="Q65" s="49"/>
      <c r="R65" s="50">
        <f t="shared" si="1"/>
        <v>0</v>
      </c>
      <c r="T65" s="49"/>
      <c r="U65" s="49"/>
      <c r="V65" s="50">
        <f t="shared" si="2"/>
        <v>0</v>
      </c>
      <c r="X65" s="49"/>
      <c r="Y65" s="49"/>
      <c r="Z65" s="50">
        <f t="shared" si="3"/>
        <v>0</v>
      </c>
      <c r="AB65" s="49"/>
      <c r="AC65" s="49"/>
      <c r="AD65" s="50">
        <f t="shared" si="4"/>
        <v>0</v>
      </c>
      <c r="AF65" s="49"/>
      <c r="AG65" s="49"/>
      <c r="AH65" s="50">
        <f t="shared" si="5"/>
        <v>0</v>
      </c>
      <c r="AJ65" s="49"/>
      <c r="AK65" s="49"/>
      <c r="AL65" s="50">
        <f t="shared" si="6"/>
        <v>0</v>
      </c>
      <c r="AN65" s="49"/>
      <c r="AO65" s="49"/>
      <c r="AP65" s="50">
        <f t="shared" si="7"/>
        <v>0</v>
      </c>
      <c r="AR65" s="49"/>
      <c r="AS65" s="49"/>
      <c r="AT65" s="50">
        <f t="shared" si="8"/>
        <v>0</v>
      </c>
      <c r="AV65" s="49"/>
      <c r="AW65" s="49"/>
      <c r="AX65" s="50">
        <f t="shared" si="9"/>
        <v>0</v>
      </c>
      <c r="AZ65" s="49"/>
      <c r="BA65" s="49"/>
      <c r="BB65" s="50">
        <f t="shared" si="10"/>
        <v>0</v>
      </c>
      <c r="BD65" s="49"/>
      <c r="BE65" s="49"/>
      <c r="BF65" s="50">
        <f t="shared" si="11"/>
        <v>0</v>
      </c>
      <c r="BH65" s="49"/>
      <c r="BI65" s="49"/>
      <c r="BJ65" s="50">
        <f t="shared" si="12"/>
        <v>0</v>
      </c>
      <c r="BL65" s="49"/>
      <c r="BM65" s="49"/>
      <c r="BN65" s="50">
        <f t="shared" si="13"/>
        <v>0</v>
      </c>
      <c r="BP65" s="49"/>
      <c r="BQ65" s="49"/>
      <c r="BR65" s="50">
        <f t="shared" si="14"/>
        <v>0</v>
      </c>
      <c r="BT65" s="49"/>
      <c r="BU65" s="49"/>
      <c r="BV65" s="50">
        <f t="shared" si="15"/>
        <v>0</v>
      </c>
      <c r="BX65" s="49"/>
      <c r="BY65" s="49"/>
      <c r="BZ65" s="50">
        <f t="shared" si="16"/>
        <v>0</v>
      </c>
      <c r="CB65" s="49"/>
      <c r="CC65" s="49"/>
      <c r="CD65" s="50">
        <f t="shared" si="17"/>
        <v>0</v>
      </c>
      <c r="CF65" s="49"/>
      <c r="CG65" s="49"/>
      <c r="CH65" s="50">
        <f t="shared" si="18"/>
        <v>0</v>
      </c>
      <c r="CJ65" s="49"/>
      <c r="CK65" s="49"/>
      <c r="CL65" s="50">
        <f t="shared" si="19"/>
        <v>0</v>
      </c>
      <c r="CN65" s="49"/>
      <c r="CO65" s="49"/>
      <c r="CP65" s="50">
        <f t="shared" si="20"/>
        <v>0</v>
      </c>
      <c r="CR65" s="49"/>
      <c r="CS65" s="49"/>
      <c r="CT65" s="50">
        <f t="shared" si="21"/>
        <v>0</v>
      </c>
      <c r="CV65" s="49"/>
      <c r="CW65" s="49"/>
      <c r="CX65" s="50">
        <f t="shared" si="22"/>
        <v>0</v>
      </c>
      <c r="CZ65" s="49"/>
      <c r="DA65" s="49"/>
      <c r="DB65" s="50">
        <f t="shared" si="23"/>
        <v>0</v>
      </c>
      <c r="DD65" s="49"/>
      <c r="DE65" s="49"/>
      <c r="DF65" s="50">
        <f t="shared" si="24"/>
        <v>0</v>
      </c>
      <c r="DH65" s="49"/>
      <c r="DI65" s="49"/>
      <c r="DJ65" s="50">
        <f t="shared" si="25"/>
        <v>0</v>
      </c>
      <c r="DL65" s="49"/>
      <c r="DM65" s="49"/>
      <c r="DN65" s="50">
        <f t="shared" si="26"/>
        <v>0</v>
      </c>
      <c r="DP65" s="49"/>
      <c r="DQ65" s="49"/>
      <c r="DR65" s="50">
        <f t="shared" si="27"/>
        <v>0</v>
      </c>
      <c r="DT65" s="49"/>
      <c r="DU65" s="49"/>
      <c r="DV65" s="50">
        <f t="shared" si="28"/>
        <v>0</v>
      </c>
      <c r="DX65" s="49"/>
      <c r="DY65" s="49"/>
      <c r="DZ65" s="50">
        <f t="shared" si="29"/>
        <v>0</v>
      </c>
      <c r="EB65" s="49">
        <f t="shared" si="30"/>
        <v>0</v>
      </c>
      <c r="EC65" s="49">
        <f t="shared" si="30"/>
        <v>0</v>
      </c>
      <c r="ED65" s="49">
        <f t="shared" si="30"/>
        <v>0</v>
      </c>
    </row>
    <row r="66" spans="2:134" ht="11" customHeight="1" x14ac:dyDescent="0.35">
      <c r="B66" s="4">
        <v>111108</v>
      </c>
      <c r="C66" s="4" t="s">
        <v>72</v>
      </c>
      <c r="D66" s="4">
        <v>1</v>
      </c>
      <c r="E66" s="5">
        <v>48</v>
      </c>
      <c r="F66" s="6">
        <v>39.4372481296</v>
      </c>
      <c r="G66" s="7"/>
      <c r="H66" s="49"/>
      <c r="I66" s="49"/>
      <c r="J66" s="50">
        <f t="shared" si="31"/>
        <v>0</v>
      </c>
      <c r="K66" s="9"/>
      <c r="L66" s="49"/>
      <c r="M66" s="49"/>
      <c r="N66" s="50">
        <f t="shared" si="0"/>
        <v>0</v>
      </c>
      <c r="O66" s="46"/>
      <c r="P66" s="49"/>
      <c r="Q66" s="49"/>
      <c r="R66" s="50">
        <f t="shared" si="1"/>
        <v>0</v>
      </c>
      <c r="T66" s="49"/>
      <c r="U66" s="49"/>
      <c r="V66" s="50">
        <f t="shared" si="2"/>
        <v>0</v>
      </c>
      <c r="X66" s="49"/>
      <c r="Y66" s="49"/>
      <c r="Z66" s="50">
        <f t="shared" si="3"/>
        <v>0</v>
      </c>
      <c r="AB66" s="49"/>
      <c r="AC66" s="49"/>
      <c r="AD66" s="50">
        <f t="shared" si="4"/>
        <v>0</v>
      </c>
      <c r="AF66" s="49"/>
      <c r="AG66" s="49"/>
      <c r="AH66" s="50">
        <f t="shared" si="5"/>
        <v>0</v>
      </c>
      <c r="AJ66" s="49"/>
      <c r="AK66" s="49"/>
      <c r="AL66" s="50">
        <f t="shared" si="6"/>
        <v>0</v>
      </c>
      <c r="AN66" s="49"/>
      <c r="AO66" s="49"/>
      <c r="AP66" s="50">
        <f t="shared" si="7"/>
        <v>0</v>
      </c>
      <c r="AR66" s="49"/>
      <c r="AS66" s="49"/>
      <c r="AT66" s="50">
        <f t="shared" si="8"/>
        <v>0</v>
      </c>
      <c r="AV66" s="49"/>
      <c r="AW66" s="49"/>
      <c r="AX66" s="50">
        <f t="shared" si="9"/>
        <v>0</v>
      </c>
      <c r="AZ66" s="49"/>
      <c r="BA66" s="49"/>
      <c r="BB66" s="50">
        <f t="shared" si="10"/>
        <v>0</v>
      </c>
      <c r="BD66" s="49"/>
      <c r="BE66" s="49"/>
      <c r="BF66" s="50">
        <f t="shared" si="11"/>
        <v>0</v>
      </c>
      <c r="BH66" s="49"/>
      <c r="BI66" s="49"/>
      <c r="BJ66" s="50">
        <f t="shared" si="12"/>
        <v>0</v>
      </c>
      <c r="BL66" s="49"/>
      <c r="BM66" s="49"/>
      <c r="BN66" s="50">
        <f t="shared" si="13"/>
        <v>0</v>
      </c>
      <c r="BP66" s="49"/>
      <c r="BQ66" s="49"/>
      <c r="BR66" s="50">
        <f t="shared" si="14"/>
        <v>0</v>
      </c>
      <c r="BT66" s="49"/>
      <c r="BU66" s="49"/>
      <c r="BV66" s="50">
        <f t="shared" si="15"/>
        <v>0</v>
      </c>
      <c r="BX66" s="49"/>
      <c r="BY66" s="49"/>
      <c r="BZ66" s="50">
        <f t="shared" si="16"/>
        <v>0</v>
      </c>
      <c r="CB66" s="49"/>
      <c r="CC66" s="49"/>
      <c r="CD66" s="50">
        <f t="shared" si="17"/>
        <v>0</v>
      </c>
      <c r="CF66" s="49"/>
      <c r="CG66" s="49"/>
      <c r="CH66" s="50">
        <f t="shared" si="18"/>
        <v>0</v>
      </c>
      <c r="CJ66" s="49"/>
      <c r="CK66" s="49"/>
      <c r="CL66" s="50">
        <f t="shared" si="19"/>
        <v>0</v>
      </c>
      <c r="CN66" s="49"/>
      <c r="CO66" s="49"/>
      <c r="CP66" s="50">
        <f t="shared" si="20"/>
        <v>0</v>
      </c>
      <c r="CR66" s="49"/>
      <c r="CS66" s="49"/>
      <c r="CT66" s="50">
        <f t="shared" si="21"/>
        <v>0</v>
      </c>
      <c r="CV66" s="49"/>
      <c r="CW66" s="49"/>
      <c r="CX66" s="50">
        <f t="shared" si="22"/>
        <v>0</v>
      </c>
      <c r="CZ66" s="49"/>
      <c r="DA66" s="49"/>
      <c r="DB66" s="50">
        <f t="shared" si="23"/>
        <v>0</v>
      </c>
      <c r="DD66" s="49"/>
      <c r="DE66" s="49"/>
      <c r="DF66" s="50">
        <f t="shared" si="24"/>
        <v>0</v>
      </c>
      <c r="DH66" s="49"/>
      <c r="DI66" s="49"/>
      <c r="DJ66" s="50">
        <f t="shared" si="25"/>
        <v>0</v>
      </c>
      <c r="DL66" s="49"/>
      <c r="DM66" s="49"/>
      <c r="DN66" s="50">
        <f t="shared" si="26"/>
        <v>0</v>
      </c>
      <c r="DP66" s="49"/>
      <c r="DQ66" s="49"/>
      <c r="DR66" s="50">
        <f t="shared" si="27"/>
        <v>0</v>
      </c>
      <c r="DT66" s="49"/>
      <c r="DU66" s="49"/>
      <c r="DV66" s="50">
        <f t="shared" si="28"/>
        <v>0</v>
      </c>
      <c r="DX66" s="49"/>
      <c r="DY66" s="49"/>
      <c r="DZ66" s="50">
        <f t="shared" si="29"/>
        <v>0</v>
      </c>
      <c r="EB66" s="49">
        <f t="shared" si="30"/>
        <v>0</v>
      </c>
      <c r="EC66" s="49">
        <f t="shared" si="30"/>
        <v>0</v>
      </c>
      <c r="ED66" s="49">
        <f t="shared" si="30"/>
        <v>0</v>
      </c>
    </row>
    <row r="67" spans="2:134" ht="11" customHeight="1" x14ac:dyDescent="0.35">
      <c r="B67" s="4">
        <v>111109</v>
      </c>
      <c r="C67" s="4" t="s">
        <v>73</v>
      </c>
      <c r="D67" s="4">
        <v>12</v>
      </c>
      <c r="E67" s="5">
        <v>18</v>
      </c>
      <c r="F67" s="6">
        <v>190.46151740799999</v>
      </c>
      <c r="G67" s="7"/>
      <c r="H67" s="49"/>
      <c r="I67" s="49"/>
      <c r="J67" s="50">
        <f t="shared" si="31"/>
        <v>0</v>
      </c>
      <c r="K67" s="9"/>
      <c r="L67" s="49"/>
      <c r="M67" s="49"/>
      <c r="N67" s="50">
        <f t="shared" si="0"/>
        <v>0</v>
      </c>
      <c r="O67" s="46"/>
      <c r="P67" s="49"/>
      <c r="Q67" s="49"/>
      <c r="R67" s="50">
        <f t="shared" si="1"/>
        <v>0</v>
      </c>
      <c r="T67" s="49"/>
      <c r="U67" s="49"/>
      <c r="V67" s="50">
        <f t="shared" si="2"/>
        <v>0</v>
      </c>
      <c r="X67" s="49"/>
      <c r="Y67" s="49"/>
      <c r="Z67" s="50">
        <f t="shared" si="3"/>
        <v>0</v>
      </c>
      <c r="AB67" s="49"/>
      <c r="AC67" s="49"/>
      <c r="AD67" s="50">
        <f t="shared" si="4"/>
        <v>0</v>
      </c>
      <c r="AF67" s="49"/>
      <c r="AG67" s="49"/>
      <c r="AH67" s="50">
        <f t="shared" si="5"/>
        <v>0</v>
      </c>
      <c r="AJ67" s="49"/>
      <c r="AK67" s="49"/>
      <c r="AL67" s="50">
        <f t="shared" si="6"/>
        <v>0</v>
      </c>
      <c r="AN67" s="49"/>
      <c r="AO67" s="49"/>
      <c r="AP67" s="50">
        <f t="shared" si="7"/>
        <v>0</v>
      </c>
      <c r="AR67" s="49"/>
      <c r="AS67" s="49"/>
      <c r="AT67" s="50">
        <f t="shared" si="8"/>
        <v>0</v>
      </c>
      <c r="AV67" s="49"/>
      <c r="AW67" s="49"/>
      <c r="AX67" s="50">
        <f t="shared" si="9"/>
        <v>0</v>
      </c>
      <c r="AZ67" s="49"/>
      <c r="BA67" s="49"/>
      <c r="BB67" s="50">
        <f t="shared" si="10"/>
        <v>0</v>
      </c>
      <c r="BD67" s="49"/>
      <c r="BE67" s="49"/>
      <c r="BF67" s="50">
        <f t="shared" si="11"/>
        <v>0</v>
      </c>
      <c r="BH67" s="49"/>
      <c r="BI67" s="49"/>
      <c r="BJ67" s="50">
        <f t="shared" si="12"/>
        <v>0</v>
      </c>
      <c r="BL67" s="49"/>
      <c r="BM67" s="49"/>
      <c r="BN67" s="50">
        <f t="shared" si="13"/>
        <v>0</v>
      </c>
      <c r="BP67" s="49"/>
      <c r="BQ67" s="49"/>
      <c r="BR67" s="50">
        <f t="shared" si="14"/>
        <v>0</v>
      </c>
      <c r="BT67" s="49"/>
      <c r="BU67" s="49"/>
      <c r="BV67" s="50">
        <f t="shared" si="15"/>
        <v>0</v>
      </c>
      <c r="BX67" s="49"/>
      <c r="BY67" s="49"/>
      <c r="BZ67" s="50">
        <f t="shared" si="16"/>
        <v>0</v>
      </c>
      <c r="CB67" s="49"/>
      <c r="CC67" s="49"/>
      <c r="CD67" s="50">
        <f t="shared" si="17"/>
        <v>0</v>
      </c>
      <c r="CF67" s="49"/>
      <c r="CG67" s="49"/>
      <c r="CH67" s="50">
        <f t="shared" si="18"/>
        <v>0</v>
      </c>
      <c r="CJ67" s="49"/>
      <c r="CK67" s="49"/>
      <c r="CL67" s="50">
        <f t="shared" si="19"/>
        <v>0</v>
      </c>
      <c r="CN67" s="49"/>
      <c r="CO67" s="49"/>
      <c r="CP67" s="50">
        <f t="shared" si="20"/>
        <v>0</v>
      </c>
      <c r="CR67" s="49"/>
      <c r="CS67" s="49"/>
      <c r="CT67" s="50">
        <f t="shared" si="21"/>
        <v>0</v>
      </c>
      <c r="CV67" s="49"/>
      <c r="CW67" s="49"/>
      <c r="CX67" s="50">
        <f t="shared" si="22"/>
        <v>0</v>
      </c>
      <c r="CZ67" s="49"/>
      <c r="DA67" s="49"/>
      <c r="DB67" s="50">
        <f t="shared" si="23"/>
        <v>0</v>
      </c>
      <c r="DD67" s="49"/>
      <c r="DE67" s="49"/>
      <c r="DF67" s="50">
        <f t="shared" si="24"/>
        <v>0</v>
      </c>
      <c r="DH67" s="49"/>
      <c r="DI67" s="49"/>
      <c r="DJ67" s="50">
        <f t="shared" si="25"/>
        <v>0</v>
      </c>
      <c r="DL67" s="49"/>
      <c r="DM67" s="49"/>
      <c r="DN67" s="50">
        <f t="shared" si="26"/>
        <v>0</v>
      </c>
      <c r="DP67" s="49"/>
      <c r="DQ67" s="49"/>
      <c r="DR67" s="50">
        <f t="shared" si="27"/>
        <v>0</v>
      </c>
      <c r="DT67" s="49"/>
      <c r="DU67" s="49"/>
      <c r="DV67" s="50">
        <f t="shared" si="28"/>
        <v>0</v>
      </c>
      <c r="DX67" s="49"/>
      <c r="DY67" s="49"/>
      <c r="DZ67" s="50">
        <f t="shared" si="29"/>
        <v>0</v>
      </c>
      <c r="EB67" s="49">
        <f t="shared" si="30"/>
        <v>0</v>
      </c>
      <c r="EC67" s="49">
        <f t="shared" si="30"/>
        <v>0</v>
      </c>
      <c r="ED67" s="49">
        <f t="shared" si="30"/>
        <v>0</v>
      </c>
    </row>
    <row r="68" spans="2:134" ht="11" customHeight="1" x14ac:dyDescent="0.35">
      <c r="B68" s="4">
        <v>111124</v>
      </c>
      <c r="C68" s="4" t="s">
        <v>74</v>
      </c>
      <c r="D68" s="4">
        <v>24</v>
      </c>
      <c r="E68" s="5">
        <v>18</v>
      </c>
      <c r="F68" s="6">
        <v>193.64193294</v>
      </c>
      <c r="G68" s="7"/>
      <c r="H68" s="49"/>
      <c r="I68" s="49"/>
      <c r="J68" s="50">
        <f t="shared" si="31"/>
        <v>0</v>
      </c>
      <c r="K68" s="9"/>
      <c r="L68" s="49"/>
      <c r="M68" s="49"/>
      <c r="N68" s="50">
        <f t="shared" si="0"/>
        <v>0</v>
      </c>
      <c r="O68" s="46"/>
      <c r="P68" s="49"/>
      <c r="Q68" s="49"/>
      <c r="R68" s="50">
        <f t="shared" si="1"/>
        <v>0</v>
      </c>
      <c r="T68" s="49"/>
      <c r="U68" s="49"/>
      <c r="V68" s="50">
        <f t="shared" si="2"/>
        <v>0</v>
      </c>
      <c r="X68" s="49"/>
      <c r="Y68" s="49"/>
      <c r="Z68" s="50">
        <f t="shared" si="3"/>
        <v>0</v>
      </c>
      <c r="AB68" s="49"/>
      <c r="AC68" s="49"/>
      <c r="AD68" s="50">
        <f t="shared" si="4"/>
        <v>0</v>
      </c>
      <c r="AF68" s="49"/>
      <c r="AG68" s="49"/>
      <c r="AH68" s="50">
        <f t="shared" si="5"/>
        <v>0</v>
      </c>
      <c r="AJ68" s="49"/>
      <c r="AK68" s="49"/>
      <c r="AL68" s="50">
        <f t="shared" si="6"/>
        <v>0</v>
      </c>
      <c r="AN68" s="49"/>
      <c r="AO68" s="49"/>
      <c r="AP68" s="50">
        <f t="shared" si="7"/>
        <v>0</v>
      </c>
      <c r="AR68" s="49"/>
      <c r="AS68" s="49"/>
      <c r="AT68" s="50">
        <f t="shared" si="8"/>
        <v>0</v>
      </c>
      <c r="AV68" s="49"/>
      <c r="AW68" s="49"/>
      <c r="AX68" s="50">
        <f t="shared" si="9"/>
        <v>0</v>
      </c>
      <c r="AZ68" s="49"/>
      <c r="BA68" s="49"/>
      <c r="BB68" s="50">
        <f t="shared" si="10"/>
        <v>0</v>
      </c>
      <c r="BD68" s="49"/>
      <c r="BE68" s="49"/>
      <c r="BF68" s="50">
        <f t="shared" si="11"/>
        <v>0</v>
      </c>
      <c r="BH68" s="49"/>
      <c r="BI68" s="49"/>
      <c r="BJ68" s="50">
        <f t="shared" si="12"/>
        <v>0</v>
      </c>
      <c r="BL68" s="49"/>
      <c r="BM68" s="49"/>
      <c r="BN68" s="50">
        <f t="shared" si="13"/>
        <v>0</v>
      </c>
      <c r="BP68" s="49"/>
      <c r="BQ68" s="49"/>
      <c r="BR68" s="50">
        <f t="shared" si="14"/>
        <v>0</v>
      </c>
      <c r="BT68" s="49"/>
      <c r="BU68" s="49"/>
      <c r="BV68" s="50">
        <f t="shared" si="15"/>
        <v>0</v>
      </c>
      <c r="BX68" s="49"/>
      <c r="BY68" s="49"/>
      <c r="BZ68" s="50">
        <f t="shared" si="16"/>
        <v>0</v>
      </c>
      <c r="CB68" s="49"/>
      <c r="CC68" s="49"/>
      <c r="CD68" s="50">
        <f t="shared" si="17"/>
        <v>0</v>
      </c>
      <c r="CF68" s="49"/>
      <c r="CG68" s="49"/>
      <c r="CH68" s="50">
        <f t="shared" si="18"/>
        <v>0</v>
      </c>
      <c r="CJ68" s="49"/>
      <c r="CK68" s="49"/>
      <c r="CL68" s="50">
        <f t="shared" si="19"/>
        <v>0</v>
      </c>
      <c r="CN68" s="49"/>
      <c r="CO68" s="49"/>
      <c r="CP68" s="50">
        <f t="shared" si="20"/>
        <v>0</v>
      </c>
      <c r="CR68" s="49"/>
      <c r="CS68" s="49"/>
      <c r="CT68" s="50">
        <f t="shared" si="21"/>
        <v>0</v>
      </c>
      <c r="CV68" s="49"/>
      <c r="CW68" s="49"/>
      <c r="CX68" s="50">
        <f t="shared" si="22"/>
        <v>0</v>
      </c>
      <c r="CZ68" s="49"/>
      <c r="DA68" s="49"/>
      <c r="DB68" s="50">
        <f t="shared" si="23"/>
        <v>0</v>
      </c>
      <c r="DD68" s="49"/>
      <c r="DE68" s="49"/>
      <c r="DF68" s="50">
        <f t="shared" si="24"/>
        <v>0</v>
      </c>
      <c r="DH68" s="49"/>
      <c r="DI68" s="49"/>
      <c r="DJ68" s="50">
        <f t="shared" si="25"/>
        <v>0</v>
      </c>
      <c r="DL68" s="49"/>
      <c r="DM68" s="49"/>
      <c r="DN68" s="50">
        <f t="shared" si="26"/>
        <v>0</v>
      </c>
      <c r="DP68" s="49"/>
      <c r="DQ68" s="49"/>
      <c r="DR68" s="50">
        <f t="shared" si="27"/>
        <v>0</v>
      </c>
      <c r="DT68" s="49"/>
      <c r="DU68" s="49"/>
      <c r="DV68" s="50">
        <f t="shared" si="28"/>
        <v>0</v>
      </c>
      <c r="DX68" s="49"/>
      <c r="DY68" s="49"/>
      <c r="DZ68" s="50">
        <f t="shared" si="29"/>
        <v>0</v>
      </c>
      <c r="EB68" s="49">
        <f t="shared" si="30"/>
        <v>0</v>
      </c>
      <c r="EC68" s="49">
        <f t="shared" si="30"/>
        <v>0</v>
      </c>
      <c r="ED68" s="49">
        <f t="shared" si="30"/>
        <v>0</v>
      </c>
    </row>
    <row r="69" spans="2:134" ht="11" customHeight="1" x14ac:dyDescent="0.35">
      <c r="B69" s="4">
        <v>111131</v>
      </c>
      <c r="C69" s="4" t="s">
        <v>75</v>
      </c>
      <c r="D69" s="4">
        <v>12</v>
      </c>
      <c r="E69" s="5">
        <v>8</v>
      </c>
      <c r="F69" s="6">
        <v>481.09632499999998</v>
      </c>
      <c r="G69" s="7"/>
      <c r="H69" s="49"/>
      <c r="I69" s="49"/>
      <c r="J69" s="50">
        <f t="shared" si="31"/>
        <v>0</v>
      </c>
      <c r="K69" s="9"/>
      <c r="L69" s="49"/>
      <c r="M69" s="49"/>
      <c r="N69" s="50">
        <f t="shared" ref="N69:N108" si="32">(M69/E69)+L69</f>
        <v>0</v>
      </c>
      <c r="O69" s="46"/>
      <c r="P69" s="49"/>
      <c r="Q69" s="49"/>
      <c r="R69" s="50">
        <f t="shared" ref="R69:R108" si="33">(Q69/E69)+P69</f>
        <v>0</v>
      </c>
      <c r="T69" s="49"/>
      <c r="U69" s="49"/>
      <c r="V69" s="50">
        <f t="shared" ref="V69:V108" si="34">(U69/E69)+T69</f>
        <v>0</v>
      </c>
      <c r="X69" s="49"/>
      <c r="Y69" s="49"/>
      <c r="Z69" s="50">
        <f t="shared" ref="Z69:Z108" si="35">(Y69/E69)+X69</f>
        <v>0</v>
      </c>
      <c r="AB69" s="49"/>
      <c r="AC69" s="49"/>
      <c r="AD69" s="50">
        <f t="shared" ref="AD69:AD108" si="36">(AC69/E69)+AB69</f>
        <v>0</v>
      </c>
      <c r="AF69" s="49"/>
      <c r="AG69" s="49"/>
      <c r="AH69" s="50">
        <f t="shared" ref="AH69:AH108" si="37">(AG69/E69)+AF69</f>
        <v>0</v>
      </c>
      <c r="AJ69" s="49"/>
      <c r="AK69" s="49"/>
      <c r="AL69" s="50">
        <f t="shared" ref="AL69:AL108" si="38">(AK69/E69)+AJ69</f>
        <v>0</v>
      </c>
      <c r="AN69" s="49"/>
      <c r="AO69" s="49"/>
      <c r="AP69" s="50">
        <f t="shared" ref="AP69:AP108" si="39">(AO69/E69)+AN69</f>
        <v>0</v>
      </c>
      <c r="AR69" s="49"/>
      <c r="AS69" s="49"/>
      <c r="AT69" s="50">
        <f t="shared" ref="AT69:AT108" si="40">(AS69/E69)+AR69</f>
        <v>0</v>
      </c>
      <c r="AV69" s="49"/>
      <c r="AW69" s="49"/>
      <c r="AX69" s="50">
        <f t="shared" ref="AX69:AX108" si="41">(AW69/E69)+AV69</f>
        <v>0</v>
      </c>
      <c r="AZ69" s="49"/>
      <c r="BA69" s="49"/>
      <c r="BB69" s="50">
        <f t="shared" ref="BB69:BB108" si="42">(BA69/E69)+AZ69</f>
        <v>0</v>
      </c>
      <c r="BD69" s="49"/>
      <c r="BE69" s="49"/>
      <c r="BF69" s="50">
        <f t="shared" ref="BF69:BF108" si="43">(BE69/E69)+BD69</f>
        <v>0</v>
      </c>
      <c r="BH69" s="49"/>
      <c r="BI69" s="49"/>
      <c r="BJ69" s="50">
        <f t="shared" ref="BJ69:BJ108" si="44">(BI69/E69)+BH69</f>
        <v>0</v>
      </c>
      <c r="BL69" s="49"/>
      <c r="BM69" s="49"/>
      <c r="BN69" s="50">
        <f t="shared" ref="BN69:BN108" si="45">(BM69/E69)+BL69</f>
        <v>0</v>
      </c>
      <c r="BP69" s="49"/>
      <c r="BQ69" s="49"/>
      <c r="BR69" s="50">
        <f t="shared" ref="BR69:BR108" si="46">(BQ69/E69)+BP69</f>
        <v>0</v>
      </c>
      <c r="BT69" s="49"/>
      <c r="BU69" s="49"/>
      <c r="BV69" s="50">
        <f t="shared" ref="BV69:BV108" si="47">(BU69/E69)+BT69</f>
        <v>0</v>
      </c>
      <c r="BX69" s="49"/>
      <c r="BY69" s="49"/>
      <c r="BZ69" s="50">
        <f t="shared" ref="BZ69:BZ108" si="48">(BY69/E69)+BX69</f>
        <v>0</v>
      </c>
      <c r="CB69" s="49"/>
      <c r="CC69" s="49"/>
      <c r="CD69" s="50">
        <f t="shared" ref="CD69:CD108" si="49">(CC69/E69)+CB69</f>
        <v>0</v>
      </c>
      <c r="CF69" s="49"/>
      <c r="CG69" s="49"/>
      <c r="CH69" s="50">
        <f t="shared" ref="CH69:CH108" si="50">(CG69/E69)+CF69</f>
        <v>0</v>
      </c>
      <c r="CJ69" s="49"/>
      <c r="CK69" s="49"/>
      <c r="CL69" s="50">
        <f t="shared" ref="CL69:CL108" si="51">(CK69/E69)+CJ69</f>
        <v>0</v>
      </c>
      <c r="CN69" s="49"/>
      <c r="CO69" s="49"/>
      <c r="CP69" s="50">
        <f t="shared" ref="CP69:CP108" si="52">(CO69/E69)+CN69</f>
        <v>0</v>
      </c>
      <c r="CR69" s="49"/>
      <c r="CS69" s="49"/>
      <c r="CT69" s="50">
        <f t="shared" ref="CT69:CT108" si="53">(CS69/E69)+CR69</f>
        <v>0</v>
      </c>
      <c r="CV69" s="49"/>
      <c r="CW69" s="49"/>
      <c r="CX69" s="50">
        <f t="shared" ref="CX69:CX108" si="54">(CW69/E69)+CV69</f>
        <v>0</v>
      </c>
      <c r="CZ69" s="49"/>
      <c r="DA69" s="49"/>
      <c r="DB69" s="50">
        <f t="shared" ref="DB69:DB108" si="55">(DA69/E69)+CZ69</f>
        <v>0</v>
      </c>
      <c r="DD69" s="49"/>
      <c r="DE69" s="49"/>
      <c r="DF69" s="50">
        <f t="shared" ref="DF69:DF108" si="56">(DE69/E69)+DD69</f>
        <v>0</v>
      </c>
      <c r="DH69" s="49"/>
      <c r="DI69" s="49"/>
      <c r="DJ69" s="50">
        <f t="shared" ref="DJ69:DJ108" si="57">(DI69/E69)+DH69</f>
        <v>0</v>
      </c>
      <c r="DL69" s="49"/>
      <c r="DM69" s="49"/>
      <c r="DN69" s="50">
        <f t="shared" ref="DN69:DN108" si="58">(DM69/E69)+DL69</f>
        <v>0</v>
      </c>
      <c r="DP69" s="49"/>
      <c r="DQ69" s="49"/>
      <c r="DR69" s="50">
        <f t="shared" ref="DR69:DR108" si="59">(DQ69/E69)+DP69</f>
        <v>0</v>
      </c>
      <c r="DT69" s="49"/>
      <c r="DU69" s="49"/>
      <c r="DV69" s="50">
        <f t="shared" ref="DV69:DV108" si="60">(DU69/E69)+DT69</f>
        <v>0</v>
      </c>
      <c r="DX69" s="49"/>
      <c r="DY69" s="49"/>
      <c r="DZ69" s="50">
        <f t="shared" ref="DZ69:DZ108" si="61">(DY69/E69)+DX69</f>
        <v>0</v>
      </c>
      <c r="EB69" s="49">
        <f t="shared" ref="EB69:ED108" si="62">H69+L69+P69+T69+X69+AB69+AF69+AJ69+AN69+AR69+AV69+AZ69+BD69+BH69+BL69+BP69+BT69+BX69+CB69+CF69+CJ69+CN69+CR69+CV69+CZ69+DD69+DH69+DL69+DP69+DT69+DX69</f>
        <v>0</v>
      </c>
      <c r="EC69" s="49">
        <f t="shared" si="62"/>
        <v>0</v>
      </c>
      <c r="ED69" s="49">
        <f t="shared" si="62"/>
        <v>0</v>
      </c>
    </row>
    <row r="70" spans="2:134" ht="11" customHeight="1" x14ac:dyDescent="0.35">
      <c r="B70" s="4">
        <v>111202</v>
      </c>
      <c r="C70" s="4" t="s">
        <v>76</v>
      </c>
      <c r="D70" s="4">
        <v>25</v>
      </c>
      <c r="E70" s="5">
        <v>36</v>
      </c>
      <c r="F70" s="6">
        <v>99.122261960000003</v>
      </c>
      <c r="G70" s="7"/>
      <c r="H70" s="49"/>
      <c r="I70" s="49"/>
      <c r="J70" s="50">
        <f t="shared" si="31"/>
        <v>0</v>
      </c>
      <c r="K70" s="9"/>
      <c r="L70" s="49"/>
      <c r="M70" s="49"/>
      <c r="N70" s="50">
        <f t="shared" si="32"/>
        <v>0</v>
      </c>
      <c r="O70" s="46"/>
      <c r="P70" s="49"/>
      <c r="Q70" s="49"/>
      <c r="R70" s="50">
        <f t="shared" si="33"/>
        <v>0</v>
      </c>
      <c r="T70" s="49"/>
      <c r="U70" s="49"/>
      <c r="V70" s="50">
        <f t="shared" si="34"/>
        <v>0</v>
      </c>
      <c r="X70" s="49"/>
      <c r="Y70" s="49"/>
      <c r="Z70" s="50">
        <f t="shared" si="35"/>
        <v>0</v>
      </c>
      <c r="AB70" s="49"/>
      <c r="AC70" s="49"/>
      <c r="AD70" s="50">
        <f t="shared" si="36"/>
        <v>0</v>
      </c>
      <c r="AF70" s="49"/>
      <c r="AG70" s="49"/>
      <c r="AH70" s="50">
        <f t="shared" si="37"/>
        <v>0</v>
      </c>
      <c r="AJ70" s="49"/>
      <c r="AK70" s="49"/>
      <c r="AL70" s="50">
        <f t="shared" si="38"/>
        <v>0</v>
      </c>
      <c r="AN70" s="49"/>
      <c r="AO70" s="49"/>
      <c r="AP70" s="50">
        <f t="shared" si="39"/>
        <v>0</v>
      </c>
      <c r="AR70" s="49"/>
      <c r="AS70" s="49"/>
      <c r="AT70" s="50">
        <f t="shared" si="40"/>
        <v>0</v>
      </c>
      <c r="AV70" s="49"/>
      <c r="AW70" s="49"/>
      <c r="AX70" s="50">
        <f t="shared" si="41"/>
        <v>0</v>
      </c>
      <c r="AZ70" s="49"/>
      <c r="BA70" s="49"/>
      <c r="BB70" s="50">
        <f t="shared" si="42"/>
        <v>0</v>
      </c>
      <c r="BD70" s="49"/>
      <c r="BE70" s="49"/>
      <c r="BF70" s="50">
        <f t="shared" si="43"/>
        <v>0</v>
      </c>
      <c r="BH70" s="49"/>
      <c r="BI70" s="49"/>
      <c r="BJ70" s="50">
        <f t="shared" si="44"/>
        <v>0</v>
      </c>
      <c r="BL70" s="49"/>
      <c r="BM70" s="49"/>
      <c r="BN70" s="50">
        <f t="shared" si="45"/>
        <v>0</v>
      </c>
      <c r="BP70" s="49"/>
      <c r="BQ70" s="49"/>
      <c r="BR70" s="50">
        <f t="shared" si="46"/>
        <v>0</v>
      </c>
      <c r="BT70" s="49"/>
      <c r="BU70" s="49"/>
      <c r="BV70" s="50">
        <f t="shared" si="47"/>
        <v>0</v>
      </c>
      <c r="BX70" s="49"/>
      <c r="BY70" s="49"/>
      <c r="BZ70" s="50">
        <f t="shared" si="48"/>
        <v>0</v>
      </c>
      <c r="CB70" s="49"/>
      <c r="CC70" s="49"/>
      <c r="CD70" s="50">
        <f t="shared" si="49"/>
        <v>0</v>
      </c>
      <c r="CF70" s="49"/>
      <c r="CG70" s="49"/>
      <c r="CH70" s="50">
        <f t="shared" si="50"/>
        <v>0</v>
      </c>
      <c r="CJ70" s="49"/>
      <c r="CK70" s="49"/>
      <c r="CL70" s="50">
        <f t="shared" si="51"/>
        <v>0</v>
      </c>
      <c r="CN70" s="49"/>
      <c r="CO70" s="49"/>
      <c r="CP70" s="50">
        <f t="shared" si="52"/>
        <v>0</v>
      </c>
      <c r="CR70" s="49"/>
      <c r="CS70" s="49"/>
      <c r="CT70" s="50">
        <f t="shared" si="53"/>
        <v>0</v>
      </c>
      <c r="CV70" s="49"/>
      <c r="CW70" s="49"/>
      <c r="CX70" s="50">
        <f t="shared" si="54"/>
        <v>0</v>
      </c>
      <c r="CZ70" s="49"/>
      <c r="DA70" s="49"/>
      <c r="DB70" s="50">
        <f t="shared" si="55"/>
        <v>0</v>
      </c>
      <c r="DD70" s="49"/>
      <c r="DE70" s="49"/>
      <c r="DF70" s="50">
        <f t="shared" si="56"/>
        <v>0</v>
      </c>
      <c r="DH70" s="49"/>
      <c r="DI70" s="49"/>
      <c r="DJ70" s="50">
        <f t="shared" si="57"/>
        <v>0</v>
      </c>
      <c r="DL70" s="49"/>
      <c r="DM70" s="49"/>
      <c r="DN70" s="50">
        <f t="shared" si="58"/>
        <v>0</v>
      </c>
      <c r="DP70" s="49"/>
      <c r="DQ70" s="49"/>
      <c r="DR70" s="50">
        <f t="shared" si="59"/>
        <v>0</v>
      </c>
      <c r="DT70" s="49"/>
      <c r="DU70" s="49"/>
      <c r="DV70" s="50">
        <f t="shared" si="60"/>
        <v>0</v>
      </c>
      <c r="DX70" s="49"/>
      <c r="DY70" s="49"/>
      <c r="DZ70" s="50">
        <f t="shared" si="61"/>
        <v>0</v>
      </c>
      <c r="EB70" s="49">
        <f t="shared" si="62"/>
        <v>0</v>
      </c>
      <c r="EC70" s="49">
        <f t="shared" si="62"/>
        <v>0</v>
      </c>
      <c r="ED70" s="49">
        <f t="shared" si="62"/>
        <v>0</v>
      </c>
    </row>
    <row r="71" spans="2:134" ht="11" customHeight="1" x14ac:dyDescent="0.35">
      <c r="B71" s="4">
        <v>111203</v>
      </c>
      <c r="C71" s="4" t="s">
        <v>77</v>
      </c>
      <c r="D71" s="4">
        <v>50</v>
      </c>
      <c r="E71" s="5">
        <v>18</v>
      </c>
      <c r="F71" s="6">
        <v>198.24524392000001</v>
      </c>
      <c r="G71" s="7"/>
      <c r="H71" s="49"/>
      <c r="I71" s="49"/>
      <c r="J71" s="50">
        <f t="shared" ref="J71:J108" si="63">(I71/E71)+H71</f>
        <v>0</v>
      </c>
      <c r="K71" s="9"/>
      <c r="L71" s="49"/>
      <c r="M71" s="49"/>
      <c r="N71" s="50">
        <f t="shared" si="32"/>
        <v>0</v>
      </c>
      <c r="O71" s="46"/>
      <c r="P71" s="49"/>
      <c r="Q71" s="49"/>
      <c r="R71" s="50">
        <f t="shared" si="33"/>
        <v>0</v>
      </c>
      <c r="T71" s="49"/>
      <c r="U71" s="49"/>
      <c r="V71" s="50">
        <f t="shared" si="34"/>
        <v>0</v>
      </c>
      <c r="X71" s="49"/>
      <c r="Y71" s="49"/>
      <c r="Z71" s="50">
        <f t="shared" si="35"/>
        <v>0</v>
      </c>
      <c r="AB71" s="49"/>
      <c r="AC71" s="49"/>
      <c r="AD71" s="50">
        <f t="shared" si="36"/>
        <v>0</v>
      </c>
      <c r="AF71" s="49"/>
      <c r="AG71" s="49"/>
      <c r="AH71" s="50">
        <f t="shared" si="37"/>
        <v>0</v>
      </c>
      <c r="AJ71" s="49"/>
      <c r="AK71" s="49"/>
      <c r="AL71" s="50">
        <f t="shared" si="38"/>
        <v>0</v>
      </c>
      <c r="AN71" s="49"/>
      <c r="AO71" s="49"/>
      <c r="AP71" s="50">
        <f t="shared" si="39"/>
        <v>0</v>
      </c>
      <c r="AR71" s="49"/>
      <c r="AS71" s="49"/>
      <c r="AT71" s="50">
        <f t="shared" si="40"/>
        <v>0</v>
      </c>
      <c r="AV71" s="49"/>
      <c r="AW71" s="49"/>
      <c r="AX71" s="50">
        <f t="shared" si="41"/>
        <v>0</v>
      </c>
      <c r="AZ71" s="49"/>
      <c r="BA71" s="49"/>
      <c r="BB71" s="50">
        <f t="shared" si="42"/>
        <v>0</v>
      </c>
      <c r="BD71" s="49"/>
      <c r="BE71" s="49"/>
      <c r="BF71" s="50">
        <f t="shared" si="43"/>
        <v>0</v>
      </c>
      <c r="BH71" s="49"/>
      <c r="BI71" s="49"/>
      <c r="BJ71" s="50">
        <f t="shared" si="44"/>
        <v>0</v>
      </c>
      <c r="BL71" s="49"/>
      <c r="BM71" s="49"/>
      <c r="BN71" s="50">
        <f t="shared" si="45"/>
        <v>0</v>
      </c>
      <c r="BP71" s="49"/>
      <c r="BQ71" s="49"/>
      <c r="BR71" s="50">
        <f t="shared" si="46"/>
        <v>0</v>
      </c>
      <c r="BT71" s="49"/>
      <c r="BU71" s="49"/>
      <c r="BV71" s="50">
        <f t="shared" si="47"/>
        <v>0</v>
      </c>
      <c r="BX71" s="49"/>
      <c r="BY71" s="49"/>
      <c r="BZ71" s="50">
        <f t="shared" si="48"/>
        <v>0</v>
      </c>
      <c r="CB71" s="49"/>
      <c r="CC71" s="49"/>
      <c r="CD71" s="50">
        <f t="shared" si="49"/>
        <v>0</v>
      </c>
      <c r="CF71" s="49"/>
      <c r="CG71" s="49"/>
      <c r="CH71" s="50">
        <f t="shared" si="50"/>
        <v>0</v>
      </c>
      <c r="CJ71" s="49"/>
      <c r="CK71" s="49"/>
      <c r="CL71" s="50">
        <f t="shared" si="51"/>
        <v>0</v>
      </c>
      <c r="CN71" s="49"/>
      <c r="CO71" s="49"/>
      <c r="CP71" s="50">
        <f t="shared" si="52"/>
        <v>0</v>
      </c>
      <c r="CR71" s="49"/>
      <c r="CS71" s="49"/>
      <c r="CT71" s="50">
        <f t="shared" si="53"/>
        <v>0</v>
      </c>
      <c r="CV71" s="49"/>
      <c r="CW71" s="49"/>
      <c r="CX71" s="50">
        <f t="shared" si="54"/>
        <v>0</v>
      </c>
      <c r="CZ71" s="49"/>
      <c r="DA71" s="49"/>
      <c r="DB71" s="50">
        <f t="shared" si="55"/>
        <v>0</v>
      </c>
      <c r="DD71" s="49"/>
      <c r="DE71" s="49"/>
      <c r="DF71" s="50">
        <f t="shared" si="56"/>
        <v>0</v>
      </c>
      <c r="DH71" s="49"/>
      <c r="DI71" s="49"/>
      <c r="DJ71" s="50">
        <f t="shared" si="57"/>
        <v>0</v>
      </c>
      <c r="DL71" s="49"/>
      <c r="DM71" s="49"/>
      <c r="DN71" s="50">
        <f t="shared" si="58"/>
        <v>0</v>
      </c>
      <c r="DP71" s="49"/>
      <c r="DQ71" s="49"/>
      <c r="DR71" s="50">
        <f t="shared" si="59"/>
        <v>0</v>
      </c>
      <c r="DT71" s="49"/>
      <c r="DU71" s="49"/>
      <c r="DV71" s="50">
        <f t="shared" si="60"/>
        <v>0</v>
      </c>
      <c r="DX71" s="49"/>
      <c r="DY71" s="49"/>
      <c r="DZ71" s="50">
        <f t="shared" si="61"/>
        <v>0</v>
      </c>
      <c r="EB71" s="49">
        <f t="shared" si="62"/>
        <v>0</v>
      </c>
      <c r="EC71" s="49">
        <f t="shared" si="62"/>
        <v>0</v>
      </c>
      <c r="ED71" s="49">
        <f t="shared" si="62"/>
        <v>0</v>
      </c>
    </row>
    <row r="72" spans="2:134" ht="11" customHeight="1" x14ac:dyDescent="0.35">
      <c r="B72" s="4">
        <v>111212</v>
      </c>
      <c r="C72" s="4" t="s">
        <v>78</v>
      </c>
      <c r="D72" s="4">
        <v>25</v>
      </c>
      <c r="E72" s="5">
        <v>36</v>
      </c>
      <c r="F72" s="6">
        <v>99.122621960000004</v>
      </c>
      <c r="G72" s="7"/>
      <c r="H72" s="49"/>
      <c r="I72" s="49"/>
      <c r="J72" s="50">
        <f t="shared" si="63"/>
        <v>0</v>
      </c>
      <c r="K72" s="9"/>
      <c r="L72" s="49"/>
      <c r="M72" s="49"/>
      <c r="N72" s="50">
        <f t="shared" si="32"/>
        <v>0</v>
      </c>
      <c r="O72" s="46"/>
      <c r="P72" s="49"/>
      <c r="Q72" s="49"/>
      <c r="R72" s="50">
        <f t="shared" si="33"/>
        <v>0</v>
      </c>
      <c r="T72" s="49"/>
      <c r="U72" s="49"/>
      <c r="V72" s="50">
        <f t="shared" si="34"/>
        <v>0</v>
      </c>
      <c r="X72" s="49"/>
      <c r="Y72" s="49"/>
      <c r="Z72" s="50">
        <f t="shared" si="35"/>
        <v>0</v>
      </c>
      <c r="AB72" s="49"/>
      <c r="AC72" s="49"/>
      <c r="AD72" s="50">
        <f t="shared" si="36"/>
        <v>0</v>
      </c>
      <c r="AF72" s="49"/>
      <c r="AG72" s="49"/>
      <c r="AH72" s="50">
        <f t="shared" si="37"/>
        <v>0</v>
      </c>
      <c r="AJ72" s="49"/>
      <c r="AK72" s="49"/>
      <c r="AL72" s="50">
        <f t="shared" si="38"/>
        <v>0</v>
      </c>
      <c r="AN72" s="49"/>
      <c r="AO72" s="49"/>
      <c r="AP72" s="50">
        <f t="shared" si="39"/>
        <v>0</v>
      </c>
      <c r="AR72" s="49"/>
      <c r="AS72" s="49"/>
      <c r="AT72" s="50">
        <f t="shared" si="40"/>
        <v>0</v>
      </c>
      <c r="AV72" s="49"/>
      <c r="AW72" s="49"/>
      <c r="AX72" s="50">
        <f t="shared" si="41"/>
        <v>0</v>
      </c>
      <c r="AZ72" s="49"/>
      <c r="BA72" s="49"/>
      <c r="BB72" s="50">
        <f t="shared" si="42"/>
        <v>0</v>
      </c>
      <c r="BD72" s="49"/>
      <c r="BE72" s="49"/>
      <c r="BF72" s="50">
        <f t="shared" si="43"/>
        <v>0</v>
      </c>
      <c r="BH72" s="49"/>
      <c r="BI72" s="49"/>
      <c r="BJ72" s="50">
        <f t="shared" si="44"/>
        <v>0</v>
      </c>
      <c r="BL72" s="49"/>
      <c r="BM72" s="49"/>
      <c r="BN72" s="50">
        <f t="shared" si="45"/>
        <v>0</v>
      </c>
      <c r="BP72" s="49"/>
      <c r="BQ72" s="49"/>
      <c r="BR72" s="50">
        <f t="shared" si="46"/>
        <v>0</v>
      </c>
      <c r="BT72" s="49"/>
      <c r="BU72" s="49"/>
      <c r="BV72" s="50">
        <f t="shared" si="47"/>
        <v>0</v>
      </c>
      <c r="BX72" s="49"/>
      <c r="BY72" s="49"/>
      <c r="BZ72" s="50">
        <f t="shared" si="48"/>
        <v>0</v>
      </c>
      <c r="CB72" s="49"/>
      <c r="CC72" s="49"/>
      <c r="CD72" s="50">
        <f t="shared" si="49"/>
        <v>0</v>
      </c>
      <c r="CF72" s="49"/>
      <c r="CG72" s="49"/>
      <c r="CH72" s="50">
        <f t="shared" si="50"/>
        <v>0</v>
      </c>
      <c r="CJ72" s="49"/>
      <c r="CK72" s="49"/>
      <c r="CL72" s="50">
        <f t="shared" si="51"/>
        <v>0</v>
      </c>
      <c r="CN72" s="49"/>
      <c r="CO72" s="49"/>
      <c r="CP72" s="50">
        <f t="shared" si="52"/>
        <v>0</v>
      </c>
      <c r="CR72" s="49"/>
      <c r="CS72" s="49"/>
      <c r="CT72" s="50">
        <f t="shared" si="53"/>
        <v>0</v>
      </c>
      <c r="CV72" s="49"/>
      <c r="CW72" s="49"/>
      <c r="CX72" s="50">
        <f t="shared" si="54"/>
        <v>0</v>
      </c>
      <c r="CZ72" s="49"/>
      <c r="DA72" s="49"/>
      <c r="DB72" s="50">
        <f t="shared" si="55"/>
        <v>0</v>
      </c>
      <c r="DD72" s="49"/>
      <c r="DE72" s="49"/>
      <c r="DF72" s="50">
        <f t="shared" si="56"/>
        <v>0</v>
      </c>
      <c r="DH72" s="49"/>
      <c r="DI72" s="49"/>
      <c r="DJ72" s="50">
        <f t="shared" si="57"/>
        <v>0</v>
      </c>
      <c r="DL72" s="49"/>
      <c r="DM72" s="49"/>
      <c r="DN72" s="50">
        <f t="shared" si="58"/>
        <v>0</v>
      </c>
      <c r="DP72" s="49"/>
      <c r="DQ72" s="49"/>
      <c r="DR72" s="50">
        <f t="shared" si="59"/>
        <v>0</v>
      </c>
      <c r="DT72" s="49"/>
      <c r="DU72" s="49"/>
      <c r="DV72" s="50">
        <f t="shared" si="60"/>
        <v>0</v>
      </c>
      <c r="DX72" s="49"/>
      <c r="DY72" s="49"/>
      <c r="DZ72" s="50">
        <f t="shared" si="61"/>
        <v>0</v>
      </c>
      <c r="EB72" s="49">
        <f t="shared" si="62"/>
        <v>0</v>
      </c>
      <c r="EC72" s="49">
        <f t="shared" si="62"/>
        <v>0</v>
      </c>
      <c r="ED72" s="49">
        <f t="shared" si="62"/>
        <v>0</v>
      </c>
    </row>
    <row r="73" spans="2:134" ht="11" customHeight="1" x14ac:dyDescent="0.35">
      <c r="B73" s="4">
        <v>111213</v>
      </c>
      <c r="C73" s="4" t="s">
        <v>79</v>
      </c>
      <c r="D73" s="4">
        <v>50</v>
      </c>
      <c r="E73" s="5">
        <v>18</v>
      </c>
      <c r="F73" s="6">
        <v>198.24524392000001</v>
      </c>
      <c r="G73" s="7"/>
      <c r="H73" s="49"/>
      <c r="I73" s="49"/>
      <c r="J73" s="50">
        <f t="shared" si="63"/>
        <v>0</v>
      </c>
      <c r="K73" s="9"/>
      <c r="L73" s="49"/>
      <c r="M73" s="49"/>
      <c r="N73" s="50">
        <f t="shared" si="32"/>
        <v>0</v>
      </c>
      <c r="O73" s="46"/>
      <c r="P73" s="49"/>
      <c r="Q73" s="49"/>
      <c r="R73" s="50">
        <f t="shared" si="33"/>
        <v>0</v>
      </c>
      <c r="T73" s="49"/>
      <c r="U73" s="49"/>
      <c r="V73" s="50">
        <f t="shared" si="34"/>
        <v>0</v>
      </c>
      <c r="X73" s="49"/>
      <c r="Y73" s="49"/>
      <c r="Z73" s="50">
        <f t="shared" si="35"/>
        <v>0</v>
      </c>
      <c r="AB73" s="49"/>
      <c r="AC73" s="49"/>
      <c r="AD73" s="50">
        <f t="shared" si="36"/>
        <v>0</v>
      </c>
      <c r="AF73" s="49"/>
      <c r="AG73" s="49"/>
      <c r="AH73" s="50">
        <f t="shared" si="37"/>
        <v>0</v>
      </c>
      <c r="AJ73" s="49"/>
      <c r="AK73" s="49"/>
      <c r="AL73" s="50">
        <f t="shared" si="38"/>
        <v>0</v>
      </c>
      <c r="AN73" s="49"/>
      <c r="AO73" s="49"/>
      <c r="AP73" s="50">
        <f t="shared" si="39"/>
        <v>0</v>
      </c>
      <c r="AR73" s="49"/>
      <c r="AS73" s="49"/>
      <c r="AT73" s="50">
        <f t="shared" si="40"/>
        <v>0</v>
      </c>
      <c r="AV73" s="49"/>
      <c r="AW73" s="49"/>
      <c r="AX73" s="50">
        <f t="shared" si="41"/>
        <v>0</v>
      </c>
      <c r="AZ73" s="49"/>
      <c r="BA73" s="49"/>
      <c r="BB73" s="50">
        <f t="shared" si="42"/>
        <v>0</v>
      </c>
      <c r="BD73" s="49"/>
      <c r="BE73" s="49"/>
      <c r="BF73" s="50">
        <f t="shared" si="43"/>
        <v>0</v>
      </c>
      <c r="BH73" s="49"/>
      <c r="BI73" s="49"/>
      <c r="BJ73" s="50">
        <f t="shared" si="44"/>
        <v>0</v>
      </c>
      <c r="BL73" s="49"/>
      <c r="BM73" s="49"/>
      <c r="BN73" s="50">
        <f t="shared" si="45"/>
        <v>0</v>
      </c>
      <c r="BP73" s="49"/>
      <c r="BQ73" s="49"/>
      <c r="BR73" s="50">
        <f t="shared" si="46"/>
        <v>0</v>
      </c>
      <c r="BT73" s="49"/>
      <c r="BU73" s="49"/>
      <c r="BV73" s="50">
        <f t="shared" si="47"/>
        <v>0</v>
      </c>
      <c r="BX73" s="49"/>
      <c r="BY73" s="49"/>
      <c r="BZ73" s="50">
        <f t="shared" si="48"/>
        <v>0</v>
      </c>
      <c r="CB73" s="49"/>
      <c r="CC73" s="49"/>
      <c r="CD73" s="50">
        <f t="shared" si="49"/>
        <v>0</v>
      </c>
      <c r="CF73" s="49"/>
      <c r="CG73" s="49"/>
      <c r="CH73" s="50">
        <f t="shared" si="50"/>
        <v>0</v>
      </c>
      <c r="CJ73" s="49"/>
      <c r="CK73" s="49"/>
      <c r="CL73" s="50">
        <f t="shared" si="51"/>
        <v>0</v>
      </c>
      <c r="CN73" s="49"/>
      <c r="CO73" s="49"/>
      <c r="CP73" s="50">
        <f t="shared" si="52"/>
        <v>0</v>
      </c>
      <c r="CR73" s="49"/>
      <c r="CS73" s="49"/>
      <c r="CT73" s="50">
        <f t="shared" si="53"/>
        <v>0</v>
      </c>
      <c r="CV73" s="49"/>
      <c r="CW73" s="49"/>
      <c r="CX73" s="50">
        <f t="shared" si="54"/>
        <v>0</v>
      </c>
      <c r="CZ73" s="49"/>
      <c r="DA73" s="49"/>
      <c r="DB73" s="50">
        <f t="shared" si="55"/>
        <v>0</v>
      </c>
      <c r="DD73" s="49"/>
      <c r="DE73" s="49"/>
      <c r="DF73" s="50">
        <f t="shared" si="56"/>
        <v>0</v>
      </c>
      <c r="DH73" s="49"/>
      <c r="DI73" s="49"/>
      <c r="DJ73" s="50">
        <f t="shared" si="57"/>
        <v>0</v>
      </c>
      <c r="DL73" s="49"/>
      <c r="DM73" s="49"/>
      <c r="DN73" s="50">
        <f t="shared" si="58"/>
        <v>0</v>
      </c>
      <c r="DP73" s="49"/>
      <c r="DQ73" s="49"/>
      <c r="DR73" s="50">
        <f t="shared" si="59"/>
        <v>0</v>
      </c>
      <c r="DT73" s="49"/>
      <c r="DU73" s="49"/>
      <c r="DV73" s="50">
        <f t="shared" si="60"/>
        <v>0</v>
      </c>
      <c r="DX73" s="49"/>
      <c r="DY73" s="49"/>
      <c r="DZ73" s="50">
        <f t="shared" si="61"/>
        <v>0</v>
      </c>
      <c r="EB73" s="49">
        <f t="shared" si="62"/>
        <v>0</v>
      </c>
      <c r="EC73" s="49">
        <f t="shared" si="62"/>
        <v>0</v>
      </c>
      <c r="ED73" s="49">
        <f t="shared" si="62"/>
        <v>0</v>
      </c>
    </row>
    <row r="74" spans="2:134" ht="11" customHeight="1" x14ac:dyDescent="0.35">
      <c r="B74" s="4">
        <v>111222</v>
      </c>
      <c r="C74" s="4" t="s">
        <v>80</v>
      </c>
      <c r="D74" s="4">
        <v>25</v>
      </c>
      <c r="E74" s="5">
        <v>36</v>
      </c>
      <c r="F74" s="6">
        <v>99.122621960000004</v>
      </c>
      <c r="G74" s="7"/>
      <c r="H74" s="49"/>
      <c r="I74" s="49"/>
      <c r="J74" s="50">
        <f t="shared" si="63"/>
        <v>0</v>
      </c>
      <c r="K74" s="9"/>
      <c r="L74" s="49"/>
      <c r="M74" s="49"/>
      <c r="N74" s="50">
        <f t="shared" si="32"/>
        <v>0</v>
      </c>
      <c r="O74" s="46"/>
      <c r="P74" s="49"/>
      <c r="Q74" s="49"/>
      <c r="R74" s="50">
        <f t="shared" si="33"/>
        <v>0</v>
      </c>
      <c r="T74" s="49"/>
      <c r="U74" s="49"/>
      <c r="V74" s="50">
        <f t="shared" si="34"/>
        <v>0</v>
      </c>
      <c r="X74" s="49"/>
      <c r="Y74" s="49"/>
      <c r="Z74" s="50">
        <f t="shared" si="35"/>
        <v>0</v>
      </c>
      <c r="AB74" s="49"/>
      <c r="AC74" s="49"/>
      <c r="AD74" s="50">
        <f t="shared" si="36"/>
        <v>0</v>
      </c>
      <c r="AF74" s="49"/>
      <c r="AG74" s="49"/>
      <c r="AH74" s="50">
        <f t="shared" si="37"/>
        <v>0</v>
      </c>
      <c r="AJ74" s="49"/>
      <c r="AK74" s="49"/>
      <c r="AL74" s="50">
        <f t="shared" si="38"/>
        <v>0</v>
      </c>
      <c r="AN74" s="49"/>
      <c r="AO74" s="49"/>
      <c r="AP74" s="50">
        <f t="shared" si="39"/>
        <v>0</v>
      </c>
      <c r="AR74" s="49"/>
      <c r="AS74" s="49"/>
      <c r="AT74" s="50">
        <f t="shared" si="40"/>
        <v>0</v>
      </c>
      <c r="AV74" s="49"/>
      <c r="AW74" s="49"/>
      <c r="AX74" s="50">
        <f t="shared" si="41"/>
        <v>0</v>
      </c>
      <c r="AZ74" s="49"/>
      <c r="BA74" s="49"/>
      <c r="BB74" s="50">
        <f t="shared" si="42"/>
        <v>0</v>
      </c>
      <c r="BD74" s="49"/>
      <c r="BE74" s="49"/>
      <c r="BF74" s="50">
        <f t="shared" si="43"/>
        <v>0</v>
      </c>
      <c r="BH74" s="49"/>
      <c r="BI74" s="49"/>
      <c r="BJ74" s="50">
        <f t="shared" si="44"/>
        <v>0</v>
      </c>
      <c r="BL74" s="49"/>
      <c r="BM74" s="49"/>
      <c r="BN74" s="50">
        <f t="shared" si="45"/>
        <v>0</v>
      </c>
      <c r="BP74" s="49"/>
      <c r="BQ74" s="49"/>
      <c r="BR74" s="50">
        <f t="shared" si="46"/>
        <v>0</v>
      </c>
      <c r="BT74" s="49"/>
      <c r="BU74" s="49"/>
      <c r="BV74" s="50">
        <f t="shared" si="47"/>
        <v>0</v>
      </c>
      <c r="BX74" s="49"/>
      <c r="BY74" s="49"/>
      <c r="BZ74" s="50">
        <f t="shared" si="48"/>
        <v>0</v>
      </c>
      <c r="CB74" s="49"/>
      <c r="CC74" s="49"/>
      <c r="CD74" s="50">
        <f t="shared" si="49"/>
        <v>0</v>
      </c>
      <c r="CF74" s="49"/>
      <c r="CG74" s="49"/>
      <c r="CH74" s="50">
        <f t="shared" si="50"/>
        <v>0</v>
      </c>
      <c r="CJ74" s="49"/>
      <c r="CK74" s="49"/>
      <c r="CL74" s="50">
        <f t="shared" si="51"/>
        <v>0</v>
      </c>
      <c r="CN74" s="49"/>
      <c r="CO74" s="49"/>
      <c r="CP74" s="50">
        <f t="shared" si="52"/>
        <v>0</v>
      </c>
      <c r="CR74" s="49"/>
      <c r="CS74" s="49"/>
      <c r="CT74" s="50">
        <f t="shared" si="53"/>
        <v>0</v>
      </c>
      <c r="CV74" s="49"/>
      <c r="CW74" s="49"/>
      <c r="CX74" s="50">
        <f t="shared" si="54"/>
        <v>0</v>
      </c>
      <c r="CZ74" s="49"/>
      <c r="DA74" s="49"/>
      <c r="DB74" s="50">
        <f t="shared" si="55"/>
        <v>0</v>
      </c>
      <c r="DD74" s="49"/>
      <c r="DE74" s="49"/>
      <c r="DF74" s="50">
        <f t="shared" si="56"/>
        <v>0</v>
      </c>
      <c r="DH74" s="49"/>
      <c r="DI74" s="49"/>
      <c r="DJ74" s="50">
        <f t="shared" si="57"/>
        <v>0</v>
      </c>
      <c r="DL74" s="49"/>
      <c r="DM74" s="49"/>
      <c r="DN74" s="50">
        <f t="shared" si="58"/>
        <v>0</v>
      </c>
      <c r="DP74" s="49"/>
      <c r="DQ74" s="49"/>
      <c r="DR74" s="50">
        <f t="shared" si="59"/>
        <v>0</v>
      </c>
      <c r="DT74" s="49"/>
      <c r="DU74" s="49"/>
      <c r="DV74" s="50">
        <f t="shared" si="60"/>
        <v>0</v>
      </c>
      <c r="DX74" s="49"/>
      <c r="DY74" s="49"/>
      <c r="DZ74" s="50">
        <f t="shared" si="61"/>
        <v>0</v>
      </c>
      <c r="EB74" s="49">
        <f t="shared" si="62"/>
        <v>0</v>
      </c>
      <c r="EC74" s="49">
        <f t="shared" si="62"/>
        <v>0</v>
      </c>
      <c r="ED74" s="49">
        <f t="shared" si="62"/>
        <v>0</v>
      </c>
    </row>
    <row r="75" spans="2:134" ht="11" customHeight="1" x14ac:dyDescent="0.35">
      <c r="B75" s="4">
        <v>111223</v>
      </c>
      <c r="C75" s="4" t="s">
        <v>81</v>
      </c>
      <c r="D75" s="4">
        <v>50</v>
      </c>
      <c r="E75" s="5">
        <v>18</v>
      </c>
      <c r="F75" s="6">
        <v>198.24524392000001</v>
      </c>
      <c r="G75" s="7"/>
      <c r="H75" s="49"/>
      <c r="I75" s="49"/>
      <c r="J75" s="50">
        <f t="shared" si="63"/>
        <v>0</v>
      </c>
      <c r="K75" s="9"/>
      <c r="L75" s="49"/>
      <c r="M75" s="49"/>
      <c r="N75" s="50">
        <f t="shared" si="32"/>
        <v>0</v>
      </c>
      <c r="O75" s="46"/>
      <c r="P75" s="49"/>
      <c r="Q75" s="49"/>
      <c r="R75" s="50">
        <f t="shared" si="33"/>
        <v>0</v>
      </c>
      <c r="T75" s="49"/>
      <c r="U75" s="49"/>
      <c r="V75" s="50">
        <f t="shared" si="34"/>
        <v>0</v>
      </c>
      <c r="X75" s="49"/>
      <c r="Y75" s="49"/>
      <c r="Z75" s="50">
        <f t="shared" si="35"/>
        <v>0</v>
      </c>
      <c r="AB75" s="49"/>
      <c r="AC75" s="49"/>
      <c r="AD75" s="50">
        <f t="shared" si="36"/>
        <v>0</v>
      </c>
      <c r="AF75" s="49"/>
      <c r="AG75" s="49"/>
      <c r="AH75" s="50">
        <f t="shared" si="37"/>
        <v>0</v>
      </c>
      <c r="AJ75" s="49"/>
      <c r="AK75" s="49"/>
      <c r="AL75" s="50">
        <f t="shared" si="38"/>
        <v>0</v>
      </c>
      <c r="AN75" s="49"/>
      <c r="AO75" s="49"/>
      <c r="AP75" s="50">
        <f t="shared" si="39"/>
        <v>0</v>
      </c>
      <c r="AR75" s="49"/>
      <c r="AS75" s="49"/>
      <c r="AT75" s="50">
        <f t="shared" si="40"/>
        <v>0</v>
      </c>
      <c r="AV75" s="49"/>
      <c r="AW75" s="49"/>
      <c r="AX75" s="50">
        <f t="shared" si="41"/>
        <v>0</v>
      </c>
      <c r="AZ75" s="49"/>
      <c r="BA75" s="49"/>
      <c r="BB75" s="50">
        <f t="shared" si="42"/>
        <v>0</v>
      </c>
      <c r="BD75" s="49"/>
      <c r="BE75" s="49"/>
      <c r="BF75" s="50">
        <f t="shared" si="43"/>
        <v>0</v>
      </c>
      <c r="BH75" s="49"/>
      <c r="BI75" s="49"/>
      <c r="BJ75" s="50">
        <f t="shared" si="44"/>
        <v>0</v>
      </c>
      <c r="BL75" s="49"/>
      <c r="BM75" s="49"/>
      <c r="BN75" s="50">
        <f t="shared" si="45"/>
        <v>0</v>
      </c>
      <c r="BP75" s="49"/>
      <c r="BQ75" s="49"/>
      <c r="BR75" s="50">
        <f t="shared" si="46"/>
        <v>0</v>
      </c>
      <c r="BT75" s="49"/>
      <c r="BU75" s="49"/>
      <c r="BV75" s="50">
        <f t="shared" si="47"/>
        <v>0</v>
      </c>
      <c r="BX75" s="49"/>
      <c r="BY75" s="49"/>
      <c r="BZ75" s="50">
        <f t="shared" si="48"/>
        <v>0</v>
      </c>
      <c r="CB75" s="49"/>
      <c r="CC75" s="49"/>
      <c r="CD75" s="50">
        <f t="shared" si="49"/>
        <v>0</v>
      </c>
      <c r="CF75" s="49"/>
      <c r="CG75" s="49"/>
      <c r="CH75" s="50">
        <f t="shared" si="50"/>
        <v>0</v>
      </c>
      <c r="CJ75" s="49"/>
      <c r="CK75" s="49"/>
      <c r="CL75" s="50">
        <f t="shared" si="51"/>
        <v>0</v>
      </c>
      <c r="CN75" s="49"/>
      <c r="CO75" s="49"/>
      <c r="CP75" s="50">
        <f t="shared" si="52"/>
        <v>0</v>
      </c>
      <c r="CR75" s="49"/>
      <c r="CS75" s="49"/>
      <c r="CT75" s="50">
        <f t="shared" si="53"/>
        <v>0</v>
      </c>
      <c r="CV75" s="49"/>
      <c r="CW75" s="49"/>
      <c r="CX75" s="50">
        <f t="shared" si="54"/>
        <v>0</v>
      </c>
      <c r="CZ75" s="49"/>
      <c r="DA75" s="49"/>
      <c r="DB75" s="50">
        <f t="shared" si="55"/>
        <v>0</v>
      </c>
      <c r="DD75" s="49"/>
      <c r="DE75" s="49"/>
      <c r="DF75" s="50">
        <f t="shared" si="56"/>
        <v>0</v>
      </c>
      <c r="DH75" s="49"/>
      <c r="DI75" s="49"/>
      <c r="DJ75" s="50">
        <f t="shared" si="57"/>
        <v>0</v>
      </c>
      <c r="DL75" s="49"/>
      <c r="DM75" s="49"/>
      <c r="DN75" s="50">
        <f t="shared" si="58"/>
        <v>0</v>
      </c>
      <c r="DP75" s="49"/>
      <c r="DQ75" s="49"/>
      <c r="DR75" s="50">
        <f t="shared" si="59"/>
        <v>0</v>
      </c>
      <c r="DT75" s="49"/>
      <c r="DU75" s="49"/>
      <c r="DV75" s="50">
        <f t="shared" si="60"/>
        <v>0</v>
      </c>
      <c r="DX75" s="49"/>
      <c r="DY75" s="49"/>
      <c r="DZ75" s="50">
        <f t="shared" si="61"/>
        <v>0</v>
      </c>
      <c r="EB75" s="49">
        <f t="shared" si="62"/>
        <v>0</v>
      </c>
      <c r="EC75" s="49">
        <f t="shared" si="62"/>
        <v>0</v>
      </c>
      <c r="ED75" s="49">
        <f t="shared" si="62"/>
        <v>0</v>
      </c>
    </row>
    <row r="76" spans="2:134" ht="11" customHeight="1" x14ac:dyDescent="0.35">
      <c r="B76" s="4">
        <v>111232</v>
      </c>
      <c r="C76" s="4" t="s">
        <v>82</v>
      </c>
      <c r="D76" s="4">
        <v>25</v>
      </c>
      <c r="E76" s="5">
        <v>36</v>
      </c>
      <c r="F76" s="6">
        <v>99.122621960000004</v>
      </c>
      <c r="G76" s="7"/>
      <c r="H76" s="49"/>
      <c r="I76" s="49"/>
      <c r="J76" s="50">
        <f t="shared" si="63"/>
        <v>0</v>
      </c>
      <c r="K76" s="9"/>
      <c r="L76" s="49"/>
      <c r="M76" s="49"/>
      <c r="N76" s="50">
        <f t="shared" si="32"/>
        <v>0</v>
      </c>
      <c r="O76" s="46"/>
      <c r="P76" s="49"/>
      <c r="Q76" s="49"/>
      <c r="R76" s="50">
        <f t="shared" si="33"/>
        <v>0</v>
      </c>
      <c r="T76" s="49"/>
      <c r="U76" s="49"/>
      <c r="V76" s="50">
        <f t="shared" si="34"/>
        <v>0</v>
      </c>
      <c r="X76" s="49"/>
      <c r="Y76" s="49"/>
      <c r="Z76" s="50">
        <f t="shared" si="35"/>
        <v>0</v>
      </c>
      <c r="AB76" s="49"/>
      <c r="AC76" s="49"/>
      <c r="AD76" s="50">
        <f t="shared" si="36"/>
        <v>0</v>
      </c>
      <c r="AF76" s="49"/>
      <c r="AG76" s="49"/>
      <c r="AH76" s="50">
        <f t="shared" si="37"/>
        <v>0</v>
      </c>
      <c r="AJ76" s="49"/>
      <c r="AK76" s="49"/>
      <c r="AL76" s="50">
        <f t="shared" si="38"/>
        <v>0</v>
      </c>
      <c r="AN76" s="49"/>
      <c r="AO76" s="49"/>
      <c r="AP76" s="50">
        <f t="shared" si="39"/>
        <v>0</v>
      </c>
      <c r="AR76" s="49"/>
      <c r="AS76" s="49"/>
      <c r="AT76" s="50">
        <f t="shared" si="40"/>
        <v>0</v>
      </c>
      <c r="AV76" s="49"/>
      <c r="AW76" s="49"/>
      <c r="AX76" s="50">
        <f t="shared" si="41"/>
        <v>0</v>
      </c>
      <c r="AZ76" s="49"/>
      <c r="BA76" s="49"/>
      <c r="BB76" s="50">
        <f t="shared" si="42"/>
        <v>0</v>
      </c>
      <c r="BD76" s="49"/>
      <c r="BE76" s="49"/>
      <c r="BF76" s="50">
        <f t="shared" si="43"/>
        <v>0</v>
      </c>
      <c r="BH76" s="49"/>
      <c r="BI76" s="49"/>
      <c r="BJ76" s="50">
        <f t="shared" si="44"/>
        <v>0</v>
      </c>
      <c r="BL76" s="49"/>
      <c r="BM76" s="49"/>
      <c r="BN76" s="50">
        <f t="shared" si="45"/>
        <v>0</v>
      </c>
      <c r="BP76" s="49"/>
      <c r="BQ76" s="49"/>
      <c r="BR76" s="50">
        <f t="shared" si="46"/>
        <v>0</v>
      </c>
      <c r="BT76" s="49"/>
      <c r="BU76" s="49"/>
      <c r="BV76" s="50">
        <f t="shared" si="47"/>
        <v>0</v>
      </c>
      <c r="BX76" s="49"/>
      <c r="BY76" s="49"/>
      <c r="BZ76" s="50">
        <f t="shared" si="48"/>
        <v>0</v>
      </c>
      <c r="CB76" s="49"/>
      <c r="CC76" s="49"/>
      <c r="CD76" s="50">
        <f t="shared" si="49"/>
        <v>0</v>
      </c>
      <c r="CF76" s="49"/>
      <c r="CG76" s="49"/>
      <c r="CH76" s="50">
        <f t="shared" si="50"/>
        <v>0</v>
      </c>
      <c r="CJ76" s="49"/>
      <c r="CK76" s="49"/>
      <c r="CL76" s="50">
        <f t="shared" si="51"/>
        <v>0</v>
      </c>
      <c r="CN76" s="49"/>
      <c r="CO76" s="49"/>
      <c r="CP76" s="50">
        <f t="shared" si="52"/>
        <v>0</v>
      </c>
      <c r="CR76" s="49"/>
      <c r="CS76" s="49"/>
      <c r="CT76" s="50">
        <f t="shared" si="53"/>
        <v>0</v>
      </c>
      <c r="CV76" s="49"/>
      <c r="CW76" s="49"/>
      <c r="CX76" s="50">
        <f t="shared" si="54"/>
        <v>0</v>
      </c>
      <c r="CZ76" s="49"/>
      <c r="DA76" s="49"/>
      <c r="DB76" s="50">
        <f t="shared" si="55"/>
        <v>0</v>
      </c>
      <c r="DD76" s="49"/>
      <c r="DE76" s="49"/>
      <c r="DF76" s="50">
        <f t="shared" si="56"/>
        <v>0</v>
      </c>
      <c r="DH76" s="49"/>
      <c r="DI76" s="49"/>
      <c r="DJ76" s="50">
        <f t="shared" si="57"/>
        <v>0</v>
      </c>
      <c r="DL76" s="49"/>
      <c r="DM76" s="49"/>
      <c r="DN76" s="50">
        <f t="shared" si="58"/>
        <v>0</v>
      </c>
      <c r="DP76" s="49"/>
      <c r="DQ76" s="49"/>
      <c r="DR76" s="50">
        <f t="shared" si="59"/>
        <v>0</v>
      </c>
      <c r="DT76" s="49"/>
      <c r="DU76" s="49"/>
      <c r="DV76" s="50">
        <f t="shared" si="60"/>
        <v>0</v>
      </c>
      <c r="DX76" s="49"/>
      <c r="DY76" s="49"/>
      <c r="DZ76" s="50">
        <f t="shared" si="61"/>
        <v>0</v>
      </c>
      <c r="EB76" s="49">
        <f t="shared" si="62"/>
        <v>0</v>
      </c>
      <c r="EC76" s="49">
        <f t="shared" si="62"/>
        <v>0</v>
      </c>
      <c r="ED76" s="49">
        <f t="shared" si="62"/>
        <v>0</v>
      </c>
    </row>
    <row r="77" spans="2:134" ht="11" customHeight="1" x14ac:dyDescent="0.35">
      <c r="B77" s="4">
        <v>111233</v>
      </c>
      <c r="C77" s="4" t="s">
        <v>83</v>
      </c>
      <c r="D77" s="4">
        <v>50</v>
      </c>
      <c r="E77" s="5">
        <v>18</v>
      </c>
      <c r="F77" s="6">
        <v>198.24524392000001</v>
      </c>
      <c r="G77" s="7"/>
      <c r="H77" s="49"/>
      <c r="I77" s="49"/>
      <c r="J77" s="50">
        <f t="shared" si="63"/>
        <v>0</v>
      </c>
      <c r="K77" s="9"/>
      <c r="L77" s="49"/>
      <c r="M77" s="49"/>
      <c r="N77" s="50">
        <f t="shared" si="32"/>
        <v>0</v>
      </c>
      <c r="O77" s="46"/>
      <c r="P77" s="49"/>
      <c r="Q77" s="49"/>
      <c r="R77" s="50">
        <f t="shared" si="33"/>
        <v>0</v>
      </c>
      <c r="T77" s="49"/>
      <c r="U77" s="49"/>
      <c r="V77" s="50">
        <f t="shared" si="34"/>
        <v>0</v>
      </c>
      <c r="X77" s="49"/>
      <c r="Y77" s="49"/>
      <c r="Z77" s="50">
        <f t="shared" si="35"/>
        <v>0</v>
      </c>
      <c r="AB77" s="49"/>
      <c r="AC77" s="49"/>
      <c r="AD77" s="50">
        <f t="shared" si="36"/>
        <v>0</v>
      </c>
      <c r="AF77" s="49"/>
      <c r="AG77" s="49"/>
      <c r="AH77" s="50">
        <f t="shared" si="37"/>
        <v>0</v>
      </c>
      <c r="AJ77" s="49"/>
      <c r="AK77" s="49"/>
      <c r="AL77" s="50">
        <f t="shared" si="38"/>
        <v>0</v>
      </c>
      <c r="AN77" s="49"/>
      <c r="AO77" s="49"/>
      <c r="AP77" s="50">
        <f t="shared" si="39"/>
        <v>0</v>
      </c>
      <c r="AR77" s="49"/>
      <c r="AS77" s="49"/>
      <c r="AT77" s="50">
        <f t="shared" si="40"/>
        <v>0</v>
      </c>
      <c r="AV77" s="49"/>
      <c r="AW77" s="49"/>
      <c r="AX77" s="50">
        <f t="shared" si="41"/>
        <v>0</v>
      </c>
      <c r="AZ77" s="49"/>
      <c r="BA77" s="49"/>
      <c r="BB77" s="50">
        <f t="shared" si="42"/>
        <v>0</v>
      </c>
      <c r="BD77" s="49"/>
      <c r="BE77" s="49"/>
      <c r="BF77" s="50">
        <f t="shared" si="43"/>
        <v>0</v>
      </c>
      <c r="BH77" s="49"/>
      <c r="BI77" s="49"/>
      <c r="BJ77" s="50">
        <f t="shared" si="44"/>
        <v>0</v>
      </c>
      <c r="BL77" s="49"/>
      <c r="BM77" s="49"/>
      <c r="BN77" s="50">
        <f t="shared" si="45"/>
        <v>0</v>
      </c>
      <c r="BP77" s="49"/>
      <c r="BQ77" s="49"/>
      <c r="BR77" s="50">
        <f t="shared" si="46"/>
        <v>0</v>
      </c>
      <c r="BT77" s="49"/>
      <c r="BU77" s="49"/>
      <c r="BV77" s="50">
        <f t="shared" si="47"/>
        <v>0</v>
      </c>
      <c r="BX77" s="49"/>
      <c r="BY77" s="49"/>
      <c r="BZ77" s="50">
        <f t="shared" si="48"/>
        <v>0</v>
      </c>
      <c r="CB77" s="49"/>
      <c r="CC77" s="49"/>
      <c r="CD77" s="50">
        <f t="shared" si="49"/>
        <v>0</v>
      </c>
      <c r="CF77" s="49"/>
      <c r="CG77" s="49"/>
      <c r="CH77" s="50">
        <f t="shared" si="50"/>
        <v>0</v>
      </c>
      <c r="CJ77" s="49"/>
      <c r="CK77" s="49"/>
      <c r="CL77" s="50">
        <f t="shared" si="51"/>
        <v>0</v>
      </c>
      <c r="CN77" s="49"/>
      <c r="CO77" s="49"/>
      <c r="CP77" s="50">
        <f t="shared" si="52"/>
        <v>0</v>
      </c>
      <c r="CR77" s="49"/>
      <c r="CS77" s="49"/>
      <c r="CT77" s="50">
        <f t="shared" si="53"/>
        <v>0</v>
      </c>
      <c r="CV77" s="49"/>
      <c r="CW77" s="49"/>
      <c r="CX77" s="50">
        <f t="shared" si="54"/>
        <v>0</v>
      </c>
      <c r="CZ77" s="49"/>
      <c r="DA77" s="49"/>
      <c r="DB77" s="50">
        <f t="shared" si="55"/>
        <v>0</v>
      </c>
      <c r="DD77" s="49"/>
      <c r="DE77" s="49"/>
      <c r="DF77" s="50">
        <f t="shared" si="56"/>
        <v>0</v>
      </c>
      <c r="DH77" s="49"/>
      <c r="DI77" s="49"/>
      <c r="DJ77" s="50">
        <f t="shared" si="57"/>
        <v>0</v>
      </c>
      <c r="DL77" s="49"/>
      <c r="DM77" s="49"/>
      <c r="DN77" s="50">
        <f t="shared" si="58"/>
        <v>0</v>
      </c>
      <c r="DP77" s="49"/>
      <c r="DQ77" s="49"/>
      <c r="DR77" s="50">
        <f t="shared" si="59"/>
        <v>0</v>
      </c>
      <c r="DT77" s="49"/>
      <c r="DU77" s="49"/>
      <c r="DV77" s="50">
        <f t="shared" si="60"/>
        <v>0</v>
      </c>
      <c r="DX77" s="49"/>
      <c r="DY77" s="49"/>
      <c r="DZ77" s="50">
        <f t="shared" si="61"/>
        <v>0</v>
      </c>
      <c r="EB77" s="49">
        <f t="shared" si="62"/>
        <v>0</v>
      </c>
      <c r="EC77" s="49">
        <f t="shared" si="62"/>
        <v>0</v>
      </c>
      <c r="ED77" s="49">
        <f t="shared" si="62"/>
        <v>0</v>
      </c>
    </row>
    <row r="78" spans="2:134" ht="11" customHeight="1" x14ac:dyDescent="0.35">
      <c r="B78" s="4">
        <v>111252</v>
      </c>
      <c r="C78" s="4" t="s">
        <v>84</v>
      </c>
      <c r="D78" s="4">
        <v>25</v>
      </c>
      <c r="E78" s="5">
        <v>36</v>
      </c>
      <c r="F78" s="6">
        <v>99.122621960000004</v>
      </c>
      <c r="G78" s="7"/>
      <c r="H78" s="49"/>
      <c r="I78" s="49"/>
      <c r="J78" s="50">
        <f t="shared" si="63"/>
        <v>0</v>
      </c>
      <c r="K78" s="9"/>
      <c r="L78" s="49"/>
      <c r="M78" s="49"/>
      <c r="N78" s="50">
        <f t="shared" si="32"/>
        <v>0</v>
      </c>
      <c r="O78" s="46"/>
      <c r="P78" s="49"/>
      <c r="Q78" s="49"/>
      <c r="R78" s="50">
        <f t="shared" si="33"/>
        <v>0</v>
      </c>
      <c r="T78" s="49"/>
      <c r="U78" s="49"/>
      <c r="V78" s="50">
        <f t="shared" si="34"/>
        <v>0</v>
      </c>
      <c r="X78" s="49"/>
      <c r="Y78" s="49"/>
      <c r="Z78" s="50">
        <f t="shared" si="35"/>
        <v>0</v>
      </c>
      <c r="AB78" s="49"/>
      <c r="AC78" s="49"/>
      <c r="AD78" s="50">
        <f t="shared" si="36"/>
        <v>0</v>
      </c>
      <c r="AF78" s="49"/>
      <c r="AG78" s="49"/>
      <c r="AH78" s="50">
        <f t="shared" si="37"/>
        <v>0</v>
      </c>
      <c r="AJ78" s="49"/>
      <c r="AK78" s="49"/>
      <c r="AL78" s="50">
        <f t="shared" si="38"/>
        <v>0</v>
      </c>
      <c r="AN78" s="49"/>
      <c r="AO78" s="49"/>
      <c r="AP78" s="50">
        <f t="shared" si="39"/>
        <v>0</v>
      </c>
      <c r="AR78" s="49"/>
      <c r="AS78" s="49"/>
      <c r="AT78" s="50">
        <f t="shared" si="40"/>
        <v>0</v>
      </c>
      <c r="AV78" s="49"/>
      <c r="AW78" s="49"/>
      <c r="AX78" s="50">
        <f t="shared" si="41"/>
        <v>0</v>
      </c>
      <c r="AZ78" s="49"/>
      <c r="BA78" s="49"/>
      <c r="BB78" s="50">
        <f t="shared" si="42"/>
        <v>0</v>
      </c>
      <c r="BD78" s="49"/>
      <c r="BE78" s="49"/>
      <c r="BF78" s="50">
        <f t="shared" si="43"/>
        <v>0</v>
      </c>
      <c r="BH78" s="49"/>
      <c r="BI78" s="49"/>
      <c r="BJ78" s="50">
        <f t="shared" si="44"/>
        <v>0</v>
      </c>
      <c r="BL78" s="49"/>
      <c r="BM78" s="49"/>
      <c r="BN78" s="50">
        <f t="shared" si="45"/>
        <v>0</v>
      </c>
      <c r="BP78" s="49"/>
      <c r="BQ78" s="49"/>
      <c r="BR78" s="50">
        <f t="shared" si="46"/>
        <v>0</v>
      </c>
      <c r="BT78" s="49"/>
      <c r="BU78" s="49"/>
      <c r="BV78" s="50">
        <f t="shared" si="47"/>
        <v>0</v>
      </c>
      <c r="BX78" s="49"/>
      <c r="BY78" s="49"/>
      <c r="BZ78" s="50">
        <f t="shared" si="48"/>
        <v>0</v>
      </c>
      <c r="CB78" s="49"/>
      <c r="CC78" s="49"/>
      <c r="CD78" s="50">
        <f t="shared" si="49"/>
        <v>0</v>
      </c>
      <c r="CF78" s="49"/>
      <c r="CG78" s="49"/>
      <c r="CH78" s="50">
        <f t="shared" si="50"/>
        <v>0</v>
      </c>
      <c r="CJ78" s="49"/>
      <c r="CK78" s="49"/>
      <c r="CL78" s="50">
        <f t="shared" si="51"/>
        <v>0</v>
      </c>
      <c r="CN78" s="49"/>
      <c r="CO78" s="49"/>
      <c r="CP78" s="50">
        <f t="shared" si="52"/>
        <v>0</v>
      </c>
      <c r="CR78" s="49"/>
      <c r="CS78" s="49"/>
      <c r="CT78" s="50">
        <f t="shared" si="53"/>
        <v>0</v>
      </c>
      <c r="CV78" s="49"/>
      <c r="CW78" s="49"/>
      <c r="CX78" s="50">
        <f t="shared" si="54"/>
        <v>0</v>
      </c>
      <c r="CZ78" s="49"/>
      <c r="DA78" s="49"/>
      <c r="DB78" s="50">
        <f t="shared" si="55"/>
        <v>0</v>
      </c>
      <c r="DD78" s="49"/>
      <c r="DE78" s="49"/>
      <c r="DF78" s="50">
        <f t="shared" si="56"/>
        <v>0</v>
      </c>
      <c r="DH78" s="49"/>
      <c r="DI78" s="49"/>
      <c r="DJ78" s="50">
        <f t="shared" si="57"/>
        <v>0</v>
      </c>
      <c r="DL78" s="49"/>
      <c r="DM78" s="49"/>
      <c r="DN78" s="50">
        <f t="shared" si="58"/>
        <v>0</v>
      </c>
      <c r="DP78" s="49"/>
      <c r="DQ78" s="49"/>
      <c r="DR78" s="50">
        <f t="shared" si="59"/>
        <v>0</v>
      </c>
      <c r="DT78" s="49"/>
      <c r="DU78" s="49"/>
      <c r="DV78" s="50">
        <f t="shared" si="60"/>
        <v>0</v>
      </c>
      <c r="DX78" s="49"/>
      <c r="DY78" s="49"/>
      <c r="DZ78" s="50">
        <f t="shared" si="61"/>
        <v>0</v>
      </c>
      <c r="EB78" s="49">
        <f t="shared" si="62"/>
        <v>0</v>
      </c>
      <c r="EC78" s="49">
        <f t="shared" si="62"/>
        <v>0</v>
      </c>
      <c r="ED78" s="49">
        <f t="shared" si="62"/>
        <v>0</v>
      </c>
    </row>
    <row r="79" spans="2:134" ht="11" customHeight="1" x14ac:dyDescent="0.35">
      <c r="B79" s="4">
        <v>111254</v>
      </c>
      <c r="C79" s="4" t="s">
        <v>85</v>
      </c>
      <c r="D79" s="4">
        <v>50</v>
      </c>
      <c r="E79" s="5">
        <v>18</v>
      </c>
      <c r="F79" s="6">
        <v>198.24524392000001</v>
      </c>
      <c r="G79" s="7"/>
      <c r="H79" s="49"/>
      <c r="I79" s="49"/>
      <c r="J79" s="50">
        <f t="shared" si="63"/>
        <v>0</v>
      </c>
      <c r="K79" s="9"/>
      <c r="L79" s="49"/>
      <c r="M79" s="49"/>
      <c r="N79" s="50">
        <f t="shared" si="32"/>
        <v>0</v>
      </c>
      <c r="O79" s="46"/>
      <c r="P79" s="49"/>
      <c r="Q79" s="49"/>
      <c r="R79" s="50">
        <f t="shared" si="33"/>
        <v>0</v>
      </c>
      <c r="T79" s="49"/>
      <c r="U79" s="49"/>
      <c r="V79" s="50">
        <f t="shared" si="34"/>
        <v>0</v>
      </c>
      <c r="X79" s="49"/>
      <c r="Y79" s="49"/>
      <c r="Z79" s="50">
        <f t="shared" si="35"/>
        <v>0</v>
      </c>
      <c r="AB79" s="49"/>
      <c r="AC79" s="49"/>
      <c r="AD79" s="50">
        <f t="shared" si="36"/>
        <v>0</v>
      </c>
      <c r="AF79" s="49"/>
      <c r="AG79" s="49"/>
      <c r="AH79" s="50">
        <f t="shared" si="37"/>
        <v>0</v>
      </c>
      <c r="AJ79" s="49"/>
      <c r="AK79" s="49"/>
      <c r="AL79" s="50">
        <f t="shared" si="38"/>
        <v>0</v>
      </c>
      <c r="AN79" s="49"/>
      <c r="AO79" s="49"/>
      <c r="AP79" s="50">
        <f t="shared" si="39"/>
        <v>0</v>
      </c>
      <c r="AR79" s="49"/>
      <c r="AS79" s="49"/>
      <c r="AT79" s="50">
        <f t="shared" si="40"/>
        <v>0</v>
      </c>
      <c r="AV79" s="49"/>
      <c r="AW79" s="49"/>
      <c r="AX79" s="50">
        <f t="shared" si="41"/>
        <v>0</v>
      </c>
      <c r="AZ79" s="49"/>
      <c r="BA79" s="49"/>
      <c r="BB79" s="50">
        <f t="shared" si="42"/>
        <v>0</v>
      </c>
      <c r="BD79" s="49"/>
      <c r="BE79" s="49"/>
      <c r="BF79" s="50">
        <f t="shared" si="43"/>
        <v>0</v>
      </c>
      <c r="BH79" s="49"/>
      <c r="BI79" s="49"/>
      <c r="BJ79" s="50">
        <f t="shared" si="44"/>
        <v>0</v>
      </c>
      <c r="BL79" s="49"/>
      <c r="BM79" s="49"/>
      <c r="BN79" s="50">
        <f t="shared" si="45"/>
        <v>0</v>
      </c>
      <c r="BP79" s="49"/>
      <c r="BQ79" s="49"/>
      <c r="BR79" s="50">
        <f t="shared" si="46"/>
        <v>0</v>
      </c>
      <c r="BT79" s="49"/>
      <c r="BU79" s="49"/>
      <c r="BV79" s="50">
        <f t="shared" si="47"/>
        <v>0</v>
      </c>
      <c r="BX79" s="49"/>
      <c r="BY79" s="49"/>
      <c r="BZ79" s="50">
        <f t="shared" si="48"/>
        <v>0</v>
      </c>
      <c r="CB79" s="49"/>
      <c r="CC79" s="49"/>
      <c r="CD79" s="50">
        <f t="shared" si="49"/>
        <v>0</v>
      </c>
      <c r="CF79" s="49"/>
      <c r="CG79" s="49"/>
      <c r="CH79" s="50">
        <f t="shared" si="50"/>
        <v>0</v>
      </c>
      <c r="CJ79" s="49"/>
      <c r="CK79" s="49"/>
      <c r="CL79" s="50">
        <f t="shared" si="51"/>
        <v>0</v>
      </c>
      <c r="CN79" s="49"/>
      <c r="CO79" s="49"/>
      <c r="CP79" s="50">
        <f t="shared" si="52"/>
        <v>0</v>
      </c>
      <c r="CR79" s="49"/>
      <c r="CS79" s="49"/>
      <c r="CT79" s="50">
        <f t="shared" si="53"/>
        <v>0</v>
      </c>
      <c r="CV79" s="49"/>
      <c r="CW79" s="49"/>
      <c r="CX79" s="50">
        <f t="shared" si="54"/>
        <v>0</v>
      </c>
      <c r="CZ79" s="49"/>
      <c r="DA79" s="49"/>
      <c r="DB79" s="50">
        <f t="shared" si="55"/>
        <v>0</v>
      </c>
      <c r="DD79" s="49"/>
      <c r="DE79" s="49"/>
      <c r="DF79" s="50">
        <f t="shared" si="56"/>
        <v>0</v>
      </c>
      <c r="DH79" s="49"/>
      <c r="DI79" s="49"/>
      <c r="DJ79" s="50">
        <f t="shared" si="57"/>
        <v>0</v>
      </c>
      <c r="DL79" s="49"/>
      <c r="DM79" s="49"/>
      <c r="DN79" s="50">
        <f t="shared" si="58"/>
        <v>0</v>
      </c>
      <c r="DP79" s="49"/>
      <c r="DQ79" s="49"/>
      <c r="DR79" s="50">
        <f t="shared" si="59"/>
        <v>0</v>
      </c>
      <c r="DT79" s="49"/>
      <c r="DU79" s="49"/>
      <c r="DV79" s="50">
        <f t="shared" si="60"/>
        <v>0</v>
      </c>
      <c r="DX79" s="49"/>
      <c r="DY79" s="49"/>
      <c r="DZ79" s="50">
        <f t="shared" si="61"/>
        <v>0</v>
      </c>
      <c r="EB79" s="49">
        <f t="shared" si="62"/>
        <v>0</v>
      </c>
      <c r="EC79" s="49">
        <f t="shared" si="62"/>
        <v>0</v>
      </c>
      <c r="ED79" s="49">
        <f t="shared" si="62"/>
        <v>0</v>
      </c>
    </row>
    <row r="80" spans="2:134" ht="11" customHeight="1" x14ac:dyDescent="0.35">
      <c r="B80" s="4">
        <v>101018</v>
      </c>
      <c r="C80" s="4" t="s">
        <v>86</v>
      </c>
      <c r="D80" s="4">
        <v>24</v>
      </c>
      <c r="E80" s="5">
        <v>24</v>
      </c>
      <c r="F80" s="6">
        <v>189.29879107400001</v>
      </c>
      <c r="G80" s="1"/>
      <c r="H80" s="49"/>
      <c r="I80" s="49"/>
      <c r="J80" s="50">
        <f t="shared" si="63"/>
        <v>0</v>
      </c>
      <c r="K80" s="9"/>
      <c r="L80" s="49"/>
      <c r="M80" s="49"/>
      <c r="N80" s="50">
        <f t="shared" si="32"/>
        <v>0</v>
      </c>
      <c r="O80" s="46"/>
      <c r="P80" s="49"/>
      <c r="Q80" s="49"/>
      <c r="R80" s="50">
        <f t="shared" si="33"/>
        <v>0</v>
      </c>
      <c r="T80" s="49"/>
      <c r="U80" s="49"/>
      <c r="V80" s="50">
        <f t="shared" si="34"/>
        <v>0</v>
      </c>
      <c r="X80" s="49"/>
      <c r="Y80" s="49"/>
      <c r="Z80" s="50">
        <f t="shared" si="35"/>
        <v>0</v>
      </c>
      <c r="AB80" s="49"/>
      <c r="AC80" s="49"/>
      <c r="AD80" s="50">
        <f t="shared" si="36"/>
        <v>0</v>
      </c>
      <c r="AF80" s="49"/>
      <c r="AG80" s="49"/>
      <c r="AH80" s="50">
        <f t="shared" si="37"/>
        <v>0</v>
      </c>
      <c r="AJ80" s="49"/>
      <c r="AK80" s="49"/>
      <c r="AL80" s="50">
        <f t="shared" si="38"/>
        <v>0</v>
      </c>
      <c r="AN80" s="49"/>
      <c r="AO80" s="49"/>
      <c r="AP80" s="50">
        <f t="shared" si="39"/>
        <v>0</v>
      </c>
      <c r="AR80" s="49"/>
      <c r="AS80" s="49"/>
      <c r="AT80" s="50">
        <f t="shared" si="40"/>
        <v>0</v>
      </c>
      <c r="AV80" s="49"/>
      <c r="AW80" s="49"/>
      <c r="AX80" s="50">
        <f t="shared" si="41"/>
        <v>0</v>
      </c>
      <c r="AZ80" s="49"/>
      <c r="BA80" s="49"/>
      <c r="BB80" s="50">
        <f t="shared" si="42"/>
        <v>0</v>
      </c>
      <c r="BD80" s="49"/>
      <c r="BE80" s="49"/>
      <c r="BF80" s="50">
        <f t="shared" si="43"/>
        <v>0</v>
      </c>
      <c r="BH80" s="49"/>
      <c r="BI80" s="49"/>
      <c r="BJ80" s="50">
        <f t="shared" si="44"/>
        <v>0</v>
      </c>
      <c r="BL80" s="49"/>
      <c r="BM80" s="49"/>
      <c r="BN80" s="50">
        <f t="shared" si="45"/>
        <v>0</v>
      </c>
      <c r="BP80" s="49"/>
      <c r="BQ80" s="49"/>
      <c r="BR80" s="50">
        <f t="shared" si="46"/>
        <v>0</v>
      </c>
      <c r="BT80" s="49"/>
      <c r="BU80" s="49"/>
      <c r="BV80" s="50">
        <f t="shared" si="47"/>
        <v>0</v>
      </c>
      <c r="BX80" s="49"/>
      <c r="BY80" s="49"/>
      <c r="BZ80" s="50">
        <f t="shared" si="48"/>
        <v>0</v>
      </c>
      <c r="CB80" s="49"/>
      <c r="CC80" s="49"/>
      <c r="CD80" s="50">
        <f t="shared" si="49"/>
        <v>0</v>
      </c>
      <c r="CF80" s="49"/>
      <c r="CG80" s="49"/>
      <c r="CH80" s="50">
        <f t="shared" si="50"/>
        <v>0</v>
      </c>
      <c r="CJ80" s="49"/>
      <c r="CK80" s="49"/>
      <c r="CL80" s="50">
        <f t="shared" si="51"/>
        <v>0</v>
      </c>
      <c r="CN80" s="49"/>
      <c r="CO80" s="49"/>
      <c r="CP80" s="50">
        <f t="shared" si="52"/>
        <v>0</v>
      </c>
      <c r="CR80" s="49"/>
      <c r="CS80" s="49"/>
      <c r="CT80" s="50">
        <f t="shared" si="53"/>
        <v>0</v>
      </c>
      <c r="CV80" s="49"/>
      <c r="CW80" s="49"/>
      <c r="CX80" s="50">
        <f t="shared" si="54"/>
        <v>0</v>
      </c>
      <c r="CZ80" s="49"/>
      <c r="DA80" s="49"/>
      <c r="DB80" s="50">
        <f t="shared" si="55"/>
        <v>0</v>
      </c>
      <c r="DD80" s="49"/>
      <c r="DE80" s="49"/>
      <c r="DF80" s="50">
        <f t="shared" si="56"/>
        <v>0</v>
      </c>
      <c r="DH80" s="49"/>
      <c r="DI80" s="49"/>
      <c r="DJ80" s="50">
        <f t="shared" si="57"/>
        <v>0</v>
      </c>
      <c r="DL80" s="49"/>
      <c r="DM80" s="49"/>
      <c r="DN80" s="50">
        <f t="shared" si="58"/>
        <v>0</v>
      </c>
      <c r="DP80" s="49"/>
      <c r="DQ80" s="49"/>
      <c r="DR80" s="50">
        <f t="shared" si="59"/>
        <v>0</v>
      </c>
      <c r="DT80" s="49"/>
      <c r="DU80" s="49"/>
      <c r="DV80" s="50">
        <f t="shared" si="60"/>
        <v>0</v>
      </c>
      <c r="DX80" s="49"/>
      <c r="DY80" s="49"/>
      <c r="DZ80" s="50">
        <f t="shared" si="61"/>
        <v>0</v>
      </c>
      <c r="EB80" s="49">
        <f t="shared" si="62"/>
        <v>0</v>
      </c>
      <c r="EC80" s="49">
        <f t="shared" si="62"/>
        <v>0</v>
      </c>
      <c r="ED80" s="49">
        <f t="shared" si="62"/>
        <v>0</v>
      </c>
    </row>
    <row r="81" spans="2:134" ht="11" customHeight="1" x14ac:dyDescent="0.35">
      <c r="B81" s="4">
        <v>101030</v>
      </c>
      <c r="C81" s="4" t="s">
        <v>87</v>
      </c>
      <c r="D81" s="4">
        <v>24</v>
      </c>
      <c r="E81" s="5">
        <v>24</v>
      </c>
      <c r="F81" s="6">
        <v>192.453575</v>
      </c>
      <c r="G81" s="1"/>
      <c r="H81" s="49"/>
      <c r="I81" s="49"/>
      <c r="J81" s="50">
        <f t="shared" si="63"/>
        <v>0</v>
      </c>
      <c r="K81" s="9"/>
      <c r="L81" s="49"/>
      <c r="M81" s="49"/>
      <c r="N81" s="50">
        <f t="shared" si="32"/>
        <v>0</v>
      </c>
      <c r="O81" s="46"/>
      <c r="P81" s="49"/>
      <c r="Q81" s="49"/>
      <c r="R81" s="50">
        <f t="shared" si="33"/>
        <v>0</v>
      </c>
      <c r="T81" s="49"/>
      <c r="U81" s="49"/>
      <c r="V81" s="50">
        <f t="shared" si="34"/>
        <v>0</v>
      </c>
      <c r="X81" s="49"/>
      <c r="Y81" s="49"/>
      <c r="Z81" s="50">
        <f t="shared" si="35"/>
        <v>0</v>
      </c>
      <c r="AB81" s="49"/>
      <c r="AC81" s="49"/>
      <c r="AD81" s="50">
        <f t="shared" si="36"/>
        <v>0</v>
      </c>
      <c r="AF81" s="49"/>
      <c r="AG81" s="49"/>
      <c r="AH81" s="50">
        <f t="shared" si="37"/>
        <v>0</v>
      </c>
      <c r="AJ81" s="49"/>
      <c r="AK81" s="49"/>
      <c r="AL81" s="50">
        <f t="shared" si="38"/>
        <v>0</v>
      </c>
      <c r="AN81" s="49"/>
      <c r="AO81" s="49"/>
      <c r="AP81" s="50">
        <f t="shared" si="39"/>
        <v>0</v>
      </c>
      <c r="AR81" s="49"/>
      <c r="AS81" s="49"/>
      <c r="AT81" s="50">
        <f t="shared" si="40"/>
        <v>0</v>
      </c>
      <c r="AV81" s="49"/>
      <c r="AW81" s="49"/>
      <c r="AX81" s="50">
        <f t="shared" si="41"/>
        <v>0</v>
      </c>
      <c r="AZ81" s="49"/>
      <c r="BA81" s="49"/>
      <c r="BB81" s="50">
        <f t="shared" si="42"/>
        <v>0</v>
      </c>
      <c r="BD81" s="49"/>
      <c r="BE81" s="49"/>
      <c r="BF81" s="50">
        <f t="shared" si="43"/>
        <v>0</v>
      </c>
      <c r="BH81" s="49"/>
      <c r="BI81" s="49"/>
      <c r="BJ81" s="50">
        <f t="shared" si="44"/>
        <v>0</v>
      </c>
      <c r="BL81" s="49"/>
      <c r="BM81" s="49"/>
      <c r="BN81" s="50">
        <f t="shared" si="45"/>
        <v>0</v>
      </c>
      <c r="BP81" s="49"/>
      <c r="BQ81" s="49"/>
      <c r="BR81" s="50">
        <f t="shared" si="46"/>
        <v>0</v>
      </c>
      <c r="BT81" s="49"/>
      <c r="BU81" s="49"/>
      <c r="BV81" s="50">
        <f t="shared" si="47"/>
        <v>0</v>
      </c>
      <c r="BX81" s="49"/>
      <c r="BY81" s="49"/>
      <c r="BZ81" s="50">
        <f t="shared" si="48"/>
        <v>0</v>
      </c>
      <c r="CB81" s="49"/>
      <c r="CC81" s="49"/>
      <c r="CD81" s="50">
        <f t="shared" si="49"/>
        <v>0</v>
      </c>
      <c r="CF81" s="49"/>
      <c r="CG81" s="49"/>
      <c r="CH81" s="50">
        <f t="shared" si="50"/>
        <v>0</v>
      </c>
      <c r="CJ81" s="49"/>
      <c r="CK81" s="49"/>
      <c r="CL81" s="50">
        <f t="shared" si="51"/>
        <v>0</v>
      </c>
      <c r="CN81" s="49"/>
      <c r="CO81" s="49"/>
      <c r="CP81" s="50">
        <f t="shared" si="52"/>
        <v>0</v>
      </c>
      <c r="CR81" s="49"/>
      <c r="CS81" s="49"/>
      <c r="CT81" s="50">
        <f t="shared" si="53"/>
        <v>0</v>
      </c>
      <c r="CV81" s="49"/>
      <c r="CW81" s="49"/>
      <c r="CX81" s="50">
        <f t="shared" si="54"/>
        <v>0</v>
      </c>
      <c r="CZ81" s="49"/>
      <c r="DA81" s="49"/>
      <c r="DB81" s="50">
        <f t="shared" si="55"/>
        <v>0</v>
      </c>
      <c r="DD81" s="49"/>
      <c r="DE81" s="49"/>
      <c r="DF81" s="50">
        <f t="shared" si="56"/>
        <v>0</v>
      </c>
      <c r="DH81" s="49"/>
      <c r="DI81" s="49"/>
      <c r="DJ81" s="50">
        <f t="shared" si="57"/>
        <v>0</v>
      </c>
      <c r="DL81" s="49"/>
      <c r="DM81" s="49"/>
      <c r="DN81" s="50">
        <f t="shared" si="58"/>
        <v>0</v>
      </c>
      <c r="DP81" s="49"/>
      <c r="DQ81" s="49"/>
      <c r="DR81" s="50">
        <f t="shared" si="59"/>
        <v>0</v>
      </c>
      <c r="DT81" s="49"/>
      <c r="DU81" s="49"/>
      <c r="DV81" s="50">
        <f t="shared" si="60"/>
        <v>0</v>
      </c>
      <c r="DX81" s="49"/>
      <c r="DY81" s="49"/>
      <c r="DZ81" s="50">
        <f t="shared" si="61"/>
        <v>0</v>
      </c>
      <c r="EB81" s="49">
        <f t="shared" si="62"/>
        <v>0</v>
      </c>
      <c r="EC81" s="49">
        <f t="shared" si="62"/>
        <v>0</v>
      </c>
      <c r="ED81" s="49">
        <f t="shared" si="62"/>
        <v>0</v>
      </c>
    </row>
    <row r="82" spans="2:134" ht="11" customHeight="1" x14ac:dyDescent="0.35">
      <c r="B82" s="4">
        <v>101059</v>
      </c>
      <c r="C82" s="4" t="s">
        <v>88</v>
      </c>
      <c r="D82" s="4">
        <v>18</v>
      </c>
      <c r="E82" s="5">
        <v>18</v>
      </c>
      <c r="F82" s="6">
        <v>189.29879107400001</v>
      </c>
      <c r="G82" s="1"/>
      <c r="H82" s="49"/>
      <c r="I82" s="49"/>
      <c r="J82" s="50">
        <f t="shared" si="63"/>
        <v>0</v>
      </c>
      <c r="K82" s="9"/>
      <c r="L82" s="49"/>
      <c r="M82" s="49"/>
      <c r="N82" s="50">
        <f t="shared" si="32"/>
        <v>0</v>
      </c>
      <c r="O82" s="46"/>
      <c r="P82" s="49"/>
      <c r="Q82" s="49"/>
      <c r="R82" s="50">
        <f t="shared" si="33"/>
        <v>0</v>
      </c>
      <c r="T82" s="49"/>
      <c r="U82" s="49"/>
      <c r="V82" s="50">
        <f t="shared" si="34"/>
        <v>0</v>
      </c>
      <c r="X82" s="49"/>
      <c r="Y82" s="49"/>
      <c r="Z82" s="50">
        <f t="shared" si="35"/>
        <v>0</v>
      </c>
      <c r="AB82" s="49"/>
      <c r="AC82" s="49"/>
      <c r="AD82" s="50">
        <f t="shared" si="36"/>
        <v>0</v>
      </c>
      <c r="AF82" s="49"/>
      <c r="AG82" s="49"/>
      <c r="AH82" s="50">
        <f t="shared" si="37"/>
        <v>0</v>
      </c>
      <c r="AJ82" s="49"/>
      <c r="AK82" s="49"/>
      <c r="AL82" s="50">
        <f t="shared" si="38"/>
        <v>0</v>
      </c>
      <c r="AN82" s="49"/>
      <c r="AO82" s="49"/>
      <c r="AP82" s="50">
        <f t="shared" si="39"/>
        <v>0</v>
      </c>
      <c r="AR82" s="49"/>
      <c r="AS82" s="49"/>
      <c r="AT82" s="50">
        <f t="shared" si="40"/>
        <v>0</v>
      </c>
      <c r="AV82" s="49"/>
      <c r="AW82" s="49"/>
      <c r="AX82" s="50">
        <f t="shared" si="41"/>
        <v>0</v>
      </c>
      <c r="AZ82" s="49"/>
      <c r="BA82" s="49"/>
      <c r="BB82" s="50">
        <f t="shared" si="42"/>
        <v>0</v>
      </c>
      <c r="BD82" s="49"/>
      <c r="BE82" s="49"/>
      <c r="BF82" s="50">
        <f t="shared" si="43"/>
        <v>0</v>
      </c>
      <c r="BH82" s="49"/>
      <c r="BI82" s="49"/>
      <c r="BJ82" s="50">
        <f t="shared" si="44"/>
        <v>0</v>
      </c>
      <c r="BL82" s="49"/>
      <c r="BM82" s="49"/>
      <c r="BN82" s="50">
        <f t="shared" si="45"/>
        <v>0</v>
      </c>
      <c r="BP82" s="49"/>
      <c r="BQ82" s="49"/>
      <c r="BR82" s="50">
        <f t="shared" si="46"/>
        <v>0</v>
      </c>
      <c r="BT82" s="49"/>
      <c r="BU82" s="49"/>
      <c r="BV82" s="50">
        <f t="shared" si="47"/>
        <v>0</v>
      </c>
      <c r="BX82" s="49"/>
      <c r="BY82" s="49"/>
      <c r="BZ82" s="50">
        <f t="shared" si="48"/>
        <v>0</v>
      </c>
      <c r="CB82" s="49"/>
      <c r="CC82" s="49"/>
      <c r="CD82" s="50">
        <f t="shared" si="49"/>
        <v>0</v>
      </c>
      <c r="CF82" s="49"/>
      <c r="CG82" s="49"/>
      <c r="CH82" s="50">
        <f t="shared" si="50"/>
        <v>0</v>
      </c>
      <c r="CJ82" s="49"/>
      <c r="CK82" s="49"/>
      <c r="CL82" s="50">
        <f t="shared" si="51"/>
        <v>0</v>
      </c>
      <c r="CN82" s="49"/>
      <c r="CO82" s="49"/>
      <c r="CP82" s="50">
        <f t="shared" si="52"/>
        <v>0</v>
      </c>
      <c r="CR82" s="49"/>
      <c r="CS82" s="49"/>
      <c r="CT82" s="50">
        <f t="shared" si="53"/>
        <v>0</v>
      </c>
      <c r="CV82" s="49"/>
      <c r="CW82" s="49"/>
      <c r="CX82" s="50">
        <f t="shared" si="54"/>
        <v>0</v>
      </c>
      <c r="CZ82" s="49"/>
      <c r="DA82" s="49"/>
      <c r="DB82" s="50">
        <f t="shared" si="55"/>
        <v>0</v>
      </c>
      <c r="DD82" s="49"/>
      <c r="DE82" s="49"/>
      <c r="DF82" s="50">
        <f t="shared" si="56"/>
        <v>0</v>
      </c>
      <c r="DH82" s="49"/>
      <c r="DI82" s="49"/>
      <c r="DJ82" s="50">
        <f t="shared" si="57"/>
        <v>0</v>
      </c>
      <c r="DL82" s="49"/>
      <c r="DM82" s="49"/>
      <c r="DN82" s="50">
        <f t="shared" si="58"/>
        <v>0</v>
      </c>
      <c r="DP82" s="49"/>
      <c r="DQ82" s="49"/>
      <c r="DR82" s="50">
        <f t="shared" si="59"/>
        <v>0</v>
      </c>
      <c r="DT82" s="49"/>
      <c r="DU82" s="49"/>
      <c r="DV82" s="50">
        <f t="shared" si="60"/>
        <v>0</v>
      </c>
      <c r="DX82" s="49"/>
      <c r="DY82" s="49"/>
      <c r="DZ82" s="50">
        <f t="shared" si="61"/>
        <v>0</v>
      </c>
      <c r="EB82" s="49">
        <f t="shared" si="62"/>
        <v>0</v>
      </c>
      <c r="EC82" s="49">
        <f t="shared" si="62"/>
        <v>0</v>
      </c>
      <c r="ED82" s="49">
        <f t="shared" si="62"/>
        <v>0</v>
      </c>
    </row>
    <row r="83" spans="2:134" ht="11" customHeight="1" x14ac:dyDescent="0.35">
      <c r="B83" s="4">
        <v>101404</v>
      </c>
      <c r="C83" s="4" t="s">
        <v>89</v>
      </c>
      <c r="D83" s="4">
        <v>18</v>
      </c>
      <c r="E83" s="5">
        <v>18</v>
      </c>
      <c r="F83" s="6">
        <v>141.97409327599999</v>
      </c>
      <c r="G83" s="1"/>
      <c r="H83" s="49"/>
      <c r="I83" s="49"/>
      <c r="J83" s="50">
        <f t="shared" si="63"/>
        <v>0</v>
      </c>
      <c r="K83" s="9"/>
      <c r="L83" s="49"/>
      <c r="M83" s="49"/>
      <c r="N83" s="50">
        <f t="shared" si="32"/>
        <v>0</v>
      </c>
      <c r="O83" s="46"/>
      <c r="P83" s="49"/>
      <c r="Q83" s="49"/>
      <c r="R83" s="50">
        <f t="shared" si="33"/>
        <v>0</v>
      </c>
      <c r="T83" s="49"/>
      <c r="U83" s="49"/>
      <c r="V83" s="50">
        <f t="shared" si="34"/>
        <v>0</v>
      </c>
      <c r="X83" s="49"/>
      <c r="Y83" s="49"/>
      <c r="Z83" s="50">
        <f t="shared" si="35"/>
        <v>0</v>
      </c>
      <c r="AB83" s="49"/>
      <c r="AC83" s="49"/>
      <c r="AD83" s="50">
        <f t="shared" si="36"/>
        <v>0</v>
      </c>
      <c r="AF83" s="49"/>
      <c r="AG83" s="49"/>
      <c r="AH83" s="50">
        <f t="shared" si="37"/>
        <v>0</v>
      </c>
      <c r="AJ83" s="49"/>
      <c r="AK83" s="49"/>
      <c r="AL83" s="50">
        <f t="shared" si="38"/>
        <v>0</v>
      </c>
      <c r="AN83" s="49"/>
      <c r="AO83" s="49"/>
      <c r="AP83" s="50">
        <f t="shared" si="39"/>
        <v>0</v>
      </c>
      <c r="AR83" s="49"/>
      <c r="AS83" s="49"/>
      <c r="AT83" s="50">
        <f t="shared" si="40"/>
        <v>0</v>
      </c>
      <c r="AV83" s="49"/>
      <c r="AW83" s="49"/>
      <c r="AX83" s="50">
        <f t="shared" si="41"/>
        <v>0</v>
      </c>
      <c r="AZ83" s="49"/>
      <c r="BA83" s="49"/>
      <c r="BB83" s="50">
        <f t="shared" si="42"/>
        <v>0</v>
      </c>
      <c r="BD83" s="49"/>
      <c r="BE83" s="49"/>
      <c r="BF83" s="50">
        <f t="shared" si="43"/>
        <v>0</v>
      </c>
      <c r="BH83" s="49"/>
      <c r="BI83" s="49"/>
      <c r="BJ83" s="50">
        <f t="shared" si="44"/>
        <v>0</v>
      </c>
      <c r="BL83" s="49"/>
      <c r="BM83" s="49"/>
      <c r="BN83" s="50">
        <f t="shared" si="45"/>
        <v>0</v>
      </c>
      <c r="BP83" s="49"/>
      <c r="BQ83" s="49"/>
      <c r="BR83" s="50">
        <f t="shared" si="46"/>
        <v>0</v>
      </c>
      <c r="BT83" s="49"/>
      <c r="BU83" s="49"/>
      <c r="BV83" s="50">
        <f t="shared" si="47"/>
        <v>0</v>
      </c>
      <c r="BX83" s="49"/>
      <c r="BY83" s="49"/>
      <c r="BZ83" s="50">
        <f t="shared" si="48"/>
        <v>0</v>
      </c>
      <c r="CB83" s="49"/>
      <c r="CC83" s="49"/>
      <c r="CD83" s="50">
        <f t="shared" si="49"/>
        <v>0</v>
      </c>
      <c r="CF83" s="49"/>
      <c r="CG83" s="49"/>
      <c r="CH83" s="50">
        <f t="shared" si="50"/>
        <v>0</v>
      </c>
      <c r="CJ83" s="49"/>
      <c r="CK83" s="49"/>
      <c r="CL83" s="50">
        <f t="shared" si="51"/>
        <v>0</v>
      </c>
      <c r="CN83" s="49"/>
      <c r="CO83" s="49"/>
      <c r="CP83" s="50">
        <f t="shared" si="52"/>
        <v>0</v>
      </c>
      <c r="CR83" s="49"/>
      <c r="CS83" s="49"/>
      <c r="CT83" s="50">
        <f t="shared" si="53"/>
        <v>0</v>
      </c>
      <c r="CV83" s="49"/>
      <c r="CW83" s="49"/>
      <c r="CX83" s="50">
        <f t="shared" si="54"/>
        <v>0</v>
      </c>
      <c r="CZ83" s="49"/>
      <c r="DA83" s="49"/>
      <c r="DB83" s="50">
        <f t="shared" si="55"/>
        <v>0</v>
      </c>
      <c r="DD83" s="49"/>
      <c r="DE83" s="49"/>
      <c r="DF83" s="50">
        <f t="shared" si="56"/>
        <v>0</v>
      </c>
      <c r="DH83" s="49"/>
      <c r="DI83" s="49"/>
      <c r="DJ83" s="50">
        <f t="shared" si="57"/>
        <v>0</v>
      </c>
      <c r="DL83" s="49"/>
      <c r="DM83" s="49"/>
      <c r="DN83" s="50">
        <f t="shared" si="58"/>
        <v>0</v>
      </c>
      <c r="DP83" s="49"/>
      <c r="DQ83" s="49"/>
      <c r="DR83" s="50">
        <f t="shared" si="59"/>
        <v>0</v>
      </c>
      <c r="DT83" s="49"/>
      <c r="DU83" s="49"/>
      <c r="DV83" s="50">
        <f t="shared" si="60"/>
        <v>0</v>
      </c>
      <c r="DX83" s="49"/>
      <c r="DY83" s="49"/>
      <c r="DZ83" s="50">
        <f t="shared" si="61"/>
        <v>0</v>
      </c>
      <c r="EB83" s="49">
        <f t="shared" si="62"/>
        <v>0</v>
      </c>
      <c r="EC83" s="49">
        <f t="shared" si="62"/>
        <v>0</v>
      </c>
      <c r="ED83" s="49">
        <f t="shared" si="62"/>
        <v>0</v>
      </c>
    </row>
    <row r="84" spans="2:134" ht="11" customHeight="1" x14ac:dyDescent="0.35">
      <c r="B84" s="4">
        <v>104055</v>
      </c>
      <c r="C84" s="4" t="s">
        <v>90</v>
      </c>
      <c r="D84" s="4">
        <v>25</v>
      </c>
      <c r="E84" s="5">
        <v>24</v>
      </c>
      <c r="F84" s="6">
        <v>100.236575</v>
      </c>
      <c r="G84" s="1"/>
      <c r="H84" s="49"/>
      <c r="I84" s="49"/>
      <c r="J84" s="50">
        <f t="shared" si="63"/>
        <v>0</v>
      </c>
      <c r="K84" s="9"/>
      <c r="L84" s="49"/>
      <c r="M84" s="49"/>
      <c r="N84" s="50">
        <f t="shared" si="32"/>
        <v>0</v>
      </c>
      <c r="O84" s="46"/>
      <c r="P84" s="49"/>
      <c r="Q84" s="49"/>
      <c r="R84" s="50">
        <f t="shared" si="33"/>
        <v>0</v>
      </c>
      <c r="T84" s="49"/>
      <c r="U84" s="49"/>
      <c r="V84" s="50">
        <f t="shared" si="34"/>
        <v>0</v>
      </c>
      <c r="X84" s="49"/>
      <c r="Y84" s="49"/>
      <c r="Z84" s="50">
        <f t="shared" si="35"/>
        <v>0</v>
      </c>
      <c r="AB84" s="49"/>
      <c r="AC84" s="49"/>
      <c r="AD84" s="50">
        <f t="shared" si="36"/>
        <v>0</v>
      </c>
      <c r="AF84" s="49"/>
      <c r="AG84" s="49"/>
      <c r="AH84" s="50">
        <f t="shared" si="37"/>
        <v>0</v>
      </c>
      <c r="AJ84" s="49"/>
      <c r="AK84" s="49"/>
      <c r="AL84" s="50">
        <f t="shared" si="38"/>
        <v>0</v>
      </c>
      <c r="AN84" s="49"/>
      <c r="AO84" s="49"/>
      <c r="AP84" s="50">
        <f t="shared" si="39"/>
        <v>0</v>
      </c>
      <c r="AR84" s="49"/>
      <c r="AS84" s="49"/>
      <c r="AT84" s="50">
        <f t="shared" si="40"/>
        <v>0</v>
      </c>
      <c r="AV84" s="49"/>
      <c r="AW84" s="49"/>
      <c r="AX84" s="50">
        <f t="shared" si="41"/>
        <v>0</v>
      </c>
      <c r="AZ84" s="49"/>
      <c r="BA84" s="49"/>
      <c r="BB84" s="50">
        <f t="shared" si="42"/>
        <v>0</v>
      </c>
      <c r="BD84" s="49"/>
      <c r="BE84" s="49"/>
      <c r="BF84" s="50">
        <f t="shared" si="43"/>
        <v>0</v>
      </c>
      <c r="BH84" s="49"/>
      <c r="BI84" s="49"/>
      <c r="BJ84" s="50">
        <f t="shared" si="44"/>
        <v>0</v>
      </c>
      <c r="BL84" s="49"/>
      <c r="BM84" s="49"/>
      <c r="BN84" s="50">
        <f t="shared" si="45"/>
        <v>0</v>
      </c>
      <c r="BP84" s="49"/>
      <c r="BQ84" s="49"/>
      <c r="BR84" s="50">
        <f t="shared" si="46"/>
        <v>0</v>
      </c>
      <c r="BT84" s="49"/>
      <c r="BU84" s="49"/>
      <c r="BV84" s="50">
        <f t="shared" si="47"/>
        <v>0</v>
      </c>
      <c r="BX84" s="49"/>
      <c r="BY84" s="49"/>
      <c r="BZ84" s="50">
        <f t="shared" si="48"/>
        <v>0</v>
      </c>
      <c r="CB84" s="49"/>
      <c r="CC84" s="49"/>
      <c r="CD84" s="50">
        <f t="shared" si="49"/>
        <v>0</v>
      </c>
      <c r="CF84" s="49"/>
      <c r="CG84" s="49"/>
      <c r="CH84" s="50">
        <f t="shared" si="50"/>
        <v>0</v>
      </c>
      <c r="CJ84" s="49"/>
      <c r="CK84" s="49"/>
      <c r="CL84" s="50">
        <f t="shared" si="51"/>
        <v>0</v>
      </c>
      <c r="CN84" s="49"/>
      <c r="CO84" s="49"/>
      <c r="CP84" s="50">
        <f t="shared" si="52"/>
        <v>0</v>
      </c>
      <c r="CR84" s="49"/>
      <c r="CS84" s="49"/>
      <c r="CT84" s="50">
        <f t="shared" si="53"/>
        <v>0</v>
      </c>
      <c r="CV84" s="49"/>
      <c r="CW84" s="49"/>
      <c r="CX84" s="50">
        <f t="shared" si="54"/>
        <v>0</v>
      </c>
      <c r="CZ84" s="49"/>
      <c r="DA84" s="49"/>
      <c r="DB84" s="50">
        <f t="shared" si="55"/>
        <v>0</v>
      </c>
      <c r="DD84" s="49"/>
      <c r="DE84" s="49"/>
      <c r="DF84" s="50">
        <f t="shared" si="56"/>
        <v>0</v>
      </c>
      <c r="DH84" s="49"/>
      <c r="DI84" s="49"/>
      <c r="DJ84" s="50">
        <f t="shared" si="57"/>
        <v>0</v>
      </c>
      <c r="DL84" s="49"/>
      <c r="DM84" s="49"/>
      <c r="DN84" s="50">
        <f t="shared" si="58"/>
        <v>0</v>
      </c>
      <c r="DP84" s="49"/>
      <c r="DQ84" s="49"/>
      <c r="DR84" s="50">
        <f t="shared" si="59"/>
        <v>0</v>
      </c>
      <c r="DT84" s="49"/>
      <c r="DU84" s="49"/>
      <c r="DV84" s="50">
        <f t="shared" si="60"/>
        <v>0</v>
      </c>
      <c r="DX84" s="49"/>
      <c r="DY84" s="49"/>
      <c r="DZ84" s="50">
        <f t="shared" si="61"/>
        <v>0</v>
      </c>
      <c r="EB84" s="49">
        <f t="shared" si="62"/>
        <v>0</v>
      </c>
      <c r="EC84" s="49">
        <f t="shared" si="62"/>
        <v>0</v>
      </c>
      <c r="ED84" s="49">
        <f t="shared" si="62"/>
        <v>0</v>
      </c>
    </row>
    <row r="85" spans="2:134" ht="11" customHeight="1" x14ac:dyDescent="0.35">
      <c r="B85" s="4">
        <v>101935</v>
      </c>
      <c r="C85" s="4" t="s">
        <v>91</v>
      </c>
      <c r="D85" s="4">
        <v>12</v>
      </c>
      <c r="E85" s="5">
        <v>8</v>
      </c>
      <c r="F85" s="6">
        <v>39.4372481296</v>
      </c>
      <c r="G85" s="1"/>
      <c r="H85" s="49"/>
      <c r="I85" s="49"/>
      <c r="J85" s="50">
        <f t="shared" si="63"/>
        <v>0</v>
      </c>
      <c r="K85" s="9"/>
      <c r="L85" s="49"/>
      <c r="M85" s="49"/>
      <c r="N85" s="50">
        <f t="shared" si="32"/>
        <v>0</v>
      </c>
      <c r="O85" s="46"/>
      <c r="P85" s="49"/>
      <c r="Q85" s="49"/>
      <c r="R85" s="50">
        <f t="shared" si="33"/>
        <v>0</v>
      </c>
      <c r="T85" s="49"/>
      <c r="U85" s="49"/>
      <c r="V85" s="50">
        <f t="shared" si="34"/>
        <v>0</v>
      </c>
      <c r="X85" s="49"/>
      <c r="Y85" s="49"/>
      <c r="Z85" s="50">
        <f t="shared" si="35"/>
        <v>0</v>
      </c>
      <c r="AB85" s="49"/>
      <c r="AC85" s="49"/>
      <c r="AD85" s="50">
        <f t="shared" si="36"/>
        <v>0</v>
      </c>
      <c r="AF85" s="49"/>
      <c r="AG85" s="49"/>
      <c r="AH85" s="50">
        <f t="shared" si="37"/>
        <v>0</v>
      </c>
      <c r="AJ85" s="49"/>
      <c r="AK85" s="49"/>
      <c r="AL85" s="50">
        <f t="shared" si="38"/>
        <v>0</v>
      </c>
      <c r="AN85" s="49"/>
      <c r="AO85" s="49"/>
      <c r="AP85" s="50">
        <f t="shared" si="39"/>
        <v>0</v>
      </c>
      <c r="AR85" s="49"/>
      <c r="AS85" s="49"/>
      <c r="AT85" s="50">
        <f t="shared" si="40"/>
        <v>0</v>
      </c>
      <c r="AV85" s="49"/>
      <c r="AW85" s="49"/>
      <c r="AX85" s="50">
        <f t="shared" si="41"/>
        <v>0</v>
      </c>
      <c r="AZ85" s="49"/>
      <c r="BA85" s="49"/>
      <c r="BB85" s="50">
        <f t="shared" si="42"/>
        <v>0</v>
      </c>
      <c r="BD85" s="49"/>
      <c r="BE85" s="49"/>
      <c r="BF85" s="50">
        <f t="shared" si="43"/>
        <v>0</v>
      </c>
      <c r="BH85" s="49"/>
      <c r="BI85" s="49"/>
      <c r="BJ85" s="50">
        <f t="shared" si="44"/>
        <v>0</v>
      </c>
      <c r="BL85" s="49"/>
      <c r="BM85" s="49"/>
      <c r="BN85" s="50">
        <f t="shared" si="45"/>
        <v>0</v>
      </c>
      <c r="BP85" s="49"/>
      <c r="BQ85" s="49"/>
      <c r="BR85" s="50">
        <f t="shared" si="46"/>
        <v>0</v>
      </c>
      <c r="BT85" s="49"/>
      <c r="BU85" s="49"/>
      <c r="BV85" s="50">
        <f t="shared" si="47"/>
        <v>0</v>
      </c>
      <c r="BX85" s="49"/>
      <c r="BY85" s="49"/>
      <c r="BZ85" s="50">
        <f t="shared" si="48"/>
        <v>0</v>
      </c>
      <c r="CB85" s="49"/>
      <c r="CC85" s="49"/>
      <c r="CD85" s="50">
        <f t="shared" si="49"/>
        <v>0</v>
      </c>
      <c r="CF85" s="49"/>
      <c r="CG85" s="49"/>
      <c r="CH85" s="50">
        <f t="shared" si="50"/>
        <v>0</v>
      </c>
      <c r="CJ85" s="49"/>
      <c r="CK85" s="49"/>
      <c r="CL85" s="50">
        <f t="shared" si="51"/>
        <v>0</v>
      </c>
      <c r="CN85" s="49"/>
      <c r="CO85" s="49"/>
      <c r="CP85" s="50">
        <f t="shared" si="52"/>
        <v>0</v>
      </c>
      <c r="CR85" s="49"/>
      <c r="CS85" s="49"/>
      <c r="CT85" s="50">
        <f t="shared" si="53"/>
        <v>0</v>
      </c>
      <c r="CV85" s="49"/>
      <c r="CW85" s="49"/>
      <c r="CX85" s="50">
        <f t="shared" si="54"/>
        <v>0</v>
      </c>
      <c r="CZ85" s="49"/>
      <c r="DA85" s="49"/>
      <c r="DB85" s="50">
        <f t="shared" si="55"/>
        <v>0</v>
      </c>
      <c r="DD85" s="49"/>
      <c r="DE85" s="49"/>
      <c r="DF85" s="50">
        <f t="shared" si="56"/>
        <v>0</v>
      </c>
      <c r="DH85" s="49"/>
      <c r="DI85" s="49"/>
      <c r="DJ85" s="50">
        <f t="shared" si="57"/>
        <v>0</v>
      </c>
      <c r="DL85" s="49"/>
      <c r="DM85" s="49"/>
      <c r="DN85" s="50">
        <f t="shared" si="58"/>
        <v>0</v>
      </c>
      <c r="DP85" s="49"/>
      <c r="DQ85" s="49"/>
      <c r="DR85" s="50">
        <f t="shared" si="59"/>
        <v>0</v>
      </c>
      <c r="DT85" s="49"/>
      <c r="DU85" s="49"/>
      <c r="DV85" s="50">
        <f t="shared" si="60"/>
        <v>0</v>
      </c>
      <c r="DX85" s="49"/>
      <c r="DY85" s="49"/>
      <c r="DZ85" s="50">
        <f t="shared" si="61"/>
        <v>0</v>
      </c>
      <c r="EB85" s="49">
        <f t="shared" si="62"/>
        <v>0</v>
      </c>
      <c r="EC85" s="49">
        <f t="shared" si="62"/>
        <v>0</v>
      </c>
      <c r="ED85" s="49">
        <f t="shared" si="62"/>
        <v>0</v>
      </c>
    </row>
    <row r="86" spans="2:134" ht="11" customHeight="1" x14ac:dyDescent="0.35">
      <c r="B86" s="4">
        <v>111007</v>
      </c>
      <c r="C86" s="4" t="s">
        <v>92</v>
      </c>
      <c r="D86" s="4">
        <v>24</v>
      </c>
      <c r="E86" s="5">
        <v>18</v>
      </c>
      <c r="F86" s="6">
        <v>193.64193294</v>
      </c>
      <c r="G86" s="1"/>
      <c r="H86" s="49"/>
      <c r="I86" s="49"/>
      <c r="J86" s="50">
        <f t="shared" si="63"/>
        <v>0</v>
      </c>
      <c r="K86" s="9"/>
      <c r="L86" s="49"/>
      <c r="M86" s="49"/>
      <c r="N86" s="50">
        <f t="shared" si="32"/>
        <v>0</v>
      </c>
      <c r="O86" s="46"/>
      <c r="P86" s="49"/>
      <c r="Q86" s="49"/>
      <c r="R86" s="50">
        <f t="shared" si="33"/>
        <v>0</v>
      </c>
      <c r="T86" s="49"/>
      <c r="U86" s="49"/>
      <c r="V86" s="50">
        <f t="shared" si="34"/>
        <v>0</v>
      </c>
      <c r="X86" s="49"/>
      <c r="Y86" s="49"/>
      <c r="Z86" s="50">
        <f t="shared" si="35"/>
        <v>0</v>
      </c>
      <c r="AB86" s="49"/>
      <c r="AC86" s="49"/>
      <c r="AD86" s="50">
        <f t="shared" si="36"/>
        <v>0</v>
      </c>
      <c r="AF86" s="49"/>
      <c r="AG86" s="49"/>
      <c r="AH86" s="50">
        <f t="shared" si="37"/>
        <v>0</v>
      </c>
      <c r="AJ86" s="49"/>
      <c r="AK86" s="49"/>
      <c r="AL86" s="50">
        <f t="shared" si="38"/>
        <v>0</v>
      </c>
      <c r="AN86" s="49"/>
      <c r="AO86" s="49"/>
      <c r="AP86" s="50">
        <f t="shared" si="39"/>
        <v>0</v>
      </c>
      <c r="AR86" s="49"/>
      <c r="AS86" s="49"/>
      <c r="AT86" s="50">
        <f t="shared" si="40"/>
        <v>0</v>
      </c>
      <c r="AV86" s="49"/>
      <c r="AW86" s="49"/>
      <c r="AX86" s="50">
        <f t="shared" si="41"/>
        <v>0</v>
      </c>
      <c r="AZ86" s="49"/>
      <c r="BA86" s="49"/>
      <c r="BB86" s="50">
        <f t="shared" si="42"/>
        <v>0</v>
      </c>
      <c r="BD86" s="49"/>
      <c r="BE86" s="49"/>
      <c r="BF86" s="50">
        <f t="shared" si="43"/>
        <v>0</v>
      </c>
      <c r="BH86" s="49"/>
      <c r="BI86" s="49"/>
      <c r="BJ86" s="50">
        <f t="shared" si="44"/>
        <v>0</v>
      </c>
      <c r="BL86" s="49"/>
      <c r="BM86" s="49"/>
      <c r="BN86" s="50">
        <f t="shared" si="45"/>
        <v>0</v>
      </c>
      <c r="BP86" s="49"/>
      <c r="BQ86" s="49"/>
      <c r="BR86" s="50">
        <f t="shared" si="46"/>
        <v>0</v>
      </c>
      <c r="BT86" s="49"/>
      <c r="BU86" s="49"/>
      <c r="BV86" s="50">
        <f t="shared" si="47"/>
        <v>0</v>
      </c>
      <c r="BX86" s="49"/>
      <c r="BY86" s="49"/>
      <c r="BZ86" s="50">
        <f t="shared" si="48"/>
        <v>0</v>
      </c>
      <c r="CB86" s="49"/>
      <c r="CC86" s="49"/>
      <c r="CD86" s="50">
        <f t="shared" si="49"/>
        <v>0</v>
      </c>
      <c r="CF86" s="49"/>
      <c r="CG86" s="49"/>
      <c r="CH86" s="50">
        <f t="shared" si="50"/>
        <v>0</v>
      </c>
      <c r="CJ86" s="49"/>
      <c r="CK86" s="49"/>
      <c r="CL86" s="50">
        <f t="shared" si="51"/>
        <v>0</v>
      </c>
      <c r="CN86" s="49"/>
      <c r="CO86" s="49"/>
      <c r="CP86" s="50">
        <f t="shared" si="52"/>
        <v>0</v>
      </c>
      <c r="CR86" s="49"/>
      <c r="CS86" s="49"/>
      <c r="CT86" s="50">
        <f t="shared" si="53"/>
        <v>0</v>
      </c>
      <c r="CV86" s="49"/>
      <c r="CW86" s="49"/>
      <c r="CX86" s="50">
        <f t="shared" si="54"/>
        <v>0</v>
      </c>
      <c r="CZ86" s="49"/>
      <c r="DA86" s="49"/>
      <c r="DB86" s="50">
        <f t="shared" si="55"/>
        <v>0</v>
      </c>
      <c r="DD86" s="49"/>
      <c r="DE86" s="49"/>
      <c r="DF86" s="50">
        <f t="shared" si="56"/>
        <v>0</v>
      </c>
      <c r="DH86" s="49"/>
      <c r="DI86" s="49"/>
      <c r="DJ86" s="50">
        <f t="shared" si="57"/>
        <v>0</v>
      </c>
      <c r="DL86" s="49"/>
      <c r="DM86" s="49"/>
      <c r="DN86" s="50">
        <f t="shared" si="58"/>
        <v>0</v>
      </c>
      <c r="DP86" s="49"/>
      <c r="DQ86" s="49"/>
      <c r="DR86" s="50">
        <f t="shared" si="59"/>
        <v>0</v>
      </c>
      <c r="DT86" s="49"/>
      <c r="DU86" s="49"/>
      <c r="DV86" s="50">
        <f t="shared" si="60"/>
        <v>0</v>
      </c>
      <c r="DX86" s="49"/>
      <c r="DY86" s="49"/>
      <c r="DZ86" s="50">
        <f t="shared" si="61"/>
        <v>0</v>
      </c>
      <c r="EB86" s="49">
        <f t="shared" si="62"/>
        <v>0</v>
      </c>
      <c r="EC86" s="49">
        <f t="shared" si="62"/>
        <v>0</v>
      </c>
      <c r="ED86" s="49">
        <f t="shared" si="62"/>
        <v>0</v>
      </c>
    </row>
    <row r="87" spans="2:134" ht="11" customHeight="1" x14ac:dyDescent="0.35">
      <c r="B87" s="4">
        <v>111102</v>
      </c>
      <c r="C87" s="14" t="s">
        <v>93</v>
      </c>
      <c r="D87" s="4">
        <v>18</v>
      </c>
      <c r="E87" s="5">
        <v>18</v>
      </c>
      <c r="F87" s="6">
        <v>193.64193294</v>
      </c>
      <c r="G87" s="1"/>
      <c r="H87" s="49"/>
      <c r="I87" s="49"/>
      <c r="J87" s="50">
        <f t="shared" si="63"/>
        <v>0</v>
      </c>
      <c r="K87" s="9"/>
      <c r="L87" s="49"/>
      <c r="M87" s="49"/>
      <c r="N87" s="50">
        <f t="shared" si="32"/>
        <v>0</v>
      </c>
      <c r="O87" s="46"/>
      <c r="P87" s="49"/>
      <c r="Q87" s="49"/>
      <c r="R87" s="50">
        <f t="shared" si="33"/>
        <v>0</v>
      </c>
      <c r="T87" s="49"/>
      <c r="U87" s="49"/>
      <c r="V87" s="50">
        <f t="shared" si="34"/>
        <v>0</v>
      </c>
      <c r="X87" s="49"/>
      <c r="Y87" s="49"/>
      <c r="Z87" s="50">
        <f t="shared" si="35"/>
        <v>0</v>
      </c>
      <c r="AB87" s="49"/>
      <c r="AC87" s="49"/>
      <c r="AD87" s="50">
        <f t="shared" si="36"/>
        <v>0</v>
      </c>
      <c r="AF87" s="49"/>
      <c r="AG87" s="49"/>
      <c r="AH87" s="50">
        <f t="shared" si="37"/>
        <v>0</v>
      </c>
      <c r="AJ87" s="49"/>
      <c r="AK87" s="49"/>
      <c r="AL87" s="50">
        <f t="shared" si="38"/>
        <v>0</v>
      </c>
      <c r="AN87" s="49"/>
      <c r="AO87" s="49"/>
      <c r="AP87" s="50">
        <f t="shared" si="39"/>
        <v>0</v>
      </c>
      <c r="AR87" s="49"/>
      <c r="AS87" s="49"/>
      <c r="AT87" s="50">
        <f t="shared" si="40"/>
        <v>0</v>
      </c>
      <c r="AV87" s="49"/>
      <c r="AW87" s="49"/>
      <c r="AX87" s="50">
        <f t="shared" si="41"/>
        <v>0</v>
      </c>
      <c r="AZ87" s="49"/>
      <c r="BA87" s="49"/>
      <c r="BB87" s="50">
        <f t="shared" si="42"/>
        <v>0</v>
      </c>
      <c r="BD87" s="49"/>
      <c r="BE87" s="49"/>
      <c r="BF87" s="50">
        <f t="shared" si="43"/>
        <v>0</v>
      </c>
      <c r="BH87" s="49"/>
      <c r="BI87" s="49"/>
      <c r="BJ87" s="50">
        <f t="shared" si="44"/>
        <v>0</v>
      </c>
      <c r="BL87" s="49"/>
      <c r="BM87" s="49"/>
      <c r="BN87" s="50">
        <f t="shared" si="45"/>
        <v>0</v>
      </c>
      <c r="BP87" s="49"/>
      <c r="BQ87" s="49"/>
      <c r="BR87" s="50">
        <f t="shared" si="46"/>
        <v>0</v>
      </c>
      <c r="BT87" s="49"/>
      <c r="BU87" s="49"/>
      <c r="BV87" s="50">
        <f t="shared" si="47"/>
        <v>0</v>
      </c>
      <c r="BX87" s="49"/>
      <c r="BY87" s="49"/>
      <c r="BZ87" s="50">
        <f t="shared" si="48"/>
        <v>0</v>
      </c>
      <c r="CB87" s="49"/>
      <c r="CC87" s="49"/>
      <c r="CD87" s="50">
        <f t="shared" si="49"/>
        <v>0</v>
      </c>
      <c r="CF87" s="49"/>
      <c r="CG87" s="49"/>
      <c r="CH87" s="50">
        <f t="shared" si="50"/>
        <v>0</v>
      </c>
      <c r="CJ87" s="49"/>
      <c r="CK87" s="49"/>
      <c r="CL87" s="50">
        <f t="shared" si="51"/>
        <v>0</v>
      </c>
      <c r="CN87" s="49"/>
      <c r="CO87" s="49"/>
      <c r="CP87" s="50">
        <f t="shared" si="52"/>
        <v>0</v>
      </c>
      <c r="CR87" s="49"/>
      <c r="CS87" s="49"/>
      <c r="CT87" s="50">
        <f t="shared" si="53"/>
        <v>0</v>
      </c>
      <c r="CV87" s="49"/>
      <c r="CW87" s="49"/>
      <c r="CX87" s="50">
        <f t="shared" si="54"/>
        <v>0</v>
      </c>
      <c r="CZ87" s="49"/>
      <c r="DA87" s="49"/>
      <c r="DB87" s="50">
        <f t="shared" si="55"/>
        <v>0</v>
      </c>
      <c r="DD87" s="49"/>
      <c r="DE87" s="49"/>
      <c r="DF87" s="50">
        <f t="shared" si="56"/>
        <v>0</v>
      </c>
      <c r="DH87" s="49"/>
      <c r="DI87" s="49"/>
      <c r="DJ87" s="50">
        <f t="shared" si="57"/>
        <v>0</v>
      </c>
      <c r="DL87" s="49"/>
      <c r="DM87" s="49"/>
      <c r="DN87" s="50">
        <f t="shared" si="58"/>
        <v>0</v>
      </c>
      <c r="DP87" s="49"/>
      <c r="DQ87" s="49"/>
      <c r="DR87" s="50">
        <f t="shared" si="59"/>
        <v>0</v>
      </c>
      <c r="DT87" s="49"/>
      <c r="DU87" s="49"/>
      <c r="DV87" s="50">
        <f t="shared" si="60"/>
        <v>0</v>
      </c>
      <c r="DX87" s="49"/>
      <c r="DY87" s="49"/>
      <c r="DZ87" s="50">
        <f t="shared" si="61"/>
        <v>0</v>
      </c>
      <c r="EB87" s="49">
        <f t="shared" si="62"/>
        <v>0</v>
      </c>
      <c r="EC87" s="49">
        <f t="shared" si="62"/>
        <v>0</v>
      </c>
      <c r="ED87" s="49">
        <f t="shared" si="62"/>
        <v>0</v>
      </c>
    </row>
    <row r="88" spans="2:134" ht="11" customHeight="1" x14ac:dyDescent="0.35">
      <c r="B88" s="4">
        <v>111130</v>
      </c>
      <c r="C88" s="4" t="s">
        <v>94</v>
      </c>
      <c r="D88" s="4">
        <v>24</v>
      </c>
      <c r="E88" s="5">
        <v>18</v>
      </c>
      <c r="F88" s="6">
        <v>193.64193294</v>
      </c>
      <c r="G88" s="1"/>
      <c r="H88" s="49"/>
      <c r="I88" s="49"/>
      <c r="J88" s="50">
        <f t="shared" si="63"/>
        <v>0</v>
      </c>
      <c r="K88" s="9"/>
      <c r="L88" s="49"/>
      <c r="M88" s="49"/>
      <c r="N88" s="50">
        <f t="shared" si="32"/>
        <v>0</v>
      </c>
      <c r="O88" s="46"/>
      <c r="P88" s="49"/>
      <c r="Q88" s="49"/>
      <c r="R88" s="50">
        <f t="shared" si="33"/>
        <v>0</v>
      </c>
      <c r="T88" s="49"/>
      <c r="U88" s="49"/>
      <c r="V88" s="50">
        <f t="shared" si="34"/>
        <v>0</v>
      </c>
      <c r="X88" s="49"/>
      <c r="Y88" s="49"/>
      <c r="Z88" s="50">
        <f t="shared" si="35"/>
        <v>0</v>
      </c>
      <c r="AB88" s="49"/>
      <c r="AC88" s="49"/>
      <c r="AD88" s="50">
        <f t="shared" si="36"/>
        <v>0</v>
      </c>
      <c r="AF88" s="49"/>
      <c r="AG88" s="49"/>
      <c r="AH88" s="50">
        <f t="shared" si="37"/>
        <v>0</v>
      </c>
      <c r="AJ88" s="49"/>
      <c r="AK88" s="49"/>
      <c r="AL88" s="50">
        <f t="shared" si="38"/>
        <v>0</v>
      </c>
      <c r="AN88" s="49"/>
      <c r="AO88" s="49"/>
      <c r="AP88" s="50">
        <f t="shared" si="39"/>
        <v>0</v>
      </c>
      <c r="AR88" s="49"/>
      <c r="AS88" s="49"/>
      <c r="AT88" s="50">
        <f t="shared" si="40"/>
        <v>0</v>
      </c>
      <c r="AV88" s="49"/>
      <c r="AW88" s="49"/>
      <c r="AX88" s="50">
        <f t="shared" si="41"/>
        <v>0</v>
      </c>
      <c r="AZ88" s="49"/>
      <c r="BA88" s="49"/>
      <c r="BB88" s="50">
        <f t="shared" si="42"/>
        <v>0</v>
      </c>
      <c r="BD88" s="49"/>
      <c r="BE88" s="49"/>
      <c r="BF88" s="50">
        <f t="shared" si="43"/>
        <v>0</v>
      </c>
      <c r="BH88" s="49"/>
      <c r="BI88" s="49"/>
      <c r="BJ88" s="50">
        <f t="shared" si="44"/>
        <v>0</v>
      </c>
      <c r="BL88" s="49"/>
      <c r="BM88" s="49"/>
      <c r="BN88" s="50">
        <f t="shared" si="45"/>
        <v>0</v>
      </c>
      <c r="BP88" s="49"/>
      <c r="BQ88" s="49"/>
      <c r="BR88" s="50">
        <f t="shared" si="46"/>
        <v>0</v>
      </c>
      <c r="BT88" s="49"/>
      <c r="BU88" s="49"/>
      <c r="BV88" s="50">
        <f t="shared" si="47"/>
        <v>0</v>
      </c>
      <c r="BX88" s="49"/>
      <c r="BY88" s="49"/>
      <c r="BZ88" s="50">
        <f t="shared" si="48"/>
        <v>0</v>
      </c>
      <c r="CB88" s="49"/>
      <c r="CC88" s="49"/>
      <c r="CD88" s="50">
        <f t="shared" si="49"/>
        <v>0</v>
      </c>
      <c r="CF88" s="49"/>
      <c r="CG88" s="49"/>
      <c r="CH88" s="50">
        <f t="shared" si="50"/>
        <v>0</v>
      </c>
      <c r="CJ88" s="49"/>
      <c r="CK88" s="49"/>
      <c r="CL88" s="50">
        <f t="shared" si="51"/>
        <v>0</v>
      </c>
      <c r="CN88" s="49"/>
      <c r="CO88" s="49"/>
      <c r="CP88" s="50">
        <f t="shared" si="52"/>
        <v>0</v>
      </c>
      <c r="CR88" s="49"/>
      <c r="CS88" s="49"/>
      <c r="CT88" s="50">
        <f t="shared" si="53"/>
        <v>0</v>
      </c>
      <c r="CV88" s="49"/>
      <c r="CW88" s="49"/>
      <c r="CX88" s="50">
        <f t="shared" si="54"/>
        <v>0</v>
      </c>
      <c r="CZ88" s="49"/>
      <c r="DA88" s="49"/>
      <c r="DB88" s="50">
        <f t="shared" si="55"/>
        <v>0</v>
      </c>
      <c r="DD88" s="49"/>
      <c r="DE88" s="49"/>
      <c r="DF88" s="50">
        <f t="shared" si="56"/>
        <v>0</v>
      </c>
      <c r="DH88" s="49"/>
      <c r="DI88" s="49"/>
      <c r="DJ88" s="50">
        <f t="shared" si="57"/>
        <v>0</v>
      </c>
      <c r="DL88" s="49"/>
      <c r="DM88" s="49"/>
      <c r="DN88" s="50">
        <f t="shared" si="58"/>
        <v>0</v>
      </c>
      <c r="DP88" s="49"/>
      <c r="DQ88" s="49"/>
      <c r="DR88" s="50">
        <f t="shared" si="59"/>
        <v>0</v>
      </c>
      <c r="DT88" s="49"/>
      <c r="DU88" s="49"/>
      <c r="DV88" s="50">
        <f t="shared" si="60"/>
        <v>0</v>
      </c>
      <c r="DX88" s="49"/>
      <c r="DY88" s="49"/>
      <c r="DZ88" s="50">
        <f t="shared" si="61"/>
        <v>0</v>
      </c>
      <c r="EB88" s="49">
        <f t="shared" si="62"/>
        <v>0</v>
      </c>
      <c r="EC88" s="49">
        <f t="shared" si="62"/>
        <v>0</v>
      </c>
      <c r="ED88" s="49">
        <f t="shared" si="62"/>
        <v>0</v>
      </c>
    </row>
    <row r="89" spans="2:134" ht="11" customHeight="1" x14ac:dyDescent="0.35">
      <c r="B89" s="4">
        <v>111231</v>
      </c>
      <c r="C89" s="14" t="s">
        <v>95</v>
      </c>
      <c r="D89" s="4">
        <v>50</v>
      </c>
      <c r="E89" s="5">
        <v>18</v>
      </c>
      <c r="F89" s="6">
        <v>198.24524392000001</v>
      </c>
      <c r="G89" s="1"/>
      <c r="H89" s="49"/>
      <c r="I89" s="49"/>
      <c r="J89" s="50">
        <f t="shared" si="63"/>
        <v>0</v>
      </c>
      <c r="K89" s="9"/>
      <c r="L89" s="49"/>
      <c r="M89" s="49"/>
      <c r="N89" s="50">
        <f t="shared" si="32"/>
        <v>0</v>
      </c>
      <c r="O89" s="46"/>
      <c r="P89" s="49"/>
      <c r="Q89" s="49"/>
      <c r="R89" s="50">
        <f t="shared" si="33"/>
        <v>0</v>
      </c>
      <c r="T89" s="49"/>
      <c r="U89" s="49"/>
      <c r="V89" s="50">
        <f t="shared" si="34"/>
        <v>0</v>
      </c>
      <c r="X89" s="49"/>
      <c r="Y89" s="49"/>
      <c r="Z89" s="50">
        <f t="shared" si="35"/>
        <v>0</v>
      </c>
      <c r="AB89" s="49"/>
      <c r="AC89" s="49"/>
      <c r="AD89" s="50">
        <f t="shared" si="36"/>
        <v>0</v>
      </c>
      <c r="AF89" s="49"/>
      <c r="AG89" s="49"/>
      <c r="AH89" s="50">
        <f t="shared" si="37"/>
        <v>0</v>
      </c>
      <c r="AJ89" s="49"/>
      <c r="AK89" s="49"/>
      <c r="AL89" s="50">
        <f t="shared" si="38"/>
        <v>0</v>
      </c>
      <c r="AN89" s="49"/>
      <c r="AO89" s="49"/>
      <c r="AP89" s="50">
        <f t="shared" si="39"/>
        <v>0</v>
      </c>
      <c r="AR89" s="49"/>
      <c r="AS89" s="49"/>
      <c r="AT89" s="50">
        <f t="shared" si="40"/>
        <v>0</v>
      </c>
      <c r="AV89" s="49"/>
      <c r="AW89" s="49"/>
      <c r="AX89" s="50">
        <f t="shared" si="41"/>
        <v>0</v>
      </c>
      <c r="AZ89" s="49"/>
      <c r="BA89" s="49"/>
      <c r="BB89" s="50">
        <f t="shared" si="42"/>
        <v>0</v>
      </c>
      <c r="BD89" s="49"/>
      <c r="BE89" s="49"/>
      <c r="BF89" s="50">
        <f t="shared" si="43"/>
        <v>0</v>
      </c>
      <c r="BH89" s="49"/>
      <c r="BI89" s="49"/>
      <c r="BJ89" s="50">
        <f t="shared" si="44"/>
        <v>0</v>
      </c>
      <c r="BL89" s="49"/>
      <c r="BM89" s="49"/>
      <c r="BN89" s="50">
        <f t="shared" si="45"/>
        <v>0</v>
      </c>
      <c r="BP89" s="49"/>
      <c r="BQ89" s="49"/>
      <c r="BR89" s="50">
        <f t="shared" si="46"/>
        <v>0</v>
      </c>
      <c r="BT89" s="49"/>
      <c r="BU89" s="49"/>
      <c r="BV89" s="50">
        <f t="shared" si="47"/>
        <v>0</v>
      </c>
      <c r="BX89" s="49"/>
      <c r="BY89" s="49"/>
      <c r="BZ89" s="50">
        <f t="shared" si="48"/>
        <v>0</v>
      </c>
      <c r="CB89" s="49"/>
      <c r="CC89" s="49"/>
      <c r="CD89" s="50">
        <f t="shared" si="49"/>
        <v>0</v>
      </c>
      <c r="CF89" s="49"/>
      <c r="CG89" s="49"/>
      <c r="CH89" s="50">
        <f t="shared" si="50"/>
        <v>0</v>
      </c>
      <c r="CJ89" s="49"/>
      <c r="CK89" s="49"/>
      <c r="CL89" s="50">
        <f t="shared" si="51"/>
        <v>0</v>
      </c>
      <c r="CN89" s="49"/>
      <c r="CO89" s="49"/>
      <c r="CP89" s="50">
        <f t="shared" si="52"/>
        <v>0</v>
      </c>
      <c r="CR89" s="49"/>
      <c r="CS89" s="49"/>
      <c r="CT89" s="50">
        <f t="shared" si="53"/>
        <v>0</v>
      </c>
      <c r="CV89" s="49"/>
      <c r="CW89" s="49"/>
      <c r="CX89" s="50">
        <f t="shared" si="54"/>
        <v>0</v>
      </c>
      <c r="CZ89" s="49"/>
      <c r="DA89" s="49"/>
      <c r="DB89" s="50">
        <f t="shared" si="55"/>
        <v>0</v>
      </c>
      <c r="DD89" s="49"/>
      <c r="DE89" s="49"/>
      <c r="DF89" s="50">
        <f t="shared" si="56"/>
        <v>0</v>
      </c>
      <c r="DH89" s="49"/>
      <c r="DI89" s="49"/>
      <c r="DJ89" s="50">
        <f t="shared" si="57"/>
        <v>0</v>
      </c>
      <c r="DL89" s="49"/>
      <c r="DM89" s="49"/>
      <c r="DN89" s="50">
        <f t="shared" si="58"/>
        <v>0</v>
      </c>
      <c r="DP89" s="49"/>
      <c r="DQ89" s="49"/>
      <c r="DR89" s="50">
        <f t="shared" si="59"/>
        <v>0</v>
      </c>
      <c r="DT89" s="49"/>
      <c r="DU89" s="49"/>
      <c r="DV89" s="50">
        <f t="shared" si="60"/>
        <v>0</v>
      </c>
      <c r="DX89" s="49"/>
      <c r="DY89" s="49"/>
      <c r="DZ89" s="50">
        <f t="shared" si="61"/>
        <v>0</v>
      </c>
      <c r="EB89" s="49">
        <f t="shared" si="62"/>
        <v>0</v>
      </c>
      <c r="EC89" s="49">
        <f t="shared" si="62"/>
        <v>0</v>
      </c>
      <c r="ED89" s="49">
        <f t="shared" si="62"/>
        <v>0</v>
      </c>
    </row>
    <row r="90" spans="2:134" ht="11" customHeight="1" x14ac:dyDescent="0.35">
      <c r="B90" s="4">
        <v>101038</v>
      </c>
      <c r="C90" s="14" t="s">
        <v>96</v>
      </c>
      <c r="D90" s="4">
        <v>24</v>
      </c>
      <c r="E90" s="5">
        <v>24</v>
      </c>
      <c r="F90" s="6">
        <v>189.29879107400001</v>
      </c>
      <c r="G90" s="1"/>
      <c r="H90" s="49"/>
      <c r="I90" s="49"/>
      <c r="J90" s="50">
        <f t="shared" si="63"/>
        <v>0</v>
      </c>
      <c r="K90" s="9"/>
      <c r="L90" s="49"/>
      <c r="M90" s="49"/>
      <c r="N90" s="50">
        <f t="shared" si="32"/>
        <v>0</v>
      </c>
      <c r="O90" s="46"/>
      <c r="P90" s="49"/>
      <c r="Q90" s="49"/>
      <c r="R90" s="50">
        <f t="shared" si="33"/>
        <v>0</v>
      </c>
      <c r="T90" s="49"/>
      <c r="U90" s="49"/>
      <c r="V90" s="50">
        <f t="shared" si="34"/>
        <v>0</v>
      </c>
      <c r="X90" s="49"/>
      <c r="Y90" s="49"/>
      <c r="Z90" s="50">
        <f t="shared" si="35"/>
        <v>0</v>
      </c>
      <c r="AB90" s="49"/>
      <c r="AC90" s="49"/>
      <c r="AD90" s="50">
        <f t="shared" si="36"/>
        <v>0</v>
      </c>
      <c r="AF90" s="49"/>
      <c r="AG90" s="49"/>
      <c r="AH90" s="50">
        <f t="shared" si="37"/>
        <v>0</v>
      </c>
      <c r="AJ90" s="49"/>
      <c r="AK90" s="49"/>
      <c r="AL90" s="50">
        <f t="shared" si="38"/>
        <v>0</v>
      </c>
      <c r="AN90" s="49"/>
      <c r="AO90" s="49"/>
      <c r="AP90" s="50">
        <f t="shared" si="39"/>
        <v>0</v>
      </c>
      <c r="AR90" s="49"/>
      <c r="AS90" s="49"/>
      <c r="AT90" s="50">
        <f t="shared" si="40"/>
        <v>0</v>
      </c>
      <c r="AV90" s="49"/>
      <c r="AW90" s="49"/>
      <c r="AX90" s="50">
        <f t="shared" si="41"/>
        <v>0</v>
      </c>
      <c r="AZ90" s="49"/>
      <c r="BA90" s="49"/>
      <c r="BB90" s="50">
        <f t="shared" si="42"/>
        <v>0</v>
      </c>
      <c r="BD90" s="49"/>
      <c r="BE90" s="49"/>
      <c r="BF90" s="50">
        <f t="shared" si="43"/>
        <v>0</v>
      </c>
      <c r="BH90" s="49"/>
      <c r="BI90" s="49"/>
      <c r="BJ90" s="50">
        <f t="shared" si="44"/>
        <v>0</v>
      </c>
      <c r="BL90" s="49"/>
      <c r="BM90" s="49"/>
      <c r="BN90" s="50">
        <f t="shared" si="45"/>
        <v>0</v>
      </c>
      <c r="BP90" s="49"/>
      <c r="BQ90" s="49"/>
      <c r="BR90" s="50">
        <f t="shared" si="46"/>
        <v>0</v>
      </c>
      <c r="BT90" s="49"/>
      <c r="BU90" s="49"/>
      <c r="BV90" s="50">
        <f t="shared" si="47"/>
        <v>0</v>
      </c>
      <c r="BX90" s="49"/>
      <c r="BY90" s="49"/>
      <c r="BZ90" s="50">
        <f t="shared" si="48"/>
        <v>0</v>
      </c>
      <c r="CB90" s="49"/>
      <c r="CC90" s="49"/>
      <c r="CD90" s="50">
        <f t="shared" si="49"/>
        <v>0</v>
      </c>
      <c r="CF90" s="49"/>
      <c r="CG90" s="49"/>
      <c r="CH90" s="50">
        <f t="shared" si="50"/>
        <v>0</v>
      </c>
      <c r="CJ90" s="49"/>
      <c r="CK90" s="49"/>
      <c r="CL90" s="50">
        <f t="shared" si="51"/>
        <v>0</v>
      </c>
      <c r="CN90" s="49"/>
      <c r="CO90" s="49"/>
      <c r="CP90" s="50">
        <f t="shared" si="52"/>
        <v>0</v>
      </c>
      <c r="CR90" s="49"/>
      <c r="CS90" s="49"/>
      <c r="CT90" s="50">
        <f t="shared" si="53"/>
        <v>0</v>
      </c>
      <c r="CV90" s="49"/>
      <c r="CW90" s="49"/>
      <c r="CX90" s="50">
        <f t="shared" si="54"/>
        <v>0</v>
      </c>
      <c r="CZ90" s="49"/>
      <c r="DA90" s="49"/>
      <c r="DB90" s="50">
        <f t="shared" si="55"/>
        <v>0</v>
      </c>
      <c r="DD90" s="49"/>
      <c r="DE90" s="49"/>
      <c r="DF90" s="50">
        <f t="shared" si="56"/>
        <v>0</v>
      </c>
      <c r="DH90" s="49"/>
      <c r="DI90" s="49"/>
      <c r="DJ90" s="50">
        <f t="shared" si="57"/>
        <v>0</v>
      </c>
      <c r="DL90" s="49"/>
      <c r="DM90" s="49"/>
      <c r="DN90" s="50">
        <f t="shared" si="58"/>
        <v>0</v>
      </c>
      <c r="DP90" s="49"/>
      <c r="DQ90" s="49"/>
      <c r="DR90" s="50">
        <f t="shared" si="59"/>
        <v>0</v>
      </c>
      <c r="DT90" s="49"/>
      <c r="DU90" s="49"/>
      <c r="DV90" s="50">
        <f t="shared" si="60"/>
        <v>0</v>
      </c>
      <c r="DX90" s="49"/>
      <c r="DY90" s="49"/>
      <c r="DZ90" s="50">
        <f t="shared" si="61"/>
        <v>0</v>
      </c>
      <c r="EB90" s="49">
        <f t="shared" si="62"/>
        <v>0</v>
      </c>
      <c r="EC90" s="49">
        <f t="shared" si="62"/>
        <v>0</v>
      </c>
      <c r="ED90" s="49">
        <f t="shared" si="62"/>
        <v>0</v>
      </c>
    </row>
    <row r="91" spans="2:134" ht="11" customHeight="1" x14ac:dyDescent="0.35">
      <c r="B91" s="4">
        <v>101936</v>
      </c>
      <c r="C91" s="14" t="s">
        <v>97</v>
      </c>
      <c r="D91" s="4">
        <v>12</v>
      </c>
      <c r="E91" s="5">
        <v>8</v>
      </c>
      <c r="F91" s="6">
        <v>481.09632499999998</v>
      </c>
      <c r="G91" s="1"/>
      <c r="H91" s="49"/>
      <c r="I91" s="49"/>
      <c r="J91" s="50">
        <f t="shared" si="63"/>
        <v>0</v>
      </c>
      <c r="K91" s="9"/>
      <c r="L91" s="49"/>
      <c r="M91" s="49"/>
      <c r="N91" s="50">
        <f t="shared" si="32"/>
        <v>0</v>
      </c>
      <c r="O91" s="46"/>
      <c r="P91" s="49"/>
      <c r="Q91" s="49"/>
      <c r="R91" s="50">
        <f t="shared" si="33"/>
        <v>0</v>
      </c>
      <c r="T91" s="49"/>
      <c r="U91" s="49"/>
      <c r="V91" s="50">
        <f t="shared" si="34"/>
        <v>0</v>
      </c>
      <c r="X91" s="49"/>
      <c r="Y91" s="49"/>
      <c r="Z91" s="50">
        <f t="shared" si="35"/>
        <v>0</v>
      </c>
      <c r="AB91" s="49"/>
      <c r="AC91" s="49"/>
      <c r="AD91" s="50">
        <f t="shared" si="36"/>
        <v>0</v>
      </c>
      <c r="AF91" s="49"/>
      <c r="AG91" s="49"/>
      <c r="AH91" s="50">
        <f t="shared" si="37"/>
        <v>0</v>
      </c>
      <c r="AJ91" s="49"/>
      <c r="AK91" s="49"/>
      <c r="AL91" s="50">
        <f t="shared" si="38"/>
        <v>0</v>
      </c>
      <c r="AN91" s="49"/>
      <c r="AO91" s="49"/>
      <c r="AP91" s="50">
        <f t="shared" si="39"/>
        <v>0</v>
      </c>
      <c r="AR91" s="49"/>
      <c r="AS91" s="49"/>
      <c r="AT91" s="50">
        <f t="shared" si="40"/>
        <v>0</v>
      </c>
      <c r="AV91" s="49"/>
      <c r="AW91" s="49"/>
      <c r="AX91" s="50">
        <f t="shared" si="41"/>
        <v>0</v>
      </c>
      <c r="AZ91" s="49"/>
      <c r="BA91" s="49"/>
      <c r="BB91" s="50">
        <f t="shared" si="42"/>
        <v>0</v>
      </c>
      <c r="BD91" s="49"/>
      <c r="BE91" s="49"/>
      <c r="BF91" s="50">
        <f t="shared" si="43"/>
        <v>0</v>
      </c>
      <c r="BH91" s="49"/>
      <c r="BI91" s="49"/>
      <c r="BJ91" s="50">
        <f t="shared" si="44"/>
        <v>0</v>
      </c>
      <c r="BL91" s="49"/>
      <c r="BM91" s="49"/>
      <c r="BN91" s="50">
        <f t="shared" si="45"/>
        <v>0</v>
      </c>
      <c r="BP91" s="49"/>
      <c r="BQ91" s="49"/>
      <c r="BR91" s="50">
        <f t="shared" si="46"/>
        <v>0</v>
      </c>
      <c r="BT91" s="49"/>
      <c r="BU91" s="49"/>
      <c r="BV91" s="50">
        <f t="shared" si="47"/>
        <v>0</v>
      </c>
      <c r="BX91" s="49"/>
      <c r="BY91" s="49"/>
      <c r="BZ91" s="50">
        <f t="shared" si="48"/>
        <v>0</v>
      </c>
      <c r="CB91" s="49"/>
      <c r="CC91" s="49"/>
      <c r="CD91" s="50">
        <f t="shared" si="49"/>
        <v>0</v>
      </c>
      <c r="CF91" s="49"/>
      <c r="CG91" s="49"/>
      <c r="CH91" s="50">
        <f t="shared" si="50"/>
        <v>0</v>
      </c>
      <c r="CJ91" s="49"/>
      <c r="CK91" s="49"/>
      <c r="CL91" s="50">
        <f t="shared" si="51"/>
        <v>0</v>
      </c>
      <c r="CN91" s="49"/>
      <c r="CO91" s="49"/>
      <c r="CP91" s="50">
        <f t="shared" si="52"/>
        <v>0</v>
      </c>
      <c r="CR91" s="49"/>
      <c r="CS91" s="49"/>
      <c r="CT91" s="50">
        <f t="shared" si="53"/>
        <v>0</v>
      </c>
      <c r="CV91" s="49"/>
      <c r="CW91" s="49"/>
      <c r="CX91" s="50">
        <f t="shared" si="54"/>
        <v>0</v>
      </c>
      <c r="CZ91" s="49"/>
      <c r="DA91" s="49"/>
      <c r="DB91" s="50">
        <f t="shared" si="55"/>
        <v>0</v>
      </c>
      <c r="DD91" s="49"/>
      <c r="DE91" s="49"/>
      <c r="DF91" s="50">
        <f t="shared" si="56"/>
        <v>0</v>
      </c>
      <c r="DH91" s="49"/>
      <c r="DI91" s="49"/>
      <c r="DJ91" s="50">
        <f t="shared" si="57"/>
        <v>0</v>
      </c>
      <c r="DL91" s="49"/>
      <c r="DM91" s="49"/>
      <c r="DN91" s="50">
        <f t="shared" si="58"/>
        <v>0</v>
      </c>
      <c r="DP91" s="49"/>
      <c r="DQ91" s="49"/>
      <c r="DR91" s="50">
        <f t="shared" si="59"/>
        <v>0</v>
      </c>
      <c r="DT91" s="49"/>
      <c r="DU91" s="49"/>
      <c r="DV91" s="50">
        <f t="shared" si="60"/>
        <v>0</v>
      </c>
      <c r="DX91" s="49"/>
      <c r="DY91" s="49"/>
      <c r="DZ91" s="50">
        <f t="shared" si="61"/>
        <v>0</v>
      </c>
      <c r="EB91" s="49">
        <f t="shared" si="62"/>
        <v>0</v>
      </c>
      <c r="EC91" s="49">
        <f t="shared" si="62"/>
        <v>0</v>
      </c>
      <c r="ED91" s="49">
        <f t="shared" si="62"/>
        <v>0</v>
      </c>
    </row>
    <row r="92" spans="2:134" ht="11" customHeight="1" x14ac:dyDescent="0.35">
      <c r="B92" s="4">
        <v>106021</v>
      </c>
      <c r="C92" s="14" t="s">
        <v>98</v>
      </c>
      <c r="D92" s="4">
        <v>24</v>
      </c>
      <c r="E92" s="5">
        <v>18</v>
      </c>
      <c r="F92" s="6">
        <v>189.29879107400001</v>
      </c>
      <c r="G92" s="1"/>
      <c r="H92" s="49"/>
      <c r="I92" s="49"/>
      <c r="J92" s="50">
        <f t="shared" si="63"/>
        <v>0</v>
      </c>
      <c r="K92" s="9"/>
      <c r="L92" s="49"/>
      <c r="M92" s="49"/>
      <c r="N92" s="50">
        <f t="shared" si="32"/>
        <v>0</v>
      </c>
      <c r="O92" s="46"/>
      <c r="P92" s="49"/>
      <c r="Q92" s="49"/>
      <c r="R92" s="50">
        <f t="shared" si="33"/>
        <v>0</v>
      </c>
      <c r="T92" s="49"/>
      <c r="U92" s="49"/>
      <c r="V92" s="50">
        <f t="shared" si="34"/>
        <v>0</v>
      </c>
      <c r="X92" s="49"/>
      <c r="Y92" s="49"/>
      <c r="Z92" s="50">
        <f t="shared" si="35"/>
        <v>0</v>
      </c>
      <c r="AB92" s="49"/>
      <c r="AC92" s="49"/>
      <c r="AD92" s="50">
        <f t="shared" si="36"/>
        <v>0</v>
      </c>
      <c r="AF92" s="49"/>
      <c r="AG92" s="49"/>
      <c r="AH92" s="50">
        <f t="shared" si="37"/>
        <v>0</v>
      </c>
      <c r="AJ92" s="49"/>
      <c r="AK92" s="49"/>
      <c r="AL92" s="50">
        <f t="shared" si="38"/>
        <v>0</v>
      </c>
      <c r="AN92" s="49"/>
      <c r="AO92" s="49"/>
      <c r="AP92" s="50">
        <f t="shared" si="39"/>
        <v>0</v>
      </c>
      <c r="AR92" s="49"/>
      <c r="AS92" s="49"/>
      <c r="AT92" s="50">
        <f t="shared" si="40"/>
        <v>0</v>
      </c>
      <c r="AV92" s="49"/>
      <c r="AW92" s="49"/>
      <c r="AX92" s="50">
        <f t="shared" si="41"/>
        <v>0</v>
      </c>
      <c r="AZ92" s="49"/>
      <c r="BA92" s="49"/>
      <c r="BB92" s="50">
        <f t="shared" si="42"/>
        <v>0</v>
      </c>
      <c r="BD92" s="49"/>
      <c r="BE92" s="49"/>
      <c r="BF92" s="50">
        <f t="shared" si="43"/>
        <v>0</v>
      </c>
      <c r="BH92" s="49"/>
      <c r="BI92" s="49"/>
      <c r="BJ92" s="50">
        <f t="shared" si="44"/>
        <v>0</v>
      </c>
      <c r="BL92" s="49"/>
      <c r="BM92" s="49"/>
      <c r="BN92" s="50">
        <f t="shared" si="45"/>
        <v>0</v>
      </c>
      <c r="BP92" s="49"/>
      <c r="BQ92" s="49"/>
      <c r="BR92" s="50">
        <f t="shared" si="46"/>
        <v>0</v>
      </c>
      <c r="BT92" s="49"/>
      <c r="BU92" s="49"/>
      <c r="BV92" s="50">
        <f t="shared" si="47"/>
        <v>0</v>
      </c>
      <c r="BX92" s="49"/>
      <c r="BY92" s="49"/>
      <c r="BZ92" s="50">
        <f t="shared" si="48"/>
        <v>0</v>
      </c>
      <c r="CB92" s="49"/>
      <c r="CC92" s="49"/>
      <c r="CD92" s="50">
        <f t="shared" si="49"/>
        <v>0</v>
      </c>
      <c r="CF92" s="49"/>
      <c r="CG92" s="49"/>
      <c r="CH92" s="50">
        <f t="shared" si="50"/>
        <v>0</v>
      </c>
      <c r="CJ92" s="49"/>
      <c r="CK92" s="49"/>
      <c r="CL92" s="50">
        <f t="shared" si="51"/>
        <v>0</v>
      </c>
      <c r="CN92" s="49"/>
      <c r="CO92" s="49"/>
      <c r="CP92" s="50">
        <f t="shared" si="52"/>
        <v>0</v>
      </c>
      <c r="CR92" s="49"/>
      <c r="CS92" s="49"/>
      <c r="CT92" s="50">
        <f t="shared" si="53"/>
        <v>0</v>
      </c>
      <c r="CV92" s="49"/>
      <c r="CW92" s="49"/>
      <c r="CX92" s="50">
        <f t="shared" si="54"/>
        <v>0</v>
      </c>
      <c r="CZ92" s="49"/>
      <c r="DA92" s="49"/>
      <c r="DB92" s="50">
        <f t="shared" si="55"/>
        <v>0</v>
      </c>
      <c r="DD92" s="49"/>
      <c r="DE92" s="49"/>
      <c r="DF92" s="50">
        <f t="shared" si="56"/>
        <v>0</v>
      </c>
      <c r="DH92" s="49"/>
      <c r="DI92" s="49"/>
      <c r="DJ92" s="50">
        <f t="shared" si="57"/>
        <v>0</v>
      </c>
      <c r="DL92" s="49"/>
      <c r="DM92" s="49"/>
      <c r="DN92" s="50">
        <f t="shared" si="58"/>
        <v>0</v>
      </c>
      <c r="DP92" s="49"/>
      <c r="DQ92" s="49"/>
      <c r="DR92" s="50">
        <f t="shared" si="59"/>
        <v>0</v>
      </c>
      <c r="DT92" s="49"/>
      <c r="DU92" s="49"/>
      <c r="DV92" s="50">
        <f t="shared" si="60"/>
        <v>0</v>
      </c>
      <c r="DX92" s="49"/>
      <c r="DY92" s="49"/>
      <c r="DZ92" s="50">
        <f t="shared" si="61"/>
        <v>0</v>
      </c>
      <c r="EB92" s="49">
        <f t="shared" si="62"/>
        <v>0</v>
      </c>
      <c r="EC92" s="49">
        <f t="shared" si="62"/>
        <v>0</v>
      </c>
      <c r="ED92" s="49">
        <f t="shared" si="62"/>
        <v>0</v>
      </c>
    </row>
    <row r="93" spans="2:134" ht="11" customHeight="1" x14ac:dyDescent="0.35">
      <c r="B93" s="4">
        <v>106510</v>
      </c>
      <c r="C93" s="14" t="s">
        <v>99</v>
      </c>
      <c r="D93" s="4">
        <v>12</v>
      </c>
      <c r="E93" s="5">
        <v>18</v>
      </c>
      <c r="F93" s="6">
        <v>190.31564392000001</v>
      </c>
      <c r="G93" s="1"/>
      <c r="H93" s="49"/>
      <c r="I93" s="49"/>
      <c r="J93" s="50">
        <f t="shared" si="63"/>
        <v>0</v>
      </c>
      <c r="K93" s="9"/>
      <c r="L93" s="49"/>
      <c r="M93" s="49"/>
      <c r="N93" s="50">
        <f t="shared" si="32"/>
        <v>0</v>
      </c>
      <c r="O93" s="46"/>
      <c r="P93" s="49"/>
      <c r="Q93" s="49"/>
      <c r="R93" s="50">
        <f t="shared" si="33"/>
        <v>0</v>
      </c>
      <c r="T93" s="49"/>
      <c r="U93" s="49"/>
      <c r="V93" s="50">
        <f t="shared" si="34"/>
        <v>0</v>
      </c>
      <c r="X93" s="49"/>
      <c r="Y93" s="49"/>
      <c r="Z93" s="50">
        <f t="shared" si="35"/>
        <v>0</v>
      </c>
      <c r="AB93" s="49"/>
      <c r="AC93" s="49"/>
      <c r="AD93" s="50">
        <f t="shared" si="36"/>
        <v>0</v>
      </c>
      <c r="AF93" s="49"/>
      <c r="AG93" s="49"/>
      <c r="AH93" s="50">
        <f t="shared" si="37"/>
        <v>0</v>
      </c>
      <c r="AJ93" s="49"/>
      <c r="AK93" s="49"/>
      <c r="AL93" s="50">
        <f t="shared" si="38"/>
        <v>0</v>
      </c>
      <c r="AN93" s="49"/>
      <c r="AO93" s="49"/>
      <c r="AP93" s="50">
        <f t="shared" si="39"/>
        <v>0</v>
      </c>
      <c r="AR93" s="49"/>
      <c r="AS93" s="49"/>
      <c r="AT93" s="50">
        <f t="shared" si="40"/>
        <v>0</v>
      </c>
      <c r="AV93" s="49"/>
      <c r="AW93" s="49"/>
      <c r="AX93" s="50">
        <f t="shared" si="41"/>
        <v>0</v>
      </c>
      <c r="AZ93" s="49"/>
      <c r="BA93" s="49"/>
      <c r="BB93" s="50">
        <f t="shared" si="42"/>
        <v>0</v>
      </c>
      <c r="BD93" s="49"/>
      <c r="BE93" s="49"/>
      <c r="BF93" s="50">
        <f t="shared" si="43"/>
        <v>0</v>
      </c>
      <c r="BH93" s="49"/>
      <c r="BI93" s="49"/>
      <c r="BJ93" s="50">
        <f t="shared" si="44"/>
        <v>0</v>
      </c>
      <c r="BL93" s="49"/>
      <c r="BM93" s="49"/>
      <c r="BN93" s="50">
        <f t="shared" si="45"/>
        <v>0</v>
      </c>
      <c r="BP93" s="49"/>
      <c r="BQ93" s="49"/>
      <c r="BR93" s="50">
        <f t="shared" si="46"/>
        <v>0</v>
      </c>
      <c r="BT93" s="49"/>
      <c r="BU93" s="49"/>
      <c r="BV93" s="50">
        <f t="shared" si="47"/>
        <v>0</v>
      </c>
      <c r="BX93" s="49"/>
      <c r="BY93" s="49"/>
      <c r="BZ93" s="50">
        <f t="shared" si="48"/>
        <v>0</v>
      </c>
      <c r="CB93" s="49"/>
      <c r="CC93" s="49"/>
      <c r="CD93" s="50">
        <f t="shared" si="49"/>
        <v>0</v>
      </c>
      <c r="CF93" s="49"/>
      <c r="CG93" s="49"/>
      <c r="CH93" s="50">
        <f t="shared" si="50"/>
        <v>0</v>
      </c>
      <c r="CJ93" s="49"/>
      <c r="CK93" s="49"/>
      <c r="CL93" s="50">
        <f t="shared" si="51"/>
        <v>0</v>
      </c>
      <c r="CN93" s="49"/>
      <c r="CO93" s="49"/>
      <c r="CP93" s="50">
        <f t="shared" si="52"/>
        <v>0</v>
      </c>
      <c r="CR93" s="49"/>
      <c r="CS93" s="49"/>
      <c r="CT93" s="50">
        <f t="shared" si="53"/>
        <v>0</v>
      </c>
      <c r="CV93" s="49"/>
      <c r="CW93" s="49"/>
      <c r="CX93" s="50">
        <f t="shared" si="54"/>
        <v>0</v>
      </c>
      <c r="CZ93" s="49"/>
      <c r="DA93" s="49"/>
      <c r="DB93" s="50">
        <f t="shared" si="55"/>
        <v>0</v>
      </c>
      <c r="DD93" s="49"/>
      <c r="DE93" s="49"/>
      <c r="DF93" s="50">
        <f t="shared" si="56"/>
        <v>0</v>
      </c>
      <c r="DH93" s="49"/>
      <c r="DI93" s="49"/>
      <c r="DJ93" s="50">
        <f t="shared" si="57"/>
        <v>0</v>
      </c>
      <c r="DL93" s="49"/>
      <c r="DM93" s="49"/>
      <c r="DN93" s="50">
        <f t="shared" si="58"/>
        <v>0</v>
      </c>
      <c r="DP93" s="49"/>
      <c r="DQ93" s="49"/>
      <c r="DR93" s="50">
        <f t="shared" si="59"/>
        <v>0</v>
      </c>
      <c r="DT93" s="49"/>
      <c r="DU93" s="49"/>
      <c r="DV93" s="50">
        <f t="shared" si="60"/>
        <v>0</v>
      </c>
      <c r="DX93" s="49"/>
      <c r="DY93" s="49"/>
      <c r="DZ93" s="50">
        <f t="shared" si="61"/>
        <v>0</v>
      </c>
      <c r="EB93" s="49">
        <f t="shared" si="62"/>
        <v>0</v>
      </c>
      <c r="EC93" s="49">
        <f t="shared" si="62"/>
        <v>0</v>
      </c>
      <c r="ED93" s="49">
        <f t="shared" si="62"/>
        <v>0</v>
      </c>
    </row>
    <row r="94" spans="2:134" ht="11" customHeight="1" x14ac:dyDescent="0.35">
      <c r="B94" s="4">
        <v>111201</v>
      </c>
      <c r="C94" s="14" t="s">
        <v>100</v>
      </c>
      <c r="D94" s="4">
        <v>50</v>
      </c>
      <c r="E94" s="5">
        <v>18</v>
      </c>
      <c r="F94" s="6">
        <v>198.24524392000001</v>
      </c>
      <c r="G94" s="1"/>
      <c r="H94" s="49"/>
      <c r="I94" s="49"/>
      <c r="J94" s="50">
        <f t="shared" si="63"/>
        <v>0</v>
      </c>
      <c r="K94" s="9"/>
      <c r="L94" s="49"/>
      <c r="M94" s="49"/>
      <c r="N94" s="50">
        <f t="shared" si="32"/>
        <v>0</v>
      </c>
      <c r="O94" s="46"/>
      <c r="P94" s="49"/>
      <c r="Q94" s="49"/>
      <c r="R94" s="50">
        <f t="shared" si="33"/>
        <v>0</v>
      </c>
      <c r="T94" s="49"/>
      <c r="U94" s="49"/>
      <c r="V94" s="50">
        <f t="shared" si="34"/>
        <v>0</v>
      </c>
      <c r="X94" s="49"/>
      <c r="Y94" s="49"/>
      <c r="Z94" s="50">
        <f t="shared" si="35"/>
        <v>0</v>
      </c>
      <c r="AB94" s="49"/>
      <c r="AC94" s="49"/>
      <c r="AD94" s="50">
        <f t="shared" si="36"/>
        <v>0</v>
      </c>
      <c r="AF94" s="49"/>
      <c r="AG94" s="49"/>
      <c r="AH94" s="50">
        <f t="shared" si="37"/>
        <v>0</v>
      </c>
      <c r="AJ94" s="49"/>
      <c r="AK94" s="49"/>
      <c r="AL94" s="50">
        <f t="shared" si="38"/>
        <v>0</v>
      </c>
      <c r="AN94" s="49"/>
      <c r="AO94" s="49"/>
      <c r="AP94" s="50">
        <f t="shared" si="39"/>
        <v>0</v>
      </c>
      <c r="AR94" s="49"/>
      <c r="AS94" s="49"/>
      <c r="AT94" s="50">
        <f t="shared" si="40"/>
        <v>0</v>
      </c>
      <c r="AV94" s="49"/>
      <c r="AW94" s="49"/>
      <c r="AX94" s="50">
        <f t="shared" si="41"/>
        <v>0</v>
      </c>
      <c r="AZ94" s="49"/>
      <c r="BA94" s="49"/>
      <c r="BB94" s="50">
        <f t="shared" si="42"/>
        <v>0</v>
      </c>
      <c r="BD94" s="49"/>
      <c r="BE94" s="49"/>
      <c r="BF94" s="50">
        <f t="shared" si="43"/>
        <v>0</v>
      </c>
      <c r="BH94" s="49"/>
      <c r="BI94" s="49"/>
      <c r="BJ94" s="50">
        <f t="shared" si="44"/>
        <v>0</v>
      </c>
      <c r="BL94" s="49"/>
      <c r="BM94" s="49"/>
      <c r="BN94" s="50">
        <f t="shared" si="45"/>
        <v>0</v>
      </c>
      <c r="BP94" s="49"/>
      <c r="BQ94" s="49"/>
      <c r="BR94" s="50">
        <f t="shared" si="46"/>
        <v>0</v>
      </c>
      <c r="BT94" s="49"/>
      <c r="BU94" s="49"/>
      <c r="BV94" s="50">
        <f t="shared" si="47"/>
        <v>0</v>
      </c>
      <c r="BX94" s="49"/>
      <c r="BY94" s="49"/>
      <c r="BZ94" s="50">
        <f t="shared" si="48"/>
        <v>0</v>
      </c>
      <c r="CB94" s="49"/>
      <c r="CC94" s="49"/>
      <c r="CD94" s="50">
        <f t="shared" si="49"/>
        <v>0</v>
      </c>
      <c r="CF94" s="49"/>
      <c r="CG94" s="49"/>
      <c r="CH94" s="50">
        <f t="shared" si="50"/>
        <v>0</v>
      </c>
      <c r="CJ94" s="49"/>
      <c r="CK94" s="49"/>
      <c r="CL94" s="50">
        <f t="shared" si="51"/>
        <v>0</v>
      </c>
      <c r="CN94" s="49"/>
      <c r="CO94" s="49"/>
      <c r="CP94" s="50">
        <f t="shared" si="52"/>
        <v>0</v>
      </c>
      <c r="CR94" s="49"/>
      <c r="CS94" s="49"/>
      <c r="CT94" s="50">
        <f t="shared" si="53"/>
        <v>0</v>
      </c>
      <c r="CV94" s="49"/>
      <c r="CW94" s="49"/>
      <c r="CX94" s="50">
        <f t="shared" si="54"/>
        <v>0</v>
      </c>
      <c r="CZ94" s="49"/>
      <c r="DA94" s="49"/>
      <c r="DB94" s="50">
        <f t="shared" si="55"/>
        <v>0</v>
      </c>
      <c r="DD94" s="49"/>
      <c r="DE94" s="49"/>
      <c r="DF94" s="50">
        <f t="shared" si="56"/>
        <v>0</v>
      </c>
      <c r="DH94" s="49"/>
      <c r="DI94" s="49"/>
      <c r="DJ94" s="50">
        <f t="shared" si="57"/>
        <v>0</v>
      </c>
      <c r="DL94" s="49"/>
      <c r="DM94" s="49"/>
      <c r="DN94" s="50">
        <f t="shared" si="58"/>
        <v>0</v>
      </c>
      <c r="DP94" s="49"/>
      <c r="DQ94" s="49"/>
      <c r="DR94" s="50">
        <f t="shared" si="59"/>
        <v>0</v>
      </c>
      <c r="DT94" s="49"/>
      <c r="DU94" s="49"/>
      <c r="DV94" s="50">
        <f t="shared" si="60"/>
        <v>0</v>
      </c>
      <c r="DX94" s="49"/>
      <c r="DY94" s="49"/>
      <c r="DZ94" s="50">
        <f t="shared" si="61"/>
        <v>0</v>
      </c>
      <c r="EB94" s="49">
        <f t="shared" si="62"/>
        <v>0</v>
      </c>
      <c r="EC94" s="49">
        <f t="shared" si="62"/>
        <v>0</v>
      </c>
      <c r="ED94" s="49">
        <f t="shared" si="62"/>
        <v>0</v>
      </c>
    </row>
    <row r="95" spans="2:134" ht="11" customHeight="1" x14ac:dyDescent="0.35">
      <c r="B95" s="4">
        <v>111211</v>
      </c>
      <c r="C95" s="14" t="s">
        <v>101</v>
      </c>
      <c r="D95" s="4">
        <v>50</v>
      </c>
      <c r="E95" s="5">
        <v>18</v>
      </c>
      <c r="F95" s="6">
        <v>198.24524392000001</v>
      </c>
      <c r="G95" s="1"/>
      <c r="H95" s="49"/>
      <c r="I95" s="49"/>
      <c r="J95" s="50">
        <f t="shared" si="63"/>
        <v>0</v>
      </c>
      <c r="K95" s="9"/>
      <c r="L95" s="49"/>
      <c r="M95" s="49"/>
      <c r="N95" s="50">
        <f t="shared" si="32"/>
        <v>0</v>
      </c>
      <c r="O95" s="46"/>
      <c r="P95" s="49"/>
      <c r="Q95" s="49"/>
      <c r="R95" s="50">
        <f t="shared" si="33"/>
        <v>0</v>
      </c>
      <c r="T95" s="49"/>
      <c r="U95" s="49"/>
      <c r="V95" s="50">
        <f t="shared" si="34"/>
        <v>0</v>
      </c>
      <c r="X95" s="49"/>
      <c r="Y95" s="49"/>
      <c r="Z95" s="50">
        <f t="shared" si="35"/>
        <v>0</v>
      </c>
      <c r="AB95" s="49"/>
      <c r="AC95" s="49"/>
      <c r="AD95" s="50">
        <f t="shared" si="36"/>
        <v>0</v>
      </c>
      <c r="AF95" s="49"/>
      <c r="AG95" s="49"/>
      <c r="AH95" s="50">
        <f t="shared" si="37"/>
        <v>0</v>
      </c>
      <c r="AJ95" s="49"/>
      <c r="AK95" s="49"/>
      <c r="AL95" s="50">
        <f t="shared" si="38"/>
        <v>0</v>
      </c>
      <c r="AN95" s="49"/>
      <c r="AO95" s="49"/>
      <c r="AP95" s="50">
        <f t="shared" si="39"/>
        <v>0</v>
      </c>
      <c r="AR95" s="49"/>
      <c r="AS95" s="49"/>
      <c r="AT95" s="50">
        <f t="shared" si="40"/>
        <v>0</v>
      </c>
      <c r="AV95" s="49"/>
      <c r="AW95" s="49"/>
      <c r="AX95" s="50">
        <f t="shared" si="41"/>
        <v>0</v>
      </c>
      <c r="AZ95" s="49"/>
      <c r="BA95" s="49"/>
      <c r="BB95" s="50">
        <f t="shared" si="42"/>
        <v>0</v>
      </c>
      <c r="BD95" s="49"/>
      <c r="BE95" s="49"/>
      <c r="BF95" s="50">
        <f t="shared" si="43"/>
        <v>0</v>
      </c>
      <c r="BH95" s="49"/>
      <c r="BI95" s="49"/>
      <c r="BJ95" s="50">
        <f t="shared" si="44"/>
        <v>0</v>
      </c>
      <c r="BL95" s="49"/>
      <c r="BM95" s="49"/>
      <c r="BN95" s="50">
        <f t="shared" si="45"/>
        <v>0</v>
      </c>
      <c r="BP95" s="49"/>
      <c r="BQ95" s="49"/>
      <c r="BR95" s="50">
        <f t="shared" si="46"/>
        <v>0</v>
      </c>
      <c r="BT95" s="49"/>
      <c r="BU95" s="49"/>
      <c r="BV95" s="50">
        <f t="shared" si="47"/>
        <v>0</v>
      </c>
      <c r="BX95" s="49"/>
      <c r="BY95" s="49"/>
      <c r="BZ95" s="50">
        <f t="shared" si="48"/>
        <v>0</v>
      </c>
      <c r="CB95" s="49"/>
      <c r="CC95" s="49"/>
      <c r="CD95" s="50">
        <f t="shared" si="49"/>
        <v>0</v>
      </c>
      <c r="CF95" s="49"/>
      <c r="CG95" s="49"/>
      <c r="CH95" s="50">
        <f t="shared" si="50"/>
        <v>0</v>
      </c>
      <c r="CJ95" s="49"/>
      <c r="CK95" s="49"/>
      <c r="CL95" s="50">
        <f t="shared" si="51"/>
        <v>0</v>
      </c>
      <c r="CN95" s="49"/>
      <c r="CO95" s="49"/>
      <c r="CP95" s="50">
        <f t="shared" si="52"/>
        <v>0</v>
      </c>
      <c r="CR95" s="49"/>
      <c r="CS95" s="49"/>
      <c r="CT95" s="50">
        <f t="shared" si="53"/>
        <v>0</v>
      </c>
      <c r="CV95" s="49"/>
      <c r="CW95" s="49"/>
      <c r="CX95" s="50">
        <f t="shared" si="54"/>
        <v>0</v>
      </c>
      <c r="CZ95" s="49"/>
      <c r="DA95" s="49"/>
      <c r="DB95" s="50">
        <f t="shared" si="55"/>
        <v>0</v>
      </c>
      <c r="DD95" s="49"/>
      <c r="DE95" s="49"/>
      <c r="DF95" s="50">
        <f t="shared" si="56"/>
        <v>0</v>
      </c>
      <c r="DH95" s="49"/>
      <c r="DI95" s="49"/>
      <c r="DJ95" s="50">
        <f t="shared" si="57"/>
        <v>0</v>
      </c>
      <c r="DL95" s="49"/>
      <c r="DM95" s="49"/>
      <c r="DN95" s="50">
        <f t="shared" si="58"/>
        <v>0</v>
      </c>
      <c r="DP95" s="49"/>
      <c r="DQ95" s="49"/>
      <c r="DR95" s="50">
        <f t="shared" si="59"/>
        <v>0</v>
      </c>
      <c r="DT95" s="49"/>
      <c r="DU95" s="49"/>
      <c r="DV95" s="50">
        <f t="shared" si="60"/>
        <v>0</v>
      </c>
      <c r="DX95" s="49"/>
      <c r="DY95" s="49"/>
      <c r="DZ95" s="50">
        <f t="shared" si="61"/>
        <v>0</v>
      </c>
      <c r="EB95" s="49">
        <f t="shared" si="62"/>
        <v>0</v>
      </c>
      <c r="EC95" s="49">
        <f t="shared" si="62"/>
        <v>0</v>
      </c>
      <c r="ED95" s="49">
        <f t="shared" si="62"/>
        <v>0</v>
      </c>
    </row>
    <row r="96" spans="2:134" ht="11" customHeight="1" x14ac:dyDescent="0.35">
      <c r="B96" s="4">
        <v>111221</v>
      </c>
      <c r="C96" s="14" t="s">
        <v>102</v>
      </c>
      <c r="D96" s="4">
        <v>50</v>
      </c>
      <c r="E96" s="5">
        <v>18</v>
      </c>
      <c r="F96" s="6">
        <v>198.24524392000001</v>
      </c>
      <c r="G96" s="1"/>
      <c r="H96" s="49"/>
      <c r="I96" s="49"/>
      <c r="J96" s="50">
        <f t="shared" si="63"/>
        <v>0</v>
      </c>
      <c r="K96" s="9"/>
      <c r="L96" s="49"/>
      <c r="M96" s="49"/>
      <c r="N96" s="50">
        <f t="shared" si="32"/>
        <v>0</v>
      </c>
      <c r="O96" s="46"/>
      <c r="P96" s="49"/>
      <c r="Q96" s="49"/>
      <c r="R96" s="50">
        <f t="shared" si="33"/>
        <v>0</v>
      </c>
      <c r="T96" s="49"/>
      <c r="U96" s="49"/>
      <c r="V96" s="50">
        <f t="shared" si="34"/>
        <v>0</v>
      </c>
      <c r="X96" s="49"/>
      <c r="Y96" s="49"/>
      <c r="Z96" s="50">
        <f t="shared" si="35"/>
        <v>0</v>
      </c>
      <c r="AB96" s="49"/>
      <c r="AC96" s="49"/>
      <c r="AD96" s="50">
        <f t="shared" si="36"/>
        <v>0</v>
      </c>
      <c r="AF96" s="49"/>
      <c r="AG96" s="49"/>
      <c r="AH96" s="50">
        <f t="shared" si="37"/>
        <v>0</v>
      </c>
      <c r="AJ96" s="49"/>
      <c r="AK96" s="49"/>
      <c r="AL96" s="50">
        <f t="shared" si="38"/>
        <v>0</v>
      </c>
      <c r="AN96" s="49"/>
      <c r="AO96" s="49"/>
      <c r="AP96" s="50">
        <f t="shared" si="39"/>
        <v>0</v>
      </c>
      <c r="AR96" s="49"/>
      <c r="AS96" s="49"/>
      <c r="AT96" s="50">
        <f t="shared" si="40"/>
        <v>0</v>
      </c>
      <c r="AV96" s="49"/>
      <c r="AW96" s="49"/>
      <c r="AX96" s="50">
        <f t="shared" si="41"/>
        <v>0</v>
      </c>
      <c r="AZ96" s="49"/>
      <c r="BA96" s="49"/>
      <c r="BB96" s="50">
        <f t="shared" si="42"/>
        <v>0</v>
      </c>
      <c r="BD96" s="49"/>
      <c r="BE96" s="49"/>
      <c r="BF96" s="50">
        <f t="shared" si="43"/>
        <v>0</v>
      </c>
      <c r="BH96" s="49"/>
      <c r="BI96" s="49"/>
      <c r="BJ96" s="50">
        <f t="shared" si="44"/>
        <v>0</v>
      </c>
      <c r="BL96" s="49"/>
      <c r="BM96" s="49"/>
      <c r="BN96" s="50">
        <f t="shared" si="45"/>
        <v>0</v>
      </c>
      <c r="BP96" s="49"/>
      <c r="BQ96" s="49"/>
      <c r="BR96" s="50">
        <f t="shared" si="46"/>
        <v>0</v>
      </c>
      <c r="BT96" s="49"/>
      <c r="BU96" s="49"/>
      <c r="BV96" s="50">
        <f t="shared" si="47"/>
        <v>0</v>
      </c>
      <c r="BX96" s="49"/>
      <c r="BY96" s="49"/>
      <c r="BZ96" s="50">
        <f t="shared" si="48"/>
        <v>0</v>
      </c>
      <c r="CB96" s="49"/>
      <c r="CC96" s="49"/>
      <c r="CD96" s="50">
        <f t="shared" si="49"/>
        <v>0</v>
      </c>
      <c r="CF96" s="49"/>
      <c r="CG96" s="49"/>
      <c r="CH96" s="50">
        <f t="shared" si="50"/>
        <v>0</v>
      </c>
      <c r="CJ96" s="49"/>
      <c r="CK96" s="49"/>
      <c r="CL96" s="50">
        <f t="shared" si="51"/>
        <v>0</v>
      </c>
      <c r="CN96" s="49"/>
      <c r="CO96" s="49"/>
      <c r="CP96" s="50">
        <f t="shared" si="52"/>
        <v>0</v>
      </c>
      <c r="CR96" s="49"/>
      <c r="CS96" s="49"/>
      <c r="CT96" s="50">
        <f t="shared" si="53"/>
        <v>0</v>
      </c>
      <c r="CV96" s="49"/>
      <c r="CW96" s="49"/>
      <c r="CX96" s="50">
        <f t="shared" si="54"/>
        <v>0</v>
      </c>
      <c r="CZ96" s="49"/>
      <c r="DA96" s="49"/>
      <c r="DB96" s="50">
        <f t="shared" si="55"/>
        <v>0</v>
      </c>
      <c r="DD96" s="49"/>
      <c r="DE96" s="49"/>
      <c r="DF96" s="50">
        <f t="shared" si="56"/>
        <v>0</v>
      </c>
      <c r="DH96" s="49"/>
      <c r="DI96" s="49"/>
      <c r="DJ96" s="50">
        <f t="shared" si="57"/>
        <v>0</v>
      </c>
      <c r="DL96" s="49"/>
      <c r="DM96" s="49"/>
      <c r="DN96" s="50">
        <f t="shared" si="58"/>
        <v>0</v>
      </c>
      <c r="DP96" s="49"/>
      <c r="DQ96" s="49"/>
      <c r="DR96" s="50">
        <f t="shared" si="59"/>
        <v>0</v>
      </c>
      <c r="DT96" s="49"/>
      <c r="DU96" s="49"/>
      <c r="DV96" s="50">
        <f t="shared" si="60"/>
        <v>0</v>
      </c>
      <c r="DX96" s="49"/>
      <c r="DY96" s="49"/>
      <c r="DZ96" s="50">
        <f t="shared" si="61"/>
        <v>0</v>
      </c>
      <c r="EB96" s="49">
        <f t="shared" si="62"/>
        <v>0</v>
      </c>
      <c r="EC96" s="49">
        <f t="shared" si="62"/>
        <v>0</v>
      </c>
      <c r="ED96" s="49">
        <f t="shared" si="62"/>
        <v>0</v>
      </c>
    </row>
    <row r="97" spans="2:134" ht="11" customHeight="1" x14ac:dyDescent="0.35">
      <c r="B97" s="4">
        <v>111251</v>
      </c>
      <c r="C97" s="14" t="s">
        <v>103</v>
      </c>
      <c r="D97" s="4">
        <v>50</v>
      </c>
      <c r="E97" s="5">
        <v>18</v>
      </c>
      <c r="F97" s="6">
        <v>198.24524392000001</v>
      </c>
      <c r="G97" s="1"/>
      <c r="H97" s="49"/>
      <c r="I97" s="49"/>
      <c r="J97" s="50">
        <f t="shared" si="63"/>
        <v>0</v>
      </c>
      <c r="K97" s="9"/>
      <c r="L97" s="49"/>
      <c r="M97" s="49"/>
      <c r="N97" s="50">
        <f t="shared" si="32"/>
        <v>0</v>
      </c>
      <c r="O97" s="46"/>
      <c r="P97" s="49"/>
      <c r="Q97" s="49"/>
      <c r="R97" s="50">
        <f t="shared" si="33"/>
        <v>0</v>
      </c>
      <c r="T97" s="49"/>
      <c r="U97" s="49"/>
      <c r="V97" s="50">
        <f t="shared" si="34"/>
        <v>0</v>
      </c>
      <c r="X97" s="49"/>
      <c r="Y97" s="49"/>
      <c r="Z97" s="50">
        <f t="shared" si="35"/>
        <v>0</v>
      </c>
      <c r="AB97" s="49"/>
      <c r="AC97" s="49"/>
      <c r="AD97" s="50">
        <f t="shared" si="36"/>
        <v>0</v>
      </c>
      <c r="AF97" s="49"/>
      <c r="AG97" s="49"/>
      <c r="AH97" s="50">
        <f t="shared" si="37"/>
        <v>0</v>
      </c>
      <c r="AJ97" s="49"/>
      <c r="AK97" s="49"/>
      <c r="AL97" s="50">
        <f t="shared" si="38"/>
        <v>0</v>
      </c>
      <c r="AN97" s="49"/>
      <c r="AO97" s="49"/>
      <c r="AP97" s="50">
        <f t="shared" si="39"/>
        <v>0</v>
      </c>
      <c r="AR97" s="49"/>
      <c r="AS97" s="49"/>
      <c r="AT97" s="50">
        <f t="shared" si="40"/>
        <v>0</v>
      </c>
      <c r="AV97" s="49"/>
      <c r="AW97" s="49"/>
      <c r="AX97" s="50">
        <f t="shared" si="41"/>
        <v>0</v>
      </c>
      <c r="AZ97" s="49"/>
      <c r="BA97" s="49"/>
      <c r="BB97" s="50">
        <f t="shared" si="42"/>
        <v>0</v>
      </c>
      <c r="BD97" s="49"/>
      <c r="BE97" s="49"/>
      <c r="BF97" s="50">
        <f t="shared" si="43"/>
        <v>0</v>
      </c>
      <c r="BH97" s="49"/>
      <c r="BI97" s="49"/>
      <c r="BJ97" s="50">
        <f t="shared" si="44"/>
        <v>0</v>
      </c>
      <c r="BL97" s="49"/>
      <c r="BM97" s="49"/>
      <c r="BN97" s="50">
        <f t="shared" si="45"/>
        <v>0</v>
      </c>
      <c r="BP97" s="49"/>
      <c r="BQ97" s="49"/>
      <c r="BR97" s="50">
        <f t="shared" si="46"/>
        <v>0</v>
      </c>
      <c r="BT97" s="49"/>
      <c r="BU97" s="49"/>
      <c r="BV97" s="50">
        <f t="shared" si="47"/>
        <v>0</v>
      </c>
      <c r="BX97" s="49"/>
      <c r="BY97" s="49"/>
      <c r="BZ97" s="50">
        <f t="shared" si="48"/>
        <v>0</v>
      </c>
      <c r="CB97" s="49"/>
      <c r="CC97" s="49"/>
      <c r="CD97" s="50">
        <f t="shared" si="49"/>
        <v>0</v>
      </c>
      <c r="CF97" s="49"/>
      <c r="CG97" s="49"/>
      <c r="CH97" s="50">
        <f t="shared" si="50"/>
        <v>0</v>
      </c>
      <c r="CJ97" s="49"/>
      <c r="CK97" s="49"/>
      <c r="CL97" s="50">
        <f t="shared" si="51"/>
        <v>0</v>
      </c>
      <c r="CN97" s="49"/>
      <c r="CO97" s="49"/>
      <c r="CP97" s="50">
        <f t="shared" si="52"/>
        <v>0</v>
      </c>
      <c r="CR97" s="49"/>
      <c r="CS97" s="49"/>
      <c r="CT97" s="50">
        <f t="shared" si="53"/>
        <v>0</v>
      </c>
      <c r="CV97" s="49"/>
      <c r="CW97" s="49"/>
      <c r="CX97" s="50">
        <f t="shared" si="54"/>
        <v>0</v>
      </c>
      <c r="CZ97" s="49"/>
      <c r="DA97" s="49"/>
      <c r="DB97" s="50">
        <f t="shared" si="55"/>
        <v>0</v>
      </c>
      <c r="DD97" s="49"/>
      <c r="DE97" s="49"/>
      <c r="DF97" s="50">
        <f t="shared" si="56"/>
        <v>0</v>
      </c>
      <c r="DH97" s="49"/>
      <c r="DI97" s="49"/>
      <c r="DJ97" s="50">
        <f t="shared" si="57"/>
        <v>0</v>
      </c>
      <c r="DL97" s="49"/>
      <c r="DM97" s="49"/>
      <c r="DN97" s="50">
        <f t="shared" si="58"/>
        <v>0</v>
      </c>
      <c r="DP97" s="49"/>
      <c r="DQ97" s="49"/>
      <c r="DR97" s="50">
        <f t="shared" si="59"/>
        <v>0</v>
      </c>
      <c r="DT97" s="49"/>
      <c r="DU97" s="49"/>
      <c r="DV97" s="50">
        <f t="shared" si="60"/>
        <v>0</v>
      </c>
      <c r="DX97" s="49"/>
      <c r="DY97" s="49"/>
      <c r="DZ97" s="50">
        <f t="shared" si="61"/>
        <v>0</v>
      </c>
      <c r="EB97" s="49">
        <f t="shared" si="62"/>
        <v>0</v>
      </c>
      <c r="EC97" s="49">
        <f t="shared" si="62"/>
        <v>0</v>
      </c>
      <c r="ED97" s="49">
        <f t="shared" si="62"/>
        <v>0</v>
      </c>
    </row>
    <row r="98" spans="2:134" ht="11" customHeight="1" x14ac:dyDescent="0.35">
      <c r="B98" s="4">
        <v>102162</v>
      </c>
      <c r="C98" s="14" t="s">
        <v>104</v>
      </c>
      <c r="D98" s="4">
        <v>50</v>
      </c>
      <c r="E98" s="5">
        <v>18</v>
      </c>
      <c r="F98" s="6">
        <v>200.47</v>
      </c>
      <c r="G98" s="1"/>
      <c r="H98" s="49"/>
      <c r="I98" s="49"/>
      <c r="J98" s="50">
        <f t="shared" si="63"/>
        <v>0</v>
      </c>
      <c r="K98" s="9"/>
      <c r="L98" s="49"/>
      <c r="M98" s="49"/>
      <c r="N98" s="50">
        <f t="shared" si="32"/>
        <v>0</v>
      </c>
      <c r="O98" s="46"/>
      <c r="P98" s="49"/>
      <c r="Q98" s="49"/>
      <c r="R98" s="50">
        <f t="shared" si="33"/>
        <v>0</v>
      </c>
      <c r="T98" s="49"/>
      <c r="U98" s="49"/>
      <c r="V98" s="50">
        <f t="shared" si="34"/>
        <v>0</v>
      </c>
      <c r="X98" s="49"/>
      <c r="Y98" s="49"/>
      <c r="Z98" s="50">
        <f t="shared" si="35"/>
        <v>0</v>
      </c>
      <c r="AB98" s="49"/>
      <c r="AC98" s="49"/>
      <c r="AD98" s="50">
        <f t="shared" si="36"/>
        <v>0</v>
      </c>
      <c r="AF98" s="49"/>
      <c r="AG98" s="49"/>
      <c r="AH98" s="50">
        <f t="shared" si="37"/>
        <v>0</v>
      </c>
      <c r="AJ98" s="49"/>
      <c r="AK98" s="49"/>
      <c r="AL98" s="50">
        <f t="shared" si="38"/>
        <v>0</v>
      </c>
      <c r="AN98" s="49"/>
      <c r="AO98" s="49"/>
      <c r="AP98" s="50">
        <f t="shared" si="39"/>
        <v>0</v>
      </c>
      <c r="AR98" s="49"/>
      <c r="AS98" s="49"/>
      <c r="AT98" s="50">
        <f t="shared" si="40"/>
        <v>0</v>
      </c>
      <c r="AV98" s="49"/>
      <c r="AW98" s="49"/>
      <c r="AX98" s="50">
        <f t="shared" si="41"/>
        <v>0</v>
      </c>
      <c r="AZ98" s="49"/>
      <c r="BA98" s="49"/>
      <c r="BB98" s="50">
        <f t="shared" si="42"/>
        <v>0</v>
      </c>
      <c r="BD98" s="49"/>
      <c r="BE98" s="49"/>
      <c r="BF98" s="50">
        <f t="shared" si="43"/>
        <v>0</v>
      </c>
      <c r="BH98" s="49"/>
      <c r="BI98" s="49"/>
      <c r="BJ98" s="50">
        <f t="shared" si="44"/>
        <v>0</v>
      </c>
      <c r="BL98" s="49"/>
      <c r="BM98" s="49"/>
      <c r="BN98" s="50">
        <f t="shared" si="45"/>
        <v>0</v>
      </c>
      <c r="BP98" s="49"/>
      <c r="BQ98" s="49"/>
      <c r="BR98" s="50">
        <f t="shared" si="46"/>
        <v>0</v>
      </c>
      <c r="BT98" s="49"/>
      <c r="BU98" s="49"/>
      <c r="BV98" s="50">
        <f t="shared" si="47"/>
        <v>0</v>
      </c>
      <c r="BX98" s="49"/>
      <c r="BY98" s="49"/>
      <c r="BZ98" s="50">
        <f t="shared" si="48"/>
        <v>0</v>
      </c>
      <c r="CB98" s="49"/>
      <c r="CC98" s="49"/>
      <c r="CD98" s="50">
        <f t="shared" si="49"/>
        <v>0</v>
      </c>
      <c r="CF98" s="49"/>
      <c r="CG98" s="49"/>
      <c r="CH98" s="50">
        <f t="shared" si="50"/>
        <v>0</v>
      </c>
      <c r="CJ98" s="49"/>
      <c r="CK98" s="49"/>
      <c r="CL98" s="50">
        <f t="shared" si="51"/>
        <v>0</v>
      </c>
      <c r="CN98" s="49"/>
      <c r="CO98" s="49"/>
      <c r="CP98" s="50">
        <f t="shared" si="52"/>
        <v>0</v>
      </c>
      <c r="CR98" s="49"/>
      <c r="CS98" s="49"/>
      <c r="CT98" s="50">
        <f t="shared" si="53"/>
        <v>0</v>
      </c>
      <c r="CV98" s="49"/>
      <c r="CW98" s="49"/>
      <c r="CX98" s="50">
        <f t="shared" si="54"/>
        <v>0</v>
      </c>
      <c r="CZ98" s="49"/>
      <c r="DA98" s="49"/>
      <c r="DB98" s="50">
        <f t="shared" si="55"/>
        <v>0</v>
      </c>
      <c r="DD98" s="49"/>
      <c r="DE98" s="49"/>
      <c r="DF98" s="50">
        <f t="shared" si="56"/>
        <v>0</v>
      </c>
      <c r="DH98" s="49"/>
      <c r="DI98" s="49"/>
      <c r="DJ98" s="50">
        <f t="shared" si="57"/>
        <v>0</v>
      </c>
      <c r="DL98" s="49"/>
      <c r="DM98" s="49"/>
      <c r="DN98" s="50">
        <f t="shared" si="58"/>
        <v>0</v>
      </c>
      <c r="DP98" s="49"/>
      <c r="DQ98" s="49"/>
      <c r="DR98" s="50">
        <f t="shared" si="59"/>
        <v>0</v>
      </c>
      <c r="DT98" s="49"/>
      <c r="DU98" s="49"/>
      <c r="DV98" s="50">
        <f t="shared" si="60"/>
        <v>0</v>
      </c>
      <c r="DX98" s="49"/>
      <c r="DY98" s="49"/>
      <c r="DZ98" s="50">
        <f t="shared" si="61"/>
        <v>0</v>
      </c>
      <c r="EB98" s="49">
        <f t="shared" si="62"/>
        <v>0</v>
      </c>
      <c r="EC98" s="49">
        <f t="shared" si="62"/>
        <v>0</v>
      </c>
      <c r="ED98" s="49">
        <f t="shared" si="62"/>
        <v>0</v>
      </c>
    </row>
    <row r="99" spans="2:134" ht="11" customHeight="1" x14ac:dyDescent="0.35">
      <c r="B99" s="4">
        <v>102944</v>
      </c>
      <c r="C99" s="14" t="s">
        <v>105</v>
      </c>
      <c r="D99" s="4">
        <v>12</v>
      </c>
      <c r="E99" s="5">
        <v>12</v>
      </c>
      <c r="F99" s="6">
        <v>237.3</v>
      </c>
      <c r="G99" s="1"/>
      <c r="H99" s="49"/>
      <c r="I99" s="49"/>
      <c r="J99" s="50">
        <f t="shared" si="63"/>
        <v>0</v>
      </c>
      <c r="K99" s="9"/>
      <c r="L99" s="49"/>
      <c r="M99" s="49"/>
      <c r="N99" s="50">
        <f t="shared" si="32"/>
        <v>0</v>
      </c>
      <c r="O99" s="46"/>
      <c r="P99" s="49"/>
      <c r="Q99" s="49"/>
      <c r="R99" s="50">
        <f t="shared" si="33"/>
        <v>0</v>
      </c>
      <c r="T99" s="49"/>
      <c r="U99" s="49"/>
      <c r="V99" s="50">
        <f t="shared" si="34"/>
        <v>0</v>
      </c>
      <c r="X99" s="49"/>
      <c r="Y99" s="49"/>
      <c r="Z99" s="50">
        <f t="shared" si="35"/>
        <v>0</v>
      </c>
      <c r="AB99" s="49"/>
      <c r="AC99" s="49"/>
      <c r="AD99" s="50">
        <f t="shared" si="36"/>
        <v>0</v>
      </c>
      <c r="AF99" s="49"/>
      <c r="AG99" s="49"/>
      <c r="AH99" s="50">
        <f t="shared" si="37"/>
        <v>0</v>
      </c>
      <c r="AJ99" s="49"/>
      <c r="AK99" s="49"/>
      <c r="AL99" s="50">
        <f t="shared" si="38"/>
        <v>0</v>
      </c>
      <c r="AN99" s="49"/>
      <c r="AO99" s="49"/>
      <c r="AP99" s="50">
        <f t="shared" si="39"/>
        <v>0</v>
      </c>
      <c r="AR99" s="49"/>
      <c r="AS99" s="49"/>
      <c r="AT99" s="50">
        <f t="shared" si="40"/>
        <v>0</v>
      </c>
      <c r="AV99" s="49"/>
      <c r="AW99" s="49"/>
      <c r="AX99" s="50">
        <f t="shared" si="41"/>
        <v>0</v>
      </c>
      <c r="AZ99" s="49"/>
      <c r="BA99" s="49"/>
      <c r="BB99" s="50">
        <f t="shared" si="42"/>
        <v>0</v>
      </c>
      <c r="BD99" s="49"/>
      <c r="BE99" s="49"/>
      <c r="BF99" s="50">
        <f t="shared" si="43"/>
        <v>0</v>
      </c>
      <c r="BH99" s="49"/>
      <c r="BI99" s="49"/>
      <c r="BJ99" s="50">
        <f t="shared" si="44"/>
        <v>0</v>
      </c>
      <c r="BL99" s="49"/>
      <c r="BM99" s="49"/>
      <c r="BN99" s="50">
        <f t="shared" si="45"/>
        <v>0</v>
      </c>
      <c r="BP99" s="49"/>
      <c r="BQ99" s="49"/>
      <c r="BR99" s="50">
        <f t="shared" si="46"/>
        <v>0</v>
      </c>
      <c r="BT99" s="49"/>
      <c r="BU99" s="49"/>
      <c r="BV99" s="50">
        <f t="shared" si="47"/>
        <v>0</v>
      </c>
      <c r="BX99" s="49"/>
      <c r="BY99" s="49"/>
      <c r="BZ99" s="50">
        <f t="shared" si="48"/>
        <v>0</v>
      </c>
      <c r="CB99" s="49"/>
      <c r="CC99" s="49"/>
      <c r="CD99" s="50">
        <f t="shared" si="49"/>
        <v>0</v>
      </c>
      <c r="CF99" s="49"/>
      <c r="CG99" s="49"/>
      <c r="CH99" s="50">
        <f t="shared" si="50"/>
        <v>0</v>
      </c>
      <c r="CJ99" s="49"/>
      <c r="CK99" s="49"/>
      <c r="CL99" s="50">
        <f t="shared" si="51"/>
        <v>0</v>
      </c>
      <c r="CN99" s="49"/>
      <c r="CO99" s="49"/>
      <c r="CP99" s="50">
        <f t="shared" si="52"/>
        <v>0</v>
      </c>
      <c r="CR99" s="49"/>
      <c r="CS99" s="49"/>
      <c r="CT99" s="50">
        <f t="shared" si="53"/>
        <v>0</v>
      </c>
      <c r="CV99" s="49"/>
      <c r="CW99" s="49"/>
      <c r="CX99" s="50">
        <f t="shared" si="54"/>
        <v>0</v>
      </c>
      <c r="CZ99" s="49"/>
      <c r="DA99" s="49"/>
      <c r="DB99" s="50">
        <f t="shared" si="55"/>
        <v>0</v>
      </c>
      <c r="DD99" s="49"/>
      <c r="DE99" s="49"/>
      <c r="DF99" s="50">
        <f t="shared" si="56"/>
        <v>0</v>
      </c>
      <c r="DH99" s="49"/>
      <c r="DI99" s="49"/>
      <c r="DJ99" s="50">
        <f t="shared" si="57"/>
        <v>0</v>
      </c>
      <c r="DL99" s="49"/>
      <c r="DM99" s="49"/>
      <c r="DN99" s="50">
        <f t="shared" si="58"/>
        <v>0</v>
      </c>
      <c r="DP99" s="49"/>
      <c r="DQ99" s="49"/>
      <c r="DR99" s="50">
        <f t="shared" si="59"/>
        <v>0</v>
      </c>
      <c r="DT99" s="49"/>
      <c r="DU99" s="49"/>
      <c r="DV99" s="50">
        <f t="shared" si="60"/>
        <v>0</v>
      </c>
      <c r="DX99" s="49"/>
      <c r="DY99" s="49"/>
      <c r="DZ99" s="50">
        <f t="shared" si="61"/>
        <v>0</v>
      </c>
      <c r="EB99" s="49">
        <f t="shared" si="62"/>
        <v>0</v>
      </c>
      <c r="EC99" s="49">
        <f t="shared" si="62"/>
        <v>0</v>
      </c>
      <c r="ED99" s="49">
        <f t="shared" si="62"/>
        <v>0</v>
      </c>
    </row>
    <row r="100" spans="2:134" ht="11" customHeight="1" x14ac:dyDescent="0.35">
      <c r="B100" s="4">
        <v>102945</v>
      </c>
      <c r="C100" s="14" t="s">
        <v>106</v>
      </c>
      <c r="D100" s="4">
        <v>12</v>
      </c>
      <c r="E100" s="5">
        <v>12</v>
      </c>
      <c r="F100" s="6">
        <v>237.3</v>
      </c>
      <c r="G100" s="1"/>
      <c r="H100" s="49"/>
      <c r="I100" s="49"/>
      <c r="J100" s="50">
        <f t="shared" si="63"/>
        <v>0</v>
      </c>
      <c r="K100" s="9"/>
      <c r="L100" s="49"/>
      <c r="M100" s="49"/>
      <c r="N100" s="50">
        <f t="shared" si="32"/>
        <v>0</v>
      </c>
      <c r="O100" s="46"/>
      <c r="P100" s="49"/>
      <c r="Q100" s="49"/>
      <c r="R100" s="50">
        <f t="shared" si="33"/>
        <v>0</v>
      </c>
      <c r="T100" s="49"/>
      <c r="U100" s="49"/>
      <c r="V100" s="50">
        <f t="shared" si="34"/>
        <v>0</v>
      </c>
      <c r="X100" s="49"/>
      <c r="Y100" s="49"/>
      <c r="Z100" s="50">
        <f t="shared" si="35"/>
        <v>0</v>
      </c>
      <c r="AB100" s="49"/>
      <c r="AC100" s="49"/>
      <c r="AD100" s="50">
        <f t="shared" si="36"/>
        <v>0</v>
      </c>
      <c r="AF100" s="49"/>
      <c r="AG100" s="49"/>
      <c r="AH100" s="50">
        <f t="shared" si="37"/>
        <v>0</v>
      </c>
      <c r="AJ100" s="49"/>
      <c r="AK100" s="49"/>
      <c r="AL100" s="50">
        <f t="shared" si="38"/>
        <v>0</v>
      </c>
      <c r="AN100" s="49"/>
      <c r="AO100" s="49"/>
      <c r="AP100" s="50">
        <f t="shared" si="39"/>
        <v>0</v>
      </c>
      <c r="AR100" s="49"/>
      <c r="AS100" s="49"/>
      <c r="AT100" s="50">
        <f t="shared" si="40"/>
        <v>0</v>
      </c>
      <c r="AV100" s="49"/>
      <c r="AW100" s="49"/>
      <c r="AX100" s="50">
        <f t="shared" si="41"/>
        <v>0</v>
      </c>
      <c r="AZ100" s="49"/>
      <c r="BA100" s="49"/>
      <c r="BB100" s="50">
        <f t="shared" si="42"/>
        <v>0</v>
      </c>
      <c r="BD100" s="49"/>
      <c r="BE100" s="49"/>
      <c r="BF100" s="50">
        <f t="shared" si="43"/>
        <v>0</v>
      </c>
      <c r="BH100" s="49"/>
      <c r="BI100" s="49"/>
      <c r="BJ100" s="50">
        <f t="shared" si="44"/>
        <v>0</v>
      </c>
      <c r="BL100" s="49"/>
      <c r="BM100" s="49"/>
      <c r="BN100" s="50">
        <f t="shared" si="45"/>
        <v>0</v>
      </c>
      <c r="BP100" s="49"/>
      <c r="BQ100" s="49"/>
      <c r="BR100" s="50">
        <f t="shared" si="46"/>
        <v>0</v>
      </c>
      <c r="BT100" s="49"/>
      <c r="BU100" s="49"/>
      <c r="BV100" s="50">
        <f t="shared" si="47"/>
        <v>0</v>
      </c>
      <c r="BX100" s="49"/>
      <c r="BY100" s="49"/>
      <c r="BZ100" s="50">
        <f t="shared" si="48"/>
        <v>0</v>
      </c>
      <c r="CB100" s="49"/>
      <c r="CC100" s="49"/>
      <c r="CD100" s="50">
        <f t="shared" si="49"/>
        <v>0</v>
      </c>
      <c r="CF100" s="49"/>
      <c r="CG100" s="49"/>
      <c r="CH100" s="50">
        <f t="shared" si="50"/>
        <v>0</v>
      </c>
      <c r="CJ100" s="49"/>
      <c r="CK100" s="49"/>
      <c r="CL100" s="50">
        <f t="shared" si="51"/>
        <v>0</v>
      </c>
      <c r="CN100" s="49"/>
      <c r="CO100" s="49"/>
      <c r="CP100" s="50">
        <f t="shared" si="52"/>
        <v>0</v>
      </c>
      <c r="CR100" s="49"/>
      <c r="CS100" s="49"/>
      <c r="CT100" s="50">
        <f t="shared" si="53"/>
        <v>0</v>
      </c>
      <c r="CV100" s="49"/>
      <c r="CW100" s="49"/>
      <c r="CX100" s="50">
        <f t="shared" si="54"/>
        <v>0</v>
      </c>
      <c r="CZ100" s="49"/>
      <c r="DA100" s="49"/>
      <c r="DB100" s="50">
        <f t="shared" si="55"/>
        <v>0</v>
      </c>
      <c r="DD100" s="49"/>
      <c r="DE100" s="49"/>
      <c r="DF100" s="50">
        <f t="shared" si="56"/>
        <v>0</v>
      </c>
      <c r="DH100" s="49"/>
      <c r="DI100" s="49"/>
      <c r="DJ100" s="50">
        <f t="shared" si="57"/>
        <v>0</v>
      </c>
      <c r="DL100" s="49"/>
      <c r="DM100" s="49"/>
      <c r="DN100" s="50">
        <f t="shared" si="58"/>
        <v>0</v>
      </c>
      <c r="DP100" s="49"/>
      <c r="DQ100" s="49"/>
      <c r="DR100" s="50">
        <f t="shared" si="59"/>
        <v>0</v>
      </c>
      <c r="DT100" s="49"/>
      <c r="DU100" s="49"/>
      <c r="DV100" s="50">
        <f t="shared" si="60"/>
        <v>0</v>
      </c>
      <c r="DX100" s="49"/>
      <c r="DY100" s="49"/>
      <c r="DZ100" s="50">
        <f t="shared" si="61"/>
        <v>0</v>
      </c>
      <c r="EB100" s="49">
        <f t="shared" si="62"/>
        <v>0</v>
      </c>
      <c r="EC100" s="49">
        <f t="shared" si="62"/>
        <v>0</v>
      </c>
      <c r="ED100" s="49">
        <f t="shared" si="62"/>
        <v>0</v>
      </c>
    </row>
    <row r="101" spans="2:134" ht="11" customHeight="1" x14ac:dyDescent="0.35">
      <c r="B101" s="4">
        <v>106621</v>
      </c>
      <c r="C101" s="14" t="s">
        <v>107</v>
      </c>
      <c r="D101" s="4">
        <v>12</v>
      </c>
      <c r="E101" s="5">
        <v>12</v>
      </c>
      <c r="F101" s="6">
        <v>468.865061078</v>
      </c>
      <c r="G101" s="1"/>
      <c r="H101" s="49"/>
      <c r="I101" s="49"/>
      <c r="J101" s="50">
        <f t="shared" si="63"/>
        <v>0</v>
      </c>
      <c r="K101" s="9"/>
      <c r="L101" s="49"/>
      <c r="M101" s="49"/>
      <c r="N101" s="50">
        <f t="shared" si="32"/>
        <v>0</v>
      </c>
      <c r="O101" s="46"/>
      <c r="P101" s="49"/>
      <c r="Q101" s="49"/>
      <c r="R101" s="50">
        <f t="shared" si="33"/>
        <v>0</v>
      </c>
      <c r="T101" s="49"/>
      <c r="U101" s="49"/>
      <c r="V101" s="50">
        <f t="shared" si="34"/>
        <v>0</v>
      </c>
      <c r="X101" s="49"/>
      <c r="Y101" s="49"/>
      <c r="Z101" s="50">
        <f t="shared" si="35"/>
        <v>0</v>
      </c>
      <c r="AB101" s="49"/>
      <c r="AC101" s="49"/>
      <c r="AD101" s="50">
        <f t="shared" si="36"/>
        <v>0</v>
      </c>
      <c r="AF101" s="49"/>
      <c r="AG101" s="49"/>
      <c r="AH101" s="50">
        <f t="shared" si="37"/>
        <v>0</v>
      </c>
      <c r="AJ101" s="49"/>
      <c r="AK101" s="49"/>
      <c r="AL101" s="50">
        <f t="shared" si="38"/>
        <v>0</v>
      </c>
      <c r="AN101" s="49"/>
      <c r="AO101" s="49"/>
      <c r="AP101" s="50">
        <f t="shared" si="39"/>
        <v>0</v>
      </c>
      <c r="AR101" s="49"/>
      <c r="AS101" s="49"/>
      <c r="AT101" s="50">
        <f t="shared" si="40"/>
        <v>0</v>
      </c>
      <c r="AV101" s="49"/>
      <c r="AW101" s="49"/>
      <c r="AX101" s="50">
        <f t="shared" si="41"/>
        <v>0</v>
      </c>
      <c r="AZ101" s="49"/>
      <c r="BA101" s="49"/>
      <c r="BB101" s="50">
        <f t="shared" si="42"/>
        <v>0</v>
      </c>
      <c r="BD101" s="49"/>
      <c r="BE101" s="49"/>
      <c r="BF101" s="50">
        <f t="shared" si="43"/>
        <v>0</v>
      </c>
      <c r="BH101" s="49"/>
      <c r="BI101" s="49"/>
      <c r="BJ101" s="50">
        <f t="shared" si="44"/>
        <v>0</v>
      </c>
      <c r="BL101" s="49"/>
      <c r="BM101" s="49"/>
      <c r="BN101" s="50">
        <f t="shared" si="45"/>
        <v>0</v>
      </c>
      <c r="BP101" s="49"/>
      <c r="BQ101" s="49"/>
      <c r="BR101" s="50">
        <f t="shared" si="46"/>
        <v>0</v>
      </c>
      <c r="BT101" s="49"/>
      <c r="BU101" s="49"/>
      <c r="BV101" s="50">
        <f t="shared" si="47"/>
        <v>0</v>
      </c>
      <c r="BX101" s="49"/>
      <c r="BY101" s="49"/>
      <c r="BZ101" s="50">
        <f t="shared" si="48"/>
        <v>0</v>
      </c>
      <c r="CB101" s="49"/>
      <c r="CC101" s="49"/>
      <c r="CD101" s="50">
        <f t="shared" si="49"/>
        <v>0</v>
      </c>
      <c r="CF101" s="49"/>
      <c r="CG101" s="49"/>
      <c r="CH101" s="50">
        <f t="shared" si="50"/>
        <v>0</v>
      </c>
      <c r="CJ101" s="49"/>
      <c r="CK101" s="49"/>
      <c r="CL101" s="50">
        <f t="shared" si="51"/>
        <v>0</v>
      </c>
      <c r="CN101" s="49"/>
      <c r="CO101" s="49"/>
      <c r="CP101" s="50">
        <f t="shared" si="52"/>
        <v>0</v>
      </c>
      <c r="CR101" s="49"/>
      <c r="CS101" s="49"/>
      <c r="CT101" s="50">
        <f t="shared" si="53"/>
        <v>0</v>
      </c>
      <c r="CV101" s="49"/>
      <c r="CW101" s="49"/>
      <c r="CX101" s="50">
        <f t="shared" si="54"/>
        <v>0</v>
      </c>
      <c r="CZ101" s="49"/>
      <c r="DA101" s="49"/>
      <c r="DB101" s="50">
        <f t="shared" si="55"/>
        <v>0</v>
      </c>
      <c r="DD101" s="49"/>
      <c r="DE101" s="49"/>
      <c r="DF101" s="50">
        <f t="shared" si="56"/>
        <v>0</v>
      </c>
      <c r="DH101" s="49"/>
      <c r="DI101" s="49"/>
      <c r="DJ101" s="50">
        <f t="shared" si="57"/>
        <v>0</v>
      </c>
      <c r="DL101" s="49"/>
      <c r="DM101" s="49"/>
      <c r="DN101" s="50">
        <f t="shared" si="58"/>
        <v>0</v>
      </c>
      <c r="DP101" s="49"/>
      <c r="DQ101" s="49"/>
      <c r="DR101" s="50">
        <f t="shared" si="59"/>
        <v>0</v>
      </c>
      <c r="DT101" s="49"/>
      <c r="DU101" s="49"/>
      <c r="DV101" s="50">
        <f t="shared" si="60"/>
        <v>0</v>
      </c>
      <c r="DX101" s="49"/>
      <c r="DY101" s="49"/>
      <c r="DZ101" s="50">
        <f t="shared" si="61"/>
        <v>0</v>
      </c>
      <c r="EB101" s="49">
        <f t="shared" si="62"/>
        <v>0</v>
      </c>
      <c r="EC101" s="49">
        <f t="shared" si="62"/>
        <v>0</v>
      </c>
      <c r="ED101" s="49">
        <f t="shared" si="62"/>
        <v>0</v>
      </c>
    </row>
    <row r="102" spans="2:134" ht="11" customHeight="1" x14ac:dyDescent="0.35">
      <c r="B102" s="4">
        <v>109016</v>
      </c>
      <c r="C102" s="14" t="s">
        <v>108</v>
      </c>
      <c r="D102" s="4">
        <v>30</v>
      </c>
      <c r="E102" s="5">
        <v>40</v>
      </c>
      <c r="F102" s="6">
        <f>81.08016*2</f>
        <v>162.16032000000001</v>
      </c>
      <c r="G102" s="1"/>
      <c r="H102" s="49"/>
      <c r="I102" s="49"/>
      <c r="J102" s="50">
        <f t="shared" si="63"/>
        <v>0</v>
      </c>
      <c r="K102" s="9"/>
      <c r="L102" s="49"/>
      <c r="M102" s="49"/>
      <c r="N102" s="50">
        <f t="shared" si="32"/>
        <v>0</v>
      </c>
      <c r="O102" s="46"/>
      <c r="P102" s="49"/>
      <c r="Q102" s="49"/>
      <c r="R102" s="50">
        <f t="shared" si="33"/>
        <v>0</v>
      </c>
      <c r="T102" s="49"/>
      <c r="U102" s="49"/>
      <c r="V102" s="50">
        <f t="shared" si="34"/>
        <v>0</v>
      </c>
      <c r="X102" s="49"/>
      <c r="Y102" s="49"/>
      <c r="Z102" s="50">
        <f t="shared" si="35"/>
        <v>0</v>
      </c>
      <c r="AB102" s="49"/>
      <c r="AC102" s="49"/>
      <c r="AD102" s="50">
        <f t="shared" si="36"/>
        <v>0</v>
      </c>
      <c r="AF102" s="49"/>
      <c r="AG102" s="49"/>
      <c r="AH102" s="50">
        <f t="shared" si="37"/>
        <v>0</v>
      </c>
      <c r="AJ102" s="49"/>
      <c r="AK102" s="49"/>
      <c r="AL102" s="50">
        <f t="shared" si="38"/>
        <v>0</v>
      </c>
      <c r="AN102" s="49"/>
      <c r="AO102" s="49"/>
      <c r="AP102" s="50">
        <f t="shared" si="39"/>
        <v>0</v>
      </c>
      <c r="AR102" s="49"/>
      <c r="AS102" s="49"/>
      <c r="AT102" s="50">
        <f t="shared" si="40"/>
        <v>0</v>
      </c>
      <c r="AV102" s="49"/>
      <c r="AW102" s="49"/>
      <c r="AX102" s="50">
        <f t="shared" si="41"/>
        <v>0</v>
      </c>
      <c r="AZ102" s="49"/>
      <c r="BA102" s="49"/>
      <c r="BB102" s="50">
        <f t="shared" si="42"/>
        <v>0</v>
      </c>
      <c r="BD102" s="49"/>
      <c r="BE102" s="49"/>
      <c r="BF102" s="50">
        <f t="shared" si="43"/>
        <v>0</v>
      </c>
      <c r="BH102" s="49"/>
      <c r="BI102" s="49"/>
      <c r="BJ102" s="50">
        <f t="shared" si="44"/>
        <v>0</v>
      </c>
      <c r="BL102" s="49"/>
      <c r="BM102" s="49"/>
      <c r="BN102" s="50">
        <f t="shared" si="45"/>
        <v>0</v>
      </c>
      <c r="BP102" s="49"/>
      <c r="BQ102" s="49"/>
      <c r="BR102" s="50">
        <f t="shared" si="46"/>
        <v>0</v>
      </c>
      <c r="BT102" s="49"/>
      <c r="BU102" s="49"/>
      <c r="BV102" s="50">
        <f t="shared" si="47"/>
        <v>0</v>
      </c>
      <c r="BX102" s="49"/>
      <c r="BY102" s="49"/>
      <c r="BZ102" s="50">
        <f t="shared" si="48"/>
        <v>0</v>
      </c>
      <c r="CB102" s="49"/>
      <c r="CC102" s="49"/>
      <c r="CD102" s="50">
        <f t="shared" si="49"/>
        <v>0</v>
      </c>
      <c r="CF102" s="49"/>
      <c r="CG102" s="49"/>
      <c r="CH102" s="50">
        <f t="shared" si="50"/>
        <v>0</v>
      </c>
      <c r="CJ102" s="49"/>
      <c r="CK102" s="49"/>
      <c r="CL102" s="50">
        <f t="shared" si="51"/>
        <v>0</v>
      </c>
      <c r="CN102" s="49"/>
      <c r="CO102" s="49"/>
      <c r="CP102" s="50">
        <f t="shared" si="52"/>
        <v>0</v>
      </c>
      <c r="CR102" s="49"/>
      <c r="CS102" s="49"/>
      <c r="CT102" s="50">
        <f t="shared" si="53"/>
        <v>0</v>
      </c>
      <c r="CV102" s="49"/>
      <c r="CW102" s="49"/>
      <c r="CX102" s="50">
        <f t="shared" si="54"/>
        <v>0</v>
      </c>
      <c r="CZ102" s="49"/>
      <c r="DA102" s="49"/>
      <c r="DB102" s="50">
        <f t="shared" si="55"/>
        <v>0</v>
      </c>
      <c r="DD102" s="49"/>
      <c r="DE102" s="49"/>
      <c r="DF102" s="50">
        <f t="shared" si="56"/>
        <v>0</v>
      </c>
      <c r="DH102" s="49"/>
      <c r="DI102" s="49"/>
      <c r="DJ102" s="50">
        <f t="shared" si="57"/>
        <v>0</v>
      </c>
      <c r="DL102" s="49"/>
      <c r="DM102" s="49"/>
      <c r="DN102" s="50">
        <f t="shared" si="58"/>
        <v>0</v>
      </c>
      <c r="DP102" s="49"/>
      <c r="DQ102" s="49"/>
      <c r="DR102" s="50">
        <f t="shared" si="59"/>
        <v>0</v>
      </c>
      <c r="DT102" s="49"/>
      <c r="DU102" s="49"/>
      <c r="DV102" s="50">
        <f t="shared" si="60"/>
        <v>0</v>
      </c>
      <c r="DX102" s="49"/>
      <c r="DY102" s="49"/>
      <c r="DZ102" s="50">
        <f t="shared" si="61"/>
        <v>0</v>
      </c>
      <c r="EB102" s="49">
        <f t="shared" si="62"/>
        <v>0</v>
      </c>
      <c r="EC102" s="49">
        <f t="shared" si="62"/>
        <v>0</v>
      </c>
      <c r="ED102" s="49">
        <f t="shared" si="62"/>
        <v>0</v>
      </c>
    </row>
    <row r="103" spans="2:134" ht="11" customHeight="1" x14ac:dyDescent="0.35">
      <c r="B103" s="4">
        <v>101878</v>
      </c>
      <c r="C103" s="14" t="s">
        <v>109</v>
      </c>
      <c r="D103" s="4">
        <v>24</v>
      </c>
      <c r="E103" s="5">
        <v>24</v>
      </c>
      <c r="F103" s="6">
        <v>189.29879107400001</v>
      </c>
      <c r="G103" s="1"/>
      <c r="H103" s="49"/>
      <c r="I103" s="49"/>
      <c r="J103" s="50">
        <f t="shared" si="63"/>
        <v>0</v>
      </c>
      <c r="K103" s="9"/>
      <c r="L103" s="49"/>
      <c r="M103" s="49"/>
      <c r="N103" s="50">
        <f t="shared" si="32"/>
        <v>0</v>
      </c>
      <c r="O103" s="46"/>
      <c r="P103" s="49"/>
      <c r="Q103" s="49"/>
      <c r="R103" s="50">
        <f t="shared" si="33"/>
        <v>0</v>
      </c>
      <c r="T103" s="49"/>
      <c r="U103" s="49"/>
      <c r="V103" s="50">
        <f t="shared" si="34"/>
        <v>0</v>
      </c>
      <c r="X103" s="49"/>
      <c r="Y103" s="49"/>
      <c r="Z103" s="50">
        <f t="shared" si="35"/>
        <v>0</v>
      </c>
      <c r="AB103" s="49"/>
      <c r="AC103" s="49"/>
      <c r="AD103" s="50">
        <f t="shared" si="36"/>
        <v>0</v>
      </c>
      <c r="AF103" s="49"/>
      <c r="AG103" s="49"/>
      <c r="AH103" s="50">
        <f t="shared" si="37"/>
        <v>0</v>
      </c>
      <c r="AJ103" s="49"/>
      <c r="AK103" s="49"/>
      <c r="AL103" s="50">
        <f t="shared" si="38"/>
        <v>0</v>
      </c>
      <c r="AN103" s="49"/>
      <c r="AO103" s="49"/>
      <c r="AP103" s="50">
        <f t="shared" si="39"/>
        <v>0</v>
      </c>
      <c r="AR103" s="49"/>
      <c r="AS103" s="49"/>
      <c r="AT103" s="50">
        <f t="shared" si="40"/>
        <v>0</v>
      </c>
      <c r="AV103" s="49"/>
      <c r="AW103" s="49"/>
      <c r="AX103" s="50">
        <f t="shared" si="41"/>
        <v>0</v>
      </c>
      <c r="AZ103" s="49"/>
      <c r="BA103" s="49"/>
      <c r="BB103" s="50">
        <f t="shared" si="42"/>
        <v>0</v>
      </c>
      <c r="BD103" s="49"/>
      <c r="BE103" s="49"/>
      <c r="BF103" s="50">
        <f t="shared" si="43"/>
        <v>0</v>
      </c>
      <c r="BH103" s="49"/>
      <c r="BI103" s="49"/>
      <c r="BJ103" s="50">
        <f t="shared" si="44"/>
        <v>0</v>
      </c>
      <c r="BL103" s="49"/>
      <c r="BM103" s="49"/>
      <c r="BN103" s="50">
        <f t="shared" si="45"/>
        <v>0</v>
      </c>
      <c r="BP103" s="49"/>
      <c r="BQ103" s="49"/>
      <c r="BR103" s="50">
        <f t="shared" si="46"/>
        <v>0</v>
      </c>
      <c r="BT103" s="49"/>
      <c r="BU103" s="49"/>
      <c r="BV103" s="50">
        <f t="shared" si="47"/>
        <v>0</v>
      </c>
      <c r="BX103" s="49"/>
      <c r="BY103" s="49"/>
      <c r="BZ103" s="50">
        <f t="shared" si="48"/>
        <v>0</v>
      </c>
      <c r="CB103" s="49"/>
      <c r="CC103" s="49"/>
      <c r="CD103" s="50">
        <f t="shared" si="49"/>
        <v>0</v>
      </c>
      <c r="CF103" s="49"/>
      <c r="CG103" s="49"/>
      <c r="CH103" s="50">
        <f t="shared" si="50"/>
        <v>0</v>
      </c>
      <c r="CJ103" s="49"/>
      <c r="CK103" s="49"/>
      <c r="CL103" s="50">
        <f t="shared" si="51"/>
        <v>0</v>
      </c>
      <c r="CN103" s="49"/>
      <c r="CO103" s="49"/>
      <c r="CP103" s="50">
        <f t="shared" si="52"/>
        <v>0</v>
      </c>
      <c r="CR103" s="49"/>
      <c r="CS103" s="49"/>
      <c r="CT103" s="50">
        <f t="shared" si="53"/>
        <v>0</v>
      </c>
      <c r="CV103" s="49"/>
      <c r="CW103" s="49"/>
      <c r="CX103" s="50">
        <f t="shared" si="54"/>
        <v>0</v>
      </c>
      <c r="CZ103" s="49"/>
      <c r="DA103" s="49"/>
      <c r="DB103" s="50">
        <f t="shared" si="55"/>
        <v>0</v>
      </c>
      <c r="DD103" s="49"/>
      <c r="DE103" s="49"/>
      <c r="DF103" s="50">
        <f t="shared" si="56"/>
        <v>0</v>
      </c>
      <c r="DH103" s="49"/>
      <c r="DI103" s="49"/>
      <c r="DJ103" s="50">
        <f t="shared" si="57"/>
        <v>0</v>
      </c>
      <c r="DL103" s="49"/>
      <c r="DM103" s="49"/>
      <c r="DN103" s="50">
        <f t="shared" si="58"/>
        <v>0</v>
      </c>
      <c r="DP103" s="49"/>
      <c r="DQ103" s="49"/>
      <c r="DR103" s="50">
        <f t="shared" si="59"/>
        <v>0</v>
      </c>
      <c r="DT103" s="49"/>
      <c r="DU103" s="49"/>
      <c r="DV103" s="50">
        <f t="shared" si="60"/>
        <v>0</v>
      </c>
      <c r="DX103" s="49"/>
      <c r="DY103" s="49"/>
      <c r="DZ103" s="50">
        <f t="shared" si="61"/>
        <v>0</v>
      </c>
      <c r="EB103" s="49">
        <f t="shared" si="62"/>
        <v>0</v>
      </c>
      <c r="EC103" s="49">
        <f t="shared" si="62"/>
        <v>0</v>
      </c>
      <c r="ED103" s="49">
        <f t="shared" si="62"/>
        <v>0</v>
      </c>
    </row>
    <row r="104" spans="2:134" ht="11" customHeight="1" x14ac:dyDescent="0.35">
      <c r="B104" s="4">
        <v>102932</v>
      </c>
      <c r="C104" s="14" t="s">
        <v>110</v>
      </c>
      <c r="D104" s="4">
        <v>75</v>
      </c>
      <c r="E104" s="5">
        <v>18</v>
      </c>
      <c r="F104" s="6">
        <v>315</v>
      </c>
      <c r="G104" s="1"/>
      <c r="H104" s="49"/>
      <c r="I104" s="49"/>
      <c r="J104" s="50">
        <f t="shared" si="63"/>
        <v>0</v>
      </c>
      <c r="K104" s="9"/>
      <c r="L104" s="49"/>
      <c r="M104" s="49"/>
      <c r="N104" s="50">
        <f t="shared" si="32"/>
        <v>0</v>
      </c>
      <c r="O104" s="46"/>
      <c r="P104" s="49"/>
      <c r="Q104" s="49"/>
      <c r="R104" s="50">
        <f t="shared" si="33"/>
        <v>0</v>
      </c>
      <c r="T104" s="49"/>
      <c r="U104" s="49"/>
      <c r="V104" s="50">
        <f t="shared" si="34"/>
        <v>0</v>
      </c>
      <c r="X104" s="49"/>
      <c r="Y104" s="49"/>
      <c r="Z104" s="50">
        <f t="shared" si="35"/>
        <v>0</v>
      </c>
      <c r="AB104" s="49"/>
      <c r="AC104" s="49"/>
      <c r="AD104" s="50">
        <f t="shared" si="36"/>
        <v>0</v>
      </c>
      <c r="AF104" s="49"/>
      <c r="AG104" s="49"/>
      <c r="AH104" s="50">
        <f t="shared" si="37"/>
        <v>0</v>
      </c>
      <c r="AJ104" s="49"/>
      <c r="AK104" s="49"/>
      <c r="AL104" s="50">
        <f t="shared" si="38"/>
        <v>0</v>
      </c>
      <c r="AN104" s="49"/>
      <c r="AO104" s="49"/>
      <c r="AP104" s="50">
        <f t="shared" si="39"/>
        <v>0</v>
      </c>
      <c r="AR104" s="49"/>
      <c r="AS104" s="49"/>
      <c r="AT104" s="50">
        <f t="shared" si="40"/>
        <v>0</v>
      </c>
      <c r="AV104" s="49"/>
      <c r="AW104" s="49"/>
      <c r="AX104" s="50">
        <f t="shared" si="41"/>
        <v>0</v>
      </c>
      <c r="AZ104" s="49"/>
      <c r="BA104" s="49"/>
      <c r="BB104" s="50">
        <f t="shared" si="42"/>
        <v>0</v>
      </c>
      <c r="BD104" s="49"/>
      <c r="BE104" s="49"/>
      <c r="BF104" s="50">
        <f t="shared" si="43"/>
        <v>0</v>
      </c>
      <c r="BH104" s="49"/>
      <c r="BI104" s="49"/>
      <c r="BJ104" s="50">
        <f t="shared" si="44"/>
        <v>0</v>
      </c>
      <c r="BL104" s="49"/>
      <c r="BM104" s="49"/>
      <c r="BN104" s="50">
        <f t="shared" si="45"/>
        <v>0</v>
      </c>
      <c r="BP104" s="49"/>
      <c r="BQ104" s="49"/>
      <c r="BR104" s="50">
        <f t="shared" si="46"/>
        <v>0</v>
      </c>
      <c r="BT104" s="49"/>
      <c r="BU104" s="49"/>
      <c r="BV104" s="50">
        <f t="shared" si="47"/>
        <v>0</v>
      </c>
      <c r="BX104" s="49"/>
      <c r="BY104" s="49"/>
      <c r="BZ104" s="50">
        <f t="shared" si="48"/>
        <v>0</v>
      </c>
      <c r="CB104" s="49"/>
      <c r="CC104" s="49"/>
      <c r="CD104" s="50">
        <f t="shared" si="49"/>
        <v>0</v>
      </c>
      <c r="CF104" s="49"/>
      <c r="CG104" s="49"/>
      <c r="CH104" s="50">
        <f t="shared" si="50"/>
        <v>0</v>
      </c>
      <c r="CJ104" s="49"/>
      <c r="CK104" s="49"/>
      <c r="CL104" s="50">
        <f t="shared" si="51"/>
        <v>0</v>
      </c>
      <c r="CN104" s="49"/>
      <c r="CO104" s="49"/>
      <c r="CP104" s="50">
        <f t="shared" si="52"/>
        <v>0</v>
      </c>
      <c r="CR104" s="49"/>
      <c r="CS104" s="49"/>
      <c r="CT104" s="50">
        <f t="shared" si="53"/>
        <v>0</v>
      </c>
      <c r="CV104" s="49"/>
      <c r="CW104" s="49"/>
      <c r="CX104" s="50">
        <f t="shared" si="54"/>
        <v>0</v>
      </c>
      <c r="CZ104" s="49"/>
      <c r="DA104" s="49"/>
      <c r="DB104" s="50">
        <f t="shared" si="55"/>
        <v>0</v>
      </c>
      <c r="DD104" s="49"/>
      <c r="DE104" s="49"/>
      <c r="DF104" s="50">
        <f t="shared" si="56"/>
        <v>0</v>
      </c>
      <c r="DH104" s="49"/>
      <c r="DI104" s="49"/>
      <c r="DJ104" s="50">
        <f t="shared" si="57"/>
        <v>0</v>
      </c>
      <c r="DL104" s="49"/>
      <c r="DM104" s="49"/>
      <c r="DN104" s="50">
        <f t="shared" si="58"/>
        <v>0</v>
      </c>
      <c r="DP104" s="49"/>
      <c r="DQ104" s="49"/>
      <c r="DR104" s="50">
        <f t="shared" si="59"/>
        <v>0</v>
      </c>
      <c r="DT104" s="49"/>
      <c r="DU104" s="49"/>
      <c r="DV104" s="50">
        <f t="shared" si="60"/>
        <v>0</v>
      </c>
      <c r="DX104" s="49"/>
      <c r="DY104" s="49"/>
      <c r="DZ104" s="50">
        <f t="shared" si="61"/>
        <v>0</v>
      </c>
      <c r="EB104" s="49">
        <f t="shared" si="62"/>
        <v>0</v>
      </c>
      <c r="EC104" s="49">
        <f t="shared" si="62"/>
        <v>0</v>
      </c>
      <c r="ED104" s="49">
        <f t="shared" si="62"/>
        <v>0</v>
      </c>
    </row>
    <row r="105" spans="2:134" ht="11" customHeight="1" x14ac:dyDescent="0.35">
      <c r="B105" s="4">
        <v>106531</v>
      </c>
      <c r="C105" s="14" t="s">
        <v>111</v>
      </c>
      <c r="D105" s="4">
        <v>36</v>
      </c>
      <c r="E105" s="5">
        <v>18</v>
      </c>
      <c r="F105" s="6">
        <v>189.29879107400001</v>
      </c>
      <c r="G105" s="1"/>
      <c r="H105" s="49"/>
      <c r="I105" s="49"/>
      <c r="J105" s="50">
        <f t="shared" si="63"/>
        <v>0</v>
      </c>
      <c r="K105" s="9"/>
      <c r="L105" s="49"/>
      <c r="M105" s="49"/>
      <c r="N105" s="50">
        <f t="shared" si="32"/>
        <v>0</v>
      </c>
      <c r="O105" s="46"/>
      <c r="P105" s="49"/>
      <c r="Q105" s="49"/>
      <c r="R105" s="50">
        <f t="shared" si="33"/>
        <v>0</v>
      </c>
      <c r="T105" s="49"/>
      <c r="U105" s="49"/>
      <c r="V105" s="50">
        <f t="shared" si="34"/>
        <v>0</v>
      </c>
      <c r="X105" s="49"/>
      <c r="Y105" s="49"/>
      <c r="Z105" s="50">
        <f t="shared" si="35"/>
        <v>0</v>
      </c>
      <c r="AB105" s="49"/>
      <c r="AC105" s="49"/>
      <c r="AD105" s="50">
        <f t="shared" si="36"/>
        <v>0</v>
      </c>
      <c r="AF105" s="49"/>
      <c r="AG105" s="49"/>
      <c r="AH105" s="50">
        <f t="shared" si="37"/>
        <v>0</v>
      </c>
      <c r="AJ105" s="49"/>
      <c r="AK105" s="49"/>
      <c r="AL105" s="50">
        <f t="shared" si="38"/>
        <v>0</v>
      </c>
      <c r="AN105" s="49"/>
      <c r="AO105" s="49"/>
      <c r="AP105" s="50">
        <f t="shared" si="39"/>
        <v>0</v>
      </c>
      <c r="AR105" s="49"/>
      <c r="AS105" s="49"/>
      <c r="AT105" s="50">
        <f t="shared" si="40"/>
        <v>0</v>
      </c>
      <c r="AV105" s="49"/>
      <c r="AW105" s="49"/>
      <c r="AX105" s="50">
        <f t="shared" si="41"/>
        <v>0</v>
      </c>
      <c r="AZ105" s="49"/>
      <c r="BA105" s="49"/>
      <c r="BB105" s="50">
        <f t="shared" si="42"/>
        <v>0</v>
      </c>
      <c r="BD105" s="49"/>
      <c r="BE105" s="49"/>
      <c r="BF105" s="50">
        <f t="shared" si="43"/>
        <v>0</v>
      </c>
      <c r="BH105" s="49"/>
      <c r="BI105" s="49"/>
      <c r="BJ105" s="50">
        <f t="shared" si="44"/>
        <v>0</v>
      </c>
      <c r="BL105" s="49"/>
      <c r="BM105" s="49"/>
      <c r="BN105" s="50">
        <f t="shared" si="45"/>
        <v>0</v>
      </c>
      <c r="BP105" s="49"/>
      <c r="BQ105" s="49"/>
      <c r="BR105" s="50">
        <f t="shared" si="46"/>
        <v>0</v>
      </c>
      <c r="BT105" s="49"/>
      <c r="BU105" s="49"/>
      <c r="BV105" s="50">
        <f t="shared" si="47"/>
        <v>0</v>
      </c>
      <c r="BX105" s="49"/>
      <c r="BY105" s="49"/>
      <c r="BZ105" s="50">
        <f t="shared" si="48"/>
        <v>0</v>
      </c>
      <c r="CB105" s="49"/>
      <c r="CC105" s="49"/>
      <c r="CD105" s="50">
        <f t="shared" si="49"/>
        <v>0</v>
      </c>
      <c r="CF105" s="49"/>
      <c r="CG105" s="49"/>
      <c r="CH105" s="50">
        <f t="shared" si="50"/>
        <v>0</v>
      </c>
      <c r="CJ105" s="49"/>
      <c r="CK105" s="49"/>
      <c r="CL105" s="50">
        <f t="shared" si="51"/>
        <v>0</v>
      </c>
      <c r="CN105" s="49"/>
      <c r="CO105" s="49"/>
      <c r="CP105" s="50">
        <f t="shared" si="52"/>
        <v>0</v>
      </c>
      <c r="CR105" s="49"/>
      <c r="CS105" s="49"/>
      <c r="CT105" s="50">
        <f t="shared" si="53"/>
        <v>0</v>
      </c>
      <c r="CV105" s="49"/>
      <c r="CW105" s="49"/>
      <c r="CX105" s="50">
        <f t="shared" si="54"/>
        <v>0</v>
      </c>
      <c r="CZ105" s="49"/>
      <c r="DA105" s="49"/>
      <c r="DB105" s="50">
        <f t="shared" si="55"/>
        <v>0</v>
      </c>
      <c r="DD105" s="49"/>
      <c r="DE105" s="49"/>
      <c r="DF105" s="50">
        <f t="shared" si="56"/>
        <v>0</v>
      </c>
      <c r="DH105" s="49"/>
      <c r="DI105" s="49"/>
      <c r="DJ105" s="50">
        <f t="shared" si="57"/>
        <v>0</v>
      </c>
      <c r="DL105" s="49"/>
      <c r="DM105" s="49"/>
      <c r="DN105" s="50">
        <f t="shared" si="58"/>
        <v>0</v>
      </c>
      <c r="DP105" s="49"/>
      <c r="DQ105" s="49"/>
      <c r="DR105" s="50">
        <f t="shared" si="59"/>
        <v>0</v>
      </c>
      <c r="DT105" s="49"/>
      <c r="DU105" s="49"/>
      <c r="DV105" s="50">
        <f t="shared" si="60"/>
        <v>0</v>
      </c>
      <c r="DX105" s="49"/>
      <c r="DY105" s="49"/>
      <c r="DZ105" s="50">
        <f t="shared" si="61"/>
        <v>0</v>
      </c>
      <c r="EB105" s="49">
        <f t="shared" si="62"/>
        <v>0</v>
      </c>
      <c r="EC105" s="49">
        <f t="shared" si="62"/>
        <v>0</v>
      </c>
      <c r="ED105" s="49">
        <f t="shared" si="62"/>
        <v>0</v>
      </c>
    </row>
    <row r="106" spans="2:134" ht="11" customHeight="1" x14ac:dyDescent="0.35">
      <c r="B106" s="4">
        <v>109410</v>
      </c>
      <c r="C106" s="14" t="s">
        <v>112</v>
      </c>
      <c r="D106" s="4">
        <v>20</v>
      </c>
      <c r="E106" s="5">
        <v>18</v>
      </c>
      <c r="F106" s="6">
        <v>20.277777</v>
      </c>
      <c r="G106" s="1"/>
      <c r="H106" s="49"/>
      <c r="I106" s="49"/>
      <c r="J106" s="50">
        <f t="shared" si="63"/>
        <v>0</v>
      </c>
      <c r="K106" s="9"/>
      <c r="L106" s="49"/>
      <c r="M106" s="49"/>
      <c r="N106" s="50">
        <f t="shared" si="32"/>
        <v>0</v>
      </c>
      <c r="O106" s="46"/>
      <c r="P106" s="49"/>
      <c r="Q106" s="49"/>
      <c r="R106" s="50">
        <f t="shared" si="33"/>
        <v>0</v>
      </c>
      <c r="T106" s="49"/>
      <c r="U106" s="49"/>
      <c r="V106" s="50">
        <f t="shared" si="34"/>
        <v>0</v>
      </c>
      <c r="X106" s="49"/>
      <c r="Y106" s="49"/>
      <c r="Z106" s="50">
        <f t="shared" si="35"/>
        <v>0</v>
      </c>
      <c r="AB106" s="49"/>
      <c r="AC106" s="49"/>
      <c r="AD106" s="50">
        <f t="shared" si="36"/>
        <v>0</v>
      </c>
      <c r="AF106" s="49"/>
      <c r="AG106" s="49"/>
      <c r="AH106" s="50">
        <f t="shared" si="37"/>
        <v>0</v>
      </c>
      <c r="AJ106" s="49"/>
      <c r="AK106" s="49"/>
      <c r="AL106" s="50">
        <f t="shared" si="38"/>
        <v>0</v>
      </c>
      <c r="AN106" s="49"/>
      <c r="AO106" s="49"/>
      <c r="AP106" s="50">
        <f t="shared" si="39"/>
        <v>0</v>
      </c>
      <c r="AR106" s="49"/>
      <c r="AS106" s="49"/>
      <c r="AT106" s="50">
        <f t="shared" si="40"/>
        <v>0</v>
      </c>
      <c r="AV106" s="49"/>
      <c r="AW106" s="49"/>
      <c r="AX106" s="50">
        <f t="shared" si="41"/>
        <v>0</v>
      </c>
      <c r="AZ106" s="49"/>
      <c r="BA106" s="49"/>
      <c r="BB106" s="50">
        <f t="shared" si="42"/>
        <v>0</v>
      </c>
      <c r="BD106" s="49"/>
      <c r="BE106" s="49"/>
      <c r="BF106" s="50">
        <f t="shared" si="43"/>
        <v>0</v>
      </c>
      <c r="BH106" s="49"/>
      <c r="BI106" s="49"/>
      <c r="BJ106" s="50">
        <f t="shared" si="44"/>
        <v>0</v>
      </c>
      <c r="BL106" s="49"/>
      <c r="BM106" s="49"/>
      <c r="BN106" s="50">
        <f t="shared" si="45"/>
        <v>0</v>
      </c>
      <c r="BP106" s="49"/>
      <c r="BQ106" s="49"/>
      <c r="BR106" s="50">
        <f t="shared" si="46"/>
        <v>0</v>
      </c>
      <c r="BT106" s="49"/>
      <c r="BU106" s="49"/>
      <c r="BV106" s="50">
        <f t="shared" si="47"/>
        <v>0</v>
      </c>
      <c r="BX106" s="49"/>
      <c r="BY106" s="49"/>
      <c r="BZ106" s="50">
        <f t="shared" si="48"/>
        <v>0</v>
      </c>
      <c r="CB106" s="49"/>
      <c r="CC106" s="49"/>
      <c r="CD106" s="50">
        <f t="shared" si="49"/>
        <v>0</v>
      </c>
      <c r="CF106" s="49"/>
      <c r="CG106" s="49"/>
      <c r="CH106" s="50">
        <f t="shared" si="50"/>
        <v>0</v>
      </c>
      <c r="CJ106" s="49"/>
      <c r="CK106" s="49"/>
      <c r="CL106" s="50">
        <f t="shared" si="51"/>
        <v>0</v>
      </c>
      <c r="CN106" s="49"/>
      <c r="CO106" s="49"/>
      <c r="CP106" s="50">
        <f t="shared" si="52"/>
        <v>0</v>
      </c>
      <c r="CR106" s="49"/>
      <c r="CS106" s="49"/>
      <c r="CT106" s="50">
        <f t="shared" si="53"/>
        <v>0</v>
      </c>
      <c r="CV106" s="49"/>
      <c r="CW106" s="49"/>
      <c r="CX106" s="50">
        <f t="shared" si="54"/>
        <v>0</v>
      </c>
      <c r="CZ106" s="49"/>
      <c r="DA106" s="49"/>
      <c r="DB106" s="50">
        <f t="shared" si="55"/>
        <v>0</v>
      </c>
      <c r="DD106" s="49"/>
      <c r="DE106" s="49"/>
      <c r="DF106" s="50">
        <f t="shared" si="56"/>
        <v>0</v>
      </c>
      <c r="DH106" s="49"/>
      <c r="DI106" s="49"/>
      <c r="DJ106" s="50">
        <f t="shared" si="57"/>
        <v>0</v>
      </c>
      <c r="DL106" s="49"/>
      <c r="DM106" s="49"/>
      <c r="DN106" s="50">
        <f t="shared" si="58"/>
        <v>0</v>
      </c>
      <c r="DP106" s="49"/>
      <c r="DQ106" s="49"/>
      <c r="DR106" s="50">
        <f t="shared" si="59"/>
        <v>0</v>
      </c>
      <c r="DT106" s="49"/>
      <c r="DU106" s="49"/>
      <c r="DV106" s="50">
        <f t="shared" si="60"/>
        <v>0</v>
      </c>
      <c r="DX106" s="49"/>
      <c r="DY106" s="49"/>
      <c r="DZ106" s="50">
        <f t="shared" si="61"/>
        <v>0</v>
      </c>
      <c r="EB106" s="49">
        <f t="shared" si="62"/>
        <v>0</v>
      </c>
      <c r="EC106" s="49">
        <f t="shared" si="62"/>
        <v>0</v>
      </c>
      <c r="ED106" s="49">
        <f t="shared" si="62"/>
        <v>0</v>
      </c>
    </row>
    <row r="107" spans="2:134" ht="11" customHeight="1" x14ac:dyDescent="0.35">
      <c r="B107" s="4" t="s">
        <v>113</v>
      </c>
      <c r="C107" s="14" t="s">
        <v>114</v>
      </c>
      <c r="D107" s="4">
        <v>6</v>
      </c>
      <c r="E107" s="5">
        <v>12</v>
      </c>
      <c r="F107" s="6">
        <v>484.75580000000002</v>
      </c>
      <c r="G107" s="1"/>
      <c r="H107" s="49"/>
      <c r="I107" s="49"/>
      <c r="J107" s="50">
        <f t="shared" si="63"/>
        <v>0</v>
      </c>
      <c r="K107" s="9"/>
      <c r="L107" s="49"/>
      <c r="M107" s="49"/>
      <c r="N107" s="50">
        <f t="shared" si="32"/>
        <v>0</v>
      </c>
      <c r="O107" s="46"/>
      <c r="P107" s="49"/>
      <c r="Q107" s="49"/>
      <c r="R107" s="50">
        <f t="shared" si="33"/>
        <v>0</v>
      </c>
      <c r="T107" s="49"/>
      <c r="U107" s="49"/>
      <c r="V107" s="50">
        <f t="shared" si="34"/>
        <v>0</v>
      </c>
      <c r="X107" s="49"/>
      <c r="Y107" s="49"/>
      <c r="Z107" s="50">
        <f t="shared" si="35"/>
        <v>0</v>
      </c>
      <c r="AB107" s="49"/>
      <c r="AC107" s="49"/>
      <c r="AD107" s="50">
        <f t="shared" si="36"/>
        <v>0</v>
      </c>
      <c r="AF107" s="49"/>
      <c r="AG107" s="49"/>
      <c r="AH107" s="50">
        <f t="shared" si="37"/>
        <v>0</v>
      </c>
      <c r="AJ107" s="49"/>
      <c r="AK107" s="49"/>
      <c r="AL107" s="50">
        <f t="shared" si="38"/>
        <v>0</v>
      </c>
      <c r="AN107" s="49"/>
      <c r="AO107" s="49"/>
      <c r="AP107" s="50">
        <f t="shared" si="39"/>
        <v>0</v>
      </c>
      <c r="AR107" s="49"/>
      <c r="AS107" s="49"/>
      <c r="AT107" s="50">
        <f t="shared" si="40"/>
        <v>0</v>
      </c>
      <c r="AV107" s="49"/>
      <c r="AW107" s="49"/>
      <c r="AX107" s="50">
        <f t="shared" si="41"/>
        <v>0</v>
      </c>
      <c r="AZ107" s="49"/>
      <c r="BA107" s="49"/>
      <c r="BB107" s="50">
        <f t="shared" si="42"/>
        <v>0</v>
      </c>
      <c r="BD107" s="49"/>
      <c r="BE107" s="49"/>
      <c r="BF107" s="50">
        <f t="shared" si="43"/>
        <v>0</v>
      </c>
      <c r="BH107" s="49"/>
      <c r="BI107" s="49"/>
      <c r="BJ107" s="50">
        <f t="shared" si="44"/>
        <v>0</v>
      </c>
      <c r="BL107" s="49"/>
      <c r="BM107" s="49"/>
      <c r="BN107" s="50">
        <f t="shared" si="45"/>
        <v>0</v>
      </c>
      <c r="BP107" s="49"/>
      <c r="BQ107" s="49"/>
      <c r="BR107" s="50">
        <f t="shared" si="46"/>
        <v>0</v>
      </c>
      <c r="BT107" s="49"/>
      <c r="BU107" s="49"/>
      <c r="BV107" s="50">
        <f t="shared" si="47"/>
        <v>0</v>
      </c>
      <c r="BX107" s="49"/>
      <c r="BY107" s="49"/>
      <c r="BZ107" s="50">
        <f t="shared" si="48"/>
        <v>0</v>
      </c>
      <c r="CB107" s="49"/>
      <c r="CC107" s="49"/>
      <c r="CD107" s="50">
        <f t="shared" si="49"/>
        <v>0</v>
      </c>
      <c r="CF107" s="49"/>
      <c r="CG107" s="49"/>
      <c r="CH107" s="50">
        <f t="shared" si="50"/>
        <v>0</v>
      </c>
      <c r="CJ107" s="49"/>
      <c r="CK107" s="49"/>
      <c r="CL107" s="50">
        <f t="shared" si="51"/>
        <v>0</v>
      </c>
      <c r="CN107" s="49"/>
      <c r="CO107" s="49"/>
      <c r="CP107" s="50">
        <f t="shared" si="52"/>
        <v>0</v>
      </c>
      <c r="CR107" s="49"/>
      <c r="CS107" s="49"/>
      <c r="CT107" s="50">
        <f t="shared" si="53"/>
        <v>0</v>
      </c>
      <c r="CV107" s="49"/>
      <c r="CW107" s="49"/>
      <c r="CX107" s="50">
        <f t="shared" si="54"/>
        <v>0</v>
      </c>
      <c r="CZ107" s="49"/>
      <c r="DA107" s="49"/>
      <c r="DB107" s="50">
        <f t="shared" si="55"/>
        <v>0</v>
      </c>
      <c r="DD107" s="49"/>
      <c r="DE107" s="49"/>
      <c r="DF107" s="50">
        <f t="shared" si="56"/>
        <v>0</v>
      </c>
      <c r="DH107" s="49"/>
      <c r="DI107" s="49"/>
      <c r="DJ107" s="50">
        <f t="shared" si="57"/>
        <v>0</v>
      </c>
      <c r="DL107" s="49"/>
      <c r="DM107" s="49"/>
      <c r="DN107" s="50">
        <f t="shared" si="58"/>
        <v>0</v>
      </c>
      <c r="DP107" s="49"/>
      <c r="DQ107" s="49"/>
      <c r="DR107" s="50">
        <f t="shared" si="59"/>
        <v>0</v>
      </c>
      <c r="DT107" s="49"/>
      <c r="DU107" s="49"/>
      <c r="DV107" s="50">
        <f t="shared" si="60"/>
        <v>0</v>
      </c>
      <c r="DX107" s="49"/>
      <c r="DY107" s="49"/>
      <c r="DZ107" s="50">
        <f t="shared" si="61"/>
        <v>0</v>
      </c>
      <c r="EB107" s="49">
        <f t="shared" si="62"/>
        <v>0</v>
      </c>
      <c r="EC107" s="49">
        <f t="shared" si="62"/>
        <v>0</v>
      </c>
      <c r="ED107" s="49">
        <f t="shared" si="62"/>
        <v>0</v>
      </c>
    </row>
    <row r="108" spans="2:134" ht="11" customHeight="1" x14ac:dyDescent="0.35">
      <c r="B108" s="4">
        <v>0</v>
      </c>
      <c r="C108" s="14" t="s">
        <v>115</v>
      </c>
      <c r="D108" s="4">
        <v>50</v>
      </c>
      <c r="E108" s="5">
        <v>18</v>
      </c>
      <c r="F108" s="6">
        <v>198.24524392000001</v>
      </c>
      <c r="G108" s="1"/>
      <c r="H108" s="49"/>
      <c r="I108" s="49"/>
      <c r="J108" s="50">
        <f t="shared" si="63"/>
        <v>0</v>
      </c>
      <c r="K108" s="9"/>
      <c r="L108" s="49"/>
      <c r="M108" s="49"/>
      <c r="N108" s="50">
        <f t="shared" si="32"/>
        <v>0</v>
      </c>
      <c r="O108" s="46"/>
      <c r="P108" s="49"/>
      <c r="Q108" s="49"/>
      <c r="R108" s="50">
        <f t="shared" si="33"/>
        <v>0</v>
      </c>
      <c r="T108" s="49"/>
      <c r="U108" s="49"/>
      <c r="V108" s="50">
        <f t="shared" si="34"/>
        <v>0</v>
      </c>
      <c r="X108" s="49"/>
      <c r="Y108" s="49"/>
      <c r="Z108" s="50">
        <f t="shared" si="35"/>
        <v>0</v>
      </c>
      <c r="AB108" s="49"/>
      <c r="AC108" s="49"/>
      <c r="AD108" s="50">
        <f t="shared" si="36"/>
        <v>0</v>
      </c>
      <c r="AF108" s="49"/>
      <c r="AG108" s="49"/>
      <c r="AH108" s="50">
        <f t="shared" si="37"/>
        <v>0</v>
      </c>
      <c r="AJ108" s="49"/>
      <c r="AK108" s="49"/>
      <c r="AL108" s="50">
        <f t="shared" si="38"/>
        <v>0</v>
      </c>
      <c r="AN108" s="49"/>
      <c r="AO108" s="49"/>
      <c r="AP108" s="50">
        <f t="shared" si="39"/>
        <v>0</v>
      </c>
      <c r="AR108" s="49"/>
      <c r="AS108" s="49"/>
      <c r="AT108" s="50">
        <f t="shared" si="40"/>
        <v>0</v>
      </c>
      <c r="AV108" s="49"/>
      <c r="AW108" s="49"/>
      <c r="AX108" s="50">
        <f t="shared" si="41"/>
        <v>0</v>
      </c>
      <c r="AZ108" s="49"/>
      <c r="BA108" s="49"/>
      <c r="BB108" s="50">
        <f t="shared" si="42"/>
        <v>0</v>
      </c>
      <c r="BD108" s="49"/>
      <c r="BE108" s="49"/>
      <c r="BF108" s="50">
        <f t="shared" si="43"/>
        <v>0</v>
      </c>
      <c r="BH108" s="49"/>
      <c r="BI108" s="49"/>
      <c r="BJ108" s="50">
        <f t="shared" si="44"/>
        <v>0</v>
      </c>
      <c r="BL108" s="49"/>
      <c r="BM108" s="49"/>
      <c r="BN108" s="50">
        <f t="shared" si="45"/>
        <v>0</v>
      </c>
      <c r="BP108" s="49"/>
      <c r="BQ108" s="49"/>
      <c r="BR108" s="50">
        <f t="shared" si="46"/>
        <v>0</v>
      </c>
      <c r="BT108" s="49"/>
      <c r="BU108" s="49"/>
      <c r="BV108" s="50">
        <f t="shared" si="47"/>
        <v>0</v>
      </c>
      <c r="BX108" s="49"/>
      <c r="BY108" s="49"/>
      <c r="BZ108" s="50">
        <f t="shared" si="48"/>
        <v>0</v>
      </c>
      <c r="CB108" s="49"/>
      <c r="CC108" s="49"/>
      <c r="CD108" s="50">
        <f t="shared" si="49"/>
        <v>0</v>
      </c>
      <c r="CF108" s="49"/>
      <c r="CG108" s="49"/>
      <c r="CH108" s="50">
        <f t="shared" si="50"/>
        <v>0</v>
      </c>
      <c r="CJ108" s="49"/>
      <c r="CK108" s="49"/>
      <c r="CL108" s="50">
        <f t="shared" si="51"/>
        <v>0</v>
      </c>
      <c r="CN108" s="49"/>
      <c r="CO108" s="49"/>
      <c r="CP108" s="50">
        <f t="shared" si="52"/>
        <v>0</v>
      </c>
      <c r="CR108" s="49"/>
      <c r="CS108" s="49"/>
      <c r="CT108" s="50">
        <f t="shared" si="53"/>
        <v>0</v>
      </c>
      <c r="CV108" s="49"/>
      <c r="CW108" s="49"/>
      <c r="CX108" s="50">
        <f t="shared" si="54"/>
        <v>0</v>
      </c>
      <c r="CZ108" s="49"/>
      <c r="DA108" s="49"/>
      <c r="DB108" s="50">
        <f t="shared" si="55"/>
        <v>0</v>
      </c>
      <c r="DD108" s="49"/>
      <c r="DE108" s="49"/>
      <c r="DF108" s="50">
        <f t="shared" si="56"/>
        <v>0</v>
      </c>
      <c r="DH108" s="49"/>
      <c r="DI108" s="49"/>
      <c r="DJ108" s="50">
        <f t="shared" si="57"/>
        <v>0</v>
      </c>
      <c r="DL108" s="49"/>
      <c r="DM108" s="49"/>
      <c r="DN108" s="50">
        <f t="shared" si="58"/>
        <v>0</v>
      </c>
      <c r="DP108" s="49"/>
      <c r="DQ108" s="49"/>
      <c r="DR108" s="50">
        <f t="shared" si="59"/>
        <v>0</v>
      </c>
      <c r="DT108" s="49"/>
      <c r="DU108" s="49"/>
      <c r="DV108" s="50">
        <f t="shared" si="60"/>
        <v>0</v>
      </c>
      <c r="DX108" s="49"/>
      <c r="DY108" s="49"/>
      <c r="DZ108" s="50">
        <f t="shared" si="61"/>
        <v>0</v>
      </c>
      <c r="EB108" s="49">
        <f t="shared" si="62"/>
        <v>0</v>
      </c>
      <c r="EC108" s="49">
        <f t="shared" si="62"/>
        <v>0</v>
      </c>
      <c r="ED108" s="49">
        <f t="shared" si="62"/>
        <v>0</v>
      </c>
    </row>
    <row r="109" spans="2:134" ht="11" customHeight="1" x14ac:dyDescent="0.35">
      <c r="B109" s="15"/>
      <c r="C109" s="1"/>
      <c r="D109" s="1"/>
      <c r="E109" s="1"/>
      <c r="F109" s="1"/>
      <c r="G109" s="1"/>
      <c r="H109" s="1">
        <f>SUM(H4:H108)</f>
        <v>0</v>
      </c>
      <c r="I109" s="1">
        <f>SUM(I4:I108)</f>
        <v>0</v>
      </c>
      <c r="J109" s="1">
        <f>SUM(J4:J108)</f>
        <v>0</v>
      </c>
      <c r="K109" s="1"/>
      <c r="L109" s="1">
        <f>SUM(L4:L108)</f>
        <v>0</v>
      </c>
      <c r="M109" s="1">
        <f>SUM(M4:M108)</f>
        <v>0</v>
      </c>
      <c r="N109" s="1">
        <f>SUM(N4:N108)</f>
        <v>0</v>
      </c>
      <c r="O109" s="47"/>
      <c r="P109" s="1">
        <f>SUM(P4:P108)</f>
        <v>0</v>
      </c>
      <c r="Q109" s="1">
        <f>SUM(Q4:Q108)</f>
        <v>0</v>
      </c>
      <c r="R109" s="1">
        <f>SUM(R4:R108)</f>
        <v>0</v>
      </c>
      <c r="T109" s="1">
        <f>SUM(T4:T108)</f>
        <v>0</v>
      </c>
      <c r="U109" s="1">
        <f>SUM(U4:U108)</f>
        <v>0</v>
      </c>
      <c r="V109" s="1">
        <f>SUM(V4:V108)</f>
        <v>0</v>
      </c>
      <c r="X109" s="1">
        <f>SUM(X4:X108)</f>
        <v>0</v>
      </c>
      <c r="Y109" s="1">
        <f>SUM(Y4:Y108)</f>
        <v>0</v>
      </c>
      <c r="Z109" s="1">
        <f>SUM(Z4:Z108)</f>
        <v>0</v>
      </c>
      <c r="AB109" s="1">
        <f>SUM(AB4:AB108)</f>
        <v>0</v>
      </c>
      <c r="AC109" s="1">
        <f>SUM(AC4:AC108)</f>
        <v>0</v>
      </c>
      <c r="AD109" s="1">
        <f>SUM(AD4:AD108)</f>
        <v>0</v>
      </c>
      <c r="AF109" s="1">
        <f>SUM(AF4:AF108)</f>
        <v>0</v>
      </c>
      <c r="AG109" s="1">
        <f>SUM(AG4:AG108)</f>
        <v>0</v>
      </c>
      <c r="AH109" s="1">
        <f>SUM(AH4:AH108)</f>
        <v>0</v>
      </c>
      <c r="AJ109" s="1">
        <f>SUM(AJ4:AJ108)</f>
        <v>0</v>
      </c>
      <c r="AK109" s="1">
        <f>SUM(AK4:AK108)</f>
        <v>0</v>
      </c>
      <c r="AL109" s="1">
        <f>SUM(AL4:AL108)</f>
        <v>0</v>
      </c>
      <c r="AN109" s="1">
        <f>SUM(AN4:AN108)</f>
        <v>0</v>
      </c>
      <c r="AO109" s="1">
        <f>SUM(AO4:AO108)</f>
        <v>0</v>
      </c>
      <c r="AP109" s="1">
        <f>SUM(AP4:AP108)</f>
        <v>0</v>
      </c>
      <c r="AR109" s="1">
        <f>SUM(AR4:AR108)</f>
        <v>0</v>
      </c>
      <c r="AS109" s="1">
        <f>SUM(AS4:AS108)</f>
        <v>0</v>
      </c>
      <c r="AT109" s="1">
        <f>SUM(AT4:AT108)</f>
        <v>0</v>
      </c>
      <c r="AV109" s="1">
        <f>SUM(AV4:AV108)</f>
        <v>0</v>
      </c>
      <c r="AW109" s="1">
        <f>SUM(AW4:AW108)</f>
        <v>0</v>
      </c>
      <c r="AX109" s="1">
        <f>SUM(AX4:AX108)</f>
        <v>0</v>
      </c>
      <c r="AZ109" s="1">
        <f>SUM(AZ4:AZ108)</f>
        <v>0</v>
      </c>
      <c r="BA109" s="1">
        <f>SUM(BA4:BA108)</f>
        <v>0</v>
      </c>
      <c r="BB109" s="1">
        <f>SUM(BB4:BB108)</f>
        <v>0</v>
      </c>
      <c r="BD109" s="1">
        <f>SUM(BD4:BD108)</f>
        <v>0</v>
      </c>
      <c r="BE109" s="1">
        <f>SUM(BE4:BE108)</f>
        <v>0</v>
      </c>
      <c r="BF109" s="1">
        <f>SUM(BF4:BF108)</f>
        <v>0</v>
      </c>
      <c r="BH109" s="1">
        <f>SUM(BH4:BH108)</f>
        <v>0</v>
      </c>
      <c r="BI109" s="1">
        <f>SUM(BI4:BI108)</f>
        <v>0</v>
      </c>
      <c r="BJ109" s="1">
        <f>SUM(BJ4:BJ108)</f>
        <v>0</v>
      </c>
      <c r="BL109" s="1">
        <f>SUM(BL4:BL108)</f>
        <v>0</v>
      </c>
      <c r="BM109" s="1">
        <f>SUM(BM4:BM108)</f>
        <v>0</v>
      </c>
      <c r="BN109" s="1">
        <f>SUM(BN4:BN108)</f>
        <v>0</v>
      </c>
      <c r="BP109" s="1">
        <f>SUM(BP4:BP108)</f>
        <v>0</v>
      </c>
      <c r="BQ109" s="1">
        <f>SUM(BQ4:BQ108)</f>
        <v>0</v>
      </c>
      <c r="BR109" s="1">
        <f>SUM(BR4:BR108)</f>
        <v>0</v>
      </c>
      <c r="BT109" s="1">
        <f>SUM(BT4:BT108)</f>
        <v>0</v>
      </c>
      <c r="BU109" s="1">
        <f>SUM(BU4:BU108)</f>
        <v>0</v>
      </c>
      <c r="BV109" s="1">
        <f>SUM(BV4:BV108)</f>
        <v>0</v>
      </c>
      <c r="BX109" s="1">
        <f>SUM(BX4:BX108)</f>
        <v>0</v>
      </c>
      <c r="BY109" s="1">
        <f>SUM(BY4:BY108)</f>
        <v>0</v>
      </c>
      <c r="BZ109" s="1">
        <f>SUM(BZ4:BZ108)</f>
        <v>0</v>
      </c>
      <c r="CB109" s="1">
        <f>SUM(CB4:CB108)</f>
        <v>0</v>
      </c>
      <c r="CC109" s="1">
        <f>SUM(CC4:CC108)</f>
        <v>0</v>
      </c>
      <c r="CD109" s="1">
        <f>SUM(CD4:CD108)</f>
        <v>0</v>
      </c>
      <c r="CF109" s="1">
        <f>SUM(CF4:CF108)</f>
        <v>0</v>
      </c>
      <c r="CG109" s="1">
        <f>SUM(CG4:CG108)</f>
        <v>0</v>
      </c>
      <c r="CH109" s="1">
        <f>SUM(CH4:CH108)</f>
        <v>0</v>
      </c>
      <c r="CJ109" s="1">
        <f>SUM(CJ4:CJ108)</f>
        <v>0</v>
      </c>
      <c r="CK109" s="1">
        <f>SUM(CK4:CK108)</f>
        <v>0</v>
      </c>
      <c r="CL109" s="1">
        <f>SUM(CL4:CL108)</f>
        <v>0</v>
      </c>
      <c r="CN109" s="1">
        <f t="shared" ref="CN109:CP109" si="64">SUM(CN4:CN108)</f>
        <v>0</v>
      </c>
      <c r="CO109" s="1">
        <f t="shared" si="64"/>
        <v>0</v>
      </c>
      <c r="CP109" s="1">
        <f t="shared" si="64"/>
        <v>0</v>
      </c>
      <c r="CR109" s="1">
        <f t="shared" ref="CR109:CT109" si="65">SUM(CR4:CR108)</f>
        <v>0</v>
      </c>
      <c r="CS109" s="1">
        <f t="shared" si="65"/>
        <v>0</v>
      </c>
      <c r="CT109" s="1">
        <f t="shared" si="65"/>
        <v>0</v>
      </c>
      <c r="CV109" s="1">
        <f t="shared" ref="CV109:CX109" si="66">SUM(CV4:CV108)</f>
        <v>0</v>
      </c>
      <c r="CW109" s="1">
        <f t="shared" si="66"/>
        <v>0</v>
      </c>
      <c r="CX109" s="1">
        <f t="shared" si="66"/>
        <v>0</v>
      </c>
      <c r="CZ109" s="1">
        <f t="shared" ref="CZ109:DB109" si="67">SUM(CZ4:CZ108)</f>
        <v>0</v>
      </c>
      <c r="DA109" s="1">
        <f t="shared" si="67"/>
        <v>0</v>
      </c>
      <c r="DB109" s="1">
        <f t="shared" si="67"/>
        <v>0</v>
      </c>
      <c r="DD109" s="1">
        <f t="shared" ref="DD109:DF109" si="68">SUM(DD4:DD108)</f>
        <v>0</v>
      </c>
      <c r="DE109" s="1">
        <f t="shared" si="68"/>
        <v>0</v>
      </c>
      <c r="DF109" s="1">
        <f t="shared" si="68"/>
        <v>0</v>
      </c>
      <c r="DH109" s="1">
        <f t="shared" ref="DH109:DJ109" si="69">SUM(DH4:DH108)</f>
        <v>0</v>
      </c>
      <c r="DI109" s="1">
        <f t="shared" si="69"/>
        <v>0</v>
      </c>
      <c r="DJ109" s="1">
        <f t="shared" si="69"/>
        <v>0</v>
      </c>
      <c r="DL109" s="1">
        <f t="shared" ref="DL109:DN109" si="70">SUM(DL4:DL108)</f>
        <v>0</v>
      </c>
      <c r="DM109" s="1">
        <f t="shared" si="70"/>
        <v>0</v>
      </c>
      <c r="DN109" s="1">
        <f t="shared" si="70"/>
        <v>0</v>
      </c>
      <c r="DP109" s="1">
        <f t="shared" ref="DP109:DR109" si="71">SUM(DP4:DP108)</f>
        <v>0</v>
      </c>
      <c r="DQ109" s="1">
        <f t="shared" si="71"/>
        <v>0</v>
      </c>
      <c r="DR109" s="1">
        <f t="shared" si="71"/>
        <v>0</v>
      </c>
      <c r="DT109" s="1">
        <f t="shared" ref="DT109:DV109" si="72">SUM(DT4:DT108)</f>
        <v>0</v>
      </c>
      <c r="DU109" s="1">
        <f t="shared" si="72"/>
        <v>0</v>
      </c>
      <c r="DV109" s="1">
        <f t="shared" si="72"/>
        <v>0</v>
      </c>
      <c r="DX109" s="1">
        <f t="shared" ref="DX109:DZ109" si="73">SUM(DX4:DX108)</f>
        <v>0</v>
      </c>
      <c r="DY109" s="1">
        <f t="shared" si="73"/>
        <v>0</v>
      </c>
      <c r="DZ109" s="1">
        <f t="shared" si="73"/>
        <v>0</v>
      </c>
      <c r="EB109" s="1">
        <f t="shared" ref="EB109:ED109" si="74">SUM(EB4:EB108)</f>
        <v>0</v>
      </c>
      <c r="EC109" s="1">
        <f t="shared" si="74"/>
        <v>0</v>
      </c>
      <c r="ED109" s="1">
        <f t="shared" si="74"/>
        <v>0</v>
      </c>
    </row>
    <row r="110" spans="2:134" x14ac:dyDescent="0.35">
      <c r="L110" s="48"/>
      <c r="M110" s="48"/>
      <c r="N110" s="48"/>
      <c r="O110" s="48"/>
    </row>
  </sheetData>
  <conditionalFormatting sqref="B4:B79 B109">
    <cfRule type="duplicateValues" dxfId="4" priority="5"/>
  </conditionalFormatting>
  <conditionalFormatting sqref="B4:B108">
    <cfRule type="duplicateValues" dxfId="3" priority="1"/>
    <cfRule type="duplicateValues" dxfId="2" priority="2"/>
  </conditionalFormatting>
  <conditionalFormatting sqref="B80:B84">
    <cfRule type="duplicateValues" dxfId="1" priority="4"/>
  </conditionalFormatting>
  <conditionalFormatting sqref="B85:B108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Asghar</vt:lpstr>
      <vt:lpstr>shahzad</vt:lpstr>
      <vt:lpstr>Fahad</vt:lpstr>
      <vt:lpstr>Asif</vt:lpstr>
      <vt:lpstr>sumair</vt:lpstr>
      <vt:lpstr>Summary!Print_Area</vt:lpstr>
    </vt:vector>
  </TitlesOfParts>
  <Company>PepsiCo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Owais {PEP}</dc:creator>
  <cp:lastModifiedBy>Khan, Owais {PEP}</cp:lastModifiedBy>
  <cp:lastPrinted>2025-11-16T20:01:25Z</cp:lastPrinted>
  <dcterms:created xsi:type="dcterms:W3CDTF">2025-11-16T12:12:18Z</dcterms:created>
  <dcterms:modified xsi:type="dcterms:W3CDTF">2025-11-16T21:25:13Z</dcterms:modified>
</cp:coreProperties>
</file>