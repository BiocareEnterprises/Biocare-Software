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5600" windowHeight="7305" activeTab="1"/>
  </bookViews>
  <sheets>
    <sheet name="Oct-2025" sheetId="1" r:id="rId1"/>
    <sheet name="Nov-2025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/>
  <c r="E27" l="1"/>
  <c r="E24"/>
  <c r="W27"/>
  <c r="J18"/>
  <c r="J17" l="1"/>
  <c r="D12"/>
  <c r="D6"/>
  <c r="J13"/>
  <c r="J35" s="1"/>
  <c r="O35"/>
  <c r="P35" s="1"/>
  <c r="P34"/>
  <c r="L35"/>
  <c r="V4" s="1"/>
  <c r="I35"/>
  <c r="H35"/>
  <c r="G35"/>
  <c r="F35"/>
  <c r="E35"/>
  <c r="E38" s="1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2"/>
  <c r="K11"/>
  <c r="K10"/>
  <c r="K9"/>
  <c r="K8"/>
  <c r="K7"/>
  <c r="K6"/>
  <c r="K5"/>
  <c r="R4"/>
  <c r="K4"/>
  <c r="N37" i="1"/>
  <c r="V4"/>
  <c r="U4"/>
  <c r="T4"/>
  <c r="S4"/>
  <c r="R4"/>
  <c r="P34"/>
  <c r="R34" s="1"/>
  <c r="K13" i="2" l="1"/>
  <c r="S4"/>
  <c r="T4" s="1"/>
  <c r="W4" s="1"/>
  <c r="K35"/>
  <c r="U4" s="1"/>
  <c r="M4"/>
  <c r="P21" i="1"/>
  <c r="P14"/>
  <c r="D5" i="2" l="1"/>
  <c r="M5" s="1"/>
  <c r="P4"/>
  <c r="N37"/>
  <c r="R34"/>
  <c r="D35"/>
  <c r="J7" i="1"/>
  <c r="M6" i="2" l="1"/>
  <c r="D7" s="1"/>
  <c r="P5"/>
  <c r="L35" i="1"/>
  <c r="J35"/>
  <c r="I35"/>
  <c r="H35"/>
  <c r="G35"/>
  <c r="F35"/>
  <c r="E35"/>
  <c r="E38" s="1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M4" s="1"/>
  <c r="D5" s="1"/>
  <c r="M7" i="2" l="1"/>
  <c r="D8" s="1"/>
  <c r="P6"/>
  <c r="M5" i="1"/>
  <c r="D6" s="1"/>
  <c r="M6" s="1"/>
  <c r="D7" s="1"/>
  <c r="M7" s="1"/>
  <c r="D9" s="1"/>
  <c r="M9" s="1"/>
  <c r="D10" s="1"/>
  <c r="M10" s="1"/>
  <c r="D11" s="1"/>
  <c r="M11" s="1"/>
  <c r="D12" s="1"/>
  <c r="M12" s="1"/>
  <c r="D13" s="1"/>
  <c r="M13" s="1"/>
  <c r="D14" s="1"/>
  <c r="M14" s="1"/>
  <c r="K35"/>
  <c r="P7" i="2" l="1"/>
  <c r="M8"/>
  <c r="D9" s="1"/>
  <c r="D16" i="1"/>
  <c r="M16" s="1"/>
  <c r="D17" s="1"/>
  <c r="M17" s="1"/>
  <c r="D18" s="1"/>
  <c r="M18" s="1"/>
  <c r="D19" s="1"/>
  <c r="M19" s="1"/>
  <c r="D20" s="1"/>
  <c r="M20" s="1"/>
  <c r="D21" s="1"/>
  <c r="M21" s="1"/>
  <c r="D23" s="1"/>
  <c r="M23" s="1"/>
  <c r="D24" s="1"/>
  <c r="M24" s="1"/>
  <c r="D25" s="1"/>
  <c r="M25" s="1"/>
  <c r="D26" s="1"/>
  <c r="M26" s="1"/>
  <c r="D27" s="1"/>
  <c r="M27" s="1"/>
  <c r="D28" s="1"/>
  <c r="M28" s="1"/>
  <c r="D30" s="1"/>
  <c r="M30" s="1"/>
  <c r="D31" s="1"/>
  <c r="M31" s="1"/>
  <c r="D32" s="1"/>
  <c r="M32" s="1"/>
  <c r="D33" s="1"/>
  <c r="M33" s="1"/>
  <c r="D34" s="1"/>
  <c r="M34" s="1"/>
  <c r="D35" s="1"/>
  <c r="P8" i="2" l="1"/>
  <c r="M9"/>
  <c r="D10" s="1"/>
  <c r="M10" l="1"/>
  <c r="D11" s="1"/>
  <c r="P9"/>
  <c r="M11" l="1"/>
  <c r="M12" s="1"/>
  <c r="P10"/>
  <c r="D13" l="1"/>
  <c r="P12"/>
  <c r="M13"/>
  <c r="D14" s="1"/>
  <c r="P11"/>
  <c r="M14" l="1"/>
  <c r="D15" s="1"/>
  <c r="P13"/>
  <c r="P14" l="1"/>
  <c r="M15"/>
  <c r="P15" l="1"/>
  <c r="D16"/>
  <c r="M16" s="1"/>
  <c r="D17" s="1"/>
  <c r="M17" s="1"/>
  <c r="D18" s="1"/>
  <c r="P16" l="1"/>
  <c r="M18"/>
  <c r="D19" s="1"/>
  <c r="M19" s="1"/>
  <c r="P17"/>
  <c r="D20" l="1"/>
  <c r="M20" s="1"/>
  <c r="D21" s="1"/>
  <c r="P19"/>
  <c r="P18"/>
  <c r="M21" l="1"/>
  <c r="D22" s="1"/>
  <c r="P20"/>
  <c r="M22" l="1"/>
  <c r="P22" l="1"/>
  <c r="D23"/>
  <c r="M23" s="1"/>
  <c r="D24" s="1"/>
  <c r="M24" s="1"/>
  <c r="D25" s="1"/>
  <c r="P23" l="1"/>
  <c r="M25"/>
  <c r="D26" s="1"/>
  <c r="M26" s="1"/>
  <c r="D27" s="1"/>
  <c r="P24"/>
  <c r="M27" l="1"/>
  <c r="D28" s="1"/>
  <c r="P25"/>
  <c r="P27" l="1"/>
  <c r="M28"/>
  <c r="D29" s="1"/>
  <c r="P28" l="1"/>
  <c r="M29"/>
  <c r="P29" l="1"/>
  <c r="D30"/>
  <c r="M30" s="1"/>
  <c r="D31" s="1"/>
  <c r="M31" s="1"/>
  <c r="D32" s="1"/>
  <c r="P30" l="1"/>
  <c r="P31"/>
  <c r="M32"/>
  <c r="P32" l="1"/>
  <c r="D33"/>
  <c r="M33" s="1"/>
  <c r="M34" s="1"/>
</calcChain>
</file>

<file path=xl/comments1.xml><?xml version="1.0" encoding="utf-8"?>
<comments xmlns="http://schemas.openxmlformats.org/spreadsheetml/2006/main">
  <authors>
    <author>ADMIN</author>
  </authors>
  <commentList>
    <comment ref="J14" authorId="0">
      <text>
        <r>
          <rPr>
            <sz val="9"/>
            <color indexed="81"/>
            <rFont val="Tahoma"/>
            <family val="2"/>
          </rPr>
          <t xml:space="preserve">Wearhouse shortage 8 ctns
</t>
        </r>
      </text>
    </comment>
    <comment ref="J15" authorId="0">
      <text>
        <r>
          <rPr>
            <sz val="9"/>
            <color indexed="81"/>
            <rFont val="Tahoma"/>
            <family val="2"/>
          </rPr>
          <t xml:space="preserve">Dameage 1.26
</t>
        </r>
      </text>
    </comment>
    <comment ref="E24" authorId="0">
      <text>
        <r>
          <rPr>
            <sz val="9"/>
            <color indexed="81"/>
            <rFont val="Tahoma"/>
            <family val="2"/>
          </rPr>
          <t xml:space="preserve">Bounce 3 ctns received from Aju 
</t>
        </r>
      </text>
    </comment>
  </commentList>
</comments>
</file>

<file path=xl/sharedStrings.xml><?xml version="1.0" encoding="utf-8"?>
<sst xmlns="http://schemas.openxmlformats.org/spreadsheetml/2006/main" count="50" uniqueCount="20">
  <si>
    <t>Opening</t>
  </si>
  <si>
    <t>Receiving</t>
  </si>
  <si>
    <t>Fahad</t>
  </si>
  <si>
    <t>Aisf GT</t>
  </si>
  <si>
    <t>Shahzad</t>
  </si>
  <si>
    <t>Asghar</t>
  </si>
  <si>
    <t>Sumaire</t>
  </si>
  <si>
    <t>Secondary</t>
  </si>
  <si>
    <t>Primary</t>
  </si>
  <si>
    <t>Total</t>
  </si>
  <si>
    <t>Damage</t>
  </si>
  <si>
    <t>Date</t>
  </si>
  <si>
    <t>Closing</t>
  </si>
  <si>
    <t>Physical</t>
  </si>
  <si>
    <t>FOC</t>
  </si>
  <si>
    <t>Total CTN</t>
  </si>
  <si>
    <t>Target</t>
  </si>
  <si>
    <t>Balance</t>
  </si>
  <si>
    <t>DIFFRANCE=25CTN</t>
  </si>
  <si>
    <t>Sumair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</si>
</sst>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0" xfId="0" applyNumberFormat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2" xfId="0" applyFont="1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V38"/>
  <sheetViews>
    <sheetView zoomScale="80" zoomScaleNormal="80" workbookViewId="0">
      <selection activeCell="M4" sqref="M4"/>
    </sheetView>
  </sheetViews>
  <sheetFormatPr defaultRowHeight="14.25"/>
  <cols>
    <col min="3" max="3" width="12.25" customWidth="1"/>
    <col min="14" max="14" width="10.75" bestFit="1" customWidth="1"/>
    <col min="15" max="15" width="9.375" bestFit="1" customWidth="1"/>
    <col min="16" max="16" width="10.375" bestFit="1" customWidth="1"/>
    <col min="18" max="22" width="11.625" customWidth="1"/>
  </cols>
  <sheetData>
    <row r="2" spans="1:22" ht="15">
      <c r="C2" s="1"/>
      <c r="D2" s="1"/>
      <c r="E2" s="6" t="s">
        <v>8</v>
      </c>
      <c r="F2" s="23" t="s">
        <v>7</v>
      </c>
      <c r="G2" s="23"/>
      <c r="H2" s="23"/>
      <c r="I2" s="23"/>
      <c r="J2" s="23"/>
      <c r="K2" s="23"/>
      <c r="L2" s="1"/>
      <c r="M2" s="1"/>
      <c r="N2" s="10">
        <v>45941</v>
      </c>
    </row>
    <row r="3" spans="1:22" ht="15">
      <c r="C3" s="5" t="s">
        <v>11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9</v>
      </c>
      <c r="L3" s="5" t="s">
        <v>10</v>
      </c>
      <c r="M3" s="5" t="s">
        <v>12</v>
      </c>
      <c r="N3" s="5" t="s">
        <v>13</v>
      </c>
      <c r="O3" s="5" t="s">
        <v>14</v>
      </c>
      <c r="P3" s="5" t="s">
        <v>15</v>
      </c>
      <c r="R3" s="5" t="s">
        <v>0</v>
      </c>
      <c r="S3" s="5" t="s">
        <v>1</v>
      </c>
      <c r="T3" s="5" t="s">
        <v>9</v>
      </c>
      <c r="U3" s="5" t="s">
        <v>7</v>
      </c>
      <c r="V3" s="5" t="s">
        <v>12</v>
      </c>
    </row>
    <row r="4" spans="1:22" ht="15">
      <c r="C4" s="3">
        <v>45931</v>
      </c>
      <c r="D4" s="8">
        <v>1106.372222222222</v>
      </c>
      <c r="E4" s="4">
        <v>0</v>
      </c>
      <c r="F4" s="4">
        <v>16.260000000000002</v>
      </c>
      <c r="G4" s="9">
        <v>22.64</v>
      </c>
      <c r="H4" s="4">
        <v>10.52</v>
      </c>
      <c r="I4" s="4">
        <v>15.04</v>
      </c>
      <c r="J4" s="4"/>
      <c r="K4" s="8">
        <f>SUM(F4:J4)</f>
        <v>64.460000000000008</v>
      </c>
      <c r="L4" s="4"/>
      <c r="M4" s="8">
        <f>D4+E4-K4-L4</f>
        <v>1041.912222222222</v>
      </c>
      <c r="N4" s="2"/>
      <c r="O4" s="2"/>
      <c r="P4" s="2"/>
      <c r="R4" s="14">
        <f>D4</f>
        <v>1106.372222222222</v>
      </c>
      <c r="S4" s="14">
        <f>E35</f>
        <v>4973</v>
      </c>
      <c r="T4" s="14">
        <f>S4+R4</f>
        <v>6079.3722222222223</v>
      </c>
      <c r="U4" s="14">
        <f>K35</f>
        <v>4673.2960000000003</v>
      </c>
      <c r="V4" s="14">
        <f>T4-U4</f>
        <v>1406.076222222222</v>
      </c>
    </row>
    <row r="5" spans="1:22">
      <c r="C5" s="3">
        <v>45932</v>
      </c>
      <c r="D5" s="8">
        <f>M4</f>
        <v>1041.912222222222</v>
      </c>
      <c r="E5" s="4">
        <v>218</v>
      </c>
      <c r="F5" s="4">
        <v>22.21</v>
      </c>
      <c r="G5" s="4">
        <v>15.74</v>
      </c>
      <c r="H5" s="4">
        <v>18.899999999999999</v>
      </c>
      <c r="I5" s="4">
        <v>19.86</v>
      </c>
      <c r="J5" s="4">
        <v>107.33</v>
      </c>
      <c r="K5" s="8">
        <f t="shared" ref="K5:K34" si="0">SUM(F5:J5)</f>
        <v>184.04000000000002</v>
      </c>
      <c r="L5" s="4"/>
      <c r="M5" s="8">
        <f t="shared" ref="M5:M34" si="1">D5+E5-K5-L5</f>
        <v>1075.872222222222</v>
      </c>
      <c r="N5" s="2"/>
      <c r="O5" s="2"/>
      <c r="P5" s="2"/>
    </row>
    <row r="6" spans="1:22">
      <c r="C6" s="3">
        <v>45933</v>
      </c>
      <c r="D6" s="8">
        <f>M5</f>
        <v>1075.872222222222</v>
      </c>
      <c r="E6" s="4">
        <v>141</v>
      </c>
      <c r="F6" s="4">
        <v>24.09</v>
      </c>
      <c r="G6" s="4">
        <v>17.12</v>
      </c>
      <c r="H6" s="4">
        <v>18.16</v>
      </c>
      <c r="I6" s="4">
        <v>21.46</v>
      </c>
      <c r="J6" s="4">
        <v>97.89</v>
      </c>
      <c r="K6" s="8">
        <f t="shared" si="0"/>
        <v>178.72000000000003</v>
      </c>
      <c r="L6" s="4"/>
      <c r="M6" s="8">
        <f t="shared" si="1"/>
        <v>1038.152222222222</v>
      </c>
      <c r="N6" s="2"/>
      <c r="O6" s="2"/>
      <c r="P6" s="2"/>
    </row>
    <row r="7" spans="1:22">
      <c r="C7" s="3">
        <v>45934</v>
      </c>
      <c r="D7" s="8">
        <f>M6</f>
        <v>1038.152222222222</v>
      </c>
      <c r="E7" s="4">
        <v>109</v>
      </c>
      <c r="F7" s="4">
        <v>18.829999999999998</v>
      </c>
      <c r="G7" s="4">
        <v>13.58</v>
      </c>
      <c r="H7" s="4">
        <v>12.83</v>
      </c>
      <c r="I7" s="4">
        <v>12.11</v>
      </c>
      <c r="J7" s="13">
        <f>92.06+8</f>
        <v>100.06</v>
      </c>
      <c r="K7" s="8">
        <f t="shared" si="0"/>
        <v>157.41</v>
      </c>
      <c r="L7" s="4"/>
      <c r="M7" s="8">
        <f t="shared" si="1"/>
        <v>989.74222222222204</v>
      </c>
      <c r="N7" s="2"/>
      <c r="O7" s="2"/>
      <c r="P7" s="2"/>
    </row>
    <row r="8" spans="1:22">
      <c r="C8" s="7">
        <v>45935</v>
      </c>
      <c r="D8" s="8"/>
      <c r="E8" s="8">
        <v>0</v>
      </c>
      <c r="F8" s="8"/>
      <c r="G8" s="8"/>
      <c r="H8" s="8"/>
      <c r="I8" s="8"/>
      <c r="J8" s="8"/>
      <c r="K8" s="8">
        <f t="shared" si="0"/>
        <v>0</v>
      </c>
      <c r="L8" s="8"/>
      <c r="M8" s="8"/>
      <c r="N8" s="2"/>
      <c r="O8" s="2"/>
      <c r="P8" s="2"/>
    </row>
    <row r="9" spans="1:22">
      <c r="C9" s="3">
        <v>45936</v>
      </c>
      <c r="D9" s="8">
        <f>M7</f>
        <v>989.74222222222204</v>
      </c>
      <c r="E9" s="4">
        <v>70</v>
      </c>
      <c r="F9" s="4">
        <v>21.5</v>
      </c>
      <c r="G9" s="4">
        <v>21.99</v>
      </c>
      <c r="H9" s="4">
        <v>17.809999999999999</v>
      </c>
      <c r="I9" s="4">
        <v>17.57</v>
      </c>
      <c r="J9" s="4">
        <v>53.56</v>
      </c>
      <c r="K9" s="8">
        <f t="shared" si="0"/>
        <v>132.43</v>
      </c>
      <c r="L9" s="4"/>
      <c r="M9" s="8">
        <f t="shared" si="1"/>
        <v>927.31222222222209</v>
      </c>
      <c r="N9" s="2"/>
      <c r="O9" s="2"/>
      <c r="P9" s="2"/>
    </row>
    <row r="10" spans="1:22">
      <c r="C10" s="3">
        <v>45937</v>
      </c>
      <c r="D10" s="8">
        <f>M9</f>
        <v>927.31222222222209</v>
      </c>
      <c r="E10" s="4">
        <v>266</v>
      </c>
      <c r="F10" s="4">
        <v>20.22</v>
      </c>
      <c r="G10" s="4">
        <v>30.08</v>
      </c>
      <c r="H10" s="4">
        <v>19.84</v>
      </c>
      <c r="I10" s="4">
        <v>20.99</v>
      </c>
      <c r="J10" s="4">
        <v>0</v>
      </c>
      <c r="K10" s="8">
        <f t="shared" si="0"/>
        <v>91.13</v>
      </c>
      <c r="L10" s="4"/>
      <c r="M10" s="8">
        <f t="shared" si="1"/>
        <v>1102.1822222222222</v>
      </c>
      <c r="N10" s="2"/>
      <c r="O10" s="2"/>
      <c r="P10" s="2"/>
    </row>
    <row r="11" spans="1:22">
      <c r="C11" s="3">
        <v>45938</v>
      </c>
      <c r="D11" s="8">
        <f>M10</f>
        <v>1102.1822222222222</v>
      </c>
      <c r="E11" s="4">
        <v>191</v>
      </c>
      <c r="F11" s="4">
        <v>26.86</v>
      </c>
      <c r="G11" s="4">
        <v>33.67</v>
      </c>
      <c r="H11" s="4">
        <v>15.31</v>
      </c>
      <c r="I11" s="4">
        <v>25.46</v>
      </c>
      <c r="J11" s="4">
        <v>0</v>
      </c>
      <c r="K11" s="8">
        <f t="shared" si="0"/>
        <v>101.30000000000001</v>
      </c>
      <c r="L11" s="4"/>
      <c r="M11" s="8">
        <f t="shared" si="1"/>
        <v>1191.8822222222223</v>
      </c>
      <c r="N11" s="2"/>
      <c r="O11" s="2"/>
      <c r="P11" s="2"/>
    </row>
    <row r="12" spans="1:22">
      <c r="C12" s="3">
        <v>45939</v>
      </c>
      <c r="D12" s="8">
        <f>M11</f>
        <v>1191.8822222222223</v>
      </c>
      <c r="E12" s="4">
        <v>203</v>
      </c>
      <c r="F12" s="4">
        <v>18.98</v>
      </c>
      <c r="G12" s="4">
        <v>19.850000000000001</v>
      </c>
      <c r="H12" s="4">
        <v>16.989999999999998</v>
      </c>
      <c r="I12" s="4">
        <v>25.01</v>
      </c>
      <c r="J12" s="4">
        <v>97.35</v>
      </c>
      <c r="K12" s="8">
        <f t="shared" si="0"/>
        <v>178.18</v>
      </c>
      <c r="L12" s="4"/>
      <c r="M12" s="8">
        <f t="shared" si="1"/>
        <v>1216.7022222222222</v>
      </c>
      <c r="N12" s="2"/>
      <c r="O12" s="2"/>
      <c r="P12" s="2"/>
    </row>
    <row r="13" spans="1:22">
      <c r="C13" s="3">
        <v>45940</v>
      </c>
      <c r="D13" s="8">
        <f>M12</f>
        <v>1216.7022222222222</v>
      </c>
      <c r="E13" s="4">
        <v>172</v>
      </c>
      <c r="F13" s="4">
        <v>25.99</v>
      </c>
      <c r="G13" s="4">
        <v>16.350000000000001</v>
      </c>
      <c r="H13" s="4">
        <v>20.28</v>
      </c>
      <c r="I13" s="4">
        <v>19.32</v>
      </c>
      <c r="J13" s="4">
        <v>133.63999999999999</v>
      </c>
      <c r="K13" s="8">
        <f t="shared" si="0"/>
        <v>215.57999999999998</v>
      </c>
      <c r="L13" s="4"/>
      <c r="M13" s="8">
        <f t="shared" si="1"/>
        <v>1173.1222222222223</v>
      </c>
      <c r="N13" s="2"/>
      <c r="O13" s="2"/>
      <c r="P13" s="2"/>
    </row>
    <row r="14" spans="1:22">
      <c r="A14" s="4"/>
      <c r="C14" s="3">
        <v>45941</v>
      </c>
      <c r="D14" s="8">
        <f>M13</f>
        <v>1173.1222222222223</v>
      </c>
      <c r="E14" s="4">
        <v>179</v>
      </c>
      <c r="F14" s="4">
        <v>15.26</v>
      </c>
      <c r="G14" s="4">
        <v>21.57</v>
      </c>
      <c r="H14" s="4">
        <v>16.309999999999999</v>
      </c>
      <c r="I14" s="4">
        <v>11.92</v>
      </c>
      <c r="J14" s="4">
        <v>169.83</v>
      </c>
      <c r="K14" s="8">
        <f t="shared" si="0"/>
        <v>234.89000000000001</v>
      </c>
      <c r="L14" s="4"/>
      <c r="M14" s="8">
        <f t="shared" si="1"/>
        <v>1117.2322222222222</v>
      </c>
      <c r="N14" s="11">
        <v>929.1194444444443</v>
      </c>
      <c r="O14" s="11">
        <v>10.52</v>
      </c>
      <c r="P14" s="11">
        <f>SUM(N14:O14)</f>
        <v>939.63944444444428</v>
      </c>
    </row>
    <row r="15" spans="1:22">
      <c r="C15" s="7">
        <v>45942</v>
      </c>
      <c r="D15" s="8"/>
      <c r="E15" s="8"/>
      <c r="F15" s="8"/>
      <c r="G15" s="8"/>
      <c r="H15" s="8"/>
      <c r="I15" s="8"/>
      <c r="J15" s="8"/>
      <c r="K15" s="8">
        <f t="shared" si="0"/>
        <v>0</v>
      </c>
      <c r="L15" s="8"/>
      <c r="M15" s="8"/>
      <c r="N15" s="2"/>
      <c r="O15" s="2"/>
      <c r="P15" s="2"/>
    </row>
    <row r="16" spans="1:22">
      <c r="C16" s="3">
        <v>45943</v>
      </c>
      <c r="D16" s="8">
        <f>M14</f>
        <v>1117.2322222222222</v>
      </c>
      <c r="E16" s="4">
        <v>159</v>
      </c>
      <c r="F16" s="4">
        <v>20.61</v>
      </c>
      <c r="G16" s="4">
        <v>23.93</v>
      </c>
      <c r="H16" s="4">
        <v>14.53</v>
      </c>
      <c r="I16" s="4">
        <v>31.85</v>
      </c>
      <c r="J16" s="4">
        <v>40.47</v>
      </c>
      <c r="K16" s="8">
        <f t="shared" si="0"/>
        <v>131.38999999999999</v>
      </c>
      <c r="L16" s="4"/>
      <c r="M16" s="8">
        <f t="shared" si="1"/>
        <v>1144.8422222222221</v>
      </c>
      <c r="N16" s="2"/>
      <c r="O16" s="2"/>
      <c r="P16" s="2"/>
    </row>
    <row r="17" spans="3:16">
      <c r="C17" s="3">
        <v>45944</v>
      </c>
      <c r="D17" s="8">
        <f>M16</f>
        <v>1144.8422222222221</v>
      </c>
      <c r="E17" s="4">
        <v>163</v>
      </c>
      <c r="F17" s="4">
        <v>18.95</v>
      </c>
      <c r="G17" s="4">
        <v>24.01</v>
      </c>
      <c r="H17" s="4">
        <v>17.78</v>
      </c>
      <c r="I17" s="4">
        <v>21.86</v>
      </c>
      <c r="J17" s="4">
        <v>0</v>
      </c>
      <c r="K17" s="8">
        <f t="shared" si="0"/>
        <v>82.6</v>
      </c>
      <c r="L17" s="4"/>
      <c r="M17" s="8">
        <f t="shared" si="1"/>
        <v>1225.2422222222222</v>
      </c>
      <c r="N17" s="2"/>
      <c r="O17" s="2"/>
      <c r="P17" s="2"/>
    </row>
    <row r="18" spans="3:16">
      <c r="C18" s="3">
        <v>45945</v>
      </c>
      <c r="D18" s="8">
        <f>M17</f>
        <v>1225.2422222222222</v>
      </c>
      <c r="E18" s="4">
        <v>73</v>
      </c>
      <c r="F18" s="4">
        <v>21.58</v>
      </c>
      <c r="G18" s="4">
        <v>25.11</v>
      </c>
      <c r="H18" s="4">
        <v>11.14</v>
      </c>
      <c r="I18" s="4">
        <v>17.989999999999998</v>
      </c>
      <c r="J18" s="4">
        <v>0</v>
      </c>
      <c r="K18" s="8">
        <f t="shared" si="0"/>
        <v>75.819999999999993</v>
      </c>
      <c r="L18" s="4"/>
      <c r="M18" s="8">
        <f t="shared" si="1"/>
        <v>1222.4222222222222</v>
      </c>
      <c r="N18" s="2"/>
      <c r="O18" s="2"/>
      <c r="P18" s="2"/>
    </row>
    <row r="19" spans="3:16">
      <c r="C19" s="3">
        <v>45946</v>
      </c>
      <c r="D19" s="8">
        <f>M18</f>
        <v>1222.4222222222222</v>
      </c>
      <c r="E19" s="4">
        <v>269</v>
      </c>
      <c r="F19" s="4">
        <v>27.74</v>
      </c>
      <c r="G19" s="4">
        <v>17.62</v>
      </c>
      <c r="H19" s="4">
        <v>15.38</v>
      </c>
      <c r="I19" s="4">
        <v>18.64</v>
      </c>
      <c r="J19" s="4">
        <v>84</v>
      </c>
      <c r="K19" s="8">
        <f t="shared" si="0"/>
        <v>163.38</v>
      </c>
      <c r="L19" s="4"/>
      <c r="M19" s="8">
        <f t="shared" si="1"/>
        <v>1328.0422222222223</v>
      </c>
      <c r="N19" s="2"/>
      <c r="O19" s="2"/>
      <c r="P19" s="2"/>
    </row>
    <row r="20" spans="3:16">
      <c r="C20" s="3">
        <v>45947</v>
      </c>
      <c r="D20" s="8">
        <f>M19</f>
        <v>1328.0422222222223</v>
      </c>
      <c r="E20" s="4">
        <v>230</v>
      </c>
      <c r="F20" s="4">
        <v>24.85</v>
      </c>
      <c r="G20" s="4">
        <v>15.81</v>
      </c>
      <c r="H20" s="4">
        <v>14.25</v>
      </c>
      <c r="I20" s="4">
        <v>18.97</v>
      </c>
      <c r="J20" s="4">
        <v>110.54</v>
      </c>
      <c r="K20" s="8">
        <f t="shared" si="0"/>
        <v>184.42000000000002</v>
      </c>
      <c r="L20" s="4"/>
      <c r="M20" s="8">
        <f t="shared" si="1"/>
        <v>1373.6222222222223</v>
      </c>
      <c r="N20" s="2"/>
      <c r="O20" s="2"/>
      <c r="P20" s="2"/>
    </row>
    <row r="21" spans="3:16">
      <c r="C21" s="3">
        <v>45948</v>
      </c>
      <c r="D21" s="8">
        <f>M20</f>
        <v>1373.6222222222223</v>
      </c>
      <c r="E21" s="4">
        <v>228</v>
      </c>
      <c r="F21" s="4">
        <v>20.100000000000001</v>
      </c>
      <c r="G21" s="4">
        <v>15.05</v>
      </c>
      <c r="H21" s="4">
        <v>20.16</v>
      </c>
      <c r="I21" s="4">
        <v>13.18</v>
      </c>
      <c r="J21" s="4">
        <v>333.89</v>
      </c>
      <c r="K21" s="8">
        <f t="shared" si="0"/>
        <v>402.38</v>
      </c>
      <c r="L21" s="4"/>
      <c r="M21" s="8">
        <f t="shared" si="1"/>
        <v>1199.2422222222222</v>
      </c>
      <c r="N21" s="12">
        <v>1187.5899999999999</v>
      </c>
      <c r="O21" s="12">
        <v>13</v>
      </c>
      <c r="P21" s="11">
        <f>SUM(N21:O21)</f>
        <v>1200.5899999999999</v>
      </c>
    </row>
    <row r="22" spans="3:16">
      <c r="C22" s="7">
        <v>45949</v>
      </c>
      <c r="D22" s="8"/>
      <c r="E22" s="8"/>
      <c r="F22" s="8"/>
      <c r="G22" s="8"/>
      <c r="H22" s="8"/>
      <c r="I22" s="8"/>
      <c r="J22" s="8"/>
      <c r="K22" s="8">
        <f t="shared" si="0"/>
        <v>0</v>
      </c>
      <c r="L22" s="8"/>
      <c r="M22" s="8"/>
      <c r="N22" s="2"/>
      <c r="O22" s="2"/>
      <c r="P22" s="2"/>
    </row>
    <row r="23" spans="3:16">
      <c r="C23" s="3">
        <v>45950</v>
      </c>
      <c r="D23" s="8">
        <f>M21</f>
        <v>1199.2422222222222</v>
      </c>
      <c r="E23" s="4">
        <v>104</v>
      </c>
      <c r="F23" s="4">
        <v>24.7</v>
      </c>
      <c r="G23" s="4">
        <v>19.87</v>
      </c>
      <c r="H23" s="4">
        <v>16.826000000000001</v>
      </c>
      <c r="I23" s="4">
        <v>20.57</v>
      </c>
      <c r="J23" s="4">
        <v>247.64</v>
      </c>
      <c r="K23" s="8">
        <f t="shared" si="0"/>
        <v>329.60599999999999</v>
      </c>
      <c r="L23" s="4"/>
      <c r="M23" s="8">
        <f t="shared" si="1"/>
        <v>973.63622222222216</v>
      </c>
      <c r="N23" s="2"/>
      <c r="O23" s="2"/>
      <c r="P23" s="2"/>
    </row>
    <row r="24" spans="3:16">
      <c r="C24" s="3">
        <v>45951</v>
      </c>
      <c r="D24" s="8">
        <f>M23</f>
        <v>973.63622222222216</v>
      </c>
      <c r="E24" s="4">
        <v>310</v>
      </c>
      <c r="F24" s="4">
        <v>19.2</v>
      </c>
      <c r="G24" s="4">
        <v>27.89</v>
      </c>
      <c r="H24" s="4">
        <v>17.39</v>
      </c>
      <c r="I24" s="4">
        <v>17.809999999999999</v>
      </c>
      <c r="J24" s="4">
        <v>0</v>
      </c>
      <c r="K24" s="8">
        <f t="shared" si="0"/>
        <v>82.29</v>
      </c>
      <c r="L24" s="4"/>
      <c r="M24" s="8">
        <f t="shared" si="1"/>
        <v>1201.3462222222222</v>
      </c>
      <c r="N24" s="2"/>
      <c r="O24" s="2"/>
      <c r="P24" s="2"/>
    </row>
    <row r="25" spans="3:16">
      <c r="C25" s="3">
        <v>45952</v>
      </c>
      <c r="D25" s="8">
        <f>M24</f>
        <v>1201.3462222222222</v>
      </c>
      <c r="E25" s="4">
        <v>134</v>
      </c>
      <c r="F25" s="4">
        <v>18.87</v>
      </c>
      <c r="G25" s="4">
        <v>23.36</v>
      </c>
      <c r="H25" s="4">
        <v>12.68</v>
      </c>
      <c r="I25" s="4">
        <v>16.36</v>
      </c>
      <c r="J25" s="4">
        <v>0</v>
      </c>
      <c r="K25" s="8">
        <f t="shared" si="0"/>
        <v>71.27000000000001</v>
      </c>
      <c r="L25" s="4"/>
      <c r="M25" s="8">
        <f t="shared" si="1"/>
        <v>1264.0762222222222</v>
      </c>
      <c r="N25" s="2"/>
      <c r="O25" s="2"/>
      <c r="P25" s="2"/>
    </row>
    <row r="26" spans="3:16">
      <c r="C26" s="3">
        <v>45953</v>
      </c>
      <c r="D26" s="8">
        <f>M25</f>
        <v>1264.0762222222222</v>
      </c>
      <c r="E26" s="4">
        <v>302</v>
      </c>
      <c r="F26" s="4">
        <v>21.44</v>
      </c>
      <c r="G26" s="4">
        <v>19.46</v>
      </c>
      <c r="H26" s="4">
        <v>18.649999999999999</v>
      </c>
      <c r="I26" s="4">
        <v>17.64</v>
      </c>
      <c r="J26" s="4">
        <v>59.44</v>
      </c>
      <c r="K26" s="8">
        <f t="shared" si="0"/>
        <v>136.63</v>
      </c>
      <c r="L26" s="4"/>
      <c r="M26" s="8">
        <f t="shared" si="1"/>
        <v>1429.4462222222223</v>
      </c>
      <c r="N26" s="2"/>
      <c r="O26" s="2"/>
      <c r="P26" s="2"/>
    </row>
    <row r="27" spans="3:16">
      <c r="C27" s="3">
        <v>45954</v>
      </c>
      <c r="D27" s="8">
        <f>M26</f>
        <v>1429.4462222222223</v>
      </c>
      <c r="E27" s="4">
        <v>125</v>
      </c>
      <c r="F27" s="4">
        <v>21.84</v>
      </c>
      <c r="G27" s="4">
        <v>17.149999999999999</v>
      </c>
      <c r="H27" s="4">
        <v>16.16</v>
      </c>
      <c r="I27" s="4">
        <v>18.68</v>
      </c>
      <c r="J27" s="4">
        <v>128.54</v>
      </c>
      <c r="K27" s="8">
        <f t="shared" si="0"/>
        <v>202.36999999999998</v>
      </c>
      <c r="L27" s="4"/>
      <c r="M27" s="8">
        <f t="shared" si="1"/>
        <v>1352.0762222222224</v>
      </c>
      <c r="N27" s="2"/>
      <c r="O27" s="2"/>
      <c r="P27" s="2"/>
    </row>
    <row r="28" spans="3:16">
      <c r="C28" s="3">
        <v>45955</v>
      </c>
      <c r="D28" s="8">
        <f>M27</f>
        <v>1352.0762222222224</v>
      </c>
      <c r="E28" s="4">
        <v>165</v>
      </c>
      <c r="F28" s="4">
        <v>20.87</v>
      </c>
      <c r="G28" s="4">
        <v>18.260000000000002</v>
      </c>
      <c r="H28" s="4">
        <v>13.14</v>
      </c>
      <c r="I28" s="4">
        <v>14.6</v>
      </c>
      <c r="J28" s="4">
        <v>396</v>
      </c>
      <c r="K28" s="8">
        <f t="shared" si="0"/>
        <v>462.87</v>
      </c>
      <c r="L28" s="4"/>
      <c r="M28" s="8">
        <f t="shared" si="1"/>
        <v>1054.2062222222226</v>
      </c>
      <c r="N28" s="2"/>
      <c r="O28" s="2"/>
      <c r="P28" s="2"/>
    </row>
    <row r="29" spans="3:16">
      <c r="C29" s="7">
        <v>45956</v>
      </c>
      <c r="D29" s="8"/>
      <c r="E29" s="8"/>
      <c r="F29" s="8"/>
      <c r="G29" s="8"/>
      <c r="H29" s="8"/>
      <c r="I29" s="8"/>
      <c r="J29" s="8"/>
      <c r="K29" s="8">
        <f t="shared" si="0"/>
        <v>0</v>
      </c>
      <c r="L29" s="8"/>
      <c r="M29" s="8"/>
      <c r="N29" s="2"/>
      <c r="O29" s="2"/>
      <c r="P29" s="2"/>
    </row>
    <row r="30" spans="3:16">
      <c r="C30" s="3">
        <v>45957</v>
      </c>
      <c r="D30" s="8">
        <f>M28</f>
        <v>1054.2062222222226</v>
      </c>
      <c r="E30" s="4">
        <v>168</v>
      </c>
      <c r="F30" s="4">
        <v>21.29</v>
      </c>
      <c r="G30" s="4">
        <v>20.02</v>
      </c>
      <c r="H30" s="4">
        <v>13.68</v>
      </c>
      <c r="I30" s="4">
        <v>23.35</v>
      </c>
      <c r="J30" s="4">
        <v>169.94</v>
      </c>
      <c r="K30" s="8">
        <f t="shared" si="0"/>
        <v>248.28</v>
      </c>
      <c r="L30" s="4"/>
      <c r="M30" s="8">
        <f t="shared" si="1"/>
        <v>973.92622222222258</v>
      </c>
      <c r="N30" s="2"/>
      <c r="O30" s="2"/>
      <c r="P30" s="2"/>
    </row>
    <row r="31" spans="3:16">
      <c r="C31" s="3">
        <v>45958</v>
      </c>
      <c r="D31" s="8">
        <f>M30</f>
        <v>973.92622222222258</v>
      </c>
      <c r="E31" s="4">
        <v>317</v>
      </c>
      <c r="F31" s="4">
        <v>17.04</v>
      </c>
      <c r="G31" s="4">
        <v>24.34</v>
      </c>
      <c r="H31" s="4">
        <v>16.98</v>
      </c>
      <c r="I31" s="4">
        <v>17.690000000000001</v>
      </c>
      <c r="J31" s="4">
        <v>0</v>
      </c>
      <c r="K31" s="8">
        <f t="shared" si="0"/>
        <v>76.05</v>
      </c>
      <c r="L31" s="4"/>
      <c r="M31" s="8">
        <f t="shared" si="1"/>
        <v>1214.8762222222226</v>
      </c>
      <c r="N31" s="2"/>
      <c r="O31" s="2"/>
      <c r="P31" s="2"/>
    </row>
    <row r="32" spans="3:16">
      <c r="C32" s="3">
        <v>45959</v>
      </c>
      <c r="D32" s="8">
        <f>M31</f>
        <v>1214.8762222222226</v>
      </c>
      <c r="E32" s="4">
        <v>175</v>
      </c>
      <c r="F32" s="4">
        <v>17.04</v>
      </c>
      <c r="G32" s="4">
        <v>25.39</v>
      </c>
      <c r="H32" s="4">
        <v>8.98</v>
      </c>
      <c r="I32" s="4">
        <v>19.2</v>
      </c>
      <c r="J32" s="4">
        <v>0</v>
      </c>
      <c r="K32" s="8">
        <f t="shared" si="0"/>
        <v>70.61</v>
      </c>
      <c r="L32" s="4"/>
      <c r="M32" s="8">
        <f t="shared" si="1"/>
        <v>1319.2662222222227</v>
      </c>
      <c r="N32" s="2"/>
      <c r="O32" s="2"/>
      <c r="P32" s="2"/>
    </row>
    <row r="33" spans="3:18">
      <c r="C33" s="3">
        <v>45960</v>
      </c>
      <c r="D33" s="8">
        <f>M32</f>
        <v>1319.2662222222227</v>
      </c>
      <c r="E33" s="4">
        <v>217</v>
      </c>
      <c r="F33" s="4">
        <v>24.8</v>
      </c>
      <c r="G33" s="4">
        <v>18.37</v>
      </c>
      <c r="H33" s="4">
        <v>13.19</v>
      </c>
      <c r="I33" s="4">
        <v>17.27</v>
      </c>
      <c r="J33" s="4">
        <v>96.72</v>
      </c>
      <c r="K33" s="8">
        <f t="shared" si="0"/>
        <v>170.35</v>
      </c>
      <c r="L33" s="4"/>
      <c r="M33" s="8">
        <f t="shared" si="1"/>
        <v>1365.9162222222228</v>
      </c>
      <c r="N33" s="2"/>
      <c r="O33" s="2"/>
      <c r="P33" s="2"/>
    </row>
    <row r="34" spans="3:18">
      <c r="C34" s="3">
        <v>45961</v>
      </c>
      <c r="D34" s="8">
        <f>M33</f>
        <v>1365.9162222222228</v>
      </c>
      <c r="E34" s="4">
        <v>285</v>
      </c>
      <c r="F34" s="4">
        <v>24.69</v>
      </c>
      <c r="G34" s="4">
        <v>17.75</v>
      </c>
      <c r="H34" s="4">
        <v>25.24</v>
      </c>
      <c r="I34" s="4">
        <v>16.12</v>
      </c>
      <c r="J34" s="4">
        <v>161.04</v>
      </c>
      <c r="K34" s="8">
        <f t="shared" si="0"/>
        <v>244.83999999999997</v>
      </c>
      <c r="L34" s="4"/>
      <c r="M34" s="8">
        <f t="shared" si="1"/>
        <v>1406.0762222222229</v>
      </c>
      <c r="N34" s="2">
        <v>1352.15</v>
      </c>
      <c r="O34" s="2">
        <v>25.646000000000001</v>
      </c>
      <c r="P34" s="2">
        <f>SUM(N34:O34)</f>
        <v>1377.796</v>
      </c>
      <c r="R34">
        <f>M34-P34</f>
        <v>28.280222222222847</v>
      </c>
    </row>
    <row r="35" spans="3:18">
      <c r="C35" s="4" t="s">
        <v>9</v>
      </c>
      <c r="D35" s="4">
        <f>M34</f>
        <v>1406.0762222222229</v>
      </c>
      <c r="E35" s="4">
        <f>SUM(E4:E34)</f>
        <v>4973</v>
      </c>
      <c r="F35" s="4">
        <f t="shared" ref="F35:L35" si="2">SUM(F4:F34)</f>
        <v>575.81000000000006</v>
      </c>
      <c r="G35" s="4">
        <f t="shared" si="2"/>
        <v>565.9799999999999</v>
      </c>
      <c r="H35" s="4">
        <f t="shared" si="2"/>
        <v>433.10600000000011</v>
      </c>
      <c r="I35" s="4">
        <f t="shared" si="2"/>
        <v>510.52</v>
      </c>
      <c r="J35" s="4">
        <f t="shared" si="2"/>
        <v>2587.8799999999997</v>
      </c>
      <c r="K35" s="4">
        <f t="shared" si="2"/>
        <v>4673.2960000000003</v>
      </c>
      <c r="L35" s="4">
        <f t="shared" si="2"/>
        <v>0</v>
      </c>
      <c r="M35" s="4">
        <v>0</v>
      </c>
      <c r="N35" s="2"/>
      <c r="O35" s="2"/>
      <c r="P35" s="2"/>
    </row>
    <row r="37" spans="3:18">
      <c r="D37" t="s">
        <v>16</v>
      </c>
      <c r="E37">
        <v>4950</v>
      </c>
      <c r="N37">
        <f>+M34-O34</f>
        <v>1380.4302222222229</v>
      </c>
    </row>
    <row r="38" spans="3:18">
      <c r="D38" t="s">
        <v>17</v>
      </c>
      <c r="E38">
        <f>E37-E35</f>
        <v>-23</v>
      </c>
    </row>
  </sheetData>
  <mergeCells count="1">
    <mergeCell ref="F2:K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W38"/>
  <sheetViews>
    <sheetView tabSelected="1" zoomScale="90" zoomScaleNormal="90" workbookViewId="0">
      <selection activeCell="S18" sqref="S18"/>
    </sheetView>
  </sheetViews>
  <sheetFormatPr defaultRowHeight="14.25"/>
  <cols>
    <col min="3" max="3" width="12.25" customWidth="1"/>
    <col min="14" max="14" width="10.75" bestFit="1" customWidth="1"/>
    <col min="15" max="15" width="9.375" bestFit="1" customWidth="1"/>
    <col min="16" max="16" width="10.375" bestFit="1" customWidth="1"/>
    <col min="18" max="23" width="11.625" customWidth="1"/>
  </cols>
  <sheetData>
    <row r="2" spans="1:23" ht="15">
      <c r="C2" s="1" t="s">
        <v>18</v>
      </c>
      <c r="D2" s="1"/>
      <c r="E2" s="15" t="s">
        <v>8</v>
      </c>
      <c r="F2" s="23" t="s">
        <v>7</v>
      </c>
      <c r="G2" s="23"/>
      <c r="H2" s="23"/>
      <c r="I2" s="23"/>
      <c r="J2" s="23"/>
      <c r="K2" s="23"/>
      <c r="L2" s="1"/>
      <c r="M2" s="1"/>
      <c r="N2" s="10">
        <v>45941</v>
      </c>
    </row>
    <row r="3" spans="1:23" ht="15">
      <c r="C3" s="5" t="s">
        <v>11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19</v>
      </c>
      <c r="K3" s="5" t="s">
        <v>9</v>
      </c>
      <c r="L3" s="5" t="s">
        <v>14</v>
      </c>
      <c r="M3" s="5" t="s">
        <v>12</v>
      </c>
      <c r="N3" s="5" t="s">
        <v>13</v>
      </c>
      <c r="O3" s="5" t="s">
        <v>10</v>
      </c>
      <c r="P3" s="5" t="s">
        <v>15</v>
      </c>
      <c r="R3" s="5" t="s">
        <v>0</v>
      </c>
      <c r="S3" s="5" t="s">
        <v>1</v>
      </c>
      <c r="T3" s="5" t="s">
        <v>9</v>
      </c>
      <c r="U3" s="5" t="s">
        <v>7</v>
      </c>
      <c r="V3" s="5" t="s">
        <v>14</v>
      </c>
      <c r="W3" s="5" t="s">
        <v>12</v>
      </c>
    </row>
    <row r="4" spans="1:23" ht="15">
      <c r="C4" s="3">
        <v>45962</v>
      </c>
      <c r="D4" s="8">
        <v>1352.25</v>
      </c>
      <c r="E4" s="4">
        <v>71</v>
      </c>
      <c r="F4" s="4">
        <v>14.43</v>
      </c>
      <c r="G4" s="9">
        <v>13.68</v>
      </c>
      <c r="H4" s="4">
        <v>12.68</v>
      </c>
      <c r="I4" s="4">
        <v>11.12</v>
      </c>
      <c r="J4" s="4">
        <v>122.33</v>
      </c>
      <c r="K4" s="8">
        <f>SUM(F4:J4)</f>
        <v>174.24</v>
      </c>
      <c r="L4" s="2">
        <v>0.77700000000000002</v>
      </c>
      <c r="M4" s="8">
        <f>D4+E4-K4-L4</f>
        <v>1248.2329999999999</v>
      </c>
      <c r="N4" s="2"/>
      <c r="O4" s="2"/>
      <c r="P4" s="2">
        <f t="shared" ref="P4:P5" si="0">M4-O4</f>
        <v>1248.2329999999999</v>
      </c>
      <c r="R4" s="14">
        <f>D4</f>
        <v>1352.25</v>
      </c>
      <c r="S4" s="14">
        <f>E35</f>
        <v>4587</v>
      </c>
      <c r="T4" s="14">
        <f>S4+R4</f>
        <v>5939.25</v>
      </c>
      <c r="U4" s="14">
        <f>K35</f>
        <v>4154.5199999999995</v>
      </c>
      <c r="V4" s="14">
        <f>L35</f>
        <v>24.284999999999997</v>
      </c>
      <c r="W4" s="14">
        <f>T4-U4-V4</f>
        <v>1760.4450000000004</v>
      </c>
    </row>
    <row r="5" spans="1:23">
      <c r="C5" s="7">
        <v>45963</v>
      </c>
      <c r="D5" s="8">
        <f>M4</f>
        <v>1248.2329999999999</v>
      </c>
      <c r="E5" s="8"/>
      <c r="F5" s="8"/>
      <c r="G5" s="8"/>
      <c r="H5" s="8"/>
      <c r="I5" s="8"/>
      <c r="J5" s="8"/>
      <c r="K5" s="8">
        <f t="shared" ref="K5:K34" si="1">SUM(F5:J5)</f>
        <v>0</v>
      </c>
      <c r="L5" s="2"/>
      <c r="M5" s="8">
        <f t="shared" ref="M5:M34" si="2">D5+E5-K5-L5</f>
        <v>1248.2329999999999</v>
      </c>
      <c r="N5" s="2"/>
      <c r="O5" s="2"/>
      <c r="P5" s="2">
        <f t="shared" si="0"/>
        <v>1248.2329999999999</v>
      </c>
    </row>
    <row r="6" spans="1:23">
      <c r="C6" s="3">
        <v>45964</v>
      </c>
      <c r="D6" s="8">
        <f t="shared" ref="D6:D33" si="3">M5</f>
        <v>1248.2329999999999</v>
      </c>
      <c r="E6" s="4"/>
      <c r="F6" s="4">
        <v>16.18</v>
      </c>
      <c r="G6" s="4">
        <v>15.69</v>
      </c>
      <c r="H6" s="4">
        <v>14.78</v>
      </c>
      <c r="I6" s="4">
        <v>22.67</v>
      </c>
      <c r="J6" s="4">
        <v>54.29</v>
      </c>
      <c r="K6" s="8">
        <f t="shared" si="1"/>
        <v>123.60999999999999</v>
      </c>
      <c r="L6" s="2">
        <v>0.89500000000000002</v>
      </c>
      <c r="M6" s="8">
        <f t="shared" si="2"/>
        <v>1123.7280000000001</v>
      </c>
      <c r="N6" s="2"/>
      <c r="O6" s="2"/>
      <c r="P6" s="2">
        <f>M6-O6</f>
        <v>1123.7280000000001</v>
      </c>
    </row>
    <row r="7" spans="1:23">
      <c r="C7" s="3">
        <v>45965</v>
      </c>
      <c r="D7" s="8">
        <f t="shared" si="3"/>
        <v>1123.7280000000001</v>
      </c>
      <c r="E7" s="4">
        <v>109</v>
      </c>
      <c r="F7" s="4">
        <v>19.100000000000001</v>
      </c>
      <c r="G7" s="4">
        <v>21.22</v>
      </c>
      <c r="H7" s="4">
        <v>15.2</v>
      </c>
      <c r="I7" s="4">
        <v>20.14</v>
      </c>
      <c r="J7" s="13"/>
      <c r="K7" s="8">
        <f t="shared" si="1"/>
        <v>75.66</v>
      </c>
      <c r="L7" s="2">
        <v>0.93</v>
      </c>
      <c r="M7" s="8">
        <f t="shared" si="2"/>
        <v>1156.1379999999999</v>
      </c>
      <c r="N7" s="2"/>
      <c r="O7" s="2"/>
      <c r="P7" s="2">
        <f t="shared" ref="P7:P35" si="4">M7-O7</f>
        <v>1156.1379999999999</v>
      </c>
    </row>
    <row r="8" spans="1:23">
      <c r="C8" s="3">
        <v>45966</v>
      </c>
      <c r="D8" s="8">
        <f t="shared" si="3"/>
        <v>1156.1379999999999</v>
      </c>
      <c r="E8" s="17">
        <v>240</v>
      </c>
      <c r="F8" s="17">
        <v>21.18</v>
      </c>
      <c r="G8" s="17">
        <v>23.28</v>
      </c>
      <c r="H8" s="17">
        <v>11.82</v>
      </c>
      <c r="I8" s="17">
        <v>28.17</v>
      </c>
      <c r="J8" s="17">
        <v>5</v>
      </c>
      <c r="K8" s="8">
        <f t="shared" si="1"/>
        <v>89.45</v>
      </c>
      <c r="L8" s="2">
        <v>1.04</v>
      </c>
      <c r="M8" s="8">
        <f t="shared" si="2"/>
        <v>1305.6479999999999</v>
      </c>
      <c r="N8" s="2"/>
      <c r="O8" s="2"/>
      <c r="P8" s="2">
        <f t="shared" si="4"/>
        <v>1305.6479999999999</v>
      </c>
    </row>
    <row r="9" spans="1:23">
      <c r="C9" s="3">
        <v>45967</v>
      </c>
      <c r="D9" s="8">
        <f t="shared" si="3"/>
        <v>1305.6479999999999</v>
      </c>
      <c r="E9" s="17">
        <v>193</v>
      </c>
      <c r="F9" s="17">
        <v>25.62</v>
      </c>
      <c r="G9" s="17">
        <v>16.64</v>
      </c>
      <c r="H9" s="17">
        <v>10.01</v>
      </c>
      <c r="I9" s="17">
        <v>22.11</v>
      </c>
      <c r="J9" s="17">
        <v>55.33</v>
      </c>
      <c r="K9" s="8">
        <f t="shared" si="1"/>
        <v>129.70999999999998</v>
      </c>
      <c r="L9" s="2">
        <v>0.90900000000000003</v>
      </c>
      <c r="M9" s="8">
        <f t="shared" si="2"/>
        <v>1368.0289999999998</v>
      </c>
      <c r="N9" s="2"/>
      <c r="O9" s="2"/>
      <c r="P9" s="2">
        <f t="shared" si="4"/>
        <v>1368.0289999999998</v>
      </c>
    </row>
    <row r="10" spans="1:23">
      <c r="C10" s="3">
        <v>45968</v>
      </c>
      <c r="D10" s="8">
        <f t="shared" si="3"/>
        <v>1368.0289999999998</v>
      </c>
      <c r="E10" s="17">
        <v>261</v>
      </c>
      <c r="F10" s="17">
        <v>28.38</v>
      </c>
      <c r="G10" s="17">
        <v>16.61</v>
      </c>
      <c r="H10" s="17">
        <v>17.47</v>
      </c>
      <c r="I10" s="17">
        <v>22.71</v>
      </c>
      <c r="J10" s="17">
        <v>72.25</v>
      </c>
      <c r="K10" s="8">
        <f t="shared" si="1"/>
        <v>157.41999999999999</v>
      </c>
      <c r="L10" s="2">
        <v>0.97199999999999998</v>
      </c>
      <c r="M10" s="8">
        <f t="shared" si="2"/>
        <v>1470.6369999999997</v>
      </c>
      <c r="N10" s="2"/>
      <c r="O10" s="2"/>
      <c r="P10" s="2">
        <f t="shared" si="4"/>
        <v>1470.6369999999997</v>
      </c>
    </row>
    <row r="11" spans="1:23">
      <c r="C11" s="3">
        <v>45969</v>
      </c>
      <c r="D11" s="8">
        <f t="shared" si="3"/>
        <v>1470.6369999999997</v>
      </c>
      <c r="E11" s="17">
        <v>161</v>
      </c>
      <c r="F11" s="17">
        <v>19.350000000000001</v>
      </c>
      <c r="G11" s="17">
        <v>16.16</v>
      </c>
      <c r="H11" s="17">
        <v>13.8</v>
      </c>
      <c r="I11" s="17">
        <v>13.87</v>
      </c>
      <c r="J11" s="17">
        <v>208</v>
      </c>
      <c r="K11" s="8">
        <f t="shared" si="1"/>
        <v>271.18</v>
      </c>
      <c r="L11" s="2">
        <v>0.76</v>
      </c>
      <c r="M11" s="8">
        <f t="shared" si="2"/>
        <v>1359.6969999999997</v>
      </c>
      <c r="N11" s="2"/>
      <c r="O11" s="2"/>
      <c r="P11" s="2">
        <f t="shared" si="4"/>
        <v>1359.6969999999997</v>
      </c>
    </row>
    <row r="12" spans="1:23">
      <c r="C12" s="7">
        <v>45970</v>
      </c>
      <c r="D12" s="8">
        <f t="shared" si="3"/>
        <v>1359.6969999999997</v>
      </c>
      <c r="E12" s="8"/>
      <c r="F12" s="8"/>
      <c r="G12" s="8"/>
      <c r="H12" s="8"/>
      <c r="I12" s="8"/>
      <c r="J12" s="8"/>
      <c r="K12" s="8">
        <f t="shared" si="1"/>
        <v>0</v>
      </c>
      <c r="L12" s="2"/>
      <c r="M12" s="8">
        <f t="shared" si="2"/>
        <v>1359.6969999999997</v>
      </c>
      <c r="N12" s="2"/>
      <c r="O12" s="2"/>
      <c r="P12" s="2">
        <f t="shared" si="4"/>
        <v>1359.6969999999997</v>
      </c>
    </row>
    <row r="13" spans="1:23">
      <c r="C13" s="3">
        <v>45971</v>
      </c>
      <c r="D13" s="8">
        <f t="shared" si="3"/>
        <v>1359.6969999999997</v>
      </c>
      <c r="E13" s="17">
        <v>0</v>
      </c>
      <c r="F13" s="17">
        <v>18.79</v>
      </c>
      <c r="G13" s="17">
        <v>21.56</v>
      </c>
      <c r="H13" s="17">
        <v>11.21</v>
      </c>
      <c r="I13" s="17">
        <v>23.31</v>
      </c>
      <c r="J13" s="17">
        <f>57+89.25+1</f>
        <v>147.25</v>
      </c>
      <c r="K13" s="8">
        <f t="shared" si="1"/>
        <v>222.12</v>
      </c>
      <c r="L13" s="2">
        <v>0.93049999999999999</v>
      </c>
      <c r="M13" s="8">
        <f t="shared" si="2"/>
        <v>1136.6464999999998</v>
      </c>
      <c r="N13" s="2"/>
      <c r="O13" s="2"/>
      <c r="P13" s="2">
        <f t="shared" si="4"/>
        <v>1136.6464999999998</v>
      </c>
    </row>
    <row r="14" spans="1:23">
      <c r="A14" s="4"/>
      <c r="C14" s="3">
        <v>45972</v>
      </c>
      <c r="D14" s="8">
        <f t="shared" si="3"/>
        <v>1136.6464999999998</v>
      </c>
      <c r="E14" s="17">
        <v>287</v>
      </c>
      <c r="F14" s="17">
        <v>19.149999999999999</v>
      </c>
      <c r="G14" s="17">
        <v>24.41</v>
      </c>
      <c r="H14" s="17">
        <v>13.7</v>
      </c>
      <c r="I14" s="17">
        <v>19.41</v>
      </c>
      <c r="J14" s="21">
        <v>8</v>
      </c>
      <c r="K14" s="8">
        <f t="shared" si="1"/>
        <v>84.67</v>
      </c>
      <c r="L14" s="19">
        <v>1.82</v>
      </c>
      <c r="M14" s="8">
        <f t="shared" si="2"/>
        <v>1337.1564999999998</v>
      </c>
      <c r="N14" s="18"/>
      <c r="O14" s="19"/>
      <c r="P14" s="19">
        <f t="shared" si="4"/>
        <v>1337.1564999999998</v>
      </c>
    </row>
    <row r="15" spans="1:23">
      <c r="C15" s="3">
        <v>45973</v>
      </c>
      <c r="D15" s="8">
        <f t="shared" si="3"/>
        <v>1337.1564999999998</v>
      </c>
      <c r="E15" s="17">
        <v>62</v>
      </c>
      <c r="F15" s="17">
        <v>20.25</v>
      </c>
      <c r="G15" s="17">
        <v>22.13</v>
      </c>
      <c r="H15" s="17">
        <v>11.12</v>
      </c>
      <c r="I15" s="17">
        <v>21.35</v>
      </c>
      <c r="J15" s="21">
        <v>1.26</v>
      </c>
      <c r="K15" s="8">
        <f t="shared" si="1"/>
        <v>76.11</v>
      </c>
      <c r="L15" s="2">
        <v>0.93500000000000005</v>
      </c>
      <c r="M15" s="8">
        <f t="shared" si="2"/>
        <v>1322.1115</v>
      </c>
      <c r="N15" s="2"/>
      <c r="O15" s="2"/>
      <c r="P15" s="2">
        <f t="shared" si="4"/>
        <v>1322.1115</v>
      </c>
    </row>
    <row r="16" spans="1:23">
      <c r="C16" s="3">
        <v>45974</v>
      </c>
      <c r="D16" s="8">
        <f t="shared" si="3"/>
        <v>1322.1115</v>
      </c>
      <c r="E16" s="17">
        <v>274</v>
      </c>
      <c r="F16" s="17">
        <v>19.79</v>
      </c>
      <c r="G16" s="17">
        <v>16.46</v>
      </c>
      <c r="H16" s="17">
        <v>15.68</v>
      </c>
      <c r="I16" s="17">
        <v>22.26</v>
      </c>
      <c r="J16" s="17">
        <v>101.42</v>
      </c>
      <c r="K16" s="8">
        <f t="shared" si="1"/>
        <v>175.61</v>
      </c>
      <c r="L16" s="20">
        <v>0.70799999999999996</v>
      </c>
      <c r="M16" s="8">
        <f t="shared" si="2"/>
        <v>1419.7934999999998</v>
      </c>
      <c r="N16" s="2"/>
      <c r="O16" s="2"/>
      <c r="P16" s="2">
        <f t="shared" si="4"/>
        <v>1419.7934999999998</v>
      </c>
    </row>
    <row r="17" spans="3:23">
      <c r="C17" s="3">
        <v>45975</v>
      </c>
      <c r="D17" s="8">
        <f t="shared" si="3"/>
        <v>1419.7934999999998</v>
      </c>
      <c r="E17" s="17">
        <v>176</v>
      </c>
      <c r="F17" s="17">
        <v>22.61</v>
      </c>
      <c r="G17" s="17">
        <v>14.11</v>
      </c>
      <c r="H17" s="17">
        <v>10.23</v>
      </c>
      <c r="I17" s="17">
        <v>15.99</v>
      </c>
      <c r="J17" s="17">
        <f>86.22+16</f>
        <v>102.22</v>
      </c>
      <c r="K17" s="8">
        <f t="shared" si="1"/>
        <v>165.16</v>
      </c>
      <c r="L17" s="20">
        <v>0.8125</v>
      </c>
      <c r="M17" s="8">
        <f t="shared" si="2"/>
        <v>1429.8209999999997</v>
      </c>
      <c r="N17" s="2"/>
      <c r="O17" s="2"/>
      <c r="P17" s="2">
        <f t="shared" si="4"/>
        <v>1429.8209999999997</v>
      </c>
    </row>
    <row r="18" spans="3:23">
      <c r="C18" s="3">
        <v>45976</v>
      </c>
      <c r="D18" s="8">
        <f t="shared" si="3"/>
        <v>1429.8209999999997</v>
      </c>
      <c r="E18" s="17">
        <v>345</v>
      </c>
      <c r="F18" s="17">
        <v>17.920000000000002</v>
      </c>
      <c r="G18" s="17">
        <v>22.53</v>
      </c>
      <c r="H18" s="17">
        <v>16.77</v>
      </c>
      <c r="I18" s="17">
        <v>13.52</v>
      </c>
      <c r="J18" s="17">
        <f>369.08+4</f>
        <v>373.08</v>
      </c>
      <c r="K18" s="8">
        <f t="shared" si="1"/>
        <v>443.82</v>
      </c>
      <c r="L18" s="20">
        <v>1.0409999999999999</v>
      </c>
      <c r="M18" s="8">
        <f t="shared" si="2"/>
        <v>1329.9599999999998</v>
      </c>
      <c r="N18" s="2"/>
      <c r="O18" s="2"/>
      <c r="P18" s="2">
        <f t="shared" si="4"/>
        <v>1329.9599999999998</v>
      </c>
    </row>
    <row r="19" spans="3:23">
      <c r="C19" s="7">
        <v>45977</v>
      </c>
      <c r="D19" s="8">
        <f t="shared" si="3"/>
        <v>1329.9599999999998</v>
      </c>
      <c r="E19" s="8"/>
      <c r="F19" s="8"/>
      <c r="G19" s="8"/>
      <c r="H19" s="8"/>
      <c r="I19" s="8"/>
      <c r="J19" s="8"/>
      <c r="K19" s="8">
        <f t="shared" si="1"/>
        <v>0</v>
      </c>
      <c r="L19" s="8"/>
      <c r="M19" s="8">
        <f t="shared" si="2"/>
        <v>1329.9599999999998</v>
      </c>
      <c r="N19" s="2"/>
      <c r="O19" s="2"/>
      <c r="P19" s="2">
        <f t="shared" si="4"/>
        <v>1329.9599999999998</v>
      </c>
    </row>
    <row r="20" spans="3:23">
      <c r="C20" s="3">
        <v>45978</v>
      </c>
      <c r="D20" s="8">
        <f t="shared" si="3"/>
        <v>1329.9599999999998</v>
      </c>
      <c r="E20" s="17"/>
      <c r="F20" s="17">
        <v>15.12</v>
      </c>
      <c r="G20" s="17">
        <v>18.11</v>
      </c>
      <c r="H20" s="17">
        <v>17.600000000000001</v>
      </c>
      <c r="I20" s="17">
        <v>24.02</v>
      </c>
      <c r="J20" s="17">
        <v>163.81</v>
      </c>
      <c r="K20" s="8">
        <f t="shared" si="1"/>
        <v>238.66</v>
      </c>
      <c r="L20" s="17">
        <v>1.05</v>
      </c>
      <c r="M20" s="8">
        <f t="shared" si="2"/>
        <v>1090.2499999999998</v>
      </c>
      <c r="N20" s="2"/>
      <c r="O20" s="2">
        <v>1.26</v>
      </c>
      <c r="P20" s="2">
        <f t="shared" si="4"/>
        <v>1088.9899999999998</v>
      </c>
      <c r="Q20" s="22">
        <v>1.236</v>
      </c>
    </row>
    <row r="21" spans="3:23">
      <c r="C21" s="3">
        <v>45979</v>
      </c>
      <c r="D21" s="8">
        <f t="shared" si="3"/>
        <v>1090.2499999999998</v>
      </c>
      <c r="E21" s="17">
        <v>172</v>
      </c>
      <c r="F21" s="17">
        <v>14.71</v>
      </c>
      <c r="G21" s="17">
        <v>21.66</v>
      </c>
      <c r="H21" s="17">
        <v>19.57</v>
      </c>
      <c r="I21" s="17">
        <v>15.02</v>
      </c>
      <c r="J21" s="17"/>
      <c r="K21" s="8">
        <f t="shared" si="1"/>
        <v>70.960000000000008</v>
      </c>
      <c r="L21" s="17">
        <v>1.264</v>
      </c>
      <c r="M21" s="8">
        <f t="shared" si="2"/>
        <v>1190.0259999999998</v>
      </c>
      <c r="N21" s="12"/>
      <c r="O21" s="12"/>
      <c r="P21" s="12"/>
      <c r="Q21" s="22">
        <v>1.2669999999999999</v>
      </c>
    </row>
    <row r="22" spans="3:23">
      <c r="C22" s="3">
        <v>45980</v>
      </c>
      <c r="D22" s="8">
        <f t="shared" si="3"/>
        <v>1190.0259999999998</v>
      </c>
      <c r="E22" s="17">
        <v>255</v>
      </c>
      <c r="F22" s="17">
        <v>19.010000000000002</v>
      </c>
      <c r="G22" s="17">
        <v>23.39</v>
      </c>
      <c r="H22" s="17">
        <v>12.8</v>
      </c>
      <c r="I22" s="17">
        <v>13.4</v>
      </c>
      <c r="J22" s="17"/>
      <c r="K22" s="8">
        <f t="shared" si="1"/>
        <v>68.600000000000009</v>
      </c>
      <c r="L22" s="17">
        <v>0.81100000000000005</v>
      </c>
      <c r="M22" s="8">
        <f t="shared" si="2"/>
        <v>1375.615</v>
      </c>
      <c r="N22" s="2"/>
      <c r="O22" s="2"/>
      <c r="P22" s="2">
        <f t="shared" si="4"/>
        <v>1375.615</v>
      </c>
      <c r="Q22" s="22">
        <v>0.81200000000000006</v>
      </c>
    </row>
    <row r="23" spans="3:23">
      <c r="C23" s="3">
        <v>45981</v>
      </c>
      <c r="D23" s="8">
        <f t="shared" si="3"/>
        <v>1375.615</v>
      </c>
      <c r="E23" s="17">
        <v>50</v>
      </c>
      <c r="F23" s="17">
        <v>21.32</v>
      </c>
      <c r="G23" s="17">
        <v>19.2</v>
      </c>
      <c r="H23" s="17">
        <v>13.36</v>
      </c>
      <c r="I23" s="17">
        <v>14.72</v>
      </c>
      <c r="J23" s="17">
        <v>127.79</v>
      </c>
      <c r="K23" s="8">
        <f t="shared" si="1"/>
        <v>196.39</v>
      </c>
      <c r="L23" s="17">
        <v>1.034</v>
      </c>
      <c r="M23" s="8">
        <f t="shared" si="2"/>
        <v>1228.1909999999998</v>
      </c>
      <c r="N23" s="2"/>
      <c r="O23" s="2"/>
      <c r="P23" s="2">
        <f t="shared" si="4"/>
        <v>1228.1909999999998</v>
      </c>
    </row>
    <row r="24" spans="3:23">
      <c r="C24" s="3">
        <v>45982</v>
      </c>
      <c r="D24" s="8">
        <f t="shared" si="3"/>
        <v>1228.1909999999998</v>
      </c>
      <c r="E24" s="17">
        <f>273+3</f>
        <v>276</v>
      </c>
      <c r="F24" s="17">
        <v>23.23</v>
      </c>
      <c r="G24" s="17">
        <v>14.8</v>
      </c>
      <c r="H24" s="17">
        <v>13.84</v>
      </c>
      <c r="I24" s="17">
        <v>17.010000000000002</v>
      </c>
      <c r="J24" s="17">
        <v>145.44</v>
      </c>
      <c r="K24" s="8">
        <f t="shared" si="1"/>
        <v>214.32</v>
      </c>
      <c r="L24" s="17">
        <v>1.1599999999999999</v>
      </c>
      <c r="M24" s="8">
        <f t="shared" si="2"/>
        <v>1288.7109999999998</v>
      </c>
      <c r="N24" s="2"/>
      <c r="O24" s="2"/>
      <c r="P24" s="2">
        <f t="shared" si="4"/>
        <v>1288.7109999999998</v>
      </c>
    </row>
    <row r="25" spans="3:23">
      <c r="C25" s="3">
        <v>45983</v>
      </c>
      <c r="D25" s="8">
        <f t="shared" si="3"/>
        <v>1288.7109999999998</v>
      </c>
      <c r="E25" s="17">
        <v>314</v>
      </c>
      <c r="F25" s="17">
        <v>21.31</v>
      </c>
      <c r="G25" s="17">
        <v>15.31</v>
      </c>
      <c r="H25" s="17">
        <v>14.29</v>
      </c>
      <c r="I25" s="17">
        <v>12.47</v>
      </c>
      <c r="J25" s="17">
        <v>319.64</v>
      </c>
      <c r="K25" s="8">
        <f t="shared" si="1"/>
        <v>383.02</v>
      </c>
      <c r="L25" s="17">
        <v>0.81</v>
      </c>
      <c r="M25" s="8">
        <f t="shared" si="2"/>
        <v>1218.8809999999999</v>
      </c>
      <c r="N25" s="2"/>
      <c r="O25" s="2"/>
      <c r="P25" s="2">
        <f t="shared" si="4"/>
        <v>1218.8809999999999</v>
      </c>
    </row>
    <row r="26" spans="3:23">
      <c r="C26" s="7">
        <v>45984</v>
      </c>
      <c r="D26" s="8">
        <f t="shared" si="3"/>
        <v>1218.8809999999999</v>
      </c>
      <c r="E26" s="8"/>
      <c r="F26" s="8"/>
      <c r="G26" s="8"/>
      <c r="H26" s="8"/>
      <c r="I26" s="8"/>
      <c r="J26" s="8"/>
      <c r="K26" s="8">
        <f t="shared" si="1"/>
        <v>0</v>
      </c>
      <c r="L26" s="8"/>
      <c r="M26" s="8">
        <f t="shared" si="2"/>
        <v>1218.8809999999999</v>
      </c>
      <c r="N26" s="12"/>
      <c r="O26" s="12"/>
      <c r="P26" s="12"/>
    </row>
    <row r="27" spans="3:23">
      <c r="C27" s="3">
        <v>45985</v>
      </c>
      <c r="D27" s="8">
        <f t="shared" si="3"/>
        <v>1218.8809999999999</v>
      </c>
      <c r="E27" s="17">
        <f>359-3</f>
        <v>356</v>
      </c>
      <c r="F27" s="17">
        <v>17.350000000000001</v>
      </c>
      <c r="G27" s="17">
        <v>19.54</v>
      </c>
      <c r="H27" s="17">
        <v>12.36</v>
      </c>
      <c r="I27" s="17">
        <v>23.99</v>
      </c>
      <c r="J27" s="17">
        <v>44.5</v>
      </c>
      <c r="K27" s="8">
        <f t="shared" si="1"/>
        <v>117.74</v>
      </c>
      <c r="L27" s="17">
        <v>0.875</v>
      </c>
      <c r="M27" s="8">
        <f t="shared" si="2"/>
        <v>1456.2659999999998</v>
      </c>
      <c r="N27" s="2"/>
      <c r="O27" s="2"/>
      <c r="P27" s="2">
        <f t="shared" si="4"/>
        <v>1456.2659999999998</v>
      </c>
      <c r="W27">
        <f>221000+283450</f>
        <v>504450</v>
      </c>
    </row>
    <row r="28" spans="3:23">
      <c r="C28" s="3">
        <v>45986</v>
      </c>
      <c r="D28" s="8">
        <f t="shared" si="3"/>
        <v>1456.2659999999998</v>
      </c>
      <c r="E28" s="17"/>
      <c r="F28" s="17">
        <v>15.66</v>
      </c>
      <c r="G28" s="17">
        <v>26.6</v>
      </c>
      <c r="H28" s="17">
        <v>17.510000000000002</v>
      </c>
      <c r="I28" s="17">
        <v>17.61</v>
      </c>
      <c r="J28" s="17"/>
      <c r="K28" s="8">
        <f t="shared" si="1"/>
        <v>77.38000000000001</v>
      </c>
      <c r="L28" s="17">
        <v>0.95</v>
      </c>
      <c r="M28" s="8">
        <f t="shared" si="2"/>
        <v>1377.9359999999997</v>
      </c>
      <c r="N28" s="2"/>
      <c r="O28" s="2"/>
      <c r="P28" s="2">
        <f t="shared" si="4"/>
        <v>1377.9359999999997</v>
      </c>
    </row>
    <row r="29" spans="3:23">
      <c r="C29" s="3">
        <v>45987</v>
      </c>
      <c r="D29" s="8">
        <f t="shared" si="3"/>
        <v>1377.9359999999997</v>
      </c>
      <c r="E29" s="17">
        <v>193</v>
      </c>
      <c r="F29" s="17">
        <v>21.67</v>
      </c>
      <c r="G29" s="17">
        <v>26.15</v>
      </c>
      <c r="H29" s="17">
        <v>15.68</v>
      </c>
      <c r="I29" s="17">
        <v>19.440000000000001</v>
      </c>
      <c r="J29" s="17"/>
      <c r="K29" s="8">
        <f t="shared" si="1"/>
        <v>82.94</v>
      </c>
      <c r="L29" s="17">
        <v>0.97</v>
      </c>
      <c r="M29" s="8">
        <f t="shared" si="2"/>
        <v>1487.0259999999996</v>
      </c>
      <c r="N29" s="2"/>
      <c r="O29" s="2"/>
      <c r="P29" s="2">
        <f t="shared" si="4"/>
        <v>1487.0259999999996</v>
      </c>
    </row>
    <row r="30" spans="3:23">
      <c r="C30" s="3">
        <v>45988</v>
      </c>
      <c r="D30" s="8">
        <f t="shared" si="3"/>
        <v>1487.0259999999996</v>
      </c>
      <c r="E30" s="17">
        <v>450</v>
      </c>
      <c r="F30" s="17">
        <v>21.48</v>
      </c>
      <c r="G30" s="17">
        <v>18.420000000000002</v>
      </c>
      <c r="H30" s="17">
        <v>18.3</v>
      </c>
      <c r="I30" s="17">
        <v>14.67</v>
      </c>
      <c r="J30" s="17">
        <f>91.33+35</f>
        <v>126.33</v>
      </c>
      <c r="K30" s="8">
        <f t="shared" si="1"/>
        <v>199.2</v>
      </c>
      <c r="L30" s="17">
        <v>1</v>
      </c>
      <c r="M30" s="8">
        <f t="shared" si="2"/>
        <v>1736.8259999999996</v>
      </c>
      <c r="N30" s="2"/>
      <c r="O30" s="2"/>
      <c r="P30" s="2">
        <f t="shared" si="4"/>
        <v>1736.8259999999996</v>
      </c>
    </row>
    <row r="31" spans="3:23">
      <c r="C31" s="3">
        <v>45989</v>
      </c>
      <c r="D31" s="8">
        <f t="shared" si="3"/>
        <v>1736.8259999999996</v>
      </c>
      <c r="E31" s="17">
        <v>342</v>
      </c>
      <c r="F31" s="17">
        <v>23.19</v>
      </c>
      <c r="G31" s="17">
        <v>14.96</v>
      </c>
      <c r="H31" s="17">
        <v>18.760000000000002</v>
      </c>
      <c r="I31" s="17">
        <v>17.89</v>
      </c>
      <c r="J31" s="17">
        <v>241.75</v>
      </c>
      <c r="K31" s="8">
        <f t="shared" si="1"/>
        <v>316.55</v>
      </c>
      <c r="L31" s="17">
        <v>1.831</v>
      </c>
      <c r="M31" s="8">
        <f t="shared" si="2"/>
        <v>1760.4449999999997</v>
      </c>
      <c r="N31" s="2"/>
      <c r="O31" s="2"/>
      <c r="P31" s="2">
        <f t="shared" si="4"/>
        <v>1760.4449999999997</v>
      </c>
    </row>
    <row r="32" spans="3:23">
      <c r="C32" s="3">
        <v>45990</v>
      </c>
      <c r="D32" s="8">
        <f t="shared" si="3"/>
        <v>1760.4449999999997</v>
      </c>
      <c r="E32" s="17"/>
      <c r="F32" s="17"/>
      <c r="G32" s="17"/>
      <c r="H32" s="17"/>
      <c r="I32" s="17"/>
      <c r="J32" s="17"/>
      <c r="K32" s="8">
        <f t="shared" si="1"/>
        <v>0</v>
      </c>
      <c r="L32" s="17"/>
      <c r="M32" s="8">
        <f t="shared" si="2"/>
        <v>1760.4449999999997</v>
      </c>
      <c r="N32" s="2"/>
      <c r="O32" s="2"/>
      <c r="P32" s="2">
        <f t="shared" si="4"/>
        <v>1760.4449999999997</v>
      </c>
    </row>
    <row r="33" spans="3:18">
      <c r="C33" s="7">
        <v>45991</v>
      </c>
      <c r="D33" s="8">
        <f t="shared" si="3"/>
        <v>1760.4449999999997</v>
      </c>
      <c r="E33" s="8"/>
      <c r="F33" s="8"/>
      <c r="G33" s="8"/>
      <c r="H33" s="8"/>
      <c r="I33" s="8"/>
      <c r="J33" s="8"/>
      <c r="K33" s="8">
        <f t="shared" si="1"/>
        <v>0</v>
      </c>
      <c r="L33" s="8"/>
      <c r="M33" s="8">
        <f t="shared" si="2"/>
        <v>1760.4449999999997</v>
      </c>
      <c r="N33" s="12"/>
      <c r="O33" s="12"/>
      <c r="P33" s="12"/>
    </row>
    <row r="34" spans="3:18">
      <c r="C34" s="16"/>
      <c r="D34" s="17"/>
      <c r="E34" s="17"/>
      <c r="F34" s="17"/>
      <c r="G34" s="17"/>
      <c r="H34" s="17"/>
      <c r="I34" s="17"/>
      <c r="J34" s="17"/>
      <c r="K34" s="17">
        <f t="shared" si="1"/>
        <v>0</v>
      </c>
      <c r="L34" s="17"/>
      <c r="M34" s="17">
        <f t="shared" si="2"/>
        <v>0</v>
      </c>
      <c r="N34" s="2"/>
      <c r="O34" s="2"/>
      <c r="P34" s="2">
        <f t="shared" si="4"/>
        <v>0</v>
      </c>
      <c r="R34">
        <f>M34-P34</f>
        <v>0</v>
      </c>
    </row>
    <row r="35" spans="3:18">
      <c r="C35" s="4" t="s">
        <v>9</v>
      </c>
      <c r="D35" s="4">
        <f>M34</f>
        <v>0</v>
      </c>
      <c r="E35" s="4">
        <f>SUM(E4:E34)</f>
        <v>4587</v>
      </c>
      <c r="F35" s="4">
        <f t="shared" ref="F35:L35" si="5">SUM(F4:F34)</f>
        <v>476.80000000000007</v>
      </c>
      <c r="G35" s="4">
        <f t="shared" si="5"/>
        <v>462.62</v>
      </c>
      <c r="H35" s="4">
        <f t="shared" si="5"/>
        <v>348.54</v>
      </c>
      <c r="I35" s="4">
        <f t="shared" si="5"/>
        <v>446.87</v>
      </c>
      <c r="J35" s="4">
        <f t="shared" si="5"/>
        <v>2419.69</v>
      </c>
      <c r="K35" s="4">
        <f t="shared" si="5"/>
        <v>4154.5199999999995</v>
      </c>
      <c r="L35" s="4">
        <f t="shared" si="5"/>
        <v>24.284999999999997</v>
      </c>
      <c r="M35" s="4"/>
      <c r="N35" s="2"/>
      <c r="O35" s="2">
        <f>SUM(O4:O34)</f>
        <v>1.26</v>
      </c>
      <c r="P35" s="2">
        <f t="shared" si="4"/>
        <v>-1.26</v>
      </c>
    </row>
    <row r="37" spans="3:18">
      <c r="D37" t="s">
        <v>16</v>
      </c>
      <c r="E37">
        <v>4657</v>
      </c>
      <c r="N37">
        <f>+M34-O34</f>
        <v>0</v>
      </c>
    </row>
    <row r="38" spans="3:18">
      <c r="D38" t="s">
        <v>17</v>
      </c>
      <c r="E38">
        <f>E37-E35</f>
        <v>70</v>
      </c>
    </row>
  </sheetData>
  <mergeCells count="1">
    <mergeCell ref="F2:K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Oct-2025</vt:lpstr>
      <vt:lpstr>Nov-2025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Owais {PEP}</dc:creator>
  <cp:lastModifiedBy>ADMIN</cp:lastModifiedBy>
  <dcterms:created xsi:type="dcterms:W3CDTF">2025-10-11T13:13:57Z</dcterms:created>
  <dcterms:modified xsi:type="dcterms:W3CDTF">2025-11-28T15:39:39Z</dcterms:modified>
</cp:coreProperties>
</file>